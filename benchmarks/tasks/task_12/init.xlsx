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1_{7FC1AA5B-7CC1-4D31-B931-494F960CD0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urce Data" sheetId="11" r:id="rId1"/>
    <sheet name="Assumptions" sheetId="12" r:id="rId2"/>
    <sheet name="Investment Summary" sheetId="13" r:id="rId3"/>
    <sheet name="Annual Forecast" sheetId="14" r:id="rId4"/>
    <sheet name="Monthly Cash Flow" sheetId="15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5" l="1"/>
  <c r="B43" i="15" s="1"/>
  <c r="B44" i="15" s="1"/>
  <c r="B45" i="15" s="1"/>
  <c r="E22" i="15"/>
  <c r="E21" i="15"/>
  <c r="E20" i="15"/>
  <c r="E19" i="15"/>
  <c r="E18" i="15"/>
  <c r="E17" i="15"/>
  <c r="E16" i="15"/>
  <c r="E15" i="15"/>
  <c r="E14" i="15"/>
  <c r="E13" i="15"/>
  <c r="F5" i="15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AM5" i="15" s="1"/>
  <c r="AN5" i="15" s="1"/>
  <c r="AO5" i="15" s="1"/>
  <c r="AP5" i="15" s="1"/>
  <c r="AQ5" i="15" s="1"/>
  <c r="AR5" i="15" s="1"/>
  <c r="AS5" i="15" s="1"/>
  <c r="AT5" i="15" s="1"/>
  <c r="AU5" i="15" s="1"/>
  <c r="AV5" i="15" s="1"/>
  <c r="AW5" i="15" s="1"/>
  <c r="AX5" i="15" s="1"/>
  <c r="AY5" i="15" s="1"/>
  <c r="AZ5" i="15" s="1"/>
  <c r="BA5" i="15" s="1"/>
  <c r="BB5" i="15" s="1"/>
  <c r="BC5" i="15" s="1"/>
  <c r="BD5" i="15" s="1"/>
  <c r="BE5" i="15" s="1"/>
  <c r="BF5" i="15" s="1"/>
  <c r="BG5" i="15" s="1"/>
  <c r="BH5" i="15" s="1"/>
  <c r="BI5" i="15" s="1"/>
  <c r="BJ5" i="15" s="1"/>
  <c r="BK5" i="15" s="1"/>
  <c r="BL5" i="15" s="1"/>
  <c r="BM5" i="15" s="1"/>
  <c r="BN5" i="15" s="1"/>
  <c r="BO5" i="15" s="1"/>
  <c r="BP5" i="15" s="1"/>
  <c r="BQ5" i="15" s="1"/>
  <c r="BR5" i="15" s="1"/>
  <c r="BS5" i="15" s="1"/>
  <c r="BT5" i="15" s="1"/>
  <c r="BU5" i="15" s="1"/>
  <c r="BV5" i="15" s="1"/>
  <c r="BW5" i="15" s="1"/>
  <c r="BX5" i="15" s="1"/>
  <c r="BY5" i="15" s="1"/>
  <c r="BZ5" i="15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AG3" i="15"/>
  <c r="AS3" i="15" s="1"/>
  <c r="BE3" i="15" s="1"/>
  <c r="BQ3" i="15" s="1"/>
  <c r="AF3" i="15"/>
  <c r="AR3" i="15" s="1"/>
  <c r="BD3" i="15" s="1"/>
  <c r="BP3" i="15" s="1"/>
  <c r="AE3" i="15"/>
  <c r="AQ3" i="15" s="1"/>
  <c r="BC3" i="15" s="1"/>
  <c r="BO3" i="15" s="1"/>
  <c r="AD3" i="15"/>
  <c r="AP3" i="15" s="1"/>
  <c r="BB3" i="15" s="1"/>
  <c r="BN3" i="15" s="1"/>
  <c r="BZ3" i="15" s="1"/>
  <c r="AC3" i="15"/>
  <c r="AO3" i="15" s="1"/>
  <c r="BA3" i="15" s="1"/>
  <c r="BM3" i="15" s="1"/>
  <c r="BY3" i="15" s="1"/>
  <c r="AB3" i="15"/>
  <c r="AN3" i="15" s="1"/>
  <c r="AZ3" i="15" s="1"/>
  <c r="BL3" i="15" s="1"/>
  <c r="BX3" i="15" s="1"/>
  <c r="AA3" i="15"/>
  <c r="AM3" i="15" s="1"/>
  <c r="AY3" i="15" s="1"/>
  <c r="BK3" i="15" s="1"/>
  <c r="BW3" i="15" s="1"/>
  <c r="Z3" i="15"/>
  <c r="AL3" i="15" s="1"/>
  <c r="AX3" i="15" s="1"/>
  <c r="BJ3" i="15" s="1"/>
  <c r="BV3" i="15" s="1"/>
  <c r="Y3" i="15"/>
  <c r="AK3" i="15" s="1"/>
  <c r="AW3" i="15" s="1"/>
  <c r="BI3" i="15" s="1"/>
  <c r="BU3" i="15" s="1"/>
  <c r="X3" i="15"/>
  <c r="AJ3" i="15" s="1"/>
  <c r="AV3" i="15" s="1"/>
  <c r="BH3" i="15" s="1"/>
  <c r="BT3" i="15" s="1"/>
  <c r="W3" i="15"/>
  <c r="AI3" i="15" s="1"/>
  <c r="AU3" i="15" s="1"/>
  <c r="BG3" i="15" s="1"/>
  <c r="BS3" i="15" s="1"/>
  <c r="V3" i="15"/>
  <c r="AH3" i="15" s="1"/>
  <c r="AT3" i="15" s="1"/>
  <c r="BF3" i="15" s="1"/>
  <c r="BR3" i="15" s="1"/>
  <c r="U3" i="15"/>
  <c r="T3" i="15"/>
  <c r="S3" i="15"/>
  <c r="B20" i="14"/>
  <c r="H20" i="13" s="1"/>
  <c r="B19" i="14"/>
  <c r="H19" i="13" s="1"/>
  <c r="B18" i="14"/>
  <c r="H18" i="13" s="1"/>
  <c r="B17" i="14"/>
  <c r="H17" i="13" s="1"/>
  <c r="B16" i="14"/>
  <c r="H16" i="13" s="1"/>
  <c r="B15" i="14"/>
  <c r="B14" i="14"/>
  <c r="B13" i="14"/>
  <c r="B12" i="14"/>
  <c r="B11" i="14"/>
  <c r="H11" i="13" s="1"/>
  <c r="D3" i="14"/>
  <c r="E3" i="14" s="1"/>
  <c r="F3" i="14" s="1"/>
  <c r="G3" i="14" s="1"/>
  <c r="D42" i="13"/>
  <c r="J37" i="13"/>
  <c r="G37" i="13"/>
  <c r="D37" i="13"/>
  <c r="J34" i="13"/>
  <c r="J41" i="13" s="1"/>
  <c r="G34" i="13"/>
  <c r="G41" i="13" s="1"/>
  <c r="D34" i="13"/>
  <c r="D41" i="13" s="1"/>
  <c r="J31" i="13"/>
  <c r="J40" i="13" s="1"/>
  <c r="G31" i="13"/>
  <c r="G40" i="13" s="1"/>
  <c r="D31" i="13"/>
  <c r="D40" i="13" s="1"/>
  <c r="H22" i="13"/>
  <c r="H21" i="13"/>
  <c r="I20" i="13"/>
  <c r="I19" i="13"/>
  <c r="C19" i="13"/>
  <c r="I18" i="13"/>
  <c r="C18" i="13"/>
  <c r="I17" i="13"/>
  <c r="I16" i="13"/>
  <c r="I15" i="13"/>
  <c r="H15" i="13"/>
  <c r="C15" i="13"/>
  <c r="I14" i="13"/>
  <c r="H14" i="13"/>
  <c r="I13" i="13"/>
  <c r="H13" i="13"/>
  <c r="I12" i="13"/>
  <c r="H12" i="13"/>
  <c r="I11" i="13"/>
  <c r="I21" i="13" s="1"/>
  <c r="H10" i="13"/>
  <c r="H8" i="13"/>
  <c r="G8" i="13"/>
  <c r="F8" i="13"/>
  <c r="C8" i="13"/>
  <c r="B8" i="13"/>
  <c r="I7" i="13"/>
  <c r="H7" i="13"/>
  <c r="G7" i="13"/>
  <c r="F7" i="13"/>
  <c r="E7" i="13"/>
  <c r="D7" i="13"/>
  <c r="C7" i="13"/>
  <c r="B7" i="13"/>
  <c r="H6" i="13"/>
  <c r="G6" i="13"/>
  <c r="F6" i="13"/>
  <c r="E6" i="13"/>
  <c r="D6" i="13"/>
  <c r="C6" i="13"/>
  <c r="B6" i="13"/>
  <c r="I5" i="13"/>
  <c r="H5" i="13"/>
  <c r="G5" i="13"/>
  <c r="F5" i="13"/>
  <c r="E5" i="13"/>
  <c r="D5" i="13"/>
  <c r="C5" i="13"/>
  <c r="B5" i="13"/>
  <c r="I4" i="13"/>
  <c r="H4" i="13"/>
  <c r="G4" i="13"/>
  <c r="F4" i="13"/>
  <c r="E4" i="13"/>
  <c r="D4" i="13"/>
  <c r="C4" i="13"/>
  <c r="B4" i="13"/>
  <c r="I3" i="13"/>
  <c r="I6" i="13" s="1"/>
  <c r="H3" i="13"/>
  <c r="G3" i="13"/>
  <c r="F3" i="13"/>
  <c r="E3" i="13"/>
  <c r="D3" i="13"/>
  <c r="C3" i="13"/>
  <c r="B3" i="13"/>
  <c r="H66" i="12"/>
  <c r="H65" i="12"/>
  <c r="C65" i="12"/>
  <c r="C64" i="12"/>
  <c r="C63" i="12"/>
  <c r="C62" i="12"/>
  <c r="C61" i="12"/>
  <c r="C60" i="12"/>
  <c r="C59" i="12"/>
  <c r="C58" i="12"/>
  <c r="C57" i="12"/>
  <c r="C51" i="12"/>
  <c r="C36" i="12"/>
  <c r="E36" i="12" s="1"/>
  <c r="E8" i="13" s="1"/>
  <c r="D21" i="12"/>
  <c r="D19" i="12"/>
  <c r="D18" i="12"/>
  <c r="F396" i="11"/>
  <c r="E396" i="11"/>
  <c r="F388" i="11"/>
  <c r="E388" i="11"/>
  <c r="F379" i="11"/>
  <c r="D138" i="11"/>
  <c r="D16" i="11"/>
  <c r="J44" i="13" l="1"/>
  <c r="I8" i="13"/>
  <c r="I22" i="13"/>
  <c r="I24" i="13" s="1"/>
  <c r="D44" i="13"/>
  <c r="G44" i="13"/>
  <c r="D9" i="12"/>
  <c r="C66" i="12"/>
  <c r="D66" i="12" s="1"/>
  <c r="E18" i="13"/>
  <c r="C20" i="13"/>
  <c r="D36" i="12"/>
  <c r="H62" i="12" l="1"/>
  <c r="D20" i="12"/>
  <c r="D62" i="12"/>
  <c r="H59" i="12"/>
  <c r="D19" i="13"/>
  <c r="H64" i="12"/>
  <c r="H61" i="12"/>
  <c r="H58" i="12"/>
  <c r="H63" i="12"/>
  <c r="H60" i="12"/>
  <c r="H57" i="12"/>
  <c r="D60" i="12"/>
  <c r="I65" i="12"/>
  <c r="D65" i="12"/>
  <c r="D63" i="12"/>
  <c r="I66" i="12"/>
  <c r="D18" i="13"/>
  <c r="D58" i="12"/>
  <c r="D59" i="12"/>
  <c r="D15" i="13"/>
  <c r="E19" i="13"/>
  <c r="E20" i="13"/>
  <c r="D20" i="13"/>
  <c r="C16" i="13"/>
  <c r="D57" i="12"/>
  <c r="D8" i="13"/>
  <c r="D11" i="12"/>
  <c r="D22" i="12" s="1"/>
  <c r="D61" i="12"/>
  <c r="D64" i="12"/>
  <c r="C14" i="13" l="1"/>
  <c r="E15" i="13"/>
  <c r="D16" i="13"/>
  <c r="E16" i="13"/>
  <c r="H67" i="12"/>
  <c r="I67" i="12" s="1"/>
  <c r="E14" i="13" l="1"/>
  <c r="D14" i="13"/>
</calcChain>
</file>

<file path=xl/sharedStrings.xml><?xml version="1.0" encoding="utf-8"?>
<sst xmlns="http://schemas.openxmlformats.org/spreadsheetml/2006/main" count="1053" uniqueCount="754">
  <si>
    <t>Operating Statement Export</t>
  </si>
  <si>
    <t>Account Name</t>
  </si>
  <si>
    <t>Reported Period</t>
  </si>
  <si>
    <t>Operating Income &amp; Expense</t>
  </si>
  <si>
    <t xml:space="preserve">    Income</t>
  </si>
  <si>
    <t xml:space="preserve">        Gross Potential Rent</t>
  </si>
  <si>
    <t xml:space="preserve">        Gain/Loss to Lease</t>
  </si>
  <si>
    <t xml:space="preserve">        Vacancy</t>
  </si>
  <si>
    <t xml:space="preserve">        CONCESSIONS</t>
  </si>
  <si>
    <t xml:space="preserve">            One-Time Concessions</t>
  </si>
  <si>
    <t xml:space="preserve">            Hometown Hero Discount </t>
  </si>
  <si>
    <t xml:space="preserve">            Employee Units</t>
  </si>
  <si>
    <t xml:space="preserve">            Other Concession</t>
  </si>
  <si>
    <t xml:space="preserve">        Total CONCESSIONS</t>
  </si>
  <si>
    <t xml:space="preserve">        Interest Income</t>
  </si>
  <si>
    <t xml:space="preserve">        OTHER INCOME</t>
  </si>
  <si>
    <t xml:space="preserve">            Application Fee Income</t>
  </si>
  <si>
    <t xml:space="preserve">            CO Inspection Fee</t>
  </si>
  <si>
    <t xml:space="preserve">            Monthly Amenity Fee</t>
  </si>
  <si>
    <t xml:space="preserve">            Annual Amenity Fee</t>
  </si>
  <si>
    <t xml:space="preserve">            Transfer Fee</t>
  </si>
  <si>
    <t xml:space="preserve">            Resident Insurance Services</t>
  </si>
  <si>
    <t xml:space="preserve">            Resident Insurance Admin Fees</t>
  </si>
  <si>
    <t xml:space="preserve">            One-Time Pet Fee</t>
  </si>
  <si>
    <t xml:space="preserve">            Pet Rent</t>
  </si>
  <si>
    <t xml:space="preserve">            Resident Parking</t>
  </si>
  <si>
    <t xml:space="preserve">            NSF Fees Collected</t>
  </si>
  <si>
    <t xml:space="preserve">            Late Fee</t>
  </si>
  <si>
    <t xml:space="preserve">            Utility Reimbursement</t>
  </si>
  <si>
    <t xml:space="preserve">            Month to Month Premium</t>
  </si>
  <si>
    <t xml:space="preserve">            Move-Out Charges</t>
  </si>
  <si>
    <t xml:space="preserve">            Lease Termination Fee</t>
  </si>
  <si>
    <t xml:space="preserve">            Miscellaneous Income</t>
  </si>
  <si>
    <t xml:space="preserve">            Lock-Out Fee</t>
  </si>
  <si>
    <t xml:space="preserve">            Other Income-8520</t>
  </si>
  <si>
    <t xml:space="preserve">        Total OTHER INCOME</t>
  </si>
  <si>
    <t xml:space="preserve">    Total Operating Income</t>
  </si>
  <si>
    <t xml:space="preserve">    Expense</t>
  </si>
  <si>
    <t xml:space="preserve">        PAYROLL COSTS</t>
  </si>
  <si>
    <t xml:space="preserve">            Property Manager</t>
  </si>
  <si>
    <t xml:space="preserve">            Assistant Property Manager</t>
  </si>
  <si>
    <t xml:space="preserve">            Leasing - Salaries</t>
  </si>
  <si>
    <t xml:space="preserve">            Superintendent</t>
  </si>
  <si>
    <t xml:space="preserve">            Assistant Superintendent</t>
  </si>
  <si>
    <t xml:space="preserve">            Cleaning</t>
  </si>
  <si>
    <t xml:space="preserve">            Bonuses</t>
  </si>
  <si>
    <t xml:space="preserve">            Retirement</t>
  </si>
  <si>
    <t xml:space="preserve">            Payroll Tax Expense</t>
  </si>
  <si>
    <t xml:space="preserve">            Workers Compensation</t>
  </si>
  <si>
    <t xml:space="preserve">            Group Insurance</t>
  </si>
  <si>
    <t xml:space="preserve">        Total PAYROLL COSTS</t>
  </si>
  <si>
    <t xml:space="preserve">        REPAIRS &amp; MAINTENANCE</t>
  </si>
  <si>
    <t xml:space="preserve">            Building - Roof Repairs</t>
  </si>
  <si>
    <t xml:space="preserve">            Building - Garbage Disposal</t>
  </si>
  <si>
    <t xml:space="preserve">            Cleaning &amp; Supplies</t>
  </si>
  <si>
    <t xml:space="preserve">            CAM: Common Area Maintenance</t>
  </si>
  <si>
    <t xml:space="preserve">            Doors Repairs/Replacement</t>
  </si>
  <si>
    <t xml:space="preserve">            Elevator Repairs</t>
  </si>
  <si>
    <t xml:space="preserve">            HVAC (Heat, Ventilation, Air)</t>
  </si>
  <si>
    <t xml:space="preserve">            Landscape Supplies &amp; Maintenance</t>
  </si>
  <si>
    <t xml:space="preserve">            Lighting Supplies/Repairs</t>
  </si>
  <si>
    <t xml:space="preserve">            Electrical Repairs</t>
  </si>
  <si>
    <t xml:space="preserve">            Maintenance Supplies</t>
  </si>
  <si>
    <t xml:space="preserve">            Painting Supplies/Repairs</t>
  </si>
  <si>
    <t xml:space="preserve">            Plumbing</t>
  </si>
  <si>
    <t xml:space="preserve">            Window/Screen/Glass Repairs</t>
  </si>
  <si>
    <t xml:space="preserve">            Compactor Repairs</t>
  </si>
  <si>
    <t xml:space="preserve">        Total REPAIRS &amp; MAINTENANCE</t>
  </si>
  <si>
    <t xml:space="preserve">        CONTRACT SERVICES</t>
  </si>
  <si>
    <t xml:space="preserve">            Telephone/Cable/Internet</t>
  </si>
  <si>
    <t xml:space="preserve">            Elevator Contract</t>
  </si>
  <si>
    <t xml:space="preserve">            Cleaning Contract</t>
  </si>
  <si>
    <t xml:space="preserve">            Low Voltage Contract (Access Control, Cameras, Fire Alarm)</t>
  </si>
  <si>
    <t xml:space="preserve">            Fire Safety System (Alarm &amp; Sprinkler)</t>
  </si>
  <si>
    <t xml:space="preserve">            Exterminator</t>
  </si>
  <si>
    <t xml:space="preserve">            Garbage &amp; Recycling</t>
  </si>
  <si>
    <t xml:space="preserve">            Other Contract Services</t>
  </si>
  <si>
    <t xml:space="preserve">        Total CONTRACT SERVICES</t>
  </si>
  <si>
    <t xml:space="preserve">        MAKE &amp; READY</t>
  </si>
  <si>
    <t xml:space="preserve">            Appliance/Repairs</t>
  </si>
  <si>
    <t xml:space="preserve">            Unit Move in Fee/Turn Over Reserve Fund</t>
  </si>
  <si>
    <t xml:space="preserve">            Flooring</t>
  </si>
  <si>
    <t xml:space="preserve">            Unit Renovation Supplies</t>
  </si>
  <si>
    <t xml:space="preserve">            Cleaning Services/Supplies</t>
  </si>
  <si>
    <t xml:space="preserve">        Total MAKE &amp; READY</t>
  </si>
  <si>
    <t xml:space="preserve">        MARKETING</t>
  </si>
  <si>
    <t xml:space="preserve">            Internet Marketing</t>
  </si>
  <si>
    <t xml:space="preserve">            Amenity Rooms Furniture &amp; Equipment</t>
  </si>
  <si>
    <t xml:space="preserve">            Leasing Commissions (INT)</t>
  </si>
  <si>
    <t xml:space="preserve">            Resident Activities</t>
  </si>
  <si>
    <t xml:space="preserve">            Signage</t>
  </si>
  <si>
    <t xml:space="preserve">            Other Marketing Expenses</t>
  </si>
  <si>
    <t xml:space="preserve">        Total MARKETING</t>
  </si>
  <si>
    <t xml:space="preserve">        OFFICE EXPENSES</t>
  </si>
  <si>
    <t xml:space="preserve">            Office Expense</t>
  </si>
  <si>
    <t xml:space="preserve">            Office Supplies</t>
  </si>
  <si>
    <t xml:space="preserve">            Resident Screening</t>
  </si>
  <si>
    <t xml:space="preserve">            Computer &amp; Software</t>
  </si>
  <si>
    <t xml:space="preserve">        Total OFFICE EXPENSES</t>
  </si>
  <si>
    <t xml:space="preserve">        GENERAL &amp; ADMINISTRATIVE EXPENSE</t>
  </si>
  <si>
    <t xml:space="preserve">            Resident Portal Fees</t>
  </si>
  <si>
    <t xml:space="preserve">            Legal Expenses</t>
  </si>
  <si>
    <t xml:space="preserve">            Eviction Fees</t>
  </si>
  <si>
    <t xml:space="preserve">            Internet Access</t>
  </si>
  <si>
    <t xml:space="preserve">            Professional Fees</t>
  </si>
  <si>
    <t xml:space="preserve">            Dues &amp; Subscriptions</t>
  </si>
  <si>
    <t xml:space="preserve">            Fees, Licenses &amp; Permits</t>
  </si>
  <si>
    <t xml:space="preserve">            Travel</t>
  </si>
  <si>
    <t xml:space="preserve">            Miscellaneous G &amp; A</t>
  </si>
  <si>
    <t xml:space="preserve">        Total GENERAL &amp; ADMINISTRATIVE EXPENSE</t>
  </si>
  <si>
    <t xml:space="preserve">        UTILITIES</t>
  </si>
  <si>
    <t xml:space="preserve">            Electric- Vacant</t>
  </si>
  <si>
    <t xml:space="preserve">            Electric - Common</t>
  </si>
  <si>
    <t xml:space="preserve">            Gas-Common</t>
  </si>
  <si>
    <t xml:space="preserve">            Water/Sewer</t>
  </si>
  <si>
    <t xml:space="preserve">        Total UTILITIES</t>
  </si>
  <si>
    <t xml:space="preserve">        MANAGEMENT  FEE</t>
  </si>
  <si>
    <t xml:space="preserve">        Total MANAGEMENT  FEE</t>
  </si>
  <si>
    <t xml:space="preserve">        INSURANCE</t>
  </si>
  <si>
    <t xml:space="preserve">            Insurance-General Liability</t>
  </si>
  <si>
    <t xml:space="preserve">            Insurance-Umbrella</t>
  </si>
  <si>
    <t xml:space="preserve">            Other Insurance</t>
  </si>
  <si>
    <t xml:space="preserve">            Resident Liability Insurance</t>
  </si>
  <si>
    <t xml:space="preserve">        Total INSURANCE</t>
  </si>
  <si>
    <t xml:space="preserve">        TAX</t>
  </si>
  <si>
    <t xml:space="preserve">            Real Estate Tax</t>
  </si>
  <si>
    <t xml:space="preserve">        Total TAX</t>
  </si>
  <si>
    <t xml:space="preserve">        DEBT SERVICE</t>
  </si>
  <si>
    <t xml:space="preserve">            Mortgage-Interest</t>
  </si>
  <si>
    <t xml:space="preserve">        Total DEBT SERVICE</t>
  </si>
  <si>
    <t xml:space="preserve">        Prior Period Adjustment</t>
  </si>
  <si>
    <t xml:space="preserve">    Total Operating Expense</t>
  </si>
  <si>
    <t xml:space="preserve">    NOI - Net Operating Income</t>
  </si>
  <si>
    <t xml:space="preserve">    Total Income</t>
  </si>
  <si>
    <t xml:space="preserve">    Total Expense</t>
  </si>
  <si>
    <t xml:space="preserve">    Net Income</t>
  </si>
  <si>
    <t>Analysis Scope</t>
  </si>
  <si>
    <t>2. Estimate refinance options with bank, HUD and agency</t>
  </si>
  <si>
    <t>3. Provide recommendation for refinance / sale</t>
  </si>
  <si>
    <t>Mortgage in place</t>
  </si>
  <si>
    <t>Purchase Price</t>
  </si>
  <si>
    <t>1. Create financial model including NOI pro-forma, rent sensitivities, value sensitivities, sales comps</t>
  </si>
  <si>
    <t xml:space="preserve">2. What changed between projections (See OM) and outcome. </t>
  </si>
  <si>
    <t>91.6% Occupied</t>
  </si>
  <si>
    <t>Total 214 Units</t>
  </si>
  <si>
    <t>214 Units</t>
  </si>
  <si>
    <t>Vacant-Unrented</t>
  </si>
  <si>
    <t>446</t>
  </si>
  <si>
    <t>Vacant-Rented</t>
  </si>
  <si>
    <t>429</t>
  </si>
  <si>
    <t>402</t>
  </si>
  <si>
    <t>349</t>
  </si>
  <si>
    <t>331</t>
  </si>
  <si>
    <t>324</t>
  </si>
  <si>
    <t>323</t>
  </si>
  <si>
    <t>319</t>
  </si>
  <si>
    <t>250</t>
  </si>
  <si>
    <t>243</t>
  </si>
  <si>
    <t>242</t>
  </si>
  <si>
    <t>232</t>
  </si>
  <si>
    <t>226</t>
  </si>
  <si>
    <t>138</t>
  </si>
  <si>
    <t>137</t>
  </si>
  <si>
    <t>131</t>
  </si>
  <si>
    <t>125</t>
  </si>
  <si>
    <t>108</t>
  </si>
  <si>
    <t>Current</t>
  </si>
  <si>
    <t>229</t>
  </si>
  <si>
    <t>316</t>
  </si>
  <si>
    <t>351</t>
  </si>
  <si>
    <t>447</t>
  </si>
  <si>
    <t>451</t>
  </si>
  <si>
    <t>216</t>
  </si>
  <si>
    <t>121</t>
  </si>
  <si>
    <t>135</t>
  </si>
  <si>
    <t>332</t>
  </si>
  <si>
    <t>247</t>
  </si>
  <si>
    <t>430</t>
  </si>
  <si>
    <t>414</t>
  </si>
  <si>
    <t>341</t>
  </si>
  <si>
    <t>454</t>
  </si>
  <si>
    <t>142</t>
  </si>
  <si>
    <t>202</t>
  </si>
  <si>
    <t>325</t>
  </si>
  <si>
    <t>348</t>
  </si>
  <si>
    <t>143</t>
  </si>
  <si>
    <t>303</t>
  </si>
  <si>
    <t>335</t>
  </si>
  <si>
    <t>353</t>
  </si>
  <si>
    <t>140</t>
  </si>
  <si>
    <t>210</t>
  </si>
  <si>
    <t>253</t>
  </si>
  <si>
    <t>127</t>
  </si>
  <si>
    <t>248</t>
  </si>
  <si>
    <t>126</t>
  </si>
  <si>
    <t>117</t>
  </si>
  <si>
    <t>339</t>
  </si>
  <si>
    <t>224</t>
  </si>
  <si>
    <t>206</t>
  </si>
  <si>
    <t>204</t>
  </si>
  <si>
    <t>350</t>
  </si>
  <si>
    <t>416</t>
  </si>
  <si>
    <t>134</t>
  </si>
  <si>
    <t>439</t>
  </si>
  <si>
    <t>144</t>
  </si>
  <si>
    <t>217</t>
  </si>
  <si>
    <t>221</t>
  </si>
  <si>
    <t>413</t>
  </si>
  <si>
    <t>408</t>
  </si>
  <si>
    <t>213</t>
  </si>
  <si>
    <t>440</t>
  </si>
  <si>
    <t>218</t>
  </si>
  <si>
    <t>318</t>
  </si>
  <si>
    <t>405</t>
  </si>
  <si>
    <t>330</t>
  </si>
  <si>
    <t>Notice-Unrented</t>
  </si>
  <si>
    <t>132</t>
  </si>
  <si>
    <t>233</t>
  </si>
  <si>
    <t>421</t>
  </si>
  <si>
    <t>305</t>
  </si>
  <si>
    <t>112</t>
  </si>
  <si>
    <t>123</t>
  </si>
  <si>
    <t>453</t>
  </si>
  <si>
    <t>424</t>
  </si>
  <si>
    <t>212</t>
  </si>
  <si>
    <t>329</t>
  </si>
  <si>
    <t>249</t>
  </si>
  <si>
    <t>438</t>
  </si>
  <si>
    <t>215</t>
  </si>
  <si>
    <t>432</t>
  </si>
  <si>
    <t>427</t>
  </si>
  <si>
    <t>116</t>
  </si>
  <si>
    <t>128</t>
  </si>
  <si>
    <t>235</t>
  </si>
  <si>
    <t>238</t>
  </si>
  <si>
    <t>312</t>
  </si>
  <si>
    <t>403</t>
  </si>
  <si>
    <t>106</t>
  </si>
  <si>
    <t>146</t>
  </si>
  <si>
    <t>239</t>
  </si>
  <si>
    <t>110</t>
  </si>
  <si>
    <t>309</t>
  </si>
  <si>
    <t>352</t>
  </si>
  <si>
    <t>139</t>
  </si>
  <si>
    <t>423</t>
  </si>
  <si>
    <t>434</t>
  </si>
  <si>
    <t>308</t>
  </si>
  <si>
    <t>231</t>
  </si>
  <si>
    <t>444</t>
  </si>
  <si>
    <t>313</t>
  </si>
  <si>
    <t>442</t>
  </si>
  <si>
    <t>149</t>
  </si>
  <si>
    <t>428</t>
  </si>
  <si>
    <t>411</t>
  </si>
  <si>
    <t>225</t>
  </si>
  <si>
    <t>401</t>
  </si>
  <si>
    <t>141</t>
  </si>
  <si>
    <t>406</t>
  </si>
  <si>
    <t>214</t>
  </si>
  <si>
    <t>420</t>
  </si>
  <si>
    <t>101</t>
  </si>
  <si>
    <t>151</t>
  </si>
  <si>
    <t>228</t>
  </si>
  <si>
    <t>222</t>
  </si>
  <si>
    <t>105</t>
  </si>
  <si>
    <t>236</t>
  </si>
  <si>
    <t>148</t>
  </si>
  <si>
    <t>431</t>
  </si>
  <si>
    <t>315</t>
  </si>
  <si>
    <t>437</t>
  </si>
  <si>
    <t>310</t>
  </si>
  <si>
    <t>227</t>
  </si>
  <si>
    <t>311</t>
  </si>
  <si>
    <t>340</t>
  </si>
  <si>
    <t>119</t>
  </si>
  <si>
    <t>302</t>
  </si>
  <si>
    <t>314</t>
  </si>
  <si>
    <t>328</t>
  </si>
  <si>
    <t>449</t>
  </si>
  <si>
    <t>419</t>
  </si>
  <si>
    <t>252</t>
  </si>
  <si>
    <t>251</t>
  </si>
  <si>
    <t>337</t>
  </si>
  <si>
    <t>113</t>
  </si>
  <si>
    <t>136</t>
  </si>
  <si>
    <t>407</t>
  </si>
  <si>
    <t>240</t>
  </si>
  <si>
    <t>209</t>
  </si>
  <si>
    <t>441</t>
  </si>
  <si>
    <t>152</t>
  </si>
  <si>
    <t>304</t>
  </si>
  <si>
    <t>433</t>
  </si>
  <si>
    <t>124</t>
  </si>
  <si>
    <t>320</t>
  </si>
  <si>
    <t>333</t>
  </si>
  <si>
    <t>301</t>
  </si>
  <si>
    <t>129</t>
  </si>
  <si>
    <t>345</t>
  </si>
  <si>
    <t>254</t>
  </si>
  <si>
    <t>322</t>
  </si>
  <si>
    <t>114</t>
  </si>
  <si>
    <t>412</t>
  </si>
  <si>
    <t>306</t>
  </si>
  <si>
    <t>409</t>
  </si>
  <si>
    <t>211</t>
  </si>
  <si>
    <t>418</t>
  </si>
  <si>
    <t>234</t>
  </si>
  <si>
    <t>448</t>
  </si>
  <si>
    <t>104</t>
  </si>
  <si>
    <t>435</t>
  </si>
  <si>
    <t>107</t>
  </si>
  <si>
    <t>207</t>
  </si>
  <si>
    <t>109</t>
  </si>
  <si>
    <t>120</t>
  </si>
  <si>
    <t>334</t>
  </si>
  <si>
    <t>336</t>
  </si>
  <si>
    <t>344</t>
  </si>
  <si>
    <t>321</t>
  </si>
  <si>
    <t>445</t>
  </si>
  <si>
    <t>241</t>
  </si>
  <si>
    <t>237</t>
  </si>
  <si>
    <t>443</t>
  </si>
  <si>
    <t>111</t>
  </si>
  <si>
    <t>205</t>
  </si>
  <si>
    <t>245</t>
  </si>
  <si>
    <t>153</t>
  </si>
  <si>
    <t>122</t>
  </si>
  <si>
    <t>220</t>
  </si>
  <si>
    <t>410</t>
  </si>
  <si>
    <t>347</t>
  </si>
  <si>
    <t>133</t>
  </si>
  <si>
    <t>436</t>
  </si>
  <si>
    <t>327</t>
  </si>
  <si>
    <t>244</t>
  </si>
  <si>
    <t>422</t>
  </si>
  <si>
    <t>452</t>
  </si>
  <si>
    <t>307</t>
  </si>
  <si>
    <t>326</t>
  </si>
  <si>
    <t>404</t>
  </si>
  <si>
    <t>118</t>
  </si>
  <si>
    <t>343</t>
  </si>
  <si>
    <t>342</t>
  </si>
  <si>
    <t>425</t>
  </si>
  <si>
    <t>203</t>
  </si>
  <si>
    <t>145</t>
  </si>
  <si>
    <t>450</t>
  </si>
  <si>
    <t>246</t>
  </si>
  <si>
    <t>426</t>
  </si>
  <si>
    <t>115</t>
  </si>
  <si>
    <t>219</t>
  </si>
  <si>
    <t>230</t>
  </si>
  <si>
    <t>103</t>
  </si>
  <si>
    <t>415</t>
  </si>
  <si>
    <t>150</t>
  </si>
  <si>
    <t>346</t>
  </si>
  <si>
    <t>208</t>
  </si>
  <si>
    <t>201</t>
  </si>
  <si>
    <t>417</t>
  </si>
  <si>
    <t>354</t>
  </si>
  <si>
    <t>317</t>
  </si>
  <si>
    <t>130</t>
  </si>
  <si>
    <t>102</t>
  </si>
  <si>
    <t>223</t>
  </si>
  <si>
    <t>338</t>
  </si>
  <si>
    <t/>
  </si>
  <si>
    <t>Past Due</t>
  </si>
  <si>
    <t>Move-in</t>
  </si>
  <si>
    <t>Lease To</t>
  </si>
  <si>
    <t>Lease From</t>
  </si>
  <si>
    <t>Rent</t>
  </si>
  <si>
    <t>Market Rent</t>
  </si>
  <si>
    <t>Status</t>
  </si>
  <si>
    <t>Tenant</t>
  </si>
  <si>
    <t>Unit</t>
  </si>
  <si>
    <t>Unit Rent Schedule</t>
  </si>
  <si>
    <t>Year</t>
  </si>
  <si>
    <t>Resi Gross Potential Rent</t>
  </si>
  <si>
    <t>Vacancy</t>
  </si>
  <si>
    <t>Bad Debt</t>
  </si>
  <si>
    <t>Net Rental Income</t>
  </si>
  <si>
    <t>Other Income</t>
  </si>
  <si>
    <t>Net Revenue</t>
  </si>
  <si>
    <t>Rental Growth</t>
  </si>
  <si>
    <t>Expense Growth</t>
  </si>
  <si>
    <t>Bad Debt</t>
  </si>
  <si>
    <t>Application Fee</t>
  </si>
  <si>
    <t>Late Fee</t>
  </si>
  <si>
    <t>Unit Mix</t>
  </si>
  <si>
    <t>Unit Type</t>
  </si>
  <si>
    <t># of Units</t>
  </si>
  <si>
    <t>Annual Rent</t>
  </si>
  <si>
    <t>SF</t>
  </si>
  <si>
    <t>1BD</t>
  </si>
  <si>
    <t>1 BD + Den</t>
  </si>
  <si>
    <t>2 BD</t>
  </si>
  <si>
    <t>2BD + 2 BA</t>
  </si>
  <si>
    <t>Total</t>
  </si>
  <si>
    <t>Monthly Avg Rent</t>
  </si>
  <si>
    <t>Other Income Growth</t>
  </si>
  <si>
    <t>Property Address</t>
  </si>
  <si>
    <t>City</t>
  </si>
  <si>
    <t>State</t>
  </si>
  <si>
    <t>Zip Code</t>
  </si>
  <si>
    <t>Property Details</t>
  </si>
  <si>
    <t>Gross SF</t>
  </si>
  <si>
    <t>NSF</t>
  </si>
  <si>
    <t># of Parking Spaces Covered</t>
  </si>
  <si>
    <t># of Parking Spaces uncovered</t>
  </si>
  <si>
    <t xml:space="preserve">Year Built </t>
  </si>
  <si>
    <t>Acquisition Info</t>
  </si>
  <si>
    <t>T-12 NOI</t>
  </si>
  <si>
    <t>Going In Cap Rate</t>
  </si>
  <si>
    <t>Price/GSF</t>
  </si>
  <si>
    <t>Price/Unit</t>
  </si>
  <si>
    <t>Price/NSF</t>
  </si>
  <si>
    <t>Existing Loan Info</t>
  </si>
  <si>
    <t>Existing Mortgage</t>
  </si>
  <si>
    <t>Floating/Fixed</t>
  </si>
  <si>
    <t>Fixed</t>
  </si>
  <si>
    <t>Rate</t>
  </si>
  <si>
    <t>Amenity Fees</t>
  </si>
  <si>
    <t>Annual Income</t>
  </si>
  <si>
    <t>Item</t>
  </si>
  <si>
    <t>$/Unit</t>
  </si>
  <si>
    <t>$/Unit/MTH</t>
  </si>
  <si>
    <t>Monthly Income</t>
  </si>
  <si>
    <t>Pet Fees &amp; Rent</t>
  </si>
  <si>
    <t>Parking</t>
  </si>
  <si>
    <t>Transfer Fee</t>
  </si>
  <si>
    <t>Lockout Fee</t>
  </si>
  <si>
    <t>Termination Fees</t>
  </si>
  <si>
    <t>Move-Out Charges</t>
  </si>
  <si>
    <t>Resident Insurance &amp; Fees</t>
  </si>
  <si>
    <t>Annual Expenses T-12</t>
  </si>
  <si>
    <t>Taxes</t>
  </si>
  <si>
    <t>Insurance</t>
  </si>
  <si>
    <t>Payroll</t>
  </si>
  <si>
    <t>Repairs &amp; Maintenance</t>
  </si>
  <si>
    <t>Contract Services</t>
  </si>
  <si>
    <t>Marketing</t>
  </si>
  <si>
    <t>General &amp; Administrative</t>
  </si>
  <si>
    <t>Utilities</t>
  </si>
  <si>
    <t>Management</t>
  </si>
  <si>
    <t>Annual Expense</t>
  </si>
  <si>
    <t>Reserves</t>
  </si>
  <si>
    <t>Pro Forma Annual Expenses</t>
  </si>
  <si>
    <t>Expenses</t>
  </si>
  <si>
    <t>Total Expenses</t>
  </si>
  <si>
    <t>Net Operating Income</t>
  </si>
  <si>
    <t>Principal Payment</t>
  </si>
  <si>
    <t>Exp Ratio</t>
  </si>
  <si>
    <t>NOI/Unit</t>
  </si>
  <si>
    <t>Interest Payments</t>
  </si>
  <si>
    <t>Cash Flow After Debt Service</t>
  </si>
  <si>
    <t>Acquisition Price</t>
  </si>
  <si>
    <t>Closing Cost</t>
  </si>
  <si>
    <t>Sale Proceeds</t>
  </si>
  <si>
    <t>Cost Of Sale</t>
  </si>
  <si>
    <t>Unlevered Cash Flows</t>
  </si>
  <si>
    <t>Loan Proceeds</t>
  </si>
  <si>
    <t>Loan Origination Fee</t>
  </si>
  <si>
    <t>Loan Payoff</t>
  </si>
  <si>
    <t>Total Levered Cash Flows</t>
  </si>
  <si>
    <t>Lender</t>
  </si>
  <si>
    <t>NYCB</t>
  </si>
  <si>
    <t>Amortization</t>
  </si>
  <si>
    <t>Term</t>
  </si>
  <si>
    <t>5+5</t>
  </si>
  <si>
    <t>Sources and Uses</t>
  </si>
  <si>
    <t>Sources</t>
  </si>
  <si>
    <t>Equity</t>
  </si>
  <si>
    <t>Debt</t>
  </si>
  <si>
    <t>Uses</t>
  </si>
  <si>
    <t>% of Total</t>
  </si>
  <si>
    <t>Exit Cap Rate</t>
  </si>
  <si>
    <t>Cost of Sale</t>
  </si>
  <si>
    <t>Month Ending</t>
  </si>
  <si>
    <t>Month</t>
  </si>
  <si>
    <t>Acquisition Date</t>
  </si>
  <si>
    <t xml:space="preserve"> Gross Potential Rent</t>
  </si>
  <si>
    <t>Five-Year Operating Forecast</t>
  </si>
  <si>
    <t>I/O Period (MTHs)</t>
  </si>
  <si>
    <t>LTV Constraint</t>
  </si>
  <si>
    <t>DSCR Constraint</t>
  </si>
  <si>
    <t>Debt Yield Constraint</t>
  </si>
  <si>
    <t>Cap Rate</t>
  </si>
  <si>
    <t>Spread</t>
  </si>
  <si>
    <t xml:space="preserve">Rate Index </t>
  </si>
  <si>
    <t>Projected Rate</t>
  </si>
  <si>
    <t>LTV Proceeds</t>
  </si>
  <si>
    <t>DSCR Proceeds</t>
  </si>
  <si>
    <t>Debt Yield Proceeds</t>
  </si>
  <si>
    <t>Loan Sizing</t>
  </si>
  <si>
    <t>Bank Refinance Loan Info</t>
  </si>
  <si>
    <t>HUD Refinance Loan Info</t>
  </si>
  <si>
    <t>Agency Refinance Loan Info</t>
  </si>
  <si>
    <t>Pro Forma</t>
  </si>
  <si>
    <t>Projected Value</t>
  </si>
  <si>
    <t>/Unit</t>
  </si>
  <si>
    <t>SOFR</t>
  </si>
  <si>
    <t>10-Year Treasury</t>
  </si>
  <si>
    <t>Unlevered IRR</t>
  </si>
  <si>
    <t>Levered IRR</t>
  </si>
  <si>
    <t>Unlevered Equity Multiple</t>
  </si>
  <si>
    <t>Levered Equity Multiple</t>
  </si>
  <si>
    <t>Exit Assumptions</t>
  </si>
  <si>
    <t>Returns</t>
  </si>
  <si>
    <t>Capital Improvements</t>
  </si>
  <si>
    <t>Cash Flow Before Debt Service</t>
  </si>
  <si>
    <t>Five-Year Operating Forecast</t>
  </si>
  <si>
    <t>Address</t>
  </si>
  <si>
    <t>Yr Built</t>
  </si>
  <si>
    <t>Excess Proceeds/Shortfall</t>
  </si>
  <si>
    <t>Name</t>
  </si>
  <si>
    <t>Monthly Rent</t>
  </si>
  <si>
    <t>Notes</t>
  </si>
  <si>
    <t>Inferior</t>
  </si>
  <si>
    <t>comparable</t>
  </si>
  <si>
    <t>Avg</t>
  </si>
  <si>
    <t>2BD</t>
  </si>
  <si>
    <t>comparable / 2BA</t>
  </si>
  <si>
    <t>older / 2BA</t>
  </si>
  <si>
    <t>Marrowfield Apartments</t>
  </si>
  <si>
    <t>Annual $/SF</t>
  </si>
  <si>
    <r>
      <rPr>
        <sz val="11"/>
        <rFont val="Calibri"/>
        <family val="2"/>
      </rPr>
      <t>Report Run: 03/05/2025 12:09 PM</t>
    </r>
  </si>
  <si>
    <r>
      <rPr>
        <sz val="11"/>
        <rFont val="Calibri"/>
        <family val="2"/>
      </rPr>
      <t>Properties: Active</t>
    </r>
  </si>
  <si>
    <r>
      <rPr>
        <sz val="11"/>
        <rFont val="Calibri"/>
        <family val="2"/>
      </rPr>
      <t>Date Range: 01/01/2024 to 12/31/2024</t>
    </r>
  </si>
  <si>
    <r>
      <rPr>
        <sz val="11"/>
        <rFont val="Calibri"/>
        <family val="2"/>
      </rPr>
      <t>Accounting Basis: Accrual</t>
    </r>
  </si>
  <si>
    <r>
      <rPr>
        <sz val="11"/>
        <rFont val="Calibri"/>
        <family val="2"/>
      </rPr>
      <t>Account Map: Standard chart of accounts</t>
    </r>
  </si>
  <si>
    <r>
      <rPr>
        <sz val="11"/>
        <rFont val="Calibri"/>
        <family val="2"/>
      </rPr>
      <t>Level of Detail: Detail View</t>
    </r>
  </si>
  <si>
    <r>
      <rPr>
        <sz val="11"/>
        <rFont val="Calibri"/>
        <family val="2"/>
      </rPr>
      <t>Include Zero-Balance Accounts: No</t>
    </r>
  </si>
  <si>
    <r>
      <rPr>
        <sz val="11"/>
        <rFont val="Calibri"/>
        <family val="2"/>
      </rPr>
      <t>Report Run: 03/05/2025 12:10 PM</t>
    </r>
  </si>
  <si>
    <r>
      <rPr>
        <sz val="11"/>
        <rFont val="Calibri"/>
        <family val="2"/>
      </rPr>
      <t>Units: Active</t>
    </r>
  </si>
  <si>
    <r>
      <rPr>
        <sz val="11"/>
        <rFont val="Calibri"/>
        <family val="2"/>
      </rPr>
      <t>As of: 03/01/2025</t>
    </r>
  </si>
  <si>
    <r>
      <rPr>
        <sz val="11"/>
        <rFont val="Calibri"/>
        <family val="2"/>
      </rPr>
      <t>Include Non-Revenue Units: No</t>
    </r>
  </si>
  <si>
    <t>Virelthorn Owner, LLC</t>
  </si>
  <si>
    <t xml:space="preserve">            Management Expense - Virelthorn Owner</t>
  </si>
  <si>
    <t>Properties: Virelthorn Flats</t>
  </si>
  <si>
    <t>Virelthorn Flats</t>
  </si>
  <si>
    <t>Tenant 11</t>
  </si>
  <si>
    <t>Tenant 12</t>
  </si>
  <si>
    <t>Tenant 13</t>
  </si>
  <si>
    <t>Tenant 14</t>
  </si>
  <si>
    <t>Tenant 15</t>
  </si>
  <si>
    <t>Tenant 16</t>
  </si>
  <si>
    <t>Tenant 17</t>
  </si>
  <si>
    <t>Tenant 18</t>
  </si>
  <si>
    <t>Tenant 19</t>
  </si>
  <si>
    <t>Tenant 20</t>
  </si>
  <si>
    <t>Tenant 21</t>
  </si>
  <si>
    <t>Tenant 22</t>
  </si>
  <si>
    <t>Tenant 23</t>
  </si>
  <si>
    <t>Tenant 24</t>
  </si>
  <si>
    <t>Tenant 25</t>
  </si>
  <si>
    <t>Tenant 26</t>
  </si>
  <si>
    <t>Tenant 27</t>
  </si>
  <si>
    <t>Tenant 28</t>
  </si>
  <si>
    <t>Tenant 29</t>
  </si>
  <si>
    <t>Tenant 30</t>
  </si>
  <si>
    <t>Tenant 31</t>
  </si>
  <si>
    <t>Tenant 32</t>
  </si>
  <si>
    <t>Tenant 33</t>
  </si>
  <si>
    <t>Tenant 34</t>
  </si>
  <si>
    <t>Tenant 35</t>
  </si>
  <si>
    <t>Tenant 36</t>
  </si>
  <si>
    <t>Tenant 37</t>
  </si>
  <si>
    <t>Tenant 38</t>
  </si>
  <si>
    <t>Tenant 39</t>
  </si>
  <si>
    <t>Tenant 40</t>
  </si>
  <si>
    <t>Tenant 41</t>
  </si>
  <si>
    <t>Tenant 42</t>
  </si>
  <si>
    <t>Tenant 43</t>
  </si>
  <si>
    <t>Tenant 44</t>
  </si>
  <si>
    <t>Tenant 45</t>
  </si>
  <si>
    <t>Tenant 46</t>
  </si>
  <si>
    <t>Tenant 47</t>
  </si>
  <si>
    <t>Tenant 48</t>
  </si>
  <si>
    <t>Tenant 49</t>
  </si>
  <si>
    <t>Tenant 50</t>
  </si>
  <si>
    <t>Tenant 51</t>
  </si>
  <si>
    <t>Tenant 52</t>
  </si>
  <si>
    <t>Tenant 53</t>
  </si>
  <si>
    <t>Tenant 54</t>
  </si>
  <si>
    <t>Tenant 55</t>
  </si>
  <si>
    <t>Tenant 56</t>
  </si>
  <si>
    <t>Tenant 57</t>
  </si>
  <si>
    <t>Tenant 58</t>
  </si>
  <si>
    <t>Tenant 59</t>
  </si>
  <si>
    <t>Tenant 60</t>
  </si>
  <si>
    <t>Tenant 61</t>
  </si>
  <si>
    <t>Tenant 62</t>
  </si>
  <si>
    <t>Tenant 63</t>
  </si>
  <si>
    <t>Tenant 64</t>
  </si>
  <si>
    <t>Tenant 65</t>
  </si>
  <si>
    <t>Tenant 66</t>
  </si>
  <si>
    <t>Tenant 67</t>
  </si>
  <si>
    <t>Tenant 68</t>
  </si>
  <si>
    <t>Tenant 69</t>
  </si>
  <si>
    <t>Tenant 70</t>
  </si>
  <si>
    <t>Tenant 71</t>
  </si>
  <si>
    <t>Tenant 72</t>
  </si>
  <si>
    <t>Tenant 73</t>
  </si>
  <si>
    <t>Tenant 74</t>
  </si>
  <si>
    <t>Tenant 75</t>
  </si>
  <si>
    <t>Tenant 76</t>
  </si>
  <si>
    <t>Tenant 77</t>
  </si>
  <si>
    <t>Tenant 78</t>
  </si>
  <si>
    <t>Tenant 79</t>
  </si>
  <si>
    <t>Tenant 80</t>
  </si>
  <si>
    <t>Tenant 81</t>
  </si>
  <si>
    <t>Tenant 82</t>
  </si>
  <si>
    <t>Tenant 83</t>
  </si>
  <si>
    <t>Tenant 84</t>
  </si>
  <si>
    <t>Tenant 85</t>
  </si>
  <si>
    <t>Tenant 86</t>
  </si>
  <si>
    <t>Tenant 87</t>
  </si>
  <si>
    <t>Tenant 88</t>
  </si>
  <si>
    <t>Tenant 89</t>
  </si>
  <si>
    <t>Tenant 90</t>
  </si>
  <si>
    <t>Tenant 91</t>
  </si>
  <si>
    <t>Tenant 92</t>
  </si>
  <si>
    <t>Tenant 93</t>
  </si>
  <si>
    <t>Tenant 94</t>
  </si>
  <si>
    <t>Tenant 95</t>
  </si>
  <si>
    <t>Tenant 96</t>
  </si>
  <si>
    <t>Tenant 97</t>
  </si>
  <si>
    <t>Tenant 98</t>
  </si>
  <si>
    <t>Tenant 99</t>
  </si>
  <si>
    <t>Tenant 100</t>
  </si>
  <si>
    <t>Tenant 101</t>
  </si>
  <si>
    <t>Tenant 102</t>
  </si>
  <si>
    <t>Tenant 103</t>
  </si>
  <si>
    <t>Tenant 104</t>
  </si>
  <si>
    <t>Tenant 105</t>
  </si>
  <si>
    <t>Tenant 106</t>
  </si>
  <si>
    <t>Tenant 107</t>
  </si>
  <si>
    <t>Tenant 108</t>
  </si>
  <si>
    <t>Tenant 109</t>
  </si>
  <si>
    <t>Tenant 110</t>
  </si>
  <si>
    <t>Tenant 111</t>
  </si>
  <si>
    <t>Tenant 112</t>
  </si>
  <si>
    <t>Tenant 113</t>
  </si>
  <si>
    <t>Tenant 114</t>
  </si>
  <si>
    <t>Tenant 115</t>
  </si>
  <si>
    <t>Tenant 116</t>
  </si>
  <si>
    <t>Tenant 117</t>
  </si>
  <si>
    <t>Tenant 118</t>
  </si>
  <si>
    <t>Tenant 119</t>
  </si>
  <si>
    <t>Tenant 120</t>
  </si>
  <si>
    <t>Tenant 121</t>
  </si>
  <si>
    <t>Tenant 122</t>
  </si>
  <si>
    <t>Tenant 123</t>
  </si>
  <si>
    <t>Tenant 124</t>
  </si>
  <si>
    <t>Tenant 125</t>
  </si>
  <si>
    <t>Tenant 126</t>
  </si>
  <si>
    <t>Tenant 127</t>
  </si>
  <si>
    <t>Tenant 128</t>
  </si>
  <si>
    <t>Tenant 129</t>
  </si>
  <si>
    <t>Tenant 130</t>
  </si>
  <si>
    <t>Tenant 131</t>
  </si>
  <si>
    <t>Tenant 132</t>
  </si>
  <si>
    <t>Tenant 133</t>
  </si>
  <si>
    <t>Tenant 134</t>
  </si>
  <si>
    <t>Tenant 135</t>
  </si>
  <si>
    <t>Tenant 136</t>
  </si>
  <si>
    <t>Tenant 137</t>
  </si>
  <si>
    <t>Tenant 138</t>
  </si>
  <si>
    <t>Tenant 139</t>
  </si>
  <si>
    <t>Tenant 140</t>
  </si>
  <si>
    <t>Tenant 141</t>
  </si>
  <si>
    <t>Tenant 142</t>
  </si>
  <si>
    <t>Tenant 143</t>
  </si>
  <si>
    <t>Tenant 144</t>
  </si>
  <si>
    <t>Tenant 145</t>
  </si>
  <si>
    <t>Tenant 146</t>
  </si>
  <si>
    <t>Tenant 147</t>
  </si>
  <si>
    <t>Tenant 148</t>
  </si>
  <si>
    <t>Tenant 149</t>
  </si>
  <si>
    <t>Tenant 150</t>
  </si>
  <si>
    <t>Tenant 151</t>
  </si>
  <si>
    <t>Tenant 152</t>
  </si>
  <si>
    <t>Tenant 153</t>
  </si>
  <si>
    <t>Tenant 154</t>
  </si>
  <si>
    <t>Tenant 155</t>
  </si>
  <si>
    <t>Tenant 156</t>
  </si>
  <si>
    <t>Tenant 157</t>
  </si>
  <si>
    <t>Tenant 158</t>
  </si>
  <si>
    <t>Tenant 159</t>
  </si>
  <si>
    <t>Tenant 160</t>
  </si>
  <si>
    <t>Tenant 161</t>
  </si>
  <si>
    <t>Tenant 162</t>
  </si>
  <si>
    <t>Tenant 163</t>
  </si>
  <si>
    <t>Tenant 164</t>
  </si>
  <si>
    <t>Tenant 165</t>
  </si>
  <si>
    <t>Tenant 166</t>
  </si>
  <si>
    <t>Tenant 167</t>
  </si>
  <si>
    <t>Tenant 168</t>
  </si>
  <si>
    <t>Tenant 169</t>
  </si>
  <si>
    <t>Tenant 170</t>
  </si>
  <si>
    <t>Tenant 171</t>
  </si>
  <si>
    <t>Tenant 172</t>
  </si>
  <si>
    <t>Tenant 173</t>
  </si>
  <si>
    <t>Tenant 174</t>
  </si>
  <si>
    <t>Tenant 175</t>
  </si>
  <si>
    <t>Tenant 176</t>
  </si>
  <si>
    <t>Tenant 177</t>
  </si>
  <si>
    <t>Tenant 178</t>
  </si>
  <si>
    <t>Tenant 179</t>
  </si>
  <si>
    <t>Tenant 180</t>
  </si>
  <si>
    <t>Tenant 181</t>
  </si>
  <si>
    <t>Tenant 182</t>
  </si>
  <si>
    <t>Tenant 183</t>
  </si>
  <si>
    <t>Tenant 184</t>
  </si>
  <si>
    <t>Tenant 185</t>
  </si>
  <si>
    <t>Tenant 186</t>
  </si>
  <si>
    <t>Tenant 187</t>
  </si>
  <si>
    <t>Tenant 188</t>
  </si>
  <si>
    <t>Tenant 189</t>
  </si>
  <si>
    <t>Tenant 190</t>
  </si>
  <si>
    <t>Tenant 191</t>
  </si>
  <si>
    <t>Tenant 192</t>
  </si>
  <si>
    <t>Tenant 193</t>
  </si>
  <si>
    <t>Tenant 194</t>
  </si>
  <si>
    <t>Tenant 195</t>
  </si>
  <si>
    <t>Tenant 196</t>
  </si>
  <si>
    <t>Tenant 197</t>
  </si>
  <si>
    <t>Tenant 198</t>
  </si>
  <si>
    <t>Tenant 199</t>
  </si>
  <si>
    <t>Tenant 200</t>
  </si>
  <si>
    <t>Tenant 201</t>
  </si>
  <si>
    <t>Tenant 202</t>
  </si>
  <si>
    <t>Tenant 203</t>
  </si>
  <si>
    <t>Tenant 204</t>
  </si>
  <si>
    <t>Tenant 205</t>
  </si>
  <si>
    <t>Tenant 206</t>
  </si>
  <si>
    <t>1840 Kestrel Row</t>
  </si>
  <si>
    <t>Lindenfen</t>
  </si>
  <si>
    <t>NC</t>
  </si>
  <si>
    <t>Thornwick Court</t>
  </si>
  <si>
    <t>1725 Marrow Lane</t>
  </si>
  <si>
    <t>Emberlyn Place</t>
  </si>
  <si>
    <t>Quellmoor Flats</t>
  </si>
  <si>
    <t>Draywick Commons</t>
  </si>
  <si>
    <t>Hollowmere Residences</t>
  </si>
  <si>
    <t>Selby Hollow Apartments</t>
  </si>
  <si>
    <t>Corvane Terrace</t>
  </si>
  <si>
    <t>2043 Aldergate Way</t>
  </si>
  <si>
    <t>968 Foxglen Street</t>
  </si>
  <si>
    <t>3310 Wrenfield Road</t>
  </si>
  <si>
    <t>1884 Marloway Drive</t>
  </si>
  <si>
    <t>742 Pemberton Lane</t>
  </si>
  <si>
    <t>2256 Cindermoor Avenue</t>
  </si>
  <si>
    <t>615 Halloway Court</t>
  </si>
  <si>
    <t>Capital Improvements (% of NOI)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</si>
</sst>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7" formatCode="&quot;$&quot;#,##0.00_);\(&quot;$&quot;#,##0.00\)"/>
    <numFmt numFmtId="44" formatCode="_(&quot;$&quot;* #,##0.00_);_(&quot;$&quot;* \(#,##0.00\);_(&quot;$&quot;* &quot;-&quot;??_);_(@_)"/>
    <numFmt numFmtId="164" formatCode="mm/dd/yyyy"/>
    <numFmt numFmtId="165" formatCode="0\ &quot;SF&quot;"/>
    <numFmt numFmtId="166" formatCode="&quot;Acquisition&quot;"/>
    <numFmt numFmtId="167" formatCode="0\ &quot;Years&quot;"/>
    <numFmt numFmtId="168" formatCode="m/d/yy;@"/>
    <numFmt numFmtId="169" formatCode="&quot;Month&quot;\ 0"/>
    <numFmt numFmtId="170" formatCode="0\ &quot;Months&quot;"/>
    <numFmt numFmtId="171" formatCode="&quot;Year&quot;\ 0"/>
    <numFmt numFmtId="172" formatCode="[$-409]mmm\-yy;@"/>
    <numFmt numFmtId="173" formatCode="0.000%;\(0.000%\)"/>
    <numFmt numFmtId="174" formatCode="0.00%;\(0.00%\)"/>
    <numFmt numFmtId="175" formatCode="#,##0.00;\(#,##0.00\)"/>
    <numFmt numFmtId="176" formatCode="0%;\(0%\)"/>
    <numFmt numFmtId="177" formatCode="0;\(0\)"/>
    <numFmt numFmtId="178" formatCode="#,##0;\(#,##0\)"/>
    <numFmt numFmtId="179" formatCode="0.0%;\(0.0%\)"/>
    <numFmt numFmtId="180" formatCode="0.00;\(0.00\)"/>
    <numFmt numFmtId="181" formatCode="&quot;$&quot;#,##0;\(&quot;$&quot;#,##0\)"/>
  </numFmts>
  <fonts count="32" x14ac:knownFonts="1">
    <font>
      <sz val="11"/>
      <name val="Calibri"/>
      <family val="1"/>
    </font>
    <font>
      <sz val="11"/>
      <name val="Calibri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808080"/>
      <name val="Calibri"/>
      <family val="2"/>
    </font>
    <font>
      <sz val="11"/>
      <color rgb="FF808080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b/>
      <sz val="11"/>
      <color rgb="FF0000FF"/>
      <name val="Calibri"/>
      <family val="2"/>
    </font>
    <font>
      <sz val="11"/>
      <color rgb="FF008000"/>
      <name val="Calibri"/>
      <family val="2"/>
    </font>
    <font>
      <b/>
      <sz val="11"/>
      <color rgb="FF008000"/>
      <name val="Calibri"/>
      <family val="2"/>
    </font>
    <font>
      <i/>
      <sz val="11"/>
      <color rgb="FF0000FF"/>
      <name val="Calibri"/>
      <family val="2"/>
    </font>
    <font>
      <b/>
      <i/>
      <sz val="11"/>
      <color rgb="FF0000FF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i/>
      <sz val="9"/>
      <color rgb="FF000000"/>
      <name val="Calibri"/>
      <family val="2"/>
    </font>
    <font>
      <b/>
      <i/>
      <sz val="11"/>
      <color rgb="FF0000FF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8000"/>
      <name val="Calibri"/>
      <family val="2"/>
    </font>
    <font>
      <b/>
      <i/>
      <sz val="14"/>
      <color rgb="FF000000"/>
      <name val="Calibri"/>
      <family val="2"/>
    </font>
    <font>
      <i/>
      <sz val="11"/>
      <color rgb="FF0000FF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D3D3D3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9">
    <xf numFmtId="0" fontId="0" fillId="0" borderId="0" xfId="0"/>
    <xf numFmtId="179" fontId="14" fillId="0" borderId="0" xfId="1" applyNumberFormat="1" applyFont="1" applyFill="1" applyBorder="1" applyAlignment="1">
      <alignment horizontal="center"/>
    </xf>
    <xf numFmtId="0" fontId="6" fillId="0" borderId="7" xfId="0" applyFont="1" applyBorder="1"/>
    <xf numFmtId="0" fontId="2" fillId="0" borderId="0" xfId="0" applyFont="1"/>
    <xf numFmtId="0" fontId="16" fillId="0" borderId="1" xfId="0" applyFont="1" applyBorder="1" applyAlignment="1">
      <alignment horizontal="left"/>
    </xf>
    <xf numFmtId="0" fontId="16" fillId="0" borderId="0" xfId="0" applyFont="1"/>
    <xf numFmtId="175" fontId="6" fillId="0" borderId="15" xfId="0" applyNumberFormat="1" applyFont="1" applyBorder="1"/>
    <xf numFmtId="0" fontId="6" fillId="0" borderId="15" xfId="0" applyFont="1" applyBorder="1"/>
    <xf numFmtId="7" fontId="6" fillId="0" borderId="15" xfId="0" applyNumberFormat="1" applyFont="1" applyBorder="1"/>
    <xf numFmtId="175" fontId="18" fillId="0" borderId="6" xfId="0" applyNumberFormat="1" applyFont="1" applyBorder="1"/>
    <xf numFmtId="175" fontId="19" fillId="0" borderId="6" xfId="0" applyNumberFormat="1" applyFont="1" applyBorder="1"/>
    <xf numFmtId="0" fontId="3" fillId="0" borderId="6" xfId="0" applyFont="1" applyBorder="1"/>
    <xf numFmtId="0" fontId="19" fillId="0" borderId="6" xfId="0" applyFont="1" applyBorder="1"/>
    <xf numFmtId="7" fontId="19" fillId="0" borderId="6" xfId="0" applyNumberFormat="1" applyFont="1" applyBorder="1"/>
    <xf numFmtId="175" fontId="20" fillId="0" borderId="0" xfId="0" applyNumberFormat="1" applyFont="1"/>
    <xf numFmtId="7" fontId="2" fillId="0" borderId="0" xfId="0" applyNumberFormat="1" applyFont="1"/>
    <xf numFmtId="175" fontId="6" fillId="0" borderId="7" xfId="0" applyNumberFormat="1" applyFont="1" applyBorder="1"/>
    <xf numFmtId="175" fontId="18" fillId="0" borderId="15" xfId="0" applyNumberFormat="1" applyFont="1" applyBorder="1"/>
    <xf numFmtId="44" fontId="2" fillId="0" borderId="0" xfId="2" applyFont="1" applyFill="1"/>
    <xf numFmtId="44" fontId="2" fillId="0" borderId="0" xfId="0" applyNumberFormat="1" applyFont="1"/>
    <xf numFmtId="179" fontId="6" fillId="0" borderId="15" xfId="1" applyNumberFormat="1" applyFont="1" applyFill="1" applyBorder="1"/>
    <xf numFmtId="176" fontId="6" fillId="0" borderId="15" xfId="1" applyNumberFormat="1" applyFont="1" applyFill="1" applyBorder="1"/>
    <xf numFmtId="44" fontId="6" fillId="0" borderId="15" xfId="2" applyFont="1" applyFill="1" applyBorder="1"/>
    <xf numFmtId="44" fontId="6" fillId="0" borderId="15" xfId="0" applyNumberFormat="1" applyFont="1" applyBorder="1"/>
    <xf numFmtId="37" fontId="6" fillId="0" borderId="15" xfId="0" applyNumberFormat="1" applyFont="1" applyBorder="1"/>
    <xf numFmtId="173" fontId="2" fillId="0" borderId="0" xfId="0" applyNumberFormat="1" applyFont="1"/>
    <xf numFmtId="0" fontId="5" fillId="0" borderId="0" xfId="0" applyFont="1"/>
    <xf numFmtId="175" fontId="5" fillId="0" borderId="0" xfId="0" applyNumberFormat="1" applyFont="1"/>
    <xf numFmtId="174" fontId="2" fillId="0" borderId="0" xfId="0" applyNumberFormat="1" applyFont="1"/>
    <xf numFmtId="174" fontId="3" fillId="0" borderId="6" xfId="0" applyNumberFormat="1" applyFont="1" applyBorder="1"/>
    <xf numFmtId="7" fontId="3" fillId="0" borderId="6" xfId="0" applyNumberFormat="1" applyFont="1" applyBorder="1"/>
    <xf numFmtId="174" fontId="6" fillId="0" borderId="15" xfId="0" applyNumberFormat="1" applyFont="1" applyBorder="1"/>
    <xf numFmtId="164" fontId="16" fillId="0" borderId="0" xfId="0" applyNumberFormat="1" applyFont="1"/>
    <xf numFmtId="164" fontId="5" fillId="0" borderId="0" xfId="0" applyNumberFormat="1" applyFont="1"/>
    <xf numFmtId="0" fontId="4" fillId="0" borderId="6" xfId="0" applyFont="1" applyBorder="1"/>
    <xf numFmtId="164" fontId="4" fillId="0" borderId="6" xfId="0" applyNumberFormat="1" applyFont="1" applyBorder="1"/>
    <xf numFmtId="44" fontId="16" fillId="0" borderId="0" xfId="2" applyFont="1" applyFill="1"/>
    <xf numFmtId="0" fontId="16" fillId="0" borderId="17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" fillId="0" borderId="3" xfId="0" applyFont="1" applyBorder="1"/>
    <xf numFmtId="0" fontId="16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37" fontId="20" fillId="0" borderId="6" xfId="0" applyNumberFormat="1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0" xfId="0" applyFont="1" applyAlignment="1">
      <alignment horizontal="center" vertical="top"/>
    </xf>
    <xf numFmtId="0" fontId="20" fillId="0" borderId="0" xfId="0" applyFont="1" applyAlignment="1">
      <alignment horizontal="center"/>
    </xf>
    <xf numFmtId="181" fontId="16" fillId="0" borderId="0" xfId="0" applyNumberFormat="1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7" xfId="0" applyFont="1" applyBorder="1" applyAlignment="1">
      <alignment horizontal="center" vertical="top"/>
    </xf>
    <xf numFmtId="0" fontId="20" fillId="0" borderId="7" xfId="0" applyFont="1" applyBorder="1" applyAlignment="1">
      <alignment horizontal="center"/>
    </xf>
    <xf numFmtId="181" fontId="16" fillId="0" borderId="7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7" fillId="0" borderId="10" xfId="0" applyFont="1" applyBorder="1"/>
    <xf numFmtId="0" fontId="2" fillId="0" borderId="6" xfId="0" applyFont="1" applyBorder="1"/>
    <xf numFmtId="0" fontId="16" fillId="0" borderId="9" xfId="0" applyFont="1" applyBorder="1" applyAlignment="1">
      <alignment horizontal="center"/>
    </xf>
    <xf numFmtId="0" fontId="16" fillId="0" borderId="3" xfId="0" applyFont="1" applyBorder="1"/>
    <xf numFmtId="0" fontId="20" fillId="0" borderId="4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" fillId="0" borderId="13" xfId="0" applyFont="1" applyBorder="1"/>
    <xf numFmtId="0" fontId="2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6" fillId="0" borderId="10" xfId="0" applyFont="1" applyBorder="1"/>
    <xf numFmtId="0" fontId="10" fillId="0" borderId="9" xfId="0" applyFont="1" applyBorder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37" fontId="10" fillId="0" borderId="4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6" fillId="0" borderId="13" xfId="0" applyFont="1" applyBorder="1"/>
    <xf numFmtId="0" fontId="2" fillId="0" borderId="7" xfId="0" applyFont="1" applyBorder="1"/>
    <xf numFmtId="0" fontId="20" fillId="0" borderId="12" xfId="0" applyFont="1" applyBorder="1" applyAlignment="1">
      <alignment horizontal="center"/>
    </xf>
    <xf numFmtId="37" fontId="20" fillId="0" borderId="4" xfId="0" applyNumberFormat="1" applyFont="1" applyBorder="1" applyAlignment="1">
      <alignment horizontal="center"/>
    </xf>
    <xf numFmtId="164" fontId="16" fillId="0" borderId="4" xfId="0" applyNumberFormat="1" applyFont="1" applyBorder="1" applyAlignment="1">
      <alignment horizontal="center"/>
    </xf>
    <xf numFmtId="37" fontId="11" fillId="0" borderId="9" xfId="0" applyNumberFormat="1" applyFont="1" applyBorder="1" applyAlignment="1">
      <alignment horizontal="center"/>
    </xf>
    <xf numFmtId="179" fontId="19" fillId="0" borderId="9" xfId="1" applyNumberFormat="1" applyFont="1" applyFill="1" applyBorder="1" applyAlignment="1">
      <alignment horizontal="center"/>
    </xf>
    <xf numFmtId="37" fontId="16" fillId="0" borderId="4" xfId="0" applyNumberFormat="1" applyFont="1" applyBorder="1" applyAlignment="1">
      <alignment horizontal="center"/>
    </xf>
    <xf numFmtId="37" fontId="19" fillId="0" borderId="9" xfId="0" applyNumberFormat="1" applyFont="1" applyBorder="1" applyAlignment="1">
      <alignment horizontal="center"/>
    </xf>
    <xf numFmtId="179" fontId="18" fillId="0" borderId="9" xfId="1" applyNumberFormat="1" applyFont="1" applyFill="1" applyBorder="1" applyAlignment="1">
      <alignment horizontal="center"/>
    </xf>
    <xf numFmtId="179" fontId="6" fillId="0" borderId="15" xfId="1" applyNumberFormat="1" applyFont="1" applyFill="1" applyBorder="1" applyAlignment="1">
      <alignment horizontal="center"/>
    </xf>
    <xf numFmtId="0" fontId="16" fillId="0" borderId="10" xfId="0" applyFont="1" applyBorder="1" applyAlignment="1">
      <alignment horizontal="left"/>
    </xf>
    <xf numFmtId="169" fontId="20" fillId="0" borderId="4" xfId="0" applyNumberFormat="1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179" fontId="20" fillId="0" borderId="4" xfId="1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37" fontId="8" fillId="0" borderId="6" xfId="2" applyNumberFormat="1" applyFont="1" applyFill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6" fillId="0" borderId="11" xfId="0" applyFont="1" applyBorder="1" applyAlignment="1">
      <alignment horizontal="right"/>
    </xf>
    <xf numFmtId="165" fontId="20" fillId="0" borderId="6" xfId="0" applyNumberFormat="1" applyFont="1" applyBorder="1" applyAlignment="1">
      <alignment horizontal="center"/>
    </xf>
    <xf numFmtId="37" fontId="16" fillId="0" borderId="6" xfId="0" applyNumberFormat="1" applyFont="1" applyBorder="1" applyAlignment="1">
      <alignment horizontal="center"/>
    </xf>
    <xf numFmtId="0" fontId="16" fillId="0" borderId="5" xfId="0" applyFont="1" applyBorder="1" applyAlignment="1">
      <alignment horizontal="right"/>
    </xf>
    <xf numFmtId="165" fontId="20" fillId="0" borderId="0" xfId="0" applyNumberFormat="1" applyFont="1" applyAlignment="1">
      <alignment horizontal="center"/>
    </xf>
    <xf numFmtId="37" fontId="20" fillId="0" borderId="0" xfId="0" applyNumberFormat="1" applyFont="1" applyAlignment="1">
      <alignment horizontal="center"/>
    </xf>
    <xf numFmtId="37" fontId="16" fillId="0" borderId="0" xfId="0" applyNumberFormat="1" applyFont="1" applyAlignment="1">
      <alignment horizontal="center"/>
    </xf>
    <xf numFmtId="177" fontId="16" fillId="0" borderId="4" xfId="0" applyNumberFormat="1" applyFont="1" applyBorder="1" applyAlignment="1">
      <alignment horizontal="center"/>
    </xf>
    <xf numFmtId="0" fontId="16" fillId="0" borderId="2" xfId="0" applyFont="1" applyBorder="1" applyAlignment="1">
      <alignment horizontal="right"/>
    </xf>
    <xf numFmtId="0" fontId="16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37" fontId="19" fillId="0" borderId="15" xfId="0" applyNumberFormat="1" applyFont="1" applyBorder="1" applyAlignment="1">
      <alignment horizontal="center"/>
    </xf>
    <xf numFmtId="37" fontId="2" fillId="0" borderId="0" xfId="0" applyNumberFormat="1" applyFont="1" applyAlignment="1">
      <alignment horizontal="center"/>
    </xf>
    <xf numFmtId="170" fontId="20" fillId="0" borderId="4" xfId="1" applyNumberFormat="1" applyFont="1" applyFill="1" applyBorder="1" applyAlignment="1">
      <alignment horizontal="center"/>
    </xf>
    <xf numFmtId="167" fontId="20" fillId="0" borderId="12" xfId="0" applyNumberFormat="1" applyFont="1" applyBorder="1" applyAlignment="1">
      <alignment horizontal="center"/>
    </xf>
    <xf numFmtId="37" fontId="6" fillId="0" borderId="17" xfId="0" applyNumberFormat="1" applyFont="1" applyBorder="1" applyAlignment="1">
      <alignment horizontal="center"/>
    </xf>
    <xf numFmtId="37" fontId="6" fillId="0" borderId="15" xfId="0" applyNumberFormat="1" applyFont="1" applyBorder="1" applyAlignment="1">
      <alignment horizontal="center"/>
    </xf>
    <xf numFmtId="37" fontId="6" fillId="0" borderId="16" xfId="0" applyNumberFormat="1" applyFont="1" applyBorder="1" applyAlignment="1">
      <alignment horizontal="center"/>
    </xf>
    <xf numFmtId="0" fontId="16" fillId="0" borderId="14" xfId="0" applyFont="1" applyBorder="1"/>
    <xf numFmtId="0" fontId="21" fillId="0" borderId="9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5" xfId="0" applyFont="1" applyBorder="1"/>
    <xf numFmtId="37" fontId="11" fillId="0" borderId="10" xfId="0" applyNumberFormat="1" applyFont="1" applyBorder="1" applyAlignment="1">
      <alignment horizontal="center"/>
    </xf>
    <xf numFmtId="0" fontId="19" fillId="0" borderId="11" xfId="0" applyFont="1" applyBorder="1"/>
    <xf numFmtId="37" fontId="11" fillId="0" borderId="6" xfId="0" applyNumberFormat="1" applyFont="1" applyBorder="1" applyAlignment="1">
      <alignment horizontal="center"/>
    </xf>
    <xf numFmtId="37" fontId="18" fillId="0" borderId="9" xfId="0" applyNumberFormat="1" applyFont="1" applyBorder="1" applyAlignment="1">
      <alignment horizontal="center"/>
    </xf>
    <xf numFmtId="0" fontId="16" fillId="0" borderId="2" xfId="0" applyFont="1" applyBorder="1"/>
    <xf numFmtId="179" fontId="3" fillId="0" borderId="6" xfId="1" applyNumberFormat="1" applyFont="1" applyFill="1" applyBorder="1"/>
    <xf numFmtId="179" fontId="22" fillId="0" borderId="6" xfId="1" applyNumberFormat="1" applyFont="1" applyFill="1" applyBorder="1"/>
    <xf numFmtId="37" fontId="19" fillId="0" borderId="6" xfId="0" applyNumberFormat="1" applyFont="1" applyBorder="1" applyAlignment="1">
      <alignment horizontal="center"/>
    </xf>
    <xf numFmtId="0" fontId="16" fillId="0" borderId="17" xfId="0" applyFont="1" applyBorder="1"/>
    <xf numFmtId="0" fontId="2" fillId="0" borderId="16" xfId="0" applyFont="1" applyBorder="1"/>
    <xf numFmtId="0" fontId="10" fillId="0" borderId="17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3" xfId="0" applyFont="1" applyBorder="1"/>
    <xf numFmtId="0" fontId="10" fillId="0" borderId="1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37" fontId="10" fillId="0" borderId="6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37" fontId="10" fillId="0" borderId="0" xfId="0" applyNumberFormat="1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7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77" fontId="11" fillId="0" borderId="15" xfId="0" applyNumberFormat="1" applyFont="1" applyBorder="1" applyAlignment="1">
      <alignment horizontal="center"/>
    </xf>
    <xf numFmtId="37" fontId="11" fillId="0" borderId="15" xfId="0" applyNumberFormat="1" applyFont="1" applyBorder="1" applyAlignment="1">
      <alignment horizontal="center"/>
    </xf>
    <xf numFmtId="0" fontId="2" fillId="0" borderId="4" xfId="0" applyFont="1" applyBorder="1"/>
    <xf numFmtId="37" fontId="6" fillId="0" borderId="12" xfId="0" applyNumberFormat="1" applyFont="1" applyBorder="1"/>
    <xf numFmtId="0" fontId="11" fillId="0" borderId="10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179" fontId="16" fillId="0" borderId="9" xfId="1" applyNumberFormat="1" applyFont="1" applyFill="1" applyBorder="1" applyAlignment="1">
      <alignment horizontal="center"/>
    </xf>
    <xf numFmtId="179" fontId="16" fillId="0" borderId="4" xfId="1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right"/>
    </xf>
    <xf numFmtId="179" fontId="19" fillId="0" borderId="16" xfId="1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7" fontId="2" fillId="0" borderId="7" xfId="0" applyNumberFormat="1" applyFont="1" applyBorder="1" applyAlignment="1">
      <alignment horizontal="center"/>
    </xf>
    <xf numFmtId="37" fontId="2" fillId="0" borderId="12" xfId="0" applyNumberFormat="1" applyFont="1" applyBorder="1" applyAlignment="1">
      <alignment horizontal="center"/>
    </xf>
    <xf numFmtId="0" fontId="19" fillId="0" borderId="11" xfId="0" applyFont="1" applyBorder="1" applyAlignment="1">
      <alignment horizontal="right"/>
    </xf>
    <xf numFmtId="0" fontId="3" fillId="0" borderId="10" xfId="0" applyFont="1" applyBorder="1"/>
    <xf numFmtId="37" fontId="3" fillId="0" borderId="9" xfId="0" applyNumberFormat="1" applyFont="1" applyBorder="1"/>
    <xf numFmtId="0" fontId="19" fillId="0" borderId="10" xfId="0" applyFont="1" applyBorder="1" applyAlignment="1">
      <alignment horizontal="center"/>
    </xf>
    <xf numFmtId="179" fontId="20" fillId="0" borderId="12" xfId="1" applyNumberFormat="1" applyFont="1" applyFill="1" applyBorder="1" applyAlignment="1">
      <alignment horizontal="center"/>
    </xf>
    <xf numFmtId="179" fontId="7" fillId="0" borderId="12" xfId="1" applyNumberFormat="1" applyFont="1" applyFill="1" applyBorder="1" applyAlignment="1">
      <alignment horizontal="center"/>
    </xf>
    <xf numFmtId="0" fontId="8" fillId="0" borderId="0" xfId="0" applyFont="1"/>
    <xf numFmtId="0" fontId="19" fillId="0" borderId="10" xfId="0" applyFont="1" applyBorder="1"/>
    <xf numFmtId="0" fontId="6" fillId="0" borderId="7" xfId="0" applyFont="1" applyBorder="1" applyAlignment="1">
      <alignment horizontal="center"/>
    </xf>
    <xf numFmtId="0" fontId="3" fillId="0" borderId="15" xfId="0" applyFont="1" applyBorder="1"/>
    <xf numFmtId="0" fontId="19" fillId="0" borderId="17" xfId="0" applyFont="1" applyBorder="1"/>
    <xf numFmtId="0" fontId="2" fillId="0" borderId="10" xfId="0" applyFont="1" applyBorder="1"/>
    <xf numFmtId="37" fontId="6" fillId="0" borderId="7" xfId="0" applyNumberFormat="1" applyFont="1" applyBorder="1"/>
    <xf numFmtId="37" fontId="2" fillId="0" borderId="0" xfId="0" applyNumberFormat="1" applyFont="1"/>
    <xf numFmtId="0" fontId="16" fillId="0" borderId="1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37" fontId="2" fillId="0" borderId="6" xfId="0" applyNumberFormat="1" applyFont="1" applyBorder="1" applyAlignment="1">
      <alignment horizontal="center"/>
    </xf>
    <xf numFmtId="0" fontId="23" fillId="0" borderId="3" xfId="0" applyFont="1" applyBorder="1" applyAlignment="1">
      <alignment horizontal="right"/>
    </xf>
    <xf numFmtId="0" fontId="23" fillId="0" borderId="13" xfId="0" applyFont="1" applyBorder="1" applyAlignment="1">
      <alignment horizontal="center"/>
    </xf>
    <xf numFmtId="37" fontId="2" fillId="0" borderId="0" xfId="0" applyNumberFormat="1" applyFont="1" applyAlignment="1">
      <alignment horizontal="right"/>
    </xf>
    <xf numFmtId="179" fontId="2" fillId="0" borderId="0" xfId="1" applyNumberFormat="1" applyFont="1" applyFill="1"/>
    <xf numFmtId="178" fontId="2" fillId="0" borderId="0" xfId="0" applyNumberFormat="1" applyFont="1" applyAlignment="1">
      <alignment horizontal="right"/>
    </xf>
    <xf numFmtId="0" fontId="25" fillId="0" borderId="11" xfId="0" applyFont="1" applyBorder="1" applyAlignment="1">
      <alignment horizontal="right"/>
    </xf>
    <xf numFmtId="174" fontId="26" fillId="0" borderId="9" xfId="1" applyNumberFormat="1" applyFont="1" applyFill="1" applyBorder="1"/>
    <xf numFmtId="174" fontId="12" fillId="0" borderId="9" xfId="1" applyNumberFormat="1" applyFont="1" applyFill="1" applyBorder="1"/>
    <xf numFmtId="0" fontId="20" fillId="0" borderId="0" xfId="0" applyFont="1"/>
    <xf numFmtId="0" fontId="23" fillId="0" borderId="5" xfId="0" applyFont="1" applyBorder="1" applyAlignment="1">
      <alignment horizontal="right"/>
    </xf>
    <xf numFmtId="174" fontId="26" fillId="0" borderId="4" xfId="1" applyNumberFormat="1" applyFont="1" applyFill="1" applyBorder="1"/>
    <xf numFmtId="174" fontId="12" fillId="0" borderId="4" xfId="1" applyNumberFormat="1" applyFont="1" applyFill="1" applyBorder="1"/>
    <xf numFmtId="174" fontId="12" fillId="0" borderId="0" xfId="1" applyNumberFormat="1" applyFont="1" applyFill="1" applyBorder="1"/>
    <xf numFmtId="166" fontId="20" fillId="0" borderId="3" xfId="0" applyNumberFormat="1" applyFont="1" applyBorder="1" applyAlignment="1">
      <alignment horizontal="center"/>
    </xf>
    <xf numFmtId="177" fontId="16" fillId="0" borderId="0" xfId="0" applyNumberFormat="1" applyFont="1" applyAlignment="1">
      <alignment horizontal="center"/>
    </xf>
    <xf numFmtId="174" fontId="22" fillId="0" borderId="11" xfId="1" applyNumberFormat="1" applyFont="1" applyFill="1" applyBorder="1"/>
    <xf numFmtId="174" fontId="13" fillId="0" borderId="9" xfId="1" applyNumberFormat="1" applyFont="1" applyFill="1" applyBorder="1"/>
    <xf numFmtId="172" fontId="11" fillId="0" borderId="15" xfId="0" applyNumberFormat="1" applyFont="1" applyBorder="1" applyAlignment="1">
      <alignment horizontal="center"/>
    </xf>
    <xf numFmtId="168" fontId="19" fillId="0" borderId="15" xfId="0" applyNumberFormat="1" applyFont="1" applyBorder="1" applyAlignment="1">
      <alignment horizontal="center"/>
    </xf>
    <xf numFmtId="168" fontId="19" fillId="0" borderId="16" xfId="0" applyNumberFormat="1" applyFont="1" applyBorder="1" applyAlignment="1">
      <alignment horizontal="center"/>
    </xf>
    <xf numFmtId="38" fontId="2" fillId="0" borderId="6" xfId="0" applyNumberFormat="1" applyFont="1" applyBorder="1" applyAlignment="1">
      <alignment horizontal="center"/>
    </xf>
    <xf numFmtId="38" fontId="2" fillId="0" borderId="0" xfId="0" applyNumberFormat="1" applyFont="1" applyAlignment="1">
      <alignment horizontal="center"/>
    </xf>
    <xf numFmtId="178" fontId="9" fillId="0" borderId="6" xfId="1" applyNumberFormat="1" applyFont="1" applyFill="1" applyBorder="1"/>
    <xf numFmtId="38" fontId="3" fillId="0" borderId="15" xfId="0" applyNumberFormat="1" applyFont="1" applyBorder="1" applyAlignment="1">
      <alignment horizontal="center"/>
    </xf>
    <xf numFmtId="38" fontId="2" fillId="0" borderId="7" xfId="0" applyNumberFormat="1" applyFont="1" applyBorder="1" applyAlignment="1">
      <alignment horizontal="center"/>
    </xf>
    <xf numFmtId="171" fontId="8" fillId="0" borderId="0" xfId="0" applyNumberFormat="1" applyFont="1" applyAlignment="1">
      <alignment horizontal="center"/>
    </xf>
    <xf numFmtId="0" fontId="23" fillId="0" borderId="11" xfId="0" applyFont="1" applyBorder="1" applyAlignment="1">
      <alignment horizontal="right"/>
    </xf>
    <xf numFmtId="38" fontId="3" fillId="0" borderId="6" xfId="0" applyNumberFormat="1" applyFont="1" applyBorder="1" applyAlignment="1">
      <alignment horizontal="center"/>
    </xf>
    <xf numFmtId="38" fontId="15" fillId="0" borderId="6" xfId="1" applyNumberFormat="1" applyFont="1" applyFill="1" applyBorder="1" applyAlignment="1">
      <alignment horizontal="center"/>
    </xf>
    <xf numFmtId="38" fontId="3" fillId="0" borderId="6" xfId="0" applyNumberFormat="1" applyFont="1" applyBorder="1"/>
    <xf numFmtId="178" fontId="27" fillId="0" borderId="11" xfId="0" applyNumberFormat="1" applyFont="1" applyBorder="1" applyAlignment="1">
      <alignment horizontal="right"/>
    </xf>
    <xf numFmtId="178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71" fontId="20" fillId="0" borderId="0" xfId="0" applyNumberFormat="1" applyFont="1"/>
    <xf numFmtId="171" fontId="16" fillId="0" borderId="0" xfId="0" applyNumberFormat="1" applyFont="1"/>
    <xf numFmtId="37" fontId="11" fillId="0" borderId="6" xfId="0" applyNumberFormat="1" applyFont="1" applyBorder="1"/>
    <xf numFmtId="37" fontId="11" fillId="0" borderId="9" xfId="0" applyNumberFormat="1" applyFont="1" applyBorder="1"/>
    <xf numFmtId="37" fontId="10" fillId="0" borderId="6" xfId="0" applyNumberFormat="1" applyFont="1" applyBorder="1"/>
    <xf numFmtId="180" fontId="10" fillId="0" borderId="9" xfId="0" applyNumberFormat="1" applyFont="1" applyBorder="1"/>
    <xf numFmtId="37" fontId="10" fillId="0" borderId="0" xfId="0" applyNumberFormat="1" applyFont="1"/>
    <xf numFmtId="180" fontId="10" fillId="0" borderId="4" xfId="0" applyNumberFormat="1" applyFont="1" applyBorder="1"/>
    <xf numFmtId="180" fontId="11" fillId="0" borderId="9" xfId="0" applyNumberFormat="1" applyFont="1" applyBorder="1"/>
    <xf numFmtId="37" fontId="11" fillId="0" borderId="15" xfId="0" applyNumberFormat="1" applyFont="1" applyBorder="1"/>
    <xf numFmtId="180" fontId="11" fillId="0" borderId="16" xfId="0" applyNumberFormat="1" applyFont="1" applyBorder="1"/>
    <xf numFmtId="37" fontId="10" fillId="0" borderId="4" xfId="0" applyNumberFormat="1" applyFont="1" applyBorder="1"/>
    <xf numFmtId="37" fontId="19" fillId="0" borderId="16" xfId="0" applyNumberFormat="1" applyFont="1" applyBorder="1"/>
    <xf numFmtId="37" fontId="19" fillId="0" borderId="9" xfId="0" applyNumberFormat="1" applyFont="1" applyBorder="1"/>
    <xf numFmtId="0" fontId="6" fillId="0" borderId="12" xfId="0" applyFont="1" applyBorder="1"/>
    <xf numFmtId="37" fontId="11" fillId="0" borderId="16" xfId="0" applyNumberFormat="1" applyFont="1" applyBorder="1"/>
    <xf numFmtId="37" fontId="3" fillId="0" borderId="16" xfId="0" applyNumberFormat="1" applyFont="1" applyBorder="1"/>
    <xf numFmtId="0" fontId="2" fillId="0" borderId="9" xfId="0" applyFont="1" applyBorder="1"/>
    <xf numFmtId="37" fontId="16" fillId="0" borderId="6" xfId="0" applyNumberFormat="1" applyFont="1" applyBorder="1"/>
    <xf numFmtId="177" fontId="16" fillId="0" borderId="9" xfId="0" applyNumberFormat="1" applyFont="1" applyBorder="1"/>
    <xf numFmtId="37" fontId="16" fillId="0" borderId="0" xfId="0" applyNumberFormat="1" applyFont="1"/>
    <xf numFmtId="177" fontId="16" fillId="0" borderId="4" xfId="0" applyNumberFormat="1" applyFont="1" applyBorder="1"/>
    <xf numFmtId="37" fontId="19" fillId="0" borderId="15" xfId="0" applyNumberFormat="1" applyFont="1" applyBorder="1"/>
    <xf numFmtId="177" fontId="19" fillId="0" borderId="16" xfId="0" applyNumberFormat="1" applyFont="1" applyBorder="1"/>
    <xf numFmtId="37" fontId="16" fillId="0" borderId="4" xfId="0" applyNumberFormat="1" applyFont="1" applyBorder="1"/>
    <xf numFmtId="37" fontId="28" fillId="0" borderId="15" xfId="0" applyNumberFormat="1" applyFont="1" applyBorder="1"/>
    <xf numFmtId="37" fontId="28" fillId="0" borderId="16" xfId="0" applyNumberFormat="1" applyFont="1" applyBorder="1"/>
    <xf numFmtId="179" fontId="11" fillId="0" borderId="9" xfId="1" applyNumberFormat="1" applyFont="1" applyFill="1" applyBorder="1" applyAlignment="1"/>
    <xf numFmtId="37" fontId="11" fillId="0" borderId="10" xfId="0" applyNumberFormat="1" applyFont="1" applyBorder="1"/>
    <xf numFmtId="37" fontId="11" fillId="0" borderId="17" xfId="0" applyNumberFormat="1" applyFont="1" applyBorder="1"/>
    <xf numFmtId="37" fontId="19" fillId="0" borderId="17" xfId="0" applyNumberFormat="1" applyFont="1" applyBorder="1"/>
    <xf numFmtId="179" fontId="23" fillId="0" borderId="0" xfId="1" applyNumberFormat="1" applyFont="1" applyFill="1" applyBorder="1" applyAlignment="1"/>
    <xf numFmtId="37" fontId="24" fillId="0" borderId="15" xfId="0" applyNumberFormat="1" applyFont="1" applyBorder="1"/>
    <xf numFmtId="37" fontId="24" fillId="0" borderId="16" xfId="0" applyNumberFormat="1" applyFont="1" applyBorder="1"/>
    <xf numFmtId="38" fontId="10" fillId="0" borderId="6" xfId="0" applyNumberFormat="1" applyFont="1" applyBorder="1"/>
    <xf numFmtId="38" fontId="16" fillId="0" borderId="6" xfId="0" applyNumberFormat="1" applyFont="1" applyBorder="1"/>
    <xf numFmtId="38" fontId="16" fillId="0" borderId="0" xfId="0" applyNumberFormat="1" applyFont="1"/>
    <xf numFmtId="38" fontId="16" fillId="0" borderId="4" xfId="0" applyNumberFormat="1" applyFont="1" applyBorder="1"/>
    <xf numFmtId="38" fontId="19" fillId="0" borderId="15" xfId="0" applyNumberFormat="1" applyFont="1" applyBorder="1"/>
    <xf numFmtId="38" fontId="19" fillId="0" borderId="6" xfId="0" applyNumberFormat="1" applyFont="1" applyBorder="1"/>
    <xf numFmtId="38" fontId="19" fillId="0" borderId="9" xfId="0" applyNumberFormat="1" applyFont="1" applyBorder="1"/>
    <xf numFmtId="38" fontId="10" fillId="0" borderId="7" xfId="0" applyNumberFormat="1" applyFont="1" applyBorder="1"/>
    <xf numFmtId="38" fontId="16" fillId="0" borderId="7" xfId="0" applyNumberFormat="1" applyFont="1" applyBorder="1"/>
    <xf numFmtId="38" fontId="16" fillId="0" borderId="9" xfId="0" applyNumberFormat="1" applyFont="1" applyBorder="1"/>
    <xf numFmtId="38" fontId="16" fillId="0" borderId="15" xfId="0" applyNumberFormat="1" applyFont="1" applyBorder="1"/>
    <xf numFmtId="38" fontId="16" fillId="0" borderId="16" xfId="0" applyNumberFormat="1" applyFont="1" applyBorder="1"/>
    <xf numFmtId="38" fontId="20" fillId="0" borderId="0" xfId="0" applyNumberFormat="1" applyFont="1"/>
    <xf numFmtId="38" fontId="20" fillId="0" borderId="4" xfId="0" applyNumberFormat="1" applyFont="1" applyBorder="1"/>
    <xf numFmtId="38" fontId="10" fillId="0" borderId="0" xfId="0" applyNumberFormat="1" applyFont="1"/>
    <xf numFmtId="174" fontId="23" fillId="0" borderId="6" xfId="1" applyNumberFormat="1" applyFont="1" applyFill="1" applyBorder="1" applyAlignment="1"/>
    <xf numFmtId="174" fontId="23" fillId="0" borderId="9" xfId="1" applyNumberFormat="1" applyFont="1" applyFill="1" applyBorder="1" applyAlignment="1"/>
    <xf numFmtId="38" fontId="19" fillId="0" borderId="16" xfId="0" applyNumberFormat="1" applyFont="1" applyBorder="1"/>
    <xf numFmtId="38" fontId="11" fillId="0" borderId="6" xfId="0" applyNumberFormat="1" applyFont="1" applyBorder="1"/>
    <xf numFmtId="38" fontId="11" fillId="0" borderId="9" xfId="0" applyNumberFormat="1" applyFont="1" applyBorder="1"/>
    <xf numFmtId="38" fontId="24" fillId="0" borderId="6" xfId="1" applyNumberFormat="1" applyFont="1" applyFill="1" applyBorder="1" applyAlignment="1"/>
    <xf numFmtId="38" fontId="18" fillId="0" borderId="6" xfId="0" applyNumberFormat="1" applyFont="1" applyBorder="1"/>
    <xf numFmtId="0" fontId="11" fillId="0" borderId="6" xfId="0" applyFont="1" applyBorder="1"/>
    <xf numFmtId="0" fontId="11" fillId="0" borderId="9" xfId="0" applyFont="1" applyBorder="1"/>
    <xf numFmtId="38" fontId="11" fillId="0" borderId="15" xfId="0" applyNumberFormat="1" applyFont="1" applyBorder="1"/>
    <xf numFmtId="38" fontId="11" fillId="0" borderId="16" xfId="0" applyNumberFormat="1" applyFont="1" applyBorder="1"/>
    <xf numFmtId="0" fontId="29" fillId="0" borderId="8" xfId="0" applyFont="1" applyBorder="1" applyAlignment="1">
      <alignment horizontal="left"/>
    </xf>
    <xf numFmtId="0" fontId="29" fillId="0" borderId="15" xfId="0" applyFont="1" applyBorder="1"/>
    <xf numFmtId="7" fontId="29" fillId="0" borderId="15" xfId="0" applyNumberFormat="1" applyFont="1" applyBorder="1"/>
    <xf numFmtId="37" fontId="29" fillId="0" borderId="15" xfId="0" applyNumberFormat="1" applyFont="1" applyBorder="1"/>
    <xf numFmtId="0" fontId="29" fillId="0" borderId="15" xfId="0" applyFont="1" applyBorder="1" applyAlignment="1">
      <alignment horizontal="center"/>
    </xf>
    <xf numFmtId="177" fontId="29" fillId="0" borderId="15" xfId="0" applyNumberFormat="1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37" fontId="29" fillId="0" borderId="17" xfId="0" applyNumberFormat="1" applyFont="1" applyBorder="1" applyAlignment="1">
      <alignment horizontal="center"/>
    </xf>
    <xf numFmtId="0" fontId="29" fillId="0" borderId="17" xfId="0" applyFont="1" applyBorder="1"/>
    <xf numFmtId="37" fontId="29" fillId="0" borderId="16" xfId="0" applyNumberFormat="1" applyFont="1" applyBorder="1"/>
    <xf numFmtId="0" fontId="29" fillId="0" borderId="13" xfId="0" applyFont="1" applyBorder="1"/>
    <xf numFmtId="0" fontId="29" fillId="0" borderId="14" xfId="0" applyFont="1" applyBorder="1" applyAlignment="1">
      <alignment horizontal="right"/>
    </xf>
    <xf numFmtId="0" fontId="29" fillId="0" borderId="13" xfId="0" applyFont="1" applyBorder="1" applyAlignment="1">
      <alignment horizontal="center"/>
    </xf>
    <xf numFmtId="37" fontId="29" fillId="0" borderId="7" xfId="0" applyNumberFormat="1" applyFont="1" applyBorder="1"/>
    <xf numFmtId="37" fontId="29" fillId="0" borderId="12" xfId="0" applyNumberFormat="1" applyFont="1" applyBorder="1"/>
    <xf numFmtId="0" fontId="30" fillId="0" borderId="11" xfId="0" applyFont="1" applyBorder="1" applyAlignment="1">
      <alignment horizontal="right"/>
    </xf>
    <xf numFmtId="0" fontId="31" fillId="0" borderId="2" xfId="0" applyFont="1" applyBorder="1" applyAlignment="1">
      <alignment horizontal="right"/>
    </xf>
    <xf numFmtId="0" fontId="31" fillId="0" borderId="11" xfId="0" applyFont="1" applyBorder="1" applyAlignment="1">
      <alignment horizontal="right"/>
    </xf>
    <xf numFmtId="0" fontId="31" fillId="0" borderId="5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1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7" fillId="0" borderId="0" xfId="0" applyFont="1"/>
    <xf numFmtId="0" fontId="6" fillId="0" borderId="7" xfId="0" applyFont="1" applyBorder="1"/>
    <xf numFmtId="0" fontId="16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6" fillId="0" borderId="8" xfId="0" applyFont="1" applyBorder="1" applyAlignment="1">
      <alignment horizontal="left"/>
    </xf>
    <xf numFmtId="0" fontId="17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9" fillId="0" borderId="17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C275-B161-4E87-8727-0D4C198BF111}">
  <dimension ref="B2:P396"/>
  <sheetViews>
    <sheetView tabSelected="1" workbookViewId="0"/>
  </sheetViews>
  <sheetFormatPr defaultRowHeight="14.4" x14ac:dyDescent="0.3"/>
  <cols>
    <col min="2" max="2" width="58.33203125" customWidth="1"/>
    <col min="3" max="3" width="24" customWidth="1"/>
    <col min="4" max="4" width="16" customWidth="1"/>
    <col min="5" max="5" width="11.88671875" customWidth="1"/>
    <col min="6" max="6" width="16" customWidth="1"/>
    <col min="7" max="9" width="16.5546875" customWidth="1"/>
    <col min="10" max="10" width="14" customWidth="1"/>
  </cols>
  <sheetData>
    <row r="2" spans="2:16" ht="18" x14ac:dyDescent="0.35">
      <c r="B2" s="290" t="s">
        <v>0</v>
      </c>
      <c r="C2" s="291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</row>
    <row r="3" spans="2:16" x14ac:dyDescent="0.3">
      <c r="B3" s="288" t="s">
        <v>524</v>
      </c>
      <c r="C3" s="28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x14ac:dyDescent="0.3">
      <c r="B4" s="289"/>
      <c r="C4" s="28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x14ac:dyDescent="0.3">
      <c r="B5" s="288" t="s">
        <v>535</v>
      </c>
      <c r="C5" s="28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2:16" x14ac:dyDescent="0.3">
      <c r="B6" s="288" t="s">
        <v>525</v>
      </c>
      <c r="C6" s="28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x14ac:dyDescent="0.3">
      <c r="B7" s="288" t="s">
        <v>526</v>
      </c>
      <c r="C7" s="28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2:16" x14ac:dyDescent="0.3">
      <c r="B8" s="288" t="s">
        <v>527</v>
      </c>
      <c r="C8" s="28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2:16" x14ac:dyDescent="0.3">
      <c r="B9" s="288" t="s">
        <v>528</v>
      </c>
      <c r="C9" s="28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2:16" x14ac:dyDescent="0.3">
      <c r="B10" s="288" t="s">
        <v>529</v>
      </c>
      <c r="C10" s="28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2:16" x14ac:dyDescent="0.3">
      <c r="B11" s="288" t="s">
        <v>530</v>
      </c>
      <c r="C11" s="28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x14ac:dyDescent="0.3">
      <c r="B12" s="289"/>
      <c r="C12" s="28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x14ac:dyDescent="0.3">
      <c r="B13" s="4" t="s">
        <v>1</v>
      </c>
      <c r="C13" s="268" t="s">
        <v>2</v>
      </c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</row>
    <row r="14" spans="2:16" x14ac:dyDescent="0.3">
      <c r="B14" s="5" t="s">
        <v>3</v>
      </c>
      <c r="C14" s="6"/>
      <c r="D14" s="7"/>
      <c r="E14" s="7"/>
      <c r="F14" s="7"/>
      <c r="G14" s="7"/>
      <c r="H14" s="3"/>
      <c r="I14" s="3"/>
      <c r="J14" s="3"/>
      <c r="K14" s="3"/>
      <c r="L14" s="3"/>
      <c r="M14" s="3"/>
      <c r="N14" s="3"/>
      <c r="O14" s="3"/>
      <c r="P14" s="3"/>
    </row>
    <row r="15" spans="2:16" x14ac:dyDescent="0.3">
      <c r="B15" s="5" t="s">
        <v>4</v>
      </c>
      <c r="C15" s="6"/>
      <c r="D15" s="7"/>
      <c r="E15" s="7"/>
      <c r="F15" s="269" t="s">
        <v>140</v>
      </c>
      <c r="G15" s="270">
        <v>67015280</v>
      </c>
      <c r="H15" s="3"/>
      <c r="I15" s="3"/>
      <c r="J15" s="3"/>
      <c r="K15" s="3"/>
      <c r="L15" s="3"/>
      <c r="M15" s="3"/>
      <c r="N15" s="3"/>
      <c r="O15" s="3"/>
      <c r="P15" s="3"/>
    </row>
    <row r="16" spans="2:16" x14ac:dyDescent="0.3">
      <c r="B16" s="5" t="s">
        <v>5</v>
      </c>
      <c r="C16" s="9">
        <v>4899934.7300000004</v>
      </c>
      <c r="D16" s="10">
        <f>SUM(C16:C24)</f>
        <v>4323174.4399999995</v>
      </c>
      <c r="E16" s="11"/>
      <c r="F16" s="12" t="s">
        <v>139</v>
      </c>
      <c r="G16" s="13">
        <v>50938905</v>
      </c>
      <c r="H16" s="3"/>
      <c r="I16" s="3"/>
      <c r="J16" s="3"/>
      <c r="K16" s="3"/>
      <c r="L16" s="3"/>
      <c r="M16" s="3"/>
      <c r="N16" s="3"/>
      <c r="O16" s="3"/>
      <c r="P16" s="3"/>
    </row>
    <row r="17" spans="2:16" x14ac:dyDescent="0.3">
      <c r="B17" s="5" t="s">
        <v>6</v>
      </c>
      <c r="C17" s="14">
        <v>-192135.32</v>
      </c>
      <c r="D17" s="3"/>
      <c r="E17" s="3"/>
      <c r="F17" s="3"/>
      <c r="G17" s="15"/>
      <c r="H17" s="3"/>
      <c r="I17" s="15"/>
      <c r="J17" s="3"/>
      <c r="K17" s="3"/>
      <c r="L17" s="3"/>
      <c r="M17" s="3"/>
      <c r="N17" s="3"/>
      <c r="O17" s="3"/>
      <c r="P17" s="3"/>
    </row>
    <row r="18" spans="2:16" x14ac:dyDescent="0.3">
      <c r="B18" s="5" t="s">
        <v>7</v>
      </c>
      <c r="C18" s="14">
        <v>-335370.69</v>
      </c>
      <c r="D18" s="3"/>
      <c r="E18" s="3"/>
      <c r="F18" s="3"/>
      <c r="G18" s="3"/>
      <c r="H18" s="3"/>
      <c r="I18" s="15"/>
      <c r="J18" s="3"/>
      <c r="K18" s="3"/>
      <c r="L18" s="3"/>
      <c r="M18" s="3"/>
      <c r="N18" s="3"/>
      <c r="O18" s="3"/>
      <c r="P18" s="3"/>
    </row>
    <row r="19" spans="2:16" x14ac:dyDescent="0.3">
      <c r="B19" s="5" t="s">
        <v>8</v>
      </c>
      <c r="C19" s="16"/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</row>
    <row r="20" spans="2:16" x14ac:dyDescent="0.3">
      <c r="B20" s="5" t="s">
        <v>9</v>
      </c>
      <c r="C20" s="14">
        <v>-8249</v>
      </c>
      <c r="D20" s="3"/>
      <c r="E20" s="3"/>
      <c r="F20" s="5" t="s">
        <v>136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x14ac:dyDescent="0.3">
      <c r="B21" s="5" t="s">
        <v>10</v>
      </c>
      <c r="C21" s="9">
        <v>-2624.96</v>
      </c>
      <c r="D21" s="11"/>
      <c r="E21" s="11"/>
      <c r="F21" s="12" t="s">
        <v>141</v>
      </c>
      <c r="G21" s="11"/>
      <c r="H21" s="3"/>
      <c r="I21" s="3"/>
      <c r="J21" s="3"/>
      <c r="K21" s="3"/>
      <c r="L21" s="3"/>
      <c r="M21" s="3"/>
      <c r="N21" s="3"/>
      <c r="O21" s="3"/>
      <c r="P21" s="3"/>
    </row>
    <row r="22" spans="2:16" x14ac:dyDescent="0.3">
      <c r="B22" s="5" t="s">
        <v>11</v>
      </c>
      <c r="C22" s="14">
        <v>-11797.28</v>
      </c>
      <c r="D22" s="3"/>
      <c r="E22" s="3"/>
      <c r="F22" s="5" t="s">
        <v>142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2:16" x14ac:dyDescent="0.3">
      <c r="B23" s="5" t="s">
        <v>12</v>
      </c>
      <c r="C23" s="14">
        <v>-2213</v>
      </c>
      <c r="D23" s="3"/>
      <c r="E23" s="3"/>
      <c r="F23" s="5" t="s">
        <v>137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2:16" x14ac:dyDescent="0.3">
      <c r="B24" s="5" t="s">
        <v>13</v>
      </c>
      <c r="C24" s="17">
        <v>-24370.04</v>
      </c>
      <c r="D24" s="7"/>
      <c r="E24" s="7"/>
      <c r="F24" s="269" t="s">
        <v>138</v>
      </c>
      <c r="G24" s="7"/>
      <c r="H24" s="3"/>
      <c r="I24" s="3"/>
      <c r="J24" s="3"/>
      <c r="K24" s="3"/>
      <c r="L24" s="3"/>
      <c r="M24" s="3"/>
      <c r="N24" s="3"/>
      <c r="O24" s="3"/>
      <c r="P24" s="3"/>
    </row>
    <row r="25" spans="2:16" x14ac:dyDescent="0.3">
      <c r="B25" s="5" t="s">
        <v>14</v>
      </c>
      <c r="C25" s="14">
        <v>17291.77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x14ac:dyDescent="0.3">
      <c r="B26" s="5" t="s">
        <v>15</v>
      </c>
      <c r="C26" s="16"/>
      <c r="D26" s="2"/>
      <c r="E26" s="2"/>
      <c r="F26" s="2"/>
      <c r="G26" s="2"/>
      <c r="H26" s="3"/>
      <c r="I26" s="3"/>
      <c r="J26" s="3"/>
      <c r="K26" s="3"/>
      <c r="L26" s="3"/>
      <c r="M26" s="3"/>
      <c r="N26" s="3"/>
      <c r="O26" s="3"/>
      <c r="P26" s="3"/>
    </row>
    <row r="27" spans="2:16" x14ac:dyDescent="0.3">
      <c r="B27" s="5" t="s">
        <v>16</v>
      </c>
      <c r="C27" s="14">
        <v>29441</v>
      </c>
      <c r="D27" s="18"/>
      <c r="E27" s="1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x14ac:dyDescent="0.3">
      <c r="B28" s="5" t="s">
        <v>17</v>
      </c>
      <c r="C28" s="14">
        <v>2766</v>
      </c>
      <c r="D28" s="18"/>
      <c r="E28" s="1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x14ac:dyDescent="0.3">
      <c r="B29" s="5" t="s">
        <v>18</v>
      </c>
      <c r="C29" s="14">
        <v>106817.24</v>
      </c>
      <c r="D29" s="18"/>
      <c r="E29" s="1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 x14ac:dyDescent="0.3">
      <c r="B30" s="5" t="s">
        <v>19</v>
      </c>
      <c r="C30" s="14">
        <v>628</v>
      </c>
      <c r="D30" s="18"/>
      <c r="E30" s="18"/>
      <c r="F30" s="19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2:16" x14ac:dyDescent="0.3">
      <c r="B31" s="5" t="s">
        <v>20</v>
      </c>
      <c r="C31" s="14">
        <v>2454</v>
      </c>
      <c r="D31" s="18"/>
      <c r="E31" s="1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2:16" x14ac:dyDescent="0.3">
      <c r="B32" s="5" t="s">
        <v>21</v>
      </c>
      <c r="C32" s="14">
        <v>5659.59</v>
      </c>
      <c r="D32" s="18"/>
      <c r="E32" s="1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2:16" x14ac:dyDescent="0.3">
      <c r="B33" s="5" t="s">
        <v>22</v>
      </c>
      <c r="C33" s="14">
        <v>1039</v>
      </c>
      <c r="D33" s="18"/>
      <c r="E33" s="18"/>
      <c r="F33" s="19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 x14ac:dyDescent="0.3">
      <c r="B34" s="5" t="s">
        <v>23</v>
      </c>
      <c r="C34" s="14">
        <v>6302</v>
      </c>
      <c r="D34" s="18"/>
      <c r="E34" s="1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x14ac:dyDescent="0.3">
      <c r="B35" s="5" t="s">
        <v>24</v>
      </c>
      <c r="C35" s="14">
        <v>9516.0400000000009</v>
      </c>
      <c r="D35" s="18"/>
      <c r="E35" s="18"/>
      <c r="F35" s="19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6" x14ac:dyDescent="0.3">
      <c r="B36" s="5" t="s">
        <v>25</v>
      </c>
      <c r="C36" s="14">
        <v>232901.88</v>
      </c>
      <c r="D36" s="18"/>
      <c r="E36" s="1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2:16" x14ac:dyDescent="0.3">
      <c r="B37" s="5" t="s">
        <v>26</v>
      </c>
      <c r="C37" s="14">
        <v>1365</v>
      </c>
      <c r="D37" s="18"/>
      <c r="E37" s="1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 x14ac:dyDescent="0.3">
      <c r="B38" s="5" t="s">
        <v>27</v>
      </c>
      <c r="C38" s="14">
        <v>9362</v>
      </c>
      <c r="D38" s="18"/>
      <c r="E38" s="1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 x14ac:dyDescent="0.3">
      <c r="B39" s="5" t="s">
        <v>28</v>
      </c>
      <c r="C39" s="14">
        <v>384</v>
      </c>
      <c r="D39" s="18"/>
      <c r="E39" s="1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3">
      <c r="B40" s="5" t="s">
        <v>29</v>
      </c>
      <c r="C40" s="14">
        <v>16066</v>
      </c>
      <c r="D40" s="18"/>
      <c r="E40" s="1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3">
      <c r="B41" s="5" t="s">
        <v>30</v>
      </c>
      <c r="C41" s="14">
        <v>5809</v>
      </c>
      <c r="D41" s="18"/>
      <c r="E41" s="1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x14ac:dyDescent="0.3">
      <c r="B42" s="5" t="s">
        <v>31</v>
      </c>
      <c r="C42" s="14">
        <v>40853</v>
      </c>
      <c r="D42" s="18"/>
      <c r="E42" s="1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 x14ac:dyDescent="0.3">
      <c r="B43" s="5" t="s">
        <v>32</v>
      </c>
      <c r="C43" s="14">
        <v>16930.080000000002</v>
      </c>
      <c r="D43" s="18"/>
      <c r="E43" s="1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 x14ac:dyDescent="0.3">
      <c r="B44" s="5" t="s">
        <v>33</v>
      </c>
      <c r="C44" s="14">
        <v>1334</v>
      </c>
      <c r="D44" s="18"/>
      <c r="E44" s="1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 x14ac:dyDescent="0.3">
      <c r="B45" s="5" t="s">
        <v>34</v>
      </c>
      <c r="C45" s="14">
        <v>289</v>
      </c>
      <c r="D45" s="18"/>
      <c r="E45" s="1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 x14ac:dyDescent="0.3">
      <c r="B46" s="5" t="s">
        <v>35</v>
      </c>
      <c r="C46" s="17">
        <v>402016.91</v>
      </c>
      <c r="D46" s="20"/>
      <c r="E46" s="7"/>
      <c r="F46" s="7"/>
      <c r="G46" s="7"/>
      <c r="H46" s="3"/>
      <c r="I46" s="3"/>
      <c r="J46" s="3"/>
      <c r="K46" s="3"/>
      <c r="L46" s="3"/>
      <c r="M46" s="3"/>
      <c r="N46" s="3"/>
      <c r="O46" s="3"/>
      <c r="P46" s="3"/>
    </row>
    <row r="47" spans="2:16" x14ac:dyDescent="0.3">
      <c r="B47" s="5" t="s">
        <v>36</v>
      </c>
      <c r="C47" s="17">
        <v>6456915.1600000001</v>
      </c>
      <c r="D47" s="21"/>
      <c r="E47" s="22"/>
      <c r="F47" s="23"/>
      <c r="G47" s="7"/>
      <c r="H47" s="3"/>
      <c r="I47" s="3"/>
      <c r="J47" s="3"/>
      <c r="K47" s="3"/>
      <c r="L47" s="3"/>
      <c r="M47" s="3"/>
      <c r="N47" s="3"/>
      <c r="O47" s="3"/>
      <c r="P47" s="3"/>
    </row>
    <row r="48" spans="2:16" x14ac:dyDescent="0.3">
      <c r="B48" s="5" t="s">
        <v>37</v>
      </c>
      <c r="C48" s="6"/>
      <c r="D48" s="7"/>
      <c r="E48" s="7"/>
      <c r="F48" s="7"/>
      <c r="G48" s="7"/>
      <c r="H48" s="3"/>
      <c r="I48" s="3"/>
      <c r="J48" s="3"/>
      <c r="K48" s="3"/>
      <c r="L48" s="3"/>
      <c r="M48" s="3"/>
      <c r="N48" s="3"/>
      <c r="O48" s="3"/>
      <c r="P48" s="3"/>
    </row>
    <row r="49" spans="2:16" x14ac:dyDescent="0.3">
      <c r="B49" s="5" t="s">
        <v>38</v>
      </c>
      <c r="C49" s="6"/>
      <c r="D49" s="7"/>
      <c r="E49" s="7"/>
      <c r="F49" s="7"/>
      <c r="G49" s="7"/>
      <c r="H49" s="3"/>
      <c r="I49" s="3"/>
      <c r="J49" s="3"/>
      <c r="K49" s="3"/>
      <c r="L49" s="3"/>
      <c r="M49" s="3"/>
      <c r="N49" s="3"/>
      <c r="O49" s="3"/>
      <c r="P49" s="3"/>
    </row>
    <row r="50" spans="2:16" x14ac:dyDescent="0.3">
      <c r="B50" s="5" t="s">
        <v>39</v>
      </c>
      <c r="C50" s="14">
        <v>20397.490000000002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2:16" x14ac:dyDescent="0.3">
      <c r="B51" s="5" t="s">
        <v>40</v>
      </c>
      <c r="C51" s="14">
        <v>59807.66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2:16" x14ac:dyDescent="0.3">
      <c r="B52" s="5" t="s">
        <v>41</v>
      </c>
      <c r="C52" s="14">
        <v>8981.65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2:16" x14ac:dyDescent="0.3">
      <c r="B53" s="5" t="s">
        <v>42</v>
      </c>
      <c r="C53" s="14">
        <v>70280.210000000006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2:16" x14ac:dyDescent="0.3">
      <c r="B54" s="5" t="s">
        <v>43</v>
      </c>
      <c r="C54" s="14">
        <v>46415.34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2:16" x14ac:dyDescent="0.3">
      <c r="B55" s="5" t="s">
        <v>44</v>
      </c>
      <c r="C55" s="14">
        <v>18916.580000000002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2:16" x14ac:dyDescent="0.3">
      <c r="B56" s="5" t="s">
        <v>45</v>
      </c>
      <c r="C56" s="14">
        <v>3311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2:16" x14ac:dyDescent="0.3">
      <c r="B57" s="5" t="s">
        <v>46</v>
      </c>
      <c r="C57" s="14">
        <v>5949.34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2:16" x14ac:dyDescent="0.3">
      <c r="B58" s="5" t="s">
        <v>47</v>
      </c>
      <c r="C58" s="14">
        <v>29703.96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2:16" x14ac:dyDescent="0.3">
      <c r="B59" s="5" t="s">
        <v>48</v>
      </c>
      <c r="C59" s="14">
        <v>7939.07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2:16" x14ac:dyDescent="0.3">
      <c r="B60" s="5" t="s">
        <v>49</v>
      </c>
      <c r="C60" s="14">
        <v>8054.38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2:16" x14ac:dyDescent="0.3">
      <c r="B61" s="5" t="s">
        <v>50</v>
      </c>
      <c r="C61" s="17">
        <v>280012.93</v>
      </c>
      <c r="D61" s="7"/>
      <c r="E61" s="7"/>
      <c r="F61" s="7"/>
      <c r="G61" s="7"/>
      <c r="H61" s="3"/>
      <c r="I61" s="3"/>
      <c r="J61" s="3"/>
      <c r="K61" s="3"/>
      <c r="L61" s="3"/>
      <c r="M61" s="3"/>
      <c r="N61" s="3"/>
      <c r="O61" s="3"/>
      <c r="P61" s="3"/>
    </row>
    <row r="62" spans="2:16" x14ac:dyDescent="0.3">
      <c r="B62" s="5" t="s">
        <v>51</v>
      </c>
      <c r="C62" s="6"/>
      <c r="D62" s="7"/>
      <c r="E62" s="7"/>
      <c r="F62" s="7"/>
      <c r="G62" s="7"/>
      <c r="H62" s="3"/>
      <c r="I62" s="3"/>
      <c r="J62" s="3"/>
      <c r="K62" s="3"/>
      <c r="L62" s="3"/>
      <c r="M62" s="3"/>
      <c r="N62" s="3"/>
      <c r="O62" s="3"/>
      <c r="P62" s="3"/>
    </row>
    <row r="63" spans="2:16" x14ac:dyDescent="0.3">
      <c r="B63" s="5" t="s">
        <v>52</v>
      </c>
      <c r="C63" s="14">
        <v>152.4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2:16" x14ac:dyDescent="0.3">
      <c r="B64" s="5" t="s">
        <v>53</v>
      </c>
      <c r="C64" s="14">
        <v>-235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2:16" x14ac:dyDescent="0.3">
      <c r="B65" s="5" t="s">
        <v>54</v>
      </c>
      <c r="C65" s="14">
        <v>2911.57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2:16" x14ac:dyDescent="0.3">
      <c r="B66" s="5" t="s">
        <v>55</v>
      </c>
      <c r="C66" s="14">
        <v>1514.89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2:16" x14ac:dyDescent="0.3">
      <c r="B67" s="5" t="s">
        <v>56</v>
      </c>
      <c r="C67" s="14">
        <v>1589.98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3">
      <c r="B68" s="5" t="s">
        <v>57</v>
      </c>
      <c r="C68" s="14">
        <v>6288.25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2:16" x14ac:dyDescent="0.3">
      <c r="B69" s="5" t="s">
        <v>58</v>
      </c>
      <c r="C69" s="14">
        <v>27709.599999999999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2:16" x14ac:dyDescent="0.3">
      <c r="B70" s="5" t="s">
        <v>59</v>
      </c>
      <c r="C70" s="14">
        <v>192.24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2:16" x14ac:dyDescent="0.3">
      <c r="B71" s="5" t="s">
        <v>60</v>
      </c>
      <c r="C71" s="14">
        <v>92.586482000000004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2:16" x14ac:dyDescent="0.3">
      <c r="B72" s="5" t="s">
        <v>61</v>
      </c>
      <c r="C72" s="14">
        <v>2447.31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2:16" x14ac:dyDescent="0.3">
      <c r="B73" s="5" t="s">
        <v>62</v>
      </c>
      <c r="C73" s="14">
        <v>19452.62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2:16" x14ac:dyDescent="0.3">
      <c r="B74" s="5" t="s">
        <v>63</v>
      </c>
      <c r="C74" s="14">
        <v>11657.59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2:16" x14ac:dyDescent="0.3">
      <c r="B75" s="5" t="s">
        <v>64</v>
      </c>
      <c r="C75" s="14">
        <v>11094.53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2:16" x14ac:dyDescent="0.3">
      <c r="B76" s="5" t="s">
        <v>65</v>
      </c>
      <c r="C76" s="14">
        <v>1244.3399999999999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2:16" x14ac:dyDescent="0.3">
      <c r="B77" s="5" t="s">
        <v>66</v>
      </c>
      <c r="C77" s="14">
        <v>1014.55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2:16" x14ac:dyDescent="0.3">
      <c r="B78" s="5" t="s">
        <v>67</v>
      </c>
      <c r="C78" s="17">
        <v>76633.3</v>
      </c>
      <c r="D78" s="7"/>
      <c r="E78" s="7"/>
      <c r="F78" s="7"/>
      <c r="G78" s="7"/>
      <c r="H78" s="3"/>
      <c r="I78" s="3"/>
      <c r="J78" s="3"/>
      <c r="K78" s="3"/>
      <c r="L78" s="3"/>
      <c r="M78" s="3"/>
      <c r="N78" s="3"/>
      <c r="O78" s="3"/>
      <c r="P78" s="3"/>
    </row>
    <row r="79" spans="2:16" x14ac:dyDescent="0.3">
      <c r="B79" s="5" t="s">
        <v>68</v>
      </c>
      <c r="C79" s="6"/>
      <c r="D79" s="7"/>
      <c r="E79" s="7"/>
      <c r="F79" s="7"/>
      <c r="G79" s="7"/>
      <c r="H79" s="3"/>
      <c r="I79" s="3"/>
      <c r="J79" s="3"/>
      <c r="K79" s="3"/>
      <c r="L79" s="3"/>
      <c r="M79" s="3"/>
      <c r="N79" s="3"/>
      <c r="O79" s="3"/>
      <c r="P79" s="3"/>
    </row>
    <row r="80" spans="2:16" x14ac:dyDescent="0.3">
      <c r="B80" s="5" t="s">
        <v>69</v>
      </c>
      <c r="C80" s="14">
        <v>14957.18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2:16" x14ac:dyDescent="0.3">
      <c r="B81" s="5" t="s">
        <v>70</v>
      </c>
      <c r="C81" s="14">
        <v>14271.68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2:16" x14ac:dyDescent="0.3">
      <c r="B82" s="5" t="s">
        <v>71</v>
      </c>
      <c r="C82" s="14">
        <v>47612.7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2:16" x14ac:dyDescent="0.3">
      <c r="B83" s="5" t="s">
        <v>72</v>
      </c>
      <c r="C83" s="14">
        <v>44257.55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2:16" x14ac:dyDescent="0.3">
      <c r="B84" s="5" t="s">
        <v>73</v>
      </c>
      <c r="C84" s="14">
        <v>8547.84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2:16" x14ac:dyDescent="0.3">
      <c r="B85" s="5" t="s">
        <v>74</v>
      </c>
      <c r="C85" s="14">
        <v>3894.78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2:16" x14ac:dyDescent="0.3">
      <c r="B86" s="5" t="s">
        <v>75</v>
      </c>
      <c r="C86" s="14">
        <v>29822.39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2:16" x14ac:dyDescent="0.3">
      <c r="B87" s="5" t="s">
        <v>76</v>
      </c>
      <c r="C87" s="14">
        <v>2837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2:16" x14ac:dyDescent="0.3">
      <c r="B88" s="5" t="s">
        <v>77</v>
      </c>
      <c r="C88" s="17">
        <v>179125.77</v>
      </c>
      <c r="D88" s="7"/>
      <c r="E88" s="7"/>
      <c r="F88" s="7"/>
      <c r="G88" s="7"/>
      <c r="H88" s="3"/>
      <c r="I88" s="3"/>
      <c r="J88" s="3"/>
      <c r="K88" s="3"/>
      <c r="L88" s="3"/>
      <c r="M88" s="3"/>
      <c r="N88" s="3"/>
      <c r="O88" s="3"/>
      <c r="P88" s="3"/>
    </row>
    <row r="89" spans="2:16" x14ac:dyDescent="0.3">
      <c r="B89" s="5" t="s">
        <v>78</v>
      </c>
      <c r="C89" s="6"/>
      <c r="D89" s="7"/>
      <c r="E89" s="7"/>
      <c r="F89" s="7"/>
      <c r="G89" s="7"/>
      <c r="H89" s="3"/>
      <c r="I89" s="3"/>
      <c r="J89" s="3"/>
      <c r="K89" s="3"/>
      <c r="L89" s="3"/>
      <c r="M89" s="3"/>
      <c r="N89" s="3"/>
      <c r="O89" s="3"/>
      <c r="P89" s="3"/>
    </row>
    <row r="90" spans="2:16" x14ac:dyDescent="0.3">
      <c r="B90" s="5" t="s">
        <v>79</v>
      </c>
      <c r="C90" s="14">
        <v>694.82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2:16" x14ac:dyDescent="0.3">
      <c r="B91" s="5" t="s">
        <v>80</v>
      </c>
      <c r="C91" s="14">
        <v>-64739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2:16" x14ac:dyDescent="0.3">
      <c r="B92" s="5" t="s">
        <v>81</v>
      </c>
      <c r="C92" s="14">
        <v>685.71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2:16" x14ac:dyDescent="0.3">
      <c r="B93" s="5" t="s">
        <v>82</v>
      </c>
      <c r="C93" s="14">
        <v>750.8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2:16" x14ac:dyDescent="0.3">
      <c r="B94" s="5" t="s">
        <v>83</v>
      </c>
      <c r="C94" s="14">
        <v>10912.59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2:16" x14ac:dyDescent="0.3">
      <c r="B95" s="5" t="s">
        <v>84</v>
      </c>
      <c r="C95" s="17">
        <v>-56662.69</v>
      </c>
      <c r="D95" s="7"/>
      <c r="E95" s="7"/>
      <c r="F95" s="7"/>
      <c r="G95" s="7"/>
      <c r="H95" s="3"/>
      <c r="I95" s="3"/>
      <c r="J95" s="3"/>
      <c r="K95" s="3"/>
      <c r="L95" s="3"/>
      <c r="M95" s="3"/>
      <c r="N95" s="3"/>
      <c r="O95" s="3"/>
      <c r="P95" s="3"/>
    </row>
    <row r="96" spans="2:16" x14ac:dyDescent="0.3">
      <c r="B96" s="5" t="s">
        <v>85</v>
      </c>
      <c r="C96" s="6"/>
      <c r="D96" s="7"/>
      <c r="E96" s="7"/>
      <c r="F96" s="7"/>
      <c r="G96" s="7"/>
      <c r="H96" s="3"/>
      <c r="I96" s="3"/>
      <c r="J96" s="3"/>
      <c r="K96" s="3"/>
      <c r="L96" s="3"/>
      <c r="M96" s="3"/>
      <c r="N96" s="3"/>
      <c r="O96" s="3"/>
      <c r="P96" s="3"/>
    </row>
    <row r="97" spans="2:16" x14ac:dyDescent="0.3">
      <c r="B97" s="5" t="s">
        <v>86</v>
      </c>
      <c r="C97" s="14">
        <v>84890.26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2:16" x14ac:dyDescent="0.3">
      <c r="B98" s="5" t="s">
        <v>87</v>
      </c>
      <c r="C98" s="14">
        <v>2181.52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2:16" x14ac:dyDescent="0.3">
      <c r="B99" s="5" t="s">
        <v>88</v>
      </c>
      <c r="C99" s="14">
        <v>25421.55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2:16" x14ac:dyDescent="0.3">
      <c r="B100" s="5" t="s">
        <v>89</v>
      </c>
      <c r="C100" s="14">
        <v>2549.4699999999998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2:16" x14ac:dyDescent="0.3">
      <c r="B101" s="5" t="s">
        <v>90</v>
      </c>
      <c r="C101" s="14">
        <v>174.1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2:16" x14ac:dyDescent="0.3">
      <c r="B102" s="5" t="s">
        <v>91</v>
      </c>
      <c r="C102" s="14">
        <v>494.56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2:16" x14ac:dyDescent="0.3">
      <c r="B103" s="5" t="s">
        <v>92</v>
      </c>
      <c r="C103" s="17">
        <v>120758.81</v>
      </c>
      <c r="D103" s="7"/>
      <c r="E103" s="7"/>
      <c r="F103" s="7"/>
      <c r="G103" s="7"/>
      <c r="H103" s="3"/>
      <c r="I103" s="3"/>
      <c r="J103" s="3"/>
      <c r="K103" s="3"/>
      <c r="L103" s="3"/>
      <c r="M103" s="3"/>
      <c r="N103" s="3"/>
      <c r="O103" s="3"/>
      <c r="P103" s="3"/>
    </row>
    <row r="104" spans="2:16" x14ac:dyDescent="0.3">
      <c r="B104" s="5" t="s">
        <v>93</v>
      </c>
      <c r="C104" s="6"/>
      <c r="D104" s="7"/>
      <c r="E104" s="7"/>
      <c r="F104" s="7"/>
      <c r="G104" s="7"/>
      <c r="H104" s="3"/>
      <c r="I104" s="3"/>
      <c r="J104" s="3"/>
      <c r="K104" s="3"/>
      <c r="L104" s="3"/>
      <c r="M104" s="3"/>
      <c r="N104" s="3"/>
      <c r="O104" s="3"/>
      <c r="P104" s="3"/>
    </row>
    <row r="105" spans="2:16" x14ac:dyDescent="0.3">
      <c r="B105" s="5" t="s">
        <v>94</v>
      </c>
      <c r="C105" s="14">
        <v>820.24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2:16" x14ac:dyDescent="0.3">
      <c r="B106" s="5" t="s">
        <v>95</v>
      </c>
      <c r="C106" s="14">
        <v>1978.78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2:16" x14ac:dyDescent="0.3">
      <c r="B107" s="5" t="s">
        <v>96</v>
      </c>
      <c r="C107" s="14">
        <v>11043.1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2:16" x14ac:dyDescent="0.3">
      <c r="B108" s="5" t="s">
        <v>97</v>
      </c>
      <c r="C108" s="14">
        <v>2513.09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2:16" x14ac:dyDescent="0.3">
      <c r="B109" s="5" t="s">
        <v>98</v>
      </c>
      <c r="C109" s="17">
        <v>14068.26</v>
      </c>
      <c r="D109" s="7"/>
      <c r="E109" s="7"/>
      <c r="F109" s="7"/>
      <c r="G109" s="7"/>
      <c r="H109" s="3"/>
      <c r="I109" s="3"/>
      <c r="J109" s="3"/>
      <c r="K109" s="3"/>
      <c r="L109" s="3"/>
      <c r="M109" s="3"/>
      <c r="N109" s="3"/>
      <c r="O109" s="3"/>
      <c r="P109" s="3"/>
    </row>
    <row r="110" spans="2:16" x14ac:dyDescent="0.3">
      <c r="B110" s="5" t="s">
        <v>99</v>
      </c>
      <c r="C110" s="6"/>
      <c r="D110" s="7"/>
      <c r="E110" s="7"/>
      <c r="F110" s="7"/>
      <c r="G110" s="7"/>
      <c r="H110" s="3"/>
      <c r="I110" s="3"/>
      <c r="J110" s="3"/>
      <c r="K110" s="3"/>
      <c r="L110" s="3"/>
      <c r="M110" s="3"/>
      <c r="N110" s="3"/>
      <c r="O110" s="3"/>
      <c r="P110" s="3"/>
    </row>
    <row r="111" spans="2:16" x14ac:dyDescent="0.3">
      <c r="B111" s="5" t="s">
        <v>100</v>
      </c>
      <c r="C111" s="14">
        <v>16837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2:16" x14ac:dyDescent="0.3">
      <c r="B112" s="5" t="s">
        <v>101</v>
      </c>
      <c r="C112" s="14">
        <v>2108.91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2:16" x14ac:dyDescent="0.3">
      <c r="B113" s="5" t="s">
        <v>102</v>
      </c>
      <c r="C113" s="14">
        <v>-455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2:16" x14ac:dyDescent="0.3">
      <c r="B114" s="5" t="s">
        <v>103</v>
      </c>
      <c r="C114" s="14">
        <v>3044.77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2:16" x14ac:dyDescent="0.3">
      <c r="B115" s="5" t="s">
        <v>104</v>
      </c>
      <c r="C115" s="14">
        <v>23006.19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2:16" x14ac:dyDescent="0.3">
      <c r="B116" s="5" t="s">
        <v>105</v>
      </c>
      <c r="C116" s="14">
        <v>2550.14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2:16" x14ac:dyDescent="0.3">
      <c r="B117" s="5" t="s">
        <v>106</v>
      </c>
      <c r="C117" s="14">
        <v>20798.939999999999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2:16" x14ac:dyDescent="0.3">
      <c r="B118" s="5" t="s">
        <v>107</v>
      </c>
      <c r="C118" s="14">
        <v>1269.8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2:16" x14ac:dyDescent="0.3">
      <c r="B119" s="5" t="s">
        <v>108</v>
      </c>
      <c r="C119" s="14">
        <v>1430.34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2:16" x14ac:dyDescent="0.3">
      <c r="B120" s="5" t="s">
        <v>109</v>
      </c>
      <c r="C120" s="17">
        <v>73950.490000000005</v>
      </c>
      <c r="D120" s="7"/>
      <c r="E120" s="7"/>
      <c r="F120" s="7"/>
      <c r="G120" s="7"/>
      <c r="H120" s="3"/>
      <c r="I120" s="3"/>
      <c r="J120" s="3"/>
      <c r="K120" s="3"/>
      <c r="L120" s="3"/>
      <c r="M120" s="3"/>
      <c r="N120" s="3"/>
      <c r="O120" s="3"/>
      <c r="P120" s="3"/>
    </row>
    <row r="121" spans="2:16" x14ac:dyDescent="0.3">
      <c r="B121" s="5" t="s">
        <v>110</v>
      </c>
      <c r="C121" s="6"/>
      <c r="D121" s="7"/>
      <c r="E121" s="7"/>
      <c r="F121" s="7"/>
      <c r="G121" s="7"/>
      <c r="H121" s="3"/>
      <c r="I121" s="3"/>
      <c r="J121" s="3"/>
      <c r="K121" s="3"/>
      <c r="L121" s="3"/>
      <c r="M121" s="3"/>
      <c r="N121" s="3"/>
      <c r="O121" s="3"/>
      <c r="P121" s="3"/>
    </row>
    <row r="122" spans="2:16" x14ac:dyDescent="0.3">
      <c r="B122" s="5" t="s">
        <v>111</v>
      </c>
      <c r="C122" s="14">
        <v>12964.84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2:16" x14ac:dyDescent="0.3">
      <c r="B123" s="5" t="s">
        <v>112</v>
      </c>
      <c r="C123" s="14">
        <v>60717.35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2:16" x14ac:dyDescent="0.3">
      <c r="B124" s="5" t="s">
        <v>113</v>
      </c>
      <c r="C124" s="14">
        <v>11205.23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2:16" x14ac:dyDescent="0.3">
      <c r="B125" s="5" t="s">
        <v>114</v>
      </c>
      <c r="C125" s="14">
        <v>48684.72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2:16" x14ac:dyDescent="0.3">
      <c r="B126" s="5" t="s">
        <v>115</v>
      </c>
      <c r="C126" s="17">
        <v>109101.86</v>
      </c>
      <c r="D126" s="7"/>
      <c r="E126" s="7"/>
      <c r="F126" s="7"/>
      <c r="G126" s="7"/>
      <c r="H126" s="3"/>
      <c r="I126" s="3"/>
      <c r="J126" s="3"/>
      <c r="K126" s="3"/>
      <c r="L126" s="3"/>
      <c r="M126" s="3"/>
      <c r="N126" s="3"/>
      <c r="O126" s="3"/>
      <c r="P126" s="3"/>
    </row>
    <row r="127" spans="2:16" x14ac:dyDescent="0.3">
      <c r="B127" s="5" t="s">
        <v>116</v>
      </c>
      <c r="C127" s="6"/>
      <c r="D127" s="7"/>
      <c r="E127" s="7"/>
      <c r="F127" s="7"/>
      <c r="G127" s="7"/>
      <c r="H127" s="3"/>
      <c r="I127" s="3"/>
      <c r="J127" s="3"/>
      <c r="K127" s="3"/>
      <c r="L127" s="3"/>
      <c r="M127" s="3"/>
      <c r="N127" s="3"/>
      <c r="O127" s="3"/>
      <c r="P127" s="3"/>
    </row>
    <row r="128" spans="2:16" x14ac:dyDescent="0.3">
      <c r="B128" s="5" t="s">
        <v>536</v>
      </c>
      <c r="C128" s="14">
        <v>201367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2:16" x14ac:dyDescent="0.3">
      <c r="B129" s="5" t="s">
        <v>117</v>
      </c>
      <c r="C129" s="17">
        <v>191408</v>
      </c>
      <c r="D129" s="7"/>
      <c r="E129" s="7"/>
      <c r="F129" s="7"/>
      <c r="G129" s="7"/>
      <c r="H129" s="3"/>
      <c r="I129" s="3"/>
      <c r="J129" s="3"/>
      <c r="K129" s="3"/>
      <c r="L129" s="3"/>
      <c r="M129" s="3"/>
      <c r="N129" s="3"/>
      <c r="O129" s="3"/>
      <c r="P129" s="3"/>
    </row>
    <row r="130" spans="2:16" x14ac:dyDescent="0.3">
      <c r="B130" s="5" t="s">
        <v>118</v>
      </c>
      <c r="C130" s="6"/>
      <c r="D130" s="7"/>
      <c r="E130" s="7"/>
      <c r="F130" s="7"/>
      <c r="G130" s="8"/>
      <c r="H130" s="3"/>
      <c r="I130" s="3"/>
      <c r="J130" s="3"/>
      <c r="K130" s="3"/>
      <c r="L130" s="3"/>
      <c r="M130" s="3"/>
      <c r="N130" s="3"/>
      <c r="O130" s="3"/>
      <c r="P130" s="3"/>
    </row>
    <row r="131" spans="2:16" x14ac:dyDescent="0.3">
      <c r="B131" s="5" t="s">
        <v>119</v>
      </c>
      <c r="C131" s="14">
        <v>145788.38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2:16" x14ac:dyDescent="0.3">
      <c r="B132" s="5" t="s">
        <v>120</v>
      </c>
      <c r="C132" s="14">
        <v>6529.3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2:16" x14ac:dyDescent="0.3">
      <c r="B133" s="5" t="s">
        <v>121</v>
      </c>
      <c r="C133" s="14">
        <v>4475.67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2:16" x14ac:dyDescent="0.3">
      <c r="B134" s="5" t="s">
        <v>122</v>
      </c>
      <c r="C134" s="14">
        <v>7268.57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2:16" x14ac:dyDescent="0.3">
      <c r="B135" s="5" t="s">
        <v>123</v>
      </c>
      <c r="C135" s="17">
        <v>194393.68</v>
      </c>
      <c r="D135" s="7"/>
      <c r="E135" s="7"/>
      <c r="F135" s="7"/>
      <c r="G135" s="7"/>
      <c r="H135" s="3"/>
      <c r="I135" s="3"/>
      <c r="J135" s="3"/>
      <c r="K135" s="3"/>
      <c r="L135" s="3"/>
      <c r="M135" s="3"/>
      <c r="N135" s="3"/>
      <c r="O135" s="3"/>
      <c r="P135" s="3"/>
    </row>
    <row r="136" spans="2:16" x14ac:dyDescent="0.3">
      <c r="B136" s="5" t="s">
        <v>124</v>
      </c>
      <c r="C136" s="6"/>
      <c r="D136" s="7"/>
      <c r="E136" s="7"/>
      <c r="F136" s="7"/>
      <c r="G136" s="7"/>
      <c r="H136" s="3"/>
      <c r="I136" s="3"/>
      <c r="J136" s="3"/>
      <c r="K136" s="3"/>
      <c r="L136" s="3"/>
      <c r="M136" s="3"/>
      <c r="N136" s="3"/>
      <c r="O136" s="3"/>
      <c r="P136" s="3"/>
    </row>
    <row r="137" spans="2:16" x14ac:dyDescent="0.3">
      <c r="B137" s="5" t="s">
        <v>125</v>
      </c>
      <c r="C137" s="14">
        <v>590766.24</v>
      </c>
      <c r="D137" s="3"/>
      <c r="E137" s="3"/>
      <c r="F137" s="3"/>
      <c r="G137" s="3"/>
      <c r="H137" s="3"/>
      <c r="I137" s="3"/>
      <c r="J137" s="3"/>
      <c r="K137" s="3"/>
      <c r="L137" s="3"/>
      <c r="M137" s="15"/>
      <c r="N137" s="3"/>
      <c r="O137" s="3"/>
      <c r="P137" s="3"/>
    </row>
    <row r="138" spans="2:16" x14ac:dyDescent="0.3">
      <c r="B138" s="5" t="s">
        <v>126</v>
      </c>
      <c r="C138" s="17">
        <v>479096.71</v>
      </c>
      <c r="D138" s="271">
        <f>C138+C135+C129+C126+C120+C109+C103+C95+C88+C78+C61</f>
        <v>1661887.12</v>
      </c>
      <c r="E138" s="21"/>
      <c r="F138" s="7"/>
      <c r="G138" s="7"/>
      <c r="H138" s="3"/>
      <c r="I138" s="3"/>
      <c r="J138" s="3"/>
      <c r="K138" s="3"/>
      <c r="L138" s="3"/>
      <c r="M138" s="15"/>
      <c r="N138" s="3"/>
      <c r="O138" s="3"/>
      <c r="P138" s="3"/>
    </row>
    <row r="139" spans="2:16" x14ac:dyDescent="0.3">
      <c r="B139" s="5" t="s">
        <v>127</v>
      </c>
      <c r="C139" s="6"/>
      <c r="D139" s="7"/>
      <c r="E139" s="7"/>
      <c r="F139" s="7"/>
      <c r="G139" s="7"/>
      <c r="H139" s="3"/>
      <c r="I139" s="3"/>
      <c r="J139" s="3"/>
      <c r="K139" s="3"/>
      <c r="L139" s="3"/>
      <c r="M139" s="25"/>
      <c r="N139" s="3"/>
      <c r="O139" s="3"/>
      <c r="P139" s="3"/>
    </row>
    <row r="140" spans="2:16" x14ac:dyDescent="0.3">
      <c r="B140" s="5" t="s">
        <v>128</v>
      </c>
      <c r="C140" s="14">
        <v>1581001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2:16" x14ac:dyDescent="0.3">
      <c r="B141" s="5" t="s">
        <v>129</v>
      </c>
      <c r="C141" s="17">
        <v>1647921</v>
      </c>
      <c r="D141" s="7"/>
      <c r="E141" s="7"/>
      <c r="F141" s="7"/>
      <c r="G141" s="7"/>
      <c r="H141" s="3"/>
      <c r="I141" s="3"/>
      <c r="J141" s="3"/>
      <c r="K141" s="3"/>
      <c r="L141" s="3"/>
      <c r="M141" s="3"/>
      <c r="N141" s="3"/>
      <c r="O141" s="15"/>
      <c r="P141" s="3"/>
    </row>
    <row r="142" spans="2:16" x14ac:dyDescent="0.3">
      <c r="B142" s="5" t="s">
        <v>130</v>
      </c>
      <c r="C142" s="14">
        <v>45206.44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5"/>
      <c r="P142" s="3"/>
    </row>
    <row r="143" spans="2:16" x14ac:dyDescent="0.3">
      <c r="B143" s="5" t="s">
        <v>131</v>
      </c>
      <c r="C143" s="17">
        <v>3705857.03</v>
      </c>
      <c r="D143" s="7"/>
      <c r="E143" s="7"/>
      <c r="F143" s="24"/>
      <c r="G143" s="8"/>
      <c r="H143" s="15"/>
      <c r="I143" s="15"/>
      <c r="J143" s="3"/>
      <c r="K143" s="15"/>
      <c r="L143" s="3"/>
      <c r="M143" s="3"/>
      <c r="N143" s="3"/>
      <c r="O143" s="15"/>
      <c r="P143" s="3"/>
    </row>
    <row r="144" spans="2:16" x14ac:dyDescent="0.3">
      <c r="B144" s="26"/>
      <c r="C144" s="2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5"/>
      <c r="P144" s="15"/>
    </row>
    <row r="145" spans="2:16" x14ac:dyDescent="0.3">
      <c r="B145" s="5" t="s">
        <v>132</v>
      </c>
      <c r="C145" s="17">
        <v>2179102.0499999998</v>
      </c>
      <c r="D145" s="24"/>
      <c r="E145" s="7"/>
      <c r="F145" s="7"/>
      <c r="G145" s="7"/>
      <c r="H145" s="3"/>
      <c r="I145" s="3"/>
      <c r="J145" s="3"/>
      <c r="K145" s="3"/>
      <c r="L145" s="3"/>
      <c r="M145" s="3"/>
      <c r="N145" s="3"/>
      <c r="O145" s="3"/>
      <c r="P145" s="3"/>
    </row>
    <row r="146" spans="2:16" x14ac:dyDescent="0.3">
      <c r="B146" s="26"/>
      <c r="C146" s="27"/>
      <c r="D146" s="3"/>
      <c r="E146" s="28"/>
      <c r="F146" s="15"/>
      <c r="G146" s="15"/>
      <c r="H146" s="15"/>
      <c r="I146" s="15"/>
      <c r="J146" s="15"/>
      <c r="K146" s="15"/>
      <c r="L146" s="3"/>
      <c r="M146" s="3"/>
      <c r="N146" s="3"/>
      <c r="O146" s="3"/>
      <c r="P146" s="3"/>
    </row>
    <row r="147" spans="2:16" x14ac:dyDescent="0.3">
      <c r="B147" s="5" t="s">
        <v>133</v>
      </c>
      <c r="C147" s="9">
        <v>6565290.5700000003</v>
      </c>
      <c r="D147" s="11"/>
      <c r="E147" s="29"/>
      <c r="F147" s="30"/>
      <c r="G147" s="30"/>
      <c r="H147" s="15"/>
      <c r="I147" s="15"/>
      <c r="J147" s="15"/>
      <c r="K147" s="15"/>
      <c r="L147" s="3"/>
      <c r="M147" s="3"/>
      <c r="N147" s="3"/>
      <c r="O147" s="3"/>
      <c r="P147" s="3"/>
    </row>
    <row r="148" spans="2:16" x14ac:dyDescent="0.3">
      <c r="B148" s="5" t="s">
        <v>134</v>
      </c>
      <c r="C148" s="9">
        <v>4268264.3600000003</v>
      </c>
      <c r="D148" s="11"/>
      <c r="E148" s="29"/>
      <c r="F148" s="30"/>
      <c r="G148" s="30"/>
      <c r="H148" s="15"/>
      <c r="I148" s="15"/>
      <c r="J148" s="15"/>
      <c r="K148" s="15"/>
      <c r="L148" s="3"/>
      <c r="M148" s="3"/>
      <c r="N148" s="3"/>
      <c r="O148" s="3"/>
      <c r="P148" s="3"/>
    </row>
    <row r="149" spans="2:16" x14ac:dyDescent="0.3">
      <c r="B149" s="26"/>
      <c r="C149" s="27"/>
      <c r="D149" s="3"/>
      <c r="E149" s="28"/>
      <c r="F149" s="15"/>
      <c r="G149" s="15"/>
      <c r="H149" s="15"/>
      <c r="I149" s="15"/>
      <c r="J149" s="15"/>
      <c r="K149" s="15"/>
      <c r="L149" s="3"/>
      <c r="M149" s="3"/>
      <c r="N149" s="3"/>
      <c r="O149" s="3"/>
      <c r="P149" s="3"/>
    </row>
    <row r="150" spans="2:16" x14ac:dyDescent="0.3">
      <c r="B150" s="5" t="s">
        <v>135</v>
      </c>
      <c r="C150" s="17">
        <v>1965100.72</v>
      </c>
      <c r="D150" s="7"/>
      <c r="E150" s="31"/>
      <c r="F150" s="8"/>
      <c r="G150" s="8"/>
      <c r="H150" s="15"/>
      <c r="I150" s="15"/>
      <c r="J150" s="15"/>
      <c r="K150" s="15"/>
      <c r="L150" s="3"/>
      <c r="M150" s="3"/>
      <c r="N150" s="3"/>
      <c r="O150" s="3"/>
      <c r="P150" s="3"/>
    </row>
    <row r="152" spans="2:16" ht="18" x14ac:dyDescent="0.35">
      <c r="B152" s="290" t="s">
        <v>374</v>
      </c>
      <c r="C152" s="291"/>
      <c r="D152" s="291"/>
      <c r="E152" s="291"/>
      <c r="F152" s="291"/>
      <c r="G152" s="291"/>
      <c r="H152" s="291"/>
      <c r="I152" s="291"/>
      <c r="J152" s="291"/>
    </row>
    <row r="153" spans="2:16" x14ac:dyDescent="0.3">
      <c r="B153" s="288" t="s">
        <v>531</v>
      </c>
      <c r="C153" s="289"/>
      <c r="D153" s="289"/>
      <c r="E153" s="289"/>
      <c r="F153" s="289"/>
      <c r="G153" s="289"/>
      <c r="H153" s="289"/>
      <c r="I153" s="289"/>
      <c r="J153" s="289"/>
    </row>
    <row r="154" spans="2:16" x14ac:dyDescent="0.3">
      <c r="B154" s="289"/>
      <c r="C154" s="289"/>
      <c r="D154" s="289"/>
      <c r="E154" s="289"/>
      <c r="F154" s="289"/>
      <c r="G154" s="289"/>
      <c r="H154" s="289"/>
      <c r="I154" s="289"/>
      <c r="J154" s="289"/>
    </row>
    <row r="155" spans="2:16" x14ac:dyDescent="0.3">
      <c r="B155" s="288" t="s">
        <v>537</v>
      </c>
      <c r="C155" s="289"/>
      <c r="D155" s="289"/>
      <c r="E155" s="289"/>
      <c r="F155" s="289"/>
      <c r="G155" s="289"/>
      <c r="H155" s="289"/>
      <c r="I155" s="289"/>
      <c r="J155" s="289"/>
    </row>
    <row r="156" spans="2:16" x14ac:dyDescent="0.3">
      <c r="B156" s="288" t="s">
        <v>532</v>
      </c>
      <c r="C156" s="289"/>
      <c r="D156" s="289"/>
      <c r="E156" s="289"/>
      <c r="F156" s="289"/>
      <c r="G156" s="289"/>
      <c r="H156" s="289"/>
      <c r="I156" s="289"/>
      <c r="J156" s="289"/>
    </row>
    <row r="157" spans="2:16" x14ac:dyDescent="0.3">
      <c r="B157" s="288" t="s">
        <v>533</v>
      </c>
      <c r="C157" s="289"/>
      <c r="D157" s="289"/>
      <c r="E157" s="289"/>
      <c r="F157" s="289"/>
      <c r="G157" s="289"/>
      <c r="H157" s="289"/>
      <c r="I157" s="289"/>
      <c r="J157" s="289"/>
    </row>
    <row r="158" spans="2:16" x14ac:dyDescent="0.3">
      <c r="B158" s="288" t="s">
        <v>534</v>
      </c>
      <c r="C158" s="289"/>
      <c r="D158" s="289"/>
      <c r="E158" s="289"/>
      <c r="F158" s="289"/>
      <c r="G158" s="289"/>
      <c r="H158" s="289"/>
      <c r="I158" s="289"/>
      <c r="J158" s="289"/>
    </row>
    <row r="159" spans="2:16" x14ac:dyDescent="0.3">
      <c r="B159" s="289"/>
      <c r="C159" s="289"/>
      <c r="D159" s="289"/>
      <c r="E159" s="289"/>
      <c r="F159" s="289"/>
      <c r="G159" s="289"/>
      <c r="H159" s="289"/>
      <c r="I159" s="289"/>
      <c r="J159" s="289"/>
    </row>
    <row r="160" spans="2:16" x14ac:dyDescent="0.3">
      <c r="B160" s="4" t="s">
        <v>373</v>
      </c>
      <c r="C160" s="4" t="s">
        <v>372</v>
      </c>
      <c r="D160" s="4" t="s">
        <v>371</v>
      </c>
      <c r="E160" s="4" t="s">
        <v>370</v>
      </c>
      <c r="F160" s="4" t="s">
        <v>369</v>
      </c>
      <c r="G160" s="4" t="s">
        <v>368</v>
      </c>
      <c r="H160" s="4" t="s">
        <v>367</v>
      </c>
      <c r="I160" s="4" t="s">
        <v>366</v>
      </c>
      <c r="J160" s="4" t="s">
        <v>365</v>
      </c>
    </row>
    <row r="161" spans="2:10" x14ac:dyDescent="0.3">
      <c r="B161" s="295" t="s">
        <v>538</v>
      </c>
      <c r="C161" s="296" t="s">
        <v>364</v>
      </c>
      <c r="D161" s="296" t="s">
        <v>364</v>
      </c>
      <c r="E161" s="296" t="s">
        <v>364</v>
      </c>
      <c r="F161" s="296" t="s">
        <v>364</v>
      </c>
      <c r="G161" s="296" t="s">
        <v>364</v>
      </c>
      <c r="H161" s="296" t="s">
        <v>364</v>
      </c>
      <c r="I161" s="296" t="s">
        <v>364</v>
      </c>
      <c r="J161" s="296" t="s">
        <v>364</v>
      </c>
    </row>
    <row r="162" spans="2:10" x14ac:dyDescent="0.3">
      <c r="B162" s="5" t="s">
        <v>363</v>
      </c>
      <c r="C162" s="5" t="s">
        <v>539</v>
      </c>
      <c r="D162" s="5" t="s">
        <v>166</v>
      </c>
      <c r="E162" s="14">
        <v>2181</v>
      </c>
      <c r="F162" s="14">
        <v>2060</v>
      </c>
      <c r="G162" s="32">
        <v>44434</v>
      </c>
      <c r="H162" s="32">
        <v>45747</v>
      </c>
      <c r="I162" s="32">
        <v>44434</v>
      </c>
      <c r="J162" s="14">
        <v>0</v>
      </c>
    </row>
    <row r="163" spans="2:10" x14ac:dyDescent="0.3">
      <c r="B163" s="5" t="s">
        <v>362</v>
      </c>
      <c r="C163" s="5" t="s">
        <v>540</v>
      </c>
      <c r="D163" s="5" t="s">
        <v>166</v>
      </c>
      <c r="E163" s="14">
        <v>1978</v>
      </c>
      <c r="F163" s="14">
        <v>1978</v>
      </c>
      <c r="G163" s="32">
        <v>44974</v>
      </c>
      <c r="H163" s="32">
        <v>46081</v>
      </c>
      <c r="I163" s="32">
        <v>44974</v>
      </c>
      <c r="J163" s="14">
        <v>58.073917999999999</v>
      </c>
    </row>
    <row r="164" spans="2:10" x14ac:dyDescent="0.3">
      <c r="B164" s="5" t="s">
        <v>361</v>
      </c>
      <c r="C164" s="5" t="s">
        <v>541</v>
      </c>
      <c r="D164" s="5" t="s">
        <v>166</v>
      </c>
      <c r="E164" s="14">
        <v>2831</v>
      </c>
      <c r="F164" s="14">
        <v>2709</v>
      </c>
      <c r="G164" s="32">
        <v>45564</v>
      </c>
      <c r="H164" s="32">
        <v>45930</v>
      </c>
      <c r="I164" s="32">
        <v>45564</v>
      </c>
      <c r="J164" s="14">
        <v>0</v>
      </c>
    </row>
    <row r="165" spans="2:10" x14ac:dyDescent="0.3">
      <c r="B165" s="5" t="s">
        <v>360</v>
      </c>
      <c r="C165" s="5" t="s">
        <v>542</v>
      </c>
      <c r="D165" s="5" t="s">
        <v>166</v>
      </c>
      <c r="E165" s="14">
        <v>2751</v>
      </c>
      <c r="F165" s="14">
        <v>2633</v>
      </c>
      <c r="G165" s="32">
        <v>45381</v>
      </c>
      <c r="H165" s="32">
        <v>46112</v>
      </c>
      <c r="I165" s="32">
        <v>45381</v>
      </c>
      <c r="J165" s="14">
        <v>0</v>
      </c>
    </row>
    <row r="166" spans="2:10" x14ac:dyDescent="0.3">
      <c r="B166" s="5" t="s">
        <v>359</v>
      </c>
      <c r="C166" s="5" t="s">
        <v>543</v>
      </c>
      <c r="D166" s="5" t="s">
        <v>166</v>
      </c>
      <c r="E166" s="14">
        <v>1967</v>
      </c>
      <c r="F166" s="14">
        <v>1898</v>
      </c>
      <c r="G166" s="32">
        <v>45658</v>
      </c>
      <c r="H166" s="32">
        <v>46022</v>
      </c>
      <c r="I166" s="32">
        <v>45658</v>
      </c>
      <c r="J166" s="14">
        <v>0</v>
      </c>
    </row>
    <row r="167" spans="2:10" x14ac:dyDescent="0.3">
      <c r="B167" s="5" t="s">
        <v>358</v>
      </c>
      <c r="C167" s="5" t="s">
        <v>544</v>
      </c>
      <c r="D167" s="5" t="s">
        <v>215</v>
      </c>
      <c r="E167" s="14">
        <v>1803</v>
      </c>
      <c r="F167" s="14">
        <v>1703</v>
      </c>
      <c r="G167" s="32">
        <v>45383</v>
      </c>
      <c r="H167" s="32">
        <v>45747</v>
      </c>
      <c r="I167" s="32">
        <v>45383</v>
      </c>
      <c r="J167" s="14">
        <v>0</v>
      </c>
    </row>
    <row r="168" spans="2:10" x14ac:dyDescent="0.3">
      <c r="B168" s="5" t="s">
        <v>357</v>
      </c>
      <c r="C168" s="5" t="s">
        <v>545</v>
      </c>
      <c r="D168" s="5" t="s">
        <v>166</v>
      </c>
      <c r="E168" s="14">
        <v>1779</v>
      </c>
      <c r="F168" s="14">
        <v>1779</v>
      </c>
      <c r="G168" s="32">
        <v>45627</v>
      </c>
      <c r="H168" s="32">
        <v>45991</v>
      </c>
      <c r="I168" s="32">
        <v>45627</v>
      </c>
      <c r="J168" s="14">
        <v>0</v>
      </c>
    </row>
    <row r="169" spans="2:10" x14ac:dyDescent="0.3">
      <c r="B169" s="5" t="s">
        <v>356</v>
      </c>
      <c r="C169" s="5" t="s">
        <v>546</v>
      </c>
      <c r="D169" s="5" t="s">
        <v>166</v>
      </c>
      <c r="E169" s="14">
        <v>2585</v>
      </c>
      <c r="F169" s="14">
        <v>2479</v>
      </c>
      <c r="G169" s="32">
        <v>45505</v>
      </c>
      <c r="H169" s="32">
        <v>45869</v>
      </c>
      <c r="I169" s="32">
        <v>45505</v>
      </c>
      <c r="J169" s="14">
        <v>0</v>
      </c>
    </row>
    <row r="170" spans="2:10" x14ac:dyDescent="0.3">
      <c r="B170" s="5" t="s">
        <v>355</v>
      </c>
      <c r="C170" s="5" t="s">
        <v>547</v>
      </c>
      <c r="D170" s="5" t="s">
        <v>166</v>
      </c>
      <c r="E170" s="14">
        <v>2038</v>
      </c>
      <c r="F170" s="14">
        <v>1958</v>
      </c>
      <c r="G170" s="32">
        <v>45564</v>
      </c>
      <c r="H170" s="32">
        <v>45838</v>
      </c>
      <c r="I170" s="32">
        <v>45564</v>
      </c>
      <c r="J170" s="14">
        <v>0</v>
      </c>
    </row>
    <row r="171" spans="2:10" x14ac:dyDescent="0.3">
      <c r="B171" s="5" t="s">
        <v>354</v>
      </c>
      <c r="C171" s="5" t="s">
        <v>548</v>
      </c>
      <c r="D171" s="5" t="s">
        <v>166</v>
      </c>
      <c r="E171" s="14">
        <v>2263</v>
      </c>
      <c r="F171" s="14">
        <v>2128</v>
      </c>
      <c r="G171" s="32">
        <v>44440</v>
      </c>
      <c r="H171" s="32">
        <v>45930</v>
      </c>
      <c r="I171" s="32">
        <v>44440</v>
      </c>
      <c r="J171" s="14">
        <v>0</v>
      </c>
    </row>
    <row r="172" spans="2:10" x14ac:dyDescent="0.3">
      <c r="B172" s="5" t="s">
        <v>353</v>
      </c>
      <c r="C172" s="5" t="s">
        <v>549</v>
      </c>
      <c r="D172" s="5" t="s">
        <v>166</v>
      </c>
      <c r="E172" s="14">
        <v>1990</v>
      </c>
      <c r="F172" s="14">
        <v>1848</v>
      </c>
      <c r="G172" s="32">
        <v>44925</v>
      </c>
      <c r="H172" s="32">
        <v>45838</v>
      </c>
      <c r="I172" s="32">
        <v>44925</v>
      </c>
      <c r="J172" s="14">
        <v>1988</v>
      </c>
    </row>
    <row r="173" spans="2:10" x14ac:dyDescent="0.3">
      <c r="B173" s="5" t="s">
        <v>352</v>
      </c>
      <c r="C173" s="5" t="s">
        <v>550</v>
      </c>
      <c r="D173" s="5" t="s">
        <v>166</v>
      </c>
      <c r="E173" s="14">
        <v>1835</v>
      </c>
      <c r="F173" s="14">
        <v>1751</v>
      </c>
      <c r="G173" s="32">
        <v>45536</v>
      </c>
      <c r="H173" s="32">
        <v>45900</v>
      </c>
      <c r="I173" s="32">
        <v>45536</v>
      </c>
      <c r="J173" s="14">
        <v>1879</v>
      </c>
    </row>
    <row r="174" spans="2:10" x14ac:dyDescent="0.3">
      <c r="B174" s="5" t="s">
        <v>351</v>
      </c>
      <c r="C174" s="5" t="s">
        <v>551</v>
      </c>
      <c r="D174" s="5" t="s">
        <v>166</v>
      </c>
      <c r="E174" s="14">
        <v>2335</v>
      </c>
      <c r="F174" s="14">
        <v>2250</v>
      </c>
      <c r="G174" s="32">
        <v>45275</v>
      </c>
      <c r="H174" s="32">
        <v>45991</v>
      </c>
      <c r="I174" s="32">
        <v>45275</v>
      </c>
      <c r="J174" s="14">
        <v>2549</v>
      </c>
    </row>
    <row r="175" spans="2:10" x14ac:dyDescent="0.3">
      <c r="B175" s="5" t="s">
        <v>350</v>
      </c>
      <c r="C175" s="5" t="s">
        <v>552</v>
      </c>
      <c r="D175" s="5" t="s">
        <v>166</v>
      </c>
      <c r="E175" s="14">
        <v>2860</v>
      </c>
      <c r="F175" s="14">
        <v>2737</v>
      </c>
      <c r="G175" s="32">
        <v>45077</v>
      </c>
      <c r="H175" s="32">
        <v>45808</v>
      </c>
      <c r="I175" s="32">
        <v>45077</v>
      </c>
      <c r="J175" s="14">
        <v>3032</v>
      </c>
    </row>
    <row r="176" spans="2:10" x14ac:dyDescent="0.3">
      <c r="B176" s="5" t="s">
        <v>349</v>
      </c>
      <c r="C176" s="5" t="s">
        <v>553</v>
      </c>
      <c r="D176" s="5" t="s">
        <v>166</v>
      </c>
      <c r="E176" s="14">
        <v>2433</v>
      </c>
      <c r="F176" s="14">
        <v>2309</v>
      </c>
      <c r="G176" s="32">
        <v>45397</v>
      </c>
      <c r="H176" s="32">
        <v>45777</v>
      </c>
      <c r="I176" s="32">
        <v>45397</v>
      </c>
      <c r="J176" s="14">
        <v>0</v>
      </c>
    </row>
    <row r="177" spans="2:10" x14ac:dyDescent="0.3">
      <c r="B177" s="5" t="s">
        <v>348</v>
      </c>
      <c r="C177" s="5" t="s">
        <v>554</v>
      </c>
      <c r="D177" s="5" t="s">
        <v>166</v>
      </c>
      <c r="E177" s="14">
        <v>1898</v>
      </c>
      <c r="F177" s="14">
        <v>1817</v>
      </c>
      <c r="G177" s="32">
        <v>45402</v>
      </c>
      <c r="H177" s="32">
        <v>45777</v>
      </c>
      <c r="I177" s="32">
        <v>45402</v>
      </c>
      <c r="J177" s="14">
        <v>0</v>
      </c>
    </row>
    <row r="178" spans="2:10" x14ac:dyDescent="0.3">
      <c r="B178" s="5" t="s">
        <v>347</v>
      </c>
      <c r="C178" s="5" t="s">
        <v>555</v>
      </c>
      <c r="D178" s="5" t="s">
        <v>166</v>
      </c>
      <c r="E178" s="14">
        <v>1736</v>
      </c>
      <c r="F178" s="14">
        <v>1703</v>
      </c>
      <c r="G178" s="32">
        <v>45324</v>
      </c>
      <c r="H178" s="32">
        <v>46053</v>
      </c>
      <c r="I178" s="32">
        <v>45324</v>
      </c>
      <c r="J178" s="14">
        <v>0</v>
      </c>
    </row>
    <row r="179" spans="2:10" x14ac:dyDescent="0.3">
      <c r="B179" s="5" t="s">
        <v>346</v>
      </c>
      <c r="C179" s="5" t="s">
        <v>556</v>
      </c>
      <c r="D179" s="5" t="s">
        <v>166</v>
      </c>
      <c r="E179" s="14">
        <v>2395</v>
      </c>
      <c r="F179" s="14">
        <v>2275</v>
      </c>
      <c r="G179" s="32">
        <v>45444</v>
      </c>
      <c r="H179" s="32">
        <v>45808</v>
      </c>
      <c r="I179" s="32">
        <v>45444</v>
      </c>
      <c r="J179" s="14">
        <v>2449</v>
      </c>
    </row>
    <row r="180" spans="2:10" x14ac:dyDescent="0.3">
      <c r="B180" s="5" t="s">
        <v>345</v>
      </c>
      <c r="C180" s="5" t="s">
        <v>557</v>
      </c>
      <c r="D180" s="5" t="s">
        <v>166</v>
      </c>
      <c r="E180" s="14">
        <v>2013</v>
      </c>
      <c r="F180" s="14">
        <v>2013</v>
      </c>
      <c r="G180" s="32">
        <v>45703</v>
      </c>
      <c r="H180" s="32">
        <v>46081</v>
      </c>
      <c r="I180" s="32">
        <v>45703</v>
      </c>
      <c r="J180" s="14">
        <v>0</v>
      </c>
    </row>
    <row r="181" spans="2:10" x14ac:dyDescent="0.3">
      <c r="B181" s="5" t="s">
        <v>344</v>
      </c>
      <c r="C181" s="5" t="s">
        <v>558</v>
      </c>
      <c r="D181" s="5" t="s">
        <v>166</v>
      </c>
      <c r="E181" s="14">
        <v>1857</v>
      </c>
      <c r="F181" s="14">
        <v>1786</v>
      </c>
      <c r="G181" s="32">
        <v>45248</v>
      </c>
      <c r="H181" s="32">
        <v>45991</v>
      </c>
      <c r="I181" s="32">
        <v>45248</v>
      </c>
      <c r="J181" s="14">
        <v>0</v>
      </c>
    </row>
    <row r="182" spans="2:10" x14ac:dyDescent="0.3">
      <c r="B182" s="5" t="s">
        <v>343</v>
      </c>
      <c r="C182" s="5" t="s">
        <v>559</v>
      </c>
      <c r="D182" s="5" t="s">
        <v>166</v>
      </c>
      <c r="E182" s="14">
        <v>1925</v>
      </c>
      <c r="F182" s="14">
        <v>1925</v>
      </c>
      <c r="G182" s="32">
        <v>45657</v>
      </c>
      <c r="H182" s="32">
        <v>46022</v>
      </c>
      <c r="I182" s="32">
        <v>45657</v>
      </c>
      <c r="J182" s="14">
        <v>0</v>
      </c>
    </row>
    <row r="183" spans="2:10" x14ac:dyDescent="0.3">
      <c r="B183" s="5" t="s">
        <v>342</v>
      </c>
      <c r="C183" s="5" t="s">
        <v>560</v>
      </c>
      <c r="D183" s="5" t="s">
        <v>166</v>
      </c>
      <c r="E183" s="14">
        <v>2002</v>
      </c>
      <c r="F183" s="14">
        <v>1932</v>
      </c>
      <c r="G183" s="32">
        <v>44666</v>
      </c>
      <c r="H183" s="32">
        <v>45808</v>
      </c>
      <c r="I183" s="32">
        <v>44666</v>
      </c>
      <c r="J183" s="14">
        <v>0</v>
      </c>
    </row>
    <row r="184" spans="2:10" x14ac:dyDescent="0.3">
      <c r="B184" s="5" t="s">
        <v>341</v>
      </c>
      <c r="C184" s="5" t="s">
        <v>561</v>
      </c>
      <c r="D184" s="5" t="s">
        <v>166</v>
      </c>
      <c r="E184" s="14">
        <v>1795</v>
      </c>
      <c r="F184" s="14">
        <v>1759</v>
      </c>
      <c r="G184" s="32">
        <v>45422</v>
      </c>
      <c r="H184" s="32">
        <v>45777</v>
      </c>
      <c r="I184" s="32">
        <v>45422</v>
      </c>
      <c r="J184" s="14">
        <v>0</v>
      </c>
    </row>
    <row r="185" spans="2:10" x14ac:dyDescent="0.3">
      <c r="B185" s="5" t="s">
        <v>340</v>
      </c>
      <c r="C185" s="5" t="s">
        <v>562</v>
      </c>
      <c r="D185" s="5" t="s">
        <v>166</v>
      </c>
      <c r="E185" s="14">
        <v>2024</v>
      </c>
      <c r="F185" s="14">
        <v>1951</v>
      </c>
      <c r="G185" s="32">
        <v>45536</v>
      </c>
      <c r="H185" s="32">
        <v>45900</v>
      </c>
      <c r="I185" s="32">
        <v>45536</v>
      </c>
      <c r="J185" s="14">
        <v>2096</v>
      </c>
    </row>
    <row r="186" spans="2:10" x14ac:dyDescent="0.3">
      <c r="B186" s="5" t="s">
        <v>339</v>
      </c>
      <c r="C186" s="5" t="s">
        <v>563</v>
      </c>
      <c r="D186" s="5" t="s">
        <v>215</v>
      </c>
      <c r="E186" s="14">
        <v>2113</v>
      </c>
      <c r="F186" s="14">
        <v>857.97</v>
      </c>
      <c r="G186" s="32">
        <v>45366</v>
      </c>
      <c r="H186" s="32">
        <v>45730</v>
      </c>
      <c r="I186" s="32">
        <v>45366</v>
      </c>
      <c r="J186" s="14">
        <v>877.57</v>
      </c>
    </row>
    <row r="187" spans="2:10" x14ac:dyDescent="0.3">
      <c r="B187" s="5" t="s">
        <v>338</v>
      </c>
      <c r="C187" s="5" t="s">
        <v>564</v>
      </c>
      <c r="D187" s="5" t="s">
        <v>166</v>
      </c>
      <c r="E187" s="14">
        <v>2090</v>
      </c>
      <c r="F187" s="14">
        <v>2014</v>
      </c>
      <c r="G187" s="32">
        <v>45292</v>
      </c>
      <c r="H187" s="32">
        <v>46022</v>
      </c>
      <c r="I187" s="32">
        <v>45292</v>
      </c>
      <c r="J187" s="14">
        <v>1105</v>
      </c>
    </row>
    <row r="188" spans="2:10" x14ac:dyDescent="0.3">
      <c r="B188" s="5" t="s">
        <v>337</v>
      </c>
      <c r="C188" s="5" t="s">
        <v>565</v>
      </c>
      <c r="D188" s="5" t="s">
        <v>166</v>
      </c>
      <c r="E188" s="14">
        <v>2671</v>
      </c>
      <c r="F188" s="14">
        <v>2551</v>
      </c>
      <c r="G188" s="32">
        <v>45527</v>
      </c>
      <c r="H188" s="32">
        <v>45900</v>
      </c>
      <c r="I188" s="32">
        <v>45527</v>
      </c>
      <c r="J188" s="14">
        <v>0</v>
      </c>
    </row>
    <row r="189" spans="2:10" x14ac:dyDescent="0.3">
      <c r="B189" s="5" t="s">
        <v>336</v>
      </c>
      <c r="C189" s="5" t="s">
        <v>566</v>
      </c>
      <c r="D189" s="5" t="s">
        <v>166</v>
      </c>
      <c r="E189" s="14">
        <v>2282</v>
      </c>
      <c r="F189" s="14">
        <v>2087</v>
      </c>
      <c r="G189" s="32">
        <v>44378</v>
      </c>
      <c r="H189" s="32">
        <v>46022</v>
      </c>
      <c r="I189" s="32">
        <v>44378</v>
      </c>
      <c r="J189" s="14">
        <v>2240</v>
      </c>
    </row>
    <row r="190" spans="2:10" x14ac:dyDescent="0.3">
      <c r="B190" s="5" t="s">
        <v>335</v>
      </c>
      <c r="C190" s="5" t="s">
        <v>567</v>
      </c>
      <c r="D190" s="5" t="s">
        <v>166</v>
      </c>
      <c r="E190" s="14">
        <v>2414</v>
      </c>
      <c r="F190" s="14">
        <v>2320</v>
      </c>
      <c r="G190" s="32">
        <v>44593</v>
      </c>
      <c r="H190" s="32">
        <v>46081</v>
      </c>
      <c r="I190" s="32">
        <v>44593</v>
      </c>
      <c r="J190" s="14">
        <v>0</v>
      </c>
    </row>
    <row r="191" spans="2:10" x14ac:dyDescent="0.3">
      <c r="B191" s="5" t="s">
        <v>334</v>
      </c>
      <c r="C191" s="5" t="s">
        <v>568</v>
      </c>
      <c r="D191" s="5" t="s">
        <v>166</v>
      </c>
      <c r="E191" s="14">
        <v>2341</v>
      </c>
      <c r="F191" s="14">
        <v>2341</v>
      </c>
      <c r="G191" s="32">
        <v>45352</v>
      </c>
      <c r="H191" s="32">
        <v>46081</v>
      </c>
      <c r="I191" s="32">
        <v>45352</v>
      </c>
      <c r="J191" s="14">
        <v>0</v>
      </c>
    </row>
    <row r="192" spans="2:10" x14ac:dyDescent="0.3">
      <c r="B192" s="5" t="s">
        <v>333</v>
      </c>
      <c r="C192" s="5" t="s">
        <v>569</v>
      </c>
      <c r="D192" s="5" t="s">
        <v>166</v>
      </c>
      <c r="E192" s="14">
        <v>1948</v>
      </c>
      <c r="F192" s="14">
        <v>1851</v>
      </c>
      <c r="G192" s="32">
        <v>45397</v>
      </c>
      <c r="H192" s="32">
        <v>45777</v>
      </c>
      <c r="I192" s="32">
        <v>45397</v>
      </c>
      <c r="J192" s="14">
        <v>0</v>
      </c>
    </row>
    <row r="193" spans="2:10" x14ac:dyDescent="0.3">
      <c r="B193" s="5" t="s">
        <v>332</v>
      </c>
      <c r="C193" s="5" t="s">
        <v>570</v>
      </c>
      <c r="D193" s="5" t="s">
        <v>166</v>
      </c>
      <c r="E193" s="14">
        <v>1936</v>
      </c>
      <c r="F193" s="14">
        <v>1812</v>
      </c>
      <c r="G193" s="32">
        <v>44317</v>
      </c>
      <c r="H193" s="32">
        <v>45838</v>
      </c>
      <c r="I193" s="32">
        <v>44317</v>
      </c>
      <c r="J193" s="14">
        <v>0</v>
      </c>
    </row>
    <row r="194" spans="2:10" x14ac:dyDescent="0.3">
      <c r="B194" s="5" t="s">
        <v>331</v>
      </c>
      <c r="C194" s="5" t="s">
        <v>571</v>
      </c>
      <c r="D194" s="5" t="s">
        <v>166</v>
      </c>
      <c r="E194" s="14">
        <v>2536</v>
      </c>
      <c r="F194" s="14">
        <v>2433</v>
      </c>
      <c r="G194" s="32">
        <v>44870</v>
      </c>
      <c r="H194" s="33"/>
      <c r="I194" s="32">
        <v>44870</v>
      </c>
      <c r="J194" s="14">
        <v>2863.85</v>
      </c>
    </row>
    <row r="195" spans="2:10" x14ac:dyDescent="0.3">
      <c r="B195" s="5" t="s">
        <v>330</v>
      </c>
      <c r="C195" s="5" t="s">
        <v>572</v>
      </c>
      <c r="D195" s="5" t="s">
        <v>166</v>
      </c>
      <c r="E195" s="14">
        <v>2289</v>
      </c>
      <c r="F195" s="14">
        <v>2235</v>
      </c>
      <c r="G195" s="32">
        <v>45535</v>
      </c>
      <c r="H195" s="32">
        <v>45900</v>
      </c>
      <c r="I195" s="32">
        <v>45535</v>
      </c>
      <c r="J195" s="14">
        <v>0</v>
      </c>
    </row>
    <row r="196" spans="2:10" x14ac:dyDescent="0.3">
      <c r="B196" s="5" t="s">
        <v>329</v>
      </c>
      <c r="C196" s="5" t="s">
        <v>573</v>
      </c>
      <c r="D196" s="5" t="s">
        <v>166</v>
      </c>
      <c r="E196" s="14">
        <v>2017</v>
      </c>
      <c r="F196" s="14">
        <v>1891</v>
      </c>
      <c r="G196" s="32">
        <v>44470</v>
      </c>
      <c r="H196" s="32">
        <v>45777</v>
      </c>
      <c r="I196" s="32">
        <v>44470</v>
      </c>
      <c r="J196" s="14">
        <v>0</v>
      </c>
    </row>
    <row r="197" spans="2:10" x14ac:dyDescent="0.3">
      <c r="B197" s="5" t="s">
        <v>328</v>
      </c>
      <c r="C197" s="5" t="s">
        <v>574</v>
      </c>
      <c r="D197" s="5" t="s">
        <v>166</v>
      </c>
      <c r="E197" s="14">
        <v>1950</v>
      </c>
      <c r="F197" s="14">
        <v>1737</v>
      </c>
      <c r="G197" s="32">
        <v>44501</v>
      </c>
      <c r="H197" s="32">
        <v>46022</v>
      </c>
      <c r="I197" s="32">
        <v>44501</v>
      </c>
      <c r="J197" s="14">
        <v>1966.26</v>
      </c>
    </row>
    <row r="198" spans="2:10" x14ac:dyDescent="0.3">
      <c r="B198" s="5" t="s">
        <v>327</v>
      </c>
      <c r="C198" s="5" t="s">
        <v>575</v>
      </c>
      <c r="D198" s="5" t="s">
        <v>215</v>
      </c>
      <c r="E198" s="14">
        <v>3566</v>
      </c>
      <c r="F198" s="14">
        <v>3221</v>
      </c>
      <c r="G198" s="32">
        <v>45139</v>
      </c>
      <c r="H198" s="32">
        <v>45838</v>
      </c>
      <c r="I198" s="32">
        <v>45139</v>
      </c>
      <c r="J198" s="14">
        <v>3566</v>
      </c>
    </row>
    <row r="199" spans="2:10" x14ac:dyDescent="0.3">
      <c r="B199" s="5" t="s">
        <v>326</v>
      </c>
      <c r="C199" s="5" t="s">
        <v>576</v>
      </c>
      <c r="D199" s="5" t="s">
        <v>166</v>
      </c>
      <c r="E199" s="14">
        <v>1750</v>
      </c>
      <c r="F199" s="14">
        <v>1666</v>
      </c>
      <c r="G199" s="32">
        <v>45019</v>
      </c>
      <c r="H199" s="32">
        <v>46112</v>
      </c>
      <c r="I199" s="32">
        <v>45019</v>
      </c>
      <c r="J199" s="14">
        <v>0</v>
      </c>
    </row>
    <row r="200" spans="2:10" x14ac:dyDescent="0.3">
      <c r="B200" s="5" t="s">
        <v>325</v>
      </c>
      <c r="C200" s="5" t="s">
        <v>577</v>
      </c>
      <c r="D200" s="5" t="s">
        <v>166</v>
      </c>
      <c r="E200" s="14">
        <v>1820</v>
      </c>
      <c r="F200" s="14">
        <v>1712</v>
      </c>
      <c r="G200" s="32">
        <v>44926</v>
      </c>
      <c r="H200" s="32">
        <v>46022</v>
      </c>
      <c r="I200" s="32">
        <v>44926</v>
      </c>
      <c r="J200" s="14">
        <v>0</v>
      </c>
    </row>
    <row r="201" spans="2:10" x14ac:dyDescent="0.3">
      <c r="B201" s="5" t="s">
        <v>324</v>
      </c>
      <c r="C201" s="5" t="s">
        <v>578</v>
      </c>
      <c r="D201" s="5" t="s">
        <v>166</v>
      </c>
      <c r="E201" s="14">
        <v>2422</v>
      </c>
      <c r="F201" s="14">
        <v>2307</v>
      </c>
      <c r="G201" s="32">
        <v>44401</v>
      </c>
      <c r="H201" s="32">
        <v>45900</v>
      </c>
      <c r="I201" s="32">
        <v>44401</v>
      </c>
      <c r="J201" s="14">
        <v>0</v>
      </c>
    </row>
    <row r="202" spans="2:10" x14ac:dyDescent="0.3">
      <c r="B202" s="5" t="s">
        <v>323</v>
      </c>
      <c r="C202" s="5" t="s">
        <v>579</v>
      </c>
      <c r="D202" s="5" t="s">
        <v>166</v>
      </c>
      <c r="E202" s="14">
        <v>2105</v>
      </c>
      <c r="F202" s="14">
        <v>2035</v>
      </c>
      <c r="G202" s="32">
        <v>45156</v>
      </c>
      <c r="H202" s="32">
        <v>45869</v>
      </c>
      <c r="I202" s="32">
        <v>45156</v>
      </c>
      <c r="J202" s="14">
        <v>0</v>
      </c>
    </row>
    <row r="203" spans="2:10" x14ac:dyDescent="0.3">
      <c r="B203" s="5" t="s">
        <v>322</v>
      </c>
      <c r="C203" s="5" t="s">
        <v>580</v>
      </c>
      <c r="D203" s="5" t="s">
        <v>166</v>
      </c>
      <c r="E203" s="14">
        <v>2448</v>
      </c>
      <c r="F203" s="14">
        <v>2448</v>
      </c>
      <c r="G203" s="32">
        <v>45647</v>
      </c>
      <c r="H203" s="32">
        <v>46022</v>
      </c>
      <c r="I203" s="32">
        <v>45647</v>
      </c>
      <c r="J203" s="14">
        <v>0</v>
      </c>
    </row>
    <row r="204" spans="2:10" x14ac:dyDescent="0.3">
      <c r="B204" s="5" t="s">
        <v>321</v>
      </c>
      <c r="C204" s="5" t="s">
        <v>581</v>
      </c>
      <c r="D204" s="5" t="s">
        <v>166</v>
      </c>
      <c r="E204" s="14">
        <v>2360</v>
      </c>
      <c r="F204" s="14">
        <v>2213</v>
      </c>
      <c r="G204" s="32">
        <v>44407</v>
      </c>
      <c r="H204" s="32">
        <v>46053</v>
      </c>
      <c r="I204" s="32">
        <v>44407</v>
      </c>
      <c r="J204" s="14">
        <v>0</v>
      </c>
    </row>
    <row r="205" spans="2:10" x14ac:dyDescent="0.3">
      <c r="B205" s="5" t="s">
        <v>320</v>
      </c>
      <c r="C205" s="5" t="s">
        <v>582</v>
      </c>
      <c r="D205" s="5" t="s">
        <v>166</v>
      </c>
      <c r="E205" s="14">
        <v>2587</v>
      </c>
      <c r="F205" s="14">
        <v>2558</v>
      </c>
      <c r="G205" s="32">
        <v>45245</v>
      </c>
      <c r="H205" s="32">
        <v>46053</v>
      </c>
      <c r="I205" s="32">
        <v>45245</v>
      </c>
      <c r="J205" s="14">
        <v>0</v>
      </c>
    </row>
    <row r="206" spans="2:10" x14ac:dyDescent="0.3">
      <c r="B206" s="5" t="s">
        <v>319</v>
      </c>
      <c r="C206" s="5" t="s">
        <v>583</v>
      </c>
      <c r="D206" s="5" t="s">
        <v>166</v>
      </c>
      <c r="E206" s="14">
        <v>2346</v>
      </c>
      <c r="F206" s="14">
        <v>2215</v>
      </c>
      <c r="G206" s="32">
        <v>45465</v>
      </c>
      <c r="H206" s="32">
        <v>45838</v>
      </c>
      <c r="I206" s="32">
        <v>45465</v>
      </c>
      <c r="J206" s="14">
        <v>0</v>
      </c>
    </row>
    <row r="207" spans="2:10" x14ac:dyDescent="0.3">
      <c r="B207" s="5" t="s">
        <v>318</v>
      </c>
      <c r="C207" s="5" t="s">
        <v>584</v>
      </c>
      <c r="D207" s="5" t="s">
        <v>166</v>
      </c>
      <c r="E207" s="14">
        <v>1858</v>
      </c>
      <c r="F207" s="14">
        <v>1628</v>
      </c>
      <c r="G207" s="32">
        <v>44348</v>
      </c>
      <c r="H207" s="32">
        <v>45991</v>
      </c>
      <c r="I207" s="32">
        <v>44348</v>
      </c>
      <c r="J207" s="14">
        <v>0</v>
      </c>
    </row>
    <row r="208" spans="2:10" x14ac:dyDescent="0.3">
      <c r="B208" s="5" t="s">
        <v>317</v>
      </c>
      <c r="C208" s="5" t="s">
        <v>585</v>
      </c>
      <c r="D208" s="5" t="s">
        <v>166</v>
      </c>
      <c r="E208" s="14">
        <v>2649</v>
      </c>
      <c r="F208" s="14">
        <v>2619</v>
      </c>
      <c r="G208" s="32">
        <v>45527</v>
      </c>
      <c r="H208" s="32">
        <v>45900</v>
      </c>
      <c r="I208" s="32">
        <v>45527</v>
      </c>
      <c r="J208" s="14">
        <v>0</v>
      </c>
    </row>
    <row r="209" spans="2:10" x14ac:dyDescent="0.3">
      <c r="B209" s="5" t="s">
        <v>316</v>
      </c>
      <c r="C209" s="5" t="s">
        <v>586</v>
      </c>
      <c r="D209" s="5" t="s">
        <v>166</v>
      </c>
      <c r="E209" s="14">
        <v>2099</v>
      </c>
      <c r="F209" s="14">
        <v>2069</v>
      </c>
      <c r="G209" s="32">
        <v>45323</v>
      </c>
      <c r="H209" s="32">
        <v>46053</v>
      </c>
      <c r="I209" s="32">
        <v>45323</v>
      </c>
      <c r="J209" s="14">
        <v>0</v>
      </c>
    </row>
    <row r="210" spans="2:10" x14ac:dyDescent="0.3">
      <c r="B210" s="5" t="s">
        <v>315</v>
      </c>
      <c r="C210" s="5" t="s">
        <v>587</v>
      </c>
      <c r="D210" s="5" t="s">
        <v>166</v>
      </c>
      <c r="E210" s="14">
        <v>2114</v>
      </c>
      <c r="F210" s="14">
        <v>2027</v>
      </c>
      <c r="G210" s="32">
        <v>45366</v>
      </c>
      <c r="H210" s="32">
        <v>46112</v>
      </c>
      <c r="I210" s="32">
        <v>45366</v>
      </c>
      <c r="J210" s="14">
        <v>606</v>
      </c>
    </row>
    <row r="211" spans="2:10" x14ac:dyDescent="0.3">
      <c r="B211" s="5" t="s">
        <v>314</v>
      </c>
      <c r="C211" s="5" t="s">
        <v>588</v>
      </c>
      <c r="D211" s="5" t="s">
        <v>166</v>
      </c>
      <c r="E211" s="14">
        <v>2379</v>
      </c>
      <c r="F211" s="14">
        <v>2267</v>
      </c>
      <c r="G211" s="32">
        <v>45383</v>
      </c>
      <c r="H211" s="32">
        <v>45747</v>
      </c>
      <c r="I211" s="32">
        <v>45383</v>
      </c>
      <c r="J211" s="14">
        <v>2321</v>
      </c>
    </row>
    <row r="212" spans="2:10" x14ac:dyDescent="0.3">
      <c r="B212" s="5" t="s">
        <v>313</v>
      </c>
      <c r="C212" s="5" t="s">
        <v>589</v>
      </c>
      <c r="D212" s="5" t="s">
        <v>166</v>
      </c>
      <c r="E212" s="14">
        <v>3111</v>
      </c>
      <c r="F212" s="14">
        <v>2747</v>
      </c>
      <c r="G212" s="32">
        <v>44585</v>
      </c>
      <c r="H212" s="32">
        <v>45900</v>
      </c>
      <c r="I212" s="32">
        <v>44585</v>
      </c>
      <c r="J212" s="14">
        <v>0</v>
      </c>
    </row>
    <row r="213" spans="2:10" x14ac:dyDescent="0.3">
      <c r="B213" s="5" t="s">
        <v>312</v>
      </c>
      <c r="C213" s="5" t="s">
        <v>590</v>
      </c>
      <c r="D213" s="5" t="s">
        <v>166</v>
      </c>
      <c r="E213" s="14">
        <v>2682</v>
      </c>
      <c r="F213" s="14">
        <v>2574</v>
      </c>
      <c r="G213" s="32">
        <v>45437</v>
      </c>
      <c r="H213" s="32">
        <v>45808</v>
      </c>
      <c r="I213" s="32">
        <v>45437</v>
      </c>
      <c r="J213" s="14">
        <v>1659</v>
      </c>
    </row>
    <row r="214" spans="2:10" x14ac:dyDescent="0.3">
      <c r="B214" s="5" t="s">
        <v>311</v>
      </c>
      <c r="C214" s="5" t="s">
        <v>591</v>
      </c>
      <c r="D214" s="5" t="s">
        <v>166</v>
      </c>
      <c r="E214" s="14">
        <v>2731</v>
      </c>
      <c r="F214" s="14">
        <v>2612</v>
      </c>
      <c r="G214" s="32">
        <v>44880</v>
      </c>
      <c r="H214" s="32">
        <v>45991</v>
      </c>
      <c r="I214" s="32">
        <v>44880</v>
      </c>
      <c r="J214" s="14">
        <v>2872</v>
      </c>
    </row>
    <row r="215" spans="2:10" x14ac:dyDescent="0.3">
      <c r="B215" s="5" t="s">
        <v>310</v>
      </c>
      <c r="C215" s="5" t="s">
        <v>592</v>
      </c>
      <c r="D215" s="5" t="s">
        <v>166</v>
      </c>
      <c r="E215" s="14">
        <v>2659</v>
      </c>
      <c r="F215" s="14">
        <v>2548</v>
      </c>
      <c r="G215" s="32">
        <v>45473</v>
      </c>
      <c r="H215" s="32">
        <v>45838</v>
      </c>
      <c r="I215" s="32">
        <v>45473</v>
      </c>
      <c r="J215" s="14">
        <v>0</v>
      </c>
    </row>
    <row r="216" spans="2:10" x14ac:dyDescent="0.3">
      <c r="B216" s="5" t="s">
        <v>309</v>
      </c>
      <c r="C216" s="5" t="s">
        <v>593</v>
      </c>
      <c r="D216" s="5" t="s">
        <v>166</v>
      </c>
      <c r="E216" s="14">
        <v>2682</v>
      </c>
      <c r="F216" s="14">
        <v>2649</v>
      </c>
      <c r="G216" s="32">
        <v>45245</v>
      </c>
      <c r="H216" s="32">
        <v>46053</v>
      </c>
      <c r="I216" s="32">
        <v>45245</v>
      </c>
      <c r="J216" s="14">
        <v>2707</v>
      </c>
    </row>
    <row r="217" spans="2:10" x14ac:dyDescent="0.3">
      <c r="B217" s="5" t="s">
        <v>308</v>
      </c>
      <c r="C217" s="5" t="s">
        <v>594</v>
      </c>
      <c r="D217" s="5" t="s">
        <v>215</v>
      </c>
      <c r="E217" s="14">
        <v>2721</v>
      </c>
      <c r="F217" s="14">
        <v>2542</v>
      </c>
      <c r="G217" s="32">
        <v>45017</v>
      </c>
      <c r="H217" s="32">
        <v>45747</v>
      </c>
      <c r="I217" s="32">
        <v>45017</v>
      </c>
      <c r="J217" s="14">
        <v>2734.65</v>
      </c>
    </row>
    <row r="218" spans="2:10" x14ac:dyDescent="0.3">
      <c r="B218" s="5" t="s">
        <v>307</v>
      </c>
      <c r="C218" s="5" t="s">
        <v>595</v>
      </c>
      <c r="D218" s="5" t="s">
        <v>166</v>
      </c>
      <c r="E218" s="14">
        <v>2355</v>
      </c>
      <c r="F218" s="14">
        <v>2263</v>
      </c>
      <c r="G218" s="32">
        <v>45467</v>
      </c>
      <c r="H218" s="32">
        <v>45838</v>
      </c>
      <c r="I218" s="32">
        <v>45467</v>
      </c>
      <c r="J218" s="14">
        <v>0</v>
      </c>
    </row>
    <row r="219" spans="2:10" x14ac:dyDescent="0.3">
      <c r="B219" s="5" t="s">
        <v>306</v>
      </c>
      <c r="C219" s="5" t="s">
        <v>596</v>
      </c>
      <c r="D219" s="5" t="s">
        <v>166</v>
      </c>
      <c r="E219" s="14">
        <v>2303</v>
      </c>
      <c r="F219" s="14">
        <v>2151</v>
      </c>
      <c r="G219" s="32">
        <v>45017</v>
      </c>
      <c r="H219" s="32">
        <v>45747</v>
      </c>
      <c r="I219" s="32">
        <v>45017</v>
      </c>
      <c r="J219" s="14">
        <v>0</v>
      </c>
    </row>
    <row r="220" spans="2:10" x14ac:dyDescent="0.3">
      <c r="B220" s="5" t="s">
        <v>305</v>
      </c>
      <c r="C220" s="5" t="s">
        <v>597</v>
      </c>
      <c r="D220" s="5" t="s">
        <v>166</v>
      </c>
      <c r="E220" s="14">
        <v>1831</v>
      </c>
      <c r="F220" s="14">
        <v>1827</v>
      </c>
      <c r="G220" s="32">
        <v>45473</v>
      </c>
      <c r="H220" s="32">
        <v>45838</v>
      </c>
      <c r="I220" s="32">
        <v>45473</v>
      </c>
      <c r="J220" s="14">
        <v>0</v>
      </c>
    </row>
    <row r="221" spans="2:10" x14ac:dyDescent="0.3">
      <c r="B221" s="5" t="s">
        <v>304</v>
      </c>
      <c r="C221" s="5" t="s">
        <v>598</v>
      </c>
      <c r="D221" s="5" t="s">
        <v>166</v>
      </c>
      <c r="E221" s="14">
        <v>2539</v>
      </c>
      <c r="F221" s="14">
        <v>2481</v>
      </c>
      <c r="G221" s="32">
        <v>45591</v>
      </c>
      <c r="H221" s="32">
        <v>45961</v>
      </c>
      <c r="I221" s="32">
        <v>45591</v>
      </c>
      <c r="J221" s="14">
        <v>0</v>
      </c>
    </row>
    <row r="222" spans="2:10" x14ac:dyDescent="0.3">
      <c r="B222" s="5" t="s">
        <v>303</v>
      </c>
      <c r="C222" s="5" t="s">
        <v>599</v>
      </c>
      <c r="D222" s="5" t="s">
        <v>166</v>
      </c>
      <c r="E222" s="14">
        <v>2446</v>
      </c>
      <c r="F222" s="14">
        <v>2347</v>
      </c>
      <c r="G222" s="32">
        <v>45520</v>
      </c>
      <c r="H222" s="32">
        <v>45808</v>
      </c>
      <c r="I222" s="32">
        <v>45520</v>
      </c>
      <c r="J222" s="14">
        <v>0</v>
      </c>
    </row>
    <row r="223" spans="2:10" x14ac:dyDescent="0.3">
      <c r="B223" s="5" t="s">
        <v>302</v>
      </c>
      <c r="C223" s="5" t="s">
        <v>600</v>
      </c>
      <c r="D223" s="5" t="s">
        <v>166</v>
      </c>
      <c r="E223" s="14">
        <v>2469</v>
      </c>
      <c r="F223" s="14">
        <v>2342</v>
      </c>
      <c r="G223" s="32">
        <v>45163</v>
      </c>
      <c r="H223" s="32">
        <v>45900</v>
      </c>
      <c r="I223" s="32">
        <v>45163</v>
      </c>
      <c r="J223" s="14">
        <v>0</v>
      </c>
    </row>
    <row r="224" spans="2:10" x14ac:dyDescent="0.3">
      <c r="B224" s="5" t="s">
        <v>301</v>
      </c>
      <c r="C224" s="5" t="s">
        <v>601</v>
      </c>
      <c r="D224" s="5" t="s">
        <v>166</v>
      </c>
      <c r="E224" s="14">
        <v>2387</v>
      </c>
      <c r="F224" s="14">
        <v>2341</v>
      </c>
      <c r="G224" s="32">
        <v>44757</v>
      </c>
      <c r="H224" s="32">
        <v>45869</v>
      </c>
      <c r="I224" s="32">
        <v>44757</v>
      </c>
      <c r="J224" s="14">
        <v>0</v>
      </c>
    </row>
    <row r="225" spans="2:10" x14ac:dyDescent="0.3">
      <c r="B225" s="5" t="s">
        <v>300</v>
      </c>
      <c r="C225" s="5" t="s">
        <v>602</v>
      </c>
      <c r="D225" s="5" t="s">
        <v>166</v>
      </c>
      <c r="E225" s="14">
        <v>2165</v>
      </c>
      <c r="F225" s="14">
        <v>2075</v>
      </c>
      <c r="G225" s="32">
        <v>45122</v>
      </c>
      <c r="H225" s="32">
        <v>45838</v>
      </c>
      <c r="I225" s="32">
        <v>45122</v>
      </c>
      <c r="J225" s="14">
        <v>0</v>
      </c>
    </row>
    <row r="226" spans="2:10" x14ac:dyDescent="0.3">
      <c r="B226" s="5" t="s">
        <v>299</v>
      </c>
      <c r="C226" s="5" t="s">
        <v>603</v>
      </c>
      <c r="D226" s="5" t="s">
        <v>166</v>
      </c>
      <c r="E226" s="14">
        <v>1682</v>
      </c>
      <c r="F226" s="14">
        <v>1645</v>
      </c>
      <c r="G226" s="32">
        <v>45620</v>
      </c>
      <c r="H226" s="32">
        <v>45991</v>
      </c>
      <c r="I226" s="32">
        <v>45620</v>
      </c>
      <c r="J226" s="14">
        <v>1750.65</v>
      </c>
    </row>
    <row r="227" spans="2:10" x14ac:dyDescent="0.3">
      <c r="B227" s="5" t="s">
        <v>298</v>
      </c>
      <c r="C227" s="5" t="s">
        <v>604</v>
      </c>
      <c r="D227" s="5" t="s">
        <v>166</v>
      </c>
      <c r="E227" s="14">
        <v>2131</v>
      </c>
      <c r="F227" s="14">
        <v>2111</v>
      </c>
      <c r="G227" s="32">
        <v>45337</v>
      </c>
      <c r="H227" s="32">
        <v>46265</v>
      </c>
      <c r="I227" s="32">
        <v>45337</v>
      </c>
      <c r="J227" s="14">
        <v>2262</v>
      </c>
    </row>
    <row r="228" spans="2:10" x14ac:dyDescent="0.3">
      <c r="B228" s="5" t="s">
        <v>297</v>
      </c>
      <c r="C228" s="5" t="s">
        <v>605</v>
      </c>
      <c r="D228" s="5" t="s">
        <v>166</v>
      </c>
      <c r="E228" s="14">
        <v>2150</v>
      </c>
      <c r="F228" s="14">
        <v>2073</v>
      </c>
      <c r="G228" s="32">
        <v>45541</v>
      </c>
      <c r="H228" s="32">
        <v>45900</v>
      </c>
      <c r="I228" s="32">
        <v>45541</v>
      </c>
      <c r="J228" s="14">
        <v>2265</v>
      </c>
    </row>
    <row r="229" spans="2:10" x14ac:dyDescent="0.3">
      <c r="B229" s="5" t="s">
        <v>296</v>
      </c>
      <c r="C229" s="5" t="s">
        <v>606</v>
      </c>
      <c r="D229" s="5" t="s">
        <v>215</v>
      </c>
      <c r="E229" s="14">
        <v>2732</v>
      </c>
      <c r="F229" s="14">
        <v>2616</v>
      </c>
      <c r="G229" s="32">
        <v>45017</v>
      </c>
      <c r="H229" s="32">
        <v>45747</v>
      </c>
      <c r="I229" s="32">
        <v>45017</v>
      </c>
      <c r="J229" s="14">
        <v>0</v>
      </c>
    </row>
    <row r="230" spans="2:10" x14ac:dyDescent="0.3">
      <c r="B230" s="5" t="s">
        <v>295</v>
      </c>
      <c r="C230" s="5" t="s">
        <v>607</v>
      </c>
      <c r="D230" s="5" t="s">
        <v>166</v>
      </c>
      <c r="E230" s="14">
        <v>2202</v>
      </c>
      <c r="F230" s="14">
        <v>2112</v>
      </c>
      <c r="G230" s="32">
        <v>45494</v>
      </c>
      <c r="H230" s="32">
        <v>45869</v>
      </c>
      <c r="I230" s="32">
        <v>45494</v>
      </c>
      <c r="J230" s="14">
        <v>0</v>
      </c>
    </row>
    <row r="231" spans="2:10" x14ac:dyDescent="0.3">
      <c r="B231" s="5" t="s">
        <v>294</v>
      </c>
      <c r="C231" s="5" t="s">
        <v>608</v>
      </c>
      <c r="D231" s="5" t="s">
        <v>166</v>
      </c>
      <c r="E231" s="14">
        <v>2815</v>
      </c>
      <c r="F231" s="14">
        <v>2689</v>
      </c>
      <c r="G231" s="32">
        <v>45051</v>
      </c>
      <c r="H231" s="32">
        <v>45777</v>
      </c>
      <c r="I231" s="32">
        <v>45051</v>
      </c>
      <c r="J231" s="14">
        <v>0</v>
      </c>
    </row>
    <row r="232" spans="2:10" x14ac:dyDescent="0.3">
      <c r="B232" s="5" t="s">
        <v>293</v>
      </c>
      <c r="C232" s="5" t="s">
        <v>609</v>
      </c>
      <c r="D232" s="5" t="s">
        <v>166</v>
      </c>
      <c r="E232" s="14">
        <v>3213</v>
      </c>
      <c r="F232" s="14">
        <v>3001</v>
      </c>
      <c r="G232" s="32">
        <v>45593</v>
      </c>
      <c r="H232" s="32">
        <v>45961</v>
      </c>
      <c r="I232" s="32">
        <v>45593</v>
      </c>
      <c r="J232" s="14">
        <v>3240.84</v>
      </c>
    </row>
    <row r="233" spans="2:10" x14ac:dyDescent="0.3">
      <c r="B233" s="5" t="s">
        <v>292</v>
      </c>
      <c r="C233" s="5" t="s">
        <v>610</v>
      </c>
      <c r="D233" s="5" t="s">
        <v>166</v>
      </c>
      <c r="E233" s="14">
        <v>2178</v>
      </c>
      <c r="F233" s="14">
        <v>1964</v>
      </c>
      <c r="G233" s="32">
        <v>44652</v>
      </c>
      <c r="H233" s="32">
        <v>45777</v>
      </c>
      <c r="I233" s="32">
        <v>44652</v>
      </c>
      <c r="J233" s="14">
        <v>2116</v>
      </c>
    </row>
    <row r="234" spans="2:10" x14ac:dyDescent="0.3">
      <c r="B234" s="5" t="s">
        <v>291</v>
      </c>
      <c r="C234" s="5" t="s">
        <v>611</v>
      </c>
      <c r="D234" s="5" t="s">
        <v>166</v>
      </c>
      <c r="E234" s="14">
        <v>2481</v>
      </c>
      <c r="F234" s="14">
        <v>2444</v>
      </c>
      <c r="G234" s="32">
        <v>45332</v>
      </c>
      <c r="H234" s="32">
        <v>46053</v>
      </c>
      <c r="I234" s="32">
        <v>45332</v>
      </c>
      <c r="J234" s="14">
        <v>2605</v>
      </c>
    </row>
    <row r="235" spans="2:10" x14ac:dyDescent="0.3">
      <c r="B235" s="5" t="s">
        <v>290</v>
      </c>
      <c r="C235" s="5" t="s">
        <v>612</v>
      </c>
      <c r="D235" s="5" t="s">
        <v>166</v>
      </c>
      <c r="E235" s="14">
        <v>2372</v>
      </c>
      <c r="F235" s="14">
        <v>2069</v>
      </c>
      <c r="G235" s="32">
        <v>44575</v>
      </c>
      <c r="H235" s="32">
        <v>45716</v>
      </c>
      <c r="I235" s="32">
        <v>44575</v>
      </c>
      <c r="J235" s="14">
        <v>2136</v>
      </c>
    </row>
    <row r="236" spans="2:10" x14ac:dyDescent="0.3">
      <c r="B236" s="5" t="s">
        <v>289</v>
      </c>
      <c r="C236" s="5" t="s">
        <v>613</v>
      </c>
      <c r="D236" s="5" t="s">
        <v>166</v>
      </c>
      <c r="E236" s="14">
        <v>2397</v>
      </c>
      <c r="F236" s="14">
        <v>2259</v>
      </c>
      <c r="G236" s="32">
        <v>45031</v>
      </c>
      <c r="H236" s="33"/>
      <c r="I236" s="32">
        <v>45031</v>
      </c>
      <c r="J236" s="14">
        <v>0</v>
      </c>
    </row>
    <row r="237" spans="2:10" x14ac:dyDescent="0.3">
      <c r="B237" s="5" t="s">
        <v>288</v>
      </c>
      <c r="C237" s="5" t="s">
        <v>614</v>
      </c>
      <c r="D237" s="5" t="s">
        <v>166</v>
      </c>
      <c r="E237" s="14">
        <v>2014</v>
      </c>
      <c r="F237" s="14">
        <v>1926</v>
      </c>
      <c r="G237" s="32">
        <v>44926</v>
      </c>
      <c r="H237" s="32">
        <v>46022</v>
      </c>
      <c r="I237" s="32">
        <v>44926</v>
      </c>
      <c r="J237" s="14">
        <v>0</v>
      </c>
    </row>
    <row r="238" spans="2:10" x14ac:dyDescent="0.3">
      <c r="B238" s="5" t="s">
        <v>287</v>
      </c>
      <c r="C238" s="5" t="s">
        <v>615</v>
      </c>
      <c r="D238" s="5" t="s">
        <v>166</v>
      </c>
      <c r="E238" s="14">
        <v>2242</v>
      </c>
      <c r="F238" s="14">
        <v>2011</v>
      </c>
      <c r="G238" s="32">
        <v>44455</v>
      </c>
      <c r="H238" s="32">
        <v>45930</v>
      </c>
      <c r="I238" s="32">
        <v>44455</v>
      </c>
      <c r="J238" s="14">
        <v>0</v>
      </c>
    </row>
    <row r="239" spans="2:10" x14ac:dyDescent="0.3">
      <c r="B239" s="5" t="s">
        <v>286</v>
      </c>
      <c r="C239" s="5" t="s">
        <v>616</v>
      </c>
      <c r="D239" s="5" t="s">
        <v>166</v>
      </c>
      <c r="E239" s="14">
        <v>2060</v>
      </c>
      <c r="F239" s="14">
        <v>1980</v>
      </c>
      <c r="G239" s="32">
        <v>45296</v>
      </c>
      <c r="H239" s="32">
        <v>45838</v>
      </c>
      <c r="I239" s="32">
        <v>45296</v>
      </c>
      <c r="J239" s="14">
        <v>0</v>
      </c>
    </row>
    <row r="240" spans="2:10" x14ac:dyDescent="0.3">
      <c r="B240" s="5" t="s">
        <v>285</v>
      </c>
      <c r="C240" s="5" t="s">
        <v>617</v>
      </c>
      <c r="D240" s="5" t="s">
        <v>166</v>
      </c>
      <c r="E240" s="14">
        <v>2580</v>
      </c>
      <c r="F240" s="14">
        <v>2400</v>
      </c>
      <c r="G240" s="32">
        <v>44618</v>
      </c>
      <c r="H240" s="32">
        <v>45747</v>
      </c>
      <c r="I240" s="32">
        <v>44618</v>
      </c>
      <c r="J240" s="14">
        <v>0</v>
      </c>
    </row>
    <row r="241" spans="2:10" x14ac:dyDescent="0.3">
      <c r="B241" s="5" t="s">
        <v>284</v>
      </c>
      <c r="C241" s="5" t="s">
        <v>618</v>
      </c>
      <c r="D241" s="5" t="s">
        <v>166</v>
      </c>
      <c r="E241" s="14">
        <v>2662</v>
      </c>
      <c r="F241" s="14">
        <v>2553</v>
      </c>
      <c r="G241" s="32">
        <v>45576</v>
      </c>
      <c r="H241" s="32">
        <v>45930</v>
      </c>
      <c r="I241" s="32">
        <v>45576</v>
      </c>
      <c r="J241" s="14">
        <v>2719</v>
      </c>
    </row>
    <row r="242" spans="2:10" x14ac:dyDescent="0.3">
      <c r="B242" s="5" t="s">
        <v>283</v>
      </c>
      <c r="C242" s="5" t="s">
        <v>619</v>
      </c>
      <c r="D242" s="5" t="s">
        <v>166</v>
      </c>
      <c r="E242" s="14">
        <v>2777</v>
      </c>
      <c r="F242" s="14">
        <v>2670</v>
      </c>
      <c r="G242" s="32">
        <v>44228</v>
      </c>
      <c r="H242" s="32">
        <v>46265</v>
      </c>
      <c r="I242" s="32">
        <v>44228</v>
      </c>
      <c r="J242" s="14">
        <v>0</v>
      </c>
    </row>
    <row r="243" spans="2:10" x14ac:dyDescent="0.3">
      <c r="B243" s="5" t="s">
        <v>282</v>
      </c>
      <c r="C243" s="5" t="s">
        <v>620</v>
      </c>
      <c r="D243" s="5" t="s">
        <v>166</v>
      </c>
      <c r="E243" s="14">
        <v>1831</v>
      </c>
      <c r="F243" s="14">
        <v>1731</v>
      </c>
      <c r="G243" s="32">
        <v>44621</v>
      </c>
      <c r="H243" s="32">
        <v>45747</v>
      </c>
      <c r="I243" s="32">
        <v>44621</v>
      </c>
      <c r="J243" s="14">
        <v>0</v>
      </c>
    </row>
    <row r="244" spans="2:10" x14ac:dyDescent="0.3">
      <c r="B244" s="5" t="s">
        <v>281</v>
      </c>
      <c r="C244" s="5" t="s">
        <v>621</v>
      </c>
      <c r="D244" s="5" t="s">
        <v>166</v>
      </c>
      <c r="E244" s="14">
        <v>1887</v>
      </c>
      <c r="F244" s="14">
        <v>1795</v>
      </c>
      <c r="G244" s="32">
        <v>45536</v>
      </c>
      <c r="H244" s="32">
        <v>45900</v>
      </c>
      <c r="I244" s="32">
        <v>45536</v>
      </c>
      <c r="J244" s="14">
        <v>0</v>
      </c>
    </row>
    <row r="245" spans="2:10" x14ac:dyDescent="0.3">
      <c r="B245" s="5" t="s">
        <v>280</v>
      </c>
      <c r="C245" s="5" t="s">
        <v>622</v>
      </c>
      <c r="D245" s="5" t="s">
        <v>166</v>
      </c>
      <c r="E245" s="14">
        <v>2360</v>
      </c>
      <c r="F245" s="14">
        <v>2328</v>
      </c>
      <c r="G245" s="32">
        <v>45231</v>
      </c>
      <c r="H245" s="32">
        <v>46053</v>
      </c>
      <c r="I245" s="32">
        <v>45231</v>
      </c>
      <c r="J245" s="14">
        <v>-4</v>
      </c>
    </row>
    <row r="246" spans="2:10" x14ac:dyDescent="0.3">
      <c r="B246" s="5" t="s">
        <v>279</v>
      </c>
      <c r="C246" s="5" t="s">
        <v>623</v>
      </c>
      <c r="D246" s="5" t="s">
        <v>166</v>
      </c>
      <c r="E246" s="14">
        <v>1939</v>
      </c>
      <c r="F246" s="14">
        <v>1939</v>
      </c>
      <c r="G246" s="32">
        <v>45338</v>
      </c>
      <c r="H246" s="32">
        <v>46081</v>
      </c>
      <c r="I246" s="32">
        <v>45338</v>
      </c>
      <c r="J246" s="14">
        <v>0</v>
      </c>
    </row>
    <row r="247" spans="2:10" x14ac:dyDescent="0.3">
      <c r="B247" s="5" t="s">
        <v>278</v>
      </c>
      <c r="C247" s="5" t="s">
        <v>624</v>
      </c>
      <c r="D247" s="5" t="s">
        <v>166</v>
      </c>
      <c r="E247" s="14">
        <v>2187</v>
      </c>
      <c r="F247" s="14">
        <v>2081</v>
      </c>
      <c r="G247" s="32">
        <v>45488</v>
      </c>
      <c r="H247" s="32">
        <v>45838</v>
      </c>
      <c r="I247" s="32">
        <v>45488</v>
      </c>
      <c r="J247" s="14">
        <v>2235</v>
      </c>
    </row>
    <row r="248" spans="2:10" x14ac:dyDescent="0.3">
      <c r="B248" s="5" t="s">
        <v>277</v>
      </c>
      <c r="C248" s="5" t="s">
        <v>625</v>
      </c>
      <c r="D248" s="5" t="s">
        <v>166</v>
      </c>
      <c r="E248" s="14">
        <v>1964</v>
      </c>
      <c r="F248" s="14">
        <v>1861</v>
      </c>
      <c r="G248" s="32">
        <v>45458</v>
      </c>
      <c r="H248" s="32">
        <v>45838</v>
      </c>
      <c r="I248" s="32">
        <v>45458</v>
      </c>
      <c r="J248" s="14">
        <v>1908</v>
      </c>
    </row>
    <row r="249" spans="2:10" x14ac:dyDescent="0.3">
      <c r="B249" s="5" t="s">
        <v>276</v>
      </c>
      <c r="C249" s="5" t="s">
        <v>626</v>
      </c>
      <c r="D249" s="5" t="s">
        <v>166</v>
      </c>
      <c r="E249" s="14">
        <v>2461</v>
      </c>
      <c r="F249" s="14">
        <v>2252</v>
      </c>
      <c r="G249" s="32">
        <v>44560</v>
      </c>
      <c r="H249" s="32">
        <v>45869</v>
      </c>
      <c r="I249" s="32">
        <v>44560</v>
      </c>
      <c r="J249" s="14">
        <v>0</v>
      </c>
    </row>
    <row r="250" spans="2:10" x14ac:dyDescent="0.3">
      <c r="B250" s="5" t="s">
        <v>275</v>
      </c>
      <c r="C250" s="5" t="s">
        <v>627</v>
      </c>
      <c r="D250" s="5" t="s">
        <v>166</v>
      </c>
      <c r="E250" s="14">
        <v>2922</v>
      </c>
      <c r="F250" s="14">
        <v>2796</v>
      </c>
      <c r="G250" s="32">
        <v>45402</v>
      </c>
      <c r="H250" s="32">
        <v>45777</v>
      </c>
      <c r="I250" s="32">
        <v>45402</v>
      </c>
      <c r="J250" s="14">
        <v>0</v>
      </c>
    </row>
    <row r="251" spans="2:10" x14ac:dyDescent="0.3">
      <c r="B251" s="5" t="s">
        <v>274</v>
      </c>
      <c r="C251" s="5" t="s">
        <v>628</v>
      </c>
      <c r="D251" s="5" t="s">
        <v>166</v>
      </c>
      <c r="E251" s="14">
        <v>1825</v>
      </c>
      <c r="F251" s="14">
        <v>1825</v>
      </c>
      <c r="G251" s="32">
        <v>45689</v>
      </c>
      <c r="H251" s="32">
        <v>46053</v>
      </c>
      <c r="I251" s="32">
        <v>45689</v>
      </c>
      <c r="J251" s="14">
        <v>1949</v>
      </c>
    </row>
    <row r="252" spans="2:10" x14ac:dyDescent="0.3">
      <c r="B252" s="5" t="s">
        <v>273</v>
      </c>
      <c r="C252" s="5" t="s">
        <v>629</v>
      </c>
      <c r="D252" s="5" t="s">
        <v>166</v>
      </c>
      <c r="E252" s="14">
        <v>2617</v>
      </c>
      <c r="F252" s="14">
        <v>2485</v>
      </c>
      <c r="G252" s="32">
        <v>45092</v>
      </c>
      <c r="H252" s="32">
        <v>45808</v>
      </c>
      <c r="I252" s="32">
        <v>45092</v>
      </c>
      <c r="J252" s="14">
        <v>2668</v>
      </c>
    </row>
    <row r="253" spans="2:10" x14ac:dyDescent="0.3">
      <c r="B253" s="5" t="s">
        <v>272</v>
      </c>
      <c r="C253" s="5" t="s">
        <v>630</v>
      </c>
      <c r="D253" s="5" t="s">
        <v>166</v>
      </c>
      <c r="E253" s="14">
        <v>2355</v>
      </c>
      <c r="F253" s="14">
        <v>2247</v>
      </c>
      <c r="G253" s="32">
        <v>45458</v>
      </c>
      <c r="H253" s="32">
        <v>45838</v>
      </c>
      <c r="I253" s="32">
        <v>45458</v>
      </c>
      <c r="J253" s="14">
        <v>2413</v>
      </c>
    </row>
    <row r="254" spans="2:10" x14ac:dyDescent="0.3">
      <c r="B254" s="5" t="s">
        <v>271</v>
      </c>
      <c r="C254" s="5" t="s">
        <v>631</v>
      </c>
      <c r="D254" s="5" t="s">
        <v>166</v>
      </c>
      <c r="E254" s="14">
        <v>2566</v>
      </c>
      <c r="F254" s="14">
        <v>2290</v>
      </c>
      <c r="G254" s="32">
        <v>44500</v>
      </c>
      <c r="H254" s="32">
        <v>45991</v>
      </c>
      <c r="I254" s="32">
        <v>44500</v>
      </c>
      <c r="J254" s="14">
        <v>0</v>
      </c>
    </row>
    <row r="255" spans="2:10" x14ac:dyDescent="0.3">
      <c r="B255" s="5" t="s">
        <v>270</v>
      </c>
      <c r="C255" s="5" t="s">
        <v>632</v>
      </c>
      <c r="D255" s="5" t="s">
        <v>166</v>
      </c>
      <c r="E255" s="14">
        <v>2169</v>
      </c>
      <c r="F255" s="14">
        <v>2130</v>
      </c>
      <c r="G255" s="32">
        <v>45479</v>
      </c>
      <c r="H255" s="32">
        <v>45838</v>
      </c>
      <c r="I255" s="32">
        <v>45479</v>
      </c>
      <c r="J255" s="14">
        <v>0</v>
      </c>
    </row>
    <row r="256" spans="2:10" x14ac:dyDescent="0.3">
      <c r="B256" s="5" t="s">
        <v>269</v>
      </c>
      <c r="C256" s="5" t="s">
        <v>633</v>
      </c>
      <c r="D256" s="5" t="s">
        <v>166</v>
      </c>
      <c r="E256" s="14">
        <v>2529</v>
      </c>
      <c r="F256" s="14">
        <v>2529</v>
      </c>
      <c r="G256" s="32">
        <v>44985</v>
      </c>
      <c r="H256" s="32">
        <v>45900</v>
      </c>
      <c r="I256" s="32">
        <v>44985</v>
      </c>
      <c r="J256" s="14">
        <v>0</v>
      </c>
    </row>
    <row r="257" spans="2:10" x14ac:dyDescent="0.3">
      <c r="B257" s="5" t="s">
        <v>268</v>
      </c>
      <c r="C257" s="5" t="s">
        <v>634</v>
      </c>
      <c r="D257" s="5" t="s">
        <v>215</v>
      </c>
      <c r="E257" s="14">
        <v>2018</v>
      </c>
      <c r="F257" s="14">
        <v>1932</v>
      </c>
      <c r="G257" s="32">
        <v>45427</v>
      </c>
      <c r="H257" s="32">
        <v>45808</v>
      </c>
      <c r="I257" s="32">
        <v>45427</v>
      </c>
      <c r="J257" s="14">
        <v>0</v>
      </c>
    </row>
    <row r="258" spans="2:10" x14ac:dyDescent="0.3">
      <c r="B258" s="5" t="s">
        <v>267</v>
      </c>
      <c r="C258" s="5" t="s">
        <v>635</v>
      </c>
      <c r="D258" s="5" t="s">
        <v>166</v>
      </c>
      <c r="E258" s="14">
        <v>2236</v>
      </c>
      <c r="F258" s="14">
        <v>2132</v>
      </c>
      <c r="G258" s="32">
        <v>44324</v>
      </c>
      <c r="H258" s="32">
        <v>45961</v>
      </c>
      <c r="I258" s="32">
        <v>44324</v>
      </c>
      <c r="J258" s="14">
        <v>0</v>
      </c>
    </row>
    <row r="259" spans="2:10" x14ac:dyDescent="0.3">
      <c r="B259" s="5" t="s">
        <v>266</v>
      </c>
      <c r="C259" s="5" t="s">
        <v>636</v>
      </c>
      <c r="D259" s="5" t="s">
        <v>166</v>
      </c>
      <c r="E259" s="14">
        <v>1848</v>
      </c>
      <c r="F259" s="14">
        <v>1666</v>
      </c>
      <c r="G259" s="32">
        <v>44217</v>
      </c>
      <c r="H259" s="32">
        <v>45991</v>
      </c>
      <c r="I259" s="32">
        <v>44217</v>
      </c>
      <c r="J259" s="14">
        <v>1796</v>
      </c>
    </row>
    <row r="260" spans="2:10" x14ac:dyDescent="0.3">
      <c r="B260" s="5" t="s">
        <v>265</v>
      </c>
      <c r="C260" s="5" t="s">
        <v>637</v>
      </c>
      <c r="D260" s="5" t="s">
        <v>166</v>
      </c>
      <c r="E260" s="14">
        <v>2781</v>
      </c>
      <c r="F260" s="14">
        <v>2696</v>
      </c>
      <c r="G260" s="32">
        <v>45205</v>
      </c>
      <c r="H260" s="32">
        <v>45930</v>
      </c>
      <c r="I260" s="32">
        <v>45205</v>
      </c>
      <c r="J260" s="14">
        <v>0</v>
      </c>
    </row>
    <row r="261" spans="2:10" x14ac:dyDescent="0.3">
      <c r="B261" s="5" t="s">
        <v>264</v>
      </c>
      <c r="C261" s="5" t="s">
        <v>638</v>
      </c>
      <c r="D261" s="5" t="s">
        <v>166</v>
      </c>
      <c r="E261" s="14">
        <v>2709</v>
      </c>
      <c r="F261" s="14">
        <v>2592</v>
      </c>
      <c r="G261" s="32">
        <v>45383</v>
      </c>
      <c r="H261" s="33"/>
      <c r="I261" s="32">
        <v>45383</v>
      </c>
      <c r="J261" s="14">
        <v>0</v>
      </c>
    </row>
    <row r="262" spans="2:10" x14ac:dyDescent="0.3">
      <c r="B262" s="5" t="s">
        <v>263</v>
      </c>
      <c r="C262" s="5" t="s">
        <v>639</v>
      </c>
      <c r="D262" s="5" t="s">
        <v>166</v>
      </c>
      <c r="E262" s="14">
        <v>2201</v>
      </c>
      <c r="F262" s="14">
        <v>2096</v>
      </c>
      <c r="G262" s="32">
        <v>45397</v>
      </c>
      <c r="H262" s="32">
        <v>45777</v>
      </c>
      <c r="I262" s="32">
        <v>45397</v>
      </c>
      <c r="J262" s="14">
        <v>2257</v>
      </c>
    </row>
    <row r="263" spans="2:10" x14ac:dyDescent="0.3">
      <c r="B263" s="5" t="s">
        <v>262</v>
      </c>
      <c r="C263" s="5" t="s">
        <v>640</v>
      </c>
      <c r="D263" s="5" t="s">
        <v>166</v>
      </c>
      <c r="E263" s="14">
        <v>2406</v>
      </c>
      <c r="F263" s="14">
        <v>2307</v>
      </c>
      <c r="G263" s="32">
        <v>45163</v>
      </c>
      <c r="H263" s="32">
        <v>45808</v>
      </c>
      <c r="I263" s="32">
        <v>45163</v>
      </c>
      <c r="J263" s="14">
        <v>0</v>
      </c>
    </row>
    <row r="264" spans="2:10" x14ac:dyDescent="0.3">
      <c r="B264" s="5" t="s">
        <v>261</v>
      </c>
      <c r="C264" s="5" t="s">
        <v>641</v>
      </c>
      <c r="D264" s="5" t="s">
        <v>166</v>
      </c>
      <c r="E264" s="14">
        <v>2371</v>
      </c>
      <c r="F264" s="14">
        <v>2255</v>
      </c>
      <c r="G264" s="32">
        <v>45389</v>
      </c>
      <c r="H264" s="32">
        <v>45747</v>
      </c>
      <c r="I264" s="32">
        <v>45389</v>
      </c>
      <c r="J264" s="14">
        <v>0</v>
      </c>
    </row>
    <row r="265" spans="2:10" x14ac:dyDescent="0.3">
      <c r="B265" s="5" t="s">
        <v>260</v>
      </c>
      <c r="C265" s="5" t="s">
        <v>642</v>
      </c>
      <c r="D265" s="5" t="s">
        <v>166</v>
      </c>
      <c r="E265" s="14">
        <v>2746</v>
      </c>
      <c r="F265" s="14">
        <v>2572</v>
      </c>
      <c r="G265" s="32">
        <v>44228</v>
      </c>
      <c r="H265" s="32">
        <v>45808</v>
      </c>
      <c r="I265" s="32">
        <v>44228</v>
      </c>
      <c r="J265" s="14">
        <v>0</v>
      </c>
    </row>
    <row r="266" spans="2:10" x14ac:dyDescent="0.3">
      <c r="B266" s="5" t="s">
        <v>259</v>
      </c>
      <c r="C266" s="5" t="s">
        <v>643</v>
      </c>
      <c r="D266" s="5" t="s">
        <v>166</v>
      </c>
      <c r="E266" s="14">
        <v>2634</v>
      </c>
      <c r="F266" s="14">
        <v>2634</v>
      </c>
      <c r="G266" s="32">
        <v>45474</v>
      </c>
      <c r="H266" s="32">
        <v>45838</v>
      </c>
      <c r="I266" s="32">
        <v>45474</v>
      </c>
      <c r="J266" s="14">
        <v>0</v>
      </c>
    </row>
    <row r="267" spans="2:10" x14ac:dyDescent="0.3">
      <c r="B267" s="5" t="s">
        <v>258</v>
      </c>
      <c r="C267" s="5" t="s">
        <v>644</v>
      </c>
      <c r="D267" s="5" t="s">
        <v>166</v>
      </c>
      <c r="E267" s="14">
        <v>2112</v>
      </c>
      <c r="F267" s="14">
        <v>1910</v>
      </c>
      <c r="G267" s="32">
        <v>44498</v>
      </c>
      <c r="H267" s="32">
        <v>45991</v>
      </c>
      <c r="I267" s="32">
        <v>44498</v>
      </c>
      <c r="J267" s="14">
        <v>2062.84</v>
      </c>
    </row>
    <row r="268" spans="2:10" x14ac:dyDescent="0.3">
      <c r="B268" s="5" t="s">
        <v>257</v>
      </c>
      <c r="C268" s="5" t="s">
        <v>645</v>
      </c>
      <c r="D268" s="5" t="s">
        <v>166</v>
      </c>
      <c r="E268" s="14">
        <v>1950</v>
      </c>
      <c r="F268" s="14">
        <v>1799</v>
      </c>
      <c r="G268" s="32">
        <v>44256</v>
      </c>
      <c r="H268" s="32">
        <v>45900</v>
      </c>
      <c r="I268" s="32">
        <v>44256</v>
      </c>
      <c r="J268" s="14">
        <v>1814</v>
      </c>
    </row>
    <row r="269" spans="2:10" x14ac:dyDescent="0.3">
      <c r="B269" s="5" t="s">
        <v>256</v>
      </c>
      <c r="C269" s="5" t="s">
        <v>646</v>
      </c>
      <c r="D269" s="5" t="s">
        <v>166</v>
      </c>
      <c r="E269" s="14">
        <v>2005</v>
      </c>
      <c r="F269" s="14">
        <v>1942</v>
      </c>
      <c r="G269" s="32">
        <v>45657</v>
      </c>
      <c r="H269" s="32">
        <v>46022</v>
      </c>
      <c r="I269" s="32">
        <v>45657</v>
      </c>
      <c r="J269" s="14">
        <v>0</v>
      </c>
    </row>
    <row r="270" spans="2:10" x14ac:dyDescent="0.3">
      <c r="B270" s="5" t="s">
        <v>255</v>
      </c>
      <c r="C270" s="5" t="s">
        <v>647</v>
      </c>
      <c r="D270" s="5" t="s">
        <v>166</v>
      </c>
      <c r="E270" s="14">
        <v>2718</v>
      </c>
      <c r="F270" s="14">
        <v>2591</v>
      </c>
      <c r="G270" s="32">
        <v>45115</v>
      </c>
      <c r="H270" s="32">
        <v>45838</v>
      </c>
      <c r="I270" s="32">
        <v>45115</v>
      </c>
      <c r="J270" s="14">
        <v>2667.54</v>
      </c>
    </row>
    <row r="271" spans="2:10" x14ac:dyDescent="0.3">
      <c r="B271" s="5" t="s">
        <v>254</v>
      </c>
      <c r="C271" s="5" t="s">
        <v>648</v>
      </c>
      <c r="D271" s="5" t="s">
        <v>166</v>
      </c>
      <c r="E271" s="14">
        <v>2486</v>
      </c>
      <c r="F271" s="14">
        <v>2348</v>
      </c>
      <c r="G271" s="32">
        <v>44904</v>
      </c>
      <c r="H271" s="32">
        <v>45991</v>
      </c>
      <c r="I271" s="32">
        <v>44904</v>
      </c>
      <c r="J271" s="14">
        <v>2421</v>
      </c>
    </row>
    <row r="272" spans="2:10" x14ac:dyDescent="0.3">
      <c r="B272" s="5" t="s">
        <v>253</v>
      </c>
      <c r="C272" s="5" t="s">
        <v>649</v>
      </c>
      <c r="D272" s="5" t="s">
        <v>166</v>
      </c>
      <c r="E272" s="14">
        <v>2440</v>
      </c>
      <c r="F272" s="14">
        <v>2340</v>
      </c>
      <c r="G272" s="32">
        <v>45083</v>
      </c>
      <c r="H272" s="32">
        <v>45808</v>
      </c>
      <c r="I272" s="32">
        <v>45083</v>
      </c>
      <c r="J272" s="14">
        <v>0</v>
      </c>
    </row>
    <row r="273" spans="2:10" x14ac:dyDescent="0.3">
      <c r="B273" s="5" t="s">
        <v>252</v>
      </c>
      <c r="C273" s="5" t="s">
        <v>650</v>
      </c>
      <c r="D273" s="5" t="s">
        <v>166</v>
      </c>
      <c r="E273" s="14">
        <v>2192</v>
      </c>
      <c r="F273" s="14">
        <v>2123</v>
      </c>
      <c r="G273" s="32">
        <v>45689</v>
      </c>
      <c r="H273" s="32">
        <v>46053</v>
      </c>
      <c r="I273" s="32">
        <v>45689</v>
      </c>
      <c r="J273" s="14">
        <v>0</v>
      </c>
    </row>
    <row r="274" spans="2:10" x14ac:dyDescent="0.3">
      <c r="B274" s="5" t="s">
        <v>251</v>
      </c>
      <c r="C274" s="5" t="s">
        <v>651</v>
      </c>
      <c r="D274" s="5" t="s">
        <v>166</v>
      </c>
      <c r="E274" s="14">
        <v>2432</v>
      </c>
      <c r="F274" s="14">
        <v>2315</v>
      </c>
      <c r="G274" s="32">
        <v>44336</v>
      </c>
      <c r="H274" s="32">
        <v>45838</v>
      </c>
      <c r="I274" s="32">
        <v>44336</v>
      </c>
      <c r="J274" s="14">
        <v>0</v>
      </c>
    </row>
    <row r="275" spans="2:10" x14ac:dyDescent="0.3">
      <c r="B275" s="5" t="s">
        <v>250</v>
      </c>
      <c r="C275" s="5" t="s">
        <v>652</v>
      </c>
      <c r="D275" s="5" t="s">
        <v>166</v>
      </c>
      <c r="E275" s="14">
        <v>2330</v>
      </c>
      <c r="F275" s="14">
        <v>2213</v>
      </c>
      <c r="G275" s="32">
        <v>44820</v>
      </c>
      <c r="H275" s="32">
        <v>45930</v>
      </c>
      <c r="I275" s="32">
        <v>44820</v>
      </c>
      <c r="J275" s="14">
        <v>2375</v>
      </c>
    </row>
    <row r="276" spans="2:10" x14ac:dyDescent="0.3">
      <c r="B276" s="5" t="s">
        <v>249</v>
      </c>
      <c r="C276" s="5" t="s">
        <v>653</v>
      </c>
      <c r="D276" s="5" t="s">
        <v>166</v>
      </c>
      <c r="E276" s="14">
        <v>2026</v>
      </c>
      <c r="F276" s="14">
        <v>1944</v>
      </c>
      <c r="G276" s="32">
        <v>45087</v>
      </c>
      <c r="H276" s="32">
        <v>45808</v>
      </c>
      <c r="I276" s="32">
        <v>45087</v>
      </c>
      <c r="J276" s="14">
        <v>2219</v>
      </c>
    </row>
    <row r="277" spans="2:10" x14ac:dyDescent="0.3">
      <c r="B277" s="5" t="s">
        <v>248</v>
      </c>
      <c r="C277" s="5" t="s">
        <v>654</v>
      </c>
      <c r="D277" s="5" t="s">
        <v>166</v>
      </c>
      <c r="E277" s="14">
        <v>2267</v>
      </c>
      <c r="F277" s="14">
        <v>2154</v>
      </c>
      <c r="G277" s="32">
        <v>45444</v>
      </c>
      <c r="H277" s="32">
        <v>45808</v>
      </c>
      <c r="I277" s="32">
        <v>45444</v>
      </c>
      <c r="J277" s="14">
        <v>2319</v>
      </c>
    </row>
    <row r="278" spans="2:10" x14ac:dyDescent="0.3">
      <c r="B278" s="5" t="s">
        <v>247</v>
      </c>
      <c r="C278" s="5" t="s">
        <v>655</v>
      </c>
      <c r="D278" s="5" t="s">
        <v>166</v>
      </c>
      <c r="E278" s="14">
        <v>2548</v>
      </c>
      <c r="F278" s="14">
        <v>2466</v>
      </c>
      <c r="G278" s="32">
        <v>45226</v>
      </c>
      <c r="H278" s="32">
        <v>45961</v>
      </c>
      <c r="I278" s="32">
        <v>45226</v>
      </c>
      <c r="J278" s="14">
        <v>2690</v>
      </c>
    </row>
    <row r="279" spans="2:10" x14ac:dyDescent="0.3">
      <c r="B279" s="5" t="s">
        <v>246</v>
      </c>
      <c r="C279" s="5" t="s">
        <v>656</v>
      </c>
      <c r="D279" s="5" t="s">
        <v>166</v>
      </c>
      <c r="E279" s="14">
        <v>2356</v>
      </c>
      <c r="F279" s="14">
        <v>2230</v>
      </c>
      <c r="G279" s="32">
        <v>45566</v>
      </c>
      <c r="H279" s="32">
        <v>45930</v>
      </c>
      <c r="I279" s="32">
        <v>45566</v>
      </c>
      <c r="J279" s="14">
        <v>2406</v>
      </c>
    </row>
    <row r="280" spans="2:10" x14ac:dyDescent="0.3">
      <c r="B280" s="5" t="s">
        <v>245</v>
      </c>
      <c r="C280" s="5" t="s">
        <v>657</v>
      </c>
      <c r="D280" s="5" t="s">
        <v>166</v>
      </c>
      <c r="E280" s="14">
        <v>2319</v>
      </c>
      <c r="F280" s="14">
        <v>2210</v>
      </c>
      <c r="G280" s="32">
        <v>45397</v>
      </c>
      <c r="H280" s="32">
        <v>45777</v>
      </c>
      <c r="I280" s="32">
        <v>45397</v>
      </c>
      <c r="J280" s="14">
        <v>0</v>
      </c>
    </row>
    <row r="281" spans="2:10" x14ac:dyDescent="0.3">
      <c r="B281" s="5" t="s">
        <v>244</v>
      </c>
      <c r="C281" s="5" t="s">
        <v>658</v>
      </c>
      <c r="D281" s="5" t="s">
        <v>166</v>
      </c>
      <c r="E281" s="14">
        <v>1906</v>
      </c>
      <c r="F281" s="14">
        <v>1843</v>
      </c>
      <c r="G281" s="32">
        <v>45626</v>
      </c>
      <c r="H281" s="32">
        <v>45991</v>
      </c>
      <c r="I281" s="32">
        <v>45626</v>
      </c>
      <c r="J281" s="14">
        <v>0</v>
      </c>
    </row>
    <row r="282" spans="2:10" x14ac:dyDescent="0.3">
      <c r="B282" s="5" t="s">
        <v>243</v>
      </c>
      <c r="C282" s="5" t="s">
        <v>659</v>
      </c>
      <c r="D282" s="5" t="s">
        <v>166</v>
      </c>
      <c r="E282" s="14">
        <v>1759</v>
      </c>
      <c r="F282" s="14">
        <v>1671</v>
      </c>
      <c r="G282" s="32">
        <v>45528</v>
      </c>
      <c r="H282" s="32">
        <v>45900</v>
      </c>
      <c r="I282" s="32">
        <v>45528</v>
      </c>
      <c r="J282" s="14">
        <v>0</v>
      </c>
    </row>
    <row r="283" spans="2:10" x14ac:dyDescent="0.3">
      <c r="B283" s="5" t="s">
        <v>242</v>
      </c>
      <c r="C283" s="5" t="s">
        <v>660</v>
      </c>
      <c r="D283" s="5" t="s">
        <v>166</v>
      </c>
      <c r="E283" s="14">
        <v>2122</v>
      </c>
      <c r="F283" s="14">
        <v>2019</v>
      </c>
      <c r="G283" s="32">
        <v>45458</v>
      </c>
      <c r="H283" s="32">
        <v>45838</v>
      </c>
      <c r="I283" s="32">
        <v>45458</v>
      </c>
      <c r="J283" s="14">
        <v>2207</v>
      </c>
    </row>
    <row r="284" spans="2:10" x14ac:dyDescent="0.3">
      <c r="B284" s="5" t="s">
        <v>241</v>
      </c>
      <c r="C284" s="5" t="s">
        <v>661</v>
      </c>
      <c r="D284" s="5" t="s">
        <v>166</v>
      </c>
      <c r="E284" s="14">
        <v>2436</v>
      </c>
      <c r="F284" s="14">
        <v>2180</v>
      </c>
      <c r="G284" s="32">
        <v>44513</v>
      </c>
      <c r="H284" s="32">
        <v>45991</v>
      </c>
      <c r="I284" s="32">
        <v>44513</v>
      </c>
      <c r="J284" s="14">
        <v>2328</v>
      </c>
    </row>
    <row r="285" spans="2:10" x14ac:dyDescent="0.3">
      <c r="B285" s="5" t="s">
        <v>240</v>
      </c>
      <c r="C285" s="5" t="s">
        <v>662</v>
      </c>
      <c r="D285" s="5" t="s">
        <v>166</v>
      </c>
      <c r="E285" s="14">
        <v>2038</v>
      </c>
      <c r="F285" s="14">
        <v>1973</v>
      </c>
      <c r="G285" s="32">
        <v>45626</v>
      </c>
      <c r="H285" s="32">
        <v>45991</v>
      </c>
      <c r="I285" s="32">
        <v>45626</v>
      </c>
      <c r="J285" s="14">
        <v>2016</v>
      </c>
    </row>
    <row r="286" spans="2:10" x14ac:dyDescent="0.3">
      <c r="B286" s="5" t="s">
        <v>239</v>
      </c>
      <c r="C286" s="5" t="s">
        <v>663</v>
      </c>
      <c r="D286" s="5" t="s">
        <v>166</v>
      </c>
      <c r="E286" s="14">
        <v>2242</v>
      </c>
      <c r="F286" s="14">
        <v>2206</v>
      </c>
      <c r="G286" s="32">
        <v>45323</v>
      </c>
      <c r="H286" s="32">
        <v>46053</v>
      </c>
      <c r="I286" s="32">
        <v>45323</v>
      </c>
      <c r="J286" s="14">
        <v>0</v>
      </c>
    </row>
    <row r="287" spans="2:10" x14ac:dyDescent="0.3">
      <c r="B287" s="5" t="s">
        <v>238</v>
      </c>
      <c r="C287" s="5" t="s">
        <v>664</v>
      </c>
      <c r="D287" s="5" t="s">
        <v>166</v>
      </c>
      <c r="E287" s="14">
        <v>1684</v>
      </c>
      <c r="F287" s="14">
        <v>1620</v>
      </c>
      <c r="G287" s="32">
        <v>45184</v>
      </c>
      <c r="H287" s="33"/>
      <c r="I287" s="32">
        <v>45184</v>
      </c>
      <c r="J287" s="14">
        <v>0</v>
      </c>
    </row>
    <row r="288" spans="2:10" x14ac:dyDescent="0.3">
      <c r="B288" s="5" t="s">
        <v>237</v>
      </c>
      <c r="C288" s="5" t="s">
        <v>665</v>
      </c>
      <c r="D288" s="5" t="s">
        <v>166</v>
      </c>
      <c r="E288" s="14">
        <v>2268</v>
      </c>
      <c r="F288" s="14">
        <v>2060</v>
      </c>
      <c r="G288" s="32">
        <v>44409</v>
      </c>
      <c r="H288" s="32">
        <v>45900</v>
      </c>
      <c r="I288" s="32">
        <v>44409</v>
      </c>
      <c r="J288" s="14">
        <v>0</v>
      </c>
    </row>
    <row r="289" spans="2:10" x14ac:dyDescent="0.3">
      <c r="B289" s="5" t="s">
        <v>236</v>
      </c>
      <c r="C289" s="5" t="s">
        <v>666</v>
      </c>
      <c r="D289" s="5" t="s">
        <v>166</v>
      </c>
      <c r="E289" s="14">
        <v>2342</v>
      </c>
      <c r="F289" s="14">
        <v>2143</v>
      </c>
      <c r="G289" s="32">
        <v>44562</v>
      </c>
      <c r="H289" s="32">
        <v>46053</v>
      </c>
      <c r="I289" s="32">
        <v>44562</v>
      </c>
      <c r="J289" s="14">
        <v>2221</v>
      </c>
    </row>
    <row r="290" spans="2:10" x14ac:dyDescent="0.3">
      <c r="B290" s="5" t="s">
        <v>235</v>
      </c>
      <c r="C290" s="5" t="s">
        <v>667</v>
      </c>
      <c r="D290" s="5" t="s">
        <v>166</v>
      </c>
      <c r="E290" s="14">
        <v>3195</v>
      </c>
      <c r="F290" s="14">
        <v>3087</v>
      </c>
      <c r="G290" s="32">
        <v>45519</v>
      </c>
      <c r="H290" s="32">
        <v>45900</v>
      </c>
      <c r="I290" s="32">
        <v>45519</v>
      </c>
      <c r="J290" s="14">
        <v>0</v>
      </c>
    </row>
    <row r="291" spans="2:10" x14ac:dyDescent="0.3">
      <c r="B291" s="5" t="s">
        <v>234</v>
      </c>
      <c r="C291" s="5" t="s">
        <v>668</v>
      </c>
      <c r="D291" s="5" t="s">
        <v>166</v>
      </c>
      <c r="E291" s="14">
        <v>1698</v>
      </c>
      <c r="F291" s="14">
        <v>1670</v>
      </c>
      <c r="G291" s="32">
        <v>45689</v>
      </c>
      <c r="H291" s="32">
        <v>46053</v>
      </c>
      <c r="I291" s="32">
        <v>45689</v>
      </c>
      <c r="J291" s="14">
        <v>0</v>
      </c>
    </row>
    <row r="292" spans="2:10" x14ac:dyDescent="0.3">
      <c r="B292" s="5" t="s">
        <v>233</v>
      </c>
      <c r="C292" s="5" t="s">
        <v>669</v>
      </c>
      <c r="D292" s="5" t="s">
        <v>166</v>
      </c>
      <c r="E292" s="14">
        <v>2312</v>
      </c>
      <c r="F292" s="14">
        <v>2176</v>
      </c>
      <c r="G292" s="32">
        <v>45078</v>
      </c>
      <c r="H292" s="32">
        <v>45808</v>
      </c>
      <c r="I292" s="32">
        <v>45078</v>
      </c>
      <c r="J292" s="14">
        <v>2224</v>
      </c>
    </row>
    <row r="293" spans="2:10" x14ac:dyDescent="0.3">
      <c r="B293" s="5" t="s">
        <v>232</v>
      </c>
      <c r="C293" s="5" t="s">
        <v>670</v>
      </c>
      <c r="D293" s="5" t="s">
        <v>166</v>
      </c>
      <c r="E293" s="14">
        <v>1867</v>
      </c>
      <c r="F293" s="14">
        <v>1769</v>
      </c>
      <c r="G293" s="32">
        <v>45474</v>
      </c>
      <c r="H293" s="32">
        <v>45838</v>
      </c>
      <c r="I293" s="32">
        <v>45474</v>
      </c>
      <c r="J293" s="14">
        <v>0</v>
      </c>
    </row>
    <row r="294" spans="2:10" x14ac:dyDescent="0.3">
      <c r="B294" s="5" t="s">
        <v>231</v>
      </c>
      <c r="C294" s="5" t="s">
        <v>671</v>
      </c>
      <c r="D294" s="5" t="s">
        <v>166</v>
      </c>
      <c r="E294" s="14">
        <v>2444</v>
      </c>
      <c r="F294" s="14">
        <v>2175</v>
      </c>
      <c r="G294" s="32">
        <v>44501</v>
      </c>
      <c r="H294" s="32">
        <v>45991</v>
      </c>
      <c r="I294" s="32">
        <v>44501</v>
      </c>
      <c r="J294" s="14">
        <v>0</v>
      </c>
    </row>
    <row r="295" spans="2:10" x14ac:dyDescent="0.3">
      <c r="B295" s="5" t="s">
        <v>230</v>
      </c>
      <c r="C295" s="5" t="s">
        <v>672</v>
      </c>
      <c r="D295" s="5" t="s">
        <v>166</v>
      </c>
      <c r="E295" s="14">
        <v>1689</v>
      </c>
      <c r="F295" s="14">
        <v>1602</v>
      </c>
      <c r="G295" s="32">
        <v>45074</v>
      </c>
      <c r="H295" s="32">
        <v>45808</v>
      </c>
      <c r="I295" s="32">
        <v>45074</v>
      </c>
      <c r="J295" s="14">
        <v>0</v>
      </c>
    </row>
    <row r="296" spans="2:10" x14ac:dyDescent="0.3">
      <c r="B296" s="5" t="s">
        <v>229</v>
      </c>
      <c r="C296" s="5" t="s">
        <v>673</v>
      </c>
      <c r="D296" s="5" t="s">
        <v>166</v>
      </c>
      <c r="E296" s="14">
        <v>2153</v>
      </c>
      <c r="F296" s="14">
        <v>2127</v>
      </c>
      <c r="G296" s="32">
        <v>45323</v>
      </c>
      <c r="H296" s="32">
        <v>46053</v>
      </c>
      <c r="I296" s="32">
        <v>45323</v>
      </c>
      <c r="J296" s="14">
        <v>0</v>
      </c>
    </row>
    <row r="297" spans="2:10" x14ac:dyDescent="0.3">
      <c r="B297" s="5" t="s">
        <v>228</v>
      </c>
      <c r="C297" s="5" t="s">
        <v>674</v>
      </c>
      <c r="D297" s="5" t="s">
        <v>166</v>
      </c>
      <c r="E297" s="14">
        <v>2602</v>
      </c>
      <c r="F297" s="14">
        <v>2519</v>
      </c>
      <c r="G297" s="32">
        <v>45486</v>
      </c>
      <c r="H297" s="32">
        <v>45838</v>
      </c>
      <c r="I297" s="32">
        <v>45486</v>
      </c>
      <c r="J297" s="14">
        <v>2855</v>
      </c>
    </row>
    <row r="298" spans="2:10" x14ac:dyDescent="0.3">
      <c r="B298" s="5" t="s">
        <v>227</v>
      </c>
      <c r="C298" s="5" t="s">
        <v>675</v>
      </c>
      <c r="D298" s="5" t="s">
        <v>166</v>
      </c>
      <c r="E298" s="14">
        <v>2282</v>
      </c>
      <c r="F298" s="14">
        <v>2154</v>
      </c>
      <c r="G298" s="32">
        <v>45410</v>
      </c>
      <c r="H298" s="32">
        <v>45777</v>
      </c>
      <c r="I298" s="32">
        <v>45410</v>
      </c>
      <c r="J298" s="14">
        <v>0</v>
      </c>
    </row>
    <row r="299" spans="2:10" x14ac:dyDescent="0.3">
      <c r="B299" s="5" t="s">
        <v>226</v>
      </c>
      <c r="C299" s="5" t="s">
        <v>676</v>
      </c>
      <c r="D299" s="5" t="s">
        <v>166</v>
      </c>
      <c r="E299" s="14">
        <v>2430</v>
      </c>
      <c r="F299" s="14">
        <v>2213</v>
      </c>
      <c r="G299" s="32">
        <v>44470</v>
      </c>
      <c r="H299" s="32">
        <v>45961</v>
      </c>
      <c r="I299" s="32">
        <v>44470</v>
      </c>
      <c r="J299" s="14">
        <v>2383</v>
      </c>
    </row>
    <row r="300" spans="2:10" x14ac:dyDescent="0.3">
      <c r="B300" s="5" t="s">
        <v>225</v>
      </c>
      <c r="C300" s="5" t="s">
        <v>677</v>
      </c>
      <c r="D300" s="5" t="s">
        <v>166</v>
      </c>
      <c r="E300" s="14">
        <v>2319</v>
      </c>
      <c r="F300" s="14">
        <v>2101</v>
      </c>
      <c r="G300" s="32">
        <v>44456</v>
      </c>
      <c r="H300" s="32">
        <v>45961</v>
      </c>
      <c r="I300" s="32">
        <v>44456</v>
      </c>
      <c r="J300" s="14">
        <v>2163.71</v>
      </c>
    </row>
    <row r="301" spans="2:10" x14ac:dyDescent="0.3">
      <c r="B301" s="5" t="s">
        <v>224</v>
      </c>
      <c r="C301" s="5" t="s">
        <v>678</v>
      </c>
      <c r="D301" s="5" t="s">
        <v>166</v>
      </c>
      <c r="E301" s="14">
        <v>2565</v>
      </c>
      <c r="F301" s="14">
        <v>2474</v>
      </c>
      <c r="G301" s="32">
        <v>45672</v>
      </c>
      <c r="H301" s="32">
        <v>46203</v>
      </c>
      <c r="I301" s="32">
        <v>45672</v>
      </c>
      <c r="J301" s="14">
        <v>0</v>
      </c>
    </row>
    <row r="302" spans="2:10" x14ac:dyDescent="0.3">
      <c r="B302" s="5" t="s">
        <v>223</v>
      </c>
      <c r="C302" s="5" t="s">
        <v>679</v>
      </c>
      <c r="D302" s="5" t="s">
        <v>166</v>
      </c>
      <c r="E302" s="14">
        <v>2210</v>
      </c>
      <c r="F302" s="14">
        <v>2069</v>
      </c>
      <c r="G302" s="32">
        <v>44385</v>
      </c>
      <c r="H302" s="32">
        <v>45900</v>
      </c>
      <c r="I302" s="32">
        <v>44385</v>
      </c>
      <c r="J302" s="14">
        <v>2233.98</v>
      </c>
    </row>
    <row r="303" spans="2:10" x14ac:dyDescent="0.3">
      <c r="B303" s="5" t="s">
        <v>222</v>
      </c>
      <c r="C303" s="5" t="s">
        <v>680</v>
      </c>
      <c r="D303" s="5" t="s">
        <v>166</v>
      </c>
      <c r="E303" s="14">
        <v>2052</v>
      </c>
      <c r="F303" s="14">
        <v>1953</v>
      </c>
      <c r="G303" s="32">
        <v>44673</v>
      </c>
      <c r="H303" s="32">
        <v>45808</v>
      </c>
      <c r="I303" s="32">
        <v>44673</v>
      </c>
      <c r="J303" s="14">
        <v>2107.33</v>
      </c>
    </row>
    <row r="304" spans="2:10" x14ac:dyDescent="0.3">
      <c r="B304" s="5" t="s">
        <v>221</v>
      </c>
      <c r="C304" s="5" t="s">
        <v>681</v>
      </c>
      <c r="D304" s="5" t="s">
        <v>166</v>
      </c>
      <c r="E304" s="14">
        <v>1777</v>
      </c>
      <c r="F304" s="14">
        <v>1654</v>
      </c>
      <c r="G304" s="32">
        <v>44270</v>
      </c>
      <c r="H304" s="32">
        <v>46112</v>
      </c>
      <c r="I304" s="32">
        <v>44270</v>
      </c>
      <c r="J304" s="14">
        <v>907</v>
      </c>
    </row>
    <row r="305" spans="2:10" x14ac:dyDescent="0.3">
      <c r="B305" s="5" t="s">
        <v>220</v>
      </c>
      <c r="C305" s="5" t="s">
        <v>682</v>
      </c>
      <c r="D305" s="5" t="s">
        <v>166</v>
      </c>
      <c r="E305" s="14">
        <v>2481</v>
      </c>
      <c r="F305" s="14">
        <v>2325</v>
      </c>
      <c r="G305" s="32">
        <v>45231</v>
      </c>
      <c r="H305" s="32">
        <v>45900</v>
      </c>
      <c r="I305" s="32">
        <v>45231</v>
      </c>
      <c r="J305" s="14">
        <v>0</v>
      </c>
    </row>
    <row r="306" spans="2:10" x14ac:dyDescent="0.3">
      <c r="B306" s="5" t="s">
        <v>219</v>
      </c>
      <c r="C306" s="5" t="s">
        <v>683</v>
      </c>
      <c r="D306" s="5" t="s">
        <v>166</v>
      </c>
      <c r="E306" s="14">
        <v>2176</v>
      </c>
      <c r="F306" s="14">
        <v>1787</v>
      </c>
      <c r="G306" s="32">
        <v>44593</v>
      </c>
      <c r="H306" s="33"/>
      <c r="I306" s="32">
        <v>44593</v>
      </c>
      <c r="J306" s="14">
        <v>2341</v>
      </c>
    </row>
    <row r="307" spans="2:10" x14ac:dyDescent="0.3">
      <c r="B307" s="5" t="s">
        <v>218</v>
      </c>
      <c r="C307" s="5" t="s">
        <v>684</v>
      </c>
      <c r="D307" s="5" t="s">
        <v>166</v>
      </c>
      <c r="E307" s="14">
        <v>1893</v>
      </c>
      <c r="F307" s="14">
        <v>1893</v>
      </c>
      <c r="G307" s="32">
        <v>45542</v>
      </c>
      <c r="H307" s="32">
        <v>45900</v>
      </c>
      <c r="I307" s="32">
        <v>45542</v>
      </c>
      <c r="J307" s="14">
        <v>1949.57</v>
      </c>
    </row>
    <row r="308" spans="2:10" x14ac:dyDescent="0.3">
      <c r="B308" s="5" t="s">
        <v>217</v>
      </c>
      <c r="C308" s="5" t="s">
        <v>685</v>
      </c>
      <c r="D308" s="5" t="s">
        <v>166</v>
      </c>
      <c r="E308" s="14">
        <v>2628</v>
      </c>
      <c r="F308" s="14">
        <v>2505</v>
      </c>
      <c r="G308" s="32">
        <v>45407</v>
      </c>
      <c r="H308" s="32">
        <v>45777</v>
      </c>
      <c r="I308" s="32">
        <v>45407</v>
      </c>
      <c r="J308" s="14">
        <v>0</v>
      </c>
    </row>
    <row r="309" spans="2:10" x14ac:dyDescent="0.3">
      <c r="B309" s="5" t="s">
        <v>216</v>
      </c>
      <c r="C309" s="5" t="s">
        <v>686</v>
      </c>
      <c r="D309" s="5" t="s">
        <v>215</v>
      </c>
      <c r="E309" s="14">
        <v>2111</v>
      </c>
      <c r="F309" s="14">
        <v>1863</v>
      </c>
      <c r="G309" s="32">
        <v>44682</v>
      </c>
      <c r="H309" s="32">
        <v>45808</v>
      </c>
      <c r="I309" s="32">
        <v>44682</v>
      </c>
      <c r="J309" s="14">
        <v>0</v>
      </c>
    </row>
    <row r="310" spans="2:10" x14ac:dyDescent="0.3">
      <c r="B310" s="5" t="s">
        <v>214</v>
      </c>
      <c r="C310" s="5" t="s">
        <v>687</v>
      </c>
      <c r="D310" s="5" t="s">
        <v>166</v>
      </c>
      <c r="E310" s="14">
        <v>2438</v>
      </c>
      <c r="F310" s="14">
        <v>2334</v>
      </c>
      <c r="G310" s="32">
        <v>45437</v>
      </c>
      <c r="H310" s="32">
        <v>45808</v>
      </c>
      <c r="I310" s="32">
        <v>45437</v>
      </c>
      <c r="J310" s="14">
        <v>0</v>
      </c>
    </row>
    <row r="311" spans="2:10" x14ac:dyDescent="0.3">
      <c r="B311" s="5" t="s">
        <v>213</v>
      </c>
      <c r="C311" s="5" t="s">
        <v>688</v>
      </c>
      <c r="D311" s="5" t="s">
        <v>166</v>
      </c>
      <c r="E311" s="14">
        <v>2792</v>
      </c>
      <c r="F311" s="14">
        <v>2702</v>
      </c>
      <c r="G311" s="32">
        <v>45038</v>
      </c>
      <c r="H311" s="32">
        <v>45808</v>
      </c>
      <c r="I311" s="32">
        <v>45038</v>
      </c>
      <c r="J311" s="14">
        <v>2889.63</v>
      </c>
    </row>
    <row r="312" spans="2:10" x14ac:dyDescent="0.3">
      <c r="B312" s="5" t="s">
        <v>212</v>
      </c>
      <c r="C312" s="5" t="s">
        <v>689</v>
      </c>
      <c r="D312" s="5" t="s">
        <v>166</v>
      </c>
      <c r="E312" s="14">
        <v>3064</v>
      </c>
      <c r="F312" s="14">
        <v>2946</v>
      </c>
      <c r="G312" s="32">
        <v>45444</v>
      </c>
      <c r="H312" s="32">
        <v>45808</v>
      </c>
      <c r="I312" s="32">
        <v>45444</v>
      </c>
      <c r="J312" s="14">
        <v>3127</v>
      </c>
    </row>
    <row r="313" spans="2:10" x14ac:dyDescent="0.3">
      <c r="B313" s="5" t="s">
        <v>211</v>
      </c>
      <c r="C313" s="5" t="s">
        <v>690</v>
      </c>
      <c r="D313" s="5" t="s">
        <v>166</v>
      </c>
      <c r="E313" s="14">
        <v>2077</v>
      </c>
      <c r="F313" s="14">
        <v>1996</v>
      </c>
      <c r="G313" s="32">
        <v>45473</v>
      </c>
      <c r="H313" s="32">
        <v>45838</v>
      </c>
      <c r="I313" s="32">
        <v>45473</v>
      </c>
      <c r="J313" s="14">
        <v>0</v>
      </c>
    </row>
    <row r="314" spans="2:10" x14ac:dyDescent="0.3">
      <c r="B314" s="5" t="s">
        <v>210</v>
      </c>
      <c r="C314" s="5" t="s">
        <v>691</v>
      </c>
      <c r="D314" s="5" t="s">
        <v>166</v>
      </c>
      <c r="E314" s="14">
        <v>2130</v>
      </c>
      <c r="F314" s="14">
        <v>2022</v>
      </c>
      <c r="G314" s="32">
        <v>44757</v>
      </c>
      <c r="H314" s="32">
        <v>45869</v>
      </c>
      <c r="I314" s="32">
        <v>44757</v>
      </c>
      <c r="J314" s="14">
        <v>0</v>
      </c>
    </row>
    <row r="315" spans="2:10" x14ac:dyDescent="0.3">
      <c r="B315" s="5" t="s">
        <v>209</v>
      </c>
      <c r="C315" s="5" t="s">
        <v>692</v>
      </c>
      <c r="D315" s="5" t="s">
        <v>166</v>
      </c>
      <c r="E315" s="14">
        <v>2231</v>
      </c>
      <c r="F315" s="14">
        <v>2231</v>
      </c>
      <c r="G315" s="32">
        <v>45352</v>
      </c>
      <c r="H315" s="32">
        <v>46081</v>
      </c>
      <c r="I315" s="32">
        <v>45352</v>
      </c>
      <c r="J315" s="14">
        <v>0</v>
      </c>
    </row>
    <row r="316" spans="2:10" x14ac:dyDescent="0.3">
      <c r="B316" s="5" t="s">
        <v>208</v>
      </c>
      <c r="C316" s="5" t="s">
        <v>693</v>
      </c>
      <c r="D316" s="5" t="s">
        <v>166</v>
      </c>
      <c r="E316" s="14">
        <v>2317</v>
      </c>
      <c r="F316" s="14">
        <v>2222</v>
      </c>
      <c r="G316" s="32">
        <v>45212</v>
      </c>
      <c r="H316" s="32">
        <v>45930</v>
      </c>
      <c r="I316" s="32">
        <v>45212</v>
      </c>
      <c r="J316" s="14">
        <v>0</v>
      </c>
    </row>
    <row r="317" spans="2:10" x14ac:dyDescent="0.3">
      <c r="B317" s="5" t="s">
        <v>207</v>
      </c>
      <c r="C317" s="5" t="s">
        <v>694</v>
      </c>
      <c r="D317" s="5" t="s">
        <v>166</v>
      </c>
      <c r="E317" s="14">
        <v>2746</v>
      </c>
      <c r="F317" s="14">
        <v>2746</v>
      </c>
      <c r="G317" s="32">
        <v>45349</v>
      </c>
      <c r="H317" s="32">
        <v>46265</v>
      </c>
      <c r="I317" s="32">
        <v>45349</v>
      </c>
      <c r="J317" s="14">
        <v>0</v>
      </c>
    </row>
    <row r="318" spans="2:10" x14ac:dyDescent="0.3">
      <c r="B318" s="5" t="s">
        <v>206</v>
      </c>
      <c r="C318" s="5" t="s">
        <v>695</v>
      </c>
      <c r="D318" s="5" t="s">
        <v>166</v>
      </c>
      <c r="E318" s="14">
        <v>2351</v>
      </c>
      <c r="F318" s="14">
        <v>2224</v>
      </c>
      <c r="G318" s="32">
        <v>44866</v>
      </c>
      <c r="H318" s="32">
        <v>45961</v>
      </c>
      <c r="I318" s="32">
        <v>44866</v>
      </c>
      <c r="J318" s="14">
        <v>2455</v>
      </c>
    </row>
    <row r="319" spans="2:10" x14ac:dyDescent="0.3">
      <c r="B319" s="5" t="s">
        <v>205</v>
      </c>
      <c r="C319" s="5" t="s">
        <v>696</v>
      </c>
      <c r="D319" s="5" t="s">
        <v>166</v>
      </c>
      <c r="E319" s="14">
        <v>1846</v>
      </c>
      <c r="F319" s="14">
        <v>1704</v>
      </c>
      <c r="G319" s="32">
        <v>44494</v>
      </c>
      <c r="H319" s="32">
        <v>45991</v>
      </c>
      <c r="I319" s="32">
        <v>44494</v>
      </c>
      <c r="J319" s="14">
        <v>1879.32</v>
      </c>
    </row>
    <row r="320" spans="2:10" x14ac:dyDescent="0.3">
      <c r="B320" s="5" t="s">
        <v>204</v>
      </c>
      <c r="C320" s="5" t="s">
        <v>697</v>
      </c>
      <c r="D320" s="5" t="s">
        <v>166</v>
      </c>
      <c r="E320" s="14">
        <v>1830</v>
      </c>
      <c r="F320" s="14">
        <v>1739</v>
      </c>
      <c r="G320" s="32">
        <v>45381</v>
      </c>
      <c r="H320" s="32">
        <v>46112</v>
      </c>
      <c r="I320" s="32">
        <v>45381</v>
      </c>
      <c r="J320" s="14">
        <v>2.6143740000000002</v>
      </c>
    </row>
    <row r="321" spans="2:10" x14ac:dyDescent="0.3">
      <c r="B321" s="5" t="s">
        <v>203</v>
      </c>
      <c r="C321" s="5" t="s">
        <v>698</v>
      </c>
      <c r="D321" s="5" t="s">
        <v>166</v>
      </c>
      <c r="E321" s="14">
        <v>2202</v>
      </c>
      <c r="F321" s="14">
        <v>2142</v>
      </c>
      <c r="G321" s="32">
        <v>45261</v>
      </c>
      <c r="H321" s="32">
        <v>45991</v>
      </c>
      <c r="I321" s="32">
        <v>45261</v>
      </c>
      <c r="J321" s="14">
        <v>0</v>
      </c>
    </row>
    <row r="322" spans="2:10" x14ac:dyDescent="0.3">
      <c r="B322" s="5" t="s">
        <v>202</v>
      </c>
      <c r="C322" s="5" t="s">
        <v>699</v>
      </c>
      <c r="D322" s="5" t="s">
        <v>166</v>
      </c>
      <c r="E322" s="14">
        <v>2542</v>
      </c>
      <c r="F322" s="14">
        <v>2428</v>
      </c>
      <c r="G322" s="32">
        <v>45078</v>
      </c>
      <c r="H322" s="32">
        <v>45808</v>
      </c>
      <c r="I322" s="32">
        <v>45078</v>
      </c>
      <c r="J322" s="14">
        <v>2486</v>
      </c>
    </row>
    <row r="323" spans="2:10" x14ac:dyDescent="0.3">
      <c r="B323" s="5" t="s">
        <v>201</v>
      </c>
      <c r="C323" s="5" t="s">
        <v>700</v>
      </c>
      <c r="D323" s="5" t="s">
        <v>166</v>
      </c>
      <c r="E323" s="14">
        <v>2089</v>
      </c>
      <c r="F323" s="14">
        <v>1981</v>
      </c>
      <c r="G323" s="32">
        <v>45231</v>
      </c>
      <c r="H323" s="32">
        <v>45961</v>
      </c>
      <c r="I323" s="32">
        <v>45231</v>
      </c>
      <c r="J323" s="14">
        <v>2139</v>
      </c>
    </row>
    <row r="324" spans="2:10" x14ac:dyDescent="0.3">
      <c r="B324" s="5" t="s">
        <v>200</v>
      </c>
      <c r="C324" s="5" t="s">
        <v>701</v>
      </c>
      <c r="D324" s="5" t="s">
        <v>166</v>
      </c>
      <c r="E324" s="14">
        <v>2214</v>
      </c>
      <c r="F324" s="14">
        <v>2209</v>
      </c>
      <c r="G324" s="32">
        <v>45352</v>
      </c>
      <c r="H324" s="32">
        <v>46081</v>
      </c>
      <c r="I324" s="32">
        <v>45352</v>
      </c>
      <c r="J324" s="14">
        <v>2065</v>
      </c>
    </row>
    <row r="325" spans="2:10" x14ac:dyDescent="0.3">
      <c r="B325" s="5" t="s">
        <v>199</v>
      </c>
      <c r="C325" s="5" t="s">
        <v>702</v>
      </c>
      <c r="D325" s="5" t="s">
        <v>166</v>
      </c>
      <c r="E325" s="14">
        <v>2764</v>
      </c>
      <c r="F325" s="14">
        <v>2611</v>
      </c>
      <c r="G325" s="32">
        <v>45017</v>
      </c>
      <c r="H325" s="32">
        <v>45930</v>
      </c>
      <c r="I325" s="32">
        <v>45017</v>
      </c>
      <c r="J325" s="14">
        <v>0</v>
      </c>
    </row>
    <row r="326" spans="2:10" x14ac:dyDescent="0.3">
      <c r="B326" s="5" t="s">
        <v>198</v>
      </c>
      <c r="C326" s="5" t="s">
        <v>703</v>
      </c>
      <c r="D326" s="5" t="s">
        <v>166</v>
      </c>
      <c r="E326" s="14">
        <v>2374</v>
      </c>
      <c r="F326" s="14">
        <v>2336</v>
      </c>
      <c r="G326" s="32">
        <v>45522</v>
      </c>
      <c r="H326" s="32">
        <v>45900</v>
      </c>
      <c r="I326" s="32">
        <v>45522</v>
      </c>
      <c r="J326" s="14">
        <v>0</v>
      </c>
    </row>
    <row r="327" spans="2:10" x14ac:dyDescent="0.3">
      <c r="B327" s="5" t="s">
        <v>197</v>
      </c>
      <c r="C327" s="5" t="s">
        <v>704</v>
      </c>
      <c r="D327" s="5" t="s">
        <v>166</v>
      </c>
      <c r="E327" s="14">
        <v>2153</v>
      </c>
      <c r="F327" s="14">
        <v>2153</v>
      </c>
      <c r="G327" s="32">
        <v>45352</v>
      </c>
      <c r="H327" s="32">
        <v>46081</v>
      </c>
      <c r="I327" s="32">
        <v>45352</v>
      </c>
      <c r="J327" s="14">
        <v>0</v>
      </c>
    </row>
    <row r="328" spans="2:10" x14ac:dyDescent="0.3">
      <c r="B328" s="5" t="s">
        <v>196</v>
      </c>
      <c r="C328" s="5" t="s">
        <v>705</v>
      </c>
      <c r="D328" s="5" t="s">
        <v>166</v>
      </c>
      <c r="E328" s="14">
        <v>2495</v>
      </c>
      <c r="F328" s="14">
        <v>2415</v>
      </c>
      <c r="G328" s="32">
        <v>44941</v>
      </c>
      <c r="H328" s="32">
        <v>46053</v>
      </c>
      <c r="I328" s="32">
        <v>44941</v>
      </c>
      <c r="J328" s="14">
        <v>2605.5100000000002</v>
      </c>
    </row>
    <row r="329" spans="2:10" x14ac:dyDescent="0.3">
      <c r="B329" s="5" t="s">
        <v>195</v>
      </c>
      <c r="C329" s="5" t="s">
        <v>706</v>
      </c>
      <c r="D329" s="5" t="s">
        <v>166</v>
      </c>
      <c r="E329" s="14">
        <v>2069</v>
      </c>
      <c r="F329" s="14">
        <v>1859</v>
      </c>
      <c r="G329" s="32">
        <v>44256</v>
      </c>
      <c r="H329" s="32">
        <v>46112</v>
      </c>
      <c r="I329" s="32">
        <v>44256</v>
      </c>
      <c r="J329" s="14">
        <v>0</v>
      </c>
    </row>
    <row r="330" spans="2:10" x14ac:dyDescent="0.3">
      <c r="B330" s="5" t="s">
        <v>194</v>
      </c>
      <c r="C330" s="5" t="s">
        <v>707</v>
      </c>
      <c r="D330" s="5" t="s">
        <v>166</v>
      </c>
      <c r="E330" s="14">
        <v>2537</v>
      </c>
      <c r="F330" s="14">
        <v>2424</v>
      </c>
      <c r="G330" s="32">
        <v>45444</v>
      </c>
      <c r="H330" s="32">
        <v>45808</v>
      </c>
      <c r="I330" s="32">
        <v>45444</v>
      </c>
      <c r="J330" s="14">
        <v>0</v>
      </c>
    </row>
    <row r="331" spans="2:10" x14ac:dyDescent="0.3">
      <c r="B331" s="5" t="s">
        <v>193</v>
      </c>
      <c r="C331" s="5" t="s">
        <v>708</v>
      </c>
      <c r="D331" s="5" t="s">
        <v>166</v>
      </c>
      <c r="E331" s="14">
        <v>2079</v>
      </c>
      <c r="F331" s="14">
        <v>2051</v>
      </c>
      <c r="G331" s="32">
        <v>45337</v>
      </c>
      <c r="H331" s="32">
        <v>46053</v>
      </c>
      <c r="I331" s="32">
        <v>45337</v>
      </c>
      <c r="J331" s="14">
        <v>2243.0700000000002</v>
      </c>
    </row>
    <row r="332" spans="2:10" x14ac:dyDescent="0.3">
      <c r="B332" s="5" t="s">
        <v>192</v>
      </c>
      <c r="C332" s="5" t="s">
        <v>709</v>
      </c>
      <c r="D332" s="5" t="s">
        <v>166</v>
      </c>
      <c r="E332" s="14">
        <v>2046</v>
      </c>
      <c r="F332" s="14">
        <v>1826</v>
      </c>
      <c r="G332" s="32">
        <v>44233</v>
      </c>
      <c r="H332" s="32">
        <v>45808</v>
      </c>
      <c r="I332" s="32">
        <v>44233</v>
      </c>
      <c r="J332" s="14">
        <v>1519.3</v>
      </c>
    </row>
    <row r="333" spans="2:10" x14ac:dyDescent="0.3">
      <c r="B333" s="5" t="s">
        <v>191</v>
      </c>
      <c r="C333" s="5" t="s">
        <v>710</v>
      </c>
      <c r="D333" s="5" t="s">
        <v>166</v>
      </c>
      <c r="E333" s="14">
        <v>2021</v>
      </c>
      <c r="F333" s="14">
        <v>1923</v>
      </c>
      <c r="G333" s="32">
        <v>45514</v>
      </c>
      <c r="H333" s="32">
        <v>45869</v>
      </c>
      <c r="I333" s="32">
        <v>45514</v>
      </c>
      <c r="J333" s="14">
        <v>0</v>
      </c>
    </row>
    <row r="334" spans="2:10" x14ac:dyDescent="0.3">
      <c r="B334" s="5" t="s">
        <v>190</v>
      </c>
      <c r="C334" s="5" t="s">
        <v>711</v>
      </c>
      <c r="D334" s="5" t="s">
        <v>166</v>
      </c>
      <c r="E334" s="14">
        <v>2969</v>
      </c>
      <c r="F334" s="14">
        <v>2887</v>
      </c>
      <c r="G334" s="32">
        <v>44893</v>
      </c>
      <c r="H334" s="32">
        <v>45991</v>
      </c>
      <c r="I334" s="32">
        <v>44893</v>
      </c>
      <c r="J334" s="14">
        <v>0</v>
      </c>
    </row>
    <row r="335" spans="2:10" x14ac:dyDescent="0.3">
      <c r="B335" s="5" t="s">
        <v>189</v>
      </c>
      <c r="C335" s="5" t="s">
        <v>712</v>
      </c>
      <c r="D335" s="5" t="s">
        <v>166</v>
      </c>
      <c r="E335" s="14">
        <v>2431</v>
      </c>
      <c r="F335" s="14">
        <v>2309</v>
      </c>
      <c r="G335" s="32">
        <v>45542</v>
      </c>
      <c r="H335" s="32">
        <v>45900</v>
      </c>
      <c r="I335" s="32">
        <v>45542</v>
      </c>
      <c r="J335" s="14">
        <v>0</v>
      </c>
    </row>
    <row r="336" spans="2:10" x14ac:dyDescent="0.3">
      <c r="B336" s="5" t="s">
        <v>188</v>
      </c>
      <c r="C336" s="5" t="s">
        <v>713</v>
      </c>
      <c r="D336" s="5" t="s">
        <v>166</v>
      </c>
      <c r="E336" s="14">
        <v>1975</v>
      </c>
      <c r="F336" s="14">
        <v>1880</v>
      </c>
      <c r="G336" s="32">
        <v>45527</v>
      </c>
      <c r="H336" s="32">
        <v>45900</v>
      </c>
      <c r="I336" s="32">
        <v>45527</v>
      </c>
      <c r="J336" s="14">
        <v>2019</v>
      </c>
    </row>
    <row r="337" spans="2:10" x14ac:dyDescent="0.3">
      <c r="B337" s="5" t="s">
        <v>187</v>
      </c>
      <c r="C337" s="5" t="s">
        <v>714</v>
      </c>
      <c r="D337" s="5" t="s">
        <v>166</v>
      </c>
      <c r="E337" s="14">
        <v>2062</v>
      </c>
      <c r="F337" s="14">
        <v>1973</v>
      </c>
      <c r="G337" s="32">
        <v>45580</v>
      </c>
      <c r="H337" s="32">
        <v>45930</v>
      </c>
      <c r="I337" s="32">
        <v>45580</v>
      </c>
      <c r="J337" s="14">
        <v>0</v>
      </c>
    </row>
    <row r="338" spans="2:10" x14ac:dyDescent="0.3">
      <c r="B338" s="5" t="s">
        <v>186</v>
      </c>
      <c r="C338" s="5" t="s">
        <v>715</v>
      </c>
      <c r="D338" s="5" t="s">
        <v>166</v>
      </c>
      <c r="E338" s="14">
        <v>1979</v>
      </c>
      <c r="F338" s="14">
        <v>1954</v>
      </c>
      <c r="G338" s="32">
        <v>44757</v>
      </c>
      <c r="H338" s="32">
        <v>45869</v>
      </c>
      <c r="I338" s="32">
        <v>44757</v>
      </c>
      <c r="J338" s="14">
        <v>2072</v>
      </c>
    </row>
    <row r="339" spans="2:10" x14ac:dyDescent="0.3">
      <c r="B339" s="5" t="s">
        <v>185</v>
      </c>
      <c r="C339" s="5" t="s">
        <v>716</v>
      </c>
      <c r="D339" s="5" t="s">
        <v>166</v>
      </c>
      <c r="E339" s="14">
        <v>2426</v>
      </c>
      <c r="F339" s="14">
        <v>2304</v>
      </c>
      <c r="G339" s="32">
        <v>45611</v>
      </c>
      <c r="H339" s="32">
        <v>45991</v>
      </c>
      <c r="I339" s="32">
        <v>45611</v>
      </c>
      <c r="J339" s="14">
        <v>2366</v>
      </c>
    </row>
    <row r="340" spans="2:10" x14ac:dyDescent="0.3">
      <c r="B340" s="5" t="s">
        <v>184</v>
      </c>
      <c r="C340" s="5" t="s">
        <v>717</v>
      </c>
      <c r="D340" s="5" t="s">
        <v>166</v>
      </c>
      <c r="E340" s="14">
        <v>1785</v>
      </c>
      <c r="F340" s="14">
        <v>1785</v>
      </c>
      <c r="G340" s="32">
        <v>45642</v>
      </c>
      <c r="H340" s="32">
        <v>46022</v>
      </c>
      <c r="I340" s="32">
        <v>45642</v>
      </c>
      <c r="J340" s="14">
        <v>0</v>
      </c>
    </row>
    <row r="341" spans="2:10" x14ac:dyDescent="0.3">
      <c r="B341" s="5" t="s">
        <v>183</v>
      </c>
      <c r="C341" s="5" t="s">
        <v>718</v>
      </c>
      <c r="D341" s="5" t="s">
        <v>166</v>
      </c>
      <c r="E341" s="14">
        <v>2030</v>
      </c>
      <c r="F341" s="14">
        <v>1980</v>
      </c>
      <c r="G341" s="32">
        <v>45474</v>
      </c>
      <c r="H341" s="32">
        <v>45838</v>
      </c>
      <c r="I341" s="32">
        <v>45474</v>
      </c>
      <c r="J341" s="14">
        <v>14</v>
      </c>
    </row>
    <row r="342" spans="2:10" x14ac:dyDescent="0.3">
      <c r="B342" s="5" t="s">
        <v>182</v>
      </c>
      <c r="C342" s="5" t="s">
        <v>719</v>
      </c>
      <c r="D342" s="5" t="s">
        <v>166</v>
      </c>
      <c r="E342" s="14">
        <v>2292</v>
      </c>
      <c r="F342" s="14">
        <v>2085</v>
      </c>
      <c r="G342" s="32">
        <v>44428</v>
      </c>
      <c r="H342" s="32">
        <v>45930</v>
      </c>
      <c r="I342" s="32">
        <v>44428</v>
      </c>
      <c r="J342" s="14">
        <v>2222</v>
      </c>
    </row>
    <row r="343" spans="2:10" x14ac:dyDescent="0.3">
      <c r="B343" s="5" t="s">
        <v>181</v>
      </c>
      <c r="C343" s="5" t="s">
        <v>720</v>
      </c>
      <c r="D343" s="5" t="s">
        <v>166</v>
      </c>
      <c r="E343" s="14">
        <v>2523</v>
      </c>
      <c r="F343" s="14">
        <v>2293</v>
      </c>
      <c r="G343" s="32">
        <v>45580</v>
      </c>
      <c r="H343" s="32">
        <v>45961</v>
      </c>
      <c r="I343" s="32">
        <v>45580</v>
      </c>
      <c r="J343" s="14">
        <v>2473</v>
      </c>
    </row>
    <row r="344" spans="2:10" x14ac:dyDescent="0.3">
      <c r="B344" s="5" t="s">
        <v>180</v>
      </c>
      <c r="C344" s="5" t="s">
        <v>721</v>
      </c>
      <c r="D344" s="5" t="s">
        <v>166</v>
      </c>
      <c r="E344" s="14">
        <v>2093</v>
      </c>
      <c r="F344" s="14">
        <v>2001</v>
      </c>
      <c r="G344" s="32">
        <v>45303</v>
      </c>
      <c r="H344" s="32">
        <v>46022</v>
      </c>
      <c r="I344" s="32">
        <v>45303</v>
      </c>
      <c r="J344" s="14">
        <v>0</v>
      </c>
    </row>
    <row r="345" spans="2:10" x14ac:dyDescent="0.3">
      <c r="B345" s="5" t="s">
        <v>179</v>
      </c>
      <c r="C345" s="5" t="s">
        <v>722</v>
      </c>
      <c r="D345" s="5" t="s">
        <v>166</v>
      </c>
      <c r="E345" s="14">
        <v>2377</v>
      </c>
      <c r="F345" s="14">
        <v>2244</v>
      </c>
      <c r="G345" s="32">
        <v>45521</v>
      </c>
      <c r="H345" s="32">
        <v>45900</v>
      </c>
      <c r="I345" s="32">
        <v>45521</v>
      </c>
      <c r="J345" s="14">
        <v>2421</v>
      </c>
    </row>
    <row r="346" spans="2:10" x14ac:dyDescent="0.3">
      <c r="B346" s="5" t="s">
        <v>178</v>
      </c>
      <c r="C346" s="5" t="s">
        <v>723</v>
      </c>
      <c r="D346" s="5" t="s">
        <v>166</v>
      </c>
      <c r="E346" s="14">
        <v>2465</v>
      </c>
      <c r="F346" s="14">
        <v>2350</v>
      </c>
      <c r="G346" s="32">
        <v>45114</v>
      </c>
      <c r="H346" s="32">
        <v>45838</v>
      </c>
      <c r="I346" s="32">
        <v>45114</v>
      </c>
      <c r="J346" s="14">
        <v>2569</v>
      </c>
    </row>
    <row r="347" spans="2:10" x14ac:dyDescent="0.3">
      <c r="B347" s="5" t="s">
        <v>177</v>
      </c>
      <c r="C347" s="5" t="s">
        <v>724</v>
      </c>
      <c r="D347" s="5" t="s">
        <v>166</v>
      </c>
      <c r="E347" s="14">
        <v>1991</v>
      </c>
      <c r="F347" s="14">
        <v>1927</v>
      </c>
      <c r="G347" s="32">
        <v>44441</v>
      </c>
      <c r="H347" s="32">
        <v>45930</v>
      </c>
      <c r="I347" s="32">
        <v>44441</v>
      </c>
      <c r="J347" s="14">
        <v>-766</v>
      </c>
    </row>
    <row r="348" spans="2:10" x14ac:dyDescent="0.3">
      <c r="B348" s="5" t="s">
        <v>176</v>
      </c>
      <c r="C348" s="5" t="s">
        <v>725</v>
      </c>
      <c r="D348" s="5" t="s">
        <v>166</v>
      </c>
      <c r="E348" s="14">
        <v>1859</v>
      </c>
      <c r="F348" s="14">
        <v>1803</v>
      </c>
      <c r="G348" s="32">
        <v>45566</v>
      </c>
      <c r="H348" s="32">
        <v>45930</v>
      </c>
      <c r="I348" s="32">
        <v>45566</v>
      </c>
      <c r="J348" s="14">
        <v>1991</v>
      </c>
    </row>
    <row r="349" spans="2:10" x14ac:dyDescent="0.3">
      <c r="B349" s="5" t="s">
        <v>175</v>
      </c>
      <c r="C349" s="5" t="s">
        <v>726</v>
      </c>
      <c r="D349" s="5" t="s">
        <v>166</v>
      </c>
      <c r="E349" s="14">
        <v>2961</v>
      </c>
      <c r="F349" s="14">
        <v>2833</v>
      </c>
      <c r="G349" s="32">
        <v>45549</v>
      </c>
      <c r="H349" s="32">
        <v>45930</v>
      </c>
      <c r="I349" s="32">
        <v>45549</v>
      </c>
      <c r="J349" s="14">
        <v>3011</v>
      </c>
    </row>
    <row r="350" spans="2:10" x14ac:dyDescent="0.3">
      <c r="B350" s="5" t="s">
        <v>174</v>
      </c>
      <c r="C350" s="5" t="s">
        <v>727</v>
      </c>
      <c r="D350" s="5" t="s">
        <v>166</v>
      </c>
      <c r="E350" s="14">
        <v>2808</v>
      </c>
      <c r="F350" s="14">
        <v>2527</v>
      </c>
      <c r="G350" s="32">
        <v>44593</v>
      </c>
      <c r="H350" s="32">
        <v>46081</v>
      </c>
      <c r="I350" s="32">
        <v>44593</v>
      </c>
      <c r="J350" s="14">
        <v>2781.93</v>
      </c>
    </row>
    <row r="351" spans="2:10" x14ac:dyDescent="0.3">
      <c r="B351" s="5" t="s">
        <v>173</v>
      </c>
      <c r="C351" s="5" t="s">
        <v>728</v>
      </c>
      <c r="D351" s="5" t="s">
        <v>166</v>
      </c>
      <c r="E351" s="14">
        <v>2065</v>
      </c>
      <c r="F351" s="14">
        <v>1851</v>
      </c>
      <c r="G351" s="32">
        <v>44317</v>
      </c>
      <c r="H351" s="32">
        <v>45961</v>
      </c>
      <c r="I351" s="32">
        <v>44317</v>
      </c>
      <c r="J351" s="14">
        <v>0</v>
      </c>
    </row>
    <row r="352" spans="2:10" x14ac:dyDescent="0.3">
      <c r="B352" s="5" t="s">
        <v>172</v>
      </c>
      <c r="C352" s="5" t="s">
        <v>729</v>
      </c>
      <c r="D352" s="5" t="s">
        <v>166</v>
      </c>
      <c r="E352" s="14">
        <v>2171</v>
      </c>
      <c r="F352" s="14">
        <v>2032</v>
      </c>
      <c r="G352" s="32">
        <v>45005</v>
      </c>
      <c r="H352" s="32">
        <v>45930</v>
      </c>
      <c r="I352" s="32">
        <v>45005</v>
      </c>
      <c r="J352" s="14">
        <v>0</v>
      </c>
    </row>
    <row r="353" spans="2:10" x14ac:dyDescent="0.3">
      <c r="B353" s="5" t="s">
        <v>171</v>
      </c>
      <c r="C353" s="5" t="s">
        <v>730</v>
      </c>
      <c r="D353" s="5" t="s">
        <v>166</v>
      </c>
      <c r="E353" s="14">
        <v>2037</v>
      </c>
      <c r="F353" s="14">
        <v>1938</v>
      </c>
      <c r="G353" s="32">
        <v>45577</v>
      </c>
      <c r="H353" s="32">
        <v>45930</v>
      </c>
      <c r="I353" s="32">
        <v>45577</v>
      </c>
      <c r="J353" s="14">
        <v>2083</v>
      </c>
    </row>
    <row r="354" spans="2:10" x14ac:dyDescent="0.3">
      <c r="B354" s="5" t="s">
        <v>170</v>
      </c>
      <c r="C354" s="5" t="s">
        <v>731</v>
      </c>
      <c r="D354" s="5" t="s">
        <v>166</v>
      </c>
      <c r="E354" s="14">
        <v>2111</v>
      </c>
      <c r="F354" s="14">
        <v>2018</v>
      </c>
      <c r="G354" s="32">
        <v>45136</v>
      </c>
      <c r="H354" s="32">
        <v>45869</v>
      </c>
      <c r="I354" s="32">
        <v>45136</v>
      </c>
      <c r="J354" s="14">
        <v>2069</v>
      </c>
    </row>
    <row r="355" spans="2:10" x14ac:dyDescent="0.3">
      <c r="B355" s="5" t="s">
        <v>169</v>
      </c>
      <c r="C355" s="5" t="s">
        <v>732</v>
      </c>
      <c r="D355" s="5" t="s">
        <v>166</v>
      </c>
      <c r="E355" s="14">
        <v>1916</v>
      </c>
      <c r="F355" s="14">
        <v>1822</v>
      </c>
      <c r="G355" s="32">
        <v>45505</v>
      </c>
      <c r="H355" s="32">
        <v>45869</v>
      </c>
      <c r="I355" s="32">
        <v>45505</v>
      </c>
      <c r="J355" s="14">
        <v>0</v>
      </c>
    </row>
    <row r="356" spans="2:10" x14ac:dyDescent="0.3">
      <c r="B356" s="5" t="s">
        <v>168</v>
      </c>
      <c r="C356" s="5" t="s">
        <v>733</v>
      </c>
      <c r="D356" s="5" t="s">
        <v>166</v>
      </c>
      <c r="E356" s="14">
        <v>2122</v>
      </c>
      <c r="F356" s="14">
        <v>2035</v>
      </c>
      <c r="G356" s="32">
        <v>44593</v>
      </c>
      <c r="H356" s="32">
        <v>45900</v>
      </c>
      <c r="I356" s="32">
        <v>44593</v>
      </c>
      <c r="J356" s="14">
        <v>0</v>
      </c>
    </row>
    <row r="357" spans="2:10" x14ac:dyDescent="0.3">
      <c r="B357" s="5" t="s">
        <v>167</v>
      </c>
      <c r="C357" s="5" t="s">
        <v>734</v>
      </c>
      <c r="D357" s="5" t="s">
        <v>166</v>
      </c>
      <c r="E357" s="14">
        <v>2492</v>
      </c>
      <c r="F357" s="14">
        <v>2332</v>
      </c>
      <c r="G357" s="32">
        <v>45000</v>
      </c>
      <c r="H357" s="32">
        <v>46112</v>
      </c>
      <c r="I357" s="32">
        <v>45000</v>
      </c>
      <c r="J357" s="14">
        <v>0</v>
      </c>
    </row>
    <row r="358" spans="2:10" x14ac:dyDescent="0.3">
      <c r="B358" s="5" t="s">
        <v>165</v>
      </c>
      <c r="C358" s="26"/>
      <c r="D358" s="5" t="s">
        <v>146</v>
      </c>
      <c r="E358" s="14">
        <v>2380</v>
      </c>
      <c r="F358" s="27"/>
      <c r="G358" s="33"/>
      <c r="H358" s="33"/>
      <c r="I358" s="33"/>
      <c r="J358" s="27"/>
    </row>
    <row r="359" spans="2:10" x14ac:dyDescent="0.3">
      <c r="B359" s="5" t="s">
        <v>164</v>
      </c>
      <c r="C359" s="26"/>
      <c r="D359" s="5" t="s">
        <v>148</v>
      </c>
      <c r="E359" s="14">
        <v>2101</v>
      </c>
      <c r="F359" s="27"/>
      <c r="G359" s="33"/>
      <c r="H359" s="33"/>
      <c r="I359" s="33"/>
      <c r="J359" s="27"/>
    </row>
    <row r="360" spans="2:10" x14ac:dyDescent="0.3">
      <c r="B360" s="5" t="s">
        <v>163</v>
      </c>
      <c r="C360" s="26"/>
      <c r="D360" s="5" t="s">
        <v>148</v>
      </c>
      <c r="E360" s="14">
        <v>2079</v>
      </c>
      <c r="F360" s="27"/>
      <c r="G360" s="33"/>
      <c r="H360" s="33"/>
      <c r="I360" s="33"/>
      <c r="J360" s="27"/>
    </row>
    <row r="361" spans="2:10" x14ac:dyDescent="0.3">
      <c r="B361" s="5" t="s">
        <v>162</v>
      </c>
      <c r="C361" s="26"/>
      <c r="D361" s="5" t="s">
        <v>146</v>
      </c>
      <c r="E361" s="14">
        <v>2267</v>
      </c>
      <c r="F361" s="27"/>
      <c r="G361" s="33"/>
      <c r="H361" s="33"/>
      <c r="I361" s="33"/>
      <c r="J361" s="27"/>
    </row>
    <row r="362" spans="2:10" x14ac:dyDescent="0.3">
      <c r="B362" s="5" t="s">
        <v>161</v>
      </c>
      <c r="C362" s="26"/>
      <c r="D362" s="5" t="s">
        <v>148</v>
      </c>
      <c r="E362" s="14">
        <v>1822</v>
      </c>
      <c r="F362" s="27"/>
      <c r="G362" s="33"/>
      <c r="H362" s="33"/>
      <c r="I362" s="33"/>
      <c r="J362" s="27"/>
    </row>
    <row r="363" spans="2:10" x14ac:dyDescent="0.3">
      <c r="B363" s="5" t="s">
        <v>160</v>
      </c>
      <c r="C363" s="26"/>
      <c r="D363" s="5" t="s">
        <v>146</v>
      </c>
      <c r="E363" s="14">
        <v>2642</v>
      </c>
      <c r="F363" s="27"/>
      <c r="G363" s="33"/>
      <c r="H363" s="33"/>
      <c r="I363" s="33"/>
      <c r="J363" s="27"/>
    </row>
    <row r="364" spans="2:10" x14ac:dyDescent="0.3">
      <c r="B364" s="5" t="s">
        <v>159</v>
      </c>
      <c r="C364" s="26"/>
      <c r="D364" s="5" t="s">
        <v>146</v>
      </c>
      <c r="E364" s="14">
        <v>2995</v>
      </c>
      <c r="F364" s="27"/>
      <c r="G364" s="33"/>
      <c r="H364" s="33"/>
      <c r="I364" s="33"/>
      <c r="J364" s="27"/>
    </row>
    <row r="365" spans="2:10" x14ac:dyDescent="0.3">
      <c r="B365" s="5" t="s">
        <v>158</v>
      </c>
      <c r="C365" s="26"/>
      <c r="D365" s="5" t="s">
        <v>146</v>
      </c>
      <c r="E365" s="14">
        <v>2219</v>
      </c>
      <c r="F365" s="27"/>
      <c r="G365" s="33"/>
      <c r="H365" s="33"/>
      <c r="I365" s="33"/>
      <c r="J365" s="27"/>
    </row>
    <row r="366" spans="2:10" x14ac:dyDescent="0.3">
      <c r="B366" s="5" t="s">
        <v>157</v>
      </c>
      <c r="C366" s="26"/>
      <c r="D366" s="5" t="s">
        <v>146</v>
      </c>
      <c r="E366" s="14">
        <v>2184</v>
      </c>
      <c r="F366" s="27"/>
      <c r="G366" s="33"/>
      <c r="H366" s="33"/>
      <c r="I366" s="33"/>
      <c r="J366" s="27"/>
    </row>
    <row r="367" spans="2:10" x14ac:dyDescent="0.3">
      <c r="B367" s="5" t="s">
        <v>156</v>
      </c>
      <c r="C367" s="26"/>
      <c r="D367" s="5" t="s">
        <v>146</v>
      </c>
      <c r="E367" s="14">
        <v>2200</v>
      </c>
      <c r="F367" s="27"/>
      <c r="G367" s="33"/>
      <c r="H367" s="33"/>
      <c r="I367" s="33"/>
      <c r="J367" s="27"/>
    </row>
    <row r="368" spans="2:10" x14ac:dyDescent="0.3">
      <c r="B368" s="5" t="s">
        <v>155</v>
      </c>
      <c r="C368" s="26"/>
      <c r="D368" s="5" t="s">
        <v>146</v>
      </c>
      <c r="E368" s="14">
        <v>2281</v>
      </c>
      <c r="F368" s="27"/>
      <c r="G368" s="33"/>
      <c r="H368" s="33"/>
      <c r="I368" s="33"/>
      <c r="J368" s="27"/>
    </row>
    <row r="369" spans="2:10" x14ac:dyDescent="0.3">
      <c r="B369" s="5" t="s">
        <v>154</v>
      </c>
      <c r="C369" s="26"/>
      <c r="D369" s="5" t="s">
        <v>146</v>
      </c>
      <c r="E369" s="14">
        <v>2073</v>
      </c>
      <c r="F369" s="27"/>
      <c r="G369" s="33"/>
      <c r="H369" s="33"/>
      <c r="I369" s="33"/>
      <c r="J369" s="27"/>
    </row>
    <row r="370" spans="2:10" x14ac:dyDescent="0.3">
      <c r="B370" s="5" t="s">
        <v>153</v>
      </c>
      <c r="C370" s="26"/>
      <c r="D370" s="5" t="s">
        <v>146</v>
      </c>
      <c r="E370" s="14">
        <v>2125</v>
      </c>
      <c r="F370" s="27"/>
      <c r="G370" s="33"/>
      <c r="H370" s="33"/>
      <c r="I370" s="33"/>
      <c r="J370" s="27"/>
    </row>
    <row r="371" spans="2:10" x14ac:dyDescent="0.3">
      <c r="B371" s="5" t="s">
        <v>152</v>
      </c>
      <c r="C371" s="26"/>
      <c r="D371" s="5" t="s">
        <v>146</v>
      </c>
      <c r="E371" s="14">
        <v>2964</v>
      </c>
      <c r="F371" s="27"/>
      <c r="G371" s="33"/>
      <c r="H371" s="33"/>
      <c r="I371" s="33"/>
      <c r="J371" s="27"/>
    </row>
    <row r="372" spans="2:10" x14ac:dyDescent="0.3">
      <c r="B372" s="5" t="s">
        <v>151</v>
      </c>
      <c r="C372" s="26"/>
      <c r="D372" s="5" t="s">
        <v>148</v>
      </c>
      <c r="E372" s="14">
        <v>2598</v>
      </c>
      <c r="F372" s="27"/>
      <c r="G372" s="33"/>
      <c r="H372" s="33"/>
      <c r="I372" s="33"/>
      <c r="J372" s="27"/>
    </row>
    <row r="373" spans="2:10" x14ac:dyDescent="0.3">
      <c r="B373" s="5" t="s">
        <v>150</v>
      </c>
      <c r="C373" s="26"/>
      <c r="D373" s="5" t="s">
        <v>146</v>
      </c>
      <c r="E373" s="14">
        <v>2754</v>
      </c>
      <c r="F373" s="27"/>
      <c r="G373" s="33"/>
      <c r="H373" s="33"/>
      <c r="I373" s="33"/>
      <c r="J373" s="27"/>
    </row>
    <row r="374" spans="2:10" x14ac:dyDescent="0.3">
      <c r="B374" s="5" t="s">
        <v>149</v>
      </c>
      <c r="C374" s="26"/>
      <c r="D374" s="5" t="s">
        <v>148</v>
      </c>
      <c r="E374" s="14">
        <v>2544</v>
      </c>
      <c r="F374" s="27"/>
      <c r="G374" s="33"/>
      <c r="H374" s="33"/>
      <c r="I374" s="33"/>
      <c r="J374" s="27"/>
    </row>
    <row r="375" spans="2:10" x14ac:dyDescent="0.3">
      <c r="B375" s="5" t="s">
        <v>147</v>
      </c>
      <c r="C375" s="26"/>
      <c r="D375" s="5" t="s">
        <v>146</v>
      </c>
      <c r="E375" s="14">
        <v>1860</v>
      </c>
      <c r="F375" s="27"/>
      <c r="G375" s="33"/>
      <c r="H375" s="33"/>
      <c r="I375" s="33"/>
      <c r="J375" s="27"/>
    </row>
    <row r="376" spans="2:10" x14ac:dyDescent="0.3">
      <c r="B376" s="5" t="s">
        <v>145</v>
      </c>
      <c r="C376" s="26"/>
      <c r="D376" s="5" t="s">
        <v>143</v>
      </c>
      <c r="E376" s="14">
        <v>453797</v>
      </c>
      <c r="F376" s="14">
        <v>395173.74</v>
      </c>
      <c r="G376" s="33"/>
      <c r="H376" s="33"/>
      <c r="I376" s="33"/>
      <c r="J376" s="14">
        <v>160001.70000000001</v>
      </c>
    </row>
    <row r="377" spans="2:10" x14ac:dyDescent="0.3">
      <c r="B377" s="3"/>
      <c r="C377" s="3"/>
      <c r="D377" s="3"/>
      <c r="E377" s="3"/>
      <c r="F377" s="3"/>
      <c r="G377" s="3"/>
      <c r="H377" s="3"/>
      <c r="I377" s="3"/>
      <c r="J377" s="3"/>
    </row>
    <row r="378" spans="2:10" x14ac:dyDescent="0.3">
      <c r="B378" s="5" t="s">
        <v>144</v>
      </c>
      <c r="C378" s="34"/>
      <c r="D378" s="12" t="s">
        <v>143</v>
      </c>
      <c r="E378" s="9">
        <v>414194</v>
      </c>
      <c r="F378" s="9">
        <v>360686.97</v>
      </c>
      <c r="G378" s="35"/>
      <c r="H378" s="35"/>
      <c r="I378" s="35"/>
      <c r="J378" s="9">
        <v>146038.35999999999</v>
      </c>
    </row>
    <row r="379" spans="2:10" x14ac:dyDescent="0.3">
      <c r="B379" s="3"/>
      <c r="C379" s="3"/>
      <c r="D379" s="3"/>
      <c r="E379" s="3"/>
      <c r="F379" s="36">
        <f>F378*12</f>
        <v>4328243.6399999997</v>
      </c>
      <c r="G379" s="3"/>
      <c r="H379" s="3"/>
      <c r="I379" s="3"/>
      <c r="J379" s="3"/>
    </row>
    <row r="382" spans="2:10" x14ac:dyDescent="0.3">
      <c r="B382" s="292" t="s">
        <v>392</v>
      </c>
      <c r="C382" s="293"/>
      <c r="D382" s="293"/>
      <c r="E382" s="293"/>
      <c r="F382" s="293"/>
      <c r="G382" s="294"/>
      <c r="H382" s="3"/>
    </row>
    <row r="383" spans="2:10" ht="18" x14ac:dyDescent="0.35">
      <c r="B383" s="38" t="s">
        <v>513</v>
      </c>
      <c r="C383" s="39" t="s">
        <v>510</v>
      </c>
      <c r="D383" s="39" t="s">
        <v>511</v>
      </c>
      <c r="E383" s="39" t="s">
        <v>391</v>
      </c>
      <c r="F383" s="39" t="s">
        <v>514</v>
      </c>
      <c r="G383" s="40" t="s">
        <v>515</v>
      </c>
      <c r="H383" s="41"/>
    </row>
    <row r="384" spans="2:10" x14ac:dyDescent="0.3">
      <c r="B384" s="42" t="s">
        <v>738</v>
      </c>
      <c r="C384" s="40" t="s">
        <v>739</v>
      </c>
      <c r="D384" s="43"/>
      <c r="E384" s="44">
        <v>587</v>
      </c>
      <c r="F384" s="45">
        <v>2017</v>
      </c>
      <c r="G384" s="46" t="s">
        <v>516</v>
      </c>
      <c r="H384" s="3"/>
    </row>
    <row r="385" spans="2:8" x14ac:dyDescent="0.3">
      <c r="B385" s="47" t="s">
        <v>740</v>
      </c>
      <c r="C385" s="48" t="s">
        <v>746</v>
      </c>
      <c r="D385" s="49">
        <v>1958</v>
      </c>
      <c r="E385" s="49">
        <v>984</v>
      </c>
      <c r="F385" s="50">
        <v>2209</v>
      </c>
      <c r="G385" s="51" t="s">
        <v>517</v>
      </c>
      <c r="H385" s="3"/>
    </row>
    <row r="386" spans="2:8" x14ac:dyDescent="0.3">
      <c r="B386" s="47" t="s">
        <v>741</v>
      </c>
      <c r="C386" s="48" t="s">
        <v>747</v>
      </c>
      <c r="D386" s="52">
        <v>1925</v>
      </c>
      <c r="E386" s="49">
        <v>772</v>
      </c>
      <c r="F386" s="50">
        <v>2123</v>
      </c>
      <c r="G386" s="51" t="s">
        <v>517</v>
      </c>
      <c r="H386" s="3"/>
    </row>
    <row r="387" spans="2:8" x14ac:dyDescent="0.3">
      <c r="B387" s="53" t="s">
        <v>742</v>
      </c>
      <c r="C387" s="54" t="s">
        <v>748</v>
      </c>
      <c r="D387" s="55">
        <v>1864</v>
      </c>
      <c r="E387" s="55">
        <v>1054</v>
      </c>
      <c r="F387" s="56">
        <v>2222</v>
      </c>
      <c r="G387" s="57" t="s">
        <v>517</v>
      </c>
      <c r="H387" s="3"/>
    </row>
    <row r="388" spans="2:8" x14ac:dyDescent="0.3">
      <c r="B388" s="58"/>
      <c r="C388" s="59"/>
      <c r="D388" s="272" t="s">
        <v>518</v>
      </c>
      <c r="E388" s="272">
        <f>AVERAGE(E384:E387)</f>
        <v>849.25</v>
      </c>
      <c r="F388" s="272">
        <f>AVERAGE(F384:F387)</f>
        <v>2142.75</v>
      </c>
      <c r="G388" s="60"/>
      <c r="H388" s="3"/>
    </row>
    <row r="389" spans="2:8" x14ac:dyDescent="0.3">
      <c r="B389" s="61"/>
      <c r="C389" s="61"/>
      <c r="D389" s="61"/>
      <c r="E389" s="61"/>
      <c r="F389" s="61"/>
      <c r="G389" s="61"/>
      <c r="H389" s="3"/>
    </row>
    <row r="390" spans="2:8" x14ac:dyDescent="0.3">
      <c r="B390" s="292" t="s">
        <v>519</v>
      </c>
      <c r="C390" s="293"/>
      <c r="D390" s="293"/>
      <c r="E390" s="293"/>
      <c r="F390" s="293"/>
      <c r="G390" s="294"/>
      <c r="H390" s="3"/>
    </row>
    <row r="391" spans="2:8" x14ac:dyDescent="0.3">
      <c r="B391" s="37" t="s">
        <v>513</v>
      </c>
      <c r="C391" s="39" t="s">
        <v>510</v>
      </c>
      <c r="D391" s="39" t="s">
        <v>511</v>
      </c>
      <c r="E391" s="39" t="s">
        <v>391</v>
      </c>
      <c r="F391" s="39" t="s">
        <v>514</v>
      </c>
      <c r="G391" s="40" t="s">
        <v>515</v>
      </c>
      <c r="H391" s="3"/>
    </row>
    <row r="392" spans="2:8" x14ac:dyDescent="0.3">
      <c r="B392" s="42" t="s">
        <v>522</v>
      </c>
      <c r="C392" s="40" t="s">
        <v>749</v>
      </c>
      <c r="D392" s="43"/>
      <c r="E392" s="44">
        <v>1026</v>
      </c>
      <c r="F392" s="45">
        <v>2591</v>
      </c>
      <c r="G392" s="46" t="s">
        <v>521</v>
      </c>
      <c r="H392" s="3"/>
    </row>
    <row r="393" spans="2:8" x14ac:dyDescent="0.3">
      <c r="B393" s="47" t="s">
        <v>743</v>
      </c>
      <c r="C393" s="48" t="s">
        <v>750</v>
      </c>
      <c r="D393" s="52">
        <v>1990</v>
      </c>
      <c r="E393" s="49">
        <v>1004</v>
      </c>
      <c r="F393" s="50">
        <v>2514</v>
      </c>
      <c r="G393" s="51" t="s">
        <v>520</v>
      </c>
      <c r="H393" s="3"/>
    </row>
    <row r="394" spans="2:8" x14ac:dyDescent="0.3">
      <c r="B394" s="47" t="s">
        <v>744</v>
      </c>
      <c r="C394" s="48" t="s">
        <v>751</v>
      </c>
      <c r="D394" s="52">
        <v>1904</v>
      </c>
      <c r="E394" s="49">
        <v>969</v>
      </c>
      <c r="F394" s="50">
        <v>2472</v>
      </c>
      <c r="G394" s="51" t="s">
        <v>520</v>
      </c>
      <c r="H394" s="3"/>
    </row>
    <row r="395" spans="2:8" x14ac:dyDescent="0.3">
      <c r="B395" s="53" t="s">
        <v>745</v>
      </c>
      <c r="C395" s="54" t="s">
        <v>752</v>
      </c>
      <c r="D395" s="55">
        <v>1972</v>
      </c>
      <c r="E395" s="55">
        <v>1435</v>
      </c>
      <c r="F395" s="56">
        <v>2376</v>
      </c>
      <c r="G395" s="51" t="s">
        <v>520</v>
      </c>
      <c r="H395" s="3"/>
    </row>
    <row r="396" spans="2:8" x14ac:dyDescent="0.3">
      <c r="B396" s="58"/>
      <c r="C396" s="59"/>
      <c r="D396" s="272" t="s">
        <v>518</v>
      </c>
      <c r="E396" s="273">
        <f>AVERAGE(E392:E395)</f>
        <v>1108.5</v>
      </c>
      <c r="F396" s="272">
        <f>AVERAGE(F392:F395)</f>
        <v>2488.25</v>
      </c>
      <c r="G396" s="60"/>
      <c r="H396" s="3"/>
    </row>
  </sheetData>
  <mergeCells count="22">
    <mergeCell ref="B382:G382"/>
    <mergeCell ref="B390:G390"/>
    <mergeCell ref="B11:C11"/>
    <mergeCell ref="B157:J157"/>
    <mergeCell ref="B158:J158"/>
    <mergeCell ref="B159:J159"/>
    <mergeCell ref="B161:J161"/>
    <mergeCell ref="B152:J152"/>
    <mergeCell ref="B153:J153"/>
    <mergeCell ref="B154:J154"/>
    <mergeCell ref="B155:J155"/>
    <mergeCell ref="B156:J156"/>
    <mergeCell ref="B12:C12"/>
    <mergeCell ref="B7:C7"/>
    <mergeCell ref="B8:C8"/>
    <mergeCell ref="B9:C9"/>
    <mergeCell ref="B10:C10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4816-123E-4B3F-AF9C-4FA8CF5026B0}">
  <dimension ref="B2:K67"/>
  <sheetViews>
    <sheetView workbookViewId="0"/>
  </sheetViews>
  <sheetFormatPr defaultRowHeight="14.4" x14ac:dyDescent="0.3"/>
  <cols>
    <col min="2" max="2" width="28.77734375" customWidth="1"/>
    <col min="3" max="3" width="15.21875" customWidth="1"/>
    <col min="4" max="4" width="15.5546875" customWidth="1"/>
    <col min="5" max="5" width="16.77734375" customWidth="1"/>
    <col min="6" max="6" width="11.88671875" customWidth="1"/>
    <col min="7" max="7" width="23" customWidth="1"/>
    <col min="8" max="8" width="15.21875" customWidth="1"/>
    <col min="11" max="11" width="15.21875" customWidth="1"/>
  </cols>
  <sheetData>
    <row r="2" spans="2:4" ht="18" x14ac:dyDescent="0.35">
      <c r="B2" s="62" t="s">
        <v>399</v>
      </c>
      <c r="C2" s="63"/>
      <c r="D2" s="64" t="s">
        <v>735</v>
      </c>
    </row>
    <row r="3" spans="2:4" x14ac:dyDescent="0.3">
      <c r="B3" s="65" t="s">
        <v>400</v>
      </c>
      <c r="C3" s="3"/>
      <c r="D3" s="51" t="s">
        <v>736</v>
      </c>
    </row>
    <row r="4" spans="2:4" x14ac:dyDescent="0.3">
      <c r="B4" s="65" t="s">
        <v>401</v>
      </c>
      <c r="C4" s="3"/>
      <c r="D4" s="51" t="s">
        <v>737</v>
      </c>
    </row>
    <row r="5" spans="2:4" x14ac:dyDescent="0.3">
      <c r="B5" s="65" t="s">
        <v>402</v>
      </c>
      <c r="C5" s="3"/>
      <c r="D5" s="66">
        <v>27604</v>
      </c>
    </row>
    <row r="6" spans="2:4" x14ac:dyDescent="0.3">
      <c r="B6" s="65" t="s">
        <v>408</v>
      </c>
      <c r="C6" s="11"/>
      <c r="D6" s="67">
        <v>2021</v>
      </c>
    </row>
    <row r="7" spans="2:4" x14ac:dyDescent="0.3">
      <c r="B7" s="68"/>
      <c r="C7" s="3"/>
      <c r="D7" s="69"/>
    </row>
    <row r="8" spans="2:4" x14ac:dyDescent="0.3">
      <c r="B8" s="292" t="s">
        <v>403</v>
      </c>
      <c r="C8" s="300"/>
      <c r="D8" s="301"/>
    </row>
    <row r="9" spans="2:4" x14ac:dyDescent="0.3">
      <c r="B9" s="71" t="s">
        <v>389</v>
      </c>
      <c r="C9" s="63"/>
      <c r="D9" s="72">
        <f>Assumptions!C36</f>
        <v>214</v>
      </c>
    </row>
    <row r="10" spans="2:4" x14ac:dyDescent="0.3">
      <c r="B10" s="65" t="s">
        <v>404</v>
      </c>
      <c r="C10" s="2"/>
      <c r="D10" s="73">
        <v>0</v>
      </c>
    </row>
    <row r="11" spans="2:4" x14ac:dyDescent="0.3">
      <c r="B11" s="65" t="s">
        <v>405</v>
      </c>
      <c r="C11" s="3"/>
      <c r="D11" s="74">
        <f>Assumptions!D36*Assumptions!C36</f>
        <v>164300</v>
      </c>
    </row>
    <row r="12" spans="2:4" x14ac:dyDescent="0.3">
      <c r="B12" s="65" t="s">
        <v>406</v>
      </c>
      <c r="C12" s="11"/>
      <c r="D12" s="75">
        <v>283</v>
      </c>
    </row>
    <row r="13" spans="2:4" x14ac:dyDescent="0.3">
      <c r="B13" s="76" t="s">
        <v>407</v>
      </c>
      <c r="C13" s="77"/>
      <c r="D13" s="78">
        <v>0</v>
      </c>
    </row>
    <row r="14" spans="2:4" x14ac:dyDescent="0.3">
      <c r="B14" s="3"/>
      <c r="C14" s="3"/>
      <c r="D14" s="61"/>
    </row>
    <row r="15" spans="2:4" x14ac:dyDescent="0.3">
      <c r="B15" s="292" t="s">
        <v>409</v>
      </c>
      <c r="C15" s="300"/>
      <c r="D15" s="301"/>
    </row>
    <row r="16" spans="2:4" x14ac:dyDescent="0.3">
      <c r="B16" s="65" t="s">
        <v>140</v>
      </c>
      <c r="C16" s="3"/>
      <c r="D16" s="79">
        <v>85493946</v>
      </c>
    </row>
    <row r="17" spans="2:11" x14ac:dyDescent="0.3">
      <c r="B17" s="65" t="s">
        <v>478</v>
      </c>
      <c r="C17" s="3"/>
      <c r="D17" s="80">
        <v>45778</v>
      </c>
    </row>
    <row r="18" spans="2:11" x14ac:dyDescent="0.3">
      <c r="B18" s="65" t="s">
        <v>410</v>
      </c>
      <c r="C18" s="11"/>
      <c r="D18" s="81">
        <f>'Source Data'!C150</f>
        <v>1965100.72</v>
      </c>
    </row>
    <row r="19" spans="2:11" x14ac:dyDescent="0.3">
      <c r="B19" s="65" t="s">
        <v>411</v>
      </c>
      <c r="C19" s="11"/>
      <c r="D19" s="82">
        <f>D18/D16</f>
        <v>2.2985261669873091E-2</v>
      </c>
    </row>
    <row r="20" spans="2:11" x14ac:dyDescent="0.3">
      <c r="B20" s="65" t="s">
        <v>413</v>
      </c>
      <c r="C20" s="3"/>
      <c r="D20" s="83">
        <f>D16/D9</f>
        <v>399504.42056074768</v>
      </c>
    </row>
    <row r="21" spans="2:11" x14ac:dyDescent="0.3">
      <c r="B21" s="65" t="s">
        <v>412</v>
      </c>
      <c r="C21" s="11"/>
      <c r="D21" s="84">
        <f>IFERROR(D16/D10,0)</f>
        <v>0</v>
      </c>
    </row>
    <row r="22" spans="2:11" x14ac:dyDescent="0.3">
      <c r="B22" s="65" t="s">
        <v>414</v>
      </c>
      <c r="C22" s="11"/>
      <c r="D22" s="84">
        <f>IFERROR(D16/D11,0)</f>
        <v>520.35268411442485</v>
      </c>
    </row>
    <row r="23" spans="2:11" x14ac:dyDescent="0.3">
      <c r="B23" s="76" t="s">
        <v>455</v>
      </c>
      <c r="C23" s="11"/>
      <c r="D23" s="85">
        <v>8.6210000000000002E-3</v>
      </c>
    </row>
    <row r="24" spans="2:11" x14ac:dyDescent="0.3">
      <c r="B24" s="3"/>
      <c r="C24" s="7"/>
      <c r="D24" s="86"/>
    </row>
    <row r="25" spans="2:11" x14ac:dyDescent="0.3">
      <c r="B25" s="292" t="s">
        <v>505</v>
      </c>
      <c r="C25" s="302"/>
      <c r="D25" s="303"/>
    </row>
    <row r="26" spans="2:11" x14ac:dyDescent="0.3">
      <c r="B26" s="87" t="s">
        <v>477</v>
      </c>
      <c r="C26" s="3"/>
      <c r="D26" s="88">
        <v>36</v>
      </c>
    </row>
    <row r="27" spans="2:11" x14ac:dyDescent="0.3">
      <c r="B27" s="89" t="s">
        <v>474</v>
      </c>
      <c r="C27" s="3"/>
      <c r="D27" s="90">
        <v>5.7887000000000001E-2</v>
      </c>
    </row>
    <row r="28" spans="2:11" x14ac:dyDescent="0.3">
      <c r="B28" s="89" t="s">
        <v>475</v>
      </c>
      <c r="C28" s="3"/>
      <c r="D28" s="90">
        <v>2.3400000000000001E-2</v>
      </c>
    </row>
    <row r="29" spans="2:11" x14ac:dyDescent="0.3">
      <c r="B29" s="91"/>
      <c r="C29" s="63"/>
      <c r="D29" s="92"/>
    </row>
    <row r="30" spans="2:11" ht="18" x14ac:dyDescent="0.35">
      <c r="B30" s="297" t="s">
        <v>387</v>
      </c>
      <c r="C30" s="302"/>
      <c r="D30" s="302"/>
      <c r="E30" s="302"/>
      <c r="F30" s="302"/>
      <c r="G30" s="303"/>
      <c r="I30" s="3"/>
      <c r="J30" s="3"/>
      <c r="K30" s="61"/>
    </row>
    <row r="31" spans="2:11" x14ac:dyDescent="0.3">
      <c r="B31" s="37" t="s">
        <v>388</v>
      </c>
      <c r="C31" s="39" t="s">
        <v>389</v>
      </c>
      <c r="D31" s="39" t="s">
        <v>391</v>
      </c>
      <c r="E31" s="39" t="s">
        <v>397</v>
      </c>
      <c r="F31" s="39" t="s">
        <v>390</v>
      </c>
      <c r="G31" s="93" t="s">
        <v>523</v>
      </c>
      <c r="I31" s="292" t="s">
        <v>415</v>
      </c>
      <c r="J31" s="302"/>
      <c r="K31" s="303"/>
    </row>
    <row r="32" spans="2:11" x14ac:dyDescent="0.3">
      <c r="B32" s="94" t="s">
        <v>392</v>
      </c>
      <c r="C32" s="44">
        <v>53</v>
      </c>
      <c r="D32" s="95">
        <v>650</v>
      </c>
      <c r="E32" s="45">
        <v>2050</v>
      </c>
      <c r="F32" s="226"/>
      <c r="G32" s="227"/>
      <c r="I32" s="71" t="s">
        <v>416</v>
      </c>
      <c r="J32" s="3"/>
      <c r="K32" s="79">
        <v>50736714</v>
      </c>
    </row>
    <row r="33" spans="2:11" x14ac:dyDescent="0.3">
      <c r="B33" s="97" t="s">
        <v>393</v>
      </c>
      <c r="C33" s="49">
        <v>70</v>
      </c>
      <c r="D33" s="98">
        <v>725</v>
      </c>
      <c r="E33" s="99">
        <v>2150</v>
      </c>
      <c r="F33" s="228"/>
      <c r="G33" s="229"/>
      <c r="I33" s="65" t="s">
        <v>463</v>
      </c>
      <c r="J33" s="3"/>
      <c r="K33" s="83" t="s">
        <v>464</v>
      </c>
    </row>
    <row r="34" spans="2:11" x14ac:dyDescent="0.3">
      <c r="B34" s="97" t="s">
        <v>394</v>
      </c>
      <c r="C34" s="49">
        <v>84</v>
      </c>
      <c r="D34" s="98">
        <v>850</v>
      </c>
      <c r="E34" s="99">
        <v>2450</v>
      </c>
      <c r="F34" s="228"/>
      <c r="G34" s="229"/>
      <c r="I34" s="65" t="s">
        <v>417</v>
      </c>
      <c r="J34" s="3"/>
      <c r="K34" s="51" t="s">
        <v>418</v>
      </c>
    </row>
    <row r="35" spans="2:11" x14ac:dyDescent="0.3">
      <c r="B35" s="102" t="s">
        <v>395</v>
      </c>
      <c r="C35" s="49">
        <v>7</v>
      </c>
      <c r="D35" s="98">
        <v>1100</v>
      </c>
      <c r="E35" s="99">
        <v>2800</v>
      </c>
      <c r="F35" s="228"/>
      <c r="G35" s="229"/>
      <c r="I35" s="65" t="s">
        <v>466</v>
      </c>
      <c r="J35" s="3"/>
      <c r="K35" s="51" t="s">
        <v>467</v>
      </c>
    </row>
    <row r="36" spans="2:11" x14ac:dyDescent="0.3">
      <c r="B36" s="103" t="s">
        <v>396</v>
      </c>
      <c r="C36" s="104">
        <f>SUM(C32:C35)</f>
        <v>214</v>
      </c>
      <c r="D36" s="105">
        <f>SUMPRODUCT(C32:C35,D32:D35)/C36</f>
        <v>767.75700934579436</v>
      </c>
      <c r="E36" s="106">
        <f>SUMPRODUCT(E32:E35,$C$32:$C$35)/C36</f>
        <v>2264.2523364485983</v>
      </c>
      <c r="F36" s="230"/>
      <c r="G36" s="231"/>
      <c r="I36" s="65" t="s">
        <v>419</v>
      </c>
      <c r="J36" s="3"/>
      <c r="K36" s="90">
        <v>3.3500000000000002E-2</v>
      </c>
    </row>
    <row r="37" spans="2:11" x14ac:dyDescent="0.3">
      <c r="B37" s="3"/>
      <c r="C37" s="3"/>
      <c r="D37" s="3"/>
      <c r="E37" s="3"/>
      <c r="F37" s="107"/>
      <c r="G37" s="3"/>
      <c r="I37" s="65" t="s">
        <v>481</v>
      </c>
      <c r="J37" s="3"/>
      <c r="K37" s="108">
        <v>24</v>
      </c>
    </row>
    <row r="38" spans="2:11" x14ac:dyDescent="0.3">
      <c r="B38" s="3"/>
      <c r="C38" s="3"/>
      <c r="D38" s="3"/>
      <c r="E38" s="3"/>
      <c r="F38" s="3"/>
      <c r="G38" s="3"/>
      <c r="I38" s="76" t="s">
        <v>465</v>
      </c>
      <c r="J38" s="77"/>
      <c r="K38" s="109">
        <v>30</v>
      </c>
    </row>
    <row r="39" spans="2:11" x14ac:dyDescent="0.3">
      <c r="B39" s="292" t="s">
        <v>380</v>
      </c>
      <c r="C39" s="302"/>
      <c r="D39" s="302"/>
      <c r="E39" s="303"/>
    </row>
    <row r="40" spans="2:11" x14ac:dyDescent="0.3">
      <c r="B40" s="53" t="s">
        <v>422</v>
      </c>
      <c r="C40" s="272" t="s">
        <v>424</v>
      </c>
      <c r="D40" s="272" t="s">
        <v>425</v>
      </c>
      <c r="E40" s="274" t="s">
        <v>421</v>
      </c>
    </row>
    <row r="41" spans="2:11" x14ac:dyDescent="0.3">
      <c r="B41" s="94" t="s">
        <v>426</v>
      </c>
      <c r="C41" s="99">
        <v>6</v>
      </c>
      <c r="D41" s="228"/>
      <c r="E41" s="232"/>
      <c r="F41" s="3"/>
      <c r="G41" s="3"/>
    </row>
    <row r="42" spans="2:11" x14ac:dyDescent="0.3">
      <c r="B42" s="97" t="s">
        <v>385</v>
      </c>
      <c r="C42" s="99">
        <v>12.5</v>
      </c>
      <c r="D42" s="228"/>
      <c r="E42" s="232"/>
      <c r="F42" s="3"/>
      <c r="G42" s="3"/>
    </row>
    <row r="43" spans="2:11" x14ac:dyDescent="0.3">
      <c r="B43" s="97" t="s">
        <v>420</v>
      </c>
      <c r="C43" s="99">
        <v>45</v>
      </c>
      <c r="D43" s="228"/>
      <c r="E43" s="232"/>
      <c r="F43" s="3"/>
      <c r="G43" s="3"/>
    </row>
    <row r="44" spans="2:11" x14ac:dyDescent="0.3">
      <c r="B44" s="97" t="s">
        <v>427</v>
      </c>
      <c r="C44" s="99">
        <v>83</v>
      </c>
      <c r="D44" s="228"/>
      <c r="E44" s="232"/>
      <c r="F44" s="3"/>
      <c r="G44" s="3"/>
    </row>
    <row r="45" spans="2:11" x14ac:dyDescent="0.3">
      <c r="B45" s="97" t="s">
        <v>428</v>
      </c>
      <c r="C45" s="99">
        <v>1.1499999999999999</v>
      </c>
      <c r="D45" s="228"/>
      <c r="E45" s="232"/>
      <c r="F45" s="3"/>
      <c r="G45" s="3"/>
    </row>
    <row r="46" spans="2:11" x14ac:dyDescent="0.3">
      <c r="B46" s="97" t="s">
        <v>386</v>
      </c>
      <c r="C46" s="99">
        <v>3.5</v>
      </c>
      <c r="D46" s="228"/>
      <c r="E46" s="232"/>
      <c r="F46" s="3"/>
      <c r="G46" s="3"/>
    </row>
    <row r="47" spans="2:11" x14ac:dyDescent="0.3">
      <c r="B47" s="97" t="s">
        <v>429</v>
      </c>
      <c r="C47" s="99">
        <v>0.5</v>
      </c>
      <c r="D47" s="228"/>
      <c r="E47" s="232"/>
      <c r="F47" s="3"/>
      <c r="G47" s="3"/>
    </row>
    <row r="48" spans="2:11" x14ac:dyDescent="0.3">
      <c r="B48" s="97" t="s">
        <v>431</v>
      </c>
      <c r="C48" s="99">
        <v>2.5</v>
      </c>
      <c r="D48" s="228"/>
      <c r="E48" s="232"/>
      <c r="F48" s="3"/>
      <c r="G48" s="3"/>
    </row>
    <row r="49" spans="2:9" x14ac:dyDescent="0.3">
      <c r="B49" s="97" t="s">
        <v>430</v>
      </c>
      <c r="C49" s="99">
        <v>14</v>
      </c>
      <c r="D49" s="228"/>
      <c r="E49" s="232"/>
      <c r="F49" s="3"/>
      <c r="G49" s="3"/>
    </row>
    <row r="50" spans="2:9" x14ac:dyDescent="0.3">
      <c r="B50" s="102" t="s">
        <v>432</v>
      </c>
      <c r="C50" s="99">
        <v>2.5</v>
      </c>
      <c r="D50" s="228"/>
      <c r="E50" s="232"/>
      <c r="F50" s="3"/>
      <c r="G50" s="3"/>
    </row>
    <row r="51" spans="2:9" x14ac:dyDescent="0.3">
      <c r="B51" s="103" t="s">
        <v>396</v>
      </c>
      <c r="C51" s="275">
        <f>SUM(C41:C50)</f>
        <v>170.65</v>
      </c>
      <c r="D51" s="233"/>
      <c r="E51" s="234"/>
    </row>
    <row r="55" spans="2:9" ht="18" x14ac:dyDescent="0.35">
      <c r="B55" s="297" t="s">
        <v>433</v>
      </c>
      <c r="C55" s="298"/>
      <c r="D55" s="299"/>
      <c r="E55" s="3"/>
      <c r="F55" s="3"/>
      <c r="G55" s="292" t="s">
        <v>445</v>
      </c>
      <c r="H55" s="293"/>
      <c r="I55" s="294"/>
    </row>
    <row r="56" spans="2:9" x14ac:dyDescent="0.3">
      <c r="B56" s="113" t="s">
        <v>422</v>
      </c>
      <c r="C56" s="40" t="s">
        <v>443</v>
      </c>
      <c r="D56" s="114" t="s">
        <v>423</v>
      </c>
      <c r="E56" s="3"/>
      <c r="F56" s="3"/>
      <c r="G56" s="115" t="s">
        <v>422</v>
      </c>
      <c r="H56" s="40" t="s">
        <v>443</v>
      </c>
      <c r="I56" s="64" t="s">
        <v>423</v>
      </c>
    </row>
    <row r="57" spans="2:9" x14ac:dyDescent="0.3">
      <c r="B57" s="116" t="s">
        <v>434</v>
      </c>
      <c r="C57" s="117">
        <f>'Source Data'!C138</f>
        <v>479096.71</v>
      </c>
      <c r="D57" s="81">
        <f>C57/Assumptions!$D$9</f>
        <v>2238.7696728971964</v>
      </c>
      <c r="E57" s="11"/>
      <c r="F57" s="11"/>
      <c r="G57" s="118" t="s">
        <v>434</v>
      </c>
      <c r="H57" s="119">
        <f>I57*Assumptions!$D$9</f>
        <v>556400</v>
      </c>
      <c r="I57" s="120">
        <v>2600</v>
      </c>
    </row>
    <row r="58" spans="2:9" x14ac:dyDescent="0.3">
      <c r="B58" s="116" t="s">
        <v>435</v>
      </c>
      <c r="C58" s="117">
        <f>'Source Data'!C135</f>
        <v>194393.68</v>
      </c>
      <c r="D58" s="81">
        <f>C58/Assumptions!$D$9</f>
        <v>908.38168224299068</v>
      </c>
      <c r="E58" s="11"/>
      <c r="F58" s="11"/>
      <c r="G58" s="118" t="s">
        <v>435</v>
      </c>
      <c r="H58" s="119">
        <f>I58*Assumptions!$D$9</f>
        <v>192600</v>
      </c>
      <c r="I58" s="120">
        <v>900</v>
      </c>
    </row>
    <row r="59" spans="2:9" x14ac:dyDescent="0.3">
      <c r="B59" s="116" t="s">
        <v>436</v>
      </c>
      <c r="C59" s="117">
        <f>'Source Data'!C61</f>
        <v>280012.93</v>
      </c>
      <c r="D59" s="81">
        <f>C59/Assumptions!$D$9</f>
        <v>1308.4716355140188</v>
      </c>
      <c r="E59" s="11"/>
      <c r="F59" s="11"/>
      <c r="G59" s="118" t="s">
        <v>436</v>
      </c>
      <c r="H59" s="119">
        <f>I59*Assumptions!$D$9</f>
        <v>288900</v>
      </c>
      <c r="I59" s="120">
        <v>1350</v>
      </c>
    </row>
    <row r="60" spans="2:9" x14ac:dyDescent="0.3">
      <c r="B60" s="116" t="s">
        <v>437</v>
      </c>
      <c r="C60" s="117">
        <f>'Source Data'!C78</f>
        <v>76633.3</v>
      </c>
      <c r="D60" s="81">
        <f>C60/Assumptions!$D$9</f>
        <v>358.09953271028041</v>
      </c>
      <c r="E60" s="11"/>
      <c r="F60" s="11"/>
      <c r="G60" s="118" t="s">
        <v>437</v>
      </c>
      <c r="H60" s="119">
        <f>I60*Assumptions!$D$9</f>
        <v>96300</v>
      </c>
      <c r="I60" s="120">
        <v>450</v>
      </c>
    </row>
    <row r="61" spans="2:9" x14ac:dyDescent="0.3">
      <c r="B61" s="116" t="s">
        <v>438</v>
      </c>
      <c r="C61" s="117">
        <f>'Source Data'!C88</f>
        <v>179125.77</v>
      </c>
      <c r="D61" s="81">
        <f>C61/Assumptions!$D$9</f>
        <v>837.03630841121492</v>
      </c>
      <c r="E61" s="11"/>
      <c r="F61" s="11"/>
      <c r="G61" s="118" t="s">
        <v>438</v>
      </c>
      <c r="H61" s="119">
        <f>I61*Assumptions!$D$9</f>
        <v>162640</v>
      </c>
      <c r="I61" s="120">
        <v>760</v>
      </c>
    </row>
    <row r="62" spans="2:9" x14ac:dyDescent="0.3">
      <c r="B62" s="116" t="s">
        <v>439</v>
      </c>
      <c r="C62" s="117">
        <f>'Source Data'!C103</f>
        <v>120758.81</v>
      </c>
      <c r="D62" s="81">
        <f>C62/Assumptions!$D$9</f>
        <v>564.29350467289714</v>
      </c>
      <c r="E62" s="11"/>
      <c r="F62" s="11"/>
      <c r="G62" s="118" t="s">
        <v>439</v>
      </c>
      <c r="H62" s="119">
        <f>I62*Assumptions!$D$9</f>
        <v>107000</v>
      </c>
      <c r="I62" s="120">
        <v>500</v>
      </c>
    </row>
    <row r="63" spans="2:9" x14ac:dyDescent="0.3">
      <c r="B63" s="116" t="s">
        <v>440</v>
      </c>
      <c r="C63" s="117">
        <f>'Source Data'!C120</f>
        <v>73950.490000000005</v>
      </c>
      <c r="D63" s="81">
        <f>C63/Assumptions!$D$9</f>
        <v>345.56303738317757</v>
      </c>
      <c r="E63" s="11"/>
      <c r="F63" s="11"/>
      <c r="G63" s="118" t="s">
        <v>440</v>
      </c>
      <c r="H63" s="119">
        <f>I63*Assumptions!$D$9</f>
        <v>66340</v>
      </c>
      <c r="I63" s="120">
        <v>310</v>
      </c>
    </row>
    <row r="64" spans="2:9" x14ac:dyDescent="0.3">
      <c r="B64" s="116" t="s">
        <v>441</v>
      </c>
      <c r="C64" s="117">
        <f>'Source Data'!C126</f>
        <v>109101.86</v>
      </c>
      <c r="D64" s="81">
        <f>C64/Assumptions!$D$9</f>
        <v>509.82177570093461</v>
      </c>
      <c r="E64" s="11"/>
      <c r="F64" s="11"/>
      <c r="G64" s="118" t="s">
        <v>441</v>
      </c>
      <c r="H64" s="119">
        <f>I64*Assumptions!$D$9</f>
        <v>130540</v>
      </c>
      <c r="I64" s="120">
        <v>610</v>
      </c>
    </row>
    <row r="65" spans="2:9" x14ac:dyDescent="0.3">
      <c r="B65" s="121" t="s">
        <v>442</v>
      </c>
      <c r="C65" s="117">
        <f>'Source Data'!C129</f>
        <v>191408</v>
      </c>
      <c r="D65" s="81">
        <f>C65/Assumptions!$D$9</f>
        <v>894.42990654205607</v>
      </c>
      <c r="E65" s="122"/>
      <c r="F65" s="123">
        <v>0.04</v>
      </c>
      <c r="G65" s="118" t="s">
        <v>444</v>
      </c>
      <c r="H65" s="210">
        <f>F65*Assumptions!$F$36</f>
        <v>0</v>
      </c>
      <c r="I65" s="211">
        <f>H65/Assumptions!$D$9</f>
        <v>0</v>
      </c>
    </row>
    <row r="66" spans="2:9" x14ac:dyDescent="0.3">
      <c r="B66" s="76" t="s">
        <v>396</v>
      </c>
      <c r="C66" s="124">
        <f>SUM(C57:C65)</f>
        <v>1704481.5500000003</v>
      </c>
      <c r="D66" s="81">
        <f>C66/Assumptions!$D$9</f>
        <v>7964.8670560747678</v>
      </c>
      <c r="E66" s="11"/>
      <c r="F66" s="123">
        <v>0.03</v>
      </c>
      <c r="G66" s="118" t="s">
        <v>442</v>
      </c>
      <c r="H66" s="210">
        <f>F66*Assumptions!$F$36</f>
        <v>0</v>
      </c>
      <c r="I66" s="211">
        <f>H66/Assumptions!$D$9</f>
        <v>0</v>
      </c>
    </row>
    <row r="67" spans="2:9" x14ac:dyDescent="0.3">
      <c r="B67" s="3"/>
      <c r="C67" s="24"/>
      <c r="D67" s="7"/>
      <c r="E67" s="7"/>
      <c r="F67" s="7"/>
      <c r="G67" s="276" t="s">
        <v>396</v>
      </c>
      <c r="H67" s="271">
        <f>SUM(H57:H66)</f>
        <v>1600720</v>
      </c>
      <c r="I67" s="277">
        <f>H67/Assumptions!$D$9</f>
        <v>7480</v>
      </c>
    </row>
  </sheetData>
  <mergeCells count="8">
    <mergeCell ref="B55:D55"/>
    <mergeCell ref="G55:I55"/>
    <mergeCell ref="B8:D8"/>
    <mergeCell ref="B15:D15"/>
    <mergeCell ref="I31:K31"/>
    <mergeCell ref="B25:D25"/>
    <mergeCell ref="B30:G30"/>
    <mergeCell ref="B39:E39"/>
  </mergeCells>
  <dataValidations count="1">
    <dataValidation type="list" allowBlank="1" showInputMessage="1" showErrorMessage="1" sqref="K34" xr:uid="{EF8B35C5-7A0A-EC48-97B5-DA3580DDEAA8}">
      <formula1>"Floating,Fixed"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4FD9-55C1-49AC-95F7-43E235527413}">
  <dimension ref="A2:J44"/>
  <sheetViews>
    <sheetView workbookViewId="0"/>
  </sheetViews>
  <sheetFormatPr defaultRowHeight="14.4" x14ac:dyDescent="0.3"/>
  <cols>
    <col min="1" max="1" width="24.5546875" customWidth="1"/>
    <col min="2" max="2" width="23.21875" customWidth="1"/>
    <col min="3" max="4" width="15.5546875" customWidth="1"/>
    <col min="5" max="5" width="19.77734375" customWidth="1"/>
    <col min="6" max="7" width="15.5546875" customWidth="1"/>
    <col min="8" max="8" width="23.21875" customWidth="1"/>
    <col min="9" max="10" width="15.5546875" customWidth="1"/>
  </cols>
  <sheetData>
    <row r="2" spans="2:9" x14ac:dyDescent="0.3">
      <c r="B2" s="304" t="s">
        <v>387</v>
      </c>
      <c r="C2" s="305"/>
      <c r="D2" s="305"/>
      <c r="E2" s="305"/>
      <c r="F2" s="305"/>
      <c r="G2" s="305"/>
      <c r="H2" s="125" t="s">
        <v>496</v>
      </c>
      <c r="I2" s="126"/>
    </row>
    <row r="3" spans="2:9" x14ac:dyDescent="0.3">
      <c r="B3" s="127" t="str">
        <f>Assumptions!B31</f>
        <v>Unit Type</v>
      </c>
      <c r="C3" s="128" t="str">
        <f>Assumptions!C31</f>
        <v># of Units</v>
      </c>
      <c r="D3" s="128" t="str">
        <f>Assumptions!D31</f>
        <v>SF</v>
      </c>
      <c r="E3" s="128" t="str">
        <f>Assumptions!E31</f>
        <v>Monthly Avg Rent</v>
      </c>
      <c r="F3" s="128" t="str">
        <f>Assumptions!F31</f>
        <v>Annual Rent</v>
      </c>
      <c r="G3" s="129" t="str">
        <f>Assumptions!G31</f>
        <v>Annual $/SF</v>
      </c>
      <c r="H3" s="130" t="str">
        <f>'Annual Forecast'!B4</f>
        <v>Resi Gross Potential Rent</v>
      </c>
      <c r="I3" s="219">
        <f>'Annual Forecast'!C4</f>
        <v>0</v>
      </c>
    </row>
    <row r="4" spans="2:9" x14ac:dyDescent="0.3">
      <c r="B4" s="131" t="str">
        <f>Assumptions!B32</f>
        <v>1BD</v>
      </c>
      <c r="C4" s="132">
        <f>Assumptions!C32</f>
        <v>53</v>
      </c>
      <c r="D4" s="132">
        <f>Assumptions!D32</f>
        <v>650</v>
      </c>
      <c r="E4" s="133">
        <f>Assumptions!E32</f>
        <v>2050</v>
      </c>
      <c r="F4" s="212">
        <f>Assumptions!F32</f>
        <v>0</v>
      </c>
      <c r="G4" s="213">
        <f>Assumptions!G32</f>
        <v>0</v>
      </c>
      <c r="H4" s="130" t="str">
        <f>'Annual Forecast'!B5</f>
        <v>Vacancy</v>
      </c>
      <c r="I4" s="219">
        <f>'Annual Forecast'!C5</f>
        <v>0</v>
      </c>
    </row>
    <row r="5" spans="2:9" x14ac:dyDescent="0.3">
      <c r="B5" s="134" t="str">
        <f>Assumptions!B33</f>
        <v>1 BD + Den</v>
      </c>
      <c r="C5" s="135">
        <f>Assumptions!C33</f>
        <v>70</v>
      </c>
      <c r="D5" s="135">
        <f>Assumptions!D33</f>
        <v>725</v>
      </c>
      <c r="E5" s="136">
        <f>Assumptions!E33</f>
        <v>2150</v>
      </c>
      <c r="F5" s="214">
        <f>Assumptions!F33</f>
        <v>0</v>
      </c>
      <c r="G5" s="215">
        <f>Assumptions!G33</f>
        <v>0</v>
      </c>
      <c r="H5" s="130" t="str">
        <f>'Annual Forecast'!B6</f>
        <v>Bad Debt</v>
      </c>
      <c r="I5" s="219">
        <f>'Annual Forecast'!C6</f>
        <v>0</v>
      </c>
    </row>
    <row r="6" spans="2:9" x14ac:dyDescent="0.3">
      <c r="B6" s="137" t="str">
        <f>Assumptions!B34</f>
        <v>2 BD</v>
      </c>
      <c r="C6" s="138">
        <f>Assumptions!C34</f>
        <v>84</v>
      </c>
      <c r="D6" s="138">
        <f>Assumptions!D34</f>
        <v>850</v>
      </c>
      <c r="E6" s="119">
        <f>Assumptions!E34</f>
        <v>2450</v>
      </c>
      <c r="F6" s="210">
        <f>Assumptions!F34</f>
        <v>0</v>
      </c>
      <c r="G6" s="216">
        <f>Assumptions!G34</f>
        <v>0</v>
      </c>
      <c r="H6" s="139" t="str">
        <f>'Annual Forecast'!B7</f>
        <v>Net Rental Income</v>
      </c>
      <c r="I6" s="220">
        <f>SUM(I3:I5)</f>
        <v>0</v>
      </c>
    </row>
    <row r="7" spans="2:9" x14ac:dyDescent="0.3">
      <c r="B7" s="134" t="str">
        <f>Assumptions!B35</f>
        <v>2BD + 2 BA</v>
      </c>
      <c r="C7" s="135">
        <f>Assumptions!C35</f>
        <v>7</v>
      </c>
      <c r="D7" s="135">
        <f>Assumptions!D35</f>
        <v>1100</v>
      </c>
      <c r="E7" s="136">
        <f>Assumptions!E35</f>
        <v>2800</v>
      </c>
      <c r="F7" s="214">
        <f>Assumptions!F35</f>
        <v>0</v>
      </c>
      <c r="G7" s="215">
        <f>Assumptions!G35</f>
        <v>0</v>
      </c>
      <c r="H7" s="130" t="str">
        <f>'Annual Forecast'!B8</f>
        <v>Other Income</v>
      </c>
      <c r="I7" s="219">
        <f>'Annual Forecast'!C8</f>
        <v>0</v>
      </c>
    </row>
    <row r="8" spans="2:9" x14ac:dyDescent="0.3">
      <c r="B8" s="140" t="str">
        <f>Assumptions!B36</f>
        <v>Total</v>
      </c>
      <c r="C8" s="141">
        <f>Assumptions!C36</f>
        <v>214</v>
      </c>
      <c r="D8" s="142">
        <f>Assumptions!D36</f>
        <v>767.75700934579436</v>
      </c>
      <c r="E8" s="143">
        <f>Assumptions!E36</f>
        <v>2264.2523364485983</v>
      </c>
      <c r="F8" s="217">
        <f>Assumptions!F36</f>
        <v>0</v>
      </c>
      <c r="G8" s="218">
        <f>Assumptions!G36</f>
        <v>0</v>
      </c>
      <c r="H8" s="139" t="str">
        <f>'Annual Forecast'!B9</f>
        <v>Net Revenue</v>
      </c>
      <c r="I8" s="220">
        <f>SUM(I6:I7)</f>
        <v>0</v>
      </c>
    </row>
    <row r="9" spans="2:9" x14ac:dyDescent="0.3">
      <c r="H9" s="41"/>
      <c r="I9" s="144"/>
    </row>
    <row r="10" spans="2:9" x14ac:dyDescent="0.3">
      <c r="H10" s="278" t="str">
        <f>'Annual Forecast'!B10</f>
        <v>Expenses</v>
      </c>
      <c r="I10" s="145"/>
    </row>
    <row r="11" spans="2:9" x14ac:dyDescent="0.3">
      <c r="H11" s="130" t="str">
        <f>'Annual Forecast'!B11</f>
        <v>Taxes</v>
      </c>
      <c r="I11" s="219">
        <f>'Annual Forecast'!C11</f>
        <v>0</v>
      </c>
    </row>
    <row r="12" spans="2:9" x14ac:dyDescent="0.3">
      <c r="B12" s="306" t="s">
        <v>468</v>
      </c>
      <c r="C12" s="305"/>
      <c r="D12" s="305"/>
      <c r="E12" s="307"/>
      <c r="H12" s="146" t="str">
        <f>'Annual Forecast'!B12</f>
        <v>Insurance</v>
      </c>
      <c r="I12" s="211">
        <f>'Annual Forecast'!C12</f>
        <v>0</v>
      </c>
    </row>
    <row r="13" spans="2:9" x14ac:dyDescent="0.3">
      <c r="B13" s="147" t="s">
        <v>469</v>
      </c>
      <c r="C13" s="70"/>
      <c r="D13" s="148" t="s">
        <v>423</v>
      </c>
      <c r="E13" s="149" t="s">
        <v>473</v>
      </c>
      <c r="H13" s="130" t="str">
        <f>'Annual Forecast'!B13</f>
        <v>Payroll</v>
      </c>
      <c r="I13" s="219">
        <f>'Annual Forecast'!C13</f>
        <v>0</v>
      </c>
    </row>
    <row r="14" spans="2:9" x14ac:dyDescent="0.3">
      <c r="B14" s="94" t="s">
        <v>470</v>
      </c>
      <c r="C14" s="96">
        <f>C16-C15</f>
        <v>35494275.308466002</v>
      </c>
      <c r="D14" s="96">
        <f>C14/Assumptions!$D$9</f>
        <v>165861.09957227105</v>
      </c>
      <c r="E14" s="150">
        <f>C14/$C$16</f>
        <v>0.41161855607959769</v>
      </c>
      <c r="H14" s="130" t="str">
        <f>'Annual Forecast'!B14</f>
        <v>Repairs &amp; Maintenance</v>
      </c>
      <c r="I14" s="219">
        <f>'Annual Forecast'!C14</f>
        <v>0</v>
      </c>
    </row>
    <row r="15" spans="2:9" x14ac:dyDescent="0.3">
      <c r="B15" s="97" t="s">
        <v>471</v>
      </c>
      <c r="C15" s="100">
        <f>Assumptions!K32</f>
        <v>50736714</v>
      </c>
      <c r="D15" s="100">
        <f>C15/Assumptions!$D$9</f>
        <v>237087.44859813084</v>
      </c>
      <c r="E15" s="151">
        <f>C15/$C$16</f>
        <v>0.58838144392040226</v>
      </c>
      <c r="H15" s="146" t="str">
        <f>'Annual Forecast'!B15</f>
        <v>Contract Services</v>
      </c>
      <c r="I15" s="211">
        <f>'Annual Forecast'!C15</f>
        <v>0</v>
      </c>
    </row>
    <row r="16" spans="2:9" x14ac:dyDescent="0.3">
      <c r="B16" s="152" t="s">
        <v>396</v>
      </c>
      <c r="C16" s="106">
        <f>C20</f>
        <v>86230989.308466002</v>
      </c>
      <c r="D16" s="106">
        <f>C16/Assumptions!$D$9</f>
        <v>402948.54817040189</v>
      </c>
      <c r="E16" s="153">
        <f>C16/$C$16</f>
        <v>1</v>
      </c>
      <c r="H16" s="130" t="str">
        <f>'Annual Forecast'!B16</f>
        <v>Marketing</v>
      </c>
      <c r="I16" s="219">
        <f>'Annual Forecast'!C16</f>
        <v>0</v>
      </c>
    </row>
    <row r="17" spans="1:10" x14ac:dyDescent="0.3">
      <c r="B17" s="154" t="s">
        <v>472</v>
      </c>
      <c r="C17" s="155"/>
      <c r="D17" s="155"/>
      <c r="E17" s="156"/>
      <c r="H17" s="130" t="str">
        <f>'Annual Forecast'!B17</f>
        <v>General &amp; Administrative</v>
      </c>
      <c r="I17" s="219">
        <f>'Annual Forecast'!C17</f>
        <v>0</v>
      </c>
    </row>
    <row r="18" spans="1:10" x14ac:dyDescent="0.3">
      <c r="B18" s="97" t="s">
        <v>140</v>
      </c>
      <c r="C18" s="100">
        <f>Assumptions!D16</f>
        <v>85493946</v>
      </c>
      <c r="D18" s="100">
        <f>C18/Assumptions!$D$9</f>
        <v>399504.42056074768</v>
      </c>
      <c r="E18" s="151">
        <f>C18/$C$20</f>
        <v>0.99145268639062634</v>
      </c>
      <c r="H18" s="146" t="str">
        <f>'Annual Forecast'!B18</f>
        <v>Utilities</v>
      </c>
      <c r="I18" s="211">
        <f>'Annual Forecast'!C18</f>
        <v>0</v>
      </c>
    </row>
    <row r="19" spans="1:10" x14ac:dyDescent="0.3">
      <c r="B19" s="157" t="s">
        <v>455</v>
      </c>
      <c r="C19" s="124">
        <f>Assumptions!D16*Assumptions!D23</f>
        <v>737043.30846600002</v>
      </c>
      <c r="D19" s="124">
        <f>C19/Assumptions!$D$9</f>
        <v>3444.1276096542056</v>
      </c>
      <c r="E19" s="82">
        <f>C19/$C$20</f>
        <v>8.5473136093735906E-3</v>
      </c>
      <c r="H19" s="146" t="str">
        <f>'Annual Forecast'!B19</f>
        <v>Reserves</v>
      </c>
      <c r="I19" s="211">
        <f>'Annual Forecast'!C19</f>
        <v>0</v>
      </c>
    </row>
    <row r="20" spans="1:10" x14ac:dyDescent="0.3">
      <c r="B20" s="152" t="s">
        <v>396</v>
      </c>
      <c r="C20" s="106">
        <f>SUM(C18:C19)</f>
        <v>86230989.308466002</v>
      </c>
      <c r="D20" s="106">
        <f>C20/Assumptions!$D$9</f>
        <v>402948.54817040189</v>
      </c>
      <c r="E20" s="153">
        <f>C20/$C$20</f>
        <v>1</v>
      </c>
      <c r="H20" s="130" t="str">
        <f>'Annual Forecast'!B20</f>
        <v>Management</v>
      </c>
      <c r="I20" s="219">
        <f>'Annual Forecast'!C20</f>
        <v>0</v>
      </c>
    </row>
    <row r="21" spans="1:10" x14ac:dyDescent="0.3">
      <c r="H21" s="146" t="str">
        <f>'Annual Forecast'!B21</f>
        <v>Total Expenses</v>
      </c>
      <c r="I21" s="221">
        <f>SUM(I11:I20)</f>
        <v>0</v>
      </c>
    </row>
    <row r="22" spans="1:10" x14ac:dyDescent="0.3">
      <c r="H22" s="146" t="str">
        <f>'Annual Forecast'!B22</f>
        <v>Net Operating Income</v>
      </c>
      <c r="I22" s="221">
        <f>I21+I8</f>
        <v>0</v>
      </c>
    </row>
    <row r="23" spans="1:10" x14ac:dyDescent="0.3">
      <c r="H23" s="158"/>
      <c r="I23" s="159"/>
    </row>
    <row r="24" spans="1:10" x14ac:dyDescent="0.3">
      <c r="A24" s="160" t="s">
        <v>506</v>
      </c>
      <c r="H24" s="276" t="s">
        <v>497</v>
      </c>
      <c r="I24" s="277">
        <f>I22/Assumptions!D27</f>
        <v>0</v>
      </c>
    </row>
    <row r="25" spans="1:10" x14ac:dyDescent="0.3">
      <c r="A25" s="157" t="s">
        <v>501</v>
      </c>
      <c r="C25" s="235"/>
    </row>
    <row r="26" spans="1:10" x14ac:dyDescent="0.3">
      <c r="A26" s="157" t="s">
        <v>502</v>
      </c>
      <c r="C26" s="235"/>
    </row>
    <row r="27" spans="1:10" x14ac:dyDescent="0.3">
      <c r="A27" s="279" t="s">
        <v>503</v>
      </c>
      <c r="B27" s="37" t="s">
        <v>493</v>
      </c>
      <c r="C27" s="234"/>
      <c r="D27" s="60"/>
      <c r="E27" s="308" t="s">
        <v>494</v>
      </c>
      <c r="F27" s="302"/>
      <c r="G27" s="303"/>
      <c r="H27" s="308" t="s">
        <v>495</v>
      </c>
      <c r="I27" s="302"/>
      <c r="J27" s="303"/>
    </row>
    <row r="28" spans="1:10" x14ac:dyDescent="0.3">
      <c r="A28" s="279" t="s">
        <v>504</v>
      </c>
      <c r="B28" s="71" t="s">
        <v>482</v>
      </c>
      <c r="C28" s="234"/>
      <c r="D28" s="90">
        <v>0.63175899999999996</v>
      </c>
      <c r="E28" s="65" t="s">
        <v>482</v>
      </c>
      <c r="F28" s="3"/>
      <c r="G28" s="90">
        <v>0.85160000000000002</v>
      </c>
      <c r="H28" s="65" t="s">
        <v>482</v>
      </c>
      <c r="I28" s="3"/>
      <c r="J28" s="90">
        <v>0.75</v>
      </c>
    </row>
    <row r="29" spans="1:10" x14ac:dyDescent="0.3">
      <c r="B29" s="65" t="s">
        <v>483</v>
      </c>
      <c r="C29" s="3"/>
      <c r="D29" s="79">
        <v>1.25</v>
      </c>
      <c r="E29" s="65" t="s">
        <v>483</v>
      </c>
      <c r="F29" s="3"/>
      <c r="G29" s="79">
        <v>1.1499999999999999</v>
      </c>
      <c r="H29" s="65" t="s">
        <v>483</v>
      </c>
      <c r="I29" s="3"/>
      <c r="J29" s="79">
        <v>1.2</v>
      </c>
    </row>
    <row r="30" spans="1:10" x14ac:dyDescent="0.3">
      <c r="B30" s="76" t="s">
        <v>484</v>
      </c>
      <c r="C30" s="77"/>
      <c r="D30" s="161">
        <v>0.08</v>
      </c>
      <c r="E30" s="76" t="s">
        <v>484</v>
      </c>
      <c r="F30" s="77"/>
      <c r="G30" s="162"/>
      <c r="H30" s="76" t="s">
        <v>484</v>
      </c>
      <c r="I30" s="77"/>
      <c r="J30" s="162"/>
    </row>
    <row r="31" spans="1:10" x14ac:dyDescent="0.3">
      <c r="B31" s="65" t="s">
        <v>485</v>
      </c>
      <c r="C31" s="163"/>
      <c r="D31" s="151">
        <f>Assumptions!$D$27</f>
        <v>5.7887000000000001E-2</v>
      </c>
      <c r="E31" s="65" t="s">
        <v>485</v>
      </c>
      <c r="F31" s="163"/>
      <c r="G31" s="151">
        <f>Assumptions!$D$27</f>
        <v>5.7887000000000001E-2</v>
      </c>
      <c r="H31" s="65" t="s">
        <v>485</v>
      </c>
      <c r="I31" s="163"/>
      <c r="J31" s="151">
        <f>Assumptions!$D$27</f>
        <v>5.7887000000000001E-2</v>
      </c>
    </row>
    <row r="32" spans="1:10" x14ac:dyDescent="0.3">
      <c r="B32" s="65" t="s">
        <v>486</v>
      </c>
      <c r="C32" s="3"/>
      <c r="D32" s="90">
        <v>0.02</v>
      </c>
      <c r="E32" s="65" t="s">
        <v>486</v>
      </c>
      <c r="F32" s="3"/>
      <c r="G32" s="90">
        <v>1.7500000000000002E-2</v>
      </c>
      <c r="H32" s="65" t="s">
        <v>486</v>
      </c>
      <c r="I32" s="3"/>
      <c r="J32" s="90">
        <v>1.7500000000000002E-2</v>
      </c>
    </row>
    <row r="33" spans="2:10" x14ac:dyDescent="0.3">
      <c r="B33" s="65" t="s">
        <v>487</v>
      </c>
      <c r="C33" s="52" t="s">
        <v>499</v>
      </c>
      <c r="D33" s="90">
        <v>4.3209999999999998E-2</v>
      </c>
      <c r="E33" s="65" t="s">
        <v>487</v>
      </c>
      <c r="F33" s="52" t="s">
        <v>500</v>
      </c>
      <c r="G33" s="90">
        <v>4.2450000000000002E-2</v>
      </c>
      <c r="H33" s="65" t="s">
        <v>487</v>
      </c>
      <c r="I33" s="52" t="s">
        <v>500</v>
      </c>
      <c r="J33" s="90">
        <v>4.2450000000000002E-2</v>
      </c>
    </row>
    <row r="34" spans="2:10" x14ac:dyDescent="0.3">
      <c r="B34" s="65" t="s">
        <v>488</v>
      </c>
      <c r="C34" s="3"/>
      <c r="D34" s="151">
        <f>D33+D32</f>
        <v>6.3210000000000002E-2</v>
      </c>
      <c r="E34" s="65" t="s">
        <v>488</v>
      </c>
      <c r="F34" s="3"/>
      <c r="G34" s="151">
        <f>G33+G32</f>
        <v>5.9950000000000003E-2</v>
      </c>
      <c r="H34" s="65" t="s">
        <v>488</v>
      </c>
      <c r="I34" s="3"/>
      <c r="J34" s="151">
        <f>J33+J32</f>
        <v>5.9950000000000003E-2</v>
      </c>
    </row>
    <row r="35" spans="2:10" x14ac:dyDescent="0.3">
      <c r="B35" s="76" t="s">
        <v>465</v>
      </c>
      <c r="C35" s="77"/>
      <c r="D35" s="109">
        <v>25</v>
      </c>
      <c r="E35" s="76" t="s">
        <v>465</v>
      </c>
      <c r="F35" s="77"/>
      <c r="G35" s="109">
        <v>35</v>
      </c>
      <c r="H35" s="76" t="s">
        <v>465</v>
      </c>
      <c r="I35" s="77"/>
      <c r="J35" s="109">
        <v>30</v>
      </c>
    </row>
    <row r="36" spans="2:10" x14ac:dyDescent="0.3">
      <c r="B36" s="41"/>
      <c r="C36" s="3"/>
      <c r="D36" s="69"/>
      <c r="E36" s="41"/>
      <c r="F36" s="3"/>
      <c r="G36" s="69"/>
      <c r="H36" s="41"/>
      <c r="I36" s="3"/>
      <c r="J36" s="69"/>
    </row>
    <row r="37" spans="2:10" x14ac:dyDescent="0.3">
      <c r="B37" s="65" t="s">
        <v>416</v>
      </c>
      <c r="C37" s="11"/>
      <c r="D37" s="211">
        <f>ABS(SUMIF('Monthly Cash Flow'!$F$38:$BZ$38,"&lt;0",'Monthly Cash Flow'!$F$38:$BZ$38))</f>
        <v>0</v>
      </c>
      <c r="E37" s="164" t="s">
        <v>416</v>
      </c>
      <c r="F37" s="11"/>
      <c r="G37" s="211">
        <f>ABS(SUMIF('Monthly Cash Flow'!$F$38:$BZ$38,"&lt;0",'Monthly Cash Flow'!$F$38:$BZ$38))</f>
        <v>0</v>
      </c>
      <c r="H37" s="164" t="s">
        <v>416</v>
      </c>
      <c r="I37" s="11"/>
      <c r="J37" s="211">
        <f>ABS(SUMIF('Monthly Cash Flow'!$F$38:$BZ$38,"&lt;0",'Monthly Cash Flow'!$F$38:$BZ$38))</f>
        <v>0</v>
      </c>
    </row>
    <row r="38" spans="2:10" x14ac:dyDescent="0.3">
      <c r="B38" s="41"/>
      <c r="C38" s="3"/>
      <c r="D38" s="144"/>
      <c r="E38" s="41"/>
      <c r="F38" s="3"/>
      <c r="G38" s="144"/>
      <c r="H38" s="41"/>
      <c r="I38" s="3"/>
      <c r="J38" s="144"/>
    </row>
    <row r="39" spans="2:10" x14ac:dyDescent="0.3">
      <c r="B39" s="53" t="s">
        <v>492</v>
      </c>
      <c r="C39" s="165"/>
      <c r="D39" s="222"/>
      <c r="E39" s="280" t="s">
        <v>492</v>
      </c>
      <c r="F39" s="165"/>
      <c r="G39" s="222"/>
      <c r="H39" s="280" t="s">
        <v>492</v>
      </c>
      <c r="I39" s="165"/>
      <c r="J39" s="222"/>
    </row>
    <row r="40" spans="2:10" x14ac:dyDescent="0.3">
      <c r="B40" s="65" t="s">
        <v>489</v>
      </c>
      <c r="C40" s="11"/>
      <c r="D40" s="211">
        <f>D28*'Annual Forecast'!C22/'Investment Summary'!D31</f>
        <v>0</v>
      </c>
      <c r="E40" s="164" t="s">
        <v>489</v>
      </c>
      <c r="F40" s="11"/>
      <c r="G40" s="211">
        <f>G28*'Annual Forecast'!E22/'Investment Summary'!G31</f>
        <v>0</v>
      </c>
      <c r="H40" s="164" t="s">
        <v>489</v>
      </c>
      <c r="I40" s="11"/>
      <c r="J40" s="211">
        <f>J28*'Annual Forecast'!C22/'Investment Summary'!J31</f>
        <v>0</v>
      </c>
    </row>
    <row r="41" spans="2:10" x14ac:dyDescent="0.3">
      <c r="B41" s="65" t="s">
        <v>490</v>
      </c>
      <c r="C41" s="11"/>
      <c r="D41" s="211">
        <f>PV(D34/12,D35*12,-'Annual Forecast'!C22/'Investment Summary'!D29/12,0,0)</f>
        <v>0</v>
      </c>
      <c r="E41" s="164" t="s">
        <v>490</v>
      </c>
      <c r="F41" s="11"/>
      <c r="G41" s="211">
        <f>PV(G34/12,G35*12,-'Annual Forecast'!C22/'Investment Summary'!G29/12,0,0)</f>
        <v>0</v>
      </c>
      <c r="H41" s="164" t="s">
        <v>490</v>
      </c>
      <c r="I41" s="11"/>
      <c r="J41" s="211">
        <f>PV(J34/12,J35*12,-'Annual Forecast'!C22/'Investment Summary'!J29/12,0,0)</f>
        <v>0</v>
      </c>
    </row>
    <row r="42" spans="2:10" x14ac:dyDescent="0.3">
      <c r="B42" s="76" t="s">
        <v>491</v>
      </c>
      <c r="C42" s="166"/>
      <c r="D42" s="223">
        <f>'Annual Forecast'!C22/'Investment Summary'!D30</f>
        <v>0</v>
      </c>
      <c r="E42" s="167" t="s">
        <v>491</v>
      </c>
      <c r="F42" s="166"/>
      <c r="G42" s="224"/>
      <c r="H42" s="167" t="s">
        <v>491</v>
      </c>
      <c r="I42" s="166"/>
      <c r="J42" s="224"/>
    </row>
    <row r="43" spans="2:10" x14ac:dyDescent="0.3">
      <c r="B43" s="168"/>
      <c r="C43" s="63"/>
      <c r="D43" s="63"/>
      <c r="E43" s="63"/>
      <c r="F43" s="63"/>
      <c r="G43" s="63"/>
      <c r="H43" s="63"/>
      <c r="I43" s="63"/>
      <c r="J43" s="225"/>
    </row>
    <row r="44" spans="2:10" x14ac:dyDescent="0.3">
      <c r="B44" s="76" t="s">
        <v>512</v>
      </c>
      <c r="C44" s="2"/>
      <c r="D44" s="281">
        <f>MIN(D40:D42)-D37</f>
        <v>0</v>
      </c>
      <c r="E44" s="169"/>
      <c r="F44" s="169"/>
      <c r="G44" s="281">
        <f>MIN(G40:G42)-G37</f>
        <v>0</v>
      </c>
      <c r="H44" s="169"/>
      <c r="I44" s="169"/>
      <c r="J44" s="282">
        <f>MIN(J40:J42)-J37</f>
        <v>0</v>
      </c>
    </row>
  </sheetData>
  <mergeCells count="4">
    <mergeCell ref="B2:G2"/>
    <mergeCell ref="B12:E12"/>
    <mergeCell ref="E27:G27"/>
    <mergeCell ref="H27:J27"/>
  </mergeCells>
  <dataValidations count="1">
    <dataValidation type="list" allowBlank="1" showInputMessage="1" showErrorMessage="1" sqref="C33 F33 I33" xr:uid="{B2440DAC-0477-7E44-B643-5121FFD7A816}">
      <formula1>"SOFR, 10-Year Treasury"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740C-0082-4281-9632-B1CEC3FE4B5F}">
  <dimension ref="B2:L41"/>
  <sheetViews>
    <sheetView workbookViewId="0"/>
  </sheetViews>
  <sheetFormatPr defaultRowHeight="14.4" x14ac:dyDescent="0.3"/>
  <cols>
    <col min="2" max="2" width="34" customWidth="1"/>
    <col min="3" max="7" width="14" customWidth="1"/>
  </cols>
  <sheetData>
    <row r="2" spans="2:12" ht="18" x14ac:dyDescent="0.35">
      <c r="B2" s="283" t="s">
        <v>509</v>
      </c>
      <c r="C2" s="43"/>
      <c r="D2" s="43"/>
      <c r="E2" s="43"/>
      <c r="F2" s="43"/>
      <c r="G2" s="43"/>
      <c r="I2" s="61"/>
      <c r="J2" s="61"/>
      <c r="K2" s="61"/>
      <c r="L2" s="61"/>
    </row>
    <row r="3" spans="2:12" x14ac:dyDescent="0.3">
      <c r="B3" s="284" t="s">
        <v>375</v>
      </c>
      <c r="C3" s="55">
        <v>1</v>
      </c>
      <c r="D3" s="52">
        <f>C3+1</f>
        <v>2</v>
      </c>
      <c r="E3" s="52">
        <f>D3+1</f>
        <v>3</v>
      </c>
      <c r="F3" s="52">
        <f>E3+1</f>
        <v>4</v>
      </c>
      <c r="G3" s="52">
        <f>F3+1</f>
        <v>5</v>
      </c>
      <c r="I3" s="61"/>
      <c r="J3" s="61"/>
      <c r="K3" s="61"/>
      <c r="L3" s="61"/>
    </row>
    <row r="4" spans="2:12" x14ac:dyDescent="0.3">
      <c r="B4" s="94" t="s">
        <v>376</v>
      </c>
      <c r="C4" s="236"/>
      <c r="D4" s="210"/>
      <c r="E4" s="210"/>
      <c r="F4" s="210"/>
      <c r="G4" s="211"/>
      <c r="I4" s="170"/>
      <c r="J4" s="170"/>
      <c r="K4" s="170"/>
      <c r="L4" s="170"/>
    </row>
    <row r="5" spans="2:12" x14ac:dyDescent="0.3">
      <c r="B5" s="97" t="s">
        <v>377</v>
      </c>
      <c r="C5" s="236"/>
      <c r="D5" s="210"/>
      <c r="E5" s="210"/>
      <c r="F5" s="210"/>
      <c r="G5" s="211"/>
      <c r="I5" s="170"/>
      <c r="J5" s="170"/>
      <c r="K5" s="170"/>
      <c r="L5" s="170"/>
    </row>
    <row r="6" spans="2:12" x14ac:dyDescent="0.3">
      <c r="B6" s="97" t="s">
        <v>378</v>
      </c>
      <c r="C6" s="237"/>
      <c r="D6" s="217"/>
      <c r="E6" s="217"/>
      <c r="F6" s="217"/>
      <c r="G6" s="223"/>
      <c r="I6" s="170"/>
      <c r="J6" s="170"/>
      <c r="K6" s="170"/>
      <c r="L6" s="170"/>
    </row>
    <row r="7" spans="2:12" x14ac:dyDescent="0.3">
      <c r="B7" s="171" t="s">
        <v>379</v>
      </c>
      <c r="C7" s="238"/>
      <c r="D7" s="230"/>
      <c r="E7" s="230"/>
      <c r="F7" s="230"/>
      <c r="G7" s="220"/>
      <c r="I7" s="170"/>
      <c r="J7" s="170"/>
      <c r="K7" s="170"/>
      <c r="L7" s="170"/>
    </row>
    <row r="8" spans="2:12" x14ac:dyDescent="0.3">
      <c r="B8" s="102" t="s">
        <v>380</v>
      </c>
      <c r="C8" s="237"/>
      <c r="D8" s="217"/>
      <c r="E8" s="217"/>
      <c r="F8" s="217"/>
      <c r="G8" s="223"/>
      <c r="I8" s="170"/>
      <c r="J8" s="170"/>
      <c r="K8" s="170"/>
      <c r="L8" s="170"/>
    </row>
    <row r="9" spans="2:12" x14ac:dyDescent="0.3">
      <c r="B9" s="102" t="s">
        <v>381</v>
      </c>
      <c r="C9" s="238"/>
      <c r="D9" s="230"/>
      <c r="E9" s="230"/>
      <c r="F9" s="230"/>
      <c r="G9" s="220"/>
      <c r="I9" s="170"/>
      <c r="J9" s="170"/>
      <c r="K9" s="170"/>
      <c r="L9" s="170"/>
    </row>
    <row r="10" spans="2:12" x14ac:dyDescent="0.3">
      <c r="B10" s="97" t="s">
        <v>446</v>
      </c>
      <c r="C10" s="110"/>
      <c r="D10" s="111"/>
      <c r="E10" s="111"/>
      <c r="F10" s="111"/>
      <c r="G10" s="112"/>
      <c r="I10" s="170"/>
      <c r="J10" s="170"/>
      <c r="K10" s="170"/>
      <c r="L10" s="170"/>
    </row>
    <row r="11" spans="2:12" x14ac:dyDescent="0.3">
      <c r="B11" s="172" t="str">
        <f>Assumptions!G57</f>
        <v>Taxes</v>
      </c>
      <c r="C11" s="236"/>
      <c r="D11" s="210"/>
      <c r="E11" s="210"/>
      <c r="F11" s="210"/>
      <c r="G11" s="211"/>
      <c r="I11" s="170"/>
      <c r="J11" s="170"/>
      <c r="K11" s="170"/>
      <c r="L11" s="170"/>
    </row>
    <row r="12" spans="2:12" x14ac:dyDescent="0.3">
      <c r="B12" s="172" t="str">
        <f>Assumptions!G58</f>
        <v>Insurance</v>
      </c>
      <c r="C12" s="236"/>
      <c r="D12" s="210"/>
      <c r="E12" s="210"/>
      <c r="F12" s="210"/>
      <c r="G12" s="211"/>
      <c r="I12" s="170"/>
      <c r="J12" s="170"/>
      <c r="K12" s="170"/>
      <c r="L12" s="170"/>
    </row>
    <row r="13" spans="2:12" x14ac:dyDescent="0.3">
      <c r="B13" s="172" t="str">
        <f>Assumptions!G59</f>
        <v>Payroll</v>
      </c>
      <c r="C13" s="236"/>
      <c r="D13" s="210"/>
      <c r="E13" s="210"/>
      <c r="F13" s="210"/>
      <c r="G13" s="211"/>
      <c r="I13" s="170"/>
      <c r="J13" s="170"/>
      <c r="K13" s="170"/>
      <c r="L13" s="170"/>
    </row>
    <row r="14" spans="2:12" x14ac:dyDescent="0.3">
      <c r="B14" s="172" t="str">
        <f>Assumptions!G60</f>
        <v>Repairs &amp; Maintenance</v>
      </c>
      <c r="C14" s="236"/>
      <c r="D14" s="210"/>
      <c r="E14" s="210"/>
      <c r="F14" s="210"/>
      <c r="G14" s="211"/>
      <c r="I14" s="170"/>
      <c r="J14" s="170"/>
      <c r="K14" s="170"/>
      <c r="L14" s="170"/>
    </row>
    <row r="15" spans="2:12" x14ac:dyDescent="0.3">
      <c r="B15" s="172" t="str">
        <f>Assumptions!G61</f>
        <v>Contract Services</v>
      </c>
      <c r="C15" s="236"/>
      <c r="D15" s="210"/>
      <c r="E15" s="210"/>
      <c r="F15" s="210"/>
      <c r="G15" s="211"/>
      <c r="I15" s="170"/>
      <c r="J15" s="170"/>
      <c r="K15" s="170"/>
      <c r="L15" s="170"/>
    </row>
    <row r="16" spans="2:12" x14ac:dyDescent="0.3">
      <c r="B16" s="172" t="str">
        <f>Assumptions!G62</f>
        <v>Marketing</v>
      </c>
      <c r="C16" s="236"/>
      <c r="D16" s="210"/>
      <c r="E16" s="210"/>
      <c r="F16" s="210"/>
      <c r="G16" s="211"/>
      <c r="I16" s="170"/>
      <c r="J16" s="170"/>
      <c r="K16" s="170"/>
      <c r="L16" s="170"/>
    </row>
    <row r="17" spans="2:12" x14ac:dyDescent="0.3">
      <c r="B17" s="172" t="str">
        <f>Assumptions!G63</f>
        <v>General &amp; Administrative</v>
      </c>
      <c r="C17" s="236"/>
      <c r="D17" s="210"/>
      <c r="E17" s="210"/>
      <c r="F17" s="210"/>
      <c r="G17" s="211"/>
      <c r="I17" s="170"/>
      <c r="J17" s="170"/>
      <c r="K17" s="170"/>
      <c r="L17" s="170"/>
    </row>
    <row r="18" spans="2:12" x14ac:dyDescent="0.3">
      <c r="B18" s="172" t="str">
        <f>Assumptions!G64</f>
        <v>Utilities</v>
      </c>
      <c r="C18" s="236"/>
      <c r="D18" s="210"/>
      <c r="E18" s="210"/>
      <c r="F18" s="210"/>
      <c r="G18" s="211"/>
      <c r="I18" s="170"/>
      <c r="J18" s="170"/>
      <c r="K18" s="170"/>
      <c r="L18" s="170"/>
    </row>
    <row r="19" spans="2:12" x14ac:dyDescent="0.3">
      <c r="B19" s="172" t="str">
        <f>Assumptions!G65</f>
        <v>Reserves</v>
      </c>
      <c r="C19" s="236"/>
      <c r="D19" s="210"/>
      <c r="E19" s="210"/>
      <c r="F19" s="210"/>
      <c r="G19" s="211"/>
      <c r="I19" s="170"/>
      <c r="J19" s="170"/>
      <c r="K19" s="170"/>
      <c r="L19" s="170"/>
    </row>
    <row r="20" spans="2:12" x14ac:dyDescent="0.3">
      <c r="B20" s="172" t="str">
        <f>Assumptions!G66</f>
        <v>Management</v>
      </c>
      <c r="C20" s="237"/>
      <c r="D20" s="217"/>
      <c r="E20" s="217"/>
      <c r="F20" s="217"/>
      <c r="G20" s="223"/>
      <c r="I20" s="170"/>
      <c r="J20" s="170"/>
      <c r="K20" s="170"/>
      <c r="L20" s="170"/>
    </row>
    <row r="21" spans="2:12" x14ac:dyDescent="0.3">
      <c r="B21" s="94" t="s">
        <v>447</v>
      </c>
      <c r="C21" s="238"/>
      <c r="D21" s="230"/>
      <c r="E21" s="230"/>
      <c r="F21" s="230"/>
      <c r="G21" s="220"/>
      <c r="I21" s="170"/>
      <c r="J21" s="170"/>
      <c r="K21" s="170"/>
      <c r="L21" s="170"/>
    </row>
    <row r="22" spans="2:12" x14ac:dyDescent="0.3">
      <c r="B22" s="171" t="s">
        <v>448</v>
      </c>
      <c r="C22" s="238"/>
      <c r="D22" s="230"/>
      <c r="E22" s="230"/>
      <c r="F22" s="230"/>
      <c r="G22" s="220"/>
      <c r="I22" s="170"/>
      <c r="J22" s="170"/>
      <c r="K22" s="170"/>
      <c r="L22" s="170"/>
    </row>
    <row r="23" spans="2:12" x14ac:dyDescent="0.3">
      <c r="B23" s="168"/>
      <c r="C23" s="173"/>
      <c r="D23" s="173"/>
      <c r="E23" s="173"/>
      <c r="F23" s="173"/>
      <c r="G23" s="173"/>
      <c r="I23" s="170"/>
      <c r="J23" s="170"/>
      <c r="K23" s="170"/>
      <c r="L23" s="170"/>
    </row>
    <row r="24" spans="2:12" x14ac:dyDescent="0.3">
      <c r="B24" s="174" t="s">
        <v>450</v>
      </c>
      <c r="C24" s="239"/>
      <c r="D24" s="239"/>
      <c r="E24" s="239"/>
      <c r="F24" s="239"/>
      <c r="G24" s="239"/>
      <c r="I24" s="1"/>
      <c r="J24" s="1"/>
      <c r="K24" s="1"/>
      <c r="L24" s="1"/>
    </row>
    <row r="25" spans="2:12" x14ac:dyDescent="0.3">
      <c r="B25" s="174" t="s">
        <v>451</v>
      </c>
      <c r="C25" s="210"/>
      <c r="D25" s="210"/>
      <c r="E25" s="210"/>
      <c r="F25" s="210"/>
      <c r="G25" s="211"/>
      <c r="I25" s="107"/>
      <c r="J25" s="107"/>
      <c r="K25" s="107"/>
      <c r="L25" s="107"/>
    </row>
    <row r="26" spans="2:12" x14ac:dyDescent="0.3">
      <c r="B26" s="41"/>
      <c r="C26" s="170"/>
      <c r="D26" s="170"/>
      <c r="E26" s="170"/>
      <c r="F26" s="170"/>
      <c r="G26" s="170"/>
      <c r="I26" s="3"/>
      <c r="J26" s="3"/>
      <c r="K26" s="3"/>
      <c r="L26" s="3"/>
    </row>
    <row r="27" spans="2:12" x14ac:dyDescent="0.3">
      <c r="B27" s="47" t="s">
        <v>497</v>
      </c>
      <c r="C27" s="210"/>
      <c r="D27" s="210"/>
      <c r="E27" s="210"/>
      <c r="F27" s="210"/>
      <c r="G27" s="211"/>
      <c r="I27" s="3"/>
      <c r="J27" s="3"/>
      <c r="K27" s="3"/>
      <c r="L27" s="3"/>
    </row>
    <row r="28" spans="2:12" x14ac:dyDescent="0.3">
      <c r="B28" s="175" t="s">
        <v>498</v>
      </c>
      <c r="C28" s="240"/>
      <c r="D28" s="240"/>
      <c r="E28" s="240"/>
      <c r="F28" s="240"/>
      <c r="G28" s="241"/>
      <c r="I28" s="3"/>
      <c r="J28" s="3"/>
      <c r="K28" s="3"/>
      <c r="L28" s="3"/>
    </row>
    <row r="29" spans="2:12" x14ac:dyDescent="0.3">
      <c r="B29" s="3"/>
      <c r="C29" s="170"/>
      <c r="D29" s="170"/>
      <c r="E29" s="170"/>
      <c r="F29" s="170"/>
      <c r="G29" s="170"/>
      <c r="H29" s="3"/>
      <c r="I29" s="3"/>
      <c r="J29" s="3"/>
      <c r="K29" s="3"/>
      <c r="L29" s="3"/>
    </row>
    <row r="30" spans="2:12" x14ac:dyDescent="0.3">
      <c r="B30" s="3"/>
      <c r="C30" s="170"/>
      <c r="D30" s="170"/>
      <c r="E30" s="170"/>
      <c r="F30" s="170"/>
      <c r="G30" s="170"/>
      <c r="H30" s="3"/>
      <c r="I30" s="3"/>
      <c r="J30" s="3"/>
      <c r="K30" s="3"/>
      <c r="L30" s="3"/>
    </row>
    <row r="31" spans="2:12" x14ac:dyDescent="0.3">
      <c r="B31" s="176"/>
      <c r="C31" s="18"/>
      <c r="D31" s="177"/>
      <c r="E31" s="177"/>
      <c r="F31" s="177"/>
      <c r="G31" s="177"/>
      <c r="H31" s="177"/>
      <c r="I31" s="3"/>
      <c r="J31" s="3"/>
      <c r="K31" s="3"/>
      <c r="L31" s="3"/>
    </row>
    <row r="32" spans="2:12" x14ac:dyDescent="0.3">
      <c r="B32" s="176"/>
      <c r="C32" s="170"/>
      <c r="D32" s="170"/>
      <c r="E32" s="170"/>
      <c r="F32" s="170"/>
      <c r="G32" s="170"/>
      <c r="H32" s="3"/>
      <c r="I32" s="3"/>
      <c r="J32" s="3"/>
      <c r="K32" s="3"/>
      <c r="L32" s="3"/>
    </row>
    <row r="33" spans="2:12" x14ac:dyDescent="0.3">
      <c r="B33" s="176"/>
      <c r="C33" s="170"/>
      <c r="D33" s="170"/>
      <c r="E33" s="170"/>
      <c r="F33" s="170"/>
      <c r="G33" s="170"/>
      <c r="H33" s="3"/>
      <c r="I33" s="3"/>
      <c r="J33" s="3"/>
      <c r="K33" s="3"/>
      <c r="L33" s="3"/>
    </row>
    <row r="34" spans="2:12" x14ac:dyDescent="0.3">
      <c r="B34" s="178"/>
      <c r="C34" s="170"/>
      <c r="D34" s="170"/>
      <c r="E34" s="170"/>
      <c r="F34" s="170"/>
      <c r="G34" s="170"/>
      <c r="H34" s="3"/>
      <c r="I34" s="3"/>
      <c r="J34" s="3"/>
      <c r="K34" s="3"/>
      <c r="L34" s="3"/>
    </row>
    <row r="35" spans="2:12" x14ac:dyDescent="0.3">
      <c r="B35" s="178"/>
      <c r="C35" s="170"/>
      <c r="D35" s="170"/>
      <c r="E35" s="170"/>
      <c r="F35" s="170"/>
      <c r="G35" s="170"/>
      <c r="H35" s="3"/>
      <c r="I35" s="3"/>
      <c r="J35" s="3"/>
      <c r="K35" s="3"/>
      <c r="L35" s="3"/>
    </row>
    <row r="36" spans="2:12" x14ac:dyDescent="0.3">
      <c r="B36" s="178"/>
      <c r="C36" s="170"/>
      <c r="D36" s="170"/>
      <c r="E36" s="170"/>
      <c r="F36" s="170"/>
      <c r="G36" s="170"/>
      <c r="H36" s="3"/>
      <c r="I36" s="3"/>
      <c r="J36" s="3"/>
      <c r="K36" s="3"/>
      <c r="L36" s="3"/>
    </row>
    <row r="37" spans="2:12" x14ac:dyDescent="0.3">
      <c r="B37" s="178"/>
      <c r="C37" s="170"/>
      <c r="D37" s="170"/>
      <c r="E37" s="170"/>
      <c r="F37" s="170"/>
      <c r="G37" s="170"/>
      <c r="H37" s="3"/>
      <c r="I37" s="3"/>
      <c r="J37" s="3"/>
      <c r="K37" s="3"/>
      <c r="L37" s="3"/>
    </row>
    <row r="38" spans="2:12" x14ac:dyDescent="0.3">
      <c r="B38" s="3"/>
      <c r="C38" s="170"/>
      <c r="D38" s="170"/>
      <c r="E38" s="170"/>
      <c r="F38" s="170"/>
      <c r="G38" s="170"/>
      <c r="H38" s="3"/>
      <c r="I38" s="3"/>
      <c r="J38" s="3"/>
      <c r="K38" s="3"/>
      <c r="L38" s="3"/>
    </row>
    <row r="39" spans="2:12" x14ac:dyDescent="0.3">
      <c r="B39" s="3"/>
      <c r="C39" s="170"/>
      <c r="D39" s="170"/>
      <c r="E39" s="170"/>
      <c r="F39" s="170"/>
      <c r="G39" s="170"/>
      <c r="H39" s="3"/>
      <c r="I39" s="3"/>
      <c r="J39" s="3"/>
      <c r="K39" s="3"/>
      <c r="L39" s="3"/>
    </row>
    <row r="40" spans="2:12" x14ac:dyDescent="0.3">
      <c r="B40" s="3"/>
      <c r="C40" s="170"/>
      <c r="D40" s="170"/>
      <c r="E40" s="170"/>
      <c r="F40" s="170"/>
      <c r="G40" s="170"/>
      <c r="H40" s="3"/>
      <c r="I40" s="3"/>
      <c r="J40" s="3"/>
      <c r="K40" s="3"/>
      <c r="L40" s="3"/>
    </row>
    <row r="41" spans="2:12" x14ac:dyDescent="0.3">
      <c r="B41" s="3"/>
      <c r="C41" s="170"/>
      <c r="D41" s="170"/>
      <c r="E41" s="170"/>
      <c r="F41" s="170"/>
      <c r="G41" s="170"/>
      <c r="H41" s="3"/>
      <c r="I41" s="3"/>
      <c r="J41" s="3"/>
      <c r="K41" s="3"/>
      <c r="L4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3A04-5110-4A69-BD6C-9CA7C90F5E2A}">
  <dimension ref="B2:BZ45"/>
  <sheetViews>
    <sheetView workbookViewId="0"/>
  </sheetViews>
  <sheetFormatPr defaultRowHeight="14.4" x14ac:dyDescent="0.3"/>
  <cols>
    <col min="2" max="2" width="20.5546875" customWidth="1"/>
    <col min="5" max="5" width="28" customWidth="1"/>
    <col min="6" max="78" width="12.44140625" customWidth="1"/>
  </cols>
  <sheetData>
    <row r="2" spans="2:78" ht="18" x14ac:dyDescent="0.35">
      <c r="B2" s="179" t="s">
        <v>382</v>
      </c>
      <c r="C2" s="180">
        <v>2.9415E-2</v>
      </c>
      <c r="D2" s="181"/>
      <c r="E2" s="285" t="s">
        <v>480</v>
      </c>
      <c r="F2" s="6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61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182">
        <v>0</v>
      </c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</row>
    <row r="3" spans="2:78" x14ac:dyDescent="0.3">
      <c r="B3" s="183" t="s">
        <v>398</v>
      </c>
      <c r="C3" s="184">
        <v>0</v>
      </c>
      <c r="D3" s="185"/>
      <c r="E3" s="286" t="s">
        <v>375</v>
      </c>
      <c r="F3" s="3"/>
      <c r="G3" s="49">
        <v>1</v>
      </c>
      <c r="H3" s="49">
        <v>1</v>
      </c>
      <c r="I3" s="49">
        <v>1</v>
      </c>
      <c r="J3" s="49">
        <v>1</v>
      </c>
      <c r="K3" s="49">
        <v>1</v>
      </c>
      <c r="L3" s="49">
        <v>1</v>
      </c>
      <c r="M3" s="49">
        <v>1</v>
      </c>
      <c r="N3" s="49">
        <v>1</v>
      </c>
      <c r="O3" s="49">
        <v>1</v>
      </c>
      <c r="P3" s="49">
        <v>1</v>
      </c>
      <c r="Q3" s="49">
        <v>1</v>
      </c>
      <c r="R3" s="49">
        <v>1</v>
      </c>
      <c r="S3" s="52">
        <f t="shared" ref="S3:AX3" si="0">G3+1</f>
        <v>2</v>
      </c>
      <c r="T3" s="52">
        <f t="shared" si="0"/>
        <v>2</v>
      </c>
      <c r="U3" s="52">
        <f t="shared" si="0"/>
        <v>2</v>
      </c>
      <c r="V3" s="52">
        <f t="shared" si="0"/>
        <v>2</v>
      </c>
      <c r="W3" s="52">
        <f t="shared" si="0"/>
        <v>2</v>
      </c>
      <c r="X3" s="52">
        <f t="shared" si="0"/>
        <v>2</v>
      </c>
      <c r="Y3" s="52">
        <f t="shared" si="0"/>
        <v>2</v>
      </c>
      <c r="Z3" s="52">
        <f t="shared" si="0"/>
        <v>2</v>
      </c>
      <c r="AA3" s="52">
        <f t="shared" si="0"/>
        <v>2</v>
      </c>
      <c r="AB3" s="52">
        <f t="shared" si="0"/>
        <v>2</v>
      </c>
      <c r="AC3" s="52">
        <f t="shared" si="0"/>
        <v>2</v>
      </c>
      <c r="AD3" s="52">
        <f t="shared" si="0"/>
        <v>2</v>
      </c>
      <c r="AE3" s="52">
        <f t="shared" si="0"/>
        <v>3</v>
      </c>
      <c r="AF3" s="52">
        <f t="shared" si="0"/>
        <v>3</v>
      </c>
      <c r="AG3" s="52">
        <f t="shared" si="0"/>
        <v>3</v>
      </c>
      <c r="AH3" s="52">
        <f t="shared" si="0"/>
        <v>3</v>
      </c>
      <c r="AI3" s="52">
        <f t="shared" si="0"/>
        <v>3</v>
      </c>
      <c r="AJ3" s="52">
        <f t="shared" si="0"/>
        <v>3</v>
      </c>
      <c r="AK3" s="52">
        <f t="shared" si="0"/>
        <v>3</v>
      </c>
      <c r="AL3" s="52">
        <f t="shared" si="0"/>
        <v>3</v>
      </c>
      <c r="AM3" s="52">
        <f t="shared" si="0"/>
        <v>3</v>
      </c>
      <c r="AN3" s="52">
        <f t="shared" si="0"/>
        <v>3</v>
      </c>
      <c r="AO3" s="52">
        <f t="shared" si="0"/>
        <v>3</v>
      </c>
      <c r="AP3" s="52">
        <f t="shared" si="0"/>
        <v>3</v>
      </c>
      <c r="AQ3" s="52">
        <f t="shared" si="0"/>
        <v>4</v>
      </c>
      <c r="AR3" s="52">
        <f t="shared" si="0"/>
        <v>4</v>
      </c>
      <c r="AS3" s="52">
        <f t="shared" si="0"/>
        <v>4</v>
      </c>
      <c r="AT3" s="52">
        <f t="shared" si="0"/>
        <v>4</v>
      </c>
      <c r="AU3" s="52">
        <f t="shared" si="0"/>
        <v>4</v>
      </c>
      <c r="AV3" s="52">
        <f t="shared" si="0"/>
        <v>4</v>
      </c>
      <c r="AW3" s="52">
        <f t="shared" si="0"/>
        <v>4</v>
      </c>
      <c r="AX3" s="52">
        <f t="shared" si="0"/>
        <v>4</v>
      </c>
      <c r="AY3" s="52">
        <f t="shared" ref="AY3:CD3" si="1">AM3+1</f>
        <v>4</v>
      </c>
      <c r="AZ3" s="52">
        <f t="shared" si="1"/>
        <v>4</v>
      </c>
      <c r="BA3" s="52">
        <f t="shared" si="1"/>
        <v>4</v>
      </c>
      <c r="BB3" s="52">
        <f t="shared" si="1"/>
        <v>4</v>
      </c>
      <c r="BC3" s="52">
        <f t="shared" si="1"/>
        <v>5</v>
      </c>
      <c r="BD3" s="52">
        <f t="shared" si="1"/>
        <v>5</v>
      </c>
      <c r="BE3" s="52">
        <f t="shared" si="1"/>
        <v>5</v>
      </c>
      <c r="BF3" s="52">
        <f t="shared" si="1"/>
        <v>5</v>
      </c>
      <c r="BG3" s="52">
        <f t="shared" si="1"/>
        <v>5</v>
      </c>
      <c r="BH3" s="52">
        <f t="shared" si="1"/>
        <v>5</v>
      </c>
      <c r="BI3" s="52">
        <f t="shared" si="1"/>
        <v>5</v>
      </c>
      <c r="BJ3" s="52">
        <f t="shared" si="1"/>
        <v>5</v>
      </c>
      <c r="BK3" s="52">
        <f t="shared" si="1"/>
        <v>5</v>
      </c>
      <c r="BL3" s="52">
        <f t="shared" si="1"/>
        <v>5</v>
      </c>
      <c r="BM3" s="52">
        <f t="shared" si="1"/>
        <v>5</v>
      </c>
      <c r="BN3" s="52">
        <f t="shared" si="1"/>
        <v>5</v>
      </c>
      <c r="BO3" s="52">
        <f t="shared" si="1"/>
        <v>6</v>
      </c>
      <c r="BP3" s="52">
        <f t="shared" si="1"/>
        <v>6</v>
      </c>
      <c r="BQ3" s="52">
        <f t="shared" si="1"/>
        <v>6</v>
      </c>
      <c r="BR3" s="52">
        <f t="shared" si="1"/>
        <v>6</v>
      </c>
      <c r="BS3" s="52">
        <f t="shared" si="1"/>
        <v>6</v>
      </c>
      <c r="BT3" s="52">
        <f t="shared" si="1"/>
        <v>6</v>
      </c>
      <c r="BU3" s="52">
        <f t="shared" si="1"/>
        <v>6</v>
      </c>
      <c r="BV3" s="52">
        <f t="shared" si="1"/>
        <v>6</v>
      </c>
      <c r="BW3" s="52">
        <f t="shared" si="1"/>
        <v>6</v>
      </c>
      <c r="BX3" s="52">
        <f t="shared" si="1"/>
        <v>6</v>
      </c>
      <c r="BY3" s="52">
        <f t="shared" si="1"/>
        <v>6</v>
      </c>
      <c r="BZ3" s="51">
        <f t="shared" si="1"/>
        <v>6</v>
      </c>
    </row>
    <row r="4" spans="2:78" x14ac:dyDescent="0.3">
      <c r="B4" s="183" t="s">
        <v>383</v>
      </c>
      <c r="C4" s="184">
        <v>3.1295000000000003E-2</v>
      </c>
      <c r="D4" s="186"/>
      <c r="E4" s="287" t="s">
        <v>477</v>
      </c>
      <c r="F4" s="187">
        <v>0</v>
      </c>
      <c r="G4" s="188">
        <f t="shared" ref="G4:AL4" si="2">F4+1</f>
        <v>1</v>
      </c>
      <c r="H4" s="188">
        <f t="shared" si="2"/>
        <v>2</v>
      </c>
      <c r="I4" s="188">
        <f t="shared" si="2"/>
        <v>3</v>
      </c>
      <c r="J4" s="188">
        <f t="shared" si="2"/>
        <v>4</v>
      </c>
      <c r="K4" s="188">
        <f t="shared" si="2"/>
        <v>5</v>
      </c>
      <c r="L4" s="188">
        <f t="shared" si="2"/>
        <v>6</v>
      </c>
      <c r="M4" s="188">
        <f t="shared" si="2"/>
        <v>7</v>
      </c>
      <c r="N4" s="188">
        <f t="shared" si="2"/>
        <v>8</v>
      </c>
      <c r="O4" s="188">
        <f t="shared" si="2"/>
        <v>9</v>
      </c>
      <c r="P4" s="188">
        <f t="shared" si="2"/>
        <v>10</v>
      </c>
      <c r="Q4" s="188">
        <f t="shared" si="2"/>
        <v>11</v>
      </c>
      <c r="R4" s="188">
        <f t="shared" si="2"/>
        <v>12</v>
      </c>
      <c r="S4" s="188">
        <f t="shared" si="2"/>
        <v>13</v>
      </c>
      <c r="T4" s="188">
        <f t="shared" si="2"/>
        <v>14</v>
      </c>
      <c r="U4" s="188">
        <f t="shared" si="2"/>
        <v>15</v>
      </c>
      <c r="V4" s="188">
        <f t="shared" si="2"/>
        <v>16</v>
      </c>
      <c r="W4" s="188">
        <f t="shared" si="2"/>
        <v>17</v>
      </c>
      <c r="X4" s="188">
        <f t="shared" si="2"/>
        <v>18</v>
      </c>
      <c r="Y4" s="188">
        <f t="shared" si="2"/>
        <v>19</v>
      </c>
      <c r="Z4" s="188">
        <f t="shared" si="2"/>
        <v>20</v>
      </c>
      <c r="AA4" s="188">
        <f t="shared" si="2"/>
        <v>21</v>
      </c>
      <c r="AB4" s="188">
        <f t="shared" si="2"/>
        <v>22</v>
      </c>
      <c r="AC4" s="188">
        <f t="shared" si="2"/>
        <v>23</v>
      </c>
      <c r="AD4" s="188">
        <f t="shared" si="2"/>
        <v>24</v>
      </c>
      <c r="AE4" s="188">
        <f t="shared" si="2"/>
        <v>25</v>
      </c>
      <c r="AF4" s="188">
        <f t="shared" si="2"/>
        <v>26</v>
      </c>
      <c r="AG4" s="188">
        <f t="shared" si="2"/>
        <v>27</v>
      </c>
      <c r="AH4" s="188">
        <f t="shared" si="2"/>
        <v>28</v>
      </c>
      <c r="AI4" s="188">
        <f t="shared" si="2"/>
        <v>29</v>
      </c>
      <c r="AJ4" s="188">
        <f t="shared" si="2"/>
        <v>30</v>
      </c>
      <c r="AK4" s="188">
        <f t="shared" si="2"/>
        <v>31</v>
      </c>
      <c r="AL4" s="188">
        <f t="shared" si="2"/>
        <v>32</v>
      </c>
      <c r="AM4" s="188">
        <f t="shared" ref="AM4:BR4" si="3">AL4+1</f>
        <v>33</v>
      </c>
      <c r="AN4" s="188">
        <f t="shared" si="3"/>
        <v>34</v>
      </c>
      <c r="AO4" s="188">
        <f t="shared" si="3"/>
        <v>35</v>
      </c>
      <c r="AP4" s="188">
        <f t="shared" si="3"/>
        <v>36</v>
      </c>
      <c r="AQ4" s="188">
        <f t="shared" si="3"/>
        <v>37</v>
      </c>
      <c r="AR4" s="188">
        <f t="shared" si="3"/>
        <v>38</v>
      </c>
      <c r="AS4" s="188">
        <f t="shared" si="3"/>
        <v>39</v>
      </c>
      <c r="AT4" s="188">
        <f t="shared" si="3"/>
        <v>40</v>
      </c>
      <c r="AU4" s="188">
        <f t="shared" si="3"/>
        <v>41</v>
      </c>
      <c r="AV4" s="188">
        <f t="shared" si="3"/>
        <v>42</v>
      </c>
      <c r="AW4" s="188">
        <f t="shared" si="3"/>
        <v>43</v>
      </c>
      <c r="AX4" s="188">
        <f t="shared" si="3"/>
        <v>44</v>
      </c>
      <c r="AY4" s="188">
        <f t="shared" si="3"/>
        <v>45</v>
      </c>
      <c r="AZ4" s="188">
        <f t="shared" si="3"/>
        <v>46</v>
      </c>
      <c r="BA4" s="188">
        <f t="shared" si="3"/>
        <v>47</v>
      </c>
      <c r="BB4" s="188">
        <f t="shared" si="3"/>
        <v>48</v>
      </c>
      <c r="BC4" s="188">
        <f t="shared" si="3"/>
        <v>49</v>
      </c>
      <c r="BD4" s="188">
        <f t="shared" si="3"/>
        <v>50</v>
      </c>
      <c r="BE4" s="188">
        <f t="shared" si="3"/>
        <v>51</v>
      </c>
      <c r="BF4" s="188">
        <f t="shared" si="3"/>
        <v>52</v>
      </c>
      <c r="BG4" s="188">
        <f t="shared" si="3"/>
        <v>53</v>
      </c>
      <c r="BH4" s="188">
        <f t="shared" si="3"/>
        <v>54</v>
      </c>
      <c r="BI4" s="188">
        <f t="shared" si="3"/>
        <v>55</v>
      </c>
      <c r="BJ4" s="188">
        <f t="shared" si="3"/>
        <v>56</v>
      </c>
      <c r="BK4" s="188">
        <f t="shared" si="3"/>
        <v>57</v>
      </c>
      <c r="BL4" s="188">
        <f t="shared" si="3"/>
        <v>58</v>
      </c>
      <c r="BM4" s="188">
        <f t="shared" si="3"/>
        <v>59</v>
      </c>
      <c r="BN4" s="188">
        <f t="shared" si="3"/>
        <v>60</v>
      </c>
      <c r="BO4" s="188">
        <f t="shared" si="3"/>
        <v>61</v>
      </c>
      <c r="BP4" s="188">
        <f t="shared" si="3"/>
        <v>62</v>
      </c>
      <c r="BQ4" s="188">
        <f t="shared" si="3"/>
        <v>63</v>
      </c>
      <c r="BR4" s="188">
        <f t="shared" si="3"/>
        <v>64</v>
      </c>
      <c r="BS4" s="188">
        <f t="shared" ref="BS4:BZ4" si="4">BR4+1</f>
        <v>65</v>
      </c>
      <c r="BT4" s="188">
        <f t="shared" si="4"/>
        <v>66</v>
      </c>
      <c r="BU4" s="188">
        <f t="shared" si="4"/>
        <v>67</v>
      </c>
      <c r="BV4" s="188">
        <f t="shared" si="4"/>
        <v>68</v>
      </c>
      <c r="BW4" s="188">
        <f t="shared" si="4"/>
        <v>69</v>
      </c>
      <c r="BX4" s="188">
        <f t="shared" si="4"/>
        <v>70</v>
      </c>
      <c r="BY4" s="188">
        <f t="shared" si="4"/>
        <v>71</v>
      </c>
      <c r="BZ4" s="101">
        <f t="shared" si="4"/>
        <v>72</v>
      </c>
    </row>
    <row r="5" spans="2:78" x14ac:dyDescent="0.3">
      <c r="B5" s="183" t="s">
        <v>377</v>
      </c>
      <c r="C5" s="189">
        <v>0.05</v>
      </c>
      <c r="D5" s="190"/>
      <c r="E5" s="152" t="s">
        <v>476</v>
      </c>
      <c r="F5" s="191">
        <f>Assumptions!D17</f>
        <v>45778</v>
      </c>
      <c r="G5" s="192">
        <f t="shared" ref="G5:AL5" si="5">EOMONTH(F5,1)</f>
        <v>45838</v>
      </c>
      <c r="H5" s="192">
        <f t="shared" si="5"/>
        <v>45869</v>
      </c>
      <c r="I5" s="192">
        <f t="shared" si="5"/>
        <v>45900</v>
      </c>
      <c r="J5" s="192">
        <f t="shared" si="5"/>
        <v>45930</v>
      </c>
      <c r="K5" s="192">
        <f t="shared" si="5"/>
        <v>45961</v>
      </c>
      <c r="L5" s="192">
        <f t="shared" si="5"/>
        <v>45991</v>
      </c>
      <c r="M5" s="192">
        <f t="shared" si="5"/>
        <v>46022</v>
      </c>
      <c r="N5" s="192">
        <f t="shared" si="5"/>
        <v>46053</v>
      </c>
      <c r="O5" s="192">
        <f t="shared" si="5"/>
        <v>46081</v>
      </c>
      <c r="P5" s="192">
        <f t="shared" si="5"/>
        <v>46112</v>
      </c>
      <c r="Q5" s="192">
        <f t="shared" si="5"/>
        <v>46142</v>
      </c>
      <c r="R5" s="192">
        <f t="shared" si="5"/>
        <v>46173</v>
      </c>
      <c r="S5" s="192">
        <f t="shared" si="5"/>
        <v>46203</v>
      </c>
      <c r="T5" s="192">
        <f t="shared" si="5"/>
        <v>46234</v>
      </c>
      <c r="U5" s="192">
        <f t="shared" si="5"/>
        <v>46265</v>
      </c>
      <c r="V5" s="192">
        <f t="shared" si="5"/>
        <v>46295</v>
      </c>
      <c r="W5" s="192">
        <f t="shared" si="5"/>
        <v>46326</v>
      </c>
      <c r="X5" s="192">
        <f t="shared" si="5"/>
        <v>46356</v>
      </c>
      <c r="Y5" s="192">
        <f t="shared" si="5"/>
        <v>46387</v>
      </c>
      <c r="Z5" s="192">
        <f t="shared" si="5"/>
        <v>46418</v>
      </c>
      <c r="AA5" s="192">
        <f t="shared" si="5"/>
        <v>46446</v>
      </c>
      <c r="AB5" s="192">
        <f t="shared" si="5"/>
        <v>46477</v>
      </c>
      <c r="AC5" s="192">
        <f t="shared" si="5"/>
        <v>46507</v>
      </c>
      <c r="AD5" s="192">
        <f t="shared" si="5"/>
        <v>46538</v>
      </c>
      <c r="AE5" s="192">
        <f t="shared" si="5"/>
        <v>46568</v>
      </c>
      <c r="AF5" s="192">
        <f t="shared" si="5"/>
        <v>46599</v>
      </c>
      <c r="AG5" s="192">
        <f t="shared" si="5"/>
        <v>46630</v>
      </c>
      <c r="AH5" s="192">
        <f t="shared" si="5"/>
        <v>46660</v>
      </c>
      <c r="AI5" s="192">
        <f t="shared" si="5"/>
        <v>46691</v>
      </c>
      <c r="AJ5" s="192">
        <f t="shared" si="5"/>
        <v>46721</v>
      </c>
      <c r="AK5" s="192">
        <f t="shared" si="5"/>
        <v>46752</v>
      </c>
      <c r="AL5" s="192">
        <f t="shared" si="5"/>
        <v>46783</v>
      </c>
      <c r="AM5" s="192">
        <f t="shared" ref="AM5:BR5" si="6">EOMONTH(AL5,1)</f>
        <v>46812</v>
      </c>
      <c r="AN5" s="192">
        <f t="shared" si="6"/>
        <v>46843</v>
      </c>
      <c r="AO5" s="192">
        <f t="shared" si="6"/>
        <v>46873</v>
      </c>
      <c r="AP5" s="192">
        <f t="shared" si="6"/>
        <v>46904</v>
      </c>
      <c r="AQ5" s="192">
        <f t="shared" si="6"/>
        <v>46934</v>
      </c>
      <c r="AR5" s="192">
        <f t="shared" si="6"/>
        <v>46965</v>
      </c>
      <c r="AS5" s="192">
        <f t="shared" si="6"/>
        <v>46996</v>
      </c>
      <c r="AT5" s="192">
        <f t="shared" si="6"/>
        <v>47026</v>
      </c>
      <c r="AU5" s="192">
        <f t="shared" si="6"/>
        <v>47057</v>
      </c>
      <c r="AV5" s="192">
        <f t="shared" si="6"/>
        <v>47087</v>
      </c>
      <c r="AW5" s="192">
        <f t="shared" si="6"/>
        <v>47118</v>
      </c>
      <c r="AX5" s="192">
        <f t="shared" si="6"/>
        <v>47149</v>
      </c>
      <c r="AY5" s="192">
        <f t="shared" si="6"/>
        <v>47177</v>
      </c>
      <c r="AZ5" s="192">
        <f t="shared" si="6"/>
        <v>47208</v>
      </c>
      <c r="BA5" s="192">
        <f t="shared" si="6"/>
        <v>47238</v>
      </c>
      <c r="BB5" s="192">
        <f t="shared" si="6"/>
        <v>47269</v>
      </c>
      <c r="BC5" s="192">
        <f t="shared" si="6"/>
        <v>47299</v>
      </c>
      <c r="BD5" s="192">
        <f t="shared" si="6"/>
        <v>47330</v>
      </c>
      <c r="BE5" s="192">
        <f t="shared" si="6"/>
        <v>47361</v>
      </c>
      <c r="BF5" s="192">
        <f t="shared" si="6"/>
        <v>47391</v>
      </c>
      <c r="BG5" s="192">
        <f t="shared" si="6"/>
        <v>47422</v>
      </c>
      <c r="BH5" s="192">
        <f t="shared" si="6"/>
        <v>47452</v>
      </c>
      <c r="BI5" s="192">
        <f t="shared" si="6"/>
        <v>47483</v>
      </c>
      <c r="BJ5" s="192">
        <f t="shared" si="6"/>
        <v>47514</v>
      </c>
      <c r="BK5" s="192">
        <f t="shared" si="6"/>
        <v>47542</v>
      </c>
      <c r="BL5" s="192">
        <f t="shared" si="6"/>
        <v>47573</v>
      </c>
      <c r="BM5" s="192">
        <f t="shared" si="6"/>
        <v>47603</v>
      </c>
      <c r="BN5" s="192">
        <f t="shared" si="6"/>
        <v>47634</v>
      </c>
      <c r="BO5" s="192">
        <f t="shared" si="6"/>
        <v>47664</v>
      </c>
      <c r="BP5" s="192">
        <f t="shared" si="6"/>
        <v>47695</v>
      </c>
      <c r="BQ5" s="192">
        <f t="shared" si="6"/>
        <v>47726</v>
      </c>
      <c r="BR5" s="192">
        <f t="shared" si="6"/>
        <v>47756</v>
      </c>
      <c r="BS5" s="192">
        <f t="shared" ref="BS5:BZ5" si="7">EOMONTH(BR5,1)</f>
        <v>47787</v>
      </c>
      <c r="BT5" s="192">
        <f t="shared" si="7"/>
        <v>47817</v>
      </c>
      <c r="BU5" s="192">
        <f t="shared" si="7"/>
        <v>47848</v>
      </c>
      <c r="BV5" s="192">
        <f t="shared" si="7"/>
        <v>47879</v>
      </c>
      <c r="BW5" s="192">
        <f t="shared" si="7"/>
        <v>47907</v>
      </c>
      <c r="BX5" s="192">
        <f t="shared" si="7"/>
        <v>47938</v>
      </c>
      <c r="BY5" s="192">
        <f t="shared" si="7"/>
        <v>47968</v>
      </c>
      <c r="BZ5" s="193">
        <f t="shared" si="7"/>
        <v>47999</v>
      </c>
    </row>
    <row r="6" spans="2:78" x14ac:dyDescent="0.3">
      <c r="B6" s="183" t="s">
        <v>384</v>
      </c>
      <c r="C6" s="184">
        <v>0.06</v>
      </c>
      <c r="D6" s="185"/>
      <c r="E6" s="94" t="s">
        <v>479</v>
      </c>
      <c r="F6" s="194"/>
      <c r="G6" s="242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5"/>
    </row>
    <row r="7" spans="2:78" x14ac:dyDescent="0.3">
      <c r="B7" s="183" t="s">
        <v>753</v>
      </c>
      <c r="C7" s="184">
        <v>1.4999999999999999E-2</v>
      </c>
      <c r="D7" s="3"/>
      <c r="E7" s="97" t="s">
        <v>377</v>
      </c>
      <c r="F7" s="195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  <c r="BT7" s="244"/>
      <c r="BU7" s="244"/>
      <c r="BV7" s="244"/>
      <c r="BW7" s="244"/>
      <c r="BX7" s="244"/>
      <c r="BY7" s="244"/>
      <c r="BZ7" s="245"/>
    </row>
    <row r="8" spans="2:78" x14ac:dyDescent="0.3">
      <c r="B8" s="63"/>
      <c r="C8" s="63"/>
      <c r="D8" s="3"/>
      <c r="E8" s="97" t="s">
        <v>384</v>
      </c>
      <c r="F8" s="195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  <c r="BN8" s="244"/>
      <c r="BO8" s="244"/>
      <c r="BP8" s="244"/>
      <c r="BQ8" s="244"/>
      <c r="BR8" s="244"/>
      <c r="BS8" s="244"/>
      <c r="BT8" s="244"/>
      <c r="BU8" s="244"/>
      <c r="BV8" s="244"/>
      <c r="BW8" s="244"/>
      <c r="BX8" s="244"/>
      <c r="BY8" s="244"/>
      <c r="BZ8" s="245"/>
    </row>
    <row r="9" spans="2:78" x14ac:dyDescent="0.3">
      <c r="B9" s="3"/>
      <c r="C9" s="196"/>
      <c r="D9" s="11"/>
      <c r="E9" s="152" t="s">
        <v>379</v>
      </c>
      <c r="F9" s="197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8"/>
    </row>
    <row r="10" spans="2:78" x14ac:dyDescent="0.3">
      <c r="B10" s="3"/>
      <c r="C10" s="3"/>
      <c r="D10" s="3"/>
      <c r="E10" s="102" t="s">
        <v>380</v>
      </c>
      <c r="F10" s="198"/>
      <c r="G10" s="249"/>
      <c r="H10" s="250"/>
      <c r="I10" s="250"/>
      <c r="J10" s="250"/>
      <c r="K10" s="250"/>
      <c r="L10" s="250"/>
      <c r="M10" s="250"/>
      <c r="N10" s="250"/>
      <c r="O10" s="250"/>
      <c r="P10" s="250"/>
      <c r="Q10" s="243"/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  <c r="BX10" s="243"/>
      <c r="BY10" s="243"/>
      <c r="BZ10" s="251"/>
    </row>
    <row r="11" spans="2:78" x14ac:dyDescent="0.3">
      <c r="B11" s="3"/>
      <c r="C11" s="3"/>
      <c r="D11" s="3"/>
      <c r="E11" s="102" t="s">
        <v>381</v>
      </c>
      <c r="F11" s="198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  <c r="AZ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  <c r="BO11" s="252"/>
      <c r="BP11" s="252"/>
      <c r="BQ11" s="252"/>
      <c r="BR11" s="252"/>
      <c r="BS11" s="252"/>
      <c r="BT11" s="252"/>
      <c r="BU11" s="252"/>
      <c r="BV11" s="252"/>
      <c r="BW11" s="252"/>
      <c r="BX11" s="252"/>
      <c r="BY11" s="252"/>
      <c r="BZ11" s="253"/>
    </row>
    <row r="12" spans="2:78" x14ac:dyDescent="0.3">
      <c r="B12" s="61"/>
      <c r="C12" s="3"/>
      <c r="D12" s="3"/>
      <c r="E12" s="97" t="s">
        <v>446</v>
      </c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254"/>
      <c r="BO12" s="254"/>
      <c r="BP12" s="254"/>
      <c r="BQ12" s="254"/>
      <c r="BR12" s="254"/>
      <c r="BS12" s="254"/>
      <c r="BT12" s="254"/>
      <c r="BU12" s="254"/>
      <c r="BV12" s="254"/>
      <c r="BW12" s="254"/>
      <c r="BX12" s="254"/>
      <c r="BY12" s="254"/>
      <c r="BZ12" s="255"/>
    </row>
    <row r="13" spans="2:78" x14ac:dyDescent="0.3">
      <c r="B13" s="199"/>
      <c r="C13" s="3"/>
      <c r="D13" s="3"/>
      <c r="E13" s="172" t="str">
        <f>Assumptions!G57</f>
        <v>Taxes</v>
      </c>
      <c r="F13" s="195"/>
      <c r="G13" s="256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4"/>
      <c r="BW13" s="244"/>
      <c r="BX13" s="244"/>
      <c r="BY13" s="244"/>
      <c r="BZ13" s="245"/>
    </row>
    <row r="14" spans="2:78" x14ac:dyDescent="0.3">
      <c r="B14" s="3"/>
      <c r="C14" s="3"/>
      <c r="D14" s="3"/>
      <c r="E14" s="172" t="str">
        <f>Assumptions!G58</f>
        <v>Insurance</v>
      </c>
      <c r="F14" s="195"/>
      <c r="G14" s="256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244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44"/>
      <c r="BR14" s="244"/>
      <c r="BS14" s="244"/>
      <c r="BT14" s="244"/>
      <c r="BU14" s="244"/>
      <c r="BV14" s="244"/>
      <c r="BW14" s="244"/>
      <c r="BX14" s="244"/>
      <c r="BY14" s="244"/>
      <c r="BZ14" s="245"/>
    </row>
    <row r="15" spans="2:78" x14ac:dyDescent="0.3">
      <c r="B15" s="3"/>
      <c r="C15" s="3"/>
      <c r="D15" s="3"/>
      <c r="E15" s="172" t="str">
        <f>Assumptions!G59</f>
        <v>Payroll</v>
      </c>
      <c r="F15" s="195"/>
      <c r="G15" s="256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245"/>
    </row>
    <row r="16" spans="2:78" x14ac:dyDescent="0.3">
      <c r="B16" s="3"/>
      <c r="C16" s="3"/>
      <c r="D16" s="3"/>
      <c r="E16" s="172" t="str">
        <f>Assumptions!G60</f>
        <v>Repairs &amp; Maintenance</v>
      </c>
      <c r="F16" s="195"/>
      <c r="G16" s="256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  <c r="AY16" s="244"/>
      <c r="AZ16" s="244"/>
      <c r="BA16" s="244"/>
      <c r="BB16" s="244"/>
      <c r="BC16" s="244"/>
      <c r="BD16" s="244"/>
      <c r="BE16" s="244"/>
      <c r="BF16" s="244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44"/>
      <c r="BR16" s="244"/>
      <c r="BS16" s="244"/>
      <c r="BT16" s="244"/>
      <c r="BU16" s="244"/>
      <c r="BV16" s="244"/>
      <c r="BW16" s="244"/>
      <c r="BX16" s="244"/>
      <c r="BY16" s="244"/>
      <c r="BZ16" s="245"/>
    </row>
    <row r="17" spans="2:78" x14ac:dyDescent="0.3">
      <c r="B17" s="3"/>
      <c r="C17" s="3"/>
      <c r="D17" s="3"/>
      <c r="E17" s="172" t="str">
        <f>Assumptions!G61</f>
        <v>Contract Services</v>
      </c>
      <c r="F17" s="195"/>
      <c r="G17" s="256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5"/>
    </row>
    <row r="18" spans="2:78" x14ac:dyDescent="0.3">
      <c r="B18" s="3"/>
      <c r="C18" s="3"/>
      <c r="D18" s="3"/>
      <c r="E18" s="172" t="str">
        <f>Assumptions!G62</f>
        <v>Marketing</v>
      </c>
      <c r="F18" s="195"/>
      <c r="G18" s="256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44"/>
      <c r="AS18" s="244"/>
      <c r="AT18" s="244"/>
      <c r="AU18" s="244"/>
      <c r="AV18" s="244"/>
      <c r="AW18" s="244"/>
      <c r="AX18" s="244"/>
      <c r="AY18" s="244"/>
      <c r="AZ18" s="244"/>
      <c r="BA18" s="244"/>
      <c r="BB18" s="244"/>
      <c r="BC18" s="244"/>
      <c r="BD18" s="244"/>
      <c r="BE18" s="244"/>
      <c r="BF18" s="244"/>
      <c r="BG18" s="244"/>
      <c r="BH18" s="244"/>
      <c r="BI18" s="244"/>
      <c r="BJ18" s="244"/>
      <c r="BK18" s="244"/>
      <c r="BL18" s="244"/>
      <c r="BM18" s="244"/>
      <c r="BN18" s="244"/>
      <c r="BO18" s="244"/>
      <c r="BP18" s="244"/>
      <c r="BQ18" s="244"/>
      <c r="BR18" s="244"/>
      <c r="BS18" s="244"/>
      <c r="BT18" s="244"/>
      <c r="BU18" s="244"/>
      <c r="BV18" s="244"/>
      <c r="BW18" s="244"/>
      <c r="BX18" s="244"/>
      <c r="BY18" s="244"/>
      <c r="BZ18" s="245"/>
    </row>
    <row r="19" spans="2:78" x14ac:dyDescent="0.3">
      <c r="B19" s="3"/>
      <c r="C19" s="3"/>
      <c r="D19" s="3"/>
      <c r="E19" s="172" t="str">
        <f>Assumptions!G63</f>
        <v>General &amp; Administrative</v>
      </c>
      <c r="F19" s="195"/>
      <c r="G19" s="256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/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44"/>
      <c r="BR19" s="244"/>
      <c r="BS19" s="244"/>
      <c r="BT19" s="244"/>
      <c r="BU19" s="244"/>
      <c r="BV19" s="244"/>
      <c r="BW19" s="244"/>
      <c r="BX19" s="244"/>
      <c r="BY19" s="244"/>
      <c r="BZ19" s="245"/>
    </row>
    <row r="20" spans="2:78" x14ac:dyDescent="0.3">
      <c r="B20" s="3"/>
      <c r="C20" s="3"/>
      <c r="D20" s="3"/>
      <c r="E20" s="172" t="str">
        <f>Assumptions!G64</f>
        <v>Utilities</v>
      </c>
      <c r="F20" s="195"/>
      <c r="G20" s="256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  <c r="AU20" s="244"/>
      <c r="AV20" s="244"/>
      <c r="AW20" s="244"/>
      <c r="AX20" s="244"/>
      <c r="AY20" s="244"/>
      <c r="AZ20" s="244"/>
      <c r="BA20" s="244"/>
      <c r="BB20" s="244"/>
      <c r="BC20" s="244"/>
      <c r="BD20" s="244"/>
      <c r="BE20" s="244"/>
      <c r="BF20" s="244"/>
      <c r="BG20" s="244"/>
      <c r="BH20" s="244"/>
      <c r="BI20" s="244"/>
      <c r="BJ20" s="244"/>
      <c r="BK20" s="244"/>
      <c r="BL20" s="244"/>
      <c r="BM20" s="244"/>
      <c r="BN20" s="244"/>
      <c r="BO20" s="244"/>
      <c r="BP20" s="244"/>
      <c r="BQ20" s="244"/>
      <c r="BR20" s="244"/>
      <c r="BS20" s="244"/>
      <c r="BT20" s="244"/>
      <c r="BU20" s="244"/>
      <c r="BV20" s="244"/>
      <c r="BW20" s="244"/>
      <c r="BX20" s="244"/>
      <c r="BY20" s="244"/>
      <c r="BZ20" s="245"/>
    </row>
    <row r="21" spans="2:78" x14ac:dyDescent="0.3">
      <c r="B21" s="3"/>
      <c r="C21" s="3"/>
      <c r="D21" s="3"/>
      <c r="E21" s="172" t="str">
        <f>Assumptions!G65</f>
        <v>Reserves</v>
      </c>
      <c r="F21" s="195"/>
      <c r="G21" s="256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  <c r="BI21" s="244"/>
      <c r="BJ21" s="244"/>
      <c r="BK21" s="244"/>
      <c r="BL21" s="244"/>
      <c r="BM21" s="244"/>
      <c r="BN21" s="244"/>
      <c r="BO21" s="244"/>
      <c r="BP21" s="244"/>
      <c r="BQ21" s="244"/>
      <c r="BR21" s="244"/>
      <c r="BS21" s="244"/>
      <c r="BT21" s="244"/>
      <c r="BU21" s="244"/>
      <c r="BV21" s="244"/>
      <c r="BW21" s="244"/>
      <c r="BX21" s="244"/>
      <c r="BY21" s="244"/>
      <c r="BZ21" s="245"/>
    </row>
    <row r="22" spans="2:78" x14ac:dyDescent="0.3">
      <c r="B22" s="3"/>
      <c r="C22" s="3"/>
      <c r="D22" s="3"/>
      <c r="E22" s="172" t="str">
        <f>Assumptions!G66</f>
        <v>Management</v>
      </c>
      <c r="F22" s="195"/>
      <c r="G22" s="256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4"/>
      <c r="BK22" s="244"/>
      <c r="BL22" s="244"/>
      <c r="BM22" s="244"/>
      <c r="BN22" s="244"/>
      <c r="BO22" s="244"/>
      <c r="BP22" s="244"/>
      <c r="BQ22" s="244"/>
      <c r="BR22" s="244"/>
      <c r="BS22" s="244"/>
      <c r="BT22" s="244"/>
      <c r="BU22" s="244"/>
      <c r="BV22" s="244"/>
      <c r="BW22" s="244"/>
      <c r="BX22" s="244"/>
      <c r="BY22" s="244"/>
      <c r="BZ22" s="245"/>
    </row>
    <row r="23" spans="2:78" x14ac:dyDescent="0.3">
      <c r="B23" s="3"/>
      <c r="C23" s="11"/>
      <c r="D23" s="11"/>
      <c r="E23" s="157" t="s">
        <v>447</v>
      </c>
      <c r="F23" s="19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47"/>
      <c r="BF23" s="247"/>
      <c r="BG23" s="247"/>
      <c r="BH23" s="247"/>
      <c r="BI23" s="247"/>
      <c r="BJ23" s="247"/>
      <c r="BK23" s="247"/>
      <c r="BL23" s="247"/>
      <c r="BM23" s="247"/>
      <c r="BN23" s="247"/>
      <c r="BO23" s="247"/>
      <c r="BP23" s="247"/>
      <c r="BQ23" s="247"/>
      <c r="BR23" s="247"/>
      <c r="BS23" s="247"/>
      <c r="BT23" s="247"/>
      <c r="BU23" s="247"/>
      <c r="BV23" s="247"/>
      <c r="BW23" s="247"/>
      <c r="BX23" s="247"/>
      <c r="BY23" s="247"/>
      <c r="BZ23" s="248"/>
    </row>
    <row r="24" spans="2:78" x14ac:dyDescent="0.3">
      <c r="B24" s="3"/>
      <c r="C24" s="3"/>
      <c r="D24" s="3"/>
      <c r="E24" s="200" t="s">
        <v>450</v>
      </c>
      <c r="F24" s="195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7"/>
      <c r="BD24" s="257"/>
      <c r="BE24" s="257"/>
      <c r="BF24" s="257"/>
      <c r="BG24" s="257"/>
      <c r="BH24" s="257"/>
      <c r="BI24" s="257"/>
      <c r="BJ24" s="257"/>
      <c r="BK24" s="257"/>
      <c r="BL24" s="257"/>
      <c r="BM24" s="257"/>
      <c r="BN24" s="257"/>
      <c r="BO24" s="257"/>
      <c r="BP24" s="257"/>
      <c r="BQ24" s="257"/>
      <c r="BR24" s="257"/>
      <c r="BS24" s="257"/>
      <c r="BT24" s="257"/>
      <c r="BU24" s="257"/>
      <c r="BV24" s="257"/>
      <c r="BW24" s="257"/>
      <c r="BX24" s="257"/>
      <c r="BY24" s="257"/>
      <c r="BZ24" s="258"/>
    </row>
    <row r="25" spans="2:78" x14ac:dyDescent="0.3">
      <c r="B25" s="3"/>
      <c r="C25" s="11"/>
      <c r="D25" s="11"/>
      <c r="E25" s="152" t="s">
        <v>448</v>
      </c>
      <c r="F25" s="197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6"/>
      <c r="BK25" s="246"/>
      <c r="BL25" s="246"/>
      <c r="BM25" s="246"/>
      <c r="BN25" s="246"/>
      <c r="BO25" s="246"/>
      <c r="BP25" s="246"/>
      <c r="BQ25" s="246"/>
      <c r="BR25" s="246"/>
      <c r="BS25" s="246"/>
      <c r="BT25" s="246"/>
      <c r="BU25" s="246"/>
      <c r="BV25" s="246"/>
      <c r="BW25" s="246"/>
      <c r="BX25" s="246"/>
      <c r="BY25" s="246"/>
      <c r="BZ25" s="259"/>
    </row>
    <row r="26" spans="2:78" x14ac:dyDescent="0.3">
      <c r="B26" s="3"/>
      <c r="C26" s="3"/>
      <c r="D26" s="3"/>
      <c r="E26" s="94" t="s">
        <v>507</v>
      </c>
      <c r="F26" s="3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4"/>
      <c r="BK26" s="244"/>
      <c r="BL26" s="244"/>
      <c r="BM26" s="244"/>
      <c r="BN26" s="244"/>
      <c r="BO26" s="244"/>
      <c r="BP26" s="244"/>
      <c r="BQ26" s="244"/>
      <c r="BR26" s="244"/>
      <c r="BS26" s="244"/>
      <c r="BT26" s="244"/>
      <c r="BU26" s="244"/>
      <c r="BV26" s="244"/>
      <c r="BW26" s="244"/>
      <c r="BX26" s="244"/>
      <c r="BY26" s="244"/>
      <c r="BZ26" s="245"/>
    </row>
    <row r="27" spans="2:78" x14ac:dyDescent="0.3">
      <c r="B27" s="3"/>
      <c r="C27" s="11"/>
      <c r="D27" s="11"/>
      <c r="E27" s="157" t="s">
        <v>508</v>
      </c>
      <c r="F27" s="158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7"/>
      <c r="BD27" s="247"/>
      <c r="BE27" s="247"/>
      <c r="BF27" s="247"/>
      <c r="BG27" s="247"/>
      <c r="BH27" s="247"/>
      <c r="BI27" s="247"/>
      <c r="BJ27" s="247"/>
      <c r="BK27" s="247"/>
      <c r="BL27" s="247"/>
      <c r="BM27" s="247"/>
      <c r="BN27" s="247"/>
      <c r="BO27" s="247"/>
      <c r="BP27" s="247"/>
      <c r="BQ27" s="247"/>
      <c r="BR27" s="247"/>
      <c r="BS27" s="247"/>
      <c r="BT27" s="247"/>
      <c r="BU27" s="247"/>
      <c r="BV27" s="247"/>
      <c r="BW27" s="247"/>
      <c r="BX27" s="247"/>
      <c r="BY27" s="247"/>
      <c r="BZ27" s="248"/>
    </row>
    <row r="28" spans="2:78" x14ac:dyDescent="0.3">
      <c r="B28" s="3"/>
      <c r="C28" s="11"/>
      <c r="D28" s="11"/>
      <c r="E28" s="157" t="s">
        <v>449</v>
      </c>
      <c r="F28" s="201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  <c r="BP28" s="260"/>
      <c r="BQ28" s="260"/>
      <c r="BR28" s="260"/>
      <c r="BS28" s="260"/>
      <c r="BT28" s="260"/>
      <c r="BU28" s="260"/>
      <c r="BV28" s="260"/>
      <c r="BW28" s="260"/>
      <c r="BX28" s="260"/>
      <c r="BY28" s="260"/>
      <c r="BZ28" s="261"/>
    </row>
    <row r="29" spans="2:78" x14ac:dyDescent="0.3">
      <c r="B29" s="3"/>
      <c r="C29" s="11"/>
      <c r="D29" s="11"/>
      <c r="E29" s="157" t="s">
        <v>452</v>
      </c>
      <c r="F29" s="202"/>
      <c r="G29" s="262"/>
      <c r="H29" s="262"/>
      <c r="I29" s="262"/>
      <c r="J29" s="262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0"/>
      <c r="BJ29" s="260"/>
      <c r="BK29" s="260"/>
      <c r="BL29" s="260"/>
      <c r="BM29" s="260"/>
      <c r="BN29" s="260"/>
      <c r="BO29" s="260"/>
      <c r="BP29" s="260"/>
      <c r="BQ29" s="260"/>
      <c r="BR29" s="260"/>
      <c r="BS29" s="260"/>
      <c r="BT29" s="260"/>
      <c r="BU29" s="260"/>
      <c r="BV29" s="260"/>
      <c r="BW29" s="260"/>
      <c r="BX29" s="260"/>
      <c r="BY29" s="260"/>
      <c r="BZ29" s="261"/>
    </row>
    <row r="30" spans="2:78" x14ac:dyDescent="0.3">
      <c r="B30" s="3"/>
      <c r="C30" s="203"/>
      <c r="D30" s="203"/>
      <c r="E30" s="204" t="s">
        <v>453</v>
      </c>
      <c r="F30" s="205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7"/>
      <c r="BH30" s="247"/>
      <c r="BI30" s="247"/>
      <c r="BJ30" s="247"/>
      <c r="BK30" s="247"/>
      <c r="BL30" s="247"/>
      <c r="BM30" s="247"/>
      <c r="BN30" s="247"/>
      <c r="BO30" s="247"/>
      <c r="BP30" s="247"/>
      <c r="BQ30" s="247"/>
      <c r="BR30" s="247"/>
      <c r="BS30" s="247"/>
      <c r="BT30" s="247"/>
      <c r="BU30" s="247"/>
      <c r="BV30" s="247"/>
      <c r="BW30" s="247"/>
      <c r="BX30" s="247"/>
      <c r="BY30" s="247"/>
      <c r="BZ30" s="248"/>
    </row>
    <row r="31" spans="2:78" x14ac:dyDescent="0.3">
      <c r="B31" s="3"/>
      <c r="C31" s="11"/>
      <c r="D31" s="11"/>
      <c r="E31" s="157" t="s">
        <v>454</v>
      </c>
      <c r="F31" s="260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201"/>
      <c r="BH31" s="201"/>
      <c r="BI31" s="201"/>
      <c r="BJ31" s="201"/>
      <c r="BK31" s="201"/>
      <c r="BL31" s="201"/>
      <c r="BM31" s="201"/>
      <c r="BN31" s="263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7"/>
    </row>
    <row r="32" spans="2:78" x14ac:dyDescent="0.3">
      <c r="B32" s="3"/>
      <c r="C32" s="11"/>
      <c r="D32" s="11"/>
      <c r="E32" s="157" t="s">
        <v>455</v>
      </c>
      <c r="F32" s="260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  <c r="BF32" s="201"/>
      <c r="BG32" s="201"/>
      <c r="BH32" s="201"/>
      <c r="BI32" s="201"/>
      <c r="BJ32" s="201"/>
      <c r="BK32" s="201"/>
      <c r="BL32" s="201"/>
      <c r="BM32" s="201"/>
      <c r="BN32" s="263"/>
      <c r="BO32" s="206"/>
      <c r="BP32" s="206"/>
      <c r="BQ32" s="206"/>
      <c r="BR32" s="206"/>
      <c r="BS32" s="206"/>
      <c r="BT32" s="206"/>
      <c r="BU32" s="206"/>
      <c r="BV32" s="206"/>
      <c r="BW32" s="206"/>
      <c r="BX32" s="206"/>
      <c r="BY32" s="206"/>
      <c r="BZ32" s="207"/>
    </row>
    <row r="33" spans="2:78" x14ac:dyDescent="0.3">
      <c r="B33" s="3"/>
      <c r="C33" s="11"/>
      <c r="D33" s="11"/>
      <c r="E33" s="157" t="s">
        <v>456</v>
      </c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0"/>
      <c r="BK33" s="260"/>
      <c r="BL33" s="260"/>
      <c r="BM33" s="260"/>
      <c r="BN33" s="260"/>
      <c r="BO33" s="260"/>
      <c r="BP33" s="260"/>
      <c r="BQ33" s="260"/>
      <c r="BR33" s="260"/>
      <c r="BS33" s="260"/>
      <c r="BT33" s="260"/>
      <c r="BU33" s="260"/>
      <c r="BV33" s="260"/>
      <c r="BW33" s="260"/>
      <c r="BX33" s="260"/>
      <c r="BY33" s="260"/>
      <c r="BZ33" s="261"/>
    </row>
    <row r="34" spans="2:78" x14ac:dyDescent="0.3">
      <c r="B34" s="3"/>
      <c r="C34" s="11"/>
      <c r="D34" s="11"/>
      <c r="E34" s="157" t="s">
        <v>457</v>
      </c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0"/>
      <c r="BM34" s="260"/>
      <c r="BN34" s="260"/>
      <c r="BO34" s="260"/>
      <c r="BP34" s="260"/>
      <c r="BQ34" s="260"/>
      <c r="BR34" s="260"/>
      <c r="BS34" s="260"/>
      <c r="BT34" s="260"/>
      <c r="BU34" s="260"/>
      <c r="BV34" s="260"/>
      <c r="BW34" s="260"/>
      <c r="BX34" s="260"/>
      <c r="BY34" s="260"/>
      <c r="BZ34" s="261"/>
    </row>
    <row r="35" spans="2:78" x14ac:dyDescent="0.3">
      <c r="B35" s="3"/>
      <c r="C35" s="11"/>
      <c r="D35" s="11"/>
      <c r="E35" s="157" t="s">
        <v>458</v>
      </c>
      <c r="F35" s="247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0"/>
      <c r="BM35" s="260"/>
      <c r="BN35" s="260"/>
      <c r="BO35" s="260"/>
      <c r="BP35" s="260"/>
      <c r="BQ35" s="260"/>
      <c r="BR35" s="260"/>
      <c r="BS35" s="260"/>
      <c r="BT35" s="260"/>
      <c r="BU35" s="260"/>
      <c r="BV35" s="260"/>
      <c r="BW35" s="260"/>
      <c r="BX35" s="260"/>
      <c r="BY35" s="260"/>
      <c r="BZ35" s="261"/>
    </row>
    <row r="36" spans="2:78" x14ac:dyDescent="0.3">
      <c r="B36" s="3"/>
      <c r="C36" s="11"/>
      <c r="D36" s="11"/>
      <c r="E36" s="157" t="s">
        <v>459</v>
      </c>
      <c r="F36" s="260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  <c r="BA36" s="201"/>
      <c r="BB36" s="201"/>
      <c r="BC36" s="201"/>
      <c r="BD36" s="201"/>
      <c r="BE36" s="201"/>
      <c r="BF36" s="201"/>
      <c r="BG36" s="201"/>
      <c r="BH36" s="201"/>
      <c r="BI36" s="201"/>
      <c r="BJ36" s="201"/>
      <c r="BK36" s="201"/>
      <c r="BL36" s="201"/>
      <c r="BM36" s="201"/>
      <c r="BN36" s="263"/>
      <c r="BO36" s="206"/>
      <c r="BP36" s="206"/>
      <c r="BQ36" s="206"/>
      <c r="BR36" s="206"/>
      <c r="BS36" s="206"/>
      <c r="BT36" s="206"/>
      <c r="BU36" s="206"/>
      <c r="BV36" s="206"/>
      <c r="BW36" s="206"/>
      <c r="BX36" s="206"/>
      <c r="BY36" s="206"/>
      <c r="BZ36" s="207"/>
    </row>
    <row r="37" spans="2:78" x14ac:dyDescent="0.3">
      <c r="B37" s="3"/>
      <c r="C37" s="3"/>
      <c r="D37" s="3"/>
      <c r="E37" s="97" t="s">
        <v>460</v>
      </c>
      <c r="F37" s="254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5"/>
      <c r="BB37" s="195"/>
      <c r="BC37" s="195"/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254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9"/>
    </row>
    <row r="38" spans="2:78" x14ac:dyDescent="0.3">
      <c r="B38" s="3"/>
      <c r="C38" s="11"/>
      <c r="D38" s="11"/>
      <c r="E38" s="157" t="s">
        <v>461</v>
      </c>
      <c r="F38" s="263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  <c r="BN38" s="260"/>
      <c r="BO38" s="264"/>
      <c r="BP38" s="264"/>
      <c r="BQ38" s="264"/>
      <c r="BR38" s="264"/>
      <c r="BS38" s="264"/>
      <c r="BT38" s="264"/>
      <c r="BU38" s="264"/>
      <c r="BV38" s="264"/>
      <c r="BW38" s="264"/>
      <c r="BX38" s="264"/>
      <c r="BY38" s="264"/>
      <c r="BZ38" s="265"/>
    </row>
    <row r="39" spans="2:78" x14ac:dyDescent="0.3">
      <c r="B39" s="3"/>
      <c r="C39" s="11"/>
      <c r="D39" s="11"/>
      <c r="E39" s="152" t="s">
        <v>462</v>
      </c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6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6"/>
      <c r="BB39" s="266"/>
      <c r="BC39" s="266"/>
      <c r="BD39" s="266"/>
      <c r="BE39" s="266"/>
      <c r="BF39" s="266"/>
      <c r="BG39" s="266"/>
      <c r="BH39" s="266"/>
      <c r="BI39" s="266"/>
      <c r="BJ39" s="266"/>
      <c r="BK39" s="266"/>
      <c r="BL39" s="266"/>
      <c r="BM39" s="266"/>
      <c r="BN39" s="266"/>
      <c r="BO39" s="266"/>
      <c r="BP39" s="266"/>
      <c r="BQ39" s="266"/>
      <c r="BR39" s="266"/>
      <c r="BS39" s="266"/>
      <c r="BT39" s="266"/>
      <c r="BU39" s="266"/>
      <c r="BV39" s="266"/>
      <c r="BW39" s="266"/>
      <c r="BX39" s="266"/>
      <c r="BY39" s="266"/>
      <c r="BZ39" s="267"/>
    </row>
    <row r="40" spans="2:78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61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2:78" x14ac:dyDescent="0.3">
      <c r="B41" s="208">
        <v>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61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 spans="2:78" x14ac:dyDescent="0.3">
      <c r="B42" s="209">
        <f>B41+1</f>
        <v>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61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2:78" x14ac:dyDescent="0.3">
      <c r="B43" s="209">
        <f>B42+1</f>
        <v>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61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</row>
    <row r="44" spans="2:78" x14ac:dyDescent="0.3">
      <c r="B44" s="209">
        <f>B43+1</f>
        <v>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61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2:78" x14ac:dyDescent="0.3">
      <c r="B45" s="209">
        <f>B44+1</f>
        <v>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61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</vt:lpstr>
      <vt:lpstr>Assumptions</vt:lpstr>
      <vt:lpstr>Investment Summary</vt:lpstr>
      <vt:lpstr>Annual Forecast</vt:lpstr>
      <vt:lpstr>Monthly Cash Flow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cp:revision>0</cp:revision>
  <dcterms:created xsi:type="dcterms:W3CDTF">2025-03-05T17:09:14Z</dcterms:created>
  <dcterms:modified xsi:type="dcterms:W3CDTF">2026-08-12T22:39:41Z</dcterms:modified>
</cp:coreProperties>
</file>