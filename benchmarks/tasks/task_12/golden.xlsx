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1_{3A994552-4CEE-42AE-90F5-EF0E158C9B53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Source Data" sheetId="11" r:id="rId1"/>
    <sheet name="Assumptions" sheetId="12" r:id="rId2"/>
    <sheet name="Investment Summary" sheetId="13" r:id="rId3"/>
    <sheet name="Annual Forecast" sheetId="14" r:id="rId4"/>
    <sheet name="Monthly Cash Flow" sheetId="1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5" l="1"/>
  <c r="B43" i="15" s="1"/>
  <c r="B44" i="15" s="1"/>
  <c r="B45" i="15" s="1"/>
  <c r="F36" i="15"/>
  <c r="F33" i="15"/>
  <c r="F34" i="15" s="1"/>
  <c r="F31" i="15"/>
  <c r="E22" i="15"/>
  <c r="E21" i="15"/>
  <c r="E20" i="15"/>
  <c r="E19" i="15"/>
  <c r="E18" i="15"/>
  <c r="E17" i="15"/>
  <c r="E16" i="15"/>
  <c r="E15" i="15"/>
  <c r="E14" i="15"/>
  <c r="E13" i="15"/>
  <c r="F5" i="15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Z5" i="15" s="1"/>
  <c r="BA5" i="15" s="1"/>
  <c r="BB5" i="15" s="1"/>
  <c r="BC5" i="15" s="1"/>
  <c r="BD5" i="15" s="1"/>
  <c r="BE5" i="15" s="1"/>
  <c r="BF5" i="15" s="1"/>
  <c r="BG5" i="15" s="1"/>
  <c r="BH5" i="15" s="1"/>
  <c r="BI5" i="15" s="1"/>
  <c r="BJ5" i="15" s="1"/>
  <c r="BK5" i="15" s="1"/>
  <c r="BL5" i="15" s="1"/>
  <c r="BM5" i="15" s="1"/>
  <c r="BN5" i="15" s="1"/>
  <c r="BO5" i="15" s="1"/>
  <c r="BP5" i="15" s="1"/>
  <c r="BQ5" i="15" s="1"/>
  <c r="BR5" i="15" s="1"/>
  <c r="BS5" i="15" s="1"/>
  <c r="BT5" i="15" s="1"/>
  <c r="BU5" i="15" s="1"/>
  <c r="BV5" i="15" s="1"/>
  <c r="BW5" i="15" s="1"/>
  <c r="BX5" i="15" s="1"/>
  <c r="BY5" i="15" s="1"/>
  <c r="BZ5" i="15" s="1"/>
  <c r="G4" i="15"/>
  <c r="G29" i="15" s="1"/>
  <c r="AD3" i="15"/>
  <c r="AP3" i="15" s="1"/>
  <c r="BB3" i="15" s="1"/>
  <c r="BN3" i="15" s="1"/>
  <c r="BZ3" i="15" s="1"/>
  <c r="AC3" i="15"/>
  <c r="AO3" i="15" s="1"/>
  <c r="BA3" i="15" s="1"/>
  <c r="BM3" i="15" s="1"/>
  <c r="BY3" i="15" s="1"/>
  <c r="AB3" i="15"/>
  <c r="AN3" i="15" s="1"/>
  <c r="AZ3" i="15" s="1"/>
  <c r="BL3" i="15" s="1"/>
  <c r="BX3" i="15" s="1"/>
  <c r="AA3" i="15"/>
  <c r="AM3" i="15" s="1"/>
  <c r="AY3" i="15" s="1"/>
  <c r="BK3" i="15" s="1"/>
  <c r="BW3" i="15" s="1"/>
  <c r="Z3" i="15"/>
  <c r="AL3" i="15" s="1"/>
  <c r="AX3" i="15" s="1"/>
  <c r="BJ3" i="15" s="1"/>
  <c r="BV3" i="15" s="1"/>
  <c r="Y3" i="15"/>
  <c r="AK3" i="15" s="1"/>
  <c r="AW3" i="15" s="1"/>
  <c r="BI3" i="15" s="1"/>
  <c r="BU3" i="15" s="1"/>
  <c r="X3" i="15"/>
  <c r="AJ3" i="15" s="1"/>
  <c r="AV3" i="15" s="1"/>
  <c r="BH3" i="15" s="1"/>
  <c r="BT3" i="15" s="1"/>
  <c r="W3" i="15"/>
  <c r="AI3" i="15" s="1"/>
  <c r="AU3" i="15" s="1"/>
  <c r="BG3" i="15" s="1"/>
  <c r="BS3" i="15" s="1"/>
  <c r="V3" i="15"/>
  <c r="AH3" i="15" s="1"/>
  <c r="AT3" i="15" s="1"/>
  <c r="BF3" i="15" s="1"/>
  <c r="BR3" i="15" s="1"/>
  <c r="U3" i="15"/>
  <c r="AG3" i="15" s="1"/>
  <c r="AS3" i="15" s="1"/>
  <c r="BE3" i="15" s="1"/>
  <c r="BQ3" i="15" s="1"/>
  <c r="T3" i="15"/>
  <c r="AF3" i="15" s="1"/>
  <c r="AR3" i="15" s="1"/>
  <c r="BD3" i="15" s="1"/>
  <c r="BP3" i="15" s="1"/>
  <c r="S3" i="15"/>
  <c r="B20" i="14"/>
  <c r="H20" i="13" s="1"/>
  <c r="B19" i="14"/>
  <c r="H19" i="13" s="1"/>
  <c r="B18" i="14"/>
  <c r="H18" i="13" s="1"/>
  <c r="B17" i="14"/>
  <c r="H17" i="13" s="1"/>
  <c r="B16" i="14"/>
  <c r="H16" i="13" s="1"/>
  <c r="B15" i="14"/>
  <c r="B14" i="14"/>
  <c r="H14" i="13" s="1"/>
  <c r="B13" i="14"/>
  <c r="H13" i="13" s="1"/>
  <c r="B12" i="14"/>
  <c r="H12" i="13" s="1"/>
  <c r="B11" i="14"/>
  <c r="H11" i="13" s="1"/>
  <c r="D3" i="14"/>
  <c r="E3" i="14" s="1"/>
  <c r="J34" i="13"/>
  <c r="G34" i="13"/>
  <c r="D34" i="13"/>
  <c r="J31" i="13"/>
  <c r="G31" i="13"/>
  <c r="D31" i="13"/>
  <c r="H22" i="13"/>
  <c r="H21" i="13"/>
  <c r="C19" i="13"/>
  <c r="F32" i="15" s="1"/>
  <c r="C18" i="13"/>
  <c r="H15" i="13"/>
  <c r="C15" i="13"/>
  <c r="H10" i="13"/>
  <c r="H8" i="13"/>
  <c r="B8" i="13"/>
  <c r="H7" i="13"/>
  <c r="E7" i="13"/>
  <c r="D7" i="13"/>
  <c r="C7" i="13"/>
  <c r="B7" i="13"/>
  <c r="H6" i="13"/>
  <c r="E6" i="13"/>
  <c r="D6" i="13"/>
  <c r="C6" i="13"/>
  <c r="B6" i="13"/>
  <c r="H5" i="13"/>
  <c r="E5" i="13"/>
  <c r="D5" i="13"/>
  <c r="C5" i="13"/>
  <c r="B5" i="13"/>
  <c r="H4" i="13"/>
  <c r="E4" i="13"/>
  <c r="D4" i="13"/>
  <c r="C4" i="13"/>
  <c r="B4" i="13"/>
  <c r="H3" i="13"/>
  <c r="G3" i="13"/>
  <c r="F3" i="13"/>
  <c r="E3" i="13"/>
  <c r="D3" i="13"/>
  <c r="C3" i="13"/>
  <c r="B3" i="13"/>
  <c r="C65" i="12"/>
  <c r="C64" i="12"/>
  <c r="C63" i="12"/>
  <c r="C62" i="12"/>
  <c r="C61" i="12"/>
  <c r="C60" i="12"/>
  <c r="C59" i="12"/>
  <c r="C58" i="12"/>
  <c r="C57" i="12"/>
  <c r="C51" i="12"/>
  <c r="C36" i="12"/>
  <c r="C8" i="13" s="1"/>
  <c r="F35" i="12"/>
  <c r="G35" i="12" s="1"/>
  <c r="G7" i="13" s="1"/>
  <c r="F34" i="12"/>
  <c r="G34" i="12" s="1"/>
  <c r="G6" i="13" s="1"/>
  <c r="F33" i="12"/>
  <c r="F32" i="12"/>
  <c r="G32" i="12" s="1"/>
  <c r="G4" i="13" s="1"/>
  <c r="D21" i="12"/>
  <c r="D18" i="12"/>
  <c r="D19" i="12" s="1"/>
  <c r="F396" i="11"/>
  <c r="E396" i="11"/>
  <c r="F388" i="11"/>
  <c r="E388" i="11"/>
  <c r="F379" i="11"/>
  <c r="D138" i="11"/>
  <c r="D16" i="11"/>
  <c r="H4" i="15" l="1"/>
  <c r="H29" i="15" s="1"/>
  <c r="G28" i="15"/>
  <c r="F36" i="12"/>
  <c r="H65" i="12" s="1"/>
  <c r="C20" i="13"/>
  <c r="C16" i="13" s="1"/>
  <c r="H28" i="15"/>
  <c r="F4" i="13"/>
  <c r="D9" i="12"/>
  <c r="H63" i="12" s="1"/>
  <c r="D47" i="12"/>
  <c r="E47" i="12" s="1"/>
  <c r="D48" i="12"/>
  <c r="E48" i="12" s="1"/>
  <c r="D51" i="12"/>
  <c r="C66" i="12"/>
  <c r="E36" i="12"/>
  <c r="H58" i="12"/>
  <c r="D64" i="12"/>
  <c r="D36" i="12"/>
  <c r="D8" i="13" s="1"/>
  <c r="D43" i="12"/>
  <c r="E43" i="12" s="1"/>
  <c r="D44" i="12"/>
  <c r="E44" i="12" s="1"/>
  <c r="G10" i="15"/>
  <c r="E51" i="12"/>
  <c r="D20" i="13"/>
  <c r="E20" i="13"/>
  <c r="H66" i="12"/>
  <c r="H61" i="12"/>
  <c r="F5" i="13"/>
  <c r="F6" i="13"/>
  <c r="F7" i="13"/>
  <c r="H59" i="12"/>
  <c r="D41" i="12"/>
  <c r="E41" i="12" s="1"/>
  <c r="D45" i="12"/>
  <c r="E45" i="12" s="1"/>
  <c r="D49" i="12"/>
  <c r="E49" i="12" s="1"/>
  <c r="D57" i="12"/>
  <c r="H62" i="12"/>
  <c r="E19" i="13"/>
  <c r="AE3" i="15"/>
  <c r="G33" i="15"/>
  <c r="G34" i="15" s="1"/>
  <c r="G38" i="15"/>
  <c r="D61" i="12"/>
  <c r="H64" i="12"/>
  <c r="H33" i="15"/>
  <c r="H34" i="15" s="1"/>
  <c r="H38" i="15"/>
  <c r="D42" i="12"/>
  <c r="E42" i="12" s="1"/>
  <c r="D46" i="12"/>
  <c r="E46" i="12" s="1"/>
  <c r="D50" i="12"/>
  <c r="E50" i="12" s="1"/>
  <c r="F3" i="14"/>
  <c r="I4" i="15"/>
  <c r="G33" i="12"/>
  <c r="G5" i="13" s="1"/>
  <c r="D59" i="12"/>
  <c r="G16" i="15"/>
  <c r="G15" i="15"/>
  <c r="G13" i="15"/>
  <c r="G17" i="15"/>
  <c r="G19" i="15"/>
  <c r="G14" i="15"/>
  <c r="G20" i="15"/>
  <c r="G18" i="15"/>
  <c r="D58" i="12"/>
  <c r="E18" i="13"/>
  <c r="F35" i="15"/>
  <c r="F39" i="15"/>
  <c r="F8" i="13" l="1"/>
  <c r="D18" i="13"/>
  <c r="D65" i="12"/>
  <c r="D62" i="12"/>
  <c r="G36" i="12"/>
  <c r="G8" i="13" s="1"/>
  <c r="D60" i="12"/>
  <c r="H60" i="12"/>
  <c r="D20" i="12"/>
  <c r="I29" i="15"/>
  <c r="I28" i="15"/>
  <c r="I66" i="12"/>
  <c r="G22" i="15" s="1"/>
  <c r="H22" i="15" s="1"/>
  <c r="I22" i="15" s="1"/>
  <c r="J22" i="15" s="1"/>
  <c r="K22" i="15" s="1"/>
  <c r="L22" i="15" s="1"/>
  <c r="M22" i="15" s="1"/>
  <c r="N22" i="15" s="1"/>
  <c r="O22" i="15" s="1"/>
  <c r="P22" i="15" s="1"/>
  <c r="Q22" i="15" s="1"/>
  <c r="R22" i="15" s="1"/>
  <c r="S22" i="15" s="1"/>
  <c r="D66" i="12"/>
  <c r="H57" i="12"/>
  <c r="H67" i="12" s="1"/>
  <c r="I67" i="12" s="1"/>
  <c r="D15" i="13"/>
  <c r="D19" i="13"/>
  <c r="I65" i="12"/>
  <c r="G21" i="15" s="1"/>
  <c r="D63" i="12"/>
  <c r="G6" i="15"/>
  <c r="E8" i="13"/>
  <c r="D11" i="12"/>
  <c r="D22" i="12" s="1"/>
  <c r="G3" i="14"/>
  <c r="D16" i="13"/>
  <c r="E16" i="13"/>
  <c r="C14" i="13"/>
  <c r="E15" i="13"/>
  <c r="H17" i="15"/>
  <c r="I17" i="15" s="1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H13" i="15"/>
  <c r="I38" i="15"/>
  <c r="I33" i="15"/>
  <c r="I34" i="15" s="1"/>
  <c r="J4" i="15"/>
  <c r="H16" i="15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C14" i="14"/>
  <c r="I14" i="13" s="1"/>
  <c r="H15" i="15"/>
  <c r="I15" i="15" s="1"/>
  <c r="J15" i="15" s="1"/>
  <c r="K15" i="15" s="1"/>
  <c r="L15" i="15" s="1"/>
  <c r="M15" i="15" s="1"/>
  <c r="N15" i="15" s="1"/>
  <c r="O15" i="15" s="1"/>
  <c r="P15" i="15" s="1"/>
  <c r="Q15" i="15" s="1"/>
  <c r="R15" i="15" s="1"/>
  <c r="S15" i="15" s="1"/>
  <c r="H20" i="15"/>
  <c r="I20" i="15" s="1"/>
  <c r="J20" i="15" s="1"/>
  <c r="K20" i="15" s="1"/>
  <c r="L20" i="15" s="1"/>
  <c r="M20" i="15" s="1"/>
  <c r="N20" i="15" s="1"/>
  <c r="O20" i="15" s="1"/>
  <c r="P20" i="15" s="1"/>
  <c r="Q20" i="15" s="1"/>
  <c r="R20" i="15" s="1"/>
  <c r="S20" i="15" s="1"/>
  <c r="AQ3" i="15"/>
  <c r="BC3" i="15" s="1"/>
  <c r="BO3" i="15" s="1"/>
  <c r="H10" i="15"/>
  <c r="H19" i="15"/>
  <c r="I19" i="15" s="1"/>
  <c r="J19" i="15" s="1"/>
  <c r="K19" i="15" s="1"/>
  <c r="L19" i="15" s="1"/>
  <c r="M19" i="15" s="1"/>
  <c r="N19" i="15" s="1"/>
  <c r="O19" i="15" s="1"/>
  <c r="P19" i="15" s="1"/>
  <c r="Q19" i="15" s="1"/>
  <c r="R19" i="15" s="1"/>
  <c r="S19" i="15" s="1"/>
  <c r="H18" i="15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H14" i="15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C12" i="14"/>
  <c r="I12" i="13" s="1"/>
  <c r="H21" i="15" l="1"/>
  <c r="I21" i="15" s="1"/>
  <c r="J21" i="15" s="1"/>
  <c r="K21" i="15" s="1"/>
  <c r="L21" i="15" s="1"/>
  <c r="M21" i="15" s="1"/>
  <c r="N21" i="15" s="1"/>
  <c r="O21" i="15" s="1"/>
  <c r="P21" i="15" s="1"/>
  <c r="Q21" i="15" s="1"/>
  <c r="R21" i="15" s="1"/>
  <c r="S21" i="15" s="1"/>
  <c r="C16" i="14"/>
  <c r="I16" i="13" s="1"/>
  <c r="G23" i="15"/>
  <c r="J29" i="15"/>
  <c r="J28" i="15"/>
  <c r="C18" i="14"/>
  <c r="I18" i="13" s="1"/>
  <c r="C13" i="14"/>
  <c r="I13" i="13" s="1"/>
  <c r="G8" i="15"/>
  <c r="G7" i="15"/>
  <c r="G9" i="15" s="1"/>
  <c r="G11" i="15" s="1"/>
  <c r="H6" i="15"/>
  <c r="T22" i="15"/>
  <c r="U22" i="15" s="1"/>
  <c r="V22" i="15" s="1"/>
  <c r="W22" i="15" s="1"/>
  <c r="X22" i="15" s="1"/>
  <c r="Y22" i="15" s="1"/>
  <c r="Z22" i="15" s="1"/>
  <c r="AA22" i="15" s="1"/>
  <c r="AB22" i="15" s="1"/>
  <c r="AC22" i="15" s="1"/>
  <c r="AD22" i="15" s="1"/>
  <c r="AE22" i="15" s="1"/>
  <c r="D20" i="14"/>
  <c r="I10" i="15"/>
  <c r="C15" i="14"/>
  <c r="I15" i="13" s="1"/>
  <c r="T17" i="15"/>
  <c r="U17" i="15" s="1"/>
  <c r="V17" i="15" s="1"/>
  <c r="W17" i="15" s="1"/>
  <c r="X17" i="15" s="1"/>
  <c r="Y17" i="15" s="1"/>
  <c r="Z17" i="15" s="1"/>
  <c r="AA17" i="15" s="1"/>
  <c r="AB17" i="15" s="1"/>
  <c r="AC17" i="15" s="1"/>
  <c r="AD17" i="15" s="1"/>
  <c r="AE17" i="15" s="1"/>
  <c r="T20" i="15"/>
  <c r="U20" i="15" s="1"/>
  <c r="V20" i="15" s="1"/>
  <c r="W20" i="15" s="1"/>
  <c r="X20" i="15" s="1"/>
  <c r="Y20" i="15" s="1"/>
  <c r="Z20" i="15" s="1"/>
  <c r="AA20" i="15" s="1"/>
  <c r="AB20" i="15" s="1"/>
  <c r="AC20" i="15" s="1"/>
  <c r="AD20" i="15" s="1"/>
  <c r="AE20" i="15" s="1"/>
  <c r="T14" i="15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D12" i="14"/>
  <c r="T18" i="15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T21" i="15"/>
  <c r="U21" i="15" s="1"/>
  <c r="V21" i="15" s="1"/>
  <c r="W21" i="15" s="1"/>
  <c r="X21" i="15" s="1"/>
  <c r="Y21" i="15" s="1"/>
  <c r="Z21" i="15" s="1"/>
  <c r="AA21" i="15" s="1"/>
  <c r="AB21" i="15" s="1"/>
  <c r="AC21" i="15" s="1"/>
  <c r="AD21" i="15" s="1"/>
  <c r="AE21" i="15" s="1"/>
  <c r="T15" i="15"/>
  <c r="U15" i="15" s="1"/>
  <c r="V15" i="15" s="1"/>
  <c r="W15" i="15" s="1"/>
  <c r="X15" i="15" s="1"/>
  <c r="Y15" i="15" s="1"/>
  <c r="Z15" i="15" s="1"/>
  <c r="AA15" i="15" s="1"/>
  <c r="AB15" i="15" s="1"/>
  <c r="AC15" i="15" s="1"/>
  <c r="AD15" i="15" s="1"/>
  <c r="AE15" i="15" s="1"/>
  <c r="J38" i="15"/>
  <c r="J33" i="15"/>
  <c r="J34" i="15" s="1"/>
  <c r="K4" i="15"/>
  <c r="E14" i="13"/>
  <c r="D14" i="13"/>
  <c r="C17" i="14"/>
  <c r="I17" i="13" s="1"/>
  <c r="T16" i="15"/>
  <c r="U16" i="15" s="1"/>
  <c r="V16" i="15" s="1"/>
  <c r="W16" i="15" s="1"/>
  <c r="X16" i="15" s="1"/>
  <c r="Y16" i="15" s="1"/>
  <c r="Z16" i="15" s="1"/>
  <c r="AA16" i="15" s="1"/>
  <c r="AB16" i="15" s="1"/>
  <c r="AC16" i="15" s="1"/>
  <c r="AD16" i="15" s="1"/>
  <c r="AE16" i="15" s="1"/>
  <c r="T19" i="15"/>
  <c r="U19" i="15" s="1"/>
  <c r="V19" i="15" s="1"/>
  <c r="W19" i="15" s="1"/>
  <c r="X19" i="15" s="1"/>
  <c r="Y19" i="15" s="1"/>
  <c r="Z19" i="15" s="1"/>
  <c r="AA19" i="15" s="1"/>
  <c r="AB19" i="15" s="1"/>
  <c r="AC19" i="15" s="1"/>
  <c r="AD19" i="15" s="1"/>
  <c r="AE19" i="15" s="1"/>
  <c r="C20" i="14"/>
  <c r="I20" i="13" s="1"/>
  <c r="I13" i="15"/>
  <c r="H23" i="15"/>
  <c r="D15" i="14" l="1"/>
  <c r="C19" i="14"/>
  <c r="I19" i="13" s="1"/>
  <c r="D19" i="14"/>
  <c r="D13" i="14"/>
  <c r="K29" i="15"/>
  <c r="K28" i="15"/>
  <c r="D18" i="14"/>
  <c r="G24" i="15"/>
  <c r="G25" i="15"/>
  <c r="I6" i="15"/>
  <c r="H8" i="15"/>
  <c r="H7" i="15"/>
  <c r="D14" i="14"/>
  <c r="D16" i="14"/>
  <c r="G26" i="15"/>
  <c r="D17" i="14"/>
  <c r="AF18" i="15"/>
  <c r="AG18" i="15" s="1"/>
  <c r="AH18" i="15" s="1"/>
  <c r="AI18" i="15" s="1"/>
  <c r="AJ18" i="15" s="1"/>
  <c r="AK18" i="15" s="1"/>
  <c r="AL18" i="15" s="1"/>
  <c r="AM18" i="15" s="1"/>
  <c r="AN18" i="15" s="1"/>
  <c r="AO18" i="15" s="1"/>
  <c r="AP18" i="15" s="1"/>
  <c r="AQ18" i="15" s="1"/>
  <c r="J10" i="15"/>
  <c r="AF16" i="15"/>
  <c r="AG16" i="15" s="1"/>
  <c r="AH16" i="15" s="1"/>
  <c r="AI16" i="15" s="1"/>
  <c r="AJ16" i="15" s="1"/>
  <c r="AK16" i="15" s="1"/>
  <c r="AL16" i="15" s="1"/>
  <c r="AM16" i="15" s="1"/>
  <c r="AN16" i="15" s="1"/>
  <c r="AO16" i="15" s="1"/>
  <c r="AP16" i="15" s="1"/>
  <c r="AQ16" i="15" s="1"/>
  <c r="AF14" i="15"/>
  <c r="AG14" i="15" s="1"/>
  <c r="AH14" i="15" s="1"/>
  <c r="AI14" i="15" s="1"/>
  <c r="AJ14" i="15" s="1"/>
  <c r="AK14" i="15" s="1"/>
  <c r="AL14" i="15" s="1"/>
  <c r="AM14" i="15" s="1"/>
  <c r="AN14" i="15" s="1"/>
  <c r="AO14" i="15" s="1"/>
  <c r="AP14" i="15" s="1"/>
  <c r="AQ14" i="15" s="1"/>
  <c r="E12" i="14"/>
  <c r="AF19" i="15"/>
  <c r="AG19" i="15" s="1"/>
  <c r="AH19" i="15" s="1"/>
  <c r="AI19" i="15" s="1"/>
  <c r="AJ19" i="15" s="1"/>
  <c r="AK19" i="15" s="1"/>
  <c r="AL19" i="15" s="1"/>
  <c r="AM19" i="15" s="1"/>
  <c r="AN19" i="15" s="1"/>
  <c r="AO19" i="15" s="1"/>
  <c r="AP19" i="15" s="1"/>
  <c r="AQ19" i="15" s="1"/>
  <c r="AF15" i="15"/>
  <c r="AG15" i="15" s="1"/>
  <c r="AH15" i="15" s="1"/>
  <c r="AI15" i="15" s="1"/>
  <c r="AJ15" i="15" s="1"/>
  <c r="AK15" i="15" s="1"/>
  <c r="AL15" i="15" s="1"/>
  <c r="AM15" i="15" s="1"/>
  <c r="AN15" i="15" s="1"/>
  <c r="AO15" i="15" s="1"/>
  <c r="AP15" i="15" s="1"/>
  <c r="AQ15" i="15" s="1"/>
  <c r="AF20" i="15"/>
  <c r="AG20" i="15" s="1"/>
  <c r="AH20" i="15" s="1"/>
  <c r="AI20" i="15" s="1"/>
  <c r="AJ20" i="15" s="1"/>
  <c r="AK20" i="15" s="1"/>
  <c r="AL20" i="15" s="1"/>
  <c r="AM20" i="15" s="1"/>
  <c r="AN20" i="15" s="1"/>
  <c r="AO20" i="15" s="1"/>
  <c r="AP20" i="15" s="1"/>
  <c r="AQ20" i="15" s="1"/>
  <c r="K33" i="15"/>
  <c r="K34" i="15" s="1"/>
  <c r="K38" i="15"/>
  <c r="L4" i="15"/>
  <c r="AF22" i="15"/>
  <c r="AG22" i="15" s="1"/>
  <c r="AH22" i="15" s="1"/>
  <c r="AI22" i="15" s="1"/>
  <c r="AJ22" i="15" s="1"/>
  <c r="AK22" i="15" s="1"/>
  <c r="AL22" i="15" s="1"/>
  <c r="AM22" i="15" s="1"/>
  <c r="AN22" i="15" s="1"/>
  <c r="AO22" i="15" s="1"/>
  <c r="AP22" i="15" s="1"/>
  <c r="AQ22" i="15" s="1"/>
  <c r="J13" i="15"/>
  <c r="I23" i="15"/>
  <c r="AF21" i="15"/>
  <c r="AG21" i="15" s="1"/>
  <c r="AH21" i="15" s="1"/>
  <c r="AI21" i="15" s="1"/>
  <c r="AJ21" i="15" s="1"/>
  <c r="AK21" i="15" s="1"/>
  <c r="AL21" i="15" s="1"/>
  <c r="AM21" i="15" s="1"/>
  <c r="AN21" i="15" s="1"/>
  <c r="AO21" i="15" s="1"/>
  <c r="AP21" i="15" s="1"/>
  <c r="AQ21" i="15" s="1"/>
  <c r="AF17" i="15"/>
  <c r="AG17" i="15" s="1"/>
  <c r="AH17" i="15" s="1"/>
  <c r="AI17" i="15" s="1"/>
  <c r="AJ17" i="15" s="1"/>
  <c r="AK17" i="15" s="1"/>
  <c r="AL17" i="15" s="1"/>
  <c r="AM17" i="15" s="1"/>
  <c r="AN17" i="15" s="1"/>
  <c r="AO17" i="15" s="1"/>
  <c r="AP17" i="15" s="1"/>
  <c r="AQ17" i="15" s="1"/>
  <c r="E15" i="14"/>
  <c r="E17" i="14" l="1"/>
  <c r="G27" i="15"/>
  <c r="E19" i="14"/>
  <c r="H9" i="15"/>
  <c r="H11" i="15" s="1"/>
  <c r="L29" i="15"/>
  <c r="L28" i="15"/>
  <c r="E16" i="14"/>
  <c r="E14" i="14"/>
  <c r="J6" i="15"/>
  <c r="I8" i="15"/>
  <c r="I7" i="15"/>
  <c r="I9" i="15" s="1"/>
  <c r="I11" i="15" s="1"/>
  <c r="I25" i="15" s="1"/>
  <c r="I24" i="15"/>
  <c r="J23" i="15"/>
  <c r="K13" i="15"/>
  <c r="AR20" i="15"/>
  <c r="AS20" i="15" s="1"/>
  <c r="AT20" i="15" s="1"/>
  <c r="AU20" i="15" s="1"/>
  <c r="AV20" i="15" s="1"/>
  <c r="AW20" i="15" s="1"/>
  <c r="AX20" i="15" s="1"/>
  <c r="AY20" i="15" s="1"/>
  <c r="AZ20" i="15" s="1"/>
  <c r="BA20" i="15" s="1"/>
  <c r="BB20" i="15" s="1"/>
  <c r="BC20" i="15" s="1"/>
  <c r="L38" i="15"/>
  <c r="L33" i="15"/>
  <c r="L34" i="15" s="1"/>
  <c r="M4" i="15"/>
  <c r="E13" i="14"/>
  <c r="AR16" i="15"/>
  <c r="AS16" i="15" s="1"/>
  <c r="AT16" i="15" s="1"/>
  <c r="AU16" i="15" s="1"/>
  <c r="AV16" i="15" s="1"/>
  <c r="AW16" i="15" s="1"/>
  <c r="AX16" i="15" s="1"/>
  <c r="AY16" i="15" s="1"/>
  <c r="AZ16" i="15" s="1"/>
  <c r="BA16" i="15" s="1"/>
  <c r="BB16" i="15" s="1"/>
  <c r="BC16" i="15" s="1"/>
  <c r="F14" i="14"/>
  <c r="AR15" i="15"/>
  <c r="AS15" i="15" s="1"/>
  <c r="AT15" i="15" s="1"/>
  <c r="AU15" i="15" s="1"/>
  <c r="AV15" i="15" s="1"/>
  <c r="AW15" i="15" s="1"/>
  <c r="AX15" i="15" s="1"/>
  <c r="AY15" i="15" s="1"/>
  <c r="AZ15" i="15" s="1"/>
  <c r="BA15" i="15" s="1"/>
  <c r="BB15" i="15" s="1"/>
  <c r="BC15" i="15" s="1"/>
  <c r="I26" i="15"/>
  <c r="I27" i="15" s="1"/>
  <c r="AR17" i="15"/>
  <c r="AS17" i="15" s="1"/>
  <c r="AT17" i="15" s="1"/>
  <c r="AU17" i="15" s="1"/>
  <c r="AV17" i="15" s="1"/>
  <c r="AW17" i="15" s="1"/>
  <c r="AX17" i="15" s="1"/>
  <c r="AY17" i="15" s="1"/>
  <c r="AZ17" i="15" s="1"/>
  <c r="BA17" i="15" s="1"/>
  <c r="BB17" i="15" s="1"/>
  <c r="BC17" i="15" s="1"/>
  <c r="AR19" i="15"/>
  <c r="AS19" i="15" s="1"/>
  <c r="AT19" i="15" s="1"/>
  <c r="AU19" i="15" s="1"/>
  <c r="AV19" i="15" s="1"/>
  <c r="AW19" i="15" s="1"/>
  <c r="AX19" i="15" s="1"/>
  <c r="AY19" i="15" s="1"/>
  <c r="AZ19" i="15" s="1"/>
  <c r="BA19" i="15" s="1"/>
  <c r="BB19" i="15" s="1"/>
  <c r="BC19" i="15" s="1"/>
  <c r="K10" i="15"/>
  <c r="AR21" i="15"/>
  <c r="AS21" i="15" s="1"/>
  <c r="AT21" i="15" s="1"/>
  <c r="AU21" i="15" s="1"/>
  <c r="AV21" i="15" s="1"/>
  <c r="AW21" i="15" s="1"/>
  <c r="AX21" i="15" s="1"/>
  <c r="AY21" i="15" s="1"/>
  <c r="AZ21" i="15" s="1"/>
  <c r="BA21" i="15" s="1"/>
  <c r="BB21" i="15" s="1"/>
  <c r="BC21" i="15" s="1"/>
  <c r="AR18" i="15"/>
  <c r="AS18" i="15" s="1"/>
  <c r="AT18" i="15" s="1"/>
  <c r="AU18" i="15" s="1"/>
  <c r="AV18" i="15" s="1"/>
  <c r="AW18" i="15" s="1"/>
  <c r="AX18" i="15" s="1"/>
  <c r="AY18" i="15" s="1"/>
  <c r="AZ18" i="15" s="1"/>
  <c r="BA18" i="15" s="1"/>
  <c r="BB18" i="15" s="1"/>
  <c r="BC18" i="15" s="1"/>
  <c r="E20" i="14"/>
  <c r="E18" i="14"/>
  <c r="AR14" i="15"/>
  <c r="AS14" i="15" s="1"/>
  <c r="AT14" i="15" s="1"/>
  <c r="AU14" i="15" s="1"/>
  <c r="AV14" i="15" s="1"/>
  <c r="AW14" i="15" s="1"/>
  <c r="AX14" i="15" s="1"/>
  <c r="AY14" i="15" s="1"/>
  <c r="AZ14" i="15" s="1"/>
  <c r="BA14" i="15" s="1"/>
  <c r="BB14" i="15" s="1"/>
  <c r="BC14" i="15" s="1"/>
  <c r="AR22" i="15"/>
  <c r="AS22" i="15" s="1"/>
  <c r="AT22" i="15" s="1"/>
  <c r="AU22" i="15" s="1"/>
  <c r="AV22" i="15" s="1"/>
  <c r="AW22" i="15" s="1"/>
  <c r="AX22" i="15" s="1"/>
  <c r="AY22" i="15" s="1"/>
  <c r="AZ22" i="15" s="1"/>
  <c r="BA22" i="15" s="1"/>
  <c r="BB22" i="15" s="1"/>
  <c r="BC22" i="15" s="1"/>
  <c r="F20" i="14"/>
  <c r="G30" i="15"/>
  <c r="G39" i="15" s="1"/>
  <c r="G35" i="15"/>
  <c r="F16" i="14" l="1"/>
  <c r="H24" i="15"/>
  <c r="H25" i="15"/>
  <c r="H26" i="15" s="1"/>
  <c r="H27" i="15" s="1"/>
  <c r="H30" i="15" s="1"/>
  <c r="H39" i="15" s="1"/>
  <c r="M29" i="15"/>
  <c r="M28" i="15"/>
  <c r="F12" i="14"/>
  <c r="J7" i="15"/>
  <c r="K6" i="15"/>
  <c r="J8" i="15"/>
  <c r="L10" i="15"/>
  <c r="F17" i="14"/>
  <c r="F13" i="14"/>
  <c r="BD19" i="15"/>
  <c r="BE19" i="15" s="1"/>
  <c r="BF19" i="15" s="1"/>
  <c r="BG19" i="15" s="1"/>
  <c r="BH19" i="15" s="1"/>
  <c r="BI19" i="15" s="1"/>
  <c r="BJ19" i="15" s="1"/>
  <c r="BK19" i="15" s="1"/>
  <c r="BL19" i="15" s="1"/>
  <c r="BM19" i="15" s="1"/>
  <c r="BN19" i="15" s="1"/>
  <c r="BO19" i="15" s="1"/>
  <c r="BP19" i="15" s="1"/>
  <c r="BQ19" i="15" s="1"/>
  <c r="BR19" i="15" s="1"/>
  <c r="BS19" i="15" s="1"/>
  <c r="BT19" i="15" s="1"/>
  <c r="BU19" i="15" s="1"/>
  <c r="BV19" i="15" s="1"/>
  <c r="BW19" i="15" s="1"/>
  <c r="BX19" i="15" s="1"/>
  <c r="BY19" i="15" s="1"/>
  <c r="BZ19" i="15" s="1"/>
  <c r="BD15" i="15"/>
  <c r="BE15" i="15" s="1"/>
  <c r="BF15" i="15" s="1"/>
  <c r="BG15" i="15" s="1"/>
  <c r="BH15" i="15" s="1"/>
  <c r="BI15" i="15" s="1"/>
  <c r="BJ15" i="15" s="1"/>
  <c r="BK15" i="15" s="1"/>
  <c r="BL15" i="15" s="1"/>
  <c r="BM15" i="15" s="1"/>
  <c r="BN15" i="15" s="1"/>
  <c r="BO15" i="15" s="1"/>
  <c r="BP15" i="15" s="1"/>
  <c r="BQ15" i="15" s="1"/>
  <c r="BR15" i="15" s="1"/>
  <c r="BS15" i="15" s="1"/>
  <c r="BT15" i="15" s="1"/>
  <c r="BU15" i="15" s="1"/>
  <c r="BV15" i="15" s="1"/>
  <c r="BW15" i="15" s="1"/>
  <c r="BX15" i="15" s="1"/>
  <c r="BY15" i="15" s="1"/>
  <c r="BZ15" i="15" s="1"/>
  <c r="G13" i="14"/>
  <c r="K23" i="15"/>
  <c r="L13" i="15"/>
  <c r="BD22" i="15"/>
  <c r="BE22" i="15" s="1"/>
  <c r="BF22" i="15" s="1"/>
  <c r="BG22" i="15" s="1"/>
  <c r="BH22" i="15" s="1"/>
  <c r="BI22" i="15" s="1"/>
  <c r="BJ22" i="15" s="1"/>
  <c r="BK22" i="15" s="1"/>
  <c r="BL22" i="15" s="1"/>
  <c r="BM22" i="15" s="1"/>
  <c r="BN22" i="15" s="1"/>
  <c r="BO22" i="15" s="1"/>
  <c r="BP22" i="15" s="1"/>
  <c r="BQ22" i="15" s="1"/>
  <c r="BR22" i="15" s="1"/>
  <c r="BS22" i="15" s="1"/>
  <c r="BT22" i="15" s="1"/>
  <c r="BU22" i="15" s="1"/>
  <c r="BV22" i="15" s="1"/>
  <c r="BW22" i="15" s="1"/>
  <c r="BX22" i="15" s="1"/>
  <c r="BY22" i="15" s="1"/>
  <c r="BZ22" i="15" s="1"/>
  <c r="F19" i="14"/>
  <c r="F15" i="14"/>
  <c r="BD16" i="15"/>
  <c r="BE16" i="15" s="1"/>
  <c r="BF16" i="15" s="1"/>
  <c r="BG16" i="15" s="1"/>
  <c r="BH16" i="15" s="1"/>
  <c r="BI16" i="15" s="1"/>
  <c r="BJ16" i="15" s="1"/>
  <c r="BK16" i="15" s="1"/>
  <c r="BL16" i="15" s="1"/>
  <c r="BM16" i="15" s="1"/>
  <c r="BN16" i="15" s="1"/>
  <c r="BO16" i="15" s="1"/>
  <c r="BP16" i="15" s="1"/>
  <c r="BQ16" i="15" s="1"/>
  <c r="BR16" i="15" s="1"/>
  <c r="BS16" i="15" s="1"/>
  <c r="BT16" i="15" s="1"/>
  <c r="BU16" i="15" s="1"/>
  <c r="BV16" i="15" s="1"/>
  <c r="BW16" i="15" s="1"/>
  <c r="BX16" i="15" s="1"/>
  <c r="BY16" i="15" s="1"/>
  <c r="BZ16" i="15" s="1"/>
  <c r="F18" i="14"/>
  <c r="BD21" i="15"/>
  <c r="BE21" i="15" s="1"/>
  <c r="BF21" i="15" s="1"/>
  <c r="BG21" i="15" s="1"/>
  <c r="BH21" i="15" s="1"/>
  <c r="BI21" i="15" s="1"/>
  <c r="BJ21" i="15" s="1"/>
  <c r="BK21" i="15" s="1"/>
  <c r="BL21" i="15" s="1"/>
  <c r="BM21" i="15" s="1"/>
  <c r="BN21" i="15" s="1"/>
  <c r="BO21" i="15" s="1"/>
  <c r="BP21" i="15" s="1"/>
  <c r="BQ21" i="15" s="1"/>
  <c r="BR21" i="15" s="1"/>
  <c r="BS21" i="15" s="1"/>
  <c r="BT21" i="15" s="1"/>
  <c r="BU21" i="15" s="1"/>
  <c r="BV21" i="15" s="1"/>
  <c r="BW21" i="15" s="1"/>
  <c r="BX21" i="15" s="1"/>
  <c r="BY21" i="15" s="1"/>
  <c r="BZ21" i="15" s="1"/>
  <c r="H35" i="15"/>
  <c r="BD17" i="15"/>
  <c r="BE17" i="15" s="1"/>
  <c r="BF17" i="15" s="1"/>
  <c r="BG17" i="15" s="1"/>
  <c r="BH17" i="15" s="1"/>
  <c r="BI17" i="15" s="1"/>
  <c r="BJ17" i="15" s="1"/>
  <c r="BK17" i="15" s="1"/>
  <c r="BL17" i="15" s="1"/>
  <c r="BM17" i="15" s="1"/>
  <c r="BN17" i="15" s="1"/>
  <c r="BO17" i="15" s="1"/>
  <c r="BP17" i="15" s="1"/>
  <c r="BQ17" i="15" s="1"/>
  <c r="BR17" i="15" s="1"/>
  <c r="BS17" i="15" s="1"/>
  <c r="BT17" i="15" s="1"/>
  <c r="BU17" i="15" s="1"/>
  <c r="BV17" i="15" s="1"/>
  <c r="BW17" i="15" s="1"/>
  <c r="BX17" i="15" s="1"/>
  <c r="BY17" i="15" s="1"/>
  <c r="BZ17" i="15" s="1"/>
  <c r="BD18" i="15"/>
  <c r="BE18" i="15" s="1"/>
  <c r="BF18" i="15" s="1"/>
  <c r="BG18" i="15" s="1"/>
  <c r="BH18" i="15" s="1"/>
  <c r="BI18" i="15" s="1"/>
  <c r="BJ18" i="15" s="1"/>
  <c r="BK18" i="15" s="1"/>
  <c r="BL18" i="15" s="1"/>
  <c r="BM18" i="15" s="1"/>
  <c r="BN18" i="15" s="1"/>
  <c r="BO18" i="15" s="1"/>
  <c r="BP18" i="15" s="1"/>
  <c r="BQ18" i="15" s="1"/>
  <c r="BR18" i="15" s="1"/>
  <c r="BS18" i="15" s="1"/>
  <c r="BT18" i="15" s="1"/>
  <c r="BU18" i="15" s="1"/>
  <c r="BV18" i="15" s="1"/>
  <c r="BW18" i="15" s="1"/>
  <c r="BX18" i="15" s="1"/>
  <c r="BY18" i="15" s="1"/>
  <c r="BZ18" i="15" s="1"/>
  <c r="G16" i="14"/>
  <c r="BD20" i="15"/>
  <c r="BE20" i="15" s="1"/>
  <c r="BF20" i="15" s="1"/>
  <c r="BG20" i="15" s="1"/>
  <c r="BH20" i="15" s="1"/>
  <c r="BI20" i="15" s="1"/>
  <c r="BJ20" i="15" s="1"/>
  <c r="BK20" i="15" s="1"/>
  <c r="BL20" i="15" s="1"/>
  <c r="BM20" i="15" s="1"/>
  <c r="BN20" i="15" s="1"/>
  <c r="BO20" i="15" s="1"/>
  <c r="BP20" i="15" s="1"/>
  <c r="BQ20" i="15" s="1"/>
  <c r="BR20" i="15" s="1"/>
  <c r="BS20" i="15" s="1"/>
  <c r="BT20" i="15" s="1"/>
  <c r="BU20" i="15" s="1"/>
  <c r="BV20" i="15" s="1"/>
  <c r="BW20" i="15" s="1"/>
  <c r="BX20" i="15" s="1"/>
  <c r="BY20" i="15" s="1"/>
  <c r="BZ20" i="15" s="1"/>
  <c r="G18" i="14"/>
  <c r="BD14" i="15"/>
  <c r="BE14" i="15" s="1"/>
  <c r="BF14" i="15" s="1"/>
  <c r="BG14" i="15" s="1"/>
  <c r="BH14" i="15" s="1"/>
  <c r="BI14" i="15" s="1"/>
  <c r="BJ14" i="15" s="1"/>
  <c r="BK14" i="15" s="1"/>
  <c r="BL14" i="15" s="1"/>
  <c r="BM14" i="15" s="1"/>
  <c r="BN14" i="15" s="1"/>
  <c r="BO14" i="15" s="1"/>
  <c r="BP14" i="15" s="1"/>
  <c r="BQ14" i="15" s="1"/>
  <c r="BR14" i="15" s="1"/>
  <c r="BS14" i="15" s="1"/>
  <c r="BT14" i="15" s="1"/>
  <c r="BU14" i="15" s="1"/>
  <c r="BV14" i="15" s="1"/>
  <c r="BW14" i="15" s="1"/>
  <c r="BX14" i="15" s="1"/>
  <c r="BY14" i="15" s="1"/>
  <c r="BZ14" i="15" s="1"/>
  <c r="M38" i="15"/>
  <c r="M33" i="15"/>
  <c r="M34" i="15" s="1"/>
  <c r="N4" i="15"/>
  <c r="I30" i="15"/>
  <c r="I39" i="15" s="1"/>
  <c r="I35" i="15"/>
  <c r="G14" i="14" l="1"/>
  <c r="G12" i="14"/>
  <c r="J9" i="15"/>
  <c r="J11" i="15" s="1"/>
  <c r="N29" i="15"/>
  <c r="N28" i="15"/>
  <c r="G19" i="14"/>
  <c r="K8" i="15"/>
  <c r="K7" i="15"/>
  <c r="L6" i="15"/>
  <c r="G20" i="14"/>
  <c r="G15" i="14"/>
  <c r="M10" i="15"/>
  <c r="L23" i="15"/>
  <c r="M13" i="15"/>
  <c r="N38" i="15"/>
  <c r="N33" i="15"/>
  <c r="N34" i="15" s="1"/>
  <c r="O4" i="15"/>
  <c r="G17" i="14"/>
  <c r="J24" i="15" l="1"/>
  <c r="J25" i="15"/>
  <c r="J26" i="15" s="1"/>
  <c r="J27" i="15" s="1"/>
  <c r="J30" i="15" s="1"/>
  <c r="J39" i="15" s="1"/>
  <c r="O29" i="15"/>
  <c r="O28" i="15"/>
  <c r="L8" i="15"/>
  <c r="L7" i="15"/>
  <c r="L9" i="15" s="1"/>
  <c r="L11" i="15" s="1"/>
  <c r="M6" i="15"/>
  <c r="K9" i="15"/>
  <c r="K11" i="15" s="1"/>
  <c r="N10" i="15"/>
  <c r="O33" i="15"/>
  <c r="O34" i="15" s="1"/>
  <c r="O38" i="15"/>
  <c r="P4" i="15"/>
  <c r="M23" i="15"/>
  <c r="N13" i="15"/>
  <c r="J35" i="15" l="1"/>
  <c r="P29" i="15"/>
  <c r="P28" i="15"/>
  <c r="L24" i="15"/>
  <c r="L25" i="15"/>
  <c r="L26" i="15" s="1"/>
  <c r="K25" i="15"/>
  <c r="K26" i="15" s="1"/>
  <c r="K27" i="15" s="1"/>
  <c r="K30" i="15" s="1"/>
  <c r="K39" i="15" s="1"/>
  <c r="K24" i="15"/>
  <c r="M8" i="15"/>
  <c r="M7" i="15"/>
  <c r="N6" i="15"/>
  <c r="N23" i="15"/>
  <c r="O13" i="15"/>
  <c r="P33" i="15"/>
  <c r="P34" i="15" s="1"/>
  <c r="P38" i="15"/>
  <c r="Q4" i="15"/>
  <c r="O10" i="15"/>
  <c r="L27" i="15" l="1"/>
  <c r="Q29" i="15"/>
  <c r="Q28" i="15"/>
  <c r="N7" i="15"/>
  <c r="O6" i="15"/>
  <c r="N8" i="15"/>
  <c r="N9" i="15" s="1"/>
  <c r="N11" i="15" s="1"/>
  <c r="M9" i="15"/>
  <c r="M11" i="15" s="1"/>
  <c r="N24" i="15"/>
  <c r="K35" i="15"/>
  <c r="O23" i="15"/>
  <c r="P13" i="15"/>
  <c r="P10" i="15"/>
  <c r="L30" i="15"/>
  <c r="L39" i="15" s="1"/>
  <c r="L35" i="15"/>
  <c r="N25" i="15"/>
  <c r="Q33" i="15"/>
  <c r="Q34" i="15" s="1"/>
  <c r="Q38" i="15"/>
  <c r="R4" i="15"/>
  <c r="R29" i="15" l="1"/>
  <c r="R28" i="15"/>
  <c r="M25" i="15"/>
  <c r="M26" i="15" s="1"/>
  <c r="M27" i="15" s="1"/>
  <c r="M35" i="15" s="1"/>
  <c r="M24" i="15"/>
  <c r="O8" i="15"/>
  <c r="P6" i="15"/>
  <c r="O7" i="15"/>
  <c r="O9" i="15" s="1"/>
  <c r="O11" i="15" s="1"/>
  <c r="O25" i="15" s="1"/>
  <c r="O26" i="15" s="1"/>
  <c r="O27" i="15" s="1"/>
  <c r="M30" i="15"/>
  <c r="M39" i="15" s="1"/>
  <c r="Q10" i="15"/>
  <c r="Q13" i="15"/>
  <c r="P23" i="15"/>
  <c r="N26" i="15"/>
  <c r="N27" i="15" s="1"/>
  <c r="R38" i="15"/>
  <c r="R33" i="15"/>
  <c r="R34" i="15" s="1"/>
  <c r="S4" i="15"/>
  <c r="S29" i="15" l="1"/>
  <c r="S28" i="15"/>
  <c r="O24" i="15"/>
  <c r="P7" i="15"/>
  <c r="Q6" i="15"/>
  <c r="P8" i="15"/>
  <c r="N30" i="15"/>
  <c r="N39" i="15" s="1"/>
  <c r="N35" i="15"/>
  <c r="R13" i="15"/>
  <c r="Q23" i="15"/>
  <c r="R10" i="15"/>
  <c r="S33" i="15"/>
  <c r="S34" i="15" s="1"/>
  <c r="S38" i="15"/>
  <c r="T4" i="15"/>
  <c r="O30" i="15"/>
  <c r="O39" i="15" s="1"/>
  <c r="O35" i="15"/>
  <c r="T29" i="15" l="1"/>
  <c r="T28" i="15"/>
  <c r="Q8" i="15"/>
  <c r="Q7" i="15"/>
  <c r="R6" i="15"/>
  <c r="P9" i="15"/>
  <c r="P11" i="15" s="1"/>
  <c r="S10" i="15"/>
  <c r="S13" i="15"/>
  <c r="R23" i="15"/>
  <c r="T38" i="15"/>
  <c r="T33" i="15"/>
  <c r="T34" i="15" s="1"/>
  <c r="U4" i="15"/>
  <c r="U29" i="15" l="1"/>
  <c r="U28" i="15"/>
  <c r="P25" i="15"/>
  <c r="P26" i="15" s="1"/>
  <c r="P27" i="15" s="1"/>
  <c r="P24" i="15"/>
  <c r="R8" i="15"/>
  <c r="R7" i="15"/>
  <c r="R9" i="15" s="1"/>
  <c r="R11" i="15" s="1"/>
  <c r="R25" i="15" s="1"/>
  <c r="R26" i="15" s="1"/>
  <c r="R27" i="15" s="1"/>
  <c r="S6" i="15"/>
  <c r="Q9" i="15"/>
  <c r="Q11" i="15" s="1"/>
  <c r="U38" i="15"/>
  <c r="U33" i="15"/>
  <c r="U34" i="15" s="1"/>
  <c r="V4" i="15"/>
  <c r="T10" i="15"/>
  <c r="S23" i="15"/>
  <c r="T13" i="15"/>
  <c r="R24" i="15"/>
  <c r="V29" i="15" l="1"/>
  <c r="V28" i="15"/>
  <c r="Q25" i="15"/>
  <c r="Q26" i="15" s="1"/>
  <c r="Q27" i="15" s="1"/>
  <c r="Q24" i="15"/>
  <c r="S8" i="15"/>
  <c r="S7" i="15"/>
  <c r="S9" i="15" s="1"/>
  <c r="S11" i="15" s="1"/>
  <c r="S25" i="15" s="1"/>
  <c r="S26" i="15" s="1"/>
  <c r="S27" i="15" s="1"/>
  <c r="T6" i="15"/>
  <c r="P30" i="15"/>
  <c r="P39" i="15" s="1"/>
  <c r="P35" i="15"/>
  <c r="R30" i="15"/>
  <c r="R39" i="15" s="1"/>
  <c r="R35" i="15"/>
  <c r="U10" i="15"/>
  <c r="T23" i="15"/>
  <c r="U13" i="15"/>
  <c r="S24" i="15"/>
  <c r="V38" i="15"/>
  <c r="V33" i="15"/>
  <c r="V34" i="15" s="1"/>
  <c r="W4" i="15"/>
  <c r="W29" i="15" l="1"/>
  <c r="W28" i="15"/>
  <c r="U6" i="15"/>
  <c r="T8" i="15"/>
  <c r="T7" i="15"/>
  <c r="T9" i="15" s="1"/>
  <c r="T11" i="15" s="1"/>
  <c r="T25" i="15" s="1"/>
  <c r="T26" i="15" s="1"/>
  <c r="Q30" i="15"/>
  <c r="Q39" i="15" s="1"/>
  <c r="Q35" i="15"/>
  <c r="T24" i="15"/>
  <c r="W33" i="15"/>
  <c r="W34" i="15" s="1"/>
  <c r="W38" i="15"/>
  <c r="X4" i="15"/>
  <c r="U23" i="15"/>
  <c r="V13" i="15"/>
  <c r="V10" i="15"/>
  <c r="S30" i="15"/>
  <c r="S39" i="15" s="1"/>
  <c r="S35" i="15"/>
  <c r="X29" i="15" l="1"/>
  <c r="X28" i="15"/>
  <c r="T27" i="15"/>
  <c r="T35" i="15" s="1"/>
  <c r="U7" i="15"/>
  <c r="V6" i="15"/>
  <c r="U8" i="15"/>
  <c r="U9" i="15" s="1"/>
  <c r="U11" i="15" s="1"/>
  <c r="U25" i="15" s="1"/>
  <c r="U26" i="15" s="1"/>
  <c r="U27" i="15" s="1"/>
  <c r="V23" i="15"/>
  <c r="W13" i="15"/>
  <c r="X33" i="15"/>
  <c r="X34" i="15" s="1"/>
  <c r="X38" i="15"/>
  <c r="Y4" i="15"/>
  <c r="W10" i="15"/>
  <c r="T30" i="15" l="1"/>
  <c r="T39" i="15" s="1"/>
  <c r="U24" i="15"/>
  <c r="Y29" i="15"/>
  <c r="Y28" i="15"/>
  <c r="V8" i="15"/>
  <c r="V7" i="15"/>
  <c r="W6" i="15"/>
  <c r="U30" i="15"/>
  <c r="U39" i="15" s="1"/>
  <c r="U35" i="15"/>
  <c r="Y38" i="15"/>
  <c r="Y33" i="15"/>
  <c r="Y34" i="15" s="1"/>
  <c r="Z4" i="15"/>
  <c r="W23" i="15"/>
  <c r="X13" i="15"/>
  <c r="X10" i="15"/>
  <c r="Z29" i="15" l="1"/>
  <c r="Z28" i="15"/>
  <c r="W7" i="15"/>
  <c r="X6" i="15"/>
  <c r="W8" i="15"/>
  <c r="W9" i="15"/>
  <c r="W11" i="15" s="1"/>
  <c r="W25" i="15" s="1"/>
  <c r="V9" i="15"/>
  <c r="V11" i="15" s="1"/>
  <c r="Y13" i="15"/>
  <c r="X23" i="15"/>
  <c r="Y10" i="15"/>
  <c r="Z38" i="15"/>
  <c r="Z33" i="15"/>
  <c r="Z34" i="15" s="1"/>
  <c r="AA4" i="15"/>
  <c r="AA29" i="15" l="1"/>
  <c r="AA28" i="15"/>
  <c r="W26" i="15"/>
  <c r="W27" i="15" s="1"/>
  <c r="X8" i="15"/>
  <c r="X7" i="15"/>
  <c r="Y6" i="15"/>
  <c r="V25" i="15"/>
  <c r="V24" i="15"/>
  <c r="W24" i="15"/>
  <c r="Z10" i="15"/>
  <c r="AA33" i="15"/>
  <c r="AA34" i="15" s="1"/>
  <c r="AA38" i="15"/>
  <c r="AB4" i="15"/>
  <c r="Z13" i="15"/>
  <c r="Y23" i="15"/>
  <c r="X9" i="15" l="1"/>
  <c r="X11" i="15" s="1"/>
  <c r="X25" i="15" s="1"/>
  <c r="W30" i="15"/>
  <c r="W39" i="15" s="1"/>
  <c r="W35" i="15"/>
  <c r="X24" i="15"/>
  <c r="X26" i="15"/>
  <c r="X27" i="15" s="1"/>
  <c r="AB29" i="15"/>
  <c r="AB28" i="15"/>
  <c r="V26" i="15"/>
  <c r="V27" i="15" s="1"/>
  <c r="Y7" i="15"/>
  <c r="Y8" i="15"/>
  <c r="Z6" i="15"/>
  <c r="Z23" i="15"/>
  <c r="AA13" i="15"/>
  <c r="AB38" i="15"/>
  <c r="AB33" i="15"/>
  <c r="AB34" i="15" s="1"/>
  <c r="AC4" i="15"/>
  <c r="AA10" i="15"/>
  <c r="X35" i="15" l="1"/>
  <c r="X30" i="15"/>
  <c r="X39" i="15" s="1"/>
  <c r="AC29" i="15"/>
  <c r="AC28" i="15"/>
  <c r="V30" i="15"/>
  <c r="V39" i="15" s="1"/>
  <c r="V35" i="15"/>
  <c r="Z8" i="15"/>
  <c r="Z7" i="15"/>
  <c r="Z9" i="15" s="1"/>
  <c r="Z11" i="15" s="1"/>
  <c r="Z25" i="15" s="1"/>
  <c r="AA6" i="15"/>
  <c r="Y9" i="15"/>
  <c r="Y11" i="15" s="1"/>
  <c r="AA23" i="15"/>
  <c r="AB13" i="15"/>
  <c r="AB10" i="15"/>
  <c r="AC38" i="15"/>
  <c r="AC33" i="15"/>
  <c r="AC34" i="15" s="1"/>
  <c r="AD4" i="15"/>
  <c r="Z24" i="15" l="1"/>
  <c r="AD29" i="15"/>
  <c r="AD28" i="15"/>
  <c r="Y24" i="15"/>
  <c r="Y25" i="15"/>
  <c r="Y26" i="15" s="1"/>
  <c r="Y27" i="15" s="1"/>
  <c r="Y30" i="15" s="1"/>
  <c r="Y39" i="15" s="1"/>
  <c r="AA7" i="15"/>
  <c r="AA8" i="15"/>
  <c r="AB6" i="15"/>
  <c r="Z26" i="15"/>
  <c r="Z27" i="15" s="1"/>
  <c r="AD38" i="15"/>
  <c r="AD33" i="15"/>
  <c r="AD34" i="15" s="1"/>
  <c r="AE4" i="15"/>
  <c r="AB23" i="15"/>
  <c r="AC13" i="15"/>
  <c r="AC10" i="15"/>
  <c r="AE29" i="15" l="1"/>
  <c r="AE28" i="15"/>
  <c r="Y35" i="15"/>
  <c r="AC6" i="15"/>
  <c r="AB7" i="15"/>
  <c r="AB8" i="15"/>
  <c r="AA9" i="15"/>
  <c r="AA11" i="15" s="1"/>
  <c r="Z30" i="15"/>
  <c r="Z39" i="15" s="1"/>
  <c r="Z35" i="15"/>
  <c r="AD10" i="15"/>
  <c r="AD13" i="15"/>
  <c r="AC23" i="15"/>
  <c r="AE33" i="15"/>
  <c r="AE34" i="15" s="1"/>
  <c r="AE38" i="15"/>
  <c r="AF4" i="15"/>
  <c r="AF29" i="15" l="1"/>
  <c r="AF28" i="15"/>
  <c r="AA25" i="15"/>
  <c r="AA26" i="15" s="1"/>
  <c r="AA27" i="15" s="1"/>
  <c r="AA24" i="15"/>
  <c r="AB9" i="15"/>
  <c r="AB11" i="15" s="1"/>
  <c r="AD6" i="15"/>
  <c r="AC7" i="15"/>
  <c r="AC8" i="15"/>
  <c r="AF33" i="15"/>
  <c r="AF34" i="15" s="1"/>
  <c r="AF38" i="15"/>
  <c r="AG4" i="15"/>
  <c r="AD23" i="15"/>
  <c r="AE13" i="15"/>
  <c r="AE10" i="15"/>
  <c r="AG29" i="15" l="1"/>
  <c r="AG28" i="15"/>
  <c r="AC9" i="15"/>
  <c r="AC11" i="15" s="1"/>
  <c r="AE6" i="15"/>
  <c r="AD7" i="15"/>
  <c r="AD8" i="15"/>
  <c r="AB25" i="15"/>
  <c r="AB26" i="15" s="1"/>
  <c r="AB27" i="15" s="1"/>
  <c r="AB24" i="15"/>
  <c r="AA30" i="15"/>
  <c r="AA39" i="15" s="1"/>
  <c r="AA35" i="15"/>
  <c r="AF10" i="15"/>
  <c r="AG33" i="15"/>
  <c r="AG34" i="15" s="1"/>
  <c r="AG38" i="15"/>
  <c r="AH4" i="15"/>
  <c r="AE23" i="15"/>
  <c r="AF13" i="15"/>
  <c r="AH29" i="15" l="1"/>
  <c r="AH28" i="15"/>
  <c r="AB35" i="15"/>
  <c r="AB30" i="15"/>
  <c r="AB39" i="15" s="1"/>
  <c r="AD9" i="15"/>
  <c r="AD11" i="15" s="1"/>
  <c r="AE7" i="15"/>
  <c r="AE8" i="15"/>
  <c r="AE9" i="15"/>
  <c r="AE11" i="15" s="1"/>
  <c r="AE24" i="15" s="1"/>
  <c r="AF6" i="15"/>
  <c r="AC24" i="15"/>
  <c r="AC25" i="15"/>
  <c r="AC26" i="15" s="1"/>
  <c r="AC27" i="15" s="1"/>
  <c r="AC30" i="15"/>
  <c r="AC39" i="15" s="1"/>
  <c r="AC35" i="15"/>
  <c r="AH38" i="15"/>
  <c r="AH33" i="15"/>
  <c r="AH34" i="15" s="1"/>
  <c r="AI4" i="15"/>
  <c r="AG13" i="15"/>
  <c r="AF23" i="15"/>
  <c r="AG10" i="15"/>
  <c r="AI29" i="15" l="1"/>
  <c r="AI28" i="15"/>
  <c r="AF8" i="15"/>
  <c r="AF7" i="15"/>
  <c r="AG6" i="15"/>
  <c r="AD25" i="15"/>
  <c r="AD26" i="15" s="1"/>
  <c r="AD27" i="15" s="1"/>
  <c r="AD30" i="15" s="1"/>
  <c r="AD39" i="15" s="1"/>
  <c r="AD24" i="15"/>
  <c r="AE25" i="15"/>
  <c r="AE26" i="15" s="1"/>
  <c r="AE27" i="15" s="1"/>
  <c r="AH10" i="15"/>
  <c r="AH13" i="15"/>
  <c r="AG23" i="15"/>
  <c r="AI33" i="15"/>
  <c r="AI34" i="15" s="1"/>
  <c r="AI38" i="15"/>
  <c r="AJ4" i="15"/>
  <c r="AJ29" i="15" l="1"/>
  <c r="AJ28" i="15"/>
  <c r="AD35" i="15"/>
  <c r="AG8" i="15"/>
  <c r="AG7" i="15"/>
  <c r="AG9" i="15" s="1"/>
  <c r="AG11" i="15" s="1"/>
  <c r="AG24" i="15" s="1"/>
  <c r="AH6" i="15"/>
  <c r="AF9" i="15"/>
  <c r="AF11" i="15" s="1"/>
  <c r="AE30" i="15"/>
  <c r="AE39" i="15" s="1"/>
  <c r="AE35" i="15"/>
  <c r="AI10" i="15"/>
  <c r="AH23" i="15"/>
  <c r="AI13" i="15"/>
  <c r="AJ38" i="15"/>
  <c r="AJ33" i="15"/>
  <c r="AJ34" i="15" s="1"/>
  <c r="AK4" i="15"/>
  <c r="AK29" i="15" l="1"/>
  <c r="AK28" i="15"/>
  <c r="AG25" i="15"/>
  <c r="AF25" i="15"/>
  <c r="AF26" i="15" s="1"/>
  <c r="AF27" i="15" s="1"/>
  <c r="AF24" i="15"/>
  <c r="AH8" i="15"/>
  <c r="AH7" i="15"/>
  <c r="AI6" i="15"/>
  <c r="AK38" i="15"/>
  <c r="AK33" i="15"/>
  <c r="AK34" i="15" s="1"/>
  <c r="AL4" i="15"/>
  <c r="AJ10" i="15"/>
  <c r="AI23" i="15"/>
  <c r="AJ13" i="15"/>
  <c r="AG26" i="15"/>
  <c r="AG27" i="15" s="1"/>
  <c r="AL29" i="15" l="1"/>
  <c r="AL28" i="15"/>
  <c r="AF35" i="15"/>
  <c r="AF30" i="15"/>
  <c r="AF39" i="15" s="1"/>
  <c r="AI8" i="15"/>
  <c r="AJ6" i="15"/>
  <c r="AI7" i="15"/>
  <c r="AI9" i="15" s="1"/>
  <c r="AI11" i="15" s="1"/>
  <c r="AI25" i="15" s="1"/>
  <c r="AI26" i="15" s="1"/>
  <c r="AI27" i="15" s="1"/>
  <c r="AH9" i="15"/>
  <c r="AH11" i="15" s="1"/>
  <c r="AL38" i="15"/>
  <c r="AL33" i="15"/>
  <c r="AL34" i="15" s="1"/>
  <c r="AM4" i="15"/>
  <c r="AJ23" i="15"/>
  <c r="AK13" i="15"/>
  <c r="AG30" i="15"/>
  <c r="AG39" i="15" s="1"/>
  <c r="AG35" i="15"/>
  <c r="AK10" i="15"/>
  <c r="AI24" i="15" l="1"/>
  <c r="AM29" i="15"/>
  <c r="AM28" i="15"/>
  <c r="AH24" i="15"/>
  <c r="AH25" i="15"/>
  <c r="AH26" i="15" s="1"/>
  <c r="AH27" i="15" s="1"/>
  <c r="AH30" i="15" s="1"/>
  <c r="AH39" i="15" s="1"/>
  <c r="AJ8" i="15"/>
  <c r="AK6" i="15"/>
  <c r="AJ7" i="15"/>
  <c r="AI30" i="15"/>
  <c r="AI39" i="15" s="1"/>
  <c r="AI35" i="15"/>
  <c r="AL10" i="15"/>
  <c r="AK23" i="15"/>
  <c r="AL13" i="15"/>
  <c r="AM33" i="15"/>
  <c r="AM34" i="15" s="1"/>
  <c r="AM38" i="15"/>
  <c r="AN4" i="15"/>
  <c r="AN29" i="15" l="1"/>
  <c r="AN28" i="15"/>
  <c r="AH35" i="15"/>
  <c r="AK8" i="15"/>
  <c r="AL6" i="15"/>
  <c r="AK7" i="15"/>
  <c r="AK9" i="15" s="1"/>
  <c r="AK11" i="15" s="1"/>
  <c r="AK24" i="15" s="1"/>
  <c r="AJ9" i="15"/>
  <c r="AJ11" i="15" s="1"/>
  <c r="AN33" i="15"/>
  <c r="AN34" i="15" s="1"/>
  <c r="AN38" i="15"/>
  <c r="AO4" i="15"/>
  <c r="AM10" i="15"/>
  <c r="AL23" i="15"/>
  <c r="AM13" i="15"/>
  <c r="AK25" i="15" l="1"/>
  <c r="AO29" i="15"/>
  <c r="AO28" i="15"/>
  <c r="AJ25" i="15"/>
  <c r="AJ26" i="15" s="1"/>
  <c r="AJ27" i="15" s="1"/>
  <c r="AJ24" i="15"/>
  <c r="AL8" i="15"/>
  <c r="AM6" i="15"/>
  <c r="AL7" i="15"/>
  <c r="AL9" i="15" s="1"/>
  <c r="AL11" i="15" s="1"/>
  <c r="AL25" i="15" s="1"/>
  <c r="AL26" i="15" s="1"/>
  <c r="AL27" i="15" s="1"/>
  <c r="AK26" i="15"/>
  <c r="AK27" i="15"/>
  <c r="AN10" i="15"/>
  <c r="AM23" i="15"/>
  <c r="AN13" i="15"/>
  <c r="AO38" i="15"/>
  <c r="AO33" i="15"/>
  <c r="AO34" i="15" s="1"/>
  <c r="AP4" i="15"/>
  <c r="AP29" i="15" l="1"/>
  <c r="AP28" i="15"/>
  <c r="AM7" i="15"/>
  <c r="AM8" i="15"/>
  <c r="AN6" i="15"/>
  <c r="AL24" i="15"/>
  <c r="AJ30" i="15"/>
  <c r="AJ39" i="15" s="1"/>
  <c r="AJ35" i="15"/>
  <c r="AO10" i="15"/>
  <c r="AK30" i="15"/>
  <c r="AK39" i="15" s="1"/>
  <c r="AK35" i="15"/>
  <c r="AP38" i="15"/>
  <c r="AQ4" i="15"/>
  <c r="AL30" i="15"/>
  <c r="AL39" i="15" s="1"/>
  <c r="AL35" i="15"/>
  <c r="AN23" i="15"/>
  <c r="AO13" i="15"/>
  <c r="AQ29" i="15" l="1"/>
  <c r="AQ28" i="15"/>
  <c r="AO6" i="15"/>
  <c r="AN8" i="15"/>
  <c r="AN7" i="15"/>
  <c r="AN9" i="15"/>
  <c r="AN11" i="15" s="1"/>
  <c r="AN25" i="15" s="1"/>
  <c r="AN26" i="15" s="1"/>
  <c r="AN27" i="15" s="1"/>
  <c r="AM9" i="15"/>
  <c r="AM11" i="15" s="1"/>
  <c r="AP13" i="15"/>
  <c r="AO23" i="15"/>
  <c r="AQ35" i="15"/>
  <c r="AQ33" i="15"/>
  <c r="AQ34" i="15" s="1"/>
  <c r="AQ39" i="15"/>
  <c r="AQ38" i="15"/>
  <c r="AR4" i="15"/>
  <c r="AN24" i="15"/>
  <c r="AP10" i="15"/>
  <c r="AR29" i="15" l="1"/>
  <c r="AR28" i="15"/>
  <c r="AM25" i="15"/>
  <c r="AM24" i="15"/>
  <c r="AP6" i="15"/>
  <c r="AO7" i="15"/>
  <c r="AO8" i="15"/>
  <c r="AN30" i="15"/>
  <c r="AN39" i="15" s="1"/>
  <c r="AN35" i="15"/>
  <c r="AQ13" i="15"/>
  <c r="AP23" i="15"/>
  <c r="AR39" i="15"/>
  <c r="AR38" i="15"/>
  <c r="AR33" i="15"/>
  <c r="AR34" i="15" s="1"/>
  <c r="AR35" i="15"/>
  <c r="AS4" i="15"/>
  <c r="AQ10" i="15"/>
  <c r="AO9" i="15" l="1"/>
  <c r="AO11" i="15" s="1"/>
  <c r="AO24" i="15" s="1"/>
  <c r="AS29" i="15"/>
  <c r="AS28" i="15"/>
  <c r="AO25" i="15"/>
  <c r="AO26" i="15" s="1"/>
  <c r="AO27" i="15" s="1"/>
  <c r="AQ6" i="15"/>
  <c r="AP8" i="15"/>
  <c r="AP7" i="15"/>
  <c r="AP9" i="15"/>
  <c r="AP11" i="15" s="1"/>
  <c r="AP25" i="15" s="1"/>
  <c r="AM26" i="15"/>
  <c r="AM27" i="15"/>
  <c r="AR13" i="15"/>
  <c r="AQ23" i="15"/>
  <c r="AR10" i="15"/>
  <c r="AS38" i="15"/>
  <c r="AS35" i="15"/>
  <c r="AS39" i="15"/>
  <c r="AS33" i="15"/>
  <c r="AS34" i="15" s="1"/>
  <c r="AT4" i="15"/>
  <c r="AT29" i="15" l="1"/>
  <c r="AT28" i="15"/>
  <c r="AP24" i="15"/>
  <c r="AM30" i="15"/>
  <c r="AM39" i="15" s="1"/>
  <c r="AM35" i="15"/>
  <c r="AQ7" i="15"/>
  <c r="AQ8" i="15"/>
  <c r="AR6" i="15"/>
  <c r="AO30" i="15"/>
  <c r="AO39" i="15" s="1"/>
  <c r="AO35" i="15"/>
  <c r="AS10" i="15"/>
  <c r="AR23" i="15"/>
  <c r="AS13" i="15"/>
  <c r="AT38" i="15"/>
  <c r="AT35" i="15"/>
  <c r="AT33" i="15"/>
  <c r="AT34" i="15" s="1"/>
  <c r="AT39" i="15"/>
  <c r="AU4" i="15"/>
  <c r="AP26" i="15"/>
  <c r="AP27" i="15" s="1"/>
  <c r="AQ9" i="15" l="1"/>
  <c r="AQ11" i="15" s="1"/>
  <c r="AQ24" i="15"/>
  <c r="AQ25" i="15"/>
  <c r="AU29" i="15"/>
  <c r="AU28" i="15"/>
  <c r="AS6" i="15"/>
  <c r="AR8" i="15"/>
  <c r="AR7" i="15"/>
  <c r="AR9" i="15" s="1"/>
  <c r="AR11" i="15" s="1"/>
  <c r="AR25" i="15" s="1"/>
  <c r="AR26" i="15" s="1"/>
  <c r="AR27" i="15" s="1"/>
  <c r="AR30" i="15" s="1"/>
  <c r="AP30" i="15"/>
  <c r="AT10" i="15"/>
  <c r="AQ26" i="15"/>
  <c r="AQ27" i="15" s="1"/>
  <c r="AQ30" i="15" s="1"/>
  <c r="AS23" i="15"/>
  <c r="AT13" i="15"/>
  <c r="AU35" i="15"/>
  <c r="AU33" i="15"/>
  <c r="AU34" i="15" s="1"/>
  <c r="AU38" i="15"/>
  <c r="AU39" i="15"/>
  <c r="AV4" i="15"/>
  <c r="AR24" i="15" l="1"/>
  <c r="AV29" i="15"/>
  <c r="AV28" i="15"/>
  <c r="AT6" i="15"/>
  <c r="AS8" i="15"/>
  <c r="AS7" i="15"/>
  <c r="AU10" i="15"/>
  <c r="AT23" i="15"/>
  <c r="AU13" i="15"/>
  <c r="AV35" i="15"/>
  <c r="AV33" i="15"/>
  <c r="AV34" i="15" s="1"/>
  <c r="AV38" i="15"/>
  <c r="AV39" i="15"/>
  <c r="AW4" i="15"/>
  <c r="AW29" i="15" l="1"/>
  <c r="AW28" i="15"/>
  <c r="AS9" i="15"/>
  <c r="AS11" i="15" s="1"/>
  <c r="AS24" i="15" s="1"/>
  <c r="AU6" i="15"/>
  <c r="AT8" i="15"/>
  <c r="AT7" i="15"/>
  <c r="AT9" i="15" s="1"/>
  <c r="AT11" i="15" s="1"/>
  <c r="AS25" i="15"/>
  <c r="AS26" i="15" s="1"/>
  <c r="AS27" i="15" s="1"/>
  <c r="AS30" i="15" s="1"/>
  <c r="AV10" i="15"/>
  <c r="AW39" i="15"/>
  <c r="AW33" i="15"/>
  <c r="AW34" i="15" s="1"/>
  <c r="AW35" i="15"/>
  <c r="AW38" i="15"/>
  <c r="AX4" i="15"/>
  <c r="AU23" i="15"/>
  <c r="AV13" i="15"/>
  <c r="AX29" i="15" l="1"/>
  <c r="AX28" i="15"/>
  <c r="AT25" i="15"/>
  <c r="AT26" i="15" s="1"/>
  <c r="AT27" i="15" s="1"/>
  <c r="AT30" i="15" s="1"/>
  <c r="AT24" i="15"/>
  <c r="AV6" i="15"/>
  <c r="AU8" i="15"/>
  <c r="AU7" i="15"/>
  <c r="AU9" i="15"/>
  <c r="AU11" i="15" s="1"/>
  <c r="AU25" i="15" s="1"/>
  <c r="AX39" i="15"/>
  <c r="AX38" i="15"/>
  <c r="AX33" i="15"/>
  <c r="AX34" i="15" s="1"/>
  <c r="AX35" i="15"/>
  <c r="AY4" i="15"/>
  <c r="AW13" i="15"/>
  <c r="AV23" i="15"/>
  <c r="AW10" i="15"/>
  <c r="AY29" i="15" l="1"/>
  <c r="AY28" i="15"/>
  <c r="AU26" i="15"/>
  <c r="AU27" i="15" s="1"/>
  <c r="AU30" i="15" s="1"/>
  <c r="AU24" i="15"/>
  <c r="AV8" i="15"/>
  <c r="AV7" i="15"/>
  <c r="AV9" i="15" s="1"/>
  <c r="AV11" i="15" s="1"/>
  <c r="AV25" i="15" s="1"/>
  <c r="AW6" i="15"/>
  <c r="AX13" i="15"/>
  <c r="AW23" i="15"/>
  <c r="AY35" i="15"/>
  <c r="AY33" i="15"/>
  <c r="AY34" i="15" s="1"/>
  <c r="AY39" i="15"/>
  <c r="AY38" i="15"/>
  <c r="AZ4" i="15"/>
  <c r="AX10" i="15"/>
  <c r="AV24" i="15" l="1"/>
  <c r="AV26" i="15"/>
  <c r="AV27" i="15" s="1"/>
  <c r="AV30" i="15" s="1"/>
  <c r="AZ29" i="15"/>
  <c r="AZ28" i="15"/>
  <c r="AW8" i="15"/>
  <c r="AW7" i="15"/>
  <c r="AW9" i="15"/>
  <c r="AW11" i="15" s="1"/>
  <c r="AW25" i="15" s="1"/>
  <c r="AW26" i="15" s="1"/>
  <c r="AW27" i="15" s="1"/>
  <c r="AW30" i="15" s="1"/>
  <c r="AX6" i="15"/>
  <c r="AZ35" i="15"/>
  <c r="AZ38" i="15"/>
  <c r="AZ39" i="15"/>
  <c r="AZ33" i="15"/>
  <c r="AZ34" i="15" s="1"/>
  <c r="BA4" i="15"/>
  <c r="AY10" i="15"/>
  <c r="AX23" i="15"/>
  <c r="AY13" i="15"/>
  <c r="BA29" i="15" l="1"/>
  <c r="BA28" i="15"/>
  <c r="AW24" i="15"/>
  <c r="AX7" i="15"/>
  <c r="AY6" i="15"/>
  <c r="AX8" i="15"/>
  <c r="BA38" i="15"/>
  <c r="BA35" i="15"/>
  <c r="BA39" i="15"/>
  <c r="BA33" i="15"/>
  <c r="BA34" i="15" s="1"/>
  <c r="BB4" i="15"/>
  <c r="AY23" i="15"/>
  <c r="AZ13" i="15"/>
  <c r="AZ10" i="15"/>
  <c r="BB29" i="15" l="1"/>
  <c r="BB28" i="15"/>
  <c r="AY8" i="15"/>
  <c r="AY7" i="15"/>
  <c r="AY9" i="15" s="1"/>
  <c r="AY11" i="15" s="1"/>
  <c r="AY24" i="15" s="1"/>
  <c r="AZ6" i="15"/>
  <c r="AX9" i="15"/>
  <c r="AX11" i="15" s="1"/>
  <c r="BB38" i="15"/>
  <c r="BB35" i="15"/>
  <c r="BB33" i="15"/>
  <c r="BB34" i="15" s="1"/>
  <c r="BB39" i="15"/>
  <c r="BC4" i="15"/>
  <c r="AZ23" i="15"/>
  <c r="BA13" i="15"/>
  <c r="BA10" i="15"/>
  <c r="AY25" i="15"/>
  <c r="BC29" i="15" l="1"/>
  <c r="BC28" i="15"/>
  <c r="AX25" i="15"/>
  <c r="AX26" i="15" s="1"/>
  <c r="AX27" i="15" s="1"/>
  <c r="AX30" i="15" s="1"/>
  <c r="AX24" i="15"/>
  <c r="AZ8" i="15"/>
  <c r="AZ7" i="15"/>
  <c r="BA6" i="15"/>
  <c r="BB10" i="15"/>
  <c r="BC35" i="15"/>
  <c r="BC33" i="15"/>
  <c r="BC34" i="15" s="1"/>
  <c r="BC38" i="15"/>
  <c r="BC39" i="15"/>
  <c r="BD4" i="15"/>
  <c r="AY26" i="15"/>
  <c r="AY27" i="15" s="1"/>
  <c r="AY30" i="15" s="1"/>
  <c r="BA23" i="15"/>
  <c r="BB13" i="15"/>
  <c r="BD29" i="15" l="1"/>
  <c r="BD28" i="15"/>
  <c r="BA7" i="15"/>
  <c r="BB6" i="15"/>
  <c r="BA8" i="15"/>
  <c r="AZ9" i="15"/>
  <c r="AZ11" i="15" s="1"/>
  <c r="BB23" i="15"/>
  <c r="BC13" i="15"/>
  <c r="BC10" i="15"/>
  <c r="BD35" i="15"/>
  <c r="BD33" i="15"/>
  <c r="BD34" i="15" s="1"/>
  <c r="BD39" i="15"/>
  <c r="BD38" i="15"/>
  <c r="BE4" i="15"/>
  <c r="BE29" i="15" l="1"/>
  <c r="BE28" i="15"/>
  <c r="BA9" i="15"/>
  <c r="BA11" i="15" s="1"/>
  <c r="BA25" i="15"/>
  <c r="BA24" i="15"/>
  <c r="AZ25" i="15"/>
  <c r="AZ24" i="15"/>
  <c r="BB7" i="15"/>
  <c r="BC6" i="15"/>
  <c r="BB8" i="15"/>
  <c r="BC23" i="15"/>
  <c r="BD13" i="15"/>
  <c r="BA26" i="15"/>
  <c r="BA27" i="15" s="1"/>
  <c r="BA30" i="15" s="1"/>
  <c r="BE39" i="15"/>
  <c r="BE35" i="15"/>
  <c r="BE38" i="15"/>
  <c r="BE33" i="15"/>
  <c r="BE34" i="15" s="1"/>
  <c r="BF4" i="15"/>
  <c r="BD10" i="15"/>
  <c r="BB9" i="15" l="1"/>
  <c r="BB11" i="15" s="1"/>
  <c r="BF29" i="15"/>
  <c r="BF28" i="15"/>
  <c r="BB25" i="15"/>
  <c r="BB24" i="15"/>
  <c r="BD6" i="15"/>
  <c r="BC8" i="15"/>
  <c r="BC7" i="15"/>
  <c r="BC9" i="15" s="1"/>
  <c r="BC11" i="15" s="1"/>
  <c r="BC25" i="15" s="1"/>
  <c r="AZ26" i="15"/>
  <c r="AZ27" i="15" s="1"/>
  <c r="AZ30" i="15" s="1"/>
  <c r="BE10" i="15"/>
  <c r="BE13" i="15"/>
  <c r="BD23" i="15"/>
  <c r="BF39" i="15"/>
  <c r="BF38" i="15"/>
  <c r="BF35" i="15"/>
  <c r="BF33" i="15"/>
  <c r="BF34" i="15" s="1"/>
  <c r="BG4" i="15"/>
  <c r="BG29" i="15" l="1"/>
  <c r="BG28" i="15"/>
  <c r="BC24" i="15"/>
  <c r="BD8" i="15"/>
  <c r="BE6" i="15"/>
  <c r="BD7" i="15"/>
  <c r="BD9" i="15"/>
  <c r="BD11" i="15" s="1"/>
  <c r="BD25" i="15" s="1"/>
  <c r="BD26" i="15" s="1"/>
  <c r="BD27" i="15" s="1"/>
  <c r="BD30" i="15" s="1"/>
  <c r="BB26" i="15"/>
  <c r="BB27" i="15" s="1"/>
  <c r="BB30" i="15" s="1"/>
  <c r="AP33" i="15"/>
  <c r="BF10" i="15"/>
  <c r="BC26" i="15"/>
  <c r="BC27" i="15"/>
  <c r="BC30" i="15" s="1"/>
  <c r="BG35" i="15"/>
  <c r="BG33" i="15"/>
  <c r="BG34" i="15" s="1"/>
  <c r="BG39" i="15"/>
  <c r="BG38" i="15"/>
  <c r="BH4" i="15"/>
  <c r="BF13" i="15"/>
  <c r="BE23" i="15"/>
  <c r="BH29" i="15" l="1"/>
  <c r="BH28" i="15"/>
  <c r="BD24" i="15"/>
  <c r="AP34" i="15"/>
  <c r="AP35" i="15"/>
  <c r="AP39" i="15"/>
  <c r="BF6" i="15"/>
  <c r="BE7" i="15"/>
  <c r="BE9" i="15" s="1"/>
  <c r="BE11" i="15" s="1"/>
  <c r="BE8" i="15"/>
  <c r="BH39" i="15"/>
  <c r="BH38" i="15"/>
  <c r="BH33" i="15"/>
  <c r="BH34" i="15" s="1"/>
  <c r="BH35" i="15"/>
  <c r="BI4" i="15"/>
  <c r="BG10" i="15"/>
  <c r="BG13" i="15"/>
  <c r="BF23" i="15"/>
  <c r="BE25" i="15" l="1"/>
  <c r="BE24" i="15"/>
  <c r="BI29" i="15"/>
  <c r="BI28" i="15"/>
  <c r="BF8" i="15"/>
  <c r="BF7" i="15"/>
  <c r="BG6" i="15"/>
  <c r="BI38" i="15"/>
  <c r="BI35" i="15"/>
  <c r="BI39" i="15"/>
  <c r="BI33" i="15"/>
  <c r="BI34" i="15" s="1"/>
  <c r="BJ4" i="15"/>
  <c r="BE26" i="15"/>
  <c r="BE27" i="15" s="1"/>
  <c r="BE30" i="15" s="1"/>
  <c r="BG23" i="15"/>
  <c r="BH13" i="15"/>
  <c r="BH10" i="15"/>
  <c r="BJ29" i="15" l="1"/>
  <c r="BJ28" i="15"/>
  <c r="BG8" i="15"/>
  <c r="BH6" i="15"/>
  <c r="BG7" i="15"/>
  <c r="BG9" i="15" s="1"/>
  <c r="BG11" i="15" s="1"/>
  <c r="BG24" i="15" s="1"/>
  <c r="BF9" i="15"/>
  <c r="BF11" i="15" s="1"/>
  <c r="BH23" i="15"/>
  <c r="BI13" i="15"/>
  <c r="BJ38" i="15"/>
  <c r="BJ35" i="15"/>
  <c r="BJ33" i="15"/>
  <c r="BJ34" i="15" s="1"/>
  <c r="BJ39" i="15"/>
  <c r="BK4" i="15"/>
  <c r="BI10" i="15"/>
  <c r="BK29" i="15" l="1"/>
  <c r="BK28" i="15"/>
  <c r="BF24" i="15"/>
  <c r="BF25" i="15"/>
  <c r="BF26" i="15" s="1"/>
  <c r="BF27" i="15" s="1"/>
  <c r="BF30" i="15" s="1"/>
  <c r="BH8" i="15"/>
  <c r="BH7" i="15"/>
  <c r="BI6" i="15"/>
  <c r="BG25" i="15"/>
  <c r="BG26" i="15" s="1"/>
  <c r="BG27" i="15" s="1"/>
  <c r="BG30" i="15" s="1"/>
  <c r="BJ10" i="15"/>
  <c r="BI23" i="15"/>
  <c r="BJ13" i="15"/>
  <c r="BK35" i="15"/>
  <c r="BK33" i="15"/>
  <c r="BK34" i="15" s="1"/>
  <c r="BK38" i="15"/>
  <c r="BK39" i="15"/>
  <c r="BL4" i="15"/>
  <c r="BL29" i="15" l="1"/>
  <c r="BL28" i="15"/>
  <c r="BI7" i="15"/>
  <c r="BI8" i="15"/>
  <c r="BI9" i="15"/>
  <c r="BI11" i="15" s="1"/>
  <c r="BI24" i="15" s="1"/>
  <c r="BJ6" i="15"/>
  <c r="BH9" i="15"/>
  <c r="BH11" i="15" s="1"/>
  <c r="BJ23" i="15"/>
  <c r="BK13" i="15"/>
  <c r="BL35" i="15"/>
  <c r="BL33" i="15"/>
  <c r="BL34" i="15" s="1"/>
  <c r="BL38" i="15"/>
  <c r="BL39" i="15"/>
  <c r="BM4" i="15"/>
  <c r="BK10" i="15"/>
  <c r="BI25" i="15"/>
  <c r="BM29" i="15" l="1"/>
  <c r="BM28" i="15"/>
  <c r="BH25" i="15"/>
  <c r="BH24" i="15"/>
  <c r="BK6" i="15"/>
  <c r="BJ8" i="15"/>
  <c r="BJ7" i="15"/>
  <c r="BJ9" i="15" s="1"/>
  <c r="BJ11" i="15" s="1"/>
  <c r="BL10" i="15"/>
  <c r="BI26" i="15"/>
  <c r="BI27" i="15" s="1"/>
  <c r="BI30" i="15" s="1"/>
  <c r="BK23" i="15"/>
  <c r="BL13" i="15"/>
  <c r="BM39" i="15"/>
  <c r="BM33" i="15"/>
  <c r="BM34" i="15" s="1"/>
  <c r="BM35" i="15"/>
  <c r="BM38" i="15"/>
  <c r="BN4" i="15"/>
  <c r="BN29" i="15" l="1"/>
  <c r="BN28" i="15"/>
  <c r="BJ25" i="15"/>
  <c r="BJ26" i="15" s="1"/>
  <c r="BJ27" i="15" s="1"/>
  <c r="BJ30" i="15" s="1"/>
  <c r="BJ24" i="15"/>
  <c r="BL6" i="15"/>
  <c r="BK7" i="15"/>
  <c r="BK8" i="15"/>
  <c r="BH26" i="15"/>
  <c r="BH27" i="15" s="1"/>
  <c r="BH30" i="15" s="1"/>
  <c r="BL23" i="15"/>
  <c r="BM13" i="15"/>
  <c r="BN39" i="15"/>
  <c r="BN38" i="15"/>
  <c r="BN33" i="15"/>
  <c r="BN34" i="15" s="1"/>
  <c r="BN35" i="15"/>
  <c r="BO4" i="15"/>
  <c r="BM10" i="15"/>
  <c r="BO29" i="15" l="1"/>
  <c r="BO28" i="15"/>
  <c r="BK9" i="15"/>
  <c r="BK11" i="15" s="1"/>
  <c r="BL7" i="15"/>
  <c r="BL8" i="15"/>
  <c r="BL9" i="15" s="1"/>
  <c r="BL11" i="15" s="1"/>
  <c r="BL25" i="15" s="1"/>
  <c r="BM6" i="15"/>
  <c r="BL26" i="15"/>
  <c r="BL27" i="15"/>
  <c r="BL30" i="15" s="1"/>
  <c r="BM23" i="15"/>
  <c r="BN13" i="15"/>
  <c r="BN10" i="15"/>
  <c r="BO35" i="15"/>
  <c r="BO33" i="15"/>
  <c r="BO34" i="15" s="1"/>
  <c r="BO39" i="15"/>
  <c r="BO38" i="15"/>
  <c r="BP4" i="15"/>
  <c r="BP29" i="15" l="1"/>
  <c r="BP28" i="15"/>
  <c r="BL24" i="15"/>
  <c r="BN6" i="15"/>
  <c r="BM8" i="15"/>
  <c r="BM7" i="15"/>
  <c r="BM9" i="15" s="1"/>
  <c r="BM11" i="15" s="1"/>
  <c r="BM25" i="15" s="1"/>
  <c r="BM26" i="15" s="1"/>
  <c r="BM27" i="15" s="1"/>
  <c r="BM30" i="15" s="1"/>
  <c r="BK25" i="15"/>
  <c r="BK26" i="15" s="1"/>
  <c r="BK27" i="15" s="1"/>
  <c r="BK30" i="15" s="1"/>
  <c r="BK24" i="15"/>
  <c r="BN23" i="15"/>
  <c r="BO13" i="15"/>
  <c r="BO10" i="15"/>
  <c r="BP35" i="15"/>
  <c r="BP38" i="15"/>
  <c r="BP33" i="15"/>
  <c r="BP34" i="15" s="1"/>
  <c r="BP39" i="15"/>
  <c r="BQ4" i="15"/>
  <c r="BQ29" i="15" l="1"/>
  <c r="BQ28" i="15"/>
  <c r="BM24" i="15"/>
  <c r="BO6" i="15"/>
  <c r="BN8" i="15"/>
  <c r="BN7" i="15"/>
  <c r="BQ38" i="15"/>
  <c r="BQ35" i="15"/>
  <c r="BQ39" i="15"/>
  <c r="BQ33" i="15"/>
  <c r="BQ34" i="15" s="1"/>
  <c r="BR4" i="15"/>
  <c r="BP10" i="15"/>
  <c r="BO23" i="15"/>
  <c r="BP13" i="15"/>
  <c r="BR29" i="15" l="1"/>
  <c r="BR28" i="15"/>
  <c r="BN9" i="15"/>
  <c r="BN11" i="15" s="1"/>
  <c r="BO8" i="15"/>
  <c r="BO7" i="15"/>
  <c r="BP6" i="15"/>
  <c r="BQ10" i="15"/>
  <c r="BP23" i="15"/>
  <c r="BQ13" i="15"/>
  <c r="BR38" i="15"/>
  <c r="BR35" i="15"/>
  <c r="BR33" i="15"/>
  <c r="BR34" i="15" s="1"/>
  <c r="BR39" i="15"/>
  <c r="BS4" i="15"/>
  <c r="BS29" i="15" l="1"/>
  <c r="BS28" i="15"/>
  <c r="BP8" i="15"/>
  <c r="BQ6" i="15"/>
  <c r="BP7" i="15"/>
  <c r="BP9" i="15" s="1"/>
  <c r="BP11" i="15" s="1"/>
  <c r="BP25" i="15" s="1"/>
  <c r="BO9" i="15"/>
  <c r="BO11" i="15" s="1"/>
  <c r="BN25" i="15"/>
  <c r="BN24" i="15"/>
  <c r="BS35" i="15"/>
  <c r="BS33" i="15"/>
  <c r="BS34" i="15" s="1"/>
  <c r="BS38" i="15"/>
  <c r="BS39" i="15"/>
  <c r="BT4" i="15"/>
  <c r="BR10" i="15"/>
  <c r="BR13" i="15"/>
  <c r="BQ23" i="15"/>
  <c r="BT29" i="15" l="1"/>
  <c r="BT28" i="15"/>
  <c r="BP24" i="15"/>
  <c r="BN26" i="15"/>
  <c r="BN27" i="15" s="1"/>
  <c r="BN30" i="15" s="1"/>
  <c r="BO24" i="15"/>
  <c r="BO25" i="15"/>
  <c r="BO26" i="15" s="1"/>
  <c r="BO27" i="15" s="1"/>
  <c r="BO30" i="15" s="1"/>
  <c r="BQ7" i="15"/>
  <c r="BQ8" i="15"/>
  <c r="BR6" i="15"/>
  <c r="BS10" i="15"/>
  <c r="BT35" i="15"/>
  <c r="BT33" i="15"/>
  <c r="BT34" i="15" s="1"/>
  <c r="BT39" i="15"/>
  <c r="BT38" i="15"/>
  <c r="BU4" i="15"/>
  <c r="BP26" i="15"/>
  <c r="BP27" i="15" s="1"/>
  <c r="BP30" i="15" s="1"/>
  <c r="BR23" i="15"/>
  <c r="BS13" i="15"/>
  <c r="BU29" i="15" l="1"/>
  <c r="BU28" i="15"/>
  <c r="BR7" i="15"/>
  <c r="BR8" i="15"/>
  <c r="BS6" i="15"/>
  <c r="BR9" i="15"/>
  <c r="BR11" i="15" s="1"/>
  <c r="BR25" i="15" s="1"/>
  <c r="BQ9" i="15"/>
  <c r="BQ11" i="15" s="1"/>
  <c r="BR24" i="15"/>
  <c r="BS23" i="15"/>
  <c r="BT13" i="15"/>
  <c r="BU39" i="15"/>
  <c r="BU35" i="15"/>
  <c r="BU38" i="15"/>
  <c r="BU33" i="15"/>
  <c r="BU34" i="15" s="1"/>
  <c r="BV4" i="15"/>
  <c r="BT10" i="15"/>
  <c r="BV29" i="15" l="1"/>
  <c r="BV28" i="15"/>
  <c r="BQ25" i="15"/>
  <c r="BQ26" i="15" s="1"/>
  <c r="BQ27" i="15" s="1"/>
  <c r="BQ30" i="15" s="1"/>
  <c r="BQ24" i="15"/>
  <c r="BS7" i="15"/>
  <c r="BS8" i="15"/>
  <c r="BT6" i="15"/>
  <c r="BS9" i="15"/>
  <c r="BS11" i="15" s="1"/>
  <c r="BS25" i="15" s="1"/>
  <c r="BS26" i="15" s="1"/>
  <c r="BS27" i="15" s="1"/>
  <c r="BS30" i="15" s="1"/>
  <c r="BU10" i="15"/>
  <c r="BU13" i="15"/>
  <c r="BT23" i="15"/>
  <c r="BR26" i="15"/>
  <c r="BR27" i="15" s="1"/>
  <c r="BR30" i="15" s="1"/>
  <c r="BV39" i="15"/>
  <c r="BV38" i="15"/>
  <c r="BV35" i="15"/>
  <c r="BV33" i="15"/>
  <c r="BV34" i="15" s="1"/>
  <c r="BW4" i="15"/>
  <c r="BS24" i="15" l="1"/>
  <c r="BW29" i="15"/>
  <c r="BW28" i="15"/>
  <c r="BT7" i="15"/>
  <c r="BU6" i="15"/>
  <c r="BT8" i="15"/>
  <c r="BT9" i="15" s="1"/>
  <c r="BT11" i="15" s="1"/>
  <c r="BW35" i="15"/>
  <c r="BW33" i="15"/>
  <c r="BW34" i="15" s="1"/>
  <c r="BW39" i="15"/>
  <c r="BW38" i="15"/>
  <c r="BX4" i="15"/>
  <c r="BV10" i="15"/>
  <c r="BV13" i="15"/>
  <c r="BU23" i="15"/>
  <c r="BX29" i="15" l="1"/>
  <c r="BX28" i="15"/>
  <c r="BT24" i="15"/>
  <c r="BT25" i="15"/>
  <c r="BT26" i="15" s="1"/>
  <c r="BT27" i="15" s="1"/>
  <c r="BT30" i="15" s="1"/>
  <c r="BV6" i="15"/>
  <c r="BU8" i="15"/>
  <c r="BU7" i="15"/>
  <c r="BU9" i="15" s="1"/>
  <c r="BU11" i="15" s="1"/>
  <c r="BU25" i="15" s="1"/>
  <c r="BU24" i="15"/>
  <c r="BV23" i="15"/>
  <c r="BW13" i="15"/>
  <c r="BW10" i="15"/>
  <c r="BX39" i="15"/>
  <c r="BX38" i="15"/>
  <c r="BX33" i="15"/>
  <c r="BX34" i="15" s="1"/>
  <c r="BX35" i="15"/>
  <c r="BY4" i="15"/>
  <c r="BY29" i="15" l="1"/>
  <c r="BY28" i="15"/>
  <c r="BW6" i="15"/>
  <c r="BV8" i="15"/>
  <c r="BV7" i="15"/>
  <c r="BV9" i="15" s="1"/>
  <c r="BV11" i="15" s="1"/>
  <c r="BW23" i="15"/>
  <c r="BX13" i="15"/>
  <c r="BY38" i="15"/>
  <c r="BY35" i="15"/>
  <c r="BY33" i="15"/>
  <c r="BY34" i="15" s="1"/>
  <c r="BY39" i="15"/>
  <c r="BZ4" i="15"/>
  <c r="BX10" i="15"/>
  <c r="BU26" i="15"/>
  <c r="BU27" i="15" s="1"/>
  <c r="BU30" i="15" s="1"/>
  <c r="BZ29" i="15" l="1"/>
  <c r="BZ28" i="15"/>
  <c r="BV24" i="15"/>
  <c r="BV25" i="15"/>
  <c r="BV26" i="15" s="1"/>
  <c r="BV27" i="15" s="1"/>
  <c r="BV30" i="15" s="1"/>
  <c r="BX6" i="15"/>
  <c r="BW8" i="15"/>
  <c r="BW7" i="15"/>
  <c r="BW9" i="15" s="1"/>
  <c r="BW11" i="15" s="1"/>
  <c r="BW25" i="15" s="1"/>
  <c r="BW26" i="15" s="1"/>
  <c r="BW27" i="15" s="1"/>
  <c r="BW30" i="15" s="1"/>
  <c r="BY10" i="15"/>
  <c r="BX23" i="15"/>
  <c r="BY13" i="15"/>
  <c r="BZ38" i="15"/>
  <c r="BZ35" i="15"/>
  <c r="BZ33" i="15"/>
  <c r="BZ34" i="15" s="1"/>
  <c r="BZ39" i="15"/>
  <c r="BW24" i="15"/>
  <c r="BX8" i="15" l="1"/>
  <c r="BX7" i="15"/>
  <c r="BX9" i="15" s="1"/>
  <c r="BX11" i="15" s="1"/>
  <c r="BX24" i="15" s="1"/>
  <c r="BY6" i="15"/>
  <c r="C28" i="13"/>
  <c r="C26" i="13"/>
  <c r="C4" i="14"/>
  <c r="D4" i="14"/>
  <c r="E4" i="14"/>
  <c r="F4" i="14"/>
  <c r="G4" i="14"/>
  <c r="C25" i="13"/>
  <c r="C27" i="13"/>
  <c r="D37" i="13"/>
  <c r="J37" i="13"/>
  <c r="G37" i="13"/>
  <c r="BY23" i="15"/>
  <c r="BZ13" i="15"/>
  <c r="BZ10" i="15"/>
  <c r="BX25" i="15"/>
  <c r="BY8" i="15" l="1"/>
  <c r="BY7" i="15"/>
  <c r="BZ6" i="15"/>
  <c r="C8" i="14"/>
  <c r="I7" i="13" s="1"/>
  <c r="D8" i="14"/>
  <c r="E8" i="14"/>
  <c r="F8" i="14"/>
  <c r="G8" i="14"/>
  <c r="I3" i="13"/>
  <c r="C6" i="14"/>
  <c r="I5" i="13" s="1"/>
  <c r="D6" i="14"/>
  <c r="E6" i="14"/>
  <c r="F6" i="14"/>
  <c r="G6" i="14"/>
  <c r="BX26" i="15"/>
  <c r="BX27" i="15" s="1"/>
  <c r="BX30" i="15" s="1"/>
  <c r="C5" i="14"/>
  <c r="I4" i="13" s="1"/>
  <c r="D5" i="14"/>
  <c r="E5" i="14"/>
  <c r="F5" i="14"/>
  <c r="G5" i="14"/>
  <c r="BZ23" i="15"/>
  <c r="C11" i="14"/>
  <c r="D11" i="14"/>
  <c r="D21" i="14" s="1"/>
  <c r="E11" i="14"/>
  <c r="E21" i="14" s="1"/>
  <c r="F11" i="14"/>
  <c r="F21" i="14" s="1"/>
  <c r="G11" i="14"/>
  <c r="G21" i="14" s="1"/>
  <c r="F7" i="14" l="1"/>
  <c r="F9" i="14" s="1"/>
  <c r="F24" i="14" s="1"/>
  <c r="D7" i="14"/>
  <c r="D9" i="14" s="1"/>
  <c r="I6" i="13"/>
  <c r="I8" i="13" s="1"/>
  <c r="E7" i="14"/>
  <c r="E9" i="14" s="1"/>
  <c r="E24" i="14" s="1"/>
  <c r="BY9" i="15"/>
  <c r="BY11" i="15" s="1"/>
  <c r="BZ8" i="15"/>
  <c r="BZ7" i="15"/>
  <c r="BZ9" i="15" s="1"/>
  <c r="BZ11" i="15" s="1"/>
  <c r="BZ25" i="15" s="1"/>
  <c r="C7" i="14"/>
  <c r="C9" i="14" s="1"/>
  <c r="G7" i="14"/>
  <c r="G9" i="14" s="1"/>
  <c r="G22" i="14" s="1"/>
  <c r="D24" i="14"/>
  <c r="D22" i="14"/>
  <c r="I11" i="13"/>
  <c r="I21" i="13" s="1"/>
  <c r="I22" i="13" s="1"/>
  <c r="I24" i="13" s="1"/>
  <c r="C21" i="14"/>
  <c r="BY25" i="15" l="1"/>
  <c r="BY26" i="15" s="1"/>
  <c r="BY27" i="15" s="1"/>
  <c r="BY30" i="15" s="1"/>
  <c r="BY24" i="15"/>
  <c r="G24" i="14"/>
  <c r="BZ24" i="15"/>
  <c r="F22" i="14"/>
  <c r="F25" i="14" s="1"/>
  <c r="E22" i="14"/>
  <c r="E25" i="14" s="1"/>
  <c r="G25" i="14"/>
  <c r="G27" i="14"/>
  <c r="G28" i="14" s="1"/>
  <c r="C22" i="14"/>
  <c r="C24" i="14"/>
  <c r="BZ26" i="15"/>
  <c r="BZ27" i="15" s="1"/>
  <c r="BZ30" i="15" s="1"/>
  <c r="E27" i="14"/>
  <c r="E28" i="14" s="1"/>
  <c r="D27" i="14"/>
  <c r="D28" i="14" s="1"/>
  <c r="D25" i="14"/>
  <c r="G40" i="13" l="1"/>
  <c r="F27" i="14"/>
  <c r="F28" i="14" s="1"/>
  <c r="J41" i="13"/>
  <c r="D42" i="13"/>
  <c r="C27" i="14"/>
  <c r="C28" i="14" s="1"/>
  <c r="D41" i="13"/>
  <c r="J40" i="13"/>
  <c r="D40" i="13"/>
  <c r="C25" i="14"/>
  <c r="G41" i="13"/>
  <c r="G44" i="13" s="1"/>
  <c r="D44" i="13" l="1"/>
  <c r="J44" i="13"/>
</calcChain>
</file>

<file path=xl/sharedStrings.xml><?xml version="1.0" encoding="utf-8"?>
<sst xmlns="http://schemas.openxmlformats.org/spreadsheetml/2006/main" count="1053" uniqueCount="754">
  <si>
    <t>Operating Statement Export</t>
  </si>
  <si>
    <t>Account Name</t>
  </si>
  <si>
    <t>Reported Period</t>
  </si>
  <si>
    <t>Operating Income &amp; Expense</t>
  </si>
  <si>
    <t xml:space="preserve">    Income</t>
  </si>
  <si>
    <t xml:space="preserve">        Gross Potential Rent</t>
  </si>
  <si>
    <t xml:space="preserve">        Gain/Loss to Lease</t>
  </si>
  <si>
    <t xml:space="preserve">        Vacancy</t>
  </si>
  <si>
    <t xml:space="preserve">        CONCESSIONS</t>
  </si>
  <si>
    <t xml:space="preserve">            One-Time Concessions</t>
  </si>
  <si>
    <t xml:space="preserve">            Hometown Hero Discount </t>
  </si>
  <si>
    <t xml:space="preserve">            Employee Units</t>
  </si>
  <si>
    <t xml:space="preserve">            Other Concession</t>
  </si>
  <si>
    <t xml:space="preserve">        Total CONCESSIONS</t>
  </si>
  <si>
    <t xml:space="preserve">        Interest Income</t>
  </si>
  <si>
    <t xml:space="preserve">        OTHER INCOME</t>
  </si>
  <si>
    <t xml:space="preserve">            Application Fee Income</t>
  </si>
  <si>
    <t xml:space="preserve">            CO Inspection Fee</t>
  </si>
  <si>
    <t xml:space="preserve">            Monthly Amenity Fee</t>
  </si>
  <si>
    <t xml:space="preserve">            Annual Amenity Fee</t>
  </si>
  <si>
    <t xml:space="preserve">            Transfer Fee</t>
  </si>
  <si>
    <t xml:space="preserve">            Resident Insurance Services</t>
  </si>
  <si>
    <t xml:space="preserve">            Resident Insurance Admin Fees</t>
  </si>
  <si>
    <t xml:space="preserve">            One-Time Pet Fee</t>
  </si>
  <si>
    <t xml:space="preserve">            Pet Rent</t>
  </si>
  <si>
    <t xml:space="preserve">            Resident Parking</t>
  </si>
  <si>
    <t xml:space="preserve">            NSF Fees Collected</t>
  </si>
  <si>
    <t xml:space="preserve">            Late Fee</t>
  </si>
  <si>
    <t xml:space="preserve">            Utility Reimbursement</t>
  </si>
  <si>
    <t xml:space="preserve">            Month to Month Premium</t>
  </si>
  <si>
    <t xml:space="preserve">            Move-Out Charges</t>
  </si>
  <si>
    <t xml:space="preserve">            Lease Termination Fee</t>
  </si>
  <si>
    <t xml:space="preserve">            Miscellaneous Income</t>
  </si>
  <si>
    <t xml:space="preserve">            Lock-Out Fee</t>
  </si>
  <si>
    <t xml:space="preserve">            Other Income-8520</t>
  </si>
  <si>
    <t xml:space="preserve">        Total OTHER INCOME</t>
  </si>
  <si>
    <t xml:space="preserve">    Total Operating Income</t>
  </si>
  <si>
    <t xml:space="preserve">    Expense</t>
  </si>
  <si>
    <t xml:space="preserve">        PAYROLL COSTS</t>
  </si>
  <si>
    <t xml:space="preserve">            Property Manager</t>
  </si>
  <si>
    <t xml:space="preserve">            Assistant Property Manager</t>
  </si>
  <si>
    <t xml:space="preserve">            Leasing - Salaries</t>
  </si>
  <si>
    <t xml:space="preserve">            Superintendent</t>
  </si>
  <si>
    <t xml:space="preserve">            Assistant Superintendent</t>
  </si>
  <si>
    <t xml:space="preserve">            Cleaning</t>
  </si>
  <si>
    <t xml:space="preserve">            Bonuses</t>
  </si>
  <si>
    <t xml:space="preserve">            Retirement</t>
  </si>
  <si>
    <t xml:space="preserve">            Payroll Tax Expense</t>
  </si>
  <si>
    <t xml:space="preserve">            Workers Compensation</t>
  </si>
  <si>
    <t xml:space="preserve">            Group Insurance</t>
  </si>
  <si>
    <t xml:space="preserve">        Total PAYROLL COSTS</t>
  </si>
  <si>
    <t xml:space="preserve">        REPAIRS &amp; MAINTENANCE</t>
  </si>
  <si>
    <t xml:space="preserve">            Building - Roof Repairs</t>
  </si>
  <si>
    <t xml:space="preserve">            Building - Garbage Disposal</t>
  </si>
  <si>
    <t xml:space="preserve">            Cleaning &amp; Supplies</t>
  </si>
  <si>
    <t xml:space="preserve">            CAM: Common Area Maintenance</t>
  </si>
  <si>
    <t xml:space="preserve">            Doors Repairs/Replacement</t>
  </si>
  <si>
    <t xml:space="preserve">            Elevator Repairs</t>
  </si>
  <si>
    <t xml:space="preserve">            HVAC (Heat, Ventilation, Air)</t>
  </si>
  <si>
    <t xml:space="preserve">            Landscape Supplies &amp; Maintenance</t>
  </si>
  <si>
    <t xml:space="preserve">            Lighting Supplies/Repairs</t>
  </si>
  <si>
    <t xml:space="preserve">            Electrical Repairs</t>
  </si>
  <si>
    <t xml:space="preserve">            Maintenance Supplies</t>
  </si>
  <si>
    <t xml:space="preserve">            Painting Supplies/Repairs</t>
  </si>
  <si>
    <t xml:space="preserve">            Plumbing</t>
  </si>
  <si>
    <t xml:space="preserve">            Window/Screen/Glass Repairs</t>
  </si>
  <si>
    <t xml:space="preserve">            Compactor Repairs</t>
  </si>
  <si>
    <t xml:space="preserve">        Total REPAIRS &amp; MAINTENANCE</t>
  </si>
  <si>
    <t xml:space="preserve">        CONTRACT SERVICES</t>
  </si>
  <si>
    <t xml:space="preserve">            Telephone/Cable/Internet</t>
  </si>
  <si>
    <t xml:space="preserve">            Elevator Contract</t>
  </si>
  <si>
    <t xml:space="preserve">            Cleaning Contract</t>
  </si>
  <si>
    <t xml:space="preserve">            Low Voltage Contract (Access Control, Cameras, Fire Alarm)</t>
  </si>
  <si>
    <t xml:space="preserve">            Fire Safety System (Alarm &amp; Sprinkler)</t>
  </si>
  <si>
    <t xml:space="preserve">            Exterminator</t>
  </si>
  <si>
    <t xml:space="preserve">            Garbage &amp; Recycling</t>
  </si>
  <si>
    <t xml:space="preserve">            Other Contract Services</t>
  </si>
  <si>
    <t xml:space="preserve">        Total CONTRACT SERVICES</t>
  </si>
  <si>
    <t xml:space="preserve">        MAKE &amp; READY</t>
  </si>
  <si>
    <t xml:space="preserve">            Appliance/Repairs</t>
  </si>
  <si>
    <t xml:space="preserve">            Unit Move in Fee/Turn Over Reserve Fund</t>
  </si>
  <si>
    <t xml:space="preserve">            Flooring</t>
  </si>
  <si>
    <t xml:space="preserve">            Unit Renovation Supplies</t>
  </si>
  <si>
    <t xml:space="preserve">            Cleaning Services/Supplies</t>
  </si>
  <si>
    <t xml:space="preserve">        Total MAKE &amp; READY</t>
  </si>
  <si>
    <t xml:space="preserve">        MARKETING</t>
  </si>
  <si>
    <t xml:space="preserve">            Internet Marketing</t>
  </si>
  <si>
    <t xml:space="preserve">            Amenity Rooms Furniture &amp; Equipment</t>
  </si>
  <si>
    <t xml:space="preserve">            Leasing Commissions (INT)</t>
  </si>
  <si>
    <t xml:space="preserve">            Resident Activities</t>
  </si>
  <si>
    <t xml:space="preserve">            Signage</t>
  </si>
  <si>
    <t xml:space="preserve">            Other Marketing Expenses</t>
  </si>
  <si>
    <t xml:space="preserve">        Total MARKETING</t>
  </si>
  <si>
    <t xml:space="preserve">        OFFICE EXPENSES</t>
  </si>
  <si>
    <t xml:space="preserve">            Office Expense</t>
  </si>
  <si>
    <t xml:space="preserve">            Office Supplies</t>
  </si>
  <si>
    <t xml:space="preserve">            Resident Screening</t>
  </si>
  <si>
    <t xml:space="preserve">            Computer &amp; Software</t>
  </si>
  <si>
    <t xml:space="preserve">        Total OFFICE EXPENSES</t>
  </si>
  <si>
    <t xml:space="preserve">        GENERAL &amp; ADMINISTRATIVE EXPENSE</t>
  </si>
  <si>
    <t xml:space="preserve">            Resident Portal Fees</t>
  </si>
  <si>
    <t xml:space="preserve">            Legal Expenses</t>
  </si>
  <si>
    <t xml:space="preserve">            Eviction Fees</t>
  </si>
  <si>
    <t xml:space="preserve">            Internet Access</t>
  </si>
  <si>
    <t xml:space="preserve">            Professional Fees</t>
  </si>
  <si>
    <t xml:space="preserve">            Dues &amp; Subscriptions</t>
  </si>
  <si>
    <t xml:space="preserve">            Fees, Licenses &amp; Permits</t>
  </si>
  <si>
    <t xml:space="preserve">            Travel</t>
  </si>
  <si>
    <t xml:space="preserve">            Miscellaneous G &amp; A</t>
  </si>
  <si>
    <t xml:space="preserve">        Total GENERAL &amp; ADMINISTRATIVE EXPENSE</t>
  </si>
  <si>
    <t xml:space="preserve">        UTILITIES</t>
  </si>
  <si>
    <t xml:space="preserve">            Electric- Vacant</t>
  </si>
  <si>
    <t xml:space="preserve">            Electric - Common</t>
  </si>
  <si>
    <t xml:space="preserve">            Gas-Common</t>
  </si>
  <si>
    <t xml:space="preserve">            Water/Sewer</t>
  </si>
  <si>
    <t xml:space="preserve">        Total UTILITIES</t>
  </si>
  <si>
    <t xml:space="preserve">        MANAGEMENT  FEE</t>
  </si>
  <si>
    <t xml:space="preserve">        Total MANAGEMENT  FEE</t>
  </si>
  <si>
    <t xml:space="preserve">        INSURANCE</t>
  </si>
  <si>
    <t xml:space="preserve">            Insurance-General Liability</t>
  </si>
  <si>
    <t xml:space="preserve">            Insurance-Umbrella</t>
  </si>
  <si>
    <t xml:space="preserve">            Other Insurance</t>
  </si>
  <si>
    <t xml:space="preserve">            Resident Liability Insurance</t>
  </si>
  <si>
    <t xml:space="preserve">        Total INSURANCE</t>
  </si>
  <si>
    <t xml:space="preserve">        TAX</t>
  </si>
  <si>
    <t xml:space="preserve">            Real Estate Tax</t>
  </si>
  <si>
    <t xml:space="preserve">        Total TAX</t>
  </si>
  <si>
    <t xml:space="preserve">        DEBT SERVICE</t>
  </si>
  <si>
    <t xml:space="preserve">            Mortgage-Interest</t>
  </si>
  <si>
    <t xml:space="preserve">        Total DEBT SERVICE</t>
  </si>
  <si>
    <t xml:space="preserve">        Prior Period Adjustment</t>
  </si>
  <si>
    <t xml:space="preserve">    Total Operating Expense</t>
  </si>
  <si>
    <t xml:space="preserve">    NOI - Net Operating Income</t>
  </si>
  <si>
    <t xml:space="preserve">    Total Income</t>
  </si>
  <si>
    <t xml:space="preserve">    Total Expense</t>
  </si>
  <si>
    <t xml:space="preserve">    Net Income</t>
  </si>
  <si>
    <t>Analysis Scope</t>
  </si>
  <si>
    <t>2. Estimate refinance options with bank, HUD and agency</t>
  </si>
  <si>
    <t>3. Provide recommendation for refinance / sale</t>
  </si>
  <si>
    <t>Mortgage in place</t>
  </si>
  <si>
    <t>Purchase Price</t>
  </si>
  <si>
    <t>1. Create financial model including NOI pro-forma, rent sensitivities, value sensitivities, sales comps</t>
  </si>
  <si>
    <t xml:space="preserve">2. What changed between projections (See OM) and outcome. </t>
  </si>
  <si>
    <t>91.6% Occupied</t>
  </si>
  <si>
    <t>Total 214 Units</t>
  </si>
  <si>
    <t>214 Units</t>
  </si>
  <si>
    <t>Vacant-Unrented</t>
  </si>
  <si>
    <t>446</t>
  </si>
  <si>
    <t>Vacant-Rented</t>
  </si>
  <si>
    <t>429</t>
  </si>
  <si>
    <t>402</t>
  </si>
  <si>
    <t>349</t>
  </si>
  <si>
    <t>331</t>
  </si>
  <si>
    <t>324</t>
  </si>
  <si>
    <t>323</t>
  </si>
  <si>
    <t>319</t>
  </si>
  <si>
    <t>250</t>
  </si>
  <si>
    <t>243</t>
  </si>
  <si>
    <t>242</t>
  </si>
  <si>
    <t>232</t>
  </si>
  <si>
    <t>226</t>
  </si>
  <si>
    <t>138</t>
  </si>
  <si>
    <t>137</t>
  </si>
  <si>
    <t>131</t>
  </si>
  <si>
    <t>125</t>
  </si>
  <si>
    <t>108</t>
  </si>
  <si>
    <t>Current</t>
  </si>
  <si>
    <t>229</t>
  </si>
  <si>
    <t>316</t>
  </si>
  <si>
    <t>351</t>
  </si>
  <si>
    <t>447</t>
  </si>
  <si>
    <t>451</t>
  </si>
  <si>
    <t>216</t>
  </si>
  <si>
    <t>121</t>
  </si>
  <si>
    <t>135</t>
  </si>
  <si>
    <t>332</t>
  </si>
  <si>
    <t>247</t>
  </si>
  <si>
    <t>430</t>
  </si>
  <si>
    <t>414</t>
  </si>
  <si>
    <t>341</t>
  </si>
  <si>
    <t>454</t>
  </si>
  <si>
    <t>142</t>
  </si>
  <si>
    <t>202</t>
  </si>
  <si>
    <t>325</t>
  </si>
  <si>
    <t>348</t>
  </si>
  <si>
    <t>143</t>
  </si>
  <si>
    <t>303</t>
  </si>
  <si>
    <t>335</t>
  </si>
  <si>
    <t>353</t>
  </si>
  <si>
    <t>140</t>
  </si>
  <si>
    <t>210</t>
  </si>
  <si>
    <t>253</t>
  </si>
  <si>
    <t>127</t>
  </si>
  <si>
    <t>248</t>
  </si>
  <si>
    <t>126</t>
  </si>
  <si>
    <t>117</t>
  </si>
  <si>
    <t>339</t>
  </si>
  <si>
    <t>224</t>
  </si>
  <si>
    <t>206</t>
  </si>
  <si>
    <t>204</t>
  </si>
  <si>
    <t>350</t>
  </si>
  <si>
    <t>416</t>
  </si>
  <si>
    <t>134</t>
  </si>
  <si>
    <t>439</t>
  </si>
  <si>
    <t>144</t>
  </si>
  <si>
    <t>217</t>
  </si>
  <si>
    <t>221</t>
  </si>
  <si>
    <t>413</t>
  </si>
  <si>
    <t>408</t>
  </si>
  <si>
    <t>213</t>
  </si>
  <si>
    <t>440</t>
  </si>
  <si>
    <t>218</t>
  </si>
  <si>
    <t>318</t>
  </si>
  <si>
    <t>405</t>
  </si>
  <si>
    <t>330</t>
  </si>
  <si>
    <t>Notice-Unrented</t>
  </si>
  <si>
    <t>132</t>
  </si>
  <si>
    <t>233</t>
  </si>
  <si>
    <t>421</t>
  </si>
  <si>
    <t>305</t>
  </si>
  <si>
    <t>112</t>
  </si>
  <si>
    <t>123</t>
  </si>
  <si>
    <t>453</t>
  </si>
  <si>
    <t>424</t>
  </si>
  <si>
    <t>212</t>
  </si>
  <si>
    <t>329</t>
  </si>
  <si>
    <t>249</t>
  </si>
  <si>
    <t>438</t>
  </si>
  <si>
    <t>215</t>
  </si>
  <si>
    <t>432</t>
  </si>
  <si>
    <t>427</t>
  </si>
  <si>
    <t>116</t>
  </si>
  <si>
    <t>128</t>
  </si>
  <si>
    <t>235</t>
  </si>
  <si>
    <t>238</t>
  </si>
  <si>
    <t>312</t>
  </si>
  <si>
    <t>403</t>
  </si>
  <si>
    <t>106</t>
  </si>
  <si>
    <t>146</t>
  </si>
  <si>
    <t>239</t>
  </si>
  <si>
    <t>110</t>
  </si>
  <si>
    <t>309</t>
  </si>
  <si>
    <t>352</t>
  </si>
  <si>
    <t>139</t>
  </si>
  <si>
    <t>423</t>
  </si>
  <si>
    <t>434</t>
  </si>
  <si>
    <t>308</t>
  </si>
  <si>
    <t>231</t>
  </si>
  <si>
    <t>444</t>
  </si>
  <si>
    <t>313</t>
  </si>
  <si>
    <t>442</t>
  </si>
  <si>
    <t>149</t>
  </si>
  <si>
    <t>428</t>
  </si>
  <si>
    <t>411</t>
  </si>
  <si>
    <t>225</t>
  </si>
  <si>
    <t>401</t>
  </si>
  <si>
    <t>141</t>
  </si>
  <si>
    <t>406</t>
  </si>
  <si>
    <t>214</t>
  </si>
  <si>
    <t>420</t>
  </si>
  <si>
    <t>101</t>
  </si>
  <si>
    <t>151</t>
  </si>
  <si>
    <t>228</t>
  </si>
  <si>
    <t>222</t>
  </si>
  <si>
    <t>105</t>
  </si>
  <si>
    <t>236</t>
  </si>
  <si>
    <t>148</t>
  </si>
  <si>
    <t>431</t>
  </si>
  <si>
    <t>315</t>
  </si>
  <si>
    <t>437</t>
  </si>
  <si>
    <t>310</t>
  </si>
  <si>
    <t>227</t>
  </si>
  <si>
    <t>311</t>
  </si>
  <si>
    <t>340</t>
  </si>
  <si>
    <t>119</t>
  </si>
  <si>
    <t>302</t>
  </si>
  <si>
    <t>314</t>
  </si>
  <si>
    <t>328</t>
  </si>
  <si>
    <t>449</t>
  </si>
  <si>
    <t>419</t>
  </si>
  <si>
    <t>252</t>
  </si>
  <si>
    <t>251</t>
  </si>
  <si>
    <t>337</t>
  </si>
  <si>
    <t>113</t>
  </si>
  <si>
    <t>136</t>
  </si>
  <si>
    <t>407</t>
  </si>
  <si>
    <t>240</t>
  </si>
  <si>
    <t>209</t>
  </si>
  <si>
    <t>441</t>
  </si>
  <si>
    <t>152</t>
  </si>
  <si>
    <t>304</t>
  </si>
  <si>
    <t>433</t>
  </si>
  <si>
    <t>124</t>
  </si>
  <si>
    <t>320</t>
  </si>
  <si>
    <t>333</t>
  </si>
  <si>
    <t>301</t>
  </si>
  <si>
    <t>129</t>
  </si>
  <si>
    <t>345</t>
  </si>
  <si>
    <t>254</t>
  </si>
  <si>
    <t>322</t>
  </si>
  <si>
    <t>114</t>
  </si>
  <si>
    <t>412</t>
  </si>
  <si>
    <t>306</t>
  </si>
  <si>
    <t>409</t>
  </si>
  <si>
    <t>211</t>
  </si>
  <si>
    <t>418</t>
  </si>
  <si>
    <t>234</t>
  </si>
  <si>
    <t>448</t>
  </si>
  <si>
    <t>104</t>
  </si>
  <si>
    <t>435</t>
  </si>
  <si>
    <t>107</t>
  </si>
  <si>
    <t>207</t>
  </si>
  <si>
    <t>109</t>
  </si>
  <si>
    <t>120</t>
  </si>
  <si>
    <t>334</t>
  </si>
  <si>
    <t>336</t>
  </si>
  <si>
    <t>344</t>
  </si>
  <si>
    <t>321</t>
  </si>
  <si>
    <t>445</t>
  </si>
  <si>
    <t>241</t>
  </si>
  <si>
    <t>237</t>
  </si>
  <si>
    <t>443</t>
  </si>
  <si>
    <t>111</t>
  </si>
  <si>
    <t>205</t>
  </si>
  <si>
    <t>245</t>
  </si>
  <si>
    <t>153</t>
  </si>
  <si>
    <t>122</t>
  </si>
  <si>
    <t>220</t>
  </si>
  <si>
    <t>410</t>
  </si>
  <si>
    <t>347</t>
  </si>
  <si>
    <t>133</t>
  </si>
  <si>
    <t>436</t>
  </si>
  <si>
    <t>327</t>
  </si>
  <si>
    <t>244</t>
  </si>
  <si>
    <t>422</t>
  </si>
  <si>
    <t>452</t>
  </si>
  <si>
    <t>307</t>
  </si>
  <si>
    <t>326</t>
  </si>
  <si>
    <t>404</t>
  </si>
  <si>
    <t>118</t>
  </si>
  <si>
    <t>343</t>
  </si>
  <si>
    <t>342</t>
  </si>
  <si>
    <t>425</t>
  </si>
  <si>
    <t>203</t>
  </si>
  <si>
    <t>145</t>
  </si>
  <si>
    <t>450</t>
  </si>
  <si>
    <t>246</t>
  </si>
  <si>
    <t>426</t>
  </si>
  <si>
    <t>115</t>
  </si>
  <si>
    <t>219</t>
  </si>
  <si>
    <t>230</t>
  </si>
  <si>
    <t>103</t>
  </si>
  <si>
    <t>415</t>
  </si>
  <si>
    <t>150</t>
  </si>
  <si>
    <t>346</t>
  </si>
  <si>
    <t>208</t>
  </si>
  <si>
    <t>201</t>
  </si>
  <si>
    <t>417</t>
  </si>
  <si>
    <t>354</t>
  </si>
  <si>
    <t>317</t>
  </si>
  <si>
    <t>130</t>
  </si>
  <si>
    <t>102</t>
  </si>
  <si>
    <t>223</t>
  </si>
  <si>
    <t>338</t>
  </si>
  <si>
    <t/>
  </si>
  <si>
    <t>Past Due</t>
  </si>
  <si>
    <t>Move-in</t>
  </si>
  <si>
    <t>Lease To</t>
  </si>
  <si>
    <t>Lease From</t>
  </si>
  <si>
    <t>Rent</t>
  </si>
  <si>
    <t>Market Rent</t>
  </si>
  <si>
    <t>Status</t>
  </si>
  <si>
    <t>Tenant</t>
  </si>
  <si>
    <t>Unit</t>
  </si>
  <si>
    <t>Unit Rent Schedule</t>
  </si>
  <si>
    <t>Year</t>
  </si>
  <si>
    <t>Resi Gross Potential Rent</t>
  </si>
  <si>
    <t>Vacancy</t>
  </si>
  <si>
    <t>Bad Debt</t>
  </si>
  <si>
    <t>Net Rental Income</t>
  </si>
  <si>
    <t>Other Income</t>
  </si>
  <si>
    <t>Net Revenue</t>
  </si>
  <si>
    <t>Rental Growth</t>
  </si>
  <si>
    <t>Expense Growth</t>
  </si>
  <si>
    <t>Bad Debt</t>
  </si>
  <si>
    <t>Application Fee</t>
  </si>
  <si>
    <t>Late Fee</t>
  </si>
  <si>
    <t>Unit Mix</t>
  </si>
  <si>
    <t>Unit Type</t>
  </si>
  <si>
    <t># of Units</t>
  </si>
  <si>
    <t>Annual Rent</t>
  </si>
  <si>
    <t>SF</t>
  </si>
  <si>
    <t>1BD</t>
  </si>
  <si>
    <t>1 BD + Den</t>
  </si>
  <si>
    <t>2 BD</t>
  </si>
  <si>
    <t>2BD + 2 BA</t>
  </si>
  <si>
    <t>Total</t>
  </si>
  <si>
    <t>Monthly Avg Rent</t>
  </si>
  <si>
    <t>Other Income Growth</t>
  </si>
  <si>
    <t>Property Address</t>
  </si>
  <si>
    <t>City</t>
  </si>
  <si>
    <t>State</t>
  </si>
  <si>
    <t>Zip Code</t>
  </si>
  <si>
    <t>Property Details</t>
  </si>
  <si>
    <t>Gross SF</t>
  </si>
  <si>
    <t>NSF</t>
  </si>
  <si>
    <t># of Parking Spaces Covered</t>
  </si>
  <si>
    <t># of Parking Spaces uncovered</t>
  </si>
  <si>
    <t xml:space="preserve">Year Built </t>
  </si>
  <si>
    <t>Acquisition Info</t>
  </si>
  <si>
    <t>T-12 NOI</t>
  </si>
  <si>
    <t>Going In Cap Rate</t>
  </si>
  <si>
    <t>Price/GSF</t>
  </si>
  <si>
    <t>Price/Unit</t>
  </si>
  <si>
    <t>Price/NSF</t>
  </si>
  <si>
    <t>Existing Loan Info</t>
  </si>
  <si>
    <t>Existing Mortgage</t>
  </si>
  <si>
    <t>Floating/Fixed</t>
  </si>
  <si>
    <t>Fixed</t>
  </si>
  <si>
    <t>Rate</t>
  </si>
  <si>
    <t>Amenity Fees</t>
  </si>
  <si>
    <t>Annual Income</t>
  </si>
  <si>
    <t>Item</t>
  </si>
  <si>
    <t>$/Unit</t>
  </si>
  <si>
    <t>$/Unit/MTH</t>
  </si>
  <si>
    <t>Monthly Income</t>
  </si>
  <si>
    <t>Pet Fees &amp; Rent</t>
  </si>
  <si>
    <t>Parking</t>
  </si>
  <si>
    <t>Transfer Fee</t>
  </si>
  <si>
    <t>Lockout Fee</t>
  </si>
  <si>
    <t>Termination Fees</t>
  </si>
  <si>
    <t>Move-Out Charges</t>
  </si>
  <si>
    <t>Resident Insurance &amp; Fees</t>
  </si>
  <si>
    <t>Annual Expenses T-12</t>
  </si>
  <si>
    <t>Taxes</t>
  </si>
  <si>
    <t>Insurance</t>
  </si>
  <si>
    <t>Payroll</t>
  </si>
  <si>
    <t>Repairs &amp; Maintenance</t>
  </si>
  <si>
    <t>Contract Services</t>
  </si>
  <si>
    <t>Marketing</t>
  </si>
  <si>
    <t>General &amp; Administrative</t>
  </si>
  <si>
    <t>Utilities</t>
  </si>
  <si>
    <t>Management</t>
  </si>
  <si>
    <t>Annual Expense</t>
  </si>
  <si>
    <t>Reserves</t>
  </si>
  <si>
    <t>Pro Forma Annual Expenses</t>
  </si>
  <si>
    <t>Expenses</t>
  </si>
  <si>
    <t>Total Expenses</t>
  </si>
  <si>
    <t>Net Operating Income</t>
  </si>
  <si>
    <t>Principal Payment</t>
  </si>
  <si>
    <t>Exp Ratio</t>
  </si>
  <si>
    <t>NOI/Unit</t>
  </si>
  <si>
    <t>Interest Payments</t>
  </si>
  <si>
    <t>Cash Flow After Debt Service</t>
  </si>
  <si>
    <t>Acquisition Price</t>
  </si>
  <si>
    <t>Closing Cost</t>
  </si>
  <si>
    <t>Sale Proceeds</t>
  </si>
  <si>
    <t>Cost Of Sale</t>
  </si>
  <si>
    <t>Unlevered Cash Flows</t>
  </si>
  <si>
    <t>Loan Proceeds</t>
  </si>
  <si>
    <t>Loan Origination Fee</t>
  </si>
  <si>
    <t>Loan Payoff</t>
  </si>
  <si>
    <t>Total Levered Cash Flows</t>
  </si>
  <si>
    <t>Lender</t>
  </si>
  <si>
    <t>NYCB</t>
  </si>
  <si>
    <t>Amortization</t>
  </si>
  <si>
    <t>Term</t>
  </si>
  <si>
    <t>5+5</t>
  </si>
  <si>
    <t>Sources and Uses</t>
  </si>
  <si>
    <t>Sources</t>
  </si>
  <si>
    <t>Equity</t>
  </si>
  <si>
    <t>Debt</t>
  </si>
  <si>
    <t>Uses</t>
  </si>
  <si>
    <t>% of Total</t>
  </si>
  <si>
    <t>Exit Cap Rate</t>
  </si>
  <si>
    <t>Cost of Sale</t>
  </si>
  <si>
    <t>Month Ending</t>
  </si>
  <si>
    <t>Month</t>
  </si>
  <si>
    <t>Acquisition Date</t>
  </si>
  <si>
    <t xml:space="preserve"> Gross Potential Rent</t>
  </si>
  <si>
    <t>Five-Year Operating Forecast</t>
  </si>
  <si>
    <t>I/O Period (MTHs)</t>
  </si>
  <si>
    <t>LTV Constraint</t>
  </si>
  <si>
    <t>DSCR Constraint</t>
  </si>
  <si>
    <t>Debt Yield Constraint</t>
  </si>
  <si>
    <t>Cap Rate</t>
  </si>
  <si>
    <t>Spread</t>
  </si>
  <si>
    <t xml:space="preserve">Rate Index </t>
  </si>
  <si>
    <t>Projected Rate</t>
  </si>
  <si>
    <t>LTV Proceeds</t>
  </si>
  <si>
    <t>DSCR Proceeds</t>
  </si>
  <si>
    <t>Debt Yield Proceeds</t>
  </si>
  <si>
    <t>Loan Sizing</t>
  </si>
  <si>
    <t>Bank Refinance Loan Info</t>
  </si>
  <si>
    <t>HUD Refinance Loan Info</t>
  </si>
  <si>
    <t>Agency Refinance Loan Info</t>
  </si>
  <si>
    <t>Pro Forma</t>
  </si>
  <si>
    <t>Projected Value</t>
  </si>
  <si>
    <t>/Unit</t>
  </si>
  <si>
    <t>SOFR</t>
  </si>
  <si>
    <t>10-Year Treasury</t>
  </si>
  <si>
    <t>Unlevered IRR</t>
  </si>
  <si>
    <t>Levered IRR</t>
  </si>
  <si>
    <t>Unlevered Equity Multiple</t>
  </si>
  <si>
    <t>Levered Equity Multiple</t>
  </si>
  <si>
    <t>Exit Assumptions</t>
  </si>
  <si>
    <t>Returns</t>
  </si>
  <si>
    <t>Capital Improvements</t>
  </si>
  <si>
    <t>Cash Flow Before Debt Service</t>
  </si>
  <si>
    <t>Five-Year Operating Forecast</t>
  </si>
  <si>
    <t>Address</t>
  </si>
  <si>
    <t>Yr Built</t>
  </si>
  <si>
    <t>Excess Proceeds/Shortfall</t>
  </si>
  <si>
    <t>Name</t>
  </si>
  <si>
    <t>Monthly Rent</t>
  </si>
  <si>
    <t>Notes</t>
  </si>
  <si>
    <t>Inferior</t>
  </si>
  <si>
    <t>comparable</t>
  </si>
  <si>
    <t>Avg</t>
  </si>
  <si>
    <t>2BD</t>
  </si>
  <si>
    <t>comparable / 2BA</t>
  </si>
  <si>
    <t>older / 2BA</t>
  </si>
  <si>
    <t>Marrowfield Apartments</t>
  </si>
  <si>
    <t>Annual $/SF</t>
  </si>
  <si>
    <t>Virelthorn Owner, LLC</t>
  </si>
  <si>
    <t xml:space="preserve">            Management Expense - Virelthorn Owner</t>
  </si>
  <si>
    <t>Properties: Virelthorn Flats</t>
  </si>
  <si>
    <t>Virelthorn Flats</t>
  </si>
  <si>
    <t>Tenant 11</t>
  </si>
  <si>
    <t>Tenant 12</t>
  </si>
  <si>
    <t>Tenant 13</t>
  </si>
  <si>
    <t>Tenant 14</t>
  </si>
  <si>
    <t>Tenant 15</t>
  </si>
  <si>
    <t>Tenant 16</t>
  </si>
  <si>
    <t>Tenant 17</t>
  </si>
  <si>
    <t>Tenant 18</t>
  </si>
  <si>
    <t>Tenant 19</t>
  </si>
  <si>
    <t>Tenant 20</t>
  </si>
  <si>
    <t>Tenant 21</t>
  </si>
  <si>
    <t>Tenant 22</t>
  </si>
  <si>
    <t>Tenant 23</t>
  </si>
  <si>
    <t>Tenant 24</t>
  </si>
  <si>
    <t>Tenant 25</t>
  </si>
  <si>
    <t>Tenant 26</t>
  </si>
  <si>
    <t>Tenant 27</t>
  </si>
  <si>
    <t>Tenant 28</t>
  </si>
  <si>
    <t>Tenant 29</t>
  </si>
  <si>
    <t>Tenant 30</t>
  </si>
  <si>
    <t>Tenant 31</t>
  </si>
  <si>
    <t>Tenant 32</t>
  </si>
  <si>
    <t>Tenant 33</t>
  </si>
  <si>
    <t>Tenant 34</t>
  </si>
  <si>
    <t>Tenant 35</t>
  </si>
  <si>
    <t>Tenant 36</t>
  </si>
  <si>
    <t>Tenant 37</t>
  </si>
  <si>
    <t>Tenant 38</t>
  </si>
  <si>
    <t>Tenant 39</t>
  </si>
  <si>
    <t>Tenant 40</t>
  </si>
  <si>
    <t>Tenant 41</t>
  </si>
  <si>
    <t>Tenant 42</t>
  </si>
  <si>
    <t>Tenant 43</t>
  </si>
  <si>
    <t>Tenant 44</t>
  </si>
  <si>
    <t>Tenant 45</t>
  </si>
  <si>
    <t>Tenant 46</t>
  </si>
  <si>
    <t>Tenant 47</t>
  </si>
  <si>
    <t>Tenant 48</t>
  </si>
  <si>
    <t>Tenant 49</t>
  </si>
  <si>
    <t>Tenant 50</t>
  </si>
  <si>
    <t>Tenant 51</t>
  </si>
  <si>
    <t>Tenant 52</t>
  </si>
  <si>
    <t>Tenant 53</t>
  </si>
  <si>
    <t>Tenant 54</t>
  </si>
  <si>
    <t>Tenant 55</t>
  </si>
  <si>
    <t>Tenant 56</t>
  </si>
  <si>
    <t>Tenant 57</t>
  </si>
  <si>
    <t>Tenant 58</t>
  </si>
  <si>
    <t>Tenant 59</t>
  </si>
  <si>
    <t>Tenant 60</t>
  </si>
  <si>
    <t>Tenant 61</t>
  </si>
  <si>
    <t>Tenant 62</t>
  </si>
  <si>
    <t>Tenant 63</t>
  </si>
  <si>
    <t>Tenant 64</t>
  </si>
  <si>
    <t>Tenant 65</t>
  </si>
  <si>
    <t>Tenant 66</t>
  </si>
  <si>
    <t>Tenant 67</t>
  </si>
  <si>
    <t>Tenant 68</t>
  </si>
  <si>
    <t>Tenant 69</t>
  </si>
  <si>
    <t>Tenant 70</t>
  </si>
  <si>
    <t>Tenant 71</t>
  </si>
  <si>
    <t>Tenant 72</t>
  </si>
  <si>
    <t>Tenant 73</t>
  </si>
  <si>
    <t>Tenant 74</t>
  </si>
  <si>
    <t>Tenant 75</t>
  </si>
  <si>
    <t>Tenant 76</t>
  </si>
  <si>
    <t>Tenant 77</t>
  </si>
  <si>
    <t>Tenant 78</t>
  </si>
  <si>
    <t>Tenant 79</t>
  </si>
  <si>
    <t>Tenant 80</t>
  </si>
  <si>
    <t>Tenant 81</t>
  </si>
  <si>
    <t>Tenant 82</t>
  </si>
  <si>
    <t>Tenant 83</t>
  </si>
  <si>
    <t>Tenant 84</t>
  </si>
  <si>
    <t>Tenant 85</t>
  </si>
  <si>
    <t>Tenant 86</t>
  </si>
  <si>
    <t>Tenant 87</t>
  </si>
  <si>
    <t>Tenant 88</t>
  </si>
  <si>
    <t>Tenant 89</t>
  </si>
  <si>
    <t>Tenant 90</t>
  </si>
  <si>
    <t>Tenant 91</t>
  </si>
  <si>
    <t>Tenant 92</t>
  </si>
  <si>
    <t>Tenant 93</t>
  </si>
  <si>
    <t>Tenant 94</t>
  </si>
  <si>
    <t>Tenant 95</t>
  </si>
  <si>
    <t>Tenant 96</t>
  </si>
  <si>
    <t>Tenant 97</t>
  </si>
  <si>
    <t>Tenant 98</t>
  </si>
  <si>
    <t>Tenant 99</t>
  </si>
  <si>
    <t>Tenant 100</t>
  </si>
  <si>
    <t>Tenant 101</t>
  </si>
  <si>
    <t>Tenant 102</t>
  </si>
  <si>
    <t>Tenant 103</t>
  </si>
  <si>
    <t>Tenant 104</t>
  </si>
  <si>
    <t>Tenant 105</t>
  </si>
  <si>
    <t>Tenant 106</t>
  </si>
  <si>
    <t>Tenant 107</t>
  </si>
  <si>
    <t>Tenant 108</t>
  </si>
  <si>
    <t>Tenant 109</t>
  </si>
  <si>
    <t>Tenant 110</t>
  </si>
  <si>
    <t>Tenant 111</t>
  </si>
  <si>
    <t>Tenant 112</t>
  </si>
  <si>
    <t>Tenant 113</t>
  </si>
  <si>
    <t>Tenant 114</t>
  </si>
  <si>
    <t>Tenant 115</t>
  </si>
  <si>
    <t>Tenant 116</t>
  </si>
  <si>
    <t>Tenant 117</t>
  </si>
  <si>
    <t>Tenant 118</t>
  </si>
  <si>
    <t>Tenant 119</t>
  </si>
  <si>
    <t>Tenant 120</t>
  </si>
  <si>
    <t>Tenant 121</t>
  </si>
  <si>
    <t>Tenant 122</t>
  </si>
  <si>
    <t>Tenant 123</t>
  </si>
  <si>
    <t>Tenant 124</t>
  </si>
  <si>
    <t>Tenant 125</t>
  </si>
  <si>
    <t>Tenant 126</t>
  </si>
  <si>
    <t>Tenant 127</t>
  </si>
  <si>
    <t>Tenant 128</t>
  </si>
  <si>
    <t>Tenant 129</t>
  </si>
  <si>
    <t>Tenant 130</t>
  </si>
  <si>
    <t>Tenant 131</t>
  </si>
  <si>
    <t>Tenant 132</t>
  </si>
  <si>
    <t>Tenant 133</t>
  </si>
  <si>
    <t>Tenant 134</t>
  </si>
  <si>
    <t>Tenant 135</t>
  </si>
  <si>
    <t>Tenant 136</t>
  </si>
  <si>
    <t>Tenant 137</t>
  </si>
  <si>
    <t>Tenant 138</t>
  </si>
  <si>
    <t>Tenant 139</t>
  </si>
  <si>
    <t>Tenant 140</t>
  </si>
  <si>
    <t>Tenant 141</t>
  </si>
  <si>
    <t>Tenant 142</t>
  </si>
  <si>
    <t>Tenant 143</t>
  </si>
  <si>
    <t>Tenant 144</t>
  </si>
  <si>
    <t>Tenant 145</t>
  </si>
  <si>
    <t>Tenant 146</t>
  </si>
  <si>
    <t>Tenant 147</t>
  </si>
  <si>
    <t>Tenant 148</t>
  </si>
  <si>
    <t>Tenant 149</t>
  </si>
  <si>
    <t>Tenant 150</t>
  </si>
  <si>
    <t>Tenant 151</t>
  </si>
  <si>
    <t>Tenant 152</t>
  </si>
  <si>
    <t>Tenant 153</t>
  </si>
  <si>
    <t>Tenant 154</t>
  </si>
  <si>
    <t>Tenant 155</t>
  </si>
  <si>
    <t>Tenant 156</t>
  </si>
  <si>
    <t>Tenant 157</t>
  </si>
  <si>
    <t>Tenant 158</t>
  </si>
  <si>
    <t>Tenant 159</t>
  </si>
  <si>
    <t>Tenant 160</t>
  </si>
  <si>
    <t>Tenant 161</t>
  </si>
  <si>
    <t>Tenant 162</t>
  </si>
  <si>
    <t>Tenant 163</t>
  </si>
  <si>
    <t>Tenant 164</t>
  </si>
  <si>
    <t>Tenant 165</t>
  </si>
  <si>
    <t>Tenant 166</t>
  </si>
  <si>
    <t>Tenant 167</t>
  </si>
  <si>
    <t>Tenant 168</t>
  </si>
  <si>
    <t>Tenant 169</t>
  </si>
  <si>
    <t>Tenant 170</t>
  </si>
  <si>
    <t>Tenant 171</t>
  </si>
  <si>
    <t>Tenant 172</t>
  </si>
  <si>
    <t>Tenant 173</t>
  </si>
  <si>
    <t>Tenant 174</t>
  </si>
  <si>
    <t>Tenant 175</t>
  </si>
  <si>
    <t>Tenant 176</t>
  </si>
  <si>
    <t>Tenant 177</t>
  </si>
  <si>
    <t>Tenant 178</t>
  </si>
  <si>
    <t>Tenant 179</t>
  </si>
  <si>
    <t>Tenant 180</t>
  </si>
  <si>
    <t>Tenant 181</t>
  </si>
  <si>
    <t>Tenant 182</t>
  </si>
  <si>
    <t>Tenant 183</t>
  </si>
  <si>
    <t>Tenant 184</t>
  </si>
  <si>
    <t>Tenant 185</t>
  </si>
  <si>
    <t>Tenant 186</t>
  </si>
  <si>
    <t>Tenant 187</t>
  </si>
  <si>
    <t>Tenant 188</t>
  </si>
  <si>
    <t>Tenant 189</t>
  </si>
  <si>
    <t>Tenant 190</t>
  </si>
  <si>
    <t>Tenant 191</t>
  </si>
  <si>
    <t>Tenant 192</t>
  </si>
  <si>
    <t>Tenant 193</t>
  </si>
  <si>
    <t>Tenant 194</t>
  </si>
  <si>
    <t>Tenant 195</t>
  </si>
  <si>
    <t>Tenant 196</t>
  </si>
  <si>
    <t>Tenant 197</t>
  </si>
  <si>
    <t>Tenant 198</t>
  </si>
  <si>
    <t>Tenant 199</t>
  </si>
  <si>
    <t>Tenant 200</t>
  </si>
  <si>
    <t>Tenant 201</t>
  </si>
  <si>
    <t>Tenant 202</t>
  </si>
  <si>
    <t>Tenant 203</t>
  </si>
  <si>
    <t>Tenant 204</t>
  </si>
  <si>
    <t>Tenant 205</t>
  </si>
  <si>
    <t>Tenant 206</t>
  </si>
  <si>
    <t>1840 Kestrel Row</t>
  </si>
  <si>
    <t>Lindenfen</t>
  </si>
  <si>
    <t>NC</t>
  </si>
  <si>
    <t>Thornwick Court</t>
  </si>
  <si>
    <t>1725 Marrow Lane</t>
  </si>
  <si>
    <t>Report Run: 03/05/2025 12:09 PM</t>
  </si>
  <si>
    <t>Properties: Active</t>
  </si>
  <si>
    <t>Date Range: 01/01/2024 to 12/31/2024</t>
  </si>
  <si>
    <t>Accounting Basis: Accrual</t>
  </si>
  <si>
    <t>Account Map: Standard chart of accounts</t>
  </si>
  <si>
    <t>Level of Detail: Detail View</t>
  </si>
  <si>
    <t>Include Zero-Balance Accounts: No</t>
  </si>
  <si>
    <t>Report Run: 03/05/2025 12:10 PM</t>
  </si>
  <si>
    <t>Units: Active</t>
  </si>
  <si>
    <t>As of: 03/01/2025</t>
  </si>
  <si>
    <t>Include Non-Revenue Units: No</t>
  </si>
  <si>
    <t>Emberlyn Place</t>
  </si>
  <si>
    <t>Quellmoor Flats</t>
  </si>
  <si>
    <t>Draywick Commons</t>
  </si>
  <si>
    <t>Hollowmere Residences</t>
  </si>
  <si>
    <t>Selby Hollow Apartments</t>
  </si>
  <si>
    <t>Corvane Terrace</t>
  </si>
  <si>
    <t>2043 Aldergate Way</t>
  </si>
  <si>
    <t>968 Foxglen Street</t>
  </si>
  <si>
    <t>3310 Wrenfield Road</t>
  </si>
  <si>
    <t>1884 Marloway Drive</t>
  </si>
  <si>
    <t>742 Pemberton Lane</t>
  </si>
  <si>
    <t>2256 Cindermoor Avenue</t>
  </si>
  <si>
    <t>615 Halloway Court</t>
  </si>
  <si>
    <t>Capital Improvements (% of NOI)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</si>
</sst>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7" formatCode="&quot;$&quot;#,##0.00_);\(&quot;$&quot;#,##0.00\)"/>
    <numFmt numFmtId="44" formatCode="_(&quot;$&quot;* #,##0.00_);_(&quot;$&quot;* \(#,##0.00\);_(&quot;$&quot;* &quot;-&quot;??_);_(@_)"/>
    <numFmt numFmtId="164" formatCode="mm/dd/yyyy"/>
    <numFmt numFmtId="165" formatCode="0\ &quot;SF&quot;"/>
    <numFmt numFmtId="166" formatCode="&quot;Acquisition&quot;"/>
    <numFmt numFmtId="167" formatCode="0\ &quot;Years&quot;"/>
    <numFmt numFmtId="168" formatCode="m/d/yy;@"/>
    <numFmt numFmtId="169" formatCode="&quot;Month&quot;\ 0"/>
    <numFmt numFmtId="170" formatCode="0\ &quot;Months&quot;"/>
    <numFmt numFmtId="171" formatCode="&quot;Year&quot;\ 0"/>
    <numFmt numFmtId="172" formatCode="[$-409]mmm\-yy;@"/>
    <numFmt numFmtId="173" formatCode="0.000%;\(0.000%\)"/>
    <numFmt numFmtId="174" formatCode="0.00%;\(0.00%\)"/>
    <numFmt numFmtId="175" formatCode="#,##0.00;\(#,##0.00\)"/>
    <numFmt numFmtId="176" formatCode="0%;\(0%\)"/>
    <numFmt numFmtId="177" formatCode="0;\(0\)"/>
    <numFmt numFmtId="178" formatCode="#,##0;\(#,##0\)"/>
    <numFmt numFmtId="179" formatCode="0.0%;\(0.0%\)"/>
    <numFmt numFmtId="180" formatCode="0.00;\(0.00\)"/>
    <numFmt numFmtId="181" formatCode="&quot;$&quot;#,##0;\(&quot;$&quot;#,##0\)"/>
  </numFmts>
  <fonts count="32" x14ac:knownFonts="1">
    <font>
      <sz val="11"/>
      <name val="Calibri"/>
      <family val="1"/>
    </font>
    <font>
      <sz val="11"/>
      <name val="Calibri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808080"/>
      <name val="Calibri"/>
      <family val="2"/>
    </font>
    <font>
      <sz val="11"/>
      <color rgb="FF808080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b/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11"/>
      <color rgb="FF008000"/>
      <name val="Calibri"/>
      <family val="2"/>
    </font>
    <font>
      <i/>
      <sz val="11"/>
      <color rgb="FF0000FF"/>
      <name val="Calibri"/>
      <family val="2"/>
    </font>
    <font>
      <b/>
      <i/>
      <sz val="11"/>
      <color rgb="FF0000FF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b/>
      <i/>
      <sz val="11"/>
      <color rgb="FF008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i/>
      <sz val="9"/>
      <color rgb="FF000000"/>
      <name val="Calibri"/>
      <family val="2"/>
    </font>
    <font>
      <b/>
      <i/>
      <sz val="11"/>
      <color rgb="FF0000FF"/>
      <name val="Calibri"/>
      <family val="2"/>
    </font>
    <font>
      <i/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i/>
      <sz val="11"/>
      <color rgb="FF0000FF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D3D3D3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D3D3D3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6">
    <xf numFmtId="0" fontId="0" fillId="0" borderId="0" xfId="0"/>
    <xf numFmtId="179" fontId="14" fillId="0" borderId="0" xfId="1" applyNumberFormat="1" applyFont="1" applyFill="1" applyBorder="1" applyAlignment="1">
      <alignment horizontal="center"/>
    </xf>
    <xf numFmtId="0" fontId="6" fillId="0" borderId="3" xfId="0" applyFont="1" applyBorder="1"/>
    <xf numFmtId="0" fontId="2" fillId="0" borderId="0" xfId="0" applyFont="1"/>
    <xf numFmtId="0" fontId="17" fillId="0" borderId="1" xfId="0" applyFont="1" applyBorder="1" applyAlignment="1">
      <alignment horizontal="left"/>
    </xf>
    <xf numFmtId="0" fontId="6" fillId="0" borderId="19" xfId="0" applyFont="1" applyBorder="1"/>
    <xf numFmtId="0" fontId="17" fillId="0" borderId="0" xfId="0" applyFont="1"/>
    <xf numFmtId="175" fontId="6" fillId="0" borderId="21" xfId="0" applyNumberFormat="1" applyFont="1" applyBorder="1"/>
    <xf numFmtId="0" fontId="6" fillId="0" borderId="21" xfId="0" applyFont="1" applyBorder="1"/>
    <xf numFmtId="175" fontId="6" fillId="0" borderId="9" xfId="0" applyNumberFormat="1" applyFont="1" applyBorder="1"/>
    <xf numFmtId="0" fontId="6" fillId="0" borderId="9" xfId="0" applyFont="1" applyBorder="1"/>
    <xf numFmtId="7" fontId="6" fillId="0" borderId="9" xfId="0" applyNumberFormat="1" applyFont="1" applyBorder="1"/>
    <xf numFmtId="175" fontId="19" fillId="0" borderId="17" xfId="0" applyNumberFormat="1" applyFont="1" applyBorder="1"/>
    <xf numFmtId="175" fontId="20" fillId="0" borderId="17" xfId="0" applyNumberFormat="1" applyFont="1" applyBorder="1"/>
    <xf numFmtId="0" fontId="3" fillId="0" borderId="17" xfId="0" applyFont="1" applyBorder="1"/>
    <xf numFmtId="0" fontId="20" fillId="0" borderId="17" xfId="0" applyFont="1" applyBorder="1"/>
    <xf numFmtId="7" fontId="20" fillId="0" borderId="17" xfId="0" applyNumberFormat="1" applyFont="1" applyBorder="1"/>
    <xf numFmtId="175" fontId="21" fillId="0" borderId="0" xfId="0" applyNumberFormat="1" applyFont="1"/>
    <xf numFmtId="7" fontId="2" fillId="0" borderId="0" xfId="0" applyNumberFormat="1" applyFont="1"/>
    <xf numFmtId="175" fontId="6" fillId="0" borderId="3" xfId="0" applyNumberFormat="1" applyFont="1" applyBorder="1"/>
    <xf numFmtId="175" fontId="19" fillId="0" borderId="21" xfId="0" applyNumberFormat="1" applyFont="1" applyBorder="1"/>
    <xf numFmtId="44" fontId="2" fillId="0" borderId="0" xfId="2" applyFont="1" applyFill="1"/>
    <xf numFmtId="44" fontId="2" fillId="0" borderId="0" xfId="0" applyNumberFormat="1" applyFont="1"/>
    <xf numFmtId="175" fontId="19" fillId="0" borderId="22" xfId="0" applyNumberFormat="1" applyFont="1" applyBorder="1"/>
    <xf numFmtId="179" fontId="6" fillId="0" borderId="22" xfId="1" applyNumberFormat="1" applyFont="1" applyFill="1" applyBorder="1"/>
    <xf numFmtId="0" fontId="6" fillId="0" borderId="22" xfId="0" applyFont="1" applyBorder="1"/>
    <xf numFmtId="176" fontId="6" fillId="0" borderId="21" xfId="1" applyNumberFormat="1" applyFont="1" applyFill="1" applyBorder="1"/>
    <xf numFmtId="44" fontId="6" fillId="0" borderId="21" xfId="2" applyFont="1" applyFill="1" applyBorder="1"/>
    <xf numFmtId="44" fontId="6" fillId="0" borderId="21" xfId="0" applyNumberFormat="1" applyFont="1" applyBorder="1"/>
    <xf numFmtId="37" fontId="6" fillId="0" borderId="21" xfId="0" applyNumberFormat="1" applyFont="1" applyBorder="1"/>
    <xf numFmtId="173" fontId="2" fillId="0" borderId="0" xfId="0" applyNumberFormat="1" applyFont="1"/>
    <xf numFmtId="7" fontId="6" fillId="0" borderId="21" xfId="0" applyNumberFormat="1" applyFont="1" applyBorder="1"/>
    <xf numFmtId="0" fontId="5" fillId="0" borderId="0" xfId="0" applyFont="1"/>
    <xf numFmtId="175" fontId="5" fillId="0" borderId="0" xfId="0" applyNumberFormat="1" applyFont="1"/>
    <xf numFmtId="175" fontId="19" fillId="0" borderId="9" xfId="0" applyNumberFormat="1" applyFont="1" applyBorder="1"/>
    <xf numFmtId="37" fontId="6" fillId="0" borderId="9" xfId="0" applyNumberFormat="1" applyFont="1" applyBorder="1"/>
    <xf numFmtId="174" fontId="2" fillId="0" borderId="0" xfId="0" applyNumberFormat="1" applyFont="1"/>
    <xf numFmtId="174" fontId="3" fillId="0" borderId="17" xfId="0" applyNumberFormat="1" applyFont="1" applyBorder="1"/>
    <xf numFmtId="7" fontId="3" fillId="0" borderId="17" xfId="0" applyNumberFormat="1" applyFont="1" applyBorder="1"/>
    <xf numFmtId="174" fontId="6" fillId="0" borderId="21" xfId="0" applyNumberFormat="1" applyFont="1" applyBorder="1"/>
    <xf numFmtId="164" fontId="17" fillId="0" borderId="0" xfId="0" applyNumberFormat="1" applyFont="1"/>
    <xf numFmtId="164" fontId="5" fillId="0" borderId="0" xfId="0" applyNumberFormat="1" applyFont="1"/>
    <xf numFmtId="0" fontId="4" fillId="0" borderId="17" xfId="0" applyFont="1" applyBorder="1"/>
    <xf numFmtId="164" fontId="4" fillId="0" borderId="17" xfId="0" applyNumberFormat="1" applyFont="1" applyBorder="1"/>
    <xf numFmtId="44" fontId="17" fillId="0" borderId="0" xfId="2" applyFont="1" applyFill="1"/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2" fillId="0" borderId="13" xfId="0" applyFont="1" applyBorder="1"/>
    <xf numFmtId="0" fontId="17" fillId="0" borderId="1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37" fontId="21" fillId="0" borderId="17" xfId="0" applyNumberFormat="1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0" xfId="0" applyFont="1" applyAlignment="1">
      <alignment horizontal="center" vertical="top"/>
    </xf>
    <xf numFmtId="0" fontId="21" fillId="0" borderId="0" xfId="0" applyFont="1" applyAlignment="1">
      <alignment horizontal="center"/>
    </xf>
    <xf numFmtId="181" fontId="17" fillId="0" borderId="0" xfId="0" applyNumberFormat="1" applyFont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3" xfId="0" applyFont="1" applyBorder="1" applyAlignment="1">
      <alignment horizontal="center" vertical="top"/>
    </xf>
    <xf numFmtId="0" fontId="21" fillId="0" borderId="3" xfId="0" applyFont="1" applyBorder="1" applyAlignment="1">
      <alignment horizontal="center"/>
    </xf>
    <xf numFmtId="181" fontId="17" fillId="0" borderId="3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12" xfId="0" applyFont="1" applyBorder="1"/>
    <xf numFmtId="0" fontId="2" fillId="0" borderId="17" xfId="0" applyFont="1" applyBorder="1"/>
    <xf numFmtId="0" fontId="17" fillId="0" borderId="5" xfId="0" applyFont="1" applyBorder="1" applyAlignment="1">
      <alignment horizontal="center"/>
    </xf>
    <xf numFmtId="0" fontId="17" fillId="0" borderId="13" xfId="0" applyFont="1" applyBorder="1"/>
    <xf numFmtId="0" fontId="21" fillId="0" borderId="14" xfId="0" applyFont="1" applyBorder="1" applyAlignment="1">
      <alignment horizontal="center"/>
    </xf>
    <xf numFmtId="0" fontId="3" fillId="0" borderId="18" xfId="0" applyFont="1" applyBorder="1"/>
    <xf numFmtId="0" fontId="20" fillId="0" borderId="24" xfId="0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7" fillId="0" borderId="12" xfId="0" applyFont="1" applyBorder="1"/>
    <xf numFmtId="0" fontId="10" fillId="0" borderId="5" xfId="0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37" fontId="10" fillId="0" borderId="14" xfId="0" applyNumberFormat="1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7" fillId="0" borderId="15" xfId="0" applyFont="1" applyBorder="1"/>
    <xf numFmtId="0" fontId="2" fillId="0" borderId="3" xfId="0" applyFont="1" applyBorder="1"/>
    <xf numFmtId="0" fontId="21" fillId="0" borderId="6" xfId="0" applyFont="1" applyBorder="1" applyAlignment="1">
      <alignment horizontal="center"/>
    </xf>
    <xf numFmtId="37" fontId="21" fillId="0" borderId="14" xfId="0" applyNumberFormat="1" applyFont="1" applyBorder="1" applyAlignment="1">
      <alignment horizontal="center"/>
    </xf>
    <xf numFmtId="164" fontId="17" fillId="0" borderId="14" xfId="0" applyNumberFormat="1" applyFont="1" applyBorder="1" applyAlignment="1">
      <alignment horizontal="center"/>
    </xf>
    <xf numFmtId="37" fontId="11" fillId="0" borderId="5" xfId="0" applyNumberFormat="1" applyFont="1" applyBorder="1" applyAlignment="1">
      <alignment horizontal="center"/>
    </xf>
    <xf numFmtId="179" fontId="20" fillId="0" borderId="24" xfId="1" applyNumberFormat="1" applyFont="1" applyFill="1" applyBorder="1" applyAlignment="1">
      <alignment horizontal="center"/>
    </xf>
    <xf numFmtId="37" fontId="17" fillId="0" borderId="14" xfId="0" applyNumberFormat="1" applyFont="1" applyBorder="1" applyAlignment="1">
      <alignment horizontal="center"/>
    </xf>
    <xf numFmtId="37" fontId="20" fillId="0" borderId="24" xfId="0" applyNumberFormat="1" applyFont="1" applyBorder="1" applyAlignment="1">
      <alignment horizontal="center"/>
    </xf>
    <xf numFmtId="179" fontId="19" fillId="0" borderId="24" xfId="1" applyNumberFormat="1" applyFont="1" applyFill="1" applyBorder="1" applyAlignment="1">
      <alignment horizontal="center"/>
    </xf>
    <xf numFmtId="179" fontId="6" fillId="0" borderId="22" xfId="1" applyNumberFormat="1" applyFont="1" applyFill="1" applyBorder="1" applyAlignment="1">
      <alignment horizontal="center"/>
    </xf>
    <xf numFmtId="0" fontId="17" fillId="0" borderId="12" xfId="0" applyFont="1" applyBorder="1" applyAlignment="1">
      <alignment horizontal="left"/>
    </xf>
    <xf numFmtId="169" fontId="21" fillId="0" borderId="14" xfId="0" applyNumberFormat="1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179" fontId="21" fillId="0" borderId="14" xfId="1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37" fontId="8" fillId="0" borderId="17" xfId="2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17" fillId="0" borderId="2" xfId="0" applyFont="1" applyBorder="1" applyAlignment="1">
      <alignment horizontal="right"/>
    </xf>
    <xf numFmtId="0" fontId="21" fillId="0" borderId="4" xfId="0" applyFont="1" applyBorder="1" applyAlignment="1">
      <alignment horizontal="center"/>
    </xf>
    <xf numFmtId="165" fontId="21" fillId="0" borderId="4" xfId="0" applyNumberFormat="1" applyFont="1" applyBorder="1" applyAlignment="1">
      <alignment horizontal="center"/>
    </xf>
    <xf numFmtId="37" fontId="21" fillId="0" borderId="4" xfId="0" applyNumberFormat="1" applyFont="1" applyBorder="1" applyAlignment="1">
      <alignment horizontal="center"/>
    </xf>
    <xf numFmtId="37" fontId="17" fillId="0" borderId="4" xfId="0" applyNumberFormat="1" applyFont="1" applyBorder="1" applyAlignment="1">
      <alignment horizontal="center"/>
    </xf>
    <xf numFmtId="0" fontId="17" fillId="0" borderId="16" xfId="0" applyFont="1" applyBorder="1" applyAlignment="1">
      <alignment horizontal="right"/>
    </xf>
    <xf numFmtId="165" fontId="21" fillId="0" borderId="0" xfId="0" applyNumberFormat="1" applyFont="1" applyAlignment="1">
      <alignment horizontal="center"/>
    </xf>
    <xf numFmtId="37" fontId="21" fillId="0" borderId="0" xfId="0" applyNumberFormat="1" applyFont="1" applyAlignment="1">
      <alignment horizontal="center"/>
    </xf>
    <xf numFmtId="37" fontId="17" fillId="0" borderId="0" xfId="0" applyNumberFormat="1" applyFont="1" applyAlignment="1">
      <alignment horizontal="center"/>
    </xf>
    <xf numFmtId="177" fontId="17" fillId="0" borderId="14" xfId="0" applyNumberFormat="1" applyFont="1" applyBorder="1" applyAlignment="1">
      <alignment horizontal="center"/>
    </xf>
    <xf numFmtId="0" fontId="17" fillId="0" borderId="7" xfId="0" applyFont="1" applyBorder="1" applyAlignment="1">
      <alignment horizontal="right"/>
    </xf>
    <xf numFmtId="0" fontId="17" fillId="0" borderId="11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165" fontId="20" fillId="0" borderId="9" xfId="0" applyNumberFormat="1" applyFont="1" applyBorder="1" applyAlignment="1">
      <alignment horizontal="center"/>
    </xf>
    <xf numFmtId="37" fontId="20" fillId="0" borderId="9" xfId="0" applyNumberFormat="1" applyFont="1" applyBorder="1" applyAlignment="1">
      <alignment horizontal="center"/>
    </xf>
    <xf numFmtId="37" fontId="2" fillId="0" borderId="0" xfId="0" applyNumberFormat="1" applyFont="1" applyAlignment="1">
      <alignment horizontal="center"/>
    </xf>
    <xf numFmtId="170" fontId="21" fillId="0" borderId="14" xfId="1" applyNumberFormat="1" applyFont="1" applyFill="1" applyBorder="1" applyAlignment="1">
      <alignment horizontal="center"/>
    </xf>
    <xf numFmtId="167" fontId="21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7" fillId="0" borderId="11" xfId="0" applyFont="1" applyBorder="1"/>
    <xf numFmtId="0" fontId="22" fillId="0" borderId="5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6" xfId="0" applyFont="1" applyBorder="1"/>
    <xf numFmtId="37" fontId="11" fillId="0" borderId="25" xfId="0" applyNumberFormat="1" applyFont="1" applyBorder="1" applyAlignment="1">
      <alignment horizontal="center"/>
    </xf>
    <xf numFmtId="37" fontId="11" fillId="0" borderId="24" xfId="0" applyNumberFormat="1" applyFont="1" applyBorder="1" applyAlignment="1">
      <alignment horizontal="center"/>
    </xf>
    <xf numFmtId="0" fontId="20" fillId="0" borderId="29" xfId="0" applyFont="1" applyBorder="1"/>
    <xf numFmtId="37" fontId="11" fillId="0" borderId="18" xfId="0" applyNumberFormat="1" applyFont="1" applyBorder="1" applyAlignment="1">
      <alignment horizontal="center"/>
    </xf>
    <xf numFmtId="37" fontId="19" fillId="0" borderId="24" xfId="0" applyNumberFormat="1" applyFont="1" applyBorder="1" applyAlignment="1">
      <alignment horizontal="center"/>
    </xf>
    <xf numFmtId="37" fontId="11" fillId="0" borderId="12" xfId="0" applyNumberFormat="1" applyFont="1" applyBorder="1" applyAlignment="1">
      <alignment horizontal="center"/>
    </xf>
    <xf numFmtId="0" fontId="20" fillId="0" borderId="2" xfId="0" applyFont="1" applyBorder="1"/>
    <xf numFmtId="37" fontId="11" fillId="0" borderId="17" xfId="0" applyNumberFormat="1" applyFont="1" applyBorder="1" applyAlignment="1">
      <alignment horizontal="center"/>
    </xf>
    <xf numFmtId="37" fontId="19" fillId="0" borderId="5" xfId="0" applyNumberFormat="1" applyFont="1" applyBorder="1" applyAlignment="1">
      <alignment horizontal="center"/>
    </xf>
    <xf numFmtId="0" fontId="17" fillId="0" borderId="7" xfId="0" applyFont="1" applyBorder="1"/>
    <xf numFmtId="179" fontId="3" fillId="0" borderId="17" xfId="1" applyNumberFormat="1" applyFont="1" applyFill="1" applyBorder="1"/>
    <xf numFmtId="179" fontId="23" fillId="0" borderId="17" xfId="1" applyNumberFormat="1" applyFont="1" applyFill="1" applyBorder="1"/>
    <xf numFmtId="37" fontId="20" fillId="0" borderId="18" xfId="0" applyNumberFormat="1" applyFont="1" applyBorder="1" applyAlignment="1">
      <alignment horizontal="center"/>
    </xf>
    <xf numFmtId="179" fontId="23" fillId="0" borderId="18" xfId="1" applyNumberFormat="1" applyFont="1" applyFill="1" applyBorder="1"/>
    <xf numFmtId="37" fontId="6" fillId="0" borderId="22" xfId="0" applyNumberFormat="1" applyFont="1" applyBorder="1"/>
    <xf numFmtId="0" fontId="17" fillId="0" borderId="8" xfId="0" applyFont="1" applyBorder="1"/>
    <xf numFmtId="0" fontId="2" fillId="0" borderId="10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3" xfId="0" applyFont="1" applyBorder="1"/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37" fontId="10" fillId="0" borderId="17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37" fontId="10" fillId="0" borderId="0" xfId="0" applyNumberFormat="1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6" xfId="0" applyFont="1" applyBorder="1"/>
    <xf numFmtId="0" fontId="11" fillId="0" borderId="26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177" fontId="11" fillId="0" borderId="21" xfId="0" applyNumberFormat="1" applyFont="1" applyBorder="1" applyAlignment="1">
      <alignment horizontal="center"/>
    </xf>
    <xf numFmtId="37" fontId="11" fillId="0" borderId="21" xfId="0" applyNumberFormat="1" applyFont="1" applyBorder="1" applyAlignment="1">
      <alignment horizontal="center"/>
    </xf>
    <xf numFmtId="0" fontId="2" fillId="0" borderId="14" xfId="0" applyFont="1" applyBorder="1"/>
    <xf numFmtId="37" fontId="6" fillId="0" borderId="30" xfId="0" applyNumberFormat="1" applyFont="1" applyBorder="1"/>
    <xf numFmtId="0" fontId="11" fillId="0" borderId="25" xfId="0" applyFont="1" applyBorder="1"/>
    <xf numFmtId="0" fontId="20" fillId="0" borderId="28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179" fontId="17" fillId="0" borderId="5" xfId="1" applyNumberFormat="1" applyFont="1" applyFill="1" applyBorder="1" applyAlignment="1">
      <alignment horizontal="center"/>
    </xf>
    <xf numFmtId="179" fontId="17" fillId="0" borderId="14" xfId="1" applyNumberFormat="1" applyFont="1" applyFill="1" applyBorder="1" applyAlignment="1">
      <alignment horizontal="center"/>
    </xf>
    <xf numFmtId="0" fontId="20" fillId="0" borderId="28" xfId="0" applyFont="1" applyBorder="1" applyAlignment="1">
      <alignment horizontal="right"/>
    </xf>
    <xf numFmtId="37" fontId="20" fillId="0" borderId="21" xfId="0" applyNumberFormat="1" applyFont="1" applyBorder="1" applyAlignment="1">
      <alignment horizontal="center"/>
    </xf>
    <xf numFmtId="179" fontId="20" fillId="0" borderId="27" xfId="1" applyNumberFormat="1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37" fontId="2" fillId="0" borderId="3" xfId="0" applyNumberFormat="1" applyFont="1" applyBorder="1" applyAlignment="1">
      <alignment horizontal="center"/>
    </xf>
    <xf numFmtId="37" fontId="2" fillId="0" borderId="6" xfId="0" applyNumberFormat="1" applyFont="1" applyBorder="1" applyAlignment="1">
      <alignment horizontal="center"/>
    </xf>
    <xf numFmtId="0" fontId="11" fillId="0" borderId="12" xfId="0" applyFont="1" applyBorder="1"/>
    <xf numFmtId="0" fontId="20" fillId="0" borderId="2" xfId="0" applyFont="1" applyBorder="1" applyAlignment="1">
      <alignment horizontal="right"/>
    </xf>
    <xf numFmtId="37" fontId="20" fillId="0" borderId="17" xfId="0" applyNumberFormat="1" applyFont="1" applyBorder="1" applyAlignment="1">
      <alignment horizontal="center"/>
    </xf>
    <xf numFmtId="179" fontId="20" fillId="0" borderId="5" xfId="1" applyNumberFormat="1" applyFont="1" applyFill="1" applyBorder="1" applyAlignment="1">
      <alignment horizontal="center"/>
    </xf>
    <xf numFmtId="0" fontId="3" fillId="0" borderId="25" xfId="0" applyFont="1" applyBorder="1"/>
    <xf numFmtId="37" fontId="3" fillId="0" borderId="24" xfId="0" applyNumberFormat="1" applyFont="1" applyBorder="1"/>
    <xf numFmtId="0" fontId="20" fillId="0" borderId="25" xfId="0" applyFont="1" applyBorder="1" applyAlignment="1">
      <alignment horizontal="center"/>
    </xf>
    <xf numFmtId="0" fontId="20" fillId="0" borderId="29" xfId="0" applyFont="1" applyBorder="1" applyAlignment="1">
      <alignment horizontal="right"/>
    </xf>
    <xf numFmtId="179" fontId="21" fillId="0" borderId="6" xfId="1" applyNumberFormat="1" applyFont="1" applyFill="1" applyBorder="1" applyAlignment="1">
      <alignment horizontal="center"/>
    </xf>
    <xf numFmtId="179" fontId="7" fillId="0" borderId="6" xfId="1" applyNumberFormat="1" applyFont="1" applyFill="1" applyBorder="1" applyAlignment="1">
      <alignment horizontal="center"/>
    </xf>
    <xf numFmtId="0" fontId="8" fillId="0" borderId="0" xfId="0" applyFont="1"/>
    <xf numFmtId="0" fontId="20" fillId="0" borderId="12" xfId="0" applyFont="1" applyBorder="1"/>
    <xf numFmtId="0" fontId="6" fillId="0" borderId="19" xfId="0" applyFont="1" applyBorder="1" applyAlignment="1">
      <alignment horizontal="center"/>
    </xf>
    <xf numFmtId="0" fontId="20" fillId="0" borderId="25" xfId="0" applyFont="1" applyBorder="1"/>
    <xf numFmtId="0" fontId="3" fillId="0" borderId="9" xfId="0" applyFont="1" applyBorder="1"/>
    <xf numFmtId="0" fontId="20" fillId="0" borderId="8" xfId="0" applyFont="1" applyBorder="1"/>
    <xf numFmtId="0" fontId="2" fillId="0" borderId="12" xfId="0" applyFont="1" applyBorder="1"/>
    <xf numFmtId="37" fontId="6" fillId="0" borderId="19" xfId="0" applyNumberFormat="1" applyFont="1" applyBorder="1"/>
    <xf numFmtId="37" fontId="2" fillId="0" borderId="0" xfId="0" applyNumberFormat="1" applyFont="1"/>
    <xf numFmtId="0" fontId="17" fillId="0" borderId="11" xfId="0" applyFont="1" applyBorder="1" applyAlignment="1">
      <alignment horizontal="right"/>
    </xf>
    <xf numFmtId="37" fontId="6" fillId="0" borderId="8" xfId="0" applyNumberFormat="1" applyFont="1" applyBorder="1" applyAlignment="1">
      <alignment horizontal="center"/>
    </xf>
    <xf numFmtId="37" fontId="6" fillId="0" borderId="9" xfId="0" applyNumberFormat="1" applyFont="1" applyBorder="1" applyAlignment="1">
      <alignment horizontal="center"/>
    </xf>
    <xf numFmtId="37" fontId="6" fillId="0" borderId="10" xfId="0" applyNumberFormat="1" applyFont="1" applyBorder="1" applyAlignment="1">
      <alignment horizontal="center"/>
    </xf>
    <xf numFmtId="0" fontId="10" fillId="0" borderId="16" xfId="0" applyFont="1" applyBorder="1" applyAlignment="1">
      <alignment horizontal="right"/>
    </xf>
    <xf numFmtId="37" fontId="2" fillId="0" borderId="17" xfId="0" applyNumberFormat="1" applyFont="1" applyBorder="1" applyAlignment="1">
      <alignment horizontal="center"/>
    </xf>
    <xf numFmtId="0" fontId="24" fillId="0" borderId="13" xfId="0" applyFont="1" applyBorder="1" applyAlignment="1">
      <alignment horizontal="right"/>
    </xf>
    <xf numFmtId="0" fontId="24" fillId="0" borderId="15" xfId="0" applyFont="1" applyBorder="1" applyAlignment="1">
      <alignment horizontal="center"/>
    </xf>
    <xf numFmtId="37" fontId="2" fillId="0" borderId="0" xfId="0" applyNumberFormat="1" applyFont="1" applyAlignment="1">
      <alignment horizontal="right"/>
    </xf>
    <xf numFmtId="179" fontId="2" fillId="0" borderId="0" xfId="1" applyNumberFormat="1" applyFont="1" applyFill="1"/>
    <xf numFmtId="178" fontId="2" fillId="0" borderId="0" xfId="0" applyNumberFormat="1" applyFont="1" applyAlignment="1">
      <alignment horizontal="right"/>
    </xf>
    <xf numFmtId="0" fontId="25" fillId="0" borderId="2" xfId="0" applyFont="1" applyBorder="1" applyAlignment="1">
      <alignment horizontal="right"/>
    </xf>
    <xf numFmtId="174" fontId="26" fillId="0" borderId="5" xfId="1" applyNumberFormat="1" applyFont="1" applyFill="1" applyBorder="1"/>
    <xf numFmtId="174" fontId="12" fillId="0" borderId="5" xfId="1" applyNumberFormat="1" applyFont="1" applyFill="1" applyBorder="1"/>
    <xf numFmtId="0" fontId="2" fillId="0" borderId="4" xfId="0" applyFont="1" applyBorder="1"/>
    <xf numFmtId="0" fontId="21" fillId="0" borderId="0" xfId="0" applyFont="1"/>
    <xf numFmtId="0" fontId="24" fillId="0" borderId="16" xfId="0" applyFont="1" applyBorder="1" applyAlignment="1">
      <alignment horizontal="right"/>
    </xf>
    <xf numFmtId="174" fontId="26" fillId="0" borderId="14" xfId="1" applyNumberFormat="1" applyFont="1" applyFill="1" applyBorder="1"/>
    <xf numFmtId="174" fontId="12" fillId="0" borderId="14" xfId="1" applyNumberFormat="1" applyFont="1" applyFill="1" applyBorder="1"/>
    <xf numFmtId="174" fontId="12" fillId="0" borderId="0" xfId="1" applyNumberFormat="1" applyFont="1" applyFill="1" applyBorder="1"/>
    <xf numFmtId="166" fontId="21" fillId="0" borderId="13" xfId="0" applyNumberFormat="1" applyFont="1" applyBorder="1" applyAlignment="1">
      <alignment horizontal="center"/>
    </xf>
    <xf numFmtId="177" fontId="17" fillId="0" borderId="0" xfId="0" applyNumberFormat="1" applyFont="1" applyAlignment="1">
      <alignment horizontal="center"/>
    </xf>
    <xf numFmtId="174" fontId="23" fillId="0" borderId="29" xfId="1" applyNumberFormat="1" applyFont="1" applyFill="1" applyBorder="1"/>
    <xf numFmtId="174" fontId="13" fillId="0" borderId="24" xfId="1" applyNumberFormat="1" applyFont="1" applyFill="1" applyBorder="1"/>
    <xf numFmtId="172" fontId="11" fillId="0" borderId="21" xfId="0" applyNumberFormat="1" applyFont="1" applyBorder="1" applyAlignment="1">
      <alignment horizontal="center"/>
    </xf>
    <xf numFmtId="168" fontId="20" fillId="0" borderId="21" xfId="0" applyNumberFormat="1" applyFont="1" applyBorder="1" applyAlignment="1">
      <alignment horizontal="center"/>
    </xf>
    <xf numFmtId="168" fontId="20" fillId="0" borderId="27" xfId="0" applyNumberFormat="1" applyFont="1" applyBorder="1" applyAlignment="1">
      <alignment horizontal="center"/>
    </xf>
    <xf numFmtId="38" fontId="2" fillId="0" borderId="17" xfId="0" applyNumberFormat="1" applyFont="1" applyBorder="1" applyAlignment="1">
      <alignment horizontal="center"/>
    </xf>
    <xf numFmtId="38" fontId="2" fillId="0" borderId="0" xfId="0" applyNumberFormat="1" applyFont="1" applyAlignment="1">
      <alignment horizontal="center"/>
    </xf>
    <xf numFmtId="178" fontId="9" fillId="0" borderId="18" xfId="1" applyNumberFormat="1" applyFont="1" applyFill="1" applyBorder="1"/>
    <xf numFmtId="38" fontId="3" fillId="0" borderId="21" xfId="0" applyNumberFormat="1" applyFont="1" applyBorder="1" applyAlignment="1">
      <alignment horizontal="center"/>
    </xf>
    <xf numFmtId="38" fontId="2" fillId="0" borderId="3" xfId="0" applyNumberFormat="1" applyFont="1" applyBorder="1" applyAlignment="1">
      <alignment horizontal="center"/>
    </xf>
    <xf numFmtId="171" fontId="8" fillId="0" borderId="0" xfId="0" applyNumberFormat="1" applyFont="1" applyAlignment="1">
      <alignment horizontal="center"/>
    </xf>
    <xf numFmtId="0" fontId="24" fillId="0" borderId="2" xfId="0" applyFont="1" applyBorder="1" applyAlignment="1">
      <alignment horizontal="right"/>
    </xf>
    <xf numFmtId="38" fontId="3" fillId="0" borderId="18" xfId="0" applyNumberFormat="1" applyFont="1" applyBorder="1" applyAlignment="1">
      <alignment horizontal="center"/>
    </xf>
    <xf numFmtId="38" fontId="15" fillId="0" borderId="17" xfId="1" applyNumberFormat="1" applyFont="1" applyFill="1" applyBorder="1" applyAlignment="1">
      <alignment horizontal="center"/>
    </xf>
    <xf numFmtId="38" fontId="3" fillId="0" borderId="18" xfId="0" applyNumberFormat="1" applyFont="1" applyBorder="1"/>
    <xf numFmtId="178" fontId="27" fillId="0" borderId="29" xfId="0" applyNumberFormat="1" applyFont="1" applyBorder="1" applyAlignment="1">
      <alignment horizontal="right"/>
    </xf>
    <xf numFmtId="178" fontId="3" fillId="0" borderId="18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38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1" fontId="21" fillId="0" borderId="0" xfId="0" applyNumberFormat="1" applyFont="1"/>
    <xf numFmtId="171" fontId="17" fillId="0" borderId="0" xfId="0" applyNumberFormat="1" applyFont="1"/>
    <xf numFmtId="37" fontId="11" fillId="0" borderId="17" xfId="0" applyNumberFormat="1" applyFont="1" applyBorder="1"/>
    <xf numFmtId="37" fontId="11" fillId="0" borderId="5" xfId="0" applyNumberFormat="1" applyFont="1" applyBorder="1"/>
    <xf numFmtId="37" fontId="11" fillId="0" borderId="18" xfId="0" applyNumberFormat="1" applyFont="1" applyBorder="1"/>
    <xf numFmtId="37" fontId="11" fillId="0" borderId="24" xfId="0" applyNumberFormat="1" applyFont="1" applyBorder="1"/>
    <xf numFmtId="37" fontId="10" fillId="0" borderId="17" xfId="0" applyNumberFormat="1" applyFont="1" applyBorder="1"/>
    <xf numFmtId="180" fontId="10" fillId="0" borderId="5" xfId="0" applyNumberFormat="1" applyFont="1" applyBorder="1"/>
    <xf numFmtId="37" fontId="10" fillId="0" borderId="0" xfId="0" applyNumberFormat="1" applyFont="1"/>
    <xf numFmtId="180" fontId="10" fillId="0" borderId="14" xfId="0" applyNumberFormat="1" applyFont="1" applyBorder="1"/>
    <xf numFmtId="180" fontId="11" fillId="0" borderId="24" xfId="0" applyNumberFormat="1" applyFont="1" applyBorder="1"/>
    <xf numFmtId="37" fontId="11" fillId="0" borderId="21" xfId="0" applyNumberFormat="1" applyFont="1" applyBorder="1"/>
    <xf numFmtId="180" fontId="11" fillId="0" borderId="27" xfId="0" applyNumberFormat="1" applyFont="1" applyBorder="1"/>
    <xf numFmtId="37" fontId="10" fillId="0" borderId="14" xfId="0" applyNumberFormat="1" applyFont="1" applyBorder="1"/>
    <xf numFmtId="37" fontId="20" fillId="0" borderId="27" xfId="0" applyNumberFormat="1" applyFont="1" applyBorder="1"/>
    <xf numFmtId="37" fontId="20" fillId="0" borderId="24" xfId="0" applyNumberFormat="1" applyFont="1" applyBorder="1"/>
    <xf numFmtId="0" fontId="6" fillId="0" borderId="30" xfId="0" applyFont="1" applyBorder="1"/>
    <xf numFmtId="37" fontId="11" fillId="0" borderId="10" xfId="0" applyNumberFormat="1" applyFont="1" applyBorder="1"/>
    <xf numFmtId="37" fontId="3" fillId="0" borderId="10" xfId="0" applyNumberFormat="1" applyFont="1" applyBorder="1"/>
    <xf numFmtId="0" fontId="2" fillId="0" borderId="5" xfId="0" applyFont="1" applyBorder="1"/>
    <xf numFmtId="37" fontId="17" fillId="0" borderId="4" xfId="0" applyNumberFormat="1" applyFont="1" applyBorder="1"/>
    <xf numFmtId="177" fontId="17" fillId="0" borderId="5" xfId="0" applyNumberFormat="1" applyFont="1" applyBorder="1"/>
    <xf numFmtId="37" fontId="17" fillId="0" borderId="0" xfId="0" applyNumberFormat="1" applyFont="1"/>
    <xf numFmtId="177" fontId="17" fillId="0" borderId="14" xfId="0" applyNumberFormat="1" applyFont="1" applyBorder="1"/>
    <xf numFmtId="37" fontId="20" fillId="0" borderId="9" xfId="0" applyNumberFormat="1" applyFont="1" applyBorder="1"/>
    <xf numFmtId="177" fontId="20" fillId="0" borderId="10" xfId="0" applyNumberFormat="1" applyFont="1" applyBorder="1"/>
    <xf numFmtId="37" fontId="17" fillId="0" borderId="14" xfId="0" applyNumberFormat="1" applyFont="1" applyBorder="1"/>
    <xf numFmtId="37" fontId="28" fillId="0" borderId="22" xfId="0" applyNumberFormat="1" applyFont="1" applyBorder="1"/>
    <xf numFmtId="37" fontId="28" fillId="0" borderId="32" xfId="0" applyNumberFormat="1" applyFont="1" applyBorder="1"/>
    <xf numFmtId="179" fontId="11" fillId="0" borderId="24" xfId="1" applyNumberFormat="1" applyFont="1" applyFill="1" applyBorder="1" applyAlignment="1"/>
    <xf numFmtId="37" fontId="11" fillId="0" borderId="12" xfId="0" applyNumberFormat="1" applyFont="1" applyBorder="1"/>
    <xf numFmtId="37" fontId="11" fillId="0" borderId="8" xfId="0" applyNumberFormat="1" applyFont="1" applyBorder="1"/>
    <xf numFmtId="37" fontId="11" fillId="0" borderId="9" xfId="0" applyNumberFormat="1" applyFont="1" applyBorder="1"/>
    <xf numFmtId="37" fontId="20" fillId="0" borderId="8" xfId="0" applyNumberFormat="1" applyFont="1" applyBorder="1"/>
    <xf numFmtId="37" fontId="20" fillId="0" borderId="10" xfId="0" applyNumberFormat="1" applyFont="1" applyBorder="1"/>
    <xf numFmtId="179" fontId="24" fillId="0" borderId="0" xfId="1" applyNumberFormat="1" applyFont="1" applyFill="1" applyBorder="1" applyAlignment="1"/>
    <xf numFmtId="37" fontId="16" fillId="0" borderId="9" xfId="0" applyNumberFormat="1" applyFont="1" applyBorder="1"/>
    <xf numFmtId="37" fontId="16" fillId="0" borderId="10" xfId="0" applyNumberFormat="1" applyFont="1" applyBorder="1"/>
    <xf numFmtId="38" fontId="10" fillId="0" borderId="17" xfId="0" applyNumberFormat="1" applyFont="1" applyBorder="1"/>
    <xf numFmtId="38" fontId="17" fillId="0" borderId="17" xfId="0" applyNumberFormat="1" applyFont="1" applyBorder="1"/>
    <xf numFmtId="38" fontId="17" fillId="0" borderId="0" xfId="0" applyNumberFormat="1" applyFont="1"/>
    <xf numFmtId="38" fontId="17" fillId="0" borderId="14" xfId="0" applyNumberFormat="1" applyFont="1" applyBorder="1"/>
    <xf numFmtId="38" fontId="20" fillId="0" borderId="21" xfId="0" applyNumberFormat="1" applyFont="1" applyBorder="1"/>
    <xf numFmtId="38" fontId="20" fillId="0" borderId="18" xfId="0" applyNumberFormat="1" applyFont="1" applyBorder="1"/>
    <xf numFmtId="38" fontId="20" fillId="0" borderId="24" xfId="0" applyNumberFormat="1" applyFont="1" applyBorder="1"/>
    <xf numFmtId="38" fontId="10" fillId="0" borderId="3" xfId="0" applyNumberFormat="1" applyFont="1" applyBorder="1"/>
    <xf numFmtId="38" fontId="17" fillId="0" borderId="3" xfId="0" applyNumberFormat="1" applyFont="1" applyBorder="1"/>
    <xf numFmtId="38" fontId="17" fillId="0" borderId="4" xfId="0" applyNumberFormat="1" applyFont="1" applyBorder="1"/>
    <xf numFmtId="38" fontId="17" fillId="0" borderId="5" xfId="0" applyNumberFormat="1" applyFont="1" applyBorder="1"/>
    <xf numFmtId="38" fontId="17" fillId="0" borderId="9" xfId="0" applyNumberFormat="1" applyFont="1" applyBorder="1"/>
    <xf numFmtId="38" fontId="17" fillId="0" borderId="10" xfId="0" applyNumberFormat="1" applyFont="1" applyBorder="1"/>
    <xf numFmtId="38" fontId="21" fillId="0" borderId="0" xfId="0" applyNumberFormat="1" applyFont="1"/>
    <xf numFmtId="38" fontId="21" fillId="0" borderId="14" xfId="0" applyNumberFormat="1" applyFont="1" applyBorder="1"/>
    <xf numFmtId="38" fontId="10" fillId="0" borderId="0" xfId="0" applyNumberFormat="1" applyFont="1"/>
    <xf numFmtId="174" fontId="24" fillId="0" borderId="17" xfId="1" applyNumberFormat="1" applyFont="1" applyFill="1" applyBorder="1" applyAlignment="1"/>
    <xf numFmtId="174" fontId="24" fillId="0" borderId="5" xfId="1" applyNumberFormat="1" applyFont="1" applyFill="1" applyBorder="1" applyAlignment="1"/>
    <xf numFmtId="38" fontId="20" fillId="0" borderId="27" xfId="0" applyNumberFormat="1" applyFont="1" applyBorder="1"/>
    <xf numFmtId="38" fontId="11" fillId="0" borderId="18" xfId="0" applyNumberFormat="1" applyFont="1" applyBorder="1"/>
    <xf numFmtId="38" fontId="11" fillId="0" borderId="24" xfId="0" applyNumberFormat="1" applyFont="1" applyBorder="1"/>
    <xf numFmtId="38" fontId="16" fillId="0" borderId="17" xfId="1" applyNumberFormat="1" applyFont="1" applyFill="1" applyBorder="1" applyAlignment="1"/>
    <xf numFmtId="38" fontId="11" fillId="0" borderId="17" xfId="0" applyNumberFormat="1" applyFont="1" applyBorder="1"/>
    <xf numFmtId="38" fontId="11" fillId="0" borderId="5" xfId="0" applyNumberFormat="1" applyFont="1" applyBorder="1"/>
    <xf numFmtId="38" fontId="19" fillId="0" borderId="18" xfId="0" applyNumberFormat="1" applyFont="1" applyBorder="1"/>
    <xf numFmtId="38" fontId="19" fillId="0" borderId="17" xfId="0" applyNumberFormat="1" applyFont="1" applyBorder="1"/>
    <xf numFmtId="0" fontId="11" fillId="0" borderId="17" xfId="0" applyFont="1" applyBorder="1"/>
    <xf numFmtId="0" fontId="11" fillId="0" borderId="5" xfId="0" applyFont="1" applyBorder="1"/>
    <xf numFmtId="38" fontId="11" fillId="0" borderId="21" xfId="0" applyNumberFormat="1" applyFont="1" applyBorder="1"/>
    <xf numFmtId="38" fontId="11" fillId="0" borderId="27" xfId="0" applyNumberFormat="1" applyFont="1" applyBorder="1"/>
    <xf numFmtId="0" fontId="29" fillId="0" borderId="20" xfId="0" applyFont="1" applyBorder="1" applyAlignment="1">
      <alignment horizontal="left"/>
    </xf>
    <xf numFmtId="0" fontId="29" fillId="0" borderId="9" xfId="0" applyFont="1" applyBorder="1"/>
    <xf numFmtId="7" fontId="29" fillId="0" borderId="9" xfId="0" applyNumberFormat="1" applyFont="1" applyBorder="1"/>
    <xf numFmtId="0" fontId="29" fillId="0" borderId="21" xfId="0" applyFont="1" applyBorder="1"/>
    <xf numFmtId="37" fontId="29" fillId="0" borderId="21" xfId="0" applyNumberFormat="1" applyFont="1" applyBorder="1"/>
    <xf numFmtId="0" fontId="29" fillId="0" borderId="9" xfId="0" applyFont="1" applyBorder="1" applyAlignment="1">
      <alignment horizontal="center"/>
    </xf>
    <xf numFmtId="177" fontId="29" fillId="0" borderId="9" xfId="0" applyNumberFormat="1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37" fontId="29" fillId="0" borderId="34" xfId="0" applyNumberFormat="1" applyFont="1" applyBorder="1" applyAlignment="1">
      <alignment horizontal="center"/>
    </xf>
    <xf numFmtId="0" fontId="29" fillId="0" borderId="34" xfId="0" applyFont="1" applyBorder="1"/>
    <xf numFmtId="37" fontId="29" fillId="0" borderId="22" xfId="0" applyNumberFormat="1" applyFont="1" applyBorder="1"/>
    <xf numFmtId="37" fontId="29" fillId="0" borderId="32" xfId="0" applyNumberFormat="1" applyFont="1" applyBorder="1"/>
    <xf numFmtId="0" fontId="29" fillId="0" borderId="31" xfId="0" applyFont="1" applyBorder="1"/>
    <xf numFmtId="0" fontId="29" fillId="0" borderId="33" xfId="0" applyFont="1" applyBorder="1" applyAlignment="1">
      <alignment horizontal="right"/>
    </xf>
    <xf numFmtId="0" fontId="29" fillId="0" borderId="31" xfId="0" applyFont="1" applyBorder="1" applyAlignment="1">
      <alignment horizontal="center"/>
    </xf>
    <xf numFmtId="37" fontId="29" fillId="0" borderId="19" xfId="0" applyNumberFormat="1" applyFont="1" applyBorder="1"/>
    <xf numFmtId="37" fontId="29" fillId="0" borderId="30" xfId="0" applyNumberFormat="1" applyFont="1" applyBorder="1"/>
    <xf numFmtId="0" fontId="30" fillId="0" borderId="2" xfId="0" applyFont="1" applyBorder="1" applyAlignment="1">
      <alignment horizontal="right"/>
    </xf>
    <xf numFmtId="0" fontId="31" fillId="0" borderId="7" xfId="0" applyFont="1" applyBorder="1" applyAlignment="1">
      <alignment horizontal="right"/>
    </xf>
    <xf numFmtId="0" fontId="31" fillId="0" borderId="2" xfId="0" applyFont="1" applyBorder="1" applyAlignment="1">
      <alignment horizontal="right"/>
    </xf>
    <xf numFmtId="0" fontId="31" fillId="0" borderId="16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6" fillId="0" borderId="0" xfId="0" applyFont="1"/>
    <xf numFmtId="0" fontId="1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8" fillId="0" borderId="0" xfId="0" applyFont="1"/>
    <xf numFmtId="0" fontId="6" fillId="0" borderId="3" xfId="0" applyFont="1" applyBorder="1"/>
    <xf numFmtId="0" fontId="6" fillId="0" borderId="0" xfId="0" applyFont="1"/>
    <xf numFmtId="0" fontId="17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6" fillId="0" borderId="23" xfId="0" applyFont="1" applyBorder="1" applyAlignment="1">
      <alignment horizontal="left"/>
    </xf>
    <xf numFmtId="0" fontId="18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7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9" fillId="0" borderId="37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301B-09F9-4EFC-8D4E-78265E426020}">
  <dimension ref="B2:P396"/>
  <sheetViews>
    <sheetView tabSelected="1" workbookViewId="0"/>
  </sheetViews>
  <sheetFormatPr defaultRowHeight="14.4" x14ac:dyDescent="0.3"/>
  <cols>
    <col min="2" max="2" width="58.33203125" customWidth="1"/>
    <col min="3" max="3" width="24" customWidth="1"/>
    <col min="4" max="4" width="16" customWidth="1"/>
    <col min="5" max="5" width="11.88671875" customWidth="1"/>
    <col min="6" max="6" width="16" customWidth="1"/>
    <col min="7" max="9" width="16.5546875" customWidth="1"/>
    <col min="10" max="10" width="14" customWidth="1"/>
  </cols>
  <sheetData>
    <row r="2" spans="2:16" ht="18" x14ac:dyDescent="0.35">
      <c r="B2" s="332" t="s">
        <v>0</v>
      </c>
      <c r="C2" s="334"/>
      <c r="D2" s="329"/>
      <c r="E2" s="329"/>
      <c r="F2" s="329"/>
      <c r="G2" s="329"/>
      <c r="H2" s="3"/>
      <c r="I2" s="3"/>
      <c r="J2" s="3"/>
      <c r="K2" s="3"/>
      <c r="L2" s="3"/>
      <c r="M2" s="3"/>
      <c r="N2" s="3"/>
      <c r="O2" s="3"/>
      <c r="P2" s="3"/>
    </row>
    <row r="3" spans="2:16" x14ac:dyDescent="0.3">
      <c r="B3" s="330" t="s">
        <v>729</v>
      </c>
      <c r="C3" s="33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x14ac:dyDescent="0.3">
      <c r="B4" s="331"/>
      <c r="C4" s="33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x14ac:dyDescent="0.3">
      <c r="B5" s="330" t="s">
        <v>524</v>
      </c>
      <c r="C5" s="33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2:16" x14ac:dyDescent="0.3">
      <c r="B6" s="330" t="s">
        <v>730</v>
      </c>
      <c r="C6" s="33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3">
      <c r="B7" s="330" t="s">
        <v>731</v>
      </c>
      <c r="C7" s="33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2:16" x14ac:dyDescent="0.3">
      <c r="B8" s="330" t="s">
        <v>732</v>
      </c>
      <c r="C8" s="33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2:16" x14ac:dyDescent="0.3">
      <c r="B9" s="330" t="s">
        <v>733</v>
      </c>
      <c r="C9" s="33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2:16" x14ac:dyDescent="0.3">
      <c r="B10" s="330" t="s">
        <v>734</v>
      </c>
      <c r="C10" s="33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6" x14ac:dyDescent="0.3">
      <c r="B11" s="330" t="s">
        <v>735</v>
      </c>
      <c r="C11" s="33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x14ac:dyDescent="0.3">
      <c r="B12" s="331"/>
      <c r="C12" s="33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x14ac:dyDescent="0.3">
      <c r="B13" s="4" t="s">
        <v>1</v>
      </c>
      <c r="C13" s="306" t="s">
        <v>2</v>
      </c>
      <c r="D13" s="5"/>
      <c r="E13" s="5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</row>
    <row r="14" spans="2:16" x14ac:dyDescent="0.3">
      <c r="B14" s="6" t="s">
        <v>3</v>
      </c>
      <c r="C14" s="7"/>
      <c r="D14" s="8"/>
      <c r="E14" s="8"/>
      <c r="F14" s="8"/>
      <c r="G14" s="8"/>
      <c r="H14" s="3"/>
      <c r="I14" s="3"/>
      <c r="J14" s="3"/>
      <c r="K14" s="3"/>
      <c r="L14" s="3"/>
      <c r="M14" s="3"/>
      <c r="N14" s="3"/>
      <c r="O14" s="3"/>
      <c r="P14" s="3"/>
    </row>
    <row r="15" spans="2:16" x14ac:dyDescent="0.3">
      <c r="B15" s="6" t="s">
        <v>4</v>
      </c>
      <c r="C15" s="9"/>
      <c r="D15" s="10"/>
      <c r="E15" s="10"/>
      <c r="F15" s="307" t="s">
        <v>140</v>
      </c>
      <c r="G15" s="308">
        <v>67015280</v>
      </c>
      <c r="H15" s="3"/>
      <c r="I15" s="3"/>
      <c r="J15" s="3"/>
      <c r="K15" s="3"/>
      <c r="L15" s="3"/>
      <c r="M15" s="3"/>
      <c r="N15" s="3"/>
      <c r="O15" s="3"/>
      <c r="P15" s="3"/>
    </row>
    <row r="16" spans="2:16" x14ac:dyDescent="0.3">
      <c r="B16" s="6" t="s">
        <v>5</v>
      </c>
      <c r="C16" s="12">
        <v>4899934.7300000004</v>
      </c>
      <c r="D16" s="13">
        <f>SUM(C16:C24)</f>
        <v>4323174.4399999995</v>
      </c>
      <c r="E16" s="14"/>
      <c r="F16" s="15" t="s">
        <v>139</v>
      </c>
      <c r="G16" s="16">
        <v>50938905</v>
      </c>
      <c r="H16" s="3"/>
      <c r="I16" s="3"/>
      <c r="J16" s="3"/>
      <c r="K16" s="3"/>
      <c r="L16" s="3"/>
      <c r="M16" s="3"/>
      <c r="N16" s="3"/>
      <c r="O16" s="3"/>
      <c r="P16" s="3"/>
    </row>
    <row r="17" spans="2:16" x14ac:dyDescent="0.3">
      <c r="B17" s="6" t="s">
        <v>6</v>
      </c>
      <c r="C17" s="17">
        <v>-192135.32</v>
      </c>
      <c r="D17" s="3"/>
      <c r="E17" s="3"/>
      <c r="F17" s="3"/>
      <c r="G17" s="18"/>
      <c r="H17" s="3"/>
      <c r="I17" s="18"/>
      <c r="J17" s="3"/>
      <c r="K17" s="3"/>
      <c r="L17" s="3"/>
      <c r="M17" s="3"/>
      <c r="N17" s="3"/>
      <c r="O17" s="3"/>
      <c r="P17" s="3"/>
    </row>
    <row r="18" spans="2:16" x14ac:dyDescent="0.3">
      <c r="B18" s="6" t="s">
        <v>7</v>
      </c>
      <c r="C18" s="17">
        <v>-335370.69</v>
      </c>
      <c r="D18" s="3"/>
      <c r="E18" s="3"/>
      <c r="F18" s="3"/>
      <c r="G18" s="3"/>
      <c r="H18" s="3"/>
      <c r="I18" s="18"/>
      <c r="J18" s="3"/>
      <c r="K18" s="3"/>
      <c r="L18" s="3"/>
      <c r="M18" s="3"/>
      <c r="N18" s="3"/>
      <c r="O18" s="3"/>
      <c r="P18" s="3"/>
    </row>
    <row r="19" spans="2:16" x14ac:dyDescent="0.3">
      <c r="B19" s="6" t="s">
        <v>8</v>
      </c>
      <c r="C19" s="19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</row>
    <row r="20" spans="2:16" x14ac:dyDescent="0.3">
      <c r="B20" s="6" t="s">
        <v>9</v>
      </c>
      <c r="C20" s="17">
        <v>-8249</v>
      </c>
      <c r="D20" s="3"/>
      <c r="E20" s="3"/>
      <c r="F20" s="6" t="s">
        <v>136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x14ac:dyDescent="0.3">
      <c r="B21" s="6" t="s">
        <v>10</v>
      </c>
      <c r="C21" s="12">
        <v>-2624.96</v>
      </c>
      <c r="D21" s="14"/>
      <c r="E21" s="14"/>
      <c r="F21" s="15" t="s">
        <v>141</v>
      </c>
      <c r="G21" s="14"/>
      <c r="H21" s="3"/>
      <c r="I21" s="3"/>
      <c r="J21" s="3"/>
      <c r="K21" s="3"/>
      <c r="L21" s="3"/>
      <c r="M21" s="3"/>
      <c r="N21" s="3"/>
      <c r="O21" s="3"/>
      <c r="P21" s="3"/>
    </row>
    <row r="22" spans="2:16" x14ac:dyDescent="0.3">
      <c r="B22" s="6" t="s">
        <v>11</v>
      </c>
      <c r="C22" s="17">
        <v>-11797.28</v>
      </c>
      <c r="D22" s="3"/>
      <c r="E22" s="3"/>
      <c r="F22" s="6" t="s">
        <v>142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2:16" x14ac:dyDescent="0.3">
      <c r="B23" s="6" t="s">
        <v>12</v>
      </c>
      <c r="C23" s="17">
        <v>-2213</v>
      </c>
      <c r="D23" s="3"/>
      <c r="E23" s="3"/>
      <c r="F23" s="6" t="s">
        <v>137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2:16" x14ac:dyDescent="0.3">
      <c r="B24" s="6" t="s">
        <v>13</v>
      </c>
      <c r="C24" s="20">
        <v>-24370.04</v>
      </c>
      <c r="D24" s="8"/>
      <c r="E24" s="8"/>
      <c r="F24" s="309" t="s">
        <v>138</v>
      </c>
      <c r="G24" s="8"/>
      <c r="H24" s="3"/>
      <c r="I24" s="3"/>
      <c r="J24" s="3"/>
      <c r="K24" s="3"/>
      <c r="L24" s="3"/>
      <c r="M24" s="3"/>
      <c r="N24" s="3"/>
      <c r="O24" s="3"/>
      <c r="P24" s="3"/>
    </row>
    <row r="25" spans="2:16" x14ac:dyDescent="0.3">
      <c r="B25" s="6" t="s">
        <v>14</v>
      </c>
      <c r="C25" s="17">
        <v>17291.77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2:16" x14ac:dyDescent="0.3">
      <c r="B26" s="6" t="s">
        <v>15</v>
      </c>
      <c r="C26" s="19"/>
      <c r="D26" s="2"/>
      <c r="E26" s="2"/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</row>
    <row r="27" spans="2:16" x14ac:dyDescent="0.3">
      <c r="B27" s="6" t="s">
        <v>16</v>
      </c>
      <c r="C27" s="17">
        <v>29441</v>
      </c>
      <c r="D27" s="21"/>
      <c r="E27" s="2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x14ac:dyDescent="0.3">
      <c r="B28" s="6" t="s">
        <v>17</v>
      </c>
      <c r="C28" s="17">
        <v>2766</v>
      </c>
      <c r="D28" s="21"/>
      <c r="E28" s="2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x14ac:dyDescent="0.3">
      <c r="B29" s="6" t="s">
        <v>18</v>
      </c>
      <c r="C29" s="17">
        <v>106817.24</v>
      </c>
      <c r="D29" s="21"/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x14ac:dyDescent="0.3">
      <c r="B30" s="6" t="s">
        <v>19</v>
      </c>
      <c r="C30" s="17">
        <v>628</v>
      </c>
      <c r="D30" s="21"/>
      <c r="E30" s="21"/>
      <c r="F30" s="22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2:16" x14ac:dyDescent="0.3">
      <c r="B31" s="6" t="s">
        <v>20</v>
      </c>
      <c r="C31" s="17">
        <v>2454</v>
      </c>
      <c r="D31" s="21"/>
      <c r="E31" s="2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2:16" x14ac:dyDescent="0.3">
      <c r="B32" s="6" t="s">
        <v>21</v>
      </c>
      <c r="C32" s="17">
        <v>5659.59</v>
      </c>
      <c r="D32" s="21"/>
      <c r="E32" s="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2:16" x14ac:dyDescent="0.3">
      <c r="B33" s="6" t="s">
        <v>22</v>
      </c>
      <c r="C33" s="17">
        <v>1039</v>
      </c>
      <c r="D33" s="21"/>
      <c r="E33" s="21"/>
      <c r="F33" s="22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x14ac:dyDescent="0.3">
      <c r="B34" s="6" t="s">
        <v>23</v>
      </c>
      <c r="C34" s="17">
        <v>6302</v>
      </c>
      <c r="D34" s="21"/>
      <c r="E34" s="2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x14ac:dyDescent="0.3">
      <c r="B35" s="6" t="s">
        <v>24</v>
      </c>
      <c r="C35" s="17">
        <v>9516.0400000000009</v>
      </c>
      <c r="D35" s="21"/>
      <c r="E35" s="21"/>
      <c r="F35" s="22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6" x14ac:dyDescent="0.3">
      <c r="B36" s="6" t="s">
        <v>25</v>
      </c>
      <c r="C36" s="17">
        <v>232901.88</v>
      </c>
      <c r="D36" s="21"/>
      <c r="E36" s="2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2:16" x14ac:dyDescent="0.3">
      <c r="B37" s="6" t="s">
        <v>26</v>
      </c>
      <c r="C37" s="17">
        <v>1365</v>
      </c>
      <c r="D37" s="21"/>
      <c r="E37" s="2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2:16" x14ac:dyDescent="0.3">
      <c r="B38" s="6" t="s">
        <v>27</v>
      </c>
      <c r="C38" s="17">
        <v>9362</v>
      </c>
      <c r="D38" s="21"/>
      <c r="E38" s="2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2:16" x14ac:dyDescent="0.3">
      <c r="B39" s="6" t="s">
        <v>28</v>
      </c>
      <c r="C39" s="17">
        <v>384</v>
      </c>
      <c r="D39" s="21"/>
      <c r="E39" s="2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3">
      <c r="B40" s="6" t="s">
        <v>29</v>
      </c>
      <c r="C40" s="17">
        <v>16066</v>
      </c>
      <c r="D40" s="21"/>
      <c r="E40" s="2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3">
      <c r="B41" s="6" t="s">
        <v>30</v>
      </c>
      <c r="C41" s="17">
        <v>5809</v>
      </c>
      <c r="D41" s="21"/>
      <c r="E41" s="2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x14ac:dyDescent="0.3">
      <c r="B42" s="6" t="s">
        <v>31</v>
      </c>
      <c r="C42" s="17">
        <v>40853</v>
      </c>
      <c r="D42" s="21"/>
      <c r="E42" s="2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x14ac:dyDescent="0.3">
      <c r="B43" s="6" t="s">
        <v>32</v>
      </c>
      <c r="C43" s="17">
        <v>16930.080000000002</v>
      </c>
      <c r="D43" s="21"/>
      <c r="E43" s="2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x14ac:dyDescent="0.3">
      <c r="B44" s="6" t="s">
        <v>33</v>
      </c>
      <c r="C44" s="17">
        <v>1334</v>
      </c>
      <c r="D44" s="21"/>
      <c r="E44" s="2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x14ac:dyDescent="0.3">
      <c r="B45" s="6" t="s">
        <v>34</v>
      </c>
      <c r="C45" s="17">
        <v>289</v>
      </c>
      <c r="D45" s="21"/>
      <c r="E45" s="2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 x14ac:dyDescent="0.3">
      <c r="B46" s="6" t="s">
        <v>35</v>
      </c>
      <c r="C46" s="23">
        <v>402016.91</v>
      </c>
      <c r="D46" s="24"/>
      <c r="E46" s="25"/>
      <c r="F46" s="25"/>
      <c r="G46" s="25"/>
      <c r="H46" s="3"/>
      <c r="I46" s="3"/>
      <c r="J46" s="3"/>
      <c r="K46" s="3"/>
      <c r="L46" s="3"/>
      <c r="M46" s="3"/>
      <c r="N46" s="3"/>
      <c r="O46" s="3"/>
      <c r="P46" s="3"/>
    </row>
    <row r="47" spans="2:16" x14ac:dyDescent="0.3">
      <c r="B47" s="6" t="s">
        <v>36</v>
      </c>
      <c r="C47" s="20">
        <v>6456915.1600000001</v>
      </c>
      <c r="D47" s="26"/>
      <c r="E47" s="27"/>
      <c r="F47" s="28"/>
      <c r="G47" s="8"/>
      <c r="H47" s="3"/>
      <c r="I47" s="3"/>
      <c r="J47" s="3"/>
      <c r="K47" s="3"/>
      <c r="L47" s="3"/>
      <c r="M47" s="3"/>
      <c r="N47" s="3"/>
      <c r="O47" s="3"/>
      <c r="P47" s="3"/>
    </row>
    <row r="48" spans="2:16" x14ac:dyDescent="0.3">
      <c r="B48" s="6" t="s">
        <v>37</v>
      </c>
      <c r="C48" s="9"/>
      <c r="D48" s="10"/>
      <c r="E48" s="10"/>
      <c r="F48" s="10"/>
      <c r="G48" s="10"/>
      <c r="H48" s="3"/>
      <c r="I48" s="3"/>
      <c r="J48" s="3"/>
      <c r="K48" s="3"/>
      <c r="L48" s="3"/>
      <c r="M48" s="3"/>
      <c r="N48" s="3"/>
      <c r="O48" s="3"/>
      <c r="P48" s="3"/>
    </row>
    <row r="49" spans="2:16" x14ac:dyDescent="0.3">
      <c r="B49" s="6" t="s">
        <v>38</v>
      </c>
      <c r="C49" s="9"/>
      <c r="D49" s="10"/>
      <c r="E49" s="10"/>
      <c r="F49" s="10"/>
      <c r="G49" s="10"/>
      <c r="H49" s="3"/>
      <c r="I49" s="3"/>
      <c r="J49" s="3"/>
      <c r="K49" s="3"/>
      <c r="L49" s="3"/>
      <c r="M49" s="3"/>
      <c r="N49" s="3"/>
      <c r="O49" s="3"/>
      <c r="P49" s="3"/>
    </row>
    <row r="50" spans="2:16" x14ac:dyDescent="0.3">
      <c r="B50" s="6" t="s">
        <v>39</v>
      </c>
      <c r="C50" s="17">
        <v>20397.490000000002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2:16" x14ac:dyDescent="0.3">
      <c r="B51" s="6" t="s">
        <v>40</v>
      </c>
      <c r="C51" s="17">
        <v>59807.66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2:16" x14ac:dyDescent="0.3">
      <c r="B52" s="6" t="s">
        <v>41</v>
      </c>
      <c r="C52" s="17">
        <v>8981.65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2:16" x14ac:dyDescent="0.3">
      <c r="B53" s="6" t="s">
        <v>42</v>
      </c>
      <c r="C53" s="17">
        <v>70280.210000000006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2:16" x14ac:dyDescent="0.3">
      <c r="B54" s="6" t="s">
        <v>43</v>
      </c>
      <c r="C54" s="17">
        <v>46415.34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2:16" x14ac:dyDescent="0.3">
      <c r="B55" s="6" t="s">
        <v>44</v>
      </c>
      <c r="C55" s="17">
        <v>18916.580000000002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2:16" x14ac:dyDescent="0.3">
      <c r="B56" s="6" t="s">
        <v>45</v>
      </c>
      <c r="C56" s="17">
        <v>3311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2:16" x14ac:dyDescent="0.3">
      <c r="B57" s="6" t="s">
        <v>46</v>
      </c>
      <c r="C57" s="17">
        <v>5949.34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2:16" x14ac:dyDescent="0.3">
      <c r="B58" s="6" t="s">
        <v>47</v>
      </c>
      <c r="C58" s="17">
        <v>29703.96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2:16" x14ac:dyDescent="0.3">
      <c r="B59" s="6" t="s">
        <v>48</v>
      </c>
      <c r="C59" s="17">
        <v>7939.07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2:16" x14ac:dyDescent="0.3">
      <c r="B60" s="6" t="s">
        <v>49</v>
      </c>
      <c r="C60" s="17">
        <v>8054.38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2:16" x14ac:dyDescent="0.3">
      <c r="B61" s="6" t="s">
        <v>50</v>
      </c>
      <c r="C61" s="20">
        <v>280012.93</v>
      </c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</row>
    <row r="62" spans="2:16" x14ac:dyDescent="0.3">
      <c r="B62" s="6" t="s">
        <v>51</v>
      </c>
      <c r="C62" s="9"/>
      <c r="D62" s="10"/>
      <c r="E62" s="10"/>
      <c r="F62" s="10"/>
      <c r="G62" s="10"/>
      <c r="H62" s="3"/>
      <c r="I62" s="3"/>
      <c r="J62" s="3"/>
      <c r="K62" s="3"/>
      <c r="L62" s="3"/>
      <c r="M62" s="3"/>
      <c r="N62" s="3"/>
      <c r="O62" s="3"/>
      <c r="P62" s="3"/>
    </row>
    <row r="63" spans="2:16" x14ac:dyDescent="0.3">
      <c r="B63" s="6" t="s">
        <v>52</v>
      </c>
      <c r="C63" s="17">
        <v>152.4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 x14ac:dyDescent="0.3">
      <c r="B64" s="6" t="s">
        <v>53</v>
      </c>
      <c r="C64" s="17">
        <v>-235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2:16" x14ac:dyDescent="0.3">
      <c r="B65" s="6" t="s">
        <v>54</v>
      </c>
      <c r="C65" s="17">
        <v>2911.57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2:16" x14ac:dyDescent="0.3">
      <c r="B66" s="6" t="s">
        <v>55</v>
      </c>
      <c r="C66" s="17">
        <v>1514.89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2:16" x14ac:dyDescent="0.3">
      <c r="B67" s="6" t="s">
        <v>56</v>
      </c>
      <c r="C67" s="17">
        <v>1589.98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3">
      <c r="B68" s="6" t="s">
        <v>57</v>
      </c>
      <c r="C68" s="17">
        <v>6288.25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2:16" x14ac:dyDescent="0.3">
      <c r="B69" s="6" t="s">
        <v>58</v>
      </c>
      <c r="C69" s="17">
        <v>27709.599999999999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2:16" x14ac:dyDescent="0.3">
      <c r="B70" s="6" t="s">
        <v>59</v>
      </c>
      <c r="C70" s="17">
        <v>192.24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2:16" x14ac:dyDescent="0.3">
      <c r="B71" s="6" t="s">
        <v>60</v>
      </c>
      <c r="C71" s="17">
        <v>92.586482000000004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2:16" x14ac:dyDescent="0.3">
      <c r="B72" s="6" t="s">
        <v>61</v>
      </c>
      <c r="C72" s="17">
        <v>2447.31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2:16" x14ac:dyDescent="0.3">
      <c r="B73" s="6" t="s">
        <v>62</v>
      </c>
      <c r="C73" s="17">
        <v>19452.62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2:16" x14ac:dyDescent="0.3">
      <c r="B74" s="6" t="s">
        <v>63</v>
      </c>
      <c r="C74" s="17">
        <v>11657.59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2:16" x14ac:dyDescent="0.3">
      <c r="B75" s="6" t="s">
        <v>64</v>
      </c>
      <c r="C75" s="17">
        <v>11094.53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2:16" x14ac:dyDescent="0.3">
      <c r="B76" s="6" t="s">
        <v>65</v>
      </c>
      <c r="C76" s="17">
        <v>1244.3399999999999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2:16" x14ac:dyDescent="0.3">
      <c r="B77" s="6" t="s">
        <v>66</v>
      </c>
      <c r="C77" s="17">
        <v>1014.55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2:16" x14ac:dyDescent="0.3">
      <c r="B78" s="6" t="s">
        <v>67</v>
      </c>
      <c r="C78" s="20">
        <v>76633.3</v>
      </c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</row>
    <row r="79" spans="2:16" x14ac:dyDescent="0.3">
      <c r="B79" s="6" t="s">
        <v>68</v>
      </c>
      <c r="C79" s="9"/>
      <c r="D79" s="10"/>
      <c r="E79" s="10"/>
      <c r="F79" s="10"/>
      <c r="G79" s="10"/>
      <c r="H79" s="3"/>
      <c r="I79" s="3"/>
      <c r="J79" s="3"/>
      <c r="K79" s="3"/>
      <c r="L79" s="3"/>
      <c r="M79" s="3"/>
      <c r="N79" s="3"/>
      <c r="O79" s="3"/>
      <c r="P79" s="3"/>
    </row>
    <row r="80" spans="2:16" x14ac:dyDescent="0.3">
      <c r="B80" s="6" t="s">
        <v>69</v>
      </c>
      <c r="C80" s="17">
        <v>14957.18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2:16" x14ac:dyDescent="0.3">
      <c r="B81" s="6" t="s">
        <v>70</v>
      </c>
      <c r="C81" s="17">
        <v>14271.68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2:16" x14ac:dyDescent="0.3">
      <c r="B82" s="6" t="s">
        <v>71</v>
      </c>
      <c r="C82" s="17">
        <v>47612.7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2:16" x14ac:dyDescent="0.3">
      <c r="B83" s="6" t="s">
        <v>72</v>
      </c>
      <c r="C83" s="17">
        <v>44257.55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2:16" x14ac:dyDescent="0.3">
      <c r="B84" s="6" t="s">
        <v>73</v>
      </c>
      <c r="C84" s="17">
        <v>8547.84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2:16" x14ac:dyDescent="0.3">
      <c r="B85" s="6" t="s">
        <v>74</v>
      </c>
      <c r="C85" s="17">
        <v>3894.78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2:16" x14ac:dyDescent="0.3">
      <c r="B86" s="6" t="s">
        <v>75</v>
      </c>
      <c r="C86" s="17">
        <v>29822.39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2:16" x14ac:dyDescent="0.3">
      <c r="B87" s="6" t="s">
        <v>76</v>
      </c>
      <c r="C87" s="17">
        <v>2837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2:16" x14ac:dyDescent="0.3">
      <c r="B88" s="6" t="s">
        <v>77</v>
      </c>
      <c r="C88" s="20">
        <v>179125.77</v>
      </c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</row>
    <row r="89" spans="2:16" x14ac:dyDescent="0.3">
      <c r="B89" s="6" t="s">
        <v>78</v>
      </c>
      <c r="C89" s="9"/>
      <c r="D89" s="10"/>
      <c r="E89" s="10"/>
      <c r="F89" s="10"/>
      <c r="G89" s="10"/>
      <c r="H89" s="3"/>
      <c r="I89" s="3"/>
      <c r="J89" s="3"/>
      <c r="K89" s="3"/>
      <c r="L89" s="3"/>
      <c r="M89" s="3"/>
      <c r="N89" s="3"/>
      <c r="O89" s="3"/>
      <c r="P89" s="3"/>
    </row>
    <row r="90" spans="2:16" x14ac:dyDescent="0.3">
      <c r="B90" s="6" t="s">
        <v>79</v>
      </c>
      <c r="C90" s="17">
        <v>694.82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2:16" x14ac:dyDescent="0.3">
      <c r="B91" s="6" t="s">
        <v>80</v>
      </c>
      <c r="C91" s="17">
        <v>-64739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2:16" x14ac:dyDescent="0.3">
      <c r="B92" s="6" t="s">
        <v>81</v>
      </c>
      <c r="C92" s="17">
        <v>685.71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2:16" x14ac:dyDescent="0.3">
      <c r="B93" s="6" t="s">
        <v>82</v>
      </c>
      <c r="C93" s="17">
        <v>750.8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2:16" x14ac:dyDescent="0.3">
      <c r="B94" s="6" t="s">
        <v>83</v>
      </c>
      <c r="C94" s="17">
        <v>10912.59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2:16" x14ac:dyDescent="0.3">
      <c r="B95" s="6" t="s">
        <v>84</v>
      </c>
      <c r="C95" s="20">
        <v>-56662.69</v>
      </c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</row>
    <row r="96" spans="2:16" x14ac:dyDescent="0.3">
      <c r="B96" s="6" t="s">
        <v>85</v>
      </c>
      <c r="C96" s="9"/>
      <c r="D96" s="10"/>
      <c r="E96" s="10"/>
      <c r="F96" s="10"/>
      <c r="G96" s="10"/>
      <c r="H96" s="3"/>
      <c r="I96" s="3"/>
      <c r="J96" s="3"/>
      <c r="K96" s="3"/>
      <c r="L96" s="3"/>
      <c r="M96" s="3"/>
      <c r="N96" s="3"/>
      <c r="O96" s="3"/>
      <c r="P96" s="3"/>
    </row>
    <row r="97" spans="2:16" x14ac:dyDescent="0.3">
      <c r="B97" s="6" t="s">
        <v>86</v>
      </c>
      <c r="C97" s="17">
        <v>84890.26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2:16" x14ac:dyDescent="0.3">
      <c r="B98" s="6" t="s">
        <v>87</v>
      </c>
      <c r="C98" s="17">
        <v>2181.52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2:16" x14ac:dyDescent="0.3">
      <c r="B99" s="6" t="s">
        <v>88</v>
      </c>
      <c r="C99" s="17">
        <v>25421.55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2:16" x14ac:dyDescent="0.3">
      <c r="B100" s="6" t="s">
        <v>89</v>
      </c>
      <c r="C100" s="17">
        <v>2549.4699999999998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2:16" x14ac:dyDescent="0.3">
      <c r="B101" s="6" t="s">
        <v>90</v>
      </c>
      <c r="C101" s="17">
        <v>174.1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2:16" x14ac:dyDescent="0.3">
      <c r="B102" s="6" t="s">
        <v>91</v>
      </c>
      <c r="C102" s="17">
        <v>494.56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2:16" x14ac:dyDescent="0.3">
      <c r="B103" s="6" t="s">
        <v>92</v>
      </c>
      <c r="C103" s="20">
        <v>120758.81</v>
      </c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</row>
    <row r="104" spans="2:16" x14ac:dyDescent="0.3">
      <c r="B104" s="6" t="s">
        <v>93</v>
      </c>
      <c r="C104" s="9"/>
      <c r="D104" s="10"/>
      <c r="E104" s="10"/>
      <c r="F104" s="10"/>
      <c r="G104" s="10"/>
      <c r="H104" s="3"/>
      <c r="I104" s="3"/>
      <c r="J104" s="3"/>
      <c r="K104" s="3"/>
      <c r="L104" s="3"/>
      <c r="M104" s="3"/>
      <c r="N104" s="3"/>
      <c r="O104" s="3"/>
      <c r="P104" s="3"/>
    </row>
    <row r="105" spans="2:16" x14ac:dyDescent="0.3">
      <c r="B105" s="6" t="s">
        <v>94</v>
      </c>
      <c r="C105" s="17">
        <v>820.24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2:16" x14ac:dyDescent="0.3">
      <c r="B106" s="6" t="s">
        <v>95</v>
      </c>
      <c r="C106" s="17">
        <v>1978.78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2:16" x14ac:dyDescent="0.3">
      <c r="B107" s="6" t="s">
        <v>96</v>
      </c>
      <c r="C107" s="17">
        <v>11043.1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2:16" x14ac:dyDescent="0.3">
      <c r="B108" s="6" t="s">
        <v>97</v>
      </c>
      <c r="C108" s="17">
        <v>2513.09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2:16" x14ac:dyDescent="0.3">
      <c r="B109" s="6" t="s">
        <v>98</v>
      </c>
      <c r="C109" s="20">
        <v>14068.26</v>
      </c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</row>
    <row r="110" spans="2:16" x14ac:dyDescent="0.3">
      <c r="B110" s="6" t="s">
        <v>99</v>
      </c>
      <c r="C110" s="9"/>
      <c r="D110" s="10"/>
      <c r="E110" s="10"/>
      <c r="F110" s="10"/>
      <c r="G110" s="10"/>
      <c r="H110" s="3"/>
      <c r="I110" s="3"/>
      <c r="J110" s="3"/>
      <c r="K110" s="3"/>
      <c r="L110" s="3"/>
      <c r="M110" s="3"/>
      <c r="N110" s="3"/>
      <c r="O110" s="3"/>
      <c r="P110" s="3"/>
    </row>
    <row r="111" spans="2:16" x14ac:dyDescent="0.3">
      <c r="B111" s="6" t="s">
        <v>100</v>
      </c>
      <c r="C111" s="17">
        <v>16837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2:16" x14ac:dyDescent="0.3">
      <c r="B112" s="6" t="s">
        <v>101</v>
      </c>
      <c r="C112" s="17">
        <v>2108.91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2:16" x14ac:dyDescent="0.3">
      <c r="B113" s="6" t="s">
        <v>102</v>
      </c>
      <c r="C113" s="17">
        <v>-455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2:16" x14ac:dyDescent="0.3">
      <c r="B114" s="6" t="s">
        <v>103</v>
      </c>
      <c r="C114" s="17">
        <v>3044.77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2:16" x14ac:dyDescent="0.3">
      <c r="B115" s="6" t="s">
        <v>104</v>
      </c>
      <c r="C115" s="17">
        <v>23006.19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2:16" x14ac:dyDescent="0.3">
      <c r="B116" s="6" t="s">
        <v>105</v>
      </c>
      <c r="C116" s="17">
        <v>2550.14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2:16" x14ac:dyDescent="0.3">
      <c r="B117" s="6" t="s">
        <v>106</v>
      </c>
      <c r="C117" s="17">
        <v>20798.939999999999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2:16" x14ac:dyDescent="0.3">
      <c r="B118" s="6" t="s">
        <v>107</v>
      </c>
      <c r="C118" s="17">
        <v>1269.8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2:16" x14ac:dyDescent="0.3">
      <c r="B119" s="6" t="s">
        <v>108</v>
      </c>
      <c r="C119" s="17">
        <v>1430.34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2:16" x14ac:dyDescent="0.3">
      <c r="B120" s="6" t="s">
        <v>109</v>
      </c>
      <c r="C120" s="20">
        <v>73950.490000000005</v>
      </c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</row>
    <row r="121" spans="2:16" x14ac:dyDescent="0.3">
      <c r="B121" s="6" t="s">
        <v>110</v>
      </c>
      <c r="C121" s="9"/>
      <c r="D121" s="10"/>
      <c r="E121" s="10"/>
      <c r="F121" s="10"/>
      <c r="G121" s="10"/>
      <c r="H121" s="3"/>
      <c r="I121" s="3"/>
      <c r="J121" s="3"/>
      <c r="K121" s="3"/>
      <c r="L121" s="3"/>
      <c r="M121" s="3"/>
      <c r="N121" s="3"/>
      <c r="O121" s="3"/>
      <c r="P121" s="3"/>
    </row>
    <row r="122" spans="2:16" x14ac:dyDescent="0.3">
      <c r="B122" s="6" t="s">
        <v>111</v>
      </c>
      <c r="C122" s="17">
        <v>12964.84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2:16" x14ac:dyDescent="0.3">
      <c r="B123" s="6" t="s">
        <v>112</v>
      </c>
      <c r="C123" s="17">
        <v>60717.35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2:16" x14ac:dyDescent="0.3">
      <c r="B124" s="6" t="s">
        <v>113</v>
      </c>
      <c r="C124" s="17">
        <v>11205.23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2:16" x14ac:dyDescent="0.3">
      <c r="B125" s="6" t="s">
        <v>114</v>
      </c>
      <c r="C125" s="17">
        <v>48684.72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2:16" x14ac:dyDescent="0.3">
      <c r="B126" s="6" t="s">
        <v>115</v>
      </c>
      <c r="C126" s="20">
        <v>109101.86</v>
      </c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</row>
    <row r="127" spans="2:16" x14ac:dyDescent="0.3">
      <c r="B127" s="6" t="s">
        <v>116</v>
      </c>
      <c r="C127" s="9"/>
      <c r="D127" s="10"/>
      <c r="E127" s="10"/>
      <c r="F127" s="10"/>
      <c r="G127" s="10"/>
      <c r="H127" s="3"/>
      <c r="I127" s="3"/>
      <c r="J127" s="3"/>
      <c r="K127" s="3"/>
      <c r="L127" s="3"/>
      <c r="M127" s="3"/>
      <c r="N127" s="3"/>
      <c r="O127" s="3"/>
      <c r="P127" s="3"/>
    </row>
    <row r="128" spans="2:16" x14ac:dyDescent="0.3">
      <c r="B128" s="6" t="s">
        <v>525</v>
      </c>
      <c r="C128" s="17">
        <v>201367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2:16" x14ac:dyDescent="0.3">
      <c r="B129" s="6" t="s">
        <v>117</v>
      </c>
      <c r="C129" s="20">
        <v>191408</v>
      </c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</row>
    <row r="130" spans="2:16" x14ac:dyDescent="0.3">
      <c r="B130" s="6" t="s">
        <v>118</v>
      </c>
      <c r="C130" s="9"/>
      <c r="D130" s="10"/>
      <c r="E130" s="10"/>
      <c r="F130" s="10"/>
      <c r="G130" s="11"/>
      <c r="H130" s="3"/>
      <c r="I130" s="3"/>
      <c r="J130" s="3"/>
      <c r="K130" s="3"/>
      <c r="L130" s="3"/>
      <c r="M130" s="3"/>
      <c r="N130" s="3"/>
      <c r="O130" s="3"/>
      <c r="P130" s="3"/>
    </row>
    <row r="131" spans="2:16" x14ac:dyDescent="0.3">
      <c r="B131" s="6" t="s">
        <v>119</v>
      </c>
      <c r="C131" s="17">
        <v>145788.38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2:16" x14ac:dyDescent="0.3">
      <c r="B132" s="6" t="s">
        <v>120</v>
      </c>
      <c r="C132" s="17">
        <v>6529.3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2:16" x14ac:dyDescent="0.3">
      <c r="B133" s="6" t="s">
        <v>121</v>
      </c>
      <c r="C133" s="17">
        <v>4475.67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2:16" x14ac:dyDescent="0.3">
      <c r="B134" s="6" t="s">
        <v>122</v>
      </c>
      <c r="C134" s="17">
        <v>7268.57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2:16" x14ac:dyDescent="0.3">
      <c r="B135" s="6" t="s">
        <v>123</v>
      </c>
      <c r="C135" s="20">
        <v>194393.68</v>
      </c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</row>
    <row r="136" spans="2:16" x14ac:dyDescent="0.3">
      <c r="B136" s="6" t="s">
        <v>124</v>
      </c>
      <c r="C136" s="9"/>
      <c r="D136" s="10"/>
      <c r="E136" s="10"/>
      <c r="F136" s="10"/>
      <c r="G136" s="10"/>
      <c r="H136" s="3"/>
      <c r="I136" s="3"/>
      <c r="J136" s="3"/>
      <c r="K136" s="3"/>
      <c r="L136" s="3"/>
      <c r="M136" s="3"/>
      <c r="N136" s="3"/>
      <c r="O136" s="3"/>
      <c r="P136" s="3"/>
    </row>
    <row r="137" spans="2:16" x14ac:dyDescent="0.3">
      <c r="B137" s="6" t="s">
        <v>125</v>
      </c>
      <c r="C137" s="17">
        <v>590766.24</v>
      </c>
      <c r="D137" s="3"/>
      <c r="E137" s="3"/>
      <c r="F137" s="3"/>
      <c r="G137" s="3"/>
      <c r="H137" s="3"/>
      <c r="I137" s="3"/>
      <c r="J137" s="3"/>
      <c r="K137" s="3"/>
      <c r="L137" s="3"/>
      <c r="M137" s="18"/>
      <c r="N137" s="3"/>
      <c r="O137" s="3"/>
      <c r="P137" s="3"/>
    </row>
    <row r="138" spans="2:16" x14ac:dyDescent="0.3">
      <c r="B138" s="6" t="s">
        <v>126</v>
      </c>
      <c r="C138" s="20">
        <v>479096.71</v>
      </c>
      <c r="D138" s="310">
        <f>C138+C135+C129+C126+C120+C109+C103+C95+C88+C78+C61</f>
        <v>1661887.12</v>
      </c>
      <c r="E138" s="26"/>
      <c r="F138" s="8"/>
      <c r="G138" s="8"/>
      <c r="H138" s="3"/>
      <c r="I138" s="3"/>
      <c r="J138" s="3"/>
      <c r="K138" s="3"/>
      <c r="L138" s="3"/>
      <c r="M138" s="18"/>
      <c r="N138" s="3"/>
      <c r="O138" s="3"/>
      <c r="P138" s="3"/>
    </row>
    <row r="139" spans="2:16" x14ac:dyDescent="0.3">
      <c r="B139" s="6" t="s">
        <v>127</v>
      </c>
      <c r="C139" s="9"/>
      <c r="D139" s="10"/>
      <c r="E139" s="10"/>
      <c r="F139" s="10"/>
      <c r="G139" s="10"/>
      <c r="H139" s="3"/>
      <c r="I139" s="3"/>
      <c r="J139" s="3"/>
      <c r="K139" s="3"/>
      <c r="L139" s="3"/>
      <c r="M139" s="30"/>
      <c r="N139" s="3"/>
      <c r="O139" s="3"/>
      <c r="P139" s="3"/>
    </row>
    <row r="140" spans="2:16" x14ac:dyDescent="0.3">
      <c r="B140" s="6" t="s">
        <v>128</v>
      </c>
      <c r="C140" s="17">
        <v>1581001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2:16" x14ac:dyDescent="0.3">
      <c r="B141" s="6" t="s">
        <v>129</v>
      </c>
      <c r="C141" s="20">
        <v>1647921</v>
      </c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18"/>
      <c r="P141" s="3"/>
    </row>
    <row r="142" spans="2:16" x14ac:dyDescent="0.3">
      <c r="B142" s="6" t="s">
        <v>130</v>
      </c>
      <c r="C142" s="17">
        <v>45206.44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8"/>
      <c r="P142" s="3"/>
    </row>
    <row r="143" spans="2:16" x14ac:dyDescent="0.3">
      <c r="B143" s="6" t="s">
        <v>131</v>
      </c>
      <c r="C143" s="20">
        <v>3705857.03</v>
      </c>
      <c r="D143" s="8"/>
      <c r="E143" s="8"/>
      <c r="F143" s="29"/>
      <c r="G143" s="31"/>
      <c r="H143" s="18"/>
      <c r="I143" s="18"/>
      <c r="J143" s="3"/>
      <c r="K143" s="18"/>
      <c r="L143" s="3"/>
      <c r="M143" s="3"/>
      <c r="N143" s="3"/>
      <c r="O143" s="18"/>
      <c r="P143" s="3"/>
    </row>
    <row r="144" spans="2:16" x14ac:dyDescent="0.3">
      <c r="B144" s="32"/>
      <c r="C144" s="3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8"/>
      <c r="P144" s="18"/>
    </row>
    <row r="145" spans="2:16" x14ac:dyDescent="0.3">
      <c r="B145" s="6" t="s">
        <v>132</v>
      </c>
      <c r="C145" s="34">
        <v>2179102.0499999998</v>
      </c>
      <c r="D145" s="35"/>
      <c r="E145" s="10"/>
      <c r="F145" s="10"/>
      <c r="G145" s="10"/>
      <c r="H145" s="3"/>
      <c r="I145" s="3"/>
      <c r="J145" s="3"/>
      <c r="K145" s="3"/>
      <c r="L145" s="3"/>
      <c r="M145" s="3"/>
      <c r="N145" s="3"/>
      <c r="O145" s="3"/>
      <c r="P145" s="3"/>
    </row>
    <row r="146" spans="2:16" x14ac:dyDescent="0.3">
      <c r="B146" s="32"/>
      <c r="C146" s="33"/>
      <c r="D146" s="3"/>
      <c r="E146" s="36"/>
      <c r="F146" s="18"/>
      <c r="G146" s="18"/>
      <c r="H146" s="18"/>
      <c r="I146" s="18"/>
      <c r="J146" s="18"/>
      <c r="K146" s="18"/>
      <c r="L146" s="3"/>
      <c r="M146" s="3"/>
      <c r="N146" s="3"/>
      <c r="O146" s="3"/>
      <c r="P146" s="3"/>
    </row>
    <row r="147" spans="2:16" x14ac:dyDescent="0.3">
      <c r="B147" s="6" t="s">
        <v>133</v>
      </c>
      <c r="C147" s="12">
        <v>6565290.5700000003</v>
      </c>
      <c r="D147" s="14"/>
      <c r="E147" s="37"/>
      <c r="F147" s="38"/>
      <c r="G147" s="38"/>
      <c r="H147" s="18"/>
      <c r="I147" s="18"/>
      <c r="J147" s="18"/>
      <c r="K147" s="18"/>
      <c r="L147" s="3"/>
      <c r="M147" s="3"/>
      <c r="N147" s="3"/>
      <c r="O147" s="3"/>
      <c r="P147" s="3"/>
    </row>
    <row r="148" spans="2:16" x14ac:dyDescent="0.3">
      <c r="B148" s="6" t="s">
        <v>134</v>
      </c>
      <c r="C148" s="12">
        <v>4268264.3600000003</v>
      </c>
      <c r="D148" s="14"/>
      <c r="E148" s="37"/>
      <c r="F148" s="38"/>
      <c r="G148" s="38"/>
      <c r="H148" s="18"/>
      <c r="I148" s="18"/>
      <c r="J148" s="18"/>
      <c r="K148" s="18"/>
      <c r="L148" s="3"/>
      <c r="M148" s="3"/>
      <c r="N148" s="3"/>
      <c r="O148" s="3"/>
      <c r="P148" s="3"/>
    </row>
    <row r="149" spans="2:16" x14ac:dyDescent="0.3">
      <c r="B149" s="32"/>
      <c r="C149" s="33"/>
      <c r="D149" s="3"/>
      <c r="E149" s="36"/>
      <c r="F149" s="18"/>
      <c r="G149" s="18"/>
      <c r="H149" s="18"/>
      <c r="I149" s="18"/>
      <c r="J149" s="18"/>
      <c r="K149" s="18"/>
      <c r="L149" s="3"/>
      <c r="M149" s="3"/>
      <c r="N149" s="3"/>
      <c r="O149" s="3"/>
      <c r="P149" s="3"/>
    </row>
    <row r="150" spans="2:16" x14ac:dyDescent="0.3">
      <c r="B150" s="6" t="s">
        <v>135</v>
      </c>
      <c r="C150" s="20">
        <v>1965100.72</v>
      </c>
      <c r="D150" s="8"/>
      <c r="E150" s="39"/>
      <c r="F150" s="31"/>
      <c r="G150" s="31"/>
      <c r="H150" s="18"/>
      <c r="I150" s="18"/>
      <c r="J150" s="18"/>
      <c r="K150" s="18"/>
      <c r="L150" s="3"/>
      <c r="M150" s="3"/>
      <c r="N150" s="3"/>
      <c r="O150" s="3"/>
      <c r="P150" s="3"/>
    </row>
    <row r="152" spans="2:16" ht="18" x14ac:dyDescent="0.35">
      <c r="B152" s="332" t="s">
        <v>374</v>
      </c>
      <c r="C152" s="333"/>
      <c r="D152" s="333"/>
      <c r="E152" s="333"/>
      <c r="F152" s="333"/>
      <c r="G152" s="333"/>
      <c r="H152" s="333"/>
      <c r="I152" s="333"/>
      <c r="J152" s="333"/>
    </row>
    <row r="153" spans="2:16" x14ac:dyDescent="0.3">
      <c r="B153" s="330" t="s">
        <v>736</v>
      </c>
      <c r="C153" s="331"/>
      <c r="D153" s="331"/>
      <c r="E153" s="331"/>
      <c r="F153" s="331"/>
      <c r="G153" s="331"/>
      <c r="H153" s="331"/>
      <c r="I153" s="331"/>
      <c r="J153" s="331"/>
    </row>
    <row r="154" spans="2:16" x14ac:dyDescent="0.3">
      <c r="B154" s="331"/>
      <c r="C154" s="331"/>
      <c r="D154" s="331"/>
      <c r="E154" s="331"/>
      <c r="F154" s="331"/>
      <c r="G154" s="331"/>
      <c r="H154" s="331"/>
      <c r="I154" s="331"/>
      <c r="J154" s="331"/>
    </row>
    <row r="155" spans="2:16" x14ac:dyDescent="0.3">
      <c r="B155" s="330" t="s">
        <v>526</v>
      </c>
      <c r="C155" s="331"/>
      <c r="D155" s="331"/>
      <c r="E155" s="331"/>
      <c r="F155" s="331"/>
      <c r="G155" s="331"/>
      <c r="H155" s="331"/>
      <c r="I155" s="331"/>
      <c r="J155" s="331"/>
    </row>
    <row r="156" spans="2:16" x14ac:dyDescent="0.3">
      <c r="B156" s="330" t="s">
        <v>737</v>
      </c>
      <c r="C156" s="331"/>
      <c r="D156" s="331"/>
      <c r="E156" s="331"/>
      <c r="F156" s="331"/>
      <c r="G156" s="331"/>
      <c r="H156" s="331"/>
      <c r="I156" s="331"/>
      <c r="J156" s="331"/>
    </row>
    <row r="157" spans="2:16" x14ac:dyDescent="0.3">
      <c r="B157" s="330" t="s">
        <v>738</v>
      </c>
      <c r="C157" s="331"/>
      <c r="D157" s="331"/>
      <c r="E157" s="331"/>
      <c r="F157" s="331"/>
      <c r="G157" s="331"/>
      <c r="H157" s="331"/>
      <c r="I157" s="331"/>
      <c r="J157" s="331"/>
    </row>
    <row r="158" spans="2:16" x14ac:dyDescent="0.3">
      <c r="B158" s="330" t="s">
        <v>739</v>
      </c>
      <c r="C158" s="331"/>
      <c r="D158" s="331"/>
      <c r="E158" s="331"/>
      <c r="F158" s="331"/>
      <c r="G158" s="331"/>
      <c r="H158" s="331"/>
      <c r="I158" s="331"/>
      <c r="J158" s="331"/>
    </row>
    <row r="159" spans="2:16" x14ac:dyDescent="0.3">
      <c r="B159" s="331"/>
      <c r="C159" s="331"/>
      <c r="D159" s="331"/>
      <c r="E159" s="331"/>
      <c r="F159" s="331"/>
      <c r="G159" s="331"/>
      <c r="H159" s="331"/>
      <c r="I159" s="331"/>
      <c r="J159" s="331"/>
    </row>
    <row r="160" spans="2:16" x14ac:dyDescent="0.3">
      <c r="B160" s="4" t="s">
        <v>373</v>
      </c>
      <c r="C160" s="4" t="s">
        <v>372</v>
      </c>
      <c r="D160" s="4" t="s">
        <v>371</v>
      </c>
      <c r="E160" s="4" t="s">
        <v>370</v>
      </c>
      <c r="F160" s="4" t="s">
        <v>369</v>
      </c>
      <c r="G160" s="4" t="s">
        <v>368</v>
      </c>
      <c r="H160" s="4" t="s">
        <v>367</v>
      </c>
      <c r="I160" s="4" t="s">
        <v>366</v>
      </c>
      <c r="J160" s="4" t="s">
        <v>365</v>
      </c>
    </row>
    <row r="161" spans="2:10" x14ac:dyDescent="0.3">
      <c r="B161" s="338" t="s">
        <v>527</v>
      </c>
      <c r="C161" s="339" t="s">
        <v>364</v>
      </c>
      <c r="D161" s="339" t="s">
        <v>364</v>
      </c>
      <c r="E161" s="339" t="s">
        <v>364</v>
      </c>
      <c r="F161" s="339" t="s">
        <v>364</v>
      </c>
      <c r="G161" s="339" t="s">
        <v>364</v>
      </c>
      <c r="H161" s="339" t="s">
        <v>364</v>
      </c>
      <c r="I161" s="339" t="s">
        <v>364</v>
      </c>
      <c r="J161" s="339" t="s">
        <v>364</v>
      </c>
    </row>
    <row r="162" spans="2:10" x14ac:dyDescent="0.3">
      <c r="B162" s="6" t="s">
        <v>363</v>
      </c>
      <c r="C162" s="6" t="s">
        <v>528</v>
      </c>
      <c r="D162" s="6" t="s">
        <v>166</v>
      </c>
      <c r="E162" s="17">
        <v>2181</v>
      </c>
      <c r="F162" s="17">
        <v>2060</v>
      </c>
      <c r="G162" s="40">
        <v>44434</v>
      </c>
      <c r="H162" s="40">
        <v>45747</v>
      </c>
      <c r="I162" s="40">
        <v>44434</v>
      </c>
      <c r="J162" s="17">
        <v>0</v>
      </c>
    </row>
    <row r="163" spans="2:10" x14ac:dyDescent="0.3">
      <c r="B163" s="6" t="s">
        <v>362</v>
      </c>
      <c r="C163" s="6" t="s">
        <v>529</v>
      </c>
      <c r="D163" s="6" t="s">
        <v>166</v>
      </c>
      <c r="E163" s="17">
        <v>1978</v>
      </c>
      <c r="F163" s="17">
        <v>1978</v>
      </c>
      <c r="G163" s="40">
        <v>44974</v>
      </c>
      <c r="H163" s="40">
        <v>46081</v>
      </c>
      <c r="I163" s="40">
        <v>44974</v>
      </c>
      <c r="J163" s="17">
        <v>58.073917999999999</v>
      </c>
    </row>
    <row r="164" spans="2:10" x14ac:dyDescent="0.3">
      <c r="B164" s="6" t="s">
        <v>361</v>
      </c>
      <c r="C164" s="6" t="s">
        <v>530</v>
      </c>
      <c r="D164" s="6" t="s">
        <v>166</v>
      </c>
      <c r="E164" s="17">
        <v>2831</v>
      </c>
      <c r="F164" s="17">
        <v>2709</v>
      </c>
      <c r="G164" s="40">
        <v>45564</v>
      </c>
      <c r="H164" s="40">
        <v>45930</v>
      </c>
      <c r="I164" s="40">
        <v>45564</v>
      </c>
      <c r="J164" s="17">
        <v>0</v>
      </c>
    </row>
    <row r="165" spans="2:10" x14ac:dyDescent="0.3">
      <c r="B165" s="6" t="s">
        <v>360</v>
      </c>
      <c r="C165" s="6" t="s">
        <v>531</v>
      </c>
      <c r="D165" s="6" t="s">
        <v>166</v>
      </c>
      <c r="E165" s="17">
        <v>2751</v>
      </c>
      <c r="F165" s="17">
        <v>2633</v>
      </c>
      <c r="G165" s="40">
        <v>45381</v>
      </c>
      <c r="H165" s="40">
        <v>46112</v>
      </c>
      <c r="I165" s="40">
        <v>45381</v>
      </c>
      <c r="J165" s="17">
        <v>0</v>
      </c>
    </row>
    <row r="166" spans="2:10" x14ac:dyDescent="0.3">
      <c r="B166" s="6" t="s">
        <v>359</v>
      </c>
      <c r="C166" s="6" t="s">
        <v>532</v>
      </c>
      <c r="D166" s="6" t="s">
        <v>166</v>
      </c>
      <c r="E166" s="17">
        <v>1967</v>
      </c>
      <c r="F166" s="17">
        <v>1898</v>
      </c>
      <c r="G166" s="40">
        <v>45658</v>
      </c>
      <c r="H166" s="40">
        <v>46022</v>
      </c>
      <c r="I166" s="40">
        <v>45658</v>
      </c>
      <c r="J166" s="17">
        <v>0</v>
      </c>
    </row>
    <row r="167" spans="2:10" x14ac:dyDescent="0.3">
      <c r="B167" s="6" t="s">
        <v>358</v>
      </c>
      <c r="C167" s="6" t="s">
        <v>533</v>
      </c>
      <c r="D167" s="6" t="s">
        <v>215</v>
      </c>
      <c r="E167" s="17">
        <v>1803</v>
      </c>
      <c r="F167" s="17">
        <v>1703</v>
      </c>
      <c r="G167" s="40">
        <v>45383</v>
      </c>
      <c r="H167" s="40">
        <v>45747</v>
      </c>
      <c r="I167" s="40">
        <v>45383</v>
      </c>
      <c r="J167" s="17">
        <v>0</v>
      </c>
    </row>
    <row r="168" spans="2:10" x14ac:dyDescent="0.3">
      <c r="B168" s="6" t="s">
        <v>357</v>
      </c>
      <c r="C168" s="6" t="s">
        <v>534</v>
      </c>
      <c r="D168" s="6" t="s">
        <v>166</v>
      </c>
      <c r="E168" s="17">
        <v>1779</v>
      </c>
      <c r="F168" s="17">
        <v>1779</v>
      </c>
      <c r="G168" s="40">
        <v>45627</v>
      </c>
      <c r="H168" s="40">
        <v>45991</v>
      </c>
      <c r="I168" s="40">
        <v>45627</v>
      </c>
      <c r="J168" s="17">
        <v>0</v>
      </c>
    </row>
    <row r="169" spans="2:10" x14ac:dyDescent="0.3">
      <c r="B169" s="6" t="s">
        <v>356</v>
      </c>
      <c r="C169" s="6" t="s">
        <v>535</v>
      </c>
      <c r="D169" s="6" t="s">
        <v>166</v>
      </c>
      <c r="E169" s="17">
        <v>2585</v>
      </c>
      <c r="F169" s="17">
        <v>2479</v>
      </c>
      <c r="G169" s="40">
        <v>45505</v>
      </c>
      <c r="H169" s="40">
        <v>45869</v>
      </c>
      <c r="I169" s="40">
        <v>45505</v>
      </c>
      <c r="J169" s="17">
        <v>0</v>
      </c>
    </row>
    <row r="170" spans="2:10" x14ac:dyDescent="0.3">
      <c r="B170" s="6" t="s">
        <v>355</v>
      </c>
      <c r="C170" s="6" t="s">
        <v>536</v>
      </c>
      <c r="D170" s="6" t="s">
        <v>166</v>
      </c>
      <c r="E170" s="17">
        <v>2038</v>
      </c>
      <c r="F170" s="17">
        <v>1958</v>
      </c>
      <c r="G170" s="40">
        <v>45564</v>
      </c>
      <c r="H170" s="40">
        <v>45838</v>
      </c>
      <c r="I170" s="40">
        <v>45564</v>
      </c>
      <c r="J170" s="17">
        <v>0</v>
      </c>
    </row>
    <row r="171" spans="2:10" x14ac:dyDescent="0.3">
      <c r="B171" s="6" t="s">
        <v>354</v>
      </c>
      <c r="C171" s="6" t="s">
        <v>537</v>
      </c>
      <c r="D171" s="6" t="s">
        <v>166</v>
      </c>
      <c r="E171" s="17">
        <v>2263</v>
      </c>
      <c r="F171" s="17">
        <v>2128</v>
      </c>
      <c r="G171" s="40">
        <v>44440</v>
      </c>
      <c r="H171" s="40">
        <v>45930</v>
      </c>
      <c r="I171" s="40">
        <v>44440</v>
      </c>
      <c r="J171" s="17">
        <v>0</v>
      </c>
    </row>
    <row r="172" spans="2:10" x14ac:dyDescent="0.3">
      <c r="B172" s="6" t="s">
        <v>353</v>
      </c>
      <c r="C172" s="6" t="s">
        <v>538</v>
      </c>
      <c r="D172" s="6" t="s">
        <v>166</v>
      </c>
      <c r="E172" s="17">
        <v>1990</v>
      </c>
      <c r="F172" s="17">
        <v>1848</v>
      </c>
      <c r="G172" s="40">
        <v>44925</v>
      </c>
      <c r="H172" s="40">
        <v>45838</v>
      </c>
      <c r="I172" s="40">
        <v>44925</v>
      </c>
      <c r="J172" s="17">
        <v>1988</v>
      </c>
    </row>
    <row r="173" spans="2:10" x14ac:dyDescent="0.3">
      <c r="B173" s="6" t="s">
        <v>352</v>
      </c>
      <c r="C173" s="6" t="s">
        <v>539</v>
      </c>
      <c r="D173" s="6" t="s">
        <v>166</v>
      </c>
      <c r="E173" s="17">
        <v>1835</v>
      </c>
      <c r="F173" s="17">
        <v>1751</v>
      </c>
      <c r="G173" s="40">
        <v>45536</v>
      </c>
      <c r="H173" s="40">
        <v>45900</v>
      </c>
      <c r="I173" s="40">
        <v>45536</v>
      </c>
      <c r="J173" s="17">
        <v>1879</v>
      </c>
    </row>
    <row r="174" spans="2:10" x14ac:dyDescent="0.3">
      <c r="B174" s="6" t="s">
        <v>351</v>
      </c>
      <c r="C174" s="6" t="s">
        <v>540</v>
      </c>
      <c r="D174" s="6" t="s">
        <v>166</v>
      </c>
      <c r="E174" s="17">
        <v>2335</v>
      </c>
      <c r="F174" s="17">
        <v>2250</v>
      </c>
      <c r="G174" s="40">
        <v>45275</v>
      </c>
      <c r="H174" s="40">
        <v>45991</v>
      </c>
      <c r="I174" s="40">
        <v>45275</v>
      </c>
      <c r="J174" s="17">
        <v>2549</v>
      </c>
    </row>
    <row r="175" spans="2:10" x14ac:dyDescent="0.3">
      <c r="B175" s="6" t="s">
        <v>350</v>
      </c>
      <c r="C175" s="6" t="s">
        <v>541</v>
      </c>
      <c r="D175" s="6" t="s">
        <v>166</v>
      </c>
      <c r="E175" s="17">
        <v>2860</v>
      </c>
      <c r="F175" s="17">
        <v>2737</v>
      </c>
      <c r="G175" s="40">
        <v>45077</v>
      </c>
      <c r="H175" s="40">
        <v>45808</v>
      </c>
      <c r="I175" s="40">
        <v>45077</v>
      </c>
      <c r="J175" s="17">
        <v>3032</v>
      </c>
    </row>
    <row r="176" spans="2:10" x14ac:dyDescent="0.3">
      <c r="B176" s="6" t="s">
        <v>349</v>
      </c>
      <c r="C176" s="6" t="s">
        <v>542</v>
      </c>
      <c r="D176" s="6" t="s">
        <v>166</v>
      </c>
      <c r="E176" s="17">
        <v>2433</v>
      </c>
      <c r="F176" s="17">
        <v>2309</v>
      </c>
      <c r="G176" s="40">
        <v>45397</v>
      </c>
      <c r="H176" s="40">
        <v>45777</v>
      </c>
      <c r="I176" s="40">
        <v>45397</v>
      </c>
      <c r="J176" s="17">
        <v>0</v>
      </c>
    </row>
    <row r="177" spans="2:10" x14ac:dyDescent="0.3">
      <c r="B177" s="6" t="s">
        <v>348</v>
      </c>
      <c r="C177" s="6" t="s">
        <v>543</v>
      </c>
      <c r="D177" s="6" t="s">
        <v>166</v>
      </c>
      <c r="E177" s="17">
        <v>1898</v>
      </c>
      <c r="F177" s="17">
        <v>1817</v>
      </c>
      <c r="G177" s="40">
        <v>45402</v>
      </c>
      <c r="H177" s="40">
        <v>45777</v>
      </c>
      <c r="I177" s="40">
        <v>45402</v>
      </c>
      <c r="J177" s="17">
        <v>0</v>
      </c>
    </row>
    <row r="178" spans="2:10" x14ac:dyDescent="0.3">
      <c r="B178" s="6" t="s">
        <v>347</v>
      </c>
      <c r="C178" s="6" t="s">
        <v>544</v>
      </c>
      <c r="D178" s="6" t="s">
        <v>166</v>
      </c>
      <c r="E178" s="17">
        <v>1736</v>
      </c>
      <c r="F178" s="17">
        <v>1703</v>
      </c>
      <c r="G178" s="40">
        <v>45324</v>
      </c>
      <c r="H178" s="40">
        <v>46053</v>
      </c>
      <c r="I178" s="40">
        <v>45324</v>
      </c>
      <c r="J178" s="17">
        <v>0</v>
      </c>
    </row>
    <row r="179" spans="2:10" x14ac:dyDescent="0.3">
      <c r="B179" s="6" t="s">
        <v>346</v>
      </c>
      <c r="C179" s="6" t="s">
        <v>545</v>
      </c>
      <c r="D179" s="6" t="s">
        <v>166</v>
      </c>
      <c r="E179" s="17">
        <v>2395</v>
      </c>
      <c r="F179" s="17">
        <v>2275</v>
      </c>
      <c r="G179" s="40">
        <v>45444</v>
      </c>
      <c r="H179" s="40">
        <v>45808</v>
      </c>
      <c r="I179" s="40">
        <v>45444</v>
      </c>
      <c r="J179" s="17">
        <v>2449</v>
      </c>
    </row>
    <row r="180" spans="2:10" x14ac:dyDescent="0.3">
      <c r="B180" s="6" t="s">
        <v>345</v>
      </c>
      <c r="C180" s="6" t="s">
        <v>546</v>
      </c>
      <c r="D180" s="6" t="s">
        <v>166</v>
      </c>
      <c r="E180" s="17">
        <v>2013</v>
      </c>
      <c r="F180" s="17">
        <v>2013</v>
      </c>
      <c r="G180" s="40">
        <v>45703</v>
      </c>
      <c r="H180" s="40">
        <v>46081</v>
      </c>
      <c r="I180" s="40">
        <v>45703</v>
      </c>
      <c r="J180" s="17">
        <v>0</v>
      </c>
    </row>
    <row r="181" spans="2:10" x14ac:dyDescent="0.3">
      <c r="B181" s="6" t="s">
        <v>344</v>
      </c>
      <c r="C181" s="6" t="s">
        <v>547</v>
      </c>
      <c r="D181" s="6" t="s">
        <v>166</v>
      </c>
      <c r="E181" s="17">
        <v>1857</v>
      </c>
      <c r="F181" s="17">
        <v>1786</v>
      </c>
      <c r="G181" s="40">
        <v>45248</v>
      </c>
      <c r="H181" s="40">
        <v>45991</v>
      </c>
      <c r="I181" s="40">
        <v>45248</v>
      </c>
      <c r="J181" s="17">
        <v>0</v>
      </c>
    </row>
    <row r="182" spans="2:10" x14ac:dyDescent="0.3">
      <c r="B182" s="6" t="s">
        <v>343</v>
      </c>
      <c r="C182" s="6" t="s">
        <v>548</v>
      </c>
      <c r="D182" s="6" t="s">
        <v>166</v>
      </c>
      <c r="E182" s="17">
        <v>1925</v>
      </c>
      <c r="F182" s="17">
        <v>1925</v>
      </c>
      <c r="G182" s="40">
        <v>45657</v>
      </c>
      <c r="H182" s="40">
        <v>46022</v>
      </c>
      <c r="I182" s="40">
        <v>45657</v>
      </c>
      <c r="J182" s="17">
        <v>0</v>
      </c>
    </row>
    <row r="183" spans="2:10" x14ac:dyDescent="0.3">
      <c r="B183" s="6" t="s">
        <v>342</v>
      </c>
      <c r="C183" s="6" t="s">
        <v>549</v>
      </c>
      <c r="D183" s="6" t="s">
        <v>166</v>
      </c>
      <c r="E183" s="17">
        <v>2002</v>
      </c>
      <c r="F183" s="17">
        <v>1932</v>
      </c>
      <c r="G183" s="40">
        <v>44666</v>
      </c>
      <c r="H183" s="40">
        <v>45808</v>
      </c>
      <c r="I183" s="40">
        <v>44666</v>
      </c>
      <c r="J183" s="17">
        <v>0</v>
      </c>
    </row>
    <row r="184" spans="2:10" x14ac:dyDescent="0.3">
      <c r="B184" s="6" t="s">
        <v>341</v>
      </c>
      <c r="C184" s="6" t="s">
        <v>550</v>
      </c>
      <c r="D184" s="6" t="s">
        <v>166</v>
      </c>
      <c r="E184" s="17">
        <v>1795</v>
      </c>
      <c r="F184" s="17">
        <v>1759</v>
      </c>
      <c r="G184" s="40">
        <v>45422</v>
      </c>
      <c r="H184" s="40">
        <v>45777</v>
      </c>
      <c r="I184" s="40">
        <v>45422</v>
      </c>
      <c r="J184" s="17">
        <v>0</v>
      </c>
    </row>
    <row r="185" spans="2:10" x14ac:dyDescent="0.3">
      <c r="B185" s="6" t="s">
        <v>340</v>
      </c>
      <c r="C185" s="6" t="s">
        <v>551</v>
      </c>
      <c r="D185" s="6" t="s">
        <v>166</v>
      </c>
      <c r="E185" s="17">
        <v>2024</v>
      </c>
      <c r="F185" s="17">
        <v>1951</v>
      </c>
      <c r="G185" s="40">
        <v>45536</v>
      </c>
      <c r="H185" s="40">
        <v>45900</v>
      </c>
      <c r="I185" s="40">
        <v>45536</v>
      </c>
      <c r="J185" s="17">
        <v>2096</v>
      </c>
    </row>
    <row r="186" spans="2:10" x14ac:dyDescent="0.3">
      <c r="B186" s="6" t="s">
        <v>339</v>
      </c>
      <c r="C186" s="6" t="s">
        <v>552</v>
      </c>
      <c r="D186" s="6" t="s">
        <v>215</v>
      </c>
      <c r="E186" s="17">
        <v>2113</v>
      </c>
      <c r="F186" s="17">
        <v>857.97</v>
      </c>
      <c r="G186" s="40">
        <v>45366</v>
      </c>
      <c r="H186" s="40">
        <v>45730</v>
      </c>
      <c r="I186" s="40">
        <v>45366</v>
      </c>
      <c r="J186" s="17">
        <v>877.57</v>
      </c>
    </row>
    <row r="187" spans="2:10" x14ac:dyDescent="0.3">
      <c r="B187" s="6" t="s">
        <v>338</v>
      </c>
      <c r="C187" s="6" t="s">
        <v>553</v>
      </c>
      <c r="D187" s="6" t="s">
        <v>166</v>
      </c>
      <c r="E187" s="17">
        <v>2090</v>
      </c>
      <c r="F187" s="17">
        <v>2014</v>
      </c>
      <c r="G187" s="40">
        <v>45292</v>
      </c>
      <c r="H187" s="40">
        <v>46022</v>
      </c>
      <c r="I187" s="40">
        <v>45292</v>
      </c>
      <c r="J187" s="17">
        <v>1105</v>
      </c>
    </row>
    <row r="188" spans="2:10" x14ac:dyDescent="0.3">
      <c r="B188" s="6" t="s">
        <v>337</v>
      </c>
      <c r="C188" s="6" t="s">
        <v>554</v>
      </c>
      <c r="D188" s="6" t="s">
        <v>166</v>
      </c>
      <c r="E188" s="17">
        <v>2671</v>
      </c>
      <c r="F188" s="17">
        <v>2551</v>
      </c>
      <c r="G188" s="40">
        <v>45527</v>
      </c>
      <c r="H188" s="40">
        <v>45900</v>
      </c>
      <c r="I188" s="40">
        <v>45527</v>
      </c>
      <c r="J188" s="17">
        <v>0</v>
      </c>
    </row>
    <row r="189" spans="2:10" x14ac:dyDescent="0.3">
      <c r="B189" s="6" t="s">
        <v>336</v>
      </c>
      <c r="C189" s="6" t="s">
        <v>555</v>
      </c>
      <c r="D189" s="6" t="s">
        <v>166</v>
      </c>
      <c r="E189" s="17">
        <v>2282</v>
      </c>
      <c r="F189" s="17">
        <v>2087</v>
      </c>
      <c r="G189" s="40">
        <v>44378</v>
      </c>
      <c r="H189" s="40">
        <v>46022</v>
      </c>
      <c r="I189" s="40">
        <v>44378</v>
      </c>
      <c r="J189" s="17">
        <v>2240</v>
      </c>
    </row>
    <row r="190" spans="2:10" x14ac:dyDescent="0.3">
      <c r="B190" s="6" t="s">
        <v>335</v>
      </c>
      <c r="C190" s="6" t="s">
        <v>556</v>
      </c>
      <c r="D190" s="6" t="s">
        <v>166</v>
      </c>
      <c r="E190" s="17">
        <v>2414</v>
      </c>
      <c r="F190" s="17">
        <v>2320</v>
      </c>
      <c r="G190" s="40">
        <v>44593</v>
      </c>
      <c r="H190" s="40">
        <v>46081</v>
      </c>
      <c r="I190" s="40">
        <v>44593</v>
      </c>
      <c r="J190" s="17">
        <v>0</v>
      </c>
    </row>
    <row r="191" spans="2:10" x14ac:dyDescent="0.3">
      <c r="B191" s="6" t="s">
        <v>334</v>
      </c>
      <c r="C191" s="6" t="s">
        <v>557</v>
      </c>
      <c r="D191" s="6" t="s">
        <v>166</v>
      </c>
      <c r="E191" s="17">
        <v>2341</v>
      </c>
      <c r="F191" s="17">
        <v>2341</v>
      </c>
      <c r="G191" s="40">
        <v>45352</v>
      </c>
      <c r="H191" s="40">
        <v>46081</v>
      </c>
      <c r="I191" s="40">
        <v>45352</v>
      </c>
      <c r="J191" s="17">
        <v>0</v>
      </c>
    </row>
    <row r="192" spans="2:10" x14ac:dyDescent="0.3">
      <c r="B192" s="6" t="s">
        <v>333</v>
      </c>
      <c r="C192" s="6" t="s">
        <v>558</v>
      </c>
      <c r="D192" s="6" t="s">
        <v>166</v>
      </c>
      <c r="E192" s="17">
        <v>1948</v>
      </c>
      <c r="F192" s="17">
        <v>1851</v>
      </c>
      <c r="G192" s="40">
        <v>45397</v>
      </c>
      <c r="H192" s="40">
        <v>45777</v>
      </c>
      <c r="I192" s="40">
        <v>45397</v>
      </c>
      <c r="J192" s="17">
        <v>0</v>
      </c>
    </row>
    <row r="193" spans="2:10" x14ac:dyDescent="0.3">
      <c r="B193" s="6" t="s">
        <v>332</v>
      </c>
      <c r="C193" s="6" t="s">
        <v>559</v>
      </c>
      <c r="D193" s="6" t="s">
        <v>166</v>
      </c>
      <c r="E193" s="17">
        <v>1936</v>
      </c>
      <c r="F193" s="17">
        <v>1812</v>
      </c>
      <c r="G193" s="40">
        <v>44317</v>
      </c>
      <c r="H193" s="40">
        <v>45838</v>
      </c>
      <c r="I193" s="40">
        <v>44317</v>
      </c>
      <c r="J193" s="17">
        <v>0</v>
      </c>
    </row>
    <row r="194" spans="2:10" x14ac:dyDescent="0.3">
      <c r="B194" s="6" t="s">
        <v>331</v>
      </c>
      <c r="C194" s="6" t="s">
        <v>560</v>
      </c>
      <c r="D194" s="6" t="s">
        <v>166</v>
      </c>
      <c r="E194" s="17">
        <v>2536</v>
      </c>
      <c r="F194" s="17">
        <v>2433</v>
      </c>
      <c r="G194" s="40">
        <v>44870</v>
      </c>
      <c r="H194" s="41"/>
      <c r="I194" s="40">
        <v>44870</v>
      </c>
      <c r="J194" s="17">
        <v>2863.85</v>
      </c>
    </row>
    <row r="195" spans="2:10" x14ac:dyDescent="0.3">
      <c r="B195" s="6" t="s">
        <v>330</v>
      </c>
      <c r="C195" s="6" t="s">
        <v>561</v>
      </c>
      <c r="D195" s="6" t="s">
        <v>166</v>
      </c>
      <c r="E195" s="17">
        <v>2289</v>
      </c>
      <c r="F195" s="17">
        <v>2235</v>
      </c>
      <c r="G195" s="40">
        <v>45535</v>
      </c>
      <c r="H195" s="40">
        <v>45900</v>
      </c>
      <c r="I195" s="40">
        <v>45535</v>
      </c>
      <c r="J195" s="17">
        <v>0</v>
      </c>
    </row>
    <row r="196" spans="2:10" x14ac:dyDescent="0.3">
      <c r="B196" s="6" t="s">
        <v>329</v>
      </c>
      <c r="C196" s="6" t="s">
        <v>562</v>
      </c>
      <c r="D196" s="6" t="s">
        <v>166</v>
      </c>
      <c r="E196" s="17">
        <v>2017</v>
      </c>
      <c r="F196" s="17">
        <v>1891</v>
      </c>
      <c r="G196" s="40">
        <v>44470</v>
      </c>
      <c r="H196" s="40">
        <v>45777</v>
      </c>
      <c r="I196" s="40">
        <v>44470</v>
      </c>
      <c r="J196" s="17">
        <v>0</v>
      </c>
    </row>
    <row r="197" spans="2:10" x14ac:dyDescent="0.3">
      <c r="B197" s="6" t="s">
        <v>328</v>
      </c>
      <c r="C197" s="6" t="s">
        <v>563</v>
      </c>
      <c r="D197" s="6" t="s">
        <v>166</v>
      </c>
      <c r="E197" s="17">
        <v>1950</v>
      </c>
      <c r="F197" s="17">
        <v>1737</v>
      </c>
      <c r="G197" s="40">
        <v>44501</v>
      </c>
      <c r="H197" s="40">
        <v>46022</v>
      </c>
      <c r="I197" s="40">
        <v>44501</v>
      </c>
      <c r="J197" s="17">
        <v>1966.26</v>
      </c>
    </row>
    <row r="198" spans="2:10" x14ac:dyDescent="0.3">
      <c r="B198" s="6" t="s">
        <v>327</v>
      </c>
      <c r="C198" s="6" t="s">
        <v>564</v>
      </c>
      <c r="D198" s="6" t="s">
        <v>215</v>
      </c>
      <c r="E198" s="17">
        <v>3566</v>
      </c>
      <c r="F198" s="17">
        <v>3221</v>
      </c>
      <c r="G198" s="40">
        <v>45139</v>
      </c>
      <c r="H198" s="40">
        <v>45838</v>
      </c>
      <c r="I198" s="40">
        <v>45139</v>
      </c>
      <c r="J198" s="17">
        <v>3566</v>
      </c>
    </row>
    <row r="199" spans="2:10" x14ac:dyDescent="0.3">
      <c r="B199" s="6" t="s">
        <v>326</v>
      </c>
      <c r="C199" s="6" t="s">
        <v>565</v>
      </c>
      <c r="D199" s="6" t="s">
        <v>166</v>
      </c>
      <c r="E199" s="17">
        <v>1750</v>
      </c>
      <c r="F199" s="17">
        <v>1666</v>
      </c>
      <c r="G199" s="40">
        <v>45019</v>
      </c>
      <c r="H199" s="40">
        <v>46112</v>
      </c>
      <c r="I199" s="40">
        <v>45019</v>
      </c>
      <c r="J199" s="17">
        <v>0</v>
      </c>
    </row>
    <row r="200" spans="2:10" x14ac:dyDescent="0.3">
      <c r="B200" s="6" t="s">
        <v>325</v>
      </c>
      <c r="C200" s="6" t="s">
        <v>566</v>
      </c>
      <c r="D200" s="6" t="s">
        <v>166</v>
      </c>
      <c r="E200" s="17">
        <v>1820</v>
      </c>
      <c r="F200" s="17">
        <v>1712</v>
      </c>
      <c r="G200" s="40">
        <v>44926</v>
      </c>
      <c r="H200" s="40">
        <v>46022</v>
      </c>
      <c r="I200" s="40">
        <v>44926</v>
      </c>
      <c r="J200" s="17">
        <v>0</v>
      </c>
    </row>
    <row r="201" spans="2:10" x14ac:dyDescent="0.3">
      <c r="B201" s="6" t="s">
        <v>324</v>
      </c>
      <c r="C201" s="6" t="s">
        <v>567</v>
      </c>
      <c r="D201" s="6" t="s">
        <v>166</v>
      </c>
      <c r="E201" s="17">
        <v>2422</v>
      </c>
      <c r="F201" s="17">
        <v>2307</v>
      </c>
      <c r="G201" s="40">
        <v>44401</v>
      </c>
      <c r="H201" s="40">
        <v>45900</v>
      </c>
      <c r="I201" s="40">
        <v>44401</v>
      </c>
      <c r="J201" s="17">
        <v>0</v>
      </c>
    </row>
    <row r="202" spans="2:10" x14ac:dyDescent="0.3">
      <c r="B202" s="6" t="s">
        <v>323</v>
      </c>
      <c r="C202" s="6" t="s">
        <v>568</v>
      </c>
      <c r="D202" s="6" t="s">
        <v>166</v>
      </c>
      <c r="E202" s="17">
        <v>2105</v>
      </c>
      <c r="F202" s="17">
        <v>2035</v>
      </c>
      <c r="G202" s="40">
        <v>45156</v>
      </c>
      <c r="H202" s="40">
        <v>45869</v>
      </c>
      <c r="I202" s="40">
        <v>45156</v>
      </c>
      <c r="J202" s="17">
        <v>0</v>
      </c>
    </row>
    <row r="203" spans="2:10" x14ac:dyDescent="0.3">
      <c r="B203" s="6" t="s">
        <v>322</v>
      </c>
      <c r="C203" s="6" t="s">
        <v>569</v>
      </c>
      <c r="D203" s="6" t="s">
        <v>166</v>
      </c>
      <c r="E203" s="17">
        <v>2448</v>
      </c>
      <c r="F203" s="17">
        <v>2448</v>
      </c>
      <c r="G203" s="40">
        <v>45647</v>
      </c>
      <c r="H203" s="40">
        <v>46022</v>
      </c>
      <c r="I203" s="40">
        <v>45647</v>
      </c>
      <c r="J203" s="17">
        <v>0</v>
      </c>
    </row>
    <row r="204" spans="2:10" x14ac:dyDescent="0.3">
      <c r="B204" s="6" t="s">
        <v>321</v>
      </c>
      <c r="C204" s="6" t="s">
        <v>570</v>
      </c>
      <c r="D204" s="6" t="s">
        <v>166</v>
      </c>
      <c r="E204" s="17">
        <v>2360</v>
      </c>
      <c r="F204" s="17">
        <v>2213</v>
      </c>
      <c r="G204" s="40">
        <v>44407</v>
      </c>
      <c r="H204" s="40">
        <v>46053</v>
      </c>
      <c r="I204" s="40">
        <v>44407</v>
      </c>
      <c r="J204" s="17">
        <v>0</v>
      </c>
    </row>
    <row r="205" spans="2:10" x14ac:dyDescent="0.3">
      <c r="B205" s="6" t="s">
        <v>320</v>
      </c>
      <c r="C205" s="6" t="s">
        <v>571</v>
      </c>
      <c r="D205" s="6" t="s">
        <v>166</v>
      </c>
      <c r="E205" s="17">
        <v>2587</v>
      </c>
      <c r="F205" s="17">
        <v>2558</v>
      </c>
      <c r="G205" s="40">
        <v>45245</v>
      </c>
      <c r="H205" s="40">
        <v>46053</v>
      </c>
      <c r="I205" s="40">
        <v>45245</v>
      </c>
      <c r="J205" s="17">
        <v>0</v>
      </c>
    </row>
    <row r="206" spans="2:10" x14ac:dyDescent="0.3">
      <c r="B206" s="6" t="s">
        <v>319</v>
      </c>
      <c r="C206" s="6" t="s">
        <v>572</v>
      </c>
      <c r="D206" s="6" t="s">
        <v>166</v>
      </c>
      <c r="E206" s="17">
        <v>2346</v>
      </c>
      <c r="F206" s="17">
        <v>2215</v>
      </c>
      <c r="G206" s="40">
        <v>45465</v>
      </c>
      <c r="H206" s="40">
        <v>45838</v>
      </c>
      <c r="I206" s="40">
        <v>45465</v>
      </c>
      <c r="J206" s="17">
        <v>0</v>
      </c>
    </row>
    <row r="207" spans="2:10" x14ac:dyDescent="0.3">
      <c r="B207" s="6" t="s">
        <v>318</v>
      </c>
      <c r="C207" s="6" t="s">
        <v>573</v>
      </c>
      <c r="D207" s="6" t="s">
        <v>166</v>
      </c>
      <c r="E207" s="17">
        <v>1858</v>
      </c>
      <c r="F207" s="17">
        <v>1628</v>
      </c>
      <c r="G207" s="40">
        <v>44348</v>
      </c>
      <c r="H207" s="40">
        <v>45991</v>
      </c>
      <c r="I207" s="40">
        <v>44348</v>
      </c>
      <c r="J207" s="17">
        <v>0</v>
      </c>
    </row>
    <row r="208" spans="2:10" x14ac:dyDescent="0.3">
      <c r="B208" s="6" t="s">
        <v>317</v>
      </c>
      <c r="C208" s="6" t="s">
        <v>574</v>
      </c>
      <c r="D208" s="6" t="s">
        <v>166</v>
      </c>
      <c r="E208" s="17">
        <v>2649</v>
      </c>
      <c r="F208" s="17">
        <v>2619</v>
      </c>
      <c r="G208" s="40">
        <v>45527</v>
      </c>
      <c r="H208" s="40">
        <v>45900</v>
      </c>
      <c r="I208" s="40">
        <v>45527</v>
      </c>
      <c r="J208" s="17">
        <v>0</v>
      </c>
    </row>
    <row r="209" spans="2:10" x14ac:dyDescent="0.3">
      <c r="B209" s="6" t="s">
        <v>316</v>
      </c>
      <c r="C209" s="6" t="s">
        <v>575</v>
      </c>
      <c r="D209" s="6" t="s">
        <v>166</v>
      </c>
      <c r="E209" s="17">
        <v>2099</v>
      </c>
      <c r="F209" s="17">
        <v>2069</v>
      </c>
      <c r="G209" s="40">
        <v>45323</v>
      </c>
      <c r="H209" s="40">
        <v>46053</v>
      </c>
      <c r="I209" s="40">
        <v>45323</v>
      </c>
      <c r="J209" s="17">
        <v>0</v>
      </c>
    </row>
    <row r="210" spans="2:10" x14ac:dyDescent="0.3">
      <c r="B210" s="6" t="s">
        <v>315</v>
      </c>
      <c r="C210" s="6" t="s">
        <v>576</v>
      </c>
      <c r="D210" s="6" t="s">
        <v>166</v>
      </c>
      <c r="E210" s="17">
        <v>2114</v>
      </c>
      <c r="F210" s="17">
        <v>2027</v>
      </c>
      <c r="G210" s="40">
        <v>45366</v>
      </c>
      <c r="H210" s="40">
        <v>46112</v>
      </c>
      <c r="I210" s="40">
        <v>45366</v>
      </c>
      <c r="J210" s="17">
        <v>606</v>
      </c>
    </row>
    <row r="211" spans="2:10" x14ac:dyDescent="0.3">
      <c r="B211" s="6" t="s">
        <v>314</v>
      </c>
      <c r="C211" s="6" t="s">
        <v>577</v>
      </c>
      <c r="D211" s="6" t="s">
        <v>166</v>
      </c>
      <c r="E211" s="17">
        <v>2379</v>
      </c>
      <c r="F211" s="17">
        <v>2267</v>
      </c>
      <c r="G211" s="40">
        <v>45383</v>
      </c>
      <c r="H211" s="40">
        <v>45747</v>
      </c>
      <c r="I211" s="40">
        <v>45383</v>
      </c>
      <c r="J211" s="17">
        <v>2321</v>
      </c>
    </row>
    <row r="212" spans="2:10" x14ac:dyDescent="0.3">
      <c r="B212" s="6" t="s">
        <v>313</v>
      </c>
      <c r="C212" s="6" t="s">
        <v>578</v>
      </c>
      <c r="D212" s="6" t="s">
        <v>166</v>
      </c>
      <c r="E212" s="17">
        <v>3111</v>
      </c>
      <c r="F212" s="17">
        <v>2747</v>
      </c>
      <c r="G212" s="40">
        <v>44585</v>
      </c>
      <c r="H212" s="40">
        <v>45900</v>
      </c>
      <c r="I212" s="40">
        <v>44585</v>
      </c>
      <c r="J212" s="17">
        <v>0</v>
      </c>
    </row>
    <row r="213" spans="2:10" x14ac:dyDescent="0.3">
      <c r="B213" s="6" t="s">
        <v>312</v>
      </c>
      <c r="C213" s="6" t="s">
        <v>579</v>
      </c>
      <c r="D213" s="6" t="s">
        <v>166</v>
      </c>
      <c r="E213" s="17">
        <v>2682</v>
      </c>
      <c r="F213" s="17">
        <v>2574</v>
      </c>
      <c r="G213" s="40">
        <v>45437</v>
      </c>
      <c r="H213" s="40">
        <v>45808</v>
      </c>
      <c r="I213" s="40">
        <v>45437</v>
      </c>
      <c r="J213" s="17">
        <v>1659</v>
      </c>
    </row>
    <row r="214" spans="2:10" x14ac:dyDescent="0.3">
      <c r="B214" s="6" t="s">
        <v>311</v>
      </c>
      <c r="C214" s="6" t="s">
        <v>580</v>
      </c>
      <c r="D214" s="6" t="s">
        <v>166</v>
      </c>
      <c r="E214" s="17">
        <v>2731</v>
      </c>
      <c r="F214" s="17">
        <v>2612</v>
      </c>
      <c r="G214" s="40">
        <v>44880</v>
      </c>
      <c r="H214" s="40">
        <v>45991</v>
      </c>
      <c r="I214" s="40">
        <v>44880</v>
      </c>
      <c r="J214" s="17">
        <v>2872</v>
      </c>
    </row>
    <row r="215" spans="2:10" x14ac:dyDescent="0.3">
      <c r="B215" s="6" t="s">
        <v>310</v>
      </c>
      <c r="C215" s="6" t="s">
        <v>581</v>
      </c>
      <c r="D215" s="6" t="s">
        <v>166</v>
      </c>
      <c r="E215" s="17">
        <v>2659</v>
      </c>
      <c r="F215" s="17">
        <v>2548</v>
      </c>
      <c r="G215" s="40">
        <v>45473</v>
      </c>
      <c r="H215" s="40">
        <v>45838</v>
      </c>
      <c r="I215" s="40">
        <v>45473</v>
      </c>
      <c r="J215" s="17">
        <v>0</v>
      </c>
    </row>
    <row r="216" spans="2:10" x14ac:dyDescent="0.3">
      <c r="B216" s="6" t="s">
        <v>309</v>
      </c>
      <c r="C216" s="6" t="s">
        <v>582</v>
      </c>
      <c r="D216" s="6" t="s">
        <v>166</v>
      </c>
      <c r="E216" s="17">
        <v>2682</v>
      </c>
      <c r="F216" s="17">
        <v>2649</v>
      </c>
      <c r="G216" s="40">
        <v>45245</v>
      </c>
      <c r="H216" s="40">
        <v>46053</v>
      </c>
      <c r="I216" s="40">
        <v>45245</v>
      </c>
      <c r="J216" s="17">
        <v>2707</v>
      </c>
    </row>
    <row r="217" spans="2:10" x14ac:dyDescent="0.3">
      <c r="B217" s="6" t="s">
        <v>308</v>
      </c>
      <c r="C217" s="6" t="s">
        <v>583</v>
      </c>
      <c r="D217" s="6" t="s">
        <v>215</v>
      </c>
      <c r="E217" s="17">
        <v>2721</v>
      </c>
      <c r="F217" s="17">
        <v>2542</v>
      </c>
      <c r="G217" s="40">
        <v>45017</v>
      </c>
      <c r="H217" s="40">
        <v>45747</v>
      </c>
      <c r="I217" s="40">
        <v>45017</v>
      </c>
      <c r="J217" s="17">
        <v>2734.65</v>
      </c>
    </row>
    <row r="218" spans="2:10" x14ac:dyDescent="0.3">
      <c r="B218" s="6" t="s">
        <v>307</v>
      </c>
      <c r="C218" s="6" t="s">
        <v>584</v>
      </c>
      <c r="D218" s="6" t="s">
        <v>166</v>
      </c>
      <c r="E218" s="17">
        <v>2355</v>
      </c>
      <c r="F218" s="17">
        <v>2263</v>
      </c>
      <c r="G218" s="40">
        <v>45467</v>
      </c>
      <c r="H218" s="40">
        <v>45838</v>
      </c>
      <c r="I218" s="40">
        <v>45467</v>
      </c>
      <c r="J218" s="17">
        <v>0</v>
      </c>
    </row>
    <row r="219" spans="2:10" x14ac:dyDescent="0.3">
      <c r="B219" s="6" t="s">
        <v>306</v>
      </c>
      <c r="C219" s="6" t="s">
        <v>585</v>
      </c>
      <c r="D219" s="6" t="s">
        <v>166</v>
      </c>
      <c r="E219" s="17">
        <v>2303</v>
      </c>
      <c r="F219" s="17">
        <v>2151</v>
      </c>
      <c r="G219" s="40">
        <v>45017</v>
      </c>
      <c r="H219" s="40">
        <v>45747</v>
      </c>
      <c r="I219" s="40">
        <v>45017</v>
      </c>
      <c r="J219" s="17">
        <v>0</v>
      </c>
    </row>
    <row r="220" spans="2:10" x14ac:dyDescent="0.3">
      <c r="B220" s="6" t="s">
        <v>305</v>
      </c>
      <c r="C220" s="6" t="s">
        <v>586</v>
      </c>
      <c r="D220" s="6" t="s">
        <v>166</v>
      </c>
      <c r="E220" s="17">
        <v>1831</v>
      </c>
      <c r="F220" s="17">
        <v>1827</v>
      </c>
      <c r="G220" s="40">
        <v>45473</v>
      </c>
      <c r="H220" s="40">
        <v>45838</v>
      </c>
      <c r="I220" s="40">
        <v>45473</v>
      </c>
      <c r="J220" s="17">
        <v>0</v>
      </c>
    </row>
    <row r="221" spans="2:10" x14ac:dyDescent="0.3">
      <c r="B221" s="6" t="s">
        <v>304</v>
      </c>
      <c r="C221" s="6" t="s">
        <v>587</v>
      </c>
      <c r="D221" s="6" t="s">
        <v>166</v>
      </c>
      <c r="E221" s="17">
        <v>2539</v>
      </c>
      <c r="F221" s="17">
        <v>2481</v>
      </c>
      <c r="G221" s="40">
        <v>45591</v>
      </c>
      <c r="H221" s="40">
        <v>45961</v>
      </c>
      <c r="I221" s="40">
        <v>45591</v>
      </c>
      <c r="J221" s="17">
        <v>0</v>
      </c>
    </row>
    <row r="222" spans="2:10" x14ac:dyDescent="0.3">
      <c r="B222" s="6" t="s">
        <v>303</v>
      </c>
      <c r="C222" s="6" t="s">
        <v>588</v>
      </c>
      <c r="D222" s="6" t="s">
        <v>166</v>
      </c>
      <c r="E222" s="17">
        <v>2446</v>
      </c>
      <c r="F222" s="17">
        <v>2347</v>
      </c>
      <c r="G222" s="40">
        <v>45520</v>
      </c>
      <c r="H222" s="40">
        <v>45808</v>
      </c>
      <c r="I222" s="40">
        <v>45520</v>
      </c>
      <c r="J222" s="17">
        <v>0</v>
      </c>
    </row>
    <row r="223" spans="2:10" x14ac:dyDescent="0.3">
      <c r="B223" s="6" t="s">
        <v>302</v>
      </c>
      <c r="C223" s="6" t="s">
        <v>589</v>
      </c>
      <c r="D223" s="6" t="s">
        <v>166</v>
      </c>
      <c r="E223" s="17">
        <v>2469</v>
      </c>
      <c r="F223" s="17">
        <v>2342</v>
      </c>
      <c r="G223" s="40">
        <v>45163</v>
      </c>
      <c r="H223" s="40">
        <v>45900</v>
      </c>
      <c r="I223" s="40">
        <v>45163</v>
      </c>
      <c r="J223" s="17">
        <v>0</v>
      </c>
    </row>
    <row r="224" spans="2:10" x14ac:dyDescent="0.3">
      <c r="B224" s="6" t="s">
        <v>301</v>
      </c>
      <c r="C224" s="6" t="s">
        <v>590</v>
      </c>
      <c r="D224" s="6" t="s">
        <v>166</v>
      </c>
      <c r="E224" s="17">
        <v>2387</v>
      </c>
      <c r="F224" s="17">
        <v>2341</v>
      </c>
      <c r="G224" s="40">
        <v>44757</v>
      </c>
      <c r="H224" s="40">
        <v>45869</v>
      </c>
      <c r="I224" s="40">
        <v>44757</v>
      </c>
      <c r="J224" s="17">
        <v>0</v>
      </c>
    </row>
    <row r="225" spans="2:10" x14ac:dyDescent="0.3">
      <c r="B225" s="6" t="s">
        <v>300</v>
      </c>
      <c r="C225" s="6" t="s">
        <v>591</v>
      </c>
      <c r="D225" s="6" t="s">
        <v>166</v>
      </c>
      <c r="E225" s="17">
        <v>2165</v>
      </c>
      <c r="F225" s="17">
        <v>2075</v>
      </c>
      <c r="G225" s="40">
        <v>45122</v>
      </c>
      <c r="H225" s="40">
        <v>45838</v>
      </c>
      <c r="I225" s="40">
        <v>45122</v>
      </c>
      <c r="J225" s="17">
        <v>0</v>
      </c>
    </row>
    <row r="226" spans="2:10" x14ac:dyDescent="0.3">
      <c r="B226" s="6" t="s">
        <v>299</v>
      </c>
      <c r="C226" s="6" t="s">
        <v>592</v>
      </c>
      <c r="D226" s="6" t="s">
        <v>166</v>
      </c>
      <c r="E226" s="17">
        <v>1682</v>
      </c>
      <c r="F226" s="17">
        <v>1645</v>
      </c>
      <c r="G226" s="40">
        <v>45620</v>
      </c>
      <c r="H226" s="40">
        <v>45991</v>
      </c>
      <c r="I226" s="40">
        <v>45620</v>
      </c>
      <c r="J226" s="17">
        <v>1750.65</v>
      </c>
    </row>
    <row r="227" spans="2:10" x14ac:dyDescent="0.3">
      <c r="B227" s="6" t="s">
        <v>298</v>
      </c>
      <c r="C227" s="6" t="s">
        <v>593</v>
      </c>
      <c r="D227" s="6" t="s">
        <v>166</v>
      </c>
      <c r="E227" s="17">
        <v>2131</v>
      </c>
      <c r="F227" s="17">
        <v>2111</v>
      </c>
      <c r="G227" s="40">
        <v>45337</v>
      </c>
      <c r="H227" s="40">
        <v>46265</v>
      </c>
      <c r="I227" s="40">
        <v>45337</v>
      </c>
      <c r="J227" s="17">
        <v>2262</v>
      </c>
    </row>
    <row r="228" spans="2:10" x14ac:dyDescent="0.3">
      <c r="B228" s="6" t="s">
        <v>297</v>
      </c>
      <c r="C228" s="6" t="s">
        <v>594</v>
      </c>
      <c r="D228" s="6" t="s">
        <v>166</v>
      </c>
      <c r="E228" s="17">
        <v>2150</v>
      </c>
      <c r="F228" s="17">
        <v>2073</v>
      </c>
      <c r="G228" s="40">
        <v>45541</v>
      </c>
      <c r="H228" s="40">
        <v>45900</v>
      </c>
      <c r="I228" s="40">
        <v>45541</v>
      </c>
      <c r="J228" s="17">
        <v>2265</v>
      </c>
    </row>
    <row r="229" spans="2:10" x14ac:dyDescent="0.3">
      <c r="B229" s="6" t="s">
        <v>296</v>
      </c>
      <c r="C229" s="6" t="s">
        <v>595</v>
      </c>
      <c r="D229" s="6" t="s">
        <v>215</v>
      </c>
      <c r="E229" s="17">
        <v>2732</v>
      </c>
      <c r="F229" s="17">
        <v>2616</v>
      </c>
      <c r="G229" s="40">
        <v>45017</v>
      </c>
      <c r="H229" s="40">
        <v>45747</v>
      </c>
      <c r="I229" s="40">
        <v>45017</v>
      </c>
      <c r="J229" s="17">
        <v>0</v>
      </c>
    </row>
    <row r="230" spans="2:10" x14ac:dyDescent="0.3">
      <c r="B230" s="6" t="s">
        <v>295</v>
      </c>
      <c r="C230" s="6" t="s">
        <v>596</v>
      </c>
      <c r="D230" s="6" t="s">
        <v>166</v>
      </c>
      <c r="E230" s="17">
        <v>2202</v>
      </c>
      <c r="F230" s="17">
        <v>2112</v>
      </c>
      <c r="G230" s="40">
        <v>45494</v>
      </c>
      <c r="H230" s="40">
        <v>45869</v>
      </c>
      <c r="I230" s="40">
        <v>45494</v>
      </c>
      <c r="J230" s="17">
        <v>0</v>
      </c>
    </row>
    <row r="231" spans="2:10" x14ac:dyDescent="0.3">
      <c r="B231" s="6" t="s">
        <v>294</v>
      </c>
      <c r="C231" s="6" t="s">
        <v>597</v>
      </c>
      <c r="D231" s="6" t="s">
        <v>166</v>
      </c>
      <c r="E231" s="17">
        <v>2815</v>
      </c>
      <c r="F231" s="17">
        <v>2689</v>
      </c>
      <c r="G231" s="40">
        <v>45051</v>
      </c>
      <c r="H231" s="40">
        <v>45777</v>
      </c>
      <c r="I231" s="40">
        <v>45051</v>
      </c>
      <c r="J231" s="17">
        <v>0</v>
      </c>
    </row>
    <row r="232" spans="2:10" x14ac:dyDescent="0.3">
      <c r="B232" s="6" t="s">
        <v>293</v>
      </c>
      <c r="C232" s="6" t="s">
        <v>598</v>
      </c>
      <c r="D232" s="6" t="s">
        <v>166</v>
      </c>
      <c r="E232" s="17">
        <v>3213</v>
      </c>
      <c r="F232" s="17">
        <v>3001</v>
      </c>
      <c r="G232" s="40">
        <v>45593</v>
      </c>
      <c r="H232" s="40">
        <v>45961</v>
      </c>
      <c r="I232" s="40">
        <v>45593</v>
      </c>
      <c r="J232" s="17">
        <v>3240.84</v>
      </c>
    </row>
    <row r="233" spans="2:10" x14ac:dyDescent="0.3">
      <c r="B233" s="6" t="s">
        <v>292</v>
      </c>
      <c r="C233" s="6" t="s">
        <v>599</v>
      </c>
      <c r="D233" s="6" t="s">
        <v>166</v>
      </c>
      <c r="E233" s="17">
        <v>2178</v>
      </c>
      <c r="F233" s="17">
        <v>1964</v>
      </c>
      <c r="G233" s="40">
        <v>44652</v>
      </c>
      <c r="H233" s="40">
        <v>45777</v>
      </c>
      <c r="I233" s="40">
        <v>44652</v>
      </c>
      <c r="J233" s="17">
        <v>2116</v>
      </c>
    </row>
    <row r="234" spans="2:10" x14ac:dyDescent="0.3">
      <c r="B234" s="6" t="s">
        <v>291</v>
      </c>
      <c r="C234" s="6" t="s">
        <v>600</v>
      </c>
      <c r="D234" s="6" t="s">
        <v>166</v>
      </c>
      <c r="E234" s="17">
        <v>2481</v>
      </c>
      <c r="F234" s="17">
        <v>2444</v>
      </c>
      <c r="G234" s="40">
        <v>45332</v>
      </c>
      <c r="H234" s="40">
        <v>46053</v>
      </c>
      <c r="I234" s="40">
        <v>45332</v>
      </c>
      <c r="J234" s="17">
        <v>2605</v>
      </c>
    </row>
    <row r="235" spans="2:10" x14ac:dyDescent="0.3">
      <c r="B235" s="6" t="s">
        <v>290</v>
      </c>
      <c r="C235" s="6" t="s">
        <v>601</v>
      </c>
      <c r="D235" s="6" t="s">
        <v>166</v>
      </c>
      <c r="E235" s="17">
        <v>2372</v>
      </c>
      <c r="F235" s="17">
        <v>2069</v>
      </c>
      <c r="G235" s="40">
        <v>44575</v>
      </c>
      <c r="H235" s="40">
        <v>45716</v>
      </c>
      <c r="I235" s="40">
        <v>44575</v>
      </c>
      <c r="J235" s="17">
        <v>2136</v>
      </c>
    </row>
    <row r="236" spans="2:10" x14ac:dyDescent="0.3">
      <c r="B236" s="6" t="s">
        <v>289</v>
      </c>
      <c r="C236" s="6" t="s">
        <v>602</v>
      </c>
      <c r="D236" s="6" t="s">
        <v>166</v>
      </c>
      <c r="E236" s="17">
        <v>2397</v>
      </c>
      <c r="F236" s="17">
        <v>2259</v>
      </c>
      <c r="G236" s="40">
        <v>45031</v>
      </c>
      <c r="H236" s="41"/>
      <c r="I236" s="40">
        <v>45031</v>
      </c>
      <c r="J236" s="17">
        <v>0</v>
      </c>
    </row>
    <row r="237" spans="2:10" x14ac:dyDescent="0.3">
      <c r="B237" s="6" t="s">
        <v>288</v>
      </c>
      <c r="C237" s="6" t="s">
        <v>603</v>
      </c>
      <c r="D237" s="6" t="s">
        <v>166</v>
      </c>
      <c r="E237" s="17">
        <v>2014</v>
      </c>
      <c r="F237" s="17">
        <v>1926</v>
      </c>
      <c r="G237" s="40">
        <v>44926</v>
      </c>
      <c r="H237" s="40">
        <v>46022</v>
      </c>
      <c r="I237" s="40">
        <v>44926</v>
      </c>
      <c r="J237" s="17">
        <v>0</v>
      </c>
    </row>
    <row r="238" spans="2:10" x14ac:dyDescent="0.3">
      <c r="B238" s="6" t="s">
        <v>287</v>
      </c>
      <c r="C238" s="6" t="s">
        <v>604</v>
      </c>
      <c r="D238" s="6" t="s">
        <v>166</v>
      </c>
      <c r="E238" s="17">
        <v>2242</v>
      </c>
      <c r="F238" s="17">
        <v>2011</v>
      </c>
      <c r="G238" s="40">
        <v>44455</v>
      </c>
      <c r="H238" s="40">
        <v>45930</v>
      </c>
      <c r="I238" s="40">
        <v>44455</v>
      </c>
      <c r="J238" s="17">
        <v>0</v>
      </c>
    </row>
    <row r="239" spans="2:10" x14ac:dyDescent="0.3">
      <c r="B239" s="6" t="s">
        <v>286</v>
      </c>
      <c r="C239" s="6" t="s">
        <v>605</v>
      </c>
      <c r="D239" s="6" t="s">
        <v>166</v>
      </c>
      <c r="E239" s="17">
        <v>2060</v>
      </c>
      <c r="F239" s="17">
        <v>1980</v>
      </c>
      <c r="G239" s="40">
        <v>45296</v>
      </c>
      <c r="H239" s="40">
        <v>45838</v>
      </c>
      <c r="I239" s="40">
        <v>45296</v>
      </c>
      <c r="J239" s="17">
        <v>0</v>
      </c>
    </row>
    <row r="240" spans="2:10" x14ac:dyDescent="0.3">
      <c r="B240" s="6" t="s">
        <v>285</v>
      </c>
      <c r="C240" s="6" t="s">
        <v>606</v>
      </c>
      <c r="D240" s="6" t="s">
        <v>166</v>
      </c>
      <c r="E240" s="17">
        <v>2580</v>
      </c>
      <c r="F240" s="17">
        <v>2400</v>
      </c>
      <c r="G240" s="40">
        <v>44618</v>
      </c>
      <c r="H240" s="40">
        <v>45747</v>
      </c>
      <c r="I240" s="40">
        <v>44618</v>
      </c>
      <c r="J240" s="17">
        <v>0</v>
      </c>
    </row>
    <row r="241" spans="2:10" x14ac:dyDescent="0.3">
      <c r="B241" s="6" t="s">
        <v>284</v>
      </c>
      <c r="C241" s="6" t="s">
        <v>607</v>
      </c>
      <c r="D241" s="6" t="s">
        <v>166</v>
      </c>
      <c r="E241" s="17">
        <v>2662</v>
      </c>
      <c r="F241" s="17">
        <v>2553</v>
      </c>
      <c r="G241" s="40">
        <v>45576</v>
      </c>
      <c r="H241" s="40">
        <v>45930</v>
      </c>
      <c r="I241" s="40">
        <v>45576</v>
      </c>
      <c r="J241" s="17">
        <v>2719</v>
      </c>
    </row>
    <row r="242" spans="2:10" x14ac:dyDescent="0.3">
      <c r="B242" s="6" t="s">
        <v>283</v>
      </c>
      <c r="C242" s="6" t="s">
        <v>608</v>
      </c>
      <c r="D242" s="6" t="s">
        <v>166</v>
      </c>
      <c r="E242" s="17">
        <v>2777</v>
      </c>
      <c r="F242" s="17">
        <v>2670</v>
      </c>
      <c r="G242" s="40">
        <v>44228</v>
      </c>
      <c r="H242" s="40">
        <v>46265</v>
      </c>
      <c r="I242" s="40">
        <v>44228</v>
      </c>
      <c r="J242" s="17">
        <v>0</v>
      </c>
    </row>
    <row r="243" spans="2:10" x14ac:dyDescent="0.3">
      <c r="B243" s="6" t="s">
        <v>282</v>
      </c>
      <c r="C243" s="6" t="s">
        <v>609</v>
      </c>
      <c r="D243" s="6" t="s">
        <v>166</v>
      </c>
      <c r="E243" s="17">
        <v>1831</v>
      </c>
      <c r="F243" s="17">
        <v>1731</v>
      </c>
      <c r="G243" s="40">
        <v>44621</v>
      </c>
      <c r="H243" s="40">
        <v>45747</v>
      </c>
      <c r="I243" s="40">
        <v>44621</v>
      </c>
      <c r="J243" s="17">
        <v>0</v>
      </c>
    </row>
    <row r="244" spans="2:10" x14ac:dyDescent="0.3">
      <c r="B244" s="6" t="s">
        <v>281</v>
      </c>
      <c r="C244" s="6" t="s">
        <v>610</v>
      </c>
      <c r="D244" s="6" t="s">
        <v>166</v>
      </c>
      <c r="E244" s="17">
        <v>1887</v>
      </c>
      <c r="F244" s="17">
        <v>1795</v>
      </c>
      <c r="G244" s="40">
        <v>45536</v>
      </c>
      <c r="H244" s="40">
        <v>45900</v>
      </c>
      <c r="I244" s="40">
        <v>45536</v>
      </c>
      <c r="J244" s="17">
        <v>0</v>
      </c>
    </row>
    <row r="245" spans="2:10" x14ac:dyDescent="0.3">
      <c r="B245" s="6" t="s">
        <v>280</v>
      </c>
      <c r="C245" s="6" t="s">
        <v>611</v>
      </c>
      <c r="D245" s="6" t="s">
        <v>166</v>
      </c>
      <c r="E245" s="17">
        <v>2360</v>
      </c>
      <c r="F245" s="17">
        <v>2328</v>
      </c>
      <c r="G245" s="40">
        <v>45231</v>
      </c>
      <c r="H245" s="40">
        <v>46053</v>
      </c>
      <c r="I245" s="40">
        <v>45231</v>
      </c>
      <c r="J245" s="17">
        <v>-4</v>
      </c>
    </row>
    <row r="246" spans="2:10" x14ac:dyDescent="0.3">
      <c r="B246" s="6" t="s">
        <v>279</v>
      </c>
      <c r="C246" s="6" t="s">
        <v>612</v>
      </c>
      <c r="D246" s="6" t="s">
        <v>166</v>
      </c>
      <c r="E246" s="17">
        <v>1939</v>
      </c>
      <c r="F246" s="17">
        <v>1939</v>
      </c>
      <c r="G246" s="40">
        <v>45338</v>
      </c>
      <c r="H246" s="40">
        <v>46081</v>
      </c>
      <c r="I246" s="40">
        <v>45338</v>
      </c>
      <c r="J246" s="17">
        <v>0</v>
      </c>
    </row>
    <row r="247" spans="2:10" x14ac:dyDescent="0.3">
      <c r="B247" s="6" t="s">
        <v>278</v>
      </c>
      <c r="C247" s="6" t="s">
        <v>613</v>
      </c>
      <c r="D247" s="6" t="s">
        <v>166</v>
      </c>
      <c r="E247" s="17">
        <v>2187</v>
      </c>
      <c r="F247" s="17">
        <v>2081</v>
      </c>
      <c r="G247" s="40">
        <v>45488</v>
      </c>
      <c r="H247" s="40">
        <v>45838</v>
      </c>
      <c r="I247" s="40">
        <v>45488</v>
      </c>
      <c r="J247" s="17">
        <v>2235</v>
      </c>
    </row>
    <row r="248" spans="2:10" x14ac:dyDescent="0.3">
      <c r="B248" s="6" t="s">
        <v>277</v>
      </c>
      <c r="C248" s="6" t="s">
        <v>614</v>
      </c>
      <c r="D248" s="6" t="s">
        <v>166</v>
      </c>
      <c r="E248" s="17">
        <v>1964</v>
      </c>
      <c r="F248" s="17">
        <v>1861</v>
      </c>
      <c r="G248" s="40">
        <v>45458</v>
      </c>
      <c r="H248" s="40">
        <v>45838</v>
      </c>
      <c r="I248" s="40">
        <v>45458</v>
      </c>
      <c r="J248" s="17">
        <v>1908</v>
      </c>
    </row>
    <row r="249" spans="2:10" x14ac:dyDescent="0.3">
      <c r="B249" s="6" t="s">
        <v>276</v>
      </c>
      <c r="C249" s="6" t="s">
        <v>615</v>
      </c>
      <c r="D249" s="6" t="s">
        <v>166</v>
      </c>
      <c r="E249" s="17">
        <v>2461</v>
      </c>
      <c r="F249" s="17">
        <v>2252</v>
      </c>
      <c r="G249" s="40">
        <v>44560</v>
      </c>
      <c r="H249" s="40">
        <v>45869</v>
      </c>
      <c r="I249" s="40">
        <v>44560</v>
      </c>
      <c r="J249" s="17">
        <v>0</v>
      </c>
    </row>
    <row r="250" spans="2:10" x14ac:dyDescent="0.3">
      <c r="B250" s="6" t="s">
        <v>275</v>
      </c>
      <c r="C250" s="6" t="s">
        <v>616</v>
      </c>
      <c r="D250" s="6" t="s">
        <v>166</v>
      </c>
      <c r="E250" s="17">
        <v>2922</v>
      </c>
      <c r="F250" s="17">
        <v>2796</v>
      </c>
      <c r="G250" s="40">
        <v>45402</v>
      </c>
      <c r="H250" s="40">
        <v>45777</v>
      </c>
      <c r="I250" s="40">
        <v>45402</v>
      </c>
      <c r="J250" s="17">
        <v>0</v>
      </c>
    </row>
    <row r="251" spans="2:10" x14ac:dyDescent="0.3">
      <c r="B251" s="6" t="s">
        <v>274</v>
      </c>
      <c r="C251" s="6" t="s">
        <v>617</v>
      </c>
      <c r="D251" s="6" t="s">
        <v>166</v>
      </c>
      <c r="E251" s="17">
        <v>1825</v>
      </c>
      <c r="F251" s="17">
        <v>1825</v>
      </c>
      <c r="G251" s="40">
        <v>45689</v>
      </c>
      <c r="H251" s="40">
        <v>46053</v>
      </c>
      <c r="I251" s="40">
        <v>45689</v>
      </c>
      <c r="J251" s="17">
        <v>1949</v>
      </c>
    </row>
    <row r="252" spans="2:10" x14ac:dyDescent="0.3">
      <c r="B252" s="6" t="s">
        <v>273</v>
      </c>
      <c r="C252" s="6" t="s">
        <v>618</v>
      </c>
      <c r="D252" s="6" t="s">
        <v>166</v>
      </c>
      <c r="E252" s="17">
        <v>2617</v>
      </c>
      <c r="F252" s="17">
        <v>2485</v>
      </c>
      <c r="G252" s="40">
        <v>45092</v>
      </c>
      <c r="H252" s="40">
        <v>45808</v>
      </c>
      <c r="I252" s="40">
        <v>45092</v>
      </c>
      <c r="J252" s="17">
        <v>2668</v>
      </c>
    </row>
    <row r="253" spans="2:10" x14ac:dyDescent="0.3">
      <c r="B253" s="6" t="s">
        <v>272</v>
      </c>
      <c r="C253" s="6" t="s">
        <v>619</v>
      </c>
      <c r="D253" s="6" t="s">
        <v>166</v>
      </c>
      <c r="E253" s="17">
        <v>2355</v>
      </c>
      <c r="F253" s="17">
        <v>2247</v>
      </c>
      <c r="G253" s="40">
        <v>45458</v>
      </c>
      <c r="H253" s="40">
        <v>45838</v>
      </c>
      <c r="I253" s="40">
        <v>45458</v>
      </c>
      <c r="J253" s="17">
        <v>2413</v>
      </c>
    </row>
    <row r="254" spans="2:10" x14ac:dyDescent="0.3">
      <c r="B254" s="6" t="s">
        <v>271</v>
      </c>
      <c r="C254" s="6" t="s">
        <v>620</v>
      </c>
      <c r="D254" s="6" t="s">
        <v>166</v>
      </c>
      <c r="E254" s="17">
        <v>2566</v>
      </c>
      <c r="F254" s="17">
        <v>2290</v>
      </c>
      <c r="G254" s="40">
        <v>44500</v>
      </c>
      <c r="H254" s="40">
        <v>45991</v>
      </c>
      <c r="I254" s="40">
        <v>44500</v>
      </c>
      <c r="J254" s="17">
        <v>0</v>
      </c>
    </row>
    <row r="255" spans="2:10" x14ac:dyDescent="0.3">
      <c r="B255" s="6" t="s">
        <v>270</v>
      </c>
      <c r="C255" s="6" t="s">
        <v>621</v>
      </c>
      <c r="D255" s="6" t="s">
        <v>166</v>
      </c>
      <c r="E255" s="17">
        <v>2169</v>
      </c>
      <c r="F255" s="17">
        <v>2130</v>
      </c>
      <c r="G255" s="40">
        <v>45479</v>
      </c>
      <c r="H255" s="40">
        <v>45838</v>
      </c>
      <c r="I255" s="40">
        <v>45479</v>
      </c>
      <c r="J255" s="17">
        <v>0</v>
      </c>
    </row>
    <row r="256" spans="2:10" x14ac:dyDescent="0.3">
      <c r="B256" s="6" t="s">
        <v>269</v>
      </c>
      <c r="C256" s="6" t="s">
        <v>622</v>
      </c>
      <c r="D256" s="6" t="s">
        <v>166</v>
      </c>
      <c r="E256" s="17">
        <v>2529</v>
      </c>
      <c r="F256" s="17">
        <v>2529</v>
      </c>
      <c r="G256" s="40">
        <v>44985</v>
      </c>
      <c r="H256" s="40">
        <v>45900</v>
      </c>
      <c r="I256" s="40">
        <v>44985</v>
      </c>
      <c r="J256" s="17">
        <v>0</v>
      </c>
    </row>
    <row r="257" spans="2:10" x14ac:dyDescent="0.3">
      <c r="B257" s="6" t="s">
        <v>268</v>
      </c>
      <c r="C257" s="6" t="s">
        <v>623</v>
      </c>
      <c r="D257" s="6" t="s">
        <v>215</v>
      </c>
      <c r="E257" s="17">
        <v>2018</v>
      </c>
      <c r="F257" s="17">
        <v>1932</v>
      </c>
      <c r="G257" s="40">
        <v>45427</v>
      </c>
      <c r="H257" s="40">
        <v>45808</v>
      </c>
      <c r="I257" s="40">
        <v>45427</v>
      </c>
      <c r="J257" s="17">
        <v>0</v>
      </c>
    </row>
    <row r="258" spans="2:10" x14ac:dyDescent="0.3">
      <c r="B258" s="6" t="s">
        <v>267</v>
      </c>
      <c r="C258" s="6" t="s">
        <v>624</v>
      </c>
      <c r="D258" s="6" t="s">
        <v>166</v>
      </c>
      <c r="E258" s="17">
        <v>2236</v>
      </c>
      <c r="F258" s="17">
        <v>2132</v>
      </c>
      <c r="G258" s="40">
        <v>44324</v>
      </c>
      <c r="H258" s="40">
        <v>45961</v>
      </c>
      <c r="I258" s="40">
        <v>44324</v>
      </c>
      <c r="J258" s="17">
        <v>0</v>
      </c>
    </row>
    <row r="259" spans="2:10" x14ac:dyDescent="0.3">
      <c r="B259" s="6" t="s">
        <v>266</v>
      </c>
      <c r="C259" s="6" t="s">
        <v>625</v>
      </c>
      <c r="D259" s="6" t="s">
        <v>166</v>
      </c>
      <c r="E259" s="17">
        <v>1848</v>
      </c>
      <c r="F259" s="17">
        <v>1666</v>
      </c>
      <c r="G259" s="40">
        <v>44217</v>
      </c>
      <c r="H259" s="40">
        <v>45991</v>
      </c>
      <c r="I259" s="40">
        <v>44217</v>
      </c>
      <c r="J259" s="17">
        <v>1796</v>
      </c>
    </row>
    <row r="260" spans="2:10" x14ac:dyDescent="0.3">
      <c r="B260" s="6" t="s">
        <v>265</v>
      </c>
      <c r="C260" s="6" t="s">
        <v>626</v>
      </c>
      <c r="D260" s="6" t="s">
        <v>166</v>
      </c>
      <c r="E260" s="17">
        <v>2781</v>
      </c>
      <c r="F260" s="17">
        <v>2696</v>
      </c>
      <c r="G260" s="40">
        <v>45205</v>
      </c>
      <c r="H260" s="40">
        <v>45930</v>
      </c>
      <c r="I260" s="40">
        <v>45205</v>
      </c>
      <c r="J260" s="17">
        <v>0</v>
      </c>
    </row>
    <row r="261" spans="2:10" x14ac:dyDescent="0.3">
      <c r="B261" s="6" t="s">
        <v>264</v>
      </c>
      <c r="C261" s="6" t="s">
        <v>627</v>
      </c>
      <c r="D261" s="6" t="s">
        <v>166</v>
      </c>
      <c r="E261" s="17">
        <v>2709</v>
      </c>
      <c r="F261" s="17">
        <v>2592</v>
      </c>
      <c r="G261" s="40">
        <v>45383</v>
      </c>
      <c r="H261" s="41"/>
      <c r="I261" s="40">
        <v>45383</v>
      </c>
      <c r="J261" s="17">
        <v>0</v>
      </c>
    </row>
    <row r="262" spans="2:10" x14ac:dyDescent="0.3">
      <c r="B262" s="6" t="s">
        <v>263</v>
      </c>
      <c r="C262" s="6" t="s">
        <v>628</v>
      </c>
      <c r="D262" s="6" t="s">
        <v>166</v>
      </c>
      <c r="E262" s="17">
        <v>2201</v>
      </c>
      <c r="F262" s="17">
        <v>2096</v>
      </c>
      <c r="G262" s="40">
        <v>45397</v>
      </c>
      <c r="H262" s="40">
        <v>45777</v>
      </c>
      <c r="I262" s="40">
        <v>45397</v>
      </c>
      <c r="J262" s="17">
        <v>2257</v>
      </c>
    </row>
    <row r="263" spans="2:10" x14ac:dyDescent="0.3">
      <c r="B263" s="6" t="s">
        <v>262</v>
      </c>
      <c r="C263" s="6" t="s">
        <v>629</v>
      </c>
      <c r="D263" s="6" t="s">
        <v>166</v>
      </c>
      <c r="E263" s="17">
        <v>2406</v>
      </c>
      <c r="F263" s="17">
        <v>2307</v>
      </c>
      <c r="G263" s="40">
        <v>45163</v>
      </c>
      <c r="H263" s="40">
        <v>45808</v>
      </c>
      <c r="I263" s="40">
        <v>45163</v>
      </c>
      <c r="J263" s="17">
        <v>0</v>
      </c>
    </row>
    <row r="264" spans="2:10" x14ac:dyDescent="0.3">
      <c r="B264" s="6" t="s">
        <v>261</v>
      </c>
      <c r="C264" s="6" t="s">
        <v>630</v>
      </c>
      <c r="D264" s="6" t="s">
        <v>166</v>
      </c>
      <c r="E264" s="17">
        <v>2371</v>
      </c>
      <c r="F264" s="17">
        <v>2255</v>
      </c>
      <c r="G264" s="40">
        <v>45389</v>
      </c>
      <c r="H264" s="40">
        <v>45747</v>
      </c>
      <c r="I264" s="40">
        <v>45389</v>
      </c>
      <c r="J264" s="17">
        <v>0</v>
      </c>
    </row>
    <row r="265" spans="2:10" x14ac:dyDescent="0.3">
      <c r="B265" s="6" t="s">
        <v>260</v>
      </c>
      <c r="C265" s="6" t="s">
        <v>631</v>
      </c>
      <c r="D265" s="6" t="s">
        <v>166</v>
      </c>
      <c r="E265" s="17">
        <v>2746</v>
      </c>
      <c r="F265" s="17">
        <v>2572</v>
      </c>
      <c r="G265" s="40">
        <v>44228</v>
      </c>
      <c r="H265" s="40">
        <v>45808</v>
      </c>
      <c r="I265" s="40">
        <v>44228</v>
      </c>
      <c r="J265" s="17">
        <v>0</v>
      </c>
    </row>
    <row r="266" spans="2:10" x14ac:dyDescent="0.3">
      <c r="B266" s="6" t="s">
        <v>259</v>
      </c>
      <c r="C266" s="6" t="s">
        <v>632</v>
      </c>
      <c r="D266" s="6" t="s">
        <v>166</v>
      </c>
      <c r="E266" s="17">
        <v>2634</v>
      </c>
      <c r="F266" s="17">
        <v>2634</v>
      </c>
      <c r="G266" s="40">
        <v>45474</v>
      </c>
      <c r="H266" s="40">
        <v>45838</v>
      </c>
      <c r="I266" s="40">
        <v>45474</v>
      </c>
      <c r="J266" s="17">
        <v>0</v>
      </c>
    </row>
    <row r="267" spans="2:10" x14ac:dyDescent="0.3">
      <c r="B267" s="6" t="s">
        <v>258</v>
      </c>
      <c r="C267" s="6" t="s">
        <v>633</v>
      </c>
      <c r="D267" s="6" t="s">
        <v>166</v>
      </c>
      <c r="E267" s="17">
        <v>2112</v>
      </c>
      <c r="F267" s="17">
        <v>1910</v>
      </c>
      <c r="G267" s="40">
        <v>44498</v>
      </c>
      <c r="H267" s="40">
        <v>45991</v>
      </c>
      <c r="I267" s="40">
        <v>44498</v>
      </c>
      <c r="J267" s="17">
        <v>2062.84</v>
      </c>
    </row>
    <row r="268" spans="2:10" x14ac:dyDescent="0.3">
      <c r="B268" s="6" t="s">
        <v>257</v>
      </c>
      <c r="C268" s="6" t="s">
        <v>634</v>
      </c>
      <c r="D268" s="6" t="s">
        <v>166</v>
      </c>
      <c r="E268" s="17">
        <v>1950</v>
      </c>
      <c r="F268" s="17">
        <v>1799</v>
      </c>
      <c r="G268" s="40">
        <v>44256</v>
      </c>
      <c r="H268" s="40">
        <v>45900</v>
      </c>
      <c r="I268" s="40">
        <v>44256</v>
      </c>
      <c r="J268" s="17">
        <v>1814</v>
      </c>
    </row>
    <row r="269" spans="2:10" x14ac:dyDescent="0.3">
      <c r="B269" s="6" t="s">
        <v>256</v>
      </c>
      <c r="C269" s="6" t="s">
        <v>635</v>
      </c>
      <c r="D269" s="6" t="s">
        <v>166</v>
      </c>
      <c r="E269" s="17">
        <v>2005</v>
      </c>
      <c r="F269" s="17">
        <v>1942</v>
      </c>
      <c r="G269" s="40">
        <v>45657</v>
      </c>
      <c r="H269" s="40">
        <v>46022</v>
      </c>
      <c r="I269" s="40">
        <v>45657</v>
      </c>
      <c r="J269" s="17">
        <v>0</v>
      </c>
    </row>
    <row r="270" spans="2:10" x14ac:dyDescent="0.3">
      <c r="B270" s="6" t="s">
        <v>255</v>
      </c>
      <c r="C270" s="6" t="s">
        <v>636</v>
      </c>
      <c r="D270" s="6" t="s">
        <v>166</v>
      </c>
      <c r="E270" s="17">
        <v>2718</v>
      </c>
      <c r="F270" s="17">
        <v>2591</v>
      </c>
      <c r="G270" s="40">
        <v>45115</v>
      </c>
      <c r="H270" s="40">
        <v>45838</v>
      </c>
      <c r="I270" s="40">
        <v>45115</v>
      </c>
      <c r="J270" s="17">
        <v>2667.54</v>
      </c>
    </row>
    <row r="271" spans="2:10" x14ac:dyDescent="0.3">
      <c r="B271" s="6" t="s">
        <v>254</v>
      </c>
      <c r="C271" s="6" t="s">
        <v>637</v>
      </c>
      <c r="D271" s="6" t="s">
        <v>166</v>
      </c>
      <c r="E271" s="17">
        <v>2486</v>
      </c>
      <c r="F271" s="17">
        <v>2348</v>
      </c>
      <c r="G271" s="40">
        <v>44904</v>
      </c>
      <c r="H271" s="40">
        <v>45991</v>
      </c>
      <c r="I271" s="40">
        <v>44904</v>
      </c>
      <c r="J271" s="17">
        <v>2421</v>
      </c>
    </row>
    <row r="272" spans="2:10" x14ac:dyDescent="0.3">
      <c r="B272" s="6" t="s">
        <v>253</v>
      </c>
      <c r="C272" s="6" t="s">
        <v>638</v>
      </c>
      <c r="D272" s="6" t="s">
        <v>166</v>
      </c>
      <c r="E272" s="17">
        <v>2440</v>
      </c>
      <c r="F272" s="17">
        <v>2340</v>
      </c>
      <c r="G272" s="40">
        <v>45083</v>
      </c>
      <c r="H272" s="40">
        <v>45808</v>
      </c>
      <c r="I272" s="40">
        <v>45083</v>
      </c>
      <c r="J272" s="17">
        <v>0</v>
      </c>
    </row>
    <row r="273" spans="2:10" x14ac:dyDescent="0.3">
      <c r="B273" s="6" t="s">
        <v>252</v>
      </c>
      <c r="C273" s="6" t="s">
        <v>639</v>
      </c>
      <c r="D273" s="6" t="s">
        <v>166</v>
      </c>
      <c r="E273" s="17">
        <v>2192</v>
      </c>
      <c r="F273" s="17">
        <v>2123</v>
      </c>
      <c r="G273" s="40">
        <v>45689</v>
      </c>
      <c r="H273" s="40">
        <v>46053</v>
      </c>
      <c r="I273" s="40">
        <v>45689</v>
      </c>
      <c r="J273" s="17">
        <v>0</v>
      </c>
    </row>
    <row r="274" spans="2:10" x14ac:dyDescent="0.3">
      <c r="B274" s="6" t="s">
        <v>251</v>
      </c>
      <c r="C274" s="6" t="s">
        <v>640</v>
      </c>
      <c r="D274" s="6" t="s">
        <v>166</v>
      </c>
      <c r="E274" s="17">
        <v>2432</v>
      </c>
      <c r="F274" s="17">
        <v>2315</v>
      </c>
      <c r="G274" s="40">
        <v>44336</v>
      </c>
      <c r="H274" s="40">
        <v>45838</v>
      </c>
      <c r="I274" s="40">
        <v>44336</v>
      </c>
      <c r="J274" s="17">
        <v>0</v>
      </c>
    </row>
    <row r="275" spans="2:10" x14ac:dyDescent="0.3">
      <c r="B275" s="6" t="s">
        <v>250</v>
      </c>
      <c r="C275" s="6" t="s">
        <v>641</v>
      </c>
      <c r="D275" s="6" t="s">
        <v>166</v>
      </c>
      <c r="E275" s="17">
        <v>2330</v>
      </c>
      <c r="F275" s="17">
        <v>2213</v>
      </c>
      <c r="G275" s="40">
        <v>44820</v>
      </c>
      <c r="H275" s="40">
        <v>45930</v>
      </c>
      <c r="I275" s="40">
        <v>44820</v>
      </c>
      <c r="J275" s="17">
        <v>2375</v>
      </c>
    </row>
    <row r="276" spans="2:10" x14ac:dyDescent="0.3">
      <c r="B276" s="6" t="s">
        <v>249</v>
      </c>
      <c r="C276" s="6" t="s">
        <v>642</v>
      </c>
      <c r="D276" s="6" t="s">
        <v>166</v>
      </c>
      <c r="E276" s="17">
        <v>2026</v>
      </c>
      <c r="F276" s="17">
        <v>1944</v>
      </c>
      <c r="G276" s="40">
        <v>45087</v>
      </c>
      <c r="H276" s="40">
        <v>45808</v>
      </c>
      <c r="I276" s="40">
        <v>45087</v>
      </c>
      <c r="J276" s="17">
        <v>2219</v>
      </c>
    </row>
    <row r="277" spans="2:10" x14ac:dyDescent="0.3">
      <c r="B277" s="6" t="s">
        <v>248</v>
      </c>
      <c r="C277" s="6" t="s">
        <v>643</v>
      </c>
      <c r="D277" s="6" t="s">
        <v>166</v>
      </c>
      <c r="E277" s="17">
        <v>2267</v>
      </c>
      <c r="F277" s="17">
        <v>2154</v>
      </c>
      <c r="G277" s="40">
        <v>45444</v>
      </c>
      <c r="H277" s="40">
        <v>45808</v>
      </c>
      <c r="I277" s="40">
        <v>45444</v>
      </c>
      <c r="J277" s="17">
        <v>2319</v>
      </c>
    </row>
    <row r="278" spans="2:10" x14ac:dyDescent="0.3">
      <c r="B278" s="6" t="s">
        <v>247</v>
      </c>
      <c r="C278" s="6" t="s">
        <v>644</v>
      </c>
      <c r="D278" s="6" t="s">
        <v>166</v>
      </c>
      <c r="E278" s="17">
        <v>2548</v>
      </c>
      <c r="F278" s="17">
        <v>2466</v>
      </c>
      <c r="G278" s="40">
        <v>45226</v>
      </c>
      <c r="H278" s="40">
        <v>45961</v>
      </c>
      <c r="I278" s="40">
        <v>45226</v>
      </c>
      <c r="J278" s="17">
        <v>2690</v>
      </c>
    </row>
    <row r="279" spans="2:10" x14ac:dyDescent="0.3">
      <c r="B279" s="6" t="s">
        <v>246</v>
      </c>
      <c r="C279" s="6" t="s">
        <v>645</v>
      </c>
      <c r="D279" s="6" t="s">
        <v>166</v>
      </c>
      <c r="E279" s="17">
        <v>2356</v>
      </c>
      <c r="F279" s="17">
        <v>2230</v>
      </c>
      <c r="G279" s="40">
        <v>45566</v>
      </c>
      <c r="H279" s="40">
        <v>45930</v>
      </c>
      <c r="I279" s="40">
        <v>45566</v>
      </c>
      <c r="J279" s="17">
        <v>2406</v>
      </c>
    </row>
    <row r="280" spans="2:10" x14ac:dyDescent="0.3">
      <c r="B280" s="6" t="s">
        <v>245</v>
      </c>
      <c r="C280" s="6" t="s">
        <v>646</v>
      </c>
      <c r="D280" s="6" t="s">
        <v>166</v>
      </c>
      <c r="E280" s="17">
        <v>2319</v>
      </c>
      <c r="F280" s="17">
        <v>2210</v>
      </c>
      <c r="G280" s="40">
        <v>45397</v>
      </c>
      <c r="H280" s="40">
        <v>45777</v>
      </c>
      <c r="I280" s="40">
        <v>45397</v>
      </c>
      <c r="J280" s="17">
        <v>0</v>
      </c>
    </row>
    <row r="281" spans="2:10" x14ac:dyDescent="0.3">
      <c r="B281" s="6" t="s">
        <v>244</v>
      </c>
      <c r="C281" s="6" t="s">
        <v>647</v>
      </c>
      <c r="D281" s="6" t="s">
        <v>166</v>
      </c>
      <c r="E281" s="17">
        <v>1906</v>
      </c>
      <c r="F281" s="17">
        <v>1843</v>
      </c>
      <c r="G281" s="40">
        <v>45626</v>
      </c>
      <c r="H281" s="40">
        <v>45991</v>
      </c>
      <c r="I281" s="40">
        <v>45626</v>
      </c>
      <c r="J281" s="17">
        <v>0</v>
      </c>
    </row>
    <row r="282" spans="2:10" x14ac:dyDescent="0.3">
      <c r="B282" s="6" t="s">
        <v>243</v>
      </c>
      <c r="C282" s="6" t="s">
        <v>648</v>
      </c>
      <c r="D282" s="6" t="s">
        <v>166</v>
      </c>
      <c r="E282" s="17">
        <v>1759</v>
      </c>
      <c r="F282" s="17">
        <v>1671</v>
      </c>
      <c r="G282" s="40">
        <v>45528</v>
      </c>
      <c r="H282" s="40">
        <v>45900</v>
      </c>
      <c r="I282" s="40">
        <v>45528</v>
      </c>
      <c r="J282" s="17">
        <v>0</v>
      </c>
    </row>
    <row r="283" spans="2:10" x14ac:dyDescent="0.3">
      <c r="B283" s="6" t="s">
        <v>242</v>
      </c>
      <c r="C283" s="6" t="s">
        <v>649</v>
      </c>
      <c r="D283" s="6" t="s">
        <v>166</v>
      </c>
      <c r="E283" s="17">
        <v>2122</v>
      </c>
      <c r="F283" s="17">
        <v>2019</v>
      </c>
      <c r="G283" s="40">
        <v>45458</v>
      </c>
      <c r="H283" s="40">
        <v>45838</v>
      </c>
      <c r="I283" s="40">
        <v>45458</v>
      </c>
      <c r="J283" s="17">
        <v>2207</v>
      </c>
    </row>
    <row r="284" spans="2:10" x14ac:dyDescent="0.3">
      <c r="B284" s="6" t="s">
        <v>241</v>
      </c>
      <c r="C284" s="6" t="s">
        <v>650</v>
      </c>
      <c r="D284" s="6" t="s">
        <v>166</v>
      </c>
      <c r="E284" s="17">
        <v>2436</v>
      </c>
      <c r="F284" s="17">
        <v>2180</v>
      </c>
      <c r="G284" s="40">
        <v>44513</v>
      </c>
      <c r="H284" s="40">
        <v>45991</v>
      </c>
      <c r="I284" s="40">
        <v>44513</v>
      </c>
      <c r="J284" s="17">
        <v>2328</v>
      </c>
    </row>
    <row r="285" spans="2:10" x14ac:dyDescent="0.3">
      <c r="B285" s="6" t="s">
        <v>240</v>
      </c>
      <c r="C285" s="6" t="s">
        <v>651</v>
      </c>
      <c r="D285" s="6" t="s">
        <v>166</v>
      </c>
      <c r="E285" s="17">
        <v>2038</v>
      </c>
      <c r="F285" s="17">
        <v>1973</v>
      </c>
      <c r="G285" s="40">
        <v>45626</v>
      </c>
      <c r="H285" s="40">
        <v>45991</v>
      </c>
      <c r="I285" s="40">
        <v>45626</v>
      </c>
      <c r="J285" s="17">
        <v>2016</v>
      </c>
    </row>
    <row r="286" spans="2:10" x14ac:dyDescent="0.3">
      <c r="B286" s="6" t="s">
        <v>239</v>
      </c>
      <c r="C286" s="6" t="s">
        <v>652</v>
      </c>
      <c r="D286" s="6" t="s">
        <v>166</v>
      </c>
      <c r="E286" s="17">
        <v>2242</v>
      </c>
      <c r="F286" s="17">
        <v>2206</v>
      </c>
      <c r="G286" s="40">
        <v>45323</v>
      </c>
      <c r="H286" s="40">
        <v>46053</v>
      </c>
      <c r="I286" s="40">
        <v>45323</v>
      </c>
      <c r="J286" s="17">
        <v>0</v>
      </c>
    </row>
    <row r="287" spans="2:10" x14ac:dyDescent="0.3">
      <c r="B287" s="6" t="s">
        <v>238</v>
      </c>
      <c r="C287" s="6" t="s">
        <v>653</v>
      </c>
      <c r="D287" s="6" t="s">
        <v>166</v>
      </c>
      <c r="E287" s="17">
        <v>1684</v>
      </c>
      <c r="F287" s="17">
        <v>1620</v>
      </c>
      <c r="G287" s="40">
        <v>45184</v>
      </c>
      <c r="H287" s="41"/>
      <c r="I287" s="40">
        <v>45184</v>
      </c>
      <c r="J287" s="17">
        <v>0</v>
      </c>
    </row>
    <row r="288" spans="2:10" x14ac:dyDescent="0.3">
      <c r="B288" s="6" t="s">
        <v>237</v>
      </c>
      <c r="C288" s="6" t="s">
        <v>654</v>
      </c>
      <c r="D288" s="6" t="s">
        <v>166</v>
      </c>
      <c r="E288" s="17">
        <v>2268</v>
      </c>
      <c r="F288" s="17">
        <v>2060</v>
      </c>
      <c r="G288" s="40">
        <v>44409</v>
      </c>
      <c r="H288" s="40">
        <v>45900</v>
      </c>
      <c r="I288" s="40">
        <v>44409</v>
      </c>
      <c r="J288" s="17">
        <v>0</v>
      </c>
    </row>
    <row r="289" spans="2:10" x14ac:dyDescent="0.3">
      <c r="B289" s="6" t="s">
        <v>236</v>
      </c>
      <c r="C289" s="6" t="s">
        <v>655</v>
      </c>
      <c r="D289" s="6" t="s">
        <v>166</v>
      </c>
      <c r="E289" s="17">
        <v>2342</v>
      </c>
      <c r="F289" s="17">
        <v>2143</v>
      </c>
      <c r="G289" s="40">
        <v>44562</v>
      </c>
      <c r="H289" s="40">
        <v>46053</v>
      </c>
      <c r="I289" s="40">
        <v>44562</v>
      </c>
      <c r="J289" s="17">
        <v>2221</v>
      </c>
    </row>
    <row r="290" spans="2:10" x14ac:dyDescent="0.3">
      <c r="B290" s="6" t="s">
        <v>235</v>
      </c>
      <c r="C290" s="6" t="s">
        <v>656</v>
      </c>
      <c r="D290" s="6" t="s">
        <v>166</v>
      </c>
      <c r="E290" s="17">
        <v>3195</v>
      </c>
      <c r="F290" s="17">
        <v>3087</v>
      </c>
      <c r="G290" s="40">
        <v>45519</v>
      </c>
      <c r="H290" s="40">
        <v>45900</v>
      </c>
      <c r="I290" s="40">
        <v>45519</v>
      </c>
      <c r="J290" s="17">
        <v>0</v>
      </c>
    </row>
    <row r="291" spans="2:10" x14ac:dyDescent="0.3">
      <c r="B291" s="6" t="s">
        <v>234</v>
      </c>
      <c r="C291" s="6" t="s">
        <v>657</v>
      </c>
      <c r="D291" s="6" t="s">
        <v>166</v>
      </c>
      <c r="E291" s="17">
        <v>1698</v>
      </c>
      <c r="F291" s="17">
        <v>1670</v>
      </c>
      <c r="G291" s="40">
        <v>45689</v>
      </c>
      <c r="H291" s="40">
        <v>46053</v>
      </c>
      <c r="I291" s="40">
        <v>45689</v>
      </c>
      <c r="J291" s="17">
        <v>0</v>
      </c>
    </row>
    <row r="292" spans="2:10" x14ac:dyDescent="0.3">
      <c r="B292" s="6" t="s">
        <v>233</v>
      </c>
      <c r="C292" s="6" t="s">
        <v>658</v>
      </c>
      <c r="D292" s="6" t="s">
        <v>166</v>
      </c>
      <c r="E292" s="17">
        <v>2312</v>
      </c>
      <c r="F292" s="17">
        <v>2176</v>
      </c>
      <c r="G292" s="40">
        <v>45078</v>
      </c>
      <c r="H292" s="40">
        <v>45808</v>
      </c>
      <c r="I292" s="40">
        <v>45078</v>
      </c>
      <c r="J292" s="17">
        <v>2224</v>
      </c>
    </row>
    <row r="293" spans="2:10" x14ac:dyDescent="0.3">
      <c r="B293" s="6" t="s">
        <v>232</v>
      </c>
      <c r="C293" s="6" t="s">
        <v>659</v>
      </c>
      <c r="D293" s="6" t="s">
        <v>166</v>
      </c>
      <c r="E293" s="17">
        <v>1867</v>
      </c>
      <c r="F293" s="17">
        <v>1769</v>
      </c>
      <c r="G293" s="40">
        <v>45474</v>
      </c>
      <c r="H293" s="40">
        <v>45838</v>
      </c>
      <c r="I293" s="40">
        <v>45474</v>
      </c>
      <c r="J293" s="17">
        <v>0</v>
      </c>
    </row>
    <row r="294" spans="2:10" x14ac:dyDescent="0.3">
      <c r="B294" s="6" t="s">
        <v>231</v>
      </c>
      <c r="C294" s="6" t="s">
        <v>660</v>
      </c>
      <c r="D294" s="6" t="s">
        <v>166</v>
      </c>
      <c r="E294" s="17">
        <v>2444</v>
      </c>
      <c r="F294" s="17">
        <v>2175</v>
      </c>
      <c r="G294" s="40">
        <v>44501</v>
      </c>
      <c r="H294" s="40">
        <v>45991</v>
      </c>
      <c r="I294" s="40">
        <v>44501</v>
      </c>
      <c r="J294" s="17">
        <v>0</v>
      </c>
    </row>
    <row r="295" spans="2:10" x14ac:dyDescent="0.3">
      <c r="B295" s="6" t="s">
        <v>230</v>
      </c>
      <c r="C295" s="6" t="s">
        <v>661</v>
      </c>
      <c r="D295" s="6" t="s">
        <v>166</v>
      </c>
      <c r="E295" s="17">
        <v>1689</v>
      </c>
      <c r="F295" s="17">
        <v>1602</v>
      </c>
      <c r="G295" s="40">
        <v>45074</v>
      </c>
      <c r="H295" s="40">
        <v>45808</v>
      </c>
      <c r="I295" s="40">
        <v>45074</v>
      </c>
      <c r="J295" s="17">
        <v>0</v>
      </c>
    </row>
    <row r="296" spans="2:10" x14ac:dyDescent="0.3">
      <c r="B296" s="6" t="s">
        <v>229</v>
      </c>
      <c r="C296" s="6" t="s">
        <v>662</v>
      </c>
      <c r="D296" s="6" t="s">
        <v>166</v>
      </c>
      <c r="E296" s="17">
        <v>2153</v>
      </c>
      <c r="F296" s="17">
        <v>2127</v>
      </c>
      <c r="G296" s="40">
        <v>45323</v>
      </c>
      <c r="H296" s="40">
        <v>46053</v>
      </c>
      <c r="I296" s="40">
        <v>45323</v>
      </c>
      <c r="J296" s="17">
        <v>0</v>
      </c>
    </row>
    <row r="297" spans="2:10" x14ac:dyDescent="0.3">
      <c r="B297" s="6" t="s">
        <v>228</v>
      </c>
      <c r="C297" s="6" t="s">
        <v>663</v>
      </c>
      <c r="D297" s="6" t="s">
        <v>166</v>
      </c>
      <c r="E297" s="17">
        <v>2602</v>
      </c>
      <c r="F297" s="17">
        <v>2519</v>
      </c>
      <c r="G297" s="40">
        <v>45486</v>
      </c>
      <c r="H297" s="40">
        <v>45838</v>
      </c>
      <c r="I297" s="40">
        <v>45486</v>
      </c>
      <c r="J297" s="17">
        <v>2855</v>
      </c>
    </row>
    <row r="298" spans="2:10" x14ac:dyDescent="0.3">
      <c r="B298" s="6" t="s">
        <v>227</v>
      </c>
      <c r="C298" s="6" t="s">
        <v>664</v>
      </c>
      <c r="D298" s="6" t="s">
        <v>166</v>
      </c>
      <c r="E298" s="17">
        <v>2282</v>
      </c>
      <c r="F298" s="17">
        <v>2154</v>
      </c>
      <c r="G298" s="40">
        <v>45410</v>
      </c>
      <c r="H298" s="40">
        <v>45777</v>
      </c>
      <c r="I298" s="40">
        <v>45410</v>
      </c>
      <c r="J298" s="17">
        <v>0</v>
      </c>
    </row>
    <row r="299" spans="2:10" x14ac:dyDescent="0.3">
      <c r="B299" s="6" t="s">
        <v>226</v>
      </c>
      <c r="C299" s="6" t="s">
        <v>665</v>
      </c>
      <c r="D299" s="6" t="s">
        <v>166</v>
      </c>
      <c r="E299" s="17">
        <v>2430</v>
      </c>
      <c r="F299" s="17">
        <v>2213</v>
      </c>
      <c r="G299" s="40">
        <v>44470</v>
      </c>
      <c r="H299" s="40">
        <v>45961</v>
      </c>
      <c r="I299" s="40">
        <v>44470</v>
      </c>
      <c r="J299" s="17">
        <v>2383</v>
      </c>
    </row>
    <row r="300" spans="2:10" x14ac:dyDescent="0.3">
      <c r="B300" s="6" t="s">
        <v>225</v>
      </c>
      <c r="C300" s="6" t="s">
        <v>666</v>
      </c>
      <c r="D300" s="6" t="s">
        <v>166</v>
      </c>
      <c r="E300" s="17">
        <v>2319</v>
      </c>
      <c r="F300" s="17">
        <v>2101</v>
      </c>
      <c r="G300" s="40">
        <v>44456</v>
      </c>
      <c r="H300" s="40">
        <v>45961</v>
      </c>
      <c r="I300" s="40">
        <v>44456</v>
      </c>
      <c r="J300" s="17">
        <v>2163.71</v>
      </c>
    </row>
    <row r="301" spans="2:10" x14ac:dyDescent="0.3">
      <c r="B301" s="6" t="s">
        <v>224</v>
      </c>
      <c r="C301" s="6" t="s">
        <v>667</v>
      </c>
      <c r="D301" s="6" t="s">
        <v>166</v>
      </c>
      <c r="E301" s="17">
        <v>2565</v>
      </c>
      <c r="F301" s="17">
        <v>2474</v>
      </c>
      <c r="G301" s="40">
        <v>45672</v>
      </c>
      <c r="H301" s="40">
        <v>46203</v>
      </c>
      <c r="I301" s="40">
        <v>45672</v>
      </c>
      <c r="J301" s="17">
        <v>0</v>
      </c>
    </row>
    <row r="302" spans="2:10" x14ac:dyDescent="0.3">
      <c r="B302" s="6" t="s">
        <v>223</v>
      </c>
      <c r="C302" s="6" t="s">
        <v>668</v>
      </c>
      <c r="D302" s="6" t="s">
        <v>166</v>
      </c>
      <c r="E302" s="17">
        <v>2210</v>
      </c>
      <c r="F302" s="17">
        <v>2069</v>
      </c>
      <c r="G302" s="40">
        <v>44385</v>
      </c>
      <c r="H302" s="40">
        <v>45900</v>
      </c>
      <c r="I302" s="40">
        <v>44385</v>
      </c>
      <c r="J302" s="17">
        <v>2233.98</v>
      </c>
    </row>
    <row r="303" spans="2:10" x14ac:dyDescent="0.3">
      <c r="B303" s="6" t="s">
        <v>222</v>
      </c>
      <c r="C303" s="6" t="s">
        <v>669</v>
      </c>
      <c r="D303" s="6" t="s">
        <v>166</v>
      </c>
      <c r="E303" s="17">
        <v>2052</v>
      </c>
      <c r="F303" s="17">
        <v>1953</v>
      </c>
      <c r="G303" s="40">
        <v>44673</v>
      </c>
      <c r="H303" s="40">
        <v>45808</v>
      </c>
      <c r="I303" s="40">
        <v>44673</v>
      </c>
      <c r="J303" s="17">
        <v>2107.33</v>
      </c>
    </row>
    <row r="304" spans="2:10" x14ac:dyDescent="0.3">
      <c r="B304" s="6" t="s">
        <v>221</v>
      </c>
      <c r="C304" s="6" t="s">
        <v>670</v>
      </c>
      <c r="D304" s="6" t="s">
        <v>166</v>
      </c>
      <c r="E304" s="17">
        <v>1777</v>
      </c>
      <c r="F304" s="17">
        <v>1654</v>
      </c>
      <c r="G304" s="40">
        <v>44270</v>
      </c>
      <c r="H304" s="40">
        <v>46112</v>
      </c>
      <c r="I304" s="40">
        <v>44270</v>
      </c>
      <c r="J304" s="17">
        <v>907</v>
      </c>
    </row>
    <row r="305" spans="2:10" x14ac:dyDescent="0.3">
      <c r="B305" s="6" t="s">
        <v>220</v>
      </c>
      <c r="C305" s="6" t="s">
        <v>671</v>
      </c>
      <c r="D305" s="6" t="s">
        <v>166</v>
      </c>
      <c r="E305" s="17">
        <v>2481</v>
      </c>
      <c r="F305" s="17">
        <v>2325</v>
      </c>
      <c r="G305" s="40">
        <v>45231</v>
      </c>
      <c r="H305" s="40">
        <v>45900</v>
      </c>
      <c r="I305" s="40">
        <v>45231</v>
      </c>
      <c r="J305" s="17">
        <v>0</v>
      </c>
    </row>
    <row r="306" spans="2:10" x14ac:dyDescent="0.3">
      <c r="B306" s="6" t="s">
        <v>219</v>
      </c>
      <c r="C306" s="6" t="s">
        <v>672</v>
      </c>
      <c r="D306" s="6" t="s">
        <v>166</v>
      </c>
      <c r="E306" s="17">
        <v>2176</v>
      </c>
      <c r="F306" s="17">
        <v>1787</v>
      </c>
      <c r="G306" s="40">
        <v>44593</v>
      </c>
      <c r="H306" s="41"/>
      <c r="I306" s="40">
        <v>44593</v>
      </c>
      <c r="J306" s="17">
        <v>2341</v>
      </c>
    </row>
    <row r="307" spans="2:10" x14ac:dyDescent="0.3">
      <c r="B307" s="6" t="s">
        <v>218</v>
      </c>
      <c r="C307" s="6" t="s">
        <v>673</v>
      </c>
      <c r="D307" s="6" t="s">
        <v>166</v>
      </c>
      <c r="E307" s="17">
        <v>1893</v>
      </c>
      <c r="F307" s="17">
        <v>1893</v>
      </c>
      <c r="G307" s="40">
        <v>45542</v>
      </c>
      <c r="H307" s="40">
        <v>45900</v>
      </c>
      <c r="I307" s="40">
        <v>45542</v>
      </c>
      <c r="J307" s="17">
        <v>1949.57</v>
      </c>
    </row>
    <row r="308" spans="2:10" x14ac:dyDescent="0.3">
      <c r="B308" s="6" t="s">
        <v>217</v>
      </c>
      <c r="C308" s="6" t="s">
        <v>674</v>
      </c>
      <c r="D308" s="6" t="s">
        <v>166</v>
      </c>
      <c r="E308" s="17">
        <v>2628</v>
      </c>
      <c r="F308" s="17">
        <v>2505</v>
      </c>
      <c r="G308" s="40">
        <v>45407</v>
      </c>
      <c r="H308" s="40">
        <v>45777</v>
      </c>
      <c r="I308" s="40">
        <v>45407</v>
      </c>
      <c r="J308" s="17">
        <v>0</v>
      </c>
    </row>
    <row r="309" spans="2:10" x14ac:dyDescent="0.3">
      <c r="B309" s="6" t="s">
        <v>216</v>
      </c>
      <c r="C309" s="6" t="s">
        <v>675</v>
      </c>
      <c r="D309" s="6" t="s">
        <v>215</v>
      </c>
      <c r="E309" s="17">
        <v>2111</v>
      </c>
      <c r="F309" s="17">
        <v>1863</v>
      </c>
      <c r="G309" s="40">
        <v>44682</v>
      </c>
      <c r="H309" s="40">
        <v>45808</v>
      </c>
      <c r="I309" s="40">
        <v>44682</v>
      </c>
      <c r="J309" s="17">
        <v>0</v>
      </c>
    </row>
    <row r="310" spans="2:10" x14ac:dyDescent="0.3">
      <c r="B310" s="6" t="s">
        <v>214</v>
      </c>
      <c r="C310" s="6" t="s">
        <v>676</v>
      </c>
      <c r="D310" s="6" t="s">
        <v>166</v>
      </c>
      <c r="E310" s="17">
        <v>2438</v>
      </c>
      <c r="F310" s="17">
        <v>2334</v>
      </c>
      <c r="G310" s="40">
        <v>45437</v>
      </c>
      <c r="H310" s="40">
        <v>45808</v>
      </c>
      <c r="I310" s="40">
        <v>45437</v>
      </c>
      <c r="J310" s="17">
        <v>0</v>
      </c>
    </row>
    <row r="311" spans="2:10" x14ac:dyDescent="0.3">
      <c r="B311" s="6" t="s">
        <v>213</v>
      </c>
      <c r="C311" s="6" t="s">
        <v>677</v>
      </c>
      <c r="D311" s="6" t="s">
        <v>166</v>
      </c>
      <c r="E311" s="17">
        <v>2792</v>
      </c>
      <c r="F311" s="17">
        <v>2702</v>
      </c>
      <c r="G311" s="40">
        <v>45038</v>
      </c>
      <c r="H311" s="40">
        <v>45808</v>
      </c>
      <c r="I311" s="40">
        <v>45038</v>
      </c>
      <c r="J311" s="17">
        <v>2889.63</v>
      </c>
    </row>
    <row r="312" spans="2:10" x14ac:dyDescent="0.3">
      <c r="B312" s="6" t="s">
        <v>212</v>
      </c>
      <c r="C312" s="6" t="s">
        <v>678</v>
      </c>
      <c r="D312" s="6" t="s">
        <v>166</v>
      </c>
      <c r="E312" s="17">
        <v>3064</v>
      </c>
      <c r="F312" s="17">
        <v>2946</v>
      </c>
      <c r="G312" s="40">
        <v>45444</v>
      </c>
      <c r="H312" s="40">
        <v>45808</v>
      </c>
      <c r="I312" s="40">
        <v>45444</v>
      </c>
      <c r="J312" s="17">
        <v>3127</v>
      </c>
    </row>
    <row r="313" spans="2:10" x14ac:dyDescent="0.3">
      <c r="B313" s="6" t="s">
        <v>211</v>
      </c>
      <c r="C313" s="6" t="s">
        <v>679</v>
      </c>
      <c r="D313" s="6" t="s">
        <v>166</v>
      </c>
      <c r="E313" s="17">
        <v>2077</v>
      </c>
      <c r="F313" s="17">
        <v>1996</v>
      </c>
      <c r="G313" s="40">
        <v>45473</v>
      </c>
      <c r="H313" s="40">
        <v>45838</v>
      </c>
      <c r="I313" s="40">
        <v>45473</v>
      </c>
      <c r="J313" s="17">
        <v>0</v>
      </c>
    </row>
    <row r="314" spans="2:10" x14ac:dyDescent="0.3">
      <c r="B314" s="6" t="s">
        <v>210</v>
      </c>
      <c r="C314" s="6" t="s">
        <v>680</v>
      </c>
      <c r="D314" s="6" t="s">
        <v>166</v>
      </c>
      <c r="E314" s="17">
        <v>2130</v>
      </c>
      <c r="F314" s="17">
        <v>2022</v>
      </c>
      <c r="G314" s="40">
        <v>44757</v>
      </c>
      <c r="H314" s="40">
        <v>45869</v>
      </c>
      <c r="I314" s="40">
        <v>44757</v>
      </c>
      <c r="J314" s="17">
        <v>0</v>
      </c>
    </row>
    <row r="315" spans="2:10" x14ac:dyDescent="0.3">
      <c r="B315" s="6" t="s">
        <v>209</v>
      </c>
      <c r="C315" s="6" t="s">
        <v>681</v>
      </c>
      <c r="D315" s="6" t="s">
        <v>166</v>
      </c>
      <c r="E315" s="17">
        <v>2231</v>
      </c>
      <c r="F315" s="17">
        <v>2231</v>
      </c>
      <c r="G315" s="40">
        <v>45352</v>
      </c>
      <c r="H315" s="40">
        <v>46081</v>
      </c>
      <c r="I315" s="40">
        <v>45352</v>
      </c>
      <c r="J315" s="17">
        <v>0</v>
      </c>
    </row>
    <row r="316" spans="2:10" x14ac:dyDescent="0.3">
      <c r="B316" s="6" t="s">
        <v>208</v>
      </c>
      <c r="C316" s="6" t="s">
        <v>682</v>
      </c>
      <c r="D316" s="6" t="s">
        <v>166</v>
      </c>
      <c r="E316" s="17">
        <v>2317</v>
      </c>
      <c r="F316" s="17">
        <v>2222</v>
      </c>
      <c r="G316" s="40">
        <v>45212</v>
      </c>
      <c r="H316" s="40">
        <v>45930</v>
      </c>
      <c r="I316" s="40">
        <v>45212</v>
      </c>
      <c r="J316" s="17">
        <v>0</v>
      </c>
    </row>
    <row r="317" spans="2:10" x14ac:dyDescent="0.3">
      <c r="B317" s="6" t="s">
        <v>207</v>
      </c>
      <c r="C317" s="6" t="s">
        <v>683</v>
      </c>
      <c r="D317" s="6" t="s">
        <v>166</v>
      </c>
      <c r="E317" s="17">
        <v>2746</v>
      </c>
      <c r="F317" s="17">
        <v>2746</v>
      </c>
      <c r="G317" s="40">
        <v>45349</v>
      </c>
      <c r="H317" s="40">
        <v>46265</v>
      </c>
      <c r="I317" s="40">
        <v>45349</v>
      </c>
      <c r="J317" s="17">
        <v>0</v>
      </c>
    </row>
    <row r="318" spans="2:10" x14ac:dyDescent="0.3">
      <c r="B318" s="6" t="s">
        <v>206</v>
      </c>
      <c r="C318" s="6" t="s">
        <v>684</v>
      </c>
      <c r="D318" s="6" t="s">
        <v>166</v>
      </c>
      <c r="E318" s="17">
        <v>2351</v>
      </c>
      <c r="F318" s="17">
        <v>2224</v>
      </c>
      <c r="G318" s="40">
        <v>44866</v>
      </c>
      <c r="H318" s="40">
        <v>45961</v>
      </c>
      <c r="I318" s="40">
        <v>44866</v>
      </c>
      <c r="J318" s="17">
        <v>2455</v>
      </c>
    </row>
    <row r="319" spans="2:10" x14ac:dyDescent="0.3">
      <c r="B319" s="6" t="s">
        <v>205</v>
      </c>
      <c r="C319" s="6" t="s">
        <v>685</v>
      </c>
      <c r="D319" s="6" t="s">
        <v>166</v>
      </c>
      <c r="E319" s="17">
        <v>1846</v>
      </c>
      <c r="F319" s="17">
        <v>1704</v>
      </c>
      <c r="G319" s="40">
        <v>44494</v>
      </c>
      <c r="H319" s="40">
        <v>45991</v>
      </c>
      <c r="I319" s="40">
        <v>44494</v>
      </c>
      <c r="J319" s="17">
        <v>1879.32</v>
      </c>
    </row>
    <row r="320" spans="2:10" x14ac:dyDescent="0.3">
      <c r="B320" s="6" t="s">
        <v>204</v>
      </c>
      <c r="C320" s="6" t="s">
        <v>686</v>
      </c>
      <c r="D320" s="6" t="s">
        <v>166</v>
      </c>
      <c r="E320" s="17">
        <v>1830</v>
      </c>
      <c r="F320" s="17">
        <v>1739</v>
      </c>
      <c r="G320" s="40">
        <v>45381</v>
      </c>
      <c r="H320" s="40">
        <v>46112</v>
      </c>
      <c r="I320" s="40">
        <v>45381</v>
      </c>
      <c r="J320" s="17">
        <v>2.6143740000000002</v>
      </c>
    </row>
    <row r="321" spans="2:10" x14ac:dyDescent="0.3">
      <c r="B321" s="6" t="s">
        <v>203</v>
      </c>
      <c r="C321" s="6" t="s">
        <v>687</v>
      </c>
      <c r="D321" s="6" t="s">
        <v>166</v>
      </c>
      <c r="E321" s="17">
        <v>2202</v>
      </c>
      <c r="F321" s="17">
        <v>2142</v>
      </c>
      <c r="G321" s="40">
        <v>45261</v>
      </c>
      <c r="H321" s="40">
        <v>45991</v>
      </c>
      <c r="I321" s="40">
        <v>45261</v>
      </c>
      <c r="J321" s="17">
        <v>0</v>
      </c>
    </row>
    <row r="322" spans="2:10" x14ac:dyDescent="0.3">
      <c r="B322" s="6" t="s">
        <v>202</v>
      </c>
      <c r="C322" s="6" t="s">
        <v>688</v>
      </c>
      <c r="D322" s="6" t="s">
        <v>166</v>
      </c>
      <c r="E322" s="17">
        <v>2542</v>
      </c>
      <c r="F322" s="17">
        <v>2428</v>
      </c>
      <c r="G322" s="40">
        <v>45078</v>
      </c>
      <c r="H322" s="40">
        <v>45808</v>
      </c>
      <c r="I322" s="40">
        <v>45078</v>
      </c>
      <c r="J322" s="17">
        <v>2486</v>
      </c>
    </row>
    <row r="323" spans="2:10" x14ac:dyDescent="0.3">
      <c r="B323" s="6" t="s">
        <v>201</v>
      </c>
      <c r="C323" s="6" t="s">
        <v>689</v>
      </c>
      <c r="D323" s="6" t="s">
        <v>166</v>
      </c>
      <c r="E323" s="17">
        <v>2089</v>
      </c>
      <c r="F323" s="17">
        <v>1981</v>
      </c>
      <c r="G323" s="40">
        <v>45231</v>
      </c>
      <c r="H323" s="40">
        <v>45961</v>
      </c>
      <c r="I323" s="40">
        <v>45231</v>
      </c>
      <c r="J323" s="17">
        <v>2139</v>
      </c>
    </row>
    <row r="324" spans="2:10" x14ac:dyDescent="0.3">
      <c r="B324" s="6" t="s">
        <v>200</v>
      </c>
      <c r="C324" s="6" t="s">
        <v>690</v>
      </c>
      <c r="D324" s="6" t="s">
        <v>166</v>
      </c>
      <c r="E324" s="17">
        <v>2214</v>
      </c>
      <c r="F324" s="17">
        <v>2209</v>
      </c>
      <c r="G324" s="40">
        <v>45352</v>
      </c>
      <c r="H324" s="40">
        <v>46081</v>
      </c>
      <c r="I324" s="40">
        <v>45352</v>
      </c>
      <c r="J324" s="17">
        <v>2065</v>
      </c>
    </row>
    <row r="325" spans="2:10" x14ac:dyDescent="0.3">
      <c r="B325" s="6" t="s">
        <v>199</v>
      </c>
      <c r="C325" s="6" t="s">
        <v>691</v>
      </c>
      <c r="D325" s="6" t="s">
        <v>166</v>
      </c>
      <c r="E325" s="17">
        <v>2764</v>
      </c>
      <c r="F325" s="17">
        <v>2611</v>
      </c>
      <c r="G325" s="40">
        <v>45017</v>
      </c>
      <c r="H325" s="40">
        <v>45930</v>
      </c>
      <c r="I325" s="40">
        <v>45017</v>
      </c>
      <c r="J325" s="17">
        <v>0</v>
      </c>
    </row>
    <row r="326" spans="2:10" x14ac:dyDescent="0.3">
      <c r="B326" s="6" t="s">
        <v>198</v>
      </c>
      <c r="C326" s="6" t="s">
        <v>692</v>
      </c>
      <c r="D326" s="6" t="s">
        <v>166</v>
      </c>
      <c r="E326" s="17">
        <v>2374</v>
      </c>
      <c r="F326" s="17">
        <v>2336</v>
      </c>
      <c r="G326" s="40">
        <v>45522</v>
      </c>
      <c r="H326" s="40">
        <v>45900</v>
      </c>
      <c r="I326" s="40">
        <v>45522</v>
      </c>
      <c r="J326" s="17">
        <v>0</v>
      </c>
    </row>
    <row r="327" spans="2:10" x14ac:dyDescent="0.3">
      <c r="B327" s="6" t="s">
        <v>197</v>
      </c>
      <c r="C327" s="6" t="s">
        <v>693</v>
      </c>
      <c r="D327" s="6" t="s">
        <v>166</v>
      </c>
      <c r="E327" s="17">
        <v>2153</v>
      </c>
      <c r="F327" s="17">
        <v>2153</v>
      </c>
      <c r="G327" s="40">
        <v>45352</v>
      </c>
      <c r="H327" s="40">
        <v>46081</v>
      </c>
      <c r="I327" s="40">
        <v>45352</v>
      </c>
      <c r="J327" s="17">
        <v>0</v>
      </c>
    </row>
    <row r="328" spans="2:10" x14ac:dyDescent="0.3">
      <c r="B328" s="6" t="s">
        <v>196</v>
      </c>
      <c r="C328" s="6" t="s">
        <v>694</v>
      </c>
      <c r="D328" s="6" t="s">
        <v>166</v>
      </c>
      <c r="E328" s="17">
        <v>2495</v>
      </c>
      <c r="F328" s="17">
        <v>2415</v>
      </c>
      <c r="G328" s="40">
        <v>44941</v>
      </c>
      <c r="H328" s="40">
        <v>46053</v>
      </c>
      <c r="I328" s="40">
        <v>44941</v>
      </c>
      <c r="J328" s="17">
        <v>2605.5100000000002</v>
      </c>
    </row>
    <row r="329" spans="2:10" x14ac:dyDescent="0.3">
      <c r="B329" s="6" t="s">
        <v>195</v>
      </c>
      <c r="C329" s="6" t="s">
        <v>695</v>
      </c>
      <c r="D329" s="6" t="s">
        <v>166</v>
      </c>
      <c r="E329" s="17">
        <v>2069</v>
      </c>
      <c r="F329" s="17">
        <v>1859</v>
      </c>
      <c r="G329" s="40">
        <v>44256</v>
      </c>
      <c r="H329" s="40">
        <v>46112</v>
      </c>
      <c r="I329" s="40">
        <v>44256</v>
      </c>
      <c r="J329" s="17">
        <v>0</v>
      </c>
    </row>
    <row r="330" spans="2:10" x14ac:dyDescent="0.3">
      <c r="B330" s="6" t="s">
        <v>194</v>
      </c>
      <c r="C330" s="6" t="s">
        <v>696</v>
      </c>
      <c r="D330" s="6" t="s">
        <v>166</v>
      </c>
      <c r="E330" s="17">
        <v>2537</v>
      </c>
      <c r="F330" s="17">
        <v>2424</v>
      </c>
      <c r="G330" s="40">
        <v>45444</v>
      </c>
      <c r="H330" s="40">
        <v>45808</v>
      </c>
      <c r="I330" s="40">
        <v>45444</v>
      </c>
      <c r="J330" s="17">
        <v>0</v>
      </c>
    </row>
    <row r="331" spans="2:10" x14ac:dyDescent="0.3">
      <c r="B331" s="6" t="s">
        <v>193</v>
      </c>
      <c r="C331" s="6" t="s">
        <v>697</v>
      </c>
      <c r="D331" s="6" t="s">
        <v>166</v>
      </c>
      <c r="E331" s="17">
        <v>2079</v>
      </c>
      <c r="F331" s="17">
        <v>2051</v>
      </c>
      <c r="G331" s="40">
        <v>45337</v>
      </c>
      <c r="H331" s="40">
        <v>46053</v>
      </c>
      <c r="I331" s="40">
        <v>45337</v>
      </c>
      <c r="J331" s="17">
        <v>2243.0700000000002</v>
      </c>
    </row>
    <row r="332" spans="2:10" x14ac:dyDescent="0.3">
      <c r="B332" s="6" t="s">
        <v>192</v>
      </c>
      <c r="C332" s="6" t="s">
        <v>698</v>
      </c>
      <c r="D332" s="6" t="s">
        <v>166</v>
      </c>
      <c r="E332" s="17">
        <v>2046</v>
      </c>
      <c r="F332" s="17">
        <v>1826</v>
      </c>
      <c r="G332" s="40">
        <v>44233</v>
      </c>
      <c r="H332" s="40">
        <v>45808</v>
      </c>
      <c r="I332" s="40">
        <v>44233</v>
      </c>
      <c r="J332" s="17">
        <v>1519.3</v>
      </c>
    </row>
    <row r="333" spans="2:10" x14ac:dyDescent="0.3">
      <c r="B333" s="6" t="s">
        <v>191</v>
      </c>
      <c r="C333" s="6" t="s">
        <v>699</v>
      </c>
      <c r="D333" s="6" t="s">
        <v>166</v>
      </c>
      <c r="E333" s="17">
        <v>2021</v>
      </c>
      <c r="F333" s="17">
        <v>1923</v>
      </c>
      <c r="G333" s="40">
        <v>45514</v>
      </c>
      <c r="H333" s="40">
        <v>45869</v>
      </c>
      <c r="I333" s="40">
        <v>45514</v>
      </c>
      <c r="J333" s="17">
        <v>0</v>
      </c>
    </row>
    <row r="334" spans="2:10" x14ac:dyDescent="0.3">
      <c r="B334" s="6" t="s">
        <v>190</v>
      </c>
      <c r="C334" s="6" t="s">
        <v>700</v>
      </c>
      <c r="D334" s="6" t="s">
        <v>166</v>
      </c>
      <c r="E334" s="17">
        <v>2969</v>
      </c>
      <c r="F334" s="17">
        <v>2887</v>
      </c>
      <c r="G334" s="40">
        <v>44893</v>
      </c>
      <c r="H334" s="40">
        <v>45991</v>
      </c>
      <c r="I334" s="40">
        <v>44893</v>
      </c>
      <c r="J334" s="17">
        <v>0</v>
      </c>
    </row>
    <row r="335" spans="2:10" x14ac:dyDescent="0.3">
      <c r="B335" s="6" t="s">
        <v>189</v>
      </c>
      <c r="C335" s="6" t="s">
        <v>701</v>
      </c>
      <c r="D335" s="6" t="s">
        <v>166</v>
      </c>
      <c r="E335" s="17">
        <v>2431</v>
      </c>
      <c r="F335" s="17">
        <v>2309</v>
      </c>
      <c r="G335" s="40">
        <v>45542</v>
      </c>
      <c r="H335" s="40">
        <v>45900</v>
      </c>
      <c r="I335" s="40">
        <v>45542</v>
      </c>
      <c r="J335" s="17">
        <v>0</v>
      </c>
    </row>
    <row r="336" spans="2:10" x14ac:dyDescent="0.3">
      <c r="B336" s="6" t="s">
        <v>188</v>
      </c>
      <c r="C336" s="6" t="s">
        <v>702</v>
      </c>
      <c r="D336" s="6" t="s">
        <v>166</v>
      </c>
      <c r="E336" s="17">
        <v>1975</v>
      </c>
      <c r="F336" s="17">
        <v>1880</v>
      </c>
      <c r="G336" s="40">
        <v>45527</v>
      </c>
      <c r="H336" s="40">
        <v>45900</v>
      </c>
      <c r="I336" s="40">
        <v>45527</v>
      </c>
      <c r="J336" s="17">
        <v>2019</v>
      </c>
    </row>
    <row r="337" spans="2:10" x14ac:dyDescent="0.3">
      <c r="B337" s="6" t="s">
        <v>187</v>
      </c>
      <c r="C337" s="6" t="s">
        <v>703</v>
      </c>
      <c r="D337" s="6" t="s">
        <v>166</v>
      </c>
      <c r="E337" s="17">
        <v>2062</v>
      </c>
      <c r="F337" s="17">
        <v>1973</v>
      </c>
      <c r="G337" s="40">
        <v>45580</v>
      </c>
      <c r="H337" s="40">
        <v>45930</v>
      </c>
      <c r="I337" s="40">
        <v>45580</v>
      </c>
      <c r="J337" s="17">
        <v>0</v>
      </c>
    </row>
    <row r="338" spans="2:10" x14ac:dyDescent="0.3">
      <c r="B338" s="6" t="s">
        <v>186</v>
      </c>
      <c r="C338" s="6" t="s">
        <v>704</v>
      </c>
      <c r="D338" s="6" t="s">
        <v>166</v>
      </c>
      <c r="E338" s="17">
        <v>1979</v>
      </c>
      <c r="F338" s="17">
        <v>1954</v>
      </c>
      <c r="G338" s="40">
        <v>44757</v>
      </c>
      <c r="H338" s="40">
        <v>45869</v>
      </c>
      <c r="I338" s="40">
        <v>44757</v>
      </c>
      <c r="J338" s="17">
        <v>2072</v>
      </c>
    </row>
    <row r="339" spans="2:10" x14ac:dyDescent="0.3">
      <c r="B339" s="6" t="s">
        <v>185</v>
      </c>
      <c r="C339" s="6" t="s">
        <v>705</v>
      </c>
      <c r="D339" s="6" t="s">
        <v>166</v>
      </c>
      <c r="E339" s="17">
        <v>2426</v>
      </c>
      <c r="F339" s="17">
        <v>2304</v>
      </c>
      <c r="G339" s="40">
        <v>45611</v>
      </c>
      <c r="H339" s="40">
        <v>45991</v>
      </c>
      <c r="I339" s="40">
        <v>45611</v>
      </c>
      <c r="J339" s="17">
        <v>2366</v>
      </c>
    </row>
    <row r="340" spans="2:10" x14ac:dyDescent="0.3">
      <c r="B340" s="6" t="s">
        <v>184</v>
      </c>
      <c r="C340" s="6" t="s">
        <v>706</v>
      </c>
      <c r="D340" s="6" t="s">
        <v>166</v>
      </c>
      <c r="E340" s="17">
        <v>1785</v>
      </c>
      <c r="F340" s="17">
        <v>1785</v>
      </c>
      <c r="G340" s="40">
        <v>45642</v>
      </c>
      <c r="H340" s="40">
        <v>46022</v>
      </c>
      <c r="I340" s="40">
        <v>45642</v>
      </c>
      <c r="J340" s="17">
        <v>0</v>
      </c>
    </row>
    <row r="341" spans="2:10" x14ac:dyDescent="0.3">
      <c r="B341" s="6" t="s">
        <v>183</v>
      </c>
      <c r="C341" s="6" t="s">
        <v>707</v>
      </c>
      <c r="D341" s="6" t="s">
        <v>166</v>
      </c>
      <c r="E341" s="17">
        <v>2030</v>
      </c>
      <c r="F341" s="17">
        <v>1980</v>
      </c>
      <c r="G341" s="40">
        <v>45474</v>
      </c>
      <c r="H341" s="40">
        <v>45838</v>
      </c>
      <c r="I341" s="40">
        <v>45474</v>
      </c>
      <c r="J341" s="17">
        <v>14</v>
      </c>
    </row>
    <row r="342" spans="2:10" x14ac:dyDescent="0.3">
      <c r="B342" s="6" t="s">
        <v>182</v>
      </c>
      <c r="C342" s="6" t="s">
        <v>708</v>
      </c>
      <c r="D342" s="6" t="s">
        <v>166</v>
      </c>
      <c r="E342" s="17">
        <v>2292</v>
      </c>
      <c r="F342" s="17">
        <v>2085</v>
      </c>
      <c r="G342" s="40">
        <v>44428</v>
      </c>
      <c r="H342" s="40">
        <v>45930</v>
      </c>
      <c r="I342" s="40">
        <v>44428</v>
      </c>
      <c r="J342" s="17">
        <v>2222</v>
      </c>
    </row>
    <row r="343" spans="2:10" x14ac:dyDescent="0.3">
      <c r="B343" s="6" t="s">
        <v>181</v>
      </c>
      <c r="C343" s="6" t="s">
        <v>709</v>
      </c>
      <c r="D343" s="6" t="s">
        <v>166</v>
      </c>
      <c r="E343" s="17">
        <v>2523</v>
      </c>
      <c r="F343" s="17">
        <v>2293</v>
      </c>
      <c r="G343" s="40">
        <v>45580</v>
      </c>
      <c r="H343" s="40">
        <v>45961</v>
      </c>
      <c r="I343" s="40">
        <v>45580</v>
      </c>
      <c r="J343" s="17">
        <v>2473</v>
      </c>
    </row>
    <row r="344" spans="2:10" x14ac:dyDescent="0.3">
      <c r="B344" s="6" t="s">
        <v>180</v>
      </c>
      <c r="C344" s="6" t="s">
        <v>710</v>
      </c>
      <c r="D344" s="6" t="s">
        <v>166</v>
      </c>
      <c r="E344" s="17">
        <v>2093</v>
      </c>
      <c r="F344" s="17">
        <v>2001</v>
      </c>
      <c r="G344" s="40">
        <v>45303</v>
      </c>
      <c r="H344" s="40">
        <v>46022</v>
      </c>
      <c r="I344" s="40">
        <v>45303</v>
      </c>
      <c r="J344" s="17">
        <v>0</v>
      </c>
    </row>
    <row r="345" spans="2:10" x14ac:dyDescent="0.3">
      <c r="B345" s="6" t="s">
        <v>179</v>
      </c>
      <c r="C345" s="6" t="s">
        <v>711</v>
      </c>
      <c r="D345" s="6" t="s">
        <v>166</v>
      </c>
      <c r="E345" s="17">
        <v>2377</v>
      </c>
      <c r="F345" s="17">
        <v>2244</v>
      </c>
      <c r="G345" s="40">
        <v>45521</v>
      </c>
      <c r="H345" s="40">
        <v>45900</v>
      </c>
      <c r="I345" s="40">
        <v>45521</v>
      </c>
      <c r="J345" s="17">
        <v>2421</v>
      </c>
    </row>
    <row r="346" spans="2:10" x14ac:dyDescent="0.3">
      <c r="B346" s="6" t="s">
        <v>178</v>
      </c>
      <c r="C346" s="6" t="s">
        <v>712</v>
      </c>
      <c r="D346" s="6" t="s">
        <v>166</v>
      </c>
      <c r="E346" s="17">
        <v>2465</v>
      </c>
      <c r="F346" s="17">
        <v>2350</v>
      </c>
      <c r="G346" s="40">
        <v>45114</v>
      </c>
      <c r="H346" s="40">
        <v>45838</v>
      </c>
      <c r="I346" s="40">
        <v>45114</v>
      </c>
      <c r="J346" s="17">
        <v>2569</v>
      </c>
    </row>
    <row r="347" spans="2:10" x14ac:dyDescent="0.3">
      <c r="B347" s="6" t="s">
        <v>177</v>
      </c>
      <c r="C347" s="6" t="s">
        <v>713</v>
      </c>
      <c r="D347" s="6" t="s">
        <v>166</v>
      </c>
      <c r="E347" s="17">
        <v>1991</v>
      </c>
      <c r="F347" s="17">
        <v>1927</v>
      </c>
      <c r="G347" s="40">
        <v>44441</v>
      </c>
      <c r="H347" s="40">
        <v>45930</v>
      </c>
      <c r="I347" s="40">
        <v>44441</v>
      </c>
      <c r="J347" s="17">
        <v>-766</v>
      </c>
    </row>
    <row r="348" spans="2:10" x14ac:dyDescent="0.3">
      <c r="B348" s="6" t="s">
        <v>176</v>
      </c>
      <c r="C348" s="6" t="s">
        <v>714</v>
      </c>
      <c r="D348" s="6" t="s">
        <v>166</v>
      </c>
      <c r="E348" s="17">
        <v>1859</v>
      </c>
      <c r="F348" s="17">
        <v>1803</v>
      </c>
      <c r="G348" s="40">
        <v>45566</v>
      </c>
      <c r="H348" s="40">
        <v>45930</v>
      </c>
      <c r="I348" s="40">
        <v>45566</v>
      </c>
      <c r="J348" s="17">
        <v>1991</v>
      </c>
    </row>
    <row r="349" spans="2:10" x14ac:dyDescent="0.3">
      <c r="B349" s="6" t="s">
        <v>175</v>
      </c>
      <c r="C349" s="6" t="s">
        <v>715</v>
      </c>
      <c r="D349" s="6" t="s">
        <v>166</v>
      </c>
      <c r="E349" s="17">
        <v>2961</v>
      </c>
      <c r="F349" s="17">
        <v>2833</v>
      </c>
      <c r="G349" s="40">
        <v>45549</v>
      </c>
      <c r="H349" s="40">
        <v>45930</v>
      </c>
      <c r="I349" s="40">
        <v>45549</v>
      </c>
      <c r="J349" s="17">
        <v>3011</v>
      </c>
    </row>
    <row r="350" spans="2:10" x14ac:dyDescent="0.3">
      <c r="B350" s="6" t="s">
        <v>174</v>
      </c>
      <c r="C350" s="6" t="s">
        <v>716</v>
      </c>
      <c r="D350" s="6" t="s">
        <v>166</v>
      </c>
      <c r="E350" s="17">
        <v>2808</v>
      </c>
      <c r="F350" s="17">
        <v>2527</v>
      </c>
      <c r="G350" s="40">
        <v>44593</v>
      </c>
      <c r="H350" s="40">
        <v>46081</v>
      </c>
      <c r="I350" s="40">
        <v>44593</v>
      </c>
      <c r="J350" s="17">
        <v>2781.93</v>
      </c>
    </row>
    <row r="351" spans="2:10" x14ac:dyDescent="0.3">
      <c r="B351" s="6" t="s">
        <v>173</v>
      </c>
      <c r="C351" s="6" t="s">
        <v>717</v>
      </c>
      <c r="D351" s="6" t="s">
        <v>166</v>
      </c>
      <c r="E351" s="17">
        <v>2065</v>
      </c>
      <c r="F351" s="17">
        <v>1851</v>
      </c>
      <c r="G351" s="40">
        <v>44317</v>
      </c>
      <c r="H351" s="40">
        <v>45961</v>
      </c>
      <c r="I351" s="40">
        <v>44317</v>
      </c>
      <c r="J351" s="17">
        <v>0</v>
      </c>
    </row>
    <row r="352" spans="2:10" x14ac:dyDescent="0.3">
      <c r="B352" s="6" t="s">
        <v>172</v>
      </c>
      <c r="C352" s="6" t="s">
        <v>718</v>
      </c>
      <c r="D352" s="6" t="s">
        <v>166</v>
      </c>
      <c r="E352" s="17">
        <v>2171</v>
      </c>
      <c r="F352" s="17">
        <v>2032</v>
      </c>
      <c r="G352" s="40">
        <v>45005</v>
      </c>
      <c r="H352" s="40">
        <v>45930</v>
      </c>
      <c r="I352" s="40">
        <v>45005</v>
      </c>
      <c r="J352" s="17">
        <v>0</v>
      </c>
    </row>
    <row r="353" spans="2:10" x14ac:dyDescent="0.3">
      <c r="B353" s="6" t="s">
        <v>171</v>
      </c>
      <c r="C353" s="6" t="s">
        <v>719</v>
      </c>
      <c r="D353" s="6" t="s">
        <v>166</v>
      </c>
      <c r="E353" s="17">
        <v>2037</v>
      </c>
      <c r="F353" s="17">
        <v>1938</v>
      </c>
      <c r="G353" s="40">
        <v>45577</v>
      </c>
      <c r="H353" s="40">
        <v>45930</v>
      </c>
      <c r="I353" s="40">
        <v>45577</v>
      </c>
      <c r="J353" s="17">
        <v>2083</v>
      </c>
    </row>
    <row r="354" spans="2:10" x14ac:dyDescent="0.3">
      <c r="B354" s="6" t="s">
        <v>170</v>
      </c>
      <c r="C354" s="6" t="s">
        <v>720</v>
      </c>
      <c r="D354" s="6" t="s">
        <v>166</v>
      </c>
      <c r="E354" s="17">
        <v>2111</v>
      </c>
      <c r="F354" s="17">
        <v>2018</v>
      </c>
      <c r="G354" s="40">
        <v>45136</v>
      </c>
      <c r="H354" s="40">
        <v>45869</v>
      </c>
      <c r="I354" s="40">
        <v>45136</v>
      </c>
      <c r="J354" s="17">
        <v>2069</v>
      </c>
    </row>
    <row r="355" spans="2:10" x14ac:dyDescent="0.3">
      <c r="B355" s="6" t="s">
        <v>169</v>
      </c>
      <c r="C355" s="6" t="s">
        <v>721</v>
      </c>
      <c r="D355" s="6" t="s">
        <v>166</v>
      </c>
      <c r="E355" s="17">
        <v>1916</v>
      </c>
      <c r="F355" s="17">
        <v>1822</v>
      </c>
      <c r="G355" s="40">
        <v>45505</v>
      </c>
      <c r="H355" s="40">
        <v>45869</v>
      </c>
      <c r="I355" s="40">
        <v>45505</v>
      </c>
      <c r="J355" s="17">
        <v>0</v>
      </c>
    </row>
    <row r="356" spans="2:10" x14ac:dyDescent="0.3">
      <c r="B356" s="6" t="s">
        <v>168</v>
      </c>
      <c r="C356" s="6" t="s">
        <v>722</v>
      </c>
      <c r="D356" s="6" t="s">
        <v>166</v>
      </c>
      <c r="E356" s="17">
        <v>2122</v>
      </c>
      <c r="F356" s="17">
        <v>2035</v>
      </c>
      <c r="G356" s="40">
        <v>44593</v>
      </c>
      <c r="H356" s="40">
        <v>45900</v>
      </c>
      <c r="I356" s="40">
        <v>44593</v>
      </c>
      <c r="J356" s="17">
        <v>0</v>
      </c>
    </row>
    <row r="357" spans="2:10" x14ac:dyDescent="0.3">
      <c r="B357" s="6" t="s">
        <v>167</v>
      </c>
      <c r="C357" s="6" t="s">
        <v>723</v>
      </c>
      <c r="D357" s="6" t="s">
        <v>166</v>
      </c>
      <c r="E357" s="17">
        <v>2492</v>
      </c>
      <c r="F357" s="17">
        <v>2332</v>
      </c>
      <c r="G357" s="40">
        <v>45000</v>
      </c>
      <c r="H357" s="40">
        <v>46112</v>
      </c>
      <c r="I357" s="40">
        <v>45000</v>
      </c>
      <c r="J357" s="17">
        <v>0</v>
      </c>
    </row>
    <row r="358" spans="2:10" x14ac:dyDescent="0.3">
      <c r="B358" s="6" t="s">
        <v>165</v>
      </c>
      <c r="C358" s="32"/>
      <c r="D358" s="6" t="s">
        <v>146</v>
      </c>
      <c r="E358" s="17">
        <v>2380</v>
      </c>
      <c r="F358" s="33"/>
      <c r="G358" s="41"/>
      <c r="H358" s="41"/>
      <c r="I358" s="41"/>
      <c r="J358" s="33"/>
    </row>
    <row r="359" spans="2:10" x14ac:dyDescent="0.3">
      <c r="B359" s="6" t="s">
        <v>164</v>
      </c>
      <c r="C359" s="32"/>
      <c r="D359" s="6" t="s">
        <v>148</v>
      </c>
      <c r="E359" s="17">
        <v>2101</v>
      </c>
      <c r="F359" s="33"/>
      <c r="G359" s="41"/>
      <c r="H359" s="41"/>
      <c r="I359" s="41"/>
      <c r="J359" s="33"/>
    </row>
    <row r="360" spans="2:10" x14ac:dyDescent="0.3">
      <c r="B360" s="6" t="s">
        <v>163</v>
      </c>
      <c r="C360" s="32"/>
      <c r="D360" s="6" t="s">
        <v>148</v>
      </c>
      <c r="E360" s="17">
        <v>2079</v>
      </c>
      <c r="F360" s="33"/>
      <c r="G360" s="41"/>
      <c r="H360" s="41"/>
      <c r="I360" s="41"/>
      <c r="J360" s="33"/>
    </row>
    <row r="361" spans="2:10" x14ac:dyDescent="0.3">
      <c r="B361" s="6" t="s">
        <v>162</v>
      </c>
      <c r="C361" s="32"/>
      <c r="D361" s="6" t="s">
        <v>146</v>
      </c>
      <c r="E361" s="17">
        <v>2267</v>
      </c>
      <c r="F361" s="33"/>
      <c r="G361" s="41"/>
      <c r="H361" s="41"/>
      <c r="I361" s="41"/>
      <c r="J361" s="33"/>
    </row>
    <row r="362" spans="2:10" x14ac:dyDescent="0.3">
      <c r="B362" s="6" t="s">
        <v>161</v>
      </c>
      <c r="C362" s="32"/>
      <c r="D362" s="6" t="s">
        <v>148</v>
      </c>
      <c r="E362" s="17">
        <v>1822</v>
      </c>
      <c r="F362" s="33"/>
      <c r="G362" s="41"/>
      <c r="H362" s="41"/>
      <c r="I362" s="41"/>
      <c r="J362" s="33"/>
    </row>
    <row r="363" spans="2:10" x14ac:dyDescent="0.3">
      <c r="B363" s="6" t="s">
        <v>160</v>
      </c>
      <c r="C363" s="32"/>
      <c r="D363" s="6" t="s">
        <v>146</v>
      </c>
      <c r="E363" s="17">
        <v>2642</v>
      </c>
      <c r="F363" s="33"/>
      <c r="G363" s="41"/>
      <c r="H363" s="41"/>
      <c r="I363" s="41"/>
      <c r="J363" s="33"/>
    </row>
    <row r="364" spans="2:10" x14ac:dyDescent="0.3">
      <c r="B364" s="6" t="s">
        <v>159</v>
      </c>
      <c r="C364" s="32"/>
      <c r="D364" s="6" t="s">
        <v>146</v>
      </c>
      <c r="E364" s="17">
        <v>2995</v>
      </c>
      <c r="F364" s="33"/>
      <c r="G364" s="41"/>
      <c r="H364" s="41"/>
      <c r="I364" s="41"/>
      <c r="J364" s="33"/>
    </row>
    <row r="365" spans="2:10" x14ac:dyDescent="0.3">
      <c r="B365" s="6" t="s">
        <v>158</v>
      </c>
      <c r="C365" s="32"/>
      <c r="D365" s="6" t="s">
        <v>146</v>
      </c>
      <c r="E365" s="17">
        <v>2219</v>
      </c>
      <c r="F365" s="33"/>
      <c r="G365" s="41"/>
      <c r="H365" s="41"/>
      <c r="I365" s="41"/>
      <c r="J365" s="33"/>
    </row>
    <row r="366" spans="2:10" x14ac:dyDescent="0.3">
      <c r="B366" s="6" t="s">
        <v>157</v>
      </c>
      <c r="C366" s="32"/>
      <c r="D366" s="6" t="s">
        <v>146</v>
      </c>
      <c r="E366" s="17">
        <v>2184</v>
      </c>
      <c r="F366" s="33"/>
      <c r="G366" s="41"/>
      <c r="H366" s="41"/>
      <c r="I366" s="41"/>
      <c r="J366" s="33"/>
    </row>
    <row r="367" spans="2:10" x14ac:dyDescent="0.3">
      <c r="B367" s="6" t="s">
        <v>156</v>
      </c>
      <c r="C367" s="32"/>
      <c r="D367" s="6" t="s">
        <v>146</v>
      </c>
      <c r="E367" s="17">
        <v>2200</v>
      </c>
      <c r="F367" s="33"/>
      <c r="G367" s="41"/>
      <c r="H367" s="41"/>
      <c r="I367" s="41"/>
      <c r="J367" s="33"/>
    </row>
    <row r="368" spans="2:10" x14ac:dyDescent="0.3">
      <c r="B368" s="6" t="s">
        <v>155</v>
      </c>
      <c r="C368" s="32"/>
      <c r="D368" s="6" t="s">
        <v>146</v>
      </c>
      <c r="E368" s="17">
        <v>2281</v>
      </c>
      <c r="F368" s="33"/>
      <c r="G368" s="41"/>
      <c r="H368" s="41"/>
      <c r="I368" s="41"/>
      <c r="J368" s="33"/>
    </row>
    <row r="369" spans="2:10" x14ac:dyDescent="0.3">
      <c r="B369" s="6" t="s">
        <v>154</v>
      </c>
      <c r="C369" s="32"/>
      <c r="D369" s="6" t="s">
        <v>146</v>
      </c>
      <c r="E369" s="17">
        <v>2073</v>
      </c>
      <c r="F369" s="33"/>
      <c r="G369" s="41"/>
      <c r="H369" s="41"/>
      <c r="I369" s="41"/>
      <c r="J369" s="33"/>
    </row>
    <row r="370" spans="2:10" x14ac:dyDescent="0.3">
      <c r="B370" s="6" t="s">
        <v>153</v>
      </c>
      <c r="C370" s="32"/>
      <c r="D370" s="6" t="s">
        <v>146</v>
      </c>
      <c r="E370" s="17">
        <v>2125</v>
      </c>
      <c r="F370" s="33"/>
      <c r="G370" s="41"/>
      <c r="H370" s="41"/>
      <c r="I370" s="41"/>
      <c r="J370" s="33"/>
    </row>
    <row r="371" spans="2:10" x14ac:dyDescent="0.3">
      <c r="B371" s="6" t="s">
        <v>152</v>
      </c>
      <c r="C371" s="32"/>
      <c r="D371" s="6" t="s">
        <v>146</v>
      </c>
      <c r="E371" s="17">
        <v>2964</v>
      </c>
      <c r="F371" s="33"/>
      <c r="G371" s="41"/>
      <c r="H371" s="41"/>
      <c r="I371" s="41"/>
      <c r="J371" s="33"/>
    </row>
    <row r="372" spans="2:10" x14ac:dyDescent="0.3">
      <c r="B372" s="6" t="s">
        <v>151</v>
      </c>
      <c r="C372" s="32"/>
      <c r="D372" s="6" t="s">
        <v>148</v>
      </c>
      <c r="E372" s="17">
        <v>2598</v>
      </c>
      <c r="F372" s="33"/>
      <c r="G372" s="41"/>
      <c r="H372" s="41"/>
      <c r="I372" s="41"/>
      <c r="J372" s="33"/>
    </row>
    <row r="373" spans="2:10" x14ac:dyDescent="0.3">
      <c r="B373" s="6" t="s">
        <v>150</v>
      </c>
      <c r="C373" s="32"/>
      <c r="D373" s="6" t="s">
        <v>146</v>
      </c>
      <c r="E373" s="17">
        <v>2754</v>
      </c>
      <c r="F373" s="33"/>
      <c r="G373" s="41"/>
      <c r="H373" s="41"/>
      <c r="I373" s="41"/>
      <c r="J373" s="33"/>
    </row>
    <row r="374" spans="2:10" x14ac:dyDescent="0.3">
      <c r="B374" s="6" t="s">
        <v>149</v>
      </c>
      <c r="C374" s="32"/>
      <c r="D374" s="6" t="s">
        <v>148</v>
      </c>
      <c r="E374" s="17">
        <v>2544</v>
      </c>
      <c r="F374" s="33"/>
      <c r="G374" s="41"/>
      <c r="H374" s="41"/>
      <c r="I374" s="41"/>
      <c r="J374" s="33"/>
    </row>
    <row r="375" spans="2:10" x14ac:dyDescent="0.3">
      <c r="B375" s="6" t="s">
        <v>147</v>
      </c>
      <c r="C375" s="32"/>
      <c r="D375" s="6" t="s">
        <v>146</v>
      </c>
      <c r="E375" s="17">
        <v>1860</v>
      </c>
      <c r="F375" s="33"/>
      <c r="G375" s="41"/>
      <c r="H375" s="41"/>
      <c r="I375" s="41"/>
      <c r="J375" s="33"/>
    </row>
    <row r="376" spans="2:10" x14ac:dyDescent="0.3">
      <c r="B376" s="6" t="s">
        <v>145</v>
      </c>
      <c r="C376" s="32"/>
      <c r="D376" s="6" t="s">
        <v>143</v>
      </c>
      <c r="E376" s="17">
        <v>453797</v>
      </c>
      <c r="F376" s="17">
        <v>395173.74</v>
      </c>
      <c r="G376" s="41"/>
      <c r="H376" s="41"/>
      <c r="I376" s="41"/>
      <c r="J376" s="17">
        <v>160001.70000000001</v>
      </c>
    </row>
    <row r="377" spans="2:10" x14ac:dyDescent="0.3">
      <c r="B377" s="3"/>
      <c r="C377" s="3"/>
      <c r="D377" s="3"/>
      <c r="E377" s="3"/>
      <c r="F377" s="3"/>
      <c r="G377" s="3"/>
      <c r="H377" s="3"/>
      <c r="I377" s="3"/>
      <c r="J377" s="3"/>
    </row>
    <row r="378" spans="2:10" x14ac:dyDescent="0.3">
      <c r="B378" s="6" t="s">
        <v>144</v>
      </c>
      <c r="C378" s="42"/>
      <c r="D378" s="15" t="s">
        <v>143</v>
      </c>
      <c r="E378" s="12">
        <v>414194</v>
      </c>
      <c r="F378" s="12">
        <v>360686.97</v>
      </c>
      <c r="G378" s="43"/>
      <c r="H378" s="43"/>
      <c r="I378" s="43"/>
      <c r="J378" s="12">
        <v>146038.35999999999</v>
      </c>
    </row>
    <row r="379" spans="2:10" x14ac:dyDescent="0.3">
      <c r="B379" s="3"/>
      <c r="C379" s="3"/>
      <c r="D379" s="3"/>
      <c r="E379" s="3"/>
      <c r="F379" s="44">
        <f>F378*12</f>
        <v>4328243.6399999997</v>
      </c>
      <c r="G379" s="3"/>
      <c r="H379" s="3"/>
      <c r="I379" s="3"/>
      <c r="J379" s="3"/>
    </row>
    <row r="382" spans="2:10" x14ac:dyDescent="0.3">
      <c r="B382" s="335" t="s">
        <v>392</v>
      </c>
      <c r="C382" s="336"/>
      <c r="D382" s="336"/>
      <c r="E382" s="336"/>
      <c r="F382" s="336"/>
      <c r="G382" s="337"/>
      <c r="H382" s="3"/>
    </row>
    <row r="383" spans="2:10" ht="18" x14ac:dyDescent="0.35">
      <c r="B383" s="46" t="s">
        <v>513</v>
      </c>
      <c r="C383" s="47" t="s">
        <v>510</v>
      </c>
      <c r="D383" s="47" t="s">
        <v>511</v>
      </c>
      <c r="E383" s="47" t="s">
        <v>391</v>
      </c>
      <c r="F383" s="47" t="s">
        <v>514</v>
      </c>
      <c r="G383" s="48" t="s">
        <v>515</v>
      </c>
      <c r="H383" s="49"/>
    </row>
    <row r="384" spans="2:10" x14ac:dyDescent="0.3">
      <c r="B384" s="50" t="s">
        <v>727</v>
      </c>
      <c r="C384" s="48" t="s">
        <v>728</v>
      </c>
      <c r="D384" s="51"/>
      <c r="E384" s="52">
        <v>587</v>
      </c>
      <c r="F384" s="53">
        <v>2017</v>
      </c>
      <c r="G384" s="54" t="s">
        <v>516</v>
      </c>
      <c r="H384" s="3"/>
    </row>
    <row r="385" spans="2:8" x14ac:dyDescent="0.3">
      <c r="B385" s="55" t="s">
        <v>740</v>
      </c>
      <c r="C385" s="56" t="s">
        <v>746</v>
      </c>
      <c r="D385" s="57">
        <v>1958</v>
      </c>
      <c r="E385" s="57">
        <v>984</v>
      </c>
      <c r="F385" s="58">
        <v>2209</v>
      </c>
      <c r="G385" s="59" t="s">
        <v>517</v>
      </c>
      <c r="H385" s="3"/>
    </row>
    <row r="386" spans="2:8" x14ac:dyDescent="0.3">
      <c r="B386" s="55" t="s">
        <v>741</v>
      </c>
      <c r="C386" s="56" t="s">
        <v>747</v>
      </c>
      <c r="D386" s="60">
        <v>1925</v>
      </c>
      <c r="E386" s="57">
        <v>772</v>
      </c>
      <c r="F386" s="58">
        <v>2123</v>
      </c>
      <c r="G386" s="59" t="s">
        <v>517</v>
      </c>
      <c r="H386" s="3"/>
    </row>
    <row r="387" spans="2:8" x14ac:dyDescent="0.3">
      <c r="B387" s="61" t="s">
        <v>742</v>
      </c>
      <c r="C387" s="62" t="s">
        <v>748</v>
      </c>
      <c r="D387" s="63">
        <v>1864</v>
      </c>
      <c r="E387" s="63">
        <v>1054</v>
      </c>
      <c r="F387" s="64">
        <v>2222</v>
      </c>
      <c r="G387" s="65" t="s">
        <v>517</v>
      </c>
      <c r="H387" s="3"/>
    </row>
    <row r="388" spans="2:8" x14ac:dyDescent="0.3">
      <c r="B388" s="66"/>
      <c r="C388" s="67"/>
      <c r="D388" s="311" t="s">
        <v>518</v>
      </c>
      <c r="E388" s="311">
        <f>AVERAGE(E384:E387)</f>
        <v>849.25</v>
      </c>
      <c r="F388" s="311">
        <f>AVERAGE(F384:F387)</f>
        <v>2142.75</v>
      </c>
      <c r="G388" s="68"/>
      <c r="H388" s="3"/>
    </row>
    <row r="389" spans="2:8" x14ac:dyDescent="0.3">
      <c r="B389" s="69"/>
      <c r="C389" s="69"/>
      <c r="D389" s="69"/>
      <c r="E389" s="69"/>
      <c r="F389" s="69"/>
      <c r="G389" s="69"/>
      <c r="H389" s="3"/>
    </row>
    <row r="390" spans="2:8" x14ac:dyDescent="0.3">
      <c r="B390" s="335" t="s">
        <v>519</v>
      </c>
      <c r="C390" s="336"/>
      <c r="D390" s="336"/>
      <c r="E390" s="336"/>
      <c r="F390" s="336"/>
      <c r="G390" s="337"/>
      <c r="H390" s="3"/>
    </row>
    <row r="391" spans="2:8" x14ac:dyDescent="0.3">
      <c r="B391" s="45" t="s">
        <v>513</v>
      </c>
      <c r="C391" s="47" t="s">
        <v>510</v>
      </c>
      <c r="D391" s="47" t="s">
        <v>511</v>
      </c>
      <c r="E391" s="47" t="s">
        <v>391</v>
      </c>
      <c r="F391" s="47" t="s">
        <v>514</v>
      </c>
      <c r="G391" s="48" t="s">
        <v>515</v>
      </c>
      <c r="H391" s="3"/>
    </row>
    <row r="392" spans="2:8" x14ac:dyDescent="0.3">
      <c r="B392" s="50" t="s">
        <v>522</v>
      </c>
      <c r="C392" s="48" t="s">
        <v>749</v>
      </c>
      <c r="D392" s="51"/>
      <c r="E392" s="52">
        <v>1026</v>
      </c>
      <c r="F392" s="53">
        <v>2591</v>
      </c>
      <c r="G392" s="54" t="s">
        <v>521</v>
      </c>
      <c r="H392" s="3"/>
    </row>
    <row r="393" spans="2:8" x14ac:dyDescent="0.3">
      <c r="B393" s="55" t="s">
        <v>743</v>
      </c>
      <c r="C393" s="56" t="s">
        <v>750</v>
      </c>
      <c r="D393" s="60">
        <v>1990</v>
      </c>
      <c r="E393" s="57">
        <v>1004</v>
      </c>
      <c r="F393" s="58">
        <v>2514</v>
      </c>
      <c r="G393" s="59" t="s">
        <v>520</v>
      </c>
      <c r="H393" s="3"/>
    </row>
    <row r="394" spans="2:8" x14ac:dyDescent="0.3">
      <c r="B394" s="55" t="s">
        <v>744</v>
      </c>
      <c r="C394" s="56" t="s">
        <v>751</v>
      </c>
      <c r="D394" s="60">
        <v>1904</v>
      </c>
      <c r="E394" s="57">
        <v>969</v>
      </c>
      <c r="F394" s="58">
        <v>2472</v>
      </c>
      <c r="G394" s="59" t="s">
        <v>520</v>
      </c>
      <c r="H394" s="3"/>
    </row>
    <row r="395" spans="2:8" x14ac:dyDescent="0.3">
      <c r="B395" s="61" t="s">
        <v>745</v>
      </c>
      <c r="C395" s="62" t="s">
        <v>752</v>
      </c>
      <c r="D395" s="63">
        <v>1972</v>
      </c>
      <c r="E395" s="63">
        <v>1435</v>
      </c>
      <c r="F395" s="64">
        <v>2376</v>
      </c>
      <c r="G395" s="59" t="s">
        <v>520</v>
      </c>
      <c r="H395" s="3"/>
    </row>
    <row r="396" spans="2:8" x14ac:dyDescent="0.3">
      <c r="B396" s="66"/>
      <c r="C396" s="67"/>
      <c r="D396" s="311" t="s">
        <v>518</v>
      </c>
      <c r="E396" s="312">
        <f>AVERAGE(E392:E395)</f>
        <v>1108.5</v>
      </c>
      <c r="F396" s="311">
        <f>AVERAGE(F392:F395)</f>
        <v>2488.25</v>
      </c>
      <c r="G396" s="68"/>
      <c r="H396" s="3"/>
    </row>
  </sheetData>
  <mergeCells count="22">
    <mergeCell ref="B382:G382"/>
    <mergeCell ref="B390:G390"/>
    <mergeCell ref="B158:J158"/>
    <mergeCell ref="B159:J159"/>
    <mergeCell ref="B161:J161"/>
    <mergeCell ref="B2:C2"/>
    <mergeCell ref="B3:C3"/>
    <mergeCell ref="B4:C4"/>
    <mergeCell ref="B5:C5"/>
    <mergeCell ref="B6:C6"/>
    <mergeCell ref="B157:J157"/>
    <mergeCell ref="B12:C12"/>
    <mergeCell ref="B7:C7"/>
    <mergeCell ref="B8:C8"/>
    <mergeCell ref="B9:C9"/>
    <mergeCell ref="B10:C10"/>
    <mergeCell ref="B11:C11"/>
    <mergeCell ref="B152:J152"/>
    <mergeCell ref="B153:J153"/>
    <mergeCell ref="B154:J154"/>
    <mergeCell ref="B155:J155"/>
    <mergeCell ref="B156:J1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B0A5-F0B7-4413-A1B4-35059DC56A2F}">
  <dimension ref="B2:K67"/>
  <sheetViews>
    <sheetView workbookViewId="0"/>
  </sheetViews>
  <sheetFormatPr defaultRowHeight="14.4" x14ac:dyDescent="0.3"/>
  <cols>
    <col min="2" max="2" width="28.77734375" customWidth="1"/>
    <col min="3" max="3" width="15.21875" customWidth="1"/>
    <col min="4" max="4" width="15.5546875" customWidth="1"/>
    <col min="5" max="5" width="16.77734375" customWidth="1"/>
    <col min="6" max="6" width="11.88671875" customWidth="1"/>
    <col min="7" max="7" width="23" customWidth="1"/>
    <col min="8" max="8" width="15.21875" customWidth="1"/>
    <col min="11" max="11" width="15.21875" customWidth="1"/>
  </cols>
  <sheetData>
    <row r="2" spans="2:4" ht="18" x14ac:dyDescent="0.35">
      <c r="B2" s="70" t="s">
        <v>399</v>
      </c>
      <c r="C2" s="71"/>
      <c r="D2" s="72" t="s">
        <v>724</v>
      </c>
    </row>
    <row r="3" spans="2:4" x14ac:dyDescent="0.3">
      <c r="B3" s="73" t="s">
        <v>400</v>
      </c>
      <c r="C3" s="3"/>
      <c r="D3" s="59" t="s">
        <v>725</v>
      </c>
    </row>
    <row r="4" spans="2:4" x14ac:dyDescent="0.3">
      <c r="B4" s="73" t="s">
        <v>401</v>
      </c>
      <c r="C4" s="3"/>
      <c r="D4" s="59" t="s">
        <v>726</v>
      </c>
    </row>
    <row r="5" spans="2:4" x14ac:dyDescent="0.3">
      <c r="B5" s="73" t="s">
        <v>402</v>
      </c>
      <c r="C5" s="3"/>
      <c r="D5" s="74">
        <v>27604</v>
      </c>
    </row>
    <row r="6" spans="2:4" x14ac:dyDescent="0.3">
      <c r="B6" s="73" t="s">
        <v>408</v>
      </c>
      <c r="C6" s="75"/>
      <c r="D6" s="76">
        <v>2021</v>
      </c>
    </row>
    <row r="7" spans="2:4" x14ac:dyDescent="0.3">
      <c r="B7" s="77"/>
      <c r="C7" s="3"/>
      <c r="D7" s="78"/>
    </row>
    <row r="8" spans="2:4" x14ac:dyDescent="0.3">
      <c r="B8" s="335" t="s">
        <v>403</v>
      </c>
      <c r="C8" s="343"/>
      <c r="D8" s="344"/>
    </row>
    <row r="9" spans="2:4" x14ac:dyDescent="0.3">
      <c r="B9" s="80" t="s">
        <v>389</v>
      </c>
      <c r="C9" s="71"/>
      <c r="D9" s="81">
        <f>Assumptions!C36</f>
        <v>214</v>
      </c>
    </row>
    <row r="10" spans="2:4" x14ac:dyDescent="0.3">
      <c r="B10" s="73" t="s">
        <v>404</v>
      </c>
      <c r="C10" s="5"/>
      <c r="D10" s="82">
        <v>0</v>
      </c>
    </row>
    <row r="11" spans="2:4" x14ac:dyDescent="0.3">
      <c r="B11" s="73" t="s">
        <v>405</v>
      </c>
      <c r="C11" s="3"/>
      <c r="D11" s="83">
        <f>Assumptions!D36*Assumptions!C36</f>
        <v>164300</v>
      </c>
    </row>
    <row r="12" spans="2:4" x14ac:dyDescent="0.3">
      <c r="B12" s="73" t="s">
        <v>406</v>
      </c>
      <c r="C12" s="75"/>
      <c r="D12" s="84">
        <v>283</v>
      </c>
    </row>
    <row r="13" spans="2:4" x14ac:dyDescent="0.3">
      <c r="B13" s="85" t="s">
        <v>407</v>
      </c>
      <c r="C13" s="86"/>
      <c r="D13" s="87">
        <v>0</v>
      </c>
    </row>
    <row r="14" spans="2:4" x14ac:dyDescent="0.3">
      <c r="B14" s="3"/>
      <c r="C14" s="3"/>
      <c r="D14" s="69"/>
    </row>
    <row r="15" spans="2:4" x14ac:dyDescent="0.3">
      <c r="B15" s="335" t="s">
        <v>409</v>
      </c>
      <c r="C15" s="343"/>
      <c r="D15" s="344"/>
    </row>
    <row r="16" spans="2:4" x14ac:dyDescent="0.3">
      <c r="B16" s="73" t="s">
        <v>140</v>
      </c>
      <c r="C16" s="3"/>
      <c r="D16" s="88">
        <v>85493946</v>
      </c>
    </row>
    <row r="17" spans="2:11" x14ac:dyDescent="0.3">
      <c r="B17" s="73" t="s">
        <v>478</v>
      </c>
      <c r="C17" s="3"/>
      <c r="D17" s="89">
        <v>45778</v>
      </c>
    </row>
    <row r="18" spans="2:11" x14ac:dyDescent="0.3">
      <c r="B18" s="73" t="s">
        <v>410</v>
      </c>
      <c r="C18" s="14"/>
      <c r="D18" s="90">
        <f>'Source Data'!C150</f>
        <v>1965100.72</v>
      </c>
    </row>
    <row r="19" spans="2:11" x14ac:dyDescent="0.3">
      <c r="B19" s="73" t="s">
        <v>411</v>
      </c>
      <c r="C19" s="75"/>
      <c r="D19" s="91">
        <f>D18/D16</f>
        <v>2.2985261669873091E-2</v>
      </c>
    </row>
    <row r="20" spans="2:11" x14ac:dyDescent="0.3">
      <c r="B20" s="73" t="s">
        <v>413</v>
      </c>
      <c r="C20" s="3"/>
      <c r="D20" s="92">
        <f>D16/D9</f>
        <v>399504.42056074768</v>
      </c>
    </row>
    <row r="21" spans="2:11" x14ac:dyDescent="0.3">
      <c r="B21" s="73" t="s">
        <v>412</v>
      </c>
      <c r="C21" s="75"/>
      <c r="D21" s="93">
        <f>IFERROR(D16/D10,0)</f>
        <v>0</v>
      </c>
    </row>
    <row r="22" spans="2:11" x14ac:dyDescent="0.3">
      <c r="B22" s="73" t="s">
        <v>414</v>
      </c>
      <c r="C22" s="75"/>
      <c r="D22" s="93">
        <f>IFERROR(D16/D11,0)</f>
        <v>520.35268411442485</v>
      </c>
    </row>
    <row r="23" spans="2:11" x14ac:dyDescent="0.3">
      <c r="B23" s="85" t="s">
        <v>455</v>
      </c>
      <c r="C23" s="75"/>
      <c r="D23" s="94">
        <v>8.6210000000000002E-3</v>
      </c>
    </row>
    <row r="24" spans="2:11" x14ac:dyDescent="0.3">
      <c r="B24" s="3"/>
      <c r="C24" s="25"/>
      <c r="D24" s="95"/>
    </row>
    <row r="25" spans="2:11" x14ac:dyDescent="0.3">
      <c r="B25" s="335" t="s">
        <v>505</v>
      </c>
      <c r="C25" s="347"/>
      <c r="D25" s="348"/>
    </row>
    <row r="26" spans="2:11" x14ac:dyDescent="0.3">
      <c r="B26" s="96" t="s">
        <v>477</v>
      </c>
      <c r="C26" s="3"/>
      <c r="D26" s="97">
        <v>36</v>
      </c>
    </row>
    <row r="27" spans="2:11" x14ac:dyDescent="0.3">
      <c r="B27" s="98" t="s">
        <v>474</v>
      </c>
      <c r="C27" s="3"/>
      <c r="D27" s="99">
        <v>5.7887000000000001E-2</v>
      </c>
    </row>
    <row r="28" spans="2:11" x14ac:dyDescent="0.3">
      <c r="B28" s="98" t="s">
        <v>475</v>
      </c>
      <c r="C28" s="3"/>
      <c r="D28" s="99">
        <v>2.3400000000000001E-2</v>
      </c>
    </row>
    <row r="29" spans="2:11" x14ac:dyDescent="0.3">
      <c r="B29" s="100"/>
      <c r="C29" s="71"/>
      <c r="D29" s="101"/>
    </row>
    <row r="30" spans="2:11" ht="18" x14ac:dyDescent="0.35">
      <c r="B30" s="340" t="s">
        <v>387</v>
      </c>
      <c r="C30" s="349"/>
      <c r="D30" s="349"/>
      <c r="E30" s="349"/>
      <c r="F30" s="349"/>
      <c r="G30" s="350"/>
      <c r="I30" s="3"/>
      <c r="J30" s="3"/>
      <c r="K30" s="69"/>
    </row>
    <row r="31" spans="2:11" x14ac:dyDescent="0.3">
      <c r="B31" s="45" t="s">
        <v>388</v>
      </c>
      <c r="C31" s="47" t="s">
        <v>389</v>
      </c>
      <c r="D31" s="47" t="s">
        <v>391</v>
      </c>
      <c r="E31" s="47" t="s">
        <v>397</v>
      </c>
      <c r="F31" s="47" t="s">
        <v>390</v>
      </c>
      <c r="G31" s="102" t="s">
        <v>523</v>
      </c>
      <c r="I31" s="335" t="s">
        <v>415</v>
      </c>
      <c r="J31" s="345"/>
      <c r="K31" s="346"/>
    </row>
    <row r="32" spans="2:11" x14ac:dyDescent="0.3">
      <c r="B32" s="104" t="s">
        <v>392</v>
      </c>
      <c r="C32" s="105">
        <v>53</v>
      </c>
      <c r="D32" s="106">
        <v>650</v>
      </c>
      <c r="E32" s="107">
        <v>2050</v>
      </c>
      <c r="F32" s="258">
        <f>E32*C32*12</f>
        <v>1303800</v>
      </c>
      <c r="G32" s="259">
        <f>F32/(D32*C32)</f>
        <v>37.846153846153847</v>
      </c>
      <c r="I32" s="80" t="s">
        <v>416</v>
      </c>
      <c r="J32" s="3"/>
      <c r="K32" s="88">
        <v>50736714</v>
      </c>
    </row>
    <row r="33" spans="2:11" x14ac:dyDescent="0.3">
      <c r="B33" s="109" t="s">
        <v>393</v>
      </c>
      <c r="C33" s="57">
        <v>70</v>
      </c>
      <c r="D33" s="110">
        <v>725</v>
      </c>
      <c r="E33" s="111">
        <v>2150</v>
      </c>
      <c r="F33" s="260">
        <f>E33*C33*12</f>
        <v>1806000</v>
      </c>
      <c r="G33" s="261">
        <f>F33/(D33*C33)</f>
        <v>35.586206896551722</v>
      </c>
      <c r="I33" s="73" t="s">
        <v>463</v>
      </c>
      <c r="J33" s="3"/>
      <c r="K33" s="92" t="s">
        <v>464</v>
      </c>
    </row>
    <row r="34" spans="2:11" x14ac:dyDescent="0.3">
      <c r="B34" s="109" t="s">
        <v>394</v>
      </c>
      <c r="C34" s="57">
        <v>84</v>
      </c>
      <c r="D34" s="110">
        <v>850</v>
      </c>
      <c r="E34" s="111">
        <v>2450</v>
      </c>
      <c r="F34" s="260">
        <f>E34*C34*12</f>
        <v>2469600</v>
      </c>
      <c r="G34" s="261">
        <f>F34/(D34*C34)</f>
        <v>34.588235294117645</v>
      </c>
      <c r="I34" s="73" t="s">
        <v>417</v>
      </c>
      <c r="J34" s="3"/>
      <c r="K34" s="59" t="s">
        <v>418</v>
      </c>
    </row>
    <row r="35" spans="2:11" x14ac:dyDescent="0.3">
      <c r="B35" s="114" t="s">
        <v>395</v>
      </c>
      <c r="C35" s="57">
        <v>7</v>
      </c>
      <c r="D35" s="110">
        <v>1100</v>
      </c>
      <c r="E35" s="111">
        <v>2800</v>
      </c>
      <c r="F35" s="260">
        <f>E35*C35*12</f>
        <v>235200</v>
      </c>
      <c r="G35" s="261">
        <f>F35/(D35*C35)</f>
        <v>30.545454545454547</v>
      </c>
      <c r="I35" s="73" t="s">
        <v>466</v>
      </c>
      <c r="J35" s="3"/>
      <c r="K35" s="59" t="s">
        <v>467</v>
      </c>
    </row>
    <row r="36" spans="2:11" x14ac:dyDescent="0.3">
      <c r="B36" s="115" t="s">
        <v>396</v>
      </c>
      <c r="C36" s="116">
        <f>SUM(C32:C35)</f>
        <v>214</v>
      </c>
      <c r="D36" s="117">
        <f>SUMPRODUCT(C32:C35,D32:D35)/C36</f>
        <v>767.75700934579436</v>
      </c>
      <c r="E36" s="118">
        <f>SUMPRODUCT(E32:E35,$C$32:$C$35)/C36</f>
        <v>2264.2523364485983</v>
      </c>
      <c r="F36" s="262">
        <f>SUM(F32:F35)</f>
        <v>5814600</v>
      </c>
      <c r="G36" s="263">
        <f>F36/(D36*C36)</f>
        <v>35.390139987827148</v>
      </c>
      <c r="I36" s="73" t="s">
        <v>419</v>
      </c>
      <c r="J36" s="3"/>
      <c r="K36" s="99">
        <v>3.3500000000000002E-2</v>
      </c>
    </row>
    <row r="37" spans="2:11" x14ac:dyDescent="0.3">
      <c r="B37" s="3"/>
      <c r="C37" s="3"/>
      <c r="D37" s="3"/>
      <c r="E37" s="3"/>
      <c r="F37" s="119"/>
      <c r="G37" s="3"/>
      <c r="I37" s="73" t="s">
        <v>481</v>
      </c>
      <c r="J37" s="3"/>
      <c r="K37" s="120">
        <v>24</v>
      </c>
    </row>
    <row r="38" spans="2:11" x14ac:dyDescent="0.3">
      <c r="B38" s="3"/>
      <c r="C38" s="3"/>
      <c r="D38" s="3"/>
      <c r="E38" s="3"/>
      <c r="F38" s="3"/>
      <c r="G38" s="3"/>
      <c r="I38" s="85" t="s">
        <v>465</v>
      </c>
      <c r="J38" s="86"/>
      <c r="K38" s="121">
        <v>30</v>
      </c>
    </row>
    <row r="39" spans="2:11" x14ac:dyDescent="0.3">
      <c r="B39" s="335" t="s">
        <v>380</v>
      </c>
      <c r="C39" s="345"/>
      <c r="D39" s="345"/>
      <c r="E39" s="346"/>
    </row>
    <row r="40" spans="2:11" x14ac:dyDescent="0.3">
      <c r="B40" s="61" t="s">
        <v>422</v>
      </c>
      <c r="C40" s="313" t="s">
        <v>424</v>
      </c>
      <c r="D40" s="313" t="s">
        <v>425</v>
      </c>
      <c r="E40" s="314" t="s">
        <v>421</v>
      </c>
    </row>
    <row r="41" spans="2:11" x14ac:dyDescent="0.3">
      <c r="B41" s="104" t="s">
        <v>426</v>
      </c>
      <c r="C41" s="111">
        <v>6</v>
      </c>
      <c r="D41" s="260">
        <f t="shared" ref="D41:D51" si="0">C41*$C$36</f>
        <v>1284</v>
      </c>
      <c r="E41" s="264">
        <f t="shared" ref="E41:E51" si="1">D41*12</f>
        <v>15408</v>
      </c>
      <c r="F41" s="3"/>
      <c r="G41" s="3"/>
    </row>
    <row r="42" spans="2:11" x14ac:dyDescent="0.3">
      <c r="B42" s="109" t="s">
        <v>385</v>
      </c>
      <c r="C42" s="111">
        <v>12.5</v>
      </c>
      <c r="D42" s="260">
        <f t="shared" si="0"/>
        <v>2675</v>
      </c>
      <c r="E42" s="264">
        <f t="shared" si="1"/>
        <v>32100</v>
      </c>
      <c r="F42" s="3"/>
      <c r="G42" s="3"/>
    </row>
    <row r="43" spans="2:11" x14ac:dyDescent="0.3">
      <c r="B43" s="109" t="s">
        <v>420</v>
      </c>
      <c r="C43" s="111">
        <v>45</v>
      </c>
      <c r="D43" s="260">
        <f t="shared" si="0"/>
        <v>9630</v>
      </c>
      <c r="E43" s="264">
        <f t="shared" si="1"/>
        <v>115560</v>
      </c>
      <c r="F43" s="3"/>
      <c r="G43" s="3"/>
    </row>
    <row r="44" spans="2:11" x14ac:dyDescent="0.3">
      <c r="B44" s="109" t="s">
        <v>427</v>
      </c>
      <c r="C44" s="111">
        <v>83</v>
      </c>
      <c r="D44" s="260">
        <f t="shared" si="0"/>
        <v>17762</v>
      </c>
      <c r="E44" s="264">
        <f t="shared" si="1"/>
        <v>213144</v>
      </c>
      <c r="F44" s="3"/>
      <c r="G44" s="3"/>
    </row>
    <row r="45" spans="2:11" x14ac:dyDescent="0.3">
      <c r="B45" s="109" t="s">
        <v>428</v>
      </c>
      <c r="C45" s="111">
        <v>1.1499999999999999</v>
      </c>
      <c r="D45" s="260">
        <f t="shared" si="0"/>
        <v>246.1</v>
      </c>
      <c r="E45" s="264">
        <f t="shared" si="1"/>
        <v>2953.2</v>
      </c>
      <c r="F45" s="3"/>
      <c r="G45" s="3"/>
    </row>
    <row r="46" spans="2:11" x14ac:dyDescent="0.3">
      <c r="B46" s="109" t="s">
        <v>386</v>
      </c>
      <c r="C46" s="111">
        <v>3.5</v>
      </c>
      <c r="D46" s="260">
        <f t="shared" si="0"/>
        <v>749</v>
      </c>
      <c r="E46" s="264">
        <f t="shared" si="1"/>
        <v>8988</v>
      </c>
      <c r="F46" s="3"/>
      <c r="G46" s="3"/>
    </row>
    <row r="47" spans="2:11" x14ac:dyDescent="0.3">
      <c r="B47" s="109" t="s">
        <v>429</v>
      </c>
      <c r="C47" s="111">
        <v>0.5</v>
      </c>
      <c r="D47" s="260">
        <f t="shared" si="0"/>
        <v>107</v>
      </c>
      <c r="E47" s="264">
        <f t="shared" si="1"/>
        <v>1284</v>
      </c>
      <c r="F47" s="3"/>
      <c r="G47" s="3"/>
    </row>
    <row r="48" spans="2:11" x14ac:dyDescent="0.3">
      <c r="B48" s="109" t="s">
        <v>431</v>
      </c>
      <c r="C48" s="111">
        <v>2.5</v>
      </c>
      <c r="D48" s="260">
        <f t="shared" si="0"/>
        <v>535</v>
      </c>
      <c r="E48" s="264">
        <f t="shared" si="1"/>
        <v>6420</v>
      </c>
      <c r="F48" s="3"/>
      <c r="G48" s="3"/>
    </row>
    <row r="49" spans="2:9" x14ac:dyDescent="0.3">
      <c r="B49" s="109" t="s">
        <v>430</v>
      </c>
      <c r="C49" s="111">
        <v>14</v>
      </c>
      <c r="D49" s="260">
        <f t="shared" si="0"/>
        <v>2996</v>
      </c>
      <c r="E49" s="264">
        <f t="shared" si="1"/>
        <v>35952</v>
      </c>
      <c r="F49" s="3"/>
      <c r="G49" s="3"/>
    </row>
    <row r="50" spans="2:9" x14ac:dyDescent="0.3">
      <c r="B50" s="114" t="s">
        <v>432</v>
      </c>
      <c r="C50" s="111">
        <v>2.5</v>
      </c>
      <c r="D50" s="260">
        <f t="shared" si="0"/>
        <v>535</v>
      </c>
      <c r="E50" s="264">
        <f t="shared" si="1"/>
        <v>6420</v>
      </c>
      <c r="F50" s="3"/>
      <c r="G50" s="3"/>
    </row>
    <row r="51" spans="2:9" x14ac:dyDescent="0.3">
      <c r="B51" s="115" t="s">
        <v>396</v>
      </c>
      <c r="C51" s="315">
        <f>SUM(C41:C50)</f>
        <v>170.65</v>
      </c>
      <c r="D51" s="265">
        <f t="shared" si="0"/>
        <v>36519.1</v>
      </c>
      <c r="E51" s="266">
        <f t="shared" si="1"/>
        <v>438229.19999999995</v>
      </c>
    </row>
    <row r="55" spans="2:9" ht="18" x14ac:dyDescent="0.35">
      <c r="B55" s="340" t="s">
        <v>433</v>
      </c>
      <c r="C55" s="341"/>
      <c r="D55" s="342"/>
      <c r="E55" s="3"/>
      <c r="F55" s="3"/>
      <c r="G55" s="335" t="s">
        <v>445</v>
      </c>
      <c r="H55" s="336"/>
      <c r="I55" s="337"/>
    </row>
    <row r="56" spans="2:9" x14ac:dyDescent="0.3">
      <c r="B56" s="123" t="s">
        <v>422</v>
      </c>
      <c r="C56" s="48" t="s">
        <v>443</v>
      </c>
      <c r="D56" s="124" t="s">
        <v>423</v>
      </c>
      <c r="E56" s="3"/>
      <c r="F56" s="3"/>
      <c r="G56" s="125" t="s">
        <v>422</v>
      </c>
      <c r="H56" s="48" t="s">
        <v>443</v>
      </c>
      <c r="I56" s="72" t="s">
        <v>423</v>
      </c>
    </row>
    <row r="57" spans="2:9" x14ac:dyDescent="0.3">
      <c r="B57" s="126" t="s">
        <v>434</v>
      </c>
      <c r="C57" s="127">
        <f>'Source Data'!C138</f>
        <v>479096.71</v>
      </c>
      <c r="D57" s="128">
        <f>C57/Assumptions!$D$9</f>
        <v>2238.7696728971964</v>
      </c>
      <c r="E57" s="75"/>
      <c r="F57" s="75"/>
      <c r="G57" s="129" t="s">
        <v>434</v>
      </c>
      <c r="H57" s="130">
        <f>I57*Assumptions!$D$9</f>
        <v>556400</v>
      </c>
      <c r="I57" s="131">
        <v>2600</v>
      </c>
    </row>
    <row r="58" spans="2:9" x14ac:dyDescent="0.3">
      <c r="B58" s="126" t="s">
        <v>435</v>
      </c>
      <c r="C58" s="132">
        <f>'Source Data'!C135</f>
        <v>194393.68</v>
      </c>
      <c r="D58" s="90">
        <f>C58/Assumptions!$D$9</f>
        <v>908.38168224299068</v>
      </c>
      <c r="E58" s="14"/>
      <c r="F58" s="14"/>
      <c r="G58" s="133" t="s">
        <v>435</v>
      </c>
      <c r="H58" s="134">
        <f>I58*Assumptions!$D$9</f>
        <v>192600</v>
      </c>
      <c r="I58" s="135">
        <v>900</v>
      </c>
    </row>
    <row r="59" spans="2:9" x14ac:dyDescent="0.3">
      <c r="B59" s="126" t="s">
        <v>436</v>
      </c>
      <c r="C59" s="132">
        <f>'Source Data'!C61</f>
        <v>280012.93</v>
      </c>
      <c r="D59" s="90">
        <f>C59/Assumptions!$D$9</f>
        <v>1308.4716355140188</v>
      </c>
      <c r="E59" s="14"/>
      <c r="F59" s="14"/>
      <c r="G59" s="133" t="s">
        <v>436</v>
      </c>
      <c r="H59" s="134">
        <f>I59*Assumptions!$D$9</f>
        <v>288900</v>
      </c>
      <c r="I59" s="135">
        <v>1350</v>
      </c>
    </row>
    <row r="60" spans="2:9" x14ac:dyDescent="0.3">
      <c r="B60" s="126" t="s">
        <v>437</v>
      </c>
      <c r="C60" s="132">
        <f>'Source Data'!C78</f>
        <v>76633.3</v>
      </c>
      <c r="D60" s="90">
        <f>C60/Assumptions!$D$9</f>
        <v>358.09953271028041</v>
      </c>
      <c r="E60" s="14"/>
      <c r="F60" s="14"/>
      <c r="G60" s="133" t="s">
        <v>437</v>
      </c>
      <c r="H60" s="134">
        <f>I60*Assumptions!$D$9</f>
        <v>96300</v>
      </c>
      <c r="I60" s="135">
        <v>450</v>
      </c>
    </row>
    <row r="61" spans="2:9" x14ac:dyDescent="0.3">
      <c r="B61" s="126" t="s">
        <v>438</v>
      </c>
      <c r="C61" s="132">
        <f>'Source Data'!C88</f>
        <v>179125.77</v>
      </c>
      <c r="D61" s="90">
        <f>C61/Assumptions!$D$9</f>
        <v>837.03630841121492</v>
      </c>
      <c r="E61" s="14"/>
      <c r="F61" s="14"/>
      <c r="G61" s="133" t="s">
        <v>438</v>
      </c>
      <c r="H61" s="134">
        <f>I61*Assumptions!$D$9</f>
        <v>162640</v>
      </c>
      <c r="I61" s="135">
        <v>760</v>
      </c>
    </row>
    <row r="62" spans="2:9" x14ac:dyDescent="0.3">
      <c r="B62" s="126" t="s">
        <v>439</v>
      </c>
      <c r="C62" s="132">
        <f>'Source Data'!C103</f>
        <v>120758.81</v>
      </c>
      <c r="D62" s="90">
        <f>C62/Assumptions!$D$9</f>
        <v>564.29350467289714</v>
      </c>
      <c r="E62" s="14"/>
      <c r="F62" s="14"/>
      <c r="G62" s="133" t="s">
        <v>439</v>
      </c>
      <c r="H62" s="134">
        <f>I62*Assumptions!$D$9</f>
        <v>107000</v>
      </c>
      <c r="I62" s="135">
        <v>500</v>
      </c>
    </row>
    <row r="63" spans="2:9" x14ac:dyDescent="0.3">
      <c r="B63" s="126" t="s">
        <v>440</v>
      </c>
      <c r="C63" s="132">
        <f>'Source Data'!C120</f>
        <v>73950.490000000005</v>
      </c>
      <c r="D63" s="90">
        <f>C63/Assumptions!$D$9</f>
        <v>345.56303738317757</v>
      </c>
      <c r="E63" s="14"/>
      <c r="F63" s="14"/>
      <c r="G63" s="133" t="s">
        <v>440</v>
      </c>
      <c r="H63" s="134">
        <f>I63*Assumptions!$D$9</f>
        <v>66340</v>
      </c>
      <c r="I63" s="135">
        <v>310</v>
      </c>
    </row>
    <row r="64" spans="2:9" x14ac:dyDescent="0.3">
      <c r="B64" s="126" t="s">
        <v>441</v>
      </c>
      <c r="C64" s="132">
        <f>'Source Data'!C126</f>
        <v>109101.86</v>
      </c>
      <c r="D64" s="90">
        <f>C64/Assumptions!$D$9</f>
        <v>509.82177570093461</v>
      </c>
      <c r="E64" s="14"/>
      <c r="F64" s="14"/>
      <c r="G64" s="133" t="s">
        <v>441</v>
      </c>
      <c r="H64" s="134">
        <f>I64*Assumptions!$D$9</f>
        <v>130540</v>
      </c>
      <c r="I64" s="135">
        <v>610</v>
      </c>
    </row>
    <row r="65" spans="2:9" x14ac:dyDescent="0.3">
      <c r="B65" s="136" t="s">
        <v>442</v>
      </c>
      <c r="C65" s="132">
        <f>'Source Data'!C129</f>
        <v>191408</v>
      </c>
      <c r="D65" s="90">
        <f>C65/Assumptions!$D$9</f>
        <v>894.42990654205607</v>
      </c>
      <c r="E65" s="137"/>
      <c r="F65" s="138">
        <v>0.04</v>
      </c>
      <c r="G65" s="133" t="s">
        <v>444</v>
      </c>
      <c r="H65" s="240">
        <f>F65*Assumptions!$F$36</f>
        <v>232584</v>
      </c>
      <c r="I65" s="241">
        <f>H65/Assumptions!$D$9</f>
        <v>1086.8411214953271</v>
      </c>
    </row>
    <row r="66" spans="2:9" x14ac:dyDescent="0.3">
      <c r="B66" s="85" t="s">
        <v>396</v>
      </c>
      <c r="C66" s="139">
        <f>SUM(C57:C65)</f>
        <v>1704481.5500000003</v>
      </c>
      <c r="D66" s="128">
        <f>C66/Assumptions!$D$9</f>
        <v>7964.8670560747678</v>
      </c>
      <c r="E66" s="75"/>
      <c r="F66" s="140">
        <v>0.03</v>
      </c>
      <c r="G66" s="129" t="s">
        <v>442</v>
      </c>
      <c r="H66" s="242">
        <f>F66*Assumptions!$F$36</f>
        <v>174438</v>
      </c>
      <c r="I66" s="243">
        <f>H66/Assumptions!$D$9</f>
        <v>815.13084112149534</v>
      </c>
    </row>
    <row r="67" spans="2:9" x14ac:dyDescent="0.3">
      <c r="B67" s="3"/>
      <c r="C67" s="141"/>
      <c r="D67" s="25"/>
      <c r="E67" s="25"/>
      <c r="F67" s="25"/>
      <c r="G67" s="316" t="s">
        <v>396</v>
      </c>
      <c r="H67" s="317">
        <f>SUM(H57:H66)</f>
        <v>2007742</v>
      </c>
      <c r="I67" s="318">
        <f>H67/Assumptions!$D$9</f>
        <v>9381.9719626168226</v>
      </c>
    </row>
  </sheetData>
  <mergeCells count="8">
    <mergeCell ref="B55:D55"/>
    <mergeCell ref="G55:I55"/>
    <mergeCell ref="B8:D8"/>
    <mergeCell ref="B15:D15"/>
    <mergeCell ref="I31:K31"/>
    <mergeCell ref="B25:D25"/>
    <mergeCell ref="B30:G30"/>
    <mergeCell ref="B39:E39"/>
  </mergeCells>
  <dataValidations count="1">
    <dataValidation type="list" allowBlank="1" showInputMessage="1" showErrorMessage="1" sqref="K34" xr:uid="{EF8B35C5-7A0A-EC48-97B5-DA3580DDEAA8}">
      <formula1>"Floating,Fixed"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191B-7B0E-4554-B2A7-8B444D5E9F2B}">
  <dimension ref="A2:J44"/>
  <sheetViews>
    <sheetView workbookViewId="0"/>
  </sheetViews>
  <sheetFormatPr defaultRowHeight="14.4" x14ac:dyDescent="0.3"/>
  <cols>
    <col min="1" max="1" width="24.5546875" customWidth="1"/>
    <col min="2" max="2" width="23.21875" customWidth="1"/>
    <col min="3" max="4" width="15.5546875" customWidth="1"/>
    <col min="5" max="5" width="19.77734375" customWidth="1"/>
    <col min="6" max="7" width="15.5546875" customWidth="1"/>
    <col min="8" max="8" width="23.21875" customWidth="1"/>
    <col min="9" max="10" width="15.5546875" customWidth="1"/>
  </cols>
  <sheetData>
    <row r="2" spans="2:9" x14ac:dyDescent="0.3">
      <c r="B2" s="351" t="s">
        <v>387</v>
      </c>
      <c r="C2" s="352"/>
      <c r="D2" s="352"/>
      <c r="E2" s="352"/>
      <c r="F2" s="352"/>
      <c r="G2" s="352"/>
      <c r="H2" s="142" t="s">
        <v>496</v>
      </c>
      <c r="I2" s="143"/>
    </row>
    <row r="3" spans="2:9" x14ac:dyDescent="0.3">
      <c r="B3" s="144" t="str">
        <f>Assumptions!B31</f>
        <v>Unit Type</v>
      </c>
      <c r="C3" s="145" t="str">
        <f>Assumptions!C31</f>
        <v># of Units</v>
      </c>
      <c r="D3" s="145" t="str">
        <f>Assumptions!D31</f>
        <v>SF</v>
      </c>
      <c r="E3" s="145" t="str">
        <f>Assumptions!E31</f>
        <v>Monthly Avg Rent</v>
      </c>
      <c r="F3" s="145" t="str">
        <f>Assumptions!F31</f>
        <v>Annual Rent</v>
      </c>
      <c r="G3" s="146" t="str">
        <f>Assumptions!G31</f>
        <v>Annual $/SF</v>
      </c>
      <c r="H3" s="147" t="str">
        <f>'Annual Forecast'!B4</f>
        <v>Resi Gross Potential Rent</v>
      </c>
      <c r="I3" s="251">
        <f>'Annual Forecast'!C4</f>
        <v>5892581.3803766426</v>
      </c>
    </row>
    <row r="4" spans="2:9" x14ac:dyDescent="0.3">
      <c r="B4" s="148" t="str">
        <f>Assumptions!B32</f>
        <v>1BD</v>
      </c>
      <c r="C4" s="149">
        <f>Assumptions!C32</f>
        <v>53</v>
      </c>
      <c r="D4" s="149">
        <f>Assumptions!D32</f>
        <v>650</v>
      </c>
      <c r="E4" s="150">
        <f>Assumptions!E32</f>
        <v>2050</v>
      </c>
      <c r="F4" s="244">
        <f>Assumptions!F32</f>
        <v>1303800</v>
      </c>
      <c r="G4" s="245">
        <f>Assumptions!G32</f>
        <v>37.846153846153847</v>
      </c>
      <c r="H4" s="147" t="str">
        <f>'Annual Forecast'!B5</f>
        <v>Vacancy</v>
      </c>
      <c r="I4" s="251">
        <f>'Annual Forecast'!C5</f>
        <v>-294629.06901883212</v>
      </c>
    </row>
    <row r="5" spans="2:9" x14ac:dyDescent="0.3">
      <c r="B5" s="151" t="str">
        <f>Assumptions!B33</f>
        <v>1 BD + Den</v>
      </c>
      <c r="C5" s="152">
        <f>Assumptions!C33</f>
        <v>70</v>
      </c>
      <c r="D5" s="152">
        <f>Assumptions!D33</f>
        <v>725</v>
      </c>
      <c r="E5" s="153">
        <f>Assumptions!E33</f>
        <v>2150</v>
      </c>
      <c r="F5" s="246">
        <f>Assumptions!F33</f>
        <v>1806000</v>
      </c>
      <c r="G5" s="247">
        <f>Assumptions!G33</f>
        <v>35.586206896551722</v>
      </c>
      <c r="H5" s="147" t="str">
        <f>'Annual Forecast'!B6</f>
        <v>Bad Debt</v>
      </c>
      <c r="I5" s="251">
        <f>'Annual Forecast'!C6</f>
        <v>-353554.88282259856</v>
      </c>
    </row>
    <row r="6" spans="2:9" x14ac:dyDescent="0.3">
      <c r="B6" s="154" t="str">
        <f>Assumptions!B34</f>
        <v>2 BD</v>
      </c>
      <c r="C6" s="155">
        <f>Assumptions!C34</f>
        <v>84</v>
      </c>
      <c r="D6" s="155">
        <f>Assumptions!D34</f>
        <v>850</v>
      </c>
      <c r="E6" s="130">
        <f>Assumptions!E34</f>
        <v>2450</v>
      </c>
      <c r="F6" s="242">
        <f>Assumptions!F34</f>
        <v>2469600</v>
      </c>
      <c r="G6" s="248">
        <f>Assumptions!G34</f>
        <v>34.588235294117645</v>
      </c>
      <c r="H6" s="156" t="str">
        <f>'Annual Forecast'!B7</f>
        <v>Net Rental Income</v>
      </c>
      <c r="I6" s="252">
        <f>SUM(I3:I5)</f>
        <v>5244397.4285352118</v>
      </c>
    </row>
    <row r="7" spans="2:9" x14ac:dyDescent="0.3">
      <c r="B7" s="151" t="str">
        <f>Assumptions!B35</f>
        <v>2BD + 2 BA</v>
      </c>
      <c r="C7" s="152">
        <f>Assumptions!C35</f>
        <v>7</v>
      </c>
      <c r="D7" s="152">
        <f>Assumptions!D35</f>
        <v>1100</v>
      </c>
      <c r="E7" s="153">
        <f>Assumptions!E35</f>
        <v>2800</v>
      </c>
      <c r="F7" s="246">
        <f>Assumptions!F35</f>
        <v>235200</v>
      </c>
      <c r="G7" s="247">
        <f>Assumptions!G35</f>
        <v>30.545454545454547</v>
      </c>
      <c r="H7" s="147" t="str">
        <f>'Annual Forecast'!B8</f>
        <v>Other Income</v>
      </c>
      <c r="I7" s="251">
        <f>'Annual Forecast'!C8</f>
        <v>438229.1999999999</v>
      </c>
    </row>
    <row r="8" spans="2:9" x14ac:dyDescent="0.3">
      <c r="B8" s="157" t="str">
        <f>Assumptions!B36</f>
        <v>Total</v>
      </c>
      <c r="C8" s="158">
        <f>Assumptions!C36</f>
        <v>214</v>
      </c>
      <c r="D8" s="159">
        <f>Assumptions!D36</f>
        <v>767.75700934579436</v>
      </c>
      <c r="E8" s="160">
        <f>Assumptions!E36</f>
        <v>2264.2523364485983</v>
      </c>
      <c r="F8" s="249">
        <f>Assumptions!F36</f>
        <v>5814600</v>
      </c>
      <c r="G8" s="250">
        <f>Assumptions!G36</f>
        <v>35.390139987827148</v>
      </c>
      <c r="H8" s="156" t="str">
        <f>'Annual Forecast'!B9</f>
        <v>Net Revenue</v>
      </c>
      <c r="I8" s="252">
        <f>SUM(I6:I7)</f>
        <v>5682626.628535212</v>
      </c>
    </row>
    <row r="9" spans="2:9" x14ac:dyDescent="0.3">
      <c r="H9" s="49"/>
      <c r="I9" s="161"/>
    </row>
    <row r="10" spans="2:9" x14ac:dyDescent="0.3">
      <c r="H10" s="319" t="str">
        <f>'Annual Forecast'!B10</f>
        <v>Expenses</v>
      </c>
      <c r="I10" s="162"/>
    </row>
    <row r="11" spans="2:9" x14ac:dyDescent="0.3">
      <c r="H11" s="147" t="str">
        <f>'Annual Forecast'!B11</f>
        <v>Taxes</v>
      </c>
      <c r="I11" s="251">
        <f>'Annual Forecast'!C11</f>
        <v>-564336.34343417024</v>
      </c>
    </row>
    <row r="12" spans="2:9" x14ac:dyDescent="0.3">
      <c r="B12" s="353" t="s">
        <v>468</v>
      </c>
      <c r="C12" s="352"/>
      <c r="D12" s="352"/>
      <c r="E12" s="354"/>
      <c r="H12" s="163" t="str">
        <f>'Annual Forecast'!B12</f>
        <v>Insurance</v>
      </c>
      <c r="I12" s="243">
        <f>'Annual Forecast'!C12</f>
        <v>-195347.1958041359</v>
      </c>
    </row>
    <row r="13" spans="2:9" x14ac:dyDescent="0.3">
      <c r="B13" s="164" t="s">
        <v>469</v>
      </c>
      <c r="C13" s="79"/>
      <c r="D13" s="165" t="s">
        <v>423</v>
      </c>
      <c r="E13" s="166" t="s">
        <v>473</v>
      </c>
      <c r="H13" s="147" t="str">
        <f>'Annual Forecast'!B13</f>
        <v>Payroll</v>
      </c>
      <c r="I13" s="251">
        <f>'Annual Forecast'!C13</f>
        <v>-293020.79370620387</v>
      </c>
    </row>
    <row r="14" spans="2:9" x14ac:dyDescent="0.3">
      <c r="B14" s="104" t="s">
        <v>470</v>
      </c>
      <c r="C14" s="108">
        <f>C16-C15</f>
        <v>35494275.308466002</v>
      </c>
      <c r="D14" s="108">
        <f>C14/Assumptions!$D$9</f>
        <v>165861.09957227105</v>
      </c>
      <c r="E14" s="167">
        <f>C14/$C$16</f>
        <v>0.41161855607959769</v>
      </c>
      <c r="H14" s="147" t="str">
        <f>'Annual Forecast'!B14</f>
        <v>Repairs &amp; Maintenance</v>
      </c>
      <c r="I14" s="251">
        <f>'Annual Forecast'!C14</f>
        <v>-97673.597902067952</v>
      </c>
    </row>
    <row r="15" spans="2:9" x14ac:dyDescent="0.3">
      <c r="B15" s="109" t="s">
        <v>471</v>
      </c>
      <c r="C15" s="112">
        <f>Assumptions!K32</f>
        <v>50736714</v>
      </c>
      <c r="D15" s="112">
        <f>C15/Assumptions!$D$9</f>
        <v>237087.44859813084</v>
      </c>
      <c r="E15" s="168">
        <f>C15/$C$16</f>
        <v>0.58838144392040226</v>
      </c>
      <c r="H15" s="163" t="str">
        <f>'Annual Forecast'!B15</f>
        <v>Contract Services</v>
      </c>
      <c r="I15" s="243">
        <f>'Annual Forecast'!C15</f>
        <v>-164959.85423460364</v>
      </c>
    </row>
    <row r="16" spans="2:9" x14ac:dyDescent="0.3">
      <c r="B16" s="169" t="s">
        <v>396</v>
      </c>
      <c r="C16" s="170">
        <f>C20</f>
        <v>86230989.308466002</v>
      </c>
      <c r="D16" s="170">
        <f>C16/Assumptions!$D$9</f>
        <v>402948.54817040189</v>
      </c>
      <c r="E16" s="171">
        <f>C16/$C$16</f>
        <v>1</v>
      </c>
      <c r="H16" s="147" t="str">
        <f>'Annual Forecast'!B16</f>
        <v>Marketing</v>
      </c>
      <c r="I16" s="251">
        <f>'Annual Forecast'!C16</f>
        <v>-108526.21989118663</v>
      </c>
    </row>
    <row r="17" spans="1:10" x14ac:dyDescent="0.3">
      <c r="B17" s="172" t="s">
        <v>472</v>
      </c>
      <c r="C17" s="173"/>
      <c r="D17" s="173"/>
      <c r="E17" s="174"/>
      <c r="H17" s="147" t="str">
        <f>'Annual Forecast'!B17</f>
        <v>General &amp; Administrative</v>
      </c>
      <c r="I17" s="251">
        <f>'Annual Forecast'!C17</f>
        <v>-67286.256332535704</v>
      </c>
    </row>
    <row r="18" spans="1:10" x14ac:dyDescent="0.3">
      <c r="B18" s="109" t="s">
        <v>140</v>
      </c>
      <c r="C18" s="112">
        <f>Assumptions!D16</f>
        <v>85493946</v>
      </c>
      <c r="D18" s="112">
        <f>C18/Assumptions!$D$9</f>
        <v>399504.42056074768</v>
      </c>
      <c r="E18" s="168">
        <f>C18/$C$20</f>
        <v>0.99145268639062634</v>
      </c>
      <c r="H18" s="175" t="str">
        <f>'Annual Forecast'!B18</f>
        <v>Utilities</v>
      </c>
      <c r="I18" s="241">
        <f>'Annual Forecast'!C18</f>
        <v>-132401.98826724768</v>
      </c>
    </row>
    <row r="19" spans="1:10" x14ac:dyDescent="0.3">
      <c r="B19" s="176" t="s">
        <v>455</v>
      </c>
      <c r="C19" s="177">
        <f>Assumptions!D16*Assumptions!D23</f>
        <v>737043.30846600002</v>
      </c>
      <c r="D19" s="177">
        <f>C19/Assumptions!$D$9</f>
        <v>3444.1276096542056</v>
      </c>
      <c r="E19" s="178">
        <f>C19/$C$20</f>
        <v>8.5473136093735906E-3</v>
      </c>
      <c r="H19" s="163" t="str">
        <f>'Annual Forecast'!B19</f>
        <v>Reserves</v>
      </c>
      <c r="I19" s="243">
        <f>'Annual Forecast'!C19</f>
        <v>-235901.51707637153</v>
      </c>
    </row>
    <row r="20" spans="1:10" x14ac:dyDescent="0.3">
      <c r="B20" s="169" t="s">
        <v>396</v>
      </c>
      <c r="C20" s="170">
        <f>SUM(C18:C19)</f>
        <v>86230989.308466002</v>
      </c>
      <c r="D20" s="170">
        <f>C20/Assumptions!$D$9</f>
        <v>402948.54817040189</v>
      </c>
      <c r="E20" s="171">
        <f>C20/$C$20</f>
        <v>1</v>
      </c>
      <c r="H20" s="147" t="str">
        <f>'Annual Forecast'!B20</f>
        <v>Management</v>
      </c>
      <c r="I20" s="251">
        <f>'Annual Forecast'!C20</f>
        <v>-176926.1378072786</v>
      </c>
    </row>
    <row r="21" spans="1:10" x14ac:dyDescent="0.3">
      <c r="H21" s="163" t="str">
        <f>'Annual Forecast'!B21</f>
        <v>Total Expenses</v>
      </c>
      <c r="I21" s="253">
        <f>SUM(I11:I20)</f>
        <v>-2036379.9044558019</v>
      </c>
    </row>
    <row r="22" spans="1:10" x14ac:dyDescent="0.3">
      <c r="H22" s="163" t="str">
        <f>'Annual Forecast'!B22</f>
        <v>Net Operating Income</v>
      </c>
      <c r="I22" s="253">
        <f>I21+I8</f>
        <v>3646246.7240794101</v>
      </c>
    </row>
    <row r="23" spans="1:10" x14ac:dyDescent="0.3">
      <c r="H23" s="179"/>
      <c r="I23" s="180"/>
    </row>
    <row r="24" spans="1:10" x14ac:dyDescent="0.3">
      <c r="A24" s="181" t="s">
        <v>506</v>
      </c>
      <c r="H24" s="316" t="s">
        <v>497</v>
      </c>
      <c r="I24" s="318">
        <f>I22/Assumptions!D27</f>
        <v>62989042.860735744</v>
      </c>
    </row>
    <row r="25" spans="1:10" x14ac:dyDescent="0.3">
      <c r="A25" s="182" t="s">
        <v>501</v>
      </c>
      <c r="C25" s="267">
        <f>XIRR('Monthly Cash Flow'!F35:BZ35,'Monthly Cash Flow'!F5:BZ5)</f>
        <v>-3.7302348017692569E-2</v>
      </c>
    </row>
    <row r="26" spans="1:10" x14ac:dyDescent="0.3">
      <c r="A26" s="182" t="s">
        <v>502</v>
      </c>
      <c r="C26" s="267">
        <f>XIRR('Monthly Cash Flow'!F39:BZ39,'Monthly Cash Flow'!F5:BZ5,)</f>
        <v>-0.16650721989572051</v>
      </c>
    </row>
    <row r="27" spans="1:10" x14ac:dyDescent="0.3">
      <c r="A27" s="320" t="s">
        <v>503</v>
      </c>
      <c r="B27" s="45" t="s">
        <v>493</v>
      </c>
      <c r="C27" s="266">
        <f>SUMIF('Monthly Cash Flow'!F35:BZ35,"&gt;0",'Monthly Cash Flow'!F35:BZ35)/ABS(SUMIF('Monthly Cash Flow'!F35:BZ35,"&lt;0",'Monthly Cash Flow'!F35:BZ35))</f>
        <v>0.89610397817078757</v>
      </c>
      <c r="D27" s="103"/>
      <c r="E27" s="355" t="s">
        <v>494</v>
      </c>
      <c r="F27" s="345"/>
      <c r="G27" s="346"/>
      <c r="H27" s="355" t="s">
        <v>495</v>
      </c>
      <c r="I27" s="345"/>
      <c r="J27" s="346"/>
    </row>
    <row r="28" spans="1:10" x14ac:dyDescent="0.3">
      <c r="A28" s="320" t="s">
        <v>504</v>
      </c>
      <c r="B28" s="80" t="s">
        <v>482</v>
      </c>
      <c r="C28" s="266">
        <f>SUMIF('Monthly Cash Flow'!F39:BZ39,"&gt;0",'Monthly Cash Flow'!F39:BZ39)/ABS(SUMIF('Monthly Cash Flow'!F39:BZ39,"&lt;0",'Monthly Cash Flow'!F39:BZ39))</f>
        <v>0.60441173704795081</v>
      </c>
      <c r="D28" s="99">
        <v>0.63175899999999996</v>
      </c>
      <c r="E28" s="73" t="s">
        <v>482</v>
      </c>
      <c r="F28" s="3"/>
      <c r="G28" s="99">
        <v>0.85160000000000002</v>
      </c>
      <c r="H28" s="73" t="s">
        <v>482</v>
      </c>
      <c r="I28" s="3"/>
      <c r="J28" s="99">
        <v>0.75</v>
      </c>
    </row>
    <row r="29" spans="1:10" x14ac:dyDescent="0.3">
      <c r="B29" s="73" t="s">
        <v>483</v>
      </c>
      <c r="C29" s="3"/>
      <c r="D29" s="88">
        <v>1.25</v>
      </c>
      <c r="E29" s="73" t="s">
        <v>483</v>
      </c>
      <c r="F29" s="3"/>
      <c r="G29" s="88">
        <v>1.1499999999999999</v>
      </c>
      <c r="H29" s="73" t="s">
        <v>483</v>
      </c>
      <c r="I29" s="3"/>
      <c r="J29" s="88">
        <v>1.2</v>
      </c>
    </row>
    <row r="30" spans="1:10" x14ac:dyDescent="0.3">
      <c r="B30" s="85" t="s">
        <v>484</v>
      </c>
      <c r="C30" s="86"/>
      <c r="D30" s="183">
        <v>0.08</v>
      </c>
      <c r="E30" s="85" t="s">
        <v>484</v>
      </c>
      <c r="F30" s="86"/>
      <c r="G30" s="184"/>
      <c r="H30" s="85" t="s">
        <v>484</v>
      </c>
      <c r="I30" s="86"/>
      <c r="J30" s="184"/>
    </row>
    <row r="31" spans="1:10" x14ac:dyDescent="0.3">
      <c r="B31" s="73" t="s">
        <v>485</v>
      </c>
      <c r="C31" s="185"/>
      <c r="D31" s="168">
        <f>Assumptions!$D$27</f>
        <v>5.7887000000000001E-2</v>
      </c>
      <c r="E31" s="73" t="s">
        <v>485</v>
      </c>
      <c r="F31" s="185"/>
      <c r="G31" s="168">
        <f>Assumptions!$D$27</f>
        <v>5.7887000000000001E-2</v>
      </c>
      <c r="H31" s="73" t="s">
        <v>485</v>
      </c>
      <c r="I31" s="185"/>
      <c r="J31" s="168">
        <f>Assumptions!$D$27</f>
        <v>5.7887000000000001E-2</v>
      </c>
    </row>
    <row r="32" spans="1:10" x14ac:dyDescent="0.3">
      <c r="B32" s="73" t="s">
        <v>486</v>
      </c>
      <c r="C32" s="3"/>
      <c r="D32" s="99">
        <v>0.02</v>
      </c>
      <c r="E32" s="73" t="s">
        <v>486</v>
      </c>
      <c r="F32" s="3"/>
      <c r="G32" s="99">
        <v>1.7500000000000002E-2</v>
      </c>
      <c r="H32" s="73" t="s">
        <v>486</v>
      </c>
      <c r="I32" s="3"/>
      <c r="J32" s="99">
        <v>1.7500000000000002E-2</v>
      </c>
    </row>
    <row r="33" spans="2:10" x14ac:dyDescent="0.3">
      <c r="B33" s="73" t="s">
        <v>487</v>
      </c>
      <c r="C33" s="60" t="s">
        <v>499</v>
      </c>
      <c r="D33" s="99">
        <v>4.3209999999999998E-2</v>
      </c>
      <c r="E33" s="73" t="s">
        <v>487</v>
      </c>
      <c r="F33" s="60" t="s">
        <v>500</v>
      </c>
      <c r="G33" s="99">
        <v>4.2450000000000002E-2</v>
      </c>
      <c r="H33" s="73" t="s">
        <v>487</v>
      </c>
      <c r="I33" s="60" t="s">
        <v>500</v>
      </c>
      <c r="J33" s="99">
        <v>4.2450000000000002E-2</v>
      </c>
    </row>
    <row r="34" spans="2:10" x14ac:dyDescent="0.3">
      <c r="B34" s="73" t="s">
        <v>488</v>
      </c>
      <c r="C34" s="3"/>
      <c r="D34" s="168">
        <f>D33+D32</f>
        <v>6.3210000000000002E-2</v>
      </c>
      <c r="E34" s="73" t="s">
        <v>488</v>
      </c>
      <c r="F34" s="3"/>
      <c r="G34" s="168">
        <f>G33+G32</f>
        <v>5.9950000000000003E-2</v>
      </c>
      <c r="H34" s="73" t="s">
        <v>488</v>
      </c>
      <c r="I34" s="3"/>
      <c r="J34" s="168">
        <f>J33+J32</f>
        <v>5.9950000000000003E-2</v>
      </c>
    </row>
    <row r="35" spans="2:10" x14ac:dyDescent="0.3">
      <c r="B35" s="85" t="s">
        <v>465</v>
      </c>
      <c r="C35" s="86"/>
      <c r="D35" s="121">
        <v>25</v>
      </c>
      <c r="E35" s="85" t="s">
        <v>465</v>
      </c>
      <c r="F35" s="86"/>
      <c r="G35" s="121">
        <v>35</v>
      </c>
      <c r="H35" s="85" t="s">
        <v>465</v>
      </c>
      <c r="I35" s="86"/>
      <c r="J35" s="121">
        <v>30</v>
      </c>
    </row>
    <row r="36" spans="2:10" x14ac:dyDescent="0.3">
      <c r="B36" s="49"/>
      <c r="C36" s="3"/>
      <c r="D36" s="78"/>
      <c r="E36" s="49"/>
      <c r="F36" s="3"/>
      <c r="G36" s="78"/>
      <c r="H36" s="49"/>
      <c r="I36" s="3"/>
      <c r="J36" s="78"/>
    </row>
    <row r="37" spans="2:10" x14ac:dyDescent="0.3">
      <c r="B37" s="73" t="s">
        <v>416</v>
      </c>
      <c r="C37" s="14"/>
      <c r="D37" s="241">
        <f>ABS(SUMIF('Monthly Cash Flow'!$F$38:$BZ$38,"&lt;0",'Monthly Cash Flow'!$F$38:$BZ$38))</f>
        <v>49624249.800091438</v>
      </c>
      <c r="E37" s="186" t="s">
        <v>416</v>
      </c>
      <c r="F37" s="14"/>
      <c r="G37" s="241">
        <f>ABS(SUMIF('Monthly Cash Flow'!$F$38:$BZ$38,"&lt;0",'Monthly Cash Flow'!$F$38:$BZ$38))</f>
        <v>49624249.800091438</v>
      </c>
      <c r="H37" s="186" t="s">
        <v>416</v>
      </c>
      <c r="I37" s="14"/>
      <c r="J37" s="241">
        <f>ABS(SUMIF('Monthly Cash Flow'!$F$38:$BZ$38,"&lt;0",'Monthly Cash Flow'!$F$38:$BZ$38))</f>
        <v>49624249.800091438</v>
      </c>
    </row>
    <row r="38" spans="2:10" x14ac:dyDescent="0.3">
      <c r="B38" s="49"/>
      <c r="C38" s="3"/>
      <c r="D38" s="161"/>
      <c r="E38" s="49"/>
      <c r="F38" s="3"/>
      <c r="G38" s="161"/>
      <c r="H38" s="49"/>
      <c r="I38" s="3"/>
      <c r="J38" s="161"/>
    </row>
    <row r="39" spans="2:10" x14ac:dyDescent="0.3">
      <c r="B39" s="61" t="s">
        <v>492</v>
      </c>
      <c r="C39" s="187"/>
      <c r="D39" s="254"/>
      <c r="E39" s="321" t="s">
        <v>492</v>
      </c>
      <c r="F39" s="187"/>
      <c r="G39" s="254"/>
      <c r="H39" s="321" t="s">
        <v>492</v>
      </c>
      <c r="I39" s="187"/>
      <c r="J39" s="254"/>
    </row>
    <row r="40" spans="2:10" x14ac:dyDescent="0.3">
      <c r="B40" s="73" t="s">
        <v>489</v>
      </c>
      <c r="C40" s="75"/>
      <c r="D40" s="243">
        <f>D28*'Annual Forecast'!C22/'Investment Summary'!D31</f>
        <v>39793894.728655554</v>
      </c>
      <c r="E40" s="188" t="s">
        <v>489</v>
      </c>
      <c r="F40" s="75"/>
      <c r="G40" s="243">
        <f>G28*'Annual Forecast'!E22/'Investment Summary'!G31</f>
        <v>56342694.212423421</v>
      </c>
      <c r="H40" s="188" t="s">
        <v>489</v>
      </c>
      <c r="I40" s="75"/>
      <c r="J40" s="243">
        <f>J28*'Annual Forecast'!C22/'Investment Summary'!J31</f>
        <v>47241782.145551808</v>
      </c>
    </row>
    <row r="41" spans="2:10" x14ac:dyDescent="0.3">
      <c r="B41" s="73" t="s">
        <v>490</v>
      </c>
      <c r="C41" s="14"/>
      <c r="D41" s="241">
        <f>PV(D34/12,D35*12,-'Annual Forecast'!C22/'Investment Summary'!D29/12,0,0)</f>
        <v>36605320.406058595</v>
      </c>
      <c r="E41" s="186" t="s">
        <v>490</v>
      </c>
      <c r="F41" s="14"/>
      <c r="G41" s="241">
        <f>PV(G34/12,G35*12,-'Annual Forecast'!C22/'Investment Summary'!G29/12,0,0)</f>
        <v>46366401.228205115</v>
      </c>
      <c r="H41" s="186" t="s">
        <v>490</v>
      </c>
      <c r="I41" s="14"/>
      <c r="J41" s="241">
        <f>PV(J34/12,J35*12,-'Annual Forecast'!C22/'Investment Summary'!J29/12,0,0)</f>
        <v>42256221.639266647</v>
      </c>
    </row>
    <row r="42" spans="2:10" x14ac:dyDescent="0.3">
      <c r="B42" s="85" t="s">
        <v>491</v>
      </c>
      <c r="C42" s="189"/>
      <c r="D42" s="255">
        <f>'Annual Forecast'!C22/'Investment Summary'!D30</f>
        <v>45578084.050992623</v>
      </c>
      <c r="E42" s="190" t="s">
        <v>491</v>
      </c>
      <c r="F42" s="189"/>
      <c r="G42" s="256"/>
      <c r="H42" s="190" t="s">
        <v>491</v>
      </c>
      <c r="I42" s="189"/>
      <c r="J42" s="256"/>
    </row>
    <row r="43" spans="2:10" x14ac:dyDescent="0.3">
      <c r="B43" s="191"/>
      <c r="C43" s="71"/>
      <c r="D43" s="71"/>
      <c r="E43" s="71"/>
      <c r="F43" s="71"/>
      <c r="G43" s="71"/>
      <c r="H43" s="71"/>
      <c r="I43" s="71"/>
      <c r="J43" s="257"/>
    </row>
    <row r="44" spans="2:10" x14ac:dyDescent="0.3">
      <c r="B44" s="85" t="s">
        <v>512</v>
      </c>
      <c r="C44" s="5"/>
      <c r="D44" s="322">
        <f>MIN(D40:D42)-D37</f>
        <v>-13018929.394032843</v>
      </c>
      <c r="E44" s="192"/>
      <c r="F44" s="192"/>
      <c r="G44" s="322">
        <f>MIN(G40:G42)-G37</f>
        <v>-3257848.5718863234</v>
      </c>
      <c r="H44" s="192"/>
      <c r="I44" s="192"/>
      <c r="J44" s="323">
        <f>MIN(J40:J42)-J37</f>
        <v>-7368028.1608247906</v>
      </c>
    </row>
  </sheetData>
  <mergeCells count="4">
    <mergeCell ref="B2:G2"/>
    <mergeCell ref="B12:E12"/>
    <mergeCell ref="E27:G27"/>
    <mergeCell ref="H27:J27"/>
  </mergeCells>
  <dataValidations count="1">
    <dataValidation type="list" allowBlank="1" showInputMessage="1" showErrorMessage="1" sqref="C33 F33 I33" xr:uid="{B2440DAC-0477-7E44-B643-5121FFD7A816}">
      <formula1>"SOFR, 10-Year Treasury"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DAE5-F973-47C1-B3F5-6D030B3180A6}">
  <dimension ref="B2:L41"/>
  <sheetViews>
    <sheetView workbookViewId="0"/>
  </sheetViews>
  <sheetFormatPr defaultRowHeight="14.4" x14ac:dyDescent="0.3"/>
  <cols>
    <col min="2" max="2" width="34" customWidth="1"/>
    <col min="3" max="7" width="14" customWidth="1"/>
  </cols>
  <sheetData>
    <row r="2" spans="2:12" ht="18" x14ac:dyDescent="0.35">
      <c r="B2" s="324" t="s">
        <v>509</v>
      </c>
      <c r="C2" s="122"/>
      <c r="D2" s="51"/>
      <c r="E2" s="51"/>
      <c r="F2" s="51"/>
      <c r="G2" s="51"/>
      <c r="I2" s="69"/>
      <c r="J2" s="69"/>
      <c r="K2" s="69"/>
      <c r="L2" s="69"/>
    </row>
    <row r="3" spans="2:12" x14ac:dyDescent="0.3">
      <c r="B3" s="325" t="s">
        <v>375</v>
      </c>
      <c r="C3" s="63">
        <v>1</v>
      </c>
      <c r="D3" s="60">
        <f>C3+1</f>
        <v>2</v>
      </c>
      <c r="E3" s="60">
        <f>D3+1</f>
        <v>3</v>
      </c>
      <c r="F3" s="60">
        <f>E3+1</f>
        <v>4</v>
      </c>
      <c r="G3" s="60">
        <f>F3+1</f>
        <v>5</v>
      </c>
      <c r="I3" s="69"/>
      <c r="J3" s="69"/>
      <c r="K3" s="69"/>
      <c r="L3" s="69"/>
    </row>
    <row r="4" spans="2:12" x14ac:dyDescent="0.3">
      <c r="B4" s="104" t="s">
        <v>376</v>
      </c>
      <c r="C4" s="268">
        <f>SUMIF('Monthly Cash Flow'!$G$3:$BZ$3,'Annual Forecast'!C3,'Monthly Cash Flow'!$G$6:$BZ$6)</f>
        <v>5892581.3803766426</v>
      </c>
      <c r="D4" s="240">
        <f>SUMIF('Monthly Cash Flow'!$G$3:$BZ$3,'Annual Forecast'!D3,'Monthly Cash Flow'!$G$6:$BZ$6)</f>
        <v>6065911.661680419</v>
      </c>
      <c r="E4" s="240">
        <f>SUMIF('Monthly Cash Flow'!$G$3:$BZ$3,'Annual Forecast'!E3,'Monthly Cash Flow'!$G$6:$BZ$6)</f>
        <v>6244340.4532087464</v>
      </c>
      <c r="F4" s="240">
        <f>SUMIF('Monthly Cash Flow'!$G$3:$BZ$3,'Annual Forecast'!F3,'Monthly Cash Flow'!$G$6:$BZ$6)</f>
        <v>6428017.7276398782</v>
      </c>
      <c r="G4" s="241">
        <f>SUMIF('Monthly Cash Flow'!$G$3:$BZ$3,'Annual Forecast'!G3,'Monthly Cash Flow'!$G$6:$BZ$6)</f>
        <v>6617097.8690984016</v>
      </c>
      <c r="I4" s="193"/>
      <c r="J4" s="193"/>
      <c r="K4" s="193"/>
      <c r="L4" s="193"/>
    </row>
    <row r="5" spans="2:12" x14ac:dyDescent="0.3">
      <c r="B5" s="109" t="s">
        <v>377</v>
      </c>
      <c r="C5" s="268">
        <f>SUMIF('Monthly Cash Flow'!$G$3:$BZ$3,'Annual Forecast'!C3,'Monthly Cash Flow'!$G$7:$BZ$7)</f>
        <v>-294629.06901883212</v>
      </c>
      <c r="D5" s="240">
        <f>SUMIF('Monthly Cash Flow'!$G$3:$BZ$3,'Annual Forecast'!D3,'Monthly Cash Flow'!$G7:$BZ7)</f>
        <v>-303295.583084021</v>
      </c>
      <c r="E5" s="240">
        <f>SUMIF('Monthly Cash Flow'!$G$3:$BZ$3,'Annual Forecast'!E3,'Monthly Cash Flow'!$G7:$BZ7)</f>
        <v>-312217.02266043733</v>
      </c>
      <c r="F5" s="240">
        <f>SUMIF('Monthly Cash Flow'!$G$3:$BZ$3,'Annual Forecast'!F3,'Monthly Cash Flow'!$G7:$BZ7)</f>
        <v>-321400.88638199389</v>
      </c>
      <c r="G5" s="241">
        <f>SUMIF('Monthly Cash Flow'!$G$3:$BZ$3,'Annual Forecast'!G3,'Monthly Cash Flow'!$G7:$BZ7)</f>
        <v>-330854.89345492015</v>
      </c>
      <c r="I5" s="193"/>
      <c r="J5" s="193"/>
      <c r="K5" s="193"/>
      <c r="L5" s="193"/>
    </row>
    <row r="6" spans="2:12" x14ac:dyDescent="0.3">
      <c r="B6" s="109" t="s">
        <v>378</v>
      </c>
      <c r="C6" s="269">
        <f>SUMIF('Monthly Cash Flow'!$G$3:$BZ$3,'Annual Forecast'!C3,'Monthly Cash Flow'!$G$8:$BZ$8)</f>
        <v>-353554.88282259856</v>
      </c>
      <c r="D6" s="270">
        <f>SUMIF('Monthly Cash Flow'!$G$3:$BZ$3,'Annual Forecast'!D3,'Monthly Cash Flow'!$G$8:$BZ$8)</f>
        <v>-363954.69970082515</v>
      </c>
      <c r="E6" s="270">
        <f>SUMIF('Monthly Cash Flow'!$G$3:$BZ$3,'Annual Forecast'!E3,'Monthly Cash Flow'!$G$8:$BZ$8)</f>
        <v>-374660.42719252477</v>
      </c>
      <c r="F6" s="270">
        <f>SUMIF('Monthly Cash Flow'!$G$3:$BZ$3,'Annual Forecast'!F3,'Monthly Cash Flow'!$G$8:$BZ$8)</f>
        <v>-385681.06365839276</v>
      </c>
      <c r="G6" s="255">
        <f>SUMIF('Monthly Cash Flow'!$G$3:$BZ$3,'Annual Forecast'!G3,'Monthly Cash Flow'!$G$8:$BZ$8)</f>
        <v>-397025.87214590411</v>
      </c>
      <c r="I6" s="193"/>
      <c r="J6" s="193"/>
      <c r="K6" s="193"/>
      <c r="L6" s="193"/>
    </row>
    <row r="7" spans="2:12" x14ac:dyDescent="0.3">
      <c r="B7" s="194" t="s">
        <v>379</v>
      </c>
      <c r="C7" s="271">
        <f>SUM(C4:C6)</f>
        <v>5244397.4285352118</v>
      </c>
      <c r="D7" s="262">
        <f>SUM(D4:D6)</f>
        <v>5398661.3788955733</v>
      </c>
      <c r="E7" s="262">
        <f>SUM(E4:E6)</f>
        <v>5557463.0033557843</v>
      </c>
      <c r="F7" s="262">
        <f>SUM(F4:F6)</f>
        <v>5720935.7775994912</v>
      </c>
      <c r="G7" s="272">
        <f>SUM(G4:G6)</f>
        <v>5889217.1034975769</v>
      </c>
      <c r="I7" s="193"/>
      <c r="J7" s="193"/>
      <c r="K7" s="193"/>
      <c r="L7" s="193"/>
    </row>
    <row r="8" spans="2:12" x14ac:dyDescent="0.3">
      <c r="B8" s="114" t="s">
        <v>380</v>
      </c>
      <c r="C8" s="269">
        <f>SUMIF('Monthly Cash Flow'!$G$3:$BZ$3,'Annual Forecast'!C3,'Monthly Cash Flow'!$G$10:$BZ$10)</f>
        <v>438229.1999999999</v>
      </c>
      <c r="D8" s="270">
        <f>SUMIF('Monthly Cash Flow'!$G$3:$BZ$3,'Annual Forecast'!D3,'Monthly Cash Flow'!$G$10:$BZ$10)</f>
        <v>438229.1999999999</v>
      </c>
      <c r="E8" s="270">
        <f>SUMIF('Monthly Cash Flow'!$G$3:$BZ$3,'Annual Forecast'!E3,'Monthly Cash Flow'!$G$10:$BZ$10)</f>
        <v>438229.1999999999</v>
      </c>
      <c r="F8" s="270">
        <f>SUMIF('Monthly Cash Flow'!$G$3:$BZ$3,'Annual Forecast'!F3,'Monthly Cash Flow'!$G$10:$BZ$10)</f>
        <v>438229.1999999999</v>
      </c>
      <c r="G8" s="255">
        <f>SUMIF('Monthly Cash Flow'!$G$3:$BZ$3,'Annual Forecast'!G3,'Monthly Cash Flow'!$G$10:$BZ$10)</f>
        <v>438229.1999999999</v>
      </c>
      <c r="I8" s="193"/>
      <c r="J8" s="193"/>
      <c r="K8" s="193"/>
      <c r="L8" s="193"/>
    </row>
    <row r="9" spans="2:12" x14ac:dyDescent="0.3">
      <c r="B9" s="114" t="s">
        <v>381</v>
      </c>
      <c r="C9" s="271">
        <f>SUM(C7:C8)</f>
        <v>5682626.628535212</v>
      </c>
      <c r="D9" s="262">
        <f>SUM(D7:D8)</f>
        <v>5836890.5788955735</v>
      </c>
      <c r="E9" s="262">
        <f>SUM(E7:E8)</f>
        <v>5995692.2033557845</v>
      </c>
      <c r="F9" s="262">
        <f>SUM(F7:F8)</f>
        <v>6159164.9775994914</v>
      </c>
      <c r="G9" s="272">
        <f>SUM(G7:G8)</f>
        <v>6327446.3034975771</v>
      </c>
      <c r="I9" s="193"/>
      <c r="J9" s="193"/>
      <c r="K9" s="193"/>
      <c r="L9" s="193"/>
    </row>
    <row r="10" spans="2:12" x14ac:dyDescent="0.3">
      <c r="B10" s="109" t="s">
        <v>446</v>
      </c>
      <c r="C10" s="195"/>
      <c r="D10" s="196"/>
      <c r="E10" s="196"/>
      <c r="F10" s="196"/>
      <c r="G10" s="197"/>
      <c r="I10" s="193"/>
      <c r="J10" s="193"/>
      <c r="K10" s="193"/>
      <c r="L10" s="193"/>
    </row>
    <row r="11" spans="2:12" x14ac:dyDescent="0.3">
      <c r="B11" s="198" t="str">
        <f>Assumptions!G57</f>
        <v>Taxes</v>
      </c>
      <c r="C11" s="268">
        <f>SUMIF('Monthly Cash Flow'!$G$3:$BZ$3,'Annual Forecast'!C$3,'Monthly Cash Flow'!$G13:$BZ13)</f>
        <v>-564336.34343417024</v>
      </c>
      <c r="D11" s="240">
        <f>SUMIF('Monthly Cash Flow'!$G$3:$BZ$3,'Annual Forecast'!D$3,'Monthly Cash Flow'!$G13:$BZ13)</f>
        <v>-581997.24930194265</v>
      </c>
      <c r="E11" s="240">
        <f>SUMIF('Monthly Cash Flow'!$G$3:$BZ$3,'Annual Forecast'!E$3,'Monthly Cash Flow'!$G13:$BZ13)</f>
        <v>-600210.85321884684</v>
      </c>
      <c r="F11" s="240">
        <f>SUMIF('Monthly Cash Flow'!$G$3:$BZ$3,'Annual Forecast'!F$3,'Monthly Cash Flow'!$G13:$BZ13)</f>
        <v>-618994.45187033061</v>
      </c>
      <c r="G11" s="241">
        <f>SUMIF('Monthly Cash Flow'!$G$3:$BZ$3,'Annual Forecast'!G$3,'Monthly Cash Flow'!$G13:$BZ13)</f>
        <v>-638365.88324161235</v>
      </c>
      <c r="I11" s="193"/>
      <c r="J11" s="193"/>
      <c r="K11" s="193"/>
      <c r="L11" s="193"/>
    </row>
    <row r="12" spans="2:12" x14ac:dyDescent="0.3">
      <c r="B12" s="198" t="str">
        <f>Assumptions!G58</f>
        <v>Insurance</v>
      </c>
      <c r="C12" s="268">
        <f>SUMIF('Monthly Cash Flow'!$G$3:$BZ$3,'Annual Forecast'!C$3,'Monthly Cash Flow'!$G14:$BZ14)</f>
        <v>-195347.1958041359</v>
      </c>
      <c r="D12" s="240">
        <f>SUMIF('Monthly Cash Flow'!$G$3:$BZ$3,'Annual Forecast'!D$3,'Monthly Cash Flow'!$G14:$BZ14)</f>
        <v>-201460.58629682616</v>
      </c>
      <c r="E12" s="240">
        <f>SUMIF('Monthly Cash Flow'!$G$3:$BZ$3,'Annual Forecast'!E$3,'Monthly Cash Flow'!$G14:$BZ14)</f>
        <v>-207765.29534498529</v>
      </c>
      <c r="F12" s="240">
        <f>SUMIF('Monthly Cash Flow'!$G$3:$BZ$3,'Annual Forecast'!F$3,'Monthly Cash Flow'!$G14:$BZ14)</f>
        <v>-214267.3102628066</v>
      </c>
      <c r="G12" s="241">
        <f>SUMIF('Monthly Cash Flow'!$G$3:$BZ$3,'Annual Forecast'!G$3,'Monthly Cash Flow'!$G14:$BZ14)</f>
        <v>-220972.8057374811</v>
      </c>
      <c r="I12" s="193"/>
      <c r="J12" s="193"/>
      <c r="K12" s="193"/>
      <c r="L12" s="193"/>
    </row>
    <row r="13" spans="2:12" x14ac:dyDescent="0.3">
      <c r="B13" s="198" t="str">
        <f>Assumptions!G59</f>
        <v>Payroll</v>
      </c>
      <c r="C13" s="268">
        <f>SUMIF('Monthly Cash Flow'!$G$3:$BZ$3,'Annual Forecast'!C$3,'Monthly Cash Flow'!$G15:$BZ15)</f>
        <v>-293020.79370620387</v>
      </c>
      <c r="D13" s="240">
        <f>SUMIF('Monthly Cash Flow'!$G$3:$BZ$3,'Annual Forecast'!D$3,'Monthly Cash Flow'!$G15:$BZ15)</f>
        <v>-302190.87944523944</v>
      </c>
      <c r="E13" s="240">
        <f>SUMIF('Monthly Cash Flow'!$G$3:$BZ$3,'Annual Forecast'!E$3,'Monthly Cash Flow'!$G15:$BZ15)</f>
        <v>-311647.94301747816</v>
      </c>
      <c r="F13" s="240">
        <f>SUMIF('Monthly Cash Flow'!$G$3:$BZ$3,'Annual Forecast'!F$3,'Monthly Cash Flow'!$G15:$BZ15)</f>
        <v>-321400.96539421001</v>
      </c>
      <c r="G13" s="241">
        <f>SUMIF('Monthly Cash Flow'!$G$3:$BZ$3,'Annual Forecast'!G$3,'Monthly Cash Flow'!$G15:$BZ15)</f>
        <v>-331459.20860622171</v>
      </c>
      <c r="I13" s="193"/>
      <c r="J13" s="193"/>
      <c r="K13" s="193"/>
      <c r="L13" s="193"/>
    </row>
    <row r="14" spans="2:12" x14ac:dyDescent="0.3">
      <c r="B14" s="198" t="str">
        <f>Assumptions!G60</f>
        <v>Repairs &amp; Maintenance</v>
      </c>
      <c r="C14" s="268">
        <f>SUMIF('Monthly Cash Flow'!$G$3:$BZ$3,'Annual Forecast'!C$3,'Monthly Cash Flow'!$G16:$BZ16)</f>
        <v>-97673.597902067952</v>
      </c>
      <c r="D14" s="240">
        <f>SUMIF('Monthly Cash Flow'!$G$3:$BZ$3,'Annual Forecast'!D$3,'Monthly Cash Flow'!$G16:$BZ16)</f>
        <v>-100730.29314841308</v>
      </c>
      <c r="E14" s="240">
        <f>SUMIF('Monthly Cash Flow'!$G$3:$BZ$3,'Annual Forecast'!E$3,'Monthly Cash Flow'!$G16:$BZ16)</f>
        <v>-103882.64767249265</v>
      </c>
      <c r="F14" s="240">
        <f>SUMIF('Monthly Cash Flow'!$G$3:$BZ$3,'Annual Forecast'!F$3,'Monthly Cash Flow'!$G16:$BZ16)</f>
        <v>-107133.6551314033</v>
      </c>
      <c r="G14" s="241">
        <f>SUMIF('Monthly Cash Flow'!$G$3:$BZ$3,'Annual Forecast'!G$3,'Monthly Cash Flow'!$G16:$BZ16)</f>
        <v>-110486.40286874055</v>
      </c>
      <c r="I14" s="193"/>
      <c r="J14" s="193"/>
      <c r="K14" s="193"/>
      <c r="L14" s="193"/>
    </row>
    <row r="15" spans="2:12" x14ac:dyDescent="0.3">
      <c r="B15" s="198" t="str">
        <f>Assumptions!G61</f>
        <v>Contract Services</v>
      </c>
      <c r="C15" s="268">
        <f>SUMIF('Monthly Cash Flow'!$G$3:$BZ$3,'Annual Forecast'!C$3,'Monthly Cash Flow'!$G17:$BZ17)</f>
        <v>-164959.85423460364</v>
      </c>
      <c r="D15" s="240">
        <f>SUMIF('Monthly Cash Flow'!$G$3:$BZ$3,'Annual Forecast'!D$3,'Monthly Cash Flow'!$G17:$BZ17)</f>
        <v>-170122.27287287553</v>
      </c>
      <c r="E15" s="240">
        <f>SUMIF('Monthly Cash Flow'!$G$3:$BZ$3,'Annual Forecast'!E$3,'Monthly Cash Flow'!$G17:$BZ17)</f>
        <v>-175446.24940243212</v>
      </c>
      <c r="F15" s="240">
        <f>SUMIF('Monthly Cash Flow'!$G$3:$BZ$3,'Annual Forecast'!F$3,'Monthly Cash Flow'!$G17:$BZ17)</f>
        <v>-180936.83977748116</v>
      </c>
      <c r="G15" s="241">
        <f>SUMIF('Monthly Cash Flow'!$G$3:$BZ$3,'Annual Forecast'!G$3,'Monthly Cash Flow'!$G17:$BZ17)</f>
        <v>-186599.25817831742</v>
      </c>
      <c r="I15" s="193"/>
      <c r="J15" s="193"/>
      <c r="K15" s="193"/>
      <c r="L15" s="193"/>
    </row>
    <row r="16" spans="2:12" x14ac:dyDescent="0.3">
      <c r="B16" s="198" t="str">
        <f>Assumptions!G62</f>
        <v>Marketing</v>
      </c>
      <c r="C16" s="268">
        <f>SUMIF('Monthly Cash Flow'!$G$3:$BZ$3,'Annual Forecast'!C$3,'Monthly Cash Flow'!$G18:$BZ18)</f>
        <v>-108526.21989118663</v>
      </c>
      <c r="D16" s="240">
        <f>SUMIF('Monthly Cash Flow'!$G$3:$BZ$3,'Annual Forecast'!D$3,'Monthly Cash Flow'!$G18:$BZ18)</f>
        <v>-111922.54794268127</v>
      </c>
      <c r="E16" s="240">
        <f>SUMIF('Monthly Cash Flow'!$G$3:$BZ$3,'Annual Forecast'!E$3,'Monthly Cash Flow'!$G18:$BZ18)</f>
        <v>-115425.16408054746</v>
      </c>
      <c r="F16" s="240">
        <f>SUMIF('Monthly Cash Flow'!$G$3:$BZ$3,'Annual Forecast'!F$3,'Monthly Cash Flow'!$G18:$BZ18)</f>
        <v>-119037.39459044814</v>
      </c>
      <c r="G16" s="241">
        <f>SUMIF('Monthly Cash Flow'!$G$3:$BZ$3,'Annual Forecast'!G$3,'Monthly Cash Flow'!$G18:$BZ18)</f>
        <v>-122762.66985415622</v>
      </c>
      <c r="I16" s="193"/>
      <c r="J16" s="193"/>
      <c r="K16" s="193"/>
      <c r="L16" s="193"/>
    </row>
    <row r="17" spans="2:12" x14ac:dyDescent="0.3">
      <c r="B17" s="198" t="str">
        <f>Assumptions!G63</f>
        <v>General &amp; Administrative</v>
      </c>
      <c r="C17" s="268">
        <f>SUMIF('Monthly Cash Flow'!$G$3:$BZ$3,'Annual Forecast'!C$3,'Monthly Cash Flow'!$G19:$BZ19)</f>
        <v>-67286.256332535704</v>
      </c>
      <c r="D17" s="240">
        <f>SUMIF('Monthly Cash Flow'!$G$3:$BZ$3,'Annual Forecast'!D$3,'Monthly Cash Flow'!$G19:$BZ19)</f>
        <v>-69391.979724462391</v>
      </c>
      <c r="E17" s="240">
        <f>SUMIF('Monthly Cash Flow'!$G$3:$BZ$3,'Annual Forecast'!E$3,'Monthly Cash Flow'!$G19:$BZ19)</f>
        <v>-71563.60172993943</v>
      </c>
      <c r="F17" s="240">
        <f>SUMIF('Monthly Cash Flow'!$G$3:$BZ$3,'Annual Forecast'!F$3,'Monthly Cash Flow'!$G19:$BZ19)</f>
        <v>-73803.184646077876</v>
      </c>
      <c r="G17" s="241">
        <f>SUMIF('Monthly Cash Flow'!$G$3:$BZ$3,'Annual Forecast'!G$3,'Monthly Cash Flow'!$G19:$BZ19)</f>
        <v>-76112.855309576873</v>
      </c>
      <c r="I17" s="193"/>
      <c r="J17" s="193"/>
      <c r="K17" s="193"/>
      <c r="L17" s="193"/>
    </row>
    <row r="18" spans="2:12" x14ac:dyDescent="0.3">
      <c r="B18" s="198" t="str">
        <f>Assumptions!G64</f>
        <v>Utilities</v>
      </c>
      <c r="C18" s="268">
        <f>SUMIF('Monthly Cash Flow'!$G$3:$BZ$3,'Annual Forecast'!C$3,'Monthly Cash Flow'!$G20:$BZ20)</f>
        <v>-132401.98826724768</v>
      </c>
      <c r="D18" s="240">
        <f>SUMIF('Monthly Cash Flow'!$G$3:$BZ$3,'Annual Forecast'!D$3,'Monthly Cash Flow'!$G20:$BZ20)</f>
        <v>-136545.5084900712</v>
      </c>
      <c r="E18" s="240">
        <f>SUMIF('Monthly Cash Flow'!$G$3:$BZ$3,'Annual Forecast'!E$3,'Monthly Cash Flow'!$G20:$BZ20)</f>
        <v>-140818.70017826793</v>
      </c>
      <c r="F18" s="240">
        <f>SUMIF('Monthly Cash Flow'!$G$3:$BZ$3,'Annual Forecast'!F$3,'Monthly Cash Flow'!$G20:$BZ20)</f>
        <v>-145225.62140034678</v>
      </c>
      <c r="G18" s="241">
        <f>SUMIF('Monthly Cash Flow'!$G$3:$BZ$3,'Annual Forecast'!G$3,'Monthly Cash Flow'!$G20:$BZ20)</f>
        <v>-149770.45722207054</v>
      </c>
      <c r="I18" s="193"/>
      <c r="J18" s="193"/>
      <c r="K18" s="193"/>
      <c r="L18" s="193"/>
    </row>
    <row r="19" spans="2:12" x14ac:dyDescent="0.3">
      <c r="B19" s="198" t="str">
        <f>Assumptions!G65</f>
        <v>Reserves</v>
      </c>
      <c r="C19" s="268">
        <f>SUMIF('Monthly Cash Flow'!$G$3:$BZ$3,'Annual Forecast'!C$3,'Monthly Cash Flow'!$G21:$BZ21)</f>
        <v>-235901.51707637153</v>
      </c>
      <c r="D19" s="240">
        <f>SUMIF('Monthly Cash Flow'!$G$3:$BZ$3,'Annual Forecast'!D$3,'Monthly Cash Flow'!$G21:$BZ21)</f>
        <v>-243284.05505327656</v>
      </c>
      <c r="E19" s="240">
        <f>SUMIF('Monthly Cash Flow'!$G$3:$BZ$3,'Annual Forecast'!E$3,'Monthly Cash Flow'!$G21:$BZ21)</f>
        <v>-250897.6295561688</v>
      </c>
      <c r="F19" s="240">
        <f>SUMIF('Monthly Cash Flow'!$G$3:$BZ$3,'Annual Forecast'!F$3,'Monthly Cash Flow'!$G21:$BZ21)</f>
        <v>-258749.47087312903</v>
      </c>
      <c r="G19" s="241">
        <f>SUMIF('Monthly Cash Flow'!$G$3:$BZ$3,'Annual Forecast'!G$3,'Monthly Cash Flow'!$G21:$BZ21)</f>
        <v>-266847.03556410357</v>
      </c>
      <c r="I19" s="193"/>
      <c r="J19" s="193"/>
      <c r="K19" s="193"/>
      <c r="L19" s="193"/>
    </row>
    <row r="20" spans="2:12" x14ac:dyDescent="0.3">
      <c r="B20" s="198" t="str">
        <f>Assumptions!G66</f>
        <v>Management</v>
      </c>
      <c r="C20" s="269">
        <f>SUMIF('Monthly Cash Flow'!$G$3:$BZ$3,'Annual Forecast'!C$3,'Monthly Cash Flow'!$G22:$BZ22)</f>
        <v>-176926.1378072786</v>
      </c>
      <c r="D20" s="270">
        <f>SUMIF('Monthly Cash Flow'!$G$3:$BZ$3,'Annual Forecast'!D$3,'Monthly Cash Flow'!$G22:$BZ22)</f>
        <v>-182463.04128995736</v>
      </c>
      <c r="E20" s="270">
        <f>SUMIF('Monthly Cash Flow'!$G$3:$BZ$3,'Annual Forecast'!E$3,'Monthly Cash Flow'!$G22:$BZ22)</f>
        <v>-188173.2221671266</v>
      </c>
      <c r="F20" s="270">
        <f>SUMIF('Monthly Cash Flow'!$G$3:$BZ$3,'Annual Forecast'!F$3,'Monthly Cash Flow'!$G22:$BZ22)</f>
        <v>-194062.10315484673</v>
      </c>
      <c r="G20" s="255">
        <f>SUMIF('Monthly Cash Flow'!$G$3:$BZ$3,'Annual Forecast'!G$3,'Monthly Cash Flow'!$G22:$BZ22)</f>
        <v>-200135.27667307761</v>
      </c>
      <c r="I20" s="193"/>
      <c r="J20" s="193"/>
      <c r="K20" s="193"/>
      <c r="L20" s="193"/>
    </row>
    <row r="21" spans="2:12" x14ac:dyDescent="0.3">
      <c r="B21" s="104" t="s">
        <v>447</v>
      </c>
      <c r="C21" s="271">
        <f>SUM(C11:C20)</f>
        <v>-2036379.9044558019</v>
      </c>
      <c r="D21" s="262">
        <f>SUM(D11:D20)</f>
        <v>-2100108.4135657451</v>
      </c>
      <c r="E21" s="262">
        <f>SUM(E11:E20)</f>
        <v>-2165831.3063682849</v>
      </c>
      <c r="F21" s="262">
        <f>SUM(F11:F20)</f>
        <v>-2233610.9971010801</v>
      </c>
      <c r="G21" s="272">
        <f>SUM(G11:G20)</f>
        <v>-2303511.8532553581</v>
      </c>
      <c r="I21" s="193"/>
      <c r="J21" s="193"/>
      <c r="K21" s="193"/>
      <c r="L21" s="193"/>
    </row>
    <row r="22" spans="2:12" x14ac:dyDescent="0.3">
      <c r="B22" s="194" t="s">
        <v>448</v>
      </c>
      <c r="C22" s="271">
        <f>C21+C9</f>
        <v>3646246.7240794101</v>
      </c>
      <c r="D22" s="262">
        <f>D21+D9</f>
        <v>3736782.1653298284</v>
      </c>
      <c r="E22" s="262">
        <f>E21+E9</f>
        <v>3829860.8969874997</v>
      </c>
      <c r="F22" s="262">
        <f>F21+F9</f>
        <v>3925553.9804984112</v>
      </c>
      <c r="G22" s="272">
        <f>G21+G9</f>
        <v>4023934.450242219</v>
      </c>
      <c r="I22" s="193"/>
      <c r="J22" s="193"/>
      <c r="K22" s="193"/>
      <c r="L22" s="193"/>
    </row>
    <row r="23" spans="2:12" x14ac:dyDescent="0.3">
      <c r="B23" s="191"/>
      <c r="C23" s="199"/>
      <c r="D23" s="199"/>
      <c r="E23" s="199"/>
      <c r="F23" s="199"/>
      <c r="G23" s="199"/>
      <c r="I23" s="193"/>
      <c r="J23" s="193"/>
      <c r="K23" s="193"/>
      <c r="L23" s="193"/>
    </row>
    <row r="24" spans="2:12" x14ac:dyDescent="0.3">
      <c r="B24" s="200" t="s">
        <v>450</v>
      </c>
      <c r="C24" s="273">
        <f>-C21/C9</f>
        <v>0.35835187450643952</v>
      </c>
      <c r="D24" s="273">
        <f>-D21/D9</f>
        <v>0.35979917477965073</v>
      </c>
      <c r="E24" s="273">
        <f>-E21/E9</f>
        <v>0.36123123617921393</v>
      </c>
      <c r="F24" s="273">
        <f>-F21/F9</f>
        <v>0.36264834684970892</v>
      </c>
      <c r="G24" s="273">
        <f>-G21/G9</f>
        <v>0.36405079439110566</v>
      </c>
      <c r="I24" s="1"/>
      <c r="J24" s="1"/>
      <c r="K24" s="1"/>
      <c r="L24" s="1"/>
    </row>
    <row r="25" spans="2:12" x14ac:dyDescent="0.3">
      <c r="B25" s="200" t="s">
        <v>451</v>
      </c>
      <c r="C25" s="240">
        <f>C22/Assumptions!$D$9</f>
        <v>17038.536093829018</v>
      </c>
      <c r="D25" s="240">
        <f>D22/Assumptions!$D$9</f>
        <v>17461.598903410413</v>
      </c>
      <c r="E25" s="240">
        <f>E22/Assumptions!$D$9</f>
        <v>17896.54624760514</v>
      </c>
      <c r="F25" s="240">
        <f>F22/Assumptions!$D$9</f>
        <v>18343.710189244914</v>
      </c>
      <c r="G25" s="241">
        <f>G22/Assumptions!$D$9</f>
        <v>18803.43201047766</v>
      </c>
      <c r="I25" s="119"/>
      <c r="J25" s="119"/>
      <c r="K25" s="119"/>
      <c r="L25" s="119"/>
    </row>
    <row r="26" spans="2:12" x14ac:dyDescent="0.3">
      <c r="B26" s="49"/>
      <c r="C26" s="193"/>
      <c r="D26" s="193"/>
      <c r="E26" s="193"/>
      <c r="F26" s="193"/>
      <c r="G26" s="193"/>
      <c r="I26" s="3"/>
      <c r="J26" s="3"/>
      <c r="K26" s="3"/>
      <c r="L26" s="3"/>
    </row>
    <row r="27" spans="2:12" x14ac:dyDescent="0.3">
      <c r="B27" s="55" t="s">
        <v>497</v>
      </c>
      <c r="C27" s="240">
        <f>C22/Assumptions!$D$27</f>
        <v>62989042.860735744</v>
      </c>
      <c r="D27" s="240">
        <f>D22/Assumptions!$D$27</f>
        <v>64553045.853642933</v>
      </c>
      <c r="E27" s="240">
        <f>E22/Assumptions!$D$27</f>
        <v>66160984.279501438</v>
      </c>
      <c r="F27" s="240">
        <f>F22/Assumptions!$D$27</f>
        <v>67814085.727337942</v>
      </c>
      <c r="G27" s="241">
        <f>G22/Assumptions!$D$27</f>
        <v>69513611.868678957</v>
      </c>
      <c r="I27" s="3"/>
      <c r="J27" s="3"/>
      <c r="K27" s="3"/>
      <c r="L27" s="3"/>
    </row>
    <row r="28" spans="2:12" x14ac:dyDescent="0.3">
      <c r="B28" s="201" t="s">
        <v>498</v>
      </c>
      <c r="C28" s="274">
        <f>C27/Assumptions!$D$9</f>
        <v>294341.32177913899</v>
      </c>
      <c r="D28" s="274">
        <f>D27/Assumptions!$D$9</f>
        <v>301649.74697963987</v>
      </c>
      <c r="E28" s="274">
        <f>E27/Assumptions!$D$9</f>
        <v>309163.47794159548</v>
      </c>
      <c r="F28" s="274">
        <f>F27/Assumptions!$D$9</f>
        <v>316888.25106232683</v>
      </c>
      <c r="G28" s="275">
        <f>G27/Assumptions!$D$9</f>
        <v>324829.96200317272</v>
      </c>
      <c r="I28" s="3"/>
      <c r="J28" s="3"/>
      <c r="K28" s="3"/>
      <c r="L28" s="3"/>
    </row>
    <row r="29" spans="2:12" x14ac:dyDescent="0.3">
      <c r="B29" s="3"/>
      <c r="C29" s="193"/>
      <c r="D29" s="193"/>
      <c r="E29" s="193"/>
      <c r="F29" s="193"/>
      <c r="G29" s="193"/>
      <c r="H29" s="3"/>
      <c r="I29" s="3"/>
      <c r="J29" s="3"/>
      <c r="K29" s="3"/>
      <c r="L29" s="3"/>
    </row>
    <row r="30" spans="2:12" x14ac:dyDescent="0.3">
      <c r="B30" s="3"/>
      <c r="C30" s="193"/>
      <c r="D30" s="193"/>
      <c r="E30" s="193"/>
      <c r="F30" s="193"/>
      <c r="G30" s="193"/>
      <c r="H30" s="3"/>
      <c r="I30" s="3"/>
      <c r="J30" s="3"/>
      <c r="K30" s="3"/>
      <c r="L30" s="3"/>
    </row>
    <row r="31" spans="2:12" x14ac:dyDescent="0.3">
      <c r="B31" s="202"/>
      <c r="C31" s="21"/>
      <c r="D31" s="203"/>
      <c r="E31" s="203"/>
      <c r="F31" s="203"/>
      <c r="G31" s="203"/>
      <c r="H31" s="203"/>
      <c r="I31" s="3"/>
      <c r="J31" s="3"/>
      <c r="K31" s="3"/>
      <c r="L31" s="3"/>
    </row>
    <row r="32" spans="2:12" x14ac:dyDescent="0.3">
      <c r="B32" s="202"/>
      <c r="C32" s="193"/>
      <c r="D32" s="193"/>
      <c r="E32" s="193"/>
      <c r="F32" s="193"/>
      <c r="G32" s="193"/>
      <c r="H32" s="3"/>
      <c r="I32" s="3"/>
      <c r="J32" s="3"/>
      <c r="K32" s="3"/>
      <c r="L32" s="3"/>
    </row>
    <row r="33" spans="2:12" x14ac:dyDescent="0.3">
      <c r="B33" s="202"/>
      <c r="C33" s="193"/>
      <c r="D33" s="193"/>
      <c r="E33" s="193"/>
      <c r="F33" s="193"/>
      <c r="G33" s="193"/>
      <c r="H33" s="3"/>
      <c r="I33" s="3"/>
      <c r="J33" s="3"/>
      <c r="K33" s="3"/>
      <c r="L33" s="3"/>
    </row>
    <row r="34" spans="2:12" x14ac:dyDescent="0.3">
      <c r="B34" s="204"/>
      <c r="C34" s="193"/>
      <c r="D34" s="193"/>
      <c r="E34" s="193"/>
      <c r="F34" s="193"/>
      <c r="G34" s="193"/>
      <c r="H34" s="3"/>
      <c r="I34" s="3"/>
      <c r="J34" s="3"/>
      <c r="K34" s="3"/>
      <c r="L34" s="3"/>
    </row>
    <row r="35" spans="2:12" x14ac:dyDescent="0.3">
      <c r="B35" s="204"/>
      <c r="C35" s="193"/>
      <c r="D35" s="193"/>
      <c r="E35" s="193"/>
      <c r="F35" s="193"/>
      <c r="G35" s="193"/>
      <c r="H35" s="3"/>
      <c r="I35" s="3"/>
      <c r="J35" s="3"/>
      <c r="K35" s="3"/>
      <c r="L35" s="3"/>
    </row>
    <row r="36" spans="2:12" x14ac:dyDescent="0.3">
      <c r="B36" s="204"/>
      <c r="C36" s="193"/>
      <c r="D36" s="193"/>
      <c r="E36" s="193"/>
      <c r="F36" s="193"/>
      <c r="G36" s="193"/>
      <c r="H36" s="3"/>
      <c r="I36" s="3"/>
      <c r="J36" s="3"/>
      <c r="K36" s="3"/>
      <c r="L36" s="3"/>
    </row>
    <row r="37" spans="2:12" x14ac:dyDescent="0.3">
      <c r="B37" s="204"/>
      <c r="C37" s="193"/>
      <c r="D37" s="193"/>
      <c r="E37" s="193"/>
      <c r="F37" s="193"/>
      <c r="G37" s="193"/>
      <c r="H37" s="3"/>
      <c r="I37" s="3"/>
      <c r="J37" s="3"/>
      <c r="K37" s="3"/>
      <c r="L37" s="3"/>
    </row>
    <row r="38" spans="2:12" x14ac:dyDescent="0.3">
      <c r="B38" s="3"/>
      <c r="C38" s="193"/>
      <c r="D38" s="193"/>
      <c r="E38" s="193"/>
      <c r="F38" s="193"/>
      <c r="G38" s="193"/>
      <c r="H38" s="3"/>
      <c r="I38" s="3"/>
      <c r="J38" s="3"/>
      <c r="K38" s="3"/>
      <c r="L38" s="3"/>
    </row>
    <row r="39" spans="2:12" x14ac:dyDescent="0.3">
      <c r="B39" s="3"/>
      <c r="C39" s="193"/>
      <c r="D39" s="193"/>
      <c r="E39" s="193"/>
      <c r="F39" s="193"/>
      <c r="G39" s="193"/>
      <c r="H39" s="3"/>
      <c r="I39" s="3"/>
      <c r="J39" s="3"/>
      <c r="K39" s="3"/>
      <c r="L39" s="3"/>
    </row>
    <row r="40" spans="2:12" x14ac:dyDescent="0.3">
      <c r="B40" s="3"/>
      <c r="C40" s="193"/>
      <c r="D40" s="193"/>
      <c r="E40" s="193"/>
      <c r="F40" s="193"/>
      <c r="G40" s="193"/>
      <c r="H40" s="3"/>
      <c r="I40" s="3"/>
      <c r="J40" s="3"/>
      <c r="K40" s="3"/>
      <c r="L40" s="3"/>
    </row>
    <row r="41" spans="2:12" x14ac:dyDescent="0.3">
      <c r="B41" s="3"/>
      <c r="C41" s="193"/>
      <c r="D41" s="193"/>
      <c r="E41" s="193"/>
      <c r="F41" s="193"/>
      <c r="G41" s="193"/>
      <c r="H41" s="3"/>
      <c r="I41" s="3"/>
      <c r="J41" s="3"/>
      <c r="K41" s="3"/>
      <c r="L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4206-97AA-4206-9F39-11F858FE8EAD}">
  <dimension ref="B2:BZ45"/>
  <sheetViews>
    <sheetView workbookViewId="0"/>
  </sheetViews>
  <sheetFormatPr defaultRowHeight="14.4" x14ac:dyDescent="0.3"/>
  <cols>
    <col min="2" max="2" width="20.5546875" customWidth="1"/>
    <col min="5" max="5" width="28" customWidth="1"/>
    <col min="6" max="78" width="12.44140625" customWidth="1"/>
  </cols>
  <sheetData>
    <row r="2" spans="2:78" ht="18" x14ac:dyDescent="0.35">
      <c r="B2" s="205" t="s">
        <v>382</v>
      </c>
      <c r="C2" s="206">
        <v>2.9415E-2</v>
      </c>
      <c r="D2" s="207"/>
      <c r="E2" s="326" t="s">
        <v>480</v>
      </c>
      <c r="F2" s="208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69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209">
        <v>0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</row>
    <row r="3" spans="2:78" x14ac:dyDescent="0.3">
      <c r="B3" s="210" t="s">
        <v>398</v>
      </c>
      <c r="C3" s="211">
        <v>0</v>
      </c>
      <c r="D3" s="212"/>
      <c r="E3" s="327" t="s">
        <v>375</v>
      </c>
      <c r="F3" s="3"/>
      <c r="G3" s="57">
        <v>1</v>
      </c>
      <c r="H3" s="57">
        <v>1</v>
      </c>
      <c r="I3" s="57">
        <v>1</v>
      </c>
      <c r="J3" s="57">
        <v>1</v>
      </c>
      <c r="K3" s="57">
        <v>1</v>
      </c>
      <c r="L3" s="57">
        <v>1</v>
      </c>
      <c r="M3" s="57">
        <v>1</v>
      </c>
      <c r="N3" s="57">
        <v>1</v>
      </c>
      <c r="O3" s="57">
        <v>1</v>
      </c>
      <c r="P3" s="57">
        <v>1</v>
      </c>
      <c r="Q3" s="57">
        <v>1</v>
      </c>
      <c r="R3" s="57">
        <v>1</v>
      </c>
      <c r="S3" s="60">
        <f t="shared" ref="S3:AX3" si="0">G3+1</f>
        <v>2</v>
      </c>
      <c r="T3" s="60">
        <f t="shared" si="0"/>
        <v>2</v>
      </c>
      <c r="U3" s="60">
        <f t="shared" si="0"/>
        <v>2</v>
      </c>
      <c r="V3" s="60">
        <f t="shared" si="0"/>
        <v>2</v>
      </c>
      <c r="W3" s="60">
        <f t="shared" si="0"/>
        <v>2</v>
      </c>
      <c r="X3" s="60">
        <f t="shared" si="0"/>
        <v>2</v>
      </c>
      <c r="Y3" s="60">
        <f t="shared" si="0"/>
        <v>2</v>
      </c>
      <c r="Z3" s="60">
        <f t="shared" si="0"/>
        <v>2</v>
      </c>
      <c r="AA3" s="60">
        <f t="shared" si="0"/>
        <v>2</v>
      </c>
      <c r="AB3" s="60">
        <f t="shared" si="0"/>
        <v>2</v>
      </c>
      <c r="AC3" s="60">
        <f t="shared" si="0"/>
        <v>2</v>
      </c>
      <c r="AD3" s="60">
        <f t="shared" si="0"/>
        <v>2</v>
      </c>
      <c r="AE3" s="60">
        <f t="shared" si="0"/>
        <v>3</v>
      </c>
      <c r="AF3" s="60">
        <f t="shared" si="0"/>
        <v>3</v>
      </c>
      <c r="AG3" s="60">
        <f t="shared" si="0"/>
        <v>3</v>
      </c>
      <c r="AH3" s="60">
        <f t="shared" si="0"/>
        <v>3</v>
      </c>
      <c r="AI3" s="60">
        <f t="shared" si="0"/>
        <v>3</v>
      </c>
      <c r="AJ3" s="60">
        <f t="shared" si="0"/>
        <v>3</v>
      </c>
      <c r="AK3" s="60">
        <f t="shared" si="0"/>
        <v>3</v>
      </c>
      <c r="AL3" s="60">
        <f t="shared" si="0"/>
        <v>3</v>
      </c>
      <c r="AM3" s="60">
        <f t="shared" si="0"/>
        <v>3</v>
      </c>
      <c r="AN3" s="60">
        <f t="shared" si="0"/>
        <v>3</v>
      </c>
      <c r="AO3" s="60">
        <f t="shared" si="0"/>
        <v>3</v>
      </c>
      <c r="AP3" s="60">
        <f t="shared" si="0"/>
        <v>3</v>
      </c>
      <c r="AQ3" s="60">
        <f t="shared" si="0"/>
        <v>4</v>
      </c>
      <c r="AR3" s="60">
        <f t="shared" si="0"/>
        <v>4</v>
      </c>
      <c r="AS3" s="60">
        <f t="shared" si="0"/>
        <v>4</v>
      </c>
      <c r="AT3" s="60">
        <f t="shared" si="0"/>
        <v>4</v>
      </c>
      <c r="AU3" s="60">
        <f t="shared" si="0"/>
        <v>4</v>
      </c>
      <c r="AV3" s="60">
        <f t="shared" si="0"/>
        <v>4</v>
      </c>
      <c r="AW3" s="60">
        <f t="shared" si="0"/>
        <v>4</v>
      </c>
      <c r="AX3" s="60">
        <f t="shared" si="0"/>
        <v>4</v>
      </c>
      <c r="AY3" s="60">
        <f t="shared" ref="AY3:BZ3" si="1">AM3+1</f>
        <v>4</v>
      </c>
      <c r="AZ3" s="60">
        <f t="shared" si="1"/>
        <v>4</v>
      </c>
      <c r="BA3" s="60">
        <f t="shared" si="1"/>
        <v>4</v>
      </c>
      <c r="BB3" s="60">
        <f t="shared" si="1"/>
        <v>4</v>
      </c>
      <c r="BC3" s="60">
        <f t="shared" si="1"/>
        <v>5</v>
      </c>
      <c r="BD3" s="60">
        <f t="shared" si="1"/>
        <v>5</v>
      </c>
      <c r="BE3" s="60">
        <f t="shared" si="1"/>
        <v>5</v>
      </c>
      <c r="BF3" s="60">
        <f t="shared" si="1"/>
        <v>5</v>
      </c>
      <c r="BG3" s="60">
        <f t="shared" si="1"/>
        <v>5</v>
      </c>
      <c r="BH3" s="60">
        <f t="shared" si="1"/>
        <v>5</v>
      </c>
      <c r="BI3" s="60">
        <f t="shared" si="1"/>
        <v>5</v>
      </c>
      <c r="BJ3" s="60">
        <f t="shared" si="1"/>
        <v>5</v>
      </c>
      <c r="BK3" s="60">
        <f t="shared" si="1"/>
        <v>5</v>
      </c>
      <c r="BL3" s="60">
        <f t="shared" si="1"/>
        <v>5</v>
      </c>
      <c r="BM3" s="60">
        <f t="shared" si="1"/>
        <v>5</v>
      </c>
      <c r="BN3" s="60">
        <f t="shared" si="1"/>
        <v>5</v>
      </c>
      <c r="BO3" s="60">
        <f t="shared" si="1"/>
        <v>6</v>
      </c>
      <c r="BP3" s="60">
        <f t="shared" si="1"/>
        <v>6</v>
      </c>
      <c r="BQ3" s="60">
        <f t="shared" si="1"/>
        <v>6</v>
      </c>
      <c r="BR3" s="60">
        <f t="shared" si="1"/>
        <v>6</v>
      </c>
      <c r="BS3" s="60">
        <f t="shared" si="1"/>
        <v>6</v>
      </c>
      <c r="BT3" s="60">
        <f t="shared" si="1"/>
        <v>6</v>
      </c>
      <c r="BU3" s="60">
        <f t="shared" si="1"/>
        <v>6</v>
      </c>
      <c r="BV3" s="60">
        <f t="shared" si="1"/>
        <v>6</v>
      </c>
      <c r="BW3" s="60">
        <f t="shared" si="1"/>
        <v>6</v>
      </c>
      <c r="BX3" s="60">
        <f t="shared" si="1"/>
        <v>6</v>
      </c>
      <c r="BY3" s="60">
        <f t="shared" si="1"/>
        <v>6</v>
      </c>
      <c r="BZ3" s="59">
        <f t="shared" si="1"/>
        <v>6</v>
      </c>
    </row>
    <row r="4" spans="2:78" x14ac:dyDescent="0.3">
      <c r="B4" s="210" t="s">
        <v>383</v>
      </c>
      <c r="C4" s="211">
        <v>3.1295000000000003E-2</v>
      </c>
      <c r="D4" s="213"/>
      <c r="E4" s="328" t="s">
        <v>477</v>
      </c>
      <c r="F4" s="214">
        <v>0</v>
      </c>
      <c r="G4" s="215">
        <f t="shared" ref="G4:AL4" si="2">F4+1</f>
        <v>1</v>
      </c>
      <c r="H4" s="215">
        <f t="shared" si="2"/>
        <v>2</v>
      </c>
      <c r="I4" s="215">
        <f t="shared" si="2"/>
        <v>3</v>
      </c>
      <c r="J4" s="215">
        <f t="shared" si="2"/>
        <v>4</v>
      </c>
      <c r="K4" s="215">
        <f t="shared" si="2"/>
        <v>5</v>
      </c>
      <c r="L4" s="215">
        <f t="shared" si="2"/>
        <v>6</v>
      </c>
      <c r="M4" s="215">
        <f t="shared" si="2"/>
        <v>7</v>
      </c>
      <c r="N4" s="215">
        <f t="shared" si="2"/>
        <v>8</v>
      </c>
      <c r="O4" s="215">
        <f t="shared" si="2"/>
        <v>9</v>
      </c>
      <c r="P4" s="215">
        <f t="shared" si="2"/>
        <v>10</v>
      </c>
      <c r="Q4" s="215">
        <f t="shared" si="2"/>
        <v>11</v>
      </c>
      <c r="R4" s="215">
        <f t="shared" si="2"/>
        <v>12</v>
      </c>
      <c r="S4" s="215">
        <f t="shared" si="2"/>
        <v>13</v>
      </c>
      <c r="T4" s="215">
        <f t="shared" si="2"/>
        <v>14</v>
      </c>
      <c r="U4" s="215">
        <f t="shared" si="2"/>
        <v>15</v>
      </c>
      <c r="V4" s="215">
        <f t="shared" si="2"/>
        <v>16</v>
      </c>
      <c r="W4" s="215">
        <f t="shared" si="2"/>
        <v>17</v>
      </c>
      <c r="X4" s="215">
        <f t="shared" si="2"/>
        <v>18</v>
      </c>
      <c r="Y4" s="215">
        <f t="shared" si="2"/>
        <v>19</v>
      </c>
      <c r="Z4" s="215">
        <f t="shared" si="2"/>
        <v>20</v>
      </c>
      <c r="AA4" s="215">
        <f t="shared" si="2"/>
        <v>21</v>
      </c>
      <c r="AB4" s="215">
        <f t="shared" si="2"/>
        <v>22</v>
      </c>
      <c r="AC4" s="215">
        <f t="shared" si="2"/>
        <v>23</v>
      </c>
      <c r="AD4" s="215">
        <f t="shared" si="2"/>
        <v>24</v>
      </c>
      <c r="AE4" s="215">
        <f t="shared" si="2"/>
        <v>25</v>
      </c>
      <c r="AF4" s="215">
        <f t="shared" si="2"/>
        <v>26</v>
      </c>
      <c r="AG4" s="215">
        <f t="shared" si="2"/>
        <v>27</v>
      </c>
      <c r="AH4" s="215">
        <f t="shared" si="2"/>
        <v>28</v>
      </c>
      <c r="AI4" s="215">
        <f t="shared" si="2"/>
        <v>29</v>
      </c>
      <c r="AJ4" s="215">
        <f t="shared" si="2"/>
        <v>30</v>
      </c>
      <c r="AK4" s="215">
        <f t="shared" si="2"/>
        <v>31</v>
      </c>
      <c r="AL4" s="215">
        <f t="shared" si="2"/>
        <v>32</v>
      </c>
      <c r="AM4" s="215">
        <f t="shared" ref="AM4:BR4" si="3">AL4+1</f>
        <v>33</v>
      </c>
      <c r="AN4" s="215">
        <f t="shared" si="3"/>
        <v>34</v>
      </c>
      <c r="AO4" s="215">
        <f t="shared" si="3"/>
        <v>35</v>
      </c>
      <c r="AP4" s="215">
        <f t="shared" si="3"/>
        <v>36</v>
      </c>
      <c r="AQ4" s="215">
        <f t="shared" si="3"/>
        <v>37</v>
      </c>
      <c r="AR4" s="215">
        <f t="shared" si="3"/>
        <v>38</v>
      </c>
      <c r="AS4" s="215">
        <f t="shared" si="3"/>
        <v>39</v>
      </c>
      <c r="AT4" s="215">
        <f t="shared" si="3"/>
        <v>40</v>
      </c>
      <c r="AU4" s="215">
        <f t="shared" si="3"/>
        <v>41</v>
      </c>
      <c r="AV4" s="215">
        <f t="shared" si="3"/>
        <v>42</v>
      </c>
      <c r="AW4" s="215">
        <f t="shared" si="3"/>
        <v>43</v>
      </c>
      <c r="AX4" s="215">
        <f t="shared" si="3"/>
        <v>44</v>
      </c>
      <c r="AY4" s="215">
        <f t="shared" si="3"/>
        <v>45</v>
      </c>
      <c r="AZ4" s="215">
        <f t="shared" si="3"/>
        <v>46</v>
      </c>
      <c r="BA4" s="215">
        <f t="shared" si="3"/>
        <v>47</v>
      </c>
      <c r="BB4" s="215">
        <f t="shared" si="3"/>
        <v>48</v>
      </c>
      <c r="BC4" s="215">
        <f t="shared" si="3"/>
        <v>49</v>
      </c>
      <c r="BD4" s="215">
        <f t="shared" si="3"/>
        <v>50</v>
      </c>
      <c r="BE4" s="215">
        <f t="shared" si="3"/>
        <v>51</v>
      </c>
      <c r="BF4" s="215">
        <f t="shared" si="3"/>
        <v>52</v>
      </c>
      <c r="BG4" s="215">
        <f t="shared" si="3"/>
        <v>53</v>
      </c>
      <c r="BH4" s="215">
        <f t="shared" si="3"/>
        <v>54</v>
      </c>
      <c r="BI4" s="215">
        <f t="shared" si="3"/>
        <v>55</v>
      </c>
      <c r="BJ4" s="215">
        <f t="shared" si="3"/>
        <v>56</v>
      </c>
      <c r="BK4" s="215">
        <f t="shared" si="3"/>
        <v>57</v>
      </c>
      <c r="BL4" s="215">
        <f t="shared" si="3"/>
        <v>58</v>
      </c>
      <c r="BM4" s="215">
        <f t="shared" si="3"/>
        <v>59</v>
      </c>
      <c r="BN4" s="215">
        <f t="shared" si="3"/>
        <v>60</v>
      </c>
      <c r="BO4" s="215">
        <f t="shared" si="3"/>
        <v>61</v>
      </c>
      <c r="BP4" s="215">
        <f t="shared" si="3"/>
        <v>62</v>
      </c>
      <c r="BQ4" s="215">
        <f t="shared" si="3"/>
        <v>63</v>
      </c>
      <c r="BR4" s="215">
        <f t="shared" si="3"/>
        <v>64</v>
      </c>
      <c r="BS4" s="215">
        <f t="shared" ref="BS4:BZ4" si="4">BR4+1</f>
        <v>65</v>
      </c>
      <c r="BT4" s="215">
        <f t="shared" si="4"/>
        <v>66</v>
      </c>
      <c r="BU4" s="215">
        <f t="shared" si="4"/>
        <v>67</v>
      </c>
      <c r="BV4" s="215">
        <f t="shared" si="4"/>
        <v>68</v>
      </c>
      <c r="BW4" s="215">
        <f t="shared" si="4"/>
        <v>69</v>
      </c>
      <c r="BX4" s="215">
        <f t="shared" si="4"/>
        <v>70</v>
      </c>
      <c r="BY4" s="215">
        <f t="shared" si="4"/>
        <v>71</v>
      </c>
      <c r="BZ4" s="113">
        <f t="shared" si="4"/>
        <v>72</v>
      </c>
    </row>
    <row r="5" spans="2:78" x14ac:dyDescent="0.3">
      <c r="B5" s="210" t="s">
        <v>377</v>
      </c>
      <c r="C5" s="216">
        <v>0.05</v>
      </c>
      <c r="D5" s="217"/>
      <c r="E5" s="169" t="s">
        <v>476</v>
      </c>
      <c r="F5" s="218">
        <f>Assumptions!D17</f>
        <v>45778</v>
      </c>
      <c r="G5" s="219">
        <f t="shared" ref="G5:AL5" si="5">EOMONTH(F5,1)</f>
        <v>45838</v>
      </c>
      <c r="H5" s="219">
        <f t="shared" si="5"/>
        <v>45869</v>
      </c>
      <c r="I5" s="219">
        <f t="shared" si="5"/>
        <v>45900</v>
      </c>
      <c r="J5" s="219">
        <f t="shared" si="5"/>
        <v>45930</v>
      </c>
      <c r="K5" s="219">
        <f t="shared" si="5"/>
        <v>45961</v>
      </c>
      <c r="L5" s="219">
        <f t="shared" si="5"/>
        <v>45991</v>
      </c>
      <c r="M5" s="219">
        <f t="shared" si="5"/>
        <v>46022</v>
      </c>
      <c r="N5" s="219">
        <f t="shared" si="5"/>
        <v>46053</v>
      </c>
      <c r="O5" s="219">
        <f t="shared" si="5"/>
        <v>46081</v>
      </c>
      <c r="P5" s="219">
        <f t="shared" si="5"/>
        <v>46112</v>
      </c>
      <c r="Q5" s="219">
        <f t="shared" si="5"/>
        <v>46142</v>
      </c>
      <c r="R5" s="219">
        <f t="shared" si="5"/>
        <v>46173</v>
      </c>
      <c r="S5" s="219">
        <f t="shared" si="5"/>
        <v>46203</v>
      </c>
      <c r="T5" s="219">
        <f t="shared" si="5"/>
        <v>46234</v>
      </c>
      <c r="U5" s="219">
        <f t="shared" si="5"/>
        <v>46265</v>
      </c>
      <c r="V5" s="219">
        <f t="shared" si="5"/>
        <v>46295</v>
      </c>
      <c r="W5" s="219">
        <f t="shared" si="5"/>
        <v>46326</v>
      </c>
      <c r="X5" s="219">
        <f t="shared" si="5"/>
        <v>46356</v>
      </c>
      <c r="Y5" s="219">
        <f t="shared" si="5"/>
        <v>46387</v>
      </c>
      <c r="Z5" s="219">
        <f t="shared" si="5"/>
        <v>46418</v>
      </c>
      <c r="AA5" s="219">
        <f t="shared" si="5"/>
        <v>46446</v>
      </c>
      <c r="AB5" s="219">
        <f t="shared" si="5"/>
        <v>46477</v>
      </c>
      <c r="AC5" s="219">
        <f t="shared" si="5"/>
        <v>46507</v>
      </c>
      <c r="AD5" s="219">
        <f t="shared" si="5"/>
        <v>46538</v>
      </c>
      <c r="AE5" s="219">
        <f t="shared" si="5"/>
        <v>46568</v>
      </c>
      <c r="AF5" s="219">
        <f t="shared" si="5"/>
        <v>46599</v>
      </c>
      <c r="AG5" s="219">
        <f t="shared" si="5"/>
        <v>46630</v>
      </c>
      <c r="AH5" s="219">
        <f t="shared" si="5"/>
        <v>46660</v>
      </c>
      <c r="AI5" s="219">
        <f t="shared" si="5"/>
        <v>46691</v>
      </c>
      <c r="AJ5" s="219">
        <f t="shared" si="5"/>
        <v>46721</v>
      </c>
      <c r="AK5" s="219">
        <f t="shared" si="5"/>
        <v>46752</v>
      </c>
      <c r="AL5" s="219">
        <f t="shared" si="5"/>
        <v>46783</v>
      </c>
      <c r="AM5" s="219">
        <f t="shared" ref="AM5:BR5" si="6">EOMONTH(AL5,1)</f>
        <v>46812</v>
      </c>
      <c r="AN5" s="219">
        <f t="shared" si="6"/>
        <v>46843</v>
      </c>
      <c r="AO5" s="219">
        <f t="shared" si="6"/>
        <v>46873</v>
      </c>
      <c r="AP5" s="219">
        <f t="shared" si="6"/>
        <v>46904</v>
      </c>
      <c r="AQ5" s="219">
        <f t="shared" si="6"/>
        <v>46934</v>
      </c>
      <c r="AR5" s="219">
        <f t="shared" si="6"/>
        <v>46965</v>
      </c>
      <c r="AS5" s="219">
        <f t="shared" si="6"/>
        <v>46996</v>
      </c>
      <c r="AT5" s="219">
        <f t="shared" si="6"/>
        <v>47026</v>
      </c>
      <c r="AU5" s="219">
        <f t="shared" si="6"/>
        <v>47057</v>
      </c>
      <c r="AV5" s="219">
        <f t="shared" si="6"/>
        <v>47087</v>
      </c>
      <c r="AW5" s="219">
        <f t="shared" si="6"/>
        <v>47118</v>
      </c>
      <c r="AX5" s="219">
        <f t="shared" si="6"/>
        <v>47149</v>
      </c>
      <c r="AY5" s="219">
        <f t="shared" si="6"/>
        <v>47177</v>
      </c>
      <c r="AZ5" s="219">
        <f t="shared" si="6"/>
        <v>47208</v>
      </c>
      <c r="BA5" s="219">
        <f t="shared" si="6"/>
        <v>47238</v>
      </c>
      <c r="BB5" s="219">
        <f t="shared" si="6"/>
        <v>47269</v>
      </c>
      <c r="BC5" s="219">
        <f t="shared" si="6"/>
        <v>47299</v>
      </c>
      <c r="BD5" s="219">
        <f t="shared" si="6"/>
        <v>47330</v>
      </c>
      <c r="BE5" s="219">
        <f t="shared" si="6"/>
        <v>47361</v>
      </c>
      <c r="BF5" s="219">
        <f t="shared" si="6"/>
        <v>47391</v>
      </c>
      <c r="BG5" s="219">
        <f t="shared" si="6"/>
        <v>47422</v>
      </c>
      <c r="BH5" s="219">
        <f t="shared" si="6"/>
        <v>47452</v>
      </c>
      <c r="BI5" s="219">
        <f t="shared" si="6"/>
        <v>47483</v>
      </c>
      <c r="BJ5" s="219">
        <f t="shared" si="6"/>
        <v>47514</v>
      </c>
      <c r="BK5" s="219">
        <f t="shared" si="6"/>
        <v>47542</v>
      </c>
      <c r="BL5" s="219">
        <f t="shared" si="6"/>
        <v>47573</v>
      </c>
      <c r="BM5" s="219">
        <f t="shared" si="6"/>
        <v>47603</v>
      </c>
      <c r="BN5" s="219">
        <f t="shared" si="6"/>
        <v>47634</v>
      </c>
      <c r="BO5" s="219">
        <f t="shared" si="6"/>
        <v>47664</v>
      </c>
      <c r="BP5" s="219">
        <f t="shared" si="6"/>
        <v>47695</v>
      </c>
      <c r="BQ5" s="219">
        <f t="shared" si="6"/>
        <v>47726</v>
      </c>
      <c r="BR5" s="219">
        <f t="shared" si="6"/>
        <v>47756</v>
      </c>
      <c r="BS5" s="219">
        <f t="shared" ref="BS5:BZ5" si="7">EOMONTH(BR5,1)</f>
        <v>47787</v>
      </c>
      <c r="BT5" s="219">
        <f t="shared" si="7"/>
        <v>47817</v>
      </c>
      <c r="BU5" s="219">
        <f t="shared" si="7"/>
        <v>47848</v>
      </c>
      <c r="BV5" s="219">
        <f t="shared" si="7"/>
        <v>47879</v>
      </c>
      <c r="BW5" s="219">
        <f t="shared" si="7"/>
        <v>47907</v>
      </c>
      <c r="BX5" s="219">
        <f t="shared" si="7"/>
        <v>47938</v>
      </c>
      <c r="BY5" s="219">
        <f t="shared" si="7"/>
        <v>47968</v>
      </c>
      <c r="BZ5" s="220">
        <f t="shared" si="7"/>
        <v>47999</v>
      </c>
    </row>
    <row r="6" spans="2:78" x14ac:dyDescent="0.3">
      <c r="B6" s="210" t="s">
        <v>384</v>
      </c>
      <c r="C6" s="211">
        <v>0.06</v>
      </c>
      <c r="D6" s="212"/>
      <c r="E6" s="104" t="s">
        <v>479</v>
      </c>
      <c r="F6" s="221"/>
      <c r="G6" s="276">
        <f>Assumptions!E36*Assumptions!C36</f>
        <v>484550.00000000006</v>
      </c>
      <c r="H6" s="277">
        <f t="shared" ref="H6:AM6" si="8">G6*(1+$C$2)^(1/12)</f>
        <v>485722.03467177169</v>
      </c>
      <c r="I6" s="277">
        <f t="shared" si="8"/>
        <v>486896.90427342016</v>
      </c>
      <c r="J6" s="277">
        <f t="shared" si="8"/>
        <v>488074.61566210393</v>
      </c>
      <c r="K6" s="277">
        <f t="shared" si="8"/>
        <v>489255.17571156757</v>
      </c>
      <c r="L6" s="277">
        <f t="shared" si="8"/>
        <v>490438.5913121819</v>
      </c>
      <c r="M6" s="277">
        <f t="shared" si="8"/>
        <v>491624.86937098432</v>
      </c>
      <c r="N6" s="277">
        <f t="shared" si="8"/>
        <v>492814.01681171899</v>
      </c>
      <c r="O6" s="277">
        <f t="shared" si="8"/>
        <v>494006.04057487735</v>
      </c>
      <c r="P6" s="277">
        <f t="shared" si="8"/>
        <v>495200.94761773851</v>
      </c>
      <c r="Q6" s="277">
        <f t="shared" si="8"/>
        <v>496398.74491441</v>
      </c>
      <c r="R6" s="278">
        <f t="shared" si="8"/>
        <v>497599.43945586827</v>
      </c>
      <c r="S6" s="278">
        <f t="shared" si="8"/>
        <v>498803.03824999975</v>
      </c>
      <c r="T6" s="278">
        <f t="shared" si="8"/>
        <v>500009.54832164157</v>
      </c>
      <c r="U6" s="278">
        <f t="shared" si="8"/>
        <v>501218.97671262256</v>
      </c>
      <c r="V6" s="278">
        <f t="shared" si="8"/>
        <v>502431.3304818045</v>
      </c>
      <c r="W6" s="278">
        <f t="shared" si="8"/>
        <v>503646.6167051231</v>
      </c>
      <c r="X6" s="278">
        <f t="shared" si="8"/>
        <v>504864.84247562953</v>
      </c>
      <c r="Y6" s="278">
        <f t="shared" si="8"/>
        <v>506086.01490353164</v>
      </c>
      <c r="Z6" s="278">
        <f t="shared" si="8"/>
        <v>507310.14111623552</v>
      </c>
      <c r="AA6" s="278">
        <f t="shared" si="8"/>
        <v>508537.22825838719</v>
      </c>
      <c r="AB6" s="278">
        <f t="shared" si="8"/>
        <v>509767.2834919141</v>
      </c>
      <c r="AC6" s="278">
        <f t="shared" si="8"/>
        <v>511000.31399606715</v>
      </c>
      <c r="AD6" s="278">
        <f t="shared" si="8"/>
        <v>512236.32696746243</v>
      </c>
      <c r="AE6" s="278">
        <f t="shared" si="8"/>
        <v>513475.32962012332</v>
      </c>
      <c r="AF6" s="278">
        <f t="shared" si="8"/>
        <v>514717.32918552245</v>
      </c>
      <c r="AG6" s="278">
        <f t="shared" si="8"/>
        <v>515962.33291262417</v>
      </c>
      <c r="AH6" s="278">
        <f t="shared" si="8"/>
        <v>517210.34806792659</v>
      </c>
      <c r="AI6" s="278">
        <f t="shared" si="8"/>
        <v>518461.38193550409</v>
      </c>
      <c r="AJ6" s="278">
        <f t="shared" si="8"/>
        <v>519715.44181704993</v>
      </c>
      <c r="AK6" s="278">
        <f t="shared" si="8"/>
        <v>520972.53503191879</v>
      </c>
      <c r="AL6" s="278">
        <f t="shared" si="8"/>
        <v>522232.66891716939</v>
      </c>
      <c r="AM6" s="278">
        <f t="shared" si="8"/>
        <v>523495.85082760744</v>
      </c>
      <c r="AN6" s="278">
        <f t="shared" ref="AN6:BS6" si="9">AM6*(1+$C$2)^(1/12)</f>
        <v>524762.08813582861</v>
      </c>
      <c r="AO6" s="278">
        <f t="shared" si="9"/>
        <v>526031.38823226129</v>
      </c>
      <c r="AP6" s="278">
        <f t="shared" si="9"/>
        <v>527303.7585252102</v>
      </c>
      <c r="AQ6" s="278">
        <f t="shared" si="9"/>
        <v>528579.20644089906</v>
      </c>
      <c r="AR6" s="278">
        <f t="shared" si="9"/>
        <v>529857.73942351446</v>
      </c>
      <c r="AS6" s="278">
        <f t="shared" si="9"/>
        <v>531139.36493524886</v>
      </c>
      <c r="AT6" s="278">
        <f t="shared" si="9"/>
        <v>532424.09045634442</v>
      </c>
      <c r="AU6" s="278">
        <f t="shared" si="9"/>
        <v>533711.92348513671</v>
      </c>
      <c r="AV6" s="278">
        <f t="shared" si="9"/>
        <v>535002.8715380982</v>
      </c>
      <c r="AW6" s="278">
        <f t="shared" si="9"/>
        <v>536296.94214988244</v>
      </c>
      <c r="AX6" s="278">
        <f t="shared" si="9"/>
        <v>537594.14287336764</v>
      </c>
      <c r="AY6" s="278">
        <f t="shared" si="9"/>
        <v>538894.48127970123</v>
      </c>
      <c r="AZ6" s="278">
        <f t="shared" si="9"/>
        <v>540197.96495834365</v>
      </c>
      <c r="BA6" s="278">
        <f t="shared" si="9"/>
        <v>541504.60151711293</v>
      </c>
      <c r="BB6" s="278">
        <f t="shared" si="9"/>
        <v>542814.39858222893</v>
      </c>
      <c r="BC6" s="278">
        <f t="shared" si="9"/>
        <v>544127.36379835778</v>
      </c>
      <c r="BD6" s="278">
        <f t="shared" si="9"/>
        <v>545443.50482865679</v>
      </c>
      <c r="BE6" s="278">
        <f t="shared" si="9"/>
        <v>546762.82935481879</v>
      </c>
      <c r="BF6" s="278">
        <f t="shared" si="9"/>
        <v>548085.34507711744</v>
      </c>
      <c r="BG6" s="278">
        <f t="shared" si="9"/>
        <v>549411.05971445167</v>
      </c>
      <c r="BH6" s="278">
        <f t="shared" si="9"/>
        <v>550739.9810043911</v>
      </c>
      <c r="BI6" s="278">
        <f t="shared" si="9"/>
        <v>552072.11670322099</v>
      </c>
      <c r="BJ6" s="278">
        <f t="shared" si="9"/>
        <v>553407.47458598751</v>
      </c>
      <c r="BK6" s="278">
        <f t="shared" si="9"/>
        <v>554746.06244654336</v>
      </c>
      <c r="BL6" s="278">
        <f t="shared" si="9"/>
        <v>556087.8880975931</v>
      </c>
      <c r="BM6" s="278">
        <f t="shared" si="9"/>
        <v>557432.95937073859</v>
      </c>
      <c r="BN6" s="278">
        <f t="shared" si="9"/>
        <v>558781.28411652497</v>
      </c>
      <c r="BO6" s="278">
        <f t="shared" si="9"/>
        <v>560132.8702044863</v>
      </c>
      <c r="BP6" s="278">
        <f t="shared" si="9"/>
        <v>561487.7255231915</v>
      </c>
      <c r="BQ6" s="278">
        <f t="shared" si="9"/>
        <v>562845.85798029066</v>
      </c>
      <c r="BR6" s="278">
        <f t="shared" si="9"/>
        <v>564207.27550256066</v>
      </c>
      <c r="BS6" s="278">
        <f t="shared" si="9"/>
        <v>565571.98603595211</v>
      </c>
      <c r="BT6" s="278">
        <f t="shared" ref="BT6:BZ6" si="10">BS6*(1+$C$2)^(1/12)</f>
        <v>566939.99754563509</v>
      </c>
      <c r="BU6" s="278">
        <f t="shared" si="10"/>
        <v>568311.31801604596</v>
      </c>
      <c r="BV6" s="278">
        <f t="shared" si="10"/>
        <v>569685.95545093413</v>
      </c>
      <c r="BW6" s="278">
        <f t="shared" si="10"/>
        <v>571063.9178734083</v>
      </c>
      <c r="BX6" s="278">
        <f t="shared" si="10"/>
        <v>572445.21332598361</v>
      </c>
      <c r="BY6" s="278">
        <f t="shared" si="10"/>
        <v>573829.84987062868</v>
      </c>
      <c r="BZ6" s="279">
        <f t="shared" si="10"/>
        <v>575217.83558881236</v>
      </c>
    </row>
    <row r="7" spans="2:78" x14ac:dyDescent="0.3">
      <c r="B7" s="210" t="s">
        <v>753</v>
      </c>
      <c r="C7" s="211">
        <v>1.4999999999999999E-2</v>
      </c>
      <c r="D7" s="3"/>
      <c r="E7" s="109" t="s">
        <v>377</v>
      </c>
      <c r="F7" s="222"/>
      <c r="G7" s="278">
        <f t="shared" ref="G7:AL7" si="11">G6*-$C$5</f>
        <v>-24227.500000000004</v>
      </c>
      <c r="H7" s="278">
        <f t="shared" si="11"/>
        <v>-24286.101733588584</v>
      </c>
      <c r="I7" s="278">
        <f t="shared" si="11"/>
        <v>-24344.845213671011</v>
      </c>
      <c r="J7" s="278">
        <f t="shared" si="11"/>
        <v>-24403.730783105198</v>
      </c>
      <c r="K7" s="278">
        <f t="shared" si="11"/>
        <v>-24462.758785578379</v>
      </c>
      <c r="L7" s="278">
        <f t="shared" si="11"/>
        <v>-24521.929565609098</v>
      </c>
      <c r="M7" s="278">
        <f t="shared" si="11"/>
        <v>-24581.243468549219</v>
      </c>
      <c r="N7" s="278">
        <f t="shared" si="11"/>
        <v>-24640.700840585952</v>
      </c>
      <c r="O7" s="278">
        <f t="shared" si="11"/>
        <v>-24700.30202874387</v>
      </c>
      <c r="P7" s="278">
        <f t="shared" si="11"/>
        <v>-24760.047380886928</v>
      </c>
      <c r="Q7" s="278">
        <f t="shared" si="11"/>
        <v>-24819.937245720503</v>
      </c>
      <c r="R7" s="278">
        <f t="shared" si="11"/>
        <v>-24879.971972793413</v>
      </c>
      <c r="S7" s="278">
        <f t="shared" si="11"/>
        <v>-24940.15191249999</v>
      </c>
      <c r="T7" s="278">
        <f t="shared" si="11"/>
        <v>-25000.477416082082</v>
      </c>
      <c r="U7" s="278">
        <f t="shared" si="11"/>
        <v>-25060.94883563113</v>
      </c>
      <c r="V7" s="278">
        <f t="shared" si="11"/>
        <v>-25121.566524090227</v>
      </c>
      <c r="W7" s="278">
        <f t="shared" si="11"/>
        <v>-25182.330835256158</v>
      </c>
      <c r="X7" s="278">
        <f t="shared" si="11"/>
        <v>-25243.242123781478</v>
      </c>
      <c r="Y7" s="278">
        <f t="shared" si="11"/>
        <v>-25304.300745176584</v>
      </c>
      <c r="Z7" s="278">
        <f t="shared" si="11"/>
        <v>-25365.507055811777</v>
      </c>
      <c r="AA7" s="278">
        <f t="shared" si="11"/>
        <v>-25426.861412919359</v>
      </c>
      <c r="AB7" s="278">
        <f t="shared" si="11"/>
        <v>-25488.364174595707</v>
      </c>
      <c r="AC7" s="278">
        <f t="shared" si="11"/>
        <v>-25550.01569980336</v>
      </c>
      <c r="AD7" s="278">
        <f t="shared" si="11"/>
        <v>-25611.816348373122</v>
      </c>
      <c r="AE7" s="278">
        <f t="shared" si="11"/>
        <v>-25673.766481006169</v>
      </c>
      <c r="AF7" s="278">
        <f t="shared" si="11"/>
        <v>-25735.866459276123</v>
      </c>
      <c r="AG7" s="278">
        <f t="shared" si="11"/>
        <v>-25798.116645631209</v>
      </c>
      <c r="AH7" s="278">
        <f t="shared" si="11"/>
        <v>-25860.51740339633</v>
      </c>
      <c r="AI7" s="278">
        <f t="shared" si="11"/>
        <v>-25923.069096775205</v>
      </c>
      <c r="AJ7" s="278">
        <f t="shared" si="11"/>
        <v>-25985.772090852497</v>
      </c>
      <c r="AK7" s="278">
        <f t="shared" si="11"/>
        <v>-26048.626751595941</v>
      </c>
      <c r="AL7" s="278">
        <f t="shared" si="11"/>
        <v>-26111.633445858472</v>
      </c>
      <c r="AM7" s="278">
        <f t="shared" ref="AM7:BR7" si="12">AM6*-$C$5</f>
        <v>-26174.792541380375</v>
      </c>
      <c r="AN7" s="278">
        <f t="shared" si="12"/>
        <v>-26238.104406791434</v>
      </c>
      <c r="AO7" s="278">
        <f t="shared" si="12"/>
        <v>-26301.569411613065</v>
      </c>
      <c r="AP7" s="278">
        <f t="shared" si="12"/>
        <v>-26365.187926260511</v>
      </c>
      <c r="AQ7" s="278">
        <f t="shared" si="12"/>
        <v>-26428.960322044954</v>
      </c>
      <c r="AR7" s="278">
        <f t="shared" si="12"/>
        <v>-26492.886971175725</v>
      </c>
      <c r="AS7" s="278">
        <f t="shared" si="12"/>
        <v>-26556.968246762444</v>
      </c>
      <c r="AT7" s="278">
        <f t="shared" si="12"/>
        <v>-26621.204522817221</v>
      </c>
      <c r="AU7" s="278">
        <f t="shared" si="12"/>
        <v>-26685.596174256836</v>
      </c>
      <c r="AV7" s="278">
        <f t="shared" si="12"/>
        <v>-26750.143576904913</v>
      </c>
      <c r="AW7" s="278">
        <f t="shared" si="12"/>
        <v>-26814.847107494123</v>
      </c>
      <c r="AX7" s="278">
        <f t="shared" si="12"/>
        <v>-26879.707143668384</v>
      </c>
      <c r="AY7" s="278">
        <f t="shared" si="12"/>
        <v>-26944.724063985064</v>
      </c>
      <c r="AZ7" s="278">
        <f t="shared" si="12"/>
        <v>-27009.898247917183</v>
      </c>
      <c r="BA7" s="278">
        <f t="shared" si="12"/>
        <v>-27075.230075855648</v>
      </c>
      <c r="BB7" s="278">
        <f t="shared" si="12"/>
        <v>-27140.719929111448</v>
      </c>
      <c r="BC7" s="278">
        <f t="shared" si="12"/>
        <v>-27206.368189917892</v>
      </c>
      <c r="BD7" s="278">
        <f t="shared" si="12"/>
        <v>-27272.17524143284</v>
      </c>
      <c r="BE7" s="278">
        <f t="shared" si="12"/>
        <v>-27338.141467740941</v>
      </c>
      <c r="BF7" s="278">
        <f t="shared" si="12"/>
        <v>-27404.267253855873</v>
      </c>
      <c r="BG7" s="278">
        <f t="shared" si="12"/>
        <v>-27470.552985722585</v>
      </c>
      <c r="BH7" s="278">
        <f t="shared" si="12"/>
        <v>-27536.999050219558</v>
      </c>
      <c r="BI7" s="278">
        <f t="shared" si="12"/>
        <v>-27603.605835161052</v>
      </c>
      <c r="BJ7" s="278">
        <f t="shared" si="12"/>
        <v>-27670.373729299376</v>
      </c>
      <c r="BK7" s="278">
        <f t="shared" si="12"/>
        <v>-27737.303122327168</v>
      </c>
      <c r="BL7" s="278">
        <f t="shared" si="12"/>
        <v>-27804.394404879655</v>
      </c>
      <c r="BM7" s="278">
        <f t="shared" si="12"/>
        <v>-27871.64796853693</v>
      </c>
      <c r="BN7" s="278">
        <f t="shared" si="12"/>
        <v>-27939.064205826249</v>
      </c>
      <c r="BO7" s="278">
        <f t="shared" si="12"/>
        <v>-28006.643510224316</v>
      </c>
      <c r="BP7" s="278">
        <f t="shared" si="12"/>
        <v>-28074.386276159577</v>
      </c>
      <c r="BQ7" s="278">
        <f t="shared" si="12"/>
        <v>-28142.292899014534</v>
      </c>
      <c r="BR7" s="278">
        <f t="shared" si="12"/>
        <v>-28210.363775128033</v>
      </c>
      <c r="BS7" s="278">
        <f t="shared" ref="BS7:BZ7" si="13">BS6*-$C$5</f>
        <v>-28278.599301797607</v>
      </c>
      <c r="BT7" s="278">
        <f t="shared" si="13"/>
        <v>-28346.999877281756</v>
      </c>
      <c r="BU7" s="278">
        <f t="shared" si="13"/>
        <v>-28415.565900802299</v>
      </c>
      <c r="BV7" s="278">
        <f t="shared" si="13"/>
        <v>-28484.297772546706</v>
      </c>
      <c r="BW7" s="278">
        <f t="shared" si="13"/>
        <v>-28553.195893670418</v>
      </c>
      <c r="BX7" s="278">
        <f t="shared" si="13"/>
        <v>-28622.260666299182</v>
      </c>
      <c r="BY7" s="278">
        <f t="shared" si="13"/>
        <v>-28691.492493531434</v>
      </c>
      <c r="BZ7" s="279">
        <f t="shared" si="13"/>
        <v>-28760.891779440619</v>
      </c>
    </row>
    <row r="8" spans="2:78" x14ac:dyDescent="0.3">
      <c r="B8" s="71"/>
      <c r="C8" s="71"/>
      <c r="D8" s="3"/>
      <c r="E8" s="109" t="s">
        <v>384</v>
      </c>
      <c r="F8" s="222"/>
      <c r="G8" s="278">
        <f t="shared" ref="G8:AL8" si="14">G6*-$C$6</f>
        <v>-29073.000000000004</v>
      </c>
      <c r="H8" s="278">
        <f t="shared" si="14"/>
        <v>-29143.322080306301</v>
      </c>
      <c r="I8" s="278">
        <f t="shared" si="14"/>
        <v>-29213.81425640521</v>
      </c>
      <c r="J8" s="278">
        <f t="shared" si="14"/>
        <v>-29284.476939726235</v>
      </c>
      <c r="K8" s="278">
        <f t="shared" si="14"/>
        <v>-29355.310542694053</v>
      </c>
      <c r="L8" s="278">
        <f t="shared" si="14"/>
        <v>-29426.315478730914</v>
      </c>
      <c r="M8" s="278">
        <f t="shared" si="14"/>
        <v>-29497.492162259059</v>
      </c>
      <c r="N8" s="278">
        <f t="shared" si="14"/>
        <v>-29568.841008703137</v>
      </c>
      <c r="O8" s="278">
        <f t="shared" si="14"/>
        <v>-29640.362434492639</v>
      </c>
      <c r="P8" s="278">
        <f t="shared" si="14"/>
        <v>-29712.056857064308</v>
      </c>
      <c r="Q8" s="278">
        <f t="shared" si="14"/>
        <v>-29783.9246948646</v>
      </c>
      <c r="R8" s="278">
        <f t="shared" si="14"/>
        <v>-29855.966367352095</v>
      </c>
      <c r="S8" s="278">
        <f t="shared" si="14"/>
        <v>-29928.182294999984</v>
      </c>
      <c r="T8" s="278">
        <f t="shared" si="14"/>
        <v>-30000.572899298495</v>
      </c>
      <c r="U8" s="278">
        <f t="shared" si="14"/>
        <v>-30073.138602757354</v>
      </c>
      <c r="V8" s="278">
        <f t="shared" si="14"/>
        <v>-30145.87982890827</v>
      </c>
      <c r="W8" s="278">
        <f t="shared" si="14"/>
        <v>-30218.797002307387</v>
      </c>
      <c r="X8" s="278">
        <f t="shared" si="14"/>
        <v>-30291.890548537769</v>
      </c>
      <c r="Y8" s="278">
        <f t="shared" si="14"/>
        <v>-30365.160894211898</v>
      </c>
      <c r="Z8" s="278">
        <f t="shared" si="14"/>
        <v>-30438.608466974129</v>
      </c>
      <c r="AA8" s="278">
        <f t="shared" si="14"/>
        <v>-30512.23369550323</v>
      </c>
      <c r="AB8" s="278">
        <f t="shared" si="14"/>
        <v>-30586.037009514846</v>
      </c>
      <c r="AC8" s="278">
        <f t="shared" si="14"/>
        <v>-30660.018839764027</v>
      </c>
      <c r="AD8" s="278">
        <f t="shared" si="14"/>
        <v>-30734.179618047743</v>
      </c>
      <c r="AE8" s="278">
        <f t="shared" si="14"/>
        <v>-30808.519777207399</v>
      </c>
      <c r="AF8" s="278">
        <f t="shared" si="14"/>
        <v>-30883.039751131346</v>
      </c>
      <c r="AG8" s="278">
        <f t="shared" si="14"/>
        <v>-30957.739974757449</v>
      </c>
      <c r="AH8" s="278">
        <f t="shared" si="14"/>
        <v>-31032.620884075593</v>
      </c>
      <c r="AI8" s="278">
        <f t="shared" si="14"/>
        <v>-31107.682916130245</v>
      </c>
      <c r="AJ8" s="278">
        <f t="shared" si="14"/>
        <v>-31182.926509022993</v>
      </c>
      <c r="AK8" s="278">
        <f t="shared" si="14"/>
        <v>-31258.352101915127</v>
      </c>
      <c r="AL8" s="278">
        <f t="shared" si="14"/>
        <v>-31333.960135030164</v>
      </c>
      <c r="AM8" s="278">
        <f t="shared" ref="AM8:BR8" si="15">AM6*-$C$6</f>
        <v>-31409.751049656446</v>
      </c>
      <c r="AN8" s="278">
        <f t="shared" si="15"/>
        <v>-31485.725288149715</v>
      </c>
      <c r="AO8" s="278">
        <f t="shared" si="15"/>
        <v>-31561.883293935676</v>
      </c>
      <c r="AP8" s="278">
        <f t="shared" si="15"/>
        <v>-31638.22551151261</v>
      </c>
      <c r="AQ8" s="278">
        <f t="shared" si="15"/>
        <v>-31714.752386453943</v>
      </c>
      <c r="AR8" s="278">
        <f t="shared" si="15"/>
        <v>-31791.464365410866</v>
      </c>
      <c r="AS8" s="278">
        <f t="shared" si="15"/>
        <v>-31868.36189611493</v>
      </c>
      <c r="AT8" s="278">
        <f t="shared" si="15"/>
        <v>-31945.445427380662</v>
      </c>
      <c r="AU8" s="278">
        <f t="shared" si="15"/>
        <v>-32022.715409108201</v>
      </c>
      <c r="AV8" s="278">
        <f t="shared" si="15"/>
        <v>-32100.17229228589</v>
      </c>
      <c r="AW8" s="278">
        <f t="shared" si="15"/>
        <v>-32177.816528992946</v>
      </c>
      <c r="AX8" s="278">
        <f t="shared" si="15"/>
        <v>-32255.648572402057</v>
      </c>
      <c r="AY8" s="278">
        <f t="shared" si="15"/>
        <v>-32333.668876782074</v>
      </c>
      <c r="AZ8" s="278">
        <f t="shared" si="15"/>
        <v>-32411.877897500617</v>
      </c>
      <c r="BA8" s="278">
        <f t="shared" si="15"/>
        <v>-32490.276091026775</v>
      </c>
      <c r="BB8" s="278">
        <f t="shared" si="15"/>
        <v>-32568.863914933736</v>
      </c>
      <c r="BC8" s="278">
        <f t="shared" si="15"/>
        <v>-32647.641827901465</v>
      </c>
      <c r="BD8" s="278">
        <f t="shared" si="15"/>
        <v>-32726.610289719407</v>
      </c>
      <c r="BE8" s="278">
        <f t="shared" si="15"/>
        <v>-32805.769761289128</v>
      </c>
      <c r="BF8" s="278">
        <f t="shared" si="15"/>
        <v>-32885.120704627043</v>
      </c>
      <c r="BG8" s="278">
        <f t="shared" si="15"/>
        <v>-32964.663582867099</v>
      </c>
      <c r="BH8" s="278">
        <f t="shared" si="15"/>
        <v>-33044.398860263464</v>
      </c>
      <c r="BI8" s="278">
        <f t="shared" si="15"/>
        <v>-33124.327002193255</v>
      </c>
      <c r="BJ8" s="278">
        <f t="shared" si="15"/>
        <v>-33204.448475159246</v>
      </c>
      <c r="BK8" s="278">
        <f t="shared" si="15"/>
        <v>-33284.763746792603</v>
      </c>
      <c r="BL8" s="278">
        <f t="shared" si="15"/>
        <v>-33365.273285855583</v>
      </c>
      <c r="BM8" s="278">
        <f t="shared" si="15"/>
        <v>-33445.977562244312</v>
      </c>
      <c r="BN8" s="278">
        <f t="shared" si="15"/>
        <v>-33526.877046991496</v>
      </c>
      <c r="BO8" s="278">
        <f t="shared" si="15"/>
        <v>-33607.972212269175</v>
      </c>
      <c r="BP8" s="278">
        <f t="shared" si="15"/>
        <v>-33689.263531391487</v>
      </c>
      <c r="BQ8" s="278">
        <f t="shared" si="15"/>
        <v>-33770.751478817438</v>
      </c>
      <c r="BR8" s="278">
        <f t="shared" si="15"/>
        <v>-33852.436530153638</v>
      </c>
      <c r="BS8" s="278">
        <f t="shared" ref="BS8:BZ8" si="16">BS6*-$C$6</f>
        <v>-33934.319162157124</v>
      </c>
      <c r="BT8" s="278">
        <f t="shared" si="16"/>
        <v>-34016.399852738105</v>
      </c>
      <c r="BU8" s="278">
        <f t="shared" si="16"/>
        <v>-34098.679080962756</v>
      </c>
      <c r="BV8" s="278">
        <f t="shared" si="16"/>
        <v>-34181.157327056048</v>
      </c>
      <c r="BW8" s="278">
        <f t="shared" si="16"/>
        <v>-34263.835072404494</v>
      </c>
      <c r="BX8" s="278">
        <f t="shared" si="16"/>
        <v>-34346.712799559013</v>
      </c>
      <c r="BY8" s="278">
        <f t="shared" si="16"/>
        <v>-34429.790992237722</v>
      </c>
      <c r="BZ8" s="279">
        <f t="shared" si="16"/>
        <v>-34513.070135328744</v>
      </c>
    </row>
    <row r="9" spans="2:78" x14ac:dyDescent="0.3">
      <c r="B9" s="3"/>
      <c r="C9" s="223"/>
      <c r="D9" s="75"/>
      <c r="E9" s="169" t="s">
        <v>379</v>
      </c>
      <c r="F9" s="224"/>
      <c r="G9" s="280">
        <f t="shared" ref="G9:AL9" si="17">SUM(G6:G8)</f>
        <v>431249.50000000006</v>
      </c>
      <c r="H9" s="280">
        <f t="shared" si="17"/>
        <v>432292.61085787677</v>
      </c>
      <c r="I9" s="280">
        <f t="shared" si="17"/>
        <v>433338.2448033439</v>
      </c>
      <c r="J9" s="280">
        <f t="shared" si="17"/>
        <v>434386.40793927253</v>
      </c>
      <c r="K9" s="280">
        <f t="shared" si="17"/>
        <v>435437.10638329515</v>
      </c>
      <c r="L9" s="280">
        <f t="shared" si="17"/>
        <v>436490.34626784193</v>
      </c>
      <c r="M9" s="280">
        <f t="shared" si="17"/>
        <v>437546.13374017604</v>
      </c>
      <c r="N9" s="280">
        <f t="shared" si="17"/>
        <v>438604.47496242996</v>
      </c>
      <c r="O9" s="280">
        <f t="shared" si="17"/>
        <v>439665.37611164089</v>
      </c>
      <c r="P9" s="280">
        <f t="shared" si="17"/>
        <v>440728.84337978729</v>
      </c>
      <c r="Q9" s="281">
        <f t="shared" si="17"/>
        <v>441794.88297382492</v>
      </c>
      <c r="R9" s="281">
        <f t="shared" si="17"/>
        <v>442863.50111572276</v>
      </c>
      <c r="S9" s="281">
        <f t="shared" si="17"/>
        <v>443934.70404249977</v>
      </c>
      <c r="T9" s="281">
        <f t="shared" si="17"/>
        <v>445008.49800626095</v>
      </c>
      <c r="U9" s="281">
        <f t="shared" si="17"/>
        <v>446084.88927423407</v>
      </c>
      <c r="V9" s="281">
        <f t="shared" si="17"/>
        <v>447163.88412880601</v>
      </c>
      <c r="W9" s="281">
        <f t="shared" si="17"/>
        <v>448245.48886755959</v>
      </c>
      <c r="X9" s="281">
        <f t="shared" si="17"/>
        <v>449329.70980331028</v>
      </c>
      <c r="Y9" s="281">
        <f t="shared" si="17"/>
        <v>450416.55326414318</v>
      </c>
      <c r="Z9" s="281">
        <f t="shared" si="17"/>
        <v>451506.02559344965</v>
      </c>
      <c r="AA9" s="281">
        <f t="shared" si="17"/>
        <v>452598.13314996462</v>
      </c>
      <c r="AB9" s="281">
        <f t="shared" si="17"/>
        <v>453692.88230780355</v>
      </c>
      <c r="AC9" s="281">
        <f t="shared" si="17"/>
        <v>454790.27945649979</v>
      </c>
      <c r="AD9" s="281">
        <f t="shared" si="17"/>
        <v>455890.33100104157</v>
      </c>
      <c r="AE9" s="281">
        <f t="shared" si="17"/>
        <v>456993.04336190975</v>
      </c>
      <c r="AF9" s="281">
        <f t="shared" si="17"/>
        <v>458098.42297511501</v>
      </c>
      <c r="AG9" s="281">
        <f t="shared" si="17"/>
        <v>459206.47629223554</v>
      </c>
      <c r="AH9" s="281">
        <f t="shared" si="17"/>
        <v>460317.20978045469</v>
      </c>
      <c r="AI9" s="281">
        <f t="shared" si="17"/>
        <v>461430.62992259866</v>
      </c>
      <c r="AJ9" s="281">
        <f t="shared" si="17"/>
        <v>462546.74321717443</v>
      </c>
      <c r="AK9" s="281">
        <f t="shared" si="17"/>
        <v>463665.55617840774</v>
      </c>
      <c r="AL9" s="281">
        <f t="shared" si="17"/>
        <v>464787.07533628074</v>
      </c>
      <c r="AM9" s="281">
        <f t="shared" ref="AM9:BR9" si="18">SUM(AM6:AM8)</f>
        <v>465911.30723657063</v>
      </c>
      <c r="AN9" s="281">
        <f t="shared" si="18"/>
        <v>467038.25844088744</v>
      </c>
      <c r="AO9" s="281">
        <f t="shared" si="18"/>
        <v>468167.93552671256</v>
      </c>
      <c r="AP9" s="281">
        <f t="shared" si="18"/>
        <v>469300.34508743708</v>
      </c>
      <c r="AQ9" s="281">
        <f t="shared" si="18"/>
        <v>470435.49373240012</v>
      </c>
      <c r="AR9" s="281">
        <f t="shared" si="18"/>
        <v>471573.38808692788</v>
      </c>
      <c r="AS9" s="281">
        <f t="shared" si="18"/>
        <v>472714.03479237144</v>
      </c>
      <c r="AT9" s="281">
        <f t="shared" si="18"/>
        <v>473857.44050614652</v>
      </c>
      <c r="AU9" s="281">
        <f t="shared" si="18"/>
        <v>475003.61190177168</v>
      </c>
      <c r="AV9" s="281">
        <f t="shared" si="18"/>
        <v>476152.55566890741</v>
      </c>
      <c r="AW9" s="281">
        <f t="shared" si="18"/>
        <v>477304.27851339534</v>
      </c>
      <c r="AX9" s="281">
        <f t="shared" si="18"/>
        <v>478458.78715729719</v>
      </c>
      <c r="AY9" s="281">
        <f t="shared" si="18"/>
        <v>479616.08833893412</v>
      </c>
      <c r="AZ9" s="281">
        <f t="shared" si="18"/>
        <v>480776.18881292583</v>
      </c>
      <c r="BA9" s="281">
        <f t="shared" si="18"/>
        <v>481939.09535023052</v>
      </c>
      <c r="BB9" s="281">
        <f t="shared" si="18"/>
        <v>483104.81473818375</v>
      </c>
      <c r="BC9" s="281">
        <f t="shared" si="18"/>
        <v>484273.35378053843</v>
      </c>
      <c r="BD9" s="281">
        <f t="shared" si="18"/>
        <v>485444.71929750452</v>
      </c>
      <c r="BE9" s="281">
        <f t="shared" si="18"/>
        <v>486618.91812578874</v>
      </c>
      <c r="BF9" s="281">
        <f t="shared" si="18"/>
        <v>487795.95711863448</v>
      </c>
      <c r="BG9" s="281">
        <f t="shared" si="18"/>
        <v>488975.84314586199</v>
      </c>
      <c r="BH9" s="281">
        <f t="shared" si="18"/>
        <v>490158.58309390809</v>
      </c>
      <c r="BI9" s="281">
        <f t="shared" si="18"/>
        <v>491344.18386586668</v>
      </c>
      <c r="BJ9" s="281">
        <f t="shared" si="18"/>
        <v>492532.65238152887</v>
      </c>
      <c r="BK9" s="281">
        <f t="shared" si="18"/>
        <v>493723.99557742354</v>
      </c>
      <c r="BL9" s="281">
        <f t="shared" si="18"/>
        <v>494918.22040685784</v>
      </c>
      <c r="BM9" s="281">
        <f t="shared" si="18"/>
        <v>496115.33383995737</v>
      </c>
      <c r="BN9" s="281">
        <f t="shared" si="18"/>
        <v>497315.34286370722</v>
      </c>
      <c r="BO9" s="281">
        <f t="shared" si="18"/>
        <v>498518.2544819928</v>
      </c>
      <c r="BP9" s="281">
        <f t="shared" si="18"/>
        <v>499724.07571564044</v>
      </c>
      <c r="BQ9" s="281">
        <f t="shared" si="18"/>
        <v>500932.81360245869</v>
      </c>
      <c r="BR9" s="281">
        <f t="shared" si="18"/>
        <v>502144.47519727901</v>
      </c>
      <c r="BS9" s="281">
        <f t="shared" ref="BS9:BZ9" si="19">SUM(BS6:BS8)</f>
        <v>503359.06757199741</v>
      </c>
      <c r="BT9" s="281">
        <f t="shared" si="19"/>
        <v>504576.59781561524</v>
      </c>
      <c r="BU9" s="281">
        <f t="shared" si="19"/>
        <v>505797.07303428091</v>
      </c>
      <c r="BV9" s="281">
        <f t="shared" si="19"/>
        <v>507020.50035133131</v>
      </c>
      <c r="BW9" s="281">
        <f t="shared" si="19"/>
        <v>508246.88690733339</v>
      </c>
      <c r="BX9" s="281">
        <f t="shared" si="19"/>
        <v>509476.23986012547</v>
      </c>
      <c r="BY9" s="281">
        <f t="shared" si="19"/>
        <v>510708.5663848595</v>
      </c>
      <c r="BZ9" s="282">
        <f t="shared" si="19"/>
        <v>511943.87367404305</v>
      </c>
    </row>
    <row r="10" spans="2:78" x14ac:dyDescent="0.3">
      <c r="B10" s="3"/>
      <c r="C10" s="3"/>
      <c r="D10" s="3"/>
      <c r="E10" s="114" t="s">
        <v>380</v>
      </c>
      <c r="F10" s="225"/>
      <c r="G10" s="283">
        <f>Assumptions!D51</f>
        <v>36519.1</v>
      </c>
      <c r="H10" s="284">
        <f t="shared" ref="H10:AM10" si="20">G10*(1+$C$3)^(1/12)</f>
        <v>36519.1</v>
      </c>
      <c r="I10" s="284">
        <f t="shared" si="20"/>
        <v>36519.1</v>
      </c>
      <c r="J10" s="284">
        <f t="shared" si="20"/>
        <v>36519.1</v>
      </c>
      <c r="K10" s="284">
        <f t="shared" si="20"/>
        <v>36519.1</v>
      </c>
      <c r="L10" s="284">
        <f t="shared" si="20"/>
        <v>36519.1</v>
      </c>
      <c r="M10" s="284">
        <f t="shared" si="20"/>
        <v>36519.1</v>
      </c>
      <c r="N10" s="284">
        <f t="shared" si="20"/>
        <v>36519.1</v>
      </c>
      <c r="O10" s="284">
        <f t="shared" si="20"/>
        <v>36519.1</v>
      </c>
      <c r="P10" s="284">
        <f t="shared" si="20"/>
        <v>36519.1</v>
      </c>
      <c r="Q10" s="285">
        <f t="shared" si="20"/>
        <v>36519.1</v>
      </c>
      <c r="R10" s="285">
        <f t="shared" si="20"/>
        <v>36519.1</v>
      </c>
      <c r="S10" s="285">
        <f t="shared" si="20"/>
        <v>36519.1</v>
      </c>
      <c r="T10" s="285">
        <f t="shared" si="20"/>
        <v>36519.1</v>
      </c>
      <c r="U10" s="285">
        <f t="shared" si="20"/>
        <v>36519.1</v>
      </c>
      <c r="V10" s="285">
        <f t="shared" si="20"/>
        <v>36519.1</v>
      </c>
      <c r="W10" s="285">
        <f t="shared" si="20"/>
        <v>36519.1</v>
      </c>
      <c r="X10" s="285">
        <f t="shared" si="20"/>
        <v>36519.1</v>
      </c>
      <c r="Y10" s="285">
        <f t="shared" si="20"/>
        <v>36519.1</v>
      </c>
      <c r="Z10" s="285">
        <f t="shared" si="20"/>
        <v>36519.1</v>
      </c>
      <c r="AA10" s="285">
        <f t="shared" si="20"/>
        <v>36519.1</v>
      </c>
      <c r="AB10" s="285">
        <f t="shared" si="20"/>
        <v>36519.1</v>
      </c>
      <c r="AC10" s="285">
        <f t="shared" si="20"/>
        <v>36519.1</v>
      </c>
      <c r="AD10" s="285">
        <f t="shared" si="20"/>
        <v>36519.1</v>
      </c>
      <c r="AE10" s="285">
        <f t="shared" si="20"/>
        <v>36519.1</v>
      </c>
      <c r="AF10" s="285">
        <f t="shared" si="20"/>
        <v>36519.1</v>
      </c>
      <c r="AG10" s="285">
        <f t="shared" si="20"/>
        <v>36519.1</v>
      </c>
      <c r="AH10" s="285">
        <f t="shared" si="20"/>
        <v>36519.1</v>
      </c>
      <c r="AI10" s="285">
        <f t="shared" si="20"/>
        <v>36519.1</v>
      </c>
      <c r="AJ10" s="285">
        <f t="shared" si="20"/>
        <v>36519.1</v>
      </c>
      <c r="AK10" s="285">
        <f t="shared" si="20"/>
        <v>36519.1</v>
      </c>
      <c r="AL10" s="285">
        <f t="shared" si="20"/>
        <v>36519.1</v>
      </c>
      <c r="AM10" s="285">
        <f t="shared" si="20"/>
        <v>36519.1</v>
      </c>
      <c r="AN10" s="285">
        <f t="shared" ref="AN10:BS10" si="21">AM10*(1+$C$3)^(1/12)</f>
        <v>36519.1</v>
      </c>
      <c r="AO10" s="285">
        <f t="shared" si="21"/>
        <v>36519.1</v>
      </c>
      <c r="AP10" s="285">
        <f t="shared" si="21"/>
        <v>36519.1</v>
      </c>
      <c r="AQ10" s="285">
        <f t="shared" si="21"/>
        <v>36519.1</v>
      </c>
      <c r="AR10" s="285">
        <f t="shared" si="21"/>
        <v>36519.1</v>
      </c>
      <c r="AS10" s="285">
        <f t="shared" si="21"/>
        <v>36519.1</v>
      </c>
      <c r="AT10" s="285">
        <f t="shared" si="21"/>
        <v>36519.1</v>
      </c>
      <c r="AU10" s="285">
        <f t="shared" si="21"/>
        <v>36519.1</v>
      </c>
      <c r="AV10" s="285">
        <f t="shared" si="21"/>
        <v>36519.1</v>
      </c>
      <c r="AW10" s="285">
        <f t="shared" si="21"/>
        <v>36519.1</v>
      </c>
      <c r="AX10" s="285">
        <f t="shared" si="21"/>
        <v>36519.1</v>
      </c>
      <c r="AY10" s="285">
        <f t="shared" si="21"/>
        <v>36519.1</v>
      </c>
      <c r="AZ10" s="285">
        <f t="shared" si="21"/>
        <v>36519.1</v>
      </c>
      <c r="BA10" s="285">
        <f t="shared" si="21"/>
        <v>36519.1</v>
      </c>
      <c r="BB10" s="285">
        <f t="shared" si="21"/>
        <v>36519.1</v>
      </c>
      <c r="BC10" s="285">
        <f t="shared" si="21"/>
        <v>36519.1</v>
      </c>
      <c r="BD10" s="285">
        <f t="shared" si="21"/>
        <v>36519.1</v>
      </c>
      <c r="BE10" s="285">
        <f t="shared" si="21"/>
        <v>36519.1</v>
      </c>
      <c r="BF10" s="285">
        <f t="shared" si="21"/>
        <v>36519.1</v>
      </c>
      <c r="BG10" s="285">
        <f t="shared" si="21"/>
        <v>36519.1</v>
      </c>
      <c r="BH10" s="285">
        <f t="shared" si="21"/>
        <v>36519.1</v>
      </c>
      <c r="BI10" s="285">
        <f t="shared" si="21"/>
        <v>36519.1</v>
      </c>
      <c r="BJ10" s="285">
        <f t="shared" si="21"/>
        <v>36519.1</v>
      </c>
      <c r="BK10" s="285">
        <f t="shared" si="21"/>
        <v>36519.1</v>
      </c>
      <c r="BL10" s="285">
        <f t="shared" si="21"/>
        <v>36519.1</v>
      </c>
      <c r="BM10" s="285">
        <f t="shared" si="21"/>
        <v>36519.1</v>
      </c>
      <c r="BN10" s="285">
        <f t="shared" si="21"/>
        <v>36519.1</v>
      </c>
      <c r="BO10" s="285">
        <f t="shared" si="21"/>
        <v>36519.1</v>
      </c>
      <c r="BP10" s="285">
        <f t="shared" si="21"/>
        <v>36519.1</v>
      </c>
      <c r="BQ10" s="285">
        <f t="shared" si="21"/>
        <v>36519.1</v>
      </c>
      <c r="BR10" s="285">
        <f t="shared" si="21"/>
        <v>36519.1</v>
      </c>
      <c r="BS10" s="285">
        <f t="shared" si="21"/>
        <v>36519.1</v>
      </c>
      <c r="BT10" s="285">
        <f t="shared" ref="BT10:BZ10" si="22">BS10*(1+$C$3)^(1/12)</f>
        <v>36519.1</v>
      </c>
      <c r="BU10" s="285">
        <f t="shared" si="22"/>
        <v>36519.1</v>
      </c>
      <c r="BV10" s="285">
        <f t="shared" si="22"/>
        <v>36519.1</v>
      </c>
      <c r="BW10" s="285">
        <f t="shared" si="22"/>
        <v>36519.1</v>
      </c>
      <c r="BX10" s="285">
        <f t="shared" si="22"/>
        <v>36519.1</v>
      </c>
      <c r="BY10" s="285">
        <f t="shared" si="22"/>
        <v>36519.1</v>
      </c>
      <c r="BZ10" s="286">
        <f t="shared" si="22"/>
        <v>36519.1</v>
      </c>
    </row>
    <row r="11" spans="2:78" x14ac:dyDescent="0.3">
      <c r="B11" s="3"/>
      <c r="C11" s="3"/>
      <c r="D11" s="3"/>
      <c r="E11" s="114" t="s">
        <v>381</v>
      </c>
      <c r="F11" s="225"/>
      <c r="G11" s="284">
        <f t="shared" ref="G11:AL11" si="23">G10+G9</f>
        <v>467768.60000000003</v>
      </c>
      <c r="H11" s="284">
        <f t="shared" si="23"/>
        <v>468811.71085787675</v>
      </c>
      <c r="I11" s="284">
        <f t="shared" si="23"/>
        <v>469857.34480334388</v>
      </c>
      <c r="J11" s="284">
        <f t="shared" si="23"/>
        <v>470905.5079392725</v>
      </c>
      <c r="K11" s="284">
        <f t="shared" si="23"/>
        <v>471956.20638329512</v>
      </c>
      <c r="L11" s="284">
        <f t="shared" si="23"/>
        <v>473009.44626784191</v>
      </c>
      <c r="M11" s="284">
        <f t="shared" si="23"/>
        <v>474065.23374017602</v>
      </c>
      <c r="N11" s="284">
        <f t="shared" si="23"/>
        <v>475123.57496242994</v>
      </c>
      <c r="O11" s="284">
        <f t="shared" si="23"/>
        <v>476184.47611164086</v>
      </c>
      <c r="P11" s="284">
        <f t="shared" si="23"/>
        <v>477247.94337978726</v>
      </c>
      <c r="Q11" s="287">
        <f t="shared" si="23"/>
        <v>478313.9829738249</v>
      </c>
      <c r="R11" s="287">
        <f t="shared" si="23"/>
        <v>479382.60111572273</v>
      </c>
      <c r="S11" s="287">
        <f t="shared" si="23"/>
        <v>480453.80404249975</v>
      </c>
      <c r="T11" s="287">
        <f t="shared" si="23"/>
        <v>481527.59800626093</v>
      </c>
      <c r="U11" s="287">
        <f t="shared" si="23"/>
        <v>482603.98927423405</v>
      </c>
      <c r="V11" s="287">
        <f t="shared" si="23"/>
        <v>483682.98412880598</v>
      </c>
      <c r="W11" s="287">
        <f t="shared" si="23"/>
        <v>484764.58886755956</v>
      </c>
      <c r="X11" s="287">
        <f t="shared" si="23"/>
        <v>485848.80980331026</v>
      </c>
      <c r="Y11" s="287">
        <f t="shared" si="23"/>
        <v>486935.65326414315</v>
      </c>
      <c r="Z11" s="287">
        <f t="shared" si="23"/>
        <v>488025.12559344963</v>
      </c>
      <c r="AA11" s="287">
        <f t="shared" si="23"/>
        <v>489117.2331499646</v>
      </c>
      <c r="AB11" s="287">
        <f t="shared" si="23"/>
        <v>490211.98230780353</v>
      </c>
      <c r="AC11" s="287">
        <f t="shared" si="23"/>
        <v>491309.37945649977</v>
      </c>
      <c r="AD11" s="287">
        <f t="shared" si="23"/>
        <v>492409.43100104155</v>
      </c>
      <c r="AE11" s="287">
        <f t="shared" si="23"/>
        <v>493512.14336190972</v>
      </c>
      <c r="AF11" s="287">
        <f t="shared" si="23"/>
        <v>494617.52297511499</v>
      </c>
      <c r="AG11" s="287">
        <f t="shared" si="23"/>
        <v>495725.57629223552</v>
      </c>
      <c r="AH11" s="287">
        <f t="shared" si="23"/>
        <v>496836.30978045467</v>
      </c>
      <c r="AI11" s="287">
        <f t="shared" si="23"/>
        <v>497949.72992259864</v>
      </c>
      <c r="AJ11" s="287">
        <f t="shared" si="23"/>
        <v>499065.84321717441</v>
      </c>
      <c r="AK11" s="287">
        <f t="shared" si="23"/>
        <v>500184.65617840772</v>
      </c>
      <c r="AL11" s="287">
        <f t="shared" si="23"/>
        <v>501306.17533628072</v>
      </c>
      <c r="AM11" s="287">
        <f t="shared" ref="AM11:BR11" si="24">AM10+AM9</f>
        <v>502430.40723657061</v>
      </c>
      <c r="AN11" s="287">
        <f t="shared" si="24"/>
        <v>503557.35844088742</v>
      </c>
      <c r="AO11" s="287">
        <f t="shared" si="24"/>
        <v>504687.03552671254</v>
      </c>
      <c r="AP11" s="287">
        <f t="shared" si="24"/>
        <v>505819.44508743705</v>
      </c>
      <c r="AQ11" s="287">
        <f t="shared" si="24"/>
        <v>506954.5937324001</v>
      </c>
      <c r="AR11" s="287">
        <f t="shared" si="24"/>
        <v>508092.48808692786</v>
      </c>
      <c r="AS11" s="287">
        <f t="shared" si="24"/>
        <v>509233.13479237142</v>
      </c>
      <c r="AT11" s="287">
        <f t="shared" si="24"/>
        <v>510376.5405061465</v>
      </c>
      <c r="AU11" s="287">
        <f t="shared" si="24"/>
        <v>511522.71190177166</v>
      </c>
      <c r="AV11" s="287">
        <f t="shared" si="24"/>
        <v>512671.65566890739</v>
      </c>
      <c r="AW11" s="287">
        <f t="shared" si="24"/>
        <v>513823.37851339532</v>
      </c>
      <c r="AX11" s="287">
        <f t="shared" si="24"/>
        <v>514977.88715729717</v>
      </c>
      <c r="AY11" s="287">
        <f t="shared" si="24"/>
        <v>516135.18833893409</v>
      </c>
      <c r="AZ11" s="287">
        <f t="shared" si="24"/>
        <v>517295.28881292581</v>
      </c>
      <c r="BA11" s="287">
        <f t="shared" si="24"/>
        <v>518458.1953502305</v>
      </c>
      <c r="BB11" s="287">
        <f t="shared" si="24"/>
        <v>519623.91473818372</v>
      </c>
      <c r="BC11" s="287">
        <f t="shared" si="24"/>
        <v>520792.4537805384</v>
      </c>
      <c r="BD11" s="287">
        <f t="shared" si="24"/>
        <v>521963.81929750449</v>
      </c>
      <c r="BE11" s="287">
        <f t="shared" si="24"/>
        <v>523138.01812578872</v>
      </c>
      <c r="BF11" s="287">
        <f t="shared" si="24"/>
        <v>524315.05711863446</v>
      </c>
      <c r="BG11" s="287">
        <f t="shared" si="24"/>
        <v>525494.94314586197</v>
      </c>
      <c r="BH11" s="287">
        <f t="shared" si="24"/>
        <v>526677.68309390813</v>
      </c>
      <c r="BI11" s="287">
        <f t="shared" si="24"/>
        <v>527863.28386586672</v>
      </c>
      <c r="BJ11" s="287">
        <f t="shared" si="24"/>
        <v>529051.75238152884</v>
      </c>
      <c r="BK11" s="287">
        <f t="shared" si="24"/>
        <v>530243.09557742358</v>
      </c>
      <c r="BL11" s="287">
        <f t="shared" si="24"/>
        <v>531437.32040685788</v>
      </c>
      <c r="BM11" s="287">
        <f t="shared" si="24"/>
        <v>532634.43383995735</v>
      </c>
      <c r="BN11" s="287">
        <f t="shared" si="24"/>
        <v>533834.4428637072</v>
      </c>
      <c r="BO11" s="287">
        <f t="shared" si="24"/>
        <v>535037.35448199278</v>
      </c>
      <c r="BP11" s="287">
        <f t="shared" si="24"/>
        <v>536243.17571564042</v>
      </c>
      <c r="BQ11" s="287">
        <f t="shared" si="24"/>
        <v>537451.91360245866</v>
      </c>
      <c r="BR11" s="287">
        <f t="shared" si="24"/>
        <v>538663.57519727899</v>
      </c>
      <c r="BS11" s="287">
        <f t="shared" ref="BS11:BZ11" si="25">BS10+BS9</f>
        <v>539878.16757199739</v>
      </c>
      <c r="BT11" s="287">
        <f t="shared" si="25"/>
        <v>541095.69781561522</v>
      </c>
      <c r="BU11" s="287">
        <f t="shared" si="25"/>
        <v>542316.17303428089</v>
      </c>
      <c r="BV11" s="287">
        <f t="shared" si="25"/>
        <v>543539.60035133129</v>
      </c>
      <c r="BW11" s="287">
        <f t="shared" si="25"/>
        <v>544765.98690733337</v>
      </c>
      <c r="BX11" s="287">
        <f t="shared" si="25"/>
        <v>545995.33986012544</v>
      </c>
      <c r="BY11" s="287">
        <f t="shared" si="25"/>
        <v>547227.66638485948</v>
      </c>
      <c r="BZ11" s="288">
        <f t="shared" si="25"/>
        <v>548462.97367404308</v>
      </c>
    </row>
    <row r="12" spans="2:78" x14ac:dyDescent="0.3">
      <c r="B12" s="69"/>
      <c r="C12" s="3"/>
      <c r="D12" s="3"/>
      <c r="E12" s="109" t="s">
        <v>446</v>
      </c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89">
        <v>0</v>
      </c>
      <c r="BO12" s="289">
        <v>0</v>
      </c>
      <c r="BP12" s="289">
        <v>0</v>
      </c>
      <c r="BQ12" s="289">
        <v>0</v>
      </c>
      <c r="BR12" s="289">
        <v>0</v>
      </c>
      <c r="BS12" s="289">
        <v>0</v>
      </c>
      <c r="BT12" s="289">
        <v>0</v>
      </c>
      <c r="BU12" s="289">
        <v>0</v>
      </c>
      <c r="BV12" s="289">
        <v>0</v>
      </c>
      <c r="BW12" s="289">
        <v>0</v>
      </c>
      <c r="BX12" s="289">
        <v>0</v>
      </c>
      <c r="BY12" s="289">
        <v>0</v>
      </c>
      <c r="BZ12" s="290">
        <v>0</v>
      </c>
    </row>
    <row r="13" spans="2:78" x14ac:dyDescent="0.3">
      <c r="B13" s="226"/>
      <c r="C13" s="3"/>
      <c r="D13" s="3"/>
      <c r="E13" s="198" t="str">
        <f>Assumptions!G57</f>
        <v>Taxes</v>
      </c>
      <c r="F13" s="222"/>
      <c r="G13" s="291">
        <f>-Assumptions!$I57/12*Assumptions!$C$36</f>
        <v>-46366.666666666664</v>
      </c>
      <c r="H13" s="278">
        <f t="shared" ref="H13:AM13" si="26">G13*(1+$C$4)^(1/12)</f>
        <v>-46485.886548370778</v>
      </c>
      <c r="I13" s="278">
        <f t="shared" si="26"/>
        <v>-46605.412973141611</v>
      </c>
      <c r="J13" s="278">
        <f t="shared" si="26"/>
        <v>-46725.246729175313</v>
      </c>
      <c r="K13" s="278">
        <f t="shared" si="26"/>
        <v>-46845.38860669468</v>
      </c>
      <c r="L13" s="278">
        <f t="shared" si="26"/>
        <v>-46965.839397954354</v>
      </c>
      <c r="M13" s="278">
        <f t="shared" si="26"/>
        <v>-47086.599897246058</v>
      </c>
      <c r="N13" s="278">
        <f t="shared" si="26"/>
        <v>-47207.670900903831</v>
      </c>
      <c r="O13" s="278">
        <f t="shared" si="26"/>
        <v>-47329.053207309276</v>
      </c>
      <c r="P13" s="278">
        <f t="shared" si="26"/>
        <v>-47450.747616896835</v>
      </c>
      <c r="Q13" s="278">
        <f t="shared" si="26"/>
        <v>-47572.754932159056</v>
      </c>
      <c r="R13" s="278">
        <f t="shared" si="26"/>
        <v>-47695.075957651883</v>
      </c>
      <c r="S13" s="278">
        <f t="shared" si="26"/>
        <v>-47817.711499999983</v>
      </c>
      <c r="T13" s="278">
        <f t="shared" si="26"/>
        <v>-47940.662367902027</v>
      </c>
      <c r="U13" s="278">
        <f t="shared" si="26"/>
        <v>-48063.929372136066</v>
      </c>
      <c r="V13" s="278">
        <f t="shared" si="26"/>
        <v>-48187.513325564847</v>
      </c>
      <c r="W13" s="278">
        <f t="shared" si="26"/>
        <v>-48311.415043141184</v>
      </c>
      <c r="X13" s="278">
        <f t="shared" si="26"/>
        <v>-48435.63534191333</v>
      </c>
      <c r="Y13" s="278">
        <f t="shared" si="26"/>
        <v>-48560.175041030365</v>
      </c>
      <c r="Z13" s="278">
        <f t="shared" si="26"/>
        <v>-48685.034961747609</v>
      </c>
      <c r="AA13" s="278">
        <f t="shared" si="26"/>
        <v>-48810.215927432015</v>
      </c>
      <c r="AB13" s="278">
        <f t="shared" si="26"/>
        <v>-48935.718763567616</v>
      </c>
      <c r="AC13" s="278">
        <f t="shared" si="26"/>
        <v>-49061.544297760971</v>
      </c>
      <c r="AD13" s="278">
        <f t="shared" si="26"/>
        <v>-49187.693359746598</v>
      </c>
      <c r="AE13" s="278">
        <f t="shared" si="26"/>
        <v>-49314.16678139248</v>
      </c>
      <c r="AF13" s="278">
        <f t="shared" si="26"/>
        <v>-49440.96539670552</v>
      </c>
      <c r="AG13" s="278">
        <f t="shared" si="26"/>
        <v>-49568.090041837066</v>
      </c>
      <c r="AH13" s="278">
        <f t="shared" si="26"/>
        <v>-49695.541555088399</v>
      </c>
      <c r="AI13" s="278">
        <f t="shared" si="26"/>
        <v>-49823.320776916284</v>
      </c>
      <c r="AJ13" s="278">
        <f t="shared" si="26"/>
        <v>-49951.428549938501</v>
      </c>
      <c r="AK13" s="278">
        <f t="shared" si="26"/>
        <v>-50079.865718939407</v>
      </c>
      <c r="AL13" s="278">
        <f t="shared" si="26"/>
        <v>-50208.633130875496</v>
      </c>
      <c r="AM13" s="278">
        <f t="shared" si="26"/>
        <v>-50337.731634880998</v>
      </c>
      <c r="AN13" s="278">
        <f t="shared" ref="AN13:BS13" si="27">AM13*(1+$C$4)^(1/12)</f>
        <v>-50467.162082273462</v>
      </c>
      <c r="AO13" s="278">
        <f t="shared" si="27"/>
        <v>-50596.925326559394</v>
      </c>
      <c r="AP13" s="278">
        <f t="shared" si="27"/>
        <v>-50727.022223439861</v>
      </c>
      <c r="AQ13" s="278">
        <f t="shared" si="27"/>
        <v>-50857.453630816148</v>
      </c>
      <c r="AR13" s="278">
        <f t="shared" si="27"/>
        <v>-50988.220408795409</v>
      </c>
      <c r="AS13" s="278">
        <f t="shared" si="27"/>
        <v>-51119.323419696346</v>
      </c>
      <c r="AT13" s="278">
        <f t="shared" si="27"/>
        <v>-51250.763528054878</v>
      </c>
      <c r="AU13" s="278">
        <f t="shared" si="27"/>
        <v>-51382.541600629869</v>
      </c>
      <c r="AV13" s="278">
        <f t="shared" si="27"/>
        <v>-51514.658506408814</v>
      </c>
      <c r="AW13" s="278">
        <f t="shared" si="27"/>
        <v>-51647.115116613604</v>
      </c>
      <c r="AX13" s="278">
        <f t="shared" si="27"/>
        <v>-51779.912304706231</v>
      </c>
      <c r="AY13" s="278">
        <f t="shared" si="27"/>
        <v>-51913.050946394585</v>
      </c>
      <c r="AZ13" s="278">
        <f t="shared" si="27"/>
        <v>-52046.531919638197</v>
      </c>
      <c r="BA13" s="278">
        <f t="shared" si="27"/>
        <v>-52180.356104654056</v>
      </c>
      <c r="BB13" s="278">
        <f t="shared" si="27"/>
        <v>-52314.524383922399</v>
      </c>
      <c r="BC13" s="278">
        <f t="shared" si="27"/>
        <v>-52449.037642192525</v>
      </c>
      <c r="BD13" s="278">
        <f t="shared" si="27"/>
        <v>-52583.896766488651</v>
      </c>
      <c r="BE13" s="278">
        <f t="shared" si="27"/>
        <v>-52719.102646115731</v>
      </c>
      <c r="BF13" s="278">
        <f t="shared" si="27"/>
        <v>-52854.656172665345</v>
      </c>
      <c r="BG13" s="278">
        <f t="shared" si="27"/>
        <v>-52990.558240021572</v>
      </c>
      <c r="BH13" s="278">
        <f t="shared" si="27"/>
        <v>-53126.809744366874</v>
      </c>
      <c r="BI13" s="278">
        <f t="shared" si="27"/>
        <v>-53263.411584188019</v>
      </c>
      <c r="BJ13" s="278">
        <f t="shared" si="27"/>
        <v>-53400.364660282008</v>
      </c>
      <c r="BK13" s="278">
        <f t="shared" si="27"/>
        <v>-53537.669875761996</v>
      </c>
      <c r="BL13" s="278">
        <f t="shared" si="27"/>
        <v>-53675.328136063268</v>
      </c>
      <c r="BM13" s="278">
        <f t="shared" si="27"/>
        <v>-53813.340348949198</v>
      </c>
      <c r="BN13" s="278">
        <f t="shared" si="27"/>
        <v>-53951.707424517241</v>
      </c>
      <c r="BO13" s="278">
        <f t="shared" si="27"/>
        <v>-54090.430275204933</v>
      </c>
      <c r="BP13" s="278">
        <f t="shared" si="27"/>
        <v>-54229.5098157959</v>
      </c>
      <c r="BQ13" s="278">
        <f t="shared" si="27"/>
        <v>-54368.946963425908</v>
      </c>
      <c r="BR13" s="278">
        <f t="shared" si="27"/>
        <v>-54508.74263758889</v>
      </c>
      <c r="BS13" s="278">
        <f t="shared" si="27"/>
        <v>-54648.897760143023</v>
      </c>
      <c r="BT13" s="278">
        <f t="shared" ref="BT13:BZ13" si="28">BS13*(1+$C$4)^(1/12)</f>
        <v>-54789.413255316809</v>
      </c>
      <c r="BU13" s="278">
        <f t="shared" si="28"/>
        <v>-54930.290049715157</v>
      </c>
      <c r="BV13" s="278">
        <f t="shared" si="28"/>
        <v>-55071.529072325502</v>
      </c>
      <c r="BW13" s="278">
        <f t="shared" si="28"/>
        <v>-55213.131254523934</v>
      </c>
      <c r="BX13" s="278">
        <f t="shared" si="28"/>
        <v>-55355.097530081337</v>
      </c>
      <c r="BY13" s="278">
        <f t="shared" si="28"/>
        <v>-55497.428835169536</v>
      </c>
      <c r="BZ13" s="279">
        <f t="shared" si="28"/>
        <v>-55640.126108367484</v>
      </c>
    </row>
    <row r="14" spans="2:78" x14ac:dyDescent="0.3">
      <c r="B14" s="3"/>
      <c r="C14" s="3"/>
      <c r="D14" s="3"/>
      <c r="E14" s="198" t="str">
        <f>Assumptions!G58</f>
        <v>Insurance</v>
      </c>
      <c r="F14" s="222"/>
      <c r="G14" s="291">
        <f>-Assumptions!$I58/12*Assumptions!$C$36</f>
        <v>-16050</v>
      </c>
      <c r="H14" s="278">
        <f t="shared" ref="H14:AM14" si="29">G14*(1+$C$4)^(1/12)</f>
        <v>-16091.268420589886</v>
      </c>
      <c r="I14" s="278">
        <f t="shared" si="29"/>
        <v>-16132.642952241329</v>
      </c>
      <c r="J14" s="278">
        <f t="shared" si="29"/>
        <v>-16174.123867791457</v>
      </c>
      <c r="K14" s="278">
        <f t="shared" si="29"/>
        <v>-16215.71144077893</v>
      </c>
      <c r="L14" s="278">
        <f t="shared" si="29"/>
        <v>-16257.40594544574</v>
      </c>
      <c r="M14" s="278">
        <f t="shared" si="29"/>
        <v>-16299.207656739021</v>
      </c>
      <c r="N14" s="278">
        <f t="shared" si="29"/>
        <v>-16341.116850312865</v>
      </c>
      <c r="O14" s="278">
        <f t="shared" si="29"/>
        <v>-16383.133802530136</v>
      </c>
      <c r="P14" s="278">
        <f t="shared" si="29"/>
        <v>-16425.25879046429</v>
      </c>
      <c r="Q14" s="278">
        <f t="shared" si="29"/>
        <v>-16467.492091901211</v>
      </c>
      <c r="R14" s="278">
        <f t="shared" si="29"/>
        <v>-16509.833985341036</v>
      </c>
      <c r="S14" s="278">
        <f t="shared" si="29"/>
        <v>-16552.284749999992</v>
      </c>
      <c r="T14" s="278">
        <f t="shared" si="29"/>
        <v>-16594.844665812238</v>
      </c>
      <c r="U14" s="278">
        <f t="shared" si="29"/>
        <v>-16637.514013431712</v>
      </c>
      <c r="V14" s="278">
        <f t="shared" si="29"/>
        <v>-16680.293074233981</v>
      </c>
      <c r="W14" s="278">
        <f t="shared" si="29"/>
        <v>-16723.182130318095</v>
      </c>
      <c r="X14" s="278">
        <f t="shared" si="29"/>
        <v>-16766.181464508452</v>
      </c>
      <c r="Y14" s="278">
        <f t="shared" si="29"/>
        <v>-16809.291360356656</v>
      </c>
      <c r="Z14" s="278">
        <f t="shared" si="29"/>
        <v>-16852.512102143395</v>
      </c>
      <c r="AA14" s="278">
        <f t="shared" si="29"/>
        <v>-16895.843974880307</v>
      </c>
      <c r="AB14" s="278">
        <f t="shared" si="29"/>
        <v>-16939.287264311861</v>
      </c>
      <c r="AC14" s="278">
        <f t="shared" si="29"/>
        <v>-16982.842256917251</v>
      </c>
      <c r="AD14" s="278">
        <f t="shared" si="29"/>
        <v>-17026.509239912277</v>
      </c>
      <c r="AE14" s="278">
        <f t="shared" si="29"/>
        <v>-17070.288501251234</v>
      </c>
      <c r="AF14" s="278">
        <f t="shared" si="29"/>
        <v>-17114.180329628824</v>
      </c>
      <c r="AG14" s="278">
        <f t="shared" si="29"/>
        <v>-17158.185014482049</v>
      </c>
      <c r="AH14" s="278">
        <f t="shared" si="29"/>
        <v>-17202.302845992126</v>
      </c>
      <c r="AI14" s="278">
        <f t="shared" si="29"/>
        <v>-17246.534115086393</v>
      </c>
      <c r="AJ14" s="278">
        <f t="shared" si="29"/>
        <v>-17290.879113440238</v>
      </c>
      <c r="AK14" s="278">
        <f t="shared" si="29"/>
        <v>-17335.338133479014</v>
      </c>
      <c r="AL14" s="278">
        <f t="shared" si="29"/>
        <v>-17379.911468379967</v>
      </c>
      <c r="AM14" s="278">
        <f t="shared" si="29"/>
        <v>-17424.599412074178</v>
      </c>
      <c r="AN14" s="278">
        <f t="shared" ref="AN14:BS14" si="30">AM14*(1+$C$4)^(1/12)</f>
        <v>-17469.402259248494</v>
      </c>
      <c r="AO14" s="278">
        <f t="shared" si="30"/>
        <v>-17514.320305347472</v>
      </c>
      <c r="AP14" s="278">
        <f t="shared" si="30"/>
        <v>-17559.353846575326</v>
      </c>
      <c r="AQ14" s="278">
        <f t="shared" si="30"/>
        <v>-17604.503179897889</v>
      </c>
      <c r="AR14" s="278">
        <f t="shared" si="30"/>
        <v>-17649.768603044555</v>
      </c>
      <c r="AS14" s="278">
        <f t="shared" si="30"/>
        <v>-17695.150414510263</v>
      </c>
      <c r="AT14" s="278">
        <f t="shared" si="30"/>
        <v>-17740.648913557448</v>
      </c>
      <c r="AU14" s="278">
        <f t="shared" si="30"/>
        <v>-17786.26440021802</v>
      </c>
      <c r="AV14" s="278">
        <f t="shared" si="30"/>
        <v>-17831.99717529535</v>
      </c>
      <c r="AW14" s="278">
        <f t="shared" si="30"/>
        <v>-17877.847540366238</v>
      </c>
      <c r="AX14" s="278">
        <f t="shared" si="30"/>
        <v>-17923.815797782918</v>
      </c>
      <c r="AY14" s="278">
        <f t="shared" si="30"/>
        <v>-17969.902250675041</v>
      </c>
      <c r="AZ14" s="278">
        <f t="shared" si="30"/>
        <v>-18016.107202951676</v>
      </c>
      <c r="BA14" s="278">
        <f t="shared" si="30"/>
        <v>-18062.430959303321</v>
      </c>
      <c r="BB14" s="278">
        <f t="shared" si="30"/>
        <v>-18108.8738252039</v>
      </c>
      <c r="BC14" s="278">
        <f t="shared" si="30"/>
        <v>-18155.436106912792</v>
      </c>
      <c r="BD14" s="278">
        <f t="shared" si="30"/>
        <v>-18202.118111476833</v>
      </c>
      <c r="BE14" s="278">
        <f t="shared" si="30"/>
        <v>-18248.920146732362</v>
      </c>
      <c r="BF14" s="278">
        <f t="shared" si="30"/>
        <v>-18295.84252130723</v>
      </c>
      <c r="BG14" s="278">
        <f t="shared" si="30"/>
        <v>-18342.885544622844</v>
      </c>
      <c r="BH14" s="278">
        <f t="shared" si="30"/>
        <v>-18390.049526896219</v>
      </c>
      <c r="BI14" s="278">
        <f t="shared" si="30"/>
        <v>-18437.334779141998</v>
      </c>
      <c r="BJ14" s="278">
        <f t="shared" si="30"/>
        <v>-18484.74161317453</v>
      </c>
      <c r="BK14" s="278">
        <f t="shared" si="30"/>
        <v>-18532.27034160991</v>
      </c>
      <c r="BL14" s="278">
        <f t="shared" si="30"/>
        <v>-18579.921277868045</v>
      </c>
      <c r="BM14" s="278">
        <f t="shared" si="30"/>
        <v>-18627.694736174715</v>
      </c>
      <c r="BN14" s="278">
        <f t="shared" si="30"/>
        <v>-18675.591031563654</v>
      </c>
      <c r="BO14" s="278">
        <f t="shared" si="30"/>
        <v>-18723.610479878625</v>
      </c>
      <c r="BP14" s="278">
        <f t="shared" si="30"/>
        <v>-18771.753397775501</v>
      </c>
      <c r="BQ14" s="278">
        <f t="shared" si="30"/>
        <v>-18820.020102724349</v>
      </c>
      <c r="BR14" s="278">
        <f t="shared" si="30"/>
        <v>-18868.410913011536</v>
      </c>
      <c r="BS14" s="278">
        <f t="shared" si="30"/>
        <v>-18916.926147741815</v>
      </c>
      <c r="BT14" s="278">
        <f t="shared" ref="BT14:BZ14" si="31">BS14*(1+$C$4)^(1/12)</f>
        <v>-18965.566126840433</v>
      </c>
      <c r="BU14" s="278">
        <f t="shared" si="31"/>
        <v>-19014.331171055244</v>
      </c>
      <c r="BV14" s="278">
        <f t="shared" si="31"/>
        <v>-19063.221601958827</v>
      </c>
      <c r="BW14" s="278">
        <f t="shared" si="31"/>
        <v>-19112.237741950594</v>
      </c>
      <c r="BX14" s="278">
        <f t="shared" si="31"/>
        <v>-19161.379914258923</v>
      </c>
      <c r="BY14" s="278">
        <f t="shared" si="31"/>
        <v>-19210.6484429433</v>
      </c>
      <c r="BZ14" s="279">
        <f t="shared" si="31"/>
        <v>-19260.043652896435</v>
      </c>
    </row>
    <row r="15" spans="2:78" x14ac:dyDescent="0.3">
      <c r="B15" s="3"/>
      <c r="C15" s="3"/>
      <c r="D15" s="3"/>
      <c r="E15" s="198" t="str">
        <f>Assumptions!G59</f>
        <v>Payroll</v>
      </c>
      <c r="F15" s="222"/>
      <c r="G15" s="291">
        <f>-Assumptions!$I59/12*Assumptions!$C$36</f>
        <v>-24075</v>
      </c>
      <c r="H15" s="278">
        <f t="shared" ref="H15:AM15" si="32">G15*(1+$C$4)^(1/12)</f>
        <v>-24136.90263088483</v>
      </c>
      <c r="I15" s="278">
        <f t="shared" si="32"/>
        <v>-24198.964428361993</v>
      </c>
      <c r="J15" s="278">
        <f t="shared" si="32"/>
        <v>-24261.185801687185</v>
      </c>
      <c r="K15" s="278">
        <f t="shared" si="32"/>
        <v>-24323.567161168394</v>
      </c>
      <c r="L15" s="278">
        <f t="shared" si="32"/>
        <v>-24386.108918168607</v>
      </c>
      <c r="M15" s="278">
        <f t="shared" si="32"/>
        <v>-24448.81148510853</v>
      </c>
      <c r="N15" s="278">
        <f t="shared" si="32"/>
        <v>-24511.675275469297</v>
      </c>
      <c r="O15" s="278">
        <f t="shared" si="32"/>
        <v>-24574.700703795203</v>
      </c>
      <c r="P15" s="278">
        <f t="shared" si="32"/>
        <v>-24637.888185696436</v>
      </c>
      <c r="Q15" s="278">
        <f t="shared" si="32"/>
        <v>-24701.238137851818</v>
      </c>
      <c r="R15" s="278">
        <f t="shared" si="32"/>
        <v>-24764.750978011558</v>
      </c>
      <c r="S15" s="278">
        <f t="shared" si="32"/>
        <v>-24828.427124999991</v>
      </c>
      <c r="T15" s="278">
        <f t="shared" si="32"/>
        <v>-24892.266998718362</v>
      </c>
      <c r="U15" s="278">
        <f t="shared" si="32"/>
        <v>-24956.271020147575</v>
      </c>
      <c r="V15" s="278">
        <f t="shared" si="32"/>
        <v>-25020.439611350979</v>
      </c>
      <c r="W15" s="278">
        <f t="shared" si="32"/>
        <v>-25084.773195477152</v>
      </c>
      <c r="X15" s="278">
        <f t="shared" si="32"/>
        <v>-25149.272196762689</v>
      </c>
      <c r="Y15" s="278">
        <f t="shared" si="32"/>
        <v>-25213.937040534998</v>
      </c>
      <c r="Z15" s="278">
        <f t="shared" si="32"/>
        <v>-25278.768153215104</v>
      </c>
      <c r="AA15" s="278">
        <f t="shared" si="32"/>
        <v>-25343.765962320467</v>
      </c>
      <c r="AB15" s="278">
        <f t="shared" si="32"/>
        <v>-25408.930896467798</v>
      </c>
      <c r="AC15" s="278">
        <f t="shared" si="32"/>
        <v>-25474.263385375885</v>
      </c>
      <c r="AD15" s="278">
        <f t="shared" si="32"/>
        <v>-25539.763859868424</v>
      </c>
      <c r="AE15" s="278">
        <f t="shared" si="32"/>
        <v>-25605.432751876862</v>
      </c>
      <c r="AF15" s="278">
        <f t="shared" si="32"/>
        <v>-25671.270494443248</v>
      </c>
      <c r="AG15" s="278">
        <f t="shared" si="32"/>
        <v>-25737.277521723088</v>
      </c>
      <c r="AH15" s="278">
        <f t="shared" si="32"/>
        <v>-25803.454268988204</v>
      </c>
      <c r="AI15" s="278">
        <f t="shared" si="32"/>
        <v>-25869.801172629606</v>
      </c>
      <c r="AJ15" s="278">
        <f t="shared" si="32"/>
        <v>-25936.318670160374</v>
      </c>
      <c r="AK15" s="278">
        <f t="shared" si="32"/>
        <v>-26003.007200218537</v>
      </c>
      <c r="AL15" s="278">
        <f t="shared" si="32"/>
        <v>-26069.867202569967</v>
      </c>
      <c r="AM15" s="278">
        <f t="shared" si="32"/>
        <v>-26136.899118111283</v>
      </c>
      <c r="AN15" s="278">
        <f t="shared" ref="AN15:BS15" si="33">AM15*(1+$C$4)^(1/12)</f>
        <v>-26204.103388872758</v>
      </c>
      <c r="AO15" s="278">
        <f t="shared" si="33"/>
        <v>-26271.480458021222</v>
      </c>
      <c r="AP15" s="278">
        <f t="shared" si="33"/>
        <v>-26339.030769863002</v>
      </c>
      <c r="AQ15" s="278">
        <f t="shared" si="33"/>
        <v>-26406.754769846844</v>
      </c>
      <c r="AR15" s="278">
        <f t="shared" si="33"/>
        <v>-26474.652904566847</v>
      </c>
      <c r="AS15" s="278">
        <f t="shared" si="33"/>
        <v>-26542.725621765407</v>
      </c>
      <c r="AT15" s="278">
        <f t="shared" si="33"/>
        <v>-26610.973370336182</v>
      </c>
      <c r="AU15" s="278">
        <f t="shared" si="33"/>
        <v>-26679.39660032704</v>
      </c>
      <c r="AV15" s="278">
        <f t="shared" si="33"/>
        <v>-26747.995762943032</v>
      </c>
      <c r="AW15" s="278">
        <f t="shared" si="33"/>
        <v>-26816.771310549364</v>
      </c>
      <c r="AX15" s="278">
        <f t="shared" si="33"/>
        <v>-26885.723696674384</v>
      </c>
      <c r="AY15" s="278">
        <f t="shared" si="33"/>
        <v>-26954.853376012565</v>
      </c>
      <c r="AZ15" s="278">
        <f t="shared" si="33"/>
        <v>-27024.160804427516</v>
      </c>
      <c r="BA15" s="278">
        <f t="shared" si="33"/>
        <v>-27093.646438954984</v>
      </c>
      <c r="BB15" s="278">
        <f t="shared" si="33"/>
        <v>-27163.310737805856</v>
      </c>
      <c r="BC15" s="278">
        <f t="shared" si="33"/>
        <v>-27233.154160369191</v>
      </c>
      <c r="BD15" s="278">
        <f t="shared" si="33"/>
        <v>-27303.177167215254</v>
      </c>
      <c r="BE15" s="278">
        <f t="shared" si="33"/>
        <v>-27373.380220098545</v>
      </c>
      <c r="BF15" s="278">
        <f t="shared" si="33"/>
        <v>-27443.763781960843</v>
      </c>
      <c r="BG15" s="278">
        <f t="shared" si="33"/>
        <v>-27514.328316934265</v>
      </c>
      <c r="BH15" s="278">
        <f t="shared" si="33"/>
        <v>-27585.074290344324</v>
      </c>
      <c r="BI15" s="278">
        <f t="shared" si="33"/>
        <v>-27656.002168712996</v>
      </c>
      <c r="BJ15" s="278">
        <f t="shared" si="33"/>
        <v>-27727.112419761797</v>
      </c>
      <c r="BK15" s="278">
        <f t="shared" si="33"/>
        <v>-27798.405512414869</v>
      </c>
      <c r="BL15" s="278">
        <f t="shared" si="33"/>
        <v>-27869.881916802067</v>
      </c>
      <c r="BM15" s="278">
        <f t="shared" si="33"/>
        <v>-27941.542104262069</v>
      </c>
      <c r="BN15" s="278">
        <f t="shared" si="33"/>
        <v>-28013.386547345479</v>
      </c>
      <c r="BO15" s="278">
        <f t="shared" si="33"/>
        <v>-28085.415719817935</v>
      </c>
      <c r="BP15" s="278">
        <f t="shared" si="33"/>
        <v>-28157.630096663244</v>
      </c>
      <c r="BQ15" s="278">
        <f t="shared" si="33"/>
        <v>-28230.030154086518</v>
      </c>
      <c r="BR15" s="278">
        <f t="shared" si="33"/>
        <v>-28302.616369517298</v>
      </c>
      <c r="BS15" s="278">
        <f t="shared" si="33"/>
        <v>-28375.389221612713</v>
      </c>
      <c r="BT15" s="278">
        <f t="shared" ref="BT15:BZ15" si="34">BS15*(1+$C$4)^(1/12)</f>
        <v>-28448.34919026064</v>
      </c>
      <c r="BU15" s="278">
        <f t="shared" si="34"/>
        <v>-28521.496756582859</v>
      </c>
      <c r="BV15" s="278">
        <f t="shared" si="34"/>
        <v>-28594.832402938231</v>
      </c>
      <c r="BW15" s="278">
        <f t="shared" si="34"/>
        <v>-28668.35661292588</v>
      </c>
      <c r="BX15" s="278">
        <f t="shared" si="34"/>
        <v>-28742.069871388376</v>
      </c>
      <c r="BY15" s="278">
        <f t="shared" si="34"/>
        <v>-28815.972664414941</v>
      </c>
      <c r="BZ15" s="279">
        <f t="shared" si="34"/>
        <v>-28890.065479344645</v>
      </c>
    </row>
    <row r="16" spans="2:78" x14ac:dyDescent="0.3">
      <c r="B16" s="3"/>
      <c r="C16" s="3"/>
      <c r="D16" s="3"/>
      <c r="E16" s="198" t="str">
        <f>Assumptions!G60</f>
        <v>Repairs &amp; Maintenance</v>
      </c>
      <c r="F16" s="222"/>
      <c r="G16" s="291">
        <f>-Assumptions!$I60/12*Assumptions!$C$36</f>
        <v>-8025</v>
      </c>
      <c r="H16" s="278">
        <f t="shared" ref="H16:AM16" si="35">G16*(1+$C$4)^(1/12)</f>
        <v>-8045.6342102949429</v>
      </c>
      <c r="I16" s="278">
        <f t="shared" si="35"/>
        <v>-8066.3214761206646</v>
      </c>
      <c r="J16" s="278">
        <f t="shared" si="35"/>
        <v>-8087.0619338957285</v>
      </c>
      <c r="K16" s="278">
        <f t="shared" si="35"/>
        <v>-8107.8557203894652</v>
      </c>
      <c r="L16" s="278">
        <f t="shared" si="35"/>
        <v>-8128.7029727228701</v>
      </c>
      <c r="M16" s="278">
        <f t="shared" si="35"/>
        <v>-8149.6038283695107</v>
      </c>
      <c r="N16" s="278">
        <f t="shared" si="35"/>
        <v>-8170.5584251564323</v>
      </c>
      <c r="O16" s="278">
        <f t="shared" si="35"/>
        <v>-8191.5669012650678</v>
      </c>
      <c r="P16" s="278">
        <f t="shared" si="35"/>
        <v>-8212.6293952321448</v>
      </c>
      <c r="Q16" s="278">
        <f t="shared" si="35"/>
        <v>-8233.7460459506055</v>
      </c>
      <c r="R16" s="278">
        <f t="shared" si="35"/>
        <v>-8254.9169926705181</v>
      </c>
      <c r="S16" s="278">
        <f t="shared" si="35"/>
        <v>-8276.1423749999958</v>
      </c>
      <c r="T16" s="278">
        <f t="shared" si="35"/>
        <v>-8297.4223329061188</v>
      </c>
      <c r="U16" s="278">
        <f t="shared" si="35"/>
        <v>-8318.7570067158558</v>
      </c>
      <c r="V16" s="278">
        <f t="shared" si="35"/>
        <v>-8340.1465371169907</v>
      </c>
      <c r="W16" s="278">
        <f t="shared" si="35"/>
        <v>-8361.5910651590475</v>
      </c>
      <c r="X16" s="278">
        <f t="shared" si="35"/>
        <v>-8383.0907322542262</v>
      </c>
      <c r="Y16" s="278">
        <f t="shared" si="35"/>
        <v>-8404.6456801783279</v>
      </c>
      <c r="Z16" s="278">
        <f t="shared" si="35"/>
        <v>-8426.2560510716976</v>
      </c>
      <c r="AA16" s="278">
        <f t="shared" si="35"/>
        <v>-8447.9219874401533</v>
      </c>
      <c r="AB16" s="278">
        <f t="shared" si="35"/>
        <v>-8469.6436321559304</v>
      </c>
      <c r="AC16" s="278">
        <f t="shared" si="35"/>
        <v>-8491.4211284586254</v>
      </c>
      <c r="AD16" s="278">
        <f t="shared" si="35"/>
        <v>-8513.2546199561384</v>
      </c>
      <c r="AE16" s="278">
        <f t="shared" si="35"/>
        <v>-8535.1442506256171</v>
      </c>
      <c r="AF16" s="278">
        <f t="shared" si="35"/>
        <v>-8557.0901648144118</v>
      </c>
      <c r="AG16" s="278">
        <f t="shared" si="35"/>
        <v>-8579.0925072410246</v>
      </c>
      <c r="AH16" s="278">
        <f t="shared" si="35"/>
        <v>-8601.151422996063</v>
      </c>
      <c r="AI16" s="278">
        <f t="shared" si="35"/>
        <v>-8623.2670575431966</v>
      </c>
      <c r="AJ16" s="278">
        <f t="shared" si="35"/>
        <v>-8645.4395567201191</v>
      </c>
      <c r="AK16" s="278">
        <f t="shared" si="35"/>
        <v>-8667.6690667395069</v>
      </c>
      <c r="AL16" s="278">
        <f t="shared" si="35"/>
        <v>-8689.9557341899836</v>
      </c>
      <c r="AM16" s="278">
        <f t="shared" si="35"/>
        <v>-8712.299706037089</v>
      </c>
      <c r="AN16" s="278">
        <f t="shared" ref="AN16:BS16" si="36">AM16*(1+$C$4)^(1/12)</f>
        <v>-8734.7011296242472</v>
      </c>
      <c r="AO16" s="278">
        <f t="shared" si="36"/>
        <v>-8757.1601526737359</v>
      </c>
      <c r="AP16" s="278">
        <f t="shared" si="36"/>
        <v>-8779.6769232876632</v>
      </c>
      <c r="AQ16" s="278">
        <f t="shared" si="36"/>
        <v>-8802.2515899489445</v>
      </c>
      <c r="AR16" s="278">
        <f t="shared" si="36"/>
        <v>-8824.8843015222774</v>
      </c>
      <c r="AS16" s="278">
        <f t="shared" si="36"/>
        <v>-8847.5752072551313</v>
      </c>
      <c r="AT16" s="278">
        <f t="shared" si="36"/>
        <v>-8870.3244567787242</v>
      </c>
      <c r="AU16" s="278">
        <f t="shared" si="36"/>
        <v>-8893.1322001090102</v>
      </c>
      <c r="AV16" s="278">
        <f t="shared" si="36"/>
        <v>-8915.9985876476749</v>
      </c>
      <c r="AW16" s="278">
        <f t="shared" si="36"/>
        <v>-8938.9237701831189</v>
      </c>
      <c r="AX16" s="278">
        <f t="shared" si="36"/>
        <v>-8961.9078988914589</v>
      </c>
      <c r="AY16" s="278">
        <f t="shared" si="36"/>
        <v>-8984.9511253375204</v>
      </c>
      <c r="AZ16" s="278">
        <f t="shared" si="36"/>
        <v>-9008.0536014758381</v>
      </c>
      <c r="BA16" s="278">
        <f t="shared" si="36"/>
        <v>-9031.2154796516606</v>
      </c>
      <c r="BB16" s="278">
        <f t="shared" si="36"/>
        <v>-9054.4369126019501</v>
      </c>
      <c r="BC16" s="278">
        <f t="shared" si="36"/>
        <v>-9077.7180534563959</v>
      </c>
      <c r="BD16" s="278">
        <f t="shared" si="36"/>
        <v>-9101.0590557384166</v>
      </c>
      <c r="BE16" s="278">
        <f t="shared" si="36"/>
        <v>-9124.4600733661809</v>
      </c>
      <c r="BF16" s="278">
        <f t="shared" si="36"/>
        <v>-9147.9212606536148</v>
      </c>
      <c r="BG16" s="278">
        <f t="shared" si="36"/>
        <v>-9171.4427723114222</v>
      </c>
      <c r="BH16" s="278">
        <f t="shared" si="36"/>
        <v>-9195.0247634481093</v>
      </c>
      <c r="BI16" s="278">
        <f t="shared" si="36"/>
        <v>-9218.6673895709991</v>
      </c>
      <c r="BJ16" s="278">
        <f t="shared" si="36"/>
        <v>-9242.3708065872652</v>
      </c>
      <c r="BK16" s="278">
        <f t="shared" si="36"/>
        <v>-9266.1351708049551</v>
      </c>
      <c r="BL16" s="278">
        <f t="shared" si="36"/>
        <v>-9289.9606389340224</v>
      </c>
      <c r="BM16" s="278">
        <f t="shared" si="36"/>
        <v>-9313.8473680873576</v>
      </c>
      <c r="BN16" s="278">
        <f t="shared" si="36"/>
        <v>-9337.7955157818269</v>
      </c>
      <c r="BO16" s="278">
        <f t="shared" si="36"/>
        <v>-9361.8052399393127</v>
      </c>
      <c r="BP16" s="278">
        <f t="shared" si="36"/>
        <v>-9385.8766988877505</v>
      </c>
      <c r="BQ16" s="278">
        <f t="shared" si="36"/>
        <v>-9410.0100513621746</v>
      </c>
      <c r="BR16" s="278">
        <f t="shared" si="36"/>
        <v>-9434.2054565057679</v>
      </c>
      <c r="BS16" s="278">
        <f t="shared" si="36"/>
        <v>-9458.4630738709075</v>
      </c>
      <c r="BT16" s="278">
        <f t="shared" ref="BT16:BZ16" si="37">BS16*(1+$C$4)^(1/12)</f>
        <v>-9482.7830634202164</v>
      </c>
      <c r="BU16" s="278">
        <f t="shared" si="37"/>
        <v>-9507.1655855276222</v>
      </c>
      <c r="BV16" s="278">
        <f t="shared" si="37"/>
        <v>-9531.6108009794134</v>
      </c>
      <c r="BW16" s="278">
        <f t="shared" si="37"/>
        <v>-9556.1188709752969</v>
      </c>
      <c r="BX16" s="278">
        <f t="shared" si="37"/>
        <v>-9580.6899571294616</v>
      </c>
      <c r="BY16" s="278">
        <f t="shared" si="37"/>
        <v>-9605.3242214716502</v>
      </c>
      <c r="BZ16" s="279">
        <f t="shared" si="37"/>
        <v>-9630.0218264482173</v>
      </c>
    </row>
    <row r="17" spans="2:78" x14ac:dyDescent="0.3">
      <c r="B17" s="3"/>
      <c r="C17" s="3"/>
      <c r="D17" s="3"/>
      <c r="E17" s="198" t="str">
        <f>Assumptions!G61</f>
        <v>Contract Services</v>
      </c>
      <c r="F17" s="222"/>
      <c r="G17" s="291">
        <f>-Assumptions!$I61/12*Assumptions!$C$36</f>
        <v>-13553.333333333334</v>
      </c>
      <c r="H17" s="278">
        <f t="shared" ref="H17:AM17" si="38">G17*(1+$C$4)^(1/12)</f>
        <v>-13588.182221831459</v>
      </c>
      <c r="I17" s="278">
        <f t="shared" si="38"/>
        <v>-13623.12071522601</v>
      </c>
      <c r="J17" s="278">
        <f t="shared" si="38"/>
        <v>-13658.149043912785</v>
      </c>
      <c r="K17" s="278">
        <f t="shared" si="38"/>
        <v>-13693.267438879984</v>
      </c>
      <c r="L17" s="278">
        <f t="shared" si="38"/>
        <v>-13728.476131709735</v>
      </c>
      <c r="M17" s="278">
        <f t="shared" si="38"/>
        <v>-13763.775354579617</v>
      </c>
      <c r="N17" s="278">
        <f t="shared" si="38"/>
        <v>-13799.165340264197</v>
      </c>
      <c r="O17" s="278">
        <f t="shared" si="38"/>
        <v>-13834.646322136558</v>
      </c>
      <c r="P17" s="278">
        <f t="shared" si="38"/>
        <v>-13870.218534169844</v>
      </c>
      <c r="Q17" s="278">
        <f t="shared" si="38"/>
        <v>-13905.8822109388</v>
      </c>
      <c r="R17" s="278">
        <f t="shared" si="38"/>
        <v>-13941.637587621321</v>
      </c>
      <c r="S17" s="278">
        <f t="shared" si="38"/>
        <v>-13977.484899999994</v>
      </c>
      <c r="T17" s="278">
        <f t="shared" si="38"/>
        <v>-14013.424384463669</v>
      </c>
      <c r="U17" s="278">
        <f t="shared" si="38"/>
        <v>-14049.456278009004</v>
      </c>
      <c r="V17" s="278">
        <f t="shared" si="38"/>
        <v>-14085.580818242031</v>
      </c>
      <c r="W17" s="278">
        <f t="shared" si="38"/>
        <v>-14121.79824337973</v>
      </c>
      <c r="X17" s="278">
        <f t="shared" si="38"/>
        <v>-14158.108792251587</v>
      </c>
      <c r="Y17" s="278">
        <f t="shared" si="38"/>
        <v>-14194.512704301182</v>
      </c>
      <c r="Z17" s="278">
        <f t="shared" si="38"/>
        <v>-14231.010219587761</v>
      </c>
      <c r="AA17" s="278">
        <f t="shared" si="38"/>
        <v>-14267.601578787819</v>
      </c>
      <c r="AB17" s="278">
        <f t="shared" si="38"/>
        <v>-14304.287023196686</v>
      </c>
      <c r="AC17" s="278">
        <f t="shared" si="38"/>
        <v>-14341.066794730128</v>
      </c>
      <c r="AD17" s="278">
        <f t="shared" si="38"/>
        <v>-14377.941135925927</v>
      </c>
      <c r="AE17" s="278">
        <f t="shared" si="38"/>
        <v>-14414.910289945492</v>
      </c>
      <c r="AF17" s="278">
        <f t="shared" si="38"/>
        <v>-14451.974500575458</v>
      </c>
      <c r="AG17" s="278">
        <f t="shared" si="38"/>
        <v>-14489.134012229293</v>
      </c>
      <c r="AH17" s="278">
        <f t="shared" si="38"/>
        <v>-14526.389069948913</v>
      </c>
      <c r="AI17" s="278">
        <f t="shared" si="38"/>
        <v>-14563.739919406295</v>
      </c>
      <c r="AJ17" s="278">
        <f t="shared" si="38"/>
        <v>-14601.186806905096</v>
      </c>
      <c r="AK17" s="278">
        <f t="shared" si="38"/>
        <v>-14638.729979382284</v>
      </c>
      <c r="AL17" s="278">
        <f t="shared" si="38"/>
        <v>-14676.369684409756</v>
      </c>
      <c r="AM17" s="278">
        <f t="shared" si="38"/>
        <v>-14714.106170195979</v>
      </c>
      <c r="AN17" s="278">
        <f t="shared" ref="AN17:BS17" si="39">AM17*(1+$C$4)^(1/12)</f>
        <v>-14751.939685587622</v>
      </c>
      <c r="AO17" s="278">
        <f t="shared" si="39"/>
        <v>-14789.870480071202</v>
      </c>
      <c r="AP17" s="278">
        <f t="shared" si="39"/>
        <v>-14827.898803774724</v>
      </c>
      <c r="AQ17" s="278">
        <f t="shared" si="39"/>
        <v>-14866.024907469331</v>
      </c>
      <c r="AR17" s="278">
        <f t="shared" si="39"/>
        <v>-14904.249042570962</v>
      </c>
      <c r="AS17" s="278">
        <f t="shared" si="39"/>
        <v>-14942.571461142004</v>
      </c>
      <c r="AT17" s="278">
        <f t="shared" si="39"/>
        <v>-14980.992415892961</v>
      </c>
      <c r="AU17" s="278">
        <f t="shared" si="39"/>
        <v>-15019.512160184111</v>
      </c>
      <c r="AV17" s="278">
        <f t="shared" si="39"/>
        <v>-15058.130948027188</v>
      </c>
      <c r="AW17" s="278">
        <f t="shared" si="39"/>
        <v>-15096.849034087048</v>
      </c>
      <c r="AX17" s="278">
        <f t="shared" si="39"/>
        <v>-15135.666673683356</v>
      </c>
      <c r="AY17" s="278">
        <f t="shared" si="39"/>
        <v>-15174.584122792259</v>
      </c>
      <c r="AZ17" s="278">
        <f t="shared" si="39"/>
        <v>-15213.601638048085</v>
      </c>
      <c r="BA17" s="278">
        <f t="shared" si="39"/>
        <v>-15252.719476745029</v>
      </c>
      <c r="BB17" s="278">
        <f t="shared" si="39"/>
        <v>-15291.937896838852</v>
      </c>
      <c r="BC17" s="278">
        <f t="shared" si="39"/>
        <v>-15331.257156948583</v>
      </c>
      <c r="BD17" s="278">
        <f t="shared" si="39"/>
        <v>-15370.677516358219</v>
      </c>
      <c r="BE17" s="278">
        <f t="shared" si="39"/>
        <v>-15410.199235018441</v>
      </c>
      <c r="BF17" s="278">
        <f t="shared" si="39"/>
        <v>-15449.822573548328</v>
      </c>
      <c r="BG17" s="278">
        <f t="shared" si="39"/>
        <v>-15489.54779323707</v>
      </c>
      <c r="BH17" s="278">
        <f t="shared" si="39"/>
        <v>-15529.375156045697</v>
      </c>
      <c r="BI17" s="278">
        <f t="shared" si="39"/>
        <v>-15569.304924608801</v>
      </c>
      <c r="BJ17" s="278">
        <f t="shared" si="39"/>
        <v>-15609.337362236274</v>
      </c>
      <c r="BK17" s="278">
        <f t="shared" si="39"/>
        <v>-15649.472732915039</v>
      </c>
      <c r="BL17" s="278">
        <f t="shared" si="39"/>
        <v>-15689.711301310796</v>
      </c>
      <c r="BM17" s="278">
        <f t="shared" si="39"/>
        <v>-15730.053332769759</v>
      </c>
      <c r="BN17" s="278">
        <f t="shared" si="39"/>
        <v>-15770.499093320419</v>
      </c>
      <c r="BO17" s="278">
        <f t="shared" si="39"/>
        <v>-15811.048849675282</v>
      </c>
      <c r="BP17" s="278">
        <f t="shared" si="39"/>
        <v>-15851.702869232642</v>
      </c>
      <c r="BQ17" s="278">
        <f t="shared" si="39"/>
        <v>-15892.461420078336</v>
      </c>
      <c r="BR17" s="278">
        <f t="shared" si="39"/>
        <v>-15933.324770987516</v>
      </c>
      <c r="BS17" s="278">
        <f t="shared" si="39"/>
        <v>-15974.293191426417</v>
      </c>
      <c r="BT17" s="278">
        <f t="shared" ref="BT17:BZ17" si="40">BS17*(1+$C$4)^(1/12)</f>
        <v>-16015.366951554139</v>
      </c>
      <c r="BU17" s="278">
        <f t="shared" si="40"/>
        <v>-16056.546322224425</v>
      </c>
      <c r="BV17" s="278">
        <f t="shared" si="40"/>
        <v>-16097.831574987449</v>
      </c>
      <c r="BW17" s="278">
        <f t="shared" si="40"/>
        <v>-16139.222982091607</v>
      </c>
      <c r="BX17" s="278">
        <f t="shared" si="40"/>
        <v>-16180.720816485309</v>
      </c>
      <c r="BY17" s="278">
        <f t="shared" si="40"/>
        <v>-16222.325351818783</v>
      </c>
      <c r="BZ17" s="279">
        <f t="shared" si="40"/>
        <v>-16264.036862445875</v>
      </c>
    </row>
    <row r="18" spans="2:78" x14ac:dyDescent="0.3">
      <c r="B18" s="3"/>
      <c r="C18" s="3"/>
      <c r="D18" s="3"/>
      <c r="E18" s="198" t="str">
        <f>Assumptions!G62</f>
        <v>Marketing</v>
      </c>
      <c r="F18" s="222"/>
      <c r="G18" s="291">
        <f>-Assumptions!$I62/12*Assumptions!$C$36</f>
        <v>-8916.6666666666661</v>
      </c>
      <c r="H18" s="278">
        <f t="shared" ref="H18:AM18" si="41">G18*(1+$C$4)^(1/12)</f>
        <v>-8939.593566994381</v>
      </c>
      <c r="I18" s="278">
        <f t="shared" si="41"/>
        <v>-8962.5794179118493</v>
      </c>
      <c r="J18" s="278">
        <f t="shared" si="41"/>
        <v>-8985.6243709952541</v>
      </c>
      <c r="K18" s="278">
        <f t="shared" si="41"/>
        <v>-9008.7285782105173</v>
      </c>
      <c r="L18" s="278">
        <f t="shared" si="41"/>
        <v>-9031.8921919143013</v>
      </c>
      <c r="M18" s="278">
        <f t="shared" si="41"/>
        <v>-9055.1153648550135</v>
      </c>
      <c r="N18" s="278">
        <f t="shared" si="41"/>
        <v>-9078.3982501738155</v>
      </c>
      <c r="O18" s="278">
        <f t="shared" si="41"/>
        <v>-9101.7410014056331</v>
      </c>
      <c r="P18" s="278">
        <f t="shared" si="41"/>
        <v>-9125.1437724801635</v>
      </c>
      <c r="Q18" s="278">
        <f t="shared" si="41"/>
        <v>-9148.6067177228979</v>
      </c>
      <c r="R18" s="278">
        <f t="shared" si="41"/>
        <v>-9172.1299918561344</v>
      </c>
      <c r="S18" s="278">
        <f t="shared" si="41"/>
        <v>-9195.713749999999</v>
      </c>
      <c r="T18" s="278">
        <f t="shared" si="41"/>
        <v>-9219.3581476734689</v>
      </c>
      <c r="U18" s="278">
        <f t="shared" si="41"/>
        <v>-9243.0633407953992</v>
      </c>
      <c r="V18" s="278">
        <f t="shared" si="41"/>
        <v>-9266.8294856855482</v>
      </c>
      <c r="W18" s="278">
        <f t="shared" si="41"/>
        <v>-9290.6567390656128</v>
      </c>
      <c r="X18" s="278">
        <f t="shared" si="41"/>
        <v>-9314.5452580602559</v>
      </c>
      <c r="Y18" s="278">
        <f t="shared" si="41"/>
        <v>-9338.4952001981474</v>
      </c>
      <c r="Z18" s="278">
        <f t="shared" si="41"/>
        <v>-9362.506723413002</v>
      </c>
      <c r="AA18" s="278">
        <f t="shared" si="41"/>
        <v>-9386.5799860446186</v>
      </c>
      <c r="AB18" s="278">
        <f t="shared" si="41"/>
        <v>-9410.7151468399261</v>
      </c>
      <c r="AC18" s="278">
        <f t="shared" si="41"/>
        <v>-9434.9123649540325</v>
      </c>
      <c r="AD18" s="278">
        <f t="shared" si="41"/>
        <v>-9459.1717999512693</v>
      </c>
      <c r="AE18" s="278">
        <f t="shared" si="41"/>
        <v>-9483.4936118062469</v>
      </c>
      <c r="AF18" s="278">
        <f t="shared" si="41"/>
        <v>-9507.8779609049088</v>
      </c>
      <c r="AG18" s="278">
        <f t="shared" si="41"/>
        <v>-9532.3250080455891</v>
      </c>
      <c r="AH18" s="278">
        <f t="shared" si="41"/>
        <v>-9556.8349144400763</v>
      </c>
      <c r="AI18" s="278">
        <f t="shared" si="41"/>
        <v>-9581.4078417146702</v>
      </c>
      <c r="AJ18" s="278">
        <f t="shared" si="41"/>
        <v>-9606.0439519112497</v>
      </c>
      <c r="AK18" s="278">
        <f t="shared" si="41"/>
        <v>-9630.7434074883458</v>
      </c>
      <c r="AL18" s="278">
        <f t="shared" si="41"/>
        <v>-9655.5063713222098</v>
      </c>
      <c r="AM18" s="278">
        <f t="shared" si="41"/>
        <v>-9680.3330067078823</v>
      </c>
      <c r="AN18" s="278">
        <f t="shared" ref="AN18:BS18" si="42">AM18*(1+$C$4)^(1/12)</f>
        <v>-9705.2234773602795</v>
      </c>
      <c r="AO18" s="278">
        <f t="shared" si="42"/>
        <v>-9730.1779474152663</v>
      </c>
      <c r="AP18" s="278">
        <f t="shared" si="42"/>
        <v>-9755.1965814307405</v>
      </c>
      <c r="AQ18" s="278">
        <f t="shared" si="42"/>
        <v>-9780.2795443877185</v>
      </c>
      <c r="AR18" s="278">
        <f t="shared" si="42"/>
        <v>-9805.4270016914234</v>
      </c>
      <c r="AS18" s="278">
        <f t="shared" si="42"/>
        <v>-9830.6391191723724</v>
      </c>
      <c r="AT18" s="278">
        <f t="shared" si="42"/>
        <v>-9855.916063087474</v>
      </c>
      <c r="AU18" s="278">
        <f t="shared" si="42"/>
        <v>-9881.2580001211263</v>
      </c>
      <c r="AV18" s="278">
        <f t="shared" si="42"/>
        <v>-9906.6650973863088</v>
      </c>
      <c r="AW18" s="278">
        <f t="shared" si="42"/>
        <v>-9932.1375224256917</v>
      </c>
      <c r="AX18" s="278">
        <f t="shared" si="42"/>
        <v>-9957.6754432127364</v>
      </c>
      <c r="AY18" s="278">
        <f t="shared" si="42"/>
        <v>-9983.2790281528032</v>
      </c>
      <c r="AZ18" s="278">
        <f t="shared" si="42"/>
        <v>-10008.948446084267</v>
      </c>
      <c r="BA18" s="278">
        <f t="shared" si="42"/>
        <v>-10034.683866279625</v>
      </c>
      <c r="BB18" s="278">
        <f t="shared" si="42"/>
        <v>-10060.485458446614</v>
      </c>
      <c r="BC18" s="278">
        <f t="shared" si="42"/>
        <v>-10086.35339272933</v>
      </c>
      <c r="BD18" s="278">
        <f t="shared" si="42"/>
        <v>-10112.287839709354</v>
      </c>
      <c r="BE18" s="278">
        <f t="shared" si="42"/>
        <v>-10138.288970406869</v>
      </c>
      <c r="BF18" s="278">
        <f t="shared" si="42"/>
        <v>-10164.356956281796</v>
      </c>
      <c r="BG18" s="278">
        <f t="shared" si="42"/>
        <v>-10190.491969234916</v>
      </c>
      <c r="BH18" s="278">
        <f t="shared" si="42"/>
        <v>-10216.694181609011</v>
      </c>
      <c r="BI18" s="278">
        <f t="shared" si="42"/>
        <v>-10242.963766190001</v>
      </c>
      <c r="BJ18" s="278">
        <f t="shared" si="42"/>
        <v>-10269.300896208077</v>
      </c>
      <c r="BK18" s="278">
        <f t="shared" si="42"/>
        <v>-10295.705745338844</v>
      </c>
      <c r="BL18" s="278">
        <f t="shared" si="42"/>
        <v>-10322.178487704474</v>
      </c>
      <c r="BM18" s="278">
        <f t="shared" si="42"/>
        <v>-10348.719297874846</v>
      </c>
      <c r="BN18" s="278">
        <f t="shared" si="42"/>
        <v>-10375.328350868702</v>
      </c>
      <c r="BO18" s="278">
        <f t="shared" si="42"/>
        <v>-10402.005822154797</v>
      </c>
      <c r="BP18" s="278">
        <f t="shared" si="42"/>
        <v>-10428.751887653061</v>
      </c>
      <c r="BQ18" s="278">
        <f t="shared" si="42"/>
        <v>-10455.566723735756</v>
      </c>
      <c r="BR18" s="278">
        <f t="shared" si="42"/>
        <v>-10482.450507228637</v>
      </c>
      <c r="BS18" s="278">
        <f t="shared" si="42"/>
        <v>-10509.403415412125</v>
      </c>
      <c r="BT18" s="278">
        <f t="shared" ref="BT18:BZ18" si="43">BS18*(1+$C$4)^(1/12)</f>
        <v>-10536.425626022468</v>
      </c>
      <c r="BU18" s="278">
        <f t="shared" si="43"/>
        <v>-10563.517317252919</v>
      </c>
      <c r="BV18" s="278">
        <f t="shared" si="43"/>
        <v>-10590.67866775491</v>
      </c>
      <c r="BW18" s="278">
        <f t="shared" si="43"/>
        <v>-10617.909856639224</v>
      </c>
      <c r="BX18" s="278">
        <f t="shared" si="43"/>
        <v>-10645.211063477185</v>
      </c>
      <c r="BY18" s="278">
        <f t="shared" si="43"/>
        <v>-10672.582468301838</v>
      </c>
      <c r="BZ18" s="279">
        <f t="shared" si="43"/>
        <v>-10700.024251609137</v>
      </c>
    </row>
    <row r="19" spans="2:78" x14ac:dyDescent="0.3">
      <c r="B19" s="3"/>
      <c r="C19" s="3"/>
      <c r="D19" s="3"/>
      <c r="E19" s="198" t="str">
        <f>Assumptions!G63</f>
        <v>General &amp; Administrative</v>
      </c>
      <c r="F19" s="222"/>
      <c r="G19" s="291">
        <f>-Assumptions!$I63/12*Assumptions!$C$36</f>
        <v>-5528.333333333333</v>
      </c>
      <c r="H19" s="278">
        <f t="shared" ref="H19:AM19" si="44">G19*(1+$C$4)^(1/12)</f>
        <v>-5542.5480115365162</v>
      </c>
      <c r="I19" s="278">
        <f t="shared" si="44"/>
        <v>-5556.7992391053467</v>
      </c>
      <c r="J19" s="278">
        <f t="shared" si="44"/>
        <v>-5571.087110017058</v>
      </c>
      <c r="K19" s="278">
        <f t="shared" si="44"/>
        <v>-5585.4117184905208</v>
      </c>
      <c r="L19" s="278">
        <f t="shared" si="44"/>
        <v>-5599.7731589868663</v>
      </c>
      <c r="M19" s="278">
        <f t="shared" si="44"/>
        <v>-5614.1715262101079</v>
      </c>
      <c r="N19" s="278">
        <f t="shared" si="44"/>
        <v>-5628.6069151077654</v>
      </c>
      <c r="O19" s="278">
        <f t="shared" si="44"/>
        <v>-5643.0794208714915</v>
      </c>
      <c r="P19" s="278">
        <f t="shared" si="44"/>
        <v>-5657.5891389377002</v>
      </c>
      <c r="Q19" s="278">
        <f t="shared" si="44"/>
        <v>-5672.1361649881956</v>
      </c>
      <c r="R19" s="278">
        <f t="shared" si="44"/>
        <v>-5686.7205949508025</v>
      </c>
      <c r="S19" s="278">
        <f t="shared" si="44"/>
        <v>-5701.3425249999982</v>
      </c>
      <c r="T19" s="278">
        <f t="shared" si="44"/>
        <v>-5716.0020515575497</v>
      </c>
      <c r="U19" s="278">
        <f t="shared" si="44"/>
        <v>-5730.6992712931469</v>
      </c>
      <c r="V19" s="278">
        <f t="shared" si="44"/>
        <v>-5745.4342811250399</v>
      </c>
      <c r="W19" s="278">
        <f t="shared" si="44"/>
        <v>-5760.2071782206795</v>
      </c>
      <c r="X19" s="278">
        <f t="shared" si="44"/>
        <v>-5775.0180599973583</v>
      </c>
      <c r="Y19" s="278">
        <f t="shared" si="44"/>
        <v>-5789.867024122851</v>
      </c>
      <c r="Z19" s="278">
        <f t="shared" si="44"/>
        <v>-5804.7541685160604</v>
      </c>
      <c r="AA19" s="278">
        <f t="shared" si="44"/>
        <v>-5819.6795913476626</v>
      </c>
      <c r="AB19" s="278">
        <f t="shared" si="44"/>
        <v>-5834.6433910407541</v>
      </c>
      <c r="AC19" s="278">
        <f t="shared" si="44"/>
        <v>-5849.6456662715</v>
      </c>
      <c r="AD19" s="278">
        <f t="shared" si="44"/>
        <v>-5864.6865159697863</v>
      </c>
      <c r="AE19" s="278">
        <f t="shared" si="44"/>
        <v>-5879.7660393198721</v>
      </c>
      <c r="AF19" s="278">
        <f t="shared" si="44"/>
        <v>-5894.8843357610422</v>
      </c>
      <c r="AG19" s="278">
        <f t="shared" si="44"/>
        <v>-5910.0415049882649</v>
      </c>
      <c r="AH19" s="278">
        <f t="shared" si="44"/>
        <v>-5925.2376469528472</v>
      </c>
      <c r="AI19" s="278">
        <f t="shared" si="44"/>
        <v>-5940.4728618630952</v>
      </c>
      <c r="AJ19" s="278">
        <f t="shared" si="44"/>
        <v>-5955.7472501849752</v>
      </c>
      <c r="AK19" s="278">
        <f t="shared" si="44"/>
        <v>-5971.0609126427753</v>
      </c>
      <c r="AL19" s="278">
        <f t="shared" si="44"/>
        <v>-5986.4139502197704</v>
      </c>
      <c r="AM19" s="278">
        <f t="shared" si="44"/>
        <v>-6001.806464158888</v>
      </c>
      <c r="AN19" s="278">
        <f t="shared" ref="AN19:BS19" si="45">AM19*(1+$C$4)^(1/12)</f>
        <v>-6017.2385559633749</v>
      </c>
      <c r="AO19" s="278">
        <f t="shared" si="45"/>
        <v>-6032.7103273974672</v>
      </c>
      <c r="AP19" s="278">
        <f t="shared" si="45"/>
        <v>-6048.2218804870618</v>
      </c>
      <c r="AQ19" s="278">
        <f t="shared" si="45"/>
        <v>-6063.7733175203884</v>
      </c>
      <c r="AR19" s="278">
        <f t="shared" si="45"/>
        <v>-6079.3647410486847</v>
      </c>
      <c r="AS19" s="278">
        <f t="shared" si="45"/>
        <v>-6094.9962538868731</v>
      </c>
      <c r="AT19" s="278">
        <f t="shared" si="45"/>
        <v>-6110.6679591142365</v>
      </c>
      <c r="AU19" s="278">
        <f t="shared" si="45"/>
        <v>-6126.3799600751008</v>
      </c>
      <c r="AV19" s="278">
        <f t="shared" si="45"/>
        <v>-6142.1323603795136</v>
      </c>
      <c r="AW19" s="278">
        <f t="shared" si="45"/>
        <v>-6157.9252639039305</v>
      </c>
      <c r="AX19" s="278">
        <f t="shared" si="45"/>
        <v>-6173.7587747918978</v>
      </c>
      <c r="AY19" s="278">
        <f t="shared" si="45"/>
        <v>-6189.6329974547398</v>
      </c>
      <c r="AZ19" s="278">
        <f t="shared" si="45"/>
        <v>-6205.5480365722478</v>
      </c>
      <c r="BA19" s="278">
        <f t="shared" si="45"/>
        <v>-6221.5039970933694</v>
      </c>
      <c r="BB19" s="278">
        <f t="shared" si="45"/>
        <v>-6237.5009842369027</v>
      </c>
      <c r="BC19" s="278">
        <f t="shared" si="45"/>
        <v>-6253.5391034921877</v>
      </c>
      <c r="BD19" s="278">
        <f t="shared" si="45"/>
        <v>-6269.6184606198021</v>
      </c>
      <c r="BE19" s="278">
        <f t="shared" si="45"/>
        <v>-6285.7391616522618</v>
      </c>
      <c r="BF19" s="278">
        <f t="shared" si="45"/>
        <v>-6301.9013128947154</v>
      </c>
      <c r="BG19" s="278">
        <f t="shared" si="45"/>
        <v>-6318.10502092565</v>
      </c>
      <c r="BH19" s="278">
        <f t="shared" si="45"/>
        <v>-6334.3503925975892</v>
      </c>
      <c r="BI19" s="278">
        <f t="shared" si="45"/>
        <v>-6350.637535037803</v>
      </c>
      <c r="BJ19" s="278">
        <f t="shared" si="45"/>
        <v>-6366.966555649009</v>
      </c>
      <c r="BK19" s="278">
        <f t="shared" si="45"/>
        <v>-6383.3375621100849</v>
      </c>
      <c r="BL19" s="278">
        <f t="shared" si="45"/>
        <v>-6399.7506623767749</v>
      </c>
      <c r="BM19" s="278">
        <f t="shared" si="45"/>
        <v>-6416.2059646824055</v>
      </c>
      <c r="BN19" s="278">
        <f t="shared" si="45"/>
        <v>-6432.7035775385957</v>
      </c>
      <c r="BO19" s="278">
        <f t="shared" si="45"/>
        <v>-6449.2436097359741</v>
      </c>
      <c r="BP19" s="278">
        <f t="shared" si="45"/>
        <v>-6465.8261703448979</v>
      </c>
      <c r="BQ19" s="278">
        <f t="shared" si="45"/>
        <v>-6482.451368716168</v>
      </c>
      <c r="BR19" s="278">
        <f t="shared" si="45"/>
        <v>-6499.1193144817544</v>
      </c>
      <c r="BS19" s="278">
        <f t="shared" si="45"/>
        <v>-6515.8301175555171</v>
      </c>
      <c r="BT19" s="278">
        <f t="shared" ref="BT19:BZ19" si="46">BS19*(1+$C$4)^(1/12)</f>
        <v>-6532.5838881339305</v>
      </c>
      <c r="BU19" s="278">
        <f t="shared" si="46"/>
        <v>-6549.3807366968103</v>
      </c>
      <c r="BV19" s="278">
        <f t="shared" si="46"/>
        <v>-6566.2207740080439</v>
      </c>
      <c r="BW19" s="278">
        <f t="shared" si="46"/>
        <v>-6583.1041111163186</v>
      </c>
      <c r="BX19" s="278">
        <f t="shared" si="46"/>
        <v>-6600.0308593558548</v>
      </c>
      <c r="BY19" s="278">
        <f t="shared" si="46"/>
        <v>-6617.0011303471401</v>
      </c>
      <c r="BZ19" s="279">
        <f t="shared" si="46"/>
        <v>-6634.0150359976642</v>
      </c>
    </row>
    <row r="20" spans="2:78" x14ac:dyDescent="0.3">
      <c r="B20" s="3"/>
      <c r="C20" s="3"/>
      <c r="D20" s="3"/>
      <c r="E20" s="198" t="str">
        <f>Assumptions!G64</f>
        <v>Utilities</v>
      </c>
      <c r="F20" s="222"/>
      <c r="G20" s="291">
        <f>-Assumptions!$I64/12*Assumptions!$C$36</f>
        <v>-10878.333333333334</v>
      </c>
      <c r="H20" s="278">
        <f t="shared" ref="H20:AM20" si="47">G20*(1+$C$4)^(1/12)</f>
        <v>-10906.304151733146</v>
      </c>
      <c r="I20" s="278">
        <f t="shared" si="47"/>
        <v>-10934.346889852457</v>
      </c>
      <c r="J20" s="278">
        <f t="shared" si="47"/>
        <v>-10962.461732614211</v>
      </c>
      <c r="K20" s="278">
        <f t="shared" si="47"/>
        <v>-10990.648865416832</v>
      </c>
      <c r="L20" s="278">
        <f t="shared" si="47"/>
        <v>-11018.908474135447</v>
      </c>
      <c r="M20" s="278">
        <f t="shared" si="47"/>
        <v>-11047.240745123116</v>
      </c>
      <c r="N20" s="278">
        <f t="shared" si="47"/>
        <v>-11075.645865212055</v>
      </c>
      <c r="O20" s="278">
        <f t="shared" si="47"/>
        <v>-11104.124021714872</v>
      </c>
      <c r="P20" s="278">
        <f t="shared" si="47"/>
        <v>-11132.675402425799</v>
      </c>
      <c r="Q20" s="278">
        <f t="shared" si="47"/>
        <v>-11161.300195621936</v>
      </c>
      <c r="R20" s="278">
        <f t="shared" si="47"/>
        <v>-11189.998590064484</v>
      </c>
      <c r="S20" s="278">
        <f t="shared" si="47"/>
        <v>-11218.770774999999</v>
      </c>
      <c r="T20" s="278">
        <f t="shared" si="47"/>
        <v>-11247.616940161633</v>
      </c>
      <c r="U20" s="278">
        <f t="shared" si="47"/>
        <v>-11276.537275770388</v>
      </c>
      <c r="V20" s="278">
        <f t="shared" si="47"/>
        <v>-11305.531972536372</v>
      </c>
      <c r="W20" s="278">
        <f t="shared" si="47"/>
        <v>-11334.60122166005</v>
      </c>
      <c r="X20" s="278">
        <f t="shared" si="47"/>
        <v>-11363.745214833514</v>
      </c>
      <c r="Y20" s="278">
        <f t="shared" si="47"/>
        <v>-11392.964144241741</v>
      </c>
      <c r="Z20" s="278">
        <f t="shared" si="47"/>
        <v>-11422.258202563864</v>
      </c>
      <c r="AA20" s="278">
        <f t="shared" si="47"/>
        <v>-11451.627582974435</v>
      </c>
      <c r="AB20" s="278">
        <f t="shared" si="47"/>
        <v>-11481.072479144712</v>
      </c>
      <c r="AC20" s="278">
        <f t="shared" si="47"/>
        <v>-11510.593085243921</v>
      </c>
      <c r="AD20" s="278">
        <f t="shared" si="47"/>
        <v>-11540.18959594055</v>
      </c>
      <c r="AE20" s="278">
        <f t="shared" si="47"/>
        <v>-11569.862206403623</v>
      </c>
      <c r="AF20" s="278">
        <f t="shared" si="47"/>
        <v>-11599.61111230399</v>
      </c>
      <c r="AG20" s="278">
        <f t="shared" si="47"/>
        <v>-11629.436509815621</v>
      </c>
      <c r="AH20" s="278">
        <f t="shared" si="47"/>
        <v>-11659.338595616895</v>
      </c>
      <c r="AI20" s="278">
        <f t="shared" si="47"/>
        <v>-11689.317566891899</v>
      </c>
      <c r="AJ20" s="278">
        <f t="shared" si="47"/>
        <v>-11719.373621331728</v>
      </c>
      <c r="AK20" s="278">
        <f t="shared" si="47"/>
        <v>-11749.506957135785</v>
      </c>
      <c r="AL20" s="278">
        <f t="shared" si="47"/>
        <v>-11779.717773013099</v>
      </c>
      <c r="AM20" s="278">
        <f t="shared" si="47"/>
        <v>-11810.006268183621</v>
      </c>
      <c r="AN20" s="278">
        <f t="shared" ref="AN20:BS20" si="48">AM20*(1+$C$4)^(1/12)</f>
        <v>-11840.372642379545</v>
      </c>
      <c r="AO20" s="278">
        <f t="shared" si="48"/>
        <v>-11870.817095846629</v>
      </c>
      <c r="AP20" s="278">
        <f t="shared" si="48"/>
        <v>-11901.339829345508</v>
      </c>
      <c r="AQ20" s="278">
        <f t="shared" si="48"/>
        <v>-11931.941044153022</v>
      </c>
      <c r="AR20" s="278">
        <f t="shared" si="48"/>
        <v>-11962.62094206354</v>
      </c>
      <c r="AS20" s="278">
        <f t="shared" si="48"/>
        <v>-11993.379725390298</v>
      </c>
      <c r="AT20" s="278">
        <f t="shared" si="48"/>
        <v>-12024.217596966722</v>
      </c>
      <c r="AU20" s="278">
        <f t="shared" si="48"/>
        <v>-12055.134760147777</v>
      </c>
      <c r="AV20" s="278">
        <f t="shared" si="48"/>
        <v>-12086.131418811299</v>
      </c>
      <c r="AW20" s="278">
        <f t="shared" si="48"/>
        <v>-12117.207777359345</v>
      </c>
      <c r="AX20" s="278">
        <f t="shared" si="48"/>
        <v>-12148.364040719538</v>
      </c>
      <c r="AY20" s="278">
        <f t="shared" si="48"/>
        <v>-12179.60041434642</v>
      </c>
      <c r="AZ20" s="278">
        <f t="shared" si="48"/>
        <v>-12210.917104222806</v>
      </c>
      <c r="BA20" s="278">
        <f t="shared" si="48"/>
        <v>-12242.314316861142</v>
      </c>
      <c r="BB20" s="278">
        <f t="shared" si="48"/>
        <v>-12273.792259304868</v>
      </c>
      <c r="BC20" s="278">
        <f t="shared" si="48"/>
        <v>-12305.351139129783</v>
      </c>
      <c r="BD20" s="278">
        <f t="shared" si="48"/>
        <v>-12336.991164445411</v>
      </c>
      <c r="BE20" s="278">
        <f t="shared" si="48"/>
        <v>-12368.712543896379</v>
      </c>
      <c r="BF20" s="278">
        <f t="shared" si="48"/>
        <v>-12400.515486663789</v>
      </c>
      <c r="BG20" s="278">
        <f t="shared" si="48"/>
        <v>-12432.400202466595</v>
      </c>
      <c r="BH20" s="278">
        <f t="shared" si="48"/>
        <v>-12464.366901562993</v>
      </c>
      <c r="BI20" s="278">
        <f t="shared" si="48"/>
        <v>-12496.4157947518</v>
      </c>
      <c r="BJ20" s="278">
        <f t="shared" si="48"/>
        <v>-12528.547093373851</v>
      </c>
      <c r="BK20" s="278">
        <f t="shared" si="48"/>
        <v>-12560.761009313386</v>
      </c>
      <c r="BL20" s="278">
        <f t="shared" si="48"/>
        <v>-12593.057754999454</v>
      </c>
      <c r="BM20" s="278">
        <f t="shared" si="48"/>
        <v>-12625.437543407308</v>
      </c>
      <c r="BN20" s="278">
        <f t="shared" si="48"/>
        <v>-12657.900588059811</v>
      </c>
      <c r="BO20" s="278">
        <f t="shared" si="48"/>
        <v>-12690.447103028846</v>
      </c>
      <c r="BP20" s="278">
        <f t="shared" si="48"/>
        <v>-12723.077302936728</v>
      </c>
      <c r="BQ20" s="278">
        <f t="shared" si="48"/>
        <v>-12755.791402957615</v>
      </c>
      <c r="BR20" s="278">
        <f t="shared" si="48"/>
        <v>-12788.589618818931</v>
      </c>
      <c r="BS20" s="278">
        <f t="shared" si="48"/>
        <v>-12821.472166802785</v>
      </c>
      <c r="BT20" s="278">
        <f t="shared" ref="BT20:BZ20" si="49">BS20*(1+$C$4)^(1/12)</f>
        <v>-12854.439263747405</v>
      </c>
      <c r="BU20" s="278">
        <f t="shared" si="49"/>
        <v>-12887.491127048555</v>
      </c>
      <c r="BV20" s="278">
        <f t="shared" si="49"/>
        <v>-12920.627974660983</v>
      </c>
      <c r="BW20" s="278">
        <f t="shared" si="49"/>
        <v>-12953.850025099848</v>
      </c>
      <c r="BX20" s="278">
        <f t="shared" si="49"/>
        <v>-12987.15749744216</v>
      </c>
      <c r="BY20" s="278">
        <f t="shared" si="49"/>
        <v>-13020.550611328237</v>
      </c>
      <c r="BZ20" s="279">
        <f t="shared" si="49"/>
        <v>-13054.029586963141</v>
      </c>
    </row>
    <row r="21" spans="2:78" x14ac:dyDescent="0.3">
      <c r="B21" s="3"/>
      <c r="C21" s="3"/>
      <c r="D21" s="3"/>
      <c r="E21" s="198" t="str">
        <f>Assumptions!G65</f>
        <v>Reserves</v>
      </c>
      <c r="F21" s="222"/>
      <c r="G21" s="291">
        <f>-Assumptions!$I65/12*Assumptions!$C$36</f>
        <v>-19382</v>
      </c>
      <c r="H21" s="278">
        <f t="shared" ref="H21:AM21" si="50">G21*(1+$C$4)^(1/12)</f>
        <v>-19431.835796129169</v>
      </c>
      <c r="I21" s="278">
        <f t="shared" si="50"/>
        <v>-19481.799732108502</v>
      </c>
      <c r="J21" s="278">
        <f t="shared" si="50"/>
        <v>-19531.892137416453</v>
      </c>
      <c r="K21" s="278">
        <f t="shared" si="50"/>
        <v>-19582.113342378645</v>
      </c>
      <c r="L21" s="278">
        <f t="shared" si="50"/>
        <v>-19632.463678170054</v>
      </c>
      <c r="M21" s="278">
        <f t="shared" si="50"/>
        <v>-19682.943476817181</v>
      </c>
      <c r="N21" s="278">
        <f t="shared" si="50"/>
        <v>-19733.553071200251</v>
      </c>
      <c r="O21" s="278">
        <f t="shared" si="50"/>
        <v>-19784.2927950554</v>
      </c>
      <c r="P21" s="278">
        <f t="shared" si="50"/>
        <v>-19835.162982976883</v>
      </c>
      <c r="Q21" s="278">
        <f t="shared" si="50"/>
        <v>-19886.163970419278</v>
      </c>
      <c r="R21" s="278">
        <f t="shared" si="50"/>
        <v>-19937.296093699697</v>
      </c>
      <c r="S21" s="278">
        <f t="shared" si="50"/>
        <v>-19988.559690000002</v>
      </c>
      <c r="T21" s="278">
        <f t="shared" si="50"/>
        <v>-20039.955097369035</v>
      </c>
      <c r="U21" s="278">
        <f t="shared" si="50"/>
        <v>-20091.482654724838</v>
      </c>
      <c r="V21" s="278">
        <f t="shared" si="50"/>
        <v>-20143.142701856897</v>
      </c>
      <c r="W21" s="278">
        <f t="shared" si="50"/>
        <v>-20194.935579428384</v>
      </c>
      <c r="X21" s="278">
        <f t="shared" si="50"/>
        <v>-20246.861628978386</v>
      </c>
      <c r="Y21" s="278">
        <f t="shared" si="50"/>
        <v>-20298.921192924176</v>
      </c>
      <c r="Z21" s="278">
        <f t="shared" si="50"/>
        <v>-20351.114614563463</v>
      </c>
      <c r="AA21" s="278">
        <f t="shared" si="50"/>
        <v>-20403.442238076659</v>
      </c>
      <c r="AB21" s="278">
        <f t="shared" si="50"/>
        <v>-20455.904408529146</v>
      </c>
      <c r="AC21" s="278">
        <f t="shared" si="50"/>
        <v>-20508.501471873551</v>
      </c>
      <c r="AD21" s="278">
        <f t="shared" si="50"/>
        <v>-20561.23377495203</v>
      </c>
      <c r="AE21" s="278">
        <f t="shared" si="50"/>
        <v>-20614.101665498554</v>
      </c>
      <c r="AF21" s="278">
        <f t="shared" si="50"/>
        <v>-20667.1054921412</v>
      </c>
      <c r="AG21" s="278">
        <f t="shared" si="50"/>
        <v>-20720.245604404452</v>
      </c>
      <c r="AH21" s="278">
        <f t="shared" si="50"/>
        <v>-20773.522352711512</v>
      </c>
      <c r="AI21" s="278">
        <f t="shared" si="50"/>
        <v>-20826.936088386596</v>
      </c>
      <c r="AJ21" s="278">
        <f t="shared" si="50"/>
        <v>-20880.487163657264</v>
      </c>
      <c r="AK21" s="278">
        <f t="shared" si="50"/>
        <v>-20934.175931656737</v>
      </c>
      <c r="AL21" s="278">
        <f t="shared" si="50"/>
        <v>-20988.002746426224</v>
      </c>
      <c r="AM21" s="278">
        <f t="shared" si="50"/>
        <v>-21041.967962917264</v>
      </c>
      <c r="AN21" s="278">
        <f t="shared" ref="AN21:BS21" si="51">AM21*(1+$C$4)^(1/12)</f>
        <v>-21096.07193699406</v>
      </c>
      <c r="AO21" s="278">
        <f t="shared" si="51"/>
        <v>-21150.315025435826</v>
      </c>
      <c r="AP21" s="278">
        <f t="shared" si="51"/>
        <v>-21204.697585939146</v>
      </c>
      <c r="AQ21" s="278">
        <f t="shared" si="51"/>
        <v>-21259.219977120323</v>
      </c>
      <c r="AR21" s="278">
        <f t="shared" si="51"/>
        <v>-21313.882558517751</v>
      </c>
      <c r="AS21" s="278">
        <f t="shared" si="51"/>
        <v>-21368.685690594284</v>
      </c>
      <c r="AT21" s="278">
        <f t="shared" si="51"/>
        <v>-21423.629734739614</v>
      </c>
      <c r="AU21" s="278">
        <f t="shared" si="51"/>
        <v>-21478.715053272648</v>
      </c>
      <c r="AV21" s="278">
        <f t="shared" si="51"/>
        <v>-21533.942009443912</v>
      </c>
      <c r="AW21" s="278">
        <f t="shared" si="51"/>
        <v>-21589.310967437927</v>
      </c>
      <c r="AX21" s="278">
        <f t="shared" si="51"/>
        <v>-21644.822292375626</v>
      </c>
      <c r="AY21" s="278">
        <f t="shared" si="51"/>
        <v>-21700.476350316752</v>
      </c>
      <c r="AZ21" s="278">
        <f t="shared" si="51"/>
        <v>-21756.273508262282</v>
      </c>
      <c r="BA21" s="278">
        <f t="shared" si="51"/>
        <v>-21812.214134156835</v>
      </c>
      <c r="BB21" s="278">
        <f t="shared" si="51"/>
        <v>-21868.298596891105</v>
      </c>
      <c r="BC21" s="278">
        <f t="shared" si="51"/>
        <v>-21924.527266304296</v>
      </c>
      <c r="BD21" s="278">
        <f t="shared" si="51"/>
        <v>-21980.900513186556</v>
      </c>
      <c r="BE21" s="278">
        <f t="shared" si="51"/>
        <v>-22037.418709281425</v>
      </c>
      <c r="BF21" s="278">
        <f t="shared" si="51"/>
        <v>-22094.08222728828</v>
      </c>
      <c r="BG21" s="278">
        <f t="shared" si="51"/>
        <v>-22150.891440864805</v>
      </c>
      <c r="BH21" s="278">
        <f t="shared" si="51"/>
        <v>-22207.846724629449</v>
      </c>
      <c r="BI21" s="278">
        <f t="shared" si="51"/>
        <v>-22264.948454163889</v>
      </c>
      <c r="BJ21" s="278">
        <f t="shared" si="51"/>
        <v>-22322.197006015514</v>
      </c>
      <c r="BK21" s="278">
        <f t="shared" si="51"/>
        <v>-22379.592757699909</v>
      </c>
      <c r="BL21" s="278">
        <f t="shared" si="51"/>
        <v>-22437.136087703344</v>
      </c>
      <c r="BM21" s="278">
        <f t="shared" si="51"/>
        <v>-22494.827375485267</v>
      </c>
      <c r="BN21" s="278">
        <f t="shared" si="51"/>
        <v>-22552.667001480808</v>
      </c>
      <c r="BO21" s="278">
        <f t="shared" si="51"/>
        <v>-22610.655347103286</v>
      </c>
      <c r="BP21" s="278">
        <f t="shared" si="51"/>
        <v>-22668.792794746725</v>
      </c>
      <c r="BQ21" s="278">
        <f t="shared" si="51"/>
        <v>-22727.079727788383</v>
      </c>
      <c r="BR21" s="278">
        <f t="shared" si="51"/>
        <v>-22785.516530591263</v>
      </c>
      <c r="BS21" s="278">
        <f t="shared" si="51"/>
        <v>-22844.103588506667</v>
      </c>
      <c r="BT21" s="278">
        <f t="shared" ref="BT21:BZ21" si="52">BS21*(1+$C$4)^(1/12)</f>
        <v>-22902.841287876723</v>
      </c>
      <c r="BU21" s="278">
        <f t="shared" si="52"/>
        <v>-22961.730016036941</v>
      </c>
      <c r="BV21" s="278">
        <f t="shared" si="52"/>
        <v>-23020.770161318764</v>
      </c>
      <c r="BW21" s="278">
        <f t="shared" si="52"/>
        <v>-23079.962113052123</v>
      </c>
      <c r="BX21" s="278">
        <f t="shared" si="52"/>
        <v>-23139.306261568014</v>
      </c>
      <c r="BY21" s="278">
        <f t="shared" si="52"/>
        <v>-23198.80299820107</v>
      </c>
      <c r="BZ21" s="279">
        <f t="shared" si="52"/>
        <v>-23258.45271529214</v>
      </c>
    </row>
    <row r="22" spans="2:78" x14ac:dyDescent="0.3">
      <c r="B22" s="3"/>
      <c r="C22" s="3"/>
      <c r="D22" s="3"/>
      <c r="E22" s="198" t="str">
        <f>Assumptions!G66</f>
        <v>Management</v>
      </c>
      <c r="F22" s="222"/>
      <c r="G22" s="291">
        <f>-Assumptions!$I66/12*Assumptions!$C$36</f>
        <v>-14536.5</v>
      </c>
      <c r="H22" s="278">
        <f t="shared" ref="H22:AM22" si="53">G22*(1+$C$4)^(1/12)</f>
        <v>-14573.876847096877</v>
      </c>
      <c r="I22" s="278">
        <f t="shared" si="53"/>
        <v>-14611.349799081376</v>
      </c>
      <c r="J22" s="278">
        <f t="shared" si="53"/>
        <v>-14648.919103062337</v>
      </c>
      <c r="K22" s="278">
        <f t="shared" si="53"/>
        <v>-14686.585006783982</v>
      </c>
      <c r="L22" s="278">
        <f t="shared" si="53"/>
        <v>-14724.347758627538</v>
      </c>
      <c r="M22" s="278">
        <f t="shared" si="53"/>
        <v>-14762.207607612883</v>
      </c>
      <c r="N22" s="278">
        <f t="shared" si="53"/>
        <v>-14800.164803400185</v>
      </c>
      <c r="O22" s="278">
        <f t="shared" si="53"/>
        <v>-14838.219596291547</v>
      </c>
      <c r="P22" s="278">
        <f t="shared" si="53"/>
        <v>-14876.372237232659</v>
      </c>
      <c r="Q22" s="278">
        <f t="shared" si="53"/>
        <v>-14914.622977814455</v>
      </c>
      <c r="R22" s="278">
        <f t="shared" si="53"/>
        <v>-14952.972070274769</v>
      </c>
      <c r="S22" s="278">
        <f t="shared" si="53"/>
        <v>-14991.419767499998</v>
      </c>
      <c r="T22" s="278">
        <f t="shared" si="53"/>
        <v>-15029.966323026772</v>
      </c>
      <c r="U22" s="278">
        <f t="shared" si="53"/>
        <v>-15068.611991043626</v>
      </c>
      <c r="V22" s="278">
        <f t="shared" si="53"/>
        <v>-15107.357026392672</v>
      </c>
      <c r="W22" s="278">
        <f t="shared" si="53"/>
        <v>-15146.201684571286</v>
      </c>
      <c r="X22" s="278">
        <f t="shared" si="53"/>
        <v>-15185.146221733787</v>
      </c>
      <c r="Y22" s="278">
        <f t="shared" si="53"/>
        <v>-15224.190894693129</v>
      </c>
      <c r="Z22" s="278">
        <f t="shared" si="53"/>
        <v>-15263.335960922594</v>
      </c>
      <c r="AA22" s="278">
        <f t="shared" si="53"/>
        <v>-15302.58167855749</v>
      </c>
      <c r="AB22" s="278">
        <f t="shared" si="53"/>
        <v>-15341.928306396854</v>
      </c>
      <c r="AC22" s="278">
        <f t="shared" si="53"/>
        <v>-15381.376103905157</v>
      </c>
      <c r="AD22" s="278">
        <f t="shared" si="53"/>
        <v>-15420.925331214015</v>
      </c>
      <c r="AE22" s="278">
        <f t="shared" si="53"/>
        <v>-15460.576249123907</v>
      </c>
      <c r="AF22" s="278">
        <f t="shared" si="53"/>
        <v>-15500.329119105892</v>
      </c>
      <c r="AG22" s="278">
        <f t="shared" si="53"/>
        <v>-15540.184203303334</v>
      </c>
      <c r="AH22" s="278">
        <f t="shared" si="53"/>
        <v>-15580.141764533628</v>
      </c>
      <c r="AI22" s="278">
        <f t="shared" si="53"/>
        <v>-15620.202066289941</v>
      </c>
      <c r="AJ22" s="278">
        <f t="shared" si="53"/>
        <v>-15660.365372742943</v>
      </c>
      <c r="AK22" s="278">
        <f t="shared" si="53"/>
        <v>-15700.631948742546</v>
      </c>
      <c r="AL22" s="278">
        <f t="shared" si="53"/>
        <v>-15741.002059819662</v>
      </c>
      <c r="AM22" s="278">
        <f t="shared" si="53"/>
        <v>-15781.475972187944</v>
      </c>
      <c r="AN22" s="278">
        <f t="shared" ref="AN22:BS22" si="54">AM22*(1+$C$4)^(1/12)</f>
        <v>-15822.05395274554</v>
      </c>
      <c r="AO22" s="278">
        <f t="shared" si="54"/>
        <v>-15862.736269076866</v>
      </c>
      <c r="AP22" s="278">
        <f t="shared" si="54"/>
        <v>-15903.523189454356</v>
      </c>
      <c r="AQ22" s="278">
        <f t="shared" si="54"/>
        <v>-15944.414982840239</v>
      </c>
      <c r="AR22" s="278">
        <f t="shared" si="54"/>
        <v>-15985.411918888309</v>
      </c>
      <c r="AS22" s="278">
        <f t="shared" si="54"/>
        <v>-16026.514267945708</v>
      </c>
      <c r="AT22" s="278">
        <f t="shared" si="54"/>
        <v>-16067.722301054704</v>
      </c>
      <c r="AU22" s="278">
        <f t="shared" si="54"/>
        <v>-16109.036289954482</v>
      </c>
      <c r="AV22" s="278">
        <f t="shared" si="54"/>
        <v>-16150.456507082929</v>
      </c>
      <c r="AW22" s="278">
        <f t="shared" si="54"/>
        <v>-16191.98322557844</v>
      </c>
      <c r="AX22" s="278">
        <f t="shared" si="54"/>
        <v>-16233.616719281716</v>
      </c>
      <c r="AY22" s="278">
        <f t="shared" si="54"/>
        <v>-16275.357262737562</v>
      </c>
      <c r="AZ22" s="278">
        <f t="shared" si="54"/>
        <v>-16317.205131196708</v>
      </c>
      <c r="BA22" s="278">
        <f t="shared" si="54"/>
        <v>-16359.160600617623</v>
      </c>
      <c r="BB22" s="278">
        <f t="shared" si="54"/>
        <v>-16401.223947668324</v>
      </c>
      <c r="BC22" s="278">
        <f t="shared" si="54"/>
        <v>-16443.395449728217</v>
      </c>
      <c r="BD22" s="278">
        <f t="shared" si="54"/>
        <v>-16485.675384889913</v>
      </c>
      <c r="BE22" s="278">
        <f t="shared" si="54"/>
        <v>-16528.064031961065</v>
      </c>
      <c r="BF22" s="278">
        <f t="shared" si="54"/>
        <v>-16570.561670466206</v>
      </c>
      <c r="BG22" s="278">
        <f t="shared" si="54"/>
        <v>-16613.168580648602</v>
      </c>
      <c r="BH22" s="278">
        <f t="shared" si="54"/>
        <v>-16655.885043472084</v>
      </c>
      <c r="BI22" s="278">
        <f t="shared" si="54"/>
        <v>-16698.711340622915</v>
      </c>
      <c r="BJ22" s="278">
        <f t="shared" si="54"/>
        <v>-16741.647754511632</v>
      </c>
      <c r="BK22" s="278">
        <f t="shared" si="54"/>
        <v>-16784.694568274928</v>
      </c>
      <c r="BL22" s="278">
        <f t="shared" si="54"/>
        <v>-16827.852065777504</v>
      </c>
      <c r="BM22" s="278">
        <f t="shared" si="54"/>
        <v>-16871.120531613946</v>
      </c>
      <c r="BN22" s="278">
        <f t="shared" si="54"/>
        <v>-16914.500251110599</v>
      </c>
      <c r="BO22" s="278">
        <f t="shared" si="54"/>
        <v>-16957.991510327458</v>
      </c>
      <c r="BP22" s="278">
        <f t="shared" si="54"/>
        <v>-17001.594596060037</v>
      </c>
      <c r="BQ22" s="278">
        <f t="shared" si="54"/>
        <v>-17045.30979584128</v>
      </c>
      <c r="BR22" s="278">
        <f t="shared" si="54"/>
        <v>-17089.137397943439</v>
      </c>
      <c r="BS22" s="278">
        <f t="shared" si="54"/>
        <v>-17133.077691379993</v>
      </c>
      <c r="BT22" s="278">
        <f t="shared" ref="BT22:BZ22" si="55">BS22*(1+$C$4)^(1/12)</f>
        <v>-17177.130965907534</v>
      </c>
      <c r="BU22" s="278">
        <f t="shared" si="55"/>
        <v>-17221.297512027697</v>
      </c>
      <c r="BV22" s="278">
        <f t="shared" si="55"/>
        <v>-17265.577620989061</v>
      </c>
      <c r="BW22" s="278">
        <f t="shared" si="55"/>
        <v>-17309.97158478908</v>
      </c>
      <c r="BX22" s="278">
        <f t="shared" si="55"/>
        <v>-17354.479696176</v>
      </c>
      <c r="BY22" s="278">
        <f t="shared" si="55"/>
        <v>-17399.102248650794</v>
      </c>
      <c r="BZ22" s="279">
        <f t="shared" si="55"/>
        <v>-17443.839536469095</v>
      </c>
    </row>
    <row r="23" spans="2:78" x14ac:dyDescent="0.3">
      <c r="B23" s="3"/>
      <c r="C23" s="75"/>
      <c r="D23" s="75"/>
      <c r="E23" s="182" t="s">
        <v>447</v>
      </c>
      <c r="F23" s="224"/>
      <c r="G23" s="281">
        <f t="shared" ref="G23:AL23" si="56">SUM(G13:G22)</f>
        <v>-167311.83333333331</v>
      </c>
      <c r="H23" s="281">
        <f t="shared" si="56"/>
        <v>-167742.03240546197</v>
      </c>
      <c r="I23" s="281">
        <f t="shared" si="56"/>
        <v>-168173.33762315114</v>
      </c>
      <c r="J23" s="281">
        <f t="shared" si="56"/>
        <v>-168605.75183056778</v>
      </c>
      <c r="K23" s="281">
        <f t="shared" si="56"/>
        <v>-169039.27787919191</v>
      </c>
      <c r="L23" s="281">
        <f t="shared" si="56"/>
        <v>-169473.91862783549</v>
      </c>
      <c r="M23" s="281">
        <f t="shared" si="56"/>
        <v>-169909.67694266106</v>
      </c>
      <c r="N23" s="281">
        <f t="shared" si="56"/>
        <v>-170346.5556972007</v>
      </c>
      <c r="O23" s="281">
        <f t="shared" si="56"/>
        <v>-170784.55777237518</v>
      </c>
      <c r="P23" s="281">
        <f t="shared" si="56"/>
        <v>-171223.68605651279</v>
      </c>
      <c r="Q23" s="281">
        <f t="shared" si="56"/>
        <v>-171663.94344536826</v>
      </c>
      <c r="R23" s="281">
        <f t="shared" si="56"/>
        <v>-172105.33284214223</v>
      </c>
      <c r="S23" s="281">
        <f t="shared" si="56"/>
        <v>-172547.85715749994</v>
      </c>
      <c r="T23" s="281">
        <f t="shared" si="56"/>
        <v>-172991.51930959086</v>
      </c>
      <c r="U23" s="281">
        <f t="shared" si="56"/>
        <v>-173436.32222406761</v>
      </c>
      <c r="V23" s="281">
        <f t="shared" si="56"/>
        <v>-173882.26883410537</v>
      </c>
      <c r="W23" s="281">
        <f t="shared" si="56"/>
        <v>-174329.36208042121</v>
      </c>
      <c r="X23" s="281">
        <f t="shared" si="56"/>
        <v>-174777.6049112936</v>
      </c>
      <c r="Y23" s="281">
        <f t="shared" si="56"/>
        <v>-175227.00028258158</v>
      </c>
      <c r="Z23" s="281">
        <f t="shared" si="56"/>
        <v>-175677.55115774454</v>
      </c>
      <c r="AA23" s="281">
        <f t="shared" si="56"/>
        <v>-176129.26050786162</v>
      </c>
      <c r="AB23" s="281">
        <f t="shared" si="56"/>
        <v>-176582.13131165126</v>
      </c>
      <c r="AC23" s="281">
        <f t="shared" si="56"/>
        <v>-177036.16655549101</v>
      </c>
      <c r="AD23" s="281">
        <f t="shared" si="56"/>
        <v>-177491.369233437</v>
      </c>
      <c r="AE23" s="281">
        <f t="shared" si="56"/>
        <v>-177947.74234724388</v>
      </c>
      <c r="AF23" s="281">
        <f t="shared" si="56"/>
        <v>-178405.28890638449</v>
      </c>
      <c r="AG23" s="281">
        <f t="shared" si="56"/>
        <v>-178864.01192806978</v>
      </c>
      <c r="AH23" s="281">
        <f t="shared" si="56"/>
        <v>-179323.91443726863</v>
      </c>
      <c r="AI23" s="281">
        <f t="shared" si="56"/>
        <v>-179784.99946672798</v>
      </c>
      <c r="AJ23" s="281">
        <f t="shared" si="56"/>
        <v>-180247.27005699248</v>
      </c>
      <c r="AK23" s="281">
        <f t="shared" si="56"/>
        <v>-180710.72925642494</v>
      </c>
      <c r="AL23" s="281">
        <f t="shared" si="56"/>
        <v>-181175.38012122616</v>
      </c>
      <c r="AM23" s="281">
        <f t="shared" ref="AM23:BR23" si="57">SUM(AM13:AM22)</f>
        <v>-181641.2257154551</v>
      </c>
      <c r="AN23" s="281">
        <f t="shared" si="57"/>
        <v>-182108.26911104939</v>
      </c>
      <c r="AO23" s="281">
        <f t="shared" si="57"/>
        <v>-182576.5133878451</v>
      </c>
      <c r="AP23" s="281">
        <f t="shared" si="57"/>
        <v>-183045.96163359738</v>
      </c>
      <c r="AQ23" s="281">
        <f t="shared" si="57"/>
        <v>-183516.61694400085</v>
      </c>
      <c r="AR23" s="281">
        <f t="shared" si="57"/>
        <v>-183988.48242270976</v>
      </c>
      <c r="AS23" s="281">
        <f t="shared" si="57"/>
        <v>-184461.5611813587</v>
      </c>
      <c r="AT23" s="281">
        <f t="shared" si="57"/>
        <v>-184935.85633958294</v>
      </c>
      <c r="AU23" s="281">
        <f t="shared" si="57"/>
        <v>-185411.37102503917</v>
      </c>
      <c r="AV23" s="281">
        <f t="shared" si="57"/>
        <v>-185888.10837342605</v>
      </c>
      <c r="AW23" s="281">
        <f t="shared" si="57"/>
        <v>-186366.07152850469</v>
      </c>
      <c r="AX23" s="281">
        <f t="shared" si="57"/>
        <v>-186845.26364211983</v>
      </c>
      <c r="AY23" s="281">
        <f t="shared" si="57"/>
        <v>-187325.68787422022</v>
      </c>
      <c r="AZ23" s="281">
        <f t="shared" si="57"/>
        <v>-187807.34739287966</v>
      </c>
      <c r="BA23" s="281">
        <f t="shared" si="57"/>
        <v>-188290.2453743176</v>
      </c>
      <c r="BB23" s="281">
        <f t="shared" si="57"/>
        <v>-188774.38500292078</v>
      </c>
      <c r="BC23" s="281">
        <f t="shared" si="57"/>
        <v>-189259.76947126331</v>
      </c>
      <c r="BD23" s="281">
        <f t="shared" si="57"/>
        <v>-189746.4019801284</v>
      </c>
      <c r="BE23" s="281">
        <f t="shared" si="57"/>
        <v>-190234.28573852923</v>
      </c>
      <c r="BF23" s="281">
        <f t="shared" si="57"/>
        <v>-190723.42396373014</v>
      </c>
      <c r="BG23" s="281">
        <f t="shared" si="57"/>
        <v>-191213.8198812677</v>
      </c>
      <c r="BH23" s="281">
        <f t="shared" si="57"/>
        <v>-191705.47672497234</v>
      </c>
      <c r="BI23" s="281">
        <f t="shared" si="57"/>
        <v>-192198.39773698922</v>
      </c>
      <c r="BJ23" s="281">
        <f t="shared" si="57"/>
        <v>-192692.58616779992</v>
      </c>
      <c r="BK23" s="281">
        <f t="shared" si="57"/>
        <v>-193188.04527624391</v>
      </c>
      <c r="BL23" s="281">
        <f t="shared" si="57"/>
        <v>-193684.77832953975</v>
      </c>
      <c r="BM23" s="281">
        <f t="shared" si="57"/>
        <v>-194182.78860330686</v>
      </c>
      <c r="BN23" s="281">
        <f t="shared" si="57"/>
        <v>-194682.07938158716</v>
      </c>
      <c r="BO23" s="281">
        <f t="shared" si="57"/>
        <v>-195182.65395686647</v>
      </c>
      <c r="BP23" s="281">
        <f t="shared" si="57"/>
        <v>-195684.51563009649</v>
      </c>
      <c r="BQ23" s="281">
        <f t="shared" si="57"/>
        <v>-196187.66771071649</v>
      </c>
      <c r="BR23" s="281">
        <f t="shared" si="57"/>
        <v>-196692.11351667505</v>
      </c>
      <c r="BS23" s="281">
        <f t="shared" ref="BS23:BZ23" si="58">SUM(BS13:BS22)</f>
        <v>-197197.85637445198</v>
      </c>
      <c r="BT23" s="281">
        <f t="shared" si="58"/>
        <v>-197704.89961908027</v>
      </c>
      <c r="BU23" s="281">
        <f t="shared" si="58"/>
        <v>-198213.24659416827</v>
      </c>
      <c r="BV23" s="281">
        <f t="shared" si="58"/>
        <v>-198722.90065192117</v>
      </c>
      <c r="BW23" s="281">
        <f t="shared" si="58"/>
        <v>-199233.8651531639</v>
      </c>
      <c r="BX23" s="281">
        <f t="shared" si="58"/>
        <v>-199746.14346736262</v>
      </c>
      <c r="BY23" s="281">
        <f t="shared" si="58"/>
        <v>-200259.73897264732</v>
      </c>
      <c r="BZ23" s="282">
        <f t="shared" si="58"/>
        <v>-200774.65505583386</v>
      </c>
    </row>
    <row r="24" spans="2:78" x14ac:dyDescent="0.3">
      <c r="B24" s="3"/>
      <c r="C24" s="3"/>
      <c r="D24" s="3"/>
      <c r="E24" s="227" t="s">
        <v>450</v>
      </c>
      <c r="F24" s="222"/>
      <c r="G24" s="292">
        <f t="shared" ref="G24:AL24" si="59">-G23/G11</f>
        <v>0.35768077064884923</v>
      </c>
      <c r="H24" s="292">
        <f t="shared" si="59"/>
        <v>0.35780256448481518</v>
      </c>
      <c r="I24" s="292">
        <f t="shared" si="59"/>
        <v>0.35792424973911846</v>
      </c>
      <c r="J24" s="292">
        <f t="shared" si="59"/>
        <v>0.35804582657867534</v>
      </c>
      <c r="K24" s="292">
        <f t="shared" si="59"/>
        <v>0.35816729517040852</v>
      </c>
      <c r="L24" s="292">
        <f t="shared" si="59"/>
        <v>0.35828865568124568</v>
      </c>
      <c r="M24" s="292">
        <f t="shared" si="59"/>
        <v>0.35840990827811797</v>
      </c>
      <c r="N24" s="292">
        <f t="shared" si="59"/>
        <v>0.35853105312795885</v>
      </c>
      <c r="O24" s="292">
        <f t="shared" si="59"/>
        <v>0.35865209039770324</v>
      </c>
      <c r="P24" s="292">
        <f t="shared" si="59"/>
        <v>0.35877302025428609</v>
      </c>
      <c r="Q24" s="292">
        <f t="shared" si="59"/>
        <v>0.35889384286464054</v>
      </c>
      <c r="R24" s="292">
        <f t="shared" si="59"/>
        <v>0.35901455839569801</v>
      </c>
      <c r="S24" s="292">
        <f t="shared" si="59"/>
        <v>0.35913516701438541</v>
      </c>
      <c r="T24" s="292">
        <f t="shared" si="59"/>
        <v>0.35925566888762539</v>
      </c>
      <c r="U24" s="292">
        <f t="shared" si="59"/>
        <v>0.35937606418233409</v>
      </c>
      <c r="V24" s="292">
        <f t="shared" si="59"/>
        <v>0.35949635306542044</v>
      </c>
      <c r="W24" s="292">
        <f t="shared" si="59"/>
        <v>0.35961653570378466</v>
      </c>
      <c r="X24" s="292">
        <f t="shared" si="59"/>
        <v>0.35973661226431758</v>
      </c>
      <c r="Y24" s="292">
        <f t="shared" si="59"/>
        <v>0.35985658291389871</v>
      </c>
      <c r="Z24" s="292">
        <f t="shared" si="59"/>
        <v>0.35997644781939586</v>
      </c>
      <c r="AA24" s="292">
        <f t="shared" si="59"/>
        <v>0.36009620714766338</v>
      </c>
      <c r="AB24" s="292">
        <f t="shared" si="59"/>
        <v>0.36021586106554115</v>
      </c>
      <c r="AC24" s="292">
        <f t="shared" si="59"/>
        <v>0.36033540973985351</v>
      </c>
      <c r="AD24" s="292">
        <f t="shared" si="59"/>
        <v>0.36045485333740807</v>
      </c>
      <c r="AE24" s="292">
        <f t="shared" si="59"/>
        <v>0.36057419202499458</v>
      </c>
      <c r="AF24" s="292">
        <f t="shared" si="59"/>
        <v>0.36069342596938353</v>
      </c>
      <c r="AG24" s="292">
        <f t="shared" si="59"/>
        <v>0.36081255533732548</v>
      </c>
      <c r="AH24" s="292">
        <f t="shared" si="59"/>
        <v>0.36093158029554939</v>
      </c>
      <c r="AI24" s="292">
        <f t="shared" si="59"/>
        <v>0.36105050101076225</v>
      </c>
      <c r="AJ24" s="292">
        <f t="shared" si="59"/>
        <v>0.36116931764964677</v>
      </c>
      <c r="AK24" s="292">
        <f t="shared" si="59"/>
        <v>0.36128803037886142</v>
      </c>
      <c r="AL24" s="292">
        <f t="shared" si="59"/>
        <v>0.36140663936503892</v>
      </c>
      <c r="AM24" s="292">
        <f t="shared" ref="AM24:BR24" si="60">-AM23/AM11</f>
        <v>0.36152514477478448</v>
      </c>
      <c r="AN24" s="292">
        <f t="shared" si="60"/>
        <v>0.36164354677467608</v>
      </c>
      <c r="AO24" s="292">
        <f t="shared" si="60"/>
        <v>0.36176184553126195</v>
      </c>
      <c r="AP24" s="292">
        <f t="shared" si="60"/>
        <v>0.36188004121106032</v>
      </c>
      <c r="AQ24" s="292">
        <f t="shared" si="60"/>
        <v>0.36199813398055825</v>
      </c>
      <c r="AR24" s="292">
        <f t="shared" si="60"/>
        <v>0.36211612400621002</v>
      </c>
      <c r="AS24" s="292">
        <f t="shared" si="60"/>
        <v>0.36223401145443695</v>
      </c>
      <c r="AT24" s="292">
        <f t="shared" si="60"/>
        <v>0.3623517964916253</v>
      </c>
      <c r="AU24" s="292">
        <f t="shared" si="60"/>
        <v>0.36246947928412598</v>
      </c>
      <c r="AV24" s="292">
        <f t="shared" si="60"/>
        <v>0.36258705999825341</v>
      </c>
      <c r="AW24" s="292">
        <f t="shared" si="60"/>
        <v>0.36270453880028375</v>
      </c>
      <c r="AX24" s="292">
        <f t="shared" si="60"/>
        <v>0.36282191585645496</v>
      </c>
      <c r="AY24" s="292">
        <f t="shared" si="60"/>
        <v>0.36293919133296482</v>
      </c>
      <c r="AZ24" s="292">
        <f t="shared" si="60"/>
        <v>0.36305636539597047</v>
      </c>
      <c r="BA24" s="292">
        <f t="shared" si="60"/>
        <v>0.36317343821158654</v>
      </c>
      <c r="BB24" s="292">
        <f t="shared" si="60"/>
        <v>0.36329040994588579</v>
      </c>
      <c r="BC24" s="292">
        <f t="shared" si="60"/>
        <v>0.36340728076489615</v>
      </c>
      <c r="BD24" s="292">
        <f t="shared" si="60"/>
        <v>0.36352405083460076</v>
      </c>
      <c r="BE24" s="292">
        <f t="shared" si="60"/>
        <v>0.36364072032093703</v>
      </c>
      <c r="BF24" s="292">
        <f t="shared" si="60"/>
        <v>0.36375728938979524</v>
      </c>
      <c r="BG24" s="292">
        <f t="shared" si="60"/>
        <v>0.36387375820701734</v>
      </c>
      <c r="BH24" s="292">
        <f t="shared" si="60"/>
        <v>0.36399012693839677</v>
      </c>
      <c r="BI24" s="292">
        <f t="shared" si="60"/>
        <v>0.36410639574967674</v>
      </c>
      <c r="BJ24" s="292">
        <f t="shared" si="60"/>
        <v>0.36422256480654941</v>
      </c>
      <c r="BK24" s="292">
        <f t="shared" si="60"/>
        <v>0.36433863427465507</v>
      </c>
      <c r="BL24" s="292">
        <f t="shared" si="60"/>
        <v>0.36445460431958093</v>
      </c>
      <c r="BM24" s="292">
        <f t="shared" si="60"/>
        <v>0.36457047510686041</v>
      </c>
      <c r="BN24" s="292">
        <f t="shared" si="60"/>
        <v>0.36468624680197204</v>
      </c>
      <c r="BO24" s="292">
        <f t="shared" si="60"/>
        <v>0.36480191957033825</v>
      </c>
      <c r="BP24" s="292">
        <f t="shared" si="60"/>
        <v>0.36491749357732484</v>
      </c>
      <c r="BQ24" s="292">
        <f t="shared" si="60"/>
        <v>0.36503296898823989</v>
      </c>
      <c r="BR24" s="292">
        <f t="shared" si="60"/>
        <v>0.36514834596833273</v>
      </c>
      <c r="BS24" s="292">
        <f t="shared" ref="BS24:BZ24" si="61">-BS23/BS11</f>
        <v>0.36526362468279283</v>
      </c>
      <c r="BT24" s="292">
        <f t="shared" si="61"/>
        <v>0.3653788052967491</v>
      </c>
      <c r="BU24" s="292">
        <f t="shared" si="61"/>
        <v>0.36549388797526938</v>
      </c>
      <c r="BV24" s="292">
        <f t="shared" si="61"/>
        <v>0.36560887288335814</v>
      </c>
      <c r="BW24" s="292">
        <f t="shared" si="61"/>
        <v>0.3657237601859572</v>
      </c>
      <c r="BX24" s="292">
        <f t="shared" si="61"/>
        <v>0.36583855004794386</v>
      </c>
      <c r="BY24" s="292">
        <f t="shared" si="61"/>
        <v>0.36595324263413015</v>
      </c>
      <c r="BZ24" s="293">
        <f t="shared" si="61"/>
        <v>0.36606783810926169</v>
      </c>
    </row>
    <row r="25" spans="2:78" x14ac:dyDescent="0.3">
      <c r="B25" s="3"/>
      <c r="C25" s="75"/>
      <c r="D25" s="75"/>
      <c r="E25" s="169" t="s">
        <v>448</v>
      </c>
      <c r="F25" s="224"/>
      <c r="G25" s="280">
        <f t="shared" ref="G25:AL25" si="62">G11+G23</f>
        <v>300456.76666666672</v>
      </c>
      <c r="H25" s="280">
        <f t="shared" si="62"/>
        <v>301069.67845241481</v>
      </c>
      <c r="I25" s="280">
        <f t="shared" si="62"/>
        <v>301684.00718019274</v>
      </c>
      <c r="J25" s="280">
        <f t="shared" si="62"/>
        <v>302299.75610870472</v>
      </c>
      <c r="K25" s="280">
        <f t="shared" si="62"/>
        <v>302916.92850410321</v>
      </c>
      <c r="L25" s="280">
        <f t="shared" si="62"/>
        <v>303535.52764000639</v>
      </c>
      <c r="M25" s="280">
        <f t="shared" si="62"/>
        <v>304155.55679751496</v>
      </c>
      <c r="N25" s="280">
        <f t="shared" si="62"/>
        <v>304777.01926522923</v>
      </c>
      <c r="O25" s="280">
        <f t="shared" si="62"/>
        <v>305399.91833926569</v>
      </c>
      <c r="P25" s="280">
        <f t="shared" si="62"/>
        <v>306024.25732327451</v>
      </c>
      <c r="Q25" s="280">
        <f t="shared" si="62"/>
        <v>306650.03952845663</v>
      </c>
      <c r="R25" s="280">
        <f t="shared" si="62"/>
        <v>307277.26827358047</v>
      </c>
      <c r="S25" s="280">
        <f t="shared" si="62"/>
        <v>307905.94688499981</v>
      </c>
      <c r="T25" s="280">
        <f t="shared" si="62"/>
        <v>308536.07869667007</v>
      </c>
      <c r="U25" s="280">
        <f t="shared" si="62"/>
        <v>309167.6670501664</v>
      </c>
      <c r="V25" s="280">
        <f t="shared" si="62"/>
        <v>309800.71529470058</v>
      </c>
      <c r="W25" s="280">
        <f t="shared" si="62"/>
        <v>310435.22678713838</v>
      </c>
      <c r="X25" s="280">
        <f t="shared" si="62"/>
        <v>311071.20489201666</v>
      </c>
      <c r="Y25" s="280">
        <f t="shared" si="62"/>
        <v>311708.65298156161</v>
      </c>
      <c r="Z25" s="280">
        <f t="shared" si="62"/>
        <v>312347.57443570509</v>
      </c>
      <c r="AA25" s="280">
        <f t="shared" si="62"/>
        <v>312987.97264210298</v>
      </c>
      <c r="AB25" s="280">
        <f t="shared" si="62"/>
        <v>313629.85099615226</v>
      </c>
      <c r="AC25" s="280">
        <f t="shared" si="62"/>
        <v>314273.21290100878</v>
      </c>
      <c r="AD25" s="280">
        <f t="shared" si="62"/>
        <v>314918.06176760455</v>
      </c>
      <c r="AE25" s="280">
        <f t="shared" si="62"/>
        <v>315564.40101466584</v>
      </c>
      <c r="AF25" s="280">
        <f t="shared" si="62"/>
        <v>316212.2340687305</v>
      </c>
      <c r="AG25" s="280">
        <f t="shared" si="62"/>
        <v>316861.56436416577</v>
      </c>
      <c r="AH25" s="280">
        <f t="shared" si="62"/>
        <v>317512.39534318604</v>
      </c>
      <c r="AI25" s="280">
        <f t="shared" si="62"/>
        <v>318164.73045587062</v>
      </c>
      <c r="AJ25" s="280">
        <f t="shared" si="62"/>
        <v>318818.57316018193</v>
      </c>
      <c r="AK25" s="280">
        <f t="shared" si="62"/>
        <v>319473.92692198278</v>
      </c>
      <c r="AL25" s="280">
        <f t="shared" si="62"/>
        <v>320130.79521505453</v>
      </c>
      <c r="AM25" s="280">
        <f t="shared" ref="AM25:BR25" si="63">AM11+AM23</f>
        <v>320789.18152111548</v>
      </c>
      <c r="AN25" s="280">
        <f t="shared" si="63"/>
        <v>321449.08932983805</v>
      </c>
      <c r="AO25" s="280">
        <f t="shared" si="63"/>
        <v>322110.52213886741</v>
      </c>
      <c r="AP25" s="280">
        <f t="shared" si="63"/>
        <v>322773.48345383967</v>
      </c>
      <c r="AQ25" s="280">
        <f t="shared" si="63"/>
        <v>323437.97678839928</v>
      </c>
      <c r="AR25" s="280">
        <f t="shared" si="63"/>
        <v>324104.0056642181</v>
      </c>
      <c r="AS25" s="280">
        <f t="shared" si="63"/>
        <v>324771.57361101272</v>
      </c>
      <c r="AT25" s="280">
        <f t="shared" si="63"/>
        <v>325440.68416656356</v>
      </c>
      <c r="AU25" s="280">
        <f t="shared" si="63"/>
        <v>326111.34087673249</v>
      </c>
      <c r="AV25" s="280">
        <f t="shared" si="63"/>
        <v>326783.54729548132</v>
      </c>
      <c r="AW25" s="280">
        <f t="shared" si="63"/>
        <v>327457.3069848906</v>
      </c>
      <c r="AX25" s="280">
        <f t="shared" si="63"/>
        <v>328132.62351517734</v>
      </c>
      <c r="AY25" s="280">
        <f t="shared" si="63"/>
        <v>328809.5004647139</v>
      </c>
      <c r="AZ25" s="280">
        <f t="shared" si="63"/>
        <v>329487.94142004615</v>
      </c>
      <c r="BA25" s="280">
        <f t="shared" si="63"/>
        <v>330167.94997591292</v>
      </c>
      <c r="BB25" s="280">
        <f t="shared" si="63"/>
        <v>330849.52973526297</v>
      </c>
      <c r="BC25" s="280">
        <f t="shared" si="63"/>
        <v>331532.68430927512</v>
      </c>
      <c r="BD25" s="280">
        <f t="shared" si="63"/>
        <v>332217.41731737612</v>
      </c>
      <c r="BE25" s="280">
        <f t="shared" si="63"/>
        <v>332903.73238725949</v>
      </c>
      <c r="BF25" s="280">
        <f t="shared" si="63"/>
        <v>333591.63315490435</v>
      </c>
      <c r="BG25" s="280">
        <f t="shared" si="63"/>
        <v>334281.12326459424</v>
      </c>
      <c r="BH25" s="280">
        <f t="shared" si="63"/>
        <v>334972.20636893576</v>
      </c>
      <c r="BI25" s="280">
        <f t="shared" si="63"/>
        <v>335664.88612887752</v>
      </c>
      <c r="BJ25" s="280">
        <f t="shared" si="63"/>
        <v>336359.16621372895</v>
      </c>
      <c r="BK25" s="280">
        <f t="shared" si="63"/>
        <v>337055.05030117964</v>
      </c>
      <c r="BL25" s="280">
        <f t="shared" si="63"/>
        <v>337752.54207731812</v>
      </c>
      <c r="BM25" s="280">
        <f t="shared" si="63"/>
        <v>338451.64523665048</v>
      </c>
      <c r="BN25" s="280">
        <f t="shared" si="63"/>
        <v>339152.36348212004</v>
      </c>
      <c r="BO25" s="280">
        <f t="shared" si="63"/>
        <v>339854.7005251263</v>
      </c>
      <c r="BP25" s="280">
        <f t="shared" si="63"/>
        <v>340558.66008554393</v>
      </c>
      <c r="BQ25" s="280">
        <f t="shared" si="63"/>
        <v>341264.24589174218</v>
      </c>
      <c r="BR25" s="280">
        <f t="shared" si="63"/>
        <v>341971.46168060391</v>
      </c>
      <c r="BS25" s="280">
        <f t="shared" ref="BS25:BZ25" si="64">BS11+BS23</f>
        <v>342680.31119754538</v>
      </c>
      <c r="BT25" s="280">
        <f t="shared" si="64"/>
        <v>343390.79819653498</v>
      </c>
      <c r="BU25" s="280">
        <f t="shared" si="64"/>
        <v>344102.92644011264</v>
      </c>
      <c r="BV25" s="280">
        <f t="shared" si="64"/>
        <v>344816.69969941012</v>
      </c>
      <c r="BW25" s="280">
        <f t="shared" si="64"/>
        <v>345532.12175416946</v>
      </c>
      <c r="BX25" s="280">
        <f t="shared" si="64"/>
        <v>346249.19639276282</v>
      </c>
      <c r="BY25" s="280">
        <f t="shared" si="64"/>
        <v>346967.92741221213</v>
      </c>
      <c r="BZ25" s="294">
        <f t="shared" si="64"/>
        <v>347688.31861820922</v>
      </c>
    </row>
    <row r="26" spans="2:78" x14ac:dyDescent="0.3">
      <c r="B26" s="3"/>
      <c r="C26" s="3"/>
      <c r="D26" s="3"/>
      <c r="E26" s="104" t="s">
        <v>507</v>
      </c>
      <c r="F26" s="3"/>
      <c r="G26" s="278">
        <f t="shared" ref="G26:AL26" si="65">G25*-$C$7</f>
        <v>-4506.8515000000007</v>
      </c>
      <c r="H26" s="278">
        <f t="shared" si="65"/>
        <v>-4516.0451767862223</v>
      </c>
      <c r="I26" s="278">
        <f t="shared" si="65"/>
        <v>-4525.2601077028912</v>
      </c>
      <c r="J26" s="278">
        <f t="shared" si="65"/>
        <v>-4534.4963416305709</v>
      </c>
      <c r="K26" s="278">
        <f t="shared" si="65"/>
        <v>-4543.7539275615482</v>
      </c>
      <c r="L26" s="278">
        <f t="shared" si="65"/>
        <v>-4553.0329146000959</v>
      </c>
      <c r="M26" s="278">
        <f t="shared" si="65"/>
        <v>-4562.333351962724</v>
      </c>
      <c r="N26" s="278">
        <f t="shared" si="65"/>
        <v>-4571.655288978438</v>
      </c>
      <c r="O26" s="278">
        <f t="shared" si="65"/>
        <v>-4580.998775088985</v>
      </c>
      <c r="P26" s="278">
        <f t="shared" si="65"/>
        <v>-4590.363859849117</v>
      </c>
      <c r="Q26" s="278">
        <f t="shared" si="65"/>
        <v>-4599.7505929268491</v>
      </c>
      <c r="R26" s="278">
        <f t="shared" si="65"/>
        <v>-4609.1590241037065</v>
      </c>
      <c r="S26" s="278">
        <f t="shared" si="65"/>
        <v>-4618.5892032749971</v>
      </c>
      <c r="T26" s="278">
        <f t="shared" si="65"/>
        <v>-4628.0411804500509</v>
      </c>
      <c r="U26" s="278">
        <f t="shared" si="65"/>
        <v>-4637.5150057524961</v>
      </c>
      <c r="V26" s="278">
        <f t="shared" si="65"/>
        <v>-4647.0107294205081</v>
      </c>
      <c r="W26" s="278">
        <f t="shared" si="65"/>
        <v>-4656.5284018070752</v>
      </c>
      <c r="X26" s="278">
        <f t="shared" si="65"/>
        <v>-4666.0680733802501</v>
      </c>
      <c r="Y26" s="278">
        <f t="shared" si="65"/>
        <v>-4675.6297947234243</v>
      </c>
      <c r="Z26" s="278">
        <f t="shared" si="65"/>
        <v>-4685.213616535576</v>
      </c>
      <c r="AA26" s="278">
        <f t="shared" si="65"/>
        <v>-4694.8195896315447</v>
      </c>
      <c r="AB26" s="278">
        <f t="shared" si="65"/>
        <v>-4704.4477649422834</v>
      </c>
      <c r="AC26" s="278">
        <f t="shared" si="65"/>
        <v>-4714.0981935151312</v>
      </c>
      <c r="AD26" s="278">
        <f t="shared" si="65"/>
        <v>-4723.7709265140684</v>
      </c>
      <c r="AE26" s="278">
        <f t="shared" si="65"/>
        <v>-4733.4660152199876</v>
      </c>
      <c r="AF26" s="278">
        <f t="shared" si="65"/>
        <v>-4743.1835110309576</v>
      </c>
      <c r="AG26" s="278">
        <f t="shared" si="65"/>
        <v>-4752.9234654624861</v>
      </c>
      <c r="AH26" s="278">
        <f t="shared" si="65"/>
        <v>-4762.6859301477907</v>
      </c>
      <c r="AI26" s="278">
        <f t="shared" si="65"/>
        <v>-4772.4709568380595</v>
      </c>
      <c r="AJ26" s="278">
        <f t="shared" si="65"/>
        <v>-4782.2785974027283</v>
      </c>
      <c r="AK26" s="278">
        <f t="shared" si="65"/>
        <v>-4792.1089038297414</v>
      </c>
      <c r="AL26" s="278">
        <f t="shared" si="65"/>
        <v>-4801.9619282258182</v>
      </c>
      <c r="AM26" s="278">
        <f t="shared" ref="AM26:BR26" si="66">AM25*-$C$7</f>
        <v>-4811.8377228167319</v>
      </c>
      <c r="AN26" s="278">
        <f t="shared" si="66"/>
        <v>-4821.7363399475707</v>
      </c>
      <c r="AO26" s="278">
        <f t="shared" si="66"/>
        <v>-4831.6578320830113</v>
      </c>
      <c r="AP26" s="278">
        <f t="shared" si="66"/>
        <v>-4841.6022518075952</v>
      </c>
      <c r="AQ26" s="278">
        <f t="shared" si="66"/>
        <v>-4851.5696518259892</v>
      </c>
      <c r="AR26" s="278">
        <f t="shared" si="66"/>
        <v>-4861.560084963271</v>
      </c>
      <c r="AS26" s="278">
        <f t="shared" si="66"/>
        <v>-4871.5736041651908</v>
      </c>
      <c r="AT26" s="278">
        <f t="shared" si="66"/>
        <v>-4881.6102624984533</v>
      </c>
      <c r="AU26" s="278">
        <f t="shared" si="66"/>
        <v>-4891.6701131509872</v>
      </c>
      <c r="AV26" s="278">
        <f t="shared" si="66"/>
        <v>-4901.7532094322196</v>
      </c>
      <c r="AW26" s="278">
        <f t="shared" si="66"/>
        <v>-4911.859604773359</v>
      </c>
      <c r="AX26" s="278">
        <f t="shared" si="66"/>
        <v>-4921.9893527276599</v>
      </c>
      <c r="AY26" s="278">
        <f t="shared" si="66"/>
        <v>-4932.1425069707084</v>
      </c>
      <c r="AZ26" s="278">
        <f t="shared" si="66"/>
        <v>-4942.3191213006921</v>
      </c>
      <c r="BA26" s="278">
        <f t="shared" si="66"/>
        <v>-4952.5192496386935</v>
      </c>
      <c r="BB26" s="278">
        <f t="shared" si="66"/>
        <v>-4962.7429460289441</v>
      </c>
      <c r="BC26" s="278">
        <f t="shared" si="66"/>
        <v>-4972.9902646391265</v>
      </c>
      <c r="BD26" s="278">
        <f t="shared" si="66"/>
        <v>-4983.2612597606412</v>
      </c>
      <c r="BE26" s="278">
        <f t="shared" si="66"/>
        <v>-4993.5559858088918</v>
      </c>
      <c r="BF26" s="278">
        <f t="shared" si="66"/>
        <v>-5003.8744973235653</v>
      </c>
      <c r="BG26" s="278">
        <f t="shared" si="66"/>
        <v>-5014.2168489689129</v>
      </c>
      <c r="BH26" s="278">
        <f t="shared" si="66"/>
        <v>-5024.5830955340361</v>
      </c>
      <c r="BI26" s="278">
        <f t="shared" si="66"/>
        <v>-5034.9732919331627</v>
      </c>
      <c r="BJ26" s="278">
        <f t="shared" si="66"/>
        <v>-5045.3874932059343</v>
      </c>
      <c r="BK26" s="278">
        <f t="shared" si="66"/>
        <v>-5055.8257545176948</v>
      </c>
      <c r="BL26" s="278">
        <f t="shared" si="66"/>
        <v>-5066.2881311597721</v>
      </c>
      <c r="BM26" s="278">
        <f t="shared" si="66"/>
        <v>-5076.7746785497575</v>
      </c>
      <c r="BN26" s="278">
        <f t="shared" si="66"/>
        <v>-5087.2854522318003</v>
      </c>
      <c r="BO26" s="278">
        <f t="shared" si="66"/>
        <v>-5097.8205078768942</v>
      </c>
      <c r="BP26" s="278">
        <f t="shared" si="66"/>
        <v>-5108.3799012831587</v>
      </c>
      <c r="BQ26" s="278">
        <f t="shared" si="66"/>
        <v>-5118.9636883761323</v>
      </c>
      <c r="BR26" s="278">
        <f t="shared" si="66"/>
        <v>-5129.5719252090585</v>
      </c>
      <c r="BS26" s="278">
        <f t="shared" ref="BS26:BZ26" si="67">BS25*-$C$7</f>
        <v>-5140.2046679631803</v>
      </c>
      <c r="BT26" s="278">
        <f t="shared" si="67"/>
        <v>-5150.8619729480242</v>
      </c>
      <c r="BU26" s="278">
        <f t="shared" si="67"/>
        <v>-5161.5438966016891</v>
      </c>
      <c r="BV26" s="278">
        <f t="shared" si="67"/>
        <v>-5172.2504954911519</v>
      </c>
      <c r="BW26" s="278">
        <f t="shared" si="67"/>
        <v>-5182.9818263125417</v>
      </c>
      <c r="BX26" s="278">
        <f t="shared" si="67"/>
        <v>-5193.737945891442</v>
      </c>
      <c r="BY26" s="278">
        <f t="shared" si="67"/>
        <v>-5204.5189111831814</v>
      </c>
      <c r="BZ26" s="279">
        <f t="shared" si="67"/>
        <v>-5215.3247792731381</v>
      </c>
    </row>
    <row r="27" spans="2:78" x14ac:dyDescent="0.3">
      <c r="B27" s="3"/>
      <c r="C27" s="75"/>
      <c r="D27" s="75"/>
      <c r="E27" s="182" t="s">
        <v>508</v>
      </c>
      <c r="F27" s="179"/>
      <c r="G27" s="281">
        <f t="shared" ref="G27:AL27" si="68">SUM(G25:G26)</f>
        <v>295949.91516666673</v>
      </c>
      <c r="H27" s="281">
        <f t="shared" si="68"/>
        <v>296553.63327562861</v>
      </c>
      <c r="I27" s="281">
        <f t="shared" si="68"/>
        <v>297158.74707248987</v>
      </c>
      <c r="J27" s="281">
        <f t="shared" si="68"/>
        <v>297765.25976707414</v>
      </c>
      <c r="K27" s="281">
        <f t="shared" si="68"/>
        <v>298373.17457654164</v>
      </c>
      <c r="L27" s="281">
        <f t="shared" si="68"/>
        <v>298982.49472540629</v>
      </c>
      <c r="M27" s="281">
        <f t="shared" si="68"/>
        <v>299593.22344555223</v>
      </c>
      <c r="N27" s="281">
        <f t="shared" si="68"/>
        <v>300205.36397625081</v>
      </c>
      <c r="O27" s="281">
        <f t="shared" si="68"/>
        <v>300818.9195641767</v>
      </c>
      <c r="P27" s="281">
        <f t="shared" si="68"/>
        <v>301433.8934634254</v>
      </c>
      <c r="Q27" s="281">
        <f t="shared" si="68"/>
        <v>302050.28893552977</v>
      </c>
      <c r="R27" s="281">
        <f t="shared" si="68"/>
        <v>302668.10924947675</v>
      </c>
      <c r="S27" s="281">
        <f t="shared" si="68"/>
        <v>303287.35768172482</v>
      </c>
      <c r="T27" s="281">
        <f t="shared" si="68"/>
        <v>303908.03751622001</v>
      </c>
      <c r="U27" s="281">
        <f t="shared" si="68"/>
        <v>304530.1520444139</v>
      </c>
      <c r="V27" s="281">
        <f t="shared" si="68"/>
        <v>305153.70456528006</v>
      </c>
      <c r="W27" s="281">
        <f t="shared" si="68"/>
        <v>305778.69838533131</v>
      </c>
      <c r="X27" s="281">
        <f t="shared" si="68"/>
        <v>306405.13681863638</v>
      </c>
      <c r="Y27" s="281">
        <f t="shared" si="68"/>
        <v>307033.0231868382</v>
      </c>
      <c r="Z27" s="281">
        <f t="shared" si="68"/>
        <v>307662.36081916949</v>
      </c>
      <c r="AA27" s="281">
        <f t="shared" si="68"/>
        <v>308293.15305247146</v>
      </c>
      <c r="AB27" s="281">
        <f t="shared" si="68"/>
        <v>308925.40323120996</v>
      </c>
      <c r="AC27" s="281">
        <f t="shared" si="68"/>
        <v>309559.11470749363</v>
      </c>
      <c r="AD27" s="281">
        <f t="shared" si="68"/>
        <v>310194.29084109049</v>
      </c>
      <c r="AE27" s="281">
        <f t="shared" si="68"/>
        <v>310830.93499944586</v>
      </c>
      <c r="AF27" s="281">
        <f t="shared" si="68"/>
        <v>311469.05055769952</v>
      </c>
      <c r="AG27" s="281">
        <f t="shared" si="68"/>
        <v>312108.64089870331</v>
      </c>
      <c r="AH27" s="281">
        <f t="shared" si="68"/>
        <v>312749.70941303828</v>
      </c>
      <c r="AI27" s="281">
        <f t="shared" si="68"/>
        <v>313392.25949903257</v>
      </c>
      <c r="AJ27" s="281">
        <f t="shared" si="68"/>
        <v>314036.29456277919</v>
      </c>
      <c r="AK27" s="281">
        <f t="shared" si="68"/>
        <v>314681.81801815302</v>
      </c>
      <c r="AL27" s="281">
        <f t="shared" si="68"/>
        <v>315328.83328682871</v>
      </c>
      <c r="AM27" s="281">
        <f t="shared" ref="AM27:BR27" si="69">SUM(AM25:AM26)</f>
        <v>315977.34379829874</v>
      </c>
      <c r="AN27" s="281">
        <f t="shared" si="69"/>
        <v>316627.3529898905</v>
      </c>
      <c r="AO27" s="281">
        <f t="shared" si="69"/>
        <v>317278.86430678441</v>
      </c>
      <c r="AP27" s="281">
        <f t="shared" si="69"/>
        <v>317931.88120203209</v>
      </c>
      <c r="AQ27" s="281">
        <f t="shared" si="69"/>
        <v>318586.40713657328</v>
      </c>
      <c r="AR27" s="281">
        <f t="shared" si="69"/>
        <v>319242.44557925483</v>
      </c>
      <c r="AS27" s="281">
        <f t="shared" si="69"/>
        <v>319900.00000684755</v>
      </c>
      <c r="AT27" s="281">
        <f t="shared" si="69"/>
        <v>320559.07390406512</v>
      </c>
      <c r="AU27" s="281">
        <f t="shared" si="69"/>
        <v>321219.67076358153</v>
      </c>
      <c r="AV27" s="281">
        <f t="shared" si="69"/>
        <v>321881.79408604908</v>
      </c>
      <c r="AW27" s="281">
        <f t="shared" si="69"/>
        <v>322545.44738011726</v>
      </c>
      <c r="AX27" s="281">
        <f t="shared" si="69"/>
        <v>323210.63416244969</v>
      </c>
      <c r="AY27" s="281">
        <f t="shared" si="69"/>
        <v>323877.35795774317</v>
      </c>
      <c r="AZ27" s="281">
        <f t="shared" si="69"/>
        <v>324545.62229874544</v>
      </c>
      <c r="BA27" s="281">
        <f t="shared" si="69"/>
        <v>325215.43072627421</v>
      </c>
      <c r="BB27" s="281">
        <f t="shared" si="69"/>
        <v>325886.78678923403</v>
      </c>
      <c r="BC27" s="281">
        <f t="shared" si="69"/>
        <v>326559.69404463598</v>
      </c>
      <c r="BD27" s="281">
        <f t="shared" si="69"/>
        <v>327234.15605761547</v>
      </c>
      <c r="BE27" s="281">
        <f t="shared" si="69"/>
        <v>327910.17640145059</v>
      </c>
      <c r="BF27" s="281">
        <f t="shared" si="69"/>
        <v>328587.75865758077</v>
      </c>
      <c r="BG27" s="281">
        <f t="shared" si="69"/>
        <v>329266.9064156253</v>
      </c>
      <c r="BH27" s="281">
        <f t="shared" si="69"/>
        <v>329947.6232734017</v>
      </c>
      <c r="BI27" s="281">
        <f t="shared" si="69"/>
        <v>330629.91283694434</v>
      </c>
      <c r="BJ27" s="281">
        <f t="shared" si="69"/>
        <v>331313.778720523</v>
      </c>
      <c r="BK27" s="281">
        <f t="shared" si="69"/>
        <v>331999.22454666195</v>
      </c>
      <c r="BL27" s="281">
        <f t="shared" si="69"/>
        <v>332686.25394615834</v>
      </c>
      <c r="BM27" s="281">
        <f t="shared" si="69"/>
        <v>333374.87055810075</v>
      </c>
      <c r="BN27" s="281">
        <f t="shared" si="69"/>
        <v>334065.07802988822</v>
      </c>
      <c r="BO27" s="281">
        <f t="shared" si="69"/>
        <v>334756.88001724944</v>
      </c>
      <c r="BP27" s="281">
        <f t="shared" si="69"/>
        <v>335450.2801842608</v>
      </c>
      <c r="BQ27" s="281">
        <f t="shared" si="69"/>
        <v>336145.28220336605</v>
      </c>
      <c r="BR27" s="281">
        <f t="shared" si="69"/>
        <v>336841.88975539483</v>
      </c>
      <c r="BS27" s="281">
        <f t="shared" ref="BS27:BZ27" si="70">SUM(BS25:BS26)</f>
        <v>337540.10652958218</v>
      </c>
      <c r="BT27" s="281">
        <f t="shared" si="70"/>
        <v>338239.93622358696</v>
      </c>
      <c r="BU27" s="281">
        <f t="shared" si="70"/>
        <v>338941.38254351093</v>
      </c>
      <c r="BV27" s="281">
        <f t="shared" si="70"/>
        <v>339644.44920391898</v>
      </c>
      <c r="BW27" s="281">
        <f t="shared" si="70"/>
        <v>340349.13992785692</v>
      </c>
      <c r="BX27" s="281">
        <f t="shared" si="70"/>
        <v>341055.45844687137</v>
      </c>
      <c r="BY27" s="281">
        <f t="shared" si="70"/>
        <v>341763.40850102896</v>
      </c>
      <c r="BZ27" s="282">
        <f t="shared" si="70"/>
        <v>342472.99383893609</v>
      </c>
    </row>
    <row r="28" spans="2:78" x14ac:dyDescent="0.3">
      <c r="B28" s="3"/>
      <c r="C28" s="75"/>
      <c r="D28" s="75"/>
      <c r="E28" s="182" t="s">
        <v>449</v>
      </c>
      <c r="F28" s="228"/>
      <c r="G28" s="295">
        <f>IF(G4&lt;=Assumptions!$K$37,0,PPMT(Assumptions!$K$36/12,'Monthly Cash Flow'!G4-Assumptions!$K$37,Assumptions!$K$38*12-Assumptions!$K$37,Assumptions!$K$32,0,))</f>
        <v>0</v>
      </c>
      <c r="H28" s="295">
        <f>IF(H4&lt;=Assumptions!$K$37,0,PPMT(Assumptions!$K$36/12,'Monthly Cash Flow'!H4-Assumptions!$K$37,Assumptions!$K$38*12-Assumptions!$K$37,Assumptions!$K$32,0,))</f>
        <v>0</v>
      </c>
      <c r="I28" s="295">
        <f>IF(I4&lt;=Assumptions!$K$37,0,PPMT(Assumptions!$K$36/12,'Monthly Cash Flow'!I4-Assumptions!$K$37,Assumptions!$K$38*12-Assumptions!$K$37,Assumptions!$K$32,0,))</f>
        <v>0</v>
      </c>
      <c r="J28" s="295">
        <f>IF(J4&lt;=Assumptions!$K$37,0,PPMT(Assumptions!$K$36/12,'Monthly Cash Flow'!J4-Assumptions!$K$37,Assumptions!$K$38*12-Assumptions!$K$37,Assumptions!$K$32,0,))</f>
        <v>0</v>
      </c>
      <c r="K28" s="295">
        <f>IF(K4&lt;=Assumptions!$K$37,0,PPMT(Assumptions!$K$36/12,'Monthly Cash Flow'!K4-Assumptions!$K$37,Assumptions!$K$38*12-Assumptions!$K$37,Assumptions!$K$32,0,))</f>
        <v>0</v>
      </c>
      <c r="L28" s="295">
        <f>IF(L4&lt;=Assumptions!$K$37,0,PPMT(Assumptions!$K$36/12,'Monthly Cash Flow'!L4-Assumptions!$K$37,Assumptions!$K$38*12-Assumptions!$K$37,Assumptions!$K$32,0,))</f>
        <v>0</v>
      </c>
      <c r="M28" s="295">
        <f>IF(M4&lt;=Assumptions!$K$37,0,PPMT(Assumptions!$K$36/12,'Monthly Cash Flow'!M4-Assumptions!$K$37,Assumptions!$K$38*12-Assumptions!$K$37,Assumptions!$K$32,0,))</f>
        <v>0</v>
      </c>
      <c r="N28" s="295">
        <f>IF(N4&lt;=Assumptions!$K$37,0,PPMT(Assumptions!$K$36/12,'Monthly Cash Flow'!N4-Assumptions!$K$37,Assumptions!$K$38*12-Assumptions!$K$37,Assumptions!$K$32,0,))</f>
        <v>0</v>
      </c>
      <c r="O28" s="295">
        <f>IF(O4&lt;=Assumptions!$K$37,0,PPMT(Assumptions!$K$36/12,'Monthly Cash Flow'!O4-Assumptions!$K$37,Assumptions!$K$38*12-Assumptions!$K$37,Assumptions!$K$32,0,))</f>
        <v>0</v>
      </c>
      <c r="P28" s="295">
        <f>IF(P4&lt;=Assumptions!$K$37,0,PPMT(Assumptions!$K$36/12,'Monthly Cash Flow'!P4-Assumptions!$K$37,Assumptions!$K$38*12-Assumptions!$K$37,Assumptions!$K$32,0,))</f>
        <v>0</v>
      </c>
      <c r="Q28" s="295">
        <f>IF(Q4&lt;=Assumptions!$K$37,0,PPMT(Assumptions!$K$36/12,'Monthly Cash Flow'!Q4-Assumptions!$K$37,Assumptions!$K$38*12-Assumptions!$K$37,Assumptions!$K$32,0,))</f>
        <v>0</v>
      </c>
      <c r="R28" s="295">
        <f>IF(R4&lt;=Assumptions!$K$37,0,PPMT(Assumptions!$K$36/12,'Monthly Cash Flow'!R4-Assumptions!$K$37,Assumptions!$K$38*12-Assumptions!$K$37,Assumptions!$K$32,0,))</f>
        <v>0</v>
      </c>
      <c r="S28" s="295">
        <f>IF(S4&lt;=Assumptions!$K$37,0,PPMT(Assumptions!$K$36/12,'Monthly Cash Flow'!S4-Assumptions!$K$37,Assumptions!$K$38*12-Assumptions!$K$37,Assumptions!$K$32,0,))</f>
        <v>0</v>
      </c>
      <c r="T28" s="295">
        <f>IF(T4&lt;=Assumptions!$K$37,0,PPMT(Assumptions!$K$36/12,'Monthly Cash Flow'!T4-Assumptions!$K$37,Assumptions!$K$38*12-Assumptions!$K$37,Assumptions!$K$32,0,))</f>
        <v>0</v>
      </c>
      <c r="U28" s="295">
        <f>IF(U4&lt;=Assumptions!$K$37,0,PPMT(Assumptions!$K$36/12,'Monthly Cash Flow'!U4-Assumptions!$K$37,Assumptions!$K$38*12-Assumptions!$K$37,Assumptions!$K$32,0,))</f>
        <v>0</v>
      </c>
      <c r="V28" s="295">
        <f>IF(V4&lt;=Assumptions!$K$37,0,PPMT(Assumptions!$K$36/12,'Monthly Cash Flow'!V4-Assumptions!$K$37,Assumptions!$K$38*12-Assumptions!$K$37,Assumptions!$K$32,0,))</f>
        <v>0</v>
      </c>
      <c r="W28" s="295">
        <f>IF(W4&lt;=Assumptions!$K$37,0,PPMT(Assumptions!$K$36/12,'Monthly Cash Flow'!W4-Assumptions!$K$37,Assumptions!$K$38*12-Assumptions!$K$37,Assumptions!$K$32,0,))</f>
        <v>0</v>
      </c>
      <c r="X28" s="295">
        <f>IF(X4&lt;=Assumptions!$K$37,0,PPMT(Assumptions!$K$36/12,'Monthly Cash Flow'!X4-Assumptions!$K$37,Assumptions!$K$38*12-Assumptions!$K$37,Assumptions!$K$32,0,))</f>
        <v>0</v>
      </c>
      <c r="Y28" s="295">
        <f>IF(Y4&lt;=Assumptions!$K$37,0,PPMT(Assumptions!$K$36/12,'Monthly Cash Flow'!Y4-Assumptions!$K$37,Assumptions!$K$38*12-Assumptions!$K$37,Assumptions!$K$32,0,))</f>
        <v>0</v>
      </c>
      <c r="Z28" s="295">
        <f>IF(Z4&lt;=Assumptions!$K$37,0,PPMT(Assumptions!$K$36/12,'Monthly Cash Flow'!Z4-Assumptions!$K$37,Assumptions!$K$38*12-Assumptions!$K$37,Assumptions!$K$32,0,))</f>
        <v>0</v>
      </c>
      <c r="AA28" s="295">
        <f>IF(AA4&lt;=Assumptions!$K$37,0,PPMT(Assumptions!$K$36/12,'Monthly Cash Flow'!AA4-Assumptions!$K$37,Assumptions!$K$38*12-Assumptions!$K$37,Assumptions!$K$32,0,))</f>
        <v>0</v>
      </c>
      <c r="AB28" s="295">
        <f>IF(AB4&lt;=Assumptions!$K$37,0,PPMT(Assumptions!$K$36/12,'Monthly Cash Flow'!AB4-Assumptions!$K$37,Assumptions!$K$38*12-Assumptions!$K$37,Assumptions!$K$32,0,))</f>
        <v>0</v>
      </c>
      <c r="AC28" s="295">
        <f>IF(AC4&lt;=Assumptions!$K$37,0,PPMT(Assumptions!$K$36/12,'Monthly Cash Flow'!AC4-Assumptions!$K$37,Assumptions!$K$38*12-Assumptions!$K$37,Assumptions!$K$32,0,))</f>
        <v>0</v>
      </c>
      <c r="AD28" s="295">
        <f>IF(AD4&lt;=Assumptions!$K$37,0,PPMT(Assumptions!$K$36/12,'Monthly Cash Flow'!AD4-Assumptions!$K$37,Assumptions!$K$38*12-Assumptions!$K$37,Assumptions!$K$32,0,))</f>
        <v>0</v>
      </c>
      <c r="AE28" s="295">
        <f>IF(AE4&lt;=Assumptions!$K$37,0,PPMT(Assumptions!$K$36/12,'Monthly Cash Flow'!AE4-Assumptions!$K$37,Assumptions!$K$38*12-Assumptions!$K$37,Assumptions!$K$32,0,))</f>
        <v>-91290.53411495559</v>
      </c>
      <c r="AF28" s="295">
        <f>IF(AF4&lt;=Assumptions!$K$37,0,PPMT(Assumptions!$K$36/12,'Monthly Cash Flow'!AF4-Assumptions!$K$37,Assumptions!$K$38*12-Assumptions!$K$37,Assumptions!$K$32,0,))</f>
        <v>-91545.386856026511</v>
      </c>
      <c r="AG28" s="295">
        <f>IF(AG4&lt;=Assumptions!$K$37,0,PPMT(Assumptions!$K$36/12,'Monthly Cash Flow'!AG4-Assumptions!$K$37,Assumptions!$K$38*12-Assumptions!$K$37,Assumptions!$K$32,0,))</f>
        <v>-91800.951060999578</v>
      </c>
      <c r="AH28" s="295">
        <f>IF(AH4&lt;=Assumptions!$K$37,0,PPMT(Assumptions!$K$36/12,'Monthly Cash Flow'!AH4-Assumptions!$K$37,Assumptions!$K$38*12-Assumptions!$K$37,Assumptions!$K$32,0,))</f>
        <v>-92057.228716044876</v>
      </c>
      <c r="AI28" s="295">
        <f>IF(AI4&lt;=Assumptions!$K$37,0,PPMT(Assumptions!$K$36/12,'Monthly Cash Flow'!AI4-Assumptions!$K$37,Assumptions!$K$38*12-Assumptions!$K$37,Assumptions!$K$32,0,))</f>
        <v>-92314.221812877164</v>
      </c>
      <c r="AJ28" s="295">
        <f>IF(AJ4&lt;=Assumptions!$K$37,0,PPMT(Assumptions!$K$36/12,'Monthly Cash Flow'!AJ4-Assumptions!$K$37,Assumptions!$K$38*12-Assumptions!$K$37,Assumptions!$K$32,0,))</f>
        <v>-92571.932348771457</v>
      </c>
      <c r="AK28" s="295">
        <f>IF(AK4&lt;=Assumptions!$K$37,0,PPMT(Assumptions!$K$36/12,'Monthly Cash Flow'!AK4-Assumptions!$K$37,Assumptions!$K$38*12-Assumptions!$K$37,Assumptions!$K$32,0,))</f>
        <v>-92830.362326578441</v>
      </c>
      <c r="AL28" s="295">
        <f>IF(AL4&lt;=Assumptions!$K$37,0,PPMT(Assumptions!$K$36/12,'Monthly Cash Flow'!AL4-Assumptions!$K$37,Assumptions!$K$38*12-Assumptions!$K$37,Assumptions!$K$32,0,))</f>
        <v>-93089.513754740139</v>
      </c>
      <c r="AM28" s="295">
        <f>IF(AM4&lt;=Assumptions!$K$37,0,PPMT(Assumptions!$K$36/12,'Monthly Cash Flow'!AM4-Assumptions!$K$37,Assumptions!$K$38*12-Assumptions!$K$37,Assumptions!$K$32,0,))</f>
        <v>-93349.388647305444</v>
      </c>
      <c r="AN28" s="295">
        <f>IF(AN4&lt;=Assumptions!$K$37,0,PPMT(Assumptions!$K$36/12,'Monthly Cash Flow'!AN4-Assumptions!$K$37,Assumptions!$K$38*12-Assumptions!$K$37,Assumptions!$K$32,0,))</f>
        <v>-93609.989023945847</v>
      </c>
      <c r="AO28" s="295">
        <f>IF(AO4&lt;=Assumptions!$K$37,0,PPMT(Assumptions!$K$36/12,'Monthly Cash Flow'!AO4-Assumptions!$K$37,Assumptions!$K$38*12-Assumptions!$K$37,Assumptions!$K$32,0,))</f>
        <v>-93871.316909971021</v>
      </c>
      <c r="AP28" s="295">
        <f>IF(AP4&lt;=Assumptions!$K$37,0,PPMT(Assumptions!$K$36/12,'Monthly Cash Flow'!AP4-Assumptions!$K$37,Assumptions!$K$38*12-Assumptions!$K$37,Assumptions!$K$32,0,))</f>
        <v>-94133.374336344685</v>
      </c>
      <c r="AQ28" s="295">
        <f>IF(AQ4&lt;=Assumptions!$K$37,0,PPMT(Assumptions!$K$36/12,'Monthly Cash Flow'!AQ4-Assumptions!$K$37,Assumptions!$K$38*12-Assumptions!$K$37,Assumptions!$K$32,0,))</f>
        <v>-94396.163339700346</v>
      </c>
      <c r="AR28" s="295">
        <f>IF(AR4&lt;=Assumptions!$K$37,0,PPMT(Assumptions!$K$36/12,'Monthly Cash Flow'!AR4-Assumptions!$K$37,Assumptions!$K$38*12-Assumptions!$K$37,Assumptions!$K$32,0,))</f>
        <v>-94659.685962356991</v>
      </c>
      <c r="AS28" s="295">
        <f>IF(AS4&lt;=Assumptions!$K$37,0,PPMT(Assumptions!$K$36/12,'Monthly Cash Flow'!AS4-Assumptions!$K$37,Assumptions!$K$38*12-Assumptions!$K$37,Assumptions!$K$32,0,))</f>
        <v>-94923.944252335248</v>
      </c>
      <c r="AT28" s="295">
        <f>IF(AT4&lt;=Assumptions!$K$37,0,PPMT(Assumptions!$K$36/12,'Monthly Cash Flow'!AT4-Assumptions!$K$37,Assumptions!$K$38*12-Assumptions!$K$37,Assumptions!$K$32,0,))</f>
        <v>-95188.940263373006</v>
      </c>
      <c r="AU28" s="295">
        <f>IF(AU4&lt;=Assumptions!$K$37,0,PPMT(Assumptions!$K$36/12,'Monthly Cash Flow'!AU4-Assumptions!$K$37,Assumptions!$K$38*12-Assumptions!$K$37,Assumptions!$K$32,0,))</f>
        <v>-95454.676054941578</v>
      </c>
      <c r="AV28" s="295">
        <f>IF(AV4&lt;=Assumptions!$K$37,0,PPMT(Assumptions!$K$36/12,'Monthly Cash Flow'!AV4-Assumptions!$K$37,Assumptions!$K$38*12-Assumptions!$K$37,Assumptions!$K$32,0,))</f>
        <v>-95721.153692261636</v>
      </c>
      <c r="AW28" s="295">
        <f>IF(AW4&lt;=Assumptions!$K$37,0,PPMT(Assumptions!$K$36/12,'Monthly Cash Flow'!AW4-Assumptions!$K$37,Assumptions!$K$38*12-Assumptions!$K$37,Assumptions!$K$32,0,))</f>
        <v>-95988.375246319192</v>
      </c>
      <c r="AX28" s="295">
        <f>IF(AX4&lt;=Assumptions!$K$37,0,PPMT(Assumptions!$K$36/12,'Monthly Cash Flow'!AX4-Assumptions!$K$37,Assumptions!$K$38*12-Assumptions!$K$37,Assumptions!$K$32,0,))</f>
        <v>-96256.342793881835</v>
      </c>
      <c r="AY28" s="295">
        <f>IF(AY4&lt;=Assumptions!$K$37,0,PPMT(Assumptions!$K$36/12,'Monthly Cash Flow'!AY4-Assumptions!$K$37,Assumptions!$K$38*12-Assumptions!$K$37,Assumptions!$K$32,0,))</f>
        <v>-96525.058417514752</v>
      </c>
      <c r="AZ28" s="295">
        <f>IF(AZ4&lt;=Assumptions!$K$37,0,PPMT(Assumptions!$K$36/12,'Monthly Cash Flow'!AZ4-Assumptions!$K$37,Assumptions!$K$38*12-Assumptions!$K$37,Assumptions!$K$32,0,))</f>
        <v>-96794.524205597001</v>
      </c>
      <c r="BA28" s="295">
        <f>IF(BA4&lt;=Assumptions!$K$37,0,PPMT(Assumptions!$K$36/12,'Monthly Cash Flow'!BA4-Assumptions!$K$37,Assumptions!$K$38*12-Assumptions!$K$37,Assumptions!$K$32,0,))</f>
        <v>-97064.742252337601</v>
      </c>
      <c r="BB28" s="295">
        <f>IF(BB4&lt;=Assumptions!$K$37,0,PPMT(Assumptions!$K$36/12,'Monthly Cash Flow'!BB4-Assumptions!$K$37,Assumptions!$K$38*12-Assumptions!$K$37,Assumptions!$K$32,0,))</f>
        <v>-97335.71465779205</v>
      </c>
      <c r="BC28" s="295">
        <f>IF(BC4&lt;=Assumptions!$K$37,0,PPMT(Assumptions!$K$36/12,'Monthly Cash Flow'!BC4-Assumptions!$K$37,Assumptions!$K$38*12-Assumptions!$K$37,Assumptions!$K$32,0,))</f>
        <v>-97607.443527878393</v>
      </c>
      <c r="BD28" s="295">
        <f>IF(BD4&lt;=Assumptions!$K$37,0,PPMT(Assumptions!$K$36/12,'Monthly Cash Flow'!BD4-Assumptions!$K$37,Assumptions!$K$38*12-Assumptions!$K$37,Assumptions!$K$32,0,))</f>
        <v>-97879.930974393719</v>
      </c>
      <c r="BE28" s="295">
        <f>IF(BE4&lt;=Assumptions!$K$37,0,PPMT(Assumptions!$K$36/12,'Monthly Cash Flow'!BE4-Assumptions!$K$37,Assumptions!$K$38*12-Assumptions!$K$37,Assumptions!$K$32,0,))</f>
        <v>-98153.17911503058</v>
      </c>
      <c r="BF28" s="295">
        <f>IF(BF4&lt;=Assumptions!$K$37,0,PPMT(Assumptions!$K$36/12,'Monthly Cash Flow'!BF4-Assumptions!$K$37,Assumptions!$K$38*12-Assumptions!$K$37,Assumptions!$K$32,0,))</f>
        <v>-98427.190073393373</v>
      </c>
      <c r="BG28" s="295">
        <f>IF(BG4&lt;=Assumptions!$K$37,0,PPMT(Assumptions!$K$36/12,'Monthly Cash Flow'!BG4-Assumptions!$K$37,Assumptions!$K$38*12-Assumptions!$K$37,Assumptions!$K$32,0,))</f>
        <v>-98701.965979014931</v>
      </c>
      <c r="BH28" s="295">
        <f>IF(BH4&lt;=Assumptions!$K$37,0,PPMT(Assumptions!$K$36/12,'Monthly Cash Flow'!BH4-Assumptions!$K$37,Assumptions!$K$38*12-Assumptions!$K$37,Assumptions!$K$32,0,))</f>
        <v>-98977.508967373011</v>
      </c>
      <c r="BI28" s="295">
        <f>IF(BI4&lt;=Assumptions!$K$37,0,PPMT(Assumptions!$K$36/12,'Monthly Cash Flow'!BI4-Assumptions!$K$37,Assumptions!$K$38*12-Assumptions!$K$37,Assumptions!$K$32,0,))</f>
        <v>-99253.821179906925</v>
      </c>
      <c r="BJ28" s="295">
        <f>IF(BJ4&lt;=Assumptions!$K$37,0,PPMT(Assumptions!$K$36/12,'Monthly Cash Flow'!BJ4-Assumptions!$K$37,Assumptions!$K$38*12-Assumptions!$K$37,Assumptions!$K$32,0,))</f>
        <v>-99530.90476403416</v>
      </c>
      <c r="BK28" s="295">
        <f>IF(BK4&lt;=Assumptions!$K$37,0,PPMT(Assumptions!$K$36/12,'Monthly Cash Flow'!BK4-Assumptions!$K$37,Assumptions!$K$38*12-Assumptions!$K$37,Assumptions!$K$32,0,))</f>
        <v>-99808.761873167081</v>
      </c>
      <c r="BL28" s="295">
        <f>IF(BL4&lt;=Assumptions!$K$37,0,PPMT(Assumptions!$K$36/12,'Monthly Cash Flow'!BL4-Assumptions!$K$37,Assumptions!$K$38*12-Assumptions!$K$37,Assumptions!$K$32,0,))</f>
        <v>-100087.39466672968</v>
      </c>
      <c r="BM28" s="295">
        <f>IF(BM4&lt;=Assumptions!$K$37,0,PPMT(Assumptions!$K$36/12,'Monthly Cash Flow'!BM4-Assumptions!$K$37,Assumptions!$K$38*12-Assumptions!$K$37,Assumptions!$K$32,0,))</f>
        <v>-100366.80531017431</v>
      </c>
      <c r="BN28" s="295">
        <f>IF(BN4&lt;=Assumptions!$K$37,0,PPMT(Assumptions!$K$36/12,'Monthly Cash Flow'!BN4-Assumptions!$K$37,Assumptions!$K$38*12-Assumptions!$K$37,Assumptions!$K$32,0,))</f>
        <v>-100646.99597499854</v>
      </c>
      <c r="BO28" s="295">
        <f>IF(BO4&lt;=Assumptions!$K$37,0,PPMT(Assumptions!$K$36/12,'Monthly Cash Flow'!BO4-Assumptions!$K$37,Assumptions!$K$38*12-Assumptions!$K$37,Assumptions!$K$32,0,))</f>
        <v>-100927.96883876207</v>
      </c>
      <c r="BP28" s="295">
        <f>IF(BP4&lt;=Assumptions!$K$37,0,PPMT(Assumptions!$K$36/12,'Monthly Cash Flow'!BP4-Assumptions!$K$37,Assumptions!$K$38*12-Assumptions!$K$37,Assumptions!$K$32,0,))</f>
        <v>-101209.72608510361</v>
      </c>
      <c r="BQ28" s="295">
        <f>IF(BQ4&lt;=Assumptions!$K$37,0,PPMT(Assumptions!$K$36/12,'Monthly Cash Flow'!BQ4-Assumptions!$K$37,Assumptions!$K$38*12-Assumptions!$K$37,Assumptions!$K$32,0,))</f>
        <v>-101492.26990375786</v>
      </c>
      <c r="BR28" s="295">
        <f>IF(BR4&lt;=Assumptions!$K$37,0,PPMT(Assumptions!$K$36/12,'Monthly Cash Flow'!BR4-Assumptions!$K$37,Assumptions!$K$38*12-Assumptions!$K$37,Assumptions!$K$32,0,))</f>
        <v>-101775.60249057251</v>
      </c>
      <c r="BS28" s="295">
        <f>IF(BS4&lt;=Assumptions!$K$37,0,PPMT(Assumptions!$K$36/12,'Monthly Cash Flow'!BS4-Assumptions!$K$37,Assumptions!$K$38*12-Assumptions!$K$37,Assumptions!$K$32,0,))</f>
        <v>-102059.72604752537</v>
      </c>
      <c r="BT28" s="295">
        <f>IF(BT4&lt;=Assumptions!$K$37,0,PPMT(Assumptions!$K$36/12,'Monthly Cash Flow'!BT4-Assumptions!$K$37,Assumptions!$K$38*12-Assumptions!$K$37,Assumptions!$K$32,0,))</f>
        <v>-102344.64278274139</v>
      </c>
      <c r="BU28" s="295">
        <f>IF(BU4&lt;=Assumptions!$K$37,0,PPMT(Assumptions!$K$36/12,'Monthly Cash Flow'!BU4-Assumptions!$K$37,Assumptions!$K$38*12-Assumptions!$K$37,Assumptions!$K$32,0,))</f>
        <v>-102630.35491050986</v>
      </c>
      <c r="BV28" s="295">
        <f>IF(BV4&lt;=Assumptions!$K$37,0,PPMT(Assumptions!$K$36/12,'Monthly Cash Flow'!BV4-Assumptions!$K$37,Assumptions!$K$38*12-Assumptions!$K$37,Assumptions!$K$32,0,))</f>
        <v>-102916.8646513017</v>
      </c>
      <c r="BW28" s="295">
        <f>IF(BW4&lt;=Assumptions!$K$37,0,PPMT(Assumptions!$K$36/12,'Monthly Cash Flow'!BW4-Assumptions!$K$37,Assumptions!$K$38*12-Assumptions!$K$37,Assumptions!$K$32,0,))</f>
        <v>-103204.17423178659</v>
      </c>
      <c r="BX28" s="295">
        <f>IF(BX4&lt;=Assumptions!$K$37,0,PPMT(Assumptions!$K$36/12,'Monthly Cash Flow'!BX4-Assumptions!$K$37,Assumptions!$K$38*12-Assumptions!$K$37,Assumptions!$K$32,0,))</f>
        <v>-103492.28588485034</v>
      </c>
      <c r="BY28" s="295">
        <f>IF(BY4&lt;=Assumptions!$K$37,0,PPMT(Assumptions!$K$36/12,'Monthly Cash Flow'!BY4-Assumptions!$K$37,Assumptions!$K$38*12-Assumptions!$K$37,Assumptions!$K$32,0,))</f>
        <v>-103781.20184961219</v>
      </c>
      <c r="BZ28" s="296">
        <f>IF(BZ4&lt;=Assumptions!$K$37,0,PPMT(Assumptions!$K$36/12,'Monthly Cash Flow'!BZ4-Assumptions!$K$37,Assumptions!$K$38*12-Assumptions!$K$37,Assumptions!$K$32,0,))</f>
        <v>-104070.92437144236</v>
      </c>
    </row>
    <row r="29" spans="2:78" x14ac:dyDescent="0.3">
      <c r="B29" s="3"/>
      <c r="C29" s="14"/>
      <c r="D29" s="14"/>
      <c r="E29" s="176" t="s">
        <v>452</v>
      </c>
      <c r="F29" s="229"/>
      <c r="G29" s="297">
        <f>IF(G4&lt;=Assumptions!$K$37,-Assumptions!$K$32*Assumptions!$K$36/12,IPMT(Assumptions!$K$36/12,'Monthly Cash Flow'!G4-Assumptions!$K$37,Assumptions!$K$38*12-Assumptions!$K$37,Assumptions!$K$32,0,))</f>
        <v>-141639.99325</v>
      </c>
      <c r="H29" s="297">
        <f>IF(H4&lt;=Assumptions!$K$37,-Assumptions!$K$32*Assumptions!$K$36/12,IPMT(Assumptions!$K$36/12,'Monthly Cash Flow'!H4-Assumptions!$K$37,Assumptions!$K$38*12-Assumptions!$K$37,Assumptions!$K$32,0,))</f>
        <v>-141639.99325</v>
      </c>
      <c r="I29" s="297">
        <f>IF(I4&lt;=Assumptions!$K$37,-Assumptions!$K$32*Assumptions!$K$36/12,IPMT(Assumptions!$K$36/12,'Monthly Cash Flow'!I4-Assumptions!$K$37,Assumptions!$K$38*12-Assumptions!$K$37,Assumptions!$K$32,0,))</f>
        <v>-141639.99325</v>
      </c>
      <c r="J29" s="297">
        <f>IF(J4&lt;=Assumptions!$K$37,-Assumptions!$K$32*Assumptions!$K$36/12,IPMT(Assumptions!$K$36/12,'Monthly Cash Flow'!J4-Assumptions!$K$37,Assumptions!$K$38*12-Assumptions!$K$37,Assumptions!$K$32,0,))</f>
        <v>-141639.99325</v>
      </c>
      <c r="K29" s="298">
        <f>IF(K4&lt;=Assumptions!$K$37,-Assumptions!$K$32*Assumptions!$K$36/12,IPMT(Assumptions!$K$36/12,'Monthly Cash Flow'!K4-Assumptions!$K$37,Assumptions!$K$38*12-Assumptions!$K$37,Assumptions!$K$32,0,))</f>
        <v>-141639.99325</v>
      </c>
      <c r="L29" s="298">
        <f>IF(L4&lt;=Assumptions!$K$37,-Assumptions!$K$32*Assumptions!$K$36/12,IPMT(Assumptions!$K$36/12,'Monthly Cash Flow'!L4-Assumptions!$K$37,Assumptions!$K$38*12-Assumptions!$K$37,Assumptions!$K$32,0,))</f>
        <v>-141639.99325</v>
      </c>
      <c r="M29" s="298">
        <f>IF(M4&lt;=Assumptions!$K$37,-Assumptions!$K$32*Assumptions!$K$36/12,IPMT(Assumptions!$K$36/12,'Monthly Cash Flow'!M4-Assumptions!$K$37,Assumptions!$K$38*12-Assumptions!$K$37,Assumptions!$K$32,0,))</f>
        <v>-141639.99325</v>
      </c>
      <c r="N29" s="298">
        <f>IF(N4&lt;=Assumptions!$K$37,-Assumptions!$K$32*Assumptions!$K$36/12,IPMT(Assumptions!$K$36/12,'Monthly Cash Flow'!N4-Assumptions!$K$37,Assumptions!$K$38*12-Assumptions!$K$37,Assumptions!$K$32,0,))</f>
        <v>-141639.99325</v>
      </c>
      <c r="O29" s="298">
        <f>IF(O4&lt;=Assumptions!$K$37,-Assumptions!$K$32*Assumptions!$K$36/12,IPMT(Assumptions!$K$36/12,'Monthly Cash Flow'!O4-Assumptions!$K$37,Assumptions!$K$38*12-Assumptions!$K$37,Assumptions!$K$32,0,))</f>
        <v>-141639.99325</v>
      </c>
      <c r="P29" s="298">
        <f>IF(P4&lt;=Assumptions!$K$37,-Assumptions!$K$32*Assumptions!$K$36/12,IPMT(Assumptions!$K$36/12,'Monthly Cash Flow'!P4-Assumptions!$K$37,Assumptions!$K$38*12-Assumptions!$K$37,Assumptions!$K$32,0,))</f>
        <v>-141639.99325</v>
      </c>
      <c r="Q29" s="298">
        <f>IF(Q4&lt;=Assumptions!$K$37,-Assumptions!$K$32*Assumptions!$K$36/12,IPMT(Assumptions!$K$36/12,'Monthly Cash Flow'!Q4-Assumptions!$K$37,Assumptions!$K$38*12-Assumptions!$K$37,Assumptions!$K$32,0,))</f>
        <v>-141639.99325</v>
      </c>
      <c r="R29" s="298">
        <f>IF(R4&lt;=Assumptions!$K$37,-Assumptions!$K$32*Assumptions!$K$36/12,IPMT(Assumptions!$K$36/12,'Monthly Cash Flow'!R4-Assumptions!$K$37,Assumptions!$K$38*12-Assumptions!$K$37,Assumptions!$K$32,0,))</f>
        <v>-141639.99325</v>
      </c>
      <c r="S29" s="298">
        <f>IF(S4&lt;=Assumptions!$K$37,-Assumptions!$K$32*Assumptions!$K$36/12,IPMT(Assumptions!$K$36/12,'Monthly Cash Flow'!S4-Assumptions!$K$37,Assumptions!$K$38*12-Assumptions!$K$37,Assumptions!$K$32,0,))</f>
        <v>-141639.99325</v>
      </c>
      <c r="T29" s="298">
        <f>IF(T4&lt;=Assumptions!$K$37,-Assumptions!$K$32*Assumptions!$K$36/12,IPMT(Assumptions!$K$36/12,'Monthly Cash Flow'!T4-Assumptions!$K$37,Assumptions!$K$38*12-Assumptions!$K$37,Assumptions!$K$32,0,))</f>
        <v>-141639.99325</v>
      </c>
      <c r="U29" s="298">
        <f>IF(U4&lt;=Assumptions!$K$37,-Assumptions!$K$32*Assumptions!$K$36/12,IPMT(Assumptions!$K$36/12,'Monthly Cash Flow'!U4-Assumptions!$K$37,Assumptions!$K$38*12-Assumptions!$K$37,Assumptions!$K$32,0,))</f>
        <v>-141639.99325</v>
      </c>
      <c r="V29" s="298">
        <f>IF(V4&lt;=Assumptions!$K$37,-Assumptions!$K$32*Assumptions!$K$36/12,IPMT(Assumptions!$K$36/12,'Monthly Cash Flow'!V4-Assumptions!$K$37,Assumptions!$K$38*12-Assumptions!$K$37,Assumptions!$K$32,0,))</f>
        <v>-141639.99325</v>
      </c>
      <c r="W29" s="298">
        <f>IF(W4&lt;=Assumptions!$K$37,-Assumptions!$K$32*Assumptions!$K$36/12,IPMT(Assumptions!$K$36/12,'Monthly Cash Flow'!W4-Assumptions!$K$37,Assumptions!$K$38*12-Assumptions!$K$37,Assumptions!$K$32,0,))</f>
        <v>-141639.99325</v>
      </c>
      <c r="X29" s="298">
        <f>IF(X4&lt;=Assumptions!$K$37,-Assumptions!$K$32*Assumptions!$K$36/12,IPMT(Assumptions!$K$36/12,'Monthly Cash Flow'!X4-Assumptions!$K$37,Assumptions!$K$38*12-Assumptions!$K$37,Assumptions!$K$32,0,))</f>
        <v>-141639.99325</v>
      </c>
      <c r="Y29" s="298">
        <f>IF(Y4&lt;=Assumptions!$K$37,-Assumptions!$K$32*Assumptions!$K$36/12,IPMT(Assumptions!$K$36/12,'Monthly Cash Flow'!Y4-Assumptions!$K$37,Assumptions!$K$38*12-Assumptions!$K$37,Assumptions!$K$32,0,))</f>
        <v>-141639.99325</v>
      </c>
      <c r="Z29" s="298">
        <f>IF(Z4&lt;=Assumptions!$K$37,-Assumptions!$K$32*Assumptions!$K$36/12,IPMT(Assumptions!$K$36/12,'Monthly Cash Flow'!Z4-Assumptions!$K$37,Assumptions!$K$38*12-Assumptions!$K$37,Assumptions!$K$32,0,))</f>
        <v>-141639.99325</v>
      </c>
      <c r="AA29" s="298">
        <f>IF(AA4&lt;=Assumptions!$K$37,-Assumptions!$K$32*Assumptions!$K$36/12,IPMT(Assumptions!$K$36/12,'Monthly Cash Flow'!AA4-Assumptions!$K$37,Assumptions!$K$38*12-Assumptions!$K$37,Assumptions!$K$32,0,))</f>
        <v>-141639.99325</v>
      </c>
      <c r="AB29" s="298">
        <f>IF(AB4&lt;=Assumptions!$K$37,-Assumptions!$K$32*Assumptions!$K$36/12,IPMT(Assumptions!$K$36/12,'Monthly Cash Flow'!AB4-Assumptions!$K$37,Assumptions!$K$38*12-Assumptions!$K$37,Assumptions!$K$32,0,))</f>
        <v>-141639.99325</v>
      </c>
      <c r="AC29" s="298">
        <f>IF(AC4&lt;=Assumptions!$K$37,-Assumptions!$K$32*Assumptions!$K$36/12,IPMT(Assumptions!$K$36/12,'Monthly Cash Flow'!AC4-Assumptions!$K$37,Assumptions!$K$38*12-Assumptions!$K$37,Assumptions!$K$32,0,))</f>
        <v>-141639.99325</v>
      </c>
      <c r="AD29" s="298">
        <f>IF(AD4&lt;=Assumptions!$K$37,-Assumptions!$K$32*Assumptions!$K$36/12,IPMT(Assumptions!$K$36/12,'Monthly Cash Flow'!AD4-Assumptions!$K$37,Assumptions!$K$38*12-Assumptions!$K$37,Assumptions!$K$32,0,))</f>
        <v>-141639.99325</v>
      </c>
      <c r="AE29" s="298">
        <f>IF(AE4&lt;=Assumptions!$K$37,-Assumptions!$K$32*Assumptions!$K$36/12,IPMT(Assumptions!$K$36/12,'Monthly Cash Flow'!AE4-Assumptions!$K$37,Assumptions!$K$38*12-Assumptions!$K$37,Assumptions!$K$32,0,))</f>
        <v>-141639.99325</v>
      </c>
      <c r="AF29" s="298">
        <f>IF(AF4&lt;=Assumptions!$K$37,-Assumptions!$K$32*Assumptions!$K$36/12,IPMT(Assumptions!$K$36/12,'Monthly Cash Flow'!AF4-Assumptions!$K$37,Assumptions!$K$38*12-Assumptions!$K$37,Assumptions!$K$32,0,))</f>
        <v>-141385.14050892909</v>
      </c>
      <c r="AG29" s="298">
        <f>IF(AG4&lt;=Assumptions!$K$37,-Assumptions!$K$32*Assumptions!$K$36/12,IPMT(Assumptions!$K$36/12,'Monthly Cash Flow'!AG4-Assumptions!$K$37,Assumptions!$K$38*12-Assumptions!$K$37,Assumptions!$K$32,0,))</f>
        <v>-141129.57630395601</v>
      </c>
      <c r="AH29" s="298">
        <f>IF(AH4&lt;=Assumptions!$K$37,-Assumptions!$K$32*Assumptions!$K$36/12,IPMT(Assumptions!$K$36/12,'Monthly Cash Flow'!AH4-Assumptions!$K$37,Assumptions!$K$38*12-Assumptions!$K$37,Assumptions!$K$32,0,))</f>
        <v>-140873.29864891071</v>
      </c>
      <c r="AI29" s="298">
        <f>IF(AI4&lt;=Assumptions!$K$37,-Assumptions!$K$32*Assumptions!$K$36/12,IPMT(Assumptions!$K$36/12,'Monthly Cash Flow'!AI4-Assumptions!$K$37,Assumptions!$K$38*12-Assumptions!$K$37,Assumptions!$K$32,0,))</f>
        <v>-140616.30555207838</v>
      </c>
      <c r="AJ29" s="298">
        <f>IF(AJ4&lt;=Assumptions!$K$37,-Assumptions!$K$32*Assumptions!$K$36/12,IPMT(Assumptions!$K$36/12,'Monthly Cash Flow'!AJ4-Assumptions!$K$37,Assumptions!$K$38*12-Assumptions!$K$37,Assumptions!$K$32,0,))</f>
        <v>-140358.59501618415</v>
      </c>
      <c r="AK29" s="298">
        <f>IF(AK4&lt;=Assumptions!$K$37,-Assumptions!$K$32*Assumptions!$K$36/12,IPMT(Assumptions!$K$36/12,'Monthly Cash Flow'!AK4-Assumptions!$K$37,Assumptions!$K$38*12-Assumptions!$K$37,Assumptions!$K$32,0,))</f>
        <v>-140100.16503837716</v>
      </c>
      <c r="AL29" s="298">
        <f>IF(AL4&lt;=Assumptions!$K$37,-Assumptions!$K$32*Assumptions!$K$36/12,IPMT(Assumptions!$K$36/12,'Monthly Cash Flow'!AL4-Assumptions!$K$37,Assumptions!$K$38*12-Assumptions!$K$37,Assumptions!$K$32,0,))</f>
        <v>-139841.01361021545</v>
      </c>
      <c r="AM29" s="298">
        <f>IF(AM4&lt;=Assumptions!$K$37,-Assumptions!$K$32*Assumptions!$K$36/12,IPMT(Assumptions!$K$36/12,'Monthly Cash Flow'!AM4-Assumptions!$K$37,Assumptions!$K$38*12-Assumptions!$K$37,Assumptions!$K$32,0,))</f>
        <v>-139581.13871765014</v>
      </c>
      <c r="AN29" s="298">
        <f>IF(AN4&lt;=Assumptions!$K$37,-Assumptions!$K$32*Assumptions!$K$36/12,IPMT(Assumptions!$K$36/12,'Monthly Cash Flow'!AN4-Assumptions!$K$37,Assumptions!$K$38*12-Assumptions!$K$37,Assumptions!$K$32,0,))</f>
        <v>-139320.53834100973</v>
      </c>
      <c r="AO29" s="298">
        <f>IF(AO4&lt;=Assumptions!$K$37,-Assumptions!$K$32*Assumptions!$K$36/12,IPMT(Assumptions!$K$36/12,'Monthly Cash Flow'!AO4-Assumptions!$K$37,Assumptions!$K$38*12-Assumptions!$K$37,Assumptions!$K$32,0,))</f>
        <v>-139059.21045498454</v>
      </c>
      <c r="AP29" s="298">
        <f>IF(AP4&lt;=Assumptions!$K$37,-Assumptions!$K$32*Assumptions!$K$36/12,IPMT(Assumptions!$K$36/12,'Monthly Cash Flow'!AP4-Assumptions!$K$37,Assumptions!$K$38*12-Assumptions!$K$37,Assumptions!$K$32,0,))</f>
        <v>-138797.15302861089</v>
      </c>
      <c r="AQ29" s="298">
        <f>IF(AQ4&lt;=Assumptions!$K$37,-Assumptions!$K$32*Assumptions!$K$36/12,IPMT(Assumptions!$K$36/12,'Monthly Cash Flow'!AQ4-Assumptions!$K$37,Assumptions!$K$38*12-Assumptions!$K$37,Assumptions!$K$32,0,))</f>
        <v>-138534.36402525529</v>
      </c>
      <c r="AR29" s="298">
        <f>IF(AR4&lt;=Assumptions!$K$37,-Assumptions!$K$32*Assumptions!$K$36/12,IPMT(Assumptions!$K$36/12,'Monthly Cash Flow'!AR4-Assumptions!$K$37,Assumptions!$K$38*12-Assumptions!$K$37,Assumptions!$K$32,0,))</f>
        <v>-138270.84140259857</v>
      </c>
      <c r="AS29" s="298">
        <f>IF(AS4&lt;=Assumptions!$K$37,-Assumptions!$K$32*Assumptions!$K$36/12,IPMT(Assumptions!$K$36/12,'Monthly Cash Flow'!AS4-Assumptions!$K$37,Assumptions!$K$38*12-Assumptions!$K$37,Assumptions!$K$32,0,))</f>
        <v>-138006.58311262037</v>
      </c>
      <c r="AT29" s="298">
        <f>IF(AT4&lt;=Assumptions!$K$37,-Assumptions!$K$32*Assumptions!$K$36/12,IPMT(Assumptions!$K$36/12,'Monthly Cash Flow'!AT4-Assumptions!$K$37,Assumptions!$K$38*12-Assumptions!$K$37,Assumptions!$K$32,0,))</f>
        <v>-137741.58710158258</v>
      </c>
      <c r="AU29" s="298">
        <f>IF(AU4&lt;=Assumptions!$K$37,-Assumptions!$K$32*Assumptions!$K$36/12,IPMT(Assumptions!$K$36/12,'Monthly Cash Flow'!AU4-Assumptions!$K$37,Assumptions!$K$38*12-Assumptions!$K$37,Assumptions!$K$32,0,))</f>
        <v>-137475.85131001397</v>
      </c>
      <c r="AV29" s="298">
        <f>IF(AV4&lt;=Assumptions!$K$37,-Assumptions!$K$32*Assumptions!$K$36/12,IPMT(Assumptions!$K$36/12,'Monthly Cash Flow'!AV4-Assumptions!$K$37,Assumptions!$K$38*12-Assumptions!$K$37,Assumptions!$K$32,0,))</f>
        <v>-137209.373672694</v>
      </c>
      <c r="AW29" s="298">
        <f>IF(AW4&lt;=Assumptions!$K$37,-Assumptions!$K$32*Assumptions!$K$36/12,IPMT(Assumptions!$K$36/12,'Monthly Cash Flow'!AW4-Assumptions!$K$37,Assumptions!$K$38*12-Assumptions!$K$37,Assumptions!$K$32,0,))</f>
        <v>-136942.15211863638</v>
      </c>
      <c r="AX29" s="298">
        <f>IF(AX4&lt;=Assumptions!$K$37,-Assumptions!$K$32*Assumptions!$K$36/12,IPMT(Assumptions!$K$36/12,'Monthly Cash Flow'!AX4-Assumptions!$K$37,Assumptions!$K$38*12-Assumptions!$K$37,Assumptions!$K$32,0,))</f>
        <v>-136674.18457107374</v>
      </c>
      <c r="AY29" s="298">
        <f>IF(AY4&lt;=Assumptions!$K$37,-Assumptions!$K$32*Assumptions!$K$36/12,IPMT(Assumptions!$K$36/12,'Monthly Cash Flow'!AY4-Assumptions!$K$37,Assumptions!$K$38*12-Assumptions!$K$37,Assumptions!$K$32,0,))</f>
        <v>-136405.46894744082</v>
      </c>
      <c r="AZ29" s="298">
        <f>IF(AZ4&lt;=Assumptions!$K$37,-Assumptions!$K$32*Assumptions!$K$36/12,IPMT(Assumptions!$K$36/12,'Monthly Cash Flow'!AZ4-Assumptions!$K$37,Assumptions!$K$38*12-Assumptions!$K$37,Assumptions!$K$32,0,))</f>
        <v>-136136.00315935857</v>
      </c>
      <c r="BA29" s="298">
        <f>IF(BA4&lt;=Assumptions!$K$37,-Assumptions!$K$32*Assumptions!$K$36/12,IPMT(Assumptions!$K$36/12,'Monthly Cash Flow'!BA4-Assumptions!$K$37,Assumptions!$K$38*12-Assumptions!$K$37,Assumptions!$K$32,0,))</f>
        <v>-135865.78511261794</v>
      </c>
      <c r="BB29" s="298">
        <f>IF(BB4&lt;=Assumptions!$K$37,-Assumptions!$K$32*Assumptions!$K$36/12,IPMT(Assumptions!$K$36/12,'Monthly Cash Flow'!BB4-Assumptions!$K$37,Assumptions!$K$38*12-Assumptions!$K$37,Assumptions!$K$32,0,))</f>
        <v>-135594.81270716354</v>
      </c>
      <c r="BC29" s="298">
        <f>IF(BC4&lt;=Assumptions!$K$37,-Assumptions!$K$32*Assumptions!$K$36/12,IPMT(Assumptions!$K$36/12,'Monthly Cash Flow'!BC4-Assumptions!$K$37,Assumptions!$K$38*12-Assumptions!$K$37,Assumptions!$K$32,0,))</f>
        <v>-135323.0838370772</v>
      </c>
      <c r="BD29" s="298">
        <f>IF(BD4&lt;=Assumptions!$K$37,-Assumptions!$K$32*Assumptions!$K$36/12,IPMT(Assumptions!$K$36/12,'Monthly Cash Flow'!BD4-Assumptions!$K$37,Assumptions!$K$38*12-Assumptions!$K$37,Assumptions!$K$32,0,))</f>
        <v>-135050.5963905619</v>
      </c>
      <c r="BE29" s="298">
        <f>IF(BE4&lt;=Assumptions!$K$37,-Assumptions!$K$32*Assumptions!$K$36/12,IPMT(Assumptions!$K$36/12,'Monthly Cash Flow'!BE4-Assumptions!$K$37,Assumptions!$K$38*12-Assumptions!$K$37,Assumptions!$K$32,0,))</f>
        <v>-134777.34824992501</v>
      </c>
      <c r="BF29" s="298">
        <f>IF(BF4&lt;=Assumptions!$K$37,-Assumptions!$K$32*Assumptions!$K$36/12,IPMT(Assumptions!$K$36/12,'Monthly Cash Flow'!BF4-Assumptions!$K$37,Assumptions!$K$38*12-Assumptions!$K$37,Assumptions!$K$32,0,))</f>
        <v>-134503.33729156223</v>
      </c>
      <c r="BG29" s="298">
        <f>IF(BG4&lt;=Assumptions!$K$37,-Assumptions!$K$32*Assumptions!$K$36/12,IPMT(Assumptions!$K$36/12,'Monthly Cash Flow'!BG4-Assumptions!$K$37,Assumptions!$K$38*12-Assumptions!$K$37,Assumptions!$K$32,0,))</f>
        <v>-134228.56138594067</v>
      </c>
      <c r="BH29" s="298">
        <f>IF(BH4&lt;=Assumptions!$K$37,-Assumptions!$K$32*Assumptions!$K$36/12,IPMT(Assumptions!$K$36/12,'Monthly Cash Flow'!BH4-Assumptions!$K$37,Assumptions!$K$38*12-Assumptions!$K$37,Assumptions!$K$32,0,))</f>
        <v>-133953.01839758261</v>
      </c>
      <c r="BI29" s="298">
        <f>IF(BI4&lt;=Assumptions!$K$37,-Assumptions!$K$32*Assumptions!$K$36/12,IPMT(Assumptions!$K$36/12,'Monthly Cash Flow'!BI4-Assumptions!$K$37,Assumptions!$K$38*12-Assumptions!$K$37,Assumptions!$K$32,0,))</f>
        <v>-133676.70618504868</v>
      </c>
      <c r="BJ29" s="298">
        <f>IF(BJ4&lt;=Assumptions!$K$37,-Assumptions!$K$32*Assumptions!$K$36/12,IPMT(Assumptions!$K$36/12,'Monthly Cash Flow'!BJ4-Assumptions!$K$37,Assumptions!$K$38*12-Assumptions!$K$37,Assumptions!$K$32,0,))</f>
        <v>-133399.62260092143</v>
      </c>
      <c r="BK29" s="298">
        <f>IF(BK4&lt;=Assumptions!$K$37,-Assumptions!$K$32*Assumptions!$K$36/12,IPMT(Assumptions!$K$36/12,'Monthly Cash Flow'!BK4-Assumptions!$K$37,Assumptions!$K$38*12-Assumptions!$K$37,Assumptions!$K$32,0,))</f>
        <v>-133121.76549178851</v>
      </c>
      <c r="BL29" s="298">
        <f>IF(BL4&lt;=Assumptions!$K$37,-Assumptions!$K$32*Assumptions!$K$36/12,IPMT(Assumptions!$K$36/12,'Monthly Cash Flow'!BL4-Assumptions!$K$37,Assumptions!$K$38*12-Assumptions!$K$37,Assumptions!$K$32,0,))</f>
        <v>-132843.13269822591</v>
      </c>
      <c r="BM29" s="298">
        <f>IF(BM4&lt;=Assumptions!$K$37,-Assumptions!$K$32*Assumptions!$K$36/12,IPMT(Assumptions!$K$36/12,'Monthly Cash Flow'!BM4-Assumptions!$K$37,Assumptions!$K$38*12-Assumptions!$K$37,Assumptions!$K$32,0,))</f>
        <v>-132563.7220547813</v>
      </c>
      <c r="BN29" s="298">
        <f>IF(BN4&lt;=Assumptions!$K$37,-Assumptions!$K$32*Assumptions!$K$36/12,IPMT(Assumptions!$K$36/12,'Monthly Cash Flow'!BN4-Assumptions!$K$37,Assumptions!$K$38*12-Assumptions!$K$37,Assumptions!$K$32,0,))</f>
        <v>-132283.53138995703</v>
      </c>
      <c r="BO29" s="298">
        <f>IF(BO4&lt;=Assumptions!$K$37,-Assumptions!$K$32*Assumptions!$K$36/12,IPMT(Assumptions!$K$36/12,'Monthly Cash Flow'!BO4-Assumptions!$K$37,Assumptions!$K$38*12-Assumptions!$K$37,Assumptions!$K$32,0,))</f>
        <v>-132002.55852619352</v>
      </c>
      <c r="BP29" s="298">
        <f>IF(BP4&lt;=Assumptions!$K$37,-Assumptions!$K$32*Assumptions!$K$36/12,IPMT(Assumptions!$K$36/12,'Monthly Cash Flow'!BP4-Assumptions!$K$37,Assumptions!$K$38*12-Assumptions!$K$37,Assumptions!$K$32,0,))</f>
        <v>-131720.80127985199</v>
      </c>
      <c r="BQ29" s="298">
        <f>IF(BQ4&lt;=Assumptions!$K$37,-Assumptions!$K$32*Assumptions!$K$36/12,IPMT(Assumptions!$K$36/12,'Monthly Cash Flow'!BQ4-Assumptions!$K$37,Assumptions!$K$38*12-Assumptions!$K$37,Assumptions!$K$32,0,))</f>
        <v>-131438.25746119773</v>
      </c>
      <c r="BR29" s="298">
        <f>IF(BR4&lt;=Assumptions!$K$37,-Assumptions!$K$32*Assumptions!$K$36/12,IPMT(Assumptions!$K$36/12,'Monthly Cash Flow'!BR4-Assumptions!$K$37,Assumptions!$K$38*12-Assumptions!$K$37,Assumptions!$K$32,0,))</f>
        <v>-131154.92487438308</v>
      </c>
      <c r="BS29" s="298">
        <f>IF(BS4&lt;=Assumptions!$K$37,-Assumptions!$K$32*Assumptions!$K$36/12,IPMT(Assumptions!$K$36/12,'Monthly Cash Flow'!BS4-Assumptions!$K$37,Assumptions!$K$38*12-Assumptions!$K$37,Assumptions!$K$32,0,))</f>
        <v>-130870.80131743022</v>
      </c>
      <c r="BT29" s="298">
        <f>IF(BT4&lt;=Assumptions!$K$37,-Assumptions!$K$32*Assumptions!$K$36/12,IPMT(Assumptions!$K$36/12,'Monthly Cash Flow'!BT4-Assumptions!$K$37,Assumptions!$K$38*12-Assumptions!$K$37,Assumptions!$K$32,0,))</f>
        <v>-130585.88458221422</v>
      </c>
      <c r="BU29" s="298">
        <f>IF(BU4&lt;=Assumptions!$K$37,-Assumptions!$K$32*Assumptions!$K$36/12,IPMT(Assumptions!$K$36/12,'Monthly Cash Flow'!BU4-Assumptions!$K$37,Assumptions!$K$38*12-Assumptions!$K$37,Assumptions!$K$32,0,))</f>
        <v>-130300.17245444571</v>
      </c>
      <c r="BV29" s="298">
        <f>IF(BV4&lt;=Assumptions!$K$37,-Assumptions!$K$32*Assumptions!$K$36/12,IPMT(Assumptions!$K$36/12,'Monthly Cash Flow'!BV4-Assumptions!$K$37,Assumptions!$K$38*12-Assumptions!$K$37,Assumptions!$K$32,0,))</f>
        <v>-130013.66271365389</v>
      </c>
      <c r="BW29" s="298">
        <f>IF(BW4&lt;=Assumptions!$K$37,-Assumptions!$K$32*Assumptions!$K$36/12,IPMT(Assumptions!$K$36/12,'Monthly Cash Flow'!BW4-Assumptions!$K$37,Assumptions!$K$38*12-Assumptions!$K$37,Assumptions!$K$32,0,))</f>
        <v>-129726.353133169</v>
      </c>
      <c r="BX29" s="298">
        <f>IF(BX4&lt;=Assumptions!$K$37,-Assumptions!$K$32*Assumptions!$K$36/12,IPMT(Assumptions!$K$36/12,'Monthly Cash Flow'!BX4-Assumptions!$K$37,Assumptions!$K$38*12-Assumptions!$K$37,Assumptions!$K$32,0,))</f>
        <v>-129438.24148010524</v>
      </c>
      <c r="BY29" s="298">
        <f>IF(BY4&lt;=Assumptions!$K$37,-Assumptions!$K$32*Assumptions!$K$36/12,IPMT(Assumptions!$K$36/12,'Monthly Cash Flow'!BY4-Assumptions!$K$37,Assumptions!$K$38*12-Assumptions!$K$37,Assumptions!$K$32,0,))</f>
        <v>-129149.3255153434</v>
      </c>
      <c r="BZ29" s="299">
        <f>IF(BZ4&lt;=Assumptions!$K$37,-Assumptions!$K$32*Assumptions!$K$36/12,IPMT(Assumptions!$K$36/12,'Monthly Cash Flow'!BZ4-Assumptions!$K$37,Assumptions!$K$38*12-Assumptions!$K$37,Assumptions!$K$32,0,))</f>
        <v>-128859.60299351322</v>
      </c>
    </row>
    <row r="30" spans="2:78" x14ac:dyDescent="0.3">
      <c r="B30" s="3"/>
      <c r="C30" s="230"/>
      <c r="D30" s="230"/>
      <c r="E30" s="231" t="s">
        <v>453</v>
      </c>
      <c r="F30" s="232"/>
      <c r="G30" s="281">
        <f t="shared" ref="G30:AL30" si="71">SUM(G27:G29)</f>
        <v>154309.92191666673</v>
      </c>
      <c r="H30" s="281">
        <f t="shared" si="71"/>
        <v>154913.64002562861</v>
      </c>
      <c r="I30" s="281">
        <f t="shared" si="71"/>
        <v>155518.75382248987</v>
      </c>
      <c r="J30" s="281">
        <f t="shared" si="71"/>
        <v>156125.26651707414</v>
      </c>
      <c r="K30" s="281">
        <f t="shared" si="71"/>
        <v>156733.18132654164</v>
      </c>
      <c r="L30" s="281">
        <f t="shared" si="71"/>
        <v>157342.50147540629</v>
      </c>
      <c r="M30" s="281">
        <f t="shared" si="71"/>
        <v>157953.23019555223</v>
      </c>
      <c r="N30" s="281">
        <f t="shared" si="71"/>
        <v>158565.37072625081</v>
      </c>
      <c r="O30" s="281">
        <f t="shared" si="71"/>
        <v>159178.9263141767</v>
      </c>
      <c r="P30" s="281">
        <f t="shared" si="71"/>
        <v>159793.9002134254</v>
      </c>
      <c r="Q30" s="281">
        <f t="shared" si="71"/>
        <v>160410.29568552977</v>
      </c>
      <c r="R30" s="281">
        <f t="shared" si="71"/>
        <v>161028.11599947675</v>
      </c>
      <c r="S30" s="281">
        <f t="shared" si="71"/>
        <v>161647.36443172483</v>
      </c>
      <c r="T30" s="281">
        <f t="shared" si="71"/>
        <v>162268.04426622001</v>
      </c>
      <c r="U30" s="281">
        <f t="shared" si="71"/>
        <v>162890.1587944139</v>
      </c>
      <c r="V30" s="281">
        <f t="shared" si="71"/>
        <v>163513.71131528006</v>
      </c>
      <c r="W30" s="281">
        <f t="shared" si="71"/>
        <v>164138.70513533131</v>
      </c>
      <c r="X30" s="281">
        <f t="shared" si="71"/>
        <v>164765.14356863638</v>
      </c>
      <c r="Y30" s="281">
        <f t="shared" si="71"/>
        <v>165393.0299368382</v>
      </c>
      <c r="Z30" s="281">
        <f t="shared" si="71"/>
        <v>166022.3675691695</v>
      </c>
      <c r="AA30" s="281">
        <f t="shared" si="71"/>
        <v>166653.15980247146</v>
      </c>
      <c r="AB30" s="281">
        <f t="shared" si="71"/>
        <v>167285.40998120996</v>
      </c>
      <c r="AC30" s="281">
        <f t="shared" si="71"/>
        <v>167919.12145749363</v>
      </c>
      <c r="AD30" s="281">
        <f t="shared" si="71"/>
        <v>168554.29759109049</v>
      </c>
      <c r="AE30" s="281">
        <f t="shared" si="71"/>
        <v>77900.407634490286</v>
      </c>
      <c r="AF30" s="281">
        <f t="shared" si="71"/>
        <v>78538.523192743916</v>
      </c>
      <c r="AG30" s="281">
        <f t="shared" si="71"/>
        <v>79178.113533747703</v>
      </c>
      <c r="AH30" s="281">
        <f t="shared" si="71"/>
        <v>79819.182048082701</v>
      </c>
      <c r="AI30" s="281">
        <f t="shared" si="71"/>
        <v>80461.732134077029</v>
      </c>
      <c r="AJ30" s="281">
        <f t="shared" si="71"/>
        <v>81105.767197823589</v>
      </c>
      <c r="AK30" s="281">
        <f t="shared" si="71"/>
        <v>81751.290653197415</v>
      </c>
      <c r="AL30" s="281">
        <f t="shared" si="71"/>
        <v>82398.305921873136</v>
      </c>
      <c r="AM30" s="281">
        <f t="shared" ref="AM30:BR30" si="72">SUM(AM27:AM29)</f>
        <v>83046.816433343163</v>
      </c>
      <c r="AN30" s="281">
        <f t="shared" si="72"/>
        <v>83696.825624934922</v>
      </c>
      <c r="AO30" s="281">
        <f t="shared" si="72"/>
        <v>84348.336941828864</v>
      </c>
      <c r="AP30" s="281">
        <f t="shared" si="72"/>
        <v>85001.353837076516</v>
      </c>
      <c r="AQ30" s="281">
        <f t="shared" si="72"/>
        <v>85655.879771617649</v>
      </c>
      <c r="AR30" s="281">
        <f t="shared" si="72"/>
        <v>86311.918214299279</v>
      </c>
      <c r="AS30" s="281">
        <f t="shared" si="72"/>
        <v>86969.472641891945</v>
      </c>
      <c r="AT30" s="281">
        <f t="shared" si="72"/>
        <v>87628.54653910952</v>
      </c>
      <c r="AU30" s="281">
        <f t="shared" si="72"/>
        <v>88289.14339862598</v>
      </c>
      <c r="AV30" s="281">
        <f t="shared" si="72"/>
        <v>88951.266721093445</v>
      </c>
      <c r="AW30" s="281">
        <f t="shared" si="72"/>
        <v>89614.920015161682</v>
      </c>
      <c r="AX30" s="281">
        <f t="shared" si="72"/>
        <v>90280.106797494111</v>
      </c>
      <c r="AY30" s="281">
        <f t="shared" si="72"/>
        <v>90946.830592787592</v>
      </c>
      <c r="AZ30" s="281">
        <f t="shared" si="72"/>
        <v>91615.094933789864</v>
      </c>
      <c r="BA30" s="281">
        <f t="shared" si="72"/>
        <v>92284.903361318662</v>
      </c>
      <c r="BB30" s="281">
        <f t="shared" si="72"/>
        <v>92956.259424278425</v>
      </c>
      <c r="BC30" s="281">
        <f t="shared" si="72"/>
        <v>93629.166679680406</v>
      </c>
      <c r="BD30" s="281">
        <f t="shared" si="72"/>
        <v>94303.62869265984</v>
      </c>
      <c r="BE30" s="281">
        <f t="shared" si="72"/>
        <v>94979.649036495015</v>
      </c>
      <c r="BF30" s="281">
        <f t="shared" si="72"/>
        <v>95657.231292625162</v>
      </c>
      <c r="BG30" s="281">
        <f t="shared" si="72"/>
        <v>96336.379050669697</v>
      </c>
      <c r="BH30" s="281">
        <f t="shared" si="72"/>
        <v>97017.095908446092</v>
      </c>
      <c r="BI30" s="281">
        <f t="shared" si="72"/>
        <v>97699.385471988731</v>
      </c>
      <c r="BJ30" s="281">
        <f t="shared" si="72"/>
        <v>98383.251355567423</v>
      </c>
      <c r="BK30" s="281">
        <f t="shared" si="72"/>
        <v>99068.697181706375</v>
      </c>
      <c r="BL30" s="281">
        <f t="shared" si="72"/>
        <v>99755.726581202762</v>
      </c>
      <c r="BM30" s="281">
        <f t="shared" si="72"/>
        <v>100444.34319314515</v>
      </c>
      <c r="BN30" s="281">
        <f t="shared" si="72"/>
        <v>101134.55066493264</v>
      </c>
      <c r="BO30" s="281">
        <f t="shared" si="72"/>
        <v>101826.35265229383</v>
      </c>
      <c r="BP30" s="281">
        <f t="shared" si="72"/>
        <v>102519.7528193052</v>
      </c>
      <c r="BQ30" s="281">
        <f t="shared" si="72"/>
        <v>103214.75483841047</v>
      </c>
      <c r="BR30" s="281">
        <f t="shared" si="72"/>
        <v>103911.36239043926</v>
      </c>
      <c r="BS30" s="281">
        <f t="shared" ref="BS30:CX30" si="73">SUM(BS27:BS29)</f>
        <v>104609.5791646266</v>
      </c>
      <c r="BT30" s="281">
        <f t="shared" si="73"/>
        <v>105309.40885863134</v>
      </c>
      <c r="BU30" s="281">
        <f t="shared" si="73"/>
        <v>106010.85517855536</v>
      </c>
      <c r="BV30" s="281">
        <f t="shared" si="73"/>
        <v>106713.92183896339</v>
      </c>
      <c r="BW30" s="281">
        <f t="shared" si="73"/>
        <v>107418.61256290134</v>
      </c>
      <c r="BX30" s="281">
        <f t="shared" si="73"/>
        <v>108124.9310819158</v>
      </c>
      <c r="BY30" s="281">
        <f t="shared" si="73"/>
        <v>108832.88113607338</v>
      </c>
      <c r="BZ30" s="282">
        <f t="shared" si="73"/>
        <v>109542.46647398052</v>
      </c>
    </row>
    <row r="31" spans="2:78" x14ac:dyDescent="0.3">
      <c r="B31" s="3"/>
      <c r="C31" s="75"/>
      <c r="D31" s="75"/>
      <c r="E31" s="182" t="s">
        <v>454</v>
      </c>
      <c r="F31" s="295">
        <f>-Assumptions!D16</f>
        <v>-85493946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8"/>
      <c r="BM31" s="228"/>
      <c r="BN31" s="300">
        <v>0</v>
      </c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4"/>
    </row>
    <row r="32" spans="2:78" x14ac:dyDescent="0.3">
      <c r="B32" s="3"/>
      <c r="C32" s="14"/>
      <c r="D32" s="14"/>
      <c r="E32" s="176" t="s">
        <v>455</v>
      </c>
      <c r="F32" s="298">
        <f>-'Investment Summary'!C19</f>
        <v>-737043.30846600002</v>
      </c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5"/>
      <c r="BI32" s="235"/>
      <c r="BJ32" s="235"/>
      <c r="BK32" s="235"/>
      <c r="BL32" s="235"/>
      <c r="BM32" s="235"/>
      <c r="BN32" s="301">
        <v>0</v>
      </c>
      <c r="BO32" s="236"/>
      <c r="BP32" s="236"/>
      <c r="BQ32" s="236"/>
      <c r="BR32" s="236"/>
      <c r="BS32" s="236"/>
      <c r="BT32" s="236"/>
      <c r="BU32" s="236"/>
      <c r="BV32" s="236"/>
      <c r="BW32" s="236"/>
      <c r="BX32" s="236"/>
      <c r="BY32" s="236"/>
      <c r="BZ32" s="237"/>
    </row>
    <row r="33" spans="2:78" x14ac:dyDescent="0.3">
      <c r="B33" s="3"/>
      <c r="C33" s="14"/>
      <c r="D33" s="14"/>
      <c r="E33" s="176" t="s">
        <v>456</v>
      </c>
      <c r="F33" s="298">
        <f>IF(F4=Assumptions!$D$26,((SUM(G25:R25)/Assumptions!$D$27)),0)</f>
        <v>0</v>
      </c>
      <c r="G33" s="298">
        <f>IF(G4=Assumptions!$D$26,((SUM(H25:S25)/Assumptions!$D$27)),0)</f>
        <v>0</v>
      </c>
      <c r="H33" s="298">
        <f>IF(H4=Assumptions!$D$26,((SUM(I25:T25)/Assumptions!$D$27)),0)</f>
        <v>0</v>
      </c>
      <c r="I33" s="298">
        <f>IF(I4=Assumptions!$D$26,((SUM(J25:U25)/Assumptions!$D$27)),0)</f>
        <v>0</v>
      </c>
      <c r="J33" s="298">
        <f>IF(J4=Assumptions!$D$26,((SUM(K25:V25)/Assumptions!$D$27)),0)</f>
        <v>0</v>
      </c>
      <c r="K33" s="298">
        <f>IF(K4=Assumptions!$D$26,((SUM(L25:W25)/Assumptions!$D$27)),0)</f>
        <v>0</v>
      </c>
      <c r="L33" s="298">
        <f>IF(L4=Assumptions!$D$26,((SUM(M25:X25)/Assumptions!$D$27)),0)</f>
        <v>0</v>
      </c>
      <c r="M33" s="298">
        <f>IF(M4=Assumptions!$D$26,((SUM(N25:Y25)/Assumptions!$D$27)),0)</f>
        <v>0</v>
      </c>
      <c r="N33" s="298">
        <f>IF(N4=Assumptions!$D$26,((SUM(O25:Z25)/Assumptions!$D$27)),0)</f>
        <v>0</v>
      </c>
      <c r="O33" s="298">
        <f>IF(O4=Assumptions!$D$26,((SUM(P25:AA25)/Assumptions!$D$27)),0)</f>
        <v>0</v>
      </c>
      <c r="P33" s="298">
        <f>IF(P4=Assumptions!$D$26,((SUM(Q25:AB25)/Assumptions!$D$27)),0)</f>
        <v>0</v>
      </c>
      <c r="Q33" s="298">
        <f>IF(Q4=Assumptions!$D$26,((SUM(R25:AC25)/Assumptions!$D$27)),0)</f>
        <v>0</v>
      </c>
      <c r="R33" s="298">
        <f>IF(R4=Assumptions!$D$26,((SUM(S25:AD25)/Assumptions!$D$27)),0)</f>
        <v>0</v>
      </c>
      <c r="S33" s="298">
        <f>IF(S4=Assumptions!$D$26,((SUM(T25:AE25)/Assumptions!$D$27)),0)</f>
        <v>0</v>
      </c>
      <c r="T33" s="298">
        <f>IF(T4=Assumptions!$D$26,((SUM(U25:AF25)/Assumptions!$D$27)),0)</f>
        <v>0</v>
      </c>
      <c r="U33" s="298">
        <f>IF(U4=Assumptions!$D$26,((SUM(V25:AG25)/Assumptions!$D$27)),0)</f>
        <v>0</v>
      </c>
      <c r="V33" s="298">
        <f>IF(V4=Assumptions!$D$26,((SUM(W25:AH25)/Assumptions!$D$27)),0)</f>
        <v>0</v>
      </c>
      <c r="W33" s="298">
        <f>IF(W4=Assumptions!$D$26,((SUM(X25:AI25)/Assumptions!$D$27)),0)</f>
        <v>0</v>
      </c>
      <c r="X33" s="298">
        <f>IF(X4=Assumptions!$D$26,((SUM(Y25:AJ25)/Assumptions!$D$27)),0)</f>
        <v>0</v>
      </c>
      <c r="Y33" s="298">
        <f>IF(Y4=Assumptions!$D$26,((SUM(Z25:AK25)/Assumptions!$D$27)),0)</f>
        <v>0</v>
      </c>
      <c r="Z33" s="298">
        <f>IF(Z4=Assumptions!$D$26,((SUM(AA25:AL25)/Assumptions!$D$27)),0)</f>
        <v>0</v>
      </c>
      <c r="AA33" s="298">
        <f>IF(AA4=Assumptions!$D$26,((SUM(AB25:AM25)/Assumptions!$D$27)),0)</f>
        <v>0</v>
      </c>
      <c r="AB33" s="298">
        <f>IF(AB4=Assumptions!$D$26,((SUM(AC25:AN25)/Assumptions!$D$27)),0)</f>
        <v>0</v>
      </c>
      <c r="AC33" s="298">
        <f>IF(AC4=Assumptions!$D$26,((SUM(AD25:AO25)/Assumptions!$D$27)),0)</f>
        <v>0</v>
      </c>
      <c r="AD33" s="298">
        <f>IF(AD4=Assumptions!$D$26,((SUM(AE25:AP25)/Assumptions!$D$27)),0)</f>
        <v>0</v>
      </c>
      <c r="AE33" s="298">
        <f>IF(AE4=Assumptions!$D$26,((SUM(AF25:AQ25)/Assumptions!$D$27)),0)</f>
        <v>0</v>
      </c>
      <c r="AF33" s="298">
        <f>IF(AF4=Assumptions!$D$26,((SUM(AG25:AR25)/Assumptions!$D$27)),0)</f>
        <v>0</v>
      </c>
      <c r="AG33" s="298">
        <f>IF(AG4=Assumptions!$D$26,((SUM(AH25:AS25)/Assumptions!$D$27)),0)</f>
        <v>0</v>
      </c>
      <c r="AH33" s="298">
        <f>IF(AH4=Assumptions!$D$26,((SUM(AI25:AT25)/Assumptions!$D$27)),0)</f>
        <v>0</v>
      </c>
      <c r="AI33" s="298">
        <f>IF(AI4=Assumptions!$D$26,((SUM(AJ25:AU25)/Assumptions!$D$27)),0)</f>
        <v>0</v>
      </c>
      <c r="AJ33" s="298">
        <f>IF(AJ4=Assumptions!$D$26,((SUM(AK25:AV25)/Assumptions!$D$27)),0)</f>
        <v>0</v>
      </c>
      <c r="AK33" s="298">
        <f>IF(AK4=Assumptions!$D$26,((SUM(AL25:AW25)/Assumptions!$D$27)),0)</f>
        <v>0</v>
      </c>
      <c r="AL33" s="298">
        <f>IF(AL4=Assumptions!$D$26,((SUM(AM25:AX25)/Assumptions!$D$27)),0)</f>
        <v>0</v>
      </c>
      <c r="AM33" s="298">
        <f>IF(AM4=Assumptions!$D$26,((SUM(AN25:AY25)/Assumptions!$D$27)),0)</f>
        <v>0</v>
      </c>
      <c r="AN33" s="298">
        <f>IF(AN4=Assumptions!$D$26,((SUM(AO25:AZ25)/Assumptions!$D$27)),0)</f>
        <v>0</v>
      </c>
      <c r="AO33" s="298">
        <f>IF(AO4=Assumptions!$D$26,((SUM(AP25:BA25)/Assumptions!$D$27)),0)</f>
        <v>0</v>
      </c>
      <c r="AP33" s="298">
        <f>IF(AP4=Assumptions!$D$26,((SUM(AQ25:BB25)/Assumptions!$D$27)),0)</f>
        <v>67814085.727337956</v>
      </c>
      <c r="AQ33" s="298">
        <f>IF(AQ4=Assumptions!$D$26,((SUM(AR25:BC25)/Assumptions!$D$27)),0)</f>
        <v>0</v>
      </c>
      <c r="AR33" s="298">
        <f>IF(AR4=Assumptions!$D$26,((SUM(AS25:BD25)/Assumptions!$D$27)),0)</f>
        <v>0</v>
      </c>
      <c r="AS33" s="298">
        <f>IF(AS4=Assumptions!$D$26,((SUM(AT25:BE25)/Assumptions!$D$27)),0)</f>
        <v>0</v>
      </c>
      <c r="AT33" s="298">
        <f>IF(AT4=Assumptions!$D$26,((SUM(AU25:BF25)/Assumptions!$D$27)),0)</f>
        <v>0</v>
      </c>
      <c r="AU33" s="298">
        <f>IF(AU4=Assumptions!$D$26,((SUM(AV25:BG25)/Assumptions!$D$27)),0)</f>
        <v>0</v>
      </c>
      <c r="AV33" s="298">
        <f>IF(AV4=Assumptions!$D$26,((SUM(AW25:BH25)/Assumptions!$D$27)),0)</f>
        <v>0</v>
      </c>
      <c r="AW33" s="298">
        <f>IF(AW4=Assumptions!$D$26,((SUM(AX25:BI25)/Assumptions!$D$27)),0)</f>
        <v>0</v>
      </c>
      <c r="AX33" s="298">
        <f>IF(AX4=Assumptions!$D$26,((SUM(AY25:BJ25)/Assumptions!$D$27)),0)</f>
        <v>0</v>
      </c>
      <c r="AY33" s="298">
        <f>IF(AY4=Assumptions!$D$26,((SUM(AZ25:BK25)/Assumptions!$D$27)),0)</f>
        <v>0</v>
      </c>
      <c r="AZ33" s="298">
        <f>IF(AZ4=Assumptions!$D$26,((SUM(BA25:BL25)/Assumptions!$D$27)),0)</f>
        <v>0</v>
      </c>
      <c r="BA33" s="298">
        <f>IF(BA4=Assumptions!$D$26,((SUM(BB25:BM25)/Assumptions!$D$27)),0)</f>
        <v>0</v>
      </c>
      <c r="BB33" s="298">
        <f>IF(BB4=Assumptions!$D$26,((SUM(BC25:BN25)/Assumptions!$D$27)),0)</f>
        <v>0</v>
      </c>
      <c r="BC33" s="298">
        <f>IF(BC4=Assumptions!$D$26,((SUM(BD25:BO25)/Assumptions!$D$27)),0)</f>
        <v>0</v>
      </c>
      <c r="BD33" s="298">
        <f>IF(BD4=Assumptions!$D$26,((SUM(BE25:BP25)/Assumptions!$D$27)),0)</f>
        <v>0</v>
      </c>
      <c r="BE33" s="298">
        <f>IF(BE4=Assumptions!$D$26,((SUM(BF25:BQ25)/Assumptions!$D$27)),0)</f>
        <v>0</v>
      </c>
      <c r="BF33" s="298">
        <f>IF(BF4=Assumptions!$D$26,((SUM(BG25:BR25)/Assumptions!$D$27)),0)</f>
        <v>0</v>
      </c>
      <c r="BG33" s="298">
        <f>IF(BG4=Assumptions!$D$26,((SUM(BH25:BS25)/Assumptions!$D$27)),0)</f>
        <v>0</v>
      </c>
      <c r="BH33" s="298">
        <f>IF(BH4=Assumptions!$D$26,((SUM(BI25:BT25)/Assumptions!$D$27)),0)</f>
        <v>0</v>
      </c>
      <c r="BI33" s="298">
        <f>IF(BI4=Assumptions!$D$26,((SUM(BJ25:BU25)/Assumptions!$D$27)),0)</f>
        <v>0</v>
      </c>
      <c r="BJ33" s="298">
        <f>IF(BJ4=Assumptions!$D$26,((SUM(BK25:BV25)/Assumptions!$D$27)),0)</f>
        <v>0</v>
      </c>
      <c r="BK33" s="298">
        <f>IF(BK4=Assumptions!$D$26,((SUM(BL25:BW25)/Assumptions!$D$27)),0)</f>
        <v>0</v>
      </c>
      <c r="BL33" s="298">
        <f>IF(BL4=Assumptions!$D$26,((SUM(BM25:BX25)/Assumptions!$D$27)),0)</f>
        <v>0</v>
      </c>
      <c r="BM33" s="298">
        <f>IF(BM4=Assumptions!$D$26,((SUM(BN25:BY25)/Assumptions!$D$27)),0)</f>
        <v>0</v>
      </c>
      <c r="BN33" s="298">
        <f>IF(BN4=Assumptions!$D$26,((SUM(BO25:BZ25)/Assumptions!$D$27)),0)</f>
        <v>0</v>
      </c>
      <c r="BO33" s="298">
        <f>IF(BO4=Assumptions!$D$26,((SUM(BP30:BZ30)/Assumptions!$D$27)),0)</f>
        <v>0</v>
      </c>
      <c r="BP33" s="298">
        <f>IF(BP4=Assumptions!$D$26,((SUM(BQ30:BZ30)/Assumptions!$D$27)),0)</f>
        <v>0</v>
      </c>
      <c r="BQ33" s="298">
        <f>IF(BQ4=Assumptions!$D$26,((SUM(BR30:BZ30)/Assumptions!$D$27)),0)</f>
        <v>0</v>
      </c>
      <c r="BR33" s="298">
        <f>IF(BR4=Assumptions!$D$26,((SUM(BS30:BZ30)/Assumptions!$D$27)),0)</f>
        <v>0</v>
      </c>
      <c r="BS33" s="298">
        <f>IF(BS4=Assumptions!$D$26,((SUM(BT30:BZ30)/Assumptions!$D$27)),0)</f>
        <v>0</v>
      </c>
      <c r="BT33" s="298">
        <f>IF(BT4=Assumptions!$D$26,((SUM(BU30:BZ30)/Assumptions!$D$27)),0)</f>
        <v>0</v>
      </c>
      <c r="BU33" s="298">
        <f>IF(BU4=Assumptions!$D$26,((SUM(BV30:BZ30)/Assumptions!$D$27)),0)</f>
        <v>0</v>
      </c>
      <c r="BV33" s="298">
        <f>IF(BV4=Assumptions!$D$26,((SUM(BW30:BZ30)/Assumptions!$D$27)),0)</f>
        <v>0</v>
      </c>
      <c r="BW33" s="298">
        <f>IF(BW4=Assumptions!$D$26,((SUM(BX30:BZ30)/Assumptions!$D$27)),0)</f>
        <v>0</v>
      </c>
      <c r="BX33" s="298">
        <f>IF(BX4=Assumptions!$D$26,((SUM(BY30:BZ30)/Assumptions!$D$27)),0)</f>
        <v>0</v>
      </c>
      <c r="BY33" s="298">
        <f>IF(BY4=Assumptions!$D$26,((SUM(BZ30:BZ30)/Assumptions!$D$27)),0)</f>
        <v>0</v>
      </c>
      <c r="BZ33" s="299">
        <f>IF(BZ4=Assumptions!$D$26,((SUM(BZ30:BZ30)/Assumptions!$D$27)),0)</f>
        <v>0</v>
      </c>
    </row>
    <row r="34" spans="2:78" x14ac:dyDescent="0.3">
      <c r="B34" s="3"/>
      <c r="C34" s="14"/>
      <c r="D34" s="14"/>
      <c r="E34" s="176" t="s">
        <v>457</v>
      </c>
      <c r="F34" s="298">
        <f>F33*-Assumptions!$D$28</f>
        <v>0</v>
      </c>
      <c r="G34" s="298">
        <f>G33*-Assumptions!$D$28</f>
        <v>0</v>
      </c>
      <c r="H34" s="298">
        <f>H33*-Assumptions!$D$28</f>
        <v>0</v>
      </c>
      <c r="I34" s="298">
        <f>I33*-Assumptions!$D$28</f>
        <v>0</v>
      </c>
      <c r="J34" s="298">
        <f>J33*-Assumptions!$D$28</f>
        <v>0</v>
      </c>
      <c r="K34" s="298">
        <f>K33*-Assumptions!$D$28</f>
        <v>0</v>
      </c>
      <c r="L34" s="298">
        <f>L33*-Assumptions!$D$28</f>
        <v>0</v>
      </c>
      <c r="M34" s="298">
        <f>M33*-Assumptions!$D$28</f>
        <v>0</v>
      </c>
      <c r="N34" s="298">
        <f>N33*-Assumptions!$D$28</f>
        <v>0</v>
      </c>
      <c r="O34" s="298">
        <f>O33*-Assumptions!$D$28</f>
        <v>0</v>
      </c>
      <c r="P34" s="298">
        <f>P33*-Assumptions!$D$28</f>
        <v>0</v>
      </c>
      <c r="Q34" s="298">
        <f>Q33*-Assumptions!$D$28</f>
        <v>0</v>
      </c>
      <c r="R34" s="298">
        <f>R33*-Assumptions!$D$28</f>
        <v>0</v>
      </c>
      <c r="S34" s="298">
        <f>S33*-Assumptions!$D$28</f>
        <v>0</v>
      </c>
      <c r="T34" s="298">
        <f>T33*-Assumptions!$D$28</f>
        <v>0</v>
      </c>
      <c r="U34" s="298">
        <f>U33*-Assumptions!$D$28</f>
        <v>0</v>
      </c>
      <c r="V34" s="298">
        <f>V33*-Assumptions!$D$28</f>
        <v>0</v>
      </c>
      <c r="W34" s="298">
        <f>W33*-Assumptions!$D$28</f>
        <v>0</v>
      </c>
      <c r="X34" s="298">
        <f>X33*-Assumptions!$D$28</f>
        <v>0</v>
      </c>
      <c r="Y34" s="298">
        <f>Y33*-Assumptions!$D$28</f>
        <v>0</v>
      </c>
      <c r="Z34" s="298">
        <f>Z33*-Assumptions!$D$28</f>
        <v>0</v>
      </c>
      <c r="AA34" s="298">
        <f>AA33*-Assumptions!$D$28</f>
        <v>0</v>
      </c>
      <c r="AB34" s="298">
        <f>AB33*-Assumptions!$D$28</f>
        <v>0</v>
      </c>
      <c r="AC34" s="298">
        <f>AC33*-Assumptions!$D$28</f>
        <v>0</v>
      </c>
      <c r="AD34" s="298">
        <f>AD33*-Assumptions!$D$28</f>
        <v>0</v>
      </c>
      <c r="AE34" s="298">
        <f>AE33*-Assumptions!$D$28</f>
        <v>0</v>
      </c>
      <c r="AF34" s="298">
        <f>AF33*-Assumptions!$D$28</f>
        <v>0</v>
      </c>
      <c r="AG34" s="298">
        <f>AG33*-Assumptions!$D$28</f>
        <v>0</v>
      </c>
      <c r="AH34" s="298">
        <f>AH33*-Assumptions!$D$28</f>
        <v>0</v>
      </c>
      <c r="AI34" s="298">
        <f>AI33*-Assumptions!$D$28</f>
        <v>0</v>
      </c>
      <c r="AJ34" s="298">
        <f>AJ33*-Assumptions!$D$28</f>
        <v>0</v>
      </c>
      <c r="AK34" s="298">
        <f>AK33*-Assumptions!$D$28</f>
        <v>0</v>
      </c>
      <c r="AL34" s="298">
        <f>AL33*-Assumptions!$D$28</f>
        <v>0</v>
      </c>
      <c r="AM34" s="298">
        <f>AM33*-Assumptions!$D$28</f>
        <v>0</v>
      </c>
      <c r="AN34" s="298">
        <f>AN33*-Assumptions!$D$28</f>
        <v>0</v>
      </c>
      <c r="AO34" s="298">
        <f>AO33*-Assumptions!$D$28</f>
        <v>0</v>
      </c>
      <c r="AP34" s="298">
        <f>AP33*-Assumptions!$D$28</f>
        <v>-1586849.6060197083</v>
      </c>
      <c r="AQ34" s="298">
        <f>AQ33*-Assumptions!$D$28</f>
        <v>0</v>
      </c>
      <c r="AR34" s="298">
        <f>AR33*-Assumptions!$D$28</f>
        <v>0</v>
      </c>
      <c r="AS34" s="298">
        <f>AS33*-Assumptions!$D$28</f>
        <v>0</v>
      </c>
      <c r="AT34" s="298">
        <f>AT33*-Assumptions!$D$28</f>
        <v>0</v>
      </c>
      <c r="AU34" s="298">
        <f>AU33*-Assumptions!$D$28</f>
        <v>0</v>
      </c>
      <c r="AV34" s="298">
        <f>AV33*-Assumptions!$D$28</f>
        <v>0</v>
      </c>
      <c r="AW34" s="298">
        <f>AW33*-Assumptions!$D$28</f>
        <v>0</v>
      </c>
      <c r="AX34" s="298">
        <f>AX33*-Assumptions!$D$28</f>
        <v>0</v>
      </c>
      <c r="AY34" s="298">
        <f>AY33*-Assumptions!$D$28</f>
        <v>0</v>
      </c>
      <c r="AZ34" s="298">
        <f>AZ33*-Assumptions!$D$28</f>
        <v>0</v>
      </c>
      <c r="BA34" s="298">
        <f>BA33*-Assumptions!$D$28</f>
        <v>0</v>
      </c>
      <c r="BB34" s="298">
        <f>BB33*-Assumptions!$D$28</f>
        <v>0</v>
      </c>
      <c r="BC34" s="298">
        <f>BC33*-Assumptions!$D$28</f>
        <v>0</v>
      </c>
      <c r="BD34" s="298">
        <f>BD33*-Assumptions!$D$28</f>
        <v>0</v>
      </c>
      <c r="BE34" s="298">
        <f>BE33*-Assumptions!$D$28</f>
        <v>0</v>
      </c>
      <c r="BF34" s="298">
        <f>BF33*-Assumptions!$D$28</f>
        <v>0</v>
      </c>
      <c r="BG34" s="298">
        <f>BG33*-Assumptions!$D$28</f>
        <v>0</v>
      </c>
      <c r="BH34" s="298">
        <f>BH33*-Assumptions!$D$28</f>
        <v>0</v>
      </c>
      <c r="BI34" s="298">
        <f>BI33*-Assumptions!$D$28</f>
        <v>0</v>
      </c>
      <c r="BJ34" s="298">
        <f>BJ33*-Assumptions!$D$28</f>
        <v>0</v>
      </c>
      <c r="BK34" s="298">
        <f>BK33*-Assumptions!$D$28</f>
        <v>0</v>
      </c>
      <c r="BL34" s="298">
        <f>BL33*-Assumptions!$D$28</f>
        <v>0</v>
      </c>
      <c r="BM34" s="298">
        <f>BM33*-Assumptions!$D$28</f>
        <v>0</v>
      </c>
      <c r="BN34" s="298">
        <f>BN33*-Assumptions!$D$28</f>
        <v>0</v>
      </c>
      <c r="BO34" s="298">
        <f>BO33*-Assumptions!$D$28</f>
        <v>0</v>
      </c>
      <c r="BP34" s="298">
        <f>BP33*-Assumptions!$D$28</f>
        <v>0</v>
      </c>
      <c r="BQ34" s="298">
        <f>BQ33*-Assumptions!$D$28</f>
        <v>0</v>
      </c>
      <c r="BR34" s="298">
        <f>BR33*-Assumptions!$D$28</f>
        <v>0</v>
      </c>
      <c r="BS34" s="298">
        <f>BS33*-Assumptions!$D$28</f>
        <v>0</v>
      </c>
      <c r="BT34" s="298">
        <f>BT33*-Assumptions!$D$28</f>
        <v>0</v>
      </c>
      <c r="BU34" s="298">
        <f>BU33*-Assumptions!$D$28</f>
        <v>0</v>
      </c>
      <c r="BV34" s="298">
        <f>BV33*-Assumptions!$D$28</f>
        <v>0</v>
      </c>
      <c r="BW34" s="298">
        <f>BW33*-Assumptions!$D$28</f>
        <v>0</v>
      </c>
      <c r="BX34" s="298">
        <f>BX33*-Assumptions!$D$28</f>
        <v>0</v>
      </c>
      <c r="BY34" s="298">
        <f>BY33*-Assumptions!$D$28</f>
        <v>0</v>
      </c>
      <c r="BZ34" s="299">
        <f>BZ33*-Assumptions!$D$28</f>
        <v>0</v>
      </c>
    </row>
    <row r="35" spans="2:78" x14ac:dyDescent="0.3">
      <c r="B35" s="3"/>
      <c r="C35" s="75"/>
      <c r="D35" s="75"/>
      <c r="E35" s="182" t="s">
        <v>458</v>
      </c>
      <c r="F35" s="281">
        <f>SUM(F31:F34)</f>
        <v>-86230989.308466002</v>
      </c>
      <c r="G35" s="295">
        <f>IF(G4&gt;Assumptions!$D$26,0,SUM(G27,G31:G34))</f>
        <v>295949.91516666673</v>
      </c>
      <c r="H35" s="295">
        <f>IF(H4&gt;Assumptions!$D$26,0,SUM(H27,H31:H34))</f>
        <v>296553.63327562861</v>
      </c>
      <c r="I35" s="295">
        <f>IF(I4&gt;Assumptions!$D$26,0,SUM(I27,I31:I34))</f>
        <v>297158.74707248987</v>
      </c>
      <c r="J35" s="295">
        <f>IF(J4&gt;Assumptions!$D$26,0,SUM(J27,J31:J34))</f>
        <v>297765.25976707414</v>
      </c>
      <c r="K35" s="295">
        <f>IF(K4&gt;Assumptions!$D$26,0,SUM(K27,K31:K34))</f>
        <v>298373.17457654164</v>
      </c>
      <c r="L35" s="295">
        <f>IF(L4&gt;Assumptions!$D$26,0,SUM(L27,L31:L34))</f>
        <v>298982.49472540629</v>
      </c>
      <c r="M35" s="295">
        <f>IF(M4&gt;Assumptions!$D$26,0,SUM(M27,M31:M34))</f>
        <v>299593.22344555223</v>
      </c>
      <c r="N35" s="295">
        <f>IF(N4&gt;Assumptions!$D$26,0,SUM(N27,N31:N34))</f>
        <v>300205.36397625081</v>
      </c>
      <c r="O35" s="295">
        <f>IF(O4&gt;Assumptions!$D$26,0,SUM(O27,O31:O34))</f>
        <v>300818.9195641767</v>
      </c>
      <c r="P35" s="295">
        <f>IF(P4&gt;Assumptions!$D$26,0,SUM(P27,P31:P34))</f>
        <v>301433.8934634254</v>
      </c>
      <c r="Q35" s="295">
        <f>IF(Q4&gt;Assumptions!$D$26,0,SUM(Q27,Q31:Q34))</f>
        <v>302050.28893552977</v>
      </c>
      <c r="R35" s="295">
        <f>IF(R4&gt;Assumptions!$D$26,0,SUM(R27,R31:R34))</f>
        <v>302668.10924947675</v>
      </c>
      <c r="S35" s="295">
        <f>IF(S4&gt;Assumptions!$D$26,0,SUM(S27,S31:S34))</f>
        <v>303287.35768172482</v>
      </c>
      <c r="T35" s="295">
        <f>IF(T4&gt;Assumptions!$D$26,0,SUM(T27,T31:T34))</f>
        <v>303908.03751622001</v>
      </c>
      <c r="U35" s="295">
        <f>IF(U4&gt;Assumptions!$D$26,0,SUM(U27,U31:U34))</f>
        <v>304530.1520444139</v>
      </c>
      <c r="V35" s="295">
        <f>IF(V4&gt;Assumptions!$D$26,0,SUM(V27,V31:V34))</f>
        <v>305153.70456528006</v>
      </c>
      <c r="W35" s="295">
        <f>IF(W4&gt;Assumptions!$D$26,0,SUM(W27,W31:W34))</f>
        <v>305778.69838533131</v>
      </c>
      <c r="X35" s="295">
        <f>IF(X4&gt;Assumptions!$D$26,0,SUM(X27,X31:X34))</f>
        <v>306405.13681863638</v>
      </c>
      <c r="Y35" s="295">
        <f>IF(Y4&gt;Assumptions!$D$26,0,SUM(Y27,Y31:Y34))</f>
        <v>307033.0231868382</v>
      </c>
      <c r="Z35" s="295">
        <f>IF(Z4&gt;Assumptions!$D$26,0,SUM(Z27,Z31:Z34))</f>
        <v>307662.36081916949</v>
      </c>
      <c r="AA35" s="295">
        <f>IF(AA4&gt;Assumptions!$D$26,0,SUM(AA27,AA31:AA34))</f>
        <v>308293.15305247146</v>
      </c>
      <c r="AB35" s="295">
        <f>IF(AB4&gt;Assumptions!$D$26,0,SUM(AB27,AB31:AB34))</f>
        <v>308925.40323120996</v>
      </c>
      <c r="AC35" s="295">
        <f>IF(AC4&gt;Assumptions!$D$26,0,SUM(AC27,AC31:AC34))</f>
        <v>309559.11470749363</v>
      </c>
      <c r="AD35" s="295">
        <f>IF(AD4&gt;Assumptions!$D$26,0,SUM(AD27,AD31:AD34))</f>
        <v>310194.29084109049</v>
      </c>
      <c r="AE35" s="295">
        <f>IF(AE4&gt;Assumptions!$D$26,0,SUM(AE27,AE31:AE34))</f>
        <v>310830.93499944586</v>
      </c>
      <c r="AF35" s="295">
        <f>IF(AF4&gt;Assumptions!$D$26,0,SUM(AF27,AF31:AF34))</f>
        <v>311469.05055769952</v>
      </c>
      <c r="AG35" s="295">
        <f>IF(AG4&gt;Assumptions!$D$26,0,SUM(AG27,AG31:AG34))</f>
        <v>312108.64089870331</v>
      </c>
      <c r="AH35" s="295">
        <f>IF(AH4&gt;Assumptions!$D$26,0,SUM(AH27,AH31:AH34))</f>
        <v>312749.70941303828</v>
      </c>
      <c r="AI35" s="295">
        <f>IF(AI4&gt;Assumptions!$D$26,0,SUM(AI27,AI31:AI34))</f>
        <v>313392.25949903257</v>
      </c>
      <c r="AJ35" s="295">
        <f>IF(AJ4&gt;Assumptions!$D$26,0,SUM(AJ27,AJ31:AJ34))</f>
        <v>314036.29456277919</v>
      </c>
      <c r="AK35" s="295">
        <f>IF(AK4&gt;Assumptions!$D$26,0,SUM(AK27,AK31:AK34))</f>
        <v>314681.81801815302</v>
      </c>
      <c r="AL35" s="295">
        <f>IF(AL4&gt;Assumptions!$D$26,0,SUM(AL27,AL31:AL34))</f>
        <v>315328.83328682871</v>
      </c>
      <c r="AM35" s="295">
        <f>IF(AM4&gt;Assumptions!$D$26,0,SUM(AM27,AM31:AM34))</f>
        <v>315977.34379829874</v>
      </c>
      <c r="AN35" s="295">
        <f>IF(AN4&gt;Assumptions!$D$26,0,SUM(AN27,AN31:AN34))</f>
        <v>316627.3529898905</v>
      </c>
      <c r="AO35" s="295">
        <f>IF(AO4&gt;Assumptions!$D$26,0,SUM(AO27,AO31:AO34))</f>
        <v>317278.86430678441</v>
      </c>
      <c r="AP35" s="295">
        <f>IF(AP4&gt;Assumptions!$D$26,0,SUM(AP27,AP31:AP34))</f>
        <v>66545168.002520278</v>
      </c>
      <c r="AQ35" s="295">
        <f>IF(AQ4&gt;Assumptions!$D$26,0,SUM(AQ27,AQ31:AQ34))</f>
        <v>0</v>
      </c>
      <c r="AR35" s="295">
        <f>IF(AR4&gt;Assumptions!$D$26,0,SUM(AR27,AR31:AR34))</f>
        <v>0</v>
      </c>
      <c r="AS35" s="295">
        <f>IF(AS4&gt;Assumptions!$D$26,0,SUM(AS27,AS31:AS34))</f>
        <v>0</v>
      </c>
      <c r="AT35" s="295">
        <f>IF(AT4&gt;Assumptions!$D$26,0,SUM(AT27,AT31:AT34))</f>
        <v>0</v>
      </c>
      <c r="AU35" s="295">
        <f>IF(AU4&gt;Assumptions!$D$26,0,SUM(AU27,AU31:AU34))</f>
        <v>0</v>
      </c>
      <c r="AV35" s="295">
        <f>IF(AV4&gt;Assumptions!$D$26,0,SUM(AV27,AV31:AV34))</f>
        <v>0</v>
      </c>
      <c r="AW35" s="295">
        <f>IF(AW4&gt;Assumptions!$D$26,0,SUM(AW27,AW31:AW34))</f>
        <v>0</v>
      </c>
      <c r="AX35" s="295">
        <f>IF(AX4&gt;Assumptions!$D$26,0,SUM(AX27,AX31:AX34))</f>
        <v>0</v>
      </c>
      <c r="AY35" s="295">
        <f>IF(AY4&gt;Assumptions!$D$26,0,SUM(AY27,AY31:AY34))</f>
        <v>0</v>
      </c>
      <c r="AZ35" s="295">
        <f>IF(AZ4&gt;Assumptions!$D$26,0,SUM(AZ27,AZ31:AZ34))</f>
        <v>0</v>
      </c>
      <c r="BA35" s="295">
        <f>IF(BA4&gt;Assumptions!$D$26,0,SUM(BA27,BA31:BA34))</f>
        <v>0</v>
      </c>
      <c r="BB35" s="295">
        <f>IF(BB4&gt;Assumptions!$D$26,0,SUM(BB27,BB31:BB34))</f>
        <v>0</v>
      </c>
      <c r="BC35" s="295">
        <f>IF(BC4&gt;Assumptions!$D$26,0,SUM(BC27,BC31:BC34))</f>
        <v>0</v>
      </c>
      <c r="BD35" s="295">
        <f>IF(BD4&gt;Assumptions!$D$26,0,SUM(BD27,BD31:BD34))</f>
        <v>0</v>
      </c>
      <c r="BE35" s="295">
        <f>IF(BE4&gt;Assumptions!$D$26,0,SUM(BE27,BE31:BE34))</f>
        <v>0</v>
      </c>
      <c r="BF35" s="295">
        <f>IF(BF4&gt;Assumptions!$D$26,0,SUM(BF27,BF31:BF34))</f>
        <v>0</v>
      </c>
      <c r="BG35" s="295">
        <f>IF(BG4&gt;Assumptions!$D$26,0,SUM(BG27,BG31:BG34))</f>
        <v>0</v>
      </c>
      <c r="BH35" s="295">
        <f>IF(BH4&gt;Assumptions!$D$26,0,SUM(BH27,BH31:BH34))</f>
        <v>0</v>
      </c>
      <c r="BI35" s="295">
        <f>IF(BI4&gt;Assumptions!$D$26,0,SUM(BI27,BI31:BI34))</f>
        <v>0</v>
      </c>
      <c r="BJ35" s="295">
        <f>IF(BJ4&gt;Assumptions!$D$26,0,SUM(BJ27,BJ31:BJ34))</f>
        <v>0</v>
      </c>
      <c r="BK35" s="295">
        <f>IF(BK4&gt;Assumptions!$D$26,0,SUM(BK27,BK31:BK34))</f>
        <v>0</v>
      </c>
      <c r="BL35" s="295">
        <f>IF(BL4&gt;Assumptions!$D$26,0,SUM(BL27,BL31:BL34))</f>
        <v>0</v>
      </c>
      <c r="BM35" s="295">
        <f>IF(BM4&gt;Assumptions!$D$26,0,SUM(BM27,BM31:BM34))</f>
        <v>0</v>
      </c>
      <c r="BN35" s="295">
        <f>IF(BN4&gt;Assumptions!$D$26,0,SUM(BN27,BN31:BN34))</f>
        <v>0</v>
      </c>
      <c r="BO35" s="295">
        <f>IF(BO4&gt;Assumptions!$D$26,0,SUM(BO27,BO31:BO34))</f>
        <v>0</v>
      </c>
      <c r="BP35" s="295">
        <f>IF(BP4&gt;Assumptions!$D$26,0,SUM(BP27,BP31:BP34))</f>
        <v>0</v>
      </c>
      <c r="BQ35" s="295">
        <f>IF(BQ4&gt;Assumptions!$D$26,0,SUM(BQ27,BQ31:BQ34))</f>
        <v>0</v>
      </c>
      <c r="BR35" s="295">
        <f>IF(BR4&gt;Assumptions!$D$26,0,SUM(BR27,BR31:BR34))</f>
        <v>0</v>
      </c>
      <c r="BS35" s="295">
        <f>IF(BS4&gt;Assumptions!$D$26,0,SUM(BS27,BS31:BS34))</f>
        <v>0</v>
      </c>
      <c r="BT35" s="295">
        <f>IF(BT4&gt;Assumptions!$D$26,0,SUM(BT27,BT31:BT34))</f>
        <v>0</v>
      </c>
      <c r="BU35" s="295">
        <f>IF(BU4&gt;Assumptions!$D$26,0,SUM(BU27,BU31:BU34))</f>
        <v>0</v>
      </c>
      <c r="BV35" s="295">
        <f>IF(BV4&gt;Assumptions!$D$26,0,SUM(BV27,BV31:BV34))</f>
        <v>0</v>
      </c>
      <c r="BW35" s="295">
        <f>IF(BW4&gt;Assumptions!$D$26,0,SUM(BW27,BW31:BW34))</f>
        <v>0</v>
      </c>
      <c r="BX35" s="295">
        <f>IF(BX4&gt;Assumptions!$D$26,0,SUM(BX27,BX31:BX34))</f>
        <v>0</v>
      </c>
      <c r="BY35" s="295">
        <f>IF(BY4&gt;Assumptions!$D$26,0,SUM(BY27,BY31:BY34))</f>
        <v>0</v>
      </c>
      <c r="BZ35" s="296">
        <f>IF(BZ4&gt;Assumptions!$D$26,0,SUM(BZ27,BZ31:BZ34))</f>
        <v>0</v>
      </c>
    </row>
    <row r="36" spans="2:78" x14ac:dyDescent="0.3">
      <c r="B36" s="3"/>
      <c r="C36" s="75"/>
      <c r="D36" s="75"/>
      <c r="E36" s="182" t="s">
        <v>459</v>
      </c>
      <c r="F36" s="295">
        <f>Assumptions!K32</f>
        <v>50736714</v>
      </c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8"/>
      <c r="BK36" s="228"/>
      <c r="BL36" s="228"/>
      <c r="BM36" s="228"/>
      <c r="BN36" s="300">
        <v>0</v>
      </c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4"/>
    </row>
    <row r="37" spans="2:78" x14ac:dyDescent="0.3">
      <c r="B37" s="3"/>
      <c r="C37" s="3"/>
      <c r="D37" s="3"/>
      <c r="E37" s="109" t="s">
        <v>460</v>
      </c>
      <c r="F37" s="289">
        <v>0</v>
      </c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2"/>
      <c r="BJ37" s="222"/>
      <c r="BK37" s="222"/>
      <c r="BL37" s="222"/>
      <c r="BM37" s="222"/>
      <c r="BN37" s="289">
        <v>0</v>
      </c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78"/>
    </row>
    <row r="38" spans="2:78" x14ac:dyDescent="0.3">
      <c r="B38" s="3"/>
      <c r="C38" s="14"/>
      <c r="D38" s="14"/>
      <c r="E38" s="176" t="s">
        <v>461</v>
      </c>
      <c r="F38" s="301">
        <v>0</v>
      </c>
      <c r="G38" s="298">
        <f>IF(G4=Assumptions!$D$26,-($F$36+SUM($G$28:G28)),0)</f>
        <v>0</v>
      </c>
      <c r="H38" s="298">
        <f>IF(H4=Assumptions!$D$26,-($F$36+SUM($G$28:H28)),0)</f>
        <v>0</v>
      </c>
      <c r="I38" s="298">
        <f>IF(I4=Assumptions!$D$26,-($F$36+SUM($G$28:I28)),0)</f>
        <v>0</v>
      </c>
      <c r="J38" s="298">
        <f>IF(J4=Assumptions!$D$26,-($F$36+SUM($G$28:J28)),0)</f>
        <v>0</v>
      </c>
      <c r="K38" s="298">
        <f>IF(K4=Assumptions!$D$26,-($F$36+SUM($G$28:K28)),0)</f>
        <v>0</v>
      </c>
      <c r="L38" s="298">
        <f>IF(L4=Assumptions!$D$26,-($F$36+SUM($G$28:L28)),0)</f>
        <v>0</v>
      </c>
      <c r="M38" s="298">
        <f>IF(M4=Assumptions!$D$26,-($F$36+SUM($G$28:M28)),0)</f>
        <v>0</v>
      </c>
      <c r="N38" s="298">
        <f>IF(N4=Assumptions!$D$26,-($F$36+SUM($G$28:N28)),0)</f>
        <v>0</v>
      </c>
      <c r="O38" s="298">
        <f>IF(O4=Assumptions!$D$26,-($F$36+SUM($G$28:O28)),0)</f>
        <v>0</v>
      </c>
      <c r="P38" s="298">
        <f>IF(P4=Assumptions!$D$26,-($F$36+SUM($G$28:P28)),0)</f>
        <v>0</v>
      </c>
      <c r="Q38" s="298">
        <f>IF(Q4=Assumptions!$D$26,-($F$36+SUM($G$28:Q28)),0)</f>
        <v>0</v>
      </c>
      <c r="R38" s="298">
        <f>IF(R4=Assumptions!$D$26,-($F$36+SUM($G$28:R28)),0)</f>
        <v>0</v>
      </c>
      <c r="S38" s="298">
        <f>IF(S4=Assumptions!$D$26,-($F$36+SUM($G$28:S28)),0)</f>
        <v>0</v>
      </c>
      <c r="T38" s="298">
        <f>IF(T4=Assumptions!$D$26,-($F$36+SUM($G$28:T28)),0)</f>
        <v>0</v>
      </c>
      <c r="U38" s="298">
        <f>IF(U4=Assumptions!$D$26,-($F$36+SUM($G$28:U28)),0)</f>
        <v>0</v>
      </c>
      <c r="V38" s="298">
        <f>IF(V4=Assumptions!$D$26,-($F$36+SUM($G$28:V28)),0)</f>
        <v>0</v>
      </c>
      <c r="W38" s="298">
        <f>IF(W4=Assumptions!$D$26,-($F$36+SUM($G$28:W28)),0)</f>
        <v>0</v>
      </c>
      <c r="X38" s="298">
        <f>IF(X4=Assumptions!$D$26,-($F$36+SUM($G$28:X28)),0)</f>
        <v>0</v>
      </c>
      <c r="Y38" s="298">
        <f>IF(Y4=Assumptions!$D$26,-($F$36+SUM($G$28:Y28)),0)</f>
        <v>0</v>
      </c>
      <c r="Z38" s="298">
        <f>IF(Z4=Assumptions!$D$26,-($F$36+SUM($G$28:Z28)),0)</f>
        <v>0</v>
      </c>
      <c r="AA38" s="298">
        <f>IF(AA4=Assumptions!$D$26,-($F$36+SUM($G$28:AA28)),0)</f>
        <v>0</v>
      </c>
      <c r="AB38" s="298">
        <f>IF(AB4=Assumptions!$D$26,-($F$36+SUM($G$28:AB28)),0)</f>
        <v>0</v>
      </c>
      <c r="AC38" s="298">
        <f>IF(AC4=Assumptions!$D$26,-($F$36+SUM($G$28:AC28)),0)</f>
        <v>0</v>
      </c>
      <c r="AD38" s="298">
        <f>IF(AD4=Assumptions!$D$26,-($F$36+SUM($G$28:AD28)),0)</f>
        <v>0</v>
      </c>
      <c r="AE38" s="298">
        <f>IF(AE4=Assumptions!$D$26,-($F$36+SUM($G$28:AE28)),0)</f>
        <v>0</v>
      </c>
      <c r="AF38" s="298">
        <f>IF(AF4=Assumptions!$D$26,-($F$36+SUM($G$28:AF28)),0)</f>
        <v>0</v>
      </c>
      <c r="AG38" s="298">
        <f>IF(AG4=Assumptions!$D$26,-($F$36+SUM($G$28:AG28)),0)</f>
        <v>0</v>
      </c>
      <c r="AH38" s="298">
        <f>IF(AH4=Assumptions!$D$26,-($F$36+SUM($G$28:AH28)),0)</f>
        <v>0</v>
      </c>
      <c r="AI38" s="298">
        <f>IF(AI4=Assumptions!$D$26,-($F$36+SUM($G$28:AI28)),0)</f>
        <v>0</v>
      </c>
      <c r="AJ38" s="298">
        <f>IF(AJ4=Assumptions!$D$26,-($F$36+SUM($G$28:AJ28)),0)</f>
        <v>0</v>
      </c>
      <c r="AK38" s="298">
        <f>IF(AK4=Assumptions!$D$26,-($F$36+SUM($G$28:AK28)),0)</f>
        <v>0</v>
      </c>
      <c r="AL38" s="298">
        <f>IF(AL4=Assumptions!$D$26,-($F$36+SUM($G$28:AL28)),0)</f>
        <v>0</v>
      </c>
      <c r="AM38" s="298">
        <f>IF(AM4=Assumptions!$D$26,-($F$36+SUM($G$28:AM28)),0)</f>
        <v>0</v>
      </c>
      <c r="AN38" s="298">
        <f>IF(AN4=Assumptions!$D$26,-($F$36+SUM($G$28:AN28)),0)</f>
        <v>0</v>
      </c>
      <c r="AO38" s="298">
        <f>IF(AO4=Assumptions!$D$26,-($F$36+SUM($G$28:AO28)),0)</f>
        <v>0</v>
      </c>
      <c r="AP38" s="298">
        <f>IF(AP4=Assumptions!$D$26,-($F$36+SUM($G$28:AP28)),0)</f>
        <v>-49624249.800091438</v>
      </c>
      <c r="AQ38" s="298">
        <f>IF(AQ4=Assumptions!$D$26,-($F$36+SUM($G$28:AQ28)),0)</f>
        <v>0</v>
      </c>
      <c r="AR38" s="298">
        <f>IF(AR4=Assumptions!$D$26,-($F$36+SUM($G$28:AR28)),0)</f>
        <v>0</v>
      </c>
      <c r="AS38" s="298">
        <f>IF(AS4=Assumptions!$D$26,-($F$36+SUM($G$28:AS28)),0)</f>
        <v>0</v>
      </c>
      <c r="AT38" s="298">
        <f>IF(AT4=Assumptions!$D$26,-($F$36+SUM($G$28:AT28)),0)</f>
        <v>0</v>
      </c>
      <c r="AU38" s="298">
        <f>IF(AU4=Assumptions!$D$26,-($F$36+SUM($G$28:AU28)),0)</f>
        <v>0</v>
      </c>
      <c r="AV38" s="298">
        <f>IF(AV4=Assumptions!$D$26,-($F$36+SUM($G$28:AV28)),0)</f>
        <v>0</v>
      </c>
      <c r="AW38" s="298">
        <f>IF(AW4=Assumptions!$D$26,-($F$36+SUM($G$28:AW28)),0)</f>
        <v>0</v>
      </c>
      <c r="AX38" s="298">
        <f>IF(AX4=Assumptions!$D$26,-($F$36+SUM($G$28:AX28)),0)</f>
        <v>0</v>
      </c>
      <c r="AY38" s="298">
        <f>IF(AY4=Assumptions!$D$26,-($F$36+SUM($G$28:AY28)),0)</f>
        <v>0</v>
      </c>
      <c r="AZ38" s="298">
        <f>IF(AZ4=Assumptions!$D$26,-($F$36+SUM($G$28:AZ28)),0)</f>
        <v>0</v>
      </c>
      <c r="BA38" s="298">
        <f>IF(BA4=Assumptions!$D$26,-($F$36+SUM($G$28:BA28)),0)</f>
        <v>0</v>
      </c>
      <c r="BB38" s="298">
        <f>IF(BB4=Assumptions!$D$26,-($F$36+SUM($G$28:BB28)),0)</f>
        <v>0</v>
      </c>
      <c r="BC38" s="298">
        <f>IF(BC4=Assumptions!$D$26,-($F$36+SUM($G$28:BC28)),0)</f>
        <v>0</v>
      </c>
      <c r="BD38" s="298">
        <f>IF(BD4=Assumptions!$D$26,-($F$36+SUM($G$28:BD28)),0)</f>
        <v>0</v>
      </c>
      <c r="BE38" s="298">
        <f>IF(BE4=Assumptions!$D$26,-($F$36+SUM($G$28:BE28)),0)</f>
        <v>0</v>
      </c>
      <c r="BF38" s="298">
        <f>IF(BF4=Assumptions!$D$26,-($F$36+SUM($G$28:BF28)),0)</f>
        <v>0</v>
      </c>
      <c r="BG38" s="298">
        <f>IF(BG4=Assumptions!$D$26,-($F$36+SUM($G$28:BG28)),0)</f>
        <v>0</v>
      </c>
      <c r="BH38" s="298">
        <f>IF(BH4=Assumptions!$D$26,-($F$36+SUM($G$28:BH28)),0)</f>
        <v>0</v>
      </c>
      <c r="BI38" s="298">
        <f>IF(BI4=Assumptions!$D$26,-($F$36+SUM($G$28:BI28)),0)</f>
        <v>0</v>
      </c>
      <c r="BJ38" s="298">
        <f>IF(BJ4=Assumptions!$D$26,-($F$36+SUM($G$28:BJ28)),0)</f>
        <v>0</v>
      </c>
      <c r="BK38" s="298">
        <f>IF(BK4=Assumptions!$D$26,-($F$36+SUM($G$28:BK28)),0)</f>
        <v>0</v>
      </c>
      <c r="BL38" s="298">
        <f>IF(BL4=Assumptions!$D$26,-($F$36+SUM($G$28:BL28)),0)</f>
        <v>0</v>
      </c>
      <c r="BM38" s="298">
        <f>IF(BM4=Assumptions!$D$26,-($F$36+SUM($G$28:BM28)),0)</f>
        <v>0</v>
      </c>
      <c r="BN38" s="298">
        <f>IF(BN4=Assumptions!$D$26,-($F$36+SUM($G$28:BN28)),0)</f>
        <v>0</v>
      </c>
      <c r="BO38" s="302">
        <f>IF(BO4=Assumptions!$D$26,-($F$36+SUM($G$28:BO28)),0)</f>
        <v>0</v>
      </c>
      <c r="BP38" s="302">
        <f>IF(BP4=Assumptions!$D$26,-($F$36+SUM($G$28:BP28)),0)</f>
        <v>0</v>
      </c>
      <c r="BQ38" s="302">
        <f>IF(BQ4=Assumptions!$D$26,-($F$36+SUM($G$28:BQ28)),0)</f>
        <v>0</v>
      </c>
      <c r="BR38" s="302">
        <f>IF(BR4=Assumptions!$D$26,-($F$36+SUM($G$28:BR28)),0)</f>
        <v>0</v>
      </c>
      <c r="BS38" s="302">
        <f>IF(BS4=Assumptions!$D$26,-($F$36+SUM($G$28:BS28)),0)</f>
        <v>0</v>
      </c>
      <c r="BT38" s="302">
        <f>IF(BT4=Assumptions!$D$26,-($F$36+SUM($G$28:BT28)),0)</f>
        <v>0</v>
      </c>
      <c r="BU38" s="302">
        <f>IF(BU4=Assumptions!$D$26,-($F$36+SUM($G$28:BU28)),0)</f>
        <v>0</v>
      </c>
      <c r="BV38" s="302">
        <f>IF(BV4=Assumptions!$D$26,-($F$36+SUM($G$28:BV28)),0)</f>
        <v>0</v>
      </c>
      <c r="BW38" s="302">
        <f>IF(BW4=Assumptions!$D$26,-($F$36+SUM($G$28:BW28)),0)</f>
        <v>0</v>
      </c>
      <c r="BX38" s="302">
        <f>IF(BX4=Assumptions!$D$26,-($F$36+SUM($G$28:BX28)),0)</f>
        <v>0</v>
      </c>
      <c r="BY38" s="302">
        <f>IF(BY4=Assumptions!$D$26,-($F$36+SUM($G$28:BY28)),0)</f>
        <v>0</v>
      </c>
      <c r="BZ38" s="303">
        <f>IF(BZ4=Assumptions!$D$26,-($F$36+SUM($G$28:BZ28)),0)</f>
        <v>0</v>
      </c>
    </row>
    <row r="39" spans="2:78" x14ac:dyDescent="0.3">
      <c r="B39" s="3"/>
      <c r="C39" s="75"/>
      <c r="D39" s="75"/>
      <c r="E39" s="169" t="s">
        <v>462</v>
      </c>
      <c r="F39" s="304">
        <f>IF(F4&gt;Assumptions!$D$26,0,SUM(F30:F34,F36:F38))</f>
        <v>-35494275.308466002</v>
      </c>
      <c r="G39" s="304">
        <f>IF(G4&gt;Assumptions!$D$26,0,SUM(G30:G34,G36:G38))</f>
        <v>154309.92191666673</v>
      </c>
      <c r="H39" s="304">
        <f>IF(H4&gt;Assumptions!$D$26,0,SUM(H30:H34,H36:H38))</f>
        <v>154913.64002562861</v>
      </c>
      <c r="I39" s="304">
        <f>IF(I4&gt;Assumptions!$D$26,0,SUM(I30:I34,I36:I38))</f>
        <v>155518.75382248987</v>
      </c>
      <c r="J39" s="304">
        <f>IF(J4&gt;Assumptions!$D$26,0,SUM(J30:J34,J36:J38))</f>
        <v>156125.26651707414</v>
      </c>
      <c r="K39" s="304">
        <f>IF(K4&gt;Assumptions!$D$26,0,SUM(K30:K34,K36:K38))</f>
        <v>156733.18132654164</v>
      </c>
      <c r="L39" s="304">
        <f>IF(L4&gt;Assumptions!$D$26,0,SUM(L30:L34,L36:L38))</f>
        <v>157342.50147540629</v>
      </c>
      <c r="M39" s="304">
        <f>IF(M4&gt;Assumptions!$D$26,0,SUM(M30:M34,M36:M38))</f>
        <v>157953.23019555223</v>
      </c>
      <c r="N39" s="304">
        <f>IF(N4&gt;Assumptions!$D$26,0,SUM(N30:N34,N36:N38))</f>
        <v>158565.37072625081</v>
      </c>
      <c r="O39" s="304">
        <f>IF(O4&gt;Assumptions!$D$26,0,SUM(O30:O34,O36:O38))</f>
        <v>159178.9263141767</v>
      </c>
      <c r="P39" s="304">
        <f>IF(P4&gt;Assumptions!$D$26,0,SUM(P30:P34,P36:P38))</f>
        <v>159793.9002134254</v>
      </c>
      <c r="Q39" s="304">
        <f>IF(Q4&gt;Assumptions!$D$26,0,SUM(Q30:Q34,Q36:Q38))</f>
        <v>160410.29568552977</v>
      </c>
      <c r="R39" s="304">
        <f>IF(R4&gt;Assumptions!$D$26,0,SUM(R30:R34,R36:R38))</f>
        <v>161028.11599947675</v>
      </c>
      <c r="S39" s="304">
        <f>IF(S4&gt;Assumptions!$D$26,0,SUM(S30:S34,S36:S38))</f>
        <v>161647.36443172483</v>
      </c>
      <c r="T39" s="304">
        <f>IF(T4&gt;Assumptions!$D$26,0,SUM(T30:T34,T36:T38))</f>
        <v>162268.04426622001</v>
      </c>
      <c r="U39" s="304">
        <f>IF(U4&gt;Assumptions!$D$26,0,SUM(U30:U34,U36:U38))</f>
        <v>162890.1587944139</v>
      </c>
      <c r="V39" s="304">
        <f>IF(V4&gt;Assumptions!$D$26,0,SUM(V30:V34,V36:V38))</f>
        <v>163513.71131528006</v>
      </c>
      <c r="W39" s="304">
        <f>IF(W4&gt;Assumptions!$D$26,0,SUM(W30:W34,W36:W38))</f>
        <v>164138.70513533131</v>
      </c>
      <c r="X39" s="304">
        <f>IF(X4&gt;Assumptions!$D$26,0,SUM(X30:X34,X36:X38))</f>
        <v>164765.14356863638</v>
      </c>
      <c r="Y39" s="304">
        <f>IF(Y4&gt;Assumptions!$D$26,0,SUM(Y30:Y34,Y36:Y38))</f>
        <v>165393.0299368382</v>
      </c>
      <c r="Z39" s="304">
        <f>IF(Z4&gt;Assumptions!$D$26,0,SUM(Z30:Z34,Z36:Z38))</f>
        <v>166022.3675691695</v>
      </c>
      <c r="AA39" s="304">
        <f>IF(AA4&gt;Assumptions!$D$26,0,SUM(AA30:AA34,AA36:AA38))</f>
        <v>166653.15980247146</v>
      </c>
      <c r="AB39" s="304">
        <f>IF(AB4&gt;Assumptions!$D$26,0,SUM(AB30:AB34,AB36:AB38))</f>
        <v>167285.40998120996</v>
      </c>
      <c r="AC39" s="304">
        <f>IF(AC4&gt;Assumptions!$D$26,0,SUM(AC30:AC34,AC36:AC38))</f>
        <v>167919.12145749363</v>
      </c>
      <c r="AD39" s="304">
        <f>IF(AD4&gt;Assumptions!$D$26,0,SUM(AD30:AD34,AD36:AD38))</f>
        <v>168554.29759109049</v>
      </c>
      <c r="AE39" s="304">
        <f>IF(AE4&gt;Assumptions!$D$26,0,SUM(AE30:AE34,AE36:AE38))</f>
        <v>77900.407634490286</v>
      </c>
      <c r="AF39" s="304">
        <f>IF(AF4&gt;Assumptions!$D$26,0,SUM(AF30:AF34,AF36:AF38))</f>
        <v>78538.523192743916</v>
      </c>
      <c r="AG39" s="304">
        <f>IF(AG4&gt;Assumptions!$D$26,0,SUM(AG30:AG34,AG36:AG38))</f>
        <v>79178.113533747703</v>
      </c>
      <c r="AH39" s="304">
        <f>IF(AH4&gt;Assumptions!$D$26,0,SUM(AH30:AH34,AH36:AH38))</f>
        <v>79819.182048082701</v>
      </c>
      <c r="AI39" s="304">
        <f>IF(AI4&gt;Assumptions!$D$26,0,SUM(AI30:AI34,AI36:AI38))</f>
        <v>80461.732134077029</v>
      </c>
      <c r="AJ39" s="304">
        <f>IF(AJ4&gt;Assumptions!$D$26,0,SUM(AJ30:AJ34,AJ36:AJ38))</f>
        <v>81105.767197823589</v>
      </c>
      <c r="AK39" s="304">
        <f>IF(AK4&gt;Assumptions!$D$26,0,SUM(AK30:AK34,AK36:AK38))</f>
        <v>81751.290653197415</v>
      </c>
      <c r="AL39" s="304">
        <f>IF(AL4&gt;Assumptions!$D$26,0,SUM(AL30:AL34,AL36:AL38))</f>
        <v>82398.305921873136</v>
      </c>
      <c r="AM39" s="304">
        <f>IF(AM4&gt;Assumptions!$D$26,0,SUM(AM30:AM34,AM36:AM38))</f>
        <v>83046.816433343163</v>
      </c>
      <c r="AN39" s="304">
        <f>IF(AN4&gt;Assumptions!$D$26,0,SUM(AN30:AN34,AN36:AN38))</f>
        <v>83696.825624934922</v>
      </c>
      <c r="AO39" s="304">
        <f>IF(AO4&gt;Assumptions!$D$26,0,SUM(AO30:AO34,AO36:AO38))</f>
        <v>84348.336941828864</v>
      </c>
      <c r="AP39" s="304">
        <f>IF(AP4&gt;Assumptions!$D$26,0,SUM(AP30:AP34,AP36:AP38))</f>
        <v>16687987.675063886</v>
      </c>
      <c r="AQ39" s="304">
        <f>IF(AQ4&gt;Assumptions!$D$26,0,SUM(AQ30:AQ34,AQ36:AQ38))</f>
        <v>0</v>
      </c>
      <c r="AR39" s="304">
        <f>IF(AR4&gt;Assumptions!$D$26,0,SUM(AR30:AR34,AR36:AR38))</f>
        <v>0</v>
      </c>
      <c r="AS39" s="304">
        <f>IF(AS4&gt;Assumptions!$D$26,0,SUM(AS30:AS34,AS36:AS38))</f>
        <v>0</v>
      </c>
      <c r="AT39" s="304">
        <f>IF(AT4&gt;Assumptions!$D$26,0,SUM(AT30:AT34,AT36:AT38))</f>
        <v>0</v>
      </c>
      <c r="AU39" s="304">
        <f>IF(AU4&gt;Assumptions!$D$26,0,SUM(AU30:AU34,AU36:AU38))</f>
        <v>0</v>
      </c>
      <c r="AV39" s="304">
        <f>IF(AV4&gt;Assumptions!$D$26,0,SUM(AV30:AV34,AV36:AV38))</f>
        <v>0</v>
      </c>
      <c r="AW39" s="304">
        <f>IF(AW4&gt;Assumptions!$D$26,0,SUM(AW30:AW34,AW36:AW38))</f>
        <v>0</v>
      </c>
      <c r="AX39" s="304">
        <f>IF(AX4&gt;Assumptions!$D$26,0,SUM(AX30:AX34,AX36:AX38))</f>
        <v>0</v>
      </c>
      <c r="AY39" s="304">
        <f>IF(AY4&gt;Assumptions!$D$26,0,SUM(AY30:AY34,AY36:AY38))</f>
        <v>0</v>
      </c>
      <c r="AZ39" s="304">
        <f>IF(AZ4&gt;Assumptions!$D$26,0,SUM(AZ30:AZ34,AZ36:AZ38))</f>
        <v>0</v>
      </c>
      <c r="BA39" s="304">
        <f>IF(BA4&gt;Assumptions!$D$26,0,SUM(BA30:BA34,BA36:BA38))</f>
        <v>0</v>
      </c>
      <c r="BB39" s="304">
        <f>IF(BB4&gt;Assumptions!$D$26,0,SUM(BB30:BB34,BB36:BB38))</f>
        <v>0</v>
      </c>
      <c r="BC39" s="304">
        <f>IF(BC4&gt;Assumptions!$D$26,0,SUM(BC30:BC34,BC36:BC38))</f>
        <v>0</v>
      </c>
      <c r="BD39" s="304">
        <f>IF(BD4&gt;Assumptions!$D$26,0,SUM(BD30:BD34,BD36:BD38))</f>
        <v>0</v>
      </c>
      <c r="BE39" s="304">
        <f>IF(BE4&gt;Assumptions!$D$26,0,SUM(BE30:BE34,BE36:BE38))</f>
        <v>0</v>
      </c>
      <c r="BF39" s="304">
        <f>IF(BF4&gt;Assumptions!$D$26,0,SUM(BF30:BF34,BF36:BF38))</f>
        <v>0</v>
      </c>
      <c r="BG39" s="304">
        <f>IF(BG4&gt;Assumptions!$D$26,0,SUM(BG30:BG34,BG36:BG38))</f>
        <v>0</v>
      </c>
      <c r="BH39" s="304">
        <f>IF(BH4&gt;Assumptions!$D$26,0,SUM(BH30:BH34,BH36:BH38))</f>
        <v>0</v>
      </c>
      <c r="BI39" s="304">
        <f>IF(BI4&gt;Assumptions!$D$26,0,SUM(BI30:BI34,BI36:BI38))</f>
        <v>0</v>
      </c>
      <c r="BJ39" s="304">
        <f>IF(BJ4&gt;Assumptions!$D$26,0,SUM(BJ30:BJ34,BJ36:BJ38))</f>
        <v>0</v>
      </c>
      <c r="BK39" s="304">
        <f>IF(BK4&gt;Assumptions!$D$26,0,SUM(BK30:BK34,BK36:BK38))</f>
        <v>0</v>
      </c>
      <c r="BL39" s="304">
        <f>IF(BL4&gt;Assumptions!$D$26,0,SUM(BL30:BL34,BL36:BL38))</f>
        <v>0</v>
      </c>
      <c r="BM39" s="304">
        <f>IF(BM4&gt;Assumptions!$D$26,0,SUM(BM30:BM34,BM36:BM38))</f>
        <v>0</v>
      </c>
      <c r="BN39" s="304">
        <f>IF(BN4&gt;Assumptions!$D$26,0,SUM(BN30:BN34,BN36:BN38))</f>
        <v>0</v>
      </c>
      <c r="BO39" s="304">
        <f>IF(BO4&gt;Assumptions!$D$26,0,SUM(BO30:BO34,BO36:BO38))</f>
        <v>0</v>
      </c>
      <c r="BP39" s="304">
        <f>IF(BP4&gt;Assumptions!$D$26,0,SUM(BP30:BP34,BP36:BP38))</f>
        <v>0</v>
      </c>
      <c r="BQ39" s="304">
        <f>IF(BQ4&gt;Assumptions!$D$26,0,SUM(BQ30:BQ34,BQ36:BQ38))</f>
        <v>0</v>
      </c>
      <c r="BR39" s="304">
        <f>IF(BR4&gt;Assumptions!$D$26,0,SUM(BR30:BR34,BR36:BR38))</f>
        <v>0</v>
      </c>
      <c r="BS39" s="304">
        <f>IF(BS4&gt;Assumptions!$D$26,0,SUM(BS30:BS34,BS36:BS38))</f>
        <v>0</v>
      </c>
      <c r="BT39" s="304">
        <f>IF(BT4&gt;Assumptions!$D$26,0,SUM(BT30:BT34,BT36:BT38))</f>
        <v>0</v>
      </c>
      <c r="BU39" s="304">
        <f>IF(BU4&gt;Assumptions!$D$26,0,SUM(BU30:BU34,BU36:BU38))</f>
        <v>0</v>
      </c>
      <c r="BV39" s="304">
        <f>IF(BV4&gt;Assumptions!$D$26,0,SUM(BV30:BV34,BV36:BV38))</f>
        <v>0</v>
      </c>
      <c r="BW39" s="304">
        <f>IF(BW4&gt;Assumptions!$D$26,0,SUM(BW30:BW34,BW36:BW38))</f>
        <v>0</v>
      </c>
      <c r="BX39" s="304">
        <f>IF(BX4&gt;Assumptions!$D$26,0,SUM(BX30:BX34,BX36:BX38))</f>
        <v>0</v>
      </c>
      <c r="BY39" s="304">
        <f>IF(BY4&gt;Assumptions!$D$26,0,SUM(BY30:BY34,BY36:BY38))</f>
        <v>0</v>
      </c>
      <c r="BZ39" s="305">
        <f>IF(BZ4&gt;Assumptions!$D$26,0,SUM(BZ30:BZ34,BZ36:BZ38))</f>
        <v>0</v>
      </c>
    </row>
    <row r="40" spans="2:78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69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2:78" x14ac:dyDescent="0.3">
      <c r="B41" s="238">
        <v>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69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2:78" x14ac:dyDescent="0.3">
      <c r="B42" s="239">
        <f>B41+1</f>
        <v>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69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2:78" x14ac:dyDescent="0.3">
      <c r="B43" s="239">
        <f>B42+1</f>
        <v>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69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</row>
    <row r="44" spans="2:78" x14ac:dyDescent="0.3">
      <c r="B44" s="239">
        <f>B43+1</f>
        <v>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69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2:78" x14ac:dyDescent="0.3">
      <c r="B45" s="239">
        <f>B44+1</f>
        <v>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69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</vt:lpstr>
      <vt:lpstr>Assumptions</vt:lpstr>
      <vt:lpstr>Investment Summary</vt:lpstr>
      <vt:lpstr>Annual Forecast</vt:lpstr>
      <vt:lpstr>Monthly Cash Flow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cp:revision>0</cp:revision>
  <dcterms:created xsi:type="dcterms:W3CDTF">2025-03-05T17:09:14Z</dcterms:created>
  <dcterms:modified xsi:type="dcterms:W3CDTF">2026-08-15T00:35:15Z</dcterms:modified>
</cp:coreProperties>
</file>