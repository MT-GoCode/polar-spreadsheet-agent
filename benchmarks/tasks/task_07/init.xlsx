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1BF5F442-F7BD-4BEF-B2CA-4BA0DF95AE69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Google Drivers" sheetId="1" r:id="rId1"/>
    <sheet name="Google Model" sheetId="3" r:id="rId2"/>
    <sheet name="Meta Drivers" sheetId="2" r:id="rId3"/>
    <sheet name="Meta Model" sheetId="4" r:id="rId4"/>
    <sheet name="Deal Inputs" sheetId="5" r:id="rId5"/>
    <sheet name="Pro Forma" sheetId="6" r:id="rId6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5" l="1"/>
  <c r="D91" i="5" s="1"/>
  <c r="G36" i="6" s="1"/>
  <c r="D82" i="5" a="1"/>
  <c r="D82" i="5" s="1"/>
  <c r="D80" i="5" a="1"/>
  <c r="D80" i="5" s="1"/>
  <c r="D74" i="5"/>
  <c r="H60" i="5"/>
  <c r="H35" i="6" s="1"/>
  <c r="G60" i="5"/>
  <c r="G35" i="6" s="1"/>
  <c r="F60" i="5"/>
  <c r="F35" i="6" s="1"/>
  <c r="E60" i="5"/>
  <c r="E35" i="6" s="1"/>
  <c r="D60" i="5"/>
  <c r="H54" i="5"/>
  <c r="G54" i="5"/>
  <c r="F54" i="5"/>
  <c r="E54" i="5"/>
  <c r="D54" i="5"/>
  <c r="D62" i="5" s="1"/>
  <c r="H47" i="5"/>
  <c r="G47" i="5"/>
  <c r="G20" i="6" s="1"/>
  <c r="F47" i="5"/>
  <c r="E47" i="5"/>
  <c r="E20" i="6" s="1"/>
  <c r="D47" i="5"/>
  <c r="D20" i="6" s="1"/>
  <c r="H36" i="5"/>
  <c r="D19" i="5"/>
  <c r="D21" i="5" s="1"/>
  <c r="C106" i="4"/>
  <c r="D105" i="4" s="1"/>
  <c r="J101" i="4"/>
  <c r="I101" i="4"/>
  <c r="H101" i="4"/>
  <c r="G101" i="4"/>
  <c r="F101" i="4"/>
  <c r="E101" i="4"/>
  <c r="D101" i="4"/>
  <c r="C78" i="4"/>
  <c r="D68" i="4"/>
  <c r="E68" i="4" s="1"/>
  <c r="F68" i="4" s="1"/>
  <c r="G68" i="4" s="1"/>
  <c r="H68" i="4" s="1"/>
  <c r="I68" i="4" s="1"/>
  <c r="J68" i="4" s="1"/>
  <c r="D59" i="4"/>
  <c r="E59" i="4" s="1"/>
  <c r="F59" i="4" s="1"/>
  <c r="F96" i="4" s="1"/>
  <c r="C57" i="4"/>
  <c r="C60" i="4" s="1"/>
  <c r="D51" i="4"/>
  <c r="E51" i="4" s="1"/>
  <c r="F51" i="4" s="1"/>
  <c r="G51" i="4" s="1"/>
  <c r="H51" i="4" s="1"/>
  <c r="I51" i="4" s="1"/>
  <c r="J51" i="4" s="1"/>
  <c r="E14" i="4"/>
  <c r="D14" i="4"/>
  <c r="C14" i="4"/>
  <c r="D5" i="4"/>
  <c r="B74" i="2"/>
  <c r="B73" i="2"/>
  <c r="B72" i="2"/>
  <c r="C108" i="3"/>
  <c r="C110" i="3" s="1"/>
  <c r="J103" i="3"/>
  <c r="I103" i="3"/>
  <c r="H103" i="3"/>
  <c r="G103" i="3"/>
  <c r="F103" i="3"/>
  <c r="E103" i="3"/>
  <c r="D103" i="3"/>
  <c r="C80" i="3"/>
  <c r="D70" i="3"/>
  <c r="E70" i="3" s="1"/>
  <c r="F70" i="3" s="1"/>
  <c r="G70" i="3" s="1"/>
  <c r="H70" i="3" s="1"/>
  <c r="I70" i="3" s="1"/>
  <c r="J70" i="3" s="1"/>
  <c r="D61" i="3"/>
  <c r="D98" i="3" s="1"/>
  <c r="C59" i="3"/>
  <c r="C62" i="3" s="1"/>
  <c r="D53" i="3"/>
  <c r="E53" i="3" s="1"/>
  <c r="F53" i="3" s="1"/>
  <c r="G53" i="3" s="1"/>
  <c r="H53" i="3" s="1"/>
  <c r="I53" i="3" s="1"/>
  <c r="J53" i="3" s="1"/>
  <c r="E16" i="3"/>
  <c r="D16" i="3"/>
  <c r="C16" i="3"/>
  <c r="D5" i="3"/>
  <c r="F12" i="3" s="1"/>
  <c r="B65" i="1"/>
  <c r="D35" i="6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F20" i="6"/>
  <c r="D10" i="6"/>
  <c r="E62" i="5" l="1"/>
  <c r="D107" i="3"/>
  <c r="E23" i="3"/>
  <c r="C108" i="4"/>
  <c r="D36" i="6"/>
  <c r="E36" i="6"/>
  <c r="G62" i="5"/>
  <c r="F36" i="6"/>
  <c r="C32" i="3"/>
  <c r="H36" i="6"/>
  <c r="C97" i="3"/>
  <c r="D89" i="3" s="1"/>
  <c r="D58" i="3" s="1"/>
  <c r="D50" i="4"/>
  <c r="D95" i="4"/>
  <c r="E87" i="4" s="1"/>
  <c r="D97" i="3"/>
  <c r="E89" i="3" s="1"/>
  <c r="E24" i="4"/>
  <c r="E88" i="4" s="1" a="1"/>
  <c r="E88" i="4" s="1"/>
  <c r="F14" i="3"/>
  <c r="G14" i="3" s="1"/>
  <c r="H14" i="3" s="1"/>
  <c r="I14" i="3" s="1"/>
  <c r="J14" i="3" s="1"/>
  <c r="E52" i="3"/>
  <c r="D17" i="4"/>
  <c r="D18" i="4" s="1"/>
  <c r="D40" i="6"/>
  <c r="F40" i="6"/>
  <c r="E40" i="6"/>
  <c r="G40" i="6"/>
  <c r="E25" i="3"/>
  <c r="E50" i="4"/>
  <c r="E90" i="4" s="1"/>
  <c r="D21" i="4"/>
  <c r="E95" i="4"/>
  <c r="F87" i="4" s="1"/>
  <c r="H40" i="6"/>
  <c r="E17" i="3"/>
  <c r="D26" i="3"/>
  <c r="D90" i="3" s="1" a="1"/>
  <c r="D90" i="3" s="1"/>
  <c r="D77" i="3" s="1"/>
  <c r="F12" i="4"/>
  <c r="G12" i="4" s="1"/>
  <c r="D22" i="4"/>
  <c r="D96" i="4"/>
  <c r="D97" i="4" s="1"/>
  <c r="F13" i="3"/>
  <c r="G13" i="3" s="1"/>
  <c r="H13" i="3" s="1"/>
  <c r="I13" i="3" s="1"/>
  <c r="J13" i="3" s="1"/>
  <c r="E19" i="3"/>
  <c r="E20" i="3" s="1"/>
  <c r="E26" i="3"/>
  <c r="E90" i="3" s="1" a="1"/>
  <c r="E90" i="3" s="1"/>
  <c r="F13" i="4"/>
  <c r="G13" i="4" s="1"/>
  <c r="H13" i="4" s="1"/>
  <c r="I13" i="4" s="1"/>
  <c r="J13" i="4" s="1"/>
  <c r="D24" i="4"/>
  <c r="D88" i="4" s="1" a="1"/>
  <c r="D88" i="4" s="1"/>
  <c r="D75" i="4" s="1"/>
  <c r="D25" i="3"/>
  <c r="C23" i="3"/>
  <c r="E97" i="3"/>
  <c r="F89" i="3" s="1"/>
  <c r="C24" i="4"/>
  <c r="C30" i="4"/>
  <c r="C25" i="3"/>
  <c r="D17" i="3"/>
  <c r="D23" i="3"/>
  <c r="G12" i="3"/>
  <c r="C24" i="3"/>
  <c r="C19" i="3"/>
  <c r="D24" i="3"/>
  <c r="D52" i="3"/>
  <c r="F62" i="5"/>
  <c r="G59" i="4"/>
  <c r="C22" i="4"/>
  <c r="C23" i="4"/>
  <c r="C17" i="4"/>
  <c r="C50" i="4"/>
  <c r="C52" i="4" s="1"/>
  <c r="C62" i="4" s="1"/>
  <c r="C21" i="4"/>
  <c r="D27" i="5"/>
  <c r="D67" i="5" a="1"/>
  <c r="D67" i="5" s="1"/>
  <c r="D69" i="5" s="1"/>
  <c r="D75" i="5" s="1"/>
  <c r="D11" i="6" s="1"/>
  <c r="D26" i="5"/>
  <c r="D8" i="6" s="1"/>
  <c r="D7" i="6"/>
  <c r="H34" i="5" a="1"/>
  <c r="H34" i="5" s="1"/>
  <c r="H62" i="5"/>
  <c r="H20" i="6"/>
  <c r="E96" i="4"/>
  <c r="H35" i="5"/>
  <c r="C52" i="3"/>
  <c r="C54" i="3" s="1"/>
  <c r="C64" i="3" s="1"/>
  <c r="D19" i="3"/>
  <c r="E24" i="3"/>
  <c r="C26" i="3"/>
  <c r="D15" i="4"/>
  <c r="C95" i="4"/>
  <c r="D87" i="4" s="1"/>
  <c r="D56" i="4" s="1"/>
  <c r="F15" i="3"/>
  <c r="G15" i="3" s="1"/>
  <c r="H15" i="3" s="1"/>
  <c r="I15" i="3" s="1"/>
  <c r="J15" i="3" s="1"/>
  <c r="E61" i="3"/>
  <c r="D23" i="4"/>
  <c r="E15" i="4"/>
  <c r="E17" i="4"/>
  <c r="E18" i="4"/>
  <c r="E21" i="4"/>
  <c r="E22" i="4"/>
  <c r="E23" i="4"/>
  <c r="D55" i="4" l="1"/>
  <c r="D99" i="3"/>
  <c r="D57" i="3"/>
  <c r="E57" i="3" s="1"/>
  <c r="D27" i="3"/>
  <c r="E92" i="3"/>
  <c r="E56" i="4"/>
  <c r="F56" i="4" s="1"/>
  <c r="E77" i="3"/>
  <c r="H38" i="5"/>
  <c r="F14" i="4"/>
  <c r="F22" i="4" s="1"/>
  <c r="E58" i="3"/>
  <c r="F58" i="3" s="1"/>
  <c r="D67" i="4"/>
  <c r="D69" i="4" s="1"/>
  <c r="D72" i="4" s="1"/>
  <c r="C25" i="4"/>
  <c r="E75" i="4"/>
  <c r="D25" i="4"/>
  <c r="D27" i="4" s="1"/>
  <c r="D28" i="4" s="1"/>
  <c r="C27" i="3"/>
  <c r="E69" i="3"/>
  <c r="E71" i="3" s="1"/>
  <c r="E74" i="3" s="1"/>
  <c r="E97" i="4"/>
  <c r="E67" i="4"/>
  <c r="H12" i="4"/>
  <c r="G14" i="4"/>
  <c r="F16" i="3"/>
  <c r="G16" i="3"/>
  <c r="H12" i="3"/>
  <c r="E25" i="4"/>
  <c r="E27" i="4" s="1"/>
  <c r="E55" i="4"/>
  <c r="D57" i="4"/>
  <c r="D60" i="4" s="1"/>
  <c r="G96" i="4"/>
  <c r="H59" i="4"/>
  <c r="E27" i="3"/>
  <c r="E29" i="3" s="1"/>
  <c r="D90" i="4"/>
  <c r="D69" i="3"/>
  <c r="D20" i="3"/>
  <c r="C67" i="4"/>
  <c r="C69" i="4" s="1"/>
  <c r="C72" i="4" s="1"/>
  <c r="C80" i="4" s="1"/>
  <c r="C82" i="4" s="1"/>
  <c r="D59" i="3"/>
  <c r="D62" i="3" s="1"/>
  <c r="C18" i="4"/>
  <c r="D92" i="3"/>
  <c r="E98" i="3"/>
  <c r="E99" i="3" s="1"/>
  <c r="F61" i="3"/>
  <c r="D29" i="5"/>
  <c r="D34" i="5"/>
  <c r="D9" i="6"/>
  <c r="C69" i="3"/>
  <c r="C71" i="3" s="1"/>
  <c r="C74" i="3" s="1"/>
  <c r="C82" i="3" s="1"/>
  <c r="C84" i="3" s="1"/>
  <c r="C20" i="3"/>
  <c r="F21" i="4" l="1"/>
  <c r="D29" i="3"/>
  <c r="F15" i="4"/>
  <c r="C29" i="3"/>
  <c r="C27" i="4"/>
  <c r="C28" i="4" s="1"/>
  <c r="F23" i="4"/>
  <c r="F25" i="4" s="1"/>
  <c r="F27" i="4" s="1"/>
  <c r="F28" i="4" s="1"/>
  <c r="D19" i="6"/>
  <c r="F50" i="4"/>
  <c r="F90" i="4" s="1"/>
  <c r="F95" i="4"/>
  <c r="F24" i="4"/>
  <c r="F88" i="4" s="1" a="1"/>
  <c r="F88" i="4" s="1"/>
  <c r="F75" i="4" s="1"/>
  <c r="F17" i="4"/>
  <c r="F18" i="4" s="1"/>
  <c r="E28" i="4"/>
  <c r="D37" i="5"/>
  <c r="D38" i="5" s="1"/>
  <c r="D91" i="4"/>
  <c r="D93" i="3"/>
  <c r="D71" i="3"/>
  <c r="D74" i="3" s="1"/>
  <c r="D18" i="6"/>
  <c r="F25" i="3"/>
  <c r="F97" i="3"/>
  <c r="F57" i="3" s="1"/>
  <c r="F26" i="3"/>
  <c r="F19" i="3"/>
  <c r="F20" i="3"/>
  <c r="F17" i="3"/>
  <c r="F23" i="3"/>
  <c r="F24" i="3"/>
  <c r="D30" i="6" s="1"/>
  <c r="F52" i="3"/>
  <c r="F92" i="3" s="1"/>
  <c r="E59" i="3"/>
  <c r="E62" i="3" s="1"/>
  <c r="E57" i="4"/>
  <c r="E60" i="4" s="1"/>
  <c r="G95" i="4"/>
  <c r="G50" i="4"/>
  <c r="G23" i="4"/>
  <c r="G17" i="4"/>
  <c r="G18" i="4" s="1"/>
  <c r="E19" i="6"/>
  <c r="G24" i="4"/>
  <c r="G88" i="4" s="1" a="1"/>
  <c r="G88" i="4" s="1"/>
  <c r="G21" i="4"/>
  <c r="G22" i="4"/>
  <c r="G15" i="4"/>
  <c r="H16" i="3"/>
  <c r="I12" i="3"/>
  <c r="C32" i="4"/>
  <c r="D30" i="3"/>
  <c r="E91" i="4"/>
  <c r="E69" i="4"/>
  <c r="E72" i="4" s="1"/>
  <c r="C30" i="3"/>
  <c r="C34" i="3"/>
  <c r="I12" i="4"/>
  <c r="H14" i="4"/>
  <c r="E30" i="3"/>
  <c r="H96" i="4"/>
  <c r="I59" i="4"/>
  <c r="F48" i="6"/>
  <c r="D48" i="6"/>
  <c r="E48" i="6"/>
  <c r="H48" i="6"/>
  <c r="G48" i="6"/>
  <c r="G26" i="3"/>
  <c r="G24" i="3"/>
  <c r="G19" i="3"/>
  <c r="G97" i="3"/>
  <c r="G25" i="3"/>
  <c r="G23" i="3"/>
  <c r="G17" i="3"/>
  <c r="E18" i="6"/>
  <c r="G52" i="3"/>
  <c r="G61" i="3"/>
  <c r="F98" i="3"/>
  <c r="E93" i="3"/>
  <c r="E21" i="6" l="1"/>
  <c r="F97" i="4"/>
  <c r="G87" i="4"/>
  <c r="G56" i="4" s="1"/>
  <c r="D32" i="6"/>
  <c r="F67" i="4"/>
  <c r="F55" i="4"/>
  <c r="F57" i="4" s="1"/>
  <c r="F60" i="4" s="1"/>
  <c r="D21" i="6"/>
  <c r="G75" i="4"/>
  <c r="G90" i="4"/>
  <c r="G92" i="3"/>
  <c r="H52" i="3"/>
  <c r="H92" i="3" s="1"/>
  <c r="H97" i="3"/>
  <c r="H26" i="3"/>
  <c r="H25" i="3"/>
  <c r="H24" i="3"/>
  <c r="F30" i="6" s="1"/>
  <c r="H23" i="3"/>
  <c r="H19" i="3"/>
  <c r="H17" i="3"/>
  <c r="F18" i="6"/>
  <c r="E32" i="6"/>
  <c r="H50" i="4"/>
  <c r="H90" i="4" s="1"/>
  <c r="H21" i="4"/>
  <c r="H95" i="4"/>
  <c r="H24" i="4"/>
  <c r="H88" i="4" s="1" a="1"/>
  <c r="H88" i="4" s="1"/>
  <c r="H75" i="4" s="1"/>
  <c r="F19" i="6"/>
  <c r="H22" i="4"/>
  <c r="H23" i="4"/>
  <c r="H15" i="4"/>
  <c r="H17" i="4"/>
  <c r="G69" i="3"/>
  <c r="E24" i="6"/>
  <c r="E26" i="6" s="1"/>
  <c r="C35" i="3"/>
  <c r="C37" i="3" s="1"/>
  <c r="E30" i="6"/>
  <c r="C33" i="4"/>
  <c r="C35" i="4"/>
  <c r="D34" i="6"/>
  <c r="F90" i="3" a="1"/>
  <c r="F90" i="3" s="1"/>
  <c r="F77" i="3" s="1"/>
  <c r="F27" i="3"/>
  <c r="F29" i="3" s="1"/>
  <c r="D28" i="6"/>
  <c r="H89" i="3"/>
  <c r="H61" i="3"/>
  <c r="G98" i="3"/>
  <c r="G99" i="3" s="1"/>
  <c r="G20" i="3"/>
  <c r="D24" i="6"/>
  <c r="F69" i="3"/>
  <c r="G90" i="3" a="1"/>
  <c r="G90" i="3" s="1"/>
  <c r="E34" i="6"/>
  <c r="F59" i="3"/>
  <c r="F62" i="3" s="1"/>
  <c r="G57" i="3"/>
  <c r="F99" i="3"/>
  <c r="G89" i="3"/>
  <c r="G58" i="3" s="1"/>
  <c r="G27" i="3"/>
  <c r="E28" i="6"/>
  <c r="J12" i="4"/>
  <c r="J14" i="4" s="1"/>
  <c r="I14" i="4"/>
  <c r="H87" i="4"/>
  <c r="G97" i="4"/>
  <c r="G25" i="4"/>
  <c r="G27" i="4" s="1"/>
  <c r="J59" i="4"/>
  <c r="J96" i="4" s="1"/>
  <c r="I96" i="4"/>
  <c r="J12" i="3"/>
  <c r="J16" i="3" s="1"/>
  <c r="I16" i="3"/>
  <c r="G67" i="4"/>
  <c r="H56" i="4" l="1"/>
  <c r="G55" i="4"/>
  <c r="H55" i="4" s="1"/>
  <c r="D26" i="6"/>
  <c r="F69" i="4"/>
  <c r="F72" i="4" s="1"/>
  <c r="F91" i="4"/>
  <c r="D37" i="6"/>
  <c r="G28" i="4"/>
  <c r="H97" i="4"/>
  <c r="I87" i="4"/>
  <c r="I56" i="4" s="1"/>
  <c r="H27" i="3"/>
  <c r="F28" i="6"/>
  <c r="F93" i="3"/>
  <c r="F71" i="3"/>
  <c r="F74" i="3" s="1"/>
  <c r="G69" i="4"/>
  <c r="G72" i="4" s="1"/>
  <c r="G91" i="4"/>
  <c r="G77" i="3"/>
  <c r="F32" i="6"/>
  <c r="G71" i="3"/>
  <c r="G74" i="3" s="1"/>
  <c r="G93" i="3"/>
  <c r="E37" i="6"/>
  <c r="H58" i="3"/>
  <c r="I97" i="3"/>
  <c r="I26" i="3"/>
  <c r="I25" i="3"/>
  <c r="I24" i="3"/>
  <c r="I23" i="3"/>
  <c r="I19" i="3"/>
  <c r="I20" i="3" s="1"/>
  <c r="I17" i="3"/>
  <c r="I52" i="3"/>
  <c r="I92" i="3" s="1"/>
  <c r="G18" i="6"/>
  <c r="G59" i="3"/>
  <c r="G62" i="3" s="1"/>
  <c r="H57" i="3"/>
  <c r="G29" i="3"/>
  <c r="H90" i="3" a="1"/>
  <c r="H90" i="3" s="1"/>
  <c r="F34" i="6"/>
  <c r="H69" i="3"/>
  <c r="F24" i="6"/>
  <c r="H20" i="3"/>
  <c r="H25" i="4"/>
  <c r="J52" i="3"/>
  <c r="J17" i="3"/>
  <c r="J19" i="3"/>
  <c r="J20" i="3" s="1"/>
  <c r="H18" i="6"/>
  <c r="J25" i="3"/>
  <c r="J97" i="3"/>
  <c r="J23" i="3"/>
  <c r="J26" i="3"/>
  <c r="J24" i="3"/>
  <c r="I95" i="4"/>
  <c r="I24" i="4"/>
  <c r="I88" i="4" s="1" a="1"/>
  <c r="I88" i="4" s="1"/>
  <c r="I75" i="4" s="1"/>
  <c r="G19" i="6"/>
  <c r="I21" i="4"/>
  <c r="I50" i="4"/>
  <c r="I90" i="4" s="1"/>
  <c r="I17" i="4"/>
  <c r="I18" i="4" s="1"/>
  <c r="I23" i="4"/>
  <c r="I15" i="4"/>
  <c r="I22" i="4"/>
  <c r="C38" i="3"/>
  <c r="C43" i="3"/>
  <c r="F21" i="6"/>
  <c r="I89" i="3"/>
  <c r="C41" i="4"/>
  <c r="C36" i="4"/>
  <c r="F30" i="3"/>
  <c r="H67" i="4"/>
  <c r="J22" i="4"/>
  <c r="J15" i="4"/>
  <c r="J21" i="4"/>
  <c r="J23" i="4"/>
  <c r="J95" i="4"/>
  <c r="J97" i="4" s="1"/>
  <c r="J50" i="4"/>
  <c r="J24" i="4"/>
  <c r="J88" i="4" s="1" a="1"/>
  <c r="J88" i="4" s="1"/>
  <c r="J17" i="4"/>
  <c r="J18" i="4" s="1"/>
  <c r="H19" i="6"/>
  <c r="H98" i="3"/>
  <c r="H99" i="3" s="1"/>
  <c r="I61" i="3"/>
  <c r="H18" i="4"/>
  <c r="G57" i="4" l="1"/>
  <c r="G60" i="4" s="1"/>
  <c r="F26" i="6"/>
  <c r="F37" i="6" s="1"/>
  <c r="J90" i="4"/>
  <c r="H27" i="4"/>
  <c r="H32" i="6"/>
  <c r="G32" i="6"/>
  <c r="H21" i="6"/>
  <c r="H29" i="3"/>
  <c r="H30" i="3" s="1"/>
  <c r="G21" i="6"/>
  <c r="J67" i="4"/>
  <c r="J69" i="4" s="1"/>
  <c r="J72" i="4" s="1"/>
  <c r="I25" i="4"/>
  <c r="I58" i="3"/>
  <c r="J75" i="4"/>
  <c r="H69" i="4"/>
  <c r="H72" i="4" s="1"/>
  <c r="H91" i="4"/>
  <c r="J89" i="3"/>
  <c r="H71" i="3"/>
  <c r="H74" i="3" s="1"/>
  <c r="H93" i="3"/>
  <c r="H28" i="4"/>
  <c r="J61" i="3"/>
  <c r="J98" i="3" s="1"/>
  <c r="I98" i="3"/>
  <c r="I99" i="3" s="1"/>
  <c r="I97" i="4"/>
  <c r="J87" i="4"/>
  <c r="J56" i="4" s="1"/>
  <c r="I27" i="4"/>
  <c r="J25" i="4"/>
  <c r="J27" i="4" s="1"/>
  <c r="H30" i="6"/>
  <c r="G30" i="3"/>
  <c r="I27" i="3"/>
  <c r="I29" i="3" s="1"/>
  <c r="G28" i="6"/>
  <c r="J99" i="3"/>
  <c r="I55" i="4"/>
  <c r="H57" i="4"/>
  <c r="H60" i="4" s="1"/>
  <c r="H24" i="6"/>
  <c r="J69" i="3"/>
  <c r="G24" i="6"/>
  <c r="I69" i="3"/>
  <c r="I67" i="4"/>
  <c r="J90" i="3" a="1"/>
  <c r="J90" i="3" s="1"/>
  <c r="H34" i="6"/>
  <c r="J92" i="3"/>
  <c r="I57" i="3"/>
  <c r="H59" i="3"/>
  <c r="H62" i="3" s="1"/>
  <c r="G30" i="6"/>
  <c r="I90" i="3" a="1"/>
  <c r="I90" i="3" s="1"/>
  <c r="G34" i="6"/>
  <c r="H77" i="3"/>
  <c r="H26" i="6"/>
  <c r="H28" i="6"/>
  <c r="J27" i="3"/>
  <c r="J29" i="3" s="1"/>
  <c r="J58" i="3" l="1"/>
  <c r="J91" i="4"/>
  <c r="G26" i="6"/>
  <c r="G37" i="6" s="1"/>
  <c r="J30" i="3"/>
  <c r="I30" i="3"/>
  <c r="J28" i="4"/>
  <c r="I28" i="4"/>
  <c r="I77" i="3"/>
  <c r="H37" i="6"/>
  <c r="J57" i="3"/>
  <c r="I59" i="3"/>
  <c r="I62" i="3" s="1"/>
  <c r="I71" i="3"/>
  <c r="I74" i="3" s="1"/>
  <c r="I93" i="3"/>
  <c r="J93" i="3"/>
  <c r="J71" i="3"/>
  <c r="J74" i="3" s="1"/>
  <c r="I91" i="4"/>
  <c r="I69" i="4"/>
  <c r="I72" i="4" s="1"/>
  <c r="I57" i="4"/>
  <c r="I60" i="4" s="1"/>
  <c r="J55" i="4"/>
  <c r="J57" i="4" s="1"/>
  <c r="J60" i="4" s="1"/>
  <c r="J59" i="3" l="1"/>
  <c r="J62" i="3" s="1"/>
  <c r="J77" i="3"/>
  <c r="D32" i="3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D39" i="6"/>
  <c r="E39" i="6"/>
  <c r="F39" i="6"/>
  <c r="G39" i="6"/>
  <c r="H39" i="6"/>
  <c r="D41" i="6"/>
  <c r="E41" i="6"/>
  <c r="F41" i="6"/>
  <c r="G41" i="6"/>
  <c r="H41" i="6"/>
  <c r="D42" i="6"/>
  <c r="E42" i="6"/>
  <c r="F42" i="6"/>
  <c r="G42" i="6"/>
  <c r="H42" i="6"/>
  <c r="D44" i="6"/>
  <c r="E44" i="6"/>
  <c r="F44" i="6"/>
  <c r="G44" i="6"/>
  <c r="H44" i="6"/>
  <c r="D49" i="6"/>
  <c r="E49" i="6"/>
  <c r="F49" i="6"/>
  <c r="G49" i="6"/>
  <c r="H49" i="6"/>
  <c r="D50" i="6"/>
  <c r="E50" i="6"/>
  <c r="F50" i="6"/>
  <c r="G50" i="6"/>
  <c r="H5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<sst xmlns="http://schemas.openxmlformats.org/spreadsheetml/2006/main" count="469" uniqueCount="241">
  <si>
    <t>Google (Alphabet) — Operating Model Assumptions</t>
  </si>
  <si>
    <t>Case selector</t>
  </si>
  <si>
    <t>Chosen case:</t>
  </si>
  <si>
    <t>Base</t>
  </si>
  <si>
    <t>Actuals</t>
  </si>
  <si>
    <t>Forecast</t>
  </si>
  <si>
    <t>Revenue Assumptions — 1</t>
  </si>
  <si>
    <t>Growth rates — Revenue (%)</t>
  </si>
  <si>
    <t>Case</t>
  </si>
  <si>
    <t xml:space="preserve">  Google Search</t>
  </si>
  <si>
    <t>Bull</t>
  </si>
  <si>
    <t>Bear</t>
  </si>
  <si>
    <t xml:space="preserve">  YouTube Ads</t>
  </si>
  <si>
    <t xml:space="preserve">  Google Cloud</t>
  </si>
  <si>
    <t xml:space="preserve">  Other Revenues</t>
  </si>
  <si>
    <t>Operating Expense Assumptions — 2</t>
  </si>
  <si>
    <t>Expenses — Operating (% of Revenue)</t>
  </si>
  <si>
    <t xml:space="preserve">  R&amp;D</t>
  </si>
  <si>
    <t xml:space="preserve">  S&amp;M</t>
  </si>
  <si>
    <t xml:space="preserve">  G&amp;A</t>
  </si>
  <si>
    <t xml:space="preserve">  SBC</t>
  </si>
  <si>
    <t>Balance Sheet &amp; Cash Flow Assumptions — 3</t>
  </si>
  <si>
    <t>Working Capital Metrics</t>
  </si>
  <si>
    <t xml:space="preserve">  Days Sales Outstanding — DSO</t>
  </si>
  <si>
    <t xml:space="preserve">  Days Payable Outstanding — DPO</t>
  </si>
  <si>
    <t>Capital Expenditure</t>
  </si>
  <si>
    <t xml:space="preserve">  CapEx — % of Revenue</t>
  </si>
  <si>
    <t xml:space="preserve">  D&amp;A — % of Prior Year CapEx</t>
  </si>
  <si>
    <t>Other Financial Assumptions — 4</t>
  </si>
  <si>
    <t>Tax Rate</t>
  </si>
  <si>
    <t xml:space="preserve">  Effective Tax Rate</t>
  </si>
  <si>
    <t>Interest Rates</t>
  </si>
  <si>
    <t>Share Buyback</t>
  </si>
  <si>
    <t xml:space="preserve">  Buyback — % of FCF</t>
  </si>
  <si>
    <t>Meta Platforms — Operating Model Assumptions</t>
  </si>
  <si>
    <t xml:space="preserve">  Family of Apps — FoA</t>
  </si>
  <si>
    <t xml:space="preserve">  Reality Labs</t>
  </si>
  <si>
    <t>User Growth Metrics</t>
  </si>
  <si>
    <t xml:space="preserve">  DAU Growth — %</t>
  </si>
  <si>
    <t xml:space="preserve">  ARPU Growth — %</t>
  </si>
  <si>
    <t>Share Buyback &amp; Dividends</t>
  </si>
  <si>
    <t xml:space="preserve">  Dividend Payout Ratio</t>
  </si>
  <si>
    <t>Google (Alphabet) — Income Statement</t>
  </si>
  <si>
    <t>Figures in $mm</t>
  </si>
  <si>
    <t>Revenue — Total</t>
  </si>
  <si>
    <t xml:space="preserve">  YoY Growth %</t>
  </si>
  <si>
    <t>Operating expense build</t>
  </si>
  <si>
    <t xml:space="preserve">  Cost of sales</t>
  </si>
  <si>
    <t>Profit — Gross</t>
  </si>
  <si>
    <t xml:space="preserve">  Gross Margin (%)</t>
  </si>
  <si>
    <t>Operating Expenses — Total</t>
  </si>
  <si>
    <t>EBIT / Operating Income</t>
  </si>
  <si>
    <t xml:space="preserve">  Operating Margin (%)</t>
  </si>
  <si>
    <t>Pre-tax Income</t>
  </si>
  <si>
    <t>Tax Expense / Provision</t>
  </si>
  <si>
    <t>Net income</t>
  </si>
  <si>
    <t xml:space="preserve">  Net Margin (%)</t>
  </si>
  <si>
    <t>EPS calculation</t>
  </si>
  <si>
    <t>Basic Shares — Outstanding</t>
  </si>
  <si>
    <t>EPS — Basic</t>
  </si>
  <si>
    <t>Meta Platforms — Income Statement</t>
  </si>
  <si>
    <t xml:space="preserve">  Family of Apps</t>
  </si>
  <si>
    <t>Balance sheet schedule</t>
  </si>
  <si>
    <t>Assets section</t>
  </si>
  <si>
    <t>Assets — Current</t>
  </si>
  <si>
    <t xml:space="preserve">  Cash and equivalents</t>
  </si>
  <si>
    <t xml:space="preserve">  Receivables</t>
  </si>
  <si>
    <t xml:space="preserve">  Other current assets</t>
  </si>
  <si>
    <t>Current Assets — Total</t>
  </si>
  <si>
    <t>Assets — Non-current</t>
  </si>
  <si>
    <t xml:space="preserve">  PP&amp;E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</si>
  <si>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</si>
  <si>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</si>
  <si>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</si>
  <si>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</si>
  <si>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and equity</t>
  </si>
  <si>
    <t>Liabilities — Current</t>
  </si>
  <si>
    <t xml:space="preserve">  Payables</t>
  </si>
  <si>
    <t xml:space="preserve">  Accrued Expenses</t>
  </si>
  <si>
    <t>Current Liabilities — Total</t>
  </si>
  <si>
    <t>Long-term Debt</t>
  </si>
  <si>
    <t>Liabilities — Total</t>
  </si>
  <si>
    <t>Shareholders' Equity</t>
  </si>
  <si>
    <t xml:space="preserve">  Retained earnings</t>
  </si>
  <si>
    <t>Total Shareholders' Equity</t>
  </si>
  <si>
    <t>Total Liabilities &amp; Equity</t>
  </si>
  <si>
    <t>Balance Check (Assets — L&amp;E)</t>
  </si>
  <si>
    <t>Cash-flow statement</t>
  </si>
  <si>
    <t>Cash Flow from Operating Activities</t>
  </si>
  <si>
    <t xml:space="preserve">  Net Income</t>
  </si>
  <si>
    <t xml:space="preserve">  Add — Depreciation &amp; Amortization</t>
  </si>
  <si>
    <t xml:space="preserve">  Add: SBC</t>
  </si>
  <si>
    <t xml:space="preserve">  Changes in Working Capital —</t>
  </si>
  <si>
    <t>Net Cash from Operating Activities</t>
  </si>
  <si>
    <t>Cash Flow from Investing Activities</t>
  </si>
  <si>
    <t xml:space="preserve">  CapEx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</si>
  <si>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</si>
  <si>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</si>
  <si>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</si>
  <si>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</si>
  <si>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</si>
  <si>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</si>
  <si>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</si>
  <si>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Cash — Ending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</si>
  <si>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</si>
  <si>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</si>
  <si>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</si>
  <si>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</si>
  <si>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Deal input deck — Google / Meta combination</t>
  </si>
  <si>
    <t>Merger model inputs — pro forma</t>
  </si>
  <si>
    <t>Transaction Overview — 1</t>
  </si>
  <si>
    <t>Deal structure</t>
  </si>
  <si>
    <t xml:space="preserve">  Buyer</t>
  </si>
  <si>
    <t>Google (Alphabet)</t>
  </si>
  <si>
    <t xml:space="preserve">  Seller / Target</t>
  </si>
  <si>
    <t>Meta Platforms</t>
  </si>
  <si>
    <t xml:space="preserve">  Consideration type</t>
  </si>
  <si>
    <t>Stock &amp; Cash Combination</t>
  </si>
  <si>
    <t xml:space="preserve">  Announcement timing</t>
  </si>
  <si>
    <t>Q1 2024</t>
  </si>
  <si>
    <t xml:space="preserve">  Expected close timing</t>
  </si>
  <si>
    <t>Purchase price Calculation — 2</t>
  </si>
  <si>
    <t>Stock Prices &amp; Premium</t>
  </si>
  <si>
    <t xml:space="preserve">  Meta Current Stock Price</t>
  </si>
  <si>
    <t xml:space="preserve">  Premium Offered</t>
  </si>
  <si>
    <t xml:space="preserve">  Offer Price per Share</t>
  </si>
  <si>
    <t xml:space="preserve">  Meta Shares Outstanding (mm)</t>
  </si>
  <si>
    <t xml:space="preserve">  Total Purchase price ($mm)</t>
  </si>
  <si>
    <t>Consideration split</t>
  </si>
  <si>
    <t xml:space="preserve">  % Cash Consideration</t>
  </si>
  <si>
    <t xml:space="preserve">  % Stock Consideration</t>
  </si>
  <si>
    <t xml:space="preserve">  Cash Required — $mm</t>
  </si>
  <si>
    <t xml:space="preserve">  Stock Value Required — $mm</t>
  </si>
  <si>
    <t xml:space="preserve">  Google Stock Price</t>
  </si>
  <si>
    <t xml:space="preserve">  New Google Shares Issued (mm)</t>
  </si>
  <si>
    <t>Sources &amp; Uses Of Funds — 3</t>
  </si>
  <si>
    <t>Funding Sources ($mm)</t>
  </si>
  <si>
    <t>Funding Uses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</si>
  <si>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</si>
  <si>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</si>
  <si>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</si>
  <si>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</si>
  <si>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</si>
  <si>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</si>
  <si>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</si>
  <si>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</si>
  <si>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Sources — Total</t>
  </si>
  <si>
    <t>Uses — Total</t>
  </si>
  <si>
    <t>Synergy Assumptions — 4</t>
  </si>
  <si>
    <t>Revenue Synergies — $mm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</si>
  <si>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</si>
  <si>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</si>
  <si>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</si>
  <si>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</si>
  <si>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</si>
  <si>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</si>
  <si>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</si>
  <si>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</si>
  <si>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</si>
  <si>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— $mm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</si>
  <si>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</si>
  <si>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</si>
  <si>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</si>
  <si>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</si>
  <si>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</si>
  <si>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</si>
  <si>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</si>
  <si>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</si>
  <si>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</si>
  <si>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Purchase Accounting — 5</t>
  </si>
  <si>
    <t>Purchase price Allocation ($mm)</t>
  </si>
  <si>
    <t xml:space="preserve">  Less — Book Value of Equity</t>
  </si>
  <si>
    <t xml:space="preserve">  Premium Over Book</t>
  </si>
  <si>
    <t>Allocation —</t>
  </si>
  <si>
    <t xml:space="preserve">  PP&amp;E Fair Value Adjustment</t>
  </si>
  <si>
    <t xml:space="preserve">  Deferred Tax Liability</t>
  </si>
  <si>
    <t xml:space="preserve">  Goodwill</t>
  </si>
  <si>
    <t>Financing Assumptions — 6</t>
  </si>
  <si>
    <t>Debt Financing</t>
  </si>
  <si>
    <t xml:space="preserve">  Term Loan Amount — $mm</t>
  </si>
  <si>
    <t xml:space="preserve">  Term Loan Interest Rate</t>
  </si>
  <si>
    <t xml:space="preserve">  Bridge Loan Amount — $mm</t>
  </si>
  <si>
    <t xml:space="preserve">  Bridge Loan Interest Rate</t>
  </si>
  <si>
    <t xml:space="preserve">  Mandatory Amortization % p.a.</t>
  </si>
  <si>
    <t>Pro Forma Adjustments — 7</t>
  </si>
  <si>
    <t>Amortization of Intangibles</t>
  </si>
  <si>
    <t xml:space="preserve">  Intangible Asset Value — $mm</t>
  </si>
  <si>
    <t xml:space="preserve">  Amortization Period — years</t>
  </si>
  <si>
    <t xml:space="preserve">  Annual Amortization — $mm</t>
  </si>
  <si>
    <t>Other Adjustments</t>
  </si>
  <si>
    <t xml:space="preserve">  Stock-Based Comp Adjustment %</t>
  </si>
  <si>
    <t xml:space="preserve">  Combined Tax Rate</t>
  </si>
  <si>
    <t>Pro forma company — Google / Meta</t>
  </si>
  <si>
    <t>Transaction snapshot</t>
  </si>
  <si>
    <t>Purchase price ($mm):</t>
  </si>
  <si>
    <t>Cash Consideration —</t>
  </si>
  <si>
    <t>Stock Consideration —</t>
  </si>
  <si>
    <t>Total Debt Raised —</t>
  </si>
  <si>
    <t>Goodwill Created —</t>
  </si>
  <si>
    <t>Pro Forma Income Statement</t>
  </si>
  <si>
    <t>For the Year Ending</t>
  </si>
  <si>
    <t>Revenue — Combined</t>
  </si>
  <si>
    <t xml:space="preserve">  Google Revenue</t>
  </si>
  <si>
    <t xml:space="preserve">  Meta Revenue</t>
  </si>
  <si>
    <t xml:space="preserve">  Revenue synergy contribution</t>
  </si>
  <si>
    <t>Combined Revenue — Total</t>
  </si>
  <si>
    <t xml:space="preserve">  Cost of sales (Combined)</t>
  </si>
  <si>
    <t xml:space="preserve">  Infrastructure synergy value</t>
  </si>
  <si>
    <t xml:space="preserve">  R&amp;D — Combined</t>
  </si>
  <si>
    <t xml:space="preserve">  R&amp;D synergy value</t>
  </si>
  <si>
    <t xml:space="preserve">  S&amp;M — Combined</t>
  </si>
  <si>
    <t xml:space="preserve">  S&amp;M synergy value</t>
  </si>
  <si>
    <t xml:space="preserve">  G&amp;A — Combined</t>
  </si>
  <si>
    <t xml:space="preserve">  G&amp;A synergy value</t>
  </si>
  <si>
    <t xml:space="preserve">  Dis-synergies &amp; Integration</t>
  </si>
  <si>
    <t>EBIT</t>
  </si>
  <si>
    <t>EBT</t>
  </si>
  <si>
    <t xml:space="preserve">  Taxes</t>
  </si>
  <si>
    <t>Accretion / dilution workup</t>
  </si>
  <si>
    <t>Shares — Pro forma (mm)</t>
  </si>
  <si>
    <t>EPS — Pro forma</t>
  </si>
  <si>
    <t>% Accretion — Dilution</t>
  </si>
  <si>
    <t xml:space="preserve">  SBC (Combined)</t>
  </si>
  <si>
    <t>Reality Labs Operating Margin</t>
  </si>
  <si>
    <t xml:space="preserve">  Operating Margin — %</t>
  </si>
  <si>
    <t>Q4 2023</t>
  </si>
  <si>
    <t>Growth rate</t>
  </si>
  <si>
    <t>% of total revenue</t>
  </si>
  <si>
    <t xml:space="preserve">  Amortization of new intangibles</t>
  </si>
  <si>
    <t>Existing interest expense / — income</t>
  </si>
  <si>
    <t>New interest expense</t>
  </si>
  <si>
    <t>P&amp;L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</si>
  <si>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</si>
  <si>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</si>
  <si>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</si>
  <si>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</si>
  <si>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</si>
  <si>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— on cash</t>
  </si>
  <si>
    <t xml:space="preserve">  Interest Expense Rate — on LT debt</t>
  </si>
  <si>
    <t xml:space="preserve">  Identifiable Intangible Assets</t>
  </si>
  <si>
    <t>3-Year Historical (2021-2023) | 5-Year Projections (2024-2028)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</si>
</sst>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[$$-409]* #,##0_);_([$$-409]* \(#,##0\);_([$$-409]* &quot;-&quot;_);_(@_)"/>
    <numFmt numFmtId="165" formatCode="_([$$-409]* #,##0.00_);_([$$-409]* \(#,##0.00\);_([$$-409]* &quot;-&quot;??_);_(@_)"/>
    <numFmt numFmtId="166" formatCode="0.00%;\(0.00%\)"/>
    <numFmt numFmtId="167" formatCode="0.0%;\(0.0%\)"/>
    <numFmt numFmtId="168" formatCode="&quot;$&quot;#,##0.00;\(&quot;$&quot;#,##0.00\)"/>
    <numFmt numFmtId="169" formatCode="#,##0.0;\(#,##0.0\)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8000"/>
      <name val="Calibri"/>
      <family val="2"/>
    </font>
    <font>
      <b/>
      <sz val="11"/>
      <color rgb="FF008000"/>
      <name val="Calibri"/>
      <family val="2"/>
      <scheme val="minor"/>
    </font>
    <font>
      <b/>
      <sz val="14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2" fillId="0" borderId="1"/>
  </cellStyleXfs>
  <cellXfs count="144">
    <xf numFmtId="0" fontId="0" fillId="0" borderId="1" xfId="0"/>
    <xf numFmtId="0" fontId="2" fillId="0" borderId="1" xfId="1"/>
    <xf numFmtId="164" fontId="4" fillId="0" borderId="1" xfId="0" applyNumberFormat="1" applyFont="1" applyAlignment="1">
      <alignment vertical="top"/>
    </xf>
    <xf numFmtId="164" fontId="5" fillId="0" borderId="1" xfId="0" applyNumberFormat="1" applyFont="1" applyAlignment="1">
      <alignment vertical="top"/>
    </xf>
    <xf numFmtId="164" fontId="6" fillId="0" borderId="1" xfId="0" applyNumberFormat="1" applyFont="1" applyAlignment="1">
      <alignment vertical="top"/>
    </xf>
    <xf numFmtId="164" fontId="7" fillId="0" borderId="1" xfId="0" applyNumberFormat="1" applyFont="1" applyAlignment="1">
      <alignment vertical="top"/>
    </xf>
    <xf numFmtId="164" fontId="8" fillId="0" borderId="1" xfId="0" applyNumberFormat="1" applyFont="1" applyAlignment="1">
      <alignment vertical="top"/>
    </xf>
    <xf numFmtId="0" fontId="7" fillId="0" borderId="6" xfId="0" applyFont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10" fillId="0" borderId="1" xfId="0" applyFont="1" applyAlignment="1">
      <alignment horizontal="left" vertical="top" indent="1"/>
    </xf>
    <xf numFmtId="0" fontId="1" fillId="0" borderId="1" xfId="0" applyFont="1"/>
    <xf numFmtId="0" fontId="12" fillId="3" borderId="12" xfId="0" applyFont="1" applyFill="1" applyBorder="1" applyAlignment="1">
      <alignment horizontal="left" vertical="top" indent="1"/>
    </xf>
    <xf numFmtId="0" fontId="13" fillId="3" borderId="12" xfId="0" applyFont="1" applyFill="1" applyBorder="1"/>
    <xf numFmtId="0" fontId="12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2" fillId="3" borderId="13" xfId="0" applyFont="1" applyFill="1" applyBorder="1" applyAlignment="1">
      <alignment vertical="top"/>
    </xf>
    <xf numFmtId="0" fontId="13" fillId="3" borderId="13" xfId="0" applyFont="1" applyFill="1" applyBorder="1"/>
    <xf numFmtId="0" fontId="12" fillId="3" borderId="14" xfId="0" applyFont="1" applyFill="1" applyBorder="1" applyAlignment="1">
      <alignment vertical="top"/>
    </xf>
    <xf numFmtId="0" fontId="12" fillId="3" borderId="4" xfId="0" applyFont="1" applyFill="1" applyBorder="1" applyAlignment="1">
      <alignment horizontal="center" vertical="top"/>
    </xf>
    <xf numFmtId="0" fontId="12" fillId="3" borderId="15" xfId="0" applyFont="1" applyFill="1" applyBorder="1" applyAlignment="1">
      <alignment horizontal="center" vertical="top"/>
    </xf>
    <xf numFmtId="0" fontId="13" fillId="3" borderId="15" xfId="0" applyFont="1" applyFill="1" applyBorder="1"/>
    <xf numFmtId="0" fontId="12" fillId="3" borderId="5" xfId="0" applyFont="1" applyFill="1" applyBorder="1" applyAlignment="1">
      <alignment vertical="top"/>
    </xf>
    <xf numFmtId="167" fontId="3" fillId="0" borderId="1" xfId="0" applyNumberFormat="1" applyFont="1" applyAlignment="1">
      <alignment vertical="top"/>
    </xf>
    <xf numFmtId="167" fontId="3" fillId="4" borderId="0" xfId="0" applyNumberFormat="1" applyFont="1" applyFill="1" applyBorder="1" applyAlignment="1">
      <alignment vertical="top"/>
    </xf>
    <xf numFmtId="37" fontId="3" fillId="4" borderId="0" xfId="0" applyNumberFormat="1" applyFont="1" applyFill="1" applyBorder="1" applyAlignment="1">
      <alignment vertical="top"/>
    </xf>
    <xf numFmtId="167" fontId="3" fillId="4" borderId="1" xfId="0" applyNumberFormat="1" applyFont="1" applyFill="1" applyAlignment="1">
      <alignment vertical="top"/>
    </xf>
    <xf numFmtId="167" fontId="3" fillId="4" borderId="6" xfId="0" applyNumberFormat="1" applyFont="1" applyFill="1" applyBorder="1" applyAlignment="1">
      <alignment vertical="top"/>
    </xf>
    <xf numFmtId="49" fontId="12" fillId="3" borderId="14" xfId="0" applyNumberFormat="1" applyFont="1" applyFill="1" applyBorder="1" applyAlignment="1">
      <alignment vertical="top"/>
    </xf>
    <xf numFmtId="167" fontId="3" fillId="4" borderId="17" xfId="0" applyNumberFormat="1" applyFont="1" applyFill="1" applyBorder="1"/>
    <xf numFmtId="167" fontId="3" fillId="4" borderId="10" xfId="0" applyNumberFormat="1" applyFont="1" applyFill="1" applyBorder="1"/>
    <xf numFmtId="37" fontId="3" fillId="4" borderId="1" xfId="0" applyNumberFormat="1" applyFont="1" applyFill="1" applyAlignment="1">
      <alignment vertical="top"/>
    </xf>
    <xf numFmtId="0" fontId="12" fillId="3" borderId="9" xfId="0" applyFont="1" applyFill="1" applyBorder="1" applyAlignment="1">
      <alignment vertical="top"/>
    </xf>
    <xf numFmtId="0" fontId="12" fillId="3" borderId="18" xfId="0" applyFont="1" applyFill="1" applyBorder="1" applyAlignment="1">
      <alignment horizontal="left" vertical="top" indent="1"/>
    </xf>
    <xf numFmtId="0" fontId="13" fillId="3" borderId="18" xfId="0" applyFont="1" applyFill="1" applyBorder="1"/>
    <xf numFmtId="0" fontId="15" fillId="3" borderId="12" xfId="0" applyFont="1" applyFill="1" applyBorder="1" applyAlignment="1">
      <alignment horizontal="left" vertical="top" indent="2"/>
    </xf>
    <xf numFmtId="0" fontId="17" fillId="0" borderId="3" xfId="0" applyFont="1" applyBorder="1" applyAlignment="1">
      <alignment vertical="top"/>
    </xf>
    <xf numFmtId="167" fontId="5" fillId="0" borderId="1" xfId="0" applyNumberFormat="1" applyFont="1" applyAlignment="1">
      <alignment vertical="top"/>
    </xf>
    <xf numFmtId="164" fontId="3" fillId="4" borderId="1" xfId="0" applyNumberFormat="1" applyFont="1" applyFill="1" applyAlignment="1">
      <alignment vertical="top"/>
    </xf>
    <xf numFmtId="41" fontId="3" fillId="4" borderId="1" xfId="0" applyNumberFormat="1" applyFont="1" applyFill="1" applyAlignment="1">
      <alignment vertical="top"/>
    </xf>
    <xf numFmtId="164" fontId="3" fillId="4" borderId="11" xfId="0" applyNumberFormat="1" applyFont="1" applyFill="1" applyBorder="1" applyAlignment="1">
      <alignment vertical="top"/>
    </xf>
    <xf numFmtId="49" fontId="17" fillId="0" borderId="3" xfId="0" applyNumberFormat="1" applyFont="1" applyBorder="1" applyAlignment="1">
      <alignment vertical="top"/>
    </xf>
    <xf numFmtId="0" fontId="1" fillId="0" borderId="1" xfId="1" applyFont="1"/>
    <xf numFmtId="164" fontId="7" fillId="0" borderId="1" xfId="1" applyNumberFormat="1" applyFont="1" applyAlignment="1">
      <alignment vertical="top"/>
    </xf>
    <xf numFmtId="0" fontId="12" fillId="3" borderId="5" xfId="1" applyFont="1" applyFill="1" applyBorder="1" applyAlignment="1">
      <alignment vertical="top"/>
    </xf>
    <xf numFmtId="0" fontId="12" fillId="3" borderId="12" xfId="1" applyFont="1" applyFill="1" applyBorder="1" applyAlignment="1">
      <alignment horizontal="left" vertical="top" indent="1"/>
    </xf>
    <xf numFmtId="0" fontId="13" fillId="3" borderId="12" xfId="1" applyFont="1" applyFill="1" applyBorder="1"/>
    <xf numFmtId="0" fontId="13" fillId="3" borderId="21" xfId="1" applyFont="1" applyFill="1" applyBorder="1" applyAlignment="1">
      <alignment horizontal="left" vertical="top" indent="2"/>
    </xf>
    <xf numFmtId="0" fontId="13" fillId="3" borderId="21" xfId="1" applyFont="1" applyFill="1" applyBorder="1"/>
    <xf numFmtId="49" fontId="13" fillId="3" borderId="21" xfId="1" applyNumberFormat="1" applyFont="1" applyFill="1" applyBorder="1" applyAlignment="1">
      <alignment vertical="top"/>
    </xf>
    <xf numFmtId="0" fontId="14" fillId="5" borderId="16" xfId="1" applyFont="1" applyFill="1" applyBorder="1" applyAlignment="1">
      <alignment vertical="top"/>
    </xf>
    <xf numFmtId="0" fontId="14" fillId="5" borderId="19" xfId="1" applyFont="1" applyFill="1" applyBorder="1" applyAlignment="1">
      <alignment vertical="top"/>
    </xf>
    <xf numFmtId="167" fontId="3" fillId="4" borderId="1" xfId="1" applyNumberFormat="1" applyFont="1" applyFill="1" applyAlignment="1">
      <alignment vertical="top"/>
    </xf>
    <xf numFmtId="37" fontId="3" fillId="4" borderId="1" xfId="1" applyNumberFormat="1" applyFont="1" applyFill="1" applyAlignment="1">
      <alignment vertical="top"/>
    </xf>
    <xf numFmtId="164" fontId="3" fillId="4" borderId="1" xfId="1" applyNumberFormat="1" applyFont="1" applyFill="1" applyAlignment="1">
      <alignment vertical="top"/>
    </xf>
    <xf numFmtId="167" fontId="3" fillId="4" borderId="1" xfId="1" applyNumberFormat="1" applyFont="1" applyFill="1"/>
    <xf numFmtId="166" fontId="3" fillId="4" borderId="1" xfId="1" applyNumberFormat="1" applyFont="1" applyFill="1" applyAlignment="1">
      <alignment vertical="top"/>
    </xf>
    <xf numFmtId="165" fontId="7" fillId="0" borderId="1" xfId="1" applyNumberFormat="1" applyFont="1" applyAlignment="1">
      <alignment vertical="top"/>
    </xf>
    <xf numFmtId="0" fontId="11" fillId="2" borderId="8" xfId="1" applyFont="1" applyFill="1" applyBorder="1" applyAlignment="1">
      <alignment vertical="top"/>
    </xf>
    <xf numFmtId="0" fontId="12" fillId="3" borderId="9" xfId="1" applyFont="1" applyFill="1" applyBorder="1" applyAlignment="1">
      <alignment vertical="top"/>
    </xf>
    <xf numFmtId="0" fontId="12" fillId="3" borderId="12" xfId="1" applyFont="1" applyFill="1" applyBorder="1" applyAlignment="1">
      <alignment vertical="top"/>
    </xf>
    <xf numFmtId="164" fontId="4" fillId="0" borderId="1" xfId="1" applyNumberFormat="1" applyFont="1" applyAlignment="1">
      <alignment vertical="top"/>
    </xf>
    <xf numFmtId="164" fontId="4" fillId="0" borderId="1" xfId="1" applyNumberFormat="1" applyFont="1"/>
    <xf numFmtId="41" fontId="4" fillId="0" borderId="1" xfId="1" applyNumberFormat="1" applyFont="1" applyAlignment="1">
      <alignment vertical="top"/>
    </xf>
    <xf numFmtId="0" fontId="19" fillId="0" borderId="0" xfId="0" applyFont="1" applyBorder="1" applyAlignment="1">
      <alignment vertical="top"/>
    </xf>
    <xf numFmtId="0" fontId="20" fillId="0" borderId="0" xfId="0" applyFont="1" applyBorder="1" applyAlignment="1">
      <alignment vertical="top"/>
    </xf>
    <xf numFmtId="0" fontId="21" fillId="4" borderId="0" xfId="0" applyFont="1" applyFill="1" applyBorder="1" applyAlignment="1">
      <alignment horizontal="center" vertical="top"/>
    </xf>
    <xf numFmtId="0" fontId="22" fillId="0" borderId="0" xfId="0" applyFont="1" applyBorder="1" applyAlignment="1">
      <alignment horizontal="center" vertical="top"/>
    </xf>
    <xf numFmtId="0" fontId="22" fillId="4" borderId="0" xfId="0" applyFont="1" applyFill="1" applyBorder="1" applyAlignment="1">
      <alignment horizontal="center" vertical="top"/>
    </xf>
    <xf numFmtId="0" fontId="21" fillId="0" borderId="0" xfId="0" applyFont="1" applyBorder="1" applyAlignment="1">
      <alignment horizontal="left" vertical="top" indent="2"/>
    </xf>
    <xf numFmtId="0" fontId="22" fillId="0" borderId="0" xfId="0" applyFont="1" applyBorder="1" applyAlignment="1">
      <alignment horizontal="left" vertical="top" indent="1"/>
    </xf>
    <xf numFmtId="0" fontId="21" fillId="0" borderId="1" xfId="1" applyFont="1" applyAlignment="1">
      <alignment horizontal="left" vertical="top" indent="2"/>
    </xf>
    <xf numFmtId="0" fontId="17" fillId="0" borderId="0" xfId="0" applyFont="1" applyBorder="1" applyAlignment="1">
      <alignment horizontal="left" vertical="top" indent="2"/>
    </xf>
    <xf numFmtId="0" fontId="21" fillId="0" borderId="1" xfId="0" applyFont="1" applyAlignment="1">
      <alignment horizontal="left" vertical="top" indent="2"/>
    </xf>
    <xf numFmtId="0" fontId="22" fillId="0" borderId="1" xfId="0" applyFont="1" applyAlignment="1">
      <alignment horizontal="left" vertical="top" indent="1"/>
    </xf>
    <xf numFmtId="0" fontId="22" fillId="0" borderId="6" xfId="0" applyFont="1" applyBorder="1" applyAlignment="1">
      <alignment horizontal="left" vertical="top" indent="1"/>
    </xf>
    <xf numFmtId="49" fontId="21" fillId="4" borderId="0" xfId="0" applyNumberFormat="1" applyFont="1" applyFill="1" applyBorder="1" applyAlignment="1">
      <alignment horizontal="center" vertical="top"/>
    </xf>
    <xf numFmtId="49" fontId="22" fillId="4" borderId="0" xfId="0" applyNumberFormat="1" applyFont="1" applyFill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5" fillId="0" borderId="1" xfId="0" applyFont="1"/>
    <xf numFmtId="0" fontId="23" fillId="0" borderId="0" xfId="0" applyFont="1" applyBorder="1" applyAlignment="1">
      <alignment horizontal="left" vertical="top" indent="3"/>
    </xf>
    <xf numFmtId="0" fontId="5" fillId="0" borderId="1" xfId="0" applyFont="1" applyAlignment="1">
      <alignment horizontal="left" vertical="top" indent="2"/>
    </xf>
    <xf numFmtId="0" fontId="17" fillId="0" borderId="1" xfId="0" applyFont="1" applyAlignment="1">
      <alignment horizontal="left" vertical="top" indent="2"/>
    </xf>
    <xf numFmtId="0" fontId="19" fillId="0" borderId="1" xfId="0" applyFont="1" applyAlignment="1">
      <alignment vertical="top"/>
    </xf>
    <xf numFmtId="0" fontId="25" fillId="0" borderId="1" xfId="0" applyFont="1" applyAlignment="1">
      <alignment vertical="top"/>
    </xf>
    <xf numFmtId="49" fontId="21" fillId="4" borderId="1" xfId="0" applyNumberFormat="1" applyFont="1" applyFill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0" fontId="21" fillId="0" borderId="1" xfId="0" applyFont="1" applyAlignment="1">
      <alignment horizontal="left" vertical="top" indent="1"/>
    </xf>
    <xf numFmtId="0" fontId="22" fillId="0" borderId="1" xfId="0" applyFont="1" applyAlignment="1">
      <alignment vertical="top"/>
    </xf>
    <xf numFmtId="0" fontId="21" fillId="0" borderId="1" xfId="0" applyFont="1" applyAlignment="1">
      <alignment horizontal="left" vertical="top" indent="3"/>
    </xf>
    <xf numFmtId="0" fontId="19" fillId="0" borderId="1" xfId="1" applyFont="1" applyAlignment="1">
      <alignment vertical="top"/>
    </xf>
    <xf numFmtId="0" fontId="20" fillId="0" borderId="1" xfId="1" applyFont="1" applyAlignment="1">
      <alignment vertical="top"/>
    </xf>
    <xf numFmtId="0" fontId="5" fillId="0" borderId="1" xfId="1" applyFont="1" applyAlignment="1">
      <alignment horizontal="left" vertical="top" indent="2"/>
    </xf>
    <xf numFmtId="168" fontId="5" fillId="4" borderId="1" xfId="1" applyNumberFormat="1" applyFont="1" applyFill="1" applyAlignment="1">
      <alignment vertical="top"/>
    </xf>
    <xf numFmtId="168" fontId="5" fillId="0" borderId="1" xfId="1" applyNumberFormat="1" applyFont="1" applyAlignment="1">
      <alignment vertical="top"/>
    </xf>
    <xf numFmtId="164" fontId="5" fillId="0" borderId="1" xfId="1" applyNumberFormat="1" applyFont="1" applyAlignment="1">
      <alignment vertical="top"/>
    </xf>
    <xf numFmtId="169" fontId="5" fillId="0" borderId="1" xfId="1" applyNumberFormat="1" applyFont="1" applyAlignment="1">
      <alignment vertical="top"/>
    </xf>
    <xf numFmtId="49" fontId="21" fillId="0" borderId="4" xfId="1" applyNumberFormat="1" applyFont="1" applyBorder="1" applyAlignment="1">
      <alignment horizontal="center" vertical="top"/>
    </xf>
    <xf numFmtId="0" fontId="25" fillId="0" borderId="1" xfId="1" applyFont="1" applyAlignment="1">
      <alignment vertical="top"/>
    </xf>
    <xf numFmtId="0" fontId="5" fillId="0" borderId="1" xfId="1" applyFont="1"/>
    <xf numFmtId="49" fontId="21" fillId="4" borderId="4" xfId="1" applyNumberFormat="1" applyFont="1" applyFill="1" applyBorder="1" applyAlignment="1">
      <alignment horizontal="center" vertical="top"/>
    </xf>
    <xf numFmtId="164" fontId="16" fillId="5" borderId="20" xfId="1" applyNumberFormat="1" applyFont="1" applyFill="1" applyBorder="1" applyAlignment="1">
      <alignment vertical="top"/>
    </xf>
    <xf numFmtId="0" fontId="5" fillId="0" borderId="1" xfId="1" applyFont="1" applyAlignment="1">
      <alignment horizontal="left" vertical="top" indent="1"/>
    </xf>
    <xf numFmtId="0" fontId="26" fillId="5" borderId="11" xfId="1" applyFont="1" applyFill="1" applyBorder="1" applyAlignment="1">
      <alignment horizontal="left" vertical="top" indent="1"/>
    </xf>
    <xf numFmtId="0" fontId="13" fillId="0" borderId="12" xfId="0" applyFont="1" applyBorder="1"/>
    <xf numFmtId="0" fontId="13" fillId="0" borderId="2" xfId="0" applyFont="1" applyBorder="1" applyAlignment="1">
      <alignment vertical="top"/>
    </xf>
    <xf numFmtId="167" fontId="3" fillId="0" borderId="1" xfId="1" applyNumberFormat="1" applyFont="1"/>
    <xf numFmtId="0" fontId="24" fillId="0" borderId="16" xfId="0" applyFont="1" applyBorder="1" applyAlignment="1">
      <alignment horizontal="left" vertical="top" indent="3"/>
    </xf>
    <xf numFmtId="0" fontId="16" fillId="0" borderId="16" xfId="0" applyFont="1" applyBorder="1"/>
    <xf numFmtId="0" fontId="9" fillId="0" borderId="16" xfId="0" applyFont="1" applyBorder="1"/>
    <xf numFmtId="167" fontId="16" fillId="0" borderId="16" xfId="0" applyNumberFormat="1" applyFont="1" applyBorder="1" applyAlignment="1">
      <alignment vertical="top"/>
    </xf>
    <xf numFmtId="0" fontId="26" fillId="0" borderId="7" xfId="0" applyFont="1" applyBorder="1" applyAlignment="1">
      <alignment vertical="top"/>
    </xf>
    <xf numFmtId="164" fontId="16" fillId="0" borderId="7" xfId="0" applyNumberFormat="1" applyFont="1" applyBorder="1" applyAlignment="1">
      <alignment vertical="top"/>
    </xf>
    <xf numFmtId="0" fontId="26" fillId="0" borderId="11" xfId="0" applyFont="1" applyBorder="1" applyAlignment="1">
      <alignment vertical="top"/>
    </xf>
    <xf numFmtId="164" fontId="16" fillId="0" borderId="11" xfId="0" applyNumberFormat="1" applyFont="1" applyBorder="1" applyAlignment="1">
      <alignment vertical="top"/>
    </xf>
    <xf numFmtId="0" fontId="26" fillId="0" borderId="16" xfId="0" applyFont="1" applyBorder="1" applyAlignment="1">
      <alignment vertical="top"/>
    </xf>
    <xf numFmtId="164" fontId="16" fillId="0" borderId="16" xfId="0" applyNumberFormat="1" applyFont="1" applyBorder="1" applyAlignment="1">
      <alignment vertical="top"/>
    </xf>
    <xf numFmtId="0" fontId="20" fillId="0" borderId="16" xfId="0" applyFont="1" applyBorder="1" applyAlignment="1">
      <alignment horizontal="left" vertical="top" indent="2"/>
    </xf>
    <xf numFmtId="168" fontId="16" fillId="0" borderId="11" xfId="0" applyNumberFormat="1" applyFont="1" applyBorder="1" applyAlignment="1">
      <alignment vertical="top"/>
    </xf>
    <xf numFmtId="0" fontId="26" fillId="0" borderId="7" xfId="0" applyFont="1" applyBorder="1" applyAlignment="1">
      <alignment horizontal="left" vertical="top" indent="1"/>
    </xf>
    <xf numFmtId="0" fontId="26" fillId="0" borderId="11" xfId="0" applyFont="1" applyBorder="1" applyAlignment="1">
      <alignment horizontal="left" vertical="top" indent="2"/>
    </xf>
    <xf numFmtId="0" fontId="26" fillId="0" borderId="20" xfId="0" applyFont="1" applyBorder="1" applyAlignment="1">
      <alignment vertical="top"/>
    </xf>
    <xf numFmtId="164" fontId="16" fillId="0" borderId="20" xfId="0" applyNumberFormat="1" applyFont="1" applyBorder="1" applyAlignment="1">
      <alignment vertical="top"/>
    </xf>
    <xf numFmtId="164" fontId="14" fillId="0" borderId="11" xfId="0" applyNumberFormat="1" applyFont="1" applyBorder="1" applyAlignment="1">
      <alignment vertical="top"/>
    </xf>
    <xf numFmtId="164" fontId="14" fillId="0" borderId="7" xfId="0" applyNumberFormat="1" applyFont="1" applyBorder="1" applyAlignment="1">
      <alignment vertical="top"/>
    </xf>
    <xf numFmtId="0" fontId="20" fillId="0" borderId="7" xfId="0" applyFont="1" applyBorder="1" applyAlignment="1">
      <alignment horizontal="left" vertical="top" indent="2"/>
    </xf>
    <xf numFmtId="167" fontId="16" fillId="0" borderId="7" xfId="0" applyNumberFormat="1" applyFont="1" applyBorder="1" applyAlignment="1">
      <alignment vertical="top"/>
    </xf>
    <xf numFmtId="0" fontId="26" fillId="0" borderId="11" xfId="1" applyFont="1" applyBorder="1" applyAlignment="1">
      <alignment horizontal="left" vertical="top" indent="2"/>
    </xf>
    <xf numFmtId="0" fontId="9" fillId="0" borderId="11" xfId="1" applyFont="1" applyBorder="1"/>
    <xf numFmtId="164" fontId="16" fillId="0" borderId="11" xfId="1" applyNumberFormat="1" applyFont="1" applyBorder="1" applyAlignment="1">
      <alignment vertical="top"/>
    </xf>
    <xf numFmtId="0" fontId="26" fillId="0" borderId="16" xfId="1" applyFont="1" applyBorder="1" applyAlignment="1">
      <alignment horizontal="left" vertical="top" indent="1"/>
    </xf>
    <xf numFmtId="0" fontId="14" fillId="0" borderId="16" xfId="1" applyFont="1" applyBorder="1" applyAlignment="1">
      <alignment vertical="top"/>
    </xf>
    <xf numFmtId="164" fontId="16" fillId="0" borderId="16" xfId="1" applyNumberFormat="1" applyFont="1" applyBorder="1" applyAlignment="1">
      <alignment vertical="top"/>
    </xf>
    <xf numFmtId="0" fontId="9" fillId="0" borderId="16" xfId="1" applyFont="1" applyBorder="1"/>
    <xf numFmtId="0" fontId="26" fillId="0" borderId="19" xfId="1" applyFont="1" applyBorder="1" applyAlignment="1">
      <alignment vertical="top"/>
    </xf>
    <xf numFmtId="0" fontId="14" fillId="0" borderId="19" xfId="1" applyFont="1" applyBorder="1" applyAlignment="1">
      <alignment vertical="top"/>
    </xf>
    <xf numFmtId="164" fontId="16" fillId="0" borderId="19" xfId="1" applyNumberFormat="1" applyFont="1" applyBorder="1" applyAlignment="1">
      <alignment vertical="top"/>
    </xf>
    <xf numFmtId="0" fontId="16" fillId="0" borderId="11" xfId="1" applyFont="1" applyBorder="1"/>
    <xf numFmtId="164" fontId="18" fillId="0" borderId="11" xfId="1" applyNumberFormat="1" applyFont="1" applyBorder="1" applyAlignment="1">
      <alignment vertical="top"/>
    </xf>
    <xf numFmtId="0" fontId="26" fillId="0" borderId="7" xfId="1" applyFont="1" applyBorder="1" applyAlignment="1">
      <alignment vertical="top"/>
    </xf>
    <xf numFmtId="0" fontId="14" fillId="0" borderId="7" xfId="1" applyFont="1" applyBorder="1" applyAlignment="1">
      <alignment vertical="top"/>
    </xf>
    <xf numFmtId="0" fontId="26" fillId="0" borderId="11" xfId="1" applyFont="1" applyBorder="1" applyAlignment="1">
      <alignment vertical="top"/>
    </xf>
    <xf numFmtId="0" fontId="26" fillId="0" borderId="20" xfId="1" applyFont="1" applyBorder="1" applyAlignment="1">
      <alignment vertical="top"/>
    </xf>
    <xf numFmtId="0" fontId="14" fillId="0" borderId="20" xfId="1" applyFont="1" applyBorder="1" applyAlignment="1">
      <alignment vertical="top"/>
    </xf>
    <xf numFmtId="0" fontId="26" fillId="0" borderId="11" xfId="1" applyFont="1" applyBorder="1" applyAlignment="1">
      <alignment horizontal="left" vertical="top" indent="1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sheetPr>
    <tabColor rgb="FF1F3864"/>
  </sheetPr>
  <dimension ref="B2:M100"/>
  <sheetViews>
    <sheetView showGridLines="0" tabSelected="1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3" ht="15" customHeight="1" x14ac:dyDescent="0.3">
      <c r="B2" s="63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ht="15" customHeight="1" x14ac:dyDescent="0.3">
      <c r="B3" s="64" t="s">
        <v>240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3" ht="15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2:13" ht="15" customHeight="1" x14ac:dyDescent="0.3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93"/>
      <c r="M5" s="93"/>
    </row>
    <row r="6" spans="2:13" ht="15" customHeight="1" x14ac:dyDescent="0.3">
      <c r="B6" s="15" t="s">
        <v>2</v>
      </c>
      <c r="C6" s="16"/>
      <c r="D6" s="17" t="s">
        <v>3</v>
      </c>
      <c r="E6" s="16"/>
      <c r="F6" s="16"/>
      <c r="G6" s="16"/>
      <c r="H6" s="16"/>
      <c r="I6" s="16"/>
      <c r="J6" s="16"/>
      <c r="K6" s="16"/>
      <c r="L6" s="10"/>
      <c r="M6" s="10"/>
    </row>
    <row r="7" spans="2:13" ht="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2:13" ht="15" customHeight="1" x14ac:dyDescent="0.3">
      <c r="B8" s="19" t="s">
        <v>4</v>
      </c>
      <c r="C8" s="19"/>
      <c r="D8" s="19"/>
      <c r="E8" s="19"/>
      <c r="F8" s="20"/>
      <c r="G8" s="19" t="s">
        <v>5</v>
      </c>
      <c r="H8" s="19"/>
      <c r="I8" s="19"/>
      <c r="J8" s="19"/>
      <c r="K8" s="19"/>
      <c r="L8" s="10"/>
      <c r="M8" s="10"/>
    </row>
    <row r="9" spans="2:13" ht="15" customHeight="1" x14ac:dyDescent="0.3">
      <c r="B9" s="10"/>
      <c r="C9" s="10"/>
      <c r="D9" s="65">
        <v>2021</v>
      </c>
      <c r="E9" s="65">
        <v>2022</v>
      </c>
      <c r="F9" s="65">
        <v>2023</v>
      </c>
      <c r="G9" s="65">
        <v>2024</v>
      </c>
      <c r="H9" s="65">
        <v>2025</v>
      </c>
      <c r="I9" s="65">
        <v>2026</v>
      </c>
      <c r="J9" s="65">
        <v>2027</v>
      </c>
      <c r="K9" s="65">
        <v>2028</v>
      </c>
      <c r="L9" s="10"/>
      <c r="M9" s="10"/>
    </row>
    <row r="10" spans="2:13" ht="15" customHeight="1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94"/>
      <c r="M11" s="94"/>
    </row>
    <row r="12" spans="2:13" ht="15" customHeight="1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2:13" ht="15" customHeight="1" x14ac:dyDescent="0.3">
      <c r="B13" s="11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0"/>
      <c r="M13" s="10"/>
    </row>
    <row r="14" spans="2:13" ht="15" customHeight="1" x14ac:dyDescent="0.3">
      <c r="B14" s="10"/>
      <c r="C14" s="66" t="s">
        <v>8</v>
      </c>
      <c r="D14" s="67">
        <v>2021</v>
      </c>
      <c r="E14" s="67">
        <v>2022</v>
      </c>
      <c r="F14" s="67">
        <v>2023</v>
      </c>
      <c r="G14" s="67">
        <v>2024</v>
      </c>
      <c r="H14" s="67">
        <v>2025</v>
      </c>
      <c r="I14" s="67">
        <v>2026</v>
      </c>
      <c r="J14" s="67">
        <v>2027</v>
      </c>
      <c r="K14" s="67">
        <v>2028</v>
      </c>
      <c r="L14" s="10"/>
      <c r="M14" s="10"/>
    </row>
    <row r="15" spans="2:13" ht="15.75" customHeight="1" x14ac:dyDescent="0.3">
      <c r="B15" s="68" t="s">
        <v>9</v>
      </c>
      <c r="C15" s="69" t="s">
        <v>3</v>
      </c>
      <c r="D15" s="10"/>
      <c r="E15" s="10"/>
      <c r="F15" s="10"/>
      <c r="G15" s="23">
        <v>8.5000000000000006E-2</v>
      </c>
      <c r="H15" s="23">
        <v>7.4999999999999997E-2</v>
      </c>
      <c r="I15" s="23">
        <v>6.5000000000000002E-2</v>
      </c>
      <c r="J15" s="23">
        <v>5.5E-2</v>
      </c>
      <c r="K15" s="23">
        <v>0.05</v>
      </c>
      <c r="L15" s="10"/>
      <c r="M15" s="10"/>
    </row>
    <row r="16" spans="2:13" ht="15.75" customHeight="1" x14ac:dyDescent="0.3">
      <c r="B16" s="10"/>
      <c r="C16" s="69" t="s">
        <v>10</v>
      </c>
      <c r="D16" s="10"/>
      <c r="E16" s="10"/>
      <c r="F16" s="10"/>
      <c r="G16" s="23">
        <v>0.105</v>
      </c>
      <c r="H16" s="23">
        <v>9.5000000000000001E-2</v>
      </c>
      <c r="I16" s="23">
        <v>8.5000000000000006E-2</v>
      </c>
      <c r="J16" s="23">
        <v>7.4999999999999997E-2</v>
      </c>
      <c r="K16" s="23">
        <v>7.0000000000000007E-2</v>
      </c>
      <c r="L16" s="10"/>
      <c r="M16" s="10"/>
    </row>
    <row r="17" spans="2:13" ht="15.75" customHeight="1" x14ac:dyDescent="0.3">
      <c r="B17" s="10"/>
      <c r="C17" s="69" t="s">
        <v>11</v>
      </c>
      <c r="D17" s="10"/>
      <c r="E17" s="10"/>
      <c r="F17" s="10"/>
      <c r="G17" s="23">
        <v>0.06</v>
      </c>
      <c r="H17" s="23">
        <v>0.05</v>
      </c>
      <c r="I17" s="23">
        <v>0.04</v>
      </c>
      <c r="J17" s="23">
        <v>3.5000000000000003E-2</v>
      </c>
      <c r="K17" s="23">
        <v>0.03</v>
      </c>
      <c r="L17" s="10"/>
      <c r="M17" s="10"/>
    </row>
    <row r="18" spans="2:13" ht="15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3" ht="15.75" customHeight="1" x14ac:dyDescent="0.3">
      <c r="B19" s="68" t="s">
        <v>12</v>
      </c>
      <c r="C19" s="69" t="s">
        <v>3</v>
      </c>
      <c r="D19" s="10"/>
      <c r="E19" s="10"/>
      <c r="F19" s="10"/>
      <c r="G19" s="23">
        <v>0.15</v>
      </c>
      <c r="H19" s="23">
        <v>0.13</v>
      </c>
      <c r="I19" s="23">
        <v>0.11</v>
      </c>
      <c r="J19" s="23">
        <v>0.1</v>
      </c>
      <c r="K19" s="23">
        <v>0.09</v>
      </c>
      <c r="L19" s="10"/>
      <c r="M19" s="10"/>
    </row>
    <row r="20" spans="2:13" ht="15.75" customHeight="1" x14ac:dyDescent="0.3">
      <c r="B20" s="10"/>
      <c r="C20" s="69" t="s">
        <v>10</v>
      </c>
      <c r="D20" s="10"/>
      <c r="E20" s="10"/>
      <c r="F20" s="10"/>
      <c r="G20" s="23">
        <v>0.18</v>
      </c>
      <c r="H20" s="23">
        <v>0.16</v>
      </c>
      <c r="I20" s="23">
        <v>0.14000000000000001</v>
      </c>
      <c r="J20" s="23">
        <v>0.12</v>
      </c>
      <c r="K20" s="23">
        <v>0.11</v>
      </c>
      <c r="L20" s="10"/>
      <c r="M20" s="10"/>
    </row>
    <row r="21" spans="2:13" ht="15.75" customHeight="1" x14ac:dyDescent="0.3">
      <c r="B21" s="10"/>
      <c r="C21" s="69" t="s">
        <v>11</v>
      </c>
      <c r="D21" s="10"/>
      <c r="E21" s="10"/>
      <c r="F21" s="10"/>
      <c r="G21" s="23">
        <v>0.12</v>
      </c>
      <c r="H21" s="23">
        <v>0.1</v>
      </c>
      <c r="I21" s="23">
        <v>0.08</v>
      </c>
      <c r="J21" s="23">
        <v>7.0000000000000007E-2</v>
      </c>
      <c r="K21" s="23">
        <v>0.06</v>
      </c>
      <c r="L21" s="10"/>
      <c r="M21" s="10"/>
    </row>
    <row r="22" spans="2:13" ht="15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ht="15.75" customHeight="1" x14ac:dyDescent="0.3">
      <c r="B23" s="68" t="s">
        <v>13</v>
      </c>
      <c r="C23" s="69" t="s">
        <v>3</v>
      </c>
      <c r="D23" s="10"/>
      <c r="E23" s="10"/>
      <c r="F23" s="10"/>
      <c r="G23" s="23">
        <v>0.28000000000000003</v>
      </c>
      <c r="H23" s="23">
        <v>0.25</v>
      </c>
      <c r="I23" s="23">
        <v>0.22</v>
      </c>
      <c r="J23" s="23">
        <v>0.2</v>
      </c>
      <c r="K23" s="23">
        <v>0.18</v>
      </c>
      <c r="L23" s="10"/>
      <c r="M23" s="10"/>
    </row>
    <row r="24" spans="2:13" ht="15.75" customHeight="1" x14ac:dyDescent="0.3">
      <c r="B24" s="10"/>
      <c r="C24" s="69" t="s">
        <v>10</v>
      </c>
      <c r="D24" s="10"/>
      <c r="E24" s="10"/>
      <c r="F24" s="10"/>
      <c r="G24" s="23">
        <v>0.32</v>
      </c>
      <c r="H24" s="23">
        <v>0.3</v>
      </c>
      <c r="I24" s="23">
        <v>0.27</v>
      </c>
      <c r="J24" s="23">
        <v>0.24</v>
      </c>
      <c r="K24" s="23">
        <v>0.22</v>
      </c>
      <c r="L24" s="10"/>
      <c r="M24" s="10"/>
    </row>
    <row r="25" spans="2:13" ht="15.75" customHeight="1" x14ac:dyDescent="0.3">
      <c r="B25" s="10"/>
      <c r="C25" s="69" t="s">
        <v>11</v>
      </c>
      <c r="D25" s="10"/>
      <c r="E25" s="10"/>
      <c r="F25" s="10"/>
      <c r="G25" s="23">
        <v>0.24</v>
      </c>
      <c r="H25" s="23">
        <v>0.2</v>
      </c>
      <c r="I25" s="23">
        <v>0.17</v>
      </c>
      <c r="J25" s="23">
        <v>0.15</v>
      </c>
      <c r="K25" s="23">
        <v>0.14000000000000001</v>
      </c>
      <c r="L25" s="10"/>
      <c r="M25" s="10"/>
    </row>
    <row r="26" spans="2:13" ht="15" customHeight="1" x14ac:dyDescent="0.3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2:13" ht="15.75" customHeight="1" x14ac:dyDescent="0.3">
      <c r="B27" s="68" t="s">
        <v>14</v>
      </c>
      <c r="C27" s="69" t="s">
        <v>3</v>
      </c>
      <c r="D27" s="10"/>
      <c r="E27" s="10"/>
      <c r="F27" s="10"/>
      <c r="G27" s="23">
        <v>0.05</v>
      </c>
      <c r="H27" s="23">
        <v>4.4999999999999998E-2</v>
      </c>
      <c r="I27" s="23">
        <v>0.04</v>
      </c>
      <c r="J27" s="23">
        <v>3.5000000000000003E-2</v>
      </c>
      <c r="K27" s="23">
        <v>0.03</v>
      </c>
      <c r="L27" s="10"/>
      <c r="M27" s="10"/>
    </row>
    <row r="28" spans="2:13" ht="15.75" customHeight="1" x14ac:dyDescent="0.3">
      <c r="B28" s="10"/>
      <c r="C28" s="69" t="s">
        <v>10</v>
      </c>
      <c r="D28" s="10"/>
      <c r="E28" s="10"/>
      <c r="F28" s="10"/>
      <c r="G28" s="23">
        <v>7.0000000000000007E-2</v>
      </c>
      <c r="H28" s="23">
        <v>0.06</v>
      </c>
      <c r="I28" s="23">
        <v>5.5E-2</v>
      </c>
      <c r="J28" s="23">
        <v>0.05</v>
      </c>
      <c r="K28" s="23">
        <v>4.4999999999999998E-2</v>
      </c>
      <c r="L28" s="10"/>
      <c r="M28" s="10"/>
    </row>
    <row r="29" spans="2:13" ht="15.75" customHeight="1" x14ac:dyDescent="0.3">
      <c r="B29" s="10"/>
      <c r="C29" s="69" t="s">
        <v>11</v>
      </c>
      <c r="D29" s="10"/>
      <c r="E29" s="10"/>
      <c r="F29" s="10"/>
      <c r="G29" s="23">
        <v>0.03</v>
      </c>
      <c r="H29" s="23">
        <v>2.5000000000000001E-2</v>
      </c>
      <c r="I29" s="23">
        <v>0.02</v>
      </c>
      <c r="J29" s="23">
        <v>1.4999999999999999E-2</v>
      </c>
      <c r="K29" s="23">
        <v>0.01</v>
      </c>
      <c r="L29" s="10"/>
      <c r="M29" s="10"/>
    </row>
    <row r="30" spans="2:13" ht="15" customHeight="1" x14ac:dyDescent="0.3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15" customHeight="1" x14ac:dyDescent="0.3">
      <c r="B31" s="21" t="s">
        <v>15</v>
      </c>
      <c r="C31" s="21"/>
      <c r="D31" s="21"/>
      <c r="E31" s="21"/>
      <c r="F31" s="21"/>
      <c r="G31" s="21"/>
      <c r="H31" s="21"/>
      <c r="I31" s="21"/>
      <c r="J31" s="21"/>
      <c r="K31" s="21"/>
      <c r="L31" s="94"/>
      <c r="M31" s="94"/>
    </row>
    <row r="32" spans="2:13" ht="15" customHeight="1" x14ac:dyDescent="0.3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ht="15" customHeight="1" x14ac:dyDescent="0.3">
      <c r="B33" s="11" t="s">
        <v>16</v>
      </c>
      <c r="C33" s="12"/>
      <c r="D33" s="12"/>
      <c r="E33" s="12"/>
      <c r="F33" s="12"/>
      <c r="G33" s="12"/>
      <c r="H33" s="12"/>
      <c r="I33" s="12"/>
      <c r="J33" s="12"/>
      <c r="K33" s="12"/>
      <c r="L33" s="10"/>
      <c r="M33" s="10"/>
    </row>
    <row r="34" spans="2:13" ht="15" customHeigh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ht="15.75" customHeight="1" x14ac:dyDescent="0.3">
      <c r="B35" s="68" t="s">
        <v>17</v>
      </c>
      <c r="C35" s="69" t="s">
        <v>3</v>
      </c>
      <c r="D35" s="23">
        <v>0.151</v>
      </c>
      <c r="E35" s="23">
        <v>0.14800000000000002</v>
      </c>
      <c r="F35" s="23">
        <v>0.14499999999999999</v>
      </c>
      <c r="G35" s="23">
        <v>0.14300000000000002</v>
      </c>
      <c r="H35" s="23">
        <v>0.14000000000000001</v>
      </c>
      <c r="I35" s="23">
        <v>0.13800000000000001</v>
      </c>
      <c r="J35" s="23">
        <v>0.13500000000000001</v>
      </c>
      <c r="K35" s="23">
        <v>0.13300000000000001</v>
      </c>
      <c r="L35" s="10"/>
      <c r="M35" s="10"/>
    </row>
    <row r="36" spans="2:13" ht="15.75" customHeight="1" x14ac:dyDescent="0.3">
      <c r="B36" s="10"/>
      <c r="C36" s="69" t="s">
        <v>10</v>
      </c>
      <c r="D36" s="23">
        <v>0.151</v>
      </c>
      <c r="E36" s="23">
        <v>0.14800000000000002</v>
      </c>
      <c r="F36" s="23">
        <v>0.14499999999999999</v>
      </c>
      <c r="G36" s="23">
        <v>0.13800000000000001</v>
      </c>
      <c r="H36" s="23">
        <v>0.13500000000000001</v>
      </c>
      <c r="I36" s="23">
        <v>0.13200000000000001</v>
      </c>
      <c r="J36" s="23">
        <v>0.13</v>
      </c>
      <c r="K36" s="23">
        <v>0.128</v>
      </c>
      <c r="L36" s="10"/>
      <c r="M36" s="10"/>
    </row>
    <row r="37" spans="2:13" ht="15.75" customHeight="1" x14ac:dyDescent="0.3">
      <c r="B37" s="10"/>
      <c r="C37" s="69" t="s">
        <v>11</v>
      </c>
      <c r="D37" s="23">
        <v>0.151</v>
      </c>
      <c r="E37" s="23">
        <v>0.14800000000000002</v>
      </c>
      <c r="F37" s="23">
        <v>0.14499999999999999</v>
      </c>
      <c r="G37" s="23">
        <v>0.14800000000000002</v>
      </c>
      <c r="H37" s="23">
        <v>0.14499999999999999</v>
      </c>
      <c r="I37" s="23">
        <v>0.14300000000000002</v>
      </c>
      <c r="J37" s="23">
        <v>0.14000000000000001</v>
      </c>
      <c r="K37" s="23">
        <v>0.13800000000000001</v>
      </c>
      <c r="L37" s="10"/>
      <c r="M37" s="10"/>
    </row>
    <row r="38" spans="2:13" ht="15" customHeight="1" x14ac:dyDescent="0.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ht="15.75" customHeight="1" x14ac:dyDescent="0.3">
      <c r="B39" s="68" t="s">
        <v>18</v>
      </c>
      <c r="C39" s="69" t="s">
        <v>3</v>
      </c>
      <c r="D39" s="23">
        <v>0.115</v>
      </c>
      <c r="E39" s="23">
        <v>0.11199999999999999</v>
      </c>
      <c r="F39" s="23">
        <v>0.10800000000000001</v>
      </c>
      <c r="G39" s="23">
        <v>0.105</v>
      </c>
      <c r="H39" s="23">
        <v>0.10300000000000001</v>
      </c>
      <c r="I39" s="23">
        <v>0.1</v>
      </c>
      <c r="J39" s="23">
        <v>9.8000000000000004E-2</v>
      </c>
      <c r="K39" s="23">
        <v>9.5000000000000001E-2</v>
      </c>
      <c r="L39" s="10"/>
      <c r="M39" s="10"/>
    </row>
    <row r="40" spans="2:13" ht="15.75" customHeight="1" x14ac:dyDescent="0.3">
      <c r="B40" s="10"/>
      <c r="C40" s="69" t="s">
        <v>10</v>
      </c>
      <c r="D40" s="23">
        <v>0.115</v>
      </c>
      <c r="E40" s="23">
        <v>0.11199999999999999</v>
      </c>
      <c r="F40" s="23">
        <v>0.10800000000000001</v>
      </c>
      <c r="G40" s="23">
        <v>0.10199999999999999</v>
      </c>
      <c r="H40" s="23">
        <v>0.1</v>
      </c>
      <c r="I40" s="23">
        <v>9.6999999999999989E-2</v>
      </c>
      <c r="J40" s="23">
        <v>9.5000000000000001E-2</v>
      </c>
      <c r="K40" s="23">
        <v>9.1999999999999998E-2</v>
      </c>
      <c r="L40" s="10"/>
      <c r="M40" s="10"/>
    </row>
    <row r="41" spans="2:13" ht="15.75" customHeight="1" x14ac:dyDescent="0.3">
      <c r="B41" s="10"/>
      <c r="C41" s="69" t="s">
        <v>11</v>
      </c>
      <c r="D41" s="23">
        <v>0.115</v>
      </c>
      <c r="E41" s="23">
        <v>0.11199999999999999</v>
      </c>
      <c r="F41" s="23">
        <v>0.10800000000000001</v>
      </c>
      <c r="G41" s="23">
        <v>0.10800000000000001</v>
      </c>
      <c r="H41" s="23">
        <v>0.106</v>
      </c>
      <c r="I41" s="23">
        <v>0.10300000000000001</v>
      </c>
      <c r="J41" s="23">
        <v>0.10099999999999999</v>
      </c>
      <c r="K41" s="23">
        <v>9.8000000000000004E-2</v>
      </c>
      <c r="L41" s="10"/>
      <c r="M41" s="10"/>
    </row>
    <row r="42" spans="2:13" ht="15" customHeight="1" x14ac:dyDescent="0.3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2:13" ht="15.75" customHeight="1" x14ac:dyDescent="0.3">
      <c r="B43" s="68" t="s">
        <v>19</v>
      </c>
      <c r="C43" s="69" t="s">
        <v>3</v>
      </c>
      <c r="D43" s="23">
        <v>6.8000000000000005E-2</v>
      </c>
      <c r="E43" s="23">
        <v>6.5000000000000002E-2</v>
      </c>
      <c r="F43" s="23">
        <v>6.3E-2</v>
      </c>
      <c r="G43" s="23">
        <v>6.2E-2</v>
      </c>
      <c r="H43" s="23">
        <v>0.06</v>
      </c>
      <c r="I43" s="23">
        <v>5.7999999999999996E-2</v>
      </c>
      <c r="J43" s="23">
        <v>5.7000000000000002E-2</v>
      </c>
      <c r="K43" s="23">
        <v>5.5E-2</v>
      </c>
      <c r="L43" s="10"/>
      <c r="M43" s="10"/>
    </row>
    <row r="44" spans="2:13" ht="15.75" customHeight="1" x14ac:dyDescent="0.3">
      <c r="B44" s="10"/>
      <c r="C44" s="69" t="s">
        <v>10</v>
      </c>
      <c r="D44" s="23">
        <v>6.8000000000000005E-2</v>
      </c>
      <c r="E44" s="23">
        <v>6.5000000000000002E-2</v>
      </c>
      <c r="F44" s="23">
        <v>6.3E-2</v>
      </c>
      <c r="G44" s="23">
        <v>0.06</v>
      </c>
      <c r="H44" s="23">
        <v>5.7999999999999996E-2</v>
      </c>
      <c r="I44" s="23">
        <v>5.5999999999999994E-2</v>
      </c>
      <c r="J44" s="23">
        <v>5.5E-2</v>
      </c>
      <c r="K44" s="23">
        <v>5.2999999999999999E-2</v>
      </c>
      <c r="L44" s="10"/>
      <c r="M44" s="10"/>
    </row>
    <row r="45" spans="2:13" ht="15.75" customHeight="1" x14ac:dyDescent="0.3">
      <c r="B45" s="10"/>
      <c r="C45" s="69" t="s">
        <v>11</v>
      </c>
      <c r="D45" s="23">
        <v>6.8000000000000005E-2</v>
      </c>
      <c r="E45" s="23">
        <v>6.5000000000000002E-2</v>
      </c>
      <c r="F45" s="23">
        <v>6.3E-2</v>
      </c>
      <c r="G45" s="23">
        <v>6.4000000000000001E-2</v>
      </c>
      <c r="H45" s="23">
        <v>6.2E-2</v>
      </c>
      <c r="I45" s="23">
        <v>0.06</v>
      </c>
      <c r="J45" s="23">
        <v>5.9000000000000004E-2</v>
      </c>
      <c r="K45" s="23">
        <v>5.7000000000000002E-2</v>
      </c>
      <c r="L45" s="10"/>
      <c r="M45" s="10"/>
    </row>
    <row r="46" spans="2:13" ht="15" customHeight="1" x14ac:dyDescent="0.3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2:13" ht="15.75" customHeight="1" x14ac:dyDescent="0.3">
      <c r="B47" s="68" t="s">
        <v>20</v>
      </c>
      <c r="C47" s="69" t="s">
        <v>3</v>
      </c>
      <c r="D47" s="23">
        <v>9.1999999999999998E-2</v>
      </c>
      <c r="E47" s="23">
        <v>9.5000000000000001E-2</v>
      </c>
      <c r="F47" s="23">
        <v>9.8000000000000004E-2</v>
      </c>
      <c r="G47" s="23">
        <v>9.5000000000000001E-2</v>
      </c>
      <c r="H47" s="23">
        <v>9.3000000000000013E-2</v>
      </c>
      <c r="I47" s="23">
        <v>0.09</v>
      </c>
      <c r="J47" s="23">
        <v>8.8000000000000009E-2</v>
      </c>
      <c r="K47" s="23">
        <v>8.5000000000000006E-2</v>
      </c>
      <c r="L47" s="10"/>
      <c r="M47" s="10"/>
    </row>
    <row r="48" spans="2:13" ht="15.75" customHeight="1" x14ac:dyDescent="0.3">
      <c r="B48" s="10"/>
      <c r="C48" s="69" t="s">
        <v>10</v>
      </c>
      <c r="D48" s="23">
        <v>9.1999999999999998E-2</v>
      </c>
      <c r="E48" s="23">
        <v>9.5000000000000001E-2</v>
      </c>
      <c r="F48" s="23">
        <v>9.8000000000000004E-2</v>
      </c>
      <c r="G48" s="23">
        <v>9.1999999999999998E-2</v>
      </c>
      <c r="H48" s="23">
        <v>0.09</v>
      </c>
      <c r="I48" s="23">
        <v>8.6999999999999994E-2</v>
      </c>
      <c r="J48" s="23">
        <v>8.5000000000000006E-2</v>
      </c>
      <c r="K48" s="23">
        <v>8.199999999999999E-2</v>
      </c>
      <c r="L48" s="10"/>
      <c r="M48" s="10"/>
    </row>
    <row r="49" spans="2:13" ht="15.75" customHeight="1" x14ac:dyDescent="0.3">
      <c r="B49" s="10"/>
      <c r="C49" s="69" t="s">
        <v>11</v>
      </c>
      <c r="D49" s="23">
        <v>9.1999999999999998E-2</v>
      </c>
      <c r="E49" s="23">
        <v>9.5000000000000001E-2</v>
      </c>
      <c r="F49" s="23">
        <v>9.8000000000000004E-2</v>
      </c>
      <c r="G49" s="23">
        <v>9.8000000000000004E-2</v>
      </c>
      <c r="H49" s="23">
        <v>9.6000000000000002E-2</v>
      </c>
      <c r="I49" s="23">
        <v>9.3000000000000013E-2</v>
      </c>
      <c r="J49" s="23">
        <v>9.0999999999999998E-2</v>
      </c>
      <c r="K49" s="23">
        <v>8.8000000000000009E-2</v>
      </c>
      <c r="L49" s="10"/>
      <c r="M49" s="10"/>
    </row>
    <row r="50" spans="2:13" ht="15" customHeight="1" x14ac:dyDescent="0.3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2:13" ht="15" customHeight="1" x14ac:dyDescent="0.3">
      <c r="B51" s="21" t="s">
        <v>21</v>
      </c>
      <c r="C51" s="21"/>
      <c r="D51" s="21"/>
      <c r="E51" s="21"/>
      <c r="F51" s="21"/>
      <c r="G51" s="21"/>
      <c r="H51" s="21"/>
      <c r="I51" s="21"/>
      <c r="J51" s="21"/>
      <c r="K51" s="21"/>
      <c r="L51" s="94"/>
      <c r="M51" s="94"/>
    </row>
    <row r="52" spans="2:13" ht="15" customHeight="1" x14ac:dyDescent="0.3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2:13" ht="15" customHeight="1" x14ac:dyDescent="0.3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0"/>
      <c r="M53" s="10"/>
    </row>
    <row r="54" spans="2:13" ht="15" customHeight="1" x14ac:dyDescent="0.3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2:13" ht="15.75" customHeight="1" x14ac:dyDescent="0.3">
      <c r="B55" s="68" t="s">
        <v>23</v>
      </c>
      <c r="C55" s="69" t="s">
        <v>3</v>
      </c>
      <c r="D55" s="24">
        <v>48</v>
      </c>
      <c r="E55" s="24">
        <v>47</v>
      </c>
      <c r="F55" s="24">
        <v>46</v>
      </c>
      <c r="G55" s="24">
        <v>46</v>
      </c>
      <c r="H55" s="24">
        <v>45</v>
      </c>
      <c r="I55" s="24">
        <v>45</v>
      </c>
      <c r="J55" s="24">
        <v>44</v>
      </c>
      <c r="K55" s="24">
        <v>44</v>
      </c>
      <c r="L55" s="10"/>
      <c r="M55" s="10"/>
    </row>
    <row r="56" spans="2:13" ht="15.75" customHeight="1" x14ac:dyDescent="0.3">
      <c r="B56" s="10"/>
      <c r="C56" s="69" t="s">
        <v>10</v>
      </c>
      <c r="D56" s="24">
        <v>48</v>
      </c>
      <c r="E56" s="24">
        <v>47</v>
      </c>
      <c r="F56" s="24">
        <v>46</v>
      </c>
      <c r="G56" s="24">
        <v>45</v>
      </c>
      <c r="H56" s="24">
        <v>44</v>
      </c>
      <c r="I56" s="24">
        <v>43</v>
      </c>
      <c r="J56" s="24">
        <v>42</v>
      </c>
      <c r="K56" s="24">
        <v>42</v>
      </c>
      <c r="L56" s="10"/>
      <c r="M56" s="10"/>
    </row>
    <row r="57" spans="2:13" ht="15.75" customHeight="1" x14ac:dyDescent="0.3">
      <c r="B57" s="10"/>
      <c r="C57" s="69" t="s">
        <v>11</v>
      </c>
      <c r="D57" s="24">
        <v>48</v>
      </c>
      <c r="E57" s="24">
        <v>47</v>
      </c>
      <c r="F57" s="24">
        <v>46</v>
      </c>
      <c r="G57" s="24">
        <v>47</v>
      </c>
      <c r="H57" s="24">
        <v>47</v>
      </c>
      <c r="I57" s="24">
        <v>46</v>
      </c>
      <c r="J57" s="24">
        <v>46</v>
      </c>
      <c r="K57" s="24">
        <v>45</v>
      </c>
      <c r="L57" s="10"/>
      <c r="M57" s="10"/>
    </row>
    <row r="58" spans="2:13" ht="15" customHeight="1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2:13" ht="15.75" customHeight="1" x14ac:dyDescent="0.3">
      <c r="B59" s="68" t="s">
        <v>24</v>
      </c>
      <c r="C59" s="69" t="s">
        <v>3</v>
      </c>
      <c r="D59" s="24">
        <v>32</v>
      </c>
      <c r="E59" s="24">
        <v>33</v>
      </c>
      <c r="F59" s="24">
        <v>34</v>
      </c>
      <c r="G59" s="24">
        <v>34</v>
      </c>
      <c r="H59" s="24">
        <v>35</v>
      </c>
      <c r="I59" s="24">
        <v>35</v>
      </c>
      <c r="J59" s="24">
        <v>36</v>
      </c>
      <c r="K59" s="24">
        <v>36</v>
      </c>
      <c r="L59" s="10"/>
      <c r="M59" s="10"/>
    </row>
    <row r="60" spans="2:13" ht="15.75" customHeight="1" x14ac:dyDescent="0.3">
      <c r="B60" s="10"/>
      <c r="C60" s="69" t="s">
        <v>10</v>
      </c>
      <c r="D60" s="24">
        <v>32</v>
      </c>
      <c r="E60" s="24">
        <v>33</v>
      </c>
      <c r="F60" s="24">
        <v>34</v>
      </c>
      <c r="G60" s="24">
        <v>35</v>
      </c>
      <c r="H60" s="24">
        <v>36</v>
      </c>
      <c r="I60" s="24">
        <v>37</v>
      </c>
      <c r="J60" s="24">
        <v>38</v>
      </c>
      <c r="K60" s="24">
        <v>38</v>
      </c>
      <c r="L60" s="10"/>
      <c r="M60" s="10"/>
    </row>
    <row r="61" spans="2:13" ht="15.75" customHeight="1" x14ac:dyDescent="0.3">
      <c r="B61" s="10"/>
      <c r="C61" s="69" t="s">
        <v>11</v>
      </c>
      <c r="D61" s="24">
        <v>32</v>
      </c>
      <c r="E61" s="24">
        <v>33</v>
      </c>
      <c r="F61" s="24">
        <v>34</v>
      </c>
      <c r="G61" s="24">
        <v>33</v>
      </c>
      <c r="H61" s="24">
        <v>33</v>
      </c>
      <c r="I61" s="24">
        <v>34</v>
      </c>
      <c r="J61" s="24">
        <v>34</v>
      </c>
      <c r="K61" s="24">
        <v>34</v>
      </c>
      <c r="L61" s="10"/>
      <c r="M61" s="10"/>
    </row>
    <row r="62" spans="2:13" ht="15" customHeight="1" x14ac:dyDescent="0.3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2:13" ht="15" customHeight="1" x14ac:dyDescent="0.3">
      <c r="B63" s="70" t="s">
        <v>67</v>
      </c>
      <c r="C63" s="69" t="s">
        <v>107</v>
      </c>
      <c r="D63" s="10"/>
      <c r="E63" s="23">
        <v>5.8823529411764719E-2</v>
      </c>
      <c r="F63" s="23">
        <v>5.555555555555558E-2</v>
      </c>
      <c r="G63" s="23">
        <v>5.0000000000000044E-2</v>
      </c>
      <c r="H63" s="23">
        <v>5.0000000000000044E-2</v>
      </c>
      <c r="I63" s="23">
        <v>5.0000000000000044E-2</v>
      </c>
      <c r="J63" s="23">
        <v>5.0000000000000044E-2</v>
      </c>
      <c r="K63" s="23">
        <v>5.0000000000000044E-2</v>
      </c>
      <c r="L63" s="10"/>
      <c r="M63" s="10"/>
    </row>
    <row r="64" spans="2:13" ht="15" customHeight="1" x14ac:dyDescent="0.3">
      <c r="B64" s="70" t="s">
        <v>72</v>
      </c>
      <c r="C64" s="69" t="s">
        <v>107</v>
      </c>
      <c r="D64" s="10"/>
      <c r="E64" s="23">
        <v>8.5714285714285632E-2</v>
      </c>
      <c r="F64" s="23">
        <v>0.10526315789473695</v>
      </c>
      <c r="G64" s="23">
        <v>0.08</v>
      </c>
      <c r="H64" s="23">
        <v>0.08</v>
      </c>
      <c r="I64" s="23">
        <v>0.08</v>
      </c>
      <c r="J64" s="23">
        <v>0.08</v>
      </c>
      <c r="K64" s="23">
        <v>0.08</v>
      </c>
      <c r="L64" s="10"/>
      <c r="M64" s="10"/>
    </row>
    <row r="65" spans="2:13" ht="15" customHeight="1" x14ac:dyDescent="0.3">
      <c r="B65" s="71" t="str">
        <f>'Google Model'!$B$70</f>
        <v xml:space="preserve">  Accrued Expenses</v>
      </c>
      <c r="C65" s="69" t="s">
        <v>107</v>
      </c>
      <c r="D65" s="10"/>
      <c r="E65" s="23">
        <v>8.3333333333333259E-2</v>
      </c>
      <c r="F65" s="23">
        <v>7.6923076923076872E-2</v>
      </c>
      <c r="G65" s="23">
        <v>0.06</v>
      </c>
      <c r="H65" s="23">
        <v>0.06</v>
      </c>
      <c r="I65" s="23">
        <v>0.06</v>
      </c>
      <c r="J65" s="23">
        <v>0.06</v>
      </c>
      <c r="K65" s="23">
        <v>0.06</v>
      </c>
      <c r="L65" s="10"/>
      <c r="M65" s="10"/>
    </row>
    <row r="66" spans="2:13" ht="15" customHeight="1" x14ac:dyDescent="0.3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2:13" ht="15" customHeight="1" x14ac:dyDescent="0.3">
      <c r="B67" s="11" t="s">
        <v>25</v>
      </c>
      <c r="C67" s="12"/>
      <c r="D67" s="12"/>
      <c r="E67" s="12"/>
      <c r="F67" s="12"/>
      <c r="G67" s="12"/>
      <c r="H67" s="12"/>
      <c r="I67" s="12"/>
      <c r="J67" s="12"/>
      <c r="K67" s="12"/>
      <c r="L67" s="10"/>
      <c r="M67" s="10"/>
    </row>
    <row r="68" spans="2:13" ht="15" customHeight="1" x14ac:dyDescent="0.3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2:13" ht="15.75" customHeight="1" x14ac:dyDescent="0.3">
      <c r="B69" s="68" t="s">
        <v>26</v>
      </c>
      <c r="C69" s="69" t="s">
        <v>3</v>
      </c>
      <c r="D69" s="23">
        <v>0.125</v>
      </c>
      <c r="E69" s="23">
        <v>0.13200000000000001</v>
      </c>
      <c r="F69" s="23">
        <v>0.14000000000000001</v>
      </c>
      <c r="G69" s="23">
        <v>0.13500000000000001</v>
      </c>
      <c r="H69" s="23">
        <v>0.13</v>
      </c>
      <c r="I69" s="23">
        <v>0.125</v>
      </c>
      <c r="J69" s="23">
        <v>0.12</v>
      </c>
      <c r="K69" s="23">
        <v>0.115</v>
      </c>
      <c r="L69" s="10"/>
      <c r="M69" s="10"/>
    </row>
    <row r="70" spans="2:13" ht="15.75" customHeight="1" x14ac:dyDescent="0.3">
      <c r="B70" s="10"/>
      <c r="C70" s="69" t="s">
        <v>10</v>
      </c>
      <c r="D70" s="23">
        <v>0.125</v>
      </c>
      <c r="E70" s="23">
        <v>0.13200000000000001</v>
      </c>
      <c r="F70" s="23">
        <v>0.14000000000000001</v>
      </c>
      <c r="G70" s="23">
        <v>0.13</v>
      </c>
      <c r="H70" s="23">
        <v>0.125</v>
      </c>
      <c r="I70" s="23">
        <v>0.12</v>
      </c>
      <c r="J70" s="23">
        <v>0.115</v>
      </c>
      <c r="K70" s="23">
        <v>0.11</v>
      </c>
      <c r="L70" s="10"/>
      <c r="M70" s="10"/>
    </row>
    <row r="71" spans="2:13" ht="15.75" customHeight="1" x14ac:dyDescent="0.3">
      <c r="B71" s="10"/>
      <c r="C71" s="69" t="s">
        <v>11</v>
      </c>
      <c r="D71" s="23">
        <v>0.125</v>
      </c>
      <c r="E71" s="23">
        <v>0.13200000000000001</v>
      </c>
      <c r="F71" s="23">
        <v>0.14000000000000001</v>
      </c>
      <c r="G71" s="23">
        <v>0.14000000000000001</v>
      </c>
      <c r="H71" s="23">
        <v>0.13500000000000001</v>
      </c>
      <c r="I71" s="23">
        <v>0.13</v>
      </c>
      <c r="J71" s="23">
        <v>0.125</v>
      </c>
      <c r="K71" s="23">
        <v>0.12</v>
      </c>
      <c r="L71" s="10"/>
      <c r="M71" s="10"/>
    </row>
    <row r="72" spans="2:13" ht="15" customHeight="1" x14ac:dyDescent="0.3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2:13" ht="15.75" customHeight="1" x14ac:dyDescent="0.3">
      <c r="B73" s="68" t="s">
        <v>27</v>
      </c>
      <c r="C73" s="69" t="s">
        <v>3</v>
      </c>
      <c r="D73" s="23">
        <v>0.7</v>
      </c>
      <c r="E73" s="23">
        <v>0.7</v>
      </c>
      <c r="F73" s="23">
        <v>0.7</v>
      </c>
      <c r="G73" s="23">
        <v>0.7</v>
      </c>
      <c r="H73" s="23">
        <v>0.7</v>
      </c>
      <c r="I73" s="23">
        <v>0.7</v>
      </c>
      <c r="J73" s="23">
        <v>0.7</v>
      </c>
      <c r="K73" s="23">
        <v>0.7</v>
      </c>
      <c r="L73" s="10"/>
      <c r="M73" s="10"/>
    </row>
    <row r="74" spans="2:13" ht="15.75" customHeight="1" x14ac:dyDescent="0.3">
      <c r="B74" s="10"/>
      <c r="C74" s="69" t="s">
        <v>10</v>
      </c>
      <c r="D74" s="23">
        <v>0.7</v>
      </c>
      <c r="E74" s="23">
        <v>0.7</v>
      </c>
      <c r="F74" s="23">
        <v>0.7</v>
      </c>
      <c r="G74" s="23">
        <v>0.68</v>
      </c>
      <c r="H74" s="23">
        <v>0.68</v>
      </c>
      <c r="I74" s="23">
        <v>0.68</v>
      </c>
      <c r="J74" s="23">
        <v>0.68</v>
      </c>
      <c r="K74" s="23">
        <v>0.68</v>
      </c>
      <c r="L74" s="10"/>
      <c r="M74" s="10"/>
    </row>
    <row r="75" spans="2:13" ht="15.75" customHeight="1" x14ac:dyDescent="0.3">
      <c r="B75" s="10"/>
      <c r="C75" s="69" t="s">
        <v>11</v>
      </c>
      <c r="D75" s="23">
        <v>0.7</v>
      </c>
      <c r="E75" s="23">
        <v>0.7</v>
      </c>
      <c r="F75" s="23">
        <v>0.7</v>
      </c>
      <c r="G75" s="23">
        <v>0.72</v>
      </c>
      <c r="H75" s="23">
        <v>0.72</v>
      </c>
      <c r="I75" s="23">
        <v>0.72</v>
      </c>
      <c r="J75" s="23">
        <v>0.72</v>
      </c>
      <c r="K75" s="23">
        <v>0.72</v>
      </c>
      <c r="L75" s="10"/>
      <c r="M75" s="10"/>
    </row>
    <row r="76" spans="2:13" ht="15" customHeight="1" thickBo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2:13" ht="15" customHeight="1" x14ac:dyDescent="0.3">
      <c r="B77" s="21" t="s">
        <v>28</v>
      </c>
      <c r="C77" s="21"/>
      <c r="D77" s="21"/>
      <c r="E77" s="21"/>
      <c r="F77" s="21"/>
      <c r="G77" s="21"/>
      <c r="H77" s="21"/>
      <c r="I77" s="21"/>
      <c r="J77" s="21"/>
      <c r="K77" s="21"/>
      <c r="L77" s="94"/>
      <c r="M77" s="94"/>
    </row>
    <row r="78" spans="2:13" ht="15" customHeight="1" x14ac:dyDescent="0.3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2:13" ht="15" customHeight="1" x14ac:dyDescent="0.3">
      <c r="B79" s="11" t="s">
        <v>29</v>
      </c>
      <c r="C79" s="12"/>
      <c r="D79" s="12"/>
      <c r="E79" s="12"/>
      <c r="F79" s="12"/>
      <c r="G79" s="12"/>
      <c r="H79" s="12"/>
      <c r="I79" s="12"/>
      <c r="J79" s="12"/>
      <c r="K79" s="12"/>
      <c r="L79" s="10"/>
      <c r="M79" s="10"/>
    </row>
    <row r="80" spans="2:13" ht="15" customHeight="1" x14ac:dyDescent="0.3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2:13" ht="15.75" customHeight="1" x14ac:dyDescent="0.3">
      <c r="B81" s="72" t="s">
        <v>30</v>
      </c>
      <c r="C81" s="73" t="s">
        <v>3</v>
      </c>
      <c r="D81" s="25">
        <v>0.16200000000000001</v>
      </c>
      <c r="E81" s="25">
        <v>0.16</v>
      </c>
      <c r="F81" s="25">
        <v>0.158</v>
      </c>
      <c r="G81" s="25">
        <v>0.16500000000000001</v>
      </c>
      <c r="H81" s="25">
        <v>0.17</v>
      </c>
      <c r="I81" s="25">
        <v>0.17499999999999999</v>
      </c>
      <c r="J81" s="25">
        <v>0.18</v>
      </c>
      <c r="K81" s="25">
        <v>0.185</v>
      </c>
      <c r="L81" s="10"/>
      <c r="M81" s="10"/>
    </row>
    <row r="82" spans="2:13" ht="15.75" customHeight="1" x14ac:dyDescent="0.3">
      <c r="B82" s="10"/>
      <c r="C82" s="73" t="s">
        <v>10</v>
      </c>
      <c r="D82" s="25">
        <v>0.16200000000000001</v>
      </c>
      <c r="E82" s="25">
        <v>0.16</v>
      </c>
      <c r="F82" s="25">
        <v>0.158</v>
      </c>
      <c r="G82" s="25">
        <v>0.16</v>
      </c>
      <c r="H82" s="25">
        <v>0.16500000000000001</v>
      </c>
      <c r="I82" s="25">
        <v>0.17</v>
      </c>
      <c r="J82" s="25">
        <v>0.17499999999999999</v>
      </c>
      <c r="K82" s="25">
        <v>0.18</v>
      </c>
      <c r="L82" s="10"/>
      <c r="M82" s="10"/>
    </row>
    <row r="83" spans="2:13" ht="15.75" customHeight="1" x14ac:dyDescent="0.3">
      <c r="B83" s="10"/>
      <c r="C83" s="73" t="s">
        <v>11</v>
      </c>
      <c r="D83" s="25">
        <v>0.16200000000000001</v>
      </c>
      <c r="E83" s="25">
        <v>0.16</v>
      </c>
      <c r="F83" s="25">
        <v>0.158</v>
      </c>
      <c r="G83" s="25">
        <v>0.17</v>
      </c>
      <c r="H83" s="25">
        <v>0.17499999999999999</v>
      </c>
      <c r="I83" s="25">
        <v>0.18</v>
      </c>
      <c r="J83" s="25">
        <v>0.185</v>
      </c>
      <c r="K83" s="25">
        <v>0.19</v>
      </c>
      <c r="L83" s="10"/>
      <c r="M83" s="10"/>
    </row>
    <row r="84" spans="2:13" ht="15" customHeight="1" x14ac:dyDescent="0.3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2:13" ht="15" customHeight="1" x14ac:dyDescent="0.3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2:13" ht="15" customHeight="1" x14ac:dyDescent="0.3">
      <c r="B86" s="11" t="s">
        <v>31</v>
      </c>
      <c r="C86" s="12"/>
      <c r="D86" s="12"/>
      <c r="E86" s="12"/>
      <c r="F86" s="12"/>
      <c r="G86" s="12"/>
      <c r="H86" s="12"/>
      <c r="I86" s="12"/>
      <c r="J86" s="12"/>
      <c r="K86" s="12"/>
      <c r="L86" s="10"/>
      <c r="M86" s="10"/>
    </row>
    <row r="87" spans="2:13" ht="15" customHeight="1" x14ac:dyDescent="0.3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2:13" ht="15.75" customHeight="1" x14ac:dyDescent="0.3">
      <c r="B88" s="72" t="s">
        <v>237</v>
      </c>
      <c r="C88" s="73" t="s">
        <v>3</v>
      </c>
      <c r="D88" s="25">
        <v>5.0000000000000001E-3</v>
      </c>
      <c r="E88" s="25">
        <v>1.4999999999999999E-2</v>
      </c>
      <c r="F88" s="25">
        <v>2.5000000000000001E-2</v>
      </c>
      <c r="G88" s="25">
        <v>3.5000000000000003E-2</v>
      </c>
      <c r="H88" s="25">
        <v>0.03</v>
      </c>
      <c r="I88" s="25">
        <v>2.5000000000000001E-2</v>
      </c>
      <c r="J88" s="25">
        <v>2.5000000000000001E-2</v>
      </c>
      <c r="K88" s="25">
        <v>0.02</v>
      </c>
      <c r="L88" s="10"/>
      <c r="M88" s="10"/>
    </row>
    <row r="89" spans="2:13" ht="15.75" customHeight="1" x14ac:dyDescent="0.3">
      <c r="B89" s="10"/>
      <c r="C89" s="73" t="s">
        <v>10</v>
      </c>
      <c r="D89" s="25">
        <v>0.01</v>
      </c>
      <c r="E89" s="25">
        <v>0.02</v>
      </c>
      <c r="F89" s="25">
        <v>3.0000000000000002E-2</v>
      </c>
      <c r="G89" s="25">
        <v>0.04</v>
      </c>
      <c r="H89" s="25">
        <v>4.4999999999999998E-2</v>
      </c>
      <c r="I89" s="25">
        <v>0.04</v>
      </c>
      <c r="J89" s="25">
        <v>3.4999999999999996E-2</v>
      </c>
      <c r="K89" s="25">
        <v>3.4999999999999996E-2</v>
      </c>
      <c r="L89" s="10"/>
      <c r="M89" s="10"/>
    </row>
    <row r="90" spans="2:13" ht="15.75" customHeight="1" x14ac:dyDescent="0.3">
      <c r="B90" s="10"/>
      <c r="C90" s="73" t="s">
        <v>11</v>
      </c>
      <c r="D90" s="25">
        <v>2.5000000000000001E-3</v>
      </c>
      <c r="E90" s="25">
        <v>1.2499999999999999E-2</v>
      </c>
      <c r="F90" s="25">
        <v>2.2500000000000003E-2</v>
      </c>
      <c r="G90" s="25">
        <v>3.2500000000000001E-2</v>
      </c>
      <c r="H90" s="25">
        <v>3.7499999999999999E-2</v>
      </c>
      <c r="I90" s="25">
        <v>3.2500000000000001E-2</v>
      </c>
      <c r="J90" s="25">
        <v>2.75E-2</v>
      </c>
      <c r="K90" s="25">
        <v>2.75E-2</v>
      </c>
      <c r="L90" s="10"/>
      <c r="M90" s="10"/>
    </row>
    <row r="91" spans="2:13" ht="15.75" customHeight="1" x14ac:dyDescent="0.3">
      <c r="B91" s="10"/>
      <c r="C91" s="9"/>
      <c r="D91" s="22"/>
      <c r="E91" s="22"/>
      <c r="F91" s="22"/>
      <c r="G91" s="22"/>
      <c r="H91" s="22"/>
      <c r="I91" s="22"/>
      <c r="J91" s="22"/>
      <c r="K91" s="22"/>
      <c r="L91" s="10"/>
      <c r="M91" s="10"/>
    </row>
    <row r="92" spans="2:13" ht="15.75" customHeight="1" x14ac:dyDescent="0.3">
      <c r="B92" s="72" t="s">
        <v>238</v>
      </c>
      <c r="C92" s="73" t="s">
        <v>3</v>
      </c>
      <c r="D92" s="25">
        <v>0.03</v>
      </c>
      <c r="E92" s="25">
        <v>3.5000000000000003E-2</v>
      </c>
      <c r="F92" s="25">
        <v>0.04</v>
      </c>
      <c r="G92" s="25">
        <v>4.4999999999999998E-2</v>
      </c>
      <c r="H92" s="25">
        <v>0.04</v>
      </c>
      <c r="I92" s="25">
        <v>3.5000000000000003E-2</v>
      </c>
      <c r="J92" s="25">
        <v>0.03</v>
      </c>
      <c r="K92" s="25">
        <v>0.03</v>
      </c>
      <c r="L92" s="10"/>
      <c r="M92" s="10"/>
    </row>
    <row r="93" spans="2:13" ht="15.75" customHeight="1" x14ac:dyDescent="0.3">
      <c r="B93" s="10"/>
      <c r="C93" s="73" t="s">
        <v>10</v>
      </c>
      <c r="D93" s="25">
        <v>2.4999999999999998E-2</v>
      </c>
      <c r="E93" s="25">
        <v>3.0000000000000002E-2</v>
      </c>
      <c r="F93" s="25">
        <v>3.5000000000000003E-2</v>
      </c>
      <c r="G93" s="25">
        <v>0.04</v>
      </c>
      <c r="H93" s="25">
        <v>3.5000000000000003E-2</v>
      </c>
      <c r="I93" s="25">
        <v>3.0000000000000002E-2</v>
      </c>
      <c r="J93" s="25">
        <v>2.4999999999999998E-2</v>
      </c>
      <c r="K93" s="25">
        <v>2.4999999999999998E-2</v>
      </c>
      <c r="L93" s="10"/>
      <c r="M93" s="10"/>
    </row>
    <row r="94" spans="2:13" ht="15.75" customHeight="1" x14ac:dyDescent="0.3">
      <c r="B94" s="10"/>
      <c r="C94" s="73" t="s">
        <v>11</v>
      </c>
      <c r="D94" s="25">
        <v>0.04</v>
      </c>
      <c r="E94" s="25">
        <v>4.5000000000000005E-2</v>
      </c>
      <c r="F94" s="25">
        <v>0.05</v>
      </c>
      <c r="G94" s="25">
        <v>5.5E-2</v>
      </c>
      <c r="H94" s="25">
        <v>0.05</v>
      </c>
      <c r="I94" s="25">
        <v>4.5000000000000005E-2</v>
      </c>
      <c r="J94" s="25">
        <v>0.04</v>
      </c>
      <c r="K94" s="25">
        <v>0.04</v>
      </c>
      <c r="L94" s="10"/>
      <c r="M94" s="10"/>
    </row>
    <row r="95" spans="2:13" ht="15.75" customHeight="1" x14ac:dyDescent="0.3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2:13" ht="15.75" customHeight="1" x14ac:dyDescent="0.3">
      <c r="B96" s="11" t="s">
        <v>32</v>
      </c>
      <c r="C96" s="12"/>
      <c r="D96" s="12"/>
      <c r="E96" s="12"/>
      <c r="F96" s="12"/>
      <c r="G96" s="12"/>
      <c r="H96" s="12"/>
      <c r="I96" s="12"/>
      <c r="J96" s="12"/>
      <c r="K96" s="12"/>
      <c r="L96" s="10"/>
      <c r="M96" s="10"/>
    </row>
    <row r="97" spans="2:13" ht="15" customHeight="1" x14ac:dyDescent="0.3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2:13" ht="15" customHeight="1" x14ac:dyDescent="0.3">
      <c r="B98" s="72" t="s">
        <v>33</v>
      </c>
      <c r="C98" s="73" t="s">
        <v>3</v>
      </c>
      <c r="D98" s="25">
        <v>0.75</v>
      </c>
      <c r="E98" s="25">
        <v>0.75</v>
      </c>
      <c r="F98" s="25">
        <v>0.75</v>
      </c>
      <c r="G98" s="25">
        <v>0.7</v>
      </c>
      <c r="H98" s="25">
        <v>0.7</v>
      </c>
      <c r="I98" s="25">
        <v>0.65</v>
      </c>
      <c r="J98" s="25">
        <v>0.65</v>
      </c>
      <c r="K98" s="25">
        <v>0.6</v>
      </c>
      <c r="L98" s="10"/>
      <c r="M98" s="10"/>
    </row>
    <row r="99" spans="2:13" ht="15" customHeight="1" x14ac:dyDescent="0.3">
      <c r="B99" s="10"/>
      <c r="C99" s="73" t="s">
        <v>10</v>
      </c>
      <c r="D99" s="25">
        <v>0.75</v>
      </c>
      <c r="E99" s="25">
        <v>0.75</v>
      </c>
      <c r="F99" s="25">
        <v>0.75</v>
      </c>
      <c r="G99" s="25">
        <v>0.75</v>
      </c>
      <c r="H99" s="25">
        <v>0.75</v>
      </c>
      <c r="I99" s="25">
        <v>0.7</v>
      </c>
      <c r="J99" s="25">
        <v>0.7</v>
      </c>
      <c r="K99" s="25">
        <v>0.65</v>
      </c>
      <c r="L99" s="10"/>
      <c r="M99" s="10"/>
    </row>
    <row r="100" spans="2:13" ht="15" customHeight="1" thickBot="1" x14ac:dyDescent="0.35">
      <c r="B100" s="7"/>
      <c r="C100" s="74" t="s">
        <v>11</v>
      </c>
      <c r="D100" s="26">
        <v>0.75</v>
      </c>
      <c r="E100" s="26">
        <v>0.75</v>
      </c>
      <c r="F100" s="26">
        <v>0.75</v>
      </c>
      <c r="G100" s="26">
        <v>0.65</v>
      </c>
      <c r="H100" s="26">
        <v>0.65</v>
      </c>
      <c r="I100" s="26">
        <v>0.6</v>
      </c>
      <c r="J100" s="26">
        <v>0.6</v>
      </c>
      <c r="K100" s="26">
        <v>0.55000000000000004</v>
      </c>
      <c r="L100" s="10"/>
      <c r="M10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sheetPr>
    <tabColor rgb="FF1F3864"/>
  </sheetPr>
  <dimension ref="A1:K110"/>
  <sheetViews>
    <sheetView showGridLines="0" workbookViewId="0"/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1" spans="1:11" ht="1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customHeight="1" x14ac:dyDescent="0.3">
      <c r="A2" s="10"/>
      <c r="B2" s="82" t="s">
        <v>42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3.5" customHeight="1" x14ac:dyDescent="0.3">
      <c r="A3" s="10"/>
      <c r="B3" s="83" t="s">
        <v>43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ht="1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75" customHeight="1" x14ac:dyDescent="0.3">
      <c r="A5" s="10"/>
      <c r="B5" s="78" t="s">
        <v>2</v>
      </c>
      <c r="C5" s="10"/>
      <c r="D5" s="35" t="str">
        <f>'Google Drivers'!D6</f>
        <v>Base</v>
      </c>
      <c r="E5" s="10"/>
      <c r="F5" s="10"/>
      <c r="G5" s="10"/>
      <c r="H5" s="10"/>
      <c r="I5" s="10"/>
      <c r="J5" s="10"/>
      <c r="K5" s="10"/>
    </row>
    <row r="6" spans="1:11" ht="1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13.5" customHeight="1" x14ac:dyDescent="0.3">
      <c r="A7" s="10"/>
      <c r="B7" s="18" t="s">
        <v>4</v>
      </c>
      <c r="C7" s="18"/>
      <c r="D7" s="18"/>
      <c r="E7" s="18"/>
      <c r="F7" s="18" t="s">
        <v>5</v>
      </c>
      <c r="G7" s="18"/>
      <c r="H7" s="18"/>
      <c r="I7" s="18"/>
      <c r="J7" s="18"/>
      <c r="K7" s="10"/>
    </row>
    <row r="8" spans="1:11" ht="13.5" customHeight="1" x14ac:dyDescent="0.3">
      <c r="A8" s="10"/>
      <c r="B8" s="10"/>
      <c r="C8" s="84">
        <v>2021</v>
      </c>
      <c r="D8" s="84">
        <v>2022</v>
      </c>
      <c r="E8" s="84">
        <v>2023</v>
      </c>
      <c r="F8" s="84">
        <v>2024</v>
      </c>
      <c r="G8" s="84">
        <v>2025</v>
      </c>
      <c r="H8" s="84">
        <v>2026</v>
      </c>
      <c r="I8" s="84">
        <v>2027</v>
      </c>
      <c r="J8" s="84">
        <v>2028</v>
      </c>
      <c r="K8" s="10"/>
    </row>
    <row r="9" spans="1:11" ht="15" customHeight="1" thickBo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15" customHeight="1" x14ac:dyDescent="0.3">
      <c r="A10" s="10"/>
      <c r="B10" s="21" t="s">
        <v>231</v>
      </c>
      <c r="C10" s="21"/>
      <c r="D10" s="21"/>
      <c r="E10" s="21"/>
      <c r="F10" s="21"/>
      <c r="G10" s="21"/>
      <c r="H10" s="21"/>
      <c r="I10" s="21"/>
      <c r="J10" s="21"/>
      <c r="K10" s="10"/>
    </row>
    <row r="11" spans="1:11" ht="15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15.75" customHeight="1" x14ac:dyDescent="0.3">
      <c r="A12" s="10"/>
      <c r="B12" s="72" t="s">
        <v>9</v>
      </c>
      <c r="C12" s="37">
        <v>148951</v>
      </c>
      <c r="D12" s="37">
        <v>162450</v>
      </c>
      <c r="E12" s="37">
        <v>175033</v>
      </c>
      <c r="F12" s="2">
        <f>E12*(1+INDEX('Google Drivers'!G$15:G$17,MATCH($D$5,'Google Drivers'!$C$15:$C$17,0)))</f>
        <v>189910.80499999999</v>
      </c>
      <c r="G12" s="2">
        <f>F12*(1+INDEX('Google Drivers'!H$15:H$17,MATCH($D$5,'Google Drivers'!$C$15:$C$17,0)))</f>
        <v>204154.11537499999</v>
      </c>
      <c r="H12" s="2">
        <f>G12*(1+INDEX('Google Drivers'!I$15:I$17,MATCH($D$5,'Google Drivers'!$C$15:$C$17,0)))</f>
        <v>217424.13287437498</v>
      </c>
      <c r="I12" s="2">
        <f>H12*(1+INDEX('Google Drivers'!J$15:J$17,MATCH($D$5,'Google Drivers'!$C$15:$C$17,0)))</f>
        <v>229382.46018246558</v>
      </c>
      <c r="J12" s="2">
        <f>I12*(1+INDEX('Google Drivers'!K$15:K$17,MATCH($D$5,'Google Drivers'!$C$15:$C$17,0)))</f>
        <v>240851.58319158887</v>
      </c>
      <c r="K12" s="10"/>
    </row>
    <row r="13" spans="1:11" ht="15.75" customHeight="1" x14ac:dyDescent="0.3">
      <c r="A13" s="10"/>
      <c r="B13" s="72" t="s">
        <v>12</v>
      </c>
      <c r="C13" s="37">
        <v>28845</v>
      </c>
      <c r="D13" s="37">
        <v>29243</v>
      </c>
      <c r="E13" s="37">
        <v>31865</v>
      </c>
      <c r="F13" s="2">
        <f>E13*(1+INDEX('Google Drivers'!G$19:G$21,MATCH($D$5,'Google Drivers'!$C$19:$C$21,0)))</f>
        <v>36644.75</v>
      </c>
      <c r="G13" s="2">
        <f>F13*(1+INDEX('Google Drivers'!H$19:H$21,MATCH($D$5,'Google Drivers'!$C$19:$C$21,0)))</f>
        <v>41408.567499999997</v>
      </c>
      <c r="H13" s="2">
        <f>G13*(1+INDEX('Google Drivers'!I$19:I$21,MATCH($D$5,'Google Drivers'!$C$19:$C$21,0)))</f>
        <v>45963.509924999998</v>
      </c>
      <c r="I13" s="2">
        <f>H13*(1+INDEX('Google Drivers'!J$19:J$21,MATCH($D$5,'Google Drivers'!$C$19:$C$21,0)))</f>
        <v>50559.860917500002</v>
      </c>
      <c r="J13" s="2">
        <f>I13*(1+INDEX('Google Drivers'!K$19:K$21,MATCH($D$5,'Google Drivers'!$C$19:$C$21,0)))</f>
        <v>55110.248400075005</v>
      </c>
      <c r="K13" s="10"/>
    </row>
    <row r="14" spans="1:11" ht="15.75" customHeight="1" x14ac:dyDescent="0.3">
      <c r="A14" s="10"/>
      <c r="B14" s="72" t="s">
        <v>13</v>
      </c>
      <c r="C14" s="37">
        <v>13059</v>
      </c>
      <c r="D14" s="37">
        <v>19206</v>
      </c>
      <c r="E14" s="37">
        <v>26280</v>
      </c>
      <c r="F14" s="2">
        <f>E14*(1+INDEX('Google Drivers'!G$23:G$25,MATCH($D$5,'Google Drivers'!$C$23:$C$25,0)))</f>
        <v>33638.400000000001</v>
      </c>
      <c r="G14" s="2">
        <f>F14*(1+INDEX('Google Drivers'!H$23:H$25,MATCH($D$5,'Google Drivers'!$C$23:$C$25,0)))</f>
        <v>42048</v>
      </c>
      <c r="H14" s="2">
        <f>G14*(1+INDEX('Google Drivers'!I$23:I$25,MATCH($D$5,'Google Drivers'!$C$23:$C$25,0)))</f>
        <v>51298.559999999998</v>
      </c>
      <c r="I14" s="2">
        <f>H14*(1+INDEX('Google Drivers'!J$23:J$25,MATCH($D$5,'Google Drivers'!$C$23:$C$25,0)))</f>
        <v>61558.271999999997</v>
      </c>
      <c r="J14" s="2">
        <f>I14*(1+INDEX('Google Drivers'!K$23:K$25,MATCH($D$5,'Google Drivers'!$C$23:$C$25,0)))</f>
        <v>72638.76096</v>
      </c>
      <c r="K14" s="10"/>
    </row>
    <row r="15" spans="1:11" ht="15.75" customHeight="1" x14ac:dyDescent="0.3">
      <c r="A15" s="10"/>
      <c r="B15" s="72" t="s">
        <v>14</v>
      </c>
      <c r="C15" s="37">
        <v>28032</v>
      </c>
      <c r="D15" s="37">
        <v>29071</v>
      </c>
      <c r="E15" s="37">
        <v>30300</v>
      </c>
      <c r="F15" s="2">
        <f>E15*(1+INDEX('Google Drivers'!G$27:G$29,MATCH($D$5,'Google Drivers'!$C$27:$C$29,0)))</f>
        <v>31815</v>
      </c>
      <c r="G15" s="2">
        <f>F15*(1+INDEX('Google Drivers'!H$27:H$29,MATCH($D$5,'Google Drivers'!$C$27:$C$29,0)))</f>
        <v>33246.674999999996</v>
      </c>
      <c r="H15" s="2">
        <f>G15*(1+INDEX('Google Drivers'!I$27:I$29,MATCH($D$5,'Google Drivers'!$C$27:$C$29,0)))</f>
        <v>34576.541999999994</v>
      </c>
      <c r="I15" s="2">
        <f>H15*(1+INDEX('Google Drivers'!J$27:J$29,MATCH($D$5,'Google Drivers'!$C$27:$C$29,0)))</f>
        <v>35786.720969999988</v>
      </c>
      <c r="J15" s="2">
        <f>I15*(1+INDEX('Google Drivers'!K$27:K$29,MATCH($D$5,'Google Drivers'!$C$27:$C$29,0)))</f>
        <v>36860.322599099985</v>
      </c>
      <c r="K15" s="10"/>
    </row>
    <row r="16" spans="1:11" ht="15.75" customHeight="1" x14ac:dyDescent="0.3">
      <c r="A16" s="10"/>
      <c r="B16" s="110" t="s">
        <v>44</v>
      </c>
      <c r="C16" s="111">
        <f t="shared" ref="C16:J16" si="0">SUM(C12:C15)</f>
        <v>218887</v>
      </c>
      <c r="D16" s="111">
        <f t="shared" si="0"/>
        <v>239970</v>
      </c>
      <c r="E16" s="111">
        <f t="shared" si="0"/>
        <v>263478</v>
      </c>
      <c r="F16" s="111">
        <f t="shared" si="0"/>
        <v>292008.95499999996</v>
      </c>
      <c r="G16" s="111">
        <f t="shared" si="0"/>
        <v>320857.35787499999</v>
      </c>
      <c r="H16" s="111">
        <f t="shared" si="0"/>
        <v>349262.74479937501</v>
      </c>
      <c r="I16" s="111">
        <f t="shared" si="0"/>
        <v>377287.31406996556</v>
      </c>
      <c r="J16" s="111">
        <f t="shared" si="0"/>
        <v>405460.91515076387</v>
      </c>
      <c r="K16" s="10"/>
    </row>
    <row r="17" spans="1:11" ht="15.75" customHeight="1" x14ac:dyDescent="0.3">
      <c r="A17" s="10"/>
      <c r="B17" s="85" t="s">
        <v>45</v>
      </c>
      <c r="C17" s="10"/>
      <c r="D17" s="36">
        <f t="shared" ref="D17:J17" si="1">D16/C16-1</f>
        <v>9.6319105291771567E-2</v>
      </c>
      <c r="E17" s="36">
        <f t="shared" si="1"/>
        <v>9.796224528066011E-2</v>
      </c>
      <c r="F17" s="36">
        <f t="shared" si="1"/>
        <v>0.10828591001905274</v>
      </c>
      <c r="G17" s="36">
        <f t="shared" si="1"/>
        <v>9.8792870496043683E-2</v>
      </c>
      <c r="H17" s="36">
        <f t="shared" si="1"/>
        <v>8.852964168408195E-2</v>
      </c>
      <c r="I17" s="36">
        <f t="shared" si="1"/>
        <v>8.0239217288086584E-2</v>
      </c>
      <c r="J17" s="36">
        <f t="shared" si="1"/>
        <v>7.4674127727426542E-2</v>
      </c>
      <c r="K17" s="10"/>
    </row>
    <row r="18" spans="1:11" ht="1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" customHeight="1" x14ac:dyDescent="0.3">
      <c r="A19" s="10"/>
      <c r="B19" s="72" t="s">
        <v>47</v>
      </c>
      <c r="C19" s="3">
        <f t="shared" ref="C19:J19" si="2">C16*(1-C21)</f>
        <v>99593.585000000021</v>
      </c>
      <c r="D19" s="3">
        <f t="shared" si="2"/>
        <v>108466.43999999999</v>
      </c>
      <c r="E19" s="3">
        <f t="shared" si="2"/>
        <v>118565.10000000002</v>
      </c>
      <c r="F19" s="3">
        <f t="shared" si="2"/>
        <v>130820.01184000001</v>
      </c>
      <c r="G19" s="3">
        <f t="shared" si="2"/>
        <v>143102.38161225003</v>
      </c>
      <c r="H19" s="3">
        <f t="shared" si="2"/>
        <v>155072.65869092252</v>
      </c>
      <c r="I19" s="3">
        <f t="shared" si="2"/>
        <v>166760.99281892477</v>
      </c>
      <c r="J19" s="3">
        <f t="shared" si="2"/>
        <v>178402.80266633609</v>
      </c>
      <c r="K19" s="10"/>
    </row>
    <row r="20" spans="1:11" ht="15" customHeight="1" x14ac:dyDescent="0.3">
      <c r="A20" s="10"/>
      <c r="B20" s="112" t="s">
        <v>48</v>
      </c>
      <c r="C20" s="113">
        <f t="shared" ref="C20:J20" si="3">C16-C19</f>
        <v>119293.41499999998</v>
      </c>
      <c r="D20" s="113">
        <f t="shared" si="3"/>
        <v>131503.56</v>
      </c>
      <c r="E20" s="113">
        <f t="shared" si="3"/>
        <v>144912.89999999997</v>
      </c>
      <c r="F20" s="113">
        <f t="shared" si="3"/>
        <v>161188.94315999997</v>
      </c>
      <c r="G20" s="113">
        <f t="shared" si="3"/>
        <v>177754.97626274996</v>
      </c>
      <c r="H20" s="113">
        <f t="shared" si="3"/>
        <v>194190.08610845249</v>
      </c>
      <c r="I20" s="113">
        <f t="shared" si="3"/>
        <v>210526.32125104079</v>
      </c>
      <c r="J20" s="113">
        <f t="shared" si="3"/>
        <v>227058.11248442778</v>
      </c>
      <c r="K20" s="10"/>
    </row>
    <row r="21" spans="1:11" ht="15.75" customHeight="1" x14ac:dyDescent="0.3">
      <c r="A21" s="10"/>
      <c r="B21" s="85" t="s">
        <v>49</v>
      </c>
      <c r="C21" s="25">
        <v>0.54499999999999993</v>
      </c>
      <c r="D21" s="25">
        <v>0.54800000000000004</v>
      </c>
      <c r="E21" s="25">
        <v>0.54999999999999993</v>
      </c>
      <c r="F21" s="25">
        <v>0.55199999999999994</v>
      </c>
      <c r="G21" s="25">
        <v>0.55399999999999994</v>
      </c>
      <c r="H21" s="25">
        <v>0.55599999999999994</v>
      </c>
      <c r="I21" s="25">
        <v>0.55800000000000005</v>
      </c>
      <c r="J21" s="25">
        <v>0.56000000000000005</v>
      </c>
      <c r="K21" s="10"/>
    </row>
    <row r="22" spans="1:11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5.75" customHeight="1" x14ac:dyDescent="0.3">
      <c r="A23" s="10"/>
      <c r="B23" s="72" t="s">
        <v>17</v>
      </c>
      <c r="C23" s="2">
        <f>C16*INDEX('Google Drivers'!D$35:D$37,MATCH($D$5,'Google Drivers'!$C$35:$C$37,0))</f>
        <v>33051.936999999998</v>
      </c>
      <c r="D23" s="2">
        <f>D16*INDEX('Google Drivers'!E$35:E$37,MATCH($D$5,'Google Drivers'!$C$35:$C$37,0))</f>
        <v>35515.560000000005</v>
      </c>
      <c r="E23" s="2">
        <f>E16*INDEX('Google Drivers'!F$35:F$37,MATCH($D$5,'Google Drivers'!$C$35:$C$37,0))</f>
        <v>38204.31</v>
      </c>
      <c r="F23" s="2">
        <f>F16*INDEX('Google Drivers'!G$35:G$37,MATCH($D$5,'Google Drivers'!$C$35:$C$37,0))</f>
        <v>41757.280565000001</v>
      </c>
      <c r="G23" s="2">
        <f>G16*INDEX('Google Drivers'!H$35:H$37,MATCH($D$5,'Google Drivers'!$C$35:$C$37,0))</f>
        <v>44920.030102500001</v>
      </c>
      <c r="H23" s="2">
        <f>H16*INDEX('Google Drivers'!I$35:I$37,MATCH($D$5,'Google Drivers'!$C$35:$C$37,0))</f>
        <v>48198.258782313758</v>
      </c>
      <c r="I23" s="2">
        <f>I16*INDEX('Google Drivers'!J$35:J$37,MATCH($D$5,'Google Drivers'!$C$35:$C$37,0))</f>
        <v>50933.787399445355</v>
      </c>
      <c r="J23" s="2">
        <f>J16*INDEX('Google Drivers'!K$35:K$37,MATCH($D$5,'Google Drivers'!$C$35:$C$37,0))</f>
        <v>53926.301715051595</v>
      </c>
      <c r="K23" s="10"/>
    </row>
    <row r="24" spans="1:11" ht="15" customHeight="1" x14ac:dyDescent="0.3">
      <c r="A24" s="10"/>
      <c r="B24" s="72" t="s">
        <v>18</v>
      </c>
      <c r="C24" s="2">
        <f>C16*INDEX('Google Drivers'!D$39:D$41,MATCH($D$5,'Google Drivers'!$C$39:$C$41,0))</f>
        <v>25172.005000000001</v>
      </c>
      <c r="D24" s="2">
        <f>D16*INDEX('Google Drivers'!E$39:E$41,MATCH($D$5,'Google Drivers'!$C$39:$C$41,0))</f>
        <v>26876.639999999996</v>
      </c>
      <c r="E24" s="2">
        <f>E16*INDEX('Google Drivers'!F$39:F$41,MATCH($D$5,'Google Drivers'!$C$39:$C$41,0))</f>
        <v>28455.624000000003</v>
      </c>
      <c r="F24" s="2">
        <f>F16*INDEX('Google Drivers'!G$39:G$41,MATCH($D$5,'Google Drivers'!$C$39:$C$41,0))</f>
        <v>30660.940274999994</v>
      </c>
      <c r="G24" s="2">
        <f>G16*INDEX('Google Drivers'!H$39:H$41,MATCH($D$5,'Google Drivers'!$C$39:$C$41,0))</f>
        <v>33048.307861125002</v>
      </c>
      <c r="H24" s="2">
        <f>H16*INDEX('Google Drivers'!I$39:I$41,MATCH($D$5,'Google Drivers'!$C$39:$C$41,0))</f>
        <v>34926.2744799375</v>
      </c>
      <c r="I24" s="2">
        <f>I16*INDEX('Google Drivers'!J$39:J$41,MATCH($D$5,'Google Drivers'!$C$39:$C$41,0))</f>
        <v>36974.156778856624</v>
      </c>
      <c r="J24" s="2">
        <f>J16*INDEX('Google Drivers'!K$39:K$41,MATCH($D$5,'Google Drivers'!$C$39:$C$41,0))</f>
        <v>38518.78693932257</v>
      </c>
      <c r="K24" s="10"/>
    </row>
    <row r="25" spans="1:11" ht="15.75" customHeight="1" x14ac:dyDescent="0.3">
      <c r="A25" s="10"/>
      <c r="B25" s="72" t="s">
        <v>19</v>
      </c>
      <c r="C25" s="2">
        <f>C16*INDEX('Google Drivers'!D$43:D$45,MATCH($D$5,'Google Drivers'!$C$43:$C$45,0))</f>
        <v>14884.316000000001</v>
      </c>
      <c r="D25" s="2">
        <f>D16*INDEX('Google Drivers'!E$43:E$45,MATCH($D$5,'Google Drivers'!$C$43:$C$45,0))</f>
        <v>15598.050000000001</v>
      </c>
      <c r="E25" s="2">
        <f>E16*INDEX('Google Drivers'!F$43:F$45,MATCH($D$5,'Google Drivers'!$C$43:$C$45,0))</f>
        <v>16599.114000000001</v>
      </c>
      <c r="F25" s="2">
        <f>F16*INDEX('Google Drivers'!G$43:G$45,MATCH($D$5,'Google Drivers'!$C$43:$C$45,0))</f>
        <v>18104.555209999999</v>
      </c>
      <c r="G25" s="2">
        <f>G16*INDEX('Google Drivers'!H$43:H$45,MATCH($D$5,'Google Drivers'!$C$43:$C$45,0))</f>
        <v>19251.441472499999</v>
      </c>
      <c r="H25" s="2">
        <f>H16*INDEX('Google Drivers'!I$43:I$45,MATCH($D$5,'Google Drivers'!$C$43:$C$45,0))</f>
        <v>20257.23919836375</v>
      </c>
      <c r="I25" s="2">
        <f>I16*INDEX('Google Drivers'!J$43:J$45,MATCH($D$5,'Google Drivers'!$C$43:$C$45,0))</f>
        <v>21505.376901988038</v>
      </c>
      <c r="J25" s="2">
        <f>J16*INDEX('Google Drivers'!K$43:K$45,MATCH($D$5,'Google Drivers'!$C$43:$C$45,0))</f>
        <v>22300.350333292012</v>
      </c>
      <c r="K25" s="10"/>
    </row>
    <row r="26" spans="1:11" ht="15.75" customHeight="1" x14ac:dyDescent="0.3">
      <c r="A26" s="10"/>
      <c r="B26" s="72" t="s">
        <v>20</v>
      </c>
      <c r="C26" s="2">
        <f>C16*INDEX('Google Drivers'!D$47:D$49,MATCH($D$5,'Google Drivers'!$C$47:$C$49,0))</f>
        <v>20137.603999999999</v>
      </c>
      <c r="D26" s="2">
        <f>D16*INDEX('Google Drivers'!E$47:E$49,MATCH($D$5,'Google Drivers'!$C$47:$C$49,0))</f>
        <v>22797.15</v>
      </c>
      <c r="E26" s="2">
        <f>E16*INDEX('Google Drivers'!F$47:F$49,MATCH($D$5,'Google Drivers'!$C$47:$C$49,0))</f>
        <v>25820.844000000001</v>
      </c>
      <c r="F26" s="2">
        <f>F16*INDEX('Google Drivers'!G$47:G$49,MATCH($D$5,'Google Drivers'!$C$47:$C$49,0))</f>
        <v>27740.850724999997</v>
      </c>
      <c r="G26" s="2">
        <f>G16*INDEX('Google Drivers'!H$47:H$49,MATCH($D$5,'Google Drivers'!$C$47:$C$49,0))</f>
        <v>29839.734282375004</v>
      </c>
      <c r="H26" s="2">
        <f>H16*INDEX('Google Drivers'!I$47:I$49,MATCH($D$5,'Google Drivers'!$C$47:$C$49,0))</f>
        <v>31433.64703194375</v>
      </c>
      <c r="I26" s="2">
        <f>I16*INDEX('Google Drivers'!J$47:J$49,MATCH($D$5,'Google Drivers'!$C$47:$C$49,0))</f>
        <v>33201.283638156972</v>
      </c>
      <c r="J26" s="2">
        <f>J16*INDEX('Google Drivers'!K$47:K$49,MATCH($D$5,'Google Drivers'!$C$47:$C$49,0))</f>
        <v>34464.17778781493</v>
      </c>
      <c r="K26" s="10"/>
    </row>
    <row r="27" spans="1:11" ht="15.75" customHeight="1" x14ac:dyDescent="0.3">
      <c r="A27" s="10"/>
      <c r="B27" s="110" t="s">
        <v>50</v>
      </c>
      <c r="C27" s="111">
        <f t="shared" ref="C27:J27" si="4">SUM(C23:C26)</f>
        <v>93245.861999999994</v>
      </c>
      <c r="D27" s="111">
        <f t="shared" si="4"/>
        <v>100787.4</v>
      </c>
      <c r="E27" s="111">
        <f t="shared" si="4"/>
        <v>109079.89200000001</v>
      </c>
      <c r="F27" s="111">
        <f t="shared" si="4"/>
        <v>118263.62677499998</v>
      </c>
      <c r="G27" s="111">
        <f t="shared" si="4"/>
        <v>127059.51371850001</v>
      </c>
      <c r="H27" s="111">
        <f t="shared" si="4"/>
        <v>134815.41949255875</v>
      </c>
      <c r="I27" s="111">
        <f t="shared" si="4"/>
        <v>142614.60471844699</v>
      </c>
      <c r="J27" s="111">
        <f t="shared" si="4"/>
        <v>149209.61677548109</v>
      </c>
      <c r="K27" s="10"/>
    </row>
    <row r="28" spans="1:11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15.75" customHeight="1" x14ac:dyDescent="0.3">
      <c r="A29" s="10"/>
      <c r="B29" s="112" t="s">
        <v>51</v>
      </c>
      <c r="C29" s="113">
        <f t="shared" ref="C29:J29" si="5">C20-C27</f>
        <v>26047.552999999985</v>
      </c>
      <c r="D29" s="113">
        <f t="shared" si="5"/>
        <v>30716.160000000003</v>
      </c>
      <c r="E29" s="113">
        <f t="shared" si="5"/>
        <v>35833.007999999958</v>
      </c>
      <c r="F29" s="113">
        <f t="shared" si="5"/>
        <v>42925.316384999984</v>
      </c>
      <c r="G29" s="113">
        <f t="shared" si="5"/>
        <v>50695.462544249953</v>
      </c>
      <c r="H29" s="113">
        <f t="shared" si="5"/>
        <v>59374.666615893744</v>
      </c>
      <c r="I29" s="113">
        <f t="shared" si="5"/>
        <v>67911.716532593797</v>
      </c>
      <c r="J29" s="113">
        <f t="shared" si="5"/>
        <v>77848.495708946692</v>
      </c>
      <c r="K29" s="10"/>
    </row>
    <row r="30" spans="1:11" ht="15" customHeight="1" x14ac:dyDescent="0.3">
      <c r="A30" s="10"/>
      <c r="B30" s="85" t="s">
        <v>52</v>
      </c>
      <c r="C30" s="36">
        <f t="shared" ref="C30:J30" si="6">C29/C16</f>
        <v>0.11899999999999994</v>
      </c>
      <c r="D30" s="36">
        <f t="shared" si="6"/>
        <v>0.128</v>
      </c>
      <c r="E30" s="36">
        <f t="shared" si="6"/>
        <v>0.13599999999999984</v>
      </c>
      <c r="F30" s="36">
        <f t="shared" si="6"/>
        <v>0.14699999999999996</v>
      </c>
      <c r="G30" s="36">
        <f t="shared" si="6"/>
        <v>0.15799999999999986</v>
      </c>
      <c r="H30" s="36">
        <f t="shared" si="6"/>
        <v>0.16999999999999998</v>
      </c>
      <c r="I30" s="36">
        <f t="shared" si="6"/>
        <v>0.18</v>
      </c>
      <c r="J30" s="36">
        <f t="shared" si="6"/>
        <v>0.19200000000000006</v>
      </c>
      <c r="K30" s="10"/>
    </row>
    <row r="31" spans="1:11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5.75" customHeight="1" x14ac:dyDescent="0.3">
      <c r="A32" s="10"/>
      <c r="B32" s="86" t="s">
        <v>232</v>
      </c>
      <c r="C32" s="2">
        <f>(C$51*INDEX('Google Drivers'!D$88:D$90,MATCH($D$5,'Google Drivers'!$C$88:$C$90,0)))-(C73*INDEX('Google Drivers'!D$92:D$94,MATCH($D$5,'Google Drivers'!$C$92:$C$94,0)))</f>
        <v>0</v>
      </c>
      <c r="D32" s="2">
        <f ca="1">(D$51*INDEX('Google Drivers'!E$88:E$90,MATCH($D$5,'Google Drivers'!$C$88:$C$90,0)))-(D73*INDEX('Google Drivers'!E$92:E$94,MATCH($D$5,'Google Drivers'!$C$92:$C$94,0)))</f>
        <v>972.47680703634251</v>
      </c>
      <c r="E32" s="2">
        <f ca="1">(E$51*INDEX('Google Drivers'!F$88:F$90,MATCH($D$5,'Google Drivers'!$C$88:$C$90,0)))-(E73*INDEX('Google Drivers'!F$92:F$94,MATCH($D$5,'Google Drivers'!$C$92:$C$94,0)))</f>
        <v>2137.5582090163412</v>
      </c>
      <c r="F32" s="2">
        <f ca="1">(F$51*INDEX('Google Drivers'!G$88:G$90,MATCH($D$5,'Google Drivers'!$C$88:$C$90,0)))-(F73*INDEX('Google Drivers'!G$92:G$94,MATCH($D$5,'Google Drivers'!$C$92:$C$94,0)))</f>
        <v>3647.2704214324667</v>
      </c>
      <c r="G32" s="2">
        <f ca="1">(G$51*INDEX('Google Drivers'!H$88:H$90,MATCH($D$5,'Google Drivers'!$C$88:$C$90,0)))-(G73*INDEX('Google Drivers'!H$92:H$94,MATCH($D$5,'Google Drivers'!$C$92:$C$94,0)))</f>
        <v>3628.5765606354535</v>
      </c>
      <c r="H32" s="2">
        <f ca="1">(H$51*INDEX('Google Drivers'!I$88:I$90,MATCH($D$5,'Google Drivers'!$C$88:$C$90,0)))-(H73*INDEX('Google Drivers'!I$92:I$94,MATCH($D$5,'Google Drivers'!$C$92:$C$94,0)))</f>
        <v>3565.6400515131058</v>
      </c>
      <c r="I32" s="2">
        <f ca="1">(I$51*INDEX('Google Drivers'!J$88:J$90,MATCH($D$5,'Google Drivers'!$C$88:$C$90,0)))-(I73*INDEX('Google Drivers'!J$92:J$94,MATCH($D$5,'Google Drivers'!$C$92:$C$94,0)))</f>
        <v>4272.5338468056871</v>
      </c>
      <c r="J32" s="2">
        <f ca="1">(J$51*INDEX('Google Drivers'!K$88:K$90,MATCH($D$5,'Google Drivers'!$C$88:$C$90,0)))-(J73*INDEX('Google Drivers'!K$92:K$94,MATCH($D$5,'Google Drivers'!$C$92:$C$94,0)))</f>
        <v>4000.4264523339025</v>
      </c>
      <c r="K32" s="10"/>
    </row>
    <row r="33" spans="1:11" ht="1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 x14ac:dyDescent="0.3">
      <c r="A34" s="10"/>
      <c r="B34" s="112" t="s">
        <v>53</v>
      </c>
      <c r="C34" s="113">
        <f t="shared" ref="C34:J34" si="7">C29+C32</f>
        <v>26047.552999999985</v>
      </c>
      <c r="D34" s="113">
        <f t="shared" ca="1" si="7"/>
        <v>31688.636807036346</v>
      </c>
      <c r="E34" s="113">
        <f t="shared" ca="1" si="7"/>
        <v>37970.566209016302</v>
      </c>
      <c r="F34" s="113">
        <f t="shared" ca="1" si="7"/>
        <v>46572.586806432453</v>
      </c>
      <c r="G34" s="113">
        <f t="shared" ca="1" si="7"/>
        <v>54324.039104885407</v>
      </c>
      <c r="H34" s="113">
        <f t="shared" ca="1" si="7"/>
        <v>62940.306667406847</v>
      </c>
      <c r="I34" s="113">
        <f t="shared" ca="1" si="7"/>
        <v>72184.250379399484</v>
      </c>
      <c r="J34" s="113">
        <f t="shared" ca="1" si="7"/>
        <v>81848.9221612806</v>
      </c>
      <c r="K34" s="10"/>
    </row>
    <row r="35" spans="1:11" ht="15" customHeight="1" x14ac:dyDescent="0.3">
      <c r="A35" s="10"/>
      <c r="B35" s="86" t="s">
        <v>54</v>
      </c>
      <c r="C35" s="2">
        <f>C34*INDEX('Google Drivers'!D$81:D$83,MATCH($D$5,'Google Drivers'!$C$81:$C$83,0))</f>
        <v>4219.7035859999978</v>
      </c>
      <c r="D35" s="2">
        <f ca="1">D34*INDEX('Google Drivers'!E$81:E$83,MATCH($D$5,'Google Drivers'!$C$81:$C$83,0))</f>
        <v>5070.1818891258154</v>
      </c>
      <c r="E35" s="2">
        <f ca="1">E34*INDEX('Google Drivers'!F$81:F$83,MATCH($D$5,'Google Drivers'!$C$81:$C$83,0))</f>
        <v>5999.3494610245762</v>
      </c>
      <c r="F35" s="2">
        <f ca="1">F34*INDEX('Google Drivers'!G$81:G$83,MATCH($D$5,'Google Drivers'!$C$81:$C$83,0))</f>
        <v>7684.4768230613554</v>
      </c>
      <c r="G35" s="2">
        <f ca="1">G34*INDEX('Google Drivers'!H$81:H$83,MATCH($D$5,'Google Drivers'!$C$81:$C$83,0))</f>
        <v>9235.0866478305197</v>
      </c>
      <c r="H35" s="2">
        <f ca="1">H34*INDEX('Google Drivers'!I$81:I$83,MATCH($D$5,'Google Drivers'!$C$81:$C$83,0))</f>
        <v>11014.553666796197</v>
      </c>
      <c r="I35" s="2">
        <f ca="1">I34*INDEX('Google Drivers'!J$81:J$83,MATCH($D$5,'Google Drivers'!$C$81:$C$83,0))</f>
        <v>12993.165068291906</v>
      </c>
      <c r="J35" s="2">
        <f ca="1">J34*INDEX('Google Drivers'!K$81:K$83,MATCH($D$5,'Google Drivers'!$C$81:$C$83,0))</f>
        <v>15142.05059983691</v>
      </c>
      <c r="K35" s="10"/>
    </row>
    <row r="36" spans="1:11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 x14ac:dyDescent="0.3">
      <c r="A37" s="10"/>
      <c r="B37" s="114" t="s">
        <v>55</v>
      </c>
      <c r="C37" s="115">
        <f t="shared" ref="C37:J37" si="8">C34-C35</f>
        <v>21827.849413999989</v>
      </c>
      <c r="D37" s="115">
        <f t="shared" ca="1" si="8"/>
        <v>26618.454917910531</v>
      </c>
      <c r="E37" s="115">
        <f t="shared" ca="1" si="8"/>
        <v>31971.216747991726</v>
      </c>
      <c r="F37" s="115">
        <f t="shared" ca="1" si="8"/>
        <v>38888.109983371098</v>
      </c>
      <c r="G37" s="115">
        <f t="shared" ca="1" si="8"/>
        <v>45088.952457054889</v>
      </c>
      <c r="H37" s="115">
        <f t="shared" ca="1" si="8"/>
        <v>51925.753000610654</v>
      </c>
      <c r="I37" s="115">
        <f t="shared" ca="1" si="8"/>
        <v>59191.085311107578</v>
      </c>
      <c r="J37" s="115">
        <f t="shared" ca="1" si="8"/>
        <v>66706.871561443695</v>
      </c>
      <c r="K37" s="10"/>
    </row>
    <row r="38" spans="1:11" ht="15" customHeight="1" x14ac:dyDescent="0.3">
      <c r="A38" s="10"/>
      <c r="B38" s="116" t="s">
        <v>56</v>
      </c>
      <c r="C38" s="109">
        <f t="shared" ref="C38:J38" si="9">C37/C16</f>
        <v>9.972199999999995E-2</v>
      </c>
      <c r="D38" s="109">
        <f t="shared" ca="1" si="9"/>
        <v>0.11092409433641927</v>
      </c>
      <c r="E38" s="109">
        <f t="shared" ca="1" si="9"/>
        <v>0.12134302199041941</v>
      </c>
      <c r="F38" s="109">
        <f t="shared" ca="1" si="9"/>
        <v>0.1331743746809789</v>
      </c>
      <c r="G38" s="109">
        <f t="shared" ca="1" si="9"/>
        <v>0.14052647181187816</v>
      </c>
      <c r="H38" s="109">
        <f t="shared" ca="1" si="9"/>
        <v>0.14867246442341872</v>
      </c>
      <c r="I38" s="109">
        <f t="shared" ca="1" si="9"/>
        <v>0.15688596754708525</v>
      </c>
      <c r="J38" s="109">
        <f t="shared" ca="1" si="9"/>
        <v>0.16452108962620937</v>
      </c>
      <c r="K38" s="10"/>
    </row>
    <row r="39" spans="1:11" ht="15.75" customHeight="1" thickBo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 x14ac:dyDescent="0.3">
      <c r="A40" s="10"/>
      <c r="B40" s="21" t="s">
        <v>57</v>
      </c>
      <c r="C40" s="21"/>
      <c r="D40" s="21"/>
      <c r="E40" s="21"/>
      <c r="F40" s="21"/>
      <c r="G40" s="21"/>
      <c r="H40" s="21"/>
      <c r="I40" s="21"/>
      <c r="J40" s="21"/>
      <c r="K40" s="10"/>
    </row>
    <row r="41" spans="1:11" ht="1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" customHeight="1" x14ac:dyDescent="0.3">
      <c r="A42" s="10"/>
      <c r="B42" s="86" t="s">
        <v>58</v>
      </c>
      <c r="C42" s="38">
        <v>13000</v>
      </c>
      <c r="D42" s="38">
        <v>12800</v>
      </c>
      <c r="E42" s="38">
        <v>12600</v>
      </c>
      <c r="F42" s="38">
        <v>12400</v>
      </c>
      <c r="G42" s="38">
        <v>12200</v>
      </c>
      <c r="H42" s="38">
        <v>12000</v>
      </c>
      <c r="I42" s="38">
        <v>11800</v>
      </c>
      <c r="J42" s="38">
        <v>11600</v>
      </c>
      <c r="K42" s="10"/>
    </row>
    <row r="43" spans="1:11" ht="15" customHeight="1" x14ac:dyDescent="0.3">
      <c r="A43" s="10"/>
      <c r="B43" s="112" t="s">
        <v>59</v>
      </c>
      <c r="C43" s="117">
        <f t="shared" ref="C43:J43" si="10">C37/C42</f>
        <v>1.6790653395384607</v>
      </c>
      <c r="D43" s="117">
        <f t="shared" ca="1" si="10"/>
        <v>2.0795667904617603</v>
      </c>
      <c r="E43" s="117">
        <f t="shared" ca="1" si="10"/>
        <v>2.5373981546025179</v>
      </c>
      <c r="F43" s="117">
        <f t="shared" ca="1" si="10"/>
        <v>3.1361379018847662</v>
      </c>
      <c r="G43" s="117">
        <f t="shared" ca="1" si="10"/>
        <v>3.6958157751684335</v>
      </c>
      <c r="H43" s="117">
        <f t="shared" ca="1" si="10"/>
        <v>4.3271460833842212</v>
      </c>
      <c r="I43" s="117">
        <f t="shared" ca="1" si="10"/>
        <v>5.0161936704328456</v>
      </c>
      <c r="J43" s="117">
        <f t="shared" ca="1" si="10"/>
        <v>5.7505923759865256</v>
      </c>
      <c r="K43" s="10"/>
    </row>
    <row r="44" spans="1:11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 thickBo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" customHeight="1" x14ac:dyDescent="0.3">
      <c r="A46" s="10"/>
      <c r="B46" s="21" t="s">
        <v>62</v>
      </c>
      <c r="C46" s="21"/>
      <c r="D46" s="21"/>
      <c r="E46" s="21"/>
      <c r="F46" s="21"/>
      <c r="G46" s="21"/>
      <c r="H46" s="21"/>
      <c r="I46" s="21"/>
      <c r="J46" s="21"/>
      <c r="K46" s="10"/>
    </row>
    <row r="47" spans="1:11" ht="1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 x14ac:dyDescent="0.3">
      <c r="A48" s="10"/>
      <c r="B48" s="31" t="s">
        <v>63</v>
      </c>
      <c r="C48" s="31"/>
      <c r="D48" s="31"/>
      <c r="E48" s="31"/>
      <c r="F48" s="31"/>
      <c r="G48" s="31"/>
      <c r="H48" s="31"/>
      <c r="I48" s="31"/>
      <c r="J48" s="31"/>
      <c r="K48" s="10"/>
    </row>
    <row r="49" spans="1:11" ht="1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" customHeight="1" x14ac:dyDescent="0.3">
      <c r="A50" s="10"/>
      <c r="B50" s="11" t="s">
        <v>64</v>
      </c>
      <c r="C50" s="12"/>
      <c r="D50" s="12"/>
      <c r="E50" s="12"/>
      <c r="F50" s="12"/>
      <c r="G50" s="12"/>
      <c r="H50" s="12"/>
      <c r="I50" s="12"/>
      <c r="J50" s="12"/>
      <c r="K50" s="10"/>
    </row>
    <row r="51" spans="1:11" ht="15" customHeight="1" x14ac:dyDescent="0.3">
      <c r="A51" s="10"/>
      <c r="B51" s="72" t="s">
        <v>65</v>
      </c>
      <c r="C51" s="37">
        <v>90000</v>
      </c>
      <c r="D51" s="3">
        <f t="shared" ref="D51:J51" ca="1" si="11">D$108</f>
        <v>97498.453802422839</v>
      </c>
      <c r="E51" s="3">
        <f t="shared" ca="1" si="11"/>
        <v>106302.32836065364</v>
      </c>
      <c r="F51" s="3">
        <f t="shared" ca="1" si="11"/>
        <v>120279.15489807047</v>
      </c>
      <c r="G51" s="3">
        <f t="shared" ca="1" si="11"/>
        <v>136952.55202118179</v>
      </c>
      <c r="H51" s="3">
        <f t="shared" ca="1" si="11"/>
        <v>158725.60206052422</v>
      </c>
      <c r="I51" s="3">
        <f t="shared" ca="1" si="11"/>
        <v>184101.35387222748</v>
      </c>
      <c r="J51" s="3">
        <f t="shared" ca="1" si="11"/>
        <v>215771.32261669511</v>
      </c>
      <c r="K51" s="10"/>
    </row>
    <row r="52" spans="1:11" ht="15" customHeight="1" x14ac:dyDescent="0.3">
      <c r="A52" s="10"/>
      <c r="B52" s="72" t="s">
        <v>66</v>
      </c>
      <c r="C52" s="2">
        <f>C$16*INDEX('Google Drivers'!D$55:D$57,MATCH($D$5,'Google Drivers'!$C$55:$C$57,0))/365</f>
        <v>28785.139726027399</v>
      </c>
      <c r="D52" s="2">
        <f>D$16*INDEX('Google Drivers'!E$55:E$57,MATCH($D$5,'Google Drivers'!$C$55:$C$57,0))/365</f>
        <v>30900.246575342466</v>
      </c>
      <c r="E52" s="2">
        <f>E$16*INDEX('Google Drivers'!F$55:F$57,MATCH($D$5,'Google Drivers'!$C$55:$C$57,0))/365</f>
        <v>33205.446575342467</v>
      </c>
      <c r="F52" s="2">
        <f>F$16*INDEX('Google Drivers'!G$55:G$57,MATCH($D$5,'Google Drivers'!$C$55:$C$57,0))/365</f>
        <v>36801.12857534246</v>
      </c>
      <c r="G52" s="2">
        <f>G$16*INDEX('Google Drivers'!H$55:H$57,MATCH($D$5,'Google Drivers'!$C$55:$C$57,0))/365</f>
        <v>39557.756450342466</v>
      </c>
      <c r="H52" s="2">
        <f>H$16*INDEX('Google Drivers'!I$55:I$57,MATCH($D$5,'Google Drivers'!$C$55:$C$57,0))/365</f>
        <v>43059.790454717462</v>
      </c>
      <c r="I52" s="2">
        <f>I$16*INDEX('Google Drivers'!J$55:J$57,MATCH($D$5,'Google Drivers'!$C$55:$C$57,0))/365</f>
        <v>45481.210463228723</v>
      </c>
      <c r="J52" s="2">
        <f>J$16*INDEX('Google Drivers'!K$55:K$57,MATCH($D$5,'Google Drivers'!$C$55:$C$57,0))/365</f>
        <v>48877.48018255784</v>
      </c>
      <c r="K52" s="10"/>
    </row>
    <row r="53" spans="1:11" ht="15.75" customHeight="1" x14ac:dyDescent="0.3">
      <c r="A53" s="10"/>
      <c r="B53" s="72" t="s">
        <v>67</v>
      </c>
      <c r="C53" s="37">
        <v>8500</v>
      </c>
      <c r="D53" s="2">
        <f>C53*(1+'Google Drivers'!E$63)</f>
        <v>9000</v>
      </c>
      <c r="E53" s="2">
        <f>D53*(1+'Google Drivers'!F$63)</f>
        <v>9500</v>
      </c>
      <c r="F53" s="2">
        <f>E53*(1+'Google Drivers'!G$63)</f>
        <v>9975</v>
      </c>
      <c r="G53" s="2">
        <f>F53*(1+'Google Drivers'!H$63)</f>
        <v>10473.75</v>
      </c>
      <c r="H53" s="2">
        <f>G53*(1+'Google Drivers'!I$63)</f>
        <v>10997.4375</v>
      </c>
      <c r="I53" s="2">
        <f>H53*(1+'Google Drivers'!J$63)</f>
        <v>11547.309375000001</v>
      </c>
      <c r="J53" s="2">
        <f>I53*(1+'Google Drivers'!K$63)</f>
        <v>12124.674843750001</v>
      </c>
      <c r="K53" s="10"/>
    </row>
    <row r="54" spans="1:11" ht="15.75" customHeight="1" x14ac:dyDescent="0.3">
      <c r="A54" s="10"/>
      <c r="B54" s="118" t="s">
        <v>68</v>
      </c>
      <c r="C54" s="111">
        <f t="shared" ref="C54:J54" si="12">SUM(C51:C53)</f>
        <v>127285.1397260274</v>
      </c>
      <c r="D54" s="111">
        <f t="shared" ca="1" si="12"/>
        <v>137398.70037776529</v>
      </c>
      <c r="E54" s="111">
        <f t="shared" ca="1" si="12"/>
        <v>149007.7749359961</v>
      </c>
      <c r="F54" s="111">
        <f t="shared" ca="1" si="12"/>
        <v>167055.28347341291</v>
      </c>
      <c r="G54" s="111">
        <f t="shared" ca="1" si="12"/>
        <v>186984.05847152427</v>
      </c>
      <c r="H54" s="111">
        <f t="shared" ca="1" si="12"/>
        <v>212782.83001524169</v>
      </c>
      <c r="I54" s="111">
        <f t="shared" ca="1" si="12"/>
        <v>241129.87371045622</v>
      </c>
      <c r="J54" s="111">
        <f t="shared" ca="1" si="12"/>
        <v>276773.47764300299</v>
      </c>
      <c r="K54" s="10"/>
    </row>
    <row r="55" spans="1:11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 x14ac:dyDescent="0.3">
      <c r="A56" s="10"/>
      <c r="B56" s="11" t="s">
        <v>69</v>
      </c>
      <c r="C56" s="12"/>
      <c r="D56" s="12"/>
      <c r="E56" s="12"/>
      <c r="F56" s="12"/>
      <c r="G56" s="12"/>
      <c r="H56" s="12"/>
      <c r="I56" s="12"/>
      <c r="J56" s="12"/>
      <c r="K56" s="10"/>
    </row>
    <row r="57" spans="1:11" ht="15" customHeight="1" x14ac:dyDescent="0.3">
      <c r="A57" s="10"/>
      <c r="B57" s="119" t="s">
        <v>70</v>
      </c>
      <c r="C57" s="39">
        <v>80000</v>
      </c>
      <c r="D57" s="113">
        <f t="shared" ref="D57:J57" si="13">C57+D97</f>
        <v>111676.04000000001</v>
      </c>
      <c r="E57" s="113">
        <f t="shared" si="13"/>
        <v>148562.96000000002</v>
      </c>
      <c r="F57" s="113">
        <f t="shared" si="13"/>
        <v>187984.16892500001</v>
      </c>
      <c r="G57" s="113">
        <f t="shared" si="13"/>
        <v>229695.62544875001</v>
      </c>
      <c r="H57" s="113">
        <f t="shared" si="13"/>
        <v>273353.46854867187</v>
      </c>
      <c r="I57" s="113">
        <f t="shared" si="13"/>
        <v>318627.94623706775</v>
      </c>
      <c r="J57" s="113">
        <f t="shared" si="13"/>
        <v>365255.95147940563</v>
      </c>
      <c r="K57" s="10"/>
    </row>
    <row r="58" spans="1:11" ht="15" customHeight="1" x14ac:dyDescent="0.3">
      <c r="A58" s="10"/>
      <c r="B58" s="72" t="s">
        <v>71</v>
      </c>
      <c r="C58" s="37">
        <v>25000</v>
      </c>
      <c r="D58" s="3">
        <f t="shared" ref="D58:J58" si="14">C58+D89</f>
        <v>44152.612500000003</v>
      </c>
      <c r="E58" s="3">
        <f t="shared" si="14"/>
        <v>66325.840500000006</v>
      </c>
      <c r="F58" s="3">
        <f t="shared" si="14"/>
        <v>92146.684500000003</v>
      </c>
      <c r="G58" s="3">
        <f t="shared" si="14"/>
        <v>119741.5307475</v>
      </c>
      <c r="H58" s="3">
        <f t="shared" si="14"/>
        <v>148939.55031412499</v>
      </c>
      <c r="I58" s="3">
        <f t="shared" si="14"/>
        <v>179500.04048407031</v>
      </c>
      <c r="J58" s="3">
        <f t="shared" si="14"/>
        <v>211192.17486594743</v>
      </c>
      <c r="K58" s="10"/>
    </row>
    <row r="59" spans="1:11" ht="15.75" customHeight="1" x14ac:dyDescent="0.3">
      <c r="A59" s="10"/>
      <c r="B59" s="119" t="s">
        <v>233</v>
      </c>
      <c r="C59" s="113">
        <f t="shared" ref="C59:J59" si="15">C57-C58</f>
        <v>55000</v>
      </c>
      <c r="D59" s="113">
        <f t="shared" si="15"/>
        <v>67523.427500000005</v>
      </c>
      <c r="E59" s="113">
        <f t="shared" si="15"/>
        <v>82237.119500000015</v>
      </c>
      <c r="F59" s="113">
        <f t="shared" si="15"/>
        <v>95837.484425000002</v>
      </c>
      <c r="G59" s="113">
        <f t="shared" si="15"/>
        <v>109954.09470125001</v>
      </c>
      <c r="H59" s="113">
        <f t="shared" si="15"/>
        <v>124413.91823454687</v>
      </c>
      <c r="I59" s="113">
        <f t="shared" si="15"/>
        <v>139127.90575299744</v>
      </c>
      <c r="J59" s="113">
        <f t="shared" si="15"/>
        <v>154063.77661345821</v>
      </c>
      <c r="K59" s="10"/>
    </row>
    <row r="60" spans="1:11" ht="15.75" customHeight="1" x14ac:dyDescent="0.3">
      <c r="A60" s="10"/>
      <c r="B60" s="8"/>
      <c r="C60" s="5"/>
      <c r="D60" s="5"/>
      <c r="E60" s="5"/>
      <c r="F60" s="5"/>
      <c r="G60" s="5"/>
      <c r="H60" s="5"/>
      <c r="I60" s="5"/>
      <c r="J60" s="5"/>
      <c r="K60" s="10"/>
    </row>
    <row r="61" spans="1:11" ht="15.75" customHeight="1" x14ac:dyDescent="0.3">
      <c r="A61" s="10"/>
      <c r="B61" s="72" t="s">
        <v>72</v>
      </c>
      <c r="C61" s="37">
        <v>35000</v>
      </c>
      <c r="D61" s="2">
        <f>C61*(1+'Google Drivers'!E$64)</f>
        <v>38000</v>
      </c>
      <c r="E61" s="2">
        <f>D61*(1+'Google Drivers'!F$64)</f>
        <v>42000.000000000007</v>
      </c>
      <c r="F61" s="2">
        <f>E61*(1+'Google Drivers'!G$64)</f>
        <v>45360.000000000007</v>
      </c>
      <c r="G61" s="2">
        <f>F61*(1+'Google Drivers'!H$64)</f>
        <v>48988.80000000001</v>
      </c>
      <c r="H61" s="2">
        <f>G61*(1+'Google Drivers'!I$64)</f>
        <v>52907.904000000017</v>
      </c>
      <c r="I61" s="2">
        <f>H61*(1+'Google Drivers'!J$64)</f>
        <v>57140.536320000021</v>
      </c>
      <c r="J61" s="2">
        <f>I61*(1+'Google Drivers'!K$64)</f>
        <v>61711.779225600025</v>
      </c>
      <c r="K61" s="10"/>
    </row>
    <row r="62" spans="1:11" ht="15.75" customHeight="1" x14ac:dyDescent="0.3">
      <c r="A62" s="10"/>
      <c r="B62" s="118" t="s">
        <v>73</v>
      </c>
      <c r="C62" s="111">
        <f t="shared" ref="C62:J62" si="16">C59+C61</f>
        <v>90000</v>
      </c>
      <c r="D62" s="111">
        <f t="shared" si="16"/>
        <v>105523.42750000001</v>
      </c>
      <c r="E62" s="111">
        <f t="shared" si="16"/>
        <v>124237.11950000003</v>
      </c>
      <c r="F62" s="111">
        <f t="shared" si="16"/>
        <v>141197.484425</v>
      </c>
      <c r="G62" s="111">
        <f t="shared" si="16"/>
        <v>158942.89470125001</v>
      </c>
      <c r="H62" s="111">
        <f t="shared" si="16"/>
        <v>177321.82223454688</v>
      </c>
      <c r="I62" s="111">
        <f t="shared" si="16"/>
        <v>196268.44207299745</v>
      </c>
      <c r="J62" s="111">
        <f t="shared" si="16"/>
        <v>215775.55583905824</v>
      </c>
      <c r="K62" s="10"/>
    </row>
    <row r="63" spans="1:11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" customHeight="1" thickBot="1" x14ac:dyDescent="0.35">
      <c r="A64" s="10"/>
      <c r="B64" s="120" t="s">
        <v>74</v>
      </c>
      <c r="C64" s="121">
        <f t="shared" ref="C64:J64" si="17">C54+C62</f>
        <v>217285.13972602738</v>
      </c>
      <c r="D64" s="121">
        <f t="shared" ca="1" si="17"/>
        <v>242922.12787776528</v>
      </c>
      <c r="E64" s="121">
        <f t="shared" ca="1" si="17"/>
        <v>273244.89443599613</v>
      </c>
      <c r="F64" s="121">
        <f t="shared" ca="1" si="17"/>
        <v>308252.76789841289</v>
      </c>
      <c r="G64" s="121">
        <f t="shared" ca="1" si="17"/>
        <v>345926.95317277429</v>
      </c>
      <c r="H64" s="121">
        <f t="shared" ca="1" si="17"/>
        <v>390104.65224978857</v>
      </c>
      <c r="I64" s="121">
        <f t="shared" ca="1" si="17"/>
        <v>437398.31578345364</v>
      </c>
      <c r="J64" s="121">
        <f t="shared" ca="1" si="17"/>
        <v>492549.03348206123</v>
      </c>
      <c r="K64" s="10"/>
    </row>
    <row r="65" spans="1:11" ht="15.75" customHeight="1" thickTop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" customHeight="1" x14ac:dyDescent="0.3">
      <c r="A66" s="10"/>
      <c r="B66" s="31" t="s">
        <v>75</v>
      </c>
      <c r="C66" s="31"/>
      <c r="D66" s="31"/>
      <c r="E66" s="31"/>
      <c r="F66" s="31"/>
      <c r="G66" s="31"/>
      <c r="H66" s="31"/>
      <c r="I66" s="31"/>
      <c r="J66" s="31"/>
      <c r="K66" s="10"/>
    </row>
    <row r="67" spans="1:11" ht="1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" customHeight="1" x14ac:dyDescent="0.3">
      <c r="A68" s="10"/>
      <c r="B68" s="11" t="s">
        <v>76</v>
      </c>
      <c r="C68" s="12"/>
      <c r="D68" s="12"/>
      <c r="E68" s="12"/>
      <c r="F68" s="12"/>
      <c r="G68" s="12"/>
      <c r="H68" s="12"/>
      <c r="I68" s="12"/>
      <c r="J68" s="12"/>
      <c r="K68" s="10"/>
    </row>
    <row r="69" spans="1:11" ht="15" customHeight="1" x14ac:dyDescent="0.3">
      <c r="A69" s="10"/>
      <c r="B69" s="72" t="s">
        <v>77</v>
      </c>
      <c r="C69" s="2">
        <f>(C19+C23+C24+C25)*INDEX('Google Drivers'!D$59:D$61,MATCH($D$5,'Google Drivers'!$C$59:$C$61,0))/365</f>
        <v>15140.983495890412</v>
      </c>
      <c r="D69" s="2">
        <f>(D19+D23+D24+D25)*INDEX('Google Drivers'!E$59:E$61,MATCH($D$5,'Google Drivers'!$C$59:$C$61,0))/365</f>
        <v>16857.728136986301</v>
      </c>
      <c r="E69" s="2">
        <f>(E19+E23+E24+E25)*INDEX('Google Drivers'!F$59:F$61,MATCH($D$5,'Google Drivers'!$C$59:$C$61,0))/365</f>
        <v>18800.057621917811</v>
      </c>
      <c r="F69" s="2">
        <f>(F19+F23+F24+F25)*INDEX('Google Drivers'!G$59:G$61,MATCH($D$5,'Google Drivers'!$C$59:$C$61,0))/365</f>
        <v>20618.232296602739</v>
      </c>
      <c r="G69" s="2">
        <f>(G19+G23+G24+G25)*INDEX('Google Drivers'!H$59:H$61,MATCH($D$5,'Google Drivers'!$C$59:$C$61,0))/365</f>
        <v>23044.590785460619</v>
      </c>
      <c r="H69" s="2">
        <f>(H19+H23+H24+H25)*INDEX('Google Drivers'!I$59:I$61,MATCH($D$5,'Google Drivers'!$C$59:$C$61,0))/365</f>
        <v>24783.301617270718</v>
      </c>
      <c r="I69" s="2">
        <f>(I19+I23+I24+I25)*INDEX('Google Drivers'!J$59:J$61,MATCH($D$5,'Google Drivers'!$C$59:$C$61,0))/365</f>
        <v>27239.110411977348</v>
      </c>
      <c r="J69" s="2">
        <f>(J19+J23+J24+J25)*INDEX('Google Drivers'!K$59:K$61,MATCH($D$5,'Google Drivers'!$C$59:$C$61,0))/365</f>
        <v>28913.251231627626</v>
      </c>
      <c r="K69" s="10"/>
    </row>
    <row r="70" spans="1:11" ht="15.75" customHeight="1" x14ac:dyDescent="0.3">
      <c r="A70" s="10"/>
      <c r="B70" s="72" t="s">
        <v>78</v>
      </c>
      <c r="C70" s="37">
        <v>12000</v>
      </c>
      <c r="D70" s="2">
        <f>C70*(1+'Google Drivers'!E$65)</f>
        <v>13000</v>
      </c>
      <c r="E70" s="2">
        <f>D70*(1+'Google Drivers'!F$65)</f>
        <v>14000</v>
      </c>
      <c r="F70" s="2">
        <f>E70*(1+'Google Drivers'!G$65)</f>
        <v>14840</v>
      </c>
      <c r="G70" s="2">
        <f>F70*(1+'Google Drivers'!H$65)</f>
        <v>15730.400000000001</v>
      </c>
      <c r="H70" s="2">
        <f>G70*(1+'Google Drivers'!I$65)</f>
        <v>16674.224000000002</v>
      </c>
      <c r="I70" s="2">
        <f>H70*(1+'Google Drivers'!J$65)</f>
        <v>17674.677440000003</v>
      </c>
      <c r="J70" s="2">
        <f>I70*(1+'Google Drivers'!K$65)</f>
        <v>18735.158086400003</v>
      </c>
      <c r="K70" s="10"/>
    </row>
    <row r="71" spans="1:11" ht="15.75" customHeight="1" x14ac:dyDescent="0.3">
      <c r="A71" s="10"/>
      <c r="B71" s="118" t="s">
        <v>79</v>
      </c>
      <c r="C71" s="111">
        <f t="shared" ref="C71:J71" si="18">SUM(C69:C70)</f>
        <v>27140.98349589041</v>
      </c>
      <c r="D71" s="111">
        <f t="shared" si="18"/>
        <v>29857.728136986301</v>
      </c>
      <c r="E71" s="111">
        <f t="shared" si="18"/>
        <v>32800.057621917811</v>
      </c>
      <c r="F71" s="111">
        <f t="shared" si="18"/>
        <v>35458.232296602742</v>
      </c>
      <c r="G71" s="111">
        <f t="shared" si="18"/>
        <v>38774.990785460621</v>
      </c>
      <c r="H71" s="111">
        <f t="shared" si="18"/>
        <v>41457.525617270716</v>
      </c>
      <c r="I71" s="111">
        <f t="shared" si="18"/>
        <v>44913.787851977351</v>
      </c>
      <c r="J71" s="111">
        <f t="shared" si="18"/>
        <v>47648.409318027625</v>
      </c>
      <c r="K71" s="10"/>
    </row>
    <row r="72" spans="1:11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" customHeight="1" x14ac:dyDescent="0.3">
      <c r="A73" s="10"/>
      <c r="B73" s="86" t="s">
        <v>80</v>
      </c>
      <c r="C73" s="37">
        <v>15000</v>
      </c>
      <c r="D73" s="37">
        <v>14000</v>
      </c>
      <c r="E73" s="37">
        <v>13000</v>
      </c>
      <c r="F73" s="37">
        <v>12500</v>
      </c>
      <c r="G73" s="37">
        <v>12000</v>
      </c>
      <c r="H73" s="37">
        <v>11500</v>
      </c>
      <c r="I73" s="37">
        <v>11000</v>
      </c>
      <c r="J73" s="37">
        <v>10500</v>
      </c>
      <c r="K73" s="10"/>
    </row>
    <row r="74" spans="1:11" ht="15.75" customHeight="1" x14ac:dyDescent="0.3">
      <c r="A74" s="10"/>
      <c r="B74" s="118" t="s">
        <v>81</v>
      </c>
      <c r="C74" s="111">
        <f t="shared" ref="C74:J74" si="19">C71+C73</f>
        <v>42140.98349589041</v>
      </c>
      <c r="D74" s="111">
        <f t="shared" si="19"/>
        <v>43857.728136986305</v>
      </c>
      <c r="E74" s="111">
        <f t="shared" si="19"/>
        <v>45800.057621917811</v>
      </c>
      <c r="F74" s="111">
        <f t="shared" si="19"/>
        <v>47958.232296602742</v>
      </c>
      <c r="G74" s="111">
        <f t="shared" si="19"/>
        <v>50774.990785460621</v>
      </c>
      <c r="H74" s="111">
        <f t="shared" si="19"/>
        <v>52957.525617270716</v>
      </c>
      <c r="I74" s="111">
        <f t="shared" si="19"/>
        <v>55913.787851977351</v>
      </c>
      <c r="J74" s="111">
        <f t="shared" si="19"/>
        <v>58148.409318027625</v>
      </c>
      <c r="K74" s="10"/>
    </row>
    <row r="75" spans="1:11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" customHeight="1" x14ac:dyDescent="0.3">
      <c r="A76" s="10"/>
      <c r="B76" s="11" t="s">
        <v>82</v>
      </c>
      <c r="C76" s="12"/>
      <c r="D76" s="12"/>
      <c r="E76" s="12"/>
      <c r="F76" s="12"/>
      <c r="G76" s="12"/>
      <c r="H76" s="12"/>
      <c r="I76" s="12"/>
      <c r="J76" s="12"/>
      <c r="K76" s="10"/>
    </row>
    <row r="77" spans="1:11" ht="15" customHeight="1" x14ac:dyDescent="0.3">
      <c r="A77" s="10"/>
      <c r="B77" s="72" t="s">
        <v>234</v>
      </c>
      <c r="C77" s="37">
        <v>50000</v>
      </c>
      <c r="D77" s="3">
        <f t="shared" ref="D77:J77" si="20">C77+D90</f>
        <v>72797.149999999994</v>
      </c>
      <c r="E77" s="3">
        <f t="shared" si="20"/>
        <v>98617.993999999992</v>
      </c>
      <c r="F77" s="3">
        <f t="shared" si="20"/>
        <v>126358.84472499999</v>
      </c>
      <c r="G77" s="3">
        <f t="shared" si="20"/>
        <v>156198.579007375</v>
      </c>
      <c r="H77" s="3">
        <f t="shared" si="20"/>
        <v>187632.22603931875</v>
      </c>
      <c r="I77" s="3">
        <f t="shared" si="20"/>
        <v>220833.50967747573</v>
      </c>
      <c r="J77" s="3">
        <f t="shared" si="20"/>
        <v>255297.68746529066</v>
      </c>
      <c r="K77" s="10"/>
    </row>
    <row r="78" spans="1:11" ht="15.75" customHeight="1" x14ac:dyDescent="0.3">
      <c r="A78" s="10"/>
      <c r="B78" s="72" t="s">
        <v>235</v>
      </c>
      <c r="C78" s="37">
        <v>24855.843769863</v>
      </c>
      <c r="D78" s="3">
        <f t="shared" ref="D78:J78" ca="1" si="21">C78+D102</f>
        <v>50351.205177131509</v>
      </c>
      <c r="E78" s="3">
        <f t="shared" ca="1" si="21"/>
        <v>79762.828851823928</v>
      </c>
      <c r="F78" s="3">
        <f t="shared" ca="1" si="21"/>
        <v>113542.09077246315</v>
      </c>
      <c r="G78" s="3">
        <f t="shared" ca="1" si="21"/>
        <v>153613.35072638959</v>
      </c>
      <c r="H78" s="3">
        <f t="shared" ca="1" si="21"/>
        <v>194977.58651373978</v>
      </c>
      <c r="I78" s="3">
        <f t="shared" ca="1" si="21"/>
        <v>243032.55416404587</v>
      </c>
      <c r="J78" s="3">
        <f t="shared" ca="1" si="21"/>
        <v>291287.50728074729</v>
      </c>
      <c r="K78" s="10"/>
    </row>
    <row r="79" spans="1:11" ht="15.75" customHeight="1" x14ac:dyDescent="0.3">
      <c r="A79" s="10"/>
      <c r="B79" s="72" t="s">
        <v>83</v>
      </c>
      <c r="C79" s="37">
        <v>150000</v>
      </c>
      <c r="D79" s="3">
        <f t="shared" ref="D79:J79" ca="1" si="22">C79+D88</f>
        <v>176618.45491791054</v>
      </c>
      <c r="E79" s="3">
        <f t="shared" ca="1" si="22"/>
        <v>208589.67166590225</v>
      </c>
      <c r="F79" s="3">
        <f t="shared" ca="1" si="22"/>
        <v>247477.78164927335</v>
      </c>
      <c r="G79" s="3">
        <f t="shared" ca="1" si="22"/>
        <v>292566.73410632822</v>
      </c>
      <c r="H79" s="3">
        <f t="shared" ca="1" si="22"/>
        <v>344492.48710693885</v>
      </c>
      <c r="I79" s="3">
        <f t="shared" ca="1" si="22"/>
        <v>403683.57241804642</v>
      </c>
      <c r="J79" s="3">
        <f t="shared" ca="1" si="22"/>
        <v>470390.44397949008</v>
      </c>
      <c r="K79" s="10"/>
    </row>
    <row r="80" spans="1:11" ht="15.75" customHeight="1" x14ac:dyDescent="0.3">
      <c r="A80" s="10"/>
      <c r="B80" s="118" t="s">
        <v>84</v>
      </c>
      <c r="C80" s="111">
        <f t="shared" ref="C80:J80" si="23">C77-C78+C79</f>
        <v>175144.15623013698</v>
      </c>
      <c r="D80" s="111">
        <f t="shared" ca="1" si="23"/>
        <v>199064.39974077902</v>
      </c>
      <c r="E80" s="111">
        <f t="shared" ca="1" si="23"/>
        <v>227444.83681407833</v>
      </c>
      <c r="F80" s="111">
        <f t="shared" ca="1" si="23"/>
        <v>260294.5356018102</v>
      </c>
      <c r="G80" s="111">
        <f t="shared" ca="1" si="23"/>
        <v>295151.9623873136</v>
      </c>
      <c r="H80" s="111">
        <f t="shared" ca="1" si="23"/>
        <v>337147.12663251779</v>
      </c>
      <c r="I80" s="111">
        <f t="shared" ca="1" si="23"/>
        <v>381484.52793147624</v>
      </c>
      <c r="J80" s="111">
        <f t="shared" ca="1" si="23"/>
        <v>434400.62416403345</v>
      </c>
      <c r="K80" s="10"/>
    </row>
    <row r="81" spans="1:11" ht="1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thickBot="1" x14ac:dyDescent="0.35">
      <c r="A82" s="10"/>
      <c r="B82" s="120" t="s">
        <v>85</v>
      </c>
      <c r="C82" s="121">
        <f t="shared" ref="C82:J82" si="24">C74+C80</f>
        <v>217285.13972602738</v>
      </c>
      <c r="D82" s="121">
        <f t="shared" ca="1" si="24"/>
        <v>242922.12787776534</v>
      </c>
      <c r="E82" s="121">
        <f t="shared" ca="1" si="24"/>
        <v>273244.89443599613</v>
      </c>
      <c r="F82" s="121">
        <f t="shared" ca="1" si="24"/>
        <v>308252.76789841295</v>
      </c>
      <c r="G82" s="121">
        <f t="shared" ca="1" si="24"/>
        <v>345926.95317277423</v>
      </c>
      <c r="H82" s="121">
        <f t="shared" ca="1" si="24"/>
        <v>390104.65224978852</v>
      </c>
      <c r="I82" s="121">
        <f t="shared" ca="1" si="24"/>
        <v>437398.31578345358</v>
      </c>
      <c r="J82" s="121">
        <f t="shared" ca="1" si="24"/>
        <v>492549.03348206106</v>
      </c>
      <c r="K82" s="10"/>
    </row>
    <row r="83" spans="1:11" ht="15" customHeight="1" thickTop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3">
      <c r="A84" s="10"/>
      <c r="B84" s="87" t="s">
        <v>86</v>
      </c>
      <c r="C84" s="3">
        <f t="shared" ref="C84:J84" si="25">C64-C82</f>
        <v>0</v>
      </c>
      <c r="D84" s="3">
        <f t="shared" ca="1" si="25"/>
        <v>0</v>
      </c>
      <c r="E84" s="3">
        <f t="shared" ca="1" si="25"/>
        <v>0</v>
      </c>
      <c r="F84" s="3">
        <f t="shared" ca="1" si="25"/>
        <v>0</v>
      </c>
      <c r="G84" s="3">
        <f t="shared" ca="1" si="25"/>
        <v>0</v>
      </c>
      <c r="H84" s="3">
        <f t="shared" ca="1" si="25"/>
        <v>0</v>
      </c>
      <c r="I84" s="3">
        <f t="shared" ca="1" si="25"/>
        <v>0</v>
      </c>
      <c r="J84" s="3">
        <f t="shared" ca="1" si="25"/>
        <v>0</v>
      </c>
      <c r="K84" s="10"/>
    </row>
    <row r="85" spans="1:11" ht="15" customHeight="1" thickBo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3">
      <c r="A86" s="10"/>
      <c r="B86" s="21" t="s">
        <v>87</v>
      </c>
      <c r="C86" s="21"/>
      <c r="D86" s="21"/>
      <c r="E86" s="21"/>
      <c r="F86" s="21"/>
      <c r="G86" s="21"/>
      <c r="H86" s="21"/>
      <c r="I86" s="21"/>
      <c r="J86" s="21"/>
      <c r="K86" s="10"/>
    </row>
    <row r="87" spans="1:11" ht="13.5" customHeight="1" x14ac:dyDescent="0.3">
      <c r="A87" s="10"/>
      <c r="B87" s="32" t="s">
        <v>88</v>
      </c>
      <c r="C87" s="33"/>
      <c r="D87" s="33"/>
      <c r="E87" s="33"/>
      <c r="F87" s="33"/>
      <c r="G87" s="33"/>
      <c r="H87" s="33"/>
      <c r="I87" s="33"/>
      <c r="J87" s="33"/>
      <c r="K87" s="10"/>
    </row>
    <row r="88" spans="1:11" ht="15.75" customHeight="1" x14ac:dyDescent="0.3">
      <c r="A88" s="10"/>
      <c r="B88" s="119" t="s">
        <v>89</v>
      </c>
      <c r="C88" s="122"/>
      <c r="D88" s="113" cm="1">
        <f t="array" aca="1" ref="D88" ca="1">D37</f>
        <v>26618.454917910531</v>
      </c>
      <c r="E88" s="113" cm="1">
        <f t="array" aca="1" ref="E88" ca="1">E37</f>
        <v>31971.216747991726</v>
      </c>
      <c r="F88" s="113" cm="1">
        <f t="array" aca="1" ref="F88" ca="1">F37</f>
        <v>38888.109983371098</v>
      </c>
      <c r="G88" s="113" cm="1">
        <f t="array" aca="1" ref="G88" ca="1">G37</f>
        <v>45088.952457054889</v>
      </c>
      <c r="H88" s="113" cm="1">
        <f t="array" aca="1" ref="H88" ca="1">H37</f>
        <v>51925.753000610654</v>
      </c>
      <c r="I88" s="113" cm="1">
        <f t="array" aca="1" ref="I88" ca="1">I37</f>
        <v>59191.085311107578</v>
      </c>
      <c r="J88" s="113" cm="1">
        <f t="array" aca="1" ref="J88" ca="1">J37</f>
        <v>66706.871561443695</v>
      </c>
      <c r="K88" s="10"/>
    </row>
    <row r="89" spans="1:11" ht="15.75" customHeight="1" x14ac:dyDescent="0.3">
      <c r="A89" s="10"/>
      <c r="B89" s="72" t="s">
        <v>90</v>
      </c>
      <c r="C89" s="4"/>
      <c r="D89" s="2">
        <f>C$97*INDEX('Google Drivers'!E$73:E$75,MATCH($D$5,'Google Drivers'!$C$73:$C$75,0))</f>
        <v>19152.612499999999</v>
      </c>
      <c r="E89" s="2">
        <f>D$97*INDEX('Google Drivers'!F$73:F$75,MATCH($D$5,'Google Drivers'!$C$73:$C$75,0))</f>
        <v>22173.227999999999</v>
      </c>
      <c r="F89" s="2">
        <f>E$97*INDEX('Google Drivers'!G$73:G$75,MATCH($D$5,'Google Drivers'!$C$73:$C$75,0))</f>
        <v>25820.844000000001</v>
      </c>
      <c r="G89" s="2">
        <f>F$97*INDEX('Google Drivers'!H$73:H$75,MATCH($D$5,'Google Drivers'!$C$73:$C$75,0))</f>
        <v>27594.846247499998</v>
      </c>
      <c r="H89" s="2">
        <f>G$97*INDEX('Google Drivers'!I$73:I$75,MATCH($D$5,'Google Drivers'!$C$73:$C$75,0))</f>
        <v>29198.019566624997</v>
      </c>
      <c r="I89" s="2">
        <f>H$97*INDEX('Google Drivers'!J$73:J$75,MATCH($D$5,'Google Drivers'!$C$73:$C$75,0))</f>
        <v>30560.490169945311</v>
      </c>
      <c r="J89" s="2">
        <f>I$97*INDEX('Google Drivers'!K$73:K$75,MATCH($D$5,'Google Drivers'!$C$73:$C$75,0))</f>
        <v>31692.134381877106</v>
      </c>
      <c r="K89" s="10"/>
    </row>
    <row r="90" spans="1:11" ht="15.75" customHeight="1" x14ac:dyDescent="0.3">
      <c r="A90" s="10"/>
      <c r="B90" s="72" t="s">
        <v>91</v>
      </c>
      <c r="C90" s="5"/>
      <c r="D90" s="3" cm="1">
        <f t="array" ref="D90">D26</f>
        <v>22797.15</v>
      </c>
      <c r="E90" s="3" cm="1">
        <f t="array" ref="E90">E26</f>
        <v>25820.844000000001</v>
      </c>
      <c r="F90" s="3" cm="1">
        <f t="array" ref="F90">F26</f>
        <v>27740.850724999997</v>
      </c>
      <c r="G90" s="3" cm="1">
        <f t="array" ref="G90">G26</f>
        <v>29839.734282375004</v>
      </c>
      <c r="H90" s="3" cm="1">
        <f t="array" ref="H90">H26</f>
        <v>31433.64703194375</v>
      </c>
      <c r="I90" s="3" cm="1">
        <f t="array" ref="I90">I26</f>
        <v>33201.283638156972</v>
      </c>
      <c r="J90" s="3" cm="1">
        <f t="array" ref="J90">J26</f>
        <v>34464.17778781493</v>
      </c>
      <c r="K90" s="10"/>
    </row>
    <row r="91" spans="1:11" ht="15" customHeight="1" x14ac:dyDescent="0.3">
      <c r="A91" s="10"/>
      <c r="B91" s="34" t="s">
        <v>92</v>
      </c>
      <c r="C91" s="12"/>
      <c r="D91" s="12"/>
      <c r="E91" s="12"/>
      <c r="F91" s="12"/>
      <c r="G91" s="12"/>
      <c r="H91" s="12"/>
      <c r="I91" s="12"/>
      <c r="J91" s="12"/>
      <c r="K91" s="10"/>
    </row>
    <row r="92" spans="1:11" ht="15.75" customHeight="1" x14ac:dyDescent="0.3">
      <c r="A92" s="10"/>
      <c r="B92" s="88" t="s">
        <v>105</v>
      </c>
      <c r="C92" s="10"/>
      <c r="D92" s="3">
        <f t="shared" ref="D92:J92" si="26">-(SUM(D52:D53)-SUM(C52:C53))</f>
        <v>-2615.1068493150669</v>
      </c>
      <c r="E92" s="3">
        <f t="shared" si="26"/>
        <v>-2805.2000000000044</v>
      </c>
      <c r="F92" s="3">
        <f t="shared" si="26"/>
        <v>-4070.6819999999934</v>
      </c>
      <c r="G92" s="3">
        <f t="shared" si="26"/>
        <v>-3255.3778750000056</v>
      </c>
      <c r="H92" s="3">
        <f t="shared" si="26"/>
        <v>-4025.7215043749966</v>
      </c>
      <c r="I92" s="3">
        <f t="shared" si="26"/>
        <v>-2971.2918835112578</v>
      </c>
      <c r="J92" s="3">
        <f t="shared" si="26"/>
        <v>-3973.635188079119</v>
      </c>
      <c r="K92" s="10"/>
    </row>
    <row r="93" spans="1:11" ht="15.75" customHeight="1" x14ac:dyDescent="0.3">
      <c r="A93" s="10"/>
      <c r="B93" s="88" t="s">
        <v>106</v>
      </c>
      <c r="C93" s="10"/>
      <c r="D93" s="3">
        <f t="shared" ref="D93:J93" si="27">SUM(D69:D70)-SUM(C69:C70)</f>
        <v>2716.744641095891</v>
      </c>
      <c r="E93" s="3">
        <f t="shared" si="27"/>
        <v>2942.3294849315098</v>
      </c>
      <c r="F93" s="3">
        <f t="shared" si="27"/>
        <v>2658.1746746849312</v>
      </c>
      <c r="G93" s="3">
        <f t="shared" si="27"/>
        <v>3316.7584888578785</v>
      </c>
      <c r="H93" s="3">
        <f t="shared" si="27"/>
        <v>2682.5348318100951</v>
      </c>
      <c r="I93" s="3">
        <f t="shared" si="27"/>
        <v>3456.2622347066354</v>
      </c>
      <c r="J93" s="3">
        <f t="shared" si="27"/>
        <v>2734.6214660502737</v>
      </c>
      <c r="K93" s="10"/>
    </row>
    <row r="94" spans="1:11" ht="15.75" customHeight="1" x14ac:dyDescent="0.3">
      <c r="A94" s="10"/>
      <c r="B94" s="110" t="s">
        <v>93</v>
      </c>
      <c r="C94" s="123"/>
      <c r="D94" s="111">
        <f t="shared" ref="D94:J94" ca="1" si="28">SUM(D88:D93)</f>
        <v>68669.855209691348</v>
      </c>
      <c r="E94" s="111">
        <f t="shared" ca="1" si="28"/>
        <v>80102.418232923228</v>
      </c>
      <c r="F94" s="111">
        <f t="shared" ca="1" si="28"/>
        <v>91037.297383056051</v>
      </c>
      <c r="G94" s="111">
        <f t="shared" ca="1" si="28"/>
        <v>102584.91360078775</v>
      </c>
      <c r="H94" s="111">
        <f t="shared" ca="1" si="28"/>
        <v>111214.2329266145</v>
      </c>
      <c r="I94" s="111">
        <f t="shared" ca="1" si="28"/>
        <v>123437.82947040524</v>
      </c>
      <c r="J94" s="111">
        <f t="shared" ca="1" si="28"/>
        <v>131624.17000910689</v>
      </c>
      <c r="K94" s="10"/>
    </row>
    <row r="95" spans="1:11" ht="1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ht="15" customHeight="1" x14ac:dyDescent="0.3">
      <c r="A96" s="10"/>
      <c r="B96" s="11" t="s">
        <v>94</v>
      </c>
      <c r="C96" s="12"/>
      <c r="D96" s="12"/>
      <c r="E96" s="12"/>
      <c r="F96" s="12"/>
      <c r="G96" s="12"/>
      <c r="H96" s="12"/>
      <c r="I96" s="12"/>
      <c r="J96" s="12"/>
      <c r="K96" s="10"/>
    </row>
    <row r="97" spans="1:11" ht="15.75" customHeight="1" x14ac:dyDescent="0.3">
      <c r="A97" s="10"/>
      <c r="B97" s="72" t="s">
        <v>95</v>
      </c>
      <c r="C97" s="2">
        <f>C$16*INDEX('Google Drivers'!D$69:D$71,MATCH($D$5,'Google Drivers'!$C$69:$C$71,0))</f>
        <v>27360.875</v>
      </c>
      <c r="D97" s="2">
        <f>D$16*INDEX('Google Drivers'!E$69:E$71,MATCH($D$5,'Google Drivers'!$C$69:$C$71,0))</f>
        <v>31676.04</v>
      </c>
      <c r="E97" s="2">
        <f>E$16*INDEX('Google Drivers'!F$69:F$71,MATCH($D$5,'Google Drivers'!$C$69:$C$71,0))</f>
        <v>36886.920000000006</v>
      </c>
      <c r="F97" s="2">
        <f>F$16*INDEX('Google Drivers'!G$69:G$71,MATCH($D$5,'Google Drivers'!$C$69:$C$71,0))</f>
        <v>39421.208924999999</v>
      </c>
      <c r="G97" s="2">
        <f>G$16*INDEX('Google Drivers'!H$69:H$71,MATCH($D$5,'Google Drivers'!$C$69:$C$71,0))</f>
        <v>41711.456523749999</v>
      </c>
      <c r="H97" s="2">
        <f>H$16*INDEX('Google Drivers'!I$69:I$71,MATCH($D$5,'Google Drivers'!$C$69:$C$71,0))</f>
        <v>43657.843099921876</v>
      </c>
      <c r="I97" s="2">
        <f>I$16*INDEX('Google Drivers'!J$69:J$71,MATCH($D$5,'Google Drivers'!$C$69:$C$71,0))</f>
        <v>45274.477688395869</v>
      </c>
      <c r="J97" s="2">
        <f>J$16*INDEX('Google Drivers'!K$69:K$71,MATCH($D$5,'Google Drivers'!$C$69:$C$71,0))</f>
        <v>46628.005242337851</v>
      </c>
      <c r="K97" s="10"/>
    </row>
    <row r="98" spans="1:11" ht="15.75" customHeight="1" x14ac:dyDescent="0.3">
      <c r="A98" s="10"/>
      <c r="B98" s="72" t="s">
        <v>236</v>
      </c>
      <c r="C98" s="2"/>
      <c r="D98" s="3">
        <f t="shared" ref="D98:J98" si="29">D61-C61</f>
        <v>3000</v>
      </c>
      <c r="E98" s="3">
        <f t="shared" si="29"/>
        <v>4000.0000000000073</v>
      </c>
      <c r="F98" s="3">
        <f t="shared" si="29"/>
        <v>3360</v>
      </c>
      <c r="G98" s="3">
        <f t="shared" si="29"/>
        <v>3628.8000000000029</v>
      </c>
      <c r="H98" s="3">
        <f t="shared" si="29"/>
        <v>3919.1040000000066</v>
      </c>
      <c r="I98" s="3">
        <f t="shared" si="29"/>
        <v>4232.6323200000043</v>
      </c>
      <c r="J98" s="3">
        <f t="shared" si="29"/>
        <v>4571.2429056000037</v>
      </c>
      <c r="K98" s="10"/>
    </row>
    <row r="99" spans="1:11" ht="15" customHeight="1" x14ac:dyDescent="0.3">
      <c r="A99" s="10"/>
      <c r="B99" s="110" t="s">
        <v>96</v>
      </c>
      <c r="C99" s="123"/>
      <c r="D99" s="111">
        <f t="shared" ref="D99:J99" si="30">-D97-D98</f>
        <v>-34676.04</v>
      </c>
      <c r="E99" s="111">
        <f t="shared" si="30"/>
        <v>-40886.920000000013</v>
      </c>
      <c r="F99" s="111">
        <f t="shared" si="30"/>
        <v>-42781.208924999999</v>
      </c>
      <c r="G99" s="111">
        <f t="shared" si="30"/>
        <v>-45340.256523750002</v>
      </c>
      <c r="H99" s="111">
        <f t="shared" si="30"/>
        <v>-47576.947099921883</v>
      </c>
      <c r="I99" s="111">
        <f t="shared" si="30"/>
        <v>-49507.110008395874</v>
      </c>
      <c r="J99" s="111">
        <f t="shared" si="30"/>
        <v>-51199.248147937855</v>
      </c>
      <c r="K99" s="10"/>
    </row>
    <row r="100" spans="1:11" ht="13.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5.75" customHeight="1" x14ac:dyDescent="0.3">
      <c r="A101" s="10"/>
      <c r="B101" s="11" t="s">
        <v>97</v>
      </c>
      <c r="C101" s="12"/>
      <c r="D101" s="12"/>
      <c r="E101" s="12"/>
      <c r="F101" s="12"/>
      <c r="G101" s="12"/>
      <c r="H101" s="12"/>
      <c r="I101" s="12"/>
      <c r="J101" s="12"/>
      <c r="K101" s="10"/>
    </row>
    <row r="102" spans="1:11" ht="15.75" customHeight="1" x14ac:dyDescent="0.3">
      <c r="A102" s="10"/>
      <c r="B102" s="72" t="s">
        <v>98</v>
      </c>
      <c r="C102" s="6"/>
      <c r="D102" s="2">
        <f ca="1">MAX(D94+D99,0)*INDEX('Google Drivers'!E$98:E$100,MATCH($D$5,'Google Drivers'!$C$98:$C$100,0))</f>
        <v>25495.361407268509</v>
      </c>
      <c r="E102" s="2">
        <f ca="1">MAX(E94+E99,0)*INDEX('Google Drivers'!F$98:F$100,MATCH($D$5,'Google Drivers'!$C$98:$C$100,0))</f>
        <v>29411.623674692411</v>
      </c>
      <c r="F102" s="2">
        <f ca="1">MAX(F94+F99,0)*INDEX('Google Drivers'!G$98:G$100,MATCH($D$5,'Google Drivers'!$C$98:$C$100,0))</f>
        <v>33779.261920639234</v>
      </c>
      <c r="G102" s="2">
        <f ca="1">MAX(G94+G99,0)*INDEX('Google Drivers'!H$98:H$100,MATCH($D$5,'Google Drivers'!$C$98:$C$100,0))</f>
        <v>40071.259953926427</v>
      </c>
      <c r="H102" s="2">
        <f ca="1">MAX(H94+H99,0)*INDEX('Google Drivers'!I$98:I$100,MATCH($D$5,'Google Drivers'!$C$98:$C$100,0))</f>
        <v>41364.235787350197</v>
      </c>
      <c r="I102" s="2">
        <f ca="1">MAX(I94+I99,0)*INDEX('Google Drivers'!J$98:J$100,MATCH($D$5,'Google Drivers'!$C$98:$C$100,0))</f>
        <v>48054.967650306091</v>
      </c>
      <c r="J102" s="2">
        <f ca="1">MAX(J94+J99,0)*INDEX('Google Drivers'!K$98:K$100,MATCH($D$5,'Google Drivers'!$C$98:$C$100,0))</f>
        <v>48254.953116701428</v>
      </c>
      <c r="K102" s="10"/>
    </row>
    <row r="103" spans="1:11" ht="15.75" customHeight="1" x14ac:dyDescent="0.3">
      <c r="A103" s="10"/>
      <c r="B103" s="72" t="s">
        <v>99</v>
      </c>
      <c r="C103" s="4"/>
      <c r="D103" s="3">
        <f t="shared" ref="D103:J103" si="31">-D$73+C$73</f>
        <v>1000</v>
      </c>
      <c r="E103" s="3">
        <f t="shared" si="31"/>
        <v>1000</v>
      </c>
      <c r="F103" s="3">
        <f t="shared" si="31"/>
        <v>500</v>
      </c>
      <c r="G103" s="3">
        <f t="shared" si="31"/>
        <v>500</v>
      </c>
      <c r="H103" s="3">
        <f t="shared" si="31"/>
        <v>500</v>
      </c>
      <c r="I103" s="3">
        <f t="shared" si="31"/>
        <v>500</v>
      </c>
      <c r="J103" s="3">
        <f t="shared" si="31"/>
        <v>500</v>
      </c>
      <c r="K103" s="10"/>
    </row>
    <row r="104" spans="1:11" ht="15" customHeight="1" x14ac:dyDescent="0.3">
      <c r="A104" s="10"/>
      <c r="B104" s="110" t="s">
        <v>100</v>
      </c>
      <c r="C104" s="123"/>
      <c r="D104" s="111">
        <f t="shared" ref="D104:J104" ca="1" si="32">-D102-D103</f>
        <v>-26495.361407268509</v>
      </c>
      <c r="E104" s="111">
        <f t="shared" ca="1" si="32"/>
        <v>-30411.623674692411</v>
      </c>
      <c r="F104" s="111">
        <f t="shared" ca="1" si="32"/>
        <v>-34279.261920639234</v>
      </c>
      <c r="G104" s="111">
        <f t="shared" ca="1" si="32"/>
        <v>-40571.259953926427</v>
      </c>
      <c r="H104" s="111">
        <f t="shared" ca="1" si="32"/>
        <v>-41864.235787350197</v>
      </c>
      <c r="I104" s="111">
        <f t="shared" ca="1" si="32"/>
        <v>-48554.967650306091</v>
      </c>
      <c r="J104" s="111">
        <f t="shared" ca="1" si="32"/>
        <v>-48754.953116701428</v>
      </c>
      <c r="K104" s="10"/>
    </row>
    <row r="105" spans="1:11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 x14ac:dyDescent="0.3">
      <c r="A106" s="10"/>
      <c r="B106" s="112" t="s">
        <v>101</v>
      </c>
      <c r="C106" s="122"/>
      <c r="D106" s="113">
        <f t="shared" ref="D106:J106" ca="1" si="33">D94+D99+D104</f>
        <v>7498.4538024228386</v>
      </c>
      <c r="E106" s="113">
        <f t="shared" ca="1" si="33"/>
        <v>8803.8745582308038</v>
      </c>
      <c r="F106" s="113">
        <f t="shared" ca="1" si="33"/>
        <v>13976.826537416819</v>
      </c>
      <c r="G106" s="113">
        <f t="shared" ca="1" si="33"/>
        <v>16673.397123111325</v>
      </c>
      <c r="H106" s="113">
        <f t="shared" ca="1" si="33"/>
        <v>21773.050039342415</v>
      </c>
      <c r="I106" s="113">
        <f t="shared" ca="1" si="33"/>
        <v>25375.751811703274</v>
      </c>
      <c r="J106" s="113">
        <f t="shared" ca="1" si="33"/>
        <v>31669.968744467616</v>
      </c>
      <c r="K106" s="10"/>
    </row>
    <row r="107" spans="1:11" ht="15.75" customHeight="1" x14ac:dyDescent="0.3">
      <c r="A107" s="10"/>
      <c r="B107" s="86" t="s">
        <v>102</v>
      </c>
      <c r="C107" s="5"/>
      <c r="D107" s="3">
        <f t="shared" ref="D107:J107" si="34">C$108</f>
        <v>90000</v>
      </c>
      <c r="E107" s="3">
        <f t="shared" ca="1" si="34"/>
        <v>97498.453802422839</v>
      </c>
      <c r="F107" s="3">
        <f t="shared" ca="1" si="34"/>
        <v>106302.32836065364</v>
      </c>
      <c r="G107" s="3">
        <f t="shared" ca="1" si="34"/>
        <v>120279.15489807047</v>
      </c>
      <c r="H107" s="3">
        <f t="shared" ca="1" si="34"/>
        <v>136952.55202118179</v>
      </c>
      <c r="I107" s="3">
        <f t="shared" ca="1" si="34"/>
        <v>158725.60206052422</v>
      </c>
      <c r="J107" s="3">
        <f t="shared" ca="1" si="34"/>
        <v>184101.35387222748</v>
      </c>
      <c r="K107" s="10"/>
    </row>
    <row r="108" spans="1:11" ht="15" customHeight="1" thickBot="1" x14ac:dyDescent="0.35">
      <c r="A108" s="10"/>
      <c r="B108" s="120" t="s">
        <v>103</v>
      </c>
      <c r="C108" s="121">
        <f>C51</f>
        <v>90000</v>
      </c>
      <c r="D108" s="121">
        <f t="shared" ref="D108:J108" ca="1" si="35">D106+D107</f>
        <v>97498.453802422839</v>
      </c>
      <c r="E108" s="121">
        <f t="shared" ca="1" si="35"/>
        <v>106302.32836065364</v>
      </c>
      <c r="F108" s="121">
        <f t="shared" ca="1" si="35"/>
        <v>120279.15489807047</v>
      </c>
      <c r="G108" s="121">
        <f t="shared" ca="1" si="35"/>
        <v>136952.55202118179</v>
      </c>
      <c r="H108" s="121">
        <f t="shared" ca="1" si="35"/>
        <v>158725.60206052422</v>
      </c>
      <c r="I108" s="121">
        <f t="shared" ca="1" si="35"/>
        <v>184101.35387222748</v>
      </c>
      <c r="J108" s="121">
        <f t="shared" ca="1" si="35"/>
        <v>215771.32261669511</v>
      </c>
      <c r="K108" s="10"/>
    </row>
    <row r="109" spans="1:11" ht="15.75" customHeight="1" thickTop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" customHeight="1" x14ac:dyDescent="0.3">
      <c r="A110" s="10"/>
      <c r="B110" s="87" t="s">
        <v>104</v>
      </c>
      <c r="C110" s="3">
        <f t="shared" ref="C110:J110" si="36">C108-C51</f>
        <v>0</v>
      </c>
      <c r="D110" s="3">
        <f t="shared" ca="1" si="36"/>
        <v>0</v>
      </c>
      <c r="E110" s="3">
        <f t="shared" ca="1" si="36"/>
        <v>0</v>
      </c>
      <c r="F110" s="3">
        <f t="shared" ca="1" si="36"/>
        <v>0</v>
      </c>
      <c r="G110" s="3">
        <f t="shared" ca="1" si="36"/>
        <v>0</v>
      </c>
      <c r="H110" s="3">
        <f t="shared" ca="1" si="36"/>
        <v>0</v>
      </c>
      <c r="I110" s="3">
        <f t="shared" ca="1" si="36"/>
        <v>0</v>
      </c>
      <c r="J110" s="3">
        <f t="shared" ca="1" si="36"/>
        <v>0</v>
      </c>
      <c r="K11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sheetPr>
    <tabColor rgb="FF1F3864"/>
  </sheetPr>
  <dimension ref="B2:Q120"/>
  <sheetViews>
    <sheetView showGridLines="0" workbookViewId="0"/>
  </sheetViews>
  <sheetFormatPr defaultColWidth="7.69921875" defaultRowHeight="15" customHeight="1" x14ac:dyDescent="0.3"/>
  <cols>
    <col min="2" max="2" width="33.296875" customWidth="1"/>
    <col min="3" max="3" width="16.8984375" customWidth="1"/>
    <col min="4" max="11" width="8.69921875" customWidth="1"/>
  </cols>
  <sheetData>
    <row r="2" spans="2:17" ht="18" customHeight="1" x14ac:dyDescent="0.3">
      <c r="B2" s="63" t="s">
        <v>34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17" ht="13.5" customHeight="1" x14ac:dyDescent="0.3">
      <c r="B3" s="64" t="s">
        <v>240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ht="15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17" ht="15" customHeight="1" x14ac:dyDescent="0.3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0"/>
      <c r="O5" s="10"/>
      <c r="P5" s="10"/>
      <c r="Q5" s="10"/>
    </row>
    <row r="6" spans="2:17" ht="15.75" customHeight="1" x14ac:dyDescent="0.3">
      <c r="B6" s="16" t="s">
        <v>2</v>
      </c>
      <c r="C6" s="16"/>
      <c r="D6" s="27" t="s">
        <v>3</v>
      </c>
      <c r="E6" s="16"/>
      <c r="F6" s="16"/>
      <c r="G6" s="16"/>
      <c r="H6" s="16"/>
      <c r="I6" s="16"/>
      <c r="J6" s="16"/>
      <c r="K6" s="16"/>
      <c r="L6" s="16"/>
      <c r="M6" s="16"/>
      <c r="N6" s="10"/>
      <c r="O6" s="10"/>
      <c r="P6" s="10"/>
      <c r="Q6" s="10"/>
    </row>
    <row r="7" spans="2:17" ht="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17" ht="13.5" customHeight="1" x14ac:dyDescent="0.3">
      <c r="B8" s="19" t="s">
        <v>4</v>
      </c>
      <c r="C8" s="19"/>
      <c r="D8" s="19"/>
      <c r="E8" s="19"/>
      <c r="F8" s="20"/>
      <c r="G8" s="19" t="s">
        <v>5</v>
      </c>
      <c r="H8" s="19"/>
      <c r="I8" s="19"/>
      <c r="J8" s="19"/>
      <c r="K8" s="19"/>
      <c r="L8" s="20"/>
      <c r="M8" s="20"/>
      <c r="N8" s="10"/>
      <c r="O8" s="10"/>
      <c r="P8" s="10"/>
      <c r="Q8" s="10"/>
    </row>
    <row r="9" spans="2:17" ht="13.5" customHeight="1" x14ac:dyDescent="0.3">
      <c r="B9" s="10"/>
      <c r="C9" s="10"/>
      <c r="D9" s="75">
        <v>2021</v>
      </c>
      <c r="E9" s="75">
        <v>2022</v>
      </c>
      <c r="F9" s="75">
        <v>2023</v>
      </c>
      <c r="G9" s="75">
        <v>2024</v>
      </c>
      <c r="H9" s="75">
        <v>2025</v>
      </c>
      <c r="I9" s="75">
        <v>2026</v>
      </c>
      <c r="J9" s="75">
        <v>2027</v>
      </c>
      <c r="K9" s="75">
        <v>2028</v>
      </c>
      <c r="L9" s="10"/>
      <c r="M9" s="10"/>
      <c r="N9" s="10"/>
      <c r="O9" s="10"/>
      <c r="P9" s="10"/>
      <c r="Q9" s="10"/>
    </row>
    <row r="10" spans="2:17" ht="15" customHeight="1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2:17" ht="15" customHeight="1" x14ac:dyDescent="0.3">
      <c r="B11" s="21" t="s">
        <v>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0"/>
      <c r="O11" s="10"/>
      <c r="P11" s="10"/>
      <c r="Q11" s="10"/>
    </row>
    <row r="12" spans="2:17" ht="15" customHeight="1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2:17" ht="13.5" customHeight="1" x14ac:dyDescent="0.3">
      <c r="B13" s="11" t="s">
        <v>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0"/>
      <c r="O13" s="10"/>
      <c r="P13" s="10"/>
      <c r="Q13" s="10"/>
    </row>
    <row r="14" spans="2:17" ht="12.75" customHeight="1" x14ac:dyDescent="0.3">
      <c r="B14" s="10"/>
      <c r="C14" s="66" t="s">
        <v>8</v>
      </c>
      <c r="D14" s="76">
        <v>2021</v>
      </c>
      <c r="E14" s="76">
        <v>2022</v>
      </c>
      <c r="F14" s="76">
        <v>2023</v>
      </c>
      <c r="G14" s="76">
        <v>2024</v>
      </c>
      <c r="H14" s="76">
        <v>2025</v>
      </c>
      <c r="I14" s="76">
        <v>2026</v>
      </c>
      <c r="J14" s="76">
        <v>2027</v>
      </c>
      <c r="K14" s="76">
        <v>2028</v>
      </c>
      <c r="L14" s="10"/>
      <c r="M14" s="10"/>
      <c r="N14" s="10"/>
      <c r="O14" s="10"/>
      <c r="P14" s="10"/>
      <c r="Q14" s="10"/>
    </row>
    <row r="15" spans="2:17" ht="15.75" customHeight="1" x14ac:dyDescent="0.3">
      <c r="B15" s="77" t="s">
        <v>35</v>
      </c>
      <c r="C15" s="78" t="s">
        <v>3</v>
      </c>
      <c r="D15" s="10"/>
      <c r="E15" s="10"/>
      <c r="F15" s="10"/>
      <c r="G15" s="23">
        <v>0.12</v>
      </c>
      <c r="H15" s="23">
        <v>0.1</v>
      </c>
      <c r="I15" s="23">
        <v>8.5000000000000006E-2</v>
      </c>
      <c r="J15" s="23">
        <v>7.4999999999999997E-2</v>
      </c>
      <c r="K15" s="23">
        <v>7.0000000000000007E-2</v>
      </c>
      <c r="L15" s="10"/>
      <c r="M15" s="10"/>
      <c r="N15" s="10"/>
      <c r="O15" s="10"/>
      <c r="P15" s="10"/>
      <c r="Q15" s="10"/>
    </row>
    <row r="16" spans="2:17" ht="15.75" customHeight="1" x14ac:dyDescent="0.3">
      <c r="B16" s="79" t="s">
        <v>226</v>
      </c>
      <c r="C16" s="78" t="s">
        <v>10</v>
      </c>
      <c r="D16" s="10"/>
      <c r="E16" s="10"/>
      <c r="F16" s="10"/>
      <c r="G16" s="23">
        <v>0.14000000000000001</v>
      </c>
      <c r="H16" s="23">
        <v>0.12</v>
      </c>
      <c r="I16" s="23">
        <v>0.105</v>
      </c>
      <c r="J16" s="23">
        <v>9.5000000000000001E-2</v>
      </c>
      <c r="K16" s="23">
        <v>0.09</v>
      </c>
      <c r="L16" s="10"/>
      <c r="M16" s="10"/>
      <c r="N16" s="10"/>
      <c r="O16" s="10"/>
      <c r="P16" s="10"/>
      <c r="Q16" s="10"/>
    </row>
    <row r="17" spans="2:17" ht="15.75" customHeight="1" x14ac:dyDescent="0.3">
      <c r="B17" s="10"/>
      <c r="C17" s="78" t="s">
        <v>11</v>
      </c>
      <c r="D17" s="10"/>
      <c r="E17" s="10"/>
      <c r="F17" s="10"/>
      <c r="G17" s="23">
        <v>0.1</v>
      </c>
      <c r="H17" s="23">
        <v>0.08</v>
      </c>
      <c r="I17" s="23">
        <v>6.5000000000000002E-2</v>
      </c>
      <c r="J17" s="23">
        <v>5.5E-2</v>
      </c>
      <c r="K17" s="23">
        <v>0.05</v>
      </c>
      <c r="L17" s="10"/>
      <c r="M17" s="10"/>
      <c r="N17" s="10"/>
      <c r="O17" s="10"/>
      <c r="P17" s="10"/>
      <c r="Q17" s="10"/>
    </row>
    <row r="18" spans="2:17" ht="15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2:17" ht="15.75" customHeight="1" x14ac:dyDescent="0.3">
      <c r="B19" s="77" t="s">
        <v>36</v>
      </c>
      <c r="C19" s="78" t="s">
        <v>3</v>
      </c>
      <c r="D19" s="10"/>
      <c r="E19" s="10"/>
      <c r="F19" s="10"/>
      <c r="G19" s="19">
        <v>0.25</v>
      </c>
      <c r="H19" s="31">
        <v>0.35</v>
      </c>
      <c r="I19" s="31">
        <v>0.45</v>
      </c>
      <c r="J19" s="31">
        <v>0.4</v>
      </c>
      <c r="K19" s="19">
        <v>0.35</v>
      </c>
      <c r="L19" s="10"/>
      <c r="M19" s="10"/>
      <c r="N19" s="10"/>
      <c r="O19" s="10"/>
      <c r="P19" s="10"/>
      <c r="Q19" s="10"/>
    </row>
    <row r="20" spans="2:17" ht="15.75" customHeight="1" x14ac:dyDescent="0.3">
      <c r="B20" s="106" t="s">
        <v>227</v>
      </c>
      <c r="C20" s="107" t="s">
        <v>10</v>
      </c>
      <c r="D20" s="108"/>
      <c r="E20" s="108"/>
      <c r="F20" s="108"/>
      <c r="G20" s="100">
        <v>0.3</v>
      </c>
      <c r="H20" s="100">
        <v>0.45</v>
      </c>
      <c r="I20" s="100">
        <v>0.55000000000000004</v>
      </c>
      <c r="J20" s="100">
        <v>0.5</v>
      </c>
      <c r="K20" s="100">
        <v>0.45</v>
      </c>
      <c r="L20" s="108"/>
      <c r="M20" s="28">
        <v>5.0000000000000001E-3</v>
      </c>
      <c r="N20" s="10"/>
      <c r="O20" s="10"/>
      <c r="P20" s="10"/>
      <c r="Q20" s="10"/>
    </row>
    <row r="21" spans="2:17" ht="15.75" customHeight="1" x14ac:dyDescent="0.3">
      <c r="B21" s="10"/>
      <c r="C21" s="78" t="s">
        <v>11</v>
      </c>
      <c r="D21" s="10"/>
      <c r="E21" s="10"/>
      <c r="F21" s="10"/>
      <c r="G21" s="31">
        <v>0.2</v>
      </c>
      <c r="H21" s="31">
        <v>0.25</v>
      </c>
      <c r="I21" s="31">
        <v>0.35</v>
      </c>
      <c r="J21" s="31">
        <v>0.3</v>
      </c>
      <c r="K21" s="31">
        <v>0.25</v>
      </c>
      <c r="L21" s="10"/>
      <c r="M21" s="29">
        <v>5.0000000000000001E-3</v>
      </c>
      <c r="N21" s="10"/>
      <c r="O21" s="10"/>
      <c r="P21" s="10"/>
      <c r="Q21" s="10"/>
    </row>
    <row r="22" spans="2:17" ht="15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2:17" ht="15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2:17" ht="13.5" customHeight="1" x14ac:dyDescent="0.3">
      <c r="B24" s="11" t="s">
        <v>37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0"/>
      <c r="O24" s="10"/>
      <c r="P24" s="10"/>
      <c r="Q24" s="10"/>
    </row>
    <row r="25" spans="2:17" ht="15" customHeight="1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2:17" ht="15.75" customHeight="1" x14ac:dyDescent="0.3">
      <c r="B26" s="77" t="s">
        <v>38</v>
      </c>
      <c r="C26" s="78" t="s">
        <v>3</v>
      </c>
      <c r="D26" s="10"/>
      <c r="E26" s="10"/>
      <c r="F26" s="10"/>
      <c r="G26" s="23">
        <v>0.03</v>
      </c>
      <c r="H26" s="23">
        <v>2.5000000000000001E-2</v>
      </c>
      <c r="I26" s="23">
        <v>0.02</v>
      </c>
      <c r="J26" s="23">
        <v>1.4999999999999999E-2</v>
      </c>
      <c r="K26" s="23">
        <v>0.01</v>
      </c>
      <c r="L26" s="10"/>
      <c r="M26" s="10"/>
      <c r="N26" s="10"/>
      <c r="O26" s="10"/>
      <c r="P26" s="10"/>
      <c r="Q26" s="10"/>
    </row>
    <row r="27" spans="2:17" ht="15.75" customHeight="1" x14ac:dyDescent="0.3">
      <c r="B27" s="10"/>
      <c r="C27" s="78" t="s">
        <v>10</v>
      </c>
      <c r="D27" s="10"/>
      <c r="E27" s="10"/>
      <c r="F27" s="10"/>
      <c r="G27" s="23">
        <v>0.04</v>
      </c>
      <c r="H27" s="23">
        <v>3.5000000000000003E-2</v>
      </c>
      <c r="I27" s="23">
        <v>0.03</v>
      </c>
      <c r="J27" s="23">
        <v>2.5000000000000001E-2</v>
      </c>
      <c r="K27" s="23">
        <v>0.02</v>
      </c>
      <c r="L27" s="10"/>
      <c r="M27" s="10"/>
      <c r="N27" s="10"/>
      <c r="O27" s="10"/>
      <c r="P27" s="10"/>
      <c r="Q27" s="10"/>
    </row>
    <row r="28" spans="2:17" ht="15.75" customHeight="1" x14ac:dyDescent="0.3">
      <c r="B28" s="10"/>
      <c r="C28" s="78" t="s">
        <v>11</v>
      </c>
      <c r="D28" s="10"/>
      <c r="E28" s="10"/>
      <c r="F28" s="10"/>
      <c r="G28" s="23">
        <v>0.02</v>
      </c>
      <c r="H28" s="23">
        <v>1.4999999999999999E-2</v>
      </c>
      <c r="I28" s="23">
        <v>0.01</v>
      </c>
      <c r="J28" s="23">
        <v>5.0000000000000001E-3</v>
      </c>
      <c r="K28" s="23">
        <v>0</v>
      </c>
      <c r="L28" s="10"/>
      <c r="M28" s="10"/>
      <c r="N28" s="10"/>
      <c r="O28" s="10"/>
      <c r="P28" s="10"/>
      <c r="Q28" s="10"/>
    </row>
    <row r="29" spans="2:17" ht="15" customHeight="1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2:17" ht="15.75" customHeight="1" x14ac:dyDescent="0.3">
      <c r="B30" s="77" t="s">
        <v>39</v>
      </c>
      <c r="C30" s="78" t="s">
        <v>3</v>
      </c>
      <c r="D30" s="10"/>
      <c r="E30" s="10"/>
      <c r="F30" s="10"/>
      <c r="G30" s="23">
        <v>8.5000000000000006E-2</v>
      </c>
      <c r="H30" s="23">
        <v>7.0000000000000007E-2</v>
      </c>
      <c r="I30" s="23">
        <v>0.06</v>
      </c>
      <c r="J30" s="23">
        <v>5.5E-2</v>
      </c>
      <c r="K30" s="23">
        <v>0.05</v>
      </c>
      <c r="L30" s="10"/>
      <c r="M30" s="10"/>
      <c r="N30" s="10"/>
      <c r="O30" s="10"/>
      <c r="P30" s="10"/>
      <c r="Q30" s="10"/>
    </row>
    <row r="31" spans="2:17" ht="15.75" customHeight="1" x14ac:dyDescent="0.3">
      <c r="B31" s="10"/>
      <c r="C31" s="78" t="s">
        <v>10</v>
      </c>
      <c r="D31" s="10"/>
      <c r="E31" s="10"/>
      <c r="F31" s="10"/>
      <c r="G31" s="23">
        <v>0.1</v>
      </c>
      <c r="H31" s="23">
        <v>8.5000000000000006E-2</v>
      </c>
      <c r="I31" s="23">
        <v>7.4999999999999997E-2</v>
      </c>
      <c r="J31" s="23">
        <v>7.0000000000000007E-2</v>
      </c>
      <c r="K31" s="23">
        <v>6.5000000000000002E-2</v>
      </c>
      <c r="L31" s="10"/>
      <c r="M31" s="10"/>
      <c r="N31" s="10"/>
      <c r="O31" s="10"/>
      <c r="P31" s="10"/>
      <c r="Q31" s="10"/>
    </row>
    <row r="32" spans="2:17" ht="15.75" customHeight="1" x14ac:dyDescent="0.3">
      <c r="B32" s="10"/>
      <c r="C32" s="78" t="s">
        <v>11</v>
      </c>
      <c r="D32" s="10"/>
      <c r="E32" s="10"/>
      <c r="F32" s="10"/>
      <c r="G32" s="23">
        <v>7.0000000000000007E-2</v>
      </c>
      <c r="H32" s="23">
        <v>5.5E-2</v>
      </c>
      <c r="I32" s="23">
        <v>4.4999999999999998E-2</v>
      </c>
      <c r="J32" s="23">
        <v>0.04</v>
      </c>
      <c r="K32" s="23">
        <v>3.5000000000000003E-2</v>
      </c>
      <c r="L32" s="10"/>
      <c r="M32" s="10"/>
      <c r="N32" s="10"/>
      <c r="O32" s="10"/>
      <c r="P32" s="10"/>
      <c r="Q32" s="10"/>
    </row>
    <row r="33" spans="2:17" ht="15" customHeight="1" thickBot="1" x14ac:dyDescent="0.3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2:17" ht="15" customHeight="1" x14ac:dyDescent="0.3">
      <c r="B34" s="21" t="s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10"/>
      <c r="O34" s="10"/>
      <c r="P34" s="10"/>
      <c r="Q34" s="10"/>
    </row>
    <row r="35" spans="2:17" ht="15" customHeight="1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2:17" ht="15" customHeight="1" x14ac:dyDescent="0.3">
      <c r="B36" s="11" t="s">
        <v>16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0"/>
      <c r="O36" s="10"/>
      <c r="P36" s="10"/>
      <c r="Q36" s="10"/>
    </row>
    <row r="37" spans="2:17" ht="13.5" customHeight="1" x14ac:dyDescent="0.3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2:17" ht="15" customHeight="1" x14ac:dyDescent="0.3">
      <c r="B38" s="80" t="s">
        <v>17</v>
      </c>
      <c r="C38" s="73" t="s">
        <v>3</v>
      </c>
      <c r="D38" s="25">
        <v>0.255</v>
      </c>
      <c r="E38" s="25">
        <v>0.27</v>
      </c>
      <c r="F38" s="25">
        <v>0.28999999999999998</v>
      </c>
      <c r="G38" s="25">
        <v>0.28499999999999998</v>
      </c>
      <c r="H38" s="25">
        <v>0.28000000000000003</v>
      </c>
      <c r="I38" s="25">
        <v>0.27500000000000002</v>
      </c>
      <c r="J38" s="25">
        <v>0.27</v>
      </c>
      <c r="K38" s="25">
        <v>0.26500000000000001</v>
      </c>
      <c r="L38" s="10"/>
      <c r="M38" s="10"/>
      <c r="N38" s="10"/>
      <c r="O38" s="10"/>
      <c r="P38" s="10"/>
      <c r="Q38" s="10"/>
    </row>
    <row r="39" spans="2:17" ht="15.75" customHeight="1" x14ac:dyDescent="0.3">
      <c r="B39" s="10"/>
      <c r="C39" s="73" t="s">
        <v>10</v>
      </c>
      <c r="D39" s="25">
        <v>0.255</v>
      </c>
      <c r="E39" s="25">
        <v>0.27</v>
      </c>
      <c r="F39" s="25">
        <v>0.28999999999999998</v>
      </c>
      <c r="G39" s="25">
        <v>0.28000000000000003</v>
      </c>
      <c r="H39" s="25">
        <v>0.27500000000000002</v>
      </c>
      <c r="I39" s="25">
        <v>0.27</v>
      </c>
      <c r="J39" s="25">
        <v>0.26500000000000001</v>
      </c>
      <c r="K39" s="25">
        <v>0.26</v>
      </c>
      <c r="L39" s="10"/>
      <c r="M39" s="10"/>
      <c r="N39" s="10"/>
      <c r="O39" s="10"/>
      <c r="P39" s="10"/>
      <c r="Q39" s="10"/>
    </row>
    <row r="40" spans="2:17" ht="15.75" customHeight="1" x14ac:dyDescent="0.3">
      <c r="B40" s="10"/>
      <c r="C40" s="73" t="s">
        <v>11</v>
      </c>
      <c r="D40" s="25">
        <v>0.255</v>
      </c>
      <c r="E40" s="25">
        <v>0.27</v>
      </c>
      <c r="F40" s="25">
        <v>0.28999999999999998</v>
      </c>
      <c r="G40" s="25">
        <v>0.28999999999999998</v>
      </c>
      <c r="H40" s="25">
        <v>0.28499999999999998</v>
      </c>
      <c r="I40" s="25">
        <v>0.28000000000000003</v>
      </c>
      <c r="J40" s="25">
        <v>0.27500000000000002</v>
      </c>
      <c r="K40" s="25">
        <v>0.27</v>
      </c>
      <c r="L40" s="10"/>
      <c r="M40" s="10"/>
      <c r="N40" s="10"/>
      <c r="O40" s="10"/>
      <c r="P40" s="10"/>
      <c r="Q40" s="10"/>
    </row>
    <row r="41" spans="2:17" ht="15.75" customHeight="1" x14ac:dyDescent="0.3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2:17" ht="15" customHeight="1" x14ac:dyDescent="0.3">
      <c r="B42" s="80" t="s">
        <v>18</v>
      </c>
      <c r="C42" s="73" t="s">
        <v>3</v>
      </c>
      <c r="D42" s="25">
        <v>0.11800000000000001</v>
      </c>
      <c r="E42" s="25">
        <v>0.125</v>
      </c>
      <c r="F42" s="25">
        <v>0.13</v>
      </c>
      <c r="G42" s="25">
        <v>0.125</v>
      </c>
      <c r="H42" s="25">
        <v>0.12</v>
      </c>
      <c r="I42" s="25">
        <v>0.115</v>
      </c>
      <c r="J42" s="25">
        <v>0.11</v>
      </c>
      <c r="K42" s="25">
        <v>0.105</v>
      </c>
      <c r="L42" s="10"/>
      <c r="M42" s="10"/>
      <c r="N42" s="10"/>
      <c r="O42" s="10"/>
      <c r="P42" s="10"/>
      <c r="Q42" s="10"/>
    </row>
    <row r="43" spans="2:17" ht="15.75" customHeight="1" x14ac:dyDescent="0.3">
      <c r="B43" s="10"/>
      <c r="C43" s="73" t="s">
        <v>10</v>
      </c>
      <c r="D43" s="25">
        <v>0.11800000000000001</v>
      </c>
      <c r="E43" s="25">
        <v>0.125</v>
      </c>
      <c r="F43" s="25">
        <v>0.13</v>
      </c>
      <c r="G43" s="25">
        <v>0.12</v>
      </c>
      <c r="H43" s="25">
        <v>0.115</v>
      </c>
      <c r="I43" s="25">
        <v>0.11</v>
      </c>
      <c r="J43" s="25">
        <v>0.105</v>
      </c>
      <c r="K43" s="25">
        <v>0.1</v>
      </c>
      <c r="L43" s="10"/>
      <c r="M43" s="10"/>
      <c r="N43" s="10"/>
      <c r="O43" s="10"/>
      <c r="P43" s="10"/>
      <c r="Q43" s="10"/>
    </row>
    <row r="44" spans="2:17" ht="15.75" customHeight="1" x14ac:dyDescent="0.3">
      <c r="B44" s="10"/>
      <c r="C44" s="73" t="s">
        <v>11</v>
      </c>
      <c r="D44" s="25">
        <v>0.11800000000000001</v>
      </c>
      <c r="E44" s="25">
        <v>0.125</v>
      </c>
      <c r="F44" s="25">
        <v>0.13</v>
      </c>
      <c r="G44" s="25">
        <v>0.13</v>
      </c>
      <c r="H44" s="25">
        <v>0.125</v>
      </c>
      <c r="I44" s="25">
        <v>0.12</v>
      </c>
      <c r="J44" s="25">
        <v>0.115</v>
      </c>
      <c r="K44" s="25">
        <v>0.11</v>
      </c>
      <c r="L44" s="10"/>
      <c r="M44" s="10"/>
      <c r="N44" s="10"/>
      <c r="O44" s="10"/>
      <c r="P44" s="10"/>
      <c r="Q44" s="10"/>
    </row>
    <row r="45" spans="2:17" ht="15.75" customHeight="1" x14ac:dyDescent="0.3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2:17" ht="15" customHeight="1" x14ac:dyDescent="0.3">
      <c r="B46" s="80" t="s">
        <v>19</v>
      </c>
      <c r="C46" s="73" t="s">
        <v>3</v>
      </c>
      <c r="D46" s="25">
        <v>0.10199999999999999</v>
      </c>
      <c r="E46" s="25">
        <v>0.10800000000000001</v>
      </c>
      <c r="F46" s="25">
        <v>0.115</v>
      </c>
      <c r="G46" s="25">
        <v>0.11</v>
      </c>
      <c r="H46" s="25">
        <v>0.105</v>
      </c>
      <c r="I46" s="25">
        <v>0.1</v>
      </c>
      <c r="J46" s="25">
        <v>9.5000000000000001E-2</v>
      </c>
      <c r="K46" s="25">
        <v>0.09</v>
      </c>
      <c r="L46" s="10"/>
      <c r="M46" s="10"/>
      <c r="N46" s="10"/>
      <c r="O46" s="10"/>
      <c r="P46" s="10"/>
      <c r="Q46" s="10"/>
    </row>
    <row r="47" spans="2:17" ht="15.75" customHeight="1" x14ac:dyDescent="0.3">
      <c r="B47" s="10"/>
      <c r="C47" s="73" t="s">
        <v>10</v>
      </c>
      <c r="D47" s="25">
        <v>0.10199999999999999</v>
      </c>
      <c r="E47" s="25">
        <v>0.10800000000000001</v>
      </c>
      <c r="F47" s="25">
        <v>0.115</v>
      </c>
      <c r="G47" s="25">
        <v>0.105</v>
      </c>
      <c r="H47" s="25">
        <v>0.1</v>
      </c>
      <c r="I47" s="25">
        <v>9.5000000000000001E-2</v>
      </c>
      <c r="J47" s="25">
        <v>0.09</v>
      </c>
      <c r="K47" s="25">
        <v>8.5000000000000006E-2</v>
      </c>
      <c r="L47" s="10"/>
      <c r="M47" s="10"/>
      <c r="N47" s="10"/>
      <c r="O47" s="10"/>
      <c r="P47" s="10"/>
      <c r="Q47" s="10"/>
    </row>
    <row r="48" spans="2:17" ht="15.75" customHeight="1" x14ac:dyDescent="0.3">
      <c r="B48" s="10"/>
      <c r="C48" s="73" t="s">
        <v>11</v>
      </c>
      <c r="D48" s="25">
        <v>0.10199999999999999</v>
      </c>
      <c r="E48" s="25">
        <v>0.10800000000000001</v>
      </c>
      <c r="F48" s="25">
        <v>0.115</v>
      </c>
      <c r="G48" s="25">
        <v>0.115</v>
      </c>
      <c r="H48" s="25">
        <v>0.11</v>
      </c>
      <c r="I48" s="25">
        <v>0.105</v>
      </c>
      <c r="J48" s="25">
        <v>0.1</v>
      </c>
      <c r="K48" s="25">
        <v>9.5000000000000001E-2</v>
      </c>
      <c r="L48" s="10"/>
      <c r="M48" s="10"/>
      <c r="N48" s="10"/>
      <c r="O48" s="10"/>
      <c r="P48" s="10"/>
      <c r="Q48" s="10"/>
    </row>
    <row r="49" spans="2:17" ht="15.75" customHeight="1" x14ac:dyDescent="0.3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2:17" ht="15" customHeight="1" x14ac:dyDescent="0.3">
      <c r="B50" s="80" t="s">
        <v>20</v>
      </c>
      <c r="C50" s="73" t="s">
        <v>3</v>
      </c>
      <c r="D50" s="25">
        <v>8.5000000000000006E-2</v>
      </c>
      <c r="E50" s="25">
        <v>0.10199999999999999</v>
      </c>
      <c r="F50" s="25">
        <v>0.11800000000000001</v>
      </c>
      <c r="G50" s="25">
        <v>0.11</v>
      </c>
      <c r="H50" s="25">
        <v>0.105</v>
      </c>
      <c r="I50" s="25">
        <v>0.1</v>
      </c>
      <c r="J50" s="25">
        <v>9.5000000000000001E-2</v>
      </c>
      <c r="K50" s="25">
        <v>0.09</v>
      </c>
      <c r="L50" s="10"/>
      <c r="M50" s="10"/>
      <c r="N50" s="10"/>
      <c r="O50" s="10"/>
      <c r="P50" s="10"/>
      <c r="Q50" s="10"/>
    </row>
    <row r="51" spans="2:17" ht="15.75" customHeight="1" x14ac:dyDescent="0.3">
      <c r="B51" s="10"/>
      <c r="C51" s="73" t="s">
        <v>10</v>
      </c>
      <c r="D51" s="25">
        <v>8.5000000000000006E-2</v>
      </c>
      <c r="E51" s="25">
        <v>0.10199999999999999</v>
      </c>
      <c r="F51" s="25">
        <v>0.11800000000000001</v>
      </c>
      <c r="G51" s="25">
        <v>0.105</v>
      </c>
      <c r="H51" s="25">
        <v>0.1</v>
      </c>
      <c r="I51" s="25">
        <v>9.5000000000000001E-2</v>
      </c>
      <c r="J51" s="25">
        <v>0.09</v>
      </c>
      <c r="K51" s="25">
        <v>8.5000000000000006E-2</v>
      </c>
      <c r="L51" s="10"/>
      <c r="M51" s="10"/>
      <c r="N51" s="10"/>
      <c r="O51" s="10"/>
      <c r="P51" s="10"/>
      <c r="Q51" s="10"/>
    </row>
    <row r="52" spans="2:17" ht="15.75" customHeight="1" x14ac:dyDescent="0.3">
      <c r="B52" s="10"/>
      <c r="C52" s="73" t="s">
        <v>11</v>
      </c>
      <c r="D52" s="25">
        <v>8.5000000000000006E-2</v>
      </c>
      <c r="E52" s="25">
        <v>0.10199999999999999</v>
      </c>
      <c r="F52" s="25">
        <v>0.11800000000000001</v>
      </c>
      <c r="G52" s="25">
        <v>0.115</v>
      </c>
      <c r="H52" s="25">
        <v>0.11</v>
      </c>
      <c r="I52" s="25">
        <v>0.105</v>
      </c>
      <c r="J52" s="25">
        <v>0.1</v>
      </c>
      <c r="K52" s="25">
        <v>9.5000000000000001E-2</v>
      </c>
      <c r="L52" s="10"/>
      <c r="M52" s="10"/>
      <c r="N52" s="10"/>
      <c r="O52" s="10"/>
      <c r="P52" s="10"/>
      <c r="Q52" s="10"/>
    </row>
    <row r="53" spans="2:17" ht="15.75" customHeight="1" x14ac:dyDescent="0.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2:17" ht="15" customHeight="1" x14ac:dyDescent="0.3">
      <c r="B54" s="11" t="s">
        <v>223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0"/>
      <c r="O54" s="10"/>
      <c r="P54" s="10"/>
      <c r="Q54" s="10"/>
    </row>
    <row r="55" spans="2:17" ht="13.5" customHeight="1" x14ac:dyDescent="0.3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2:17" ht="15" customHeight="1" x14ac:dyDescent="0.3">
      <c r="B56" s="80" t="s">
        <v>224</v>
      </c>
      <c r="C56" s="73" t="s">
        <v>3</v>
      </c>
      <c r="D56" s="25">
        <v>-3.5</v>
      </c>
      <c r="E56" s="25">
        <v>-3</v>
      </c>
      <c r="F56" s="25">
        <v>-2.5</v>
      </c>
      <c r="G56" s="25">
        <v>-2</v>
      </c>
      <c r="H56" s="25">
        <v>-1.5</v>
      </c>
      <c r="I56" s="25">
        <v>-1</v>
      </c>
      <c r="J56" s="25">
        <v>-0.75</v>
      </c>
      <c r="K56" s="25">
        <v>-0.5</v>
      </c>
      <c r="L56" s="10"/>
      <c r="M56" s="10"/>
      <c r="N56" s="10"/>
      <c r="O56" s="10"/>
      <c r="P56" s="10"/>
      <c r="Q56" s="10"/>
    </row>
    <row r="57" spans="2:17" ht="15.75" customHeight="1" x14ac:dyDescent="0.3">
      <c r="B57" s="10"/>
      <c r="C57" s="73" t="s">
        <v>10</v>
      </c>
      <c r="D57" s="25">
        <v>-3.5</v>
      </c>
      <c r="E57" s="25">
        <v>-3</v>
      </c>
      <c r="F57" s="25">
        <v>-2.5</v>
      </c>
      <c r="G57" s="25">
        <v>-1.75</v>
      </c>
      <c r="H57" s="25">
        <v>-1.25</v>
      </c>
      <c r="I57" s="25">
        <v>-0.75</v>
      </c>
      <c r="J57" s="25">
        <v>-0.5</v>
      </c>
      <c r="K57" s="25">
        <v>-0.25</v>
      </c>
      <c r="L57" s="10"/>
      <c r="M57" s="10"/>
      <c r="N57" s="10"/>
      <c r="O57" s="10"/>
      <c r="P57" s="10"/>
      <c r="Q57" s="10"/>
    </row>
    <row r="58" spans="2:17" ht="15.75" customHeight="1" x14ac:dyDescent="0.3">
      <c r="B58" s="10"/>
      <c r="C58" s="73" t="s">
        <v>11</v>
      </c>
      <c r="D58" s="25">
        <v>-3.5</v>
      </c>
      <c r="E58" s="25">
        <v>-3</v>
      </c>
      <c r="F58" s="25">
        <v>-2.5</v>
      </c>
      <c r="G58" s="25">
        <v>-2.25</v>
      </c>
      <c r="H58" s="25">
        <v>-1.75</v>
      </c>
      <c r="I58" s="25">
        <v>-1.25</v>
      </c>
      <c r="J58" s="25">
        <v>-1</v>
      </c>
      <c r="K58" s="25">
        <v>-0.75</v>
      </c>
      <c r="L58" s="10"/>
      <c r="M58" s="10"/>
      <c r="N58" s="10"/>
      <c r="O58" s="10"/>
      <c r="P58" s="10"/>
      <c r="Q58" s="10"/>
    </row>
    <row r="59" spans="2:17" ht="15.75" customHeight="1" thickBo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2:17" ht="15" customHeight="1" x14ac:dyDescent="0.3">
      <c r="B60" s="21" t="s">
        <v>21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0"/>
      <c r="O60" s="10"/>
      <c r="P60" s="10"/>
      <c r="Q60" s="10"/>
    </row>
    <row r="61" spans="2:17" ht="15" customHeight="1" x14ac:dyDescent="0.3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2:17" ht="15" customHeight="1" x14ac:dyDescent="0.3">
      <c r="B62" s="11" t="s">
        <v>22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0"/>
      <c r="O62" s="10"/>
      <c r="P62" s="10"/>
      <c r="Q62" s="10"/>
    </row>
    <row r="63" spans="2:17" ht="15" customHeight="1" x14ac:dyDescent="0.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2:17" ht="15" customHeight="1" x14ac:dyDescent="0.3">
      <c r="B64" s="80" t="s">
        <v>23</v>
      </c>
      <c r="C64" s="73" t="s">
        <v>3</v>
      </c>
      <c r="D64" s="30">
        <v>55</v>
      </c>
      <c r="E64" s="30">
        <v>53</v>
      </c>
      <c r="F64" s="30">
        <v>51</v>
      </c>
      <c r="G64" s="30">
        <v>50</v>
      </c>
      <c r="H64" s="30">
        <v>49</v>
      </c>
      <c r="I64" s="30">
        <v>48</v>
      </c>
      <c r="J64" s="30">
        <v>47</v>
      </c>
      <c r="K64" s="30">
        <v>46</v>
      </c>
      <c r="L64" s="10"/>
      <c r="M64" s="10"/>
      <c r="N64" s="10"/>
      <c r="O64" s="10"/>
      <c r="P64" s="10"/>
      <c r="Q64" s="10"/>
    </row>
    <row r="65" spans="2:17" ht="13.5" customHeight="1" x14ac:dyDescent="0.3">
      <c r="B65" s="10"/>
      <c r="C65" s="73" t="s">
        <v>10</v>
      </c>
      <c r="D65" s="30">
        <v>55</v>
      </c>
      <c r="E65" s="30">
        <v>53</v>
      </c>
      <c r="F65" s="30">
        <v>51</v>
      </c>
      <c r="G65" s="30">
        <v>49</v>
      </c>
      <c r="H65" s="30">
        <v>47</v>
      </c>
      <c r="I65" s="30">
        <v>46</v>
      </c>
      <c r="J65" s="30">
        <v>45</v>
      </c>
      <c r="K65" s="30">
        <v>44</v>
      </c>
      <c r="L65" s="10"/>
      <c r="M65" s="10"/>
      <c r="N65" s="10"/>
      <c r="O65" s="10"/>
      <c r="P65" s="10"/>
      <c r="Q65" s="10"/>
    </row>
    <row r="66" spans="2:17" ht="15" customHeight="1" x14ac:dyDescent="0.3">
      <c r="B66" s="10"/>
      <c r="C66" s="73" t="s">
        <v>11</v>
      </c>
      <c r="D66" s="30">
        <v>55</v>
      </c>
      <c r="E66" s="30">
        <v>53</v>
      </c>
      <c r="F66" s="30">
        <v>51</v>
      </c>
      <c r="G66" s="30">
        <v>52</v>
      </c>
      <c r="H66" s="30">
        <v>51</v>
      </c>
      <c r="I66" s="30">
        <v>50</v>
      </c>
      <c r="J66" s="30">
        <v>49</v>
      </c>
      <c r="K66" s="30">
        <v>48</v>
      </c>
      <c r="L66" s="10"/>
      <c r="M66" s="10"/>
      <c r="N66" s="10"/>
      <c r="O66" s="10"/>
      <c r="P66" s="10"/>
      <c r="Q66" s="10"/>
    </row>
    <row r="67" spans="2:17" ht="15.75" customHeight="1" x14ac:dyDescent="0.3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2:17" ht="15.75" customHeight="1" x14ac:dyDescent="0.3">
      <c r="B68" s="80" t="s">
        <v>24</v>
      </c>
      <c r="C68" s="73" t="s">
        <v>3</v>
      </c>
      <c r="D68" s="30">
        <v>28</v>
      </c>
      <c r="E68" s="30">
        <v>30</v>
      </c>
      <c r="F68" s="30">
        <v>32</v>
      </c>
      <c r="G68" s="30">
        <v>33</v>
      </c>
      <c r="H68" s="30">
        <v>34</v>
      </c>
      <c r="I68" s="30">
        <v>35</v>
      </c>
      <c r="J68" s="30">
        <v>36</v>
      </c>
      <c r="K68" s="30">
        <v>37</v>
      </c>
      <c r="L68" s="10"/>
      <c r="M68" s="10"/>
      <c r="N68" s="10"/>
      <c r="O68" s="10"/>
      <c r="P68" s="10"/>
      <c r="Q68" s="10"/>
    </row>
    <row r="69" spans="2:17" ht="15.75" customHeight="1" x14ac:dyDescent="0.3">
      <c r="B69" s="10"/>
      <c r="C69" s="73" t="s">
        <v>10</v>
      </c>
      <c r="D69" s="30">
        <v>28</v>
      </c>
      <c r="E69" s="30">
        <v>30</v>
      </c>
      <c r="F69" s="30">
        <v>32</v>
      </c>
      <c r="G69" s="30">
        <v>34</v>
      </c>
      <c r="H69" s="30">
        <v>36</v>
      </c>
      <c r="I69" s="30">
        <v>37</v>
      </c>
      <c r="J69" s="30">
        <v>38</v>
      </c>
      <c r="K69" s="30">
        <v>39</v>
      </c>
      <c r="L69" s="10"/>
      <c r="M69" s="10"/>
      <c r="N69" s="10"/>
      <c r="O69" s="10"/>
      <c r="P69" s="10"/>
      <c r="Q69" s="10"/>
    </row>
    <row r="70" spans="2:17" ht="15" customHeight="1" x14ac:dyDescent="0.3">
      <c r="B70" s="10"/>
      <c r="C70" s="73" t="s">
        <v>11</v>
      </c>
      <c r="D70" s="30">
        <v>28</v>
      </c>
      <c r="E70" s="30">
        <v>30</v>
      </c>
      <c r="F70" s="30">
        <v>32</v>
      </c>
      <c r="G70" s="30">
        <v>32</v>
      </c>
      <c r="H70" s="30">
        <v>32</v>
      </c>
      <c r="I70" s="30">
        <v>33</v>
      </c>
      <c r="J70" s="30">
        <v>34</v>
      </c>
      <c r="K70" s="30">
        <v>35</v>
      </c>
      <c r="L70" s="10"/>
      <c r="M70" s="10"/>
      <c r="N70" s="10"/>
      <c r="O70" s="10"/>
      <c r="P70" s="10"/>
      <c r="Q70" s="10"/>
    </row>
    <row r="71" spans="2:17" ht="15.75" customHeight="1" x14ac:dyDescent="0.3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2:17" ht="15.75" customHeight="1" x14ac:dyDescent="0.3">
      <c r="B72" s="81" t="str">
        <f>'Meta Model'!$B$51</f>
        <v xml:space="preserve">  Other current assets</v>
      </c>
      <c r="C72" s="73" t="s">
        <v>107</v>
      </c>
      <c r="D72" s="10"/>
      <c r="E72" s="25">
        <v>4.0000000000000036E-2</v>
      </c>
      <c r="F72" s="25">
        <v>3.8461538461538547E-2</v>
      </c>
      <c r="G72" s="25">
        <v>4.0000000000000036E-2</v>
      </c>
      <c r="H72" s="25">
        <v>4.0000000000000036E-2</v>
      </c>
      <c r="I72" s="25">
        <v>4.0000000000000036E-2</v>
      </c>
      <c r="J72" s="25">
        <v>4.0000000000000036E-2</v>
      </c>
      <c r="K72" s="25">
        <v>4.0000000000000036E-2</v>
      </c>
      <c r="L72" s="10"/>
      <c r="M72" s="10"/>
      <c r="N72" s="10"/>
      <c r="O72" s="10"/>
      <c r="P72" s="10"/>
      <c r="Q72" s="10"/>
    </row>
    <row r="73" spans="2:17" ht="15.75" customHeight="1" x14ac:dyDescent="0.3">
      <c r="B73" s="81" t="str">
        <f>'Meta Model'!$B$59</f>
        <v xml:space="preserve">  Other Long-term Assets</v>
      </c>
      <c r="C73" s="73" t="s">
        <v>107</v>
      </c>
      <c r="D73" s="10"/>
      <c r="E73" s="25">
        <v>0.12000000000000011</v>
      </c>
      <c r="F73" s="25">
        <v>0.14285714285714279</v>
      </c>
      <c r="G73" s="25">
        <v>0.10000000000000009</v>
      </c>
      <c r="H73" s="25">
        <v>0.10000000000000009</v>
      </c>
      <c r="I73" s="25">
        <v>0.10000000000000009</v>
      </c>
      <c r="J73" s="25">
        <v>0.10000000000000009</v>
      </c>
      <c r="K73" s="25">
        <v>0.10000000000000009</v>
      </c>
      <c r="L73" s="10"/>
      <c r="M73" s="10"/>
      <c r="N73" s="10"/>
      <c r="O73" s="10"/>
      <c r="P73" s="10"/>
      <c r="Q73" s="10"/>
    </row>
    <row r="74" spans="2:17" ht="15" customHeight="1" x14ac:dyDescent="0.3">
      <c r="B74" s="81" t="str">
        <f>'Meta Model'!$B$68</f>
        <v xml:space="preserve">  Accrued Expenses</v>
      </c>
      <c r="C74" s="73" t="s">
        <v>107</v>
      </c>
      <c r="D74" s="10"/>
      <c r="E74" s="25">
        <v>6.25E-2</v>
      </c>
      <c r="F74" s="25">
        <v>5.8823529411764719E-2</v>
      </c>
      <c r="G74" s="25">
        <v>5.0000000000000044E-2</v>
      </c>
      <c r="H74" s="25">
        <v>5.0000000000000044E-2</v>
      </c>
      <c r="I74" s="25">
        <v>5.0000000000000044E-2</v>
      </c>
      <c r="J74" s="25">
        <v>5.0000000000000044E-2</v>
      </c>
      <c r="K74" s="25">
        <v>5.0000000000000044E-2</v>
      </c>
      <c r="L74" s="10"/>
      <c r="M74" s="10"/>
      <c r="N74" s="10"/>
      <c r="O74" s="10"/>
      <c r="P74" s="10"/>
      <c r="Q74" s="10"/>
    </row>
    <row r="75" spans="2:17" ht="15" customHeight="1" x14ac:dyDescent="0.3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2:17" ht="15" customHeight="1" x14ac:dyDescent="0.3">
      <c r="B76" s="11" t="s">
        <v>25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0"/>
      <c r="O76" s="10"/>
      <c r="P76" s="10"/>
      <c r="Q76" s="10"/>
    </row>
    <row r="77" spans="2:17" ht="15" customHeight="1" x14ac:dyDescent="0.3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2:17" ht="15" customHeight="1" x14ac:dyDescent="0.3">
      <c r="B78" s="80" t="s">
        <v>26</v>
      </c>
      <c r="C78" s="73" t="s">
        <v>3</v>
      </c>
      <c r="D78" s="25">
        <v>0.185</v>
      </c>
      <c r="E78" s="25">
        <v>0.22</v>
      </c>
      <c r="F78" s="25">
        <v>0.245</v>
      </c>
      <c r="G78" s="25">
        <v>0.23</v>
      </c>
      <c r="H78" s="25">
        <v>0.215</v>
      </c>
      <c r="I78" s="25">
        <v>0.2</v>
      </c>
      <c r="J78" s="25">
        <v>0.19</v>
      </c>
      <c r="K78" s="25">
        <v>0.18</v>
      </c>
      <c r="L78" s="10"/>
      <c r="M78" s="10"/>
      <c r="N78" s="10"/>
      <c r="O78" s="10"/>
      <c r="P78" s="10"/>
      <c r="Q78" s="10"/>
    </row>
    <row r="79" spans="2:17" ht="13.5" customHeight="1" x14ac:dyDescent="0.3">
      <c r="B79" s="10"/>
      <c r="C79" s="73" t="s">
        <v>10</v>
      </c>
      <c r="D79" s="25">
        <v>0.185</v>
      </c>
      <c r="E79" s="25">
        <v>0.22</v>
      </c>
      <c r="F79" s="25">
        <v>0.245</v>
      </c>
      <c r="G79" s="25">
        <v>0.22</v>
      </c>
      <c r="H79" s="25">
        <v>0.20499999999999999</v>
      </c>
      <c r="I79" s="25">
        <v>0.19</v>
      </c>
      <c r="J79" s="25">
        <v>0.18</v>
      </c>
      <c r="K79" s="25">
        <v>0.17</v>
      </c>
      <c r="L79" s="10"/>
      <c r="M79" s="10"/>
      <c r="N79" s="10"/>
      <c r="O79" s="10"/>
      <c r="P79" s="10"/>
      <c r="Q79" s="10"/>
    </row>
    <row r="80" spans="2:17" ht="15" customHeight="1" x14ac:dyDescent="0.3">
      <c r="B80" s="10"/>
      <c r="C80" s="73" t="s">
        <v>11</v>
      </c>
      <c r="D80" s="25">
        <v>0.185</v>
      </c>
      <c r="E80" s="25">
        <v>0.22</v>
      </c>
      <c r="F80" s="25">
        <v>0.245</v>
      </c>
      <c r="G80" s="25">
        <v>0.24</v>
      </c>
      <c r="H80" s="25">
        <v>0.22500000000000001</v>
      </c>
      <c r="I80" s="25">
        <v>0.21</v>
      </c>
      <c r="J80" s="25">
        <v>0.2</v>
      </c>
      <c r="K80" s="25">
        <v>0.19</v>
      </c>
      <c r="L80" s="10"/>
      <c r="M80" s="10"/>
      <c r="N80" s="10"/>
      <c r="O80" s="10"/>
      <c r="P80" s="10"/>
      <c r="Q80" s="10"/>
    </row>
    <row r="81" spans="2:17" ht="15.75" customHeight="1" x14ac:dyDescent="0.3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2:17" ht="15.75" customHeight="1" x14ac:dyDescent="0.3">
      <c r="B82" s="80" t="s">
        <v>27</v>
      </c>
      <c r="C82" s="73" t="s">
        <v>3</v>
      </c>
      <c r="D82" s="25">
        <v>0.65</v>
      </c>
      <c r="E82" s="25">
        <v>0.65</v>
      </c>
      <c r="F82" s="25">
        <v>0.65</v>
      </c>
      <c r="G82" s="25">
        <v>0.65</v>
      </c>
      <c r="H82" s="25">
        <v>0.65</v>
      </c>
      <c r="I82" s="25">
        <v>0.65</v>
      </c>
      <c r="J82" s="25">
        <v>0.65</v>
      </c>
      <c r="K82" s="25">
        <v>0.65</v>
      </c>
      <c r="L82" s="10"/>
      <c r="M82" s="10"/>
      <c r="N82" s="10"/>
      <c r="O82" s="10"/>
      <c r="P82" s="10"/>
      <c r="Q82" s="10"/>
    </row>
    <row r="83" spans="2:17" ht="15.75" customHeight="1" x14ac:dyDescent="0.3">
      <c r="B83" s="10"/>
      <c r="C83" s="73" t="s">
        <v>10</v>
      </c>
      <c r="D83" s="25">
        <v>0.65</v>
      </c>
      <c r="E83" s="25">
        <v>0.65</v>
      </c>
      <c r="F83" s="25">
        <v>0.65</v>
      </c>
      <c r="G83" s="25">
        <v>0.63</v>
      </c>
      <c r="H83" s="25">
        <v>0.63</v>
      </c>
      <c r="I83" s="25">
        <v>0.63</v>
      </c>
      <c r="J83" s="25">
        <v>0.63</v>
      </c>
      <c r="K83" s="25">
        <v>0.63</v>
      </c>
      <c r="L83" s="10"/>
      <c r="M83" s="10"/>
      <c r="N83" s="10"/>
      <c r="O83" s="10"/>
      <c r="P83" s="10"/>
      <c r="Q83" s="10"/>
    </row>
    <row r="84" spans="2:17" ht="15" customHeight="1" x14ac:dyDescent="0.3">
      <c r="B84" s="10"/>
      <c r="C84" s="73" t="s">
        <v>11</v>
      </c>
      <c r="D84" s="25">
        <v>0.65</v>
      </c>
      <c r="E84" s="25">
        <v>0.65</v>
      </c>
      <c r="F84" s="25">
        <v>0.65</v>
      </c>
      <c r="G84" s="25">
        <v>0.67</v>
      </c>
      <c r="H84" s="25">
        <v>0.67</v>
      </c>
      <c r="I84" s="25">
        <v>0.67</v>
      </c>
      <c r="J84" s="25">
        <v>0.67</v>
      </c>
      <c r="K84" s="25">
        <v>0.67</v>
      </c>
      <c r="L84" s="10"/>
      <c r="M84" s="10"/>
      <c r="N84" s="10"/>
      <c r="O84" s="10"/>
      <c r="P84" s="10"/>
      <c r="Q84" s="10"/>
    </row>
    <row r="85" spans="2:17" ht="15.75" customHeight="1" x14ac:dyDescent="0.3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2:17" ht="15.75" customHeight="1" x14ac:dyDescent="0.3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2:17" ht="15.75" customHeight="1" thickBo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2:17" ht="15" customHeight="1" x14ac:dyDescent="0.3">
      <c r="B88" s="21" t="s">
        <v>28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0"/>
      <c r="O88" s="10"/>
      <c r="P88" s="10"/>
      <c r="Q88" s="10"/>
    </row>
    <row r="89" spans="2:17" ht="15" customHeight="1" x14ac:dyDescent="0.3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2:17" ht="15" customHeight="1" x14ac:dyDescent="0.3">
      <c r="B90" s="11" t="s">
        <v>29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0"/>
      <c r="O90" s="10"/>
      <c r="P90" s="10"/>
      <c r="Q90" s="10"/>
    </row>
    <row r="91" spans="2:17" ht="15" customHeight="1" x14ac:dyDescent="0.3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2:17" ht="15" customHeight="1" x14ac:dyDescent="0.3">
      <c r="B92" s="80" t="s">
        <v>30</v>
      </c>
      <c r="C92" s="73" t="s">
        <v>3</v>
      </c>
      <c r="D92" s="25">
        <v>0.17499999999999999</v>
      </c>
      <c r="E92" s="25">
        <v>0.19</v>
      </c>
      <c r="F92" s="25">
        <v>0.185</v>
      </c>
      <c r="G92" s="25">
        <v>0.19</v>
      </c>
      <c r="H92" s="25">
        <v>0.19500000000000001</v>
      </c>
      <c r="I92" s="25">
        <v>0.2</v>
      </c>
      <c r="J92" s="25">
        <v>0.20499999999999999</v>
      </c>
      <c r="K92" s="25">
        <v>0.21</v>
      </c>
      <c r="L92" s="10"/>
      <c r="M92" s="10"/>
      <c r="N92" s="10"/>
      <c r="O92" s="10"/>
      <c r="P92" s="10"/>
      <c r="Q92" s="10"/>
    </row>
    <row r="93" spans="2:17" ht="13.5" customHeight="1" x14ac:dyDescent="0.3">
      <c r="B93" s="10"/>
      <c r="C93" s="73" t="s">
        <v>10</v>
      </c>
      <c r="D93" s="25">
        <v>0.17499999999999999</v>
      </c>
      <c r="E93" s="25">
        <v>0.19</v>
      </c>
      <c r="F93" s="25">
        <v>0.185</v>
      </c>
      <c r="G93" s="25">
        <v>0.185</v>
      </c>
      <c r="H93" s="25">
        <v>0.19</v>
      </c>
      <c r="I93" s="25">
        <v>0.19500000000000001</v>
      </c>
      <c r="J93" s="25">
        <v>0.2</v>
      </c>
      <c r="K93" s="25">
        <v>0.20499999999999999</v>
      </c>
      <c r="L93" s="10"/>
      <c r="M93" s="10"/>
      <c r="N93" s="10"/>
      <c r="O93" s="10"/>
      <c r="P93" s="10"/>
      <c r="Q93" s="10"/>
    </row>
    <row r="94" spans="2:17" ht="15" customHeight="1" x14ac:dyDescent="0.3">
      <c r="B94" s="10"/>
      <c r="C94" s="73" t="s">
        <v>11</v>
      </c>
      <c r="D94" s="25">
        <v>0.17499999999999999</v>
      </c>
      <c r="E94" s="25">
        <v>0.19</v>
      </c>
      <c r="F94" s="25">
        <v>0.185</v>
      </c>
      <c r="G94" s="25">
        <v>0.19500000000000001</v>
      </c>
      <c r="H94" s="25">
        <v>0.2</v>
      </c>
      <c r="I94" s="25">
        <v>0.20499999999999999</v>
      </c>
      <c r="J94" s="25">
        <v>0.21</v>
      </c>
      <c r="K94" s="25">
        <v>0.215</v>
      </c>
      <c r="L94" s="10"/>
      <c r="M94" s="10"/>
      <c r="N94" s="10"/>
      <c r="O94" s="10"/>
      <c r="P94" s="10"/>
      <c r="Q94" s="10"/>
    </row>
    <row r="95" spans="2:17" ht="15.75" customHeight="1" x14ac:dyDescent="0.3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2:17" ht="15.75" customHeight="1" x14ac:dyDescent="0.3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2:17" ht="15.75" customHeight="1" x14ac:dyDescent="0.3">
      <c r="B97" s="11" t="s">
        <v>31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0"/>
      <c r="O97" s="10"/>
      <c r="P97" s="10"/>
      <c r="Q97" s="10"/>
    </row>
    <row r="98" spans="2:17" ht="15" customHeight="1" x14ac:dyDescent="0.3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2:17" ht="15" customHeight="1" x14ac:dyDescent="0.3">
      <c r="B99" s="72" t="s">
        <v>237</v>
      </c>
      <c r="C99" s="73" t="s">
        <v>3</v>
      </c>
      <c r="D99" s="25">
        <v>5.0000000000000001E-3</v>
      </c>
      <c r="E99" s="25">
        <v>1.4999999999999999E-2</v>
      </c>
      <c r="F99" s="25">
        <v>2.5000000000000001E-2</v>
      </c>
      <c r="G99" s="25">
        <v>3.5000000000000003E-2</v>
      </c>
      <c r="H99" s="25">
        <v>0.03</v>
      </c>
      <c r="I99" s="25">
        <v>2.5000000000000001E-2</v>
      </c>
      <c r="J99" s="25">
        <v>2.5000000000000001E-2</v>
      </c>
      <c r="K99" s="25">
        <v>0.02</v>
      </c>
      <c r="L99" s="10"/>
      <c r="M99" s="10"/>
      <c r="N99" s="10"/>
      <c r="O99" s="10"/>
      <c r="P99" s="10"/>
      <c r="Q99" s="10"/>
    </row>
    <row r="100" spans="2:17" ht="13.5" customHeight="1" x14ac:dyDescent="0.3">
      <c r="B100" s="10"/>
      <c r="C100" s="73" t="s">
        <v>10</v>
      </c>
      <c r="D100" s="25">
        <v>0.01</v>
      </c>
      <c r="E100" s="25">
        <v>0.02</v>
      </c>
      <c r="F100" s="25">
        <v>3.0000000000000002E-2</v>
      </c>
      <c r="G100" s="25">
        <v>0.04</v>
      </c>
      <c r="H100" s="25">
        <v>4.4999999999999998E-2</v>
      </c>
      <c r="I100" s="25">
        <v>0.04</v>
      </c>
      <c r="J100" s="25">
        <v>3.4999999999999996E-2</v>
      </c>
      <c r="K100" s="25">
        <v>3.4999999999999996E-2</v>
      </c>
      <c r="L100" s="10"/>
      <c r="M100" s="10"/>
      <c r="N100" s="10"/>
      <c r="O100" s="10"/>
      <c r="P100" s="10"/>
      <c r="Q100" s="10"/>
    </row>
    <row r="101" spans="2:17" ht="15" customHeight="1" x14ac:dyDescent="0.3">
      <c r="B101" s="10"/>
      <c r="C101" s="73" t="s">
        <v>11</v>
      </c>
      <c r="D101" s="25">
        <v>2.5000000000000001E-3</v>
      </c>
      <c r="E101" s="25">
        <v>1.2499999999999999E-2</v>
      </c>
      <c r="F101" s="25">
        <v>2.2500000000000003E-2</v>
      </c>
      <c r="G101" s="25">
        <v>3.2500000000000001E-2</v>
      </c>
      <c r="H101" s="25">
        <v>3.7499999999999999E-2</v>
      </c>
      <c r="I101" s="25">
        <v>3.2500000000000001E-2</v>
      </c>
      <c r="J101" s="25">
        <v>2.75E-2</v>
      </c>
      <c r="K101" s="25">
        <v>2.75E-2</v>
      </c>
      <c r="L101" s="10"/>
      <c r="M101" s="10"/>
      <c r="N101" s="10"/>
      <c r="O101" s="10"/>
      <c r="P101" s="10"/>
      <c r="Q101" s="10"/>
    </row>
    <row r="102" spans="2:17" ht="15.75" customHeight="1" x14ac:dyDescent="0.3">
      <c r="B102" s="10"/>
      <c r="C102" s="9"/>
      <c r="D102" s="22"/>
      <c r="E102" s="22"/>
      <c r="F102" s="22"/>
      <c r="G102" s="22"/>
      <c r="H102" s="22"/>
      <c r="I102" s="22"/>
      <c r="J102" s="22"/>
      <c r="K102" s="22"/>
      <c r="L102" s="10"/>
      <c r="M102" s="10"/>
      <c r="N102" s="10"/>
      <c r="O102" s="10"/>
      <c r="P102" s="10"/>
      <c r="Q102" s="10"/>
    </row>
    <row r="103" spans="2:17" ht="15.75" customHeight="1" x14ac:dyDescent="0.3">
      <c r="B103" s="72" t="s">
        <v>238</v>
      </c>
      <c r="C103" s="73" t="s">
        <v>3</v>
      </c>
      <c r="D103" s="25">
        <v>0.03</v>
      </c>
      <c r="E103" s="25">
        <v>3.5000000000000003E-2</v>
      </c>
      <c r="F103" s="25">
        <v>0.04</v>
      </c>
      <c r="G103" s="25">
        <v>4.4999999999999998E-2</v>
      </c>
      <c r="H103" s="25">
        <v>0.04</v>
      </c>
      <c r="I103" s="25">
        <v>3.5000000000000003E-2</v>
      </c>
      <c r="J103" s="25">
        <v>0.03</v>
      </c>
      <c r="K103" s="25">
        <v>0.03</v>
      </c>
      <c r="L103" s="10"/>
      <c r="M103" s="10"/>
      <c r="N103" s="10"/>
      <c r="O103" s="10"/>
      <c r="P103" s="10"/>
      <c r="Q103" s="10"/>
    </row>
    <row r="104" spans="2:17" ht="15.75" customHeight="1" x14ac:dyDescent="0.3">
      <c r="B104" s="10"/>
      <c r="C104" s="73" t="s">
        <v>10</v>
      </c>
      <c r="D104" s="25">
        <v>2.4999999999999998E-2</v>
      </c>
      <c r="E104" s="25">
        <v>3.0000000000000002E-2</v>
      </c>
      <c r="F104" s="25">
        <v>3.5000000000000003E-2</v>
      </c>
      <c r="G104" s="25">
        <v>0.04</v>
      </c>
      <c r="H104" s="25">
        <v>3.5000000000000003E-2</v>
      </c>
      <c r="I104" s="25">
        <v>3.0000000000000002E-2</v>
      </c>
      <c r="J104" s="25">
        <v>2.4999999999999998E-2</v>
      </c>
      <c r="K104" s="25">
        <v>2.4999999999999998E-2</v>
      </c>
      <c r="L104" s="10"/>
      <c r="M104" s="10"/>
      <c r="N104" s="10"/>
      <c r="O104" s="10"/>
      <c r="P104" s="10"/>
      <c r="Q104" s="10"/>
    </row>
    <row r="105" spans="2:17" ht="15" customHeight="1" x14ac:dyDescent="0.3">
      <c r="B105" s="10"/>
      <c r="C105" s="73" t="s">
        <v>11</v>
      </c>
      <c r="D105" s="25">
        <v>0.04</v>
      </c>
      <c r="E105" s="25">
        <v>4.5000000000000005E-2</v>
      </c>
      <c r="F105" s="25">
        <v>0.05</v>
      </c>
      <c r="G105" s="25">
        <v>5.5E-2</v>
      </c>
      <c r="H105" s="25">
        <v>0.05</v>
      </c>
      <c r="I105" s="25">
        <v>4.5000000000000005E-2</v>
      </c>
      <c r="J105" s="25">
        <v>0.04</v>
      </c>
      <c r="K105" s="25">
        <v>0.04</v>
      </c>
      <c r="L105" s="10"/>
      <c r="M105" s="10"/>
      <c r="N105" s="10"/>
      <c r="O105" s="10"/>
      <c r="P105" s="10"/>
      <c r="Q105" s="10"/>
    </row>
    <row r="106" spans="2:17" ht="15" customHeight="1" x14ac:dyDescent="0.3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2:17" ht="13.5" customHeight="1" x14ac:dyDescent="0.3">
      <c r="B107" s="11" t="s">
        <v>40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0"/>
      <c r="O107" s="10"/>
      <c r="P107" s="10"/>
      <c r="Q107" s="10"/>
    </row>
    <row r="108" spans="2:17" ht="15" customHeight="1" x14ac:dyDescent="0.3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2:17" ht="15.75" customHeight="1" x14ac:dyDescent="0.3">
      <c r="B109" s="80" t="s">
        <v>33</v>
      </c>
      <c r="C109" s="73" t="s">
        <v>3</v>
      </c>
      <c r="D109" s="25">
        <v>0.6</v>
      </c>
      <c r="E109" s="25">
        <v>0.65</v>
      </c>
      <c r="F109" s="25">
        <v>0.7</v>
      </c>
      <c r="G109" s="25">
        <v>0.65</v>
      </c>
      <c r="H109" s="25">
        <v>0.65</v>
      </c>
      <c r="I109" s="25">
        <v>0.6</v>
      </c>
      <c r="J109" s="25">
        <v>0.6</v>
      </c>
      <c r="K109" s="25">
        <v>0.55000000000000004</v>
      </c>
      <c r="L109" s="10"/>
      <c r="M109" s="10"/>
      <c r="N109" s="10"/>
      <c r="O109" s="10"/>
      <c r="P109" s="10"/>
      <c r="Q109" s="10"/>
    </row>
    <row r="110" spans="2:17" ht="15.75" customHeight="1" x14ac:dyDescent="0.3">
      <c r="B110" s="10"/>
      <c r="C110" s="73" t="s">
        <v>10</v>
      </c>
      <c r="D110" s="25">
        <v>0.6</v>
      </c>
      <c r="E110" s="25">
        <v>0.65</v>
      </c>
      <c r="F110" s="25">
        <v>0.7</v>
      </c>
      <c r="G110" s="25">
        <v>0.7</v>
      </c>
      <c r="H110" s="25">
        <v>0.7</v>
      </c>
      <c r="I110" s="25">
        <v>0.65</v>
      </c>
      <c r="J110" s="25">
        <v>0.65</v>
      </c>
      <c r="K110" s="25">
        <v>0.6</v>
      </c>
      <c r="L110" s="10"/>
      <c r="M110" s="10"/>
      <c r="N110" s="10"/>
      <c r="O110" s="10"/>
      <c r="P110" s="10"/>
      <c r="Q110" s="10"/>
    </row>
    <row r="111" spans="2:17" ht="15.75" customHeight="1" x14ac:dyDescent="0.3">
      <c r="B111" s="10"/>
      <c r="C111" s="73" t="s">
        <v>11</v>
      </c>
      <c r="D111" s="25">
        <v>0.6</v>
      </c>
      <c r="E111" s="25">
        <v>0.65</v>
      </c>
      <c r="F111" s="25">
        <v>0.7</v>
      </c>
      <c r="G111" s="25">
        <v>0.6</v>
      </c>
      <c r="H111" s="25">
        <v>0.6</v>
      </c>
      <c r="I111" s="25">
        <v>0.55000000000000004</v>
      </c>
      <c r="J111" s="25">
        <v>0.55000000000000004</v>
      </c>
      <c r="K111" s="25">
        <v>0.5</v>
      </c>
      <c r="L111" s="10"/>
      <c r="M111" s="10"/>
      <c r="N111" s="10"/>
      <c r="O111" s="10"/>
      <c r="P111" s="10"/>
      <c r="Q111" s="10"/>
    </row>
    <row r="112" spans="2:17" ht="15" customHeight="1" x14ac:dyDescent="0.3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2:17" ht="15.75" customHeight="1" x14ac:dyDescent="0.3">
      <c r="B113" s="80" t="s">
        <v>41</v>
      </c>
      <c r="C113" s="73" t="s">
        <v>3</v>
      </c>
      <c r="D113" s="25">
        <v>0</v>
      </c>
      <c r="E113" s="25">
        <v>0</v>
      </c>
      <c r="F113" s="25">
        <v>0.02</v>
      </c>
      <c r="G113" s="25">
        <v>0.03</v>
      </c>
      <c r="H113" s="25">
        <v>0.04</v>
      </c>
      <c r="I113" s="25">
        <v>0.05</v>
      </c>
      <c r="J113" s="25">
        <v>0.06</v>
      </c>
      <c r="K113" s="25">
        <v>7.0000000000000007E-2</v>
      </c>
      <c r="L113" s="10"/>
      <c r="M113" s="10"/>
      <c r="N113" s="10"/>
      <c r="O113" s="10"/>
      <c r="P113" s="10"/>
      <c r="Q113" s="10"/>
    </row>
    <row r="114" spans="2:17" ht="15.75" customHeight="1" x14ac:dyDescent="0.3">
      <c r="B114" s="10"/>
      <c r="C114" s="73" t="s">
        <v>10</v>
      </c>
      <c r="D114" s="25">
        <v>0</v>
      </c>
      <c r="E114" s="25">
        <v>0</v>
      </c>
      <c r="F114" s="25">
        <v>0.02</v>
      </c>
      <c r="G114" s="25">
        <v>0.04</v>
      </c>
      <c r="H114" s="25">
        <v>0.05</v>
      </c>
      <c r="I114" s="25">
        <v>0.06</v>
      </c>
      <c r="J114" s="25">
        <v>7.0000000000000007E-2</v>
      </c>
      <c r="K114" s="25">
        <v>0.08</v>
      </c>
      <c r="L114" s="10"/>
      <c r="M114" s="10"/>
      <c r="N114" s="10"/>
      <c r="O114" s="10"/>
      <c r="P114" s="10"/>
      <c r="Q114" s="10"/>
    </row>
    <row r="115" spans="2:17" ht="15.75" customHeight="1" thickBot="1" x14ac:dyDescent="0.35">
      <c r="B115" s="7"/>
      <c r="C115" s="74" t="s">
        <v>11</v>
      </c>
      <c r="D115" s="26">
        <v>0</v>
      </c>
      <c r="E115" s="26">
        <v>0</v>
      </c>
      <c r="F115" s="26">
        <v>0.02</v>
      </c>
      <c r="G115" s="26">
        <v>0.02</v>
      </c>
      <c r="H115" s="26">
        <v>0.03</v>
      </c>
      <c r="I115" s="26">
        <v>0.04</v>
      </c>
      <c r="J115" s="26">
        <v>0.05</v>
      </c>
      <c r="K115" s="26">
        <v>0.06</v>
      </c>
      <c r="L115" s="10"/>
      <c r="M115" s="10"/>
      <c r="N115" s="10"/>
      <c r="O115" s="10"/>
      <c r="P115" s="10"/>
      <c r="Q115" s="10"/>
    </row>
    <row r="116" spans="2:17" ht="15" customHeight="1" x14ac:dyDescent="0.3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2:17" ht="15" customHeight="1" x14ac:dyDescent="0.3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2:17" ht="15" customHeight="1" x14ac:dyDescent="0.3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2:17" ht="15" customHeight="1" x14ac:dyDescent="0.3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2:17" ht="15" customHeight="1" x14ac:dyDescent="0.3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sheetPr>
    <tabColor rgb="FF1F3864"/>
  </sheetPr>
  <dimension ref="B2:J110"/>
  <sheetViews>
    <sheetView showGridLines="0" workbookViewId="0"/>
  </sheetViews>
  <sheetFormatPr defaultColWidth="7.69921875" defaultRowHeight="15" customHeight="1" x14ac:dyDescent="0.3"/>
  <cols>
    <col min="2" max="2" width="39" customWidth="1"/>
    <col min="3" max="10" width="10" customWidth="1"/>
  </cols>
  <sheetData>
    <row r="2" spans="2:10" ht="18" customHeight="1" x14ac:dyDescent="0.3">
      <c r="B2" s="82" t="s">
        <v>60</v>
      </c>
      <c r="C2" s="10"/>
      <c r="D2" s="10"/>
      <c r="E2" s="10"/>
      <c r="F2" s="10"/>
      <c r="G2" s="10"/>
      <c r="H2" s="10"/>
      <c r="I2" s="10"/>
      <c r="J2" s="10"/>
    </row>
    <row r="3" spans="2:10" ht="13.5" customHeight="1" x14ac:dyDescent="0.3">
      <c r="B3" s="83" t="s">
        <v>43</v>
      </c>
      <c r="C3" s="10"/>
      <c r="D3" s="10"/>
      <c r="E3" s="10"/>
      <c r="F3" s="10"/>
      <c r="G3" s="10"/>
      <c r="H3" s="10"/>
      <c r="I3" s="10"/>
      <c r="J3" s="10"/>
    </row>
    <row r="4" spans="2:10" ht="15" customHeight="1" x14ac:dyDescent="0.3">
      <c r="B4" s="10"/>
      <c r="C4" s="10"/>
      <c r="D4" s="10"/>
      <c r="E4" s="10"/>
      <c r="F4" s="10"/>
      <c r="G4" s="10"/>
      <c r="H4" s="10"/>
      <c r="I4" s="10"/>
      <c r="J4" s="10"/>
    </row>
    <row r="5" spans="2:10" ht="15.75" customHeight="1" x14ac:dyDescent="0.3">
      <c r="B5" s="78" t="s">
        <v>2</v>
      </c>
      <c r="C5" s="10"/>
      <c r="D5" s="40" t="str">
        <f>'Meta Drivers'!D6</f>
        <v>Base</v>
      </c>
      <c r="E5" s="10"/>
      <c r="F5" s="10"/>
      <c r="G5" s="10"/>
      <c r="H5" s="10"/>
      <c r="I5" s="10"/>
      <c r="J5" s="10"/>
    </row>
    <row r="6" spans="2:10" ht="15" customHeight="1" x14ac:dyDescent="0.3">
      <c r="B6" s="10"/>
      <c r="C6" s="10"/>
      <c r="D6" s="10"/>
      <c r="E6" s="10"/>
      <c r="F6" s="10"/>
      <c r="G6" s="10"/>
      <c r="H6" s="10"/>
      <c r="I6" s="10"/>
      <c r="J6" s="10"/>
    </row>
    <row r="7" spans="2:10" ht="13.5" customHeight="1" x14ac:dyDescent="0.3">
      <c r="B7" s="18" t="s">
        <v>4</v>
      </c>
      <c r="C7" s="18"/>
      <c r="D7" s="18"/>
      <c r="E7" s="18"/>
      <c r="F7" s="18" t="s">
        <v>5</v>
      </c>
      <c r="G7" s="18"/>
      <c r="H7" s="18"/>
      <c r="I7" s="18"/>
      <c r="J7" s="18"/>
    </row>
    <row r="8" spans="2:10" ht="13.5" customHeight="1" x14ac:dyDescent="0.3">
      <c r="B8" s="10"/>
      <c r="C8" s="84">
        <v>2021</v>
      </c>
      <c r="D8" s="84">
        <v>2022</v>
      </c>
      <c r="E8" s="84">
        <v>2023</v>
      </c>
      <c r="F8" s="84">
        <v>2024</v>
      </c>
      <c r="G8" s="84">
        <v>2025</v>
      </c>
      <c r="H8" s="84">
        <v>2026</v>
      </c>
      <c r="I8" s="84">
        <v>2027</v>
      </c>
      <c r="J8" s="84">
        <v>2028</v>
      </c>
    </row>
    <row r="9" spans="2:10" ht="15" customHeight="1" thickBot="1" x14ac:dyDescent="0.35">
      <c r="B9" s="10"/>
      <c r="C9" s="10"/>
      <c r="D9" s="10"/>
      <c r="E9" s="10"/>
      <c r="F9" s="10"/>
      <c r="G9" s="10"/>
      <c r="H9" s="10"/>
      <c r="I9" s="10"/>
      <c r="J9" s="10"/>
    </row>
    <row r="10" spans="2:10" ht="15" customHeight="1" x14ac:dyDescent="0.3">
      <c r="B10" s="21" t="s">
        <v>231</v>
      </c>
      <c r="C10" s="21"/>
      <c r="D10" s="21"/>
      <c r="E10" s="21"/>
      <c r="F10" s="21"/>
      <c r="G10" s="21"/>
      <c r="H10" s="21"/>
      <c r="I10" s="21"/>
      <c r="J10" s="21"/>
    </row>
    <row r="11" spans="2:10" ht="15" customHeight="1" x14ac:dyDescent="0.3">
      <c r="B11" s="10"/>
      <c r="C11" s="10"/>
      <c r="D11" s="10"/>
      <c r="E11" s="10"/>
      <c r="F11" s="10"/>
      <c r="G11" s="10"/>
      <c r="H11" s="10"/>
      <c r="I11" s="10"/>
      <c r="J11" s="10"/>
    </row>
    <row r="12" spans="2:10" ht="15.75" customHeight="1" x14ac:dyDescent="0.3">
      <c r="B12" s="72" t="s">
        <v>61</v>
      </c>
      <c r="C12" s="37">
        <v>115655</v>
      </c>
      <c r="D12" s="37">
        <v>114450</v>
      </c>
      <c r="E12" s="37">
        <v>133008</v>
      </c>
      <c r="F12" s="2">
        <f>E12*(1+INDEX('Meta Drivers'!G$15:G$17,MATCH($D$5,'Meta Drivers'!$C$15:$C$17,0)))</f>
        <v>148968.96000000002</v>
      </c>
      <c r="G12" s="2">
        <f>F12*(1+INDEX('Meta Drivers'!H$15:H$17,MATCH($D$5,'Meta Drivers'!$C$15:$C$17,0)))</f>
        <v>163865.85600000003</v>
      </c>
      <c r="H12" s="2">
        <f>G12*(1+INDEX('Meta Drivers'!I$15:I$17,MATCH($D$5,'Meta Drivers'!$C$15:$C$17,0)))</f>
        <v>177794.45376000003</v>
      </c>
      <c r="I12" s="2">
        <f>H12*(1+INDEX('Meta Drivers'!J$15:J$17,MATCH($D$5,'Meta Drivers'!$C$15:$C$17,0)))</f>
        <v>191129.03779200002</v>
      </c>
      <c r="J12" s="2">
        <f>I12*(1+INDEX('Meta Drivers'!K$15:K$17,MATCH($D$5,'Meta Drivers'!$C$15:$C$17,0)))</f>
        <v>204508.07043744004</v>
      </c>
    </row>
    <row r="13" spans="2:10" ht="15.75" customHeight="1" x14ac:dyDescent="0.3">
      <c r="B13" s="72" t="s">
        <v>36</v>
      </c>
      <c r="C13" s="37">
        <v>2274</v>
      </c>
      <c r="D13" s="37">
        <v>2159</v>
      </c>
      <c r="E13" s="37">
        <v>1896</v>
      </c>
      <c r="F13" s="3">
        <f>E13*(1+INDEX('Meta Drivers'!G$19:G$21,MATCH($D$5,'Meta Drivers'!$C$19:$C$21,0)))</f>
        <v>2370</v>
      </c>
      <c r="G13" s="3">
        <f>F13*(1+INDEX('Meta Drivers'!H$19:H$21,MATCH($D$5,'Meta Drivers'!$C$19:$C$21,0)))</f>
        <v>3199.5</v>
      </c>
      <c r="H13" s="3">
        <f>G13*(1+INDEX('Meta Drivers'!I$19:I$21,MATCH($D$5,'Meta Drivers'!$C$19:$C$21,0)))</f>
        <v>4639.2749999999996</v>
      </c>
      <c r="I13" s="3">
        <f>H13*(1+INDEX('Meta Drivers'!J$19:J$21,MATCH($D$5,'Meta Drivers'!$C$19:$C$21,0)))</f>
        <v>6494.9849999999988</v>
      </c>
      <c r="J13" s="3">
        <f>I13*(1+INDEX('Meta Drivers'!K$19:K$21,MATCH($D$5,'Meta Drivers'!$C$19:$C$21,0)))</f>
        <v>8768.2297499999986</v>
      </c>
    </row>
    <row r="14" spans="2:10" ht="15.75" customHeight="1" x14ac:dyDescent="0.3">
      <c r="B14" s="110" t="s">
        <v>44</v>
      </c>
      <c r="C14" s="111">
        <f t="shared" ref="C14:J14" si="0">SUM(C12:C13)</f>
        <v>117929</v>
      </c>
      <c r="D14" s="111">
        <f t="shared" si="0"/>
        <v>116609</v>
      </c>
      <c r="E14" s="111">
        <f t="shared" si="0"/>
        <v>134904</v>
      </c>
      <c r="F14" s="107">
        <f t="shared" si="0"/>
        <v>151338.96000000002</v>
      </c>
      <c r="G14" s="107">
        <f t="shared" si="0"/>
        <v>167065.35600000003</v>
      </c>
      <c r="H14" s="107">
        <f t="shared" si="0"/>
        <v>182433.72876000003</v>
      </c>
      <c r="I14" s="107">
        <f t="shared" si="0"/>
        <v>197624.022792</v>
      </c>
      <c r="J14" s="107">
        <f t="shared" si="0"/>
        <v>213276.30018744004</v>
      </c>
    </row>
    <row r="15" spans="2:10" ht="15.75" customHeight="1" x14ac:dyDescent="0.3">
      <c r="B15" s="85" t="s">
        <v>45</v>
      </c>
      <c r="C15" s="10"/>
      <c r="D15" s="36">
        <f t="shared" ref="D15:J15" si="1">D14/C14-1</f>
        <v>-1.1193175554782941E-2</v>
      </c>
      <c r="E15" s="36">
        <f t="shared" si="1"/>
        <v>0.15689183510706717</v>
      </c>
      <c r="F15" s="31">
        <f t="shared" si="1"/>
        <v>0.12182707703255669</v>
      </c>
      <c r="G15" s="31">
        <f t="shared" si="1"/>
        <v>0.10391505267381262</v>
      </c>
      <c r="H15" s="31">
        <f t="shared" si="1"/>
        <v>9.1990183530330505E-2</v>
      </c>
      <c r="I15" s="31">
        <f t="shared" si="1"/>
        <v>8.3264723772562332E-2</v>
      </c>
      <c r="J15" s="31">
        <f t="shared" si="1"/>
        <v>7.9202301290638655E-2</v>
      </c>
    </row>
    <row r="16" spans="2:10" ht="15" customHeight="1" x14ac:dyDescent="0.3">
      <c r="B16" s="10"/>
      <c r="C16" s="10"/>
      <c r="D16" s="10"/>
      <c r="E16" s="10"/>
      <c r="F16" s="10"/>
      <c r="G16" s="10"/>
      <c r="H16" s="10"/>
      <c r="I16" s="10"/>
      <c r="J16" s="10"/>
    </row>
    <row r="17" spans="2:10" ht="15" customHeight="1" x14ac:dyDescent="0.3">
      <c r="B17" s="72" t="s">
        <v>47</v>
      </c>
      <c r="C17" s="3">
        <f t="shared" ref="C17:J17" si="2">C14*(1-C19)</f>
        <v>23349.942000000006</v>
      </c>
      <c r="D17" s="3">
        <f t="shared" si="2"/>
        <v>23555.017999999996</v>
      </c>
      <c r="E17" s="3">
        <f t="shared" si="2"/>
        <v>27655.320000000011</v>
      </c>
      <c r="F17" s="3">
        <f t="shared" si="2"/>
        <v>30721.808880000015</v>
      </c>
      <c r="G17" s="3">
        <f t="shared" si="2"/>
        <v>33580.136556000019</v>
      </c>
      <c r="H17" s="3">
        <f t="shared" si="2"/>
        <v>36304.312023240018</v>
      </c>
      <c r="I17" s="3">
        <f t="shared" si="2"/>
        <v>38931.932490023988</v>
      </c>
      <c r="J17" s="3">
        <f t="shared" si="2"/>
        <v>41588.878536550823</v>
      </c>
    </row>
    <row r="18" spans="2:10" ht="15" customHeight="1" x14ac:dyDescent="0.3">
      <c r="B18" s="112" t="s">
        <v>48</v>
      </c>
      <c r="C18" s="113">
        <f t="shared" ref="C18:J18" si="3">C14-C17</f>
        <v>94579.05799999999</v>
      </c>
      <c r="D18" s="113">
        <f t="shared" si="3"/>
        <v>93053.982000000004</v>
      </c>
      <c r="E18" s="113">
        <f t="shared" si="3"/>
        <v>107248.68</v>
      </c>
      <c r="F18" s="103">
        <f t="shared" si="3"/>
        <v>120617.15112000001</v>
      </c>
      <c r="G18" s="103">
        <f t="shared" si="3"/>
        <v>133485.21944400002</v>
      </c>
      <c r="H18" s="103">
        <f t="shared" si="3"/>
        <v>146129.41673676</v>
      </c>
      <c r="I18" s="103">
        <f t="shared" si="3"/>
        <v>158692.09030197602</v>
      </c>
      <c r="J18" s="103">
        <f t="shared" si="3"/>
        <v>171687.42165088921</v>
      </c>
    </row>
    <row r="19" spans="2:10" ht="15.75" customHeight="1" x14ac:dyDescent="0.3">
      <c r="B19" s="85" t="s">
        <v>49</v>
      </c>
      <c r="C19" s="25">
        <v>0.80199999999999994</v>
      </c>
      <c r="D19" s="25">
        <v>0.79800000000000004</v>
      </c>
      <c r="E19" s="25">
        <v>0.79499999999999993</v>
      </c>
      <c r="F19" s="25">
        <v>0.79699999999999993</v>
      </c>
      <c r="G19" s="25">
        <v>0.79899999999999993</v>
      </c>
      <c r="H19" s="25">
        <v>0.80099999999999993</v>
      </c>
      <c r="I19" s="25">
        <v>0.80300000000000005</v>
      </c>
      <c r="J19" s="25">
        <v>0.80499999999999994</v>
      </c>
    </row>
    <row r="20" spans="2:10" ht="15.75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</row>
    <row r="21" spans="2:10" ht="15.75" customHeight="1" x14ac:dyDescent="0.3">
      <c r="B21" s="72" t="s">
        <v>17</v>
      </c>
      <c r="C21" s="2">
        <f>C14*INDEX('Meta Drivers'!D$38:D$40,MATCH($D$5,'Meta Drivers'!$C$38:$C$40,0))</f>
        <v>30071.895</v>
      </c>
      <c r="D21" s="2">
        <f>D14*INDEX('Meta Drivers'!E$38:E$40,MATCH($D$5,'Meta Drivers'!$C$38:$C$40,0))</f>
        <v>31484.43</v>
      </c>
      <c r="E21" s="2">
        <f>E14*INDEX('Meta Drivers'!F$38:F$40,MATCH($D$5,'Meta Drivers'!$C$38:$C$40,0))</f>
        <v>39122.159999999996</v>
      </c>
      <c r="F21" s="2">
        <f>F14*INDEX('Meta Drivers'!G$38:G$40,MATCH($D$5,'Meta Drivers'!$C$38:$C$40,0))</f>
        <v>43131.603600000002</v>
      </c>
      <c r="G21" s="2">
        <f>G14*INDEX('Meta Drivers'!H$38:H$40,MATCH($D$5,'Meta Drivers'!$C$38:$C$40,0))</f>
        <v>46778.299680000011</v>
      </c>
      <c r="H21" s="2">
        <f>H14*INDEX('Meta Drivers'!I$38:I$40,MATCH($D$5,'Meta Drivers'!$C$38:$C$40,0))</f>
        <v>50169.275409000009</v>
      </c>
      <c r="I21" s="2">
        <f>I14*INDEX('Meta Drivers'!J$38:J$40,MATCH($D$5,'Meta Drivers'!$C$38:$C$40,0))</f>
        <v>53358.486153840007</v>
      </c>
      <c r="J21" s="2">
        <f>J14*INDEX('Meta Drivers'!K$38:K$40,MATCH($D$5,'Meta Drivers'!$C$38:$C$40,0))</f>
        <v>56518.219549671616</v>
      </c>
    </row>
    <row r="22" spans="2:10" ht="15" customHeight="1" x14ac:dyDescent="0.3">
      <c r="B22" s="72" t="s">
        <v>18</v>
      </c>
      <c r="C22" s="2">
        <f>C14*INDEX('Meta Drivers'!D$42:D$44,MATCH($D$5,'Meta Drivers'!$C$42:$C$44,0))</f>
        <v>13915.622000000001</v>
      </c>
      <c r="D22" s="2">
        <f>D14*INDEX('Meta Drivers'!E$42:E$44,MATCH($D$5,'Meta Drivers'!$C$42:$C$44,0))</f>
        <v>14576.125</v>
      </c>
      <c r="E22" s="2">
        <f>E14*INDEX('Meta Drivers'!F$42:F$44,MATCH($D$5,'Meta Drivers'!$C$42:$C$44,0))</f>
        <v>17537.52</v>
      </c>
      <c r="F22" s="2">
        <f>F14*INDEX('Meta Drivers'!G$42:G$44,MATCH($D$5,'Meta Drivers'!$C$42:$C$44,0))</f>
        <v>18917.370000000003</v>
      </c>
      <c r="G22" s="2">
        <f>G14*INDEX('Meta Drivers'!H$42:H$44,MATCH($D$5,'Meta Drivers'!$C$42:$C$44,0))</f>
        <v>20047.842720000004</v>
      </c>
      <c r="H22" s="2">
        <f>H14*INDEX('Meta Drivers'!I$42:I$44,MATCH($D$5,'Meta Drivers'!$C$42:$C$44,0))</f>
        <v>20979.878807400004</v>
      </c>
      <c r="I22" s="2">
        <f>I14*INDEX('Meta Drivers'!J$42:J$44,MATCH($D$5,'Meta Drivers'!$C$42:$C$44,0))</f>
        <v>21738.642507119999</v>
      </c>
      <c r="J22" s="2">
        <f>J14*INDEX('Meta Drivers'!K$42:K$44,MATCH($D$5,'Meta Drivers'!$C$42:$C$44,0))</f>
        <v>22394.011519681204</v>
      </c>
    </row>
    <row r="23" spans="2:10" ht="15.75" customHeight="1" x14ac:dyDescent="0.3">
      <c r="B23" s="72" t="s">
        <v>19</v>
      </c>
      <c r="C23" s="2">
        <f>C14*INDEX('Meta Drivers'!D$46:D$48,MATCH($D$5,'Meta Drivers'!$C$46:$C$48,0))</f>
        <v>12028.758</v>
      </c>
      <c r="D23" s="2">
        <f>D14*INDEX('Meta Drivers'!E$46:E$48,MATCH($D$5,'Meta Drivers'!$C$46:$C$48,0))</f>
        <v>12593.772000000001</v>
      </c>
      <c r="E23" s="2">
        <f>E14*INDEX('Meta Drivers'!F$46:F$48,MATCH($D$5,'Meta Drivers'!$C$46:$C$48,0))</f>
        <v>15513.960000000001</v>
      </c>
      <c r="F23" s="2">
        <f>F14*INDEX('Meta Drivers'!G$46:G$48,MATCH($D$5,'Meta Drivers'!$C$46:$C$48,0))</f>
        <v>16647.285600000003</v>
      </c>
      <c r="G23" s="2">
        <f>G14*INDEX('Meta Drivers'!H$46:H$48,MATCH($D$5,'Meta Drivers'!$C$46:$C$48,0))</f>
        <v>17541.862380000002</v>
      </c>
      <c r="H23" s="2">
        <f>H14*INDEX('Meta Drivers'!I$46:I$48,MATCH($D$5,'Meta Drivers'!$C$46:$C$48,0))</f>
        <v>18243.372876000005</v>
      </c>
      <c r="I23" s="2">
        <f>I14*INDEX('Meta Drivers'!J$46:J$48,MATCH($D$5,'Meta Drivers'!$C$46:$C$48,0))</f>
        <v>18774.282165240002</v>
      </c>
      <c r="J23" s="2">
        <f>J14*INDEX('Meta Drivers'!K$46:K$48,MATCH($D$5,'Meta Drivers'!$C$46:$C$48,0))</f>
        <v>19194.867016869601</v>
      </c>
    </row>
    <row r="24" spans="2:10" ht="15.75" customHeight="1" x14ac:dyDescent="0.3">
      <c r="B24" s="72" t="s">
        <v>20</v>
      </c>
      <c r="C24" s="2">
        <f>C14*INDEX('Meta Drivers'!D$50:D$52,MATCH($D$5,'Meta Drivers'!$C$50:$C$52,0))</f>
        <v>10023.965</v>
      </c>
      <c r="D24" s="2">
        <f>D14*INDEX('Meta Drivers'!E$50:E$52,MATCH($D$5,'Meta Drivers'!$C$50:$C$52,0))</f>
        <v>11894.117999999999</v>
      </c>
      <c r="E24" s="2">
        <f>E14*INDEX('Meta Drivers'!F$50:F$52,MATCH($D$5,'Meta Drivers'!$C$50:$C$52,0))</f>
        <v>15918.672</v>
      </c>
      <c r="F24" s="2">
        <f>F14*INDEX('Meta Drivers'!G$50:G$52,MATCH($D$5,'Meta Drivers'!$C$50:$C$52,0))</f>
        <v>16647.285600000003</v>
      </c>
      <c r="G24" s="2">
        <f>G14*INDEX('Meta Drivers'!H$50:H$52,MATCH($D$5,'Meta Drivers'!$C$50:$C$52,0))</f>
        <v>17541.862380000002</v>
      </c>
      <c r="H24" s="2">
        <f>H14*INDEX('Meta Drivers'!I$50:I$52,MATCH($D$5,'Meta Drivers'!$C$50:$C$52,0))</f>
        <v>18243.372876000005</v>
      </c>
      <c r="I24" s="2">
        <f>I14*INDEX('Meta Drivers'!J$50:J$52,MATCH($D$5,'Meta Drivers'!$C$50:$C$52,0))</f>
        <v>18774.282165240002</v>
      </c>
      <c r="J24" s="2">
        <f>J14*INDEX('Meta Drivers'!K$50:K$52,MATCH($D$5,'Meta Drivers'!$C$50:$C$52,0))</f>
        <v>19194.867016869601</v>
      </c>
    </row>
    <row r="25" spans="2:10" ht="15.75" customHeight="1" x14ac:dyDescent="0.3">
      <c r="B25" s="110" t="s">
        <v>50</v>
      </c>
      <c r="C25" s="111">
        <f t="shared" ref="C25:J25" si="4">SUM(C21:C24)</f>
        <v>66040.240000000005</v>
      </c>
      <c r="D25" s="111">
        <f t="shared" si="4"/>
        <v>70548.445000000007</v>
      </c>
      <c r="E25" s="111">
        <f t="shared" si="4"/>
        <v>88092.312000000005</v>
      </c>
      <c r="F25" s="102">
        <f t="shared" si="4"/>
        <v>95343.544800000003</v>
      </c>
      <c r="G25" s="102">
        <f t="shared" si="4"/>
        <v>101909.86716000002</v>
      </c>
      <c r="H25" s="102">
        <f t="shared" si="4"/>
        <v>107635.89996840003</v>
      </c>
      <c r="I25" s="102">
        <f t="shared" si="4"/>
        <v>112645.69299144001</v>
      </c>
      <c r="J25" s="102">
        <f t="shared" si="4"/>
        <v>117301.96510309202</v>
      </c>
    </row>
    <row r="26" spans="2:10" ht="15.75" customHeight="1" x14ac:dyDescent="0.3">
      <c r="B26" s="10"/>
      <c r="C26" s="10"/>
      <c r="D26" s="10"/>
      <c r="E26" s="10"/>
      <c r="F26" s="10"/>
      <c r="G26" s="10"/>
      <c r="H26" s="10"/>
      <c r="I26" s="10"/>
      <c r="J26" s="10"/>
    </row>
    <row r="27" spans="2:10" ht="15.75" customHeight="1" x14ac:dyDescent="0.3">
      <c r="B27" s="112" t="s">
        <v>51</v>
      </c>
      <c r="C27" s="113">
        <f t="shared" ref="C27:J27" si="5">C18-C25</f>
        <v>28538.817999999985</v>
      </c>
      <c r="D27" s="113">
        <f t="shared" si="5"/>
        <v>22505.536999999997</v>
      </c>
      <c r="E27" s="113">
        <f t="shared" si="5"/>
        <v>19156.367999999988</v>
      </c>
      <c r="F27" s="103">
        <f t="shared" si="5"/>
        <v>25273.606320000006</v>
      </c>
      <c r="G27" s="103">
        <f t="shared" si="5"/>
        <v>31575.352283999993</v>
      </c>
      <c r="H27" s="103">
        <f t="shared" si="5"/>
        <v>38493.516768359972</v>
      </c>
      <c r="I27" s="103">
        <f t="shared" si="5"/>
        <v>46046.397310536006</v>
      </c>
      <c r="J27" s="103">
        <f t="shared" si="5"/>
        <v>54385.456547797192</v>
      </c>
    </row>
    <row r="28" spans="2:10" ht="15" customHeight="1" x14ac:dyDescent="0.3">
      <c r="B28" s="85" t="s">
        <v>52</v>
      </c>
      <c r="C28" s="36">
        <f t="shared" ref="C28:J28" si="6">C27/C14</f>
        <v>0.24199999999999988</v>
      </c>
      <c r="D28" s="36">
        <f t="shared" si="6"/>
        <v>0.19299999999999998</v>
      </c>
      <c r="E28" s="36">
        <f t="shared" si="6"/>
        <v>0.1419999999999999</v>
      </c>
      <c r="F28" s="31">
        <f t="shared" si="6"/>
        <v>0.16700000000000001</v>
      </c>
      <c r="G28" s="31">
        <f t="shared" si="6"/>
        <v>0.18899999999999992</v>
      </c>
      <c r="H28" s="31">
        <f t="shared" si="6"/>
        <v>0.21099999999999983</v>
      </c>
      <c r="I28" s="31">
        <f t="shared" si="6"/>
        <v>0.23300000000000001</v>
      </c>
      <c r="J28" s="36">
        <f t="shared" si="6"/>
        <v>0.25499999999999989</v>
      </c>
    </row>
    <row r="29" spans="2:10" ht="15.75" customHeight="1" x14ac:dyDescent="0.3">
      <c r="B29" s="10"/>
      <c r="C29" s="10"/>
      <c r="D29" s="10"/>
      <c r="E29" s="10"/>
      <c r="F29" s="10"/>
      <c r="G29" s="10"/>
      <c r="H29" s="10"/>
      <c r="I29" s="10"/>
      <c r="J29" s="10"/>
    </row>
    <row r="30" spans="2:10" ht="15.75" customHeight="1" x14ac:dyDescent="0.3">
      <c r="B30" s="86" t="s">
        <v>232</v>
      </c>
      <c r="C30" s="2">
        <f>(C$49*INDEX('Meta Drivers'!D$99:D$101,MATCH($D$5,'Meta Drivers'!$C$99:$C$101,0)))-(C71*INDEX('Meta Drivers'!D$103:D$105,MATCH($D$5,'Meta Drivers'!$C$103:$C$105,0)))</f>
        <v>-125</v>
      </c>
      <c r="D30" s="2">
        <f ca="1">(D$49*INDEX('Meta Drivers'!E$99:E$101,MATCH($D$5,'Meta Drivers'!$C$99:$C$101,0)))-(D71*INDEX('Meta Drivers'!E$103:E$105,MATCH($D$5,'Meta Drivers'!$C$103:$C$105,0)))</f>
        <v>277.83076675019407</v>
      </c>
      <c r="E30" s="2">
        <f ca="1">(E$49*INDEX('Meta Drivers'!F$99:F$101,MATCH($D$5,'Meta Drivers'!$C$99:$C$101,0)))-(E71*INDEX('Meta Drivers'!F$103:F$105,MATCH($D$5,'Meta Drivers'!$C$103:$C$105,0)))</f>
        <v>735.70931935575322</v>
      </c>
      <c r="F30" s="2">
        <f ca="1">(F$49*INDEX('Meta Drivers'!G$99:G$101,MATCH($D$5,'Meta Drivers'!$C$99:$C$101,0)))-(F71*INDEX('Meta Drivers'!G$103:G$105,MATCH($D$5,'Meta Drivers'!$C$103:$C$105,0)))</f>
        <v>1393.8910034844107</v>
      </c>
      <c r="G30" s="2">
        <f ca="1">(G$49*INDEX('Meta Drivers'!H$99:H$101,MATCH($D$5,'Meta Drivers'!$C$99:$C$101,0)))-(G71*INDEX('Meta Drivers'!H$103:H$105,MATCH($D$5,'Meta Drivers'!$C$103:$C$105,0)))</f>
        <v>1470.8669917010063</v>
      </c>
      <c r="H30" s="2">
        <f ca="1">(H$49*INDEX('Meta Drivers'!I$99:I$101,MATCH($D$5,'Meta Drivers'!$C$99:$C$101,0)))-(H71*INDEX('Meta Drivers'!I$103:I$105,MATCH($D$5,'Meta Drivers'!$C$103:$C$105,0)))</f>
        <v>1547.6923169889287</v>
      </c>
      <c r="I30" s="2">
        <f ca="1">(I$49*INDEX('Meta Drivers'!J$99:J$101,MATCH($D$5,'Meta Drivers'!$C$99:$C$101,0)))-(I71*INDEX('Meta Drivers'!J$103:J$105,MATCH($D$5,'Meta Drivers'!$C$103:$C$105,0)))</f>
        <v>1974.9617369626267</v>
      </c>
      <c r="J30" s="2">
        <f ca="1">(J$49*INDEX('Meta Drivers'!K$99:K$101,MATCH($D$5,'Meta Drivers'!$C$99:$C$101,0)))-(J71*INDEX('Meta Drivers'!K$103:K$105,MATCH($D$5,'Meta Drivers'!$C$103:$C$105,0)))</f>
        <v>1947.5673325230478</v>
      </c>
    </row>
    <row r="31" spans="2:10" ht="15" customHeight="1" x14ac:dyDescent="0.3">
      <c r="B31" s="10"/>
      <c r="C31" s="10"/>
      <c r="D31" s="10"/>
      <c r="E31" s="10"/>
      <c r="F31" s="10"/>
      <c r="G31" s="10"/>
      <c r="H31" s="10"/>
      <c r="I31" s="10"/>
      <c r="J31" s="10"/>
    </row>
    <row r="32" spans="2:10" ht="15.75" customHeight="1" x14ac:dyDescent="0.3">
      <c r="B32" s="112" t="s">
        <v>53</v>
      </c>
      <c r="C32" s="113">
        <f t="shared" ref="C32:J32" si="7">C27+C30</f>
        <v>28413.817999999985</v>
      </c>
      <c r="D32" s="113">
        <f t="shared" ca="1" si="7"/>
        <v>22783.367766750191</v>
      </c>
      <c r="E32" s="113">
        <f t="shared" ca="1" si="7"/>
        <v>19892.07731935574</v>
      </c>
      <c r="F32" s="103">
        <f t="shared" ca="1" si="7"/>
        <v>26667.497323484418</v>
      </c>
      <c r="G32" s="103">
        <f t="shared" ca="1" si="7"/>
        <v>33046.219275700998</v>
      </c>
      <c r="H32" s="103">
        <f t="shared" ca="1" si="7"/>
        <v>40041.209085348899</v>
      </c>
      <c r="I32" s="103">
        <f t="shared" ca="1" si="7"/>
        <v>48021.359047498634</v>
      </c>
      <c r="J32" s="103">
        <f t="shared" ca="1" si="7"/>
        <v>56333.023880320237</v>
      </c>
    </row>
    <row r="33" spans="2:10" ht="15" customHeight="1" x14ac:dyDescent="0.3">
      <c r="B33" s="86" t="s">
        <v>54</v>
      </c>
      <c r="C33" s="2">
        <f>C32*INDEX('Meta Drivers'!D$92:D$94,MATCH($D$5,'Meta Drivers'!$C$92:$C$94,0))</f>
        <v>4972.4181499999968</v>
      </c>
      <c r="D33" s="2">
        <f ca="1">D32*INDEX('Meta Drivers'!E$92:E$94,MATCH($D$5,'Meta Drivers'!$C$92:$C$94,0))</f>
        <v>4328.8398756825363</v>
      </c>
      <c r="E33" s="2">
        <f ca="1">E32*INDEX('Meta Drivers'!F$92:F$94,MATCH($D$5,'Meta Drivers'!$C$92:$C$94,0))</f>
        <v>3680.034304080812</v>
      </c>
      <c r="F33" s="2">
        <f ca="1">F32*INDEX('Meta Drivers'!G$92:G$94,MATCH($D$5,'Meta Drivers'!$C$92:$C$94,0))</f>
        <v>5066.82449146204</v>
      </c>
      <c r="G33" s="2">
        <f ca="1">G32*INDEX('Meta Drivers'!H$92:H$94,MATCH($D$5,'Meta Drivers'!$C$92:$C$94,0))</f>
        <v>6444.0127587616944</v>
      </c>
      <c r="H33" s="2">
        <f ca="1">H32*INDEX('Meta Drivers'!I$92:I$94,MATCH($D$5,'Meta Drivers'!$C$92:$C$94,0))</f>
        <v>8008.2418170697802</v>
      </c>
      <c r="I33" s="2">
        <f ca="1">I32*INDEX('Meta Drivers'!J$92:J$94,MATCH($D$5,'Meta Drivers'!$C$92:$C$94,0))</f>
        <v>9844.3786047372196</v>
      </c>
      <c r="J33" s="2">
        <f ca="1">J32*INDEX('Meta Drivers'!K$92:K$94,MATCH($D$5,'Meta Drivers'!$C$92:$C$94,0))</f>
        <v>11829.935014867249</v>
      </c>
    </row>
    <row r="34" spans="2:10" ht="15.75" customHeight="1" x14ac:dyDescent="0.3">
      <c r="B34" s="10"/>
      <c r="C34" s="10"/>
      <c r="D34" s="10"/>
      <c r="E34" s="10"/>
      <c r="F34" s="10"/>
      <c r="G34" s="10"/>
      <c r="H34" s="10"/>
      <c r="I34" s="10"/>
      <c r="J34" s="10"/>
    </row>
    <row r="35" spans="2:10" ht="15.75" customHeight="1" x14ac:dyDescent="0.3">
      <c r="B35" s="110" t="s">
        <v>55</v>
      </c>
      <c r="C35" s="111">
        <f t="shared" ref="C35:J35" si="8">C32-C33</f>
        <v>23441.399849999987</v>
      </c>
      <c r="D35" s="111">
        <f t="shared" ca="1" si="8"/>
        <v>18454.527891067653</v>
      </c>
      <c r="E35" s="111">
        <f t="shared" ca="1" si="8"/>
        <v>16212.043015274929</v>
      </c>
      <c r="F35" s="102">
        <f t="shared" ca="1" si="8"/>
        <v>21600.672832022377</v>
      </c>
      <c r="G35" s="102">
        <f t="shared" ca="1" si="8"/>
        <v>26602.206516939303</v>
      </c>
      <c r="H35" s="102">
        <f t="shared" ca="1" si="8"/>
        <v>32032.967268279121</v>
      </c>
      <c r="I35" s="102">
        <f t="shared" ca="1" si="8"/>
        <v>38176.980442761414</v>
      </c>
      <c r="J35" s="102">
        <f t="shared" ca="1" si="8"/>
        <v>44503.088865452984</v>
      </c>
    </row>
    <row r="36" spans="2:10" ht="15" customHeight="1" x14ac:dyDescent="0.3">
      <c r="B36" s="124" t="s">
        <v>56</v>
      </c>
      <c r="C36" s="125">
        <f t="shared" ref="C36:J36" si="9">C35/C14</f>
        <v>0.19877553315978247</v>
      </c>
      <c r="D36" s="125">
        <f t="shared" ca="1" si="9"/>
        <v>0.15825989324209669</v>
      </c>
      <c r="E36" s="125">
        <f t="shared" ca="1" si="9"/>
        <v>0.12017466506015335</v>
      </c>
      <c r="F36" s="109">
        <f t="shared" ca="1" si="9"/>
        <v>0.14273041675469669</v>
      </c>
      <c r="G36" s="109">
        <f t="shared" ca="1" si="9"/>
        <v>0.15923233370381887</v>
      </c>
      <c r="H36" s="109">
        <f t="shared" ca="1" si="9"/>
        <v>0.17558686919357969</v>
      </c>
      <c r="I36" s="109">
        <f t="shared" ca="1" si="9"/>
        <v>0.19317985689899059</v>
      </c>
      <c r="J36" s="109">
        <f t="shared" ca="1" si="9"/>
        <v>0.20866401389343772</v>
      </c>
    </row>
    <row r="37" spans="2:10" ht="15.75" customHeight="1" thickBot="1" x14ac:dyDescent="0.35">
      <c r="B37" s="10"/>
      <c r="C37" s="10"/>
      <c r="D37" s="10"/>
      <c r="E37" s="10"/>
      <c r="F37" s="10"/>
      <c r="G37" s="10"/>
      <c r="H37" s="10"/>
      <c r="I37" s="10"/>
      <c r="J37" s="10"/>
    </row>
    <row r="38" spans="2:10" ht="15.75" customHeight="1" x14ac:dyDescent="0.3">
      <c r="B38" s="21" t="s">
        <v>57</v>
      </c>
      <c r="C38" s="21"/>
      <c r="D38" s="21"/>
      <c r="E38" s="21"/>
      <c r="F38" s="21"/>
      <c r="G38" s="21"/>
      <c r="H38" s="21"/>
      <c r="I38" s="21"/>
      <c r="J38" s="21"/>
    </row>
    <row r="39" spans="2:10" ht="15" customHeight="1" x14ac:dyDescent="0.3">
      <c r="B39" s="10"/>
      <c r="C39" s="10"/>
      <c r="D39" s="10"/>
      <c r="E39" s="10"/>
      <c r="F39" s="10"/>
      <c r="G39" s="10"/>
      <c r="H39" s="10"/>
      <c r="I39" s="10"/>
      <c r="J39" s="10"/>
    </row>
    <row r="40" spans="2:10" ht="15" customHeight="1" x14ac:dyDescent="0.3">
      <c r="B40" s="86" t="s">
        <v>58</v>
      </c>
      <c r="C40" s="38">
        <v>2800</v>
      </c>
      <c r="D40" s="38">
        <v>2750</v>
      </c>
      <c r="E40" s="38">
        <v>2700</v>
      </c>
      <c r="F40" s="38">
        <v>2650</v>
      </c>
      <c r="G40" s="38">
        <v>2600</v>
      </c>
      <c r="H40" s="38">
        <v>2550</v>
      </c>
      <c r="I40" s="38">
        <v>2500</v>
      </c>
      <c r="J40" s="38">
        <v>2450</v>
      </c>
    </row>
    <row r="41" spans="2:10" ht="15" customHeight="1" x14ac:dyDescent="0.3">
      <c r="B41" s="112" t="s">
        <v>59</v>
      </c>
      <c r="C41" s="117">
        <f t="shared" ref="C41:J41" si="10">C35/C40</f>
        <v>8.371928517857139</v>
      </c>
      <c r="D41" s="117">
        <f t="shared" ca="1" si="10"/>
        <v>6.7107374149336918</v>
      </c>
      <c r="E41" s="117">
        <f t="shared" ca="1" si="10"/>
        <v>6.0044603760277511</v>
      </c>
      <c r="F41" s="104">
        <f t="shared" ca="1" si="10"/>
        <v>8.1511972951027847</v>
      </c>
      <c r="G41" s="104">
        <f t="shared" ca="1" si="10"/>
        <v>10.231617891130501</v>
      </c>
      <c r="H41" s="104">
        <f t="shared" ca="1" si="10"/>
        <v>12.561947948344754</v>
      </c>
      <c r="I41" s="104">
        <f t="shared" ca="1" si="10"/>
        <v>15.270792177104566</v>
      </c>
      <c r="J41" s="104">
        <f t="shared" ca="1" si="10"/>
        <v>18.164526067531831</v>
      </c>
    </row>
    <row r="42" spans="2:10" ht="15.75" customHeight="1" x14ac:dyDescent="0.3">
      <c r="B42" s="10"/>
      <c r="C42" s="10"/>
      <c r="D42" s="10"/>
      <c r="E42" s="10"/>
      <c r="F42" s="10"/>
      <c r="G42" s="10"/>
      <c r="H42" s="10"/>
      <c r="I42" s="10"/>
      <c r="J42" s="10"/>
    </row>
    <row r="43" spans="2:10" ht="15.75" customHeight="1" thickBot="1" x14ac:dyDescent="0.35">
      <c r="B43" s="10"/>
      <c r="C43" s="10"/>
      <c r="D43" s="10"/>
      <c r="E43" s="10"/>
      <c r="F43" s="10"/>
      <c r="G43" s="10"/>
      <c r="H43" s="10"/>
      <c r="I43" s="10"/>
      <c r="J43" s="10"/>
    </row>
    <row r="44" spans="2:10" ht="15" customHeight="1" x14ac:dyDescent="0.3">
      <c r="B44" s="21" t="s">
        <v>62</v>
      </c>
      <c r="C44" s="21"/>
      <c r="D44" s="21"/>
      <c r="E44" s="21"/>
      <c r="F44" s="21"/>
      <c r="G44" s="21"/>
      <c r="H44" s="21"/>
      <c r="I44" s="21"/>
      <c r="J44" s="21"/>
    </row>
    <row r="45" spans="2:10" ht="15" customHeight="1" x14ac:dyDescent="0.3">
      <c r="B45" s="10"/>
      <c r="C45" s="10"/>
      <c r="D45" s="10"/>
      <c r="E45" s="10"/>
      <c r="F45" s="10"/>
      <c r="G45" s="10"/>
      <c r="H45" s="10"/>
      <c r="I45" s="10"/>
      <c r="J45" s="10"/>
    </row>
    <row r="46" spans="2:10" ht="15" customHeight="1" x14ac:dyDescent="0.3">
      <c r="B46" s="31" t="s">
        <v>63</v>
      </c>
      <c r="C46" s="31"/>
      <c r="D46" s="31"/>
      <c r="E46" s="31"/>
      <c r="F46" s="31"/>
      <c r="G46" s="31"/>
      <c r="H46" s="31"/>
      <c r="I46" s="31"/>
      <c r="J46" s="31"/>
    </row>
    <row r="47" spans="2:10" ht="15" customHeight="1" x14ac:dyDescent="0.3">
      <c r="B47" s="10"/>
      <c r="C47" s="10"/>
      <c r="D47" s="10"/>
      <c r="E47" s="10"/>
      <c r="F47" s="10"/>
      <c r="G47" s="10"/>
      <c r="H47" s="10"/>
      <c r="I47" s="10"/>
      <c r="J47" s="10"/>
    </row>
    <row r="48" spans="2:10" ht="15" customHeight="1" x14ac:dyDescent="0.3">
      <c r="B48" s="11" t="s">
        <v>64</v>
      </c>
      <c r="C48" s="12"/>
      <c r="D48" s="12"/>
      <c r="E48" s="12"/>
      <c r="F48" s="12"/>
      <c r="G48" s="12"/>
      <c r="H48" s="12"/>
      <c r="I48" s="12"/>
      <c r="J48" s="12"/>
    </row>
    <row r="49" spans="2:10" ht="15" customHeight="1" x14ac:dyDescent="0.3">
      <c r="B49" s="72" t="s">
        <v>65</v>
      </c>
      <c r="C49" s="37">
        <v>35000</v>
      </c>
      <c r="D49" s="3">
        <f t="shared" ref="D49:J49" ca="1" si="11">D$106</f>
        <v>40688.717783346277</v>
      </c>
      <c r="E49" s="3">
        <f t="shared" ca="1" si="11"/>
        <v>43828.372774230127</v>
      </c>
      <c r="F49" s="3">
        <f t="shared" ca="1" si="11"/>
        <v>50754.028670983156</v>
      </c>
      <c r="G49" s="3">
        <f t="shared" ca="1" si="11"/>
        <v>59695.566390033549</v>
      </c>
      <c r="H49" s="3">
        <f t="shared" ca="1" si="11"/>
        <v>72407.692679557149</v>
      </c>
      <c r="I49" s="3">
        <f t="shared" ca="1" si="11"/>
        <v>87398.469478505067</v>
      </c>
      <c r="J49" s="3">
        <f t="shared" ca="1" si="11"/>
        <v>107128.36662615239</v>
      </c>
    </row>
    <row r="50" spans="2:10" ht="15" customHeight="1" x14ac:dyDescent="0.3">
      <c r="B50" s="72" t="s">
        <v>66</v>
      </c>
      <c r="C50" s="2">
        <f>C$14*INDEX('Meta Drivers'!D$64:D$66,MATCH($D$5,'Meta Drivers'!$C$64:$C$66,0))/365</f>
        <v>17770.123287671231</v>
      </c>
      <c r="D50" s="2">
        <f>D$14*INDEX('Meta Drivers'!E$64:E$66,MATCH($D$5,'Meta Drivers'!$C$64:$C$66,0))/365</f>
        <v>16932.265753424657</v>
      </c>
      <c r="E50" s="2">
        <f>E$14*INDEX('Meta Drivers'!F$64:F$66,MATCH($D$5,'Meta Drivers'!$C$64:$C$66,0))/365</f>
        <v>18849.599999999999</v>
      </c>
      <c r="F50" s="2">
        <f>F$14*INDEX('Meta Drivers'!G$64:G$66,MATCH($D$5,'Meta Drivers'!$C$64:$C$66,0))/365</f>
        <v>20731.364383561646</v>
      </c>
      <c r="G50" s="2">
        <f>G$14*INDEX('Meta Drivers'!H$64:H$66,MATCH($D$5,'Meta Drivers'!$C$64:$C$66,0))/365</f>
        <v>22427.951901369866</v>
      </c>
      <c r="H50" s="2">
        <f>H$14*INDEX('Meta Drivers'!I$64:I$66,MATCH($D$5,'Meta Drivers'!$C$64:$C$66,0))/365</f>
        <v>23991.2848780274</v>
      </c>
      <c r="I50" s="2">
        <f>I$14*INDEX('Meta Drivers'!J$64:J$66,MATCH($D$5,'Meta Drivers'!$C$64:$C$66,0))/365</f>
        <v>25447.476907463013</v>
      </c>
      <c r="J50" s="2">
        <f>J$14*INDEX('Meta Drivers'!K$64:K$66,MATCH($D$5,'Meta Drivers'!$C$64:$C$66,0))/365</f>
        <v>26878.657009923947</v>
      </c>
    </row>
    <row r="51" spans="2:10" ht="15" customHeight="1" x14ac:dyDescent="0.3">
      <c r="B51" s="72" t="s">
        <v>67</v>
      </c>
      <c r="C51" s="37">
        <v>5000</v>
      </c>
      <c r="D51" s="2">
        <f>C51*(1+'Meta Drivers'!E$72)</f>
        <v>5200</v>
      </c>
      <c r="E51" s="2">
        <f>D51*(1+'Meta Drivers'!F$72)</f>
        <v>5400</v>
      </c>
      <c r="F51" s="2">
        <f>E51*(1+'Meta Drivers'!G$72)</f>
        <v>5616</v>
      </c>
      <c r="G51" s="2">
        <f>F51*(1+'Meta Drivers'!H$72)</f>
        <v>5840.64</v>
      </c>
      <c r="H51" s="2">
        <f>G51*(1+'Meta Drivers'!I$72)</f>
        <v>6074.2656000000006</v>
      </c>
      <c r="I51" s="2">
        <f>H51*(1+'Meta Drivers'!J$72)</f>
        <v>6317.2362240000011</v>
      </c>
      <c r="J51" s="2">
        <f>I51*(1+'Meta Drivers'!K$72)</f>
        <v>6569.9256729600011</v>
      </c>
    </row>
    <row r="52" spans="2:10" ht="15" customHeight="1" x14ac:dyDescent="0.3">
      <c r="B52" s="118" t="s">
        <v>68</v>
      </c>
      <c r="C52" s="111">
        <f t="shared" ref="C52:J52" si="12">SUM(C49:C51)</f>
        <v>57770.123287671231</v>
      </c>
      <c r="D52" s="111">
        <f t="shared" ca="1" si="12"/>
        <v>62820.983536770931</v>
      </c>
      <c r="E52" s="111">
        <f t="shared" ca="1" si="12"/>
        <v>68077.972774230118</v>
      </c>
      <c r="F52" s="102">
        <f t="shared" ca="1" si="12"/>
        <v>77101.393054544809</v>
      </c>
      <c r="G52" s="102">
        <f t="shared" ca="1" si="12"/>
        <v>87964.158291403422</v>
      </c>
      <c r="H52" s="102">
        <f t="shared" ca="1" si="12"/>
        <v>102473.24315758455</v>
      </c>
      <c r="I52" s="102">
        <f t="shared" ca="1" si="12"/>
        <v>119163.18260996809</v>
      </c>
      <c r="J52" s="102">
        <f t="shared" ca="1" si="12"/>
        <v>140576.94930903634</v>
      </c>
    </row>
    <row r="53" spans="2:10" ht="15" customHeight="1" x14ac:dyDescent="0.3">
      <c r="B53" s="10"/>
      <c r="C53" s="10"/>
      <c r="D53" s="10"/>
      <c r="E53" s="10"/>
      <c r="F53" s="10"/>
      <c r="G53" s="10"/>
      <c r="H53" s="10"/>
      <c r="I53" s="10"/>
      <c r="J53" s="10"/>
    </row>
    <row r="54" spans="2:10" ht="15" customHeight="1" x14ac:dyDescent="0.3">
      <c r="B54" s="11" t="s">
        <v>69</v>
      </c>
      <c r="C54" s="12"/>
      <c r="D54" s="12"/>
      <c r="E54" s="12"/>
      <c r="F54" s="12"/>
      <c r="G54" s="12"/>
      <c r="H54" s="12"/>
      <c r="I54" s="12"/>
      <c r="J54" s="12"/>
    </row>
    <row r="55" spans="2:10" ht="15" customHeight="1" x14ac:dyDescent="0.3">
      <c r="B55" s="119" t="s">
        <v>70</v>
      </c>
      <c r="C55" s="39">
        <v>60000</v>
      </c>
      <c r="D55" s="113">
        <f t="shared" ref="D55:J55" si="13">C55+D95</f>
        <v>85653.98</v>
      </c>
      <c r="E55" s="113">
        <f t="shared" si="13"/>
        <v>118705.45999999999</v>
      </c>
      <c r="F55" s="103">
        <f t="shared" si="13"/>
        <v>153513.42079999999</v>
      </c>
      <c r="G55" s="103">
        <f t="shared" si="13"/>
        <v>189432.47234000001</v>
      </c>
      <c r="H55" s="103">
        <f t="shared" si="13"/>
        <v>225919.21809200002</v>
      </c>
      <c r="I55" s="103">
        <f t="shared" si="13"/>
        <v>263467.78242248006</v>
      </c>
      <c r="J55" s="103">
        <f t="shared" si="13"/>
        <v>301857.51645621925</v>
      </c>
    </row>
    <row r="56" spans="2:10" ht="15" customHeight="1" x14ac:dyDescent="0.3">
      <c r="B56" s="72" t="s">
        <v>71</v>
      </c>
      <c r="C56" s="37">
        <v>15000</v>
      </c>
      <c r="D56" s="3">
        <f t="shared" ref="D56:J56" si="14">C56+D87</f>
        <v>29180.962249999997</v>
      </c>
      <c r="E56" s="3">
        <f t="shared" si="14"/>
        <v>45856.049249999996</v>
      </c>
      <c r="F56" s="3">
        <f t="shared" si="14"/>
        <v>67339.511249999996</v>
      </c>
      <c r="G56" s="3">
        <f t="shared" si="14"/>
        <v>89964.685770000011</v>
      </c>
      <c r="H56" s="3">
        <f t="shared" si="14"/>
        <v>113312.06927100001</v>
      </c>
      <c r="I56" s="3">
        <f t="shared" si="14"/>
        <v>137028.45400980001</v>
      </c>
      <c r="J56" s="3">
        <f t="shared" si="14"/>
        <v>161435.020824612</v>
      </c>
    </row>
    <row r="57" spans="2:10" ht="15" customHeight="1" x14ac:dyDescent="0.3">
      <c r="B57" s="119" t="s">
        <v>233</v>
      </c>
      <c r="C57" s="113">
        <f t="shared" ref="C57:J57" si="15">C55-C56</f>
        <v>45000</v>
      </c>
      <c r="D57" s="113">
        <f t="shared" si="15"/>
        <v>56473.017749999999</v>
      </c>
      <c r="E57" s="113">
        <f t="shared" si="15"/>
        <v>72849.410749999995</v>
      </c>
      <c r="F57" s="103">
        <f t="shared" si="15"/>
        <v>86173.909549999997</v>
      </c>
      <c r="G57" s="103">
        <f t="shared" si="15"/>
        <v>99467.786569999997</v>
      </c>
      <c r="H57" s="103">
        <f t="shared" si="15"/>
        <v>112607.14882100001</v>
      </c>
      <c r="I57" s="103">
        <f t="shared" si="15"/>
        <v>126439.32841268004</v>
      </c>
      <c r="J57" s="103">
        <f t="shared" si="15"/>
        <v>140422.49563160725</v>
      </c>
    </row>
    <row r="58" spans="2:10" ht="15" customHeight="1" x14ac:dyDescent="0.3">
      <c r="B58" s="8"/>
      <c r="C58" s="5"/>
      <c r="D58" s="5"/>
      <c r="E58" s="5"/>
      <c r="F58" s="5"/>
      <c r="G58" s="5"/>
      <c r="H58" s="5"/>
      <c r="I58" s="5"/>
      <c r="J58" s="5"/>
    </row>
    <row r="59" spans="2:10" ht="15" customHeight="1" x14ac:dyDescent="0.3">
      <c r="B59" s="72" t="s">
        <v>72</v>
      </c>
      <c r="C59" s="37">
        <v>25000</v>
      </c>
      <c r="D59" s="2">
        <f>C59*(1+'Meta Drivers'!E$73)</f>
        <v>28000.000000000004</v>
      </c>
      <c r="E59" s="2">
        <f>D59*(1+'Meta Drivers'!F$73)</f>
        <v>32000.000000000004</v>
      </c>
      <c r="F59" s="2">
        <f>E59*(1+'Meta Drivers'!G$73)</f>
        <v>35200.000000000007</v>
      </c>
      <c r="G59" s="2">
        <f>F59*(1+'Meta Drivers'!H$73)</f>
        <v>38720.000000000015</v>
      </c>
      <c r="H59" s="2">
        <f>G59*(1+'Meta Drivers'!I$73)</f>
        <v>42592.000000000022</v>
      </c>
      <c r="I59" s="2">
        <f>H59*(1+'Meta Drivers'!J$73)</f>
        <v>46851.200000000026</v>
      </c>
      <c r="J59" s="2">
        <f>I59*(1+'Meta Drivers'!K$73)</f>
        <v>51536.320000000036</v>
      </c>
    </row>
    <row r="60" spans="2:10" ht="15" customHeight="1" x14ac:dyDescent="0.3">
      <c r="B60" s="118" t="s">
        <v>73</v>
      </c>
      <c r="C60" s="111">
        <f t="shared" ref="C60:J60" si="16">C57+C59</f>
        <v>70000</v>
      </c>
      <c r="D60" s="111">
        <f t="shared" si="16"/>
        <v>84473.017749999999</v>
      </c>
      <c r="E60" s="111">
        <f t="shared" si="16"/>
        <v>104849.41075</v>
      </c>
      <c r="F60" s="102">
        <f t="shared" si="16"/>
        <v>121373.90955000001</v>
      </c>
      <c r="G60" s="102">
        <f t="shared" si="16"/>
        <v>138187.78657</v>
      </c>
      <c r="H60" s="102">
        <f t="shared" si="16"/>
        <v>155199.14882100004</v>
      </c>
      <c r="I60" s="102">
        <f t="shared" si="16"/>
        <v>173290.52841268008</v>
      </c>
      <c r="J60" s="102">
        <f t="shared" si="16"/>
        <v>191958.81563160729</v>
      </c>
    </row>
    <row r="61" spans="2:10" ht="15" customHeight="1" x14ac:dyDescent="0.3">
      <c r="B61" s="10"/>
      <c r="C61" s="10"/>
      <c r="D61" s="10"/>
      <c r="E61" s="10"/>
      <c r="F61" s="10"/>
      <c r="G61" s="10"/>
      <c r="H61" s="10"/>
      <c r="I61" s="10"/>
      <c r="J61" s="10"/>
    </row>
    <row r="62" spans="2:10" ht="15" customHeight="1" thickBot="1" x14ac:dyDescent="0.35">
      <c r="B62" s="120" t="s">
        <v>74</v>
      </c>
      <c r="C62" s="121">
        <f t="shared" ref="C62:J62" si="17">C52+C60</f>
        <v>127770.12328767123</v>
      </c>
      <c r="D62" s="121">
        <f t="shared" ca="1" si="17"/>
        <v>147294.00128677092</v>
      </c>
      <c r="E62" s="121">
        <f t="shared" ca="1" si="17"/>
        <v>172927.3835242301</v>
      </c>
      <c r="F62" s="105">
        <f t="shared" ca="1" si="17"/>
        <v>198475.30260454482</v>
      </c>
      <c r="G62" s="105">
        <f t="shared" ca="1" si="17"/>
        <v>226151.94486140343</v>
      </c>
      <c r="H62" s="105">
        <f t="shared" ca="1" si="17"/>
        <v>257672.39197858458</v>
      </c>
      <c r="I62" s="105">
        <f t="shared" ca="1" si="17"/>
        <v>292453.71102264815</v>
      </c>
      <c r="J62" s="105">
        <f t="shared" ca="1" si="17"/>
        <v>332535.76494064362</v>
      </c>
    </row>
    <row r="63" spans="2:10" ht="15" customHeight="1" thickTop="1" x14ac:dyDescent="0.3">
      <c r="B63" s="10"/>
      <c r="C63" s="10"/>
      <c r="D63" s="10"/>
      <c r="E63" s="10"/>
      <c r="F63" s="10"/>
      <c r="G63" s="10"/>
      <c r="H63" s="10"/>
      <c r="I63" s="10"/>
      <c r="J63" s="10"/>
    </row>
    <row r="64" spans="2:10" ht="15" customHeight="1" x14ac:dyDescent="0.3">
      <c r="B64" s="31" t="s">
        <v>75</v>
      </c>
      <c r="C64" s="31"/>
      <c r="D64" s="31"/>
      <c r="E64" s="31"/>
      <c r="F64" s="31"/>
      <c r="G64" s="31"/>
      <c r="H64" s="31"/>
      <c r="I64" s="31"/>
      <c r="J64" s="31"/>
    </row>
    <row r="65" spans="2:10" ht="15" customHeight="1" x14ac:dyDescent="0.3">
      <c r="B65" s="10"/>
      <c r="C65" s="10"/>
      <c r="D65" s="10"/>
      <c r="E65" s="10"/>
      <c r="F65" s="10"/>
      <c r="G65" s="10"/>
      <c r="H65" s="10"/>
      <c r="I65" s="10"/>
      <c r="J65" s="10"/>
    </row>
    <row r="66" spans="2:10" ht="15" customHeight="1" x14ac:dyDescent="0.3">
      <c r="B66" s="11" t="s">
        <v>76</v>
      </c>
      <c r="C66" s="12"/>
      <c r="D66" s="12"/>
      <c r="E66" s="12"/>
      <c r="F66" s="12"/>
      <c r="G66" s="12"/>
      <c r="H66" s="12"/>
      <c r="I66" s="12"/>
      <c r="J66" s="12"/>
    </row>
    <row r="67" spans="2:10" ht="15" customHeight="1" x14ac:dyDescent="0.3">
      <c r="B67" s="72" t="s">
        <v>77</v>
      </c>
      <c r="C67" s="2">
        <f>(C17+C21+C22+C23)*INDEX('Meta Drivers'!D$68:D$70,MATCH($D$5,'Meta Drivers'!$C$68:$C$70,0))/365</f>
        <v>6088.36733150685</v>
      </c>
      <c r="D67" s="2">
        <f>(D17+D21+D22+D23)*INDEX('Meta Drivers'!E$68:E$70,MATCH($D$5,'Meta Drivers'!$C$68:$C$70,0))/365</f>
        <v>6756.9324657534253</v>
      </c>
      <c r="E67" s="2">
        <f>(E17+E21+E22+E23)*INDEX('Meta Drivers'!F$68:F$70,MATCH($D$5,'Meta Drivers'!$C$68:$C$70,0))/365</f>
        <v>8752.1280000000024</v>
      </c>
      <c r="F67" s="2">
        <f>(F17+F21+F22+F23)*INDEX('Meta Drivers'!G$68:G$70,MATCH($D$5,'Meta Drivers'!$C$68:$C$70,0))/365</f>
        <v>9892.5924565479472</v>
      </c>
      <c r="G67" s="2">
        <f>(G17+G21+G22+G23)*INDEX('Meta Drivers'!H$68:H$70,MATCH($D$5,'Meta Drivers'!$C$68:$C$70,0))/365</f>
        <v>10986.95015184658</v>
      </c>
      <c r="H67" s="2">
        <f>(H17+H21+H22+H23)*INDEX('Meta Drivers'!I$68:I$70,MATCH($D$5,'Meta Drivers'!$C$68:$C$70,0))/365</f>
        <v>12053.121559033976</v>
      </c>
      <c r="I67" s="2">
        <f>(I17+I21+I22+I23)*INDEX('Meta Drivers'!J$68:J$70,MATCH($D$5,'Meta Drivers'!$C$68:$C$70,0))/365</f>
        <v>13098.411943517982</v>
      </c>
      <c r="J67" s="2">
        <f>(J17+J21+J22+J23)*INDEX('Meta Drivers'!K$68:K$70,MATCH($D$5,'Meta Drivers'!$C$68:$C$70,0))/365</f>
        <v>14160.962013815371</v>
      </c>
    </row>
    <row r="68" spans="2:10" ht="15" customHeight="1" x14ac:dyDescent="0.3">
      <c r="B68" s="72" t="s">
        <v>78</v>
      </c>
      <c r="C68" s="37">
        <v>8000</v>
      </c>
      <c r="D68" s="2">
        <f>C68*(1+'Meta Drivers'!E$74)</f>
        <v>8500</v>
      </c>
      <c r="E68" s="2">
        <f>D68*(1+'Meta Drivers'!F$74)</f>
        <v>9000</v>
      </c>
      <c r="F68" s="2">
        <f>E68*(1+'Meta Drivers'!G$74)</f>
        <v>9450</v>
      </c>
      <c r="G68" s="2">
        <f>F68*(1+'Meta Drivers'!H$74)</f>
        <v>9922.5</v>
      </c>
      <c r="H68" s="2">
        <f>G68*(1+'Meta Drivers'!I$74)</f>
        <v>10418.625</v>
      </c>
      <c r="I68" s="2">
        <f>H68*(1+'Meta Drivers'!J$74)</f>
        <v>10939.55625</v>
      </c>
      <c r="J68" s="2">
        <f>I68*(1+'Meta Drivers'!K$74)</f>
        <v>11486.534062500001</v>
      </c>
    </row>
    <row r="69" spans="2:10" ht="15" customHeight="1" x14ac:dyDescent="0.3">
      <c r="B69" s="118" t="s">
        <v>79</v>
      </c>
      <c r="C69" s="111">
        <f t="shared" ref="C69:J69" si="18">SUM(C67:C68)</f>
        <v>14088.36733150685</v>
      </c>
      <c r="D69" s="111">
        <f t="shared" si="18"/>
        <v>15256.932465753425</v>
      </c>
      <c r="E69" s="111">
        <f t="shared" si="18"/>
        <v>17752.128000000004</v>
      </c>
      <c r="F69" s="102">
        <f t="shared" si="18"/>
        <v>19342.592456547947</v>
      </c>
      <c r="G69" s="102">
        <f t="shared" si="18"/>
        <v>20909.45015184658</v>
      </c>
      <c r="H69" s="102">
        <f t="shared" si="18"/>
        <v>22471.746559033978</v>
      </c>
      <c r="I69" s="102">
        <f t="shared" si="18"/>
        <v>24037.968193517983</v>
      </c>
      <c r="J69" s="102">
        <f t="shared" si="18"/>
        <v>25647.496076315372</v>
      </c>
    </row>
    <row r="70" spans="2:10" ht="15" customHeight="1" x14ac:dyDescent="0.3">
      <c r="B70" s="10"/>
      <c r="C70" s="10"/>
      <c r="D70" s="10"/>
      <c r="E70" s="10"/>
      <c r="F70" s="10"/>
      <c r="G70" s="10"/>
      <c r="H70" s="10"/>
      <c r="I70" s="10"/>
      <c r="J70" s="10"/>
    </row>
    <row r="71" spans="2:10" ht="15" customHeight="1" x14ac:dyDescent="0.3">
      <c r="B71" s="86" t="s">
        <v>80</v>
      </c>
      <c r="C71" s="37">
        <v>10000</v>
      </c>
      <c r="D71" s="37">
        <v>9500</v>
      </c>
      <c r="E71" s="37">
        <v>9000</v>
      </c>
      <c r="F71" s="37">
        <v>8500</v>
      </c>
      <c r="G71" s="37">
        <v>8000</v>
      </c>
      <c r="H71" s="37">
        <v>7500</v>
      </c>
      <c r="I71" s="37">
        <v>7000</v>
      </c>
      <c r="J71" s="37">
        <v>6500</v>
      </c>
    </row>
    <row r="72" spans="2:10" ht="15" customHeight="1" x14ac:dyDescent="0.3">
      <c r="B72" s="110" t="s">
        <v>81</v>
      </c>
      <c r="C72" s="111">
        <f t="shared" ref="C72:J72" si="19">C69+C71</f>
        <v>24088.367331506852</v>
      </c>
      <c r="D72" s="111">
        <f t="shared" si="19"/>
        <v>24756.932465753423</v>
      </c>
      <c r="E72" s="111">
        <f t="shared" si="19"/>
        <v>26752.128000000004</v>
      </c>
      <c r="F72" s="102">
        <f t="shared" si="19"/>
        <v>27842.592456547947</v>
      </c>
      <c r="G72" s="102">
        <f t="shared" si="19"/>
        <v>28909.45015184658</v>
      </c>
      <c r="H72" s="102">
        <f t="shared" si="19"/>
        <v>29971.746559033978</v>
      </c>
      <c r="I72" s="102">
        <f t="shared" si="19"/>
        <v>31037.968193517983</v>
      </c>
      <c r="J72" s="102">
        <f t="shared" si="19"/>
        <v>32147.496076315372</v>
      </c>
    </row>
    <row r="73" spans="2:10" ht="15" customHeight="1" x14ac:dyDescent="0.3">
      <c r="B73" s="10"/>
      <c r="C73" s="10"/>
      <c r="D73" s="10"/>
      <c r="E73" s="10"/>
      <c r="F73" s="10"/>
      <c r="G73" s="10"/>
      <c r="H73" s="10"/>
      <c r="I73" s="10"/>
      <c r="J73" s="10"/>
    </row>
    <row r="74" spans="2:10" ht="15" customHeight="1" x14ac:dyDescent="0.3">
      <c r="B74" s="11" t="s">
        <v>82</v>
      </c>
      <c r="C74" s="12"/>
      <c r="D74" s="12"/>
      <c r="E74" s="12"/>
      <c r="F74" s="12"/>
      <c r="G74" s="12"/>
      <c r="H74" s="12"/>
      <c r="I74" s="12"/>
      <c r="J74" s="12"/>
    </row>
    <row r="75" spans="2:10" ht="15" customHeight="1" x14ac:dyDescent="0.3">
      <c r="B75" s="72" t="s">
        <v>234</v>
      </c>
      <c r="C75" s="37">
        <v>40000</v>
      </c>
      <c r="D75" s="3">
        <f t="shared" ref="D75:J75" si="20">C75+D88</f>
        <v>51894.118000000002</v>
      </c>
      <c r="E75" s="3">
        <f t="shared" si="20"/>
        <v>67812.790000000008</v>
      </c>
      <c r="F75" s="3">
        <f t="shared" si="20"/>
        <v>84460.075600000011</v>
      </c>
      <c r="G75" s="3">
        <f t="shared" si="20"/>
        <v>102001.93798000002</v>
      </c>
      <c r="H75" s="3">
        <f t="shared" si="20"/>
        <v>120245.31085600003</v>
      </c>
      <c r="I75" s="3">
        <f t="shared" si="20"/>
        <v>139019.59302124003</v>
      </c>
      <c r="J75" s="3">
        <f t="shared" si="20"/>
        <v>158214.46003810962</v>
      </c>
    </row>
    <row r="76" spans="2:10" ht="15" customHeight="1" x14ac:dyDescent="0.3">
      <c r="B76" s="72" t="s">
        <v>235</v>
      </c>
      <c r="C76" s="37">
        <v>36318.244043835599</v>
      </c>
      <c r="D76" s="3">
        <f t="shared" ref="D76:J76" ca="1" si="21">C76+D100</f>
        <v>47811.577070050116</v>
      </c>
      <c r="E76" s="3">
        <f t="shared" ca="1" si="21"/>
        <v>56304.105382112437</v>
      </c>
      <c r="F76" s="3">
        <f t="shared" ca="1" si="21"/>
        <v>70094.609190368064</v>
      </c>
      <c r="G76" s="3">
        <f t="shared" ca="1" si="21"/>
        <v>87628.893525747379</v>
      </c>
      <c r="H76" s="3">
        <f t="shared" ca="1" si="21"/>
        <v>107447.08296003277</v>
      </c>
      <c r="I76" s="3">
        <f t="shared" ca="1" si="21"/>
        <v>130683.24815845465</v>
      </c>
      <c r="J76" s="3">
        <f t="shared" ca="1" si="21"/>
        <v>155408.67800557916</v>
      </c>
    </row>
    <row r="77" spans="2:10" ht="15" customHeight="1" x14ac:dyDescent="0.3">
      <c r="B77" s="72" t="s">
        <v>83</v>
      </c>
      <c r="C77" s="37">
        <v>100000</v>
      </c>
      <c r="D77" s="3">
        <f t="shared" ref="D77:J77" ca="1" si="22">C77+D86</f>
        <v>118454.52789106766</v>
      </c>
      <c r="E77" s="3">
        <f t="shared" ca="1" si="22"/>
        <v>134666.57090634259</v>
      </c>
      <c r="F77" s="3">
        <f t="shared" ca="1" si="22"/>
        <v>156267.24373836495</v>
      </c>
      <c r="G77" s="3">
        <f t="shared" ca="1" si="22"/>
        <v>182869.45025530425</v>
      </c>
      <c r="H77" s="3">
        <f t="shared" ca="1" si="22"/>
        <v>214902.41752358337</v>
      </c>
      <c r="I77" s="3">
        <f t="shared" ca="1" si="22"/>
        <v>253079.39796634478</v>
      </c>
      <c r="J77" s="3">
        <f t="shared" ca="1" si="22"/>
        <v>297582.48683179775</v>
      </c>
    </row>
    <row r="78" spans="2:10" ht="15" customHeight="1" x14ac:dyDescent="0.3">
      <c r="B78" s="110" t="s">
        <v>84</v>
      </c>
      <c r="C78" s="111">
        <f t="shared" ref="C78:J78" si="23">C75-C76+C77</f>
        <v>103681.7559561644</v>
      </c>
      <c r="D78" s="111">
        <f t="shared" ca="1" si="23"/>
        <v>122537.06882101754</v>
      </c>
      <c r="E78" s="111">
        <f t="shared" ca="1" si="23"/>
        <v>146175.25552423016</v>
      </c>
      <c r="F78" s="102">
        <f t="shared" ca="1" si="23"/>
        <v>170632.7101479969</v>
      </c>
      <c r="G78" s="102">
        <f t="shared" ca="1" si="23"/>
        <v>197242.49470955689</v>
      </c>
      <c r="H78" s="102">
        <f t="shared" ca="1" si="23"/>
        <v>227700.64541955062</v>
      </c>
      <c r="I78" s="102">
        <f t="shared" ca="1" si="23"/>
        <v>261415.74282913015</v>
      </c>
      <c r="J78" s="102">
        <f t="shared" ca="1" si="23"/>
        <v>300388.26886432822</v>
      </c>
    </row>
    <row r="79" spans="2:10" ht="15" customHeight="1" x14ac:dyDescent="0.3">
      <c r="B79" s="10"/>
      <c r="C79" s="10"/>
      <c r="D79" s="10"/>
      <c r="E79" s="10"/>
      <c r="F79" s="10"/>
      <c r="G79" s="10"/>
      <c r="H79" s="10"/>
      <c r="I79" s="10"/>
      <c r="J79" s="10"/>
    </row>
    <row r="80" spans="2:10" ht="15" customHeight="1" thickBot="1" x14ac:dyDescent="0.35">
      <c r="B80" s="120" t="s">
        <v>85</v>
      </c>
      <c r="C80" s="121">
        <f t="shared" ref="C80:J80" si="24">C72+C78</f>
        <v>127770.12328767125</v>
      </c>
      <c r="D80" s="121">
        <f t="shared" ca="1" si="24"/>
        <v>147294.00128677097</v>
      </c>
      <c r="E80" s="121">
        <f t="shared" ca="1" si="24"/>
        <v>172927.38352423016</v>
      </c>
      <c r="F80" s="105">
        <f t="shared" ca="1" si="24"/>
        <v>198475.30260454485</v>
      </c>
      <c r="G80" s="105">
        <f t="shared" ca="1" si="24"/>
        <v>226151.94486140346</v>
      </c>
      <c r="H80" s="105">
        <f t="shared" ca="1" si="24"/>
        <v>257672.39197858461</v>
      </c>
      <c r="I80" s="105">
        <f t="shared" ca="1" si="24"/>
        <v>292453.71102264815</v>
      </c>
      <c r="J80" s="105">
        <f t="shared" ca="1" si="24"/>
        <v>332535.76494064357</v>
      </c>
    </row>
    <row r="81" spans="2:10" ht="15" customHeight="1" thickTop="1" x14ac:dyDescent="0.3">
      <c r="B81" s="10"/>
      <c r="C81" s="10"/>
      <c r="D81" s="10"/>
      <c r="E81" s="10"/>
      <c r="F81" s="10"/>
      <c r="G81" s="10"/>
      <c r="H81" s="10"/>
      <c r="I81" s="10"/>
      <c r="J81" s="10"/>
    </row>
    <row r="82" spans="2:10" ht="15" customHeight="1" x14ac:dyDescent="0.3">
      <c r="B82" s="87" t="s">
        <v>86</v>
      </c>
      <c r="C82" s="3">
        <f t="shared" ref="C82:J82" si="25">C62-C80</f>
        <v>0</v>
      </c>
      <c r="D82" s="3">
        <f t="shared" ca="1" si="25"/>
        <v>0</v>
      </c>
      <c r="E82" s="3">
        <f t="shared" ca="1" si="25"/>
        <v>0</v>
      </c>
      <c r="F82" s="3">
        <f t="shared" ca="1" si="25"/>
        <v>0</v>
      </c>
      <c r="G82" s="3">
        <f t="shared" ca="1" si="25"/>
        <v>0</v>
      </c>
      <c r="H82" s="3">
        <f t="shared" ca="1" si="25"/>
        <v>0</v>
      </c>
      <c r="I82" s="3">
        <f t="shared" ca="1" si="25"/>
        <v>0</v>
      </c>
      <c r="J82" s="3">
        <f t="shared" ca="1" si="25"/>
        <v>0</v>
      </c>
    </row>
    <row r="83" spans="2:10" ht="15" customHeight="1" thickBot="1" x14ac:dyDescent="0.35">
      <c r="B83" s="10"/>
      <c r="C83" s="10"/>
      <c r="D83" s="10"/>
      <c r="E83" s="10"/>
      <c r="F83" s="10"/>
      <c r="G83" s="10"/>
      <c r="H83" s="10"/>
      <c r="I83" s="10"/>
      <c r="J83" s="10"/>
    </row>
    <row r="84" spans="2:10" ht="15" customHeight="1" x14ac:dyDescent="0.3">
      <c r="B84" s="21" t="s">
        <v>87</v>
      </c>
      <c r="C84" s="21"/>
      <c r="D84" s="21"/>
      <c r="E84" s="21"/>
      <c r="F84" s="21"/>
      <c r="G84" s="21"/>
      <c r="H84" s="21"/>
      <c r="I84" s="21"/>
      <c r="J84" s="21"/>
    </row>
    <row r="85" spans="2:10" ht="15" customHeight="1" x14ac:dyDescent="0.3">
      <c r="B85" s="32" t="s">
        <v>88</v>
      </c>
      <c r="C85" s="33"/>
      <c r="D85" s="33"/>
      <c r="E85" s="33"/>
      <c r="F85" s="33"/>
      <c r="G85" s="33"/>
      <c r="H85" s="33"/>
      <c r="I85" s="33"/>
      <c r="J85" s="33"/>
    </row>
    <row r="86" spans="2:10" ht="15" customHeight="1" x14ac:dyDescent="0.3">
      <c r="B86" s="119" t="s">
        <v>89</v>
      </c>
      <c r="C86" s="122"/>
      <c r="D86" s="113" cm="1">
        <f t="array" aca="1" ref="D86" ca="1">D35</f>
        <v>18454.527891067653</v>
      </c>
      <c r="E86" s="113" cm="1">
        <f t="array" aca="1" ref="E86" ca="1">E35</f>
        <v>16212.043015274929</v>
      </c>
      <c r="F86" s="103" cm="1">
        <f t="array" aca="1" ref="F86" ca="1">F35</f>
        <v>21600.672832022377</v>
      </c>
      <c r="G86" s="103" cm="1">
        <f t="array" aca="1" ref="G86" ca="1">G35</f>
        <v>26602.206516939303</v>
      </c>
      <c r="H86" s="103" cm="1">
        <f t="array" aca="1" ref="H86" ca="1">H35</f>
        <v>32032.967268279121</v>
      </c>
      <c r="I86" s="103" cm="1">
        <f t="array" aca="1" ref="I86" ca="1">I35</f>
        <v>38176.980442761414</v>
      </c>
      <c r="J86" s="103" cm="1">
        <f t="array" aca="1" ref="J86" ca="1">J35</f>
        <v>44503.088865452984</v>
      </c>
    </row>
    <row r="87" spans="2:10" ht="15.75" customHeight="1" x14ac:dyDescent="0.3">
      <c r="B87" s="72" t="s">
        <v>90</v>
      </c>
      <c r="C87" s="4"/>
      <c r="D87" s="2">
        <f>C$95*INDEX('Meta Drivers'!E$82:E$84,MATCH($D$5,'Meta Drivers'!$C$82:$C$84,0))</f>
        <v>14180.962249999999</v>
      </c>
      <c r="E87" s="2">
        <f>D$95*INDEX('Meta Drivers'!F$82:F$84,MATCH($D$5,'Meta Drivers'!$C$82:$C$84,0))</f>
        <v>16675.087</v>
      </c>
      <c r="F87" s="2">
        <f>E$95*INDEX('Meta Drivers'!G$82:G$84,MATCH($D$5,'Meta Drivers'!$C$82:$C$84,0))</f>
        <v>21483.462</v>
      </c>
      <c r="G87" s="2">
        <f>F$95*INDEX('Meta Drivers'!H$82:H$84,MATCH($D$5,'Meta Drivers'!$C$82:$C$84,0))</f>
        <v>22625.174520000008</v>
      </c>
      <c r="H87" s="2">
        <f>G$95*INDEX('Meta Drivers'!I$82:I$84,MATCH($D$5,'Meta Drivers'!$C$82:$C$84,0))</f>
        <v>23347.383501000008</v>
      </c>
      <c r="I87" s="2">
        <f>H$95*INDEX('Meta Drivers'!J$82:J$84,MATCH($D$5,'Meta Drivers'!$C$82:$C$84,0))</f>
        <v>23716.384738800007</v>
      </c>
      <c r="J87" s="2">
        <f>I$95*INDEX('Meta Drivers'!K$82:K$84,MATCH($D$5,'Meta Drivers'!$C$82:$C$84,0))</f>
        <v>24406.566814812002</v>
      </c>
    </row>
    <row r="88" spans="2:10" ht="15" customHeight="1" x14ac:dyDescent="0.3">
      <c r="B88" s="72" t="s">
        <v>91</v>
      </c>
      <c r="C88" s="5"/>
      <c r="D88" s="3" cm="1">
        <f t="array" ref="D88">D24</f>
        <v>11894.117999999999</v>
      </c>
      <c r="E88" s="3" cm="1">
        <f t="array" ref="E88">E24</f>
        <v>15918.672</v>
      </c>
      <c r="F88" s="3" cm="1">
        <f t="array" ref="F88">F24</f>
        <v>16647.285600000003</v>
      </c>
      <c r="G88" s="3" cm="1">
        <f t="array" ref="G88">G24</f>
        <v>17541.862380000002</v>
      </c>
      <c r="H88" s="3" cm="1">
        <f t="array" ref="H88">H24</f>
        <v>18243.372876000005</v>
      </c>
      <c r="I88" s="3" cm="1">
        <f t="array" ref="I88">I24</f>
        <v>18774.282165240002</v>
      </c>
      <c r="J88" s="3" cm="1">
        <f t="array" ref="J88">J24</f>
        <v>19194.867016869601</v>
      </c>
    </row>
    <row r="89" spans="2:10" ht="15" customHeight="1" x14ac:dyDescent="0.3">
      <c r="B89" s="34" t="s">
        <v>92</v>
      </c>
      <c r="C89" s="12"/>
      <c r="D89" s="12"/>
      <c r="E89" s="12"/>
      <c r="F89" s="12"/>
      <c r="G89" s="12"/>
      <c r="H89" s="12"/>
      <c r="I89" s="12"/>
      <c r="J89" s="12"/>
    </row>
    <row r="90" spans="2:10" ht="15" customHeight="1" x14ac:dyDescent="0.3">
      <c r="B90" s="88" t="s">
        <v>105</v>
      </c>
      <c r="C90" s="10"/>
      <c r="D90" s="3">
        <f t="shared" ref="D90:J90" si="26">-(SUM(D50:D51)-SUM(C50:C51))</f>
        <v>637.85753424657378</v>
      </c>
      <c r="E90" s="3">
        <f t="shared" si="26"/>
        <v>-2117.3342465753412</v>
      </c>
      <c r="F90" s="3">
        <f t="shared" si="26"/>
        <v>-2097.7643835616473</v>
      </c>
      <c r="G90" s="3">
        <f t="shared" si="26"/>
        <v>-1921.22751780822</v>
      </c>
      <c r="H90" s="3">
        <f t="shared" si="26"/>
        <v>-1796.9585766575328</v>
      </c>
      <c r="I90" s="3">
        <f t="shared" si="26"/>
        <v>-1699.1626534356146</v>
      </c>
      <c r="J90" s="3">
        <f t="shared" si="26"/>
        <v>-1683.8695514209357</v>
      </c>
    </row>
    <row r="91" spans="2:10" ht="15" customHeight="1" x14ac:dyDescent="0.3">
      <c r="B91" s="88" t="s">
        <v>106</v>
      </c>
      <c r="C91" s="10"/>
      <c r="D91" s="3">
        <f t="shared" ref="D91:J91" si="27">SUM(D67:D68)-SUM(C67:C68)</f>
        <v>1168.5651342465753</v>
      </c>
      <c r="E91" s="3">
        <f t="shared" si="27"/>
        <v>2495.195534246579</v>
      </c>
      <c r="F91" s="3">
        <f t="shared" si="27"/>
        <v>1590.464456547943</v>
      </c>
      <c r="G91" s="3">
        <f t="shared" si="27"/>
        <v>1566.8576952986332</v>
      </c>
      <c r="H91" s="3">
        <f t="shared" si="27"/>
        <v>1562.2964071873976</v>
      </c>
      <c r="I91" s="3">
        <f t="shared" si="27"/>
        <v>1566.2216344840053</v>
      </c>
      <c r="J91" s="3">
        <f t="shared" si="27"/>
        <v>1609.5278827973889</v>
      </c>
    </row>
    <row r="92" spans="2:10" ht="15.75" customHeight="1" x14ac:dyDescent="0.3">
      <c r="B92" s="110" t="s">
        <v>93</v>
      </c>
      <c r="C92" s="123"/>
      <c r="D92" s="111">
        <f t="shared" ref="D92:J92" ca="1" si="28">SUM(D86:D91)</f>
        <v>46336.030809560805</v>
      </c>
      <c r="E92" s="111">
        <f t="shared" ca="1" si="28"/>
        <v>49183.663302946166</v>
      </c>
      <c r="F92" s="102">
        <f t="shared" ca="1" si="28"/>
        <v>59224.120505008672</v>
      </c>
      <c r="G92" s="102">
        <f t="shared" ca="1" si="28"/>
        <v>66414.873594429722</v>
      </c>
      <c r="H92" s="102">
        <f t="shared" ca="1" si="28"/>
        <v>73389.061475809009</v>
      </c>
      <c r="I92" s="102">
        <f t="shared" ca="1" si="28"/>
        <v>80534.706327849795</v>
      </c>
      <c r="J92" s="102">
        <f t="shared" ca="1" si="28"/>
        <v>88030.181028511026</v>
      </c>
    </row>
    <row r="93" spans="2:10" ht="15" customHeight="1" x14ac:dyDescent="0.3">
      <c r="B93" s="10"/>
      <c r="C93" s="10"/>
      <c r="D93" s="10"/>
      <c r="E93" s="10"/>
      <c r="F93" s="10"/>
      <c r="G93" s="10"/>
      <c r="H93" s="10"/>
      <c r="I93" s="10"/>
      <c r="J93" s="10"/>
    </row>
    <row r="94" spans="2:10" ht="15" customHeight="1" x14ac:dyDescent="0.3">
      <c r="B94" s="11" t="s">
        <v>94</v>
      </c>
      <c r="C94" s="12"/>
      <c r="D94" s="12"/>
      <c r="E94" s="12"/>
      <c r="F94" s="12"/>
      <c r="G94" s="12"/>
      <c r="H94" s="12"/>
      <c r="I94" s="12"/>
      <c r="J94" s="12"/>
    </row>
    <row r="95" spans="2:10" ht="15.75" customHeight="1" x14ac:dyDescent="0.3">
      <c r="B95" s="72" t="s">
        <v>95</v>
      </c>
      <c r="C95" s="2">
        <f>C$14*INDEX('Meta Drivers'!D$78:D$80,MATCH($D$5,'Meta Drivers'!$C$78:$C$80,0))</f>
        <v>21816.864999999998</v>
      </c>
      <c r="D95" s="2">
        <f>D$14*INDEX('Meta Drivers'!E$78:E$80,MATCH($D$5,'Meta Drivers'!$C$78:$C$80,0))</f>
        <v>25653.98</v>
      </c>
      <c r="E95" s="2">
        <f>E$14*INDEX('Meta Drivers'!F$78:F$80,MATCH($D$5,'Meta Drivers'!$C$78:$C$80,0))</f>
        <v>33051.479999999996</v>
      </c>
      <c r="F95" s="2">
        <f>F$14*INDEX('Meta Drivers'!G$78:G$80,MATCH($D$5,'Meta Drivers'!$C$78:$C$80,0))</f>
        <v>34807.960800000008</v>
      </c>
      <c r="G95" s="2">
        <f>G$14*INDEX('Meta Drivers'!H$78:H$80,MATCH($D$5,'Meta Drivers'!$C$78:$C$80,0))</f>
        <v>35919.051540000008</v>
      </c>
      <c r="H95" s="2">
        <f>H$14*INDEX('Meta Drivers'!I$78:I$80,MATCH($D$5,'Meta Drivers'!$C$78:$C$80,0))</f>
        <v>36486.74575200001</v>
      </c>
      <c r="I95" s="2">
        <f>I$14*INDEX('Meta Drivers'!J$78:J$80,MATCH($D$5,'Meta Drivers'!$C$78:$C$80,0))</f>
        <v>37548.564330480003</v>
      </c>
      <c r="J95" s="2">
        <f>J$14*INDEX('Meta Drivers'!K$78:K$80,MATCH($D$5,'Meta Drivers'!$C$78:$C$80,0))</f>
        <v>38389.734033739202</v>
      </c>
    </row>
    <row r="96" spans="2:10" ht="15.75" customHeight="1" x14ac:dyDescent="0.3">
      <c r="B96" s="72" t="s">
        <v>236</v>
      </c>
      <c r="C96" s="2"/>
      <c r="D96" s="3">
        <f t="shared" ref="D96:J96" si="29">D59-C59</f>
        <v>3000.0000000000036</v>
      </c>
      <c r="E96" s="3">
        <f t="shared" si="29"/>
        <v>4000</v>
      </c>
      <c r="F96" s="3">
        <f t="shared" si="29"/>
        <v>3200.0000000000036</v>
      </c>
      <c r="G96" s="3">
        <f t="shared" si="29"/>
        <v>3520.0000000000073</v>
      </c>
      <c r="H96" s="3">
        <f t="shared" si="29"/>
        <v>3872.0000000000073</v>
      </c>
      <c r="I96" s="3">
        <f t="shared" si="29"/>
        <v>4259.2000000000044</v>
      </c>
      <c r="J96" s="3">
        <f t="shared" si="29"/>
        <v>4685.1200000000099</v>
      </c>
    </row>
    <row r="97" spans="2:10" ht="15" customHeight="1" x14ac:dyDescent="0.3">
      <c r="B97" s="110" t="s">
        <v>96</v>
      </c>
      <c r="C97" s="123"/>
      <c r="D97" s="111">
        <f t="shared" ref="D97:J97" si="30">-SUM(D95:D96)</f>
        <v>-28653.980000000003</v>
      </c>
      <c r="E97" s="111">
        <f t="shared" si="30"/>
        <v>-37051.479999999996</v>
      </c>
      <c r="F97" s="102">
        <f t="shared" si="30"/>
        <v>-38007.960800000015</v>
      </c>
      <c r="G97" s="102">
        <f t="shared" si="30"/>
        <v>-39439.051540000015</v>
      </c>
      <c r="H97" s="102">
        <f t="shared" si="30"/>
        <v>-40358.745752000017</v>
      </c>
      <c r="I97" s="102">
        <f t="shared" si="30"/>
        <v>-41807.764330480008</v>
      </c>
      <c r="J97" s="102">
        <f t="shared" si="30"/>
        <v>-43074.854033739211</v>
      </c>
    </row>
    <row r="98" spans="2:10" ht="13.5" customHeight="1" x14ac:dyDescent="0.3">
      <c r="B98" s="10"/>
      <c r="C98" s="10"/>
      <c r="D98" s="10"/>
      <c r="E98" s="10"/>
      <c r="F98" s="10"/>
      <c r="G98" s="10"/>
      <c r="H98" s="10"/>
      <c r="I98" s="10"/>
      <c r="J98" s="10"/>
    </row>
    <row r="99" spans="2:10" ht="15.75" customHeight="1" x14ac:dyDescent="0.3">
      <c r="B99" s="11" t="s">
        <v>97</v>
      </c>
      <c r="C99" s="12"/>
      <c r="D99" s="12"/>
      <c r="E99" s="12"/>
      <c r="F99" s="12"/>
      <c r="G99" s="12"/>
      <c r="H99" s="12"/>
      <c r="I99" s="12"/>
      <c r="J99" s="12"/>
    </row>
    <row r="100" spans="2:10" ht="15.75" customHeight="1" x14ac:dyDescent="0.3">
      <c r="B100" s="72" t="s">
        <v>98</v>
      </c>
      <c r="C100" s="6"/>
      <c r="D100" s="2">
        <f ca="1">MAX(D92+D97,0)*INDEX('Meta Drivers'!E$109:E$111,MATCH($D$5,'Meta Drivers'!$C$109:$C$111,0))</f>
        <v>11493.333026214521</v>
      </c>
      <c r="E100" s="2">
        <f ca="1">MAX(E92+E97,0)*INDEX('Meta Drivers'!F$109:F$111,MATCH($D$5,'Meta Drivers'!$C$109:$C$111,0))</f>
        <v>8492.5283120623189</v>
      </c>
      <c r="F100" s="2">
        <f ca="1">MAX(F92+F97,0)*INDEX('Meta Drivers'!G$109:G$111,MATCH($D$5,'Meta Drivers'!$C$109:$C$111,0))</f>
        <v>13790.503808255628</v>
      </c>
      <c r="G100" s="2">
        <f ca="1">MAX(G92+G97,0)*INDEX('Meta Drivers'!H$109:H$111,MATCH($D$5,'Meta Drivers'!$C$109:$C$111,0))</f>
        <v>17534.284335379311</v>
      </c>
      <c r="H100" s="2">
        <f ca="1">MAX(H92+H97,0)*INDEX('Meta Drivers'!I$109:I$111,MATCH($D$5,'Meta Drivers'!$C$109:$C$111,0))</f>
        <v>19818.189434285396</v>
      </c>
      <c r="I100" s="2">
        <f ca="1">MAX(I92+I97,0)*INDEX('Meta Drivers'!J$109:J$111,MATCH($D$5,'Meta Drivers'!$C$109:$C$111,0))</f>
        <v>23236.165198421873</v>
      </c>
      <c r="J100" s="2">
        <f ca="1">MAX(J92+J97,0)*INDEX('Meta Drivers'!K$109:K$111,MATCH($D$5,'Meta Drivers'!$C$109:$C$111,0))</f>
        <v>24725.429847124498</v>
      </c>
    </row>
    <row r="101" spans="2:10" ht="15" customHeight="1" x14ac:dyDescent="0.3">
      <c r="B101" s="72" t="s">
        <v>99</v>
      </c>
      <c r="C101" s="4"/>
      <c r="D101" s="3">
        <f t="shared" ref="D101:J101" si="31">C$71-D$71</f>
        <v>500</v>
      </c>
      <c r="E101" s="3">
        <f t="shared" si="31"/>
        <v>500</v>
      </c>
      <c r="F101" s="3">
        <f t="shared" si="31"/>
        <v>500</v>
      </c>
      <c r="G101" s="3">
        <f t="shared" si="31"/>
        <v>500</v>
      </c>
      <c r="H101" s="3">
        <f t="shared" si="31"/>
        <v>500</v>
      </c>
      <c r="I101" s="3">
        <f t="shared" si="31"/>
        <v>500</v>
      </c>
      <c r="J101" s="3">
        <f t="shared" si="31"/>
        <v>500</v>
      </c>
    </row>
    <row r="102" spans="2:10" ht="15" customHeight="1" x14ac:dyDescent="0.3">
      <c r="B102" s="110" t="s">
        <v>100</v>
      </c>
      <c r="C102" s="123"/>
      <c r="D102" s="111">
        <f t="shared" ref="D102:J102" ca="1" si="32">D99-D100-D101</f>
        <v>-11993.333026214521</v>
      </c>
      <c r="E102" s="111">
        <f t="shared" ca="1" si="32"/>
        <v>-8992.5283120623189</v>
      </c>
      <c r="F102" s="102">
        <f t="shared" ca="1" si="32"/>
        <v>-14290.503808255628</v>
      </c>
      <c r="G102" s="102">
        <f t="shared" ca="1" si="32"/>
        <v>-18034.284335379311</v>
      </c>
      <c r="H102" s="102">
        <f t="shared" ca="1" si="32"/>
        <v>-20318.189434285396</v>
      </c>
      <c r="I102" s="102">
        <f t="shared" ca="1" si="32"/>
        <v>-23736.165198421873</v>
      </c>
      <c r="J102" s="102">
        <f t="shared" ca="1" si="32"/>
        <v>-25225.429847124498</v>
      </c>
    </row>
    <row r="103" spans="2:10" ht="15" customHeight="1" x14ac:dyDescent="0.3"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2:10" ht="15" customHeight="1" x14ac:dyDescent="0.3">
      <c r="B104" s="112" t="s">
        <v>101</v>
      </c>
      <c r="C104" s="122"/>
      <c r="D104" s="113">
        <f t="shared" ref="D104:J104" ca="1" si="33">D92+D97+D102</f>
        <v>5688.7177833462811</v>
      </c>
      <c r="E104" s="113">
        <f t="shared" ca="1" si="33"/>
        <v>3139.6549908838515</v>
      </c>
      <c r="F104" s="103">
        <f t="shared" ca="1" si="33"/>
        <v>6925.6558967530291</v>
      </c>
      <c r="G104" s="103">
        <f t="shared" ca="1" si="33"/>
        <v>8941.5377190503968</v>
      </c>
      <c r="H104" s="103">
        <f t="shared" ca="1" si="33"/>
        <v>12712.126289523596</v>
      </c>
      <c r="I104" s="103">
        <f t="shared" ca="1" si="33"/>
        <v>14990.776798947914</v>
      </c>
      <c r="J104" s="103">
        <f t="shared" ca="1" si="33"/>
        <v>19729.897147647316</v>
      </c>
    </row>
    <row r="105" spans="2:10" ht="15" customHeight="1" x14ac:dyDescent="0.3">
      <c r="B105" s="86" t="s">
        <v>102</v>
      </c>
      <c r="C105" s="5"/>
      <c r="D105" s="3">
        <f t="shared" ref="D105:J105" si="34">C$106</f>
        <v>35000</v>
      </c>
      <c r="E105" s="3">
        <f t="shared" ca="1" si="34"/>
        <v>40688.717783346277</v>
      </c>
      <c r="F105" s="3">
        <f t="shared" ca="1" si="34"/>
        <v>43828.372774230127</v>
      </c>
      <c r="G105" s="3">
        <f t="shared" ca="1" si="34"/>
        <v>50754.028670983156</v>
      </c>
      <c r="H105" s="3">
        <f t="shared" ca="1" si="34"/>
        <v>59695.566390033549</v>
      </c>
      <c r="I105" s="3">
        <f t="shared" ca="1" si="34"/>
        <v>72407.692679557149</v>
      </c>
      <c r="J105" s="3">
        <f t="shared" ca="1" si="34"/>
        <v>87398.469478505067</v>
      </c>
    </row>
    <row r="106" spans="2:10" ht="15" customHeight="1" thickBot="1" x14ac:dyDescent="0.35">
      <c r="B106" s="120" t="s">
        <v>103</v>
      </c>
      <c r="C106" s="121">
        <f>C$49</f>
        <v>35000</v>
      </c>
      <c r="D106" s="121">
        <f t="shared" ref="D106:J106" ca="1" si="35">D104+D105</f>
        <v>40688.717783346277</v>
      </c>
      <c r="E106" s="121">
        <f t="shared" ca="1" si="35"/>
        <v>43828.372774230127</v>
      </c>
      <c r="F106" s="105">
        <f t="shared" ca="1" si="35"/>
        <v>50754.028670983156</v>
      </c>
      <c r="G106" s="105">
        <f t="shared" ca="1" si="35"/>
        <v>59695.566390033549</v>
      </c>
      <c r="H106" s="105">
        <f t="shared" ca="1" si="35"/>
        <v>72407.692679557149</v>
      </c>
      <c r="I106" s="105">
        <f t="shared" ca="1" si="35"/>
        <v>87398.469478505067</v>
      </c>
      <c r="J106" s="105">
        <f t="shared" ca="1" si="35"/>
        <v>107128.36662615239</v>
      </c>
    </row>
    <row r="107" spans="2:10" ht="15.75" customHeight="1" thickTop="1" x14ac:dyDescent="0.3"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2:10" ht="15" customHeight="1" x14ac:dyDescent="0.3">
      <c r="B108" s="87" t="s">
        <v>104</v>
      </c>
      <c r="C108" s="3">
        <f t="shared" ref="C108:J108" si="36">C106-C49</f>
        <v>0</v>
      </c>
      <c r="D108" s="3">
        <f t="shared" ca="1" si="36"/>
        <v>0</v>
      </c>
      <c r="E108" s="3">
        <f t="shared" ca="1" si="36"/>
        <v>0</v>
      </c>
      <c r="F108" s="3">
        <f t="shared" ca="1" si="36"/>
        <v>0</v>
      </c>
      <c r="G108" s="3">
        <f t="shared" ca="1" si="36"/>
        <v>0</v>
      </c>
      <c r="H108" s="3">
        <f t="shared" ca="1" si="36"/>
        <v>0</v>
      </c>
      <c r="I108" s="3">
        <f t="shared" ca="1" si="36"/>
        <v>0</v>
      </c>
      <c r="J108" s="3">
        <f t="shared" ca="1" si="36"/>
        <v>0</v>
      </c>
    </row>
    <row r="109" spans="2:10" ht="15" customHeight="1" x14ac:dyDescent="0.3"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2:10" ht="15" customHeight="1" x14ac:dyDescent="0.3">
      <c r="B110" s="10"/>
      <c r="C110" s="10"/>
      <c r="D110" s="10"/>
      <c r="E110" s="10"/>
      <c r="F110" s="10"/>
      <c r="G110" s="10"/>
      <c r="H110" s="10"/>
      <c r="I110" s="10"/>
      <c r="J110" s="10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tabColor rgb="FF1F3864"/>
    <pageSetUpPr fitToPage="1"/>
  </sheetPr>
  <dimension ref="B2:M95"/>
  <sheetViews>
    <sheetView showGridLines="0" zoomScaleNormal="85" workbookViewId="0"/>
  </sheetViews>
  <sheetFormatPr defaultColWidth="7.69921875" defaultRowHeight="15" customHeight="1" x14ac:dyDescent="0.3"/>
  <cols>
    <col min="1" max="1" width="7.69921875" style="1"/>
    <col min="2" max="2" width="37.59765625" style="1" customWidth="1"/>
    <col min="3" max="3" width="2.5" style="1" customWidth="1"/>
    <col min="4" max="8" width="12.69921875" style="1" customWidth="1"/>
    <col min="9" max="16384" width="7.69921875" style="1"/>
  </cols>
  <sheetData>
    <row r="2" spans="2:13" ht="15" customHeight="1" x14ac:dyDescent="0.3">
      <c r="B2" s="89" t="s">
        <v>108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2:13" ht="15" customHeight="1" x14ac:dyDescent="0.3">
      <c r="B3" s="90" t="s">
        <v>109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2:13" ht="1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2:13" ht="15" customHeight="1" x14ac:dyDescent="0.3">
      <c r="B5" s="43" t="s">
        <v>110</v>
      </c>
      <c r="C5" s="43"/>
      <c r="D5" s="43"/>
      <c r="E5" s="43"/>
      <c r="F5" s="43"/>
      <c r="G5" s="43"/>
      <c r="H5" s="43"/>
      <c r="I5" s="43"/>
      <c r="J5" s="95"/>
      <c r="K5" s="95"/>
      <c r="L5" s="95"/>
      <c r="M5" s="95"/>
    </row>
    <row r="6" spans="2:13" ht="1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2:13" ht="15" customHeight="1" x14ac:dyDescent="0.3">
      <c r="B7" s="44" t="s">
        <v>111</v>
      </c>
      <c r="C7" s="45"/>
      <c r="D7" s="45"/>
      <c r="E7" s="45"/>
      <c r="F7" s="45"/>
      <c r="G7" s="45"/>
      <c r="H7" s="45"/>
      <c r="I7" s="45"/>
      <c r="J7" s="41"/>
      <c r="K7" s="41"/>
      <c r="L7" s="41"/>
      <c r="M7" s="41"/>
    </row>
    <row r="8" spans="2:13" ht="15" customHeight="1" x14ac:dyDescent="0.3">
      <c r="B8" s="46" t="s">
        <v>112</v>
      </c>
      <c r="C8" s="47"/>
      <c r="D8" s="48" t="s">
        <v>113</v>
      </c>
      <c r="E8" s="47"/>
      <c r="F8" s="47"/>
      <c r="G8" s="47"/>
      <c r="H8" s="47"/>
      <c r="I8" s="47"/>
      <c r="J8" s="41"/>
      <c r="K8" s="41"/>
      <c r="L8" s="41"/>
      <c r="M8" s="41"/>
    </row>
    <row r="9" spans="2:13" ht="15" customHeight="1" x14ac:dyDescent="0.3">
      <c r="B9" s="46" t="s">
        <v>114</v>
      </c>
      <c r="C9" s="47"/>
      <c r="D9" s="48" t="s">
        <v>115</v>
      </c>
      <c r="E9" s="47"/>
      <c r="F9" s="47"/>
      <c r="G9" s="47"/>
      <c r="H9" s="47"/>
      <c r="I9" s="47"/>
      <c r="J9" s="41"/>
      <c r="K9" s="41"/>
      <c r="L9" s="41"/>
      <c r="M9" s="41"/>
    </row>
    <row r="10" spans="2:13" ht="15" customHeight="1" x14ac:dyDescent="0.3">
      <c r="B10" s="46" t="s">
        <v>116</v>
      </c>
      <c r="C10" s="47"/>
      <c r="D10" s="48" t="s">
        <v>117</v>
      </c>
      <c r="E10" s="47"/>
      <c r="F10" s="47"/>
      <c r="G10" s="47"/>
      <c r="H10" s="47"/>
      <c r="I10" s="47"/>
      <c r="J10" s="41"/>
      <c r="K10" s="41"/>
      <c r="L10" s="41"/>
      <c r="M10" s="41"/>
    </row>
    <row r="11" spans="2:13" ht="15" customHeight="1" x14ac:dyDescent="0.3">
      <c r="B11" s="46" t="s">
        <v>118</v>
      </c>
      <c r="C11" s="47"/>
      <c r="D11" s="48" t="s">
        <v>225</v>
      </c>
      <c r="E11" s="47"/>
      <c r="F11" s="47"/>
      <c r="G11" s="47"/>
      <c r="H11" s="47"/>
      <c r="I11" s="47"/>
      <c r="J11" s="41"/>
      <c r="K11" s="41"/>
      <c r="L11" s="41"/>
      <c r="M11" s="41"/>
    </row>
    <row r="12" spans="2:13" ht="15" customHeight="1" x14ac:dyDescent="0.3">
      <c r="B12" s="46" t="s">
        <v>120</v>
      </c>
      <c r="C12" s="47"/>
      <c r="D12" s="48" t="s">
        <v>119</v>
      </c>
      <c r="E12" s="47"/>
      <c r="F12" s="47"/>
      <c r="G12" s="47"/>
      <c r="H12" s="47"/>
      <c r="I12" s="47"/>
      <c r="J12" s="41"/>
      <c r="K12" s="41"/>
      <c r="L12" s="41"/>
      <c r="M12" s="41"/>
    </row>
    <row r="13" spans="2:13" ht="1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2:13" ht="15" customHeight="1" x14ac:dyDescent="0.3">
      <c r="B14" s="43" t="s">
        <v>121</v>
      </c>
      <c r="C14" s="43"/>
      <c r="D14" s="43"/>
      <c r="E14" s="43"/>
      <c r="F14" s="43"/>
      <c r="G14" s="43"/>
      <c r="H14" s="43"/>
      <c r="I14" s="43"/>
      <c r="J14" s="95"/>
      <c r="K14" s="95"/>
      <c r="L14" s="95"/>
      <c r="M14" s="95"/>
    </row>
    <row r="15" spans="2:13" ht="15" customHeight="1" x14ac:dyDescent="0.3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2:13" ht="15" customHeight="1" x14ac:dyDescent="0.3">
      <c r="B16" s="44" t="s">
        <v>122</v>
      </c>
      <c r="C16" s="45"/>
      <c r="D16" s="45"/>
      <c r="E16" s="45"/>
      <c r="F16" s="45"/>
      <c r="G16" s="45"/>
      <c r="H16" s="45"/>
      <c r="I16" s="45"/>
      <c r="J16" s="41"/>
      <c r="K16" s="41"/>
      <c r="L16" s="41"/>
      <c r="M16" s="41"/>
    </row>
    <row r="17" spans="2:13" ht="15" customHeight="1" x14ac:dyDescent="0.3">
      <c r="B17" s="91" t="s">
        <v>123</v>
      </c>
      <c r="C17" s="41"/>
      <c r="D17" s="92">
        <v>520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 ht="15" customHeight="1" x14ac:dyDescent="0.3">
      <c r="B18" s="91" t="s">
        <v>124</v>
      </c>
      <c r="C18" s="41"/>
      <c r="D18" s="51">
        <v>0.3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 ht="15" customHeight="1" x14ac:dyDescent="0.3">
      <c r="B19" s="91" t="s">
        <v>125</v>
      </c>
      <c r="C19" s="41"/>
      <c r="D19" s="93">
        <f>D17*(1+D18)</f>
        <v>676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 ht="15" customHeight="1" x14ac:dyDescent="0.3">
      <c r="B20" s="91" t="s">
        <v>126</v>
      </c>
      <c r="C20" s="41"/>
      <c r="D20" s="52">
        <v>2700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 ht="15" customHeight="1" x14ac:dyDescent="0.3">
      <c r="B21" s="126" t="s">
        <v>127</v>
      </c>
      <c r="C21" s="127"/>
      <c r="D21" s="128">
        <f>D19*D20</f>
        <v>1825200</v>
      </c>
      <c r="E21" s="127"/>
      <c r="F21" s="127"/>
      <c r="G21" s="127"/>
      <c r="H21" s="127"/>
      <c r="I21" s="127"/>
      <c r="J21" s="41"/>
      <c r="K21" s="41"/>
      <c r="L21" s="41"/>
      <c r="M21" s="41"/>
    </row>
    <row r="22" spans="2:13" ht="15" customHeight="1" x14ac:dyDescent="0.3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2:13" ht="15" customHeight="1" x14ac:dyDescent="0.3">
      <c r="B23" s="44" t="s">
        <v>128</v>
      </c>
      <c r="C23" s="45"/>
      <c r="D23" s="45"/>
      <c r="E23" s="45"/>
      <c r="F23" s="45"/>
      <c r="G23" s="45"/>
      <c r="H23" s="45"/>
      <c r="I23" s="45"/>
      <c r="J23" s="41"/>
      <c r="K23" s="41"/>
      <c r="L23" s="41"/>
      <c r="M23" s="41"/>
    </row>
    <row r="24" spans="2:13" ht="15" customHeight="1" x14ac:dyDescent="0.3">
      <c r="B24" s="91" t="s">
        <v>129</v>
      </c>
      <c r="C24" s="41"/>
      <c r="D24" s="51">
        <v>0.5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 ht="15" customHeight="1" x14ac:dyDescent="0.3">
      <c r="B25" s="91" t="s">
        <v>130</v>
      </c>
      <c r="C25" s="41"/>
      <c r="D25" s="51">
        <v>0.5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 ht="15" customHeight="1" x14ac:dyDescent="0.3">
      <c r="B26" s="91" t="s">
        <v>131</v>
      </c>
      <c r="C26" s="41"/>
      <c r="D26" s="94">
        <f>$D$21*D24</f>
        <v>912600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 ht="15" customHeight="1" x14ac:dyDescent="0.3">
      <c r="B27" s="91" t="s">
        <v>132</v>
      </c>
      <c r="C27" s="41"/>
      <c r="D27" s="94">
        <f>$D$21*D25</f>
        <v>912600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 ht="15" customHeight="1" x14ac:dyDescent="0.3">
      <c r="B28" s="91" t="s">
        <v>133</v>
      </c>
      <c r="C28" s="41"/>
      <c r="D28" s="92">
        <v>175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 ht="15" customHeight="1" x14ac:dyDescent="0.3">
      <c r="B29" s="91" t="s">
        <v>134</v>
      </c>
      <c r="C29" s="41"/>
      <c r="D29" s="95">
        <f>D27/D28</f>
        <v>5214.8571428571431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 ht="15" customHeight="1" x14ac:dyDescent="0.3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spans="2:13" ht="15" customHeight="1" x14ac:dyDescent="0.3">
      <c r="B31" s="43" t="s">
        <v>135</v>
      </c>
      <c r="C31" s="43"/>
      <c r="D31" s="43"/>
      <c r="E31" s="43"/>
      <c r="F31" s="43"/>
      <c r="G31" s="43"/>
      <c r="H31" s="43"/>
      <c r="I31" s="43"/>
      <c r="J31" s="95"/>
      <c r="K31" s="95"/>
      <c r="L31" s="95"/>
      <c r="M31" s="95"/>
    </row>
    <row r="32" spans="2:13" ht="15" customHeight="1" x14ac:dyDescent="0.3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spans="2:13" ht="15" customHeight="1" x14ac:dyDescent="0.3">
      <c r="B33" s="44" t="s">
        <v>136</v>
      </c>
      <c r="C33" s="45"/>
      <c r="D33" s="45"/>
      <c r="E33" s="45"/>
      <c r="F33" s="44" t="s">
        <v>137</v>
      </c>
      <c r="G33" s="45"/>
      <c r="H33" s="45"/>
      <c r="I33" s="45"/>
      <c r="J33" s="41"/>
      <c r="K33" s="41"/>
      <c r="L33" s="41"/>
      <c r="M33" s="41"/>
    </row>
    <row r="34" spans="2:13" ht="15" customHeight="1" x14ac:dyDescent="0.3">
      <c r="B34" s="91" t="s">
        <v>138</v>
      </c>
      <c r="C34" s="41"/>
      <c r="D34" s="94">
        <f>$D$27</f>
        <v>912600</v>
      </c>
      <c r="E34" s="41"/>
      <c r="F34" s="91" t="s">
        <v>139</v>
      </c>
      <c r="G34" s="41"/>
      <c r="H34" s="94" cm="1">
        <f t="array" ref="H34">D21</f>
        <v>1825200</v>
      </c>
      <c r="I34" s="41"/>
      <c r="J34" s="41"/>
      <c r="K34" s="41"/>
      <c r="L34" s="41"/>
      <c r="M34" s="41"/>
    </row>
    <row r="35" spans="2:13" ht="15" customHeight="1" x14ac:dyDescent="0.3">
      <c r="B35" s="91" t="s">
        <v>140</v>
      </c>
      <c r="C35" s="41"/>
      <c r="D35" s="53">
        <v>400000</v>
      </c>
      <c r="E35" s="41"/>
      <c r="F35" s="91" t="s">
        <v>141</v>
      </c>
      <c r="G35" s="41"/>
      <c r="H35" s="94">
        <f>$D$21*$I$35</f>
        <v>36504</v>
      </c>
      <c r="I35" s="54">
        <v>0.02</v>
      </c>
      <c r="J35" s="41"/>
      <c r="K35" s="41"/>
      <c r="L35" s="41"/>
      <c r="M35" s="41"/>
    </row>
    <row r="36" spans="2:13" ht="15" customHeight="1" x14ac:dyDescent="0.3">
      <c r="B36" s="91" t="s">
        <v>142</v>
      </c>
      <c r="C36" s="41"/>
      <c r="D36" s="53">
        <v>100000</v>
      </c>
      <c r="E36" s="41"/>
      <c r="F36" s="91" t="s">
        <v>143</v>
      </c>
      <c r="G36" s="41"/>
      <c r="H36" s="94">
        <f>(D35+D36)*$I$36</f>
        <v>12500</v>
      </c>
      <c r="I36" s="54">
        <v>2.5000000000000001E-2</v>
      </c>
      <c r="J36" s="41"/>
      <c r="K36" s="41"/>
      <c r="L36" s="41"/>
      <c r="M36" s="41"/>
    </row>
    <row r="37" spans="2:13" ht="15" customHeight="1" x14ac:dyDescent="0.3">
      <c r="B37" s="91" t="s">
        <v>144</v>
      </c>
      <c r="C37" s="41"/>
      <c r="D37" s="94">
        <f>H38-D34-D35-D36</f>
        <v>466604</v>
      </c>
      <c r="E37" s="41"/>
      <c r="F37" s="91" t="s">
        <v>145</v>
      </c>
      <c r="G37" s="41"/>
      <c r="H37" s="53">
        <v>5000</v>
      </c>
      <c r="I37" s="41"/>
      <c r="J37" s="41"/>
      <c r="K37" s="41"/>
      <c r="L37" s="41"/>
      <c r="M37" s="41"/>
    </row>
    <row r="38" spans="2:13" ht="15" customHeight="1" x14ac:dyDescent="0.3">
      <c r="B38" s="129" t="s">
        <v>146</v>
      </c>
      <c r="C38" s="130"/>
      <c r="D38" s="131">
        <f>SUM(D34:D37)</f>
        <v>1879204</v>
      </c>
      <c r="E38" s="132"/>
      <c r="F38" s="129" t="s">
        <v>147</v>
      </c>
      <c r="G38" s="130"/>
      <c r="H38" s="131">
        <f>SUM(H34:H37)</f>
        <v>1879204</v>
      </c>
      <c r="I38" s="132"/>
      <c r="J38" s="41"/>
      <c r="K38" s="41"/>
      <c r="L38" s="41"/>
      <c r="M38" s="41"/>
    </row>
    <row r="39" spans="2:13" ht="15" customHeight="1" x14ac:dyDescent="0.3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spans="2:13" ht="15" customHeight="1" x14ac:dyDescent="0.3">
      <c r="B40" s="43" t="s">
        <v>148</v>
      </c>
      <c r="C40" s="43"/>
      <c r="D40" s="43"/>
      <c r="E40" s="43"/>
      <c r="F40" s="43"/>
      <c r="G40" s="43"/>
      <c r="H40" s="43"/>
      <c r="I40" s="43"/>
      <c r="J40" s="95"/>
      <c r="K40" s="95"/>
      <c r="L40" s="95"/>
      <c r="M40" s="95"/>
    </row>
    <row r="41" spans="2:13" ht="15" customHeight="1" x14ac:dyDescent="0.3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2:13" ht="15" customHeight="1" x14ac:dyDescent="0.3">
      <c r="B42" s="44" t="s">
        <v>149</v>
      </c>
      <c r="C42" s="45"/>
      <c r="D42" s="45"/>
      <c r="E42" s="45"/>
      <c r="F42" s="45"/>
      <c r="G42" s="45"/>
      <c r="H42" s="45"/>
      <c r="I42" s="45"/>
      <c r="J42" s="41"/>
      <c r="K42" s="41"/>
      <c r="L42" s="41"/>
      <c r="M42" s="41"/>
    </row>
    <row r="43" spans="2:13" ht="15" customHeight="1" x14ac:dyDescent="0.3">
      <c r="B43" s="41"/>
      <c r="C43" s="41"/>
      <c r="D43" s="96" t="s">
        <v>150</v>
      </c>
      <c r="E43" s="96" t="s">
        <v>151</v>
      </c>
      <c r="F43" s="96" t="s">
        <v>152</v>
      </c>
      <c r="G43" s="96" t="s">
        <v>153</v>
      </c>
      <c r="H43" s="96" t="s">
        <v>154</v>
      </c>
      <c r="I43" s="41"/>
      <c r="J43" s="41"/>
      <c r="K43" s="41"/>
      <c r="L43" s="41"/>
      <c r="M43" s="41"/>
    </row>
    <row r="44" spans="2:13" ht="15" customHeight="1" x14ac:dyDescent="0.3">
      <c r="B44" s="91" t="s">
        <v>155</v>
      </c>
      <c r="C44" s="41"/>
      <c r="D44" s="53">
        <v>2000</v>
      </c>
      <c r="E44" s="53">
        <v>4000</v>
      </c>
      <c r="F44" s="53">
        <v>6000</v>
      </c>
      <c r="G44" s="53">
        <v>7000</v>
      </c>
      <c r="H44" s="53">
        <v>8000</v>
      </c>
      <c r="I44" s="41"/>
      <c r="J44" s="41"/>
      <c r="K44" s="41"/>
      <c r="L44" s="41"/>
      <c r="M44" s="41"/>
    </row>
    <row r="45" spans="2:13" ht="15" customHeight="1" x14ac:dyDescent="0.3">
      <c r="B45" s="91" t="s">
        <v>156</v>
      </c>
      <c r="C45" s="41"/>
      <c r="D45" s="53">
        <v>1000</v>
      </c>
      <c r="E45" s="53">
        <v>2500</v>
      </c>
      <c r="F45" s="53">
        <v>4000</v>
      </c>
      <c r="G45" s="53">
        <v>5000</v>
      </c>
      <c r="H45" s="53">
        <v>6000</v>
      </c>
      <c r="I45" s="41"/>
      <c r="J45" s="41"/>
      <c r="K45" s="41"/>
      <c r="L45" s="41"/>
      <c r="M45" s="41"/>
    </row>
    <row r="46" spans="2:13" ht="15" customHeight="1" x14ac:dyDescent="0.3">
      <c r="B46" s="91" t="s">
        <v>157</v>
      </c>
      <c r="C46" s="41"/>
      <c r="D46" s="53">
        <v>500</v>
      </c>
      <c r="E46" s="53">
        <v>1500</v>
      </c>
      <c r="F46" s="53">
        <v>2500</v>
      </c>
      <c r="G46" s="53">
        <v>3000</v>
      </c>
      <c r="H46" s="53">
        <v>3500</v>
      </c>
      <c r="I46" s="41"/>
      <c r="J46" s="41"/>
      <c r="K46" s="41"/>
      <c r="L46" s="41"/>
      <c r="M46" s="41"/>
    </row>
    <row r="47" spans="2:13" ht="15" customHeight="1" x14ac:dyDescent="0.3">
      <c r="B47" s="129" t="s">
        <v>158</v>
      </c>
      <c r="C47" s="130"/>
      <c r="D47" s="131">
        <f>SUM(D44:D46)</f>
        <v>3500</v>
      </c>
      <c r="E47" s="131">
        <f>SUM(E44:E46)</f>
        <v>8000</v>
      </c>
      <c r="F47" s="131">
        <f>SUM(F44:F46)</f>
        <v>12500</v>
      </c>
      <c r="G47" s="131">
        <f>SUM(G44:G46)</f>
        <v>15000</v>
      </c>
      <c r="H47" s="131">
        <f>SUM(H44:H46)</f>
        <v>17500</v>
      </c>
      <c r="I47" s="132"/>
      <c r="J47" s="41"/>
      <c r="K47" s="41"/>
      <c r="L47" s="41"/>
      <c r="M47" s="41"/>
    </row>
    <row r="48" spans="2:13" ht="15" customHeight="1" x14ac:dyDescent="0.3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</row>
    <row r="49" spans="2:13" ht="15" customHeight="1" x14ac:dyDescent="0.3">
      <c r="B49" s="44" t="s">
        <v>159</v>
      </c>
      <c r="C49" s="45"/>
      <c r="D49" s="45"/>
      <c r="E49" s="45"/>
      <c r="F49" s="45"/>
      <c r="G49" s="45"/>
      <c r="H49" s="45"/>
      <c r="I49" s="45"/>
      <c r="J49" s="41"/>
      <c r="K49" s="41"/>
      <c r="L49" s="41"/>
      <c r="M49" s="41"/>
    </row>
    <row r="50" spans="2:13" ht="15" customHeight="1" x14ac:dyDescent="0.3">
      <c r="B50" s="91" t="s">
        <v>160</v>
      </c>
      <c r="C50" s="41"/>
      <c r="D50" s="53">
        <v>3000</v>
      </c>
      <c r="E50" s="53">
        <v>5000</v>
      </c>
      <c r="F50" s="53">
        <v>7000</v>
      </c>
      <c r="G50" s="53">
        <v>8000</v>
      </c>
      <c r="H50" s="53">
        <v>8500</v>
      </c>
      <c r="I50" s="41"/>
      <c r="J50" s="41"/>
      <c r="K50" s="41"/>
      <c r="L50" s="41"/>
      <c r="M50" s="41"/>
    </row>
    <row r="51" spans="2:13" ht="15" customHeight="1" x14ac:dyDescent="0.3">
      <c r="B51" s="91" t="s">
        <v>161</v>
      </c>
      <c r="C51" s="41"/>
      <c r="D51" s="53">
        <v>2000</v>
      </c>
      <c r="E51" s="53">
        <v>3500</v>
      </c>
      <c r="F51" s="53">
        <v>4500</v>
      </c>
      <c r="G51" s="53">
        <v>5000</v>
      </c>
      <c r="H51" s="53">
        <v>5500</v>
      </c>
      <c r="I51" s="41"/>
      <c r="J51" s="41"/>
      <c r="K51" s="41"/>
      <c r="L51" s="41"/>
      <c r="M51" s="41"/>
    </row>
    <row r="52" spans="2:13" ht="15" customHeight="1" x14ac:dyDescent="0.3">
      <c r="B52" s="91" t="s">
        <v>162</v>
      </c>
      <c r="C52" s="41"/>
      <c r="D52" s="53">
        <v>1500</v>
      </c>
      <c r="E52" s="53">
        <v>2500</v>
      </c>
      <c r="F52" s="53">
        <v>3000</v>
      </c>
      <c r="G52" s="53">
        <v>3200</v>
      </c>
      <c r="H52" s="53">
        <v>3400</v>
      </c>
      <c r="I52" s="41"/>
      <c r="J52" s="41"/>
      <c r="K52" s="41"/>
      <c r="L52" s="41"/>
      <c r="M52" s="41"/>
    </row>
    <row r="53" spans="2:13" ht="15" customHeight="1" x14ac:dyDescent="0.3">
      <c r="B53" s="91" t="s">
        <v>18</v>
      </c>
      <c r="C53" s="41"/>
      <c r="D53" s="53">
        <v>1000</v>
      </c>
      <c r="E53" s="53">
        <v>2000</v>
      </c>
      <c r="F53" s="53">
        <v>2500</v>
      </c>
      <c r="G53" s="53">
        <v>2800</v>
      </c>
      <c r="H53" s="53">
        <v>3000</v>
      </c>
      <c r="I53" s="41"/>
      <c r="J53" s="41"/>
      <c r="K53" s="41"/>
      <c r="L53" s="41"/>
      <c r="M53" s="41"/>
    </row>
    <row r="54" spans="2:13" ht="15" customHeight="1" x14ac:dyDescent="0.3">
      <c r="B54" s="129" t="s">
        <v>163</v>
      </c>
      <c r="C54" s="130"/>
      <c r="D54" s="131">
        <f>SUM(D50:D53)</f>
        <v>7500</v>
      </c>
      <c r="E54" s="131">
        <f>SUM(E50:E53)</f>
        <v>13000</v>
      </c>
      <c r="F54" s="131">
        <f>SUM(F50:F53)</f>
        <v>17000</v>
      </c>
      <c r="G54" s="131">
        <f>SUM(G50:G53)</f>
        <v>19000</v>
      </c>
      <c r="H54" s="131">
        <f>SUM(H50:H53)</f>
        <v>20400</v>
      </c>
      <c r="I54" s="132"/>
      <c r="J54" s="41"/>
      <c r="K54" s="41"/>
      <c r="L54" s="41"/>
      <c r="M54" s="41"/>
    </row>
    <row r="55" spans="2:13" ht="15" customHeight="1" x14ac:dyDescent="0.3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spans="2:13" ht="15" customHeight="1" x14ac:dyDescent="0.3">
      <c r="B56" s="44" t="s">
        <v>164</v>
      </c>
      <c r="C56" s="45"/>
      <c r="D56" s="45"/>
      <c r="E56" s="45"/>
      <c r="F56" s="45"/>
      <c r="G56" s="45"/>
      <c r="H56" s="45"/>
      <c r="I56" s="45"/>
      <c r="J56" s="41"/>
      <c r="K56" s="41"/>
      <c r="L56" s="41"/>
      <c r="M56" s="41"/>
    </row>
    <row r="57" spans="2:13" ht="15" customHeight="1" x14ac:dyDescent="0.3">
      <c r="B57" s="91" t="s">
        <v>165</v>
      </c>
      <c r="C57" s="41"/>
      <c r="D57" s="53">
        <v>-1000</v>
      </c>
      <c r="E57" s="53">
        <v>-800</v>
      </c>
      <c r="F57" s="53">
        <v>-500</v>
      </c>
      <c r="G57" s="53">
        <v>-300</v>
      </c>
      <c r="H57" s="53">
        <v>-200</v>
      </c>
      <c r="I57" s="41"/>
      <c r="J57" s="41"/>
      <c r="K57" s="41"/>
      <c r="L57" s="41"/>
      <c r="M57" s="41"/>
    </row>
    <row r="58" spans="2:13" ht="15" customHeight="1" x14ac:dyDescent="0.3">
      <c r="B58" s="91" t="s">
        <v>145</v>
      </c>
      <c r="C58" s="41"/>
      <c r="D58" s="53">
        <v>-3000</v>
      </c>
      <c r="E58" s="53">
        <v>-2000</v>
      </c>
      <c r="F58" s="53">
        <v>-1000</v>
      </c>
      <c r="G58" s="53">
        <v>-500</v>
      </c>
      <c r="H58" s="53">
        <v>0</v>
      </c>
      <c r="I58" s="41"/>
      <c r="J58" s="41"/>
      <c r="K58" s="41"/>
      <c r="L58" s="41"/>
      <c r="M58" s="41"/>
    </row>
    <row r="59" spans="2:13" ht="15" customHeight="1" x14ac:dyDescent="0.3">
      <c r="B59" s="91" t="s">
        <v>166</v>
      </c>
      <c r="C59" s="41"/>
      <c r="D59" s="53">
        <v>-2000</v>
      </c>
      <c r="E59" s="53">
        <v>-1500</v>
      </c>
      <c r="F59" s="53">
        <v>-1000</v>
      </c>
      <c r="G59" s="53">
        <v>-500</v>
      </c>
      <c r="H59" s="53">
        <v>0</v>
      </c>
      <c r="I59" s="41"/>
      <c r="J59" s="41"/>
      <c r="K59" s="41"/>
      <c r="L59" s="41"/>
      <c r="M59" s="41"/>
    </row>
    <row r="60" spans="2:13" ht="15" customHeight="1" x14ac:dyDescent="0.3">
      <c r="B60" s="129" t="s">
        <v>167</v>
      </c>
      <c r="C60" s="130"/>
      <c r="D60" s="131">
        <f>SUM(D57:D59)</f>
        <v>-6000</v>
      </c>
      <c r="E60" s="131">
        <f>SUM(E57:E59)</f>
        <v>-4300</v>
      </c>
      <c r="F60" s="131">
        <f>SUM(F57:F59)</f>
        <v>-2500</v>
      </c>
      <c r="G60" s="131">
        <f>SUM(G57:G59)</f>
        <v>-1300</v>
      </c>
      <c r="H60" s="131">
        <f>SUM(H57:H59)</f>
        <v>-200</v>
      </c>
      <c r="I60" s="132"/>
      <c r="J60" s="41"/>
      <c r="K60" s="41"/>
      <c r="L60" s="41"/>
      <c r="M60" s="41"/>
    </row>
    <row r="61" spans="2:13" ht="15" customHeight="1" x14ac:dyDescent="0.3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2:13" ht="15" customHeight="1" thickBot="1" x14ac:dyDescent="0.35">
      <c r="B62" s="133" t="s">
        <v>168</v>
      </c>
      <c r="C62" s="134"/>
      <c r="D62" s="135">
        <f>D47+D54+D60</f>
        <v>5000</v>
      </c>
      <c r="E62" s="135">
        <f>E47+E54+E60</f>
        <v>16700</v>
      </c>
      <c r="F62" s="135">
        <f>F47+F54+F60</f>
        <v>27000</v>
      </c>
      <c r="G62" s="135">
        <f>G47+G54+G60</f>
        <v>32700</v>
      </c>
      <c r="H62" s="135">
        <f>H47+H54+H60</f>
        <v>37700</v>
      </c>
      <c r="I62" s="132"/>
      <c r="J62" s="41"/>
      <c r="K62" s="41"/>
      <c r="L62" s="41"/>
      <c r="M62" s="41"/>
    </row>
    <row r="63" spans="2:13" ht="15" customHeight="1" thickTop="1" thickBot="1" x14ac:dyDescent="0.3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2:13" ht="15" customHeight="1" x14ac:dyDescent="0.3">
      <c r="B64" s="43" t="s">
        <v>169</v>
      </c>
      <c r="C64" s="43"/>
      <c r="D64" s="43"/>
      <c r="E64" s="43"/>
      <c r="F64" s="43"/>
      <c r="G64" s="43"/>
      <c r="H64" s="43"/>
      <c r="I64" s="43"/>
      <c r="J64" s="95"/>
      <c r="K64" s="95"/>
      <c r="L64" s="95"/>
      <c r="M64" s="95"/>
    </row>
    <row r="65" spans="2:13" ht="15" customHeight="1" x14ac:dyDescent="0.3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2:13" ht="15" customHeight="1" x14ac:dyDescent="0.3">
      <c r="B66" s="44" t="s">
        <v>170</v>
      </c>
      <c r="C66" s="45"/>
      <c r="D66" s="45"/>
      <c r="E66" s="45"/>
      <c r="F66" s="45"/>
      <c r="G66" s="45"/>
      <c r="H66" s="45"/>
      <c r="I66" s="45"/>
      <c r="J66" s="41"/>
      <c r="K66" s="41"/>
      <c r="L66" s="41"/>
      <c r="M66" s="41"/>
    </row>
    <row r="67" spans="2:13" ht="15" customHeight="1" x14ac:dyDescent="0.3">
      <c r="B67" s="91" t="s">
        <v>139</v>
      </c>
      <c r="C67" s="41"/>
      <c r="D67" s="94" cm="1">
        <f t="array" ref="D67">D21</f>
        <v>1825200</v>
      </c>
      <c r="E67" s="41"/>
      <c r="F67" s="41"/>
      <c r="G67" s="41"/>
      <c r="H67" s="41"/>
      <c r="I67" s="41"/>
      <c r="J67" s="41"/>
      <c r="K67" s="41"/>
      <c r="L67" s="41"/>
      <c r="M67" s="41"/>
    </row>
    <row r="68" spans="2:13" ht="15" customHeight="1" x14ac:dyDescent="0.3">
      <c r="B68" s="91" t="s">
        <v>171</v>
      </c>
      <c r="C68" s="41"/>
      <c r="D68" s="53">
        <v>-141740</v>
      </c>
      <c r="E68" s="41"/>
      <c r="F68" s="41"/>
      <c r="G68" s="41"/>
      <c r="H68" s="41"/>
      <c r="I68" s="41"/>
      <c r="J68" s="41"/>
      <c r="K68" s="41"/>
      <c r="L68" s="41"/>
      <c r="M68" s="41"/>
    </row>
    <row r="69" spans="2:13" ht="15" customHeight="1" x14ac:dyDescent="0.3">
      <c r="B69" s="91" t="s">
        <v>172</v>
      </c>
      <c r="C69" s="41"/>
      <c r="D69" s="94">
        <f>D67+D68</f>
        <v>1683460</v>
      </c>
      <c r="E69" s="41"/>
      <c r="F69" s="41"/>
      <c r="G69" s="41"/>
      <c r="H69" s="41"/>
      <c r="I69" s="41"/>
      <c r="J69" s="41"/>
      <c r="K69" s="41"/>
      <c r="L69" s="41"/>
      <c r="M69" s="41"/>
    </row>
    <row r="70" spans="2:13" ht="15" customHeight="1" x14ac:dyDescent="0.3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</row>
    <row r="71" spans="2:13" ht="15" customHeight="1" x14ac:dyDescent="0.3">
      <c r="B71" s="44" t="s">
        <v>173</v>
      </c>
      <c r="C71" s="45"/>
      <c r="D71" s="45"/>
      <c r="E71" s="45"/>
      <c r="F71" s="45"/>
      <c r="G71" s="45"/>
      <c r="H71" s="45"/>
      <c r="I71" s="45"/>
      <c r="J71" s="41"/>
      <c r="K71" s="41"/>
      <c r="L71" s="41"/>
      <c r="M71" s="41"/>
    </row>
    <row r="72" spans="2:13" ht="15" customHeight="1" x14ac:dyDescent="0.3">
      <c r="B72" s="91" t="s">
        <v>239</v>
      </c>
      <c r="C72" s="41"/>
      <c r="D72" s="53">
        <v>25000</v>
      </c>
      <c r="E72" s="41"/>
      <c r="F72" s="41"/>
      <c r="G72" s="41"/>
      <c r="H72" s="41"/>
      <c r="I72" s="41"/>
      <c r="J72" s="41"/>
      <c r="K72" s="41"/>
      <c r="L72" s="41"/>
      <c r="M72" s="41"/>
    </row>
    <row r="73" spans="2:13" ht="15" customHeight="1" x14ac:dyDescent="0.3">
      <c r="B73" s="91" t="s">
        <v>174</v>
      </c>
      <c r="C73" s="41"/>
      <c r="D73" s="53">
        <v>0</v>
      </c>
      <c r="E73" s="41"/>
      <c r="F73" s="41"/>
      <c r="G73" s="41"/>
      <c r="H73" s="41"/>
      <c r="I73" s="41"/>
      <c r="J73" s="41"/>
      <c r="K73" s="41"/>
      <c r="L73" s="41"/>
      <c r="M73" s="41"/>
    </row>
    <row r="74" spans="2:13" ht="15" customHeight="1" x14ac:dyDescent="0.3">
      <c r="B74" s="91" t="s">
        <v>175</v>
      </c>
      <c r="C74" s="41"/>
      <c r="D74" s="94">
        <f>-(D72+D73)*0.21</f>
        <v>-5250</v>
      </c>
      <c r="E74" s="41"/>
      <c r="F74" s="41"/>
      <c r="G74" s="41"/>
      <c r="H74" s="41"/>
      <c r="I74" s="41"/>
      <c r="J74" s="41"/>
      <c r="K74" s="41"/>
      <c r="L74" s="41"/>
      <c r="M74" s="41"/>
    </row>
    <row r="75" spans="2:13" ht="15" customHeight="1" x14ac:dyDescent="0.3">
      <c r="B75" s="126" t="s">
        <v>176</v>
      </c>
      <c r="C75" s="127"/>
      <c r="D75" s="128">
        <f>D69-D72-D73-D74</f>
        <v>1663710</v>
      </c>
      <c r="E75" s="127"/>
      <c r="F75" s="127"/>
      <c r="G75" s="127"/>
      <c r="H75" s="127"/>
      <c r="I75" s="127"/>
      <c r="J75" s="41"/>
      <c r="K75" s="41"/>
      <c r="L75" s="41"/>
      <c r="M75" s="41"/>
    </row>
    <row r="76" spans="2:13" ht="15" customHeight="1" x14ac:dyDescent="0.3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2:13" ht="15" customHeight="1" x14ac:dyDescent="0.3">
      <c r="B77" s="43" t="s">
        <v>177</v>
      </c>
      <c r="C77" s="43"/>
      <c r="D77" s="43"/>
      <c r="E77" s="43"/>
      <c r="F77" s="43"/>
      <c r="G77" s="43"/>
      <c r="H77" s="43"/>
      <c r="I77" s="43"/>
      <c r="J77" s="95"/>
      <c r="K77" s="95"/>
      <c r="L77" s="95"/>
      <c r="M77" s="95"/>
    </row>
    <row r="78" spans="2:13" ht="15" customHeight="1" x14ac:dyDescent="0.3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</row>
    <row r="79" spans="2:13" ht="15" customHeight="1" x14ac:dyDescent="0.3">
      <c r="B79" s="44" t="s">
        <v>178</v>
      </c>
      <c r="C79" s="45"/>
      <c r="D79" s="45"/>
      <c r="E79" s="45"/>
      <c r="F79" s="45"/>
      <c r="G79" s="45"/>
      <c r="H79" s="45"/>
      <c r="I79" s="45"/>
      <c r="J79" s="41"/>
      <c r="K79" s="41"/>
      <c r="L79" s="41"/>
      <c r="M79" s="41"/>
    </row>
    <row r="80" spans="2:13" ht="15" customHeight="1" x14ac:dyDescent="0.3">
      <c r="B80" s="91" t="s">
        <v>179</v>
      </c>
      <c r="C80" s="41"/>
      <c r="D80" s="94" cm="1">
        <f t="array" ref="D80">D35</f>
        <v>400000</v>
      </c>
      <c r="E80" s="41"/>
      <c r="F80" s="41"/>
      <c r="G80" s="41"/>
      <c r="H80" s="41"/>
      <c r="I80" s="41"/>
      <c r="J80" s="41"/>
      <c r="K80" s="41"/>
      <c r="L80" s="41"/>
      <c r="M80" s="41"/>
    </row>
    <row r="81" spans="2:13" ht="15" customHeight="1" x14ac:dyDescent="0.3">
      <c r="B81" s="91" t="s">
        <v>180</v>
      </c>
      <c r="C81" s="41"/>
      <c r="D81" s="51">
        <v>5.5E-2</v>
      </c>
      <c r="E81" s="41"/>
      <c r="F81" s="41"/>
      <c r="G81" s="41"/>
      <c r="H81" s="41"/>
      <c r="I81" s="41"/>
      <c r="J81" s="41"/>
      <c r="K81" s="41"/>
      <c r="L81" s="41"/>
      <c r="M81" s="41"/>
    </row>
    <row r="82" spans="2:13" ht="15" customHeight="1" x14ac:dyDescent="0.3">
      <c r="B82" s="91" t="s">
        <v>181</v>
      </c>
      <c r="C82" s="41"/>
      <c r="D82" s="94" cm="1">
        <f t="array" ref="D82">D36</f>
        <v>100000</v>
      </c>
      <c r="E82" s="41"/>
      <c r="F82" s="41"/>
      <c r="G82" s="41"/>
      <c r="H82" s="41"/>
      <c r="I82" s="41"/>
      <c r="J82" s="41"/>
      <c r="K82" s="41"/>
      <c r="L82" s="41"/>
      <c r="M82" s="41"/>
    </row>
    <row r="83" spans="2:13" ht="15" customHeight="1" x14ac:dyDescent="0.3">
      <c r="B83" s="91" t="s">
        <v>182</v>
      </c>
      <c r="C83" s="41"/>
      <c r="D83" s="51">
        <v>6.5000000000000002E-2</v>
      </c>
      <c r="E83" s="41"/>
      <c r="F83" s="41"/>
      <c r="G83" s="41"/>
      <c r="H83" s="41"/>
      <c r="I83" s="41"/>
      <c r="J83" s="41"/>
      <c r="K83" s="41"/>
      <c r="L83" s="41"/>
      <c r="M83" s="41"/>
    </row>
    <row r="84" spans="2:13" ht="15" customHeight="1" x14ac:dyDescent="0.3">
      <c r="B84" s="91" t="s">
        <v>183</v>
      </c>
      <c r="C84" s="41"/>
      <c r="D84" s="51">
        <v>0.05</v>
      </c>
      <c r="E84" s="41"/>
      <c r="F84" s="41"/>
      <c r="G84" s="41"/>
      <c r="H84" s="41"/>
      <c r="I84" s="41"/>
      <c r="J84" s="41"/>
      <c r="K84" s="41"/>
      <c r="L84" s="41"/>
      <c r="M84" s="41"/>
    </row>
    <row r="85" spans="2:13" ht="15" customHeight="1" x14ac:dyDescent="0.3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 spans="2:13" ht="15" customHeight="1" x14ac:dyDescent="0.3">
      <c r="B86" s="43" t="s">
        <v>184</v>
      </c>
      <c r="C86" s="43"/>
      <c r="D86" s="43"/>
      <c r="E86" s="43"/>
      <c r="F86" s="43"/>
      <c r="G86" s="43"/>
      <c r="H86" s="43"/>
      <c r="I86" s="43"/>
      <c r="J86" s="95"/>
      <c r="K86" s="95"/>
      <c r="L86" s="95"/>
      <c r="M86" s="95"/>
    </row>
    <row r="87" spans="2:13" ht="15" customHeight="1" x14ac:dyDescent="0.3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</row>
    <row r="88" spans="2:13" ht="15" customHeight="1" x14ac:dyDescent="0.3">
      <c r="B88" s="44" t="s">
        <v>185</v>
      </c>
      <c r="C88" s="45"/>
      <c r="D88" s="45"/>
      <c r="E88" s="45"/>
      <c r="F88" s="45"/>
      <c r="G88" s="45"/>
      <c r="H88" s="45"/>
      <c r="I88" s="45"/>
      <c r="J88" s="41"/>
      <c r="K88" s="41"/>
      <c r="L88" s="41"/>
      <c r="M88" s="41"/>
    </row>
    <row r="89" spans="2:13" ht="15" customHeight="1" x14ac:dyDescent="0.3">
      <c r="B89" s="91" t="s">
        <v>186</v>
      </c>
      <c r="C89" s="41"/>
      <c r="D89" s="94">
        <f>D72</f>
        <v>25000</v>
      </c>
      <c r="E89" s="41"/>
      <c r="F89" s="41"/>
      <c r="G89" s="41"/>
      <c r="H89" s="41"/>
      <c r="I89" s="41"/>
      <c r="J89" s="41"/>
      <c r="K89" s="41"/>
      <c r="L89" s="41"/>
      <c r="M89" s="41"/>
    </row>
    <row r="90" spans="2:13" ht="15" customHeight="1" x14ac:dyDescent="0.3">
      <c r="B90" s="80" t="s">
        <v>187</v>
      </c>
      <c r="C90" s="41"/>
      <c r="D90" s="52">
        <v>10</v>
      </c>
      <c r="E90" s="41"/>
      <c r="F90" s="41"/>
      <c r="G90" s="41"/>
      <c r="H90" s="41"/>
      <c r="I90" s="41"/>
      <c r="J90" s="41"/>
      <c r="K90" s="41"/>
      <c r="L90" s="41"/>
      <c r="M90" s="41"/>
    </row>
    <row r="91" spans="2:13" ht="15" customHeight="1" x14ac:dyDescent="0.3">
      <c r="B91" s="80" t="s">
        <v>188</v>
      </c>
      <c r="C91" s="41"/>
      <c r="D91" s="94">
        <f>D89/D90</f>
        <v>2500</v>
      </c>
      <c r="E91" s="41"/>
      <c r="F91" s="41"/>
      <c r="G91" s="41"/>
      <c r="H91" s="41"/>
      <c r="I91" s="41"/>
      <c r="J91" s="41"/>
      <c r="K91" s="41"/>
      <c r="L91" s="41"/>
      <c r="M91" s="41"/>
    </row>
    <row r="92" spans="2:13" ht="15" customHeight="1" x14ac:dyDescent="0.3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2:13" ht="15" customHeight="1" x14ac:dyDescent="0.3">
      <c r="B93" s="44" t="s">
        <v>189</v>
      </c>
      <c r="C93" s="45"/>
      <c r="D93" s="45"/>
      <c r="E93" s="45"/>
      <c r="F93" s="45"/>
      <c r="G93" s="45"/>
      <c r="H93" s="45"/>
      <c r="I93" s="45"/>
      <c r="J93" s="41"/>
      <c r="K93" s="41"/>
      <c r="L93" s="41"/>
      <c r="M93" s="41"/>
    </row>
    <row r="94" spans="2:13" ht="15" customHeight="1" x14ac:dyDescent="0.3">
      <c r="B94" s="91" t="s">
        <v>190</v>
      </c>
      <c r="C94" s="41"/>
      <c r="D94" s="55">
        <v>0</v>
      </c>
      <c r="E94" s="41"/>
      <c r="F94" s="41"/>
      <c r="G94" s="41"/>
      <c r="H94" s="41"/>
      <c r="I94" s="41"/>
      <c r="J94" s="41"/>
      <c r="K94" s="41"/>
      <c r="L94" s="41"/>
      <c r="M94" s="41"/>
    </row>
    <row r="95" spans="2:13" ht="15" customHeight="1" x14ac:dyDescent="0.3">
      <c r="B95" s="91" t="s">
        <v>191</v>
      </c>
      <c r="C95" s="41"/>
      <c r="D95" s="51">
        <v>0.21</v>
      </c>
      <c r="E95" s="41"/>
      <c r="F95" s="41"/>
      <c r="G95" s="41"/>
      <c r="H95" s="41"/>
      <c r="I95" s="41"/>
      <c r="J95" s="41"/>
      <c r="K95" s="41"/>
      <c r="L95" s="41"/>
      <c r="M95" s="41"/>
    </row>
  </sheetData>
  <pageMargins left="0.7" right="0.7" top="0.75" bottom="0.75" header="0.3" footer="0.3"/>
  <pageSetup scale="58" fitToHeight="0"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sheetPr>
    <tabColor rgb="FF1F3864"/>
  </sheetPr>
  <dimension ref="B2:J50"/>
  <sheetViews>
    <sheetView showGridLines="0" zoomScaleNormal="85" workbookViewId="0"/>
  </sheetViews>
  <sheetFormatPr defaultColWidth="7.69921875" defaultRowHeight="15" customHeight="1" x14ac:dyDescent="0.3"/>
  <cols>
    <col min="1" max="1" width="7.69921875" style="1"/>
    <col min="2" max="2" width="36.69921875" style="1" customWidth="1"/>
    <col min="3" max="3" width="2.5" style="1" customWidth="1"/>
    <col min="4" max="8" width="11.19921875" style="1" customWidth="1"/>
    <col min="9" max="16384" width="7.69921875" style="1"/>
  </cols>
  <sheetData>
    <row r="2" spans="2:10" ht="15" customHeight="1" x14ac:dyDescent="0.3">
      <c r="B2" s="89" t="s">
        <v>192</v>
      </c>
      <c r="C2" s="41"/>
      <c r="D2" s="41"/>
      <c r="E2" s="41"/>
      <c r="F2" s="41"/>
      <c r="G2" s="41"/>
      <c r="H2" s="41"/>
      <c r="I2" s="41"/>
      <c r="J2" s="41"/>
    </row>
    <row r="3" spans="2:10" ht="15" customHeight="1" thickBot="1" x14ac:dyDescent="0.35">
      <c r="B3" s="97" t="s">
        <v>43</v>
      </c>
      <c r="C3" s="41"/>
      <c r="D3" s="41"/>
      <c r="E3" s="41"/>
      <c r="F3" s="41"/>
      <c r="G3" s="41"/>
      <c r="H3" s="41"/>
      <c r="I3" s="41"/>
      <c r="J3" s="41"/>
    </row>
    <row r="4" spans="2:10" ht="15" customHeight="1" thickBot="1" x14ac:dyDescent="0.35">
      <c r="B4" s="41"/>
      <c r="C4" s="41"/>
      <c r="D4" s="41"/>
      <c r="E4" s="41"/>
      <c r="F4" s="41"/>
      <c r="G4" s="41"/>
      <c r="H4" s="41"/>
      <c r="I4" s="41"/>
      <c r="J4" s="41"/>
    </row>
    <row r="5" spans="2:10" ht="15" customHeight="1" x14ac:dyDescent="0.3">
      <c r="B5" s="43" t="s">
        <v>193</v>
      </c>
      <c r="C5" s="43"/>
      <c r="D5" s="43"/>
      <c r="E5" s="43"/>
      <c r="F5" s="43"/>
      <c r="G5" s="43"/>
      <c r="H5" s="43"/>
      <c r="I5" s="95"/>
      <c r="J5" s="95"/>
    </row>
    <row r="6" spans="2:10" ht="15" customHeight="1" x14ac:dyDescent="0.3">
      <c r="B6" s="41"/>
      <c r="C6" s="41"/>
      <c r="D6" s="41"/>
      <c r="E6" s="41"/>
      <c r="F6" s="41"/>
      <c r="G6" s="41"/>
      <c r="H6" s="41"/>
      <c r="I6" s="41"/>
      <c r="J6" s="41"/>
    </row>
    <row r="7" spans="2:10" ht="15" customHeight="1" x14ac:dyDescent="0.3">
      <c r="B7" s="98" t="s">
        <v>194</v>
      </c>
      <c r="C7" s="41"/>
      <c r="D7" s="60">
        <f>'Deal Inputs'!$D$21</f>
        <v>1825200</v>
      </c>
      <c r="E7" s="41"/>
      <c r="F7" s="41"/>
      <c r="G7" s="41"/>
      <c r="H7" s="41"/>
      <c r="I7" s="41"/>
      <c r="J7" s="41"/>
    </row>
    <row r="8" spans="2:10" ht="15" customHeight="1" x14ac:dyDescent="0.3">
      <c r="B8" s="98" t="s">
        <v>195</v>
      </c>
      <c r="C8" s="41"/>
      <c r="D8" s="60">
        <f>'Deal Inputs'!$D$26</f>
        <v>912600</v>
      </c>
      <c r="E8" s="41"/>
      <c r="F8" s="41"/>
      <c r="G8" s="41"/>
      <c r="H8" s="41"/>
      <c r="I8" s="41"/>
      <c r="J8" s="41"/>
    </row>
    <row r="9" spans="2:10" ht="15" customHeight="1" x14ac:dyDescent="0.3">
      <c r="B9" s="98" t="s">
        <v>196</v>
      </c>
      <c r="C9" s="41"/>
      <c r="D9" s="60">
        <f>'Deal Inputs'!$D$27</f>
        <v>912600</v>
      </c>
      <c r="E9" s="41"/>
      <c r="F9" s="41"/>
      <c r="G9" s="41"/>
      <c r="H9" s="41"/>
      <c r="I9" s="41"/>
      <c r="J9" s="41"/>
    </row>
    <row r="10" spans="2:10" ht="15" customHeight="1" x14ac:dyDescent="0.3">
      <c r="B10" s="136" t="s">
        <v>197</v>
      </c>
      <c r="C10" s="127"/>
      <c r="D10" s="137">
        <f>'Deal Inputs'!$D$35+'Deal Inputs'!$D$36</f>
        <v>500000</v>
      </c>
      <c r="E10" s="127"/>
      <c r="F10" s="127"/>
      <c r="G10" s="127"/>
      <c r="H10" s="127"/>
      <c r="I10" s="41"/>
      <c r="J10" s="41"/>
    </row>
    <row r="11" spans="2:10" ht="15" customHeight="1" x14ac:dyDescent="0.3">
      <c r="B11" s="98" t="s">
        <v>198</v>
      </c>
      <c r="C11" s="41"/>
      <c r="D11" s="60">
        <f>'Deal Inputs'!$D$75</f>
        <v>1663710</v>
      </c>
      <c r="E11" s="41"/>
      <c r="F11" s="41"/>
      <c r="G11" s="41"/>
      <c r="H11" s="41"/>
      <c r="I11" s="41"/>
      <c r="J11" s="41"/>
    </row>
    <row r="12" spans="2:10" ht="15" customHeight="1" thickBot="1" x14ac:dyDescent="0.35">
      <c r="B12" s="41"/>
      <c r="C12" s="41"/>
      <c r="D12" s="41"/>
      <c r="E12" s="41"/>
      <c r="F12" s="41"/>
      <c r="G12" s="41"/>
      <c r="H12" s="41"/>
      <c r="I12" s="41"/>
      <c r="J12" s="41"/>
    </row>
    <row r="13" spans="2:10" ht="15" customHeight="1" thickBot="1" x14ac:dyDescent="0.35">
      <c r="B13" s="43" t="s">
        <v>199</v>
      </c>
      <c r="C13" s="43"/>
      <c r="D13" s="43"/>
      <c r="E13" s="43"/>
      <c r="F13" s="43"/>
      <c r="G13" s="43"/>
      <c r="H13" s="43"/>
      <c r="I13" s="57"/>
      <c r="J13" s="57"/>
    </row>
    <row r="14" spans="2:10" ht="15" customHeight="1" x14ac:dyDescent="0.3">
      <c r="B14" s="41"/>
      <c r="C14" s="41"/>
      <c r="D14" s="41"/>
      <c r="E14" s="41"/>
      <c r="F14" s="41"/>
      <c r="G14" s="41"/>
      <c r="H14" s="41"/>
      <c r="I14" s="41"/>
      <c r="J14" s="41"/>
    </row>
    <row r="15" spans="2:10" ht="15" customHeight="1" x14ac:dyDescent="0.3">
      <c r="B15" s="98" t="s">
        <v>200</v>
      </c>
      <c r="C15" s="41"/>
      <c r="D15" s="99">
        <v>2024</v>
      </c>
      <c r="E15" s="99">
        <v>2025</v>
      </c>
      <c r="F15" s="99">
        <v>2026</v>
      </c>
      <c r="G15" s="99">
        <v>2027</v>
      </c>
      <c r="H15" s="99">
        <v>2028</v>
      </c>
      <c r="I15" s="41"/>
      <c r="J15" s="41"/>
    </row>
    <row r="16" spans="2:10" ht="15" customHeight="1" x14ac:dyDescent="0.3">
      <c r="B16" s="41"/>
      <c r="C16" s="41"/>
      <c r="D16" s="41"/>
      <c r="E16" s="41"/>
      <c r="F16" s="41"/>
      <c r="G16" s="41"/>
      <c r="H16" s="41"/>
      <c r="I16" s="41"/>
      <c r="J16" s="41"/>
    </row>
    <row r="17" spans="2:10" ht="15" customHeight="1" x14ac:dyDescent="0.3">
      <c r="B17" s="59" t="s">
        <v>201</v>
      </c>
      <c r="C17" s="45"/>
      <c r="D17" s="45"/>
      <c r="E17" s="45"/>
      <c r="F17" s="45"/>
      <c r="G17" s="45"/>
      <c r="H17" s="45"/>
      <c r="I17" s="41"/>
      <c r="J17" s="41"/>
    </row>
    <row r="18" spans="2:10" ht="15" customHeight="1" x14ac:dyDescent="0.3">
      <c r="B18" s="91" t="s">
        <v>202</v>
      </c>
      <c r="C18" s="41"/>
      <c r="D18" s="60">
        <f>'Google Model'!F$16</f>
        <v>292008.95499999996</v>
      </c>
      <c r="E18" s="60">
        <f>'Google Model'!G$16</f>
        <v>320857.35787499999</v>
      </c>
      <c r="F18" s="60">
        <f>'Google Model'!H$16</f>
        <v>349262.74479937501</v>
      </c>
      <c r="G18" s="60">
        <f>'Google Model'!I$16</f>
        <v>377287.31406996556</v>
      </c>
      <c r="H18" s="60">
        <f>'Google Model'!J$16</f>
        <v>405460.91515076387</v>
      </c>
      <c r="I18" s="41"/>
      <c r="J18" s="41"/>
    </row>
    <row r="19" spans="2:10" ht="15" customHeight="1" x14ac:dyDescent="0.3">
      <c r="B19" s="91" t="s">
        <v>203</v>
      </c>
      <c r="C19" s="41"/>
      <c r="D19" s="49">
        <f>'Meta Model'!F$14</f>
        <v>151338.96000000002</v>
      </c>
      <c r="E19" s="49">
        <f>'Meta Model'!G$14</f>
        <v>167065.35600000003</v>
      </c>
      <c r="F19" s="49">
        <f>'Meta Model'!H$14</f>
        <v>182433.72876000003</v>
      </c>
      <c r="G19" s="49">
        <f>'Meta Model'!I$14</f>
        <v>197624.022792</v>
      </c>
      <c r="H19" s="49">
        <f>'Meta Model'!J$14</f>
        <v>213276.30018744004</v>
      </c>
      <c r="I19" s="41"/>
      <c r="J19" s="41"/>
    </row>
    <row r="20" spans="2:10" ht="15" customHeight="1" x14ac:dyDescent="0.3">
      <c r="B20" s="91" t="s">
        <v>204</v>
      </c>
      <c r="C20" s="41"/>
      <c r="D20" s="60">
        <f>'Deal Inputs'!D$47</f>
        <v>3500</v>
      </c>
      <c r="E20" s="61">
        <f>'Deal Inputs'!E$47</f>
        <v>8000</v>
      </c>
      <c r="F20" s="60">
        <f>'Deal Inputs'!F$47</f>
        <v>12500</v>
      </c>
      <c r="G20" s="60">
        <f>'Deal Inputs'!G$47</f>
        <v>15000</v>
      </c>
      <c r="H20" s="60">
        <f>'Deal Inputs'!H$47</f>
        <v>17500</v>
      </c>
      <c r="I20" s="41"/>
      <c r="J20" s="41"/>
    </row>
    <row r="21" spans="2:10" ht="15" customHeight="1" x14ac:dyDescent="0.3">
      <c r="B21" s="138" t="s">
        <v>205</v>
      </c>
      <c r="C21" s="139"/>
      <c r="D21" s="122">
        <f>SUM(D18:D20)</f>
        <v>446847.91499999998</v>
      </c>
      <c r="E21" s="122">
        <f>SUM(E18:E20)</f>
        <v>495922.71387500002</v>
      </c>
      <c r="F21" s="122">
        <f>SUM(F18:F20)</f>
        <v>544196.47355937504</v>
      </c>
      <c r="G21" s="122">
        <f>SUM(G18:G20)</f>
        <v>589911.3368619656</v>
      </c>
      <c r="H21" s="122">
        <f>SUM(H18:H20)</f>
        <v>636237.21533820394</v>
      </c>
      <c r="I21" s="41"/>
      <c r="J21" s="41"/>
    </row>
    <row r="22" spans="2:10" ht="15" customHeight="1" x14ac:dyDescent="0.3">
      <c r="B22" s="41"/>
      <c r="C22" s="41"/>
      <c r="D22" s="41"/>
      <c r="E22" s="41"/>
      <c r="F22" s="41"/>
      <c r="G22" s="41"/>
      <c r="H22" s="41"/>
      <c r="I22" s="41"/>
      <c r="J22" s="41"/>
    </row>
    <row r="23" spans="2:10" ht="15" customHeight="1" x14ac:dyDescent="0.3">
      <c r="B23" s="59" t="s">
        <v>46</v>
      </c>
      <c r="C23" s="45"/>
      <c r="D23" s="45"/>
      <c r="E23" s="45"/>
      <c r="F23" s="45"/>
      <c r="G23" s="45"/>
      <c r="H23" s="45"/>
      <c r="I23" s="41"/>
      <c r="J23" s="41"/>
    </row>
    <row r="24" spans="2:10" ht="15" customHeight="1" x14ac:dyDescent="0.3">
      <c r="B24" s="91" t="s">
        <v>206</v>
      </c>
      <c r="C24" s="41"/>
      <c r="D24" s="49">
        <f>'Google Model'!F$19+'Meta Model'!F$17</f>
        <v>161541.82072000002</v>
      </c>
      <c r="E24" s="49">
        <f>'Google Model'!G$19+'Meta Model'!G$17</f>
        <v>176682.51816825004</v>
      </c>
      <c r="F24" s="49">
        <f>'Google Model'!H$19+'Meta Model'!H$17</f>
        <v>191376.97071416254</v>
      </c>
      <c r="G24" s="49">
        <f>'Google Model'!I$19+'Meta Model'!I$17</f>
        <v>205692.92530894876</v>
      </c>
      <c r="H24" s="49">
        <f>'Google Model'!J$19+'Meta Model'!J$17</f>
        <v>219991.68120288692</v>
      </c>
      <c r="I24" s="41"/>
      <c r="J24" s="41"/>
    </row>
    <row r="25" spans="2:10" ht="15" customHeight="1" x14ac:dyDescent="0.3">
      <c r="B25" s="91" t="s">
        <v>207</v>
      </c>
      <c r="C25" s="41"/>
      <c r="D25" s="60">
        <f>-'Deal Inputs'!D$50</f>
        <v>-3000</v>
      </c>
      <c r="E25" s="60">
        <f>-'Deal Inputs'!E$50</f>
        <v>-5000</v>
      </c>
      <c r="F25" s="60">
        <f>-'Deal Inputs'!F$50</f>
        <v>-7000</v>
      </c>
      <c r="G25" s="60">
        <f>-'Deal Inputs'!G$50</f>
        <v>-8000</v>
      </c>
      <c r="H25" s="60">
        <f>-'Deal Inputs'!H$50</f>
        <v>-8500</v>
      </c>
      <c r="I25" s="41"/>
      <c r="J25" s="41"/>
    </row>
    <row r="26" spans="2:10" ht="15" customHeight="1" x14ac:dyDescent="0.3">
      <c r="B26" s="140" t="s">
        <v>48</v>
      </c>
      <c r="C26" s="127"/>
      <c r="D26" s="112">
        <f>D21-D24-D25</f>
        <v>288306.09427999996</v>
      </c>
      <c r="E26" s="112">
        <f>E21-E24-E25</f>
        <v>324240.19570674998</v>
      </c>
      <c r="F26" s="112">
        <f>F21-F24-F25</f>
        <v>359819.50284521247</v>
      </c>
      <c r="G26" s="112">
        <f>G21-G24-G25</f>
        <v>392218.41155301686</v>
      </c>
      <c r="H26" s="112">
        <f>H21-H24-H25</f>
        <v>424745.53413531702</v>
      </c>
      <c r="I26" s="41"/>
      <c r="J26" s="41"/>
    </row>
    <row r="27" spans="2:10" ht="15" customHeight="1" x14ac:dyDescent="0.3">
      <c r="B27" s="41"/>
      <c r="C27" s="41"/>
      <c r="D27" s="56"/>
      <c r="E27" s="56"/>
      <c r="F27" s="56"/>
      <c r="G27" s="56"/>
      <c r="H27" s="56"/>
      <c r="I27" s="41"/>
      <c r="J27" s="41"/>
    </row>
    <row r="28" spans="2:10" ht="15" customHeight="1" x14ac:dyDescent="0.3">
      <c r="B28" s="91" t="s">
        <v>208</v>
      </c>
      <c r="C28" s="41"/>
      <c r="D28" s="49">
        <f>'Google Model'!F$23+'Meta Model'!F$21</f>
        <v>84888.884164999996</v>
      </c>
      <c r="E28" s="49">
        <f>'Google Model'!G$23+'Meta Model'!G$21</f>
        <v>91698.329782500019</v>
      </c>
      <c r="F28" s="49">
        <f>'Google Model'!H$23+'Meta Model'!H$21</f>
        <v>98367.534191313767</v>
      </c>
      <c r="G28" s="49">
        <f>'Google Model'!I$23+'Meta Model'!I$21</f>
        <v>104292.27355328537</v>
      </c>
      <c r="H28" s="49">
        <f>'Google Model'!J$23+'Meta Model'!J$21</f>
        <v>110444.52126472321</v>
      </c>
      <c r="I28" s="41"/>
      <c r="J28" s="41"/>
    </row>
    <row r="29" spans="2:10" ht="15" customHeight="1" x14ac:dyDescent="0.3">
      <c r="B29" s="91" t="s">
        <v>209</v>
      </c>
      <c r="C29" s="41"/>
      <c r="D29" s="60">
        <f>-'Deal Inputs'!D$51</f>
        <v>-2000</v>
      </c>
      <c r="E29" s="60">
        <f>-'Deal Inputs'!E$51</f>
        <v>-3500</v>
      </c>
      <c r="F29" s="60">
        <f>-'Deal Inputs'!F$51</f>
        <v>-4500</v>
      </c>
      <c r="G29" s="60">
        <f>-'Deal Inputs'!G$51</f>
        <v>-5000</v>
      </c>
      <c r="H29" s="60">
        <f>-'Deal Inputs'!H$51</f>
        <v>-5500</v>
      </c>
      <c r="I29" s="41"/>
      <c r="J29" s="41"/>
    </row>
    <row r="30" spans="2:10" ht="15" customHeight="1" x14ac:dyDescent="0.3">
      <c r="B30" s="91" t="s">
        <v>210</v>
      </c>
      <c r="C30" s="41"/>
      <c r="D30" s="49">
        <f>'Google Model'!F$24+'Meta Model'!F$22</f>
        <v>49578.310274999996</v>
      </c>
      <c r="E30" s="49">
        <f>'Google Model'!G$24+'Meta Model'!G$22</f>
        <v>53096.15058112501</v>
      </c>
      <c r="F30" s="49">
        <f>'Google Model'!H$24+'Meta Model'!H$22</f>
        <v>55906.153287337504</v>
      </c>
      <c r="G30" s="49">
        <f>'Google Model'!I$24+'Meta Model'!I$22</f>
        <v>58712.799285976624</v>
      </c>
      <c r="H30" s="49">
        <f>'Google Model'!J$24+'Meta Model'!J$22</f>
        <v>60912.798459003774</v>
      </c>
      <c r="I30" s="41"/>
      <c r="J30" s="41"/>
    </row>
    <row r="31" spans="2:10" ht="15" customHeight="1" x14ac:dyDescent="0.3">
      <c r="B31" s="91" t="s">
        <v>211</v>
      </c>
      <c r="C31" s="41"/>
      <c r="D31" s="60">
        <f>-'Deal Inputs'!D$53</f>
        <v>-1000</v>
      </c>
      <c r="E31" s="60">
        <f>-'Deal Inputs'!E$53</f>
        <v>-2000</v>
      </c>
      <c r="F31" s="60">
        <f>-'Deal Inputs'!F$53</f>
        <v>-2500</v>
      </c>
      <c r="G31" s="60">
        <f>-'Deal Inputs'!G$53</f>
        <v>-2800</v>
      </c>
      <c r="H31" s="60">
        <f>-'Deal Inputs'!H$53</f>
        <v>-3000</v>
      </c>
      <c r="I31" s="41"/>
      <c r="J31" s="41"/>
    </row>
    <row r="32" spans="2:10" ht="15" customHeight="1" x14ac:dyDescent="0.3">
      <c r="B32" s="91" t="s">
        <v>212</v>
      </c>
      <c r="C32" s="41"/>
      <c r="D32" s="49">
        <f>'Google Model'!F$25+'Meta Model'!F$23</f>
        <v>34751.840810000002</v>
      </c>
      <c r="E32" s="49">
        <f>'Google Model'!G$25+'Meta Model'!G$23</f>
        <v>36793.303852500001</v>
      </c>
      <c r="F32" s="49">
        <f>'Google Model'!H$25+'Meta Model'!H$23</f>
        <v>38500.612074363758</v>
      </c>
      <c r="G32" s="49">
        <f>'Google Model'!I$25+'Meta Model'!I$23</f>
        <v>40279.659067228044</v>
      </c>
      <c r="H32" s="49">
        <f>'Google Model'!J$25+'Meta Model'!J$23</f>
        <v>41495.217350161613</v>
      </c>
      <c r="I32" s="41"/>
      <c r="J32" s="41"/>
    </row>
    <row r="33" spans="2:10" ht="15" customHeight="1" x14ac:dyDescent="0.3">
      <c r="B33" s="91" t="s">
        <v>213</v>
      </c>
      <c r="C33" s="41"/>
      <c r="D33" s="60">
        <f>-'Deal Inputs'!D$52</f>
        <v>-1500</v>
      </c>
      <c r="E33" s="60">
        <f>-'Deal Inputs'!E$52</f>
        <v>-2500</v>
      </c>
      <c r="F33" s="60">
        <f>-'Deal Inputs'!F$52</f>
        <v>-3000</v>
      </c>
      <c r="G33" s="60">
        <f>-'Deal Inputs'!G$52</f>
        <v>-3200</v>
      </c>
      <c r="H33" s="60">
        <f>-'Deal Inputs'!H$52</f>
        <v>-3400</v>
      </c>
      <c r="I33" s="41"/>
      <c r="J33" s="41"/>
    </row>
    <row r="34" spans="2:10" ht="15" customHeight="1" x14ac:dyDescent="0.3">
      <c r="B34" s="91" t="s">
        <v>222</v>
      </c>
      <c r="C34" s="41"/>
      <c r="D34" s="49">
        <f>'Google Model'!F$26+'Meta Model'!F$24</f>
        <v>44388.136324999999</v>
      </c>
      <c r="E34" s="49">
        <f>'Google Model'!G$26+'Meta Model'!G$24</f>
        <v>47381.596662375006</v>
      </c>
      <c r="F34" s="49">
        <f>'Google Model'!H$26+'Meta Model'!H$24</f>
        <v>49677.019907943759</v>
      </c>
      <c r="G34" s="49">
        <f>'Google Model'!I$26+'Meta Model'!I$24</f>
        <v>51975.565803396974</v>
      </c>
      <c r="H34" s="49">
        <f>'Google Model'!J$26+'Meta Model'!J$24</f>
        <v>53659.044804684527</v>
      </c>
      <c r="I34" s="41"/>
      <c r="J34" s="41"/>
    </row>
    <row r="35" spans="2:10" ht="15" customHeight="1" x14ac:dyDescent="0.3">
      <c r="B35" s="91" t="s">
        <v>214</v>
      </c>
      <c r="C35" s="41"/>
      <c r="D35" s="60">
        <f>-'Deal Inputs'!D$60</f>
        <v>6000</v>
      </c>
      <c r="E35" s="60">
        <f>-'Deal Inputs'!E$60</f>
        <v>4300</v>
      </c>
      <c r="F35" s="60">
        <f>-'Deal Inputs'!F$60</f>
        <v>2500</v>
      </c>
      <c r="G35" s="60">
        <f>-'Deal Inputs'!G$60</f>
        <v>1300</v>
      </c>
      <c r="H35" s="60">
        <f>-'Deal Inputs'!H$60</f>
        <v>200</v>
      </c>
      <c r="I35" s="41"/>
      <c r="J35" s="41"/>
    </row>
    <row r="36" spans="2:10" ht="15" customHeight="1" x14ac:dyDescent="0.3">
      <c r="B36" s="91" t="s">
        <v>228</v>
      </c>
      <c r="C36" s="41"/>
      <c r="D36" s="60">
        <f>'Deal Inputs'!$D$91</f>
        <v>2500</v>
      </c>
      <c r="E36" s="60">
        <f>'Deal Inputs'!$D$91</f>
        <v>2500</v>
      </c>
      <c r="F36" s="60">
        <f>'Deal Inputs'!$D$91</f>
        <v>2500</v>
      </c>
      <c r="G36" s="60">
        <f>'Deal Inputs'!$D$91</f>
        <v>2500</v>
      </c>
      <c r="H36" s="60">
        <f>'Deal Inputs'!$D$91</f>
        <v>2500</v>
      </c>
      <c r="I36" s="41"/>
      <c r="J36" s="41"/>
    </row>
    <row r="37" spans="2:10" ht="15" customHeight="1" x14ac:dyDescent="0.3">
      <c r="B37" s="140" t="s">
        <v>215</v>
      </c>
      <c r="C37" s="127"/>
      <c r="D37" s="112">
        <f>D26-SUM(D28:D36)</f>
        <v>70698.922704999975</v>
      </c>
      <c r="E37" s="112">
        <f>E26-SUM(E28:E36)</f>
        <v>96470.814828249946</v>
      </c>
      <c r="F37" s="112">
        <f>F26-SUM(F28:F36)</f>
        <v>122368.18338425367</v>
      </c>
      <c r="G37" s="112">
        <f>G26-SUM(G28:G36)</f>
        <v>144158.11384312983</v>
      </c>
      <c r="H37" s="112">
        <f>H26-SUM(H28:H36)</f>
        <v>167433.95225674391</v>
      </c>
      <c r="I37" s="41"/>
      <c r="J37" s="41"/>
    </row>
    <row r="38" spans="2:10" ht="15" customHeight="1" x14ac:dyDescent="0.3">
      <c r="B38" s="41"/>
      <c r="C38" s="41"/>
      <c r="D38" s="42"/>
      <c r="E38" s="42"/>
      <c r="F38" s="42"/>
      <c r="G38" s="42"/>
      <c r="H38" s="42"/>
      <c r="I38" s="41"/>
      <c r="J38" s="41"/>
    </row>
    <row r="39" spans="2:10" ht="15" customHeight="1" x14ac:dyDescent="0.3">
      <c r="B39" s="91" t="s">
        <v>229</v>
      </c>
      <c r="C39" s="41"/>
      <c r="D39" s="49">
        <f ca="1">-('Google Model'!F$32+'Meta Model'!F$30)</f>
        <v>-5041.1614249168779</v>
      </c>
      <c r="E39" s="49">
        <f ca="1">-('Google Model'!G$32+'Meta Model'!G$30)</f>
        <v>-5099.44355233646</v>
      </c>
      <c r="F39" s="49">
        <f ca="1">-('Google Model'!H$32+'Meta Model'!H$30)</f>
        <v>-5113.332368502035</v>
      </c>
      <c r="G39" s="49">
        <f ca="1">-('Google Model'!I$32+'Meta Model'!I$30)</f>
        <v>-6247.4955837683137</v>
      </c>
      <c r="H39" s="49">
        <f ca="1">-('Google Model'!J$32+'Meta Model'!J$30)</f>
        <v>-5947.9937848569498</v>
      </c>
      <c r="I39" s="41"/>
      <c r="J39" s="41"/>
    </row>
    <row r="40" spans="2:10" ht="15" customHeight="1" x14ac:dyDescent="0.3">
      <c r="B40" s="91" t="s">
        <v>230</v>
      </c>
      <c r="C40" s="41"/>
      <c r="D40" s="60">
        <f>(('Deal Inputs'!$D$80*((1-'Deal Inputs'!$D$84)^(D$15-$D$15)))*'Deal Inputs'!$D$81)+(('Deal Inputs'!$D$82*((1-'Deal Inputs'!$D$84)^(D$15-$D$15)))*'Deal Inputs'!$D$83)</f>
        <v>28500</v>
      </c>
      <c r="E40" s="60">
        <f>(('Deal Inputs'!$D$80*((1-'Deal Inputs'!$D$84)^(E$15-$D$15)))*'Deal Inputs'!$D$81)+(('Deal Inputs'!$D$82*((1-'Deal Inputs'!$D$84)^(E$15-$D$15)))*'Deal Inputs'!$D$83)</f>
        <v>27075</v>
      </c>
      <c r="F40" s="60">
        <f>(('Deal Inputs'!$D$80*((1-'Deal Inputs'!$D$84)^(F$15-$D$15)))*'Deal Inputs'!$D$81)+(('Deal Inputs'!$D$82*((1-'Deal Inputs'!$D$84)^(F$15-$D$15)))*'Deal Inputs'!$D$83)</f>
        <v>25721.25</v>
      </c>
      <c r="G40" s="60">
        <f>(('Deal Inputs'!$D$80*((1-'Deal Inputs'!$D$84)^(G$15-$D$15)))*'Deal Inputs'!$D$81)+(('Deal Inputs'!$D$82*((1-'Deal Inputs'!$D$84)^(G$15-$D$15)))*'Deal Inputs'!$D$83)</f>
        <v>24435.187499999996</v>
      </c>
      <c r="H40" s="60">
        <f>(('Deal Inputs'!$D$80*((1-'Deal Inputs'!$D$84)^(H$15-$D$15)))*'Deal Inputs'!$D$81)+(('Deal Inputs'!$D$82*((1-'Deal Inputs'!$D$84)^(H$15-$D$15)))*'Deal Inputs'!$D$83)</f>
        <v>23213.428125000002</v>
      </c>
      <c r="I40" s="41"/>
      <c r="J40" s="41"/>
    </row>
    <row r="41" spans="2:10" ht="15" customHeight="1" x14ac:dyDescent="0.3">
      <c r="B41" s="140" t="s">
        <v>216</v>
      </c>
      <c r="C41" s="127"/>
      <c r="D41" s="112">
        <f ca="1">D37-D39-D40</f>
        <v>47240.084129916853</v>
      </c>
      <c r="E41" s="112">
        <f ca="1">E37-E39-E40</f>
        <v>74495.258380586412</v>
      </c>
      <c r="F41" s="112">
        <f ca="1">F37-F39-F40</f>
        <v>101760.2657527557</v>
      </c>
      <c r="G41" s="112">
        <f ca="1">G37-G39-G40</f>
        <v>125970.42192689815</v>
      </c>
      <c r="H41" s="112">
        <f ca="1">H37-H39-H40</f>
        <v>150168.51791660086</v>
      </c>
      <c r="I41" s="41"/>
      <c r="J41" s="41"/>
    </row>
    <row r="42" spans="2:10" ht="15" customHeight="1" x14ac:dyDescent="0.3">
      <c r="B42" s="91" t="s">
        <v>217</v>
      </c>
      <c r="C42" s="41"/>
      <c r="D42" s="49">
        <f ca="1">D41*'Deal Inputs'!$D$95</f>
        <v>9920.4176672825397</v>
      </c>
      <c r="E42" s="49">
        <f ca="1">E41*'Deal Inputs'!$D$95</f>
        <v>15644.004259923146</v>
      </c>
      <c r="F42" s="49">
        <f ca="1">F41*'Deal Inputs'!$D$95</f>
        <v>21369.655808078696</v>
      </c>
      <c r="G42" s="49">
        <f ca="1">G41*'Deal Inputs'!$D$95</f>
        <v>26453.788604648613</v>
      </c>
      <c r="H42" s="49">
        <f ca="1">H41*'Deal Inputs'!$D$95</f>
        <v>31535.388762486178</v>
      </c>
      <c r="I42" s="41"/>
      <c r="J42" s="41"/>
    </row>
    <row r="43" spans="2:10" ht="15" customHeight="1" x14ac:dyDescent="0.3">
      <c r="B43" s="41"/>
      <c r="C43" s="41"/>
      <c r="D43" s="56"/>
      <c r="E43" s="56"/>
      <c r="F43" s="56"/>
      <c r="G43" s="56"/>
      <c r="H43" s="56"/>
      <c r="I43" s="41"/>
      <c r="J43" s="41"/>
    </row>
    <row r="44" spans="2:10" ht="15" customHeight="1" thickBot="1" x14ac:dyDescent="0.35">
      <c r="B44" s="141" t="s">
        <v>55</v>
      </c>
      <c r="C44" s="142"/>
      <c r="D44" s="125">
        <f ca="1">D41-D42</f>
        <v>37319.666462634312</v>
      </c>
      <c r="E44" s="125">
        <f ca="1">E41-E42</f>
        <v>58851.254120663267</v>
      </c>
      <c r="F44" s="125">
        <f ca="1">F41-F42</f>
        <v>80390.609944677009</v>
      </c>
      <c r="G44" s="125">
        <f ca="1">G41-G42</f>
        <v>99516.633322249545</v>
      </c>
      <c r="H44" s="125">
        <f ca="1">H41-H42</f>
        <v>118633.12915411468</v>
      </c>
      <c r="I44" s="41"/>
      <c r="J44" s="41"/>
    </row>
    <row r="45" spans="2:10" ht="15" customHeight="1" thickTop="1" x14ac:dyDescent="0.3">
      <c r="B45" s="41"/>
      <c r="C45" s="41"/>
      <c r="D45" s="41"/>
      <c r="E45" s="41"/>
      <c r="F45" s="41"/>
      <c r="G45" s="41"/>
      <c r="H45" s="41"/>
      <c r="I45" s="41"/>
      <c r="J45" s="41"/>
    </row>
    <row r="46" spans="2:10" ht="15" customHeight="1" x14ac:dyDescent="0.3">
      <c r="B46" s="58" t="s">
        <v>218</v>
      </c>
      <c r="C46" s="58"/>
      <c r="D46" s="58"/>
      <c r="E46" s="58"/>
      <c r="F46" s="58"/>
      <c r="G46" s="58"/>
      <c r="H46" s="58"/>
      <c r="I46" s="41"/>
      <c r="J46" s="41"/>
    </row>
    <row r="47" spans="2:10" ht="15" customHeight="1" x14ac:dyDescent="0.3">
      <c r="B47" s="41"/>
      <c r="C47" s="41"/>
      <c r="D47" s="41"/>
      <c r="E47" s="41"/>
      <c r="F47" s="41"/>
      <c r="G47" s="41"/>
      <c r="H47" s="41"/>
      <c r="I47" s="41"/>
      <c r="J47" s="41"/>
    </row>
    <row r="48" spans="2:10" ht="15" customHeight="1" x14ac:dyDescent="0.3">
      <c r="B48" s="101" t="s">
        <v>219</v>
      </c>
      <c r="C48" s="41"/>
      <c r="D48" s="62">
        <f>'Google Model'!F$42+'Deal Inputs'!$D$29</f>
        <v>17614.857142857145</v>
      </c>
      <c r="E48" s="62">
        <f>'Google Model'!G$42+'Deal Inputs'!$D$29</f>
        <v>17414.857142857145</v>
      </c>
      <c r="F48" s="62">
        <f>'Google Model'!H$42+'Deal Inputs'!$D$29</f>
        <v>17214.857142857145</v>
      </c>
      <c r="G48" s="62">
        <f>'Google Model'!I$42+'Deal Inputs'!$D$29</f>
        <v>17014.857142857145</v>
      </c>
      <c r="H48" s="62">
        <f>'Google Model'!J$42+'Deal Inputs'!$D$29</f>
        <v>16814.857142857145</v>
      </c>
      <c r="I48" s="41"/>
      <c r="J48" s="41"/>
    </row>
    <row r="49" spans="2:10" ht="15" customHeight="1" x14ac:dyDescent="0.3">
      <c r="B49" s="143" t="s">
        <v>220</v>
      </c>
      <c r="C49" s="127"/>
      <c r="D49" s="126">
        <f ca="1">D44/D48</f>
        <v>2.1186471261146447</v>
      </c>
      <c r="E49" s="126">
        <f ca="1">E44/E48</f>
        <v>3.3793704787754528</v>
      </c>
      <c r="F49" s="126">
        <f ca="1">F44/F48</f>
        <v>4.6698389232949857</v>
      </c>
      <c r="G49" s="126">
        <f ca="1">G44/G48</f>
        <v>5.8488080438587007</v>
      </c>
      <c r="H49" s="126">
        <f ca="1">H44/H48</f>
        <v>7.0552564405525953</v>
      </c>
      <c r="I49" s="41"/>
      <c r="J49" s="41"/>
    </row>
    <row r="50" spans="2:10" ht="15" customHeight="1" x14ac:dyDescent="0.3">
      <c r="B50" s="101" t="s">
        <v>221</v>
      </c>
      <c r="C50" s="41"/>
      <c r="D50" s="50">
        <f ca="1">D49/'Google Model'!F$43-1</f>
        <v>-0.32444069986802127</v>
      </c>
      <c r="E50" s="50">
        <f ca="1">E49/'Google Model'!G$43-1</f>
        <v>-8.5622583928323337E-2</v>
      </c>
      <c r="F50" s="50">
        <f ca="1">F49/'Google Model'!H$43-1</f>
        <v>7.9196041295362951E-2</v>
      </c>
      <c r="G50" s="50">
        <f ca="1">G49/'Google Model'!I$43-1</f>
        <v>0.16598529246060978</v>
      </c>
      <c r="H50" s="50">
        <f ca="1">H49/'Google Model'!J$43-1</f>
        <v>0.22687472511773232</v>
      </c>
      <c r="I50" s="41"/>
      <c r="J50" s="41"/>
    </row>
  </sheetData>
  <pageMargins left="0.7" right="0.7" top="0.75" bottom="0.75" header="0.3" footer="0.3"/>
  <pageSetup orientation="portrait"/>
  <headerFooter>
    <oddHeader>&amp;L&amp;C&amp;R</oddHeader>
    <oddFooter>&amp;C&amp;R&amp;"Calibri"&amp;8&amp;K808080shortcut.ai&amp;L&amp;"Calibri"&amp;8&amp;K808080© shortcut.ai</oddFooter>
    <evenFooter>&amp;C&amp;R&amp;"Calibri"&amp;8&amp;K808080shortcut.ai&amp;L&amp;"Calibri"&amp;8&amp;K808080©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Drivers</vt:lpstr>
      <vt:lpstr>Google Model</vt:lpstr>
      <vt:lpstr>Meta Drivers</vt:lpstr>
      <vt:lpstr>Meta Model</vt:lpstr>
      <vt:lpstr>Deal Inputs</vt:lpstr>
      <vt:lpstr>Pro Forma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2025-05-22T23:41:35Z</dcterms:created>
  <dcterms:modified xsi:type="dcterms:W3CDTF">2026-08-17T20:26:03Z</dcterms:modified>
</cp:coreProperties>
</file>