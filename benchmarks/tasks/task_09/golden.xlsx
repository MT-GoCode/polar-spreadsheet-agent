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6077EE29-E67D-4AEA-A38B-3CC490A6F74B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Books &amp; GAAP Bridge" sheetId="1" r:id="rId1"/>
    <sheet name="Cash Flow Valuation" sheetId="2" r:id="rId2"/>
    <sheet name="Trading Comps" sheetId="3" r:id="rId3"/>
    <sheet name="Valuation Bridge" sheetId="4" r:id="rId4"/>
  </sheets>
  <definedNames>
    <definedName name="Buyer_Diversification">'Cash Flow Valuation'!$F$11</definedName>
    <definedName name="Company_Name">'Books &amp; GAAP Bridge'!$F$201</definedName>
    <definedName name="Cost_of_Debt">'Cash Flow Valuation'!$F$8</definedName>
    <definedName name="Cost_of_Preferred">'Cash Flow Valuation'!$F$9</definedName>
    <definedName name="Equity_Risk_Premium">'Cash Flow Valuation'!$F$7</definedName>
    <definedName name="Market_Correlation">'Cash Flow Valuation'!$F$10</definedName>
    <definedName name="_xlnm.Print_Area" localSheetId="0">'Books &amp; GAAP Bridge'!$A$1:$P$297</definedName>
    <definedName name="_xlnm.Print_Area" localSheetId="1">'Cash Flow Valuation'!$A$1:$V$153</definedName>
    <definedName name="_xlnm.Print_Area" localSheetId="2">'Trading Comps'!$A$1:$V$35</definedName>
    <definedName name="_xlnm.Print_Area" localSheetId="3">'Valuation Bridge'!$A$1:$R$70</definedName>
    <definedName name="Risk_Free_Rate">'Cash Flow Valuation'!$F$6</definedName>
    <definedName name="Tax_Rate">'Books &amp; GAAP Bridge'!$F$200</definedName>
    <definedName name="WACC">'Cash Flow Valuation'!$L$35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4" l="1"/>
  <c r="B68" i="4"/>
  <c r="B67" i="4"/>
  <c r="B65" i="4"/>
  <c r="B64" i="4"/>
  <c r="B60" i="4"/>
  <c r="B59" i="4"/>
  <c r="B57" i="4"/>
  <c r="B20" i="4"/>
  <c r="B62" i="4" s="1"/>
  <c r="B19" i="4"/>
  <c r="B63" i="4" s="1"/>
  <c r="B17" i="4"/>
  <c r="B16" i="4"/>
  <c r="B66" i="4" s="1"/>
  <c r="B14" i="4"/>
  <c r="B13" i="4"/>
  <c r="B69" i="4" s="1"/>
  <c r="J5" i="4"/>
  <c r="C5" i="4"/>
  <c r="B5" i="4"/>
  <c r="B3" i="4"/>
  <c r="B2" i="4"/>
  <c r="F35" i="3"/>
  <c r="F33" i="3"/>
  <c r="H32" i="3"/>
  <c r="F32" i="3"/>
  <c r="F31" i="3"/>
  <c r="Q29" i="3"/>
  <c r="M29" i="3"/>
  <c r="L29" i="3"/>
  <c r="K29" i="3"/>
  <c r="I29" i="3"/>
  <c r="H29" i="3"/>
  <c r="N29" i="3" s="1"/>
  <c r="G29" i="3"/>
  <c r="F29" i="3"/>
  <c r="E29" i="3"/>
  <c r="P29" i="3" s="1"/>
  <c r="D29" i="3"/>
  <c r="C29" i="3"/>
  <c r="B29" i="3"/>
  <c r="Q28" i="3"/>
  <c r="M28" i="3"/>
  <c r="L28" i="3"/>
  <c r="K28" i="3"/>
  <c r="I28" i="3"/>
  <c r="H28" i="3"/>
  <c r="N28" i="3" s="1"/>
  <c r="G28" i="3"/>
  <c r="F28" i="3"/>
  <c r="E28" i="3"/>
  <c r="P28" i="3" s="1"/>
  <c r="D28" i="3"/>
  <c r="C28" i="3"/>
  <c r="B28" i="3"/>
  <c r="Q27" i="3"/>
  <c r="M27" i="3"/>
  <c r="L27" i="3"/>
  <c r="K27" i="3"/>
  <c r="I27" i="3"/>
  <c r="H27" i="3"/>
  <c r="N27" i="3" s="1"/>
  <c r="G27" i="3"/>
  <c r="F27" i="3"/>
  <c r="E27" i="3"/>
  <c r="P27" i="3" s="1"/>
  <c r="D27" i="3"/>
  <c r="C27" i="3"/>
  <c r="B27" i="3"/>
  <c r="Q26" i="3"/>
  <c r="O26" i="3"/>
  <c r="M26" i="3"/>
  <c r="L26" i="3"/>
  <c r="K26" i="3"/>
  <c r="J26" i="3"/>
  <c r="I26" i="3"/>
  <c r="H26" i="3"/>
  <c r="N26" i="3" s="1"/>
  <c r="G26" i="3"/>
  <c r="F26" i="3"/>
  <c r="E26" i="3"/>
  <c r="P26" i="3" s="1"/>
  <c r="D26" i="3"/>
  <c r="C26" i="3"/>
  <c r="B26" i="3"/>
  <c r="Q25" i="3"/>
  <c r="M25" i="3"/>
  <c r="L25" i="3"/>
  <c r="K25" i="3"/>
  <c r="J25" i="3"/>
  <c r="I25" i="3"/>
  <c r="H25" i="3"/>
  <c r="N25" i="3" s="1"/>
  <c r="G25" i="3"/>
  <c r="F25" i="3"/>
  <c r="E25" i="3"/>
  <c r="P25" i="3" s="1"/>
  <c r="D25" i="3"/>
  <c r="C25" i="3"/>
  <c r="B25" i="3"/>
  <c r="M24" i="3"/>
  <c r="M34" i="3" s="1"/>
  <c r="L24" i="3"/>
  <c r="K24" i="3"/>
  <c r="K35" i="3" s="1"/>
  <c r="J24" i="3"/>
  <c r="I24" i="3"/>
  <c r="H24" i="3"/>
  <c r="H35" i="3" s="1"/>
  <c r="G24" i="3"/>
  <c r="F24" i="3"/>
  <c r="F34" i="3" s="1"/>
  <c r="E24" i="3"/>
  <c r="D24" i="3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H22" i="3"/>
  <c r="G22" i="3"/>
  <c r="E22" i="3"/>
  <c r="D22" i="3"/>
  <c r="U19" i="3"/>
  <c r="T19" i="3"/>
  <c r="S19" i="3"/>
  <c r="R19" i="3"/>
  <c r="N19" i="3"/>
  <c r="M19" i="3"/>
  <c r="L19" i="3"/>
  <c r="K19" i="3"/>
  <c r="J19" i="3"/>
  <c r="I19" i="3"/>
  <c r="H19" i="3"/>
  <c r="G19" i="3"/>
  <c r="F19" i="3"/>
  <c r="E19" i="3"/>
  <c r="D19" i="3"/>
  <c r="U18" i="3"/>
  <c r="T18" i="3"/>
  <c r="S18" i="3"/>
  <c r="R18" i="3"/>
  <c r="N18" i="3"/>
  <c r="M18" i="3"/>
  <c r="L18" i="3"/>
  <c r="K18" i="3"/>
  <c r="J18" i="3"/>
  <c r="I18" i="3"/>
  <c r="H18" i="3"/>
  <c r="G18" i="3"/>
  <c r="F18" i="3"/>
  <c r="E18" i="3"/>
  <c r="D18" i="3"/>
  <c r="U17" i="3"/>
  <c r="T17" i="3"/>
  <c r="S17" i="3"/>
  <c r="R17" i="3"/>
  <c r="N17" i="3"/>
  <c r="M17" i="3"/>
  <c r="L17" i="3"/>
  <c r="K17" i="3"/>
  <c r="J17" i="3"/>
  <c r="I17" i="3"/>
  <c r="H17" i="3"/>
  <c r="G17" i="3"/>
  <c r="F17" i="3"/>
  <c r="E17" i="3"/>
  <c r="D17" i="3"/>
  <c r="U16" i="3"/>
  <c r="T16" i="3"/>
  <c r="S16" i="3"/>
  <c r="R16" i="3"/>
  <c r="N16" i="3"/>
  <c r="M16" i="3"/>
  <c r="L16" i="3"/>
  <c r="K16" i="3"/>
  <c r="J16" i="3"/>
  <c r="I16" i="3"/>
  <c r="H16" i="3"/>
  <c r="G16" i="3"/>
  <c r="F16" i="3"/>
  <c r="E16" i="3"/>
  <c r="D16" i="3"/>
  <c r="U15" i="3"/>
  <c r="T15" i="3"/>
  <c r="S15" i="3"/>
  <c r="R15" i="3"/>
  <c r="N15" i="3"/>
  <c r="M15" i="3"/>
  <c r="L15" i="3"/>
  <c r="K15" i="3"/>
  <c r="J15" i="3"/>
  <c r="I15" i="3"/>
  <c r="H15" i="3"/>
  <c r="G15" i="3"/>
  <c r="F15" i="3"/>
  <c r="E15" i="3"/>
  <c r="D15" i="3"/>
  <c r="Q13" i="3"/>
  <c r="P13" i="3"/>
  <c r="O13" i="3"/>
  <c r="O19" i="3" s="1"/>
  <c r="Q12" i="3"/>
  <c r="P12" i="3"/>
  <c r="O12" i="3"/>
  <c r="Q11" i="3"/>
  <c r="P11" i="3"/>
  <c r="O11" i="3"/>
  <c r="Q10" i="3"/>
  <c r="P10" i="3"/>
  <c r="O10" i="3"/>
  <c r="Q9" i="3"/>
  <c r="P9" i="3"/>
  <c r="O9" i="3"/>
  <c r="O16" i="3" s="1"/>
  <c r="Q8" i="3"/>
  <c r="P8" i="3"/>
  <c r="O8" i="3"/>
  <c r="T7" i="3"/>
  <c r="S7" i="3"/>
  <c r="R7" i="3"/>
  <c r="Q7" i="3"/>
  <c r="P7" i="3"/>
  <c r="O7" i="3"/>
  <c r="N7" i="3"/>
  <c r="M7" i="3"/>
  <c r="L7" i="3"/>
  <c r="C150" i="2"/>
  <c r="C149" i="2"/>
  <c r="I144" i="2"/>
  <c r="J144" i="2" s="1"/>
  <c r="K144" i="2" s="1"/>
  <c r="L144" i="2" s="1"/>
  <c r="F144" i="2"/>
  <c r="G144" i="2" s="1"/>
  <c r="H144" i="2" s="1"/>
  <c r="E144" i="2"/>
  <c r="C144" i="2"/>
  <c r="C138" i="2"/>
  <c r="C152" i="2" s="1"/>
  <c r="C135" i="2"/>
  <c r="K130" i="2"/>
  <c r="L130" i="2" s="1"/>
  <c r="J130" i="2"/>
  <c r="H130" i="2"/>
  <c r="I130" i="2" s="1"/>
  <c r="F130" i="2"/>
  <c r="G130" i="2" s="1"/>
  <c r="E130" i="2"/>
  <c r="C130" i="2"/>
  <c r="C125" i="2"/>
  <c r="C139" i="2" s="1"/>
  <c r="C153" i="2" s="1"/>
  <c r="C124" i="2"/>
  <c r="C122" i="2"/>
  <c r="C136" i="2" s="1"/>
  <c r="C121" i="2"/>
  <c r="C117" i="2"/>
  <c r="C131" i="2" s="1"/>
  <c r="C145" i="2" s="1"/>
  <c r="J116" i="2"/>
  <c r="K116" i="2" s="1"/>
  <c r="L116" i="2" s="1"/>
  <c r="F116" i="2"/>
  <c r="G116" i="2" s="1"/>
  <c r="E116" i="2"/>
  <c r="C116" i="2"/>
  <c r="C111" i="2"/>
  <c r="C110" i="2"/>
  <c r="C109" i="2"/>
  <c r="C123" i="2" s="1"/>
  <c r="C137" i="2" s="1"/>
  <c r="C151" i="2" s="1"/>
  <c r="C104" i="2"/>
  <c r="I102" i="2"/>
  <c r="J102" i="2" s="1"/>
  <c r="K102" i="2" s="1"/>
  <c r="L102" i="2" s="1"/>
  <c r="G102" i="2"/>
  <c r="H102" i="2" s="1"/>
  <c r="E102" i="2"/>
  <c r="F102" i="2" s="1"/>
  <c r="C102" i="2"/>
  <c r="Q73" i="2"/>
  <c r="L73" i="2"/>
  <c r="G73" i="2"/>
  <c r="Q72" i="2"/>
  <c r="L72" i="2"/>
  <c r="G72" i="2"/>
  <c r="Q71" i="2"/>
  <c r="L71" i="2"/>
  <c r="G71" i="2"/>
  <c r="Q70" i="2"/>
  <c r="L70" i="2"/>
  <c r="G70" i="2"/>
  <c r="Q69" i="2"/>
  <c r="L69" i="2"/>
  <c r="G69" i="2"/>
  <c r="Q68" i="2"/>
  <c r="L68" i="2"/>
  <c r="G68" i="2"/>
  <c r="Q66" i="2"/>
  <c r="L66" i="2"/>
  <c r="G66" i="2"/>
  <c r="Q64" i="2"/>
  <c r="L64" i="2"/>
  <c r="G64" i="2"/>
  <c r="E64" i="2"/>
  <c r="Q63" i="2"/>
  <c r="L63" i="2"/>
  <c r="G63" i="2"/>
  <c r="Q62" i="2"/>
  <c r="L62" i="2"/>
  <c r="G62" i="2"/>
  <c r="B41" i="2"/>
  <c r="B38" i="2"/>
  <c r="K29" i="2"/>
  <c r="B26" i="2"/>
  <c r="K23" i="2"/>
  <c r="J21" i="2"/>
  <c r="I21" i="2"/>
  <c r="H21" i="2"/>
  <c r="G21" i="2"/>
  <c r="F21" i="2"/>
  <c r="E21" i="2"/>
  <c r="D21" i="2"/>
  <c r="C21" i="2"/>
  <c r="B21" i="2"/>
  <c r="I20" i="2"/>
  <c r="H20" i="2"/>
  <c r="G20" i="2"/>
  <c r="E20" i="2"/>
  <c r="D20" i="2"/>
  <c r="C20" i="2"/>
  <c r="B20" i="2"/>
  <c r="L19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L18" i="2" s="1"/>
  <c r="C18" i="2"/>
  <c r="B18" i="2"/>
  <c r="I17" i="2"/>
  <c r="G17" i="2"/>
  <c r="G23" i="2" s="1"/>
  <c r="E17" i="2"/>
  <c r="E23" i="2" s="1"/>
  <c r="D17" i="2"/>
  <c r="C17" i="2"/>
  <c r="B17" i="2"/>
  <c r="J16" i="2"/>
  <c r="I16" i="2"/>
  <c r="H16" i="2"/>
  <c r="G16" i="2"/>
  <c r="F16" i="2"/>
  <c r="E16" i="2"/>
  <c r="D16" i="2"/>
  <c r="C16" i="2"/>
  <c r="B16" i="2"/>
  <c r="F8" i="2"/>
  <c r="B3" i="2"/>
  <c r="B2" i="2"/>
  <c r="G296" i="1"/>
  <c r="I293" i="1"/>
  <c r="G293" i="1"/>
  <c r="K292" i="1"/>
  <c r="K293" i="1" s="1"/>
  <c r="J292" i="1"/>
  <c r="J293" i="1" s="1"/>
  <c r="I292" i="1"/>
  <c r="H292" i="1"/>
  <c r="H293" i="1" s="1"/>
  <c r="G292" i="1"/>
  <c r="K289" i="1"/>
  <c r="J289" i="1"/>
  <c r="P288" i="1"/>
  <c r="K288" i="1"/>
  <c r="J288" i="1"/>
  <c r="I288" i="1"/>
  <c r="H288" i="1"/>
  <c r="H289" i="1" s="1"/>
  <c r="G288" i="1"/>
  <c r="K287" i="1"/>
  <c r="J287" i="1"/>
  <c r="I287" i="1"/>
  <c r="I289" i="1" s="1"/>
  <c r="H287" i="1"/>
  <c r="G287" i="1"/>
  <c r="G289" i="1" s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H279" i="1"/>
  <c r="P276" i="1"/>
  <c r="O276" i="1"/>
  <c r="N276" i="1"/>
  <c r="M276" i="1"/>
  <c r="L276" i="1"/>
  <c r="K276" i="1"/>
  <c r="J276" i="1"/>
  <c r="I276" i="1"/>
  <c r="H276" i="1"/>
  <c r="G276" i="1"/>
  <c r="F276" i="1"/>
  <c r="L275" i="1"/>
  <c r="G275" i="1"/>
  <c r="G269" i="1"/>
  <c r="K265" i="1"/>
  <c r="K264" i="1"/>
  <c r="J264" i="1"/>
  <c r="I264" i="1"/>
  <c r="H264" i="1"/>
  <c r="G264" i="1"/>
  <c r="G265" i="1" s="1"/>
  <c r="K263" i="1"/>
  <c r="J263" i="1"/>
  <c r="J265" i="1" s="1"/>
  <c r="I263" i="1"/>
  <c r="I265" i="1" s="1"/>
  <c r="H263" i="1"/>
  <c r="H265" i="1" s="1"/>
  <c r="G263" i="1"/>
  <c r="J260" i="1"/>
  <c r="J267" i="1" s="1"/>
  <c r="K259" i="1"/>
  <c r="J259" i="1"/>
  <c r="I259" i="1"/>
  <c r="H259" i="1"/>
  <c r="G259" i="1"/>
  <c r="K258" i="1"/>
  <c r="K260" i="1" s="1"/>
  <c r="K267" i="1" s="1"/>
  <c r="J258" i="1"/>
  <c r="I258" i="1"/>
  <c r="I260" i="1" s="1"/>
  <c r="I267" i="1" s="1"/>
  <c r="H258" i="1"/>
  <c r="H260" i="1" s="1"/>
  <c r="G258" i="1"/>
  <c r="G260" i="1" s="1"/>
  <c r="G267" i="1" s="1"/>
  <c r="G271" i="1" s="1"/>
  <c r="K252" i="1"/>
  <c r="J252" i="1"/>
  <c r="K251" i="1"/>
  <c r="J251" i="1"/>
  <c r="I251" i="1"/>
  <c r="H251" i="1"/>
  <c r="G251" i="1"/>
  <c r="K250" i="1"/>
  <c r="J250" i="1"/>
  <c r="I250" i="1"/>
  <c r="H250" i="1"/>
  <c r="H252" i="1" s="1"/>
  <c r="G250" i="1"/>
  <c r="G252" i="1" s="1"/>
  <c r="K246" i="1"/>
  <c r="J246" i="1"/>
  <c r="I246" i="1"/>
  <c r="H246" i="1"/>
  <c r="G246" i="1"/>
  <c r="P242" i="1"/>
  <c r="O242" i="1"/>
  <c r="N242" i="1"/>
  <c r="M242" i="1"/>
  <c r="L242" i="1"/>
  <c r="K242" i="1"/>
  <c r="J242" i="1"/>
  <c r="I242" i="1"/>
  <c r="H242" i="1"/>
  <c r="G242" i="1"/>
  <c r="F242" i="1"/>
  <c r="L241" i="1"/>
  <c r="G241" i="1"/>
  <c r="J231" i="1"/>
  <c r="I231" i="1"/>
  <c r="H231" i="1"/>
  <c r="P228" i="1"/>
  <c r="O228" i="1"/>
  <c r="N228" i="1"/>
  <c r="M228" i="1"/>
  <c r="L228" i="1"/>
  <c r="K228" i="1"/>
  <c r="J228" i="1"/>
  <c r="I228" i="1"/>
  <c r="H228" i="1"/>
  <c r="G228" i="1"/>
  <c r="F228" i="1"/>
  <c r="L227" i="1"/>
  <c r="G227" i="1"/>
  <c r="K223" i="1"/>
  <c r="J223" i="1"/>
  <c r="I223" i="1"/>
  <c r="H223" i="1"/>
  <c r="G223" i="1"/>
  <c r="K216" i="1"/>
  <c r="J216" i="1"/>
  <c r="J279" i="1" s="1"/>
  <c r="I216" i="1"/>
  <c r="I279" i="1" s="1"/>
  <c r="H216" i="1"/>
  <c r="G216" i="1"/>
  <c r="K215" i="1"/>
  <c r="H213" i="1"/>
  <c r="K209" i="1"/>
  <c r="J209" i="1"/>
  <c r="I209" i="1"/>
  <c r="H209" i="1"/>
  <c r="G209" i="1"/>
  <c r="G208" i="1"/>
  <c r="G210" i="1" s="1"/>
  <c r="B195" i="1"/>
  <c r="K188" i="1"/>
  <c r="J188" i="1"/>
  <c r="I188" i="1"/>
  <c r="H188" i="1"/>
  <c r="G188" i="1"/>
  <c r="P186" i="1"/>
  <c r="P292" i="1" s="1"/>
  <c r="P293" i="1" s="1"/>
  <c r="O186" i="1"/>
  <c r="O292" i="1" s="1"/>
  <c r="O293" i="1" s="1"/>
  <c r="N186" i="1"/>
  <c r="M186" i="1"/>
  <c r="M292" i="1" s="1"/>
  <c r="M293" i="1" s="1"/>
  <c r="L186" i="1"/>
  <c r="L292" i="1" s="1"/>
  <c r="L293" i="1" s="1"/>
  <c r="K183" i="1"/>
  <c r="J183" i="1"/>
  <c r="I183" i="1"/>
  <c r="H183" i="1"/>
  <c r="G183" i="1"/>
  <c r="P182" i="1"/>
  <c r="O182" i="1"/>
  <c r="O288" i="1" s="1"/>
  <c r="N182" i="1"/>
  <c r="N288" i="1" s="1"/>
  <c r="M182" i="1"/>
  <c r="M288" i="1" s="1"/>
  <c r="L182" i="1"/>
  <c r="L145" i="1" s="1"/>
  <c r="P170" i="1"/>
  <c r="O170" i="1"/>
  <c r="N170" i="1"/>
  <c r="M170" i="1"/>
  <c r="L170" i="1"/>
  <c r="K170" i="1"/>
  <c r="J170" i="1"/>
  <c r="I170" i="1"/>
  <c r="H170" i="1"/>
  <c r="G170" i="1"/>
  <c r="F170" i="1"/>
  <c r="L169" i="1"/>
  <c r="G169" i="1"/>
  <c r="J161" i="1"/>
  <c r="J165" i="1" s="1"/>
  <c r="J167" i="1" s="1"/>
  <c r="G161" i="1"/>
  <c r="G165" i="1" s="1"/>
  <c r="K159" i="1"/>
  <c r="J159" i="1"/>
  <c r="I159" i="1"/>
  <c r="H159" i="1"/>
  <c r="G159" i="1"/>
  <c r="M158" i="1"/>
  <c r="N158" i="1" s="1"/>
  <c r="O158" i="1" s="1"/>
  <c r="P158" i="1" s="1"/>
  <c r="L158" i="1"/>
  <c r="K154" i="1"/>
  <c r="K161" i="1" s="1"/>
  <c r="K165" i="1" s="1"/>
  <c r="J154" i="1"/>
  <c r="I154" i="1"/>
  <c r="I161" i="1" s="1"/>
  <c r="I165" i="1" s="1"/>
  <c r="H154" i="1"/>
  <c r="H161" i="1" s="1"/>
  <c r="H165" i="1" s="1"/>
  <c r="G154" i="1"/>
  <c r="I148" i="1"/>
  <c r="I167" i="1" s="1"/>
  <c r="K146" i="1"/>
  <c r="K148" i="1" s="1"/>
  <c r="J146" i="1"/>
  <c r="I146" i="1"/>
  <c r="H146" i="1"/>
  <c r="H148" i="1" s="1"/>
  <c r="H167" i="1" s="1"/>
  <c r="G146" i="1"/>
  <c r="G148" i="1" s="1"/>
  <c r="G167" i="1" s="1"/>
  <c r="M145" i="1"/>
  <c r="K141" i="1"/>
  <c r="J141" i="1"/>
  <c r="J148" i="1" s="1"/>
  <c r="I141" i="1"/>
  <c r="H141" i="1"/>
  <c r="G141" i="1"/>
  <c r="P136" i="1"/>
  <c r="O136" i="1"/>
  <c r="N136" i="1"/>
  <c r="M136" i="1"/>
  <c r="L136" i="1"/>
  <c r="K136" i="1"/>
  <c r="J136" i="1"/>
  <c r="I136" i="1"/>
  <c r="H136" i="1"/>
  <c r="G136" i="1"/>
  <c r="F136" i="1"/>
  <c r="L135" i="1"/>
  <c r="G135" i="1"/>
  <c r="I128" i="1"/>
  <c r="H128" i="1"/>
  <c r="K125" i="1"/>
  <c r="J125" i="1"/>
  <c r="I125" i="1"/>
  <c r="H125" i="1"/>
  <c r="G125" i="1"/>
  <c r="P122" i="1"/>
  <c r="O122" i="1"/>
  <c r="N122" i="1"/>
  <c r="M122" i="1"/>
  <c r="L122" i="1"/>
  <c r="K122" i="1"/>
  <c r="J122" i="1"/>
  <c r="I122" i="1"/>
  <c r="H122" i="1"/>
  <c r="G122" i="1"/>
  <c r="F122" i="1"/>
  <c r="L121" i="1"/>
  <c r="G121" i="1"/>
  <c r="K113" i="1"/>
  <c r="K56" i="1" s="1"/>
  <c r="J113" i="1"/>
  <c r="I113" i="1"/>
  <c r="I56" i="1" s="1"/>
  <c r="H113" i="1"/>
  <c r="H56" i="1" s="1"/>
  <c r="G113" i="1"/>
  <c r="G57" i="1" s="1"/>
  <c r="K97" i="1"/>
  <c r="J97" i="1"/>
  <c r="I97" i="1"/>
  <c r="H97" i="1"/>
  <c r="G97" i="1"/>
  <c r="G92" i="1"/>
  <c r="G99" i="1" s="1"/>
  <c r="G115" i="1" s="1"/>
  <c r="K90" i="1"/>
  <c r="J90" i="1"/>
  <c r="I90" i="1"/>
  <c r="H90" i="1"/>
  <c r="H92" i="1" s="1"/>
  <c r="H99" i="1" s="1"/>
  <c r="H115" i="1" s="1"/>
  <c r="G90" i="1"/>
  <c r="M89" i="1"/>
  <c r="L89" i="1"/>
  <c r="L87" i="1"/>
  <c r="K84" i="1"/>
  <c r="K208" i="1" s="1"/>
  <c r="K210" i="1" s="1"/>
  <c r="J84" i="1"/>
  <c r="J60" i="1" s="1"/>
  <c r="I84" i="1"/>
  <c r="I60" i="1" s="1"/>
  <c r="H84" i="1"/>
  <c r="H208" i="1" s="1"/>
  <c r="H210" i="1" s="1"/>
  <c r="H234" i="1" s="1"/>
  <c r="G84" i="1"/>
  <c r="G128" i="1" s="1"/>
  <c r="L83" i="1"/>
  <c r="M83" i="1" s="1"/>
  <c r="N83" i="1" s="1"/>
  <c r="O83" i="1" s="1"/>
  <c r="P83" i="1" s="1"/>
  <c r="P82" i="1"/>
  <c r="P89" i="1" s="1"/>
  <c r="M82" i="1"/>
  <c r="N82" i="1" s="1"/>
  <c r="O82" i="1" s="1"/>
  <c r="O89" i="1" s="1"/>
  <c r="L82" i="1"/>
  <c r="L81" i="1"/>
  <c r="L88" i="1" s="1"/>
  <c r="L90" i="1" s="1"/>
  <c r="M80" i="1"/>
  <c r="M87" i="1" s="1"/>
  <c r="L80" i="1"/>
  <c r="P79" i="1"/>
  <c r="O79" i="1"/>
  <c r="N79" i="1"/>
  <c r="M79" i="1"/>
  <c r="L79" i="1"/>
  <c r="P77" i="1"/>
  <c r="O77" i="1"/>
  <c r="N77" i="1"/>
  <c r="M77" i="1"/>
  <c r="L77" i="1"/>
  <c r="K77" i="1"/>
  <c r="J77" i="1"/>
  <c r="I77" i="1"/>
  <c r="H77" i="1"/>
  <c r="G77" i="1"/>
  <c r="F77" i="1"/>
  <c r="L76" i="1"/>
  <c r="G76" i="1"/>
  <c r="K74" i="1"/>
  <c r="H74" i="1"/>
  <c r="H215" i="1" s="1"/>
  <c r="J73" i="1"/>
  <c r="H73" i="1"/>
  <c r="G73" i="1"/>
  <c r="G214" i="1" s="1"/>
  <c r="J72" i="1"/>
  <c r="J213" i="1" s="1"/>
  <c r="H72" i="1"/>
  <c r="G72" i="1"/>
  <c r="G213" i="1" s="1"/>
  <c r="K66" i="1"/>
  <c r="J66" i="1"/>
  <c r="J74" i="1" s="1"/>
  <c r="J215" i="1" s="1"/>
  <c r="I66" i="1"/>
  <c r="I73" i="1" s="1"/>
  <c r="H66" i="1"/>
  <c r="G66" i="1"/>
  <c r="G74" i="1" s="1"/>
  <c r="G215" i="1" s="1"/>
  <c r="N64" i="1"/>
  <c r="M64" i="1"/>
  <c r="I64" i="1"/>
  <c r="H64" i="1"/>
  <c r="G64" i="1"/>
  <c r="K63" i="1"/>
  <c r="J63" i="1"/>
  <c r="I63" i="1"/>
  <c r="H63" i="1"/>
  <c r="G63" i="1"/>
  <c r="K61" i="1"/>
  <c r="J61" i="1"/>
  <c r="I61" i="1"/>
  <c r="H61" i="1"/>
  <c r="G61" i="1"/>
  <c r="H60" i="1"/>
  <c r="G60" i="1"/>
  <c r="H58" i="1"/>
  <c r="G58" i="1"/>
  <c r="J57" i="1"/>
  <c r="H57" i="1"/>
  <c r="J56" i="1"/>
  <c r="G56" i="1"/>
  <c r="K55" i="1"/>
  <c r="J55" i="1"/>
  <c r="H55" i="1"/>
  <c r="G55" i="1"/>
  <c r="P53" i="1"/>
  <c r="O53" i="1"/>
  <c r="N53" i="1"/>
  <c r="M53" i="1"/>
  <c r="L53" i="1"/>
  <c r="K53" i="1"/>
  <c r="J53" i="1"/>
  <c r="I53" i="1"/>
  <c r="H53" i="1"/>
  <c r="G53" i="1"/>
  <c r="F53" i="1"/>
  <c r="L52" i="1"/>
  <c r="G52" i="1"/>
  <c r="K48" i="1"/>
  <c r="L48" i="1" s="1"/>
  <c r="J48" i="1"/>
  <c r="I48" i="1"/>
  <c r="H48" i="1"/>
  <c r="G48" i="1"/>
  <c r="C48" i="1"/>
  <c r="L47" i="1"/>
  <c r="K47" i="1"/>
  <c r="J47" i="1"/>
  <c r="I47" i="1"/>
  <c r="H47" i="1"/>
  <c r="G47" i="1"/>
  <c r="C47" i="1"/>
  <c r="L46" i="1"/>
  <c r="L107" i="1" s="1"/>
  <c r="K46" i="1"/>
  <c r="J46" i="1"/>
  <c r="I46" i="1"/>
  <c r="H46" i="1"/>
  <c r="G46" i="1"/>
  <c r="C46" i="1"/>
  <c r="K45" i="1"/>
  <c r="L45" i="1" s="1"/>
  <c r="J45" i="1"/>
  <c r="I45" i="1"/>
  <c r="H45" i="1"/>
  <c r="G45" i="1"/>
  <c r="C45" i="1"/>
  <c r="L44" i="1"/>
  <c r="M44" i="1" s="1"/>
  <c r="M105" i="1" s="1"/>
  <c r="K44" i="1"/>
  <c r="J44" i="1"/>
  <c r="I44" i="1"/>
  <c r="H44" i="1"/>
  <c r="G44" i="1"/>
  <c r="C44" i="1"/>
  <c r="K43" i="1"/>
  <c r="L43" i="1" s="1"/>
  <c r="J43" i="1"/>
  <c r="I43" i="1"/>
  <c r="H43" i="1"/>
  <c r="G43" i="1"/>
  <c r="C43" i="1"/>
  <c r="P40" i="1"/>
  <c r="O40" i="1"/>
  <c r="N40" i="1"/>
  <c r="M40" i="1"/>
  <c r="L40" i="1"/>
  <c r="K40" i="1"/>
  <c r="J40" i="1"/>
  <c r="I40" i="1"/>
  <c r="H40" i="1"/>
  <c r="G40" i="1"/>
  <c r="K29" i="1"/>
  <c r="J29" i="1"/>
  <c r="I29" i="1"/>
  <c r="H29" i="1"/>
  <c r="G29" i="1"/>
  <c r="K28" i="1"/>
  <c r="H28" i="1"/>
  <c r="G28" i="1"/>
  <c r="K27" i="1"/>
  <c r="I27" i="1"/>
  <c r="H27" i="1"/>
  <c r="G27" i="1"/>
  <c r="J26" i="1"/>
  <c r="I26" i="1"/>
  <c r="H26" i="1"/>
  <c r="G26" i="1"/>
  <c r="J25" i="1"/>
  <c r="H25" i="1"/>
  <c r="G25" i="1"/>
  <c r="K23" i="1"/>
  <c r="J23" i="1"/>
  <c r="I23" i="1"/>
  <c r="H23" i="1"/>
  <c r="G23" i="1"/>
  <c r="J22" i="1"/>
  <c r="I22" i="1"/>
  <c r="H22" i="1"/>
  <c r="G22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9" i="1"/>
  <c r="J9" i="1"/>
  <c r="I9" i="1"/>
  <c r="H9" i="1"/>
  <c r="G9" i="1"/>
  <c r="B2" i="1"/>
  <c r="H133" i="1" l="1"/>
  <c r="H31" i="1"/>
  <c r="H119" i="1"/>
  <c r="H129" i="1"/>
  <c r="H124" i="1"/>
  <c r="H126" i="1" s="1"/>
  <c r="H130" i="1" s="1"/>
  <c r="L103" i="1"/>
  <c r="M43" i="1"/>
  <c r="G133" i="1"/>
  <c r="G119" i="1"/>
  <c r="G31" i="1"/>
  <c r="G129" i="1"/>
  <c r="G124" i="1"/>
  <c r="G126" i="1" s="1"/>
  <c r="G130" i="1" s="1"/>
  <c r="M48" i="1"/>
  <c r="L112" i="1"/>
  <c r="M45" i="1"/>
  <c r="L106" i="1"/>
  <c r="G217" i="1"/>
  <c r="K214" i="1"/>
  <c r="J64" i="1"/>
  <c r="J128" i="1"/>
  <c r="L111" i="1"/>
  <c r="M47" i="1"/>
  <c r="K25" i="1"/>
  <c r="I57" i="1"/>
  <c r="K64" i="1"/>
  <c r="K72" i="1"/>
  <c r="K213" i="1" s="1"/>
  <c r="K73" i="1"/>
  <c r="N89" i="1"/>
  <c r="L105" i="1"/>
  <c r="G234" i="1"/>
  <c r="G219" i="1"/>
  <c r="G279" i="1"/>
  <c r="G231" i="1"/>
  <c r="I252" i="1"/>
  <c r="H267" i="1"/>
  <c r="M46" i="1"/>
  <c r="J27" i="1"/>
  <c r="I55" i="1"/>
  <c r="I208" i="1"/>
  <c r="I210" i="1" s="1"/>
  <c r="I25" i="1"/>
  <c r="I92" i="1"/>
  <c r="I99" i="1" s="1"/>
  <c r="I115" i="1" s="1"/>
  <c r="K57" i="1"/>
  <c r="O64" i="1"/>
  <c r="I74" i="1"/>
  <c r="I215" i="1" s="1"/>
  <c r="J208" i="1"/>
  <c r="J210" i="1" s="1"/>
  <c r="K234" i="1" s="1"/>
  <c r="J58" i="1"/>
  <c r="J28" i="1"/>
  <c r="K167" i="1"/>
  <c r="N292" i="1"/>
  <c r="N293" i="1" s="1"/>
  <c r="H214" i="1"/>
  <c r="H217" i="1" s="1"/>
  <c r="H219" i="1" s="1"/>
  <c r="J20" i="2"/>
  <c r="F20" i="2"/>
  <c r="N44" i="1"/>
  <c r="N80" i="1"/>
  <c r="K128" i="1"/>
  <c r="K60" i="1"/>
  <c r="K22" i="1"/>
  <c r="K58" i="1"/>
  <c r="I34" i="3"/>
  <c r="I32" i="3"/>
  <c r="N145" i="1"/>
  <c r="O145" i="1" s="1"/>
  <c r="P145" i="1" s="1"/>
  <c r="L16" i="2"/>
  <c r="D23" i="2"/>
  <c r="L84" i="1"/>
  <c r="I214" i="1"/>
  <c r="J92" i="1"/>
  <c r="J99" i="1" s="1"/>
  <c r="J115" i="1" s="1"/>
  <c r="K26" i="1"/>
  <c r="I28" i="1"/>
  <c r="I58" i="1"/>
  <c r="I72" i="1"/>
  <c r="I213" i="1" s="1"/>
  <c r="M81" i="1"/>
  <c r="K92" i="1"/>
  <c r="K99" i="1" s="1"/>
  <c r="K115" i="1" s="1"/>
  <c r="G35" i="3"/>
  <c r="G33" i="3"/>
  <c r="J214" i="1"/>
  <c r="J217" i="1" s="1"/>
  <c r="L17" i="2"/>
  <c r="F23" i="2"/>
  <c r="F29" i="2" s="1"/>
  <c r="C105" i="2"/>
  <c r="C118" i="2"/>
  <c r="C132" i="2" s="1"/>
  <c r="C146" i="2" s="1"/>
  <c r="P24" i="3"/>
  <c r="E32" i="3"/>
  <c r="E31" i="3"/>
  <c r="E35" i="3"/>
  <c r="E34" i="3"/>
  <c r="Q24" i="3"/>
  <c r="E33" i="3"/>
  <c r="O24" i="3"/>
  <c r="M33" i="3"/>
  <c r="M32" i="3"/>
  <c r="M31" i="3"/>
  <c r="F17" i="2"/>
  <c r="H17" i="2"/>
  <c r="H23" i="2" s="1"/>
  <c r="H29" i="2" s="1"/>
  <c r="P17" i="3"/>
  <c r="G31" i="3"/>
  <c r="M35" i="3"/>
  <c r="Q15" i="3"/>
  <c r="Q19" i="3"/>
  <c r="Q17" i="3"/>
  <c r="G34" i="3"/>
  <c r="J17" i="2"/>
  <c r="J23" i="2" s="1"/>
  <c r="J29" i="2" s="1"/>
  <c r="D34" i="3"/>
  <c r="Q16" i="3"/>
  <c r="O17" i="3"/>
  <c r="Q18" i="3"/>
  <c r="I35" i="3"/>
  <c r="K231" i="1"/>
  <c r="K279" i="1"/>
  <c r="L288" i="1"/>
  <c r="L251" i="1" s="1"/>
  <c r="M251" i="1" s="1"/>
  <c r="N251" i="1" s="1"/>
  <c r="O251" i="1" s="1"/>
  <c r="P251" i="1" s="1"/>
  <c r="I23" i="2"/>
  <c r="L20" i="2"/>
  <c r="I31" i="3"/>
  <c r="G32" i="3"/>
  <c r="L21" i="2"/>
  <c r="P18" i="3"/>
  <c r="P16" i="3"/>
  <c r="P19" i="3"/>
  <c r="P15" i="3"/>
  <c r="O18" i="3"/>
  <c r="O27" i="3"/>
  <c r="K31" i="3"/>
  <c r="O29" i="3"/>
  <c r="K32" i="3"/>
  <c r="I33" i="3"/>
  <c r="O15" i="3"/>
  <c r="K33" i="3"/>
  <c r="K34" i="3"/>
  <c r="L264" i="1"/>
  <c r="M264" i="1" s="1"/>
  <c r="N264" i="1" s="1"/>
  <c r="O264" i="1" s="1"/>
  <c r="P264" i="1" s="1"/>
  <c r="D33" i="3"/>
  <c r="D35" i="3"/>
  <c r="D31" i="3"/>
  <c r="D32" i="3"/>
  <c r="L33" i="3"/>
  <c r="L35" i="3"/>
  <c r="L31" i="3"/>
  <c r="L32" i="3"/>
  <c r="O25" i="3"/>
  <c r="O28" i="3"/>
  <c r="L34" i="3"/>
  <c r="H34" i="3"/>
  <c r="J27" i="3"/>
  <c r="J33" i="3" s="1"/>
  <c r="J28" i="3"/>
  <c r="J29" i="3"/>
  <c r="H33" i="3"/>
  <c r="N24" i="3"/>
  <c r="H31" i="3"/>
  <c r="H221" i="1" l="1"/>
  <c r="H230" i="1"/>
  <c r="G230" i="1"/>
  <c r="G221" i="1"/>
  <c r="I217" i="1"/>
  <c r="L23" i="2"/>
  <c r="L24" i="2" s="1"/>
  <c r="D29" i="2" s="1"/>
  <c r="L29" i="2" s="1"/>
  <c r="L31" i="2" s="1"/>
  <c r="L35" i="2" s="1"/>
  <c r="E45" i="2" s="1"/>
  <c r="P64" i="1"/>
  <c r="N46" i="1"/>
  <c r="M107" i="1"/>
  <c r="M111" i="1"/>
  <c r="N47" i="1"/>
  <c r="G172" i="1"/>
  <c r="G178" i="1" s="1"/>
  <c r="G190" i="1" s="1"/>
  <c r="G192" i="1" s="1"/>
  <c r="H191" i="1" s="1"/>
  <c r="G131" i="1"/>
  <c r="N43" i="1"/>
  <c r="M103" i="1"/>
  <c r="N34" i="3"/>
  <c r="N32" i="3"/>
  <c r="N33" i="3"/>
  <c r="N31" i="3"/>
  <c r="N35" i="3"/>
  <c r="J31" i="3"/>
  <c r="J34" i="3"/>
  <c r="O80" i="1"/>
  <c r="N87" i="1"/>
  <c r="M106" i="1"/>
  <c r="N45" i="1"/>
  <c r="Q31" i="3"/>
  <c r="Q35" i="3"/>
  <c r="Q34" i="3"/>
  <c r="Q33" i="3"/>
  <c r="Q32" i="3"/>
  <c r="M88" i="1"/>
  <c r="M90" i="1" s="1"/>
  <c r="N81" i="1"/>
  <c r="J35" i="3"/>
  <c r="J129" i="1"/>
  <c r="J119" i="1"/>
  <c r="J133" i="1"/>
  <c r="J124" i="1"/>
  <c r="J126" i="1" s="1"/>
  <c r="J130" i="1" s="1"/>
  <c r="J31" i="1"/>
  <c r="O44" i="1"/>
  <c r="N105" i="1"/>
  <c r="I124" i="1"/>
  <c r="I126" i="1" s="1"/>
  <c r="I130" i="1" s="1"/>
  <c r="I129" i="1"/>
  <c r="I119" i="1"/>
  <c r="I31" i="1"/>
  <c r="I133" i="1"/>
  <c r="K217" i="1"/>
  <c r="K219" i="1" s="1"/>
  <c r="H172" i="1"/>
  <c r="H178" i="1" s="1"/>
  <c r="H190" i="1" s="1"/>
  <c r="H192" i="1" s="1"/>
  <c r="I191" i="1" s="1"/>
  <c r="H131" i="1"/>
  <c r="J219" i="1"/>
  <c r="J234" i="1"/>
  <c r="N48" i="1"/>
  <c r="M112" i="1"/>
  <c r="P35" i="3"/>
  <c r="P31" i="3"/>
  <c r="P33" i="3"/>
  <c r="P34" i="3"/>
  <c r="P32" i="3"/>
  <c r="O32" i="3"/>
  <c r="O31" i="3"/>
  <c r="O35" i="3"/>
  <c r="O34" i="3"/>
  <c r="O33" i="3"/>
  <c r="J32" i="3"/>
  <c r="C119" i="2"/>
  <c r="C133" i="2" s="1"/>
  <c r="C147" i="2" s="1"/>
  <c r="C106" i="2"/>
  <c r="C120" i="2" s="1"/>
  <c r="C134" i="2" s="1"/>
  <c r="C148" i="2" s="1"/>
  <c r="K133" i="1"/>
  <c r="K124" i="1"/>
  <c r="K126" i="1" s="1"/>
  <c r="K130" i="1" s="1"/>
  <c r="K119" i="1"/>
  <c r="K31" i="1"/>
  <c r="K129" i="1"/>
  <c r="L92" i="1"/>
  <c r="L208" i="1"/>
  <c r="L210" i="1" s="1"/>
  <c r="L110" i="1"/>
  <c r="L181" i="1"/>
  <c r="L187" i="1"/>
  <c r="L109" i="1"/>
  <c r="L104" i="1"/>
  <c r="L96" i="1"/>
  <c r="L209" i="1" s="1"/>
  <c r="L108" i="1"/>
  <c r="L95" i="1"/>
  <c r="L128" i="1"/>
  <c r="L140" i="1"/>
  <c r="L102" i="1"/>
  <c r="L157" i="1"/>
  <c r="M84" i="1"/>
  <c r="I234" i="1"/>
  <c r="I219" i="1"/>
  <c r="K131" i="1" l="1"/>
  <c r="K172" i="1"/>
  <c r="K178" i="1" s="1"/>
  <c r="K190" i="1" s="1"/>
  <c r="N103" i="1"/>
  <c r="O43" i="1"/>
  <c r="I131" i="1"/>
  <c r="I172" i="1"/>
  <c r="I178" i="1" s="1"/>
  <c r="I190" i="1" s="1"/>
  <c r="I192" i="1" s="1"/>
  <c r="J191" i="1" s="1"/>
  <c r="L113" i="1"/>
  <c r="L66" i="1"/>
  <c r="L188" i="1"/>
  <c r="N112" i="1"/>
  <c r="O48" i="1"/>
  <c r="J131" i="1"/>
  <c r="J172" i="1"/>
  <c r="J178" i="1" s="1"/>
  <c r="J190" i="1" s="1"/>
  <c r="J192" i="1" s="1"/>
  <c r="K191" i="1" s="1"/>
  <c r="L174" i="1"/>
  <c r="L246" i="1"/>
  <c r="L287" i="1"/>
  <c r="L289" i="1" s="1"/>
  <c r="L183" i="1"/>
  <c r="L216" i="1"/>
  <c r="L173" i="1"/>
  <c r="L144" i="1" s="1"/>
  <c r="L125" i="1"/>
  <c r="J221" i="1"/>
  <c r="J230" i="1"/>
  <c r="N106" i="1"/>
  <c r="O45" i="1"/>
  <c r="L234" i="1"/>
  <c r="N88" i="1"/>
  <c r="O81" i="1"/>
  <c r="N84" i="1"/>
  <c r="N111" i="1"/>
  <c r="O47" i="1"/>
  <c r="G225" i="1"/>
  <c r="G239" i="1"/>
  <c r="I221" i="1"/>
  <c r="I230" i="1"/>
  <c r="G235" i="1"/>
  <c r="G232" i="1"/>
  <c r="G236" i="1" s="1"/>
  <c r="L97" i="1"/>
  <c r="L99" i="1"/>
  <c r="K221" i="1"/>
  <c r="K230" i="1"/>
  <c r="N90" i="1"/>
  <c r="H235" i="1"/>
  <c r="H232" i="1"/>
  <c r="H236" i="1" s="1"/>
  <c r="L263" i="1"/>
  <c r="L177" i="1"/>
  <c r="L159" i="1"/>
  <c r="P44" i="1"/>
  <c r="P105" i="1" s="1"/>
  <c r="O105" i="1"/>
  <c r="M108" i="1"/>
  <c r="M95" i="1"/>
  <c r="M96" i="1"/>
  <c r="M209" i="1" s="1"/>
  <c r="M104" i="1"/>
  <c r="M208" i="1"/>
  <c r="M210" i="1" s="1"/>
  <c r="M181" i="1"/>
  <c r="M128" i="1"/>
  <c r="M110" i="1"/>
  <c r="M140" i="1"/>
  <c r="M157" i="1"/>
  <c r="M102" i="1"/>
  <c r="M109" i="1"/>
  <c r="M92" i="1"/>
  <c r="M187" i="1"/>
  <c r="P80" i="1"/>
  <c r="O87" i="1"/>
  <c r="O84" i="1"/>
  <c r="N107" i="1"/>
  <c r="O46" i="1"/>
  <c r="H225" i="1"/>
  <c r="H239" i="1"/>
  <c r="O208" i="1" l="1"/>
  <c r="O157" i="1"/>
  <c r="O128" i="1"/>
  <c r="O104" i="1"/>
  <c r="O95" i="1"/>
  <c r="O102" i="1"/>
  <c r="O110" i="1"/>
  <c r="O108" i="1"/>
  <c r="O181" i="1"/>
  <c r="O96" i="1"/>
  <c r="O209" i="1" s="1"/>
  <c r="O140" i="1"/>
  <c r="O109" i="1"/>
  <c r="O187" i="1"/>
  <c r="L152" i="1"/>
  <c r="L153" i="1"/>
  <c r="M246" i="1"/>
  <c r="N174" i="1"/>
  <c r="N181" i="1"/>
  <c r="N109" i="1"/>
  <c r="N104" i="1"/>
  <c r="N96" i="1"/>
  <c r="N209" i="1" s="1"/>
  <c r="N140" i="1"/>
  <c r="N128" i="1"/>
  <c r="N208" i="1"/>
  <c r="N108" i="1"/>
  <c r="N110" i="1"/>
  <c r="N95" i="1"/>
  <c r="N157" i="1"/>
  <c r="N102" i="1"/>
  <c r="N113" i="1" s="1"/>
  <c r="N92" i="1"/>
  <c r="N187" i="1"/>
  <c r="J225" i="1"/>
  <c r="J239" i="1"/>
  <c r="I232" i="1"/>
  <c r="I236" i="1" s="1"/>
  <c r="I235" i="1"/>
  <c r="M177" i="1"/>
  <c r="M263" i="1"/>
  <c r="M159" i="1"/>
  <c r="O112" i="1"/>
  <c r="P48" i="1"/>
  <c r="P112" i="1" s="1"/>
  <c r="L115" i="1"/>
  <c r="M97" i="1"/>
  <c r="M99" i="1" s="1"/>
  <c r="M115" i="1" s="1"/>
  <c r="J235" i="1"/>
  <c r="J232" i="1"/>
  <c r="J236" i="1" s="1"/>
  <c r="P87" i="1"/>
  <c r="K232" i="1"/>
  <c r="K236" i="1" s="1"/>
  <c r="K235" i="1"/>
  <c r="M66" i="1"/>
  <c r="M188" i="1"/>
  <c r="I225" i="1"/>
  <c r="I239" i="1"/>
  <c r="P43" i="1"/>
  <c r="P103" i="1" s="1"/>
  <c r="O103" i="1"/>
  <c r="H237" i="1"/>
  <c r="H278" i="1"/>
  <c r="M234" i="1"/>
  <c r="P46" i="1"/>
  <c r="P107" i="1" s="1"/>
  <c r="O107" i="1"/>
  <c r="G278" i="1"/>
  <c r="G284" i="1" s="1"/>
  <c r="G295" i="1" s="1"/>
  <c r="G297" i="1" s="1"/>
  <c r="G237" i="1"/>
  <c r="O106" i="1"/>
  <c r="P45" i="1"/>
  <c r="P106" i="1" s="1"/>
  <c r="K192" i="1"/>
  <c r="L191" i="1" s="1"/>
  <c r="M280" i="1"/>
  <c r="L280" i="1"/>
  <c r="M125" i="1"/>
  <c r="M216" i="1"/>
  <c r="M173" i="1"/>
  <c r="P81" i="1"/>
  <c r="P88" i="1" s="1"/>
  <c r="O88" i="1"/>
  <c r="O90" i="1" s="1"/>
  <c r="L146" i="1"/>
  <c r="M144" i="1"/>
  <c r="M287" i="1"/>
  <c r="M289" i="1" s="1"/>
  <c r="M183" i="1"/>
  <c r="K225" i="1"/>
  <c r="K239" i="1"/>
  <c r="L279" i="1"/>
  <c r="L250" i="1" s="1"/>
  <c r="L231" i="1"/>
  <c r="M113" i="1"/>
  <c r="L265" i="1"/>
  <c r="L283" i="1"/>
  <c r="P47" i="1"/>
  <c r="P111" i="1" s="1"/>
  <c r="O111" i="1"/>
  <c r="M174" i="1"/>
  <c r="L72" i="1"/>
  <c r="L213" i="1" s="1"/>
  <c r="L73" i="1"/>
  <c r="L214" i="1" s="1"/>
  <c r="L74" i="1"/>
  <c r="L215" i="1" s="1"/>
  <c r="O92" i="1" l="1"/>
  <c r="M129" i="1"/>
  <c r="M124" i="1"/>
  <c r="M126" i="1" s="1"/>
  <c r="M130" i="1" s="1"/>
  <c r="M117" i="1"/>
  <c r="M133" i="1" s="1"/>
  <c r="I278" i="1"/>
  <c r="I284" i="1" s="1"/>
  <c r="I295" i="1" s="1"/>
  <c r="I237" i="1"/>
  <c r="L258" i="1"/>
  <c r="L154" i="1"/>
  <c r="L161" i="1" s="1"/>
  <c r="L175" i="1"/>
  <c r="M152" i="1"/>
  <c r="M153" i="1"/>
  <c r="M74" i="1"/>
  <c r="M215" i="1" s="1"/>
  <c r="M72" i="1"/>
  <c r="M213" i="1" s="1"/>
  <c r="M73" i="1"/>
  <c r="M214" i="1" s="1"/>
  <c r="N97" i="1"/>
  <c r="O188" i="1"/>
  <c r="O66" i="1"/>
  <c r="O113" i="1"/>
  <c r="M265" i="1"/>
  <c r="M283" i="1"/>
  <c r="N287" i="1"/>
  <c r="N289" i="1" s="1"/>
  <c r="N183" i="1"/>
  <c r="O97" i="1"/>
  <c r="O246" i="1"/>
  <c r="L217" i="1"/>
  <c r="L219" i="1" s="1"/>
  <c r="P90" i="1"/>
  <c r="N153" i="1"/>
  <c r="N152" i="1"/>
  <c r="O173" i="1"/>
  <c r="O125" i="1"/>
  <c r="O216" i="1"/>
  <c r="M146" i="1"/>
  <c r="N144" i="1"/>
  <c r="N263" i="1"/>
  <c r="N177" i="1"/>
  <c r="N159" i="1"/>
  <c r="H284" i="1"/>
  <c r="H295" i="1" s="1"/>
  <c r="H297" i="1" s="1"/>
  <c r="H269" i="1"/>
  <c r="L124" i="1"/>
  <c r="L126" i="1" s="1"/>
  <c r="L130" i="1" s="1"/>
  <c r="L117" i="1"/>
  <c r="L133" i="1" s="1"/>
  <c r="L129" i="1"/>
  <c r="N216" i="1"/>
  <c r="N173" i="1"/>
  <c r="N125" i="1"/>
  <c r="L252" i="1"/>
  <c r="J237" i="1"/>
  <c r="J278" i="1"/>
  <c r="J284" i="1" s="1"/>
  <c r="J295" i="1" s="1"/>
  <c r="N210" i="1"/>
  <c r="K278" i="1"/>
  <c r="K284" i="1" s="1"/>
  <c r="K295" i="1" s="1"/>
  <c r="K237" i="1"/>
  <c r="M231" i="1"/>
  <c r="M279" i="1"/>
  <c r="M250" i="1" s="1"/>
  <c r="H296" i="1"/>
  <c r="G245" i="1"/>
  <c r="G247" i="1" s="1"/>
  <c r="G254" i="1" s="1"/>
  <c r="G273" i="1" s="1"/>
  <c r="P84" i="1"/>
  <c r="N66" i="1"/>
  <c r="N188" i="1"/>
  <c r="O287" i="1"/>
  <c r="O289" i="1" s="1"/>
  <c r="O183" i="1"/>
  <c r="O263" i="1"/>
  <c r="O177" i="1"/>
  <c r="O159" i="1"/>
  <c r="N99" i="1"/>
  <c r="N115" i="1" s="1"/>
  <c r="N246" i="1"/>
  <c r="O280" i="1" s="1"/>
  <c r="O174" i="1"/>
  <c r="L259" i="1"/>
  <c r="L282" i="1" s="1"/>
  <c r="L176" i="1"/>
  <c r="O210" i="1"/>
  <c r="M252" i="1" l="1"/>
  <c r="O234" i="1"/>
  <c r="O144" i="1"/>
  <c r="N146" i="1"/>
  <c r="O153" i="1"/>
  <c r="O152" i="1"/>
  <c r="L119" i="1"/>
  <c r="O279" i="1"/>
  <c r="O231" i="1"/>
  <c r="O74" i="1"/>
  <c r="O215" i="1" s="1"/>
  <c r="O72" i="1"/>
  <c r="O213" i="1" s="1"/>
  <c r="O217" i="1" s="1"/>
  <c r="O219" i="1" s="1"/>
  <c r="O73" i="1"/>
  <c r="O214" i="1" s="1"/>
  <c r="M259" i="1"/>
  <c r="M282" i="1" s="1"/>
  <c r="M176" i="1"/>
  <c r="M119" i="1"/>
  <c r="O283" i="1"/>
  <c r="O265" i="1"/>
  <c r="I269" i="1"/>
  <c r="H271" i="1"/>
  <c r="M258" i="1"/>
  <c r="M154" i="1"/>
  <c r="M161" i="1" s="1"/>
  <c r="M175" i="1"/>
  <c r="L230" i="1"/>
  <c r="L221" i="1"/>
  <c r="H245" i="1"/>
  <c r="H247" i="1" s="1"/>
  <c r="H254" i="1" s="1"/>
  <c r="I296" i="1"/>
  <c r="I297" i="1"/>
  <c r="N234" i="1"/>
  <c r="O99" i="1"/>
  <c r="O115" i="1" s="1"/>
  <c r="N73" i="1"/>
  <c r="N214" i="1" s="1"/>
  <c r="N74" i="1"/>
  <c r="N215" i="1" s="1"/>
  <c r="N72" i="1"/>
  <c r="N213" i="1" s="1"/>
  <c r="N217" i="1" s="1"/>
  <c r="N219" i="1" s="1"/>
  <c r="N117" i="1"/>
  <c r="N133" i="1" s="1"/>
  <c r="N129" i="1"/>
  <c r="N124" i="1"/>
  <c r="N126" i="1" s="1"/>
  <c r="N130" i="1" s="1"/>
  <c r="P140" i="1"/>
  <c r="P181" i="1"/>
  <c r="P208" i="1"/>
  <c r="P210" i="1" s="1"/>
  <c r="P108" i="1"/>
  <c r="P110" i="1"/>
  <c r="P95" i="1"/>
  <c r="P157" i="1"/>
  <c r="P128" i="1"/>
  <c r="P102" i="1"/>
  <c r="P104" i="1"/>
  <c r="P96" i="1"/>
  <c r="P209" i="1" s="1"/>
  <c r="P109" i="1"/>
  <c r="P92" i="1"/>
  <c r="P187" i="1"/>
  <c r="N280" i="1"/>
  <c r="N258" i="1"/>
  <c r="N154" i="1"/>
  <c r="N161" i="1" s="1"/>
  <c r="N175" i="1"/>
  <c r="N231" i="1"/>
  <c r="N279" i="1"/>
  <c r="N250" i="1" s="1"/>
  <c r="N176" i="1"/>
  <c r="N259" i="1"/>
  <c r="N282" i="1" s="1"/>
  <c r="L281" i="1"/>
  <c r="L260" i="1"/>
  <c r="L267" i="1" s="1"/>
  <c r="N265" i="1"/>
  <c r="N283" i="1"/>
  <c r="M217" i="1"/>
  <c r="M219" i="1" s="1"/>
  <c r="N252" i="1" l="1"/>
  <c r="O250" i="1"/>
  <c r="N230" i="1"/>
  <c r="N221" i="1"/>
  <c r="O230" i="1"/>
  <c r="O221" i="1"/>
  <c r="P216" i="1"/>
  <c r="P125" i="1"/>
  <c r="P173" i="1"/>
  <c r="I245" i="1"/>
  <c r="I247" i="1" s="1"/>
  <c r="I254" i="1" s="1"/>
  <c r="I273" i="1" s="1"/>
  <c r="J296" i="1"/>
  <c r="J297" i="1" s="1"/>
  <c r="M281" i="1"/>
  <c r="M260" i="1"/>
  <c r="M267" i="1" s="1"/>
  <c r="P234" i="1"/>
  <c r="J269" i="1"/>
  <c r="I271" i="1"/>
  <c r="M230" i="1"/>
  <c r="M221" i="1"/>
  <c r="O259" i="1"/>
  <c r="O282" i="1" s="1"/>
  <c r="O176" i="1"/>
  <c r="P287" i="1"/>
  <c r="P289" i="1" s="1"/>
  <c r="P183" i="1"/>
  <c r="H273" i="1"/>
  <c r="O146" i="1"/>
  <c r="P144" i="1"/>
  <c r="P146" i="1" s="1"/>
  <c r="P113" i="1"/>
  <c r="P246" i="1"/>
  <c r="P280" i="1" s="1"/>
  <c r="P174" i="1"/>
  <c r="L225" i="1"/>
  <c r="L223" i="1"/>
  <c r="L239" i="1" s="1"/>
  <c r="N260" i="1"/>
  <c r="N267" i="1" s="1"/>
  <c r="N281" i="1"/>
  <c r="N119" i="1"/>
  <c r="O124" i="1"/>
  <c r="O126" i="1" s="1"/>
  <c r="O130" i="1" s="1"/>
  <c r="O117" i="1"/>
  <c r="O133" i="1" s="1"/>
  <c r="O129" i="1"/>
  <c r="L235" i="1"/>
  <c r="L232" i="1"/>
  <c r="L236" i="1" s="1"/>
  <c r="M172" i="1"/>
  <c r="M178" i="1" s="1"/>
  <c r="M190" i="1" s="1"/>
  <c r="M131" i="1"/>
  <c r="P263" i="1"/>
  <c r="P159" i="1"/>
  <c r="P177" i="1"/>
  <c r="L172" i="1"/>
  <c r="L131" i="1"/>
  <c r="P66" i="1"/>
  <c r="P188" i="1"/>
  <c r="P97" i="1"/>
  <c r="P99" i="1" s="1"/>
  <c r="P115" i="1" s="1"/>
  <c r="O175" i="1"/>
  <c r="O258" i="1"/>
  <c r="O154" i="1"/>
  <c r="O161" i="1" s="1"/>
  <c r="P124" i="1" l="1"/>
  <c r="P126" i="1" s="1"/>
  <c r="P130" i="1" s="1"/>
  <c r="P117" i="1"/>
  <c r="P133" i="1" s="1"/>
  <c r="P129" i="1"/>
  <c r="P265" i="1"/>
  <c r="P283" i="1"/>
  <c r="P231" i="1"/>
  <c r="P279" i="1"/>
  <c r="P250" i="1" s="1"/>
  <c r="P252" i="1" s="1"/>
  <c r="P153" i="1"/>
  <c r="P152" i="1"/>
  <c r="O235" i="1"/>
  <c r="O232" i="1"/>
  <c r="O236" i="1" s="1"/>
  <c r="K296" i="1"/>
  <c r="K297" i="1" s="1"/>
  <c r="J245" i="1"/>
  <c r="J247" i="1" s="1"/>
  <c r="J254" i="1" s="1"/>
  <c r="N232" i="1"/>
  <c r="N236" i="1" s="1"/>
  <c r="N235" i="1"/>
  <c r="O281" i="1"/>
  <c r="O260" i="1"/>
  <c r="O267" i="1" s="1"/>
  <c r="L163" i="1"/>
  <c r="L178" i="1"/>
  <c r="L190" i="1" s="1"/>
  <c r="L192" i="1" s="1"/>
  <c r="O252" i="1"/>
  <c r="N172" i="1"/>
  <c r="N178" i="1" s="1"/>
  <c r="N190" i="1" s="1"/>
  <c r="N131" i="1"/>
  <c r="O223" i="1"/>
  <c r="O239" i="1" s="1"/>
  <c r="M225" i="1"/>
  <c r="M223" i="1"/>
  <c r="M239" i="1" s="1"/>
  <c r="P72" i="1"/>
  <c r="P213" i="1" s="1"/>
  <c r="P74" i="1"/>
  <c r="P215" i="1" s="1"/>
  <c r="P73" i="1"/>
  <c r="P214" i="1" s="1"/>
  <c r="M235" i="1"/>
  <c r="M232" i="1"/>
  <c r="M236" i="1" s="1"/>
  <c r="N223" i="1"/>
  <c r="N239" i="1" s="1"/>
  <c r="O119" i="1"/>
  <c r="L278" i="1"/>
  <c r="L284" i="1" s="1"/>
  <c r="L295" i="1" s="1"/>
  <c r="L237" i="1"/>
  <c r="K269" i="1"/>
  <c r="J271" i="1"/>
  <c r="M163" i="1" l="1"/>
  <c r="L165" i="1"/>
  <c r="O225" i="1"/>
  <c r="L269" i="1"/>
  <c r="K271" i="1"/>
  <c r="O172" i="1"/>
  <c r="O178" i="1" s="1"/>
  <c r="O190" i="1" s="1"/>
  <c r="O131" i="1"/>
  <c r="P217" i="1"/>
  <c r="P219" i="1" s="1"/>
  <c r="P258" i="1"/>
  <c r="P154" i="1"/>
  <c r="P161" i="1" s="1"/>
  <c r="P175" i="1"/>
  <c r="M278" i="1"/>
  <c r="M284" i="1" s="1"/>
  <c r="M295" i="1" s="1"/>
  <c r="M237" i="1"/>
  <c r="K245" i="1"/>
  <c r="K247" i="1" s="1"/>
  <c r="K254" i="1" s="1"/>
  <c r="K273" i="1" s="1"/>
  <c r="L296" i="1"/>
  <c r="L297" i="1" s="1"/>
  <c r="N225" i="1"/>
  <c r="M191" i="1"/>
  <c r="M192" i="1" s="1"/>
  <c r="L139" i="1"/>
  <c r="L141" i="1" s="1"/>
  <c r="L148" i="1" s="1"/>
  <c r="L167" i="1" s="1"/>
  <c r="J273" i="1"/>
  <c r="P259" i="1"/>
  <c r="P282" i="1" s="1"/>
  <c r="P176" i="1"/>
  <c r="P119" i="1"/>
  <c r="L245" i="1" l="1"/>
  <c r="L247" i="1" s="1"/>
  <c r="L254" i="1" s="1"/>
  <c r="M296" i="1"/>
  <c r="M297" i="1"/>
  <c r="M269" i="1"/>
  <c r="L271" i="1"/>
  <c r="M139" i="1"/>
  <c r="M141" i="1" s="1"/>
  <c r="M148" i="1" s="1"/>
  <c r="M167" i="1" s="1"/>
  <c r="N191" i="1"/>
  <c r="N192" i="1" s="1"/>
  <c r="O278" i="1"/>
  <c r="O284" i="1" s="1"/>
  <c r="O295" i="1" s="1"/>
  <c r="O237" i="1"/>
  <c r="N278" i="1"/>
  <c r="N284" i="1" s="1"/>
  <c r="N295" i="1" s="1"/>
  <c r="N237" i="1"/>
  <c r="P260" i="1"/>
  <c r="P267" i="1" s="1"/>
  <c r="P281" i="1"/>
  <c r="P221" i="1"/>
  <c r="P230" i="1"/>
  <c r="P172" i="1"/>
  <c r="P178" i="1" s="1"/>
  <c r="P190" i="1" s="1"/>
  <c r="P131" i="1"/>
  <c r="N163" i="1"/>
  <c r="M165" i="1"/>
  <c r="P223" i="1" l="1"/>
  <c r="P239" i="1" s="1"/>
  <c r="O191" i="1"/>
  <c r="O192" i="1" s="1"/>
  <c r="N139" i="1"/>
  <c r="N141" i="1" s="1"/>
  <c r="N148" i="1" s="1"/>
  <c r="N167" i="1" s="1"/>
  <c r="N269" i="1"/>
  <c r="M271" i="1"/>
  <c r="O163" i="1"/>
  <c r="N165" i="1"/>
  <c r="N296" i="1"/>
  <c r="N297" i="1" s="1"/>
  <c r="M245" i="1"/>
  <c r="M247" i="1" s="1"/>
  <c r="M254" i="1" s="1"/>
  <c r="P235" i="1"/>
  <c r="P232" i="1"/>
  <c r="P236" i="1" s="1"/>
  <c r="L273" i="1"/>
  <c r="O296" i="1" l="1"/>
  <c r="O297" i="1" s="1"/>
  <c r="N245" i="1"/>
  <c r="N247" i="1" s="1"/>
  <c r="N254" i="1" s="1"/>
  <c r="P163" i="1"/>
  <c r="P165" i="1" s="1"/>
  <c r="O165" i="1"/>
  <c r="O269" i="1"/>
  <c r="N271" i="1"/>
  <c r="M273" i="1"/>
  <c r="O139" i="1"/>
  <c r="O141" i="1" s="1"/>
  <c r="O148" i="1" s="1"/>
  <c r="O167" i="1" s="1"/>
  <c r="P191" i="1"/>
  <c r="P192" i="1" s="1"/>
  <c r="P139" i="1" s="1"/>
  <c r="P141" i="1" s="1"/>
  <c r="P148" i="1" s="1"/>
  <c r="P225" i="1"/>
  <c r="O271" i="1" l="1"/>
  <c r="N273" i="1"/>
  <c r="P237" i="1"/>
  <c r="P278" i="1"/>
  <c r="P284" i="1" s="1"/>
  <c r="P295" i="1" s="1"/>
  <c r="P167" i="1"/>
  <c r="O245" i="1"/>
  <c r="O247" i="1" s="1"/>
  <c r="O254" i="1" s="1"/>
  <c r="O273" i="1" s="1"/>
  <c r="P296" i="1"/>
  <c r="P297" i="1" l="1"/>
  <c r="P245" i="1" s="1"/>
  <c r="P247" i="1" s="1"/>
  <c r="P254" i="1" s="1"/>
  <c r="P273" i="1" s="1"/>
  <c r="P269" i="1"/>
  <c r="P271" i="1" s="1"/>
</calcChain>
</file>

<file path=xl/sharedStrings.xml><?xml version="1.0" encoding="utf-8"?>
<sst xmlns="http://schemas.openxmlformats.org/spreadsheetml/2006/main" count="655" uniqueCount="325">
  <si>
    <t>(USD, as stated)</t>
  </si>
  <si>
    <t>Actuals</t>
  </si>
  <si>
    <t>Forecast</t>
  </si>
  <si>
    <t>Media Revenue / Expense Driver Deck</t>
  </si>
  <si>
    <t>Reporting 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</si>
  <si>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</si>
  <si>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</si>
  <si>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</si>
  <si>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</si>
  <si>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</si>
  <si>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</si>
  <si>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</si>
  <si>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</si>
  <si>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</si>
  <si>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</si>
  <si>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Paid Subscriber Adds:</t>
  </si>
  <si>
    <t># Subscribers</t>
  </si>
  <si>
    <t>Average Subscriber Value:</t>
  </si>
  <si>
    <t>$ / Subscriber</t>
  </si>
  <si>
    <t>Media Revenue Growth Rates:</t>
  </si>
  <si>
    <t>Media Product Billings Referred by Affiliates:</t>
  </si>
  <si>
    <t>%</t>
  </si>
  <si>
    <t>Media Production &amp; Advisory Services:</t>
  </si>
  <si>
    <t>Institutional &amp; Agency Billings:</t>
  </si>
  <si>
    <t>Commissions from Other Media Products:</t>
  </si>
  <si>
    <t>Expense Ratios:</t>
  </si>
  <si>
    <t>Affiliate Commission Rate:</t>
  </si>
  <si>
    <t>Commission Rate - Content Partners:</t>
  </si>
  <si>
    <t>Payment Fees % Gross Billings:</t>
  </si>
  <si>
    <t>Refunds % Gross Billings:</t>
  </si>
  <si>
    <t>Tax &amp; Legal Fees % Gross Billings:</t>
  </si>
  <si>
    <t>Online Advertising % Gross Billings:</t>
  </si>
  <si>
    <t>IT Infrastructure % Gross Billings:</t>
  </si>
  <si>
    <t>Travel &amp; Moving % Gross Billings:</t>
  </si>
  <si>
    <t>Depr. &amp; Amort. % Gross Billings:</t>
  </si>
  <si>
    <t>Tax Rate (Effective):</t>
  </si>
  <si>
    <t>Headcount (FTEs):</t>
  </si>
  <si>
    <t>Subscriber Support:</t>
  </si>
  <si>
    <t>FTE Count</t>
  </si>
  <si>
    <t>Website Design and Development:</t>
  </si>
  <si>
    <t>Marketing Personnel:</t>
  </si>
  <si>
    <t>Media Product Creation:</t>
  </si>
  <si>
    <t>Content Production:</t>
  </si>
  <si>
    <t>FTEs — Total:</t>
  </si>
  <si>
    <t>Expense per FTE (Average):</t>
  </si>
  <si>
    <t>Cost per FTE</t>
  </si>
  <si>
    <t>Wage Growth Rate:</t>
  </si>
  <si>
    <t>BS + CFS Driver Build</t>
  </si>
  <si>
    <t>Accounts Receivable % Gross Billings:</t>
  </si>
  <si>
    <t>Trade Payables (% of OpEx):</t>
  </si>
  <si>
    <t>Accrued Liabilities (% of OpEx):</t>
  </si>
  <si>
    <t>Deferred Media Revenue % Gross Billings:</t>
  </si>
  <si>
    <t>CapEx % Media Revenue:</t>
  </si>
  <si>
    <t>$</t>
  </si>
  <si>
    <t>Movement in Other Long-Term Liabilities:</t>
  </si>
  <si>
    <t>Owner Draw % Gross Billings:</t>
  </si>
  <si>
    <t>Owner Draw or Dividends:</t>
  </si>
  <si>
    <t>Owner Draw — Allocation to G&amp;A:</t>
  </si>
  <si>
    <t>Owner Draw — Allocation to S&amp;M:</t>
  </si>
  <si>
    <t>Owner Draw — Allocation to R&amp;D:</t>
  </si>
  <si>
    <t>Statement of Operations:</t>
  </si>
  <si>
    <t>Gross Billings by Category:</t>
  </si>
  <si>
    <t>(+) Subscription Content:</t>
  </si>
  <si>
    <t>(+) Media Product Billings Referred by Affiliates:</t>
  </si>
  <si>
    <t>(+) Media Production &amp; Advisory Services:</t>
  </si>
  <si>
    <t>(+) Institutional &amp; Agency Billings:</t>
  </si>
  <si>
    <t>(+) Commissions from Other Media Products:</t>
  </si>
  <si>
    <t>Total Gross Billings:</t>
  </si>
  <si>
    <t>Commission Detail by Category:</t>
  </si>
  <si>
    <t>(-) Affiliate Commissions Paid:</t>
  </si>
  <si>
    <t>(-) Commissions Paid to Content Partners:</t>
  </si>
  <si>
    <t>Commissions — Total:</t>
  </si>
  <si>
    <t>Gross Billings Less Commissions:</t>
  </si>
  <si>
    <t>Refunds &amp; Fees:</t>
  </si>
  <si>
    <t>(-) Payment Processing Fees:</t>
  </si>
  <si>
    <t>(-) Customer Refunds:</t>
  </si>
  <si>
    <t>Refunds &amp; Fees — Total:</t>
  </si>
  <si>
    <t>Net Billings After Fees and Refunds:</t>
  </si>
  <si>
    <t>Operating Costs:</t>
  </si>
  <si>
    <t>(-) Legal, Bookkeeping &amp; Tax Fees:</t>
  </si>
  <si>
    <t>(-) Subscriber Support:</t>
  </si>
  <si>
    <t>(-) Digital Advertising:</t>
  </si>
  <si>
    <t>(-) Website Design and Development:</t>
  </si>
  <si>
    <t>(-) Marketing Personnel:</t>
  </si>
  <si>
    <t>(-) IT &amp; Infrastructure:</t>
  </si>
  <si>
    <t>(-) Travel and Relocation Costs:</t>
  </si>
  <si>
    <t>(-) Depreciation and Amortization:</t>
  </si>
  <si>
    <t>(-) Media Product Creation:</t>
  </si>
  <si>
    <t>(-) Content Production:</t>
  </si>
  <si>
    <t>Operating Costs — Total:</t>
  </si>
  <si>
    <t>Operating Profit:</t>
  </si>
  <si>
    <t>(-) Income Tax Expense:</t>
  </si>
  <si>
    <t>Net Profit:</t>
  </si>
  <si>
    <t>Key Ratios &amp; Metrics:</t>
  </si>
  <si>
    <t>(+) Operating Profit:</t>
  </si>
  <si>
    <t>(+) Depreciation and Amortization:</t>
  </si>
  <si>
    <t>EBITDA (Reported):</t>
  </si>
  <si>
    <t>Media Revenue Growth:</t>
  </si>
  <si>
    <t>Operating Profit Margin:</t>
  </si>
  <si>
    <t>EBITDA Margin (%):</t>
  </si>
  <si>
    <t>Net Profit Margin:</t>
  </si>
  <si>
    <t>Statement of Financial Position:</t>
  </si>
  <si>
    <t>Assets:</t>
  </si>
  <si>
    <t>Short-Term Assets:</t>
  </si>
  <si>
    <t>Cash and Equivalents:</t>
  </si>
  <si>
    <t>Trade Receivables:</t>
  </si>
  <si>
    <t>Short-Term Assets — Total:</t>
  </si>
  <si>
    <t>Non-Current Assets:</t>
  </si>
  <si>
    <t>Property, Plant &amp; Equipment:</t>
  </si>
  <si>
    <t>Other Assets, Net:</t>
  </si>
  <si>
    <t>Non-Current Assets — Total:</t>
  </si>
  <si>
    <t>Assets — Total:</t>
  </si>
  <si>
    <t>Liabilities &amp; Shareholders’ Equity:</t>
  </si>
  <si>
    <t>Short-Term Liabilities:</t>
  </si>
  <si>
    <t>Trade Payables:</t>
  </si>
  <si>
    <t>Accrued Liabilities:</t>
  </si>
  <si>
    <t>Short-Term Liabilities — Total:</t>
  </si>
  <si>
    <t>Non-Current Liabilities:</t>
  </si>
  <si>
    <t>Deferred Media Revenue:</t>
  </si>
  <si>
    <t>Other Long-Term Liabilities:</t>
  </si>
  <si>
    <t>Non-Current Liabilities — Total:</t>
  </si>
  <si>
    <t>Liabilities — Total:</t>
  </si>
  <si>
    <t>Shareholders’ Equity:</t>
  </si>
  <si>
    <t>Liabilities &amp; Equity — Total:</t>
  </si>
  <si>
    <t>Balance-Sheet Tie-Out:</t>
  </si>
  <si>
    <t>Statement of Cash Flows:</t>
  </si>
  <si>
    <t>Operating Activities — Cash Flows:</t>
  </si>
  <si>
    <t>(+/-) Movement in Trade Receivables:</t>
  </si>
  <si>
    <t>(+/-) Movement in Trade Payables:</t>
  </si>
  <si>
    <t>(+/-) Movement in Accrued Liabilities:</t>
  </si>
  <si>
    <t>(+/-) Change in Deferred Media Revenue:</t>
  </si>
  <si>
    <t>Operating Cash Flow:</t>
  </si>
  <si>
    <t>Investing Activities — Cash Flows:</t>
  </si>
  <si>
    <t>(-) Capital Expenditure (CapEx):</t>
  </si>
  <si>
    <t>Investing Cash Flow:</t>
  </si>
  <si>
    <t>Financing Activities — Cash Flows:</t>
  </si>
  <si>
    <t>(+/-) Movement in Other Long-Term Liab.:</t>
  </si>
  <si>
    <t>(-) Owner Draw or Dividends:</t>
  </si>
  <si>
    <t>Financing Cash Flow:</t>
  </si>
  <si>
    <t>Net Movement in Cash:</t>
  </si>
  <si>
    <t>Opening Cash Balance:</t>
  </si>
  <si>
    <t>Closing Cash Balance:</t>
  </si>
  <si>
    <t>Model Inputs</t>
  </si>
  <si>
    <t>Acquirer Tax Rate:</t>
  </si>
  <si>
    <t>Company:</t>
  </si>
  <si>
    <t>Private-Company Discount:</t>
  </si>
  <si>
    <t>Gross Billings:</t>
  </si>
  <si>
    <t>(-) Refunds and Allowances:</t>
  </si>
  <si>
    <t>Net Billings:</t>
  </si>
  <si>
    <t>(+) G&amp;A Expense:</t>
  </si>
  <si>
    <t>(+) R&amp;D Expense:</t>
  </si>
  <si>
    <t>(+) Net Interest Income / (-) Interest Expense:</t>
  </si>
  <si>
    <t>Profit Before Tax:</t>
  </si>
  <si>
    <t>Income Tax Expense:</t>
  </si>
  <si>
    <t>DCF Financial Assumptions:</t>
  </si>
  <si>
    <t>Operating Assumptions — Extended Period:</t>
  </si>
  <si>
    <t>Applied Discount Rate:</t>
  </si>
  <si>
    <t>Annual Change in Media Revenue Growth:</t>
  </si>
  <si>
    <t>Minimum Media Revenue Growth:</t>
  </si>
  <si>
    <t>Going-Concern Discount to Terminal Value:</t>
  </si>
  <si>
    <t>EBIT Margin — Annual Change:</t>
  </si>
  <si>
    <t>Liquidation-Value Discount to Terminal Value:</t>
  </si>
  <si>
    <t>EBIT Margin Floor:</t>
  </si>
  <si>
    <t>Depreciation &amp; Amortization % Media Revenue:</t>
  </si>
  <si>
    <t>Change in WC % Change in Media Revenue:</t>
  </si>
  <si>
    <t>Terminal Value — Multiples Method:</t>
  </si>
  <si>
    <t>Terminal Value — Perpetuity-Growth Method:</t>
  </si>
  <si>
    <t>Terminal Value — Liquidation Method:</t>
  </si>
  <si>
    <t>Terminal Value — Cease-Operations Method:</t>
  </si>
  <si>
    <t>Terminal EBITDA Multiple (Baseline):</t>
  </si>
  <si>
    <t>Terminal FCF Growth Rate (Baseline):</t>
  </si>
  <si>
    <t>Liquidation Value in Final Projection Year:</t>
  </si>
  <si>
    <t>FCF Growth / (Decline):</t>
  </si>
  <si>
    <t>Terminal Value (Baseline):</t>
  </si>
  <si>
    <t>Cumulative FCF After Final Year:</t>
  </si>
  <si>
    <t>Terminal Value, Net of Going-Concern Discount:</t>
  </si>
  <si>
    <t>Terminal Value from Asset Liquidation:</t>
  </si>
  <si>
    <t>Terminal FCF Growth Rate (Implied):</t>
  </si>
  <si>
    <t>Terminal EBITDA Multiple (Implied):</t>
  </si>
  <si>
    <t>Terminal Value, Net of Discount:</t>
  </si>
  <si>
    <t>(+) Present Value of Terminal Value:</t>
  </si>
  <si>
    <t>(+) Present Value of Free Cash Flows, Sum:</t>
  </si>
  <si>
    <t>Implied EV:</t>
  </si>
  <si>
    <t>Terminal Value as % of Implied EV:</t>
  </si>
  <si>
    <t>(+) Cash and Equivalents:</t>
  </si>
  <si>
    <t>(+) Investments in Equity:</t>
  </si>
  <si>
    <t>(+) Other Non-Operating Assets, Net:</t>
  </si>
  <si>
    <t>(-) Debt — Total:</t>
  </si>
  <si>
    <t>(-) Minority Interests:</t>
  </si>
  <si>
    <t>Implied Value of Equity:</t>
  </si>
  <si>
    <t>Projected Unlevered Free Cash Flow:</t>
  </si>
  <si>
    <t>FCF Projection Period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</si>
  <si>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</si>
  <si>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</si>
  <si>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</si>
  <si>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</si>
  <si>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</si>
  <si>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</si>
  <si>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</si>
  <si>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</si>
  <si>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</si>
  <si>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</si>
  <si>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</si>
  <si>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</si>
  <si>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</si>
  <si>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</si>
  <si>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</si>
  <si>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Media Revenue:</t>
  </si>
  <si>
    <t>Growth Rate:</t>
  </si>
  <si>
    <t>N/A</t>
  </si>
  <si>
    <t>Operating Profit (EBIT):</t>
  </si>
  <si>
    <t>(-) Tax Charge:</t>
  </si>
  <si>
    <t>Net Operating Profit After Tax:</t>
  </si>
  <si>
    <t>(+/-) Movement in Working Capital:</t>
  </si>
  <si>
    <t>(-) Capital Expenditure:</t>
  </si>
  <si>
    <t>Unlevered Free Cash Flow:</t>
  </si>
  <si>
    <t>Present Value of FCF:</t>
  </si>
  <si>
    <t>Discounting Period:</t>
  </si>
  <si>
    <t>Mid-Year Convention:</t>
  </si>
  <si>
    <t>Sensitivity — Perpetuity FCF Growth vs. Discount Rate and DCF-Implied Equity Value:</t>
  </si>
  <si>
    <t>Perpetuity FCF Growth Rate:</t>
  </si>
  <si>
    <t>WACC (Discount Rate):</t>
  </si>
  <si>
    <t>Sensitivity — Exit EBITDA Multiple vs. Discount Rate and DCF-Implied Equity Value:</t>
  </si>
  <si>
    <t>Exit EBITDA Multiple:</t>
  </si>
  <si>
    <t>Sensitivity — Liquidation-Value Discount vs. Discount Rate and DCF-Implied Equity Value:</t>
  </si>
  <si>
    <t>Sensitivity — Post-Year-15 FCF Growth vs. Discount Rate and DCF-Implied Equity Value:</t>
  </si>
  <si>
    <t>FCF Growth Rate After Year 15 (Annual):</t>
  </si>
  <si>
    <t>Discount Rate Inputs</t>
  </si>
  <si>
    <t>Risk-Free Yield:</t>
  </si>
  <si>
    <t>Market Risk Premium:</t>
  </si>
  <si>
    <t>Cost of Debt (Pre-Tax):</t>
  </si>
  <si>
    <t>Preferred Stock Cost:</t>
  </si>
  <si>
    <t>Market Correlation (R^2) for Comparable Companies:</t>
  </si>
  <si>
    <t>Acquirer Portfolio-Diversification Adjustment:</t>
  </si>
  <si>
    <t>Unlevered Beta from Comparables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</si>
  <si>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</si>
  <si>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</si>
  <si>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</si>
  <si>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</si>
  <si>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</si>
  <si>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</si>
  <si>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</si>
  <si>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</si>
  <si>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</si>
  <si>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</si>
  <si>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</si>
  <si>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</si>
  <si>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</si>
  <si>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</si>
  <si>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Corvane Broadcasting Inc</t>
  </si>
  <si>
    <t>NYSE:CRVB</t>
  </si>
  <si>
    <t>Emberwyck Broadcasting Inc</t>
  </si>
  <si>
    <t>NASDAQ:EMBW</t>
  </si>
  <si>
    <t>Quillhaven Publishing Corp</t>
  </si>
  <si>
    <t>NASDAQ:QLHV</t>
  </si>
  <si>
    <t>Vantablu Streaming, Inc.</t>
  </si>
  <si>
    <t>NASDAQ:VNBU</t>
  </si>
  <si>
    <t>Driftwater Networks Corp</t>
  </si>
  <si>
    <t>NASDAQ:DFWN</t>
  </si>
  <si>
    <t>Hollowmere Broadcast Group Inc</t>
  </si>
  <si>
    <t>NASDAQ:HWMB</t>
  </si>
  <si>
    <t>Median:</t>
  </si>
  <si>
    <t>Unlevered Beta — Median (Total):</t>
  </si>
  <si>
    <t>Target Capital Structure:</t>
  </si>
  <si>
    <t>Cost of Equity — Comps + Target Structure</t>
  </si>
  <si>
    <t>WACC — Target Structure</t>
  </si>
  <si>
    <t>Sub-$500mm Regional Media &amp; Content Trading Comps</t>
  </si>
  <si>
    <t>(USD millions, except per-share amounts in USD as stated)</t>
  </si>
  <si>
    <t>Operating Metrics</t>
  </si>
  <si>
    <t>Capitalization</t>
  </si>
  <si>
    <t>Share</t>
  </si>
  <si>
    <t>Enterprise</t>
  </si>
  <si>
    <t>Media Revenue</t>
  </si>
  <si>
    <t>EBITDA</t>
  </si>
  <si>
    <t>EBITDA Margin</t>
  </si>
  <si>
    <t>Net Income</t>
  </si>
  <si>
    <t>Comparable Company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</si>
  <si>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</si>
  <si>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</si>
  <si>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</si>
  <si>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</si>
  <si>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</si>
  <si>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</si>
  <si>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</si>
  <si>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</si>
  <si>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</si>
  <si>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Metrics</t>
  </si>
  <si>
    <t xml:space="preserve">EV / </t>
  </si>
  <si>
    <t>P/E Multiple</t>
  </si>
  <si>
    <t>75th</t>
  </si>
  <si>
    <t>25th</t>
  </si>
  <si>
    <t>Applicable</t>
  </si>
  <si>
    <t>Private</t>
  </si>
  <si>
    <t>Percentile</t>
  </si>
  <si>
    <t>Company</t>
  </si>
  <si>
    <t>Method</t>
  </si>
  <si>
    <t>Multiple</t>
  </si>
  <si>
    <t>Figure</t>
  </si>
  <si>
    <t>Discount</t>
  </si>
  <si>
    <t>Comparable Public Companies:</t>
  </si>
  <si>
    <t>LTM EV / Media Revenue:</t>
  </si>
  <si>
    <t>LTM EV/EBITDA:</t>
  </si>
  <si>
    <t>LTM P/E:</t>
  </si>
  <si>
    <t>Comparable Transactions:</t>
  </si>
  <si>
    <t>DCF Analysis:</t>
  </si>
  <si>
    <t>Discount Rate 13.5%–15.5%, Perpetuity FCF Growth 2.0%–4.0%:</t>
  </si>
  <si>
    <t>Implied EV or Equity Value Across a Multiple Range:</t>
  </si>
  <si>
    <t>Enterprise Value →</t>
  </si>
  <si>
    <t>Equity Value →</t>
  </si>
  <si>
    <t>Min</t>
  </si>
  <si>
    <t>Max</t>
  </si>
  <si>
    <t>Min Point</t>
  </si>
  <si>
    <t>25th Point</t>
  </si>
  <si>
    <t>Median Point</t>
  </si>
  <si>
    <t>75th Point</t>
  </si>
  <si>
    <t>Max Point</t>
  </si>
  <si>
    <t>Fennmark Media Partners LLC</t>
  </si>
  <si>
    <t>Commission Rate - Sales Reps:</t>
  </si>
  <si>
    <t>Sales Reps:</t>
  </si>
  <si>
    <t>Sales / (Purchases) of Other Assets:</t>
  </si>
  <si>
    <t>(-) Commissions Paid to Sales Reps:</t>
  </si>
  <si>
    <t>(-) Sales Reps - Base Salaries:</t>
  </si>
  <si>
    <t>(+) Sales / (-) Purchases of Other Assets:</t>
  </si>
  <si>
    <t>(+) Sales &amp; Marketing:</t>
  </si>
  <si>
    <t>WACC = Cost of Equity * % Equity + Cost of Debt * % Debt * (1 - Tax Rate) + Cost of Preferred Stock * % Preferred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</si>
</sst>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&quot;$&quot;#,##0_);\(&quot;$&quot;#,##0\);&quot;OK!&quot;;&quot;ERROR&quot;"/>
    <numFmt numFmtId="167" formatCode="yyyy\-mm\-dd"/>
    <numFmt numFmtId="168" formatCode="_(&quot;$&quot;* #,##0.0_);_(&quot;$&quot;* \(#,##0.0\);_(&quot;$&quot;* &quot;-&quot;?_);_(@_)"/>
    <numFmt numFmtId="169" formatCode="_(* #,##0.00_);_(* \(#,##0.00\);_(* &quot;-&quot;?_);_(@_)"/>
    <numFmt numFmtId="170" formatCode="_(* #,##0.0_);_(* \(#,##0.0\);_(* &quot;-&quot;?_);_(@_)"/>
    <numFmt numFmtId="171" formatCode="_(* #,##0_);_(* \(#,##0\);_(* &quot;-&quot;??_);_(@_)"/>
    <numFmt numFmtId="172" formatCode="_(&quot;$&quot;* #,##0_);_(&quot;$&quot;* \(#,##0\);_(&quot;$&quot;* &quot;-&quot;?_);_(@_)"/>
    <numFmt numFmtId="173" formatCode="0.0\ \x;\(0.0\ \x\)"/>
    <numFmt numFmtId="174" formatCode="_(0.00%_);\(0.00%\);_(&quot;–&quot;_)_%;_(@_)_%"/>
    <numFmt numFmtId="175" formatCode="_(#,##0.00_)_%;\(#,##0.00\)_%;_(&quot;–&quot;_)_%;_(@_)_%"/>
    <numFmt numFmtId="176" formatCode="_(0.0%_);\(0.0%\);_(&quot;–&quot;_)_%;_(@_)_%"/>
    <numFmt numFmtId="177" formatCode="_(#,##0.00_);\(#,##0.00\);_(&quot;–&quot;_);_(@_)"/>
    <numFmt numFmtId="178" formatCode="yyyy"/>
    <numFmt numFmtId="179" formatCode="_(0.0%_);\(0.0%\);_(&quot;–&quot;_);_(@_)"/>
    <numFmt numFmtId="180" formatCode="_(0.0\ \x_);\(0.0\ \x\);_(&quot;–&quot;_);_(@_)"/>
    <numFmt numFmtId="181" formatCode="0.0\ \x_);\(0.0\ \x\);\-_)"/>
    <numFmt numFmtId="182" formatCode="_(\₩* #,##0_);_(\₩* \(#,##0\);_(\₩* &quot;-&quot;?_);_(@_)"/>
    <numFmt numFmtId="183" formatCode="_(* #,##0_);_(* \(#,##0\);_(* &quot;-&quot;?_);_(@_)"/>
    <numFmt numFmtId="184" formatCode="0.0%;\(0.0%\);\-_)_%;@_)_%"/>
    <numFmt numFmtId="185" formatCode="#,##0.0_);\(#,##0.0\)"/>
    <numFmt numFmtId="186" formatCode="mm/dd/yyyy"/>
    <numFmt numFmtId="187" formatCode="0%;\(0%\)"/>
    <numFmt numFmtId="188" formatCode="0.000;\(0.000\)"/>
    <numFmt numFmtId="189" formatCode="#,##0.00;\(#,##0.00\)"/>
    <numFmt numFmtId="190" formatCode=";;;"/>
  </numFmts>
  <fonts count="2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8" fillId="2" borderId="2" applyNumberFormat="0" applyFont="0" applyAlignment="0" applyProtection="0"/>
    <xf numFmtId="0" fontId="5" fillId="0" borderId="1" applyAlignment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</cellStyleXfs>
  <cellXfs count="257">
    <xf numFmtId="0" fontId="0" fillId="0" borderId="1" xfId="0"/>
    <xf numFmtId="0" fontId="6" fillId="0" borderId="1" xfId="6" applyFont="1"/>
    <xf numFmtId="0" fontId="7" fillId="0" borderId="1" xfId="2" applyFont="1"/>
    <xf numFmtId="0" fontId="9" fillId="0" borderId="1" xfId="0" applyFont="1"/>
    <xf numFmtId="0" fontId="10" fillId="0" borderId="1" xfId="3" applyFont="1"/>
    <xf numFmtId="0" fontId="1" fillId="0" borderId="1" xfId="0" applyFont="1"/>
    <xf numFmtId="0" fontId="13" fillId="0" borderId="1" xfId="0" applyFont="1"/>
    <xf numFmtId="0" fontId="13" fillId="0" borderId="1" xfId="0" applyFont="1" applyAlignment="1">
      <alignment horizontal="center"/>
    </xf>
    <xf numFmtId="0" fontId="13" fillId="0" borderId="22" xfId="0" applyFont="1" applyBorder="1"/>
    <xf numFmtId="189" fontId="13" fillId="0" borderId="1" xfId="0" applyNumberFormat="1" applyFont="1"/>
    <xf numFmtId="0" fontId="14" fillId="0" borderId="1" xfId="0" applyFont="1" applyAlignment="1">
      <alignment horizontal="right"/>
    </xf>
    <xf numFmtId="44" fontId="13" fillId="0" borderId="1" xfId="0" applyNumberFormat="1" applyFont="1"/>
    <xf numFmtId="0" fontId="13" fillId="0" borderId="1" xfId="6" applyFont="1"/>
    <xf numFmtId="189" fontId="13" fillId="0" borderId="1" xfId="6" applyNumberFormat="1" applyFont="1"/>
    <xf numFmtId="189" fontId="13" fillId="0" borderId="22" xfId="0" applyNumberFormat="1" applyFont="1" applyBorder="1"/>
    <xf numFmtId="0" fontId="13" fillId="0" borderId="3" xfId="6" applyFont="1" applyBorder="1"/>
    <xf numFmtId="189" fontId="13" fillId="0" borderId="3" xfId="6" applyNumberFormat="1" applyFont="1" applyBorder="1"/>
    <xf numFmtId="0" fontId="13" fillId="0" borderId="1" xfId="0" applyFont="1" applyAlignment="1">
      <alignment horizontal="left" indent="1"/>
    </xf>
    <xf numFmtId="0" fontId="14" fillId="0" borderId="1" xfId="0" applyFont="1" applyAlignment="1">
      <alignment horizontal="center"/>
    </xf>
    <xf numFmtId="165" fontId="14" fillId="0" borderId="1" xfId="0" applyNumberFormat="1" applyFont="1"/>
    <xf numFmtId="165" fontId="15" fillId="0" borderId="2" xfId="4" applyNumberFormat="1" applyFont="1" applyFill="1"/>
    <xf numFmtId="0" fontId="13" fillId="0" borderId="22" xfId="0" applyFont="1" applyBorder="1" applyAlignment="1">
      <alignment horizontal="left"/>
    </xf>
    <xf numFmtId="42" fontId="13" fillId="0" borderId="1" xfId="0" applyNumberFormat="1" applyFont="1"/>
    <xf numFmtId="42" fontId="15" fillId="0" borderId="2" xfId="4" applyNumberFormat="1" applyFont="1" applyFill="1" applyAlignment="1"/>
    <xf numFmtId="41" fontId="13" fillId="0" borderId="1" xfId="0" applyNumberFormat="1" applyFont="1"/>
    <xf numFmtId="41" fontId="15" fillId="0" borderId="2" xfId="4" applyNumberFormat="1" applyFont="1" applyFill="1" applyAlignment="1"/>
    <xf numFmtId="165" fontId="15" fillId="0" borderId="2" xfId="4" applyNumberFormat="1" applyFont="1" applyFill="1" applyAlignment="1"/>
    <xf numFmtId="165" fontId="13" fillId="0" borderId="1" xfId="0" applyNumberFormat="1" applyFont="1"/>
    <xf numFmtId="0" fontId="13" fillId="0" borderId="1" xfId="0" applyFont="1" applyAlignment="1">
      <alignment horizontal="left"/>
    </xf>
    <xf numFmtId="165" fontId="13" fillId="0" borderId="1" xfId="0" applyNumberFormat="1" applyFont="1" applyAlignment="1">
      <alignment horizontal="center"/>
    </xf>
    <xf numFmtId="43" fontId="13" fillId="0" borderId="1" xfId="0" applyNumberFormat="1" applyFont="1"/>
    <xf numFmtId="187" fontId="13" fillId="0" borderId="1" xfId="0" applyNumberFormat="1" applyFont="1"/>
    <xf numFmtId="0" fontId="14" fillId="0" borderId="1" xfId="0" applyFont="1"/>
    <xf numFmtId="0" fontId="13" fillId="0" borderId="24" xfId="0" applyFont="1" applyBorder="1"/>
    <xf numFmtId="0" fontId="13" fillId="0" borderId="24" xfId="0" applyFont="1" applyBorder="1" applyAlignment="1">
      <alignment horizontal="centerContinuous"/>
    </xf>
    <xf numFmtId="166" fontId="14" fillId="0" borderId="1" xfId="0" applyNumberFormat="1" applyFont="1"/>
    <xf numFmtId="0" fontId="16" fillId="3" borderId="30" xfId="0" applyFont="1" applyFill="1" applyBorder="1"/>
    <xf numFmtId="185" fontId="16" fillId="3" borderId="30" xfId="0" applyNumberFormat="1" applyFont="1" applyFill="1" applyBorder="1"/>
    <xf numFmtId="0" fontId="16" fillId="3" borderId="30" xfId="0" applyFont="1" applyFill="1" applyBorder="1" applyAlignment="1">
      <alignment horizontal="left"/>
    </xf>
    <xf numFmtId="0" fontId="17" fillId="3" borderId="30" xfId="0" applyFont="1" applyFill="1" applyBorder="1" applyAlignment="1">
      <alignment horizontal="center"/>
    </xf>
    <xf numFmtId="41" fontId="16" fillId="3" borderId="30" xfId="0" applyNumberFormat="1" applyFont="1" applyFill="1" applyBorder="1"/>
    <xf numFmtId="42" fontId="16" fillId="3" borderId="30" xfId="0" applyNumberFormat="1" applyFont="1" applyFill="1" applyBorder="1"/>
    <xf numFmtId="165" fontId="13" fillId="0" borderId="1" xfId="0" applyNumberFormat="1" applyFont="1" applyAlignment="1">
      <alignment horizontal="left" indent="1"/>
    </xf>
    <xf numFmtId="0" fontId="18" fillId="4" borderId="31" xfId="0" applyFont="1" applyFill="1" applyBorder="1" applyAlignment="1">
      <alignment horizontal="centerContinuous"/>
    </xf>
    <xf numFmtId="0" fontId="18" fillId="4" borderId="32" xfId="0" applyFont="1" applyFill="1" applyBorder="1" applyAlignment="1">
      <alignment horizontal="centerContinuous"/>
    </xf>
    <xf numFmtId="164" fontId="18" fillId="4" borderId="22" xfId="0" applyNumberFormat="1" applyFont="1" applyFill="1" applyBorder="1" applyAlignment="1">
      <alignment horizontal="center"/>
    </xf>
    <xf numFmtId="0" fontId="18" fillId="4" borderId="33" xfId="0" applyFont="1" applyFill="1" applyBorder="1"/>
    <xf numFmtId="164" fontId="18" fillId="4" borderId="33" xfId="0" applyNumberFormat="1" applyFont="1" applyFill="1" applyBorder="1" applyAlignment="1">
      <alignment horizontal="center"/>
    </xf>
    <xf numFmtId="164" fontId="19" fillId="4" borderId="33" xfId="0" applyNumberFormat="1" applyFont="1" applyFill="1" applyBorder="1" applyAlignment="1">
      <alignment horizontal="center"/>
    </xf>
    <xf numFmtId="0" fontId="18" fillId="4" borderId="33" xfId="0" applyFont="1" applyFill="1" applyBorder="1" applyAlignment="1">
      <alignment horizontal="center"/>
    </xf>
    <xf numFmtId="0" fontId="18" fillId="4" borderId="34" xfId="0" applyFont="1" applyFill="1" applyBorder="1" applyAlignment="1">
      <alignment horizontal="center"/>
    </xf>
    <xf numFmtId="164" fontId="18" fillId="4" borderId="22" xfId="0" applyNumberFormat="1" applyFont="1" applyFill="1" applyBorder="1"/>
    <xf numFmtId="164" fontId="18" fillId="4" borderId="33" xfId="0" applyNumberFormat="1" applyFont="1" applyFill="1" applyBorder="1"/>
    <xf numFmtId="0" fontId="19" fillId="4" borderId="31" xfId="0" applyFont="1" applyFill="1" applyBorder="1"/>
    <xf numFmtId="0" fontId="19" fillId="4" borderId="33" xfId="0" applyFont="1" applyFill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37" fontId="11" fillId="5" borderId="1" xfId="0" applyNumberFormat="1" applyFont="1" applyFill="1"/>
    <xf numFmtId="37" fontId="12" fillId="5" borderId="2" xfId="4" applyNumberFormat="1" applyFont="1" applyFill="1"/>
    <xf numFmtId="165" fontId="12" fillId="5" borderId="12" xfId="4" applyNumberFormat="1" applyFont="1" applyFill="1" applyBorder="1"/>
    <xf numFmtId="165" fontId="12" fillId="5" borderId="2" xfId="4" applyNumberFormat="1" applyFont="1" applyFill="1"/>
    <xf numFmtId="185" fontId="11" fillId="5" borderId="1" xfId="0" applyNumberFormat="1" applyFont="1" applyFill="1"/>
    <xf numFmtId="185" fontId="12" fillId="5" borderId="2" xfId="4" applyNumberFormat="1" applyFont="1" applyFill="1" applyAlignment="1"/>
    <xf numFmtId="0" fontId="20" fillId="0" borderId="1" xfId="0" applyFont="1"/>
    <xf numFmtId="0" fontId="21" fillId="0" borderId="1" xfId="0" applyFont="1"/>
    <xf numFmtId="39" fontId="13" fillId="0" borderId="14" xfId="4" applyNumberFormat="1" applyFont="1" applyFill="1" applyBorder="1" applyAlignment="1">
      <alignment horizontal="right"/>
    </xf>
    <xf numFmtId="185" fontId="13" fillId="0" borderId="18" xfId="4" applyNumberFormat="1" applyFont="1" applyFill="1" applyBorder="1" applyAlignment="1">
      <alignment horizontal="right"/>
    </xf>
    <xf numFmtId="42" fontId="22" fillId="0" borderId="1" xfId="0" applyNumberFormat="1" applyFont="1"/>
    <xf numFmtId="41" fontId="22" fillId="0" borderId="1" xfId="0" applyNumberFormat="1" applyFont="1"/>
    <xf numFmtId="164" fontId="18" fillId="4" borderId="35" xfId="0" applyNumberFormat="1" applyFont="1" applyFill="1" applyBorder="1"/>
    <xf numFmtId="164" fontId="18" fillId="4" borderId="35" xfId="0" applyNumberFormat="1" applyFont="1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/>
    </xf>
    <xf numFmtId="0" fontId="18" fillId="4" borderId="35" xfId="0" applyFont="1" applyFill="1" applyBorder="1" applyAlignment="1">
      <alignment horizontal="center"/>
    </xf>
    <xf numFmtId="0" fontId="18" fillId="4" borderId="36" xfId="0" applyFont="1" applyFill="1" applyBorder="1" applyAlignment="1">
      <alignment horizontal="center"/>
    </xf>
    <xf numFmtId="0" fontId="18" fillId="4" borderId="35" xfId="0" applyFont="1" applyFill="1" applyBorder="1"/>
    <xf numFmtId="0" fontId="19" fillId="4" borderId="35" xfId="0" applyFont="1" applyFill="1" applyBorder="1" applyAlignment="1">
      <alignment horizontal="center"/>
    </xf>
    <xf numFmtId="165" fontId="12" fillId="5" borderId="2" xfId="4" applyNumberFormat="1" applyFont="1" applyFill="1" applyAlignment="1">
      <alignment horizontal="center"/>
    </xf>
    <xf numFmtId="41" fontId="11" fillId="5" borderId="1" xfId="0" applyNumberFormat="1" applyFont="1" applyFill="1"/>
    <xf numFmtId="178" fontId="13" fillId="0" borderId="3" xfId="6" applyNumberFormat="1" applyFont="1" applyBorder="1" applyAlignment="1">
      <alignment horizontal="center"/>
    </xf>
    <xf numFmtId="0" fontId="15" fillId="0" borderId="1" xfId="3" applyFont="1"/>
    <xf numFmtId="0" fontId="13" fillId="0" borderId="3" xfId="6" applyFont="1" applyBorder="1" applyAlignment="1">
      <alignment horizontal="centerContinuous"/>
    </xf>
    <xf numFmtId="0" fontId="13" fillId="0" borderId="1" xfId="2" applyFont="1"/>
    <xf numFmtId="174" fontId="13" fillId="0" borderId="19" xfId="6" applyNumberFormat="1" applyFont="1" applyBorder="1" applyAlignment="1">
      <alignment horizontal="center"/>
    </xf>
    <xf numFmtId="0" fontId="14" fillId="0" borderId="1" xfId="6" applyFont="1"/>
    <xf numFmtId="0" fontId="13" fillId="0" borderId="1" xfId="2" applyFont="1" applyAlignment="1">
      <alignment horizontal="left"/>
    </xf>
    <xf numFmtId="42" fontId="13" fillId="0" borderId="19" xfId="6" applyNumberFormat="1" applyFont="1" applyBorder="1" applyAlignment="1">
      <alignment horizontal="center"/>
    </xf>
    <xf numFmtId="42" fontId="13" fillId="0" borderId="1" xfId="6" applyNumberFormat="1" applyFont="1"/>
    <xf numFmtId="41" fontId="13" fillId="0" borderId="1" xfId="6" applyNumberFormat="1" applyFont="1"/>
    <xf numFmtId="165" fontId="13" fillId="0" borderId="1" xfId="2" applyNumberFormat="1" applyFont="1"/>
    <xf numFmtId="181" fontId="13" fillId="0" borderId="1" xfId="6" applyNumberFormat="1" applyFont="1"/>
    <xf numFmtId="0" fontId="13" fillId="0" borderId="1" xfId="2" applyFont="1" applyAlignment="1">
      <alignment horizontal="left" indent="1"/>
    </xf>
    <xf numFmtId="0" fontId="13" fillId="0" borderId="3" xfId="2" applyFont="1" applyBorder="1"/>
    <xf numFmtId="0" fontId="14" fillId="0" borderId="1" xfId="2" applyFont="1"/>
    <xf numFmtId="165" fontId="14" fillId="0" borderId="1" xfId="2" applyNumberFormat="1" applyFont="1"/>
    <xf numFmtId="0" fontId="13" fillId="0" borderId="1" xfId="6" applyFont="1" applyAlignment="1">
      <alignment horizontal="left" indent="1"/>
    </xf>
    <xf numFmtId="0" fontId="13" fillId="0" borderId="5" xfId="2" applyFont="1" applyBorder="1"/>
    <xf numFmtId="170" fontId="13" fillId="0" borderId="1" xfId="2" applyNumberFormat="1" applyFont="1"/>
    <xf numFmtId="0" fontId="13" fillId="0" borderId="11" xfId="6" applyFont="1" applyBorder="1" applyAlignment="1">
      <alignment horizontal="centerContinuous"/>
    </xf>
    <xf numFmtId="182" fontId="13" fillId="0" borderId="1" xfId="6" applyNumberFormat="1" applyFont="1"/>
    <xf numFmtId="0" fontId="14" fillId="0" borderId="1" xfId="6" applyFont="1" applyAlignment="1">
      <alignment horizontal="left" indent="1"/>
    </xf>
    <xf numFmtId="165" fontId="14" fillId="0" borderId="1" xfId="6" applyNumberFormat="1" applyFont="1" applyAlignment="1">
      <alignment horizontal="right"/>
    </xf>
    <xf numFmtId="183" fontId="13" fillId="0" borderId="1" xfId="6" applyNumberFormat="1" applyFont="1"/>
    <xf numFmtId="0" fontId="13" fillId="0" borderId="1" xfId="6" applyFont="1" applyAlignment="1">
      <alignment horizontal="left"/>
    </xf>
    <xf numFmtId="188" fontId="13" fillId="0" borderId="1" xfId="6" applyNumberFormat="1" applyFont="1"/>
    <xf numFmtId="0" fontId="13" fillId="0" borderId="4" xfId="6" applyFont="1" applyBorder="1"/>
    <xf numFmtId="0" fontId="13" fillId="0" borderId="16" xfId="6" applyFont="1" applyBorder="1"/>
    <xf numFmtId="0" fontId="13" fillId="0" borderId="16" xfId="6" applyFont="1" applyBorder="1" applyAlignment="1">
      <alignment horizontal="centerContinuous"/>
    </xf>
    <xf numFmtId="0" fontId="13" fillId="0" borderId="17" xfId="6" applyFont="1" applyBorder="1" applyAlignment="1">
      <alignment horizontal="centerContinuous"/>
    </xf>
    <xf numFmtId="0" fontId="13" fillId="0" borderId="7" xfId="6" applyFont="1" applyBorder="1"/>
    <xf numFmtId="184" fontId="13" fillId="0" borderId="1" xfId="6" applyNumberFormat="1" applyFont="1" applyAlignment="1">
      <alignment horizontal="center"/>
    </xf>
    <xf numFmtId="184" fontId="13" fillId="0" borderId="10" xfId="6" applyNumberFormat="1" applyFont="1" applyBorder="1" applyAlignment="1">
      <alignment horizontal="center"/>
    </xf>
    <xf numFmtId="42" fontId="13" fillId="0" borderId="4" xfId="6" applyNumberFormat="1" applyFont="1" applyBorder="1"/>
    <xf numFmtId="42" fontId="13" fillId="0" borderId="5" xfId="6" applyNumberFormat="1" applyFont="1" applyBorder="1"/>
    <xf numFmtId="41" fontId="13" fillId="0" borderId="7" xfId="6" applyNumberFormat="1" applyFont="1" applyBorder="1"/>
    <xf numFmtId="184" fontId="13" fillId="0" borderId="20" xfId="6" applyNumberFormat="1" applyFont="1" applyBorder="1" applyAlignment="1">
      <alignment horizontal="center"/>
    </xf>
    <xf numFmtId="181" fontId="13" fillId="0" borderId="16" xfId="6" applyNumberFormat="1" applyFont="1" applyBorder="1" applyAlignment="1">
      <alignment horizontal="center"/>
    </xf>
    <xf numFmtId="181" fontId="13" fillId="0" borderId="17" xfId="6" applyNumberFormat="1" applyFont="1" applyBorder="1" applyAlignment="1">
      <alignment horizontal="center"/>
    </xf>
    <xf numFmtId="42" fontId="13" fillId="0" borderId="7" xfId="6" applyNumberFormat="1" applyFont="1" applyBorder="1"/>
    <xf numFmtId="179" fontId="13" fillId="0" borderId="16" xfId="6" applyNumberFormat="1" applyFont="1" applyBorder="1" applyAlignment="1">
      <alignment horizontal="center"/>
    </xf>
    <xf numFmtId="179" fontId="13" fillId="0" borderId="17" xfId="6" applyNumberFormat="1" applyFont="1" applyBorder="1" applyAlignment="1">
      <alignment horizontal="center"/>
    </xf>
    <xf numFmtId="186" fontId="13" fillId="0" borderId="3" xfId="6" applyNumberFormat="1" applyFont="1" applyBorder="1"/>
    <xf numFmtId="0" fontId="16" fillId="3" borderId="23" xfId="6" applyFont="1" applyFill="1" applyBorder="1"/>
    <xf numFmtId="183" fontId="16" fillId="3" borderId="23" xfId="6" applyNumberFormat="1" applyFont="1" applyFill="1" applyBorder="1"/>
    <xf numFmtId="186" fontId="18" fillId="4" borderId="31" xfId="6" applyNumberFormat="1" applyFont="1" applyFill="1" applyBorder="1"/>
    <xf numFmtId="0" fontId="18" fillId="4" borderId="31" xfId="6" applyFont="1" applyFill="1" applyBorder="1" applyAlignment="1">
      <alignment horizontal="center"/>
    </xf>
    <xf numFmtId="186" fontId="18" fillId="4" borderId="31" xfId="6" applyNumberFormat="1" applyFont="1" applyFill="1" applyBorder="1" applyAlignment="1">
      <alignment horizontal="center"/>
    </xf>
    <xf numFmtId="179" fontId="11" fillId="5" borderId="19" xfId="6" applyNumberFormat="1" applyFont="1" applyFill="1" applyBorder="1" applyAlignment="1">
      <alignment horizontal="center"/>
    </xf>
    <xf numFmtId="180" fontId="11" fillId="5" borderId="19" xfId="6" applyNumberFormat="1" applyFont="1" applyFill="1" applyBorder="1" applyAlignment="1">
      <alignment horizontal="center"/>
    </xf>
    <xf numFmtId="185" fontId="11" fillId="5" borderId="1" xfId="6" applyNumberFormat="1" applyFont="1" applyFill="1"/>
    <xf numFmtId="0" fontId="20" fillId="0" borderId="1" xfId="6" applyFont="1"/>
    <xf numFmtId="0" fontId="21" fillId="0" borderId="1" xfId="6" applyFont="1"/>
    <xf numFmtId="0" fontId="15" fillId="0" borderId="22" xfId="3" applyFont="1" applyBorder="1"/>
    <xf numFmtId="174" fontId="15" fillId="0" borderId="1" xfId="3" applyNumberFormat="1" applyFont="1"/>
    <xf numFmtId="174" fontId="15" fillId="0" borderId="2" xfId="3" applyNumberFormat="1" applyFont="1" applyBorder="1"/>
    <xf numFmtId="0" fontId="13" fillId="0" borderId="1" xfId="2" applyFont="1" applyAlignment="1">
      <alignment horizontal="center"/>
    </xf>
    <xf numFmtId="0" fontId="13" fillId="0" borderId="22" xfId="2" applyFont="1" applyBorder="1"/>
    <xf numFmtId="0" fontId="13" fillId="0" borderId="22" xfId="2" applyFont="1" applyBorder="1" applyAlignment="1">
      <alignment horizontal="center"/>
    </xf>
    <xf numFmtId="168" fontId="13" fillId="0" borderId="1" xfId="2" applyNumberFormat="1" applyFont="1"/>
    <xf numFmtId="176" fontId="15" fillId="0" borderId="1" xfId="0" applyNumberFormat="1" applyFont="1"/>
    <xf numFmtId="177" fontId="13" fillId="0" borderId="1" xfId="0" applyNumberFormat="1" applyFont="1"/>
    <xf numFmtId="0" fontId="13" fillId="0" borderId="25" xfId="2" applyFont="1" applyBorder="1" applyAlignment="1">
      <alignment horizontal="left"/>
    </xf>
    <xf numFmtId="0" fontId="13" fillId="0" borderId="23" xfId="2" applyFont="1" applyBorder="1"/>
    <xf numFmtId="175" fontId="13" fillId="0" borderId="23" xfId="2" applyNumberFormat="1" applyFont="1" applyBorder="1"/>
    <xf numFmtId="168" fontId="13" fillId="0" borderId="23" xfId="2" applyNumberFormat="1" applyFont="1" applyBorder="1"/>
    <xf numFmtId="176" fontId="13" fillId="0" borderId="23" xfId="2" applyNumberFormat="1" applyFont="1" applyBorder="1"/>
    <xf numFmtId="43" fontId="13" fillId="0" borderId="28" xfId="2" applyNumberFormat="1" applyFont="1" applyBorder="1"/>
    <xf numFmtId="0" fontId="15" fillId="0" borderId="29" xfId="3" applyFont="1" applyBorder="1"/>
    <xf numFmtId="43" fontId="13" fillId="0" borderId="26" xfId="2" applyNumberFormat="1" applyFont="1" applyBorder="1"/>
    <xf numFmtId="175" fontId="13" fillId="0" borderId="1" xfId="2" applyNumberFormat="1" applyFont="1"/>
    <xf numFmtId="176" fontId="13" fillId="0" borderId="1" xfId="2" applyNumberFormat="1" applyFont="1"/>
    <xf numFmtId="43" fontId="13" fillId="0" borderId="1" xfId="2" applyNumberFormat="1" applyFont="1"/>
    <xf numFmtId="0" fontId="22" fillId="0" borderId="1" xfId="2" applyFont="1"/>
    <xf numFmtId="0" fontId="25" fillId="0" borderId="1" xfId="3" applyFont="1"/>
    <xf numFmtId="175" fontId="25" fillId="0" borderId="1" xfId="3" applyNumberFormat="1" applyFont="1" applyAlignment="1">
      <alignment horizontal="center"/>
    </xf>
    <xf numFmtId="168" fontId="22" fillId="0" borderId="1" xfId="2" applyNumberFormat="1" applyFont="1"/>
    <xf numFmtId="170" fontId="22" fillId="0" borderId="1" xfId="2" applyNumberFormat="1" applyFont="1"/>
    <xf numFmtId="0" fontId="18" fillId="4" borderId="38" xfId="2" applyFont="1" applyFill="1" applyBorder="1"/>
    <xf numFmtId="0" fontId="18" fillId="4" borderId="39" xfId="2" applyFont="1" applyFill="1" applyBorder="1"/>
    <xf numFmtId="174" fontId="18" fillId="4" borderId="40" xfId="2" applyNumberFormat="1" applyFont="1" applyFill="1" applyBorder="1"/>
    <xf numFmtId="0" fontId="24" fillId="4" borderId="31" xfId="3" applyFont="1" applyFill="1" applyBorder="1"/>
    <xf numFmtId="0" fontId="18" fillId="4" borderId="37" xfId="2" applyFont="1" applyFill="1" applyBorder="1"/>
    <xf numFmtId="0" fontId="18" fillId="4" borderId="31" xfId="2" applyFont="1" applyFill="1" applyBorder="1"/>
    <xf numFmtId="174" fontId="18" fillId="4" borderId="41" xfId="2" applyNumberFormat="1" applyFont="1" applyFill="1" applyBorder="1"/>
    <xf numFmtId="174" fontId="12" fillId="5" borderId="27" xfId="3" applyNumberFormat="1" applyFont="1" applyFill="1" applyBorder="1"/>
    <xf numFmtId="174" fontId="12" fillId="5" borderId="2" xfId="3" applyNumberFormat="1" applyFont="1" applyFill="1" applyBorder="1"/>
    <xf numFmtId="176" fontId="12" fillId="5" borderId="1" xfId="3" applyNumberFormat="1" applyFont="1" applyFill="1"/>
    <xf numFmtId="0" fontId="26" fillId="0" borderId="1" xfId="3" applyFont="1"/>
    <xf numFmtId="0" fontId="13" fillId="0" borderId="4" xfId="6" applyFont="1" applyBorder="1" applyAlignment="1">
      <alignment horizontal="left"/>
    </xf>
    <xf numFmtId="0" fontId="27" fillId="0" borderId="5" xfId="2" applyFont="1" applyBorder="1" applyAlignment="1">
      <alignment horizontal="centerContinuous"/>
    </xf>
    <xf numFmtId="0" fontId="27" fillId="0" borderId="5" xfId="2" applyFont="1" applyBorder="1"/>
    <xf numFmtId="0" fontId="13" fillId="0" borderId="5" xfId="2" applyFont="1" applyBorder="1" applyAlignment="1">
      <alignment horizontal="centerContinuous"/>
    </xf>
    <xf numFmtId="0" fontId="13" fillId="0" borderId="6" xfId="2" applyFont="1" applyBorder="1"/>
    <xf numFmtId="0" fontId="13" fillId="0" borderId="7" xfId="2" applyFont="1" applyBorder="1"/>
    <xf numFmtId="0" fontId="27" fillId="0" borderId="1" xfId="2" applyFont="1" applyAlignment="1">
      <alignment horizontal="centerContinuous"/>
    </xf>
    <xf numFmtId="0" fontId="13" fillId="0" borderId="1" xfId="2" applyFont="1" applyAlignment="1">
      <alignment horizontal="centerContinuous"/>
    </xf>
    <xf numFmtId="0" fontId="27" fillId="0" borderId="8" xfId="2" applyFont="1" applyBorder="1"/>
    <xf numFmtId="0" fontId="13" fillId="0" borderId="9" xfId="2" applyFont="1" applyBorder="1"/>
    <xf numFmtId="0" fontId="13" fillId="0" borderId="3" xfId="2" applyFont="1" applyBorder="1" applyAlignment="1">
      <alignment horizontal="center"/>
    </xf>
    <xf numFmtId="14" fontId="13" fillId="0" borderId="3" xfId="2" applyNumberFormat="1" applyFont="1" applyBorder="1" applyAlignment="1">
      <alignment horizontal="center"/>
    </xf>
    <xf numFmtId="167" fontId="13" fillId="0" borderId="3" xfId="2" applyNumberFormat="1" applyFont="1" applyBorder="1" applyAlignment="1">
      <alignment horizontal="center"/>
    </xf>
    <xf numFmtId="0" fontId="27" fillId="0" borderId="10" xfId="2" applyFont="1" applyBorder="1" applyAlignment="1">
      <alignment horizontal="centerContinuous"/>
    </xf>
    <xf numFmtId="44" fontId="13" fillId="0" borderId="1" xfId="2" applyNumberFormat="1" applyFont="1"/>
    <xf numFmtId="165" fontId="13" fillId="0" borderId="1" xfId="2" applyNumberFormat="1" applyFont="1" applyAlignment="1">
      <alignment horizontal="right"/>
    </xf>
    <xf numFmtId="169" fontId="13" fillId="0" borderId="1" xfId="2" applyNumberFormat="1" applyFont="1" applyAlignment="1">
      <alignment horizontal="right"/>
    </xf>
    <xf numFmtId="171" fontId="13" fillId="0" borderId="1" xfId="2" applyNumberFormat="1" applyFont="1" applyAlignment="1">
      <alignment horizontal="right"/>
    </xf>
    <xf numFmtId="172" fontId="13" fillId="0" borderId="1" xfId="2" applyNumberFormat="1" applyFont="1" applyAlignment="1">
      <alignment horizontal="right"/>
    </xf>
    <xf numFmtId="0" fontId="13" fillId="0" borderId="1" xfId="2" applyFont="1" applyAlignment="1">
      <alignment horizontal="right"/>
    </xf>
    <xf numFmtId="0" fontId="13" fillId="0" borderId="4" xfId="2" applyFont="1" applyBorder="1"/>
    <xf numFmtId="44" fontId="13" fillId="0" borderId="5" xfId="2" applyNumberFormat="1" applyFont="1" applyBorder="1" applyAlignment="1">
      <alignment horizontal="right"/>
    </xf>
    <xf numFmtId="168" fontId="13" fillId="0" borderId="5" xfId="2" applyNumberFormat="1" applyFont="1" applyBorder="1" applyAlignment="1">
      <alignment horizontal="right"/>
    </xf>
    <xf numFmtId="165" fontId="13" fillId="0" borderId="5" xfId="2" applyNumberFormat="1" applyFont="1" applyBorder="1" applyAlignment="1">
      <alignment horizontal="right"/>
    </xf>
    <xf numFmtId="169" fontId="13" fillId="0" borderId="6" xfId="2" applyNumberFormat="1" applyFont="1" applyBorder="1" applyAlignment="1">
      <alignment horizontal="right"/>
    </xf>
    <xf numFmtId="43" fontId="13" fillId="0" borderId="1" xfId="2" applyNumberFormat="1" applyFont="1" applyAlignment="1">
      <alignment horizontal="right"/>
    </xf>
    <xf numFmtId="170" fontId="13" fillId="0" borderId="1" xfId="2" applyNumberFormat="1" applyFont="1" applyAlignment="1">
      <alignment horizontal="right"/>
    </xf>
    <xf numFmtId="169" fontId="13" fillId="0" borderId="8" xfId="2" applyNumberFormat="1" applyFont="1" applyBorder="1" applyAlignment="1">
      <alignment horizontal="right"/>
    </xf>
    <xf numFmtId="0" fontId="13" fillId="0" borderId="15" xfId="2" applyFont="1" applyBorder="1"/>
    <xf numFmtId="0" fontId="13" fillId="0" borderId="16" xfId="2" applyFont="1" applyBorder="1"/>
    <xf numFmtId="43" fontId="13" fillId="0" borderId="16" xfId="2" applyNumberFormat="1" applyFont="1" applyBorder="1" applyAlignment="1">
      <alignment horizontal="right"/>
    </xf>
    <xf numFmtId="170" fontId="13" fillId="0" borderId="16" xfId="2" applyNumberFormat="1" applyFont="1" applyBorder="1" applyAlignment="1">
      <alignment horizontal="right"/>
    </xf>
    <xf numFmtId="165" fontId="13" fillId="0" borderId="16" xfId="2" applyNumberFormat="1" applyFont="1" applyBorder="1" applyAlignment="1">
      <alignment horizontal="right"/>
    </xf>
    <xf numFmtId="169" fontId="13" fillId="0" borderId="17" xfId="2" applyNumberFormat="1" applyFont="1" applyBorder="1" applyAlignment="1">
      <alignment horizontal="right"/>
    </xf>
    <xf numFmtId="43" fontId="13" fillId="0" borderId="3" xfId="2" applyNumberFormat="1" applyFont="1" applyBorder="1" applyAlignment="1">
      <alignment horizontal="right"/>
    </xf>
    <xf numFmtId="170" fontId="13" fillId="0" borderId="3" xfId="2" applyNumberFormat="1" applyFont="1" applyBorder="1" applyAlignment="1">
      <alignment horizontal="right"/>
    </xf>
    <xf numFmtId="165" fontId="13" fillId="0" borderId="3" xfId="2" applyNumberFormat="1" applyFont="1" applyBorder="1" applyAlignment="1">
      <alignment horizontal="right"/>
    </xf>
    <xf numFmtId="169" fontId="13" fillId="0" borderId="10" xfId="2" applyNumberFormat="1" applyFont="1" applyBorder="1" applyAlignment="1">
      <alignment horizontal="right"/>
    </xf>
    <xf numFmtId="0" fontId="27" fillId="0" borderId="6" xfId="2" applyFont="1" applyBorder="1"/>
    <xf numFmtId="0" fontId="13" fillId="0" borderId="8" xfId="2" applyFont="1" applyBorder="1" applyAlignment="1">
      <alignment horizontal="centerContinuous"/>
    </xf>
    <xf numFmtId="167" fontId="13" fillId="0" borderId="10" xfId="2" applyNumberFormat="1" applyFont="1" applyBorder="1" applyAlignment="1">
      <alignment horizontal="center"/>
    </xf>
    <xf numFmtId="173" fontId="13" fillId="0" borderId="1" xfId="2" applyNumberFormat="1" applyFont="1" applyAlignment="1">
      <alignment horizontal="right"/>
    </xf>
    <xf numFmtId="173" fontId="13" fillId="0" borderId="5" xfId="2" applyNumberFormat="1" applyFont="1" applyBorder="1" applyAlignment="1">
      <alignment horizontal="right"/>
    </xf>
    <xf numFmtId="173" fontId="13" fillId="0" borderId="6" xfId="2" applyNumberFormat="1" applyFont="1" applyBorder="1" applyAlignment="1">
      <alignment horizontal="right"/>
    </xf>
    <xf numFmtId="173" fontId="13" fillId="0" borderId="8" xfId="2" applyNumberFormat="1" applyFont="1" applyBorder="1" applyAlignment="1">
      <alignment horizontal="right"/>
    </xf>
    <xf numFmtId="173" fontId="13" fillId="0" borderId="16" xfId="2" applyNumberFormat="1" applyFont="1" applyBorder="1" applyAlignment="1">
      <alignment horizontal="right"/>
    </xf>
    <xf numFmtId="173" fontId="13" fillId="0" borderId="17" xfId="2" applyNumberFormat="1" applyFont="1" applyBorder="1" applyAlignment="1">
      <alignment horizontal="right"/>
    </xf>
    <xf numFmtId="173" fontId="13" fillId="0" borderId="3" xfId="2" applyNumberFormat="1" applyFont="1" applyBorder="1" applyAlignment="1">
      <alignment horizontal="right"/>
    </xf>
    <xf numFmtId="173" fontId="13" fillId="0" borderId="10" xfId="2" applyNumberFormat="1" applyFont="1" applyBorder="1" applyAlignment="1">
      <alignment horizontal="right"/>
    </xf>
    <xf numFmtId="43" fontId="11" fillId="5" borderId="1" xfId="2" applyNumberFormat="1" applyFont="1" applyFill="1"/>
    <xf numFmtId="170" fontId="11" fillId="5" borderId="1" xfId="2" applyNumberFormat="1" applyFont="1" applyFill="1"/>
    <xf numFmtId="0" fontId="26" fillId="0" borderId="1" xfId="2" applyFont="1"/>
    <xf numFmtId="0" fontId="27" fillId="0" borderId="6" xfId="2" applyFont="1" applyBorder="1" applyAlignment="1">
      <alignment horizontal="centerContinuous"/>
    </xf>
    <xf numFmtId="0" fontId="27" fillId="0" borderId="8" xfId="2" applyFont="1" applyBorder="1" applyAlignment="1">
      <alignment horizontal="centerContinuous"/>
    </xf>
    <xf numFmtId="0" fontId="13" fillId="0" borderId="8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173" fontId="13" fillId="0" borderId="1" xfId="2" applyNumberFormat="1" applyFont="1"/>
    <xf numFmtId="42" fontId="13" fillId="0" borderId="1" xfId="2" applyNumberFormat="1" applyFont="1"/>
    <xf numFmtId="165" fontId="13" fillId="0" borderId="1" xfId="2" applyNumberFormat="1" applyFont="1" applyAlignment="1">
      <alignment horizontal="center"/>
    </xf>
    <xf numFmtId="41" fontId="13" fillId="0" borderId="1" xfId="2" applyNumberFormat="1" applyFont="1"/>
    <xf numFmtId="171" fontId="13" fillId="0" borderId="1" xfId="2" applyNumberFormat="1" applyFont="1"/>
    <xf numFmtId="0" fontId="22" fillId="0" borderId="1" xfId="2" applyFont="1" applyAlignment="1">
      <alignment horizontal="left" indent="1"/>
    </xf>
    <xf numFmtId="173" fontId="11" fillId="5" borderId="1" xfId="2" applyNumberFormat="1" applyFont="1" applyFill="1"/>
    <xf numFmtId="173" fontId="11" fillId="5" borderId="1" xfId="2" quotePrefix="1" applyNumberFormat="1" applyFont="1" applyFill="1"/>
    <xf numFmtId="0" fontId="26" fillId="0" borderId="1" xfId="6" applyFont="1"/>
    <xf numFmtId="44" fontId="13" fillId="0" borderId="1" xfId="6" applyNumberFormat="1" applyFont="1"/>
    <xf numFmtId="43" fontId="13" fillId="0" borderId="1" xfId="6" applyNumberFormat="1" applyFont="1"/>
    <xf numFmtId="0" fontId="22" fillId="0" borderId="1" xfId="6" applyFont="1"/>
    <xf numFmtId="44" fontId="15" fillId="5" borderId="2" xfId="4" applyNumberFormat="1" applyFont="1" applyFill="1"/>
    <xf numFmtId="185" fontId="12" fillId="5" borderId="13" xfId="4" applyNumberFormat="1" applyFont="1" applyFill="1" applyBorder="1" applyAlignment="1"/>
    <xf numFmtId="165" fontId="12" fillId="5" borderId="2" xfId="4" applyNumberFormat="1" applyFont="1" applyFill="1" applyAlignment="1"/>
    <xf numFmtId="41" fontId="11" fillId="5" borderId="14" xfId="0" applyNumberFormat="1" applyFont="1" applyFill="1" applyBorder="1"/>
    <xf numFmtId="41" fontId="11" fillId="5" borderId="2" xfId="0" applyNumberFormat="1" applyFont="1" applyFill="1" applyBorder="1"/>
    <xf numFmtId="184" fontId="11" fillId="5" borderId="1" xfId="6" applyNumberFormat="1" applyFont="1" applyFill="1" applyAlignment="1">
      <alignment horizontal="center"/>
    </xf>
    <xf numFmtId="181" fontId="11" fillId="5" borderId="16" xfId="6" applyNumberFormat="1" applyFont="1" applyFill="1" applyBorder="1" applyAlignment="1">
      <alignment horizontal="center"/>
    </xf>
    <xf numFmtId="179" fontId="11" fillId="5" borderId="16" xfId="6" applyNumberFormat="1" applyFont="1" applyFill="1" applyBorder="1" applyAlignment="1">
      <alignment horizontal="center"/>
    </xf>
    <xf numFmtId="44" fontId="13" fillId="5" borderId="1" xfId="2" applyNumberFormat="1" applyFont="1" applyFill="1"/>
    <xf numFmtId="168" fontId="13" fillId="5" borderId="1" xfId="2" applyNumberFormat="1" applyFont="1" applyFill="1"/>
    <xf numFmtId="169" fontId="11" fillId="5" borderId="1" xfId="2" applyNumberFormat="1" applyFont="1" applyFill="1" applyAlignment="1">
      <alignment horizontal="right"/>
    </xf>
    <xf numFmtId="190" fontId="13" fillId="0" borderId="7" xfId="6" applyNumberFormat="1" applyFont="1" applyBorder="1"/>
    <xf numFmtId="0" fontId="16" fillId="0" borderId="30" xfId="2" applyFont="1" applyBorder="1"/>
    <xf numFmtId="41" fontId="16" fillId="0" borderId="30" xfId="6" applyNumberFormat="1" applyFont="1" applyBorder="1"/>
    <xf numFmtId="0" fontId="16" fillId="0" borderId="30" xfId="6" applyFont="1" applyBorder="1"/>
    <xf numFmtId="0" fontId="23" fillId="0" borderId="30" xfId="3" applyFont="1" applyBorder="1"/>
    <xf numFmtId="0" fontId="16" fillId="0" borderId="30" xfId="2" applyFont="1" applyBorder="1" applyAlignment="1">
      <alignment horizontal="left"/>
    </xf>
    <xf numFmtId="42" fontId="16" fillId="0" borderId="30" xfId="6" applyNumberFormat="1" applyFont="1" applyBorder="1"/>
    <xf numFmtId="0" fontId="27" fillId="0" borderId="5" xfId="2" applyFont="1" applyBorder="1" applyAlignment="1">
      <alignment horizontal="centerContinuous" wrapText="1"/>
    </xf>
    <xf numFmtId="0" fontId="13" fillId="0" borderId="1" xfId="6" applyFont="1" applyAlignment="1">
      <alignment wrapText="1"/>
    </xf>
    <xf numFmtId="41" fontId="11" fillId="0" borderId="1" xfId="6" applyNumberFormat="1" applyFont="1"/>
    <xf numFmtId="0" fontId="13" fillId="0" borderId="21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sheetPr>
    <tabColor rgb="FF1F3864"/>
  </sheetPr>
  <dimension ref="A1:U297"/>
  <sheetViews>
    <sheetView showGridLines="0" tabSelected="1" zoomScaleNormal="100" workbookViewId="0"/>
  </sheetViews>
  <sheetFormatPr defaultColWidth="9.109375" defaultRowHeight="15.75" customHeight="1" outlineLevelRow="1" outlineLevelCol="1" x14ac:dyDescent="0.3"/>
  <cols>
    <col min="1" max="2" width="2.6640625" style="5" customWidth="1"/>
    <col min="3" max="6" width="13.6640625" style="5" customWidth="1"/>
    <col min="7" max="11" width="13.6640625" style="5" customWidth="1" outlineLevel="1"/>
    <col min="12" max="16" width="13.6640625" style="5" customWidth="1"/>
    <col min="17" max="17" width="2.6640625" style="5" customWidth="1"/>
    <col min="21" max="21" width="9.109375" style="5"/>
  </cols>
  <sheetData>
    <row r="1" spans="1:17" ht="15.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8.75" customHeight="1" x14ac:dyDescent="0.35">
      <c r="A2" s="6"/>
      <c r="B2" s="62" t="str">
        <f>"Private Company Financial Statements - "&amp;Company_Name</f>
        <v>Private Company Financial Statements - Fennmark Media Partners LLC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75" customHeight="1" x14ac:dyDescent="0.3">
      <c r="A3" s="6"/>
      <c r="B3" s="63" t="s">
        <v>0</v>
      </c>
      <c r="C3" s="6"/>
      <c r="D3" s="6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 customHeight="1" x14ac:dyDescent="0.3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 customHeight="1" x14ac:dyDescent="0.3">
      <c r="A5" s="6"/>
      <c r="B5" s="43"/>
      <c r="C5" s="43"/>
      <c r="D5" s="43"/>
      <c r="E5" s="43"/>
      <c r="F5" s="43"/>
      <c r="G5" s="43" t="s">
        <v>1</v>
      </c>
      <c r="H5" s="43"/>
      <c r="I5" s="43"/>
      <c r="J5" s="43"/>
      <c r="K5" s="44"/>
      <c r="L5" s="43" t="s">
        <v>2</v>
      </c>
      <c r="M5" s="43"/>
      <c r="N5" s="43"/>
      <c r="O5" s="43"/>
      <c r="P5" s="43"/>
    </row>
    <row r="6" spans="1:17" ht="15.75" customHeight="1" x14ac:dyDescent="0.3">
      <c r="A6" s="6"/>
      <c r="B6" s="46" t="s">
        <v>3</v>
      </c>
      <c r="C6" s="47"/>
      <c r="D6" s="47"/>
      <c r="E6" s="47"/>
      <c r="F6" s="48" t="s">
        <v>4</v>
      </c>
      <c r="G6" s="49" t="s">
        <v>5</v>
      </c>
      <c r="H6" s="49" t="s">
        <v>6</v>
      </c>
      <c r="I6" s="49" t="s">
        <v>7</v>
      </c>
      <c r="J6" s="49" t="s">
        <v>8</v>
      </c>
      <c r="K6" s="50" t="s">
        <v>9</v>
      </c>
      <c r="L6" s="49" t="s">
        <v>10</v>
      </c>
      <c r="M6" s="49" t="s">
        <v>11</v>
      </c>
      <c r="N6" s="49" t="s">
        <v>12</v>
      </c>
      <c r="O6" s="49" t="s">
        <v>13</v>
      </c>
      <c r="P6" s="49" t="s">
        <v>14</v>
      </c>
    </row>
    <row r="7" spans="1:17" ht="15.75" customHeight="1" outlineLevel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9"/>
      <c r="L7" s="6"/>
      <c r="M7" s="6"/>
      <c r="N7" s="6"/>
      <c r="O7" s="6"/>
      <c r="P7" s="9"/>
      <c r="Q7" s="6"/>
    </row>
    <row r="8" spans="1:17" ht="15.75" customHeight="1" outlineLevel="1" x14ac:dyDescent="0.3">
      <c r="A8" s="6"/>
      <c r="B8" s="6"/>
      <c r="C8" s="6" t="s">
        <v>15</v>
      </c>
      <c r="D8" s="6"/>
      <c r="E8" s="6"/>
      <c r="F8" s="10" t="s">
        <v>16</v>
      </c>
      <c r="G8" s="56">
        <v>1011</v>
      </c>
      <c r="H8" s="56">
        <v>2051</v>
      </c>
      <c r="I8" s="56">
        <v>2978</v>
      </c>
      <c r="J8" s="56">
        <v>4000</v>
      </c>
      <c r="K8" s="56">
        <v>4500</v>
      </c>
      <c r="L8" s="57">
        <v>4800</v>
      </c>
      <c r="M8" s="57">
        <v>5200</v>
      </c>
      <c r="N8" s="57">
        <v>5600</v>
      </c>
      <c r="O8" s="57">
        <v>6000</v>
      </c>
      <c r="P8" s="57">
        <v>6500</v>
      </c>
      <c r="Q8" s="6"/>
    </row>
    <row r="9" spans="1:17" ht="15.75" customHeight="1" outlineLevel="1" x14ac:dyDescent="0.3">
      <c r="A9" s="6"/>
      <c r="B9" s="6"/>
      <c r="C9" s="6" t="s">
        <v>17</v>
      </c>
      <c r="D9" s="6"/>
      <c r="E9" s="6"/>
      <c r="F9" s="10" t="s">
        <v>18</v>
      </c>
      <c r="G9" s="11">
        <f>G79/G8</f>
        <v>107.23973293768546</v>
      </c>
      <c r="H9" s="11">
        <f>H79/H8</f>
        <v>128.30670404680643</v>
      </c>
      <c r="I9" s="11">
        <f>I79/I8</f>
        <v>145.64083613163197</v>
      </c>
      <c r="J9" s="11">
        <f>J79/J8</f>
        <v>145.75753499999999</v>
      </c>
      <c r="K9" s="11">
        <f>K79/K8</f>
        <v>163.26104666666666</v>
      </c>
      <c r="L9" s="234">
        <v>200.83542499999999</v>
      </c>
      <c r="M9" s="234">
        <v>218.04989</v>
      </c>
      <c r="N9" s="234">
        <v>241.00251</v>
      </c>
      <c r="O9" s="234">
        <v>258.21697499999999</v>
      </c>
      <c r="P9" s="234">
        <v>275.43144000000001</v>
      </c>
      <c r="Q9" s="6"/>
    </row>
    <row r="10" spans="1:17" ht="15.75" customHeight="1" outlineLevel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12"/>
      <c r="M10" s="12"/>
      <c r="N10" s="12"/>
      <c r="O10" s="12"/>
      <c r="P10" s="13"/>
      <c r="Q10" s="6"/>
    </row>
    <row r="11" spans="1:17" ht="15.75" customHeight="1" outlineLevel="1" x14ac:dyDescent="0.3">
      <c r="A11" s="6"/>
      <c r="B11" s="6"/>
      <c r="C11" s="8" t="s">
        <v>19</v>
      </c>
      <c r="D11" s="8"/>
      <c r="E11" s="8"/>
      <c r="F11" s="8"/>
      <c r="G11" s="8"/>
      <c r="H11" s="8"/>
      <c r="I11" s="8"/>
      <c r="J11" s="8"/>
      <c r="K11" s="14"/>
      <c r="L11" s="15"/>
      <c r="M11" s="15"/>
      <c r="N11" s="15"/>
      <c r="O11" s="15"/>
      <c r="P11" s="16"/>
      <c r="Q11" s="6"/>
    </row>
    <row r="12" spans="1:17" ht="15.75" customHeight="1" outlineLevel="1" x14ac:dyDescent="0.3">
      <c r="A12" s="6"/>
      <c r="B12" s="6"/>
      <c r="C12" s="17" t="s">
        <v>20</v>
      </c>
      <c r="D12" s="6"/>
      <c r="E12" s="6"/>
      <c r="F12" s="18" t="s">
        <v>21</v>
      </c>
      <c r="G12" s="19" t="str">
        <f t="shared" ref="G12:K15" si="0">IFERROR(+G80/F80-1,"N/A")</f>
        <v>N/A</v>
      </c>
      <c r="H12" s="19">
        <f t="shared" si="0"/>
        <v>0.30303085820220232</v>
      </c>
      <c r="I12" s="19">
        <f t="shared" si="0"/>
        <v>0.16065862571418865</v>
      </c>
      <c r="J12" s="19">
        <f t="shared" si="0"/>
        <v>-0.38024394675798989</v>
      </c>
      <c r="K12" s="19">
        <f t="shared" si="0"/>
        <v>0.26009730817689802</v>
      </c>
      <c r="L12" s="58">
        <v>0.24201824999999999</v>
      </c>
      <c r="M12" s="58">
        <v>0.1936146</v>
      </c>
      <c r="N12" s="58">
        <v>0.14521095000000001</v>
      </c>
      <c r="O12" s="58">
        <v>9.6807299999999999E-2</v>
      </c>
      <c r="P12" s="58">
        <v>0.1</v>
      </c>
      <c r="Q12" s="6"/>
    </row>
    <row r="13" spans="1:17" ht="15.75" customHeight="1" outlineLevel="1" x14ac:dyDescent="0.3">
      <c r="A13" s="6"/>
      <c r="B13" s="6"/>
      <c r="C13" s="17" t="s">
        <v>22</v>
      </c>
      <c r="D13" s="6"/>
      <c r="E13" s="6"/>
      <c r="F13" s="18" t="s">
        <v>21</v>
      </c>
      <c r="G13" s="19" t="str">
        <f t="shared" si="0"/>
        <v>N/A</v>
      </c>
      <c r="H13" s="19">
        <f t="shared" si="0"/>
        <v>0.2322780514219922</v>
      </c>
      <c r="I13" s="19">
        <f t="shared" si="0"/>
        <v>0.23451872007781871</v>
      </c>
      <c r="J13" s="19">
        <f t="shared" si="0"/>
        <v>0.10178853909690688</v>
      </c>
      <c r="K13" s="19">
        <f t="shared" si="0"/>
        <v>0.10258514465478585</v>
      </c>
      <c r="L13" s="59">
        <v>9.7484500000000002E-2</v>
      </c>
      <c r="M13" s="59">
        <v>9.7484500000000002E-2</v>
      </c>
      <c r="N13" s="59">
        <v>7.7987600000000004E-2</v>
      </c>
      <c r="O13" s="59">
        <v>7.7987600000000004E-2</v>
      </c>
      <c r="P13" s="59">
        <v>0.06</v>
      </c>
      <c r="Q13" s="6"/>
    </row>
    <row r="14" spans="1:17" ht="15.75" customHeight="1" outlineLevel="1" x14ac:dyDescent="0.3">
      <c r="A14" s="6"/>
      <c r="B14" s="6"/>
      <c r="C14" s="17" t="s">
        <v>23</v>
      </c>
      <c r="D14" s="6"/>
      <c r="E14" s="6"/>
      <c r="F14" s="18" t="s">
        <v>21</v>
      </c>
      <c r="G14" s="19" t="str">
        <f t="shared" si="0"/>
        <v>N/A</v>
      </c>
      <c r="H14" s="19">
        <f t="shared" si="0"/>
        <v>1.3805371447924855</v>
      </c>
      <c r="I14" s="19">
        <f t="shared" si="0"/>
        <v>0.50885621342844511</v>
      </c>
      <c r="J14" s="19">
        <f t="shared" si="0"/>
        <v>0.73531694907762857</v>
      </c>
      <c r="K14" s="19">
        <f t="shared" si="0"/>
        <v>0.44011120934502612</v>
      </c>
      <c r="L14" s="59">
        <v>0.324434</v>
      </c>
      <c r="M14" s="59">
        <v>0.28387974999999999</v>
      </c>
      <c r="N14" s="59">
        <v>0.2433255</v>
      </c>
      <c r="O14" s="59">
        <v>0.2433255</v>
      </c>
      <c r="P14" s="59">
        <v>0.25</v>
      </c>
      <c r="Q14" s="6"/>
    </row>
    <row r="15" spans="1:17" ht="15.75" customHeight="1" outlineLevel="1" x14ac:dyDescent="0.3">
      <c r="A15" s="6"/>
      <c r="B15" s="6"/>
      <c r="C15" s="17" t="s">
        <v>24</v>
      </c>
      <c r="D15" s="6"/>
      <c r="E15" s="6"/>
      <c r="F15" s="18" t="s">
        <v>21</v>
      </c>
      <c r="G15" s="19" t="str">
        <f t="shared" si="0"/>
        <v>N/A</v>
      </c>
      <c r="H15" s="19">
        <f t="shared" si="0"/>
        <v>0.26961981055599193</v>
      </c>
      <c r="I15" s="19">
        <f t="shared" si="0"/>
        <v>0.25738017785703771</v>
      </c>
      <c r="J15" s="19">
        <f t="shared" si="0"/>
        <v>-0.25629273610958792</v>
      </c>
      <c r="K15" s="19">
        <f t="shared" si="0"/>
        <v>0.26009730817689802</v>
      </c>
      <c r="L15" s="59">
        <v>0.15341399999999999</v>
      </c>
      <c r="M15" s="59">
        <v>0.10227600000000001</v>
      </c>
      <c r="N15" s="59">
        <v>0.10227600000000001</v>
      </c>
      <c r="O15" s="59">
        <v>8.1820799999999999E-2</v>
      </c>
      <c r="P15" s="59">
        <v>0.08</v>
      </c>
      <c r="Q15" s="6"/>
    </row>
    <row r="16" spans="1:17" ht="15.75" customHeight="1" outlineLevel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9"/>
      <c r="L16" s="12"/>
      <c r="M16" s="12"/>
      <c r="N16" s="12"/>
      <c r="O16" s="12"/>
      <c r="P16" s="13"/>
      <c r="Q16" s="6"/>
    </row>
    <row r="17" spans="1:17" ht="15.75" customHeight="1" outlineLevel="1" x14ac:dyDescent="0.3">
      <c r="A17" s="6"/>
      <c r="B17" s="6"/>
      <c r="C17" s="8" t="s">
        <v>25</v>
      </c>
      <c r="D17" s="8"/>
      <c r="E17" s="8"/>
      <c r="F17" s="8"/>
      <c r="G17" s="8"/>
      <c r="H17" s="8"/>
      <c r="I17" s="8"/>
      <c r="J17" s="8"/>
      <c r="K17" s="14"/>
      <c r="L17" s="15"/>
      <c r="M17" s="15"/>
      <c r="N17" s="15"/>
      <c r="O17" s="15"/>
      <c r="P17" s="16"/>
      <c r="Q17" s="6"/>
    </row>
    <row r="18" spans="1:17" ht="15.75" customHeight="1" outlineLevel="1" x14ac:dyDescent="0.3">
      <c r="A18" s="6"/>
      <c r="B18" s="6"/>
      <c r="C18" s="17" t="s">
        <v>26</v>
      </c>
      <c r="D18" s="6"/>
      <c r="E18" s="6"/>
      <c r="F18" s="18" t="s">
        <v>21</v>
      </c>
      <c r="G18" s="19">
        <f t="shared" ref="G18:K20" si="1">IFERROR(-G87/G80,"N/A")</f>
        <v>0.5</v>
      </c>
      <c r="H18" s="19">
        <f t="shared" si="1"/>
        <v>0.5</v>
      </c>
      <c r="I18" s="19">
        <f t="shared" si="1"/>
        <v>0.5</v>
      </c>
      <c r="J18" s="19">
        <f t="shared" si="1"/>
        <v>0.5</v>
      </c>
      <c r="K18" s="19">
        <f t="shared" si="1"/>
        <v>0.5</v>
      </c>
      <c r="L18" s="58">
        <v>0.5</v>
      </c>
      <c r="M18" s="58">
        <v>0.5</v>
      </c>
      <c r="N18" s="58">
        <v>0.5</v>
      </c>
      <c r="O18" s="58">
        <v>0.5</v>
      </c>
      <c r="P18" s="58">
        <v>0.5</v>
      </c>
      <c r="Q18" s="6"/>
    </row>
    <row r="19" spans="1:17" ht="15.75" customHeight="1" outlineLevel="1" x14ac:dyDescent="0.3">
      <c r="A19" s="6"/>
      <c r="B19" s="6"/>
      <c r="C19" s="17" t="s">
        <v>27</v>
      </c>
      <c r="D19" s="6"/>
      <c r="E19" s="6"/>
      <c r="F19" s="18" t="s">
        <v>21</v>
      </c>
      <c r="G19" s="19">
        <f t="shared" si="1"/>
        <v>0.5</v>
      </c>
      <c r="H19" s="19">
        <f t="shared" si="1"/>
        <v>0.5</v>
      </c>
      <c r="I19" s="19">
        <f t="shared" si="1"/>
        <v>0.5</v>
      </c>
      <c r="J19" s="19">
        <f t="shared" si="1"/>
        <v>0.5</v>
      </c>
      <c r="K19" s="19">
        <f t="shared" si="1"/>
        <v>0.5</v>
      </c>
      <c r="L19" s="59">
        <v>0.5</v>
      </c>
      <c r="M19" s="59">
        <v>0.5</v>
      </c>
      <c r="N19" s="59">
        <v>0.5</v>
      </c>
      <c r="O19" s="59">
        <v>0.5</v>
      </c>
      <c r="P19" s="59">
        <v>0.5</v>
      </c>
      <c r="Q19" s="6"/>
    </row>
    <row r="20" spans="1:17" ht="15.75" customHeight="1" outlineLevel="1" x14ac:dyDescent="0.3">
      <c r="A20" s="6"/>
      <c r="B20" s="6"/>
      <c r="C20" s="17" t="s">
        <v>317</v>
      </c>
      <c r="D20" s="6"/>
      <c r="E20" s="6"/>
      <c r="F20" s="18" t="s">
        <v>21</v>
      </c>
      <c r="G20" s="19">
        <f t="shared" si="1"/>
        <v>0</v>
      </c>
      <c r="H20" s="19">
        <f t="shared" si="1"/>
        <v>0.4</v>
      </c>
      <c r="I20" s="19">
        <f t="shared" si="1"/>
        <v>0.4</v>
      </c>
      <c r="J20" s="19">
        <f t="shared" si="1"/>
        <v>0.40000000000000008</v>
      </c>
      <c r="K20" s="19">
        <f t="shared" si="1"/>
        <v>0.4</v>
      </c>
      <c r="L20" s="59">
        <v>0.4</v>
      </c>
      <c r="M20" s="59">
        <v>0.4</v>
      </c>
      <c r="N20" s="59">
        <v>0.4</v>
      </c>
      <c r="O20" s="59">
        <v>0.4</v>
      </c>
      <c r="P20" s="59">
        <v>0.4</v>
      </c>
      <c r="Q20" s="6"/>
    </row>
    <row r="21" spans="1:17" ht="15.75" customHeight="1" outlineLevel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9"/>
      <c r="L21" s="12"/>
      <c r="M21" s="12"/>
      <c r="N21" s="12"/>
      <c r="O21" s="12"/>
      <c r="P21" s="13"/>
      <c r="Q21" s="6"/>
    </row>
    <row r="22" spans="1:17" ht="15.75" customHeight="1" outlineLevel="1" x14ac:dyDescent="0.3">
      <c r="A22" s="6"/>
      <c r="B22" s="6"/>
      <c r="C22" s="17" t="s">
        <v>28</v>
      </c>
      <c r="D22" s="6"/>
      <c r="E22" s="6"/>
      <c r="F22" s="18" t="s">
        <v>21</v>
      </c>
      <c r="G22" s="19">
        <f t="shared" ref="G22:K23" si="2">IFERROR(-G95/G$84,"N/A")</f>
        <v>2.9000000000000001E-2</v>
      </c>
      <c r="H22" s="19">
        <f t="shared" si="2"/>
        <v>2.8000000000000001E-2</v>
      </c>
      <c r="I22" s="19">
        <f t="shared" si="2"/>
        <v>2.8000000000000001E-2</v>
      </c>
      <c r="J22" s="19">
        <f t="shared" si="2"/>
        <v>2.8000000000000001E-2</v>
      </c>
      <c r="K22" s="19">
        <f t="shared" si="2"/>
        <v>2.8000000000000001E-2</v>
      </c>
      <c r="L22" s="59">
        <v>3.2712372000000003E-2</v>
      </c>
      <c r="M22" s="59">
        <v>3.2712372000000003E-2</v>
      </c>
      <c r="N22" s="59">
        <v>3.3880671000000001E-2</v>
      </c>
      <c r="O22" s="59">
        <v>3.3880671000000001E-2</v>
      </c>
      <c r="P22" s="59">
        <v>3.5048969999999999E-2</v>
      </c>
      <c r="Q22" s="6"/>
    </row>
    <row r="23" spans="1:17" ht="15.75" customHeight="1" outlineLevel="1" x14ac:dyDescent="0.3">
      <c r="A23" s="6"/>
      <c r="B23" s="6"/>
      <c r="C23" s="17" t="s">
        <v>29</v>
      </c>
      <c r="D23" s="6"/>
      <c r="E23" s="6"/>
      <c r="F23" s="18" t="s">
        <v>21</v>
      </c>
      <c r="G23" s="19">
        <f t="shared" si="2"/>
        <v>0.03</v>
      </c>
      <c r="H23" s="19">
        <f t="shared" si="2"/>
        <v>3.0999999999999996E-2</v>
      </c>
      <c r="I23" s="19">
        <f t="shared" si="2"/>
        <v>3.5000000000000003E-2</v>
      </c>
      <c r="J23" s="19">
        <f t="shared" si="2"/>
        <v>0.04</v>
      </c>
      <c r="K23" s="19">
        <f t="shared" si="2"/>
        <v>4.1000000000000002E-2</v>
      </c>
      <c r="L23" s="59">
        <v>4.2563429999999999E-2</v>
      </c>
      <c r="M23" s="59">
        <v>4.2563429999999999E-2</v>
      </c>
      <c r="N23" s="59">
        <v>4.72927E-2</v>
      </c>
      <c r="O23" s="59">
        <v>4.72927E-2</v>
      </c>
      <c r="P23" s="59">
        <v>5.6751240000000001E-2</v>
      </c>
      <c r="Q23" s="6"/>
    </row>
    <row r="24" spans="1:17" ht="15.75" customHeight="1" outlineLevel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9"/>
      <c r="L24" s="12"/>
      <c r="M24" s="12"/>
      <c r="N24" s="12"/>
      <c r="O24" s="12"/>
      <c r="P24" s="13"/>
      <c r="Q24" s="6"/>
    </row>
    <row r="25" spans="1:17" ht="15.75" customHeight="1" outlineLevel="1" x14ac:dyDescent="0.3">
      <c r="A25" s="6"/>
      <c r="B25" s="6"/>
      <c r="C25" s="17" t="s">
        <v>30</v>
      </c>
      <c r="D25" s="6"/>
      <c r="E25" s="6"/>
      <c r="F25" s="18" t="s">
        <v>21</v>
      </c>
      <c r="G25" s="19">
        <f>IFERROR(-G102/G$84,"N/A")</f>
        <v>5.8799456222628855E-3</v>
      </c>
      <c r="H25" s="19">
        <f>IFERROR(-H102/H$84,"N/A")</f>
        <v>3.7050118930881774E-3</v>
      </c>
      <c r="I25" s="19">
        <f>IFERROR(-I102/I$84,"N/A")</f>
        <v>2.4555102468442596E-3</v>
      </c>
      <c r="J25" s="19">
        <f>IFERROR(-J102/J$84,"N/A")</f>
        <v>2.6413728799680922E-3</v>
      </c>
      <c r="K25" s="19">
        <f>IFERROR(-K102/K$84,"N/A")</f>
        <v>2.3581865231212329E-3</v>
      </c>
      <c r="L25" s="59">
        <v>1.763064E-3</v>
      </c>
      <c r="M25" s="59">
        <v>1.763064E-3</v>
      </c>
      <c r="N25" s="59">
        <v>2.6445959999999999E-3</v>
      </c>
      <c r="O25" s="59">
        <v>2.6445959999999999E-3</v>
      </c>
      <c r="P25" s="59">
        <v>2.6445959999999999E-3</v>
      </c>
      <c r="Q25" s="6"/>
    </row>
    <row r="26" spans="1:17" ht="15.75" customHeight="1" outlineLevel="1" x14ac:dyDescent="0.3">
      <c r="A26" s="6"/>
      <c r="B26" s="6"/>
      <c r="C26" s="17" t="s">
        <v>31</v>
      </c>
      <c r="D26" s="6"/>
      <c r="E26" s="6"/>
      <c r="F26" s="18" t="s">
        <v>21</v>
      </c>
      <c r="G26" s="19">
        <f>IFERROR(-G104/G$84,"N/A")</f>
        <v>0</v>
      </c>
      <c r="H26" s="19">
        <f>IFERROR(-H104/H$84,"N/A")</f>
        <v>2.4700079287254515E-2</v>
      </c>
      <c r="I26" s="19">
        <f>IFERROR(-I104/I$84,"N/A")</f>
        <v>3.2740136624590126E-2</v>
      </c>
      <c r="J26" s="19">
        <f>IFERROR(-J104/J$84,"N/A")</f>
        <v>2.6413728799680923E-2</v>
      </c>
      <c r="K26" s="19">
        <f>IFERROR(-K104/K$84,"N/A")</f>
        <v>3.1442486974949772E-2</v>
      </c>
      <c r="L26" s="59">
        <v>2.6861841000000001E-2</v>
      </c>
      <c r="M26" s="59">
        <v>2.8594863000000002E-2</v>
      </c>
      <c r="N26" s="59">
        <v>3.0327884999999999E-2</v>
      </c>
      <c r="O26" s="59">
        <v>3.0327884999999999E-2</v>
      </c>
      <c r="P26" s="59">
        <v>3.2060907E-2</v>
      </c>
      <c r="Q26" s="6"/>
    </row>
    <row r="27" spans="1:17" ht="15.75" customHeight="1" outlineLevel="1" x14ac:dyDescent="0.3">
      <c r="A27" s="6"/>
      <c r="B27" s="6"/>
      <c r="C27" s="17" t="s">
        <v>32</v>
      </c>
      <c r="D27" s="6"/>
      <c r="E27" s="6"/>
      <c r="F27" s="18" t="s">
        <v>21</v>
      </c>
      <c r="G27" s="19">
        <f t="shared" ref="G27:K29" si="3">IFERROR(-G108/G$84,"N/A")</f>
        <v>9.4079129956206164E-3</v>
      </c>
      <c r="H27" s="19">
        <f t="shared" si="3"/>
        <v>1.2350039643627258E-2</v>
      </c>
      <c r="I27" s="19">
        <f t="shared" si="3"/>
        <v>1.6370068312295063E-2</v>
      </c>
      <c r="J27" s="19">
        <f t="shared" si="3"/>
        <v>1.9810296599760691E-2</v>
      </c>
      <c r="K27" s="19">
        <f t="shared" si="3"/>
        <v>2.0961657983299849E-2</v>
      </c>
      <c r="L27" s="59">
        <v>2.2781748000000001E-2</v>
      </c>
      <c r="M27" s="59">
        <v>2.4852816E-2</v>
      </c>
      <c r="N27" s="59">
        <v>2.4852816E-2</v>
      </c>
      <c r="O27" s="59">
        <v>2.6923883999999999E-2</v>
      </c>
      <c r="P27" s="59">
        <v>2.6923883999999999E-2</v>
      </c>
      <c r="Q27" s="6"/>
    </row>
    <row r="28" spans="1:17" ht="15.75" customHeight="1" outlineLevel="1" x14ac:dyDescent="0.3">
      <c r="A28" s="6"/>
      <c r="B28" s="6"/>
      <c r="C28" s="17" t="s">
        <v>33</v>
      </c>
      <c r="D28" s="6"/>
      <c r="E28" s="6"/>
      <c r="F28" s="18" t="s">
        <v>21</v>
      </c>
      <c r="G28" s="19">
        <f t="shared" si="3"/>
        <v>2.7132421079369858E-2</v>
      </c>
      <c r="H28" s="19">
        <f t="shared" si="3"/>
        <v>2.1731129756926523E-2</v>
      </c>
      <c r="I28" s="19">
        <f t="shared" si="3"/>
        <v>9.8416850693517927E-3</v>
      </c>
      <c r="J28" s="19">
        <f t="shared" si="3"/>
        <v>6.7658766320382686E-3</v>
      </c>
      <c r="K28" s="19">
        <f t="shared" si="3"/>
        <v>7.0881846470528444E-3</v>
      </c>
      <c r="L28" s="59">
        <v>6.1715989999999998E-3</v>
      </c>
      <c r="M28" s="59">
        <v>5.2899419999999997E-3</v>
      </c>
      <c r="N28" s="59">
        <v>4.4082849999999996E-3</v>
      </c>
      <c r="O28" s="59">
        <v>3.526628E-3</v>
      </c>
      <c r="P28" s="59">
        <v>3.526628E-3</v>
      </c>
      <c r="Q28" s="6"/>
    </row>
    <row r="29" spans="1:17" ht="15.75" customHeight="1" outlineLevel="1" x14ac:dyDescent="0.3">
      <c r="A29" s="6"/>
      <c r="B29" s="6"/>
      <c r="C29" s="17" t="s">
        <v>34</v>
      </c>
      <c r="D29" s="6"/>
      <c r="E29" s="6"/>
      <c r="F29" s="18" t="s">
        <v>21</v>
      </c>
      <c r="G29" s="19">
        <f t="shared" si="3"/>
        <v>2.6718472907562552E-3</v>
      </c>
      <c r="H29" s="19">
        <f t="shared" si="3"/>
        <v>1.9562462795505576E-3</v>
      </c>
      <c r="I29" s="19">
        <f t="shared" si="3"/>
        <v>1.655013906373031E-3</v>
      </c>
      <c r="J29" s="19">
        <f t="shared" si="3"/>
        <v>2.0114054480957024E-3</v>
      </c>
      <c r="K29" s="19">
        <f t="shared" si="3"/>
        <v>2.1213197879099447E-3</v>
      </c>
      <c r="L29" s="59">
        <v>1.6774579999999999E-3</v>
      </c>
      <c r="M29" s="59">
        <v>1.6774579999999999E-3</v>
      </c>
      <c r="N29" s="59">
        <v>2.516187E-3</v>
      </c>
      <c r="O29" s="59">
        <v>3.3549159999999999E-3</v>
      </c>
      <c r="P29" s="59">
        <v>3.3549159999999999E-3</v>
      </c>
      <c r="Q29" s="6"/>
    </row>
    <row r="30" spans="1:17" ht="15.75" customHeight="1" outlineLevel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9"/>
      <c r="L30" s="12"/>
      <c r="M30" s="12"/>
      <c r="N30" s="12"/>
      <c r="O30" s="12"/>
      <c r="P30" s="13"/>
      <c r="Q30" s="6"/>
    </row>
    <row r="31" spans="1:17" ht="15.75" customHeight="1" outlineLevel="1" x14ac:dyDescent="0.3">
      <c r="A31" s="6"/>
      <c r="B31" s="6"/>
      <c r="C31" s="17" t="s">
        <v>35</v>
      </c>
      <c r="D31" s="6"/>
      <c r="E31" s="6"/>
      <c r="F31" s="18" t="s">
        <v>21</v>
      </c>
      <c r="G31" s="19">
        <f>IFERROR(-G117/G115,"N/A")</f>
        <v>0.25</v>
      </c>
      <c r="H31" s="19">
        <f>IFERROR(-H117/H115,"N/A")</f>
        <v>0.27</v>
      </c>
      <c r="I31" s="19">
        <f>IFERROR(-I117/I115,"N/A")</f>
        <v>0.28000000000000003</v>
      </c>
      <c r="J31" s="19">
        <f>IFERROR(-J117/J115,"N/A")</f>
        <v>0.28999999999999998</v>
      </c>
      <c r="K31" s="19">
        <f>IFERROR(-K117/K115,"N/A")</f>
        <v>0.3</v>
      </c>
      <c r="L31" s="59">
        <v>0.3</v>
      </c>
      <c r="M31" s="59">
        <v>0.3</v>
      </c>
      <c r="N31" s="59">
        <v>0.3</v>
      </c>
      <c r="O31" s="59">
        <v>0.3</v>
      </c>
      <c r="P31" s="59">
        <v>0.3</v>
      </c>
      <c r="Q31" s="6"/>
    </row>
    <row r="32" spans="1:17" ht="15.75" customHeight="1" outlineLevel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9"/>
      <c r="L32" s="6"/>
      <c r="M32" s="6"/>
      <c r="N32" s="6"/>
      <c r="O32" s="6"/>
      <c r="P32" s="9"/>
      <c r="Q32" s="6"/>
    </row>
    <row r="33" spans="1:17" ht="15.75" customHeight="1" outlineLevel="1" x14ac:dyDescent="0.3">
      <c r="A33" s="6"/>
      <c r="B33" s="6"/>
      <c r="C33" s="8" t="s">
        <v>36</v>
      </c>
      <c r="D33" s="8"/>
      <c r="E33" s="8"/>
      <c r="F33" s="8"/>
      <c r="G33" s="8"/>
      <c r="H33" s="8"/>
      <c r="I33" s="8"/>
      <c r="J33" s="8"/>
      <c r="K33" s="14"/>
      <c r="L33" s="8"/>
      <c r="M33" s="8"/>
      <c r="N33" s="8"/>
      <c r="O33" s="8"/>
      <c r="P33" s="14"/>
      <c r="Q33" s="6"/>
    </row>
    <row r="34" spans="1:17" ht="15.75" customHeight="1" outlineLevel="1" x14ac:dyDescent="0.3">
      <c r="A34" s="6"/>
      <c r="B34" s="6"/>
      <c r="C34" s="17" t="s">
        <v>37</v>
      </c>
      <c r="D34" s="6"/>
      <c r="E34" s="6"/>
      <c r="F34" s="18" t="s">
        <v>38</v>
      </c>
      <c r="G34" s="60">
        <v>0</v>
      </c>
      <c r="H34" s="60">
        <v>0</v>
      </c>
      <c r="I34" s="60">
        <v>0.5</v>
      </c>
      <c r="J34" s="60">
        <v>0.75</v>
      </c>
      <c r="K34" s="60">
        <v>1</v>
      </c>
      <c r="L34" s="61">
        <v>1</v>
      </c>
      <c r="M34" s="61">
        <v>1.5</v>
      </c>
      <c r="N34" s="61">
        <v>1.5</v>
      </c>
      <c r="O34" s="61">
        <v>2</v>
      </c>
      <c r="P34" s="61">
        <v>2</v>
      </c>
      <c r="Q34" s="6"/>
    </row>
    <row r="35" spans="1:17" ht="15.75" customHeight="1" outlineLevel="1" x14ac:dyDescent="0.3">
      <c r="A35" s="6"/>
      <c r="B35" s="6"/>
      <c r="C35" s="17" t="s">
        <v>39</v>
      </c>
      <c r="D35" s="6"/>
      <c r="E35" s="6"/>
      <c r="F35" s="18" t="s">
        <v>38</v>
      </c>
      <c r="G35" s="60">
        <v>0</v>
      </c>
      <c r="H35" s="60">
        <v>0.5</v>
      </c>
      <c r="I35" s="60">
        <v>1</v>
      </c>
      <c r="J35" s="60">
        <v>1</v>
      </c>
      <c r="K35" s="60">
        <v>1</v>
      </c>
      <c r="L35" s="61">
        <v>1.5</v>
      </c>
      <c r="M35" s="61">
        <v>1.5</v>
      </c>
      <c r="N35" s="61">
        <v>2</v>
      </c>
      <c r="O35" s="61">
        <v>2</v>
      </c>
      <c r="P35" s="61">
        <v>2</v>
      </c>
      <c r="Q35" s="6"/>
    </row>
    <row r="36" spans="1:17" ht="15.75" customHeight="1" outlineLevel="1" x14ac:dyDescent="0.3">
      <c r="A36" s="6"/>
      <c r="B36" s="6"/>
      <c r="C36" s="17" t="s">
        <v>318</v>
      </c>
      <c r="D36" s="6"/>
      <c r="E36" s="6"/>
      <c r="F36" s="18" t="s">
        <v>38</v>
      </c>
      <c r="G36" s="60">
        <v>0</v>
      </c>
      <c r="H36" s="60">
        <v>0.5</v>
      </c>
      <c r="I36" s="60">
        <v>0.5</v>
      </c>
      <c r="J36" s="60">
        <v>0.5</v>
      </c>
      <c r="K36" s="60">
        <v>0.5</v>
      </c>
      <c r="L36" s="61">
        <v>0.5</v>
      </c>
      <c r="M36" s="61">
        <v>1</v>
      </c>
      <c r="N36" s="61">
        <v>1</v>
      </c>
      <c r="O36" s="61">
        <v>1</v>
      </c>
      <c r="P36" s="61">
        <v>1</v>
      </c>
      <c r="Q36" s="6"/>
    </row>
    <row r="37" spans="1:17" ht="15.75" customHeight="1" outlineLevel="1" x14ac:dyDescent="0.3">
      <c r="A37" s="6"/>
      <c r="B37" s="6"/>
      <c r="C37" s="17" t="s">
        <v>40</v>
      </c>
      <c r="D37" s="6"/>
      <c r="E37" s="6"/>
      <c r="F37" s="18" t="s">
        <v>38</v>
      </c>
      <c r="G37" s="60">
        <v>0</v>
      </c>
      <c r="H37" s="60">
        <v>0</v>
      </c>
      <c r="I37" s="60">
        <v>0.5</v>
      </c>
      <c r="J37" s="60">
        <v>0.75</v>
      </c>
      <c r="K37" s="60">
        <v>1</v>
      </c>
      <c r="L37" s="61">
        <v>1</v>
      </c>
      <c r="M37" s="61">
        <v>1</v>
      </c>
      <c r="N37" s="61">
        <v>1</v>
      </c>
      <c r="O37" s="61">
        <v>1.25</v>
      </c>
      <c r="P37" s="61">
        <v>1.5</v>
      </c>
      <c r="Q37" s="6"/>
    </row>
    <row r="38" spans="1:17" ht="15.75" customHeight="1" outlineLevel="1" x14ac:dyDescent="0.3">
      <c r="A38" s="6"/>
      <c r="B38" s="6"/>
      <c r="C38" s="17" t="s">
        <v>41</v>
      </c>
      <c r="D38" s="6"/>
      <c r="E38" s="6"/>
      <c r="F38" s="18" t="s">
        <v>38</v>
      </c>
      <c r="G38" s="60">
        <v>0</v>
      </c>
      <c r="H38" s="60">
        <v>0</v>
      </c>
      <c r="I38" s="60">
        <v>0.5</v>
      </c>
      <c r="J38" s="60">
        <v>0.5</v>
      </c>
      <c r="K38" s="60">
        <v>1</v>
      </c>
      <c r="L38" s="61">
        <v>1</v>
      </c>
      <c r="M38" s="61">
        <v>1</v>
      </c>
      <c r="N38" s="61">
        <v>2</v>
      </c>
      <c r="O38" s="61">
        <v>2</v>
      </c>
      <c r="P38" s="61">
        <v>2</v>
      </c>
      <c r="Q38" s="6"/>
    </row>
    <row r="39" spans="1:17" ht="15.75" customHeight="1" outlineLevel="1" x14ac:dyDescent="0.3">
      <c r="A39" s="6"/>
      <c r="B39" s="6"/>
      <c r="C39" s="17" t="s">
        <v>42</v>
      </c>
      <c r="D39" s="6"/>
      <c r="E39" s="6"/>
      <c r="F39" s="18" t="s">
        <v>38</v>
      </c>
      <c r="G39" s="60">
        <v>0</v>
      </c>
      <c r="H39" s="60">
        <v>0</v>
      </c>
      <c r="I39" s="60">
        <v>0.5</v>
      </c>
      <c r="J39" s="60">
        <v>0.5</v>
      </c>
      <c r="K39" s="60">
        <v>0.5</v>
      </c>
      <c r="L39" s="235">
        <v>0.5</v>
      </c>
      <c r="M39" s="235">
        <v>0.75</v>
      </c>
      <c r="N39" s="235">
        <v>0.75</v>
      </c>
      <c r="O39" s="235">
        <v>1</v>
      </c>
      <c r="P39" s="235">
        <v>1</v>
      </c>
      <c r="Q39" s="6"/>
    </row>
    <row r="40" spans="1:17" ht="15.75" customHeight="1" outlineLevel="1" x14ac:dyDescent="0.3">
      <c r="A40" s="6"/>
      <c r="B40" s="36"/>
      <c r="C40" s="36" t="s">
        <v>43</v>
      </c>
      <c r="D40" s="36"/>
      <c r="E40" s="36"/>
      <c r="F40" s="36"/>
      <c r="G40" s="37">
        <f t="shared" ref="G40:P40" si="4">SUM(G34:G39)</f>
        <v>0</v>
      </c>
      <c r="H40" s="37">
        <f t="shared" si="4"/>
        <v>1</v>
      </c>
      <c r="I40" s="37">
        <f t="shared" si="4"/>
        <v>3.5</v>
      </c>
      <c r="J40" s="37">
        <f t="shared" si="4"/>
        <v>4</v>
      </c>
      <c r="K40" s="37">
        <f t="shared" si="4"/>
        <v>5</v>
      </c>
      <c r="L40" s="37">
        <f t="shared" si="4"/>
        <v>5.5</v>
      </c>
      <c r="M40" s="37">
        <f t="shared" si="4"/>
        <v>6.75</v>
      </c>
      <c r="N40" s="37">
        <f t="shared" si="4"/>
        <v>8.25</v>
      </c>
      <c r="O40" s="37">
        <f t="shared" si="4"/>
        <v>9.25</v>
      </c>
      <c r="P40" s="37">
        <f t="shared" si="4"/>
        <v>9.5</v>
      </c>
    </row>
    <row r="41" spans="1:17" ht="15.75" customHeight="1" outlineLevel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9"/>
      <c r="L41" s="6"/>
      <c r="M41" s="6"/>
      <c r="N41" s="6"/>
      <c r="O41" s="6"/>
      <c r="P41" s="9"/>
      <c r="Q41" s="6"/>
    </row>
    <row r="42" spans="1:17" ht="15.75" customHeight="1" outlineLevel="1" x14ac:dyDescent="0.3">
      <c r="A42" s="6"/>
      <c r="B42" s="6"/>
      <c r="C42" s="21" t="s">
        <v>44</v>
      </c>
      <c r="D42" s="8"/>
      <c r="E42" s="8"/>
      <c r="F42" s="8"/>
      <c r="G42" s="8"/>
      <c r="H42" s="8"/>
      <c r="I42" s="8"/>
      <c r="J42" s="8"/>
      <c r="K42" s="14"/>
      <c r="L42" s="8"/>
      <c r="M42" s="8"/>
      <c r="N42" s="8"/>
      <c r="O42" s="8"/>
      <c r="P42" s="14"/>
      <c r="Q42" s="6"/>
    </row>
    <row r="43" spans="1:17" ht="15.75" customHeight="1" outlineLevel="1" x14ac:dyDescent="0.3">
      <c r="A43" s="6"/>
      <c r="B43" s="6"/>
      <c r="C43" s="17" t="str">
        <f t="shared" ref="C43:C48" si="5">C34</f>
        <v>Subscriber Support:</v>
      </c>
      <c r="D43" s="6"/>
      <c r="E43" s="6"/>
      <c r="F43" s="18" t="s">
        <v>45</v>
      </c>
      <c r="G43" s="22" t="str">
        <f>IFERROR(-G103/G34,"N/A")</f>
        <v>N/A</v>
      </c>
      <c r="H43" s="22" t="str">
        <f>IFERROR(-H103/H34,"N/A")</f>
        <v>N/A</v>
      </c>
      <c r="I43" s="22">
        <f>IFERROR(-I103/I34,"N/A")</f>
        <v>60000</v>
      </c>
      <c r="J43" s="22">
        <f>IFERROR(-J103/J34,"N/A")</f>
        <v>60000</v>
      </c>
      <c r="K43" s="22">
        <f>IFERROR(-K103/K34,"N/A")</f>
        <v>60000</v>
      </c>
      <c r="L43" s="23">
        <f t="shared" ref="L43:P48" si="6">K43*(1+L$50)</f>
        <v>62483.9424</v>
      </c>
      <c r="M43" s="23">
        <f t="shared" si="6"/>
        <v>65070.717630775289</v>
      </c>
      <c r="N43" s="23">
        <f t="shared" si="6"/>
        <v>67764.582872800456</v>
      </c>
      <c r="O43" s="23">
        <f t="shared" si="6"/>
        <v>70569.971549734837</v>
      </c>
      <c r="P43" s="23">
        <f t="shared" si="6"/>
        <v>73491.500624721171</v>
      </c>
      <c r="Q43" s="6"/>
    </row>
    <row r="44" spans="1:17" ht="15.75" customHeight="1" outlineLevel="1" x14ac:dyDescent="0.3">
      <c r="A44" s="6"/>
      <c r="B44" s="6"/>
      <c r="C44" s="17" t="str">
        <f t="shared" si="5"/>
        <v>Website Design and Development:</v>
      </c>
      <c r="D44" s="6"/>
      <c r="E44" s="6"/>
      <c r="F44" s="18" t="s">
        <v>45</v>
      </c>
      <c r="G44" s="24" t="str">
        <f t="shared" ref="G44:K46" si="7">IFERROR(-G105/G35,"N/A")</f>
        <v>N/A</v>
      </c>
      <c r="H44" s="24">
        <f t="shared" si="7"/>
        <v>60000</v>
      </c>
      <c r="I44" s="24">
        <f t="shared" si="7"/>
        <v>60000</v>
      </c>
      <c r="J44" s="24">
        <f t="shared" si="7"/>
        <v>60000</v>
      </c>
      <c r="K44" s="24">
        <f t="shared" si="7"/>
        <v>60000</v>
      </c>
      <c r="L44" s="25">
        <f t="shared" si="6"/>
        <v>62483.9424</v>
      </c>
      <c r="M44" s="25">
        <f t="shared" si="6"/>
        <v>65070.717630775289</v>
      </c>
      <c r="N44" s="25">
        <f t="shared" si="6"/>
        <v>67764.582872800456</v>
      </c>
      <c r="O44" s="25">
        <f t="shared" si="6"/>
        <v>70569.971549734837</v>
      </c>
      <c r="P44" s="25">
        <f t="shared" si="6"/>
        <v>73491.500624721171</v>
      </c>
      <c r="Q44" s="6"/>
    </row>
    <row r="45" spans="1:17" ht="15.75" customHeight="1" outlineLevel="1" x14ac:dyDescent="0.3">
      <c r="A45" s="6"/>
      <c r="B45" s="6"/>
      <c r="C45" s="17" t="str">
        <f t="shared" si="5"/>
        <v>Sales Reps:</v>
      </c>
      <c r="D45" s="6"/>
      <c r="E45" s="6"/>
      <c r="F45" s="18" t="s">
        <v>45</v>
      </c>
      <c r="G45" s="24" t="str">
        <f t="shared" si="7"/>
        <v>N/A</v>
      </c>
      <c r="H45" s="24">
        <f t="shared" si="7"/>
        <v>20000</v>
      </c>
      <c r="I45" s="24">
        <f t="shared" si="7"/>
        <v>24000</v>
      </c>
      <c r="J45" s="24">
        <f t="shared" si="7"/>
        <v>24000</v>
      </c>
      <c r="K45" s="24">
        <f t="shared" si="7"/>
        <v>24000</v>
      </c>
      <c r="L45" s="25">
        <f t="shared" si="6"/>
        <v>24993.576959999999</v>
      </c>
      <c r="M45" s="25">
        <f t="shared" si="6"/>
        <v>26028.287052310116</v>
      </c>
      <c r="N45" s="25">
        <f t="shared" si="6"/>
        <v>27105.833149120182</v>
      </c>
      <c r="O45" s="25">
        <f t="shared" si="6"/>
        <v>28227.988619893935</v>
      </c>
      <c r="P45" s="25">
        <f t="shared" si="6"/>
        <v>29396.600249888466</v>
      </c>
      <c r="Q45" s="6"/>
    </row>
    <row r="46" spans="1:17" ht="15.75" customHeight="1" outlineLevel="1" x14ac:dyDescent="0.3">
      <c r="A46" s="6"/>
      <c r="B46" s="6"/>
      <c r="C46" s="17" t="str">
        <f t="shared" si="5"/>
        <v>Marketing Personnel:</v>
      </c>
      <c r="D46" s="6"/>
      <c r="E46" s="6"/>
      <c r="F46" s="18" t="s">
        <v>45</v>
      </c>
      <c r="G46" s="24" t="str">
        <f t="shared" si="7"/>
        <v>N/A</v>
      </c>
      <c r="H46" s="24" t="str">
        <f t="shared" si="7"/>
        <v>N/A</v>
      </c>
      <c r="I46" s="24">
        <f t="shared" si="7"/>
        <v>80000</v>
      </c>
      <c r="J46" s="24">
        <f t="shared" si="7"/>
        <v>80000</v>
      </c>
      <c r="K46" s="24">
        <f t="shared" si="7"/>
        <v>80000</v>
      </c>
      <c r="L46" s="25">
        <f t="shared" si="6"/>
        <v>83311.92319999999</v>
      </c>
      <c r="M46" s="25">
        <f t="shared" si="6"/>
        <v>86760.956841033709</v>
      </c>
      <c r="N46" s="25">
        <f t="shared" si="6"/>
        <v>90352.777163733932</v>
      </c>
      <c r="O46" s="25">
        <f t="shared" si="6"/>
        <v>94093.295399646435</v>
      </c>
      <c r="P46" s="25">
        <f t="shared" si="6"/>
        <v>97988.667499628209</v>
      </c>
      <c r="Q46" s="6"/>
    </row>
    <row r="47" spans="1:17" ht="15.75" customHeight="1" outlineLevel="1" x14ac:dyDescent="0.3">
      <c r="A47" s="6"/>
      <c r="B47" s="6"/>
      <c r="C47" s="17" t="str">
        <f t="shared" si="5"/>
        <v>Media Product Creation:</v>
      </c>
      <c r="D47" s="6"/>
      <c r="E47" s="6"/>
      <c r="F47" s="18" t="s">
        <v>45</v>
      </c>
      <c r="G47" s="24" t="str">
        <f t="shared" ref="G47:K48" si="8">IFERROR(-G111/G38,"N/A")</f>
        <v>N/A</v>
      </c>
      <c r="H47" s="24" t="str">
        <f t="shared" si="8"/>
        <v>N/A</v>
      </c>
      <c r="I47" s="24">
        <f t="shared" si="8"/>
        <v>80000</v>
      </c>
      <c r="J47" s="24">
        <f t="shared" si="8"/>
        <v>80000</v>
      </c>
      <c r="K47" s="24">
        <f t="shared" si="8"/>
        <v>80000</v>
      </c>
      <c r="L47" s="25">
        <f t="shared" si="6"/>
        <v>83311.92319999999</v>
      </c>
      <c r="M47" s="25">
        <f t="shared" si="6"/>
        <v>86760.956841033709</v>
      </c>
      <c r="N47" s="25">
        <f t="shared" si="6"/>
        <v>90352.777163733932</v>
      </c>
      <c r="O47" s="25">
        <f t="shared" si="6"/>
        <v>94093.295399646435</v>
      </c>
      <c r="P47" s="25">
        <f t="shared" si="6"/>
        <v>97988.667499628209</v>
      </c>
      <c r="Q47" s="6"/>
    </row>
    <row r="48" spans="1:17" ht="15.75" customHeight="1" outlineLevel="1" x14ac:dyDescent="0.3">
      <c r="A48" s="6"/>
      <c r="B48" s="6"/>
      <c r="C48" s="17" t="str">
        <f t="shared" si="5"/>
        <v>Content Production:</v>
      </c>
      <c r="D48" s="6"/>
      <c r="E48" s="6"/>
      <c r="F48" s="18" t="s">
        <v>45</v>
      </c>
      <c r="G48" s="24" t="str">
        <f t="shared" si="8"/>
        <v>N/A</v>
      </c>
      <c r="H48" s="24" t="str">
        <f t="shared" si="8"/>
        <v>N/A</v>
      </c>
      <c r="I48" s="24">
        <f t="shared" si="8"/>
        <v>60000</v>
      </c>
      <c r="J48" s="24">
        <f t="shared" si="8"/>
        <v>60000</v>
      </c>
      <c r="K48" s="24">
        <f t="shared" si="8"/>
        <v>60000</v>
      </c>
      <c r="L48" s="25">
        <f t="shared" si="6"/>
        <v>62483.9424</v>
      </c>
      <c r="M48" s="25">
        <f t="shared" si="6"/>
        <v>65070.717630775289</v>
      </c>
      <c r="N48" s="25">
        <f t="shared" si="6"/>
        <v>67764.582872800456</v>
      </c>
      <c r="O48" s="25">
        <f t="shared" si="6"/>
        <v>70569.971549734837</v>
      </c>
      <c r="P48" s="25">
        <f t="shared" si="6"/>
        <v>73491.500624721171</v>
      </c>
      <c r="Q48" s="6"/>
    </row>
    <row r="49" spans="1:17" ht="15.75" customHeight="1" outlineLevel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9"/>
      <c r="L49" s="6"/>
      <c r="M49" s="6"/>
      <c r="N49" s="6"/>
      <c r="O49" s="6"/>
      <c r="P49" s="9"/>
      <c r="Q49" s="6"/>
    </row>
    <row r="50" spans="1:17" ht="15.75" customHeight="1" outlineLevel="1" x14ac:dyDescent="0.3">
      <c r="A50" s="6"/>
      <c r="B50" s="6"/>
      <c r="C50" s="6" t="s">
        <v>46</v>
      </c>
      <c r="D50" s="6"/>
      <c r="E50" s="6"/>
      <c r="F50" s="18" t="s">
        <v>21</v>
      </c>
      <c r="G50" s="6"/>
      <c r="H50" s="6"/>
      <c r="I50" s="6"/>
      <c r="J50" s="6"/>
      <c r="K50" s="9"/>
      <c r="L50" s="236">
        <v>4.1399039999999998E-2</v>
      </c>
      <c r="M50" s="236">
        <v>4.1399039999999998E-2</v>
      </c>
      <c r="N50" s="236">
        <v>4.1399039999999998E-2</v>
      </c>
      <c r="O50" s="236">
        <v>4.1399039999999998E-2</v>
      </c>
      <c r="P50" s="236">
        <v>4.1399039999999998E-2</v>
      </c>
      <c r="Q50" s="6"/>
    </row>
    <row r="51" spans="1:17" ht="15.75" customHeight="1" x14ac:dyDescent="0.3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.75" customHeight="1" x14ac:dyDescent="0.3">
      <c r="A52" s="6"/>
      <c r="B52" s="43"/>
      <c r="C52" s="43"/>
      <c r="D52" s="43"/>
      <c r="E52" s="43"/>
      <c r="F52" s="43"/>
      <c r="G52" s="43" t="str">
        <f>$G$5</f>
        <v>Actuals</v>
      </c>
      <c r="H52" s="43"/>
      <c r="I52" s="43"/>
      <c r="J52" s="43"/>
      <c r="K52" s="44"/>
      <c r="L52" s="43" t="str">
        <f>$L$5</f>
        <v>Forecast</v>
      </c>
      <c r="M52" s="43"/>
      <c r="N52" s="43"/>
      <c r="O52" s="43"/>
      <c r="P52" s="43"/>
    </row>
    <row r="53" spans="1:17" ht="15.75" customHeight="1" x14ac:dyDescent="0.3">
      <c r="A53" s="6"/>
      <c r="B53" s="46" t="s">
        <v>47</v>
      </c>
      <c r="C53" s="47"/>
      <c r="D53" s="47"/>
      <c r="E53" s="47"/>
      <c r="F53" s="48" t="str">
        <f>$F$6</f>
        <v>Reporting Units:</v>
      </c>
      <c r="G53" s="49" t="str">
        <f>$G$6</f>
        <v>Year 1</v>
      </c>
      <c r="H53" s="49" t="str">
        <f>$H$6</f>
        <v>Year 2</v>
      </c>
      <c r="I53" s="49" t="str">
        <f>$I$6</f>
        <v>Year 3</v>
      </c>
      <c r="J53" s="49" t="str">
        <f>$J$6</f>
        <v>Year 4</v>
      </c>
      <c r="K53" s="50" t="str">
        <f>$K$6</f>
        <v>Year 5</v>
      </c>
      <c r="L53" s="49" t="str">
        <f>$L$6</f>
        <v>Year 6</v>
      </c>
      <c r="M53" s="49" t="str">
        <f>$M$6</f>
        <v>Year 7</v>
      </c>
      <c r="N53" s="49" t="str">
        <f>$N$6</f>
        <v>Year 8</v>
      </c>
      <c r="O53" s="49" t="str">
        <f>$O$6</f>
        <v>Year 9</v>
      </c>
      <c r="P53" s="49" t="str">
        <f>$P$6</f>
        <v>Year 10</v>
      </c>
    </row>
    <row r="54" spans="1:17" ht="15.75" customHeight="1" outlineLevel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9"/>
      <c r="L54" s="6"/>
      <c r="M54" s="6"/>
      <c r="N54" s="6"/>
      <c r="O54" s="6"/>
      <c r="P54" s="9"/>
      <c r="Q54" s="6"/>
    </row>
    <row r="55" spans="1:17" ht="15.75" customHeight="1" outlineLevel="1" x14ac:dyDescent="0.3">
      <c r="A55" s="6"/>
      <c r="B55" s="6"/>
      <c r="C55" s="6" t="s">
        <v>48</v>
      </c>
      <c r="D55" s="6"/>
      <c r="E55" s="6"/>
      <c r="F55" s="18" t="s">
        <v>21</v>
      </c>
      <c r="G55" s="27">
        <f>IFERROR(+G140/G84,"N/A")</f>
        <v>0</v>
      </c>
      <c r="H55" s="27">
        <f>IFERROR(+H140/H84,"N/A")</f>
        <v>5.0000000000000001E-3</v>
      </c>
      <c r="I55" s="27">
        <f>IFERROR(+I140/I84,"N/A")</f>
        <v>0.01</v>
      </c>
      <c r="J55" s="27">
        <f>IFERROR(+J140/J84,"N/A")</f>
        <v>0.01</v>
      </c>
      <c r="K55" s="27">
        <f>IFERROR(+K140/K84,"N/A")</f>
        <v>1.2E-2</v>
      </c>
      <c r="L55" s="236">
        <v>1.1150856000000001E-2</v>
      </c>
      <c r="M55" s="236">
        <v>1.2080094E-2</v>
      </c>
      <c r="N55" s="236">
        <v>1.3009332E-2</v>
      </c>
      <c r="O55" s="236">
        <v>1.3938570000000001E-2</v>
      </c>
      <c r="P55" s="236">
        <v>1.4867808E-2</v>
      </c>
      <c r="Q55" s="6"/>
    </row>
    <row r="56" spans="1:17" ht="15.75" customHeight="1" outlineLevel="1" x14ac:dyDescent="0.3">
      <c r="A56" s="6"/>
      <c r="B56" s="6"/>
      <c r="C56" s="6" t="s">
        <v>49</v>
      </c>
      <c r="D56" s="6"/>
      <c r="E56" s="6"/>
      <c r="F56" s="18" t="s">
        <v>21</v>
      </c>
      <c r="G56" s="27">
        <f t="shared" ref="G56:K57" si="9">IFERROR(-G152/G$113,"N/A")</f>
        <v>5.0000000000000001E-3</v>
      </c>
      <c r="H56" s="27">
        <f t="shared" si="9"/>
        <v>9.0000000000000011E-3</v>
      </c>
      <c r="I56" s="27">
        <f t="shared" si="9"/>
        <v>1.3000000000000001E-2</v>
      </c>
      <c r="J56" s="27">
        <f t="shared" si="9"/>
        <v>1.8000000000000002E-2</v>
      </c>
      <c r="K56" s="27">
        <f t="shared" si="9"/>
        <v>2.1000000000000001E-2</v>
      </c>
      <c r="L56" s="236">
        <v>2.1406484E-2</v>
      </c>
      <c r="M56" s="236">
        <v>2.3352528000000001E-2</v>
      </c>
      <c r="N56" s="236">
        <v>2.3352528000000001E-2</v>
      </c>
      <c r="O56" s="236">
        <v>2.5298571999999998E-2</v>
      </c>
      <c r="P56" s="236">
        <v>2.5298571999999998E-2</v>
      </c>
      <c r="Q56" s="6"/>
    </row>
    <row r="57" spans="1:17" ht="15.75" customHeight="1" outlineLevel="1" x14ac:dyDescent="0.3">
      <c r="A57" s="6"/>
      <c r="B57" s="6"/>
      <c r="C57" s="6" t="s">
        <v>50</v>
      </c>
      <c r="D57" s="6"/>
      <c r="E57" s="6"/>
      <c r="F57" s="18" t="s">
        <v>21</v>
      </c>
      <c r="G57" s="27">
        <f t="shared" si="9"/>
        <v>0.01</v>
      </c>
      <c r="H57" s="27">
        <f t="shared" si="9"/>
        <v>0.01</v>
      </c>
      <c r="I57" s="27">
        <f t="shared" si="9"/>
        <v>1.4999999999999999E-2</v>
      </c>
      <c r="J57" s="27">
        <f t="shared" si="9"/>
        <v>1.4999999999999999E-2</v>
      </c>
      <c r="K57" s="27">
        <f t="shared" si="9"/>
        <v>1.4999999999999998E-2</v>
      </c>
      <c r="L57" s="236">
        <v>1.4880389000000001E-2</v>
      </c>
      <c r="M57" s="236">
        <v>1.4880389000000001E-2</v>
      </c>
      <c r="N57" s="236">
        <v>1.6631023000000002E-2</v>
      </c>
      <c r="O57" s="236">
        <v>1.6631023000000002E-2</v>
      </c>
      <c r="P57" s="236">
        <v>1.7506339999999999E-2</v>
      </c>
      <c r="Q57" s="6"/>
    </row>
    <row r="58" spans="1:17" ht="15.75" customHeight="1" outlineLevel="1" x14ac:dyDescent="0.3">
      <c r="A58" s="6"/>
      <c r="B58" s="6"/>
      <c r="C58" s="6" t="s">
        <v>51</v>
      </c>
      <c r="D58" s="6"/>
      <c r="E58" s="6"/>
      <c r="F58" s="18" t="s">
        <v>21</v>
      </c>
      <c r="G58" s="27">
        <f>IFERROR(+G157/G84,"N/A")</f>
        <v>0</v>
      </c>
      <c r="H58" s="27">
        <f>IFERROR(+H157/H84,"N/A")</f>
        <v>2E-3</v>
      </c>
      <c r="I58" s="27">
        <f>IFERROR(+I157/I84,"N/A")</f>
        <v>5.0000000000000001E-3</v>
      </c>
      <c r="J58" s="27">
        <f>IFERROR(+J157/J84,"N/A")</f>
        <v>7.4999999999999997E-3</v>
      </c>
      <c r="K58" s="27">
        <f>IFERROR(+K157/K84,"N/A")</f>
        <v>0.01</v>
      </c>
      <c r="L58" s="236">
        <v>1.297242E-2</v>
      </c>
      <c r="M58" s="236">
        <v>1.513449E-2</v>
      </c>
      <c r="N58" s="236">
        <v>1.6215525000000001E-2</v>
      </c>
      <c r="O58" s="236">
        <v>1.8377595E-2</v>
      </c>
      <c r="P58" s="236">
        <v>2.0539664999999999E-2</v>
      </c>
      <c r="Q58" s="6"/>
    </row>
    <row r="59" spans="1:17" ht="15.75" customHeight="1" outlineLevel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9"/>
      <c r="L59" s="6"/>
      <c r="M59" s="6"/>
      <c r="N59" s="6"/>
      <c r="O59" s="6"/>
      <c r="P59" s="9"/>
      <c r="Q59" s="6"/>
    </row>
    <row r="60" spans="1:17" ht="15.75" customHeight="1" outlineLevel="1" x14ac:dyDescent="0.3">
      <c r="A60" s="6"/>
      <c r="B60" s="6"/>
      <c r="C60" s="6" t="s">
        <v>52</v>
      </c>
      <c r="D60" s="6"/>
      <c r="E60" s="6"/>
      <c r="F60" s="18" t="s">
        <v>21</v>
      </c>
      <c r="G60" s="27">
        <f>IFERROR(-G181/G84,"N/A")</f>
        <v>4.0000000000000001E-3</v>
      </c>
      <c r="H60" s="27">
        <f>IFERROR(-H181/H84,"N/A")</f>
        <v>5.0000000000000001E-3</v>
      </c>
      <c r="I60" s="27">
        <f>IFERROR(-I181/I84,"N/A")</f>
        <v>5.0000000000000001E-3</v>
      </c>
      <c r="J60" s="27">
        <f>IFERROR(-J181/J84,"N/A")</f>
        <v>5.0000000000000001E-3</v>
      </c>
      <c r="K60" s="27">
        <f>IFERROR(-K181/K84,"N/A")</f>
        <v>6.0000000000000001E-3</v>
      </c>
      <c r="L60" s="236">
        <v>5.0464139999999999E-3</v>
      </c>
      <c r="M60" s="236">
        <v>5.8874829999999998E-3</v>
      </c>
      <c r="N60" s="236">
        <v>5.8874829999999998E-3</v>
      </c>
      <c r="O60" s="236">
        <v>6.7285519999999996E-3</v>
      </c>
      <c r="P60" s="236">
        <v>6.7285519999999996E-3</v>
      </c>
      <c r="Q60" s="6"/>
    </row>
    <row r="61" spans="1:17" ht="15.75" customHeight="1" outlineLevel="1" x14ac:dyDescent="0.3">
      <c r="A61" s="6"/>
      <c r="B61" s="6"/>
      <c r="C61" s="28" t="s">
        <v>319</v>
      </c>
      <c r="D61" s="6"/>
      <c r="E61" s="6"/>
      <c r="F61" s="18" t="s">
        <v>53</v>
      </c>
      <c r="G61" s="24">
        <f>G182</f>
        <v>-127</v>
      </c>
      <c r="H61" s="24">
        <f>H182</f>
        <v>-254</v>
      </c>
      <c r="I61" s="24">
        <f>I182</f>
        <v>-321</v>
      </c>
      <c r="J61" s="24">
        <f>J182</f>
        <v>-423</v>
      </c>
      <c r="K61" s="24">
        <f>K182</f>
        <v>-501</v>
      </c>
      <c r="L61" s="237">
        <v>-597.95600000000002</v>
      </c>
      <c r="M61" s="237">
        <v>-717.54719999999998</v>
      </c>
      <c r="N61" s="237">
        <v>-896.93399999999997</v>
      </c>
      <c r="O61" s="237">
        <v>-1076.3208</v>
      </c>
      <c r="P61" s="238">
        <v>-1315.5032000000001</v>
      </c>
      <c r="Q61" s="6"/>
    </row>
    <row r="62" spans="1:17" ht="15.75" customHeight="1" outlineLevel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9"/>
      <c r="L62" s="6"/>
      <c r="M62" s="6"/>
      <c r="N62" s="6"/>
      <c r="O62" s="6"/>
      <c r="P62" s="9"/>
      <c r="Q62" s="6"/>
    </row>
    <row r="63" spans="1:17" ht="15.75" customHeight="1" outlineLevel="1" x14ac:dyDescent="0.3">
      <c r="A63" s="6"/>
      <c r="B63" s="6"/>
      <c r="C63" s="28" t="s">
        <v>54</v>
      </c>
      <c r="D63" s="6"/>
      <c r="E63" s="6"/>
      <c r="F63" s="18" t="s">
        <v>53</v>
      </c>
      <c r="G63" s="24">
        <f>G186</f>
        <v>53</v>
      </c>
      <c r="H63" s="24">
        <f>H186</f>
        <v>102</v>
      </c>
      <c r="I63" s="24">
        <f>I186</f>
        <v>1211</v>
      </c>
      <c r="J63" s="24">
        <f>J186</f>
        <v>2310</v>
      </c>
      <c r="K63" s="24">
        <f>K186</f>
        <v>3123</v>
      </c>
      <c r="L63" s="237">
        <v>3867.4369999999999</v>
      </c>
      <c r="M63" s="237">
        <v>4198.9315999999999</v>
      </c>
      <c r="N63" s="237">
        <v>4530.4261999999999</v>
      </c>
      <c r="O63" s="237">
        <v>4861.9207999999999</v>
      </c>
      <c r="P63" s="238">
        <v>5193.4153999999999</v>
      </c>
      <c r="Q63" s="6"/>
    </row>
    <row r="64" spans="1:17" ht="15.75" customHeight="1" outlineLevel="1" x14ac:dyDescent="0.3">
      <c r="A64" s="6"/>
      <c r="B64" s="6"/>
      <c r="C64" s="28" t="s">
        <v>55</v>
      </c>
      <c r="D64" s="6"/>
      <c r="E64" s="6"/>
      <c r="F64" s="18" t="s">
        <v>53</v>
      </c>
      <c r="G64" s="27">
        <f>-G187/G84</f>
        <v>0.37631651982482467</v>
      </c>
      <c r="H64" s="27">
        <f>-H187/H84</f>
        <v>0.24700079287254514</v>
      </c>
      <c r="I64" s="27">
        <f>-I187/I84</f>
        <v>0.19644081974754077</v>
      </c>
      <c r="J64" s="27">
        <f>-J187/J84</f>
        <v>0.19810296599760691</v>
      </c>
      <c r="K64" s="27">
        <f>-K187/K84</f>
        <v>0.2096165798329985</v>
      </c>
      <c r="L64" s="236">
        <v>0.2084908</v>
      </c>
      <c r="M64" s="26">
        <f>L64</f>
        <v>0.2084908</v>
      </c>
      <c r="N64" s="26">
        <f>M64</f>
        <v>0.2084908</v>
      </c>
      <c r="O64" s="26">
        <f>N64</f>
        <v>0.2084908</v>
      </c>
      <c r="P64" s="26">
        <f>O64</f>
        <v>0.2084908</v>
      </c>
      <c r="Q64" s="6"/>
    </row>
    <row r="65" spans="1:17" ht="15.75" customHeight="1" outlineLevel="1" x14ac:dyDescent="0.3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5.75" customHeight="1" outlineLevel="1" x14ac:dyDescent="0.3">
      <c r="A66" s="6"/>
      <c r="B66" s="6"/>
      <c r="C66" s="28" t="s">
        <v>56</v>
      </c>
      <c r="D66" s="6"/>
      <c r="E66" s="6"/>
      <c r="F66" s="18" t="s">
        <v>53</v>
      </c>
      <c r="G66" s="24">
        <f t="shared" ref="G66:P66" si="10">-G187</f>
        <v>80000</v>
      </c>
      <c r="H66" s="24">
        <f t="shared" si="10"/>
        <v>100000</v>
      </c>
      <c r="I66" s="24">
        <f t="shared" si="10"/>
        <v>120000</v>
      </c>
      <c r="J66" s="24">
        <f t="shared" si="10"/>
        <v>150000</v>
      </c>
      <c r="K66" s="24">
        <f t="shared" si="10"/>
        <v>200000</v>
      </c>
      <c r="L66" s="24">
        <f t="shared" si="10"/>
        <v>256583.41730229283</v>
      </c>
      <c r="M66" s="24">
        <f t="shared" si="10"/>
        <v>302564.41939721664</v>
      </c>
      <c r="N66" s="24">
        <f t="shared" si="10"/>
        <v>358356.97534788901</v>
      </c>
      <c r="O66" s="24">
        <f t="shared" si="10"/>
        <v>411905.78103692352</v>
      </c>
      <c r="P66" s="24">
        <f t="shared" si="10"/>
        <v>476355.84791772766</v>
      </c>
      <c r="Q66" s="6"/>
    </row>
    <row r="67" spans="1:17" ht="15.75" customHeight="1" outlineLevel="1" x14ac:dyDescent="0.3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5.75" customHeight="1" outlineLevel="1" x14ac:dyDescent="0.3">
      <c r="A68" s="6"/>
      <c r="B68" s="6"/>
      <c r="C68" s="28" t="s">
        <v>57</v>
      </c>
      <c r="D68" s="6"/>
      <c r="E68" s="6"/>
      <c r="F68" s="18" t="s">
        <v>21</v>
      </c>
      <c r="G68" s="236">
        <v>0.25</v>
      </c>
      <c r="H68" s="236">
        <v>0.2</v>
      </c>
      <c r="I68" s="236">
        <v>0.15</v>
      </c>
      <c r="J68" s="236">
        <v>0.1</v>
      </c>
      <c r="K68" s="236">
        <v>0.1</v>
      </c>
      <c r="L68" s="236">
        <v>0.05</v>
      </c>
      <c r="M68" s="236">
        <v>0.05</v>
      </c>
      <c r="N68" s="236">
        <v>0.05</v>
      </c>
      <c r="O68" s="236">
        <v>0.05</v>
      </c>
      <c r="P68" s="236">
        <v>0.05</v>
      </c>
      <c r="Q68" s="6"/>
    </row>
    <row r="69" spans="1:17" ht="15.75" customHeight="1" outlineLevel="1" x14ac:dyDescent="0.3">
      <c r="A69" s="6"/>
      <c r="B69" s="6"/>
      <c r="C69" s="28" t="s">
        <v>58</v>
      </c>
      <c r="D69" s="6"/>
      <c r="E69" s="6"/>
      <c r="F69" s="18" t="s">
        <v>21</v>
      </c>
      <c r="G69" s="236">
        <v>0.5</v>
      </c>
      <c r="H69" s="236">
        <v>0.5</v>
      </c>
      <c r="I69" s="236">
        <v>0.5</v>
      </c>
      <c r="J69" s="236">
        <v>0.55000000000000004</v>
      </c>
      <c r="K69" s="236">
        <v>0.55000000000000004</v>
      </c>
      <c r="L69" s="236">
        <v>0.6</v>
      </c>
      <c r="M69" s="236">
        <v>0.65</v>
      </c>
      <c r="N69" s="236">
        <v>0.65</v>
      </c>
      <c r="O69" s="236">
        <v>0.65</v>
      </c>
      <c r="P69" s="236">
        <v>0.65</v>
      </c>
      <c r="Q69" s="6"/>
    </row>
    <row r="70" spans="1:17" ht="15.75" customHeight="1" outlineLevel="1" x14ac:dyDescent="0.3">
      <c r="A70" s="6"/>
      <c r="B70" s="6"/>
      <c r="C70" s="28" t="s">
        <v>59</v>
      </c>
      <c r="D70" s="6"/>
      <c r="E70" s="6"/>
      <c r="F70" s="18" t="s">
        <v>21</v>
      </c>
      <c r="G70" s="236">
        <v>0.25</v>
      </c>
      <c r="H70" s="236">
        <v>0.3</v>
      </c>
      <c r="I70" s="236">
        <v>0.35</v>
      </c>
      <c r="J70" s="236">
        <v>0.35</v>
      </c>
      <c r="K70" s="236">
        <v>0.35</v>
      </c>
      <c r="L70" s="236">
        <v>0.35</v>
      </c>
      <c r="M70" s="236">
        <v>0.3</v>
      </c>
      <c r="N70" s="236">
        <v>0.3</v>
      </c>
      <c r="O70" s="236">
        <v>0.3</v>
      </c>
      <c r="P70" s="236">
        <v>0.3</v>
      </c>
      <c r="Q70" s="6"/>
    </row>
    <row r="71" spans="1:17" ht="15.75" customHeight="1" outlineLevel="1" x14ac:dyDescent="0.3">
      <c r="A71" s="6"/>
      <c r="B71" s="6"/>
      <c r="C71" s="6"/>
      <c r="D71" s="6"/>
      <c r="E71" s="6"/>
      <c r="F71" s="6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6"/>
    </row>
    <row r="72" spans="1:17" ht="15.75" customHeight="1" outlineLevel="1" x14ac:dyDescent="0.3">
      <c r="A72" s="6"/>
      <c r="B72" s="6"/>
      <c r="C72" s="28" t="s">
        <v>57</v>
      </c>
      <c r="D72" s="6"/>
      <c r="E72" s="6"/>
      <c r="F72" s="18" t="s">
        <v>53</v>
      </c>
      <c r="G72" s="24">
        <f t="shared" ref="G72:P72" si="11">G$66*G68</f>
        <v>20000</v>
      </c>
      <c r="H72" s="24">
        <f t="shared" si="11"/>
        <v>20000</v>
      </c>
      <c r="I72" s="24">
        <f t="shared" si="11"/>
        <v>18000</v>
      </c>
      <c r="J72" s="24">
        <f t="shared" si="11"/>
        <v>15000</v>
      </c>
      <c r="K72" s="24">
        <f t="shared" si="11"/>
        <v>20000</v>
      </c>
      <c r="L72" s="24">
        <f t="shared" si="11"/>
        <v>12829.170865114642</v>
      </c>
      <c r="M72" s="24">
        <f t="shared" si="11"/>
        <v>15128.220969860833</v>
      </c>
      <c r="N72" s="24">
        <f t="shared" si="11"/>
        <v>17917.848767394451</v>
      </c>
      <c r="O72" s="24">
        <f t="shared" si="11"/>
        <v>20595.289051846179</v>
      </c>
      <c r="P72" s="24">
        <f t="shared" si="11"/>
        <v>23817.792395886383</v>
      </c>
      <c r="Q72" s="6"/>
    </row>
    <row r="73" spans="1:17" ht="15.75" customHeight="1" outlineLevel="1" x14ac:dyDescent="0.3">
      <c r="A73" s="6"/>
      <c r="B73" s="6"/>
      <c r="C73" s="28" t="s">
        <v>58</v>
      </c>
      <c r="D73" s="6"/>
      <c r="E73" s="6"/>
      <c r="F73" s="18" t="s">
        <v>53</v>
      </c>
      <c r="G73" s="24">
        <f t="shared" ref="G73:P73" si="12">G$66*G69</f>
        <v>40000</v>
      </c>
      <c r="H73" s="24">
        <f t="shared" si="12"/>
        <v>50000</v>
      </c>
      <c r="I73" s="24">
        <f t="shared" si="12"/>
        <v>60000</v>
      </c>
      <c r="J73" s="24">
        <f t="shared" si="12"/>
        <v>82500</v>
      </c>
      <c r="K73" s="24">
        <f t="shared" si="12"/>
        <v>110000.00000000001</v>
      </c>
      <c r="L73" s="24">
        <f t="shared" si="12"/>
        <v>153950.05038137568</v>
      </c>
      <c r="M73" s="24">
        <f t="shared" si="12"/>
        <v>196666.87260819081</v>
      </c>
      <c r="N73" s="24">
        <f t="shared" si="12"/>
        <v>232932.03397612786</v>
      </c>
      <c r="O73" s="24">
        <f t="shared" si="12"/>
        <v>267738.75767400028</v>
      </c>
      <c r="P73" s="24">
        <f t="shared" si="12"/>
        <v>309631.30114652298</v>
      </c>
      <c r="Q73" s="6"/>
    </row>
    <row r="74" spans="1:17" ht="15.75" customHeight="1" outlineLevel="1" x14ac:dyDescent="0.3">
      <c r="A74" s="6"/>
      <c r="B74" s="6"/>
      <c r="C74" s="28" t="s">
        <v>59</v>
      </c>
      <c r="D74" s="6"/>
      <c r="E74" s="6"/>
      <c r="F74" s="18" t="s">
        <v>53</v>
      </c>
      <c r="G74" s="24">
        <f t="shared" ref="G74:P74" si="13">G$66*G70</f>
        <v>20000</v>
      </c>
      <c r="H74" s="24">
        <f t="shared" si="13"/>
        <v>30000</v>
      </c>
      <c r="I74" s="24">
        <f t="shared" si="13"/>
        <v>42000</v>
      </c>
      <c r="J74" s="24">
        <f t="shared" si="13"/>
        <v>52500</v>
      </c>
      <c r="K74" s="24">
        <f t="shared" si="13"/>
        <v>70000</v>
      </c>
      <c r="L74" s="24">
        <f t="shared" si="13"/>
        <v>89804.196055802488</v>
      </c>
      <c r="M74" s="24">
        <f t="shared" si="13"/>
        <v>90769.325819164995</v>
      </c>
      <c r="N74" s="24">
        <f t="shared" si="13"/>
        <v>107507.0926043667</v>
      </c>
      <c r="O74" s="24">
        <f t="shared" si="13"/>
        <v>123571.73431107705</v>
      </c>
      <c r="P74" s="24">
        <f t="shared" si="13"/>
        <v>142906.7543753183</v>
      </c>
      <c r="Q74" s="6"/>
    </row>
    <row r="75" spans="1:17" ht="15.75" customHeight="1" x14ac:dyDescent="0.3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5.75" customHeight="1" x14ac:dyDescent="0.3">
      <c r="A76" s="6"/>
      <c r="B76" s="43"/>
      <c r="C76" s="43"/>
      <c r="D76" s="43"/>
      <c r="E76" s="43"/>
      <c r="F76" s="43"/>
      <c r="G76" s="43" t="str">
        <f>$G$5</f>
        <v>Actuals</v>
      </c>
      <c r="H76" s="43"/>
      <c r="I76" s="43"/>
      <c r="J76" s="43"/>
      <c r="K76" s="44"/>
      <c r="L76" s="43" t="str">
        <f>$L$5</f>
        <v>Forecast</v>
      </c>
      <c r="M76" s="43"/>
      <c r="N76" s="43"/>
      <c r="O76" s="43"/>
      <c r="P76" s="43"/>
    </row>
    <row r="77" spans="1:17" ht="15.75" customHeight="1" x14ac:dyDescent="0.3">
      <c r="A77" s="6"/>
      <c r="B77" s="52" t="s">
        <v>60</v>
      </c>
      <c r="C77" s="47"/>
      <c r="D77" s="47"/>
      <c r="E77" s="47"/>
      <c r="F77" s="48" t="str">
        <f>$F$6</f>
        <v>Reporting Units:</v>
      </c>
      <c r="G77" s="49" t="str">
        <f>$G$6</f>
        <v>Year 1</v>
      </c>
      <c r="H77" s="49" t="str">
        <f>$H$6</f>
        <v>Year 2</v>
      </c>
      <c r="I77" s="49" t="str">
        <f>$I$6</f>
        <v>Year 3</v>
      </c>
      <c r="J77" s="49" t="str">
        <f>$J$6</f>
        <v>Year 4</v>
      </c>
      <c r="K77" s="50" t="str">
        <f>$K$6</f>
        <v>Year 5</v>
      </c>
      <c r="L77" s="49" t="str">
        <f>$L$6</f>
        <v>Year 6</v>
      </c>
      <c r="M77" s="49" t="str">
        <f>$M$6</f>
        <v>Year 7</v>
      </c>
      <c r="N77" s="49" t="str">
        <f>$N$6</f>
        <v>Year 8</v>
      </c>
      <c r="O77" s="49" t="str">
        <f>$O$6</f>
        <v>Year 9</v>
      </c>
      <c r="P77" s="49" t="str">
        <f>$P$6</f>
        <v>Year 10</v>
      </c>
    </row>
    <row r="78" spans="1:17" ht="15.75" customHeight="1" outlineLevel="1" x14ac:dyDescent="0.3">
      <c r="A78" s="6"/>
      <c r="B78" s="6"/>
      <c r="C78" s="28" t="s">
        <v>61</v>
      </c>
      <c r="D78" s="6"/>
      <c r="E78" s="6"/>
      <c r="F78" s="6"/>
      <c r="G78" s="30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5.75" customHeight="1" outlineLevel="1" x14ac:dyDescent="0.3">
      <c r="A79" s="6"/>
      <c r="B79" s="6"/>
      <c r="C79" s="17" t="s">
        <v>62</v>
      </c>
      <c r="D79" s="6"/>
      <c r="E79" s="6"/>
      <c r="F79" s="18" t="s">
        <v>53</v>
      </c>
      <c r="G79" s="22">
        <v>108419.37</v>
      </c>
      <c r="H79" s="22">
        <v>263157.05</v>
      </c>
      <c r="I79" s="22">
        <v>433718.41</v>
      </c>
      <c r="J79" s="22">
        <v>583030.14</v>
      </c>
      <c r="K79" s="22">
        <v>734674.71</v>
      </c>
      <c r="L79" s="22">
        <f>L8*L9</f>
        <v>964010.03999999992</v>
      </c>
      <c r="M79" s="22">
        <f>M8*M9</f>
        <v>1133859.4280000001</v>
      </c>
      <c r="N79" s="22">
        <f>N8*N9</f>
        <v>1349614.0560000001</v>
      </c>
      <c r="O79" s="22">
        <f>O8*O9</f>
        <v>1549301.8499999999</v>
      </c>
      <c r="P79" s="22">
        <f>P8*P9</f>
        <v>1790304.36</v>
      </c>
      <c r="Q79" s="6"/>
    </row>
    <row r="80" spans="1:17" ht="15.75" customHeight="1" outlineLevel="1" x14ac:dyDescent="0.3">
      <c r="A80" s="6"/>
      <c r="B80" s="6"/>
      <c r="C80" s="17" t="s">
        <v>63</v>
      </c>
      <c r="D80" s="6"/>
      <c r="E80" s="6"/>
      <c r="F80" s="18" t="s">
        <v>53</v>
      </c>
      <c r="G80" s="76">
        <v>40391.53</v>
      </c>
      <c r="H80" s="76">
        <v>52631.41</v>
      </c>
      <c r="I80" s="76">
        <v>61087.100000000006</v>
      </c>
      <c r="J80" s="76">
        <v>37859.1</v>
      </c>
      <c r="K80" s="76">
        <v>47706.15</v>
      </c>
      <c r="L80" s="24">
        <f t="shared" ref="L80:P83" si="14">K80*(1+L12)</f>
        <v>59251.908937237509</v>
      </c>
      <c r="M80" s="24">
        <f t="shared" si="14"/>
        <v>70723.943585357178</v>
      </c>
      <c r="N80" s="24">
        <f t="shared" si="14"/>
        <v>80993.834621133297</v>
      </c>
      <c r="O80" s="24">
        <f t="shared" si="14"/>
        <v>88834.629067451737</v>
      </c>
      <c r="P80" s="24">
        <f t="shared" si="14"/>
        <v>97718.091974196912</v>
      </c>
      <c r="Q80" s="6"/>
    </row>
    <row r="81" spans="1:17" ht="15.75" customHeight="1" outlineLevel="1" x14ac:dyDescent="0.3">
      <c r="A81" s="6"/>
      <c r="B81" s="6"/>
      <c r="C81" s="17" t="s">
        <v>64</v>
      </c>
      <c r="D81" s="6"/>
      <c r="E81" s="6"/>
      <c r="F81" s="18" t="s">
        <v>53</v>
      </c>
      <c r="G81" s="76">
        <v>36139.79</v>
      </c>
      <c r="H81" s="76">
        <v>44534.27</v>
      </c>
      <c r="I81" s="76">
        <v>54978.39</v>
      </c>
      <c r="J81" s="76">
        <v>60574.559999999998</v>
      </c>
      <c r="K81" s="76">
        <v>66788.61</v>
      </c>
      <c r="L81" s="24">
        <f t="shared" si="14"/>
        <v>73299.464251544996</v>
      </c>
      <c r="M81" s="24">
        <f t="shared" si="14"/>
        <v>80445.025874374725</v>
      </c>
      <c r="N81" s="24">
        <f t="shared" si="14"/>
        <v>86718.740374255111</v>
      </c>
      <c r="O81" s="24">
        <f t="shared" si="14"/>
        <v>93481.726811066357</v>
      </c>
      <c r="P81" s="24">
        <f t="shared" si="14"/>
        <v>99090.63041973034</v>
      </c>
      <c r="Q81" s="6"/>
    </row>
    <row r="82" spans="1:17" ht="15.75" customHeight="1" outlineLevel="1" x14ac:dyDescent="0.3">
      <c r="A82" s="6"/>
      <c r="B82" s="6"/>
      <c r="C82" s="17" t="s">
        <v>65</v>
      </c>
      <c r="D82" s="6"/>
      <c r="E82" s="6"/>
      <c r="F82" s="18" t="s">
        <v>53</v>
      </c>
      <c r="G82" s="76">
        <v>8503.48</v>
      </c>
      <c r="H82" s="76">
        <v>20242.850000000002</v>
      </c>
      <c r="I82" s="76">
        <v>30543.550000000003</v>
      </c>
      <c r="J82" s="76">
        <v>53002.740000000005</v>
      </c>
      <c r="K82" s="76">
        <v>76329.84</v>
      </c>
      <c r="L82" s="24">
        <f t="shared" si="14"/>
        <v>101093.83531056001</v>
      </c>
      <c r="M82" s="24">
        <f t="shared" si="14"/>
        <v>129792.32800506297</v>
      </c>
      <c r="N82" s="24">
        <f t="shared" si="14"/>
        <v>161374.11111305893</v>
      </c>
      <c r="O82" s="24">
        <f t="shared" si="14"/>
        <v>200640.54738669956</v>
      </c>
      <c r="P82" s="24">
        <f t="shared" si="14"/>
        <v>250800.68423337446</v>
      </c>
      <c r="Q82" s="6"/>
    </row>
    <row r="83" spans="1:17" ht="15.75" customHeight="1" outlineLevel="1" x14ac:dyDescent="0.3">
      <c r="A83" s="6"/>
      <c r="B83" s="6"/>
      <c r="C83" s="17" t="s">
        <v>66</v>
      </c>
      <c r="D83" s="6"/>
      <c r="E83" s="6"/>
      <c r="F83" s="18" t="s">
        <v>53</v>
      </c>
      <c r="G83" s="76">
        <v>19132.829999999998</v>
      </c>
      <c r="H83" s="76">
        <v>24291.42</v>
      </c>
      <c r="I83" s="76">
        <v>30543.550000000003</v>
      </c>
      <c r="J83" s="76">
        <v>22715.46</v>
      </c>
      <c r="K83" s="76">
        <v>28623.69</v>
      </c>
      <c r="L83" s="24">
        <f t="shared" si="14"/>
        <v>33014.964777659996</v>
      </c>
      <c r="M83" s="24">
        <f t="shared" si="14"/>
        <v>36391.603315259948</v>
      </c>
      <c r="N83" s="24">
        <f t="shared" si="14"/>
        <v>40113.590935931476</v>
      </c>
      <c r="O83" s="24">
        <f t="shared" si="14"/>
        <v>43395.717037182141</v>
      </c>
      <c r="P83" s="24">
        <f t="shared" si="14"/>
        <v>46867.374400156717</v>
      </c>
      <c r="Q83" s="6"/>
    </row>
    <row r="84" spans="1:17" ht="15.75" customHeight="1" outlineLevel="1" x14ac:dyDescent="0.3">
      <c r="A84" s="6"/>
      <c r="B84" s="36"/>
      <c r="C84" s="38" t="s">
        <v>67</v>
      </c>
      <c r="D84" s="36"/>
      <c r="E84" s="36"/>
      <c r="F84" s="39" t="s">
        <v>53</v>
      </c>
      <c r="G84" s="40">
        <f t="shared" ref="G84:P84" si="15">SUM(G79:G83)</f>
        <v>212587</v>
      </c>
      <c r="H84" s="40">
        <f t="shared" si="15"/>
        <v>404856.99999999994</v>
      </c>
      <c r="I84" s="40">
        <f t="shared" si="15"/>
        <v>610871.00000000012</v>
      </c>
      <c r="J84" s="40">
        <f t="shared" si="15"/>
        <v>757182</v>
      </c>
      <c r="K84" s="40">
        <f t="shared" si="15"/>
        <v>954122.99999999988</v>
      </c>
      <c r="L84" s="40">
        <f t="shared" si="15"/>
        <v>1230670.2132770023</v>
      </c>
      <c r="M84" s="40">
        <f t="shared" si="15"/>
        <v>1451212.3287800548</v>
      </c>
      <c r="N84" s="40">
        <f t="shared" si="15"/>
        <v>1718814.333044379</v>
      </c>
      <c r="O84" s="40">
        <f t="shared" si="15"/>
        <v>1975654.4703023995</v>
      </c>
      <c r="P84" s="40">
        <f t="shared" si="15"/>
        <v>2284781.1410274585</v>
      </c>
    </row>
    <row r="85" spans="1:17" ht="15.75" customHeight="1" outlineLevel="1" x14ac:dyDescent="0.3">
      <c r="A85" s="6"/>
      <c r="B85" s="28"/>
      <c r="C85" s="6"/>
      <c r="D85" s="6"/>
      <c r="E85" s="6"/>
      <c r="F85" s="6"/>
      <c r="G85" s="6"/>
      <c r="H85" s="31"/>
      <c r="I85" s="31"/>
      <c r="J85" s="31"/>
      <c r="K85" s="31"/>
      <c r="L85" s="31"/>
      <c r="M85" s="31"/>
      <c r="N85" s="31"/>
      <c r="O85" s="31"/>
      <c r="P85" s="31"/>
      <c r="Q85" s="6"/>
    </row>
    <row r="86" spans="1:17" ht="15.75" customHeight="1" outlineLevel="1" x14ac:dyDescent="0.3">
      <c r="A86" s="6"/>
      <c r="B86" s="6"/>
      <c r="C86" s="28" t="s">
        <v>68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5.75" customHeight="1" outlineLevel="1" x14ac:dyDescent="0.3">
      <c r="A87" s="6"/>
      <c r="B87" s="6"/>
      <c r="C87" s="17" t="s">
        <v>69</v>
      </c>
      <c r="D87" s="6"/>
      <c r="E87" s="6"/>
      <c r="F87" s="18" t="s">
        <v>53</v>
      </c>
      <c r="G87" s="76">
        <v>-20195.764999999999</v>
      </c>
      <c r="H87" s="76">
        <v>-26315.705000000002</v>
      </c>
      <c r="I87" s="76">
        <v>-30543.550000000003</v>
      </c>
      <c r="J87" s="76">
        <v>-18929.55</v>
      </c>
      <c r="K87" s="76">
        <v>-23853.075000000001</v>
      </c>
      <c r="L87" s="24">
        <f t="shared" ref="L87:P89" si="16">-L80*L18</f>
        <v>-29625.954468618755</v>
      </c>
      <c r="M87" s="24">
        <f t="shared" si="16"/>
        <v>-35361.971792678589</v>
      </c>
      <c r="N87" s="24">
        <f t="shared" si="16"/>
        <v>-40496.917310566649</v>
      </c>
      <c r="O87" s="24">
        <f t="shared" si="16"/>
        <v>-44417.314533725868</v>
      </c>
      <c r="P87" s="24">
        <f t="shared" si="16"/>
        <v>-48859.045987098456</v>
      </c>
      <c r="Q87" s="6"/>
    </row>
    <row r="88" spans="1:17" ht="15.75" customHeight="1" outlineLevel="1" x14ac:dyDescent="0.3">
      <c r="A88" s="6"/>
      <c r="B88" s="6"/>
      <c r="C88" s="17" t="s">
        <v>70</v>
      </c>
      <c r="D88" s="6"/>
      <c r="E88" s="6"/>
      <c r="F88" s="18" t="s">
        <v>53</v>
      </c>
      <c r="G88" s="76">
        <v>-18069.895</v>
      </c>
      <c r="H88" s="76">
        <v>-22267.134999999998</v>
      </c>
      <c r="I88" s="76">
        <v>-27489.195</v>
      </c>
      <c r="J88" s="76">
        <v>-30287.279999999999</v>
      </c>
      <c r="K88" s="76">
        <v>-33394.305</v>
      </c>
      <c r="L88" s="24">
        <f t="shared" si="16"/>
        <v>-36649.732125772498</v>
      </c>
      <c r="M88" s="24">
        <f t="shared" si="16"/>
        <v>-40222.512937187363</v>
      </c>
      <c r="N88" s="24">
        <f t="shared" si="16"/>
        <v>-43359.370187127555</v>
      </c>
      <c r="O88" s="24">
        <f t="shared" si="16"/>
        <v>-46740.863405533179</v>
      </c>
      <c r="P88" s="24">
        <f t="shared" si="16"/>
        <v>-49545.31520986517</v>
      </c>
      <c r="Q88" s="6"/>
    </row>
    <row r="89" spans="1:17" ht="15.75" customHeight="1" outlineLevel="1" x14ac:dyDescent="0.3">
      <c r="A89" s="6"/>
      <c r="B89" s="6"/>
      <c r="C89" s="17" t="s">
        <v>320</v>
      </c>
      <c r="D89" s="6"/>
      <c r="E89" s="6"/>
      <c r="F89" s="18" t="s">
        <v>53</v>
      </c>
      <c r="G89" s="76">
        <v>0</v>
      </c>
      <c r="H89" s="76">
        <v>-8097.1400000000012</v>
      </c>
      <c r="I89" s="76">
        <v>-12217.420000000002</v>
      </c>
      <c r="J89" s="76">
        <v>-21201.096000000005</v>
      </c>
      <c r="K89" s="76">
        <v>-30531.936000000002</v>
      </c>
      <c r="L89" s="24">
        <f t="shared" si="16"/>
        <v>-40437.53412422401</v>
      </c>
      <c r="M89" s="24">
        <f t="shared" si="16"/>
        <v>-51916.931202025189</v>
      </c>
      <c r="N89" s="24">
        <f t="shared" si="16"/>
        <v>-64549.644445223574</v>
      </c>
      <c r="O89" s="24">
        <f t="shared" si="16"/>
        <v>-80256.218954679833</v>
      </c>
      <c r="P89" s="24">
        <f t="shared" si="16"/>
        <v>-100320.27369334979</v>
      </c>
      <c r="Q89" s="6"/>
    </row>
    <row r="90" spans="1:17" ht="15.75" customHeight="1" outlineLevel="1" x14ac:dyDescent="0.3">
      <c r="A90" s="6"/>
      <c r="B90" s="36"/>
      <c r="C90" s="38" t="s">
        <v>71</v>
      </c>
      <c r="D90" s="36"/>
      <c r="E90" s="36"/>
      <c r="F90" s="39" t="s">
        <v>53</v>
      </c>
      <c r="G90" s="40">
        <f t="shared" ref="G90:P90" si="17">SUM(G87:G89)</f>
        <v>-38265.660000000003</v>
      </c>
      <c r="H90" s="40">
        <f t="shared" si="17"/>
        <v>-56679.979999999996</v>
      </c>
      <c r="I90" s="40">
        <f t="shared" si="17"/>
        <v>-70250.165000000008</v>
      </c>
      <c r="J90" s="40">
        <f t="shared" si="17"/>
        <v>-70417.926000000007</v>
      </c>
      <c r="K90" s="40">
        <f t="shared" si="17"/>
        <v>-87779.316000000006</v>
      </c>
      <c r="L90" s="40">
        <f t="shared" si="17"/>
        <v>-106713.22071861527</v>
      </c>
      <c r="M90" s="40">
        <f t="shared" si="17"/>
        <v>-127501.41593189113</v>
      </c>
      <c r="N90" s="40">
        <f t="shared" si="17"/>
        <v>-148405.93194291776</v>
      </c>
      <c r="O90" s="40">
        <f t="shared" si="17"/>
        <v>-171414.39689393889</v>
      </c>
      <c r="P90" s="40">
        <f t="shared" si="17"/>
        <v>-198724.63489031343</v>
      </c>
    </row>
    <row r="91" spans="1:17" ht="15.75" customHeight="1" outlineLevel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5.75" customHeight="1" outlineLevel="1" x14ac:dyDescent="0.3">
      <c r="A92" s="6"/>
      <c r="B92" s="6"/>
      <c r="C92" s="6" t="s">
        <v>72</v>
      </c>
      <c r="D92" s="6"/>
      <c r="E92" s="6"/>
      <c r="F92" s="18" t="s">
        <v>53</v>
      </c>
      <c r="G92" s="24">
        <f t="shared" ref="G92:P92" si="18">G84+G90</f>
        <v>174321.34</v>
      </c>
      <c r="H92" s="24">
        <f t="shared" si="18"/>
        <v>348177.01999999996</v>
      </c>
      <c r="I92" s="24">
        <f t="shared" si="18"/>
        <v>540620.83500000008</v>
      </c>
      <c r="J92" s="24">
        <f t="shared" si="18"/>
        <v>686764.07400000002</v>
      </c>
      <c r="K92" s="24">
        <f t="shared" si="18"/>
        <v>866343.68399999989</v>
      </c>
      <c r="L92" s="24">
        <f t="shared" si="18"/>
        <v>1123956.9925583871</v>
      </c>
      <c r="M92" s="24">
        <f t="shared" si="18"/>
        <v>1323710.9128481636</v>
      </c>
      <c r="N92" s="24">
        <f t="shared" si="18"/>
        <v>1570408.4011014611</v>
      </c>
      <c r="O92" s="24">
        <f t="shared" si="18"/>
        <v>1804240.0734084607</v>
      </c>
      <c r="P92" s="24">
        <f t="shared" si="18"/>
        <v>2086056.506137145</v>
      </c>
      <c r="Q92" s="6"/>
    </row>
    <row r="93" spans="1:17" ht="15.75" customHeight="1" outlineLevel="1" x14ac:dyDescent="0.3">
      <c r="A93" s="6"/>
      <c r="B93" s="6"/>
      <c r="C93" s="6"/>
      <c r="D93" s="6"/>
      <c r="E93" s="6"/>
      <c r="F93" s="6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6"/>
    </row>
    <row r="94" spans="1:17" ht="15.75" customHeight="1" outlineLevel="1" x14ac:dyDescent="0.3">
      <c r="A94" s="6"/>
      <c r="B94" s="6"/>
      <c r="C94" s="6" t="s">
        <v>73</v>
      </c>
      <c r="D94" s="6"/>
      <c r="E94" s="6"/>
      <c r="F94" s="6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6"/>
    </row>
    <row r="95" spans="1:17" ht="15.75" customHeight="1" outlineLevel="1" x14ac:dyDescent="0.3">
      <c r="A95" s="6"/>
      <c r="B95" s="6"/>
      <c r="C95" s="17" t="s">
        <v>74</v>
      </c>
      <c r="D95" s="6"/>
      <c r="E95" s="6"/>
      <c r="F95" s="18" t="s">
        <v>53</v>
      </c>
      <c r="G95" s="76">
        <v>-6165.0230000000001</v>
      </c>
      <c r="H95" s="76">
        <v>-11335.995999999999</v>
      </c>
      <c r="I95" s="76">
        <v>-17104.388000000003</v>
      </c>
      <c r="J95" s="76">
        <v>-21201.096000000001</v>
      </c>
      <c r="K95" s="76">
        <v>-26715.443999999996</v>
      </c>
      <c r="L95" s="24">
        <f t="shared" ref="L95:P96" si="19">-L$84*L22</f>
        <v>-40258.141826036641</v>
      </c>
      <c r="M95" s="24">
        <f t="shared" si="19"/>
        <v>-47472.597550039463</v>
      </c>
      <c r="N95" s="24">
        <f t="shared" si="19"/>
        <v>-58234.582927961033</v>
      </c>
      <c r="O95" s="24">
        <f t="shared" si="19"/>
        <v>-66936.49911799487</v>
      </c>
      <c r="P95" s="24">
        <f t="shared" si="19"/>
        <v>-80079.225668437153</v>
      </c>
      <c r="Q95" s="6"/>
    </row>
    <row r="96" spans="1:17" ht="15.75" customHeight="1" outlineLevel="1" x14ac:dyDescent="0.3">
      <c r="A96" s="6"/>
      <c r="B96" s="6"/>
      <c r="C96" s="17" t="s">
        <v>75</v>
      </c>
      <c r="D96" s="6"/>
      <c r="E96" s="6"/>
      <c r="F96" s="18" t="s">
        <v>53</v>
      </c>
      <c r="G96" s="76">
        <v>-6377.61</v>
      </c>
      <c r="H96" s="76">
        <v>-12550.566999999997</v>
      </c>
      <c r="I96" s="76">
        <v>-21380.485000000008</v>
      </c>
      <c r="J96" s="76">
        <v>-30287.279999999999</v>
      </c>
      <c r="K96" s="76">
        <v>-39119.042999999998</v>
      </c>
      <c r="L96" s="24">
        <f t="shared" si="19"/>
        <v>-52381.545475900755</v>
      </c>
      <c r="M96" s="24">
        <f t="shared" si="19"/>
        <v>-61768.574371166847</v>
      </c>
      <c r="N96" s="24">
        <f t="shared" si="19"/>
        <v>-81287.370608367899</v>
      </c>
      <c r="O96" s="24">
        <f t="shared" si="19"/>
        <v>-93434.034167670281</v>
      </c>
      <c r="P96" s="24">
        <f t="shared" si="19"/>
        <v>-129664.16288192314</v>
      </c>
      <c r="Q96" s="6"/>
    </row>
    <row r="97" spans="1:17" ht="15.75" customHeight="1" outlineLevel="1" x14ac:dyDescent="0.3">
      <c r="A97" s="6"/>
      <c r="B97" s="36"/>
      <c r="C97" s="38" t="s">
        <v>76</v>
      </c>
      <c r="D97" s="36"/>
      <c r="E97" s="36"/>
      <c r="F97" s="39" t="s">
        <v>53</v>
      </c>
      <c r="G97" s="40">
        <f t="shared" ref="G97:P97" si="20">SUM(G95:G96)</f>
        <v>-12542.633</v>
      </c>
      <c r="H97" s="40">
        <f t="shared" si="20"/>
        <v>-23886.562999999995</v>
      </c>
      <c r="I97" s="40">
        <f t="shared" si="20"/>
        <v>-38484.873000000007</v>
      </c>
      <c r="J97" s="40">
        <f t="shared" si="20"/>
        <v>-51488.376000000004</v>
      </c>
      <c r="K97" s="40">
        <f t="shared" si="20"/>
        <v>-65834.486999999994</v>
      </c>
      <c r="L97" s="40">
        <f t="shared" si="20"/>
        <v>-92639.687301937403</v>
      </c>
      <c r="M97" s="40">
        <f t="shared" si="20"/>
        <v>-109241.17192120632</v>
      </c>
      <c r="N97" s="40">
        <f t="shared" si="20"/>
        <v>-139521.95353632892</v>
      </c>
      <c r="O97" s="40">
        <f t="shared" si="20"/>
        <v>-160370.53328566515</v>
      </c>
      <c r="P97" s="40">
        <f t="shared" si="20"/>
        <v>-209743.38855036028</v>
      </c>
    </row>
    <row r="98" spans="1:17" ht="15.75" customHeight="1" outlineLevel="1" x14ac:dyDescent="0.3">
      <c r="A98" s="6"/>
      <c r="B98" s="6"/>
      <c r="C98" s="6"/>
      <c r="D98" s="6"/>
      <c r="E98" s="6"/>
      <c r="F98" s="6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6"/>
    </row>
    <row r="99" spans="1:17" ht="15.75" customHeight="1" outlineLevel="1" x14ac:dyDescent="0.3">
      <c r="A99" s="6"/>
      <c r="B99" s="6"/>
      <c r="C99" s="6" t="s">
        <v>77</v>
      </c>
      <c r="D99" s="6"/>
      <c r="E99" s="6"/>
      <c r="F99" s="18" t="s">
        <v>53</v>
      </c>
      <c r="G99" s="24">
        <f t="shared" ref="G99:P99" si="21">G92+G97</f>
        <v>161778.70699999999</v>
      </c>
      <c r="H99" s="24">
        <f t="shared" si="21"/>
        <v>324290.45699999994</v>
      </c>
      <c r="I99" s="24">
        <f t="shared" si="21"/>
        <v>502135.96200000006</v>
      </c>
      <c r="J99" s="24">
        <f t="shared" si="21"/>
        <v>635275.69799999997</v>
      </c>
      <c r="K99" s="24">
        <f t="shared" si="21"/>
        <v>800509.19699999993</v>
      </c>
      <c r="L99" s="24">
        <f t="shared" si="21"/>
        <v>1031317.3052564497</v>
      </c>
      <c r="M99" s="24">
        <f t="shared" si="21"/>
        <v>1214469.7409269572</v>
      </c>
      <c r="N99" s="24">
        <f t="shared" si="21"/>
        <v>1430886.4475651323</v>
      </c>
      <c r="O99" s="24">
        <f t="shared" si="21"/>
        <v>1643869.5401227956</v>
      </c>
      <c r="P99" s="24">
        <f t="shared" si="21"/>
        <v>1876313.1175867848</v>
      </c>
      <c r="Q99" s="6"/>
    </row>
    <row r="100" spans="1:17" ht="15.75" customHeight="1" outlineLevel="1" x14ac:dyDescent="0.3">
      <c r="A100" s="6"/>
      <c r="B100" s="6"/>
      <c r="C100" s="6"/>
      <c r="D100" s="6"/>
      <c r="E100" s="6"/>
      <c r="F100" s="6"/>
      <c r="G100" s="31"/>
      <c r="H100" s="31"/>
      <c r="I100" s="31"/>
      <c r="J100" s="31"/>
      <c r="K100" s="31"/>
      <c r="L100" s="6"/>
      <c r="M100" s="6"/>
      <c r="N100" s="6"/>
      <c r="O100" s="6"/>
      <c r="P100" s="6"/>
      <c r="Q100" s="6"/>
    </row>
    <row r="101" spans="1:17" ht="15.75" customHeight="1" outlineLevel="1" x14ac:dyDescent="0.3">
      <c r="A101" s="6"/>
      <c r="B101" s="6"/>
      <c r="C101" s="6" t="s">
        <v>78</v>
      </c>
      <c r="D101" s="6"/>
      <c r="E101" s="6"/>
      <c r="F101" s="6"/>
      <c r="G101" s="24"/>
      <c r="H101" s="24"/>
      <c r="I101" s="24"/>
      <c r="J101" s="24"/>
      <c r="K101" s="24"/>
      <c r="L101" s="6"/>
      <c r="M101" s="6"/>
      <c r="N101" s="6"/>
      <c r="O101" s="6"/>
      <c r="P101" s="6"/>
      <c r="Q101" s="6"/>
    </row>
    <row r="102" spans="1:17" ht="15.75" customHeight="1" outlineLevel="1" x14ac:dyDescent="0.3">
      <c r="A102" s="6"/>
      <c r="B102" s="6"/>
      <c r="C102" s="17" t="s">
        <v>79</v>
      </c>
      <c r="D102" s="6"/>
      <c r="E102" s="6"/>
      <c r="F102" s="18" t="s">
        <v>53</v>
      </c>
      <c r="G102" s="76">
        <v>-1250</v>
      </c>
      <c r="H102" s="76">
        <v>-1500</v>
      </c>
      <c r="I102" s="76">
        <v>-1500</v>
      </c>
      <c r="J102" s="76">
        <v>-2000</v>
      </c>
      <c r="K102" s="76">
        <v>-2250</v>
      </c>
      <c r="L102" s="24">
        <f>-L$84*L25</f>
        <v>-2169.7503489010046</v>
      </c>
      <c r="M102" s="24">
        <f>-M$84*M25</f>
        <v>-2558.5802132282784</v>
      </c>
      <c r="N102" s="24">
        <f>-N$84*N25</f>
        <v>-4545.569509911832</v>
      </c>
      <c r="O102" s="24">
        <f>-O$84*O25</f>
        <v>-5224.8079095438443</v>
      </c>
      <c r="P102" s="24">
        <f>-P$84*P25</f>
        <v>-6042.323066436652</v>
      </c>
      <c r="Q102" s="6"/>
    </row>
    <row r="103" spans="1:17" ht="15.75" customHeight="1" outlineLevel="1" x14ac:dyDescent="0.3">
      <c r="A103" s="6"/>
      <c r="B103" s="6"/>
      <c r="C103" s="17" t="s">
        <v>80</v>
      </c>
      <c r="D103" s="6"/>
      <c r="E103" s="6"/>
      <c r="F103" s="18" t="s">
        <v>53</v>
      </c>
      <c r="G103" s="76">
        <v>0</v>
      </c>
      <c r="H103" s="76">
        <v>-30000</v>
      </c>
      <c r="I103" s="76">
        <v>-30000</v>
      </c>
      <c r="J103" s="76">
        <v>-45000</v>
      </c>
      <c r="K103" s="76">
        <v>-60000</v>
      </c>
      <c r="L103" s="24">
        <f>-L34*L43</f>
        <v>-62483.9424</v>
      </c>
      <c r="M103" s="24">
        <f>-M34*M43</f>
        <v>-97606.07644616293</v>
      </c>
      <c r="N103" s="24">
        <f>-N34*N43</f>
        <v>-101646.87430920068</v>
      </c>
      <c r="O103" s="24">
        <f>-O34*O43</f>
        <v>-141139.94309946967</v>
      </c>
      <c r="P103" s="24">
        <f>-P34*P43</f>
        <v>-146983.00124944234</v>
      </c>
      <c r="Q103" s="6"/>
    </row>
    <row r="104" spans="1:17" ht="15.75" customHeight="1" outlineLevel="1" x14ac:dyDescent="0.3">
      <c r="A104" s="6"/>
      <c r="B104" s="6"/>
      <c r="C104" s="17" t="s">
        <v>81</v>
      </c>
      <c r="D104" s="6"/>
      <c r="E104" s="6"/>
      <c r="F104" s="18" t="s">
        <v>53</v>
      </c>
      <c r="G104" s="76">
        <v>0</v>
      </c>
      <c r="H104" s="76">
        <v>-10000</v>
      </c>
      <c r="I104" s="76">
        <v>-20000</v>
      </c>
      <c r="J104" s="76">
        <v>-20000</v>
      </c>
      <c r="K104" s="76">
        <v>-30000</v>
      </c>
      <c r="L104" s="24">
        <f>-L$84*L26</f>
        <v>-33058.067592482927</v>
      </c>
      <c r="M104" s="24">
        <f>-M$84*M26</f>
        <v>-41497.217725376628</v>
      </c>
      <c r="N104" s="24">
        <f>-N$84*N26</f>
        <v>-52128.003428921627</v>
      </c>
      <c r="O104" s="24">
        <f>-O$84*O26</f>
        <v>-59917.421575067085</v>
      </c>
      <c r="P104" s="24">
        <f>-P$84*P26</f>
        <v>-73252.155677835224</v>
      </c>
      <c r="Q104" s="6"/>
    </row>
    <row r="105" spans="1:17" ht="15.75" customHeight="1" outlineLevel="1" x14ac:dyDescent="0.3">
      <c r="A105" s="6"/>
      <c r="B105" s="6"/>
      <c r="C105" s="17" t="s">
        <v>82</v>
      </c>
      <c r="D105" s="6"/>
      <c r="E105" s="6"/>
      <c r="F105" s="18" t="s">
        <v>53</v>
      </c>
      <c r="G105" s="76">
        <v>-10000</v>
      </c>
      <c r="H105" s="76">
        <v>-30000</v>
      </c>
      <c r="I105" s="76">
        <v>-60000</v>
      </c>
      <c r="J105" s="76">
        <v>-60000</v>
      </c>
      <c r="K105" s="76">
        <v>-60000</v>
      </c>
      <c r="L105" s="24">
        <f t="shared" ref="L105:P107" si="22">-L35*L44</f>
        <v>-93725.9136</v>
      </c>
      <c r="M105" s="24">
        <f t="shared" si="22"/>
        <v>-97606.07644616293</v>
      </c>
      <c r="N105" s="24">
        <f t="shared" si="22"/>
        <v>-135529.16574560091</v>
      </c>
      <c r="O105" s="24">
        <f t="shared" si="22"/>
        <v>-141139.94309946967</v>
      </c>
      <c r="P105" s="24">
        <f t="shared" si="22"/>
        <v>-146983.00124944234</v>
      </c>
      <c r="Q105" s="6"/>
    </row>
    <row r="106" spans="1:17" ht="15.75" customHeight="1" outlineLevel="1" x14ac:dyDescent="0.3">
      <c r="A106" s="6"/>
      <c r="B106" s="6"/>
      <c r="C106" s="17" t="s">
        <v>321</v>
      </c>
      <c r="D106" s="6"/>
      <c r="E106" s="6"/>
      <c r="F106" s="18" t="s">
        <v>53</v>
      </c>
      <c r="G106" s="76">
        <v>0</v>
      </c>
      <c r="H106" s="76">
        <v>-10000</v>
      </c>
      <c r="I106" s="76">
        <v>-12000</v>
      </c>
      <c r="J106" s="76">
        <v>-12000</v>
      </c>
      <c r="K106" s="76">
        <v>-12000</v>
      </c>
      <c r="L106" s="24">
        <f t="shared" si="22"/>
        <v>-12496.788479999999</v>
      </c>
      <c r="M106" s="24">
        <f t="shared" si="22"/>
        <v>-26028.287052310116</v>
      </c>
      <c r="N106" s="24">
        <f t="shared" si="22"/>
        <v>-27105.833149120182</v>
      </c>
      <c r="O106" s="24">
        <f t="shared" si="22"/>
        <v>-28227.988619893935</v>
      </c>
      <c r="P106" s="24">
        <f t="shared" si="22"/>
        <v>-29396.600249888466</v>
      </c>
      <c r="Q106" s="6"/>
    </row>
    <row r="107" spans="1:17" ht="15.75" customHeight="1" outlineLevel="1" x14ac:dyDescent="0.3">
      <c r="A107" s="6"/>
      <c r="B107" s="6"/>
      <c r="C107" s="17" t="s">
        <v>83</v>
      </c>
      <c r="D107" s="6"/>
      <c r="E107" s="6"/>
      <c r="F107" s="18" t="s">
        <v>53</v>
      </c>
      <c r="G107" s="76">
        <v>0</v>
      </c>
      <c r="H107" s="76">
        <v>0</v>
      </c>
      <c r="I107" s="76">
        <v>-40000</v>
      </c>
      <c r="J107" s="76">
        <v>-60000</v>
      </c>
      <c r="K107" s="76">
        <v>-80000</v>
      </c>
      <c r="L107" s="24">
        <f t="shared" si="22"/>
        <v>-83311.92319999999</v>
      </c>
      <c r="M107" s="24">
        <f t="shared" si="22"/>
        <v>-86760.956841033709</v>
      </c>
      <c r="N107" s="24">
        <f t="shared" si="22"/>
        <v>-90352.777163733932</v>
      </c>
      <c r="O107" s="24">
        <f t="shared" si="22"/>
        <v>-117616.61924955805</v>
      </c>
      <c r="P107" s="24">
        <f t="shared" si="22"/>
        <v>-146983.00124944231</v>
      </c>
      <c r="Q107" s="6"/>
    </row>
    <row r="108" spans="1:17" ht="15.75" customHeight="1" outlineLevel="1" x14ac:dyDescent="0.3">
      <c r="A108" s="6"/>
      <c r="B108" s="6"/>
      <c r="C108" s="17" t="s">
        <v>84</v>
      </c>
      <c r="D108" s="6"/>
      <c r="E108" s="6"/>
      <c r="F108" s="18" t="s">
        <v>53</v>
      </c>
      <c r="G108" s="76">
        <v>-2000</v>
      </c>
      <c r="H108" s="76">
        <v>-5000</v>
      </c>
      <c r="I108" s="76">
        <v>-10000</v>
      </c>
      <c r="J108" s="76">
        <v>-15000</v>
      </c>
      <c r="K108" s="76">
        <v>-20000</v>
      </c>
      <c r="L108" s="24">
        <f t="shared" ref="L108:P110" si="23">-L$84*L27</f>
        <v>-28036.818669982924</v>
      </c>
      <c r="M108" s="24">
        <f t="shared" si="23"/>
        <v>-36066.712984102203</v>
      </c>
      <c r="N108" s="24">
        <f t="shared" si="23"/>
        <v>-42717.376357314672</v>
      </c>
      <c r="O108" s="24">
        <f t="shared" si="23"/>
        <v>-53192.291782503249</v>
      </c>
      <c r="P108" s="24">
        <f t="shared" si="23"/>
        <v>-61515.182406410931</v>
      </c>
      <c r="Q108" s="6"/>
    </row>
    <row r="109" spans="1:17" ht="15.75" customHeight="1" outlineLevel="1" x14ac:dyDescent="0.3">
      <c r="A109" s="6"/>
      <c r="B109" s="6"/>
      <c r="C109" s="17" t="s">
        <v>85</v>
      </c>
      <c r="D109" s="6"/>
      <c r="E109" s="6"/>
      <c r="F109" s="18" t="s">
        <v>53</v>
      </c>
      <c r="G109" s="76">
        <v>-5768</v>
      </c>
      <c r="H109" s="76">
        <v>-8798</v>
      </c>
      <c r="I109" s="76">
        <v>-6012</v>
      </c>
      <c r="J109" s="76">
        <v>-5123</v>
      </c>
      <c r="K109" s="76">
        <v>-6763</v>
      </c>
      <c r="L109" s="24">
        <f t="shared" si="23"/>
        <v>-7595.2030575901344</v>
      </c>
      <c r="M109" s="24">
        <f t="shared" si="23"/>
        <v>-7676.8290489314204</v>
      </c>
      <c r="N109" s="24">
        <f t="shared" si="23"/>
        <v>-7577.0234421445393</v>
      </c>
      <c r="O109" s="24">
        <f t="shared" si="23"/>
        <v>-6967.3983732936103</v>
      </c>
      <c r="P109" s="24">
        <f t="shared" si="23"/>
        <v>-8057.5731458193841</v>
      </c>
      <c r="Q109" s="6"/>
    </row>
    <row r="110" spans="1:17" ht="15.75" customHeight="1" outlineLevel="1" x14ac:dyDescent="0.3">
      <c r="A110" s="6"/>
      <c r="B110" s="6"/>
      <c r="C110" s="17" t="s">
        <v>86</v>
      </c>
      <c r="D110" s="6"/>
      <c r="E110" s="6"/>
      <c r="F110" s="18" t="s">
        <v>53</v>
      </c>
      <c r="G110" s="76">
        <v>-568</v>
      </c>
      <c r="H110" s="76">
        <v>-792</v>
      </c>
      <c r="I110" s="76">
        <v>-1011</v>
      </c>
      <c r="J110" s="76">
        <v>-1523</v>
      </c>
      <c r="K110" s="76">
        <v>-2024</v>
      </c>
      <c r="L110" s="24">
        <f t="shared" si="23"/>
        <v>-2064.3975946232135</v>
      </c>
      <c r="M110" s="24">
        <f t="shared" si="23"/>
        <v>-2434.3477306107329</v>
      </c>
      <c r="N110" s="24">
        <f t="shared" si="23"/>
        <v>-4324.8582802199371</v>
      </c>
      <c r="O110" s="24">
        <f t="shared" si="23"/>
        <v>-6628.154792889045</v>
      </c>
      <c r="P110" s="24">
        <f t="shared" si="23"/>
        <v>-7665.2488065312764</v>
      </c>
      <c r="Q110" s="6"/>
    </row>
    <row r="111" spans="1:17" ht="15.75" customHeight="1" outlineLevel="1" x14ac:dyDescent="0.3">
      <c r="A111" s="6"/>
      <c r="B111" s="6"/>
      <c r="C111" s="17" t="s">
        <v>87</v>
      </c>
      <c r="D111" s="6"/>
      <c r="E111" s="6"/>
      <c r="F111" s="18" t="s">
        <v>53</v>
      </c>
      <c r="G111" s="76">
        <v>0</v>
      </c>
      <c r="H111" s="76">
        <v>0</v>
      </c>
      <c r="I111" s="76">
        <v>-40000</v>
      </c>
      <c r="J111" s="76">
        <v>-40000</v>
      </c>
      <c r="K111" s="76">
        <v>-80000</v>
      </c>
      <c r="L111" s="24">
        <f t="shared" ref="L111:P112" si="24">-L38*L47</f>
        <v>-83311.92319999999</v>
      </c>
      <c r="M111" s="24">
        <f t="shared" si="24"/>
        <v>-86760.956841033709</v>
      </c>
      <c r="N111" s="24">
        <f t="shared" si="24"/>
        <v>-180705.55432746786</v>
      </c>
      <c r="O111" s="24">
        <f t="shared" si="24"/>
        <v>-188186.59079929287</v>
      </c>
      <c r="P111" s="24">
        <f t="shared" si="24"/>
        <v>-195977.33499925642</v>
      </c>
      <c r="Q111" s="6"/>
    </row>
    <row r="112" spans="1:17" ht="15.75" customHeight="1" outlineLevel="1" x14ac:dyDescent="0.3">
      <c r="A112" s="6"/>
      <c r="B112" s="6"/>
      <c r="C112" s="17" t="s">
        <v>88</v>
      </c>
      <c r="D112" s="6"/>
      <c r="E112" s="6"/>
      <c r="F112" s="18" t="s">
        <v>53</v>
      </c>
      <c r="G112" s="76">
        <v>0</v>
      </c>
      <c r="H112" s="76">
        <v>0</v>
      </c>
      <c r="I112" s="76">
        <v>-30000</v>
      </c>
      <c r="J112" s="76">
        <v>-30000</v>
      </c>
      <c r="K112" s="76">
        <v>-30000</v>
      </c>
      <c r="L112" s="24">
        <f t="shared" si="24"/>
        <v>-31241.9712</v>
      </c>
      <c r="M112" s="24">
        <f t="shared" si="24"/>
        <v>-48803.038223081465</v>
      </c>
      <c r="N112" s="24">
        <f t="shared" si="24"/>
        <v>-50823.437154600339</v>
      </c>
      <c r="O112" s="24">
        <f t="shared" si="24"/>
        <v>-70569.971549734837</v>
      </c>
      <c r="P112" s="24">
        <f t="shared" si="24"/>
        <v>-73491.500624721171</v>
      </c>
      <c r="Q112" s="6"/>
    </row>
    <row r="113" spans="1:17" ht="15.75" customHeight="1" outlineLevel="1" x14ac:dyDescent="0.3">
      <c r="A113" s="6"/>
      <c r="B113" s="36"/>
      <c r="C113" s="38" t="s">
        <v>89</v>
      </c>
      <c r="D113" s="36"/>
      <c r="E113" s="36"/>
      <c r="F113" s="39" t="s">
        <v>53</v>
      </c>
      <c r="G113" s="40">
        <f t="shared" ref="G113:P113" si="25">SUM(G102:G112)</f>
        <v>-19586</v>
      </c>
      <c r="H113" s="40">
        <f t="shared" si="25"/>
        <v>-96090</v>
      </c>
      <c r="I113" s="40">
        <f t="shared" si="25"/>
        <v>-250523</v>
      </c>
      <c r="J113" s="40">
        <f t="shared" si="25"/>
        <v>-290646</v>
      </c>
      <c r="K113" s="40">
        <f t="shared" si="25"/>
        <v>-383037</v>
      </c>
      <c r="L113" s="40">
        <f t="shared" si="25"/>
        <v>-439496.69934358017</v>
      </c>
      <c r="M113" s="40">
        <f t="shared" si="25"/>
        <v>-533799.07955203415</v>
      </c>
      <c r="N113" s="40">
        <f t="shared" si="25"/>
        <v>-697456.47286823648</v>
      </c>
      <c r="O113" s="40">
        <f t="shared" si="25"/>
        <v>-818811.1308507158</v>
      </c>
      <c r="P113" s="40">
        <f t="shared" si="25"/>
        <v>-896346.92272522661</v>
      </c>
    </row>
    <row r="114" spans="1:17" ht="15.75" customHeight="1" outlineLevel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customHeight="1" outlineLevel="1" x14ac:dyDescent="0.3">
      <c r="A115" s="6"/>
      <c r="B115" s="6"/>
      <c r="C115" s="6" t="s">
        <v>90</v>
      </c>
      <c r="D115" s="6"/>
      <c r="E115" s="6"/>
      <c r="F115" s="18" t="s">
        <v>53</v>
      </c>
      <c r="G115" s="24">
        <f t="shared" ref="G115:P115" si="26">G99+G113</f>
        <v>142192.70699999999</v>
      </c>
      <c r="H115" s="24">
        <f t="shared" si="26"/>
        <v>228200.45699999994</v>
      </c>
      <c r="I115" s="24">
        <f t="shared" si="26"/>
        <v>251612.96200000006</v>
      </c>
      <c r="J115" s="24">
        <f t="shared" si="26"/>
        <v>344629.69799999997</v>
      </c>
      <c r="K115" s="24">
        <f t="shared" si="26"/>
        <v>417472.19699999993</v>
      </c>
      <c r="L115" s="24">
        <f t="shared" si="26"/>
        <v>591820.60591286956</v>
      </c>
      <c r="M115" s="24">
        <f t="shared" si="26"/>
        <v>680670.66137492307</v>
      </c>
      <c r="N115" s="24">
        <f t="shared" si="26"/>
        <v>733429.97469689581</v>
      </c>
      <c r="O115" s="24">
        <f t="shared" si="26"/>
        <v>825058.40927207982</v>
      </c>
      <c r="P115" s="24">
        <f t="shared" si="26"/>
        <v>979966.19486155815</v>
      </c>
      <c r="Q115" s="6"/>
    </row>
    <row r="116" spans="1:17" ht="15.75" customHeight="1" outlineLevel="1" x14ac:dyDescent="0.3">
      <c r="A116" s="6"/>
      <c r="B116" s="6"/>
      <c r="C116" s="6"/>
      <c r="D116" s="6"/>
      <c r="E116" s="6"/>
      <c r="F116" s="6"/>
      <c r="G116" s="30"/>
      <c r="H116" s="6"/>
      <c r="I116" s="11"/>
      <c r="J116" s="11"/>
      <c r="K116" s="11"/>
      <c r="L116" s="6"/>
      <c r="M116" s="6"/>
      <c r="N116" s="6"/>
      <c r="O116" s="6"/>
      <c r="P116" s="6"/>
      <c r="Q116" s="6"/>
    </row>
    <row r="117" spans="1:17" ht="15.75" customHeight="1" outlineLevel="1" x14ac:dyDescent="0.3">
      <c r="A117" s="6"/>
      <c r="B117" s="6"/>
      <c r="C117" s="6" t="s">
        <v>91</v>
      </c>
      <c r="D117" s="6"/>
      <c r="E117" s="6"/>
      <c r="F117" s="18" t="s">
        <v>53</v>
      </c>
      <c r="G117" s="76">
        <v>-35548.176749999999</v>
      </c>
      <c r="H117" s="76">
        <v>-61614.123389999986</v>
      </c>
      <c r="I117" s="76">
        <v>-70451.629360000021</v>
      </c>
      <c r="J117" s="76">
        <v>-99942.61241999999</v>
      </c>
      <c r="K117" s="76">
        <v>-125241.65909999998</v>
      </c>
      <c r="L117" s="24">
        <f>-L115*L31</f>
        <v>-177546.18177386085</v>
      </c>
      <c r="M117" s="24">
        <f>-M115*M31</f>
        <v>-204201.19841247692</v>
      </c>
      <c r="N117" s="24">
        <f>-N115*N31</f>
        <v>-220028.99240906874</v>
      </c>
      <c r="O117" s="24">
        <f>-O115*O31</f>
        <v>-247517.52278162393</v>
      </c>
      <c r="P117" s="24">
        <f>-P115*P31</f>
        <v>-293989.85845846741</v>
      </c>
      <c r="Q117" s="6"/>
    </row>
    <row r="118" spans="1:17" ht="15.75" customHeight="1" outlineLevel="1" x14ac:dyDescent="0.3">
      <c r="A118" s="6"/>
      <c r="B118" s="6"/>
      <c r="C118" s="6"/>
      <c r="D118" s="6"/>
      <c r="E118" s="6"/>
      <c r="F118" s="6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6"/>
    </row>
    <row r="119" spans="1:17" ht="15.75" customHeight="1" outlineLevel="1" x14ac:dyDescent="0.3">
      <c r="A119" s="6"/>
      <c r="B119" s="6"/>
      <c r="C119" s="6" t="s">
        <v>92</v>
      </c>
      <c r="D119" s="6"/>
      <c r="E119" s="6"/>
      <c r="F119" s="18" t="s">
        <v>53</v>
      </c>
      <c r="G119" s="22">
        <f t="shared" ref="G119:P119" si="27">G115+G117</f>
        <v>106644.53025</v>
      </c>
      <c r="H119" s="22">
        <f t="shared" si="27"/>
        <v>166586.33360999994</v>
      </c>
      <c r="I119" s="22">
        <f t="shared" si="27"/>
        <v>181161.33264000004</v>
      </c>
      <c r="J119" s="22">
        <f t="shared" si="27"/>
        <v>244687.08557999998</v>
      </c>
      <c r="K119" s="22">
        <f t="shared" si="27"/>
        <v>292230.53789999994</v>
      </c>
      <c r="L119" s="22">
        <f t="shared" si="27"/>
        <v>414274.42413900874</v>
      </c>
      <c r="M119" s="22">
        <f t="shared" si="27"/>
        <v>476469.46296244615</v>
      </c>
      <c r="N119" s="22">
        <f t="shared" si="27"/>
        <v>513400.98228782706</v>
      </c>
      <c r="O119" s="22">
        <f t="shared" si="27"/>
        <v>577540.88649045583</v>
      </c>
      <c r="P119" s="22">
        <f t="shared" si="27"/>
        <v>685976.33640309074</v>
      </c>
      <c r="Q119" s="6"/>
    </row>
    <row r="120" spans="1:17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5.75" customHeight="1" x14ac:dyDescent="0.3">
      <c r="A121" s="6"/>
      <c r="B121" s="53"/>
      <c r="C121" s="53"/>
      <c r="D121" s="53"/>
      <c r="E121" s="53"/>
      <c r="F121" s="43"/>
      <c r="G121" s="43" t="str">
        <f>$G$5</f>
        <v>Actuals</v>
      </c>
      <c r="H121" s="43"/>
      <c r="I121" s="43"/>
      <c r="J121" s="43"/>
      <c r="K121" s="44"/>
      <c r="L121" s="43" t="str">
        <f>$L$5</f>
        <v>Forecast</v>
      </c>
      <c r="M121" s="43"/>
      <c r="N121" s="43"/>
      <c r="O121" s="43"/>
      <c r="P121" s="43"/>
    </row>
    <row r="122" spans="1:17" ht="15.75" customHeight="1" x14ac:dyDescent="0.3">
      <c r="A122" s="6"/>
      <c r="B122" s="46" t="s">
        <v>93</v>
      </c>
      <c r="C122" s="46"/>
      <c r="D122" s="54"/>
      <c r="E122" s="54"/>
      <c r="F122" s="48" t="str">
        <f>$F$6</f>
        <v>Reporting Units:</v>
      </c>
      <c r="G122" s="49" t="str">
        <f>$G$6</f>
        <v>Year 1</v>
      </c>
      <c r="H122" s="49" t="str">
        <f>$H$6</f>
        <v>Year 2</v>
      </c>
      <c r="I122" s="49" t="str">
        <f>$I$6</f>
        <v>Year 3</v>
      </c>
      <c r="J122" s="49" t="str">
        <f>$J$6</f>
        <v>Year 4</v>
      </c>
      <c r="K122" s="50" t="str">
        <f>$K$6</f>
        <v>Year 5</v>
      </c>
      <c r="L122" s="49" t="str">
        <f>$L$6</f>
        <v>Year 6</v>
      </c>
      <c r="M122" s="49" t="str">
        <f>$M$6</f>
        <v>Year 7</v>
      </c>
      <c r="N122" s="49" t="str">
        <f>$N$6</f>
        <v>Year 8</v>
      </c>
      <c r="O122" s="49" t="str">
        <f>$O$6</f>
        <v>Year 9</v>
      </c>
      <c r="P122" s="49" t="str">
        <f>$P$6</f>
        <v>Year 10</v>
      </c>
    </row>
    <row r="123" spans="1:17" ht="15.75" customHeight="1" outlineLevel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5.75" customHeight="1" outlineLevel="1" x14ac:dyDescent="0.3">
      <c r="A124" s="6"/>
      <c r="B124" s="6"/>
      <c r="C124" s="17" t="s">
        <v>94</v>
      </c>
      <c r="D124" s="6"/>
      <c r="E124" s="6"/>
      <c r="F124" s="18" t="s">
        <v>53</v>
      </c>
      <c r="G124" s="22">
        <f t="shared" ref="G124:P124" si="28">G115</f>
        <v>142192.70699999999</v>
      </c>
      <c r="H124" s="22">
        <f t="shared" si="28"/>
        <v>228200.45699999994</v>
      </c>
      <c r="I124" s="22">
        <f t="shared" si="28"/>
        <v>251612.96200000006</v>
      </c>
      <c r="J124" s="22">
        <f t="shared" si="28"/>
        <v>344629.69799999997</v>
      </c>
      <c r="K124" s="22">
        <f t="shared" si="28"/>
        <v>417472.19699999993</v>
      </c>
      <c r="L124" s="22">
        <f t="shared" si="28"/>
        <v>591820.60591286956</v>
      </c>
      <c r="M124" s="22">
        <f t="shared" si="28"/>
        <v>680670.66137492307</v>
      </c>
      <c r="N124" s="22">
        <f t="shared" si="28"/>
        <v>733429.97469689581</v>
      </c>
      <c r="O124" s="22">
        <f t="shared" si="28"/>
        <v>825058.40927207982</v>
      </c>
      <c r="P124" s="22">
        <f t="shared" si="28"/>
        <v>979966.19486155815</v>
      </c>
      <c r="Q124" s="6"/>
    </row>
    <row r="125" spans="1:17" ht="15.75" customHeight="1" outlineLevel="1" x14ac:dyDescent="0.3">
      <c r="A125" s="6"/>
      <c r="B125" s="6"/>
      <c r="C125" s="17" t="s">
        <v>95</v>
      </c>
      <c r="D125" s="6"/>
      <c r="E125" s="6"/>
      <c r="F125" s="18" t="s">
        <v>53</v>
      </c>
      <c r="G125" s="24">
        <f t="shared" ref="G125:P125" si="29">-G110</f>
        <v>568</v>
      </c>
      <c r="H125" s="24">
        <f t="shared" si="29"/>
        <v>792</v>
      </c>
      <c r="I125" s="24">
        <f t="shared" si="29"/>
        <v>1011</v>
      </c>
      <c r="J125" s="24">
        <f t="shared" si="29"/>
        <v>1523</v>
      </c>
      <c r="K125" s="24">
        <f t="shared" si="29"/>
        <v>2024</v>
      </c>
      <c r="L125" s="24">
        <f t="shared" si="29"/>
        <v>2064.3975946232135</v>
      </c>
      <c r="M125" s="24">
        <f t="shared" si="29"/>
        <v>2434.3477306107329</v>
      </c>
      <c r="N125" s="24">
        <f t="shared" si="29"/>
        <v>4324.8582802199371</v>
      </c>
      <c r="O125" s="24">
        <f t="shared" si="29"/>
        <v>6628.154792889045</v>
      </c>
      <c r="P125" s="24">
        <f t="shared" si="29"/>
        <v>7665.2488065312764</v>
      </c>
      <c r="Q125" s="6"/>
    </row>
    <row r="126" spans="1:17" ht="15.75" customHeight="1" outlineLevel="1" x14ac:dyDescent="0.3">
      <c r="A126" s="6"/>
      <c r="B126" s="36"/>
      <c r="C126" s="36" t="s">
        <v>96</v>
      </c>
      <c r="D126" s="36"/>
      <c r="E126" s="36"/>
      <c r="F126" s="39" t="s">
        <v>53</v>
      </c>
      <c r="G126" s="40">
        <f t="shared" ref="G126:P126" si="30">SUM(G124:G125)</f>
        <v>142760.70699999999</v>
      </c>
      <c r="H126" s="40">
        <f t="shared" si="30"/>
        <v>228992.45699999994</v>
      </c>
      <c r="I126" s="40">
        <f t="shared" si="30"/>
        <v>252623.96200000006</v>
      </c>
      <c r="J126" s="40">
        <f t="shared" si="30"/>
        <v>346152.69799999997</v>
      </c>
      <c r="K126" s="40">
        <f t="shared" si="30"/>
        <v>419496.19699999993</v>
      </c>
      <c r="L126" s="40">
        <f t="shared" si="30"/>
        <v>593885.00350749283</v>
      </c>
      <c r="M126" s="40">
        <f t="shared" si="30"/>
        <v>683105.00910553383</v>
      </c>
      <c r="N126" s="40">
        <f t="shared" si="30"/>
        <v>737754.83297711576</v>
      </c>
      <c r="O126" s="40">
        <f t="shared" si="30"/>
        <v>831686.56406496884</v>
      </c>
      <c r="P126" s="40">
        <f t="shared" si="30"/>
        <v>987631.44366808946</v>
      </c>
    </row>
    <row r="127" spans="1:17" ht="15.75" customHeight="1" outlineLevel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5.75" customHeight="1" outlineLevel="1" x14ac:dyDescent="0.3">
      <c r="A128" s="6"/>
      <c r="B128" s="6"/>
      <c r="C128" s="32" t="s">
        <v>97</v>
      </c>
      <c r="D128" s="6"/>
      <c r="E128" s="6"/>
      <c r="F128" s="18" t="s">
        <v>21</v>
      </c>
      <c r="G128" s="19" t="str">
        <f t="shared" ref="G128:P128" si="31">IFERROR(+G84/F84-1,"N/A")</f>
        <v>N/A</v>
      </c>
      <c r="H128" s="19">
        <f t="shared" si="31"/>
        <v>0.90442971583398779</v>
      </c>
      <c r="I128" s="19">
        <f t="shared" si="31"/>
        <v>0.50885621342844556</v>
      </c>
      <c r="J128" s="19">
        <f t="shared" si="31"/>
        <v>0.23951210648402022</v>
      </c>
      <c r="K128" s="19">
        <f t="shared" si="31"/>
        <v>0.2600973081768978</v>
      </c>
      <c r="L128" s="19">
        <f t="shared" si="31"/>
        <v>0.28984440504736031</v>
      </c>
      <c r="M128" s="19">
        <f t="shared" si="31"/>
        <v>0.17920488618620056</v>
      </c>
      <c r="N128" s="19">
        <f t="shared" si="31"/>
        <v>0.18439893250443973</v>
      </c>
      <c r="O128" s="19">
        <f t="shared" si="31"/>
        <v>0.14942866854217063</v>
      </c>
      <c r="P128" s="19">
        <f t="shared" si="31"/>
        <v>0.15646798332997114</v>
      </c>
      <c r="Q128" s="6"/>
    </row>
    <row r="129" spans="1:17" ht="15.75" customHeight="1" outlineLevel="1" x14ac:dyDescent="0.3">
      <c r="A129" s="6"/>
      <c r="B129" s="6"/>
      <c r="C129" s="32" t="s">
        <v>98</v>
      </c>
      <c r="D129" s="6"/>
      <c r="E129" s="6"/>
      <c r="F129" s="18" t="s">
        <v>21</v>
      </c>
      <c r="G129" s="19">
        <f t="shared" ref="G129:P129" si="32">IFERROR(+G115/G84,"N/A")</f>
        <v>0.6688683080338873</v>
      </c>
      <c r="H129" s="19">
        <f t="shared" si="32"/>
        <v>0.56365693812877127</v>
      </c>
      <c r="I129" s="19">
        <f t="shared" si="32"/>
        <v>0.4118921376198903</v>
      </c>
      <c r="J129" s="19">
        <f t="shared" si="32"/>
        <v>0.4551477689643969</v>
      </c>
      <c r="K129" s="19">
        <f t="shared" si="32"/>
        <v>0.43754547055253878</v>
      </c>
      <c r="L129" s="19">
        <f t="shared" si="32"/>
        <v>0.48089293096400076</v>
      </c>
      <c r="M129" s="19">
        <f t="shared" si="32"/>
        <v>0.4690358866694036</v>
      </c>
      <c r="N129" s="19">
        <f t="shared" si="32"/>
        <v>0.4267069226714198</v>
      </c>
      <c r="O129" s="19">
        <f t="shared" si="32"/>
        <v>0.4176127059028667</v>
      </c>
      <c r="P129" s="19">
        <f t="shared" si="32"/>
        <v>0.42891031323064521</v>
      </c>
      <c r="Q129" s="6"/>
    </row>
    <row r="130" spans="1:17" ht="15.75" customHeight="1" outlineLevel="1" x14ac:dyDescent="0.3">
      <c r="A130" s="6"/>
      <c r="B130" s="6"/>
      <c r="C130" s="32" t="s">
        <v>99</v>
      </c>
      <c r="D130" s="6"/>
      <c r="E130" s="6"/>
      <c r="F130" s="18" t="s">
        <v>21</v>
      </c>
      <c r="G130" s="19">
        <f t="shared" ref="G130:P130" si="33">IFERROR(+G126/G84,"N/A")</f>
        <v>0.67154015532464351</v>
      </c>
      <c r="H130" s="19">
        <f t="shared" si="33"/>
        <v>0.56561318440832187</v>
      </c>
      <c r="I130" s="19">
        <f t="shared" si="33"/>
        <v>0.41354715152626331</v>
      </c>
      <c r="J130" s="19">
        <f t="shared" si="33"/>
        <v>0.4571591744124926</v>
      </c>
      <c r="K130" s="19">
        <f t="shared" si="33"/>
        <v>0.43966679034044875</v>
      </c>
      <c r="L130" s="19">
        <f t="shared" si="33"/>
        <v>0.48257038896400078</v>
      </c>
      <c r="M130" s="19">
        <f t="shared" si="33"/>
        <v>0.47071334466940362</v>
      </c>
      <c r="N130" s="19">
        <f t="shared" si="33"/>
        <v>0.4292231096714198</v>
      </c>
      <c r="O130" s="19">
        <f t="shared" si="33"/>
        <v>0.42096762190286668</v>
      </c>
      <c r="P130" s="19">
        <f t="shared" si="33"/>
        <v>0.4322652292306452</v>
      </c>
      <c r="Q130" s="6"/>
    </row>
    <row r="131" spans="1:17" ht="15.75" customHeight="1" outlineLevel="1" x14ac:dyDescent="0.3">
      <c r="A131" s="6"/>
      <c r="B131" s="6"/>
      <c r="C131" s="32" t="s">
        <v>100</v>
      </c>
      <c r="D131" s="6"/>
      <c r="E131" s="6"/>
      <c r="F131" s="18" t="s">
        <v>21</v>
      </c>
      <c r="G131" s="19">
        <f t="shared" ref="G131:P131" si="34">IFERROR(+G119/G84,"N/A")</f>
        <v>0.50165123102541542</v>
      </c>
      <c r="H131" s="19">
        <f t="shared" si="34"/>
        <v>0.41146956483400304</v>
      </c>
      <c r="I131" s="19">
        <f t="shared" si="34"/>
        <v>0.29656233908632101</v>
      </c>
      <c r="J131" s="19">
        <f t="shared" si="34"/>
        <v>0.32315491596472179</v>
      </c>
      <c r="K131" s="19">
        <f t="shared" si="34"/>
        <v>0.30628182938677717</v>
      </c>
      <c r="L131" s="19">
        <f t="shared" si="34"/>
        <v>0.33662505167480056</v>
      </c>
      <c r="M131" s="19">
        <f t="shared" si="34"/>
        <v>0.32832512066858255</v>
      </c>
      <c r="N131" s="19">
        <f t="shared" si="34"/>
        <v>0.29869484586999384</v>
      </c>
      <c r="O131" s="19">
        <f t="shared" si="34"/>
        <v>0.29232889413200663</v>
      </c>
      <c r="P131" s="19">
        <f t="shared" si="34"/>
        <v>0.30023721926145164</v>
      </c>
      <c r="Q131" s="6"/>
    </row>
    <row r="132" spans="1:17" ht="15.75" customHeight="1" outlineLevel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5.75" customHeight="1" outlineLevel="1" x14ac:dyDescent="0.3">
      <c r="A133" s="6"/>
      <c r="B133" s="6"/>
      <c r="C133" s="32" t="s">
        <v>35</v>
      </c>
      <c r="D133" s="6"/>
      <c r="E133" s="6"/>
      <c r="F133" s="18" t="s">
        <v>21</v>
      </c>
      <c r="G133" s="19">
        <f t="shared" ref="G133:P133" si="35">-G117/G115</f>
        <v>0.25</v>
      </c>
      <c r="H133" s="19">
        <f t="shared" si="35"/>
        <v>0.27</v>
      </c>
      <c r="I133" s="19">
        <f t="shared" si="35"/>
        <v>0.28000000000000003</v>
      </c>
      <c r="J133" s="19">
        <f t="shared" si="35"/>
        <v>0.28999999999999998</v>
      </c>
      <c r="K133" s="19">
        <f t="shared" si="35"/>
        <v>0.3</v>
      </c>
      <c r="L133" s="19">
        <f t="shared" si="35"/>
        <v>0.3</v>
      </c>
      <c r="M133" s="19">
        <f t="shared" si="35"/>
        <v>0.3</v>
      </c>
      <c r="N133" s="19">
        <f t="shared" si="35"/>
        <v>0.3</v>
      </c>
      <c r="O133" s="19">
        <f t="shared" si="35"/>
        <v>0.3</v>
      </c>
      <c r="P133" s="19">
        <f t="shared" si="35"/>
        <v>0.3</v>
      </c>
      <c r="Q133" s="6"/>
    </row>
    <row r="134" spans="1:17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5.75" customHeight="1" x14ac:dyDescent="0.3">
      <c r="A135" s="6"/>
      <c r="B135" s="43"/>
      <c r="C135" s="43"/>
      <c r="D135" s="43"/>
      <c r="E135" s="43"/>
      <c r="F135" s="43"/>
      <c r="G135" s="43" t="str">
        <f>$G$5</f>
        <v>Actuals</v>
      </c>
      <c r="H135" s="43"/>
      <c r="I135" s="43"/>
      <c r="J135" s="43"/>
      <c r="K135" s="44"/>
      <c r="L135" s="43" t="str">
        <f>$L$5</f>
        <v>Forecast</v>
      </c>
      <c r="M135" s="43"/>
      <c r="N135" s="43"/>
      <c r="O135" s="43"/>
      <c r="P135" s="43"/>
    </row>
    <row r="136" spans="1:17" ht="15.75" customHeight="1" x14ac:dyDescent="0.3">
      <c r="A136" s="6"/>
      <c r="B136" s="52" t="s">
        <v>101</v>
      </c>
      <c r="C136" s="47"/>
      <c r="D136" s="47"/>
      <c r="E136" s="47"/>
      <c r="F136" s="48" t="str">
        <f>$F$6</f>
        <v>Reporting Units:</v>
      </c>
      <c r="G136" s="49" t="str">
        <f>$G$6</f>
        <v>Year 1</v>
      </c>
      <c r="H136" s="49" t="str">
        <f>$H$6</f>
        <v>Year 2</v>
      </c>
      <c r="I136" s="49" t="str">
        <f>$I$6</f>
        <v>Year 3</v>
      </c>
      <c r="J136" s="49" t="str">
        <f>$J$6</f>
        <v>Year 4</v>
      </c>
      <c r="K136" s="50" t="str">
        <f>$K$6</f>
        <v>Year 5</v>
      </c>
      <c r="L136" s="49" t="str">
        <f>$L$6</f>
        <v>Year 6</v>
      </c>
      <c r="M136" s="49" t="str">
        <f>$M$6</f>
        <v>Year 7</v>
      </c>
      <c r="N136" s="49" t="str">
        <f>$N$6</f>
        <v>Year 8</v>
      </c>
      <c r="O136" s="49" t="str">
        <f>$O$6</f>
        <v>Year 9</v>
      </c>
      <c r="P136" s="49" t="str">
        <f>$P$6</f>
        <v>Year 10</v>
      </c>
    </row>
    <row r="137" spans="1:17" ht="15.75" customHeight="1" outlineLevel="1" x14ac:dyDescent="0.3">
      <c r="A137" s="6"/>
      <c r="B137" s="8" t="s">
        <v>102</v>
      </c>
      <c r="C137" s="55"/>
      <c r="D137" s="55"/>
      <c r="E137" s="55"/>
      <c r="F137" s="5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6"/>
    </row>
    <row r="138" spans="1:17" ht="15.75" customHeight="1" outlineLevel="1" x14ac:dyDescent="0.3">
      <c r="A138" s="6"/>
      <c r="B138" s="6"/>
      <c r="C138" s="6" t="s">
        <v>103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5.75" customHeight="1" outlineLevel="1" x14ac:dyDescent="0.3">
      <c r="A139" s="6"/>
      <c r="B139" s="6"/>
      <c r="C139" s="17" t="s">
        <v>104</v>
      </c>
      <c r="D139" s="6"/>
      <c r="E139" s="6"/>
      <c r="F139" s="18" t="s">
        <v>53</v>
      </c>
      <c r="G139" s="22">
        <v>52348</v>
      </c>
      <c r="H139" s="22">
        <v>117867.39760999996</v>
      </c>
      <c r="I139" s="22">
        <v>181224.52525000001</v>
      </c>
      <c r="J139" s="22">
        <v>279273.77483000001</v>
      </c>
      <c r="K139" s="22">
        <v>374608.29772999987</v>
      </c>
      <c r="L139" s="22">
        <f>L192</f>
        <v>537731.33123705233</v>
      </c>
      <c r="M139" s="22">
        <f>M192</f>
        <v>715659.68658379803</v>
      </c>
      <c r="N139" s="22">
        <f>N192</f>
        <v>877098.91773874895</v>
      </c>
      <c r="O139" s="22">
        <f>O192</f>
        <v>1049559.245894691</v>
      </c>
      <c r="P139" s="22">
        <f>P192</f>
        <v>1263574.2310443949</v>
      </c>
      <c r="Q139" s="6"/>
    </row>
    <row r="140" spans="1:17" ht="15.75" customHeight="1" outlineLevel="1" x14ac:dyDescent="0.3">
      <c r="A140" s="6"/>
      <c r="B140" s="6"/>
      <c r="C140" s="17" t="s">
        <v>105</v>
      </c>
      <c r="D140" s="6"/>
      <c r="E140" s="6"/>
      <c r="F140" s="18" t="s">
        <v>53</v>
      </c>
      <c r="G140" s="76">
        <v>0</v>
      </c>
      <c r="H140" s="76">
        <v>2024.2849999999999</v>
      </c>
      <c r="I140" s="76">
        <v>6108.7100000000009</v>
      </c>
      <c r="J140" s="76">
        <v>7571.82</v>
      </c>
      <c r="K140" s="76">
        <v>11449.475999999999</v>
      </c>
      <c r="L140" s="24">
        <f>L55*L$84</f>
        <v>13723.026331741143</v>
      </c>
      <c r="M140" s="24">
        <f>M55*M$84</f>
        <v>17530.781345621966</v>
      </c>
      <c r="N140" s="24">
        <f>N55*N$84</f>
        <v>22360.626304932899</v>
      </c>
      <c r="O140" s="24">
        <f>O55*O$84</f>
        <v>27537.798130122919</v>
      </c>
      <c r="P140" s="24">
        <f>P55*P$84</f>
        <v>33969.687326817177</v>
      </c>
      <c r="Q140" s="6"/>
    </row>
    <row r="141" spans="1:17" ht="15.75" customHeight="1" outlineLevel="1" x14ac:dyDescent="0.3">
      <c r="A141" s="6"/>
      <c r="B141" s="36"/>
      <c r="C141" s="36" t="s">
        <v>106</v>
      </c>
      <c r="D141" s="36"/>
      <c r="E141" s="36"/>
      <c r="F141" s="39" t="s">
        <v>53</v>
      </c>
      <c r="G141" s="40">
        <f t="shared" ref="G141:P141" si="36">SUM(G139:G140)</f>
        <v>52348</v>
      </c>
      <c r="H141" s="40">
        <f t="shared" si="36"/>
        <v>119891.68260999996</v>
      </c>
      <c r="I141" s="40">
        <f t="shared" si="36"/>
        <v>187333.23525</v>
      </c>
      <c r="J141" s="40">
        <f t="shared" si="36"/>
        <v>286845.59483000002</v>
      </c>
      <c r="K141" s="40">
        <f t="shared" si="36"/>
        <v>386057.7737299999</v>
      </c>
      <c r="L141" s="41">
        <f t="shared" si="36"/>
        <v>551454.35756879346</v>
      </c>
      <c r="M141" s="41">
        <f t="shared" si="36"/>
        <v>733190.46792941994</v>
      </c>
      <c r="N141" s="41">
        <f t="shared" si="36"/>
        <v>899459.54404368182</v>
      </c>
      <c r="O141" s="41">
        <f t="shared" si="36"/>
        <v>1077097.0440248139</v>
      </c>
      <c r="P141" s="41">
        <f t="shared" si="36"/>
        <v>1297543.918371212</v>
      </c>
    </row>
    <row r="142" spans="1:17" ht="15.75" customHeight="1" outlineLevel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5.75" customHeight="1" outlineLevel="1" x14ac:dyDescent="0.3">
      <c r="A143" s="6"/>
      <c r="B143" s="6"/>
      <c r="C143" s="6" t="s">
        <v>107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5.75" customHeight="1" outlineLevel="1" x14ac:dyDescent="0.3">
      <c r="A144" s="6"/>
      <c r="B144" s="6"/>
      <c r="C144" s="17" t="s">
        <v>108</v>
      </c>
      <c r="D144" s="6"/>
      <c r="E144" s="6"/>
      <c r="F144" s="18" t="s">
        <v>53</v>
      </c>
      <c r="G144" s="76">
        <v>10038</v>
      </c>
      <c r="H144" s="76">
        <v>11270.285</v>
      </c>
      <c r="I144" s="76">
        <v>13313.64</v>
      </c>
      <c r="J144" s="76">
        <v>15576.55</v>
      </c>
      <c r="K144" s="76">
        <v>19277.288</v>
      </c>
      <c r="L144" s="24">
        <f>K144-L173-L181</f>
        <v>23423.361799040838</v>
      </c>
      <c r="M144" s="24">
        <f>L144-M173-M181</f>
        <v>29533.001983513088</v>
      </c>
      <c r="N144" s="24">
        <f>M144-N173-N181</f>
        <v>35327.633869248268</v>
      </c>
      <c r="O144" s="24">
        <f>N144-O173-O181</f>
        <v>41992.772913821376</v>
      </c>
      <c r="P144" s="24">
        <f>O144-P173-P181</f>
        <v>49700.792823312688</v>
      </c>
      <c r="Q144" s="6"/>
    </row>
    <row r="145" spans="1:17" ht="15.75" customHeight="1" outlineLevel="1" x14ac:dyDescent="0.3">
      <c r="A145" s="6"/>
      <c r="B145" s="6"/>
      <c r="C145" s="42" t="s">
        <v>109</v>
      </c>
      <c r="D145" s="6"/>
      <c r="E145" s="6"/>
      <c r="F145" s="18" t="s">
        <v>53</v>
      </c>
      <c r="G145" s="76">
        <v>127</v>
      </c>
      <c r="H145" s="76">
        <v>381</v>
      </c>
      <c r="I145" s="76">
        <v>702</v>
      </c>
      <c r="J145" s="76">
        <v>1125</v>
      </c>
      <c r="K145" s="76">
        <v>1626</v>
      </c>
      <c r="L145" s="24">
        <f>K145-L182</f>
        <v>2223.9560000000001</v>
      </c>
      <c r="M145" s="24">
        <f>L145-M182</f>
        <v>2941.5032000000001</v>
      </c>
      <c r="N145" s="24">
        <f>M145-N182</f>
        <v>3838.4372000000003</v>
      </c>
      <c r="O145" s="24">
        <f>N145-O182</f>
        <v>4914.7579999999998</v>
      </c>
      <c r="P145" s="24">
        <f>O145-P182</f>
        <v>6230.2611999999999</v>
      </c>
      <c r="Q145" s="6"/>
    </row>
    <row r="146" spans="1:17" ht="15.75" customHeight="1" outlineLevel="1" x14ac:dyDescent="0.3">
      <c r="A146" s="6"/>
      <c r="B146" s="36"/>
      <c r="C146" s="36" t="s">
        <v>110</v>
      </c>
      <c r="D146" s="36"/>
      <c r="E146" s="36"/>
      <c r="F146" s="39" t="s">
        <v>53</v>
      </c>
      <c r="G146" s="40">
        <f t="shared" ref="G146:P146" si="37">SUM(G144:G145)</f>
        <v>10165</v>
      </c>
      <c r="H146" s="40">
        <f t="shared" si="37"/>
        <v>11651.285</v>
      </c>
      <c r="I146" s="40">
        <f t="shared" si="37"/>
        <v>14015.64</v>
      </c>
      <c r="J146" s="40">
        <f t="shared" si="37"/>
        <v>16701.55</v>
      </c>
      <c r="K146" s="40">
        <f t="shared" si="37"/>
        <v>20903.288</v>
      </c>
      <c r="L146" s="40">
        <f t="shared" si="37"/>
        <v>25647.317799040837</v>
      </c>
      <c r="M146" s="40">
        <f t="shared" si="37"/>
        <v>32474.505183513087</v>
      </c>
      <c r="N146" s="40">
        <f t="shared" si="37"/>
        <v>39166.071069248268</v>
      </c>
      <c r="O146" s="40">
        <f t="shared" si="37"/>
        <v>46907.530913821378</v>
      </c>
      <c r="P146" s="40">
        <f t="shared" si="37"/>
        <v>55931.054023312689</v>
      </c>
    </row>
    <row r="147" spans="1:17" ht="15.75" customHeight="1" outlineLevel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5.75" customHeight="1" outlineLevel="1" x14ac:dyDescent="0.3">
      <c r="A148" s="6"/>
      <c r="B148" s="6"/>
      <c r="C148" s="27" t="s">
        <v>111</v>
      </c>
      <c r="D148" s="6"/>
      <c r="E148" s="6"/>
      <c r="F148" s="18" t="s">
        <v>53</v>
      </c>
      <c r="G148" s="22">
        <f t="shared" ref="G148:P148" si="38">G146+G141</f>
        <v>62513</v>
      </c>
      <c r="H148" s="22">
        <f t="shared" si="38"/>
        <v>131542.96760999996</v>
      </c>
      <c r="I148" s="22">
        <f t="shared" si="38"/>
        <v>201348.87524999998</v>
      </c>
      <c r="J148" s="22">
        <f t="shared" si="38"/>
        <v>303547.14483</v>
      </c>
      <c r="K148" s="22">
        <f t="shared" si="38"/>
        <v>406961.0617299999</v>
      </c>
      <c r="L148" s="22">
        <f t="shared" si="38"/>
        <v>577101.67536783428</v>
      </c>
      <c r="M148" s="22">
        <f t="shared" si="38"/>
        <v>765664.97311293299</v>
      </c>
      <c r="N148" s="22">
        <f t="shared" si="38"/>
        <v>938625.61511293007</v>
      </c>
      <c r="O148" s="22">
        <f t="shared" si="38"/>
        <v>1124004.5749386353</v>
      </c>
      <c r="P148" s="22">
        <f t="shared" si="38"/>
        <v>1353474.9723945246</v>
      </c>
      <c r="Q148" s="6"/>
    </row>
    <row r="149" spans="1:17" ht="15.75" customHeight="1" outlineLevel="1" x14ac:dyDescent="0.3">
      <c r="A149" s="6"/>
      <c r="B149" s="6"/>
      <c r="C149" s="1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5.75" customHeight="1" outlineLevel="1" x14ac:dyDescent="0.3">
      <c r="A150" s="6"/>
      <c r="B150" s="33" t="s">
        <v>112</v>
      </c>
      <c r="C150" s="34"/>
      <c r="D150" s="34"/>
      <c r="E150" s="34"/>
      <c r="F150" s="34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6"/>
    </row>
    <row r="151" spans="1:17" ht="15.75" customHeight="1" outlineLevel="1" x14ac:dyDescent="0.3">
      <c r="A151" s="6"/>
      <c r="B151" s="6"/>
      <c r="C151" s="6" t="s">
        <v>113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5.75" customHeight="1" outlineLevel="1" x14ac:dyDescent="0.3">
      <c r="A152" s="6"/>
      <c r="B152" s="6"/>
      <c r="C152" s="17" t="s">
        <v>114</v>
      </c>
      <c r="D152" s="6"/>
      <c r="E152" s="6"/>
      <c r="F152" s="18" t="s">
        <v>53</v>
      </c>
      <c r="G152" s="76">
        <v>97.93</v>
      </c>
      <c r="H152" s="76">
        <v>864.81000000000006</v>
      </c>
      <c r="I152" s="76">
        <v>3256.7990000000004</v>
      </c>
      <c r="J152" s="76">
        <v>5231.6280000000006</v>
      </c>
      <c r="K152" s="76">
        <v>8043.777000000001</v>
      </c>
      <c r="L152" s="24">
        <f t="shared" ref="L152:P153" si="39">-L$113*L56</f>
        <v>9408.07906255116</v>
      </c>
      <c r="M152" s="24">
        <f t="shared" si="39"/>
        <v>12465.557951613106</v>
      </c>
      <c r="N152" s="24">
        <f t="shared" si="39"/>
        <v>16287.371811436733</v>
      </c>
      <c r="O152" s="24">
        <f t="shared" si="39"/>
        <v>20714.752348228252</v>
      </c>
      <c r="P152" s="24">
        <f t="shared" si="39"/>
        <v>22676.297161542581</v>
      </c>
      <c r="Q152" s="6"/>
    </row>
    <row r="153" spans="1:17" ht="15.75" customHeight="1" outlineLevel="1" x14ac:dyDescent="0.3">
      <c r="A153" s="6"/>
      <c r="B153" s="6"/>
      <c r="C153" s="17" t="s">
        <v>115</v>
      </c>
      <c r="D153" s="6"/>
      <c r="E153" s="6"/>
      <c r="F153" s="18" t="s">
        <v>53</v>
      </c>
      <c r="G153" s="76">
        <v>195.86</v>
      </c>
      <c r="H153" s="76">
        <v>960.9</v>
      </c>
      <c r="I153" s="76">
        <v>3757.8449999999998</v>
      </c>
      <c r="J153" s="76">
        <v>4359.6899999999996</v>
      </c>
      <c r="K153" s="76">
        <v>5745.5549999999994</v>
      </c>
      <c r="L153" s="24">
        <f t="shared" si="39"/>
        <v>6539.881850448518</v>
      </c>
      <c r="M153" s="24">
        <f t="shared" si="39"/>
        <v>7943.1379515762146</v>
      </c>
      <c r="N153" s="24">
        <f t="shared" si="39"/>
        <v>11599.414641770518</v>
      </c>
      <c r="O153" s="24">
        <f t="shared" si="39"/>
        <v>13617.666749834265</v>
      </c>
      <c r="P153" s="24">
        <f t="shared" si="39"/>
        <v>15691.753987181542</v>
      </c>
      <c r="Q153" s="6"/>
    </row>
    <row r="154" spans="1:17" ht="15.75" customHeight="1" outlineLevel="1" x14ac:dyDescent="0.3">
      <c r="A154" s="6"/>
      <c r="B154" s="36"/>
      <c r="C154" s="36" t="s">
        <v>116</v>
      </c>
      <c r="D154" s="36"/>
      <c r="E154" s="36"/>
      <c r="F154" s="39" t="s">
        <v>53</v>
      </c>
      <c r="G154" s="40">
        <f t="shared" ref="G154:P154" si="40">SUM(G152:G153)</f>
        <v>293.79000000000002</v>
      </c>
      <c r="H154" s="40">
        <f t="shared" si="40"/>
        <v>1825.71</v>
      </c>
      <c r="I154" s="40">
        <f t="shared" si="40"/>
        <v>7014.6440000000002</v>
      </c>
      <c r="J154" s="40">
        <f t="shared" si="40"/>
        <v>9591.3179999999993</v>
      </c>
      <c r="K154" s="40">
        <f t="shared" si="40"/>
        <v>13789.332</v>
      </c>
      <c r="L154" s="40">
        <f t="shared" si="40"/>
        <v>15947.960912999679</v>
      </c>
      <c r="M154" s="40">
        <f t="shared" si="40"/>
        <v>20408.69590318932</v>
      </c>
      <c r="N154" s="40">
        <f t="shared" si="40"/>
        <v>27886.786453207249</v>
      </c>
      <c r="O154" s="40">
        <f t="shared" si="40"/>
        <v>34332.419098062514</v>
      </c>
      <c r="P154" s="40">
        <f t="shared" si="40"/>
        <v>38368.051148724124</v>
      </c>
    </row>
    <row r="155" spans="1:17" ht="15.75" customHeight="1" outlineLevel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5.75" customHeight="1" outlineLevel="1" x14ac:dyDescent="0.3">
      <c r="A156" s="6"/>
      <c r="B156" s="6"/>
      <c r="C156" s="6" t="s">
        <v>117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5.75" customHeight="1" outlineLevel="1" x14ac:dyDescent="0.3">
      <c r="A157" s="6"/>
      <c r="B157" s="6"/>
      <c r="C157" s="17" t="s">
        <v>118</v>
      </c>
      <c r="D157" s="6"/>
      <c r="E157" s="6"/>
      <c r="F157" s="18" t="s">
        <v>53</v>
      </c>
      <c r="G157" s="76">
        <v>0</v>
      </c>
      <c r="H157" s="76">
        <v>809.71399999999994</v>
      </c>
      <c r="I157" s="76">
        <v>3054.3550000000005</v>
      </c>
      <c r="J157" s="76">
        <v>5678.8649999999998</v>
      </c>
      <c r="K157" s="76">
        <v>9541.23</v>
      </c>
      <c r="L157" s="24">
        <f>L58*L$84</f>
        <v>15964.77088811885</v>
      </c>
      <c r="M157" s="24">
        <f>M58*M$84</f>
        <v>21963.358477798451</v>
      </c>
      <c r="N157" s="24">
        <f>N58*N$84</f>
        <v>27871.476787839456</v>
      </c>
      <c r="O157" s="24">
        <f>O58*O$84</f>
        <v>36307.777715157026</v>
      </c>
      <c r="P157" s="24">
        <f>P58*P$84</f>
        <v>46928.63923502175</v>
      </c>
      <c r="Q157" s="6"/>
    </row>
    <row r="158" spans="1:17" ht="15.75" customHeight="1" outlineLevel="1" x14ac:dyDescent="0.3">
      <c r="A158" s="6"/>
      <c r="B158" s="6"/>
      <c r="C158" s="17" t="s">
        <v>119</v>
      </c>
      <c r="D158" s="6"/>
      <c r="E158" s="6"/>
      <c r="F158" s="18" t="s">
        <v>53</v>
      </c>
      <c r="G158" s="76">
        <v>53</v>
      </c>
      <c r="H158" s="76">
        <v>155</v>
      </c>
      <c r="I158" s="76">
        <v>1366</v>
      </c>
      <c r="J158" s="76">
        <v>3676</v>
      </c>
      <c r="K158" s="76">
        <v>6799</v>
      </c>
      <c r="L158" s="24">
        <f>K158+L186</f>
        <v>10666.437</v>
      </c>
      <c r="M158" s="24">
        <f>L158+M186</f>
        <v>14865.3686</v>
      </c>
      <c r="N158" s="24">
        <f>M158+N186</f>
        <v>19395.7948</v>
      </c>
      <c r="O158" s="24">
        <f>N158+O186</f>
        <v>24257.7156</v>
      </c>
      <c r="P158" s="24">
        <f>O158+P186</f>
        <v>29451.131000000001</v>
      </c>
      <c r="Q158" s="6"/>
    </row>
    <row r="159" spans="1:17" ht="15.75" customHeight="1" outlineLevel="1" x14ac:dyDescent="0.3">
      <c r="A159" s="6"/>
      <c r="B159" s="36"/>
      <c r="C159" s="36" t="s">
        <v>120</v>
      </c>
      <c r="D159" s="36"/>
      <c r="E159" s="36"/>
      <c r="F159" s="39" t="s">
        <v>53</v>
      </c>
      <c r="G159" s="40">
        <f t="shared" ref="G159:P159" si="41">SUM(G157:G158)</f>
        <v>53</v>
      </c>
      <c r="H159" s="40">
        <f t="shared" si="41"/>
        <v>964.71399999999994</v>
      </c>
      <c r="I159" s="40">
        <f t="shared" si="41"/>
        <v>4420.3550000000005</v>
      </c>
      <c r="J159" s="40">
        <f t="shared" si="41"/>
        <v>9354.8649999999998</v>
      </c>
      <c r="K159" s="40">
        <f t="shared" si="41"/>
        <v>16340.23</v>
      </c>
      <c r="L159" s="40">
        <f t="shared" si="41"/>
        <v>26631.20788811885</v>
      </c>
      <c r="M159" s="40">
        <f t="shared" si="41"/>
        <v>36828.727077798452</v>
      </c>
      <c r="N159" s="40">
        <f t="shared" si="41"/>
        <v>47267.271587839452</v>
      </c>
      <c r="O159" s="40">
        <f t="shared" si="41"/>
        <v>60565.493315157029</v>
      </c>
      <c r="P159" s="40">
        <f t="shared" si="41"/>
        <v>76379.770235021744</v>
      </c>
    </row>
    <row r="160" spans="1:17" ht="15.75" customHeight="1" outlineLevel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5.75" customHeight="1" outlineLevel="1" x14ac:dyDescent="0.3">
      <c r="A161" s="6"/>
      <c r="B161" s="6"/>
      <c r="C161" s="6" t="s">
        <v>121</v>
      </c>
      <c r="D161" s="6"/>
      <c r="E161" s="6"/>
      <c r="F161" s="18" t="s">
        <v>53</v>
      </c>
      <c r="G161" s="22">
        <f t="shared" ref="G161:P161" si="42">G154+G159</f>
        <v>346.79</v>
      </c>
      <c r="H161" s="22">
        <f t="shared" si="42"/>
        <v>2790.424</v>
      </c>
      <c r="I161" s="22">
        <f t="shared" si="42"/>
        <v>11434.999</v>
      </c>
      <c r="J161" s="22">
        <f t="shared" si="42"/>
        <v>18946.182999999997</v>
      </c>
      <c r="K161" s="22">
        <f t="shared" si="42"/>
        <v>30129.561999999998</v>
      </c>
      <c r="L161" s="22">
        <f t="shared" si="42"/>
        <v>42579.168801118532</v>
      </c>
      <c r="M161" s="22">
        <f t="shared" si="42"/>
        <v>57237.422980987772</v>
      </c>
      <c r="N161" s="22">
        <f t="shared" si="42"/>
        <v>75154.058041046694</v>
      </c>
      <c r="O161" s="22">
        <f t="shared" si="42"/>
        <v>94897.912413219543</v>
      </c>
      <c r="P161" s="22">
        <f t="shared" si="42"/>
        <v>114747.82138374588</v>
      </c>
      <c r="Q161" s="6"/>
    </row>
    <row r="162" spans="1:17" ht="15.75" customHeight="1" outlineLevel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5.75" customHeight="1" outlineLevel="1" x14ac:dyDescent="0.3">
      <c r="A163" s="6"/>
      <c r="B163" s="6"/>
      <c r="C163" s="6" t="s">
        <v>122</v>
      </c>
      <c r="D163" s="6"/>
      <c r="E163" s="6"/>
      <c r="F163" s="18" t="s">
        <v>53</v>
      </c>
      <c r="G163" s="22">
        <v>62166.21</v>
      </c>
      <c r="H163" s="22">
        <v>128752.54360999994</v>
      </c>
      <c r="I163" s="22">
        <v>189913.87624999997</v>
      </c>
      <c r="J163" s="22">
        <v>284600.96182999993</v>
      </c>
      <c r="K163" s="22">
        <v>376831.49972999981</v>
      </c>
      <c r="L163" s="22">
        <f>K163+L172+L187</f>
        <v>534522.50656671566</v>
      </c>
      <c r="M163" s="22">
        <f>L163+M172+M187</f>
        <v>708427.55013194517</v>
      </c>
      <c r="N163" s="22">
        <f>M163+N172+N187</f>
        <v>863471.55707188335</v>
      </c>
      <c r="O163" s="22">
        <f>N163+O172+O187</f>
        <v>1029106.6625254155</v>
      </c>
      <c r="P163" s="22">
        <f>O163+P172+P187</f>
        <v>1238727.1510107787</v>
      </c>
      <c r="Q163" s="6"/>
    </row>
    <row r="164" spans="1:17" ht="15.75" customHeight="1" outlineLevel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5.75" customHeight="1" outlineLevel="1" x14ac:dyDescent="0.3">
      <c r="A165" s="6"/>
      <c r="B165" s="6"/>
      <c r="C165" s="6" t="s">
        <v>123</v>
      </c>
      <c r="D165" s="6"/>
      <c r="E165" s="6"/>
      <c r="F165" s="18" t="s">
        <v>53</v>
      </c>
      <c r="G165" s="22">
        <f t="shared" ref="G165:P165" si="43">G161+G163</f>
        <v>62513</v>
      </c>
      <c r="H165" s="22">
        <f t="shared" si="43"/>
        <v>131542.96760999993</v>
      </c>
      <c r="I165" s="22">
        <f t="shared" si="43"/>
        <v>201348.87524999998</v>
      </c>
      <c r="J165" s="22">
        <f t="shared" si="43"/>
        <v>303547.14482999995</v>
      </c>
      <c r="K165" s="22">
        <f t="shared" si="43"/>
        <v>406961.06172999978</v>
      </c>
      <c r="L165" s="22">
        <f t="shared" si="43"/>
        <v>577101.67536783416</v>
      </c>
      <c r="M165" s="22">
        <f t="shared" si="43"/>
        <v>765664.97311293299</v>
      </c>
      <c r="N165" s="22">
        <f t="shared" si="43"/>
        <v>938625.61511293007</v>
      </c>
      <c r="O165" s="22">
        <f t="shared" si="43"/>
        <v>1124004.5749386351</v>
      </c>
      <c r="P165" s="22">
        <f t="shared" si="43"/>
        <v>1353474.9723945246</v>
      </c>
      <c r="Q165" s="6"/>
    </row>
    <row r="166" spans="1:17" ht="15.75" customHeight="1" outlineLevel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5.75" customHeight="1" outlineLevel="1" x14ac:dyDescent="0.3">
      <c r="A167" s="6"/>
      <c r="B167" s="6"/>
      <c r="C167" s="32" t="s">
        <v>124</v>
      </c>
      <c r="D167" s="35"/>
      <c r="E167" s="6"/>
      <c r="F167" s="6"/>
      <c r="G167" s="35">
        <f t="shared" ref="G167:P167" si="44">G148-G165</f>
        <v>0</v>
      </c>
      <c r="H167" s="35">
        <f t="shared" si="44"/>
        <v>0</v>
      </c>
      <c r="I167" s="35">
        <f t="shared" si="44"/>
        <v>0</v>
      </c>
      <c r="J167" s="35">
        <f t="shared" si="44"/>
        <v>0</v>
      </c>
      <c r="K167" s="35">
        <f t="shared" si="44"/>
        <v>0</v>
      </c>
      <c r="L167" s="35">
        <f t="shared" si="44"/>
        <v>0</v>
      </c>
      <c r="M167" s="35">
        <f t="shared" si="44"/>
        <v>0</v>
      </c>
      <c r="N167" s="35">
        <f t="shared" si="44"/>
        <v>0</v>
      </c>
      <c r="O167" s="35">
        <f t="shared" si="44"/>
        <v>0</v>
      </c>
      <c r="P167" s="35">
        <f t="shared" si="44"/>
        <v>0</v>
      </c>
      <c r="Q167" s="6"/>
    </row>
    <row r="168" spans="1:17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5.75" customHeight="1" x14ac:dyDescent="0.3">
      <c r="A169" s="6"/>
      <c r="B169" s="43"/>
      <c r="C169" s="43"/>
      <c r="D169" s="43"/>
      <c r="E169" s="43"/>
      <c r="F169" s="43"/>
      <c r="G169" s="43" t="str">
        <f>$G$5</f>
        <v>Actuals</v>
      </c>
      <c r="H169" s="43"/>
      <c r="I169" s="43"/>
      <c r="J169" s="43"/>
      <c r="K169" s="44"/>
      <c r="L169" s="43" t="str">
        <f>$L$5</f>
        <v>Forecast</v>
      </c>
      <c r="M169" s="43"/>
      <c r="N169" s="43"/>
      <c r="O169" s="43"/>
      <c r="P169" s="43"/>
    </row>
    <row r="170" spans="1:17" ht="15.75" customHeight="1" x14ac:dyDescent="0.3">
      <c r="A170" s="6"/>
      <c r="B170" s="52" t="s">
        <v>125</v>
      </c>
      <c r="C170" s="47"/>
      <c r="D170" s="47"/>
      <c r="E170" s="47"/>
      <c r="F170" s="48" t="str">
        <f>$F$6</f>
        <v>Reporting Units:</v>
      </c>
      <c r="G170" s="49" t="str">
        <f>$G$6</f>
        <v>Year 1</v>
      </c>
      <c r="H170" s="49" t="str">
        <f>$H$6</f>
        <v>Year 2</v>
      </c>
      <c r="I170" s="49" t="str">
        <f>$I$6</f>
        <v>Year 3</v>
      </c>
      <c r="J170" s="49" t="str">
        <f>$J$6</f>
        <v>Year 4</v>
      </c>
      <c r="K170" s="50" t="str">
        <f>$K$6</f>
        <v>Year 5</v>
      </c>
      <c r="L170" s="49" t="str">
        <f>$L$6</f>
        <v>Year 6</v>
      </c>
      <c r="M170" s="49" t="str">
        <f>$M$6</f>
        <v>Year 7</v>
      </c>
      <c r="N170" s="49" t="str">
        <f>$N$6</f>
        <v>Year 8</v>
      </c>
      <c r="O170" s="49" t="str">
        <f>$O$6</f>
        <v>Year 9</v>
      </c>
      <c r="P170" s="49" t="str">
        <f>$P$6</f>
        <v>Year 10</v>
      </c>
    </row>
    <row r="171" spans="1:17" ht="15.75" customHeight="1" outlineLevel="1" x14ac:dyDescent="0.3">
      <c r="A171" s="6"/>
      <c r="B171" s="8"/>
      <c r="C171" s="8" t="s">
        <v>126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6"/>
    </row>
    <row r="172" spans="1:17" ht="15.75" customHeight="1" outlineLevel="1" x14ac:dyDescent="0.3">
      <c r="A172" s="6"/>
      <c r="B172" s="6"/>
      <c r="C172" s="6" t="s">
        <v>92</v>
      </c>
      <c r="D172" s="6"/>
      <c r="E172" s="6"/>
      <c r="F172" s="18" t="s">
        <v>53</v>
      </c>
      <c r="G172" s="22">
        <f t="shared" ref="G172:P172" si="45">G119</f>
        <v>106644.53025</v>
      </c>
      <c r="H172" s="22">
        <f t="shared" si="45"/>
        <v>166586.33360999994</v>
      </c>
      <c r="I172" s="22">
        <f t="shared" si="45"/>
        <v>181161.33264000004</v>
      </c>
      <c r="J172" s="22">
        <f t="shared" si="45"/>
        <v>244687.08557999998</v>
      </c>
      <c r="K172" s="22">
        <f t="shared" si="45"/>
        <v>292230.53789999994</v>
      </c>
      <c r="L172" s="22">
        <f t="shared" si="45"/>
        <v>414274.42413900874</v>
      </c>
      <c r="M172" s="22">
        <f t="shared" si="45"/>
        <v>476469.46296244615</v>
      </c>
      <c r="N172" s="22">
        <f t="shared" si="45"/>
        <v>513400.98228782706</v>
      </c>
      <c r="O172" s="22">
        <f t="shared" si="45"/>
        <v>577540.88649045583</v>
      </c>
      <c r="P172" s="22">
        <f t="shared" si="45"/>
        <v>685976.33640309074</v>
      </c>
      <c r="Q172" s="6"/>
    </row>
    <row r="173" spans="1:17" ht="15.75" customHeight="1" outlineLevel="1" x14ac:dyDescent="0.3">
      <c r="A173" s="6"/>
      <c r="B173" s="6"/>
      <c r="C173" s="17" t="s">
        <v>95</v>
      </c>
      <c r="D173" s="6"/>
      <c r="E173" s="6"/>
      <c r="F173" s="18" t="s">
        <v>53</v>
      </c>
      <c r="G173" s="76">
        <v>568</v>
      </c>
      <c r="H173" s="76">
        <v>792</v>
      </c>
      <c r="I173" s="76">
        <v>1011</v>
      </c>
      <c r="J173" s="76">
        <v>1523</v>
      </c>
      <c r="K173" s="76">
        <v>2024</v>
      </c>
      <c r="L173" s="24">
        <f>-L110</f>
        <v>2064.3975946232135</v>
      </c>
      <c r="M173" s="24">
        <f>-M110</f>
        <v>2434.3477306107329</v>
      </c>
      <c r="N173" s="24">
        <f>-N110</f>
        <v>4324.8582802199371</v>
      </c>
      <c r="O173" s="24">
        <f>-O110</f>
        <v>6628.154792889045</v>
      </c>
      <c r="P173" s="24">
        <f>-P110</f>
        <v>7665.2488065312764</v>
      </c>
      <c r="Q173" s="6"/>
    </row>
    <row r="174" spans="1:17" ht="15.75" customHeight="1" outlineLevel="1" x14ac:dyDescent="0.3">
      <c r="A174" s="6"/>
      <c r="B174" s="6"/>
      <c r="C174" s="17" t="s">
        <v>127</v>
      </c>
      <c r="D174" s="6"/>
      <c r="E174" s="6"/>
      <c r="F174" s="18" t="s">
        <v>53</v>
      </c>
      <c r="G174" s="76">
        <v>0</v>
      </c>
      <c r="H174" s="76">
        <v>-2024.2849999999999</v>
      </c>
      <c r="I174" s="76">
        <v>-4084.4250000000011</v>
      </c>
      <c r="J174" s="76">
        <v>-1463.1099999999988</v>
      </c>
      <c r="K174" s="76">
        <v>-3877.655999999999</v>
      </c>
      <c r="L174" s="24">
        <f>K140-L140</f>
        <v>-2273.550331741144</v>
      </c>
      <c r="M174" s="24">
        <f>L140-M140</f>
        <v>-3807.7550138808238</v>
      </c>
      <c r="N174" s="24">
        <f>M140-N140</f>
        <v>-4829.8449593109326</v>
      </c>
      <c r="O174" s="24">
        <f>N140-O140</f>
        <v>-5177.1718251900202</v>
      </c>
      <c r="P174" s="24">
        <f>O140-P140</f>
        <v>-6431.8891966942574</v>
      </c>
      <c r="Q174" s="6"/>
    </row>
    <row r="175" spans="1:17" ht="15.75" customHeight="1" outlineLevel="1" x14ac:dyDescent="0.3">
      <c r="A175" s="6"/>
      <c r="B175" s="6"/>
      <c r="C175" s="17" t="s">
        <v>128</v>
      </c>
      <c r="D175" s="6"/>
      <c r="E175" s="6"/>
      <c r="F175" s="18" t="s">
        <v>53</v>
      </c>
      <c r="G175" s="76">
        <v>97.93</v>
      </c>
      <c r="H175" s="76">
        <v>766.88000000000011</v>
      </c>
      <c r="I175" s="76">
        <v>2391.9890000000005</v>
      </c>
      <c r="J175" s="76">
        <v>1974.8290000000002</v>
      </c>
      <c r="K175" s="76">
        <v>2812.1490000000003</v>
      </c>
      <c r="L175" s="24">
        <f t="shared" ref="L175:P176" si="46">L152-K152</f>
        <v>1364.302062551159</v>
      </c>
      <c r="M175" s="24">
        <f t="shared" si="46"/>
        <v>3057.4788890619457</v>
      </c>
      <c r="N175" s="24">
        <f t="shared" si="46"/>
        <v>3821.8138598236274</v>
      </c>
      <c r="O175" s="24">
        <f t="shared" si="46"/>
        <v>4427.3805367915193</v>
      </c>
      <c r="P175" s="24">
        <f t="shared" si="46"/>
        <v>1961.5448133143291</v>
      </c>
      <c r="Q175" s="6"/>
    </row>
    <row r="176" spans="1:17" ht="15.75" customHeight="1" outlineLevel="1" x14ac:dyDescent="0.3">
      <c r="A176" s="6"/>
      <c r="B176" s="6"/>
      <c r="C176" s="17" t="s">
        <v>129</v>
      </c>
      <c r="D176" s="6"/>
      <c r="E176" s="6"/>
      <c r="F176" s="18" t="s">
        <v>53</v>
      </c>
      <c r="G176" s="76">
        <v>195.86</v>
      </c>
      <c r="H176" s="76">
        <v>765.04</v>
      </c>
      <c r="I176" s="76">
        <v>2796.9449999999997</v>
      </c>
      <c r="J176" s="76">
        <v>601.8449999999998</v>
      </c>
      <c r="K176" s="76">
        <v>1385.8649999999998</v>
      </c>
      <c r="L176" s="24">
        <f t="shared" si="46"/>
        <v>794.3268504485186</v>
      </c>
      <c r="M176" s="24">
        <f t="shared" si="46"/>
        <v>1403.2561011276966</v>
      </c>
      <c r="N176" s="24">
        <f t="shared" si="46"/>
        <v>3656.2766901943032</v>
      </c>
      <c r="O176" s="24">
        <f t="shared" si="46"/>
        <v>2018.2521080637471</v>
      </c>
      <c r="P176" s="24">
        <f t="shared" si="46"/>
        <v>2074.0872373472776</v>
      </c>
      <c r="Q176" s="6"/>
    </row>
    <row r="177" spans="1:17" ht="15.75" customHeight="1" outlineLevel="1" x14ac:dyDescent="0.3">
      <c r="A177" s="6"/>
      <c r="B177" s="6"/>
      <c r="C177" s="17" t="s">
        <v>130</v>
      </c>
      <c r="D177" s="6"/>
      <c r="E177" s="6"/>
      <c r="F177" s="18" t="s">
        <v>53</v>
      </c>
      <c r="G177" s="76">
        <v>0</v>
      </c>
      <c r="H177" s="76">
        <v>809.71399999999994</v>
      </c>
      <c r="I177" s="76">
        <v>2244.6410000000005</v>
      </c>
      <c r="J177" s="76">
        <v>2624.5099999999993</v>
      </c>
      <c r="K177" s="76">
        <v>3862.3649999999998</v>
      </c>
      <c r="L177" s="24">
        <f>L157-K157</f>
        <v>6423.5408881188505</v>
      </c>
      <c r="M177" s="24">
        <f>M157-L157</f>
        <v>5998.5875896796006</v>
      </c>
      <c r="N177" s="24">
        <f>N157-M157</f>
        <v>5908.1183100410053</v>
      </c>
      <c r="O177" s="24">
        <f>O157-N157</f>
        <v>8436.3009273175703</v>
      </c>
      <c r="P177" s="24">
        <f>P157-O157</f>
        <v>10620.861519864724</v>
      </c>
      <c r="Q177" s="6"/>
    </row>
    <row r="178" spans="1:17" ht="15.75" customHeight="1" outlineLevel="1" x14ac:dyDescent="0.3">
      <c r="A178" s="6"/>
      <c r="B178" s="36"/>
      <c r="C178" s="36" t="s">
        <v>131</v>
      </c>
      <c r="D178" s="36"/>
      <c r="E178" s="36"/>
      <c r="F178" s="39" t="s">
        <v>53</v>
      </c>
      <c r="G178" s="40">
        <f t="shared" ref="G178:P178" si="47">SUM(G172:G177)</f>
        <v>107506.32024999999</v>
      </c>
      <c r="H178" s="40">
        <f t="shared" si="47"/>
        <v>167695.68260999996</v>
      </c>
      <c r="I178" s="40">
        <f t="shared" si="47"/>
        <v>185521.48264000006</v>
      </c>
      <c r="J178" s="40">
        <f t="shared" si="47"/>
        <v>249948.15958000001</v>
      </c>
      <c r="K178" s="40">
        <f t="shared" si="47"/>
        <v>298437.26089999988</v>
      </c>
      <c r="L178" s="40">
        <f t="shared" si="47"/>
        <v>422647.44120300928</v>
      </c>
      <c r="M178" s="40">
        <f t="shared" si="47"/>
        <v>485555.3782590453</v>
      </c>
      <c r="N178" s="40">
        <f t="shared" si="47"/>
        <v>526282.20446879498</v>
      </c>
      <c r="O178" s="40">
        <f t="shared" si="47"/>
        <v>593873.80303032766</v>
      </c>
      <c r="P178" s="40">
        <f t="shared" si="47"/>
        <v>701866.18958345416</v>
      </c>
    </row>
    <row r="179" spans="1:17" ht="15.75" customHeight="1" outlineLevel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5.75" customHeight="1" outlineLevel="1" x14ac:dyDescent="0.3">
      <c r="A180" s="6"/>
      <c r="B180" s="33"/>
      <c r="C180" s="33" t="s">
        <v>132</v>
      </c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6"/>
    </row>
    <row r="181" spans="1:17" ht="15.75" customHeight="1" outlineLevel="1" x14ac:dyDescent="0.3">
      <c r="A181" s="6"/>
      <c r="B181" s="6"/>
      <c r="C181" s="17" t="s">
        <v>133</v>
      </c>
      <c r="D181" s="6"/>
      <c r="E181" s="6"/>
      <c r="F181" s="18" t="s">
        <v>53</v>
      </c>
      <c r="G181" s="76">
        <v>-850.34800000000007</v>
      </c>
      <c r="H181" s="76">
        <v>-2024.2849999999999</v>
      </c>
      <c r="I181" s="76">
        <v>-3054.3550000000005</v>
      </c>
      <c r="J181" s="76">
        <v>-3785.91</v>
      </c>
      <c r="K181" s="76">
        <v>-5724.7379999999994</v>
      </c>
      <c r="L181" s="24">
        <f>-L60*L84</f>
        <v>-6210.4713936640501</v>
      </c>
      <c r="M181" s="24">
        <f>-M60*M84</f>
        <v>-8543.9879150829838</v>
      </c>
      <c r="N181" s="24">
        <f>-N60*N84</f>
        <v>-10119.49016595512</v>
      </c>
      <c r="O181" s="24">
        <f>-O60*O84</f>
        <v>-13293.29383746215</v>
      </c>
      <c r="P181" s="24">
        <f>-P60*P84</f>
        <v>-15373.268716022587</v>
      </c>
      <c r="Q181" s="6"/>
    </row>
    <row r="182" spans="1:17" ht="15.75" customHeight="1" outlineLevel="1" x14ac:dyDescent="0.3">
      <c r="A182" s="6"/>
      <c r="B182" s="6"/>
      <c r="C182" s="17" t="s">
        <v>322</v>
      </c>
      <c r="D182" s="6"/>
      <c r="E182" s="6"/>
      <c r="F182" s="18" t="s">
        <v>53</v>
      </c>
      <c r="G182" s="76">
        <v>-127</v>
      </c>
      <c r="H182" s="76">
        <v>-254</v>
      </c>
      <c r="I182" s="76">
        <v>-321</v>
      </c>
      <c r="J182" s="76">
        <v>-423</v>
      </c>
      <c r="K182" s="76">
        <v>-501</v>
      </c>
      <c r="L182" s="24">
        <f>L61</f>
        <v>-597.95600000000002</v>
      </c>
      <c r="M182" s="24">
        <f>M61</f>
        <v>-717.54719999999998</v>
      </c>
      <c r="N182" s="24">
        <f>N61</f>
        <v>-896.93399999999997</v>
      </c>
      <c r="O182" s="24">
        <f>O61</f>
        <v>-1076.3208</v>
      </c>
      <c r="P182" s="24">
        <f>P61</f>
        <v>-1315.5032000000001</v>
      </c>
      <c r="Q182" s="6"/>
    </row>
    <row r="183" spans="1:17" ht="15.75" customHeight="1" outlineLevel="1" x14ac:dyDescent="0.3">
      <c r="A183" s="6"/>
      <c r="B183" s="36"/>
      <c r="C183" s="36" t="s">
        <v>134</v>
      </c>
      <c r="D183" s="36"/>
      <c r="E183" s="36"/>
      <c r="F183" s="39" t="s">
        <v>53</v>
      </c>
      <c r="G183" s="40">
        <f t="shared" ref="G183:P183" si="48">SUM(G181:G182)</f>
        <v>-977.34800000000007</v>
      </c>
      <c r="H183" s="40">
        <f t="shared" si="48"/>
        <v>-2278.2849999999999</v>
      </c>
      <c r="I183" s="40">
        <f t="shared" si="48"/>
        <v>-3375.3550000000005</v>
      </c>
      <c r="J183" s="40">
        <f t="shared" si="48"/>
        <v>-4208.91</v>
      </c>
      <c r="K183" s="40">
        <f t="shared" si="48"/>
        <v>-6225.7379999999994</v>
      </c>
      <c r="L183" s="40">
        <f t="shared" si="48"/>
        <v>-6808.4273936640502</v>
      </c>
      <c r="M183" s="40">
        <f t="shared" si="48"/>
        <v>-9261.5351150829847</v>
      </c>
      <c r="N183" s="40">
        <f t="shared" si="48"/>
        <v>-11016.424165955119</v>
      </c>
      <c r="O183" s="40">
        <f t="shared" si="48"/>
        <v>-14369.614637462149</v>
      </c>
      <c r="P183" s="40">
        <f t="shared" si="48"/>
        <v>-16688.771916022586</v>
      </c>
    </row>
    <row r="184" spans="1:17" ht="15.75" customHeight="1" outlineLevel="1" x14ac:dyDescent="0.3">
      <c r="A184" s="6"/>
      <c r="B184" s="6"/>
      <c r="C184" s="6"/>
      <c r="D184" s="6"/>
      <c r="E184" s="6"/>
      <c r="F184" s="6"/>
      <c r="G184" s="24"/>
      <c r="H184" s="24"/>
      <c r="I184" s="24"/>
      <c r="J184" s="24"/>
      <c r="K184" s="24"/>
      <c r="L184" s="6"/>
      <c r="M184" s="6"/>
      <c r="N184" s="6"/>
      <c r="O184" s="6"/>
      <c r="P184" s="6"/>
      <c r="Q184" s="6"/>
    </row>
    <row r="185" spans="1:17" ht="15.75" customHeight="1" outlineLevel="1" x14ac:dyDescent="0.3">
      <c r="A185" s="6"/>
      <c r="B185" s="33"/>
      <c r="C185" s="33" t="s">
        <v>135</v>
      </c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6"/>
    </row>
    <row r="186" spans="1:17" ht="15.75" customHeight="1" outlineLevel="1" x14ac:dyDescent="0.3">
      <c r="A186" s="6"/>
      <c r="B186" s="6"/>
      <c r="C186" s="17" t="s">
        <v>136</v>
      </c>
      <c r="D186" s="6"/>
      <c r="E186" s="6"/>
      <c r="F186" s="18" t="s">
        <v>53</v>
      </c>
      <c r="G186" s="76">
        <v>53</v>
      </c>
      <c r="H186" s="76">
        <v>102</v>
      </c>
      <c r="I186" s="76">
        <v>1211</v>
      </c>
      <c r="J186" s="76">
        <v>2310</v>
      </c>
      <c r="K186" s="76">
        <v>3123</v>
      </c>
      <c r="L186" s="24">
        <f>L63</f>
        <v>3867.4369999999999</v>
      </c>
      <c r="M186" s="24">
        <f>M63</f>
        <v>4198.9315999999999</v>
      </c>
      <c r="N186" s="24">
        <f>N63</f>
        <v>4530.4261999999999</v>
      </c>
      <c r="O186" s="24">
        <f>O63</f>
        <v>4861.9207999999999</v>
      </c>
      <c r="P186" s="24">
        <f>P63</f>
        <v>5193.4153999999999</v>
      </c>
      <c r="Q186" s="6"/>
    </row>
    <row r="187" spans="1:17" ht="15.75" customHeight="1" outlineLevel="1" x14ac:dyDescent="0.3">
      <c r="A187" s="6"/>
      <c r="B187" s="6"/>
      <c r="C187" s="17" t="s">
        <v>137</v>
      </c>
      <c r="D187" s="6"/>
      <c r="E187" s="6"/>
      <c r="F187" s="18" t="s">
        <v>53</v>
      </c>
      <c r="G187" s="76">
        <v>-80000</v>
      </c>
      <c r="H187" s="76">
        <v>-100000</v>
      </c>
      <c r="I187" s="76">
        <v>-120000</v>
      </c>
      <c r="J187" s="76">
        <v>-150000</v>
      </c>
      <c r="K187" s="76">
        <v>-200000</v>
      </c>
      <c r="L187" s="24">
        <f>-L64*L84</f>
        <v>-256583.41730229283</v>
      </c>
      <c r="M187" s="24">
        <f>-M64*M84</f>
        <v>-302564.41939721664</v>
      </c>
      <c r="N187" s="24">
        <f>-N64*N84</f>
        <v>-358356.97534788901</v>
      </c>
      <c r="O187" s="24">
        <f>-O64*O84</f>
        <v>-411905.78103692352</v>
      </c>
      <c r="P187" s="24">
        <f>-P64*P84</f>
        <v>-476355.84791772766</v>
      </c>
      <c r="Q187" s="6"/>
    </row>
    <row r="188" spans="1:17" ht="15.75" customHeight="1" outlineLevel="1" x14ac:dyDescent="0.3">
      <c r="A188" s="6"/>
      <c r="B188" s="36"/>
      <c r="C188" s="36" t="s">
        <v>138</v>
      </c>
      <c r="D188" s="36"/>
      <c r="E188" s="36"/>
      <c r="F188" s="39" t="s">
        <v>53</v>
      </c>
      <c r="G188" s="40">
        <f t="shared" ref="G188:P188" si="49">SUM(G186:G187)</f>
        <v>-79947</v>
      </c>
      <c r="H188" s="40">
        <f t="shared" si="49"/>
        <v>-99898</v>
      </c>
      <c r="I188" s="40">
        <f t="shared" si="49"/>
        <v>-118789</v>
      </c>
      <c r="J188" s="40">
        <f t="shared" si="49"/>
        <v>-147690</v>
      </c>
      <c r="K188" s="40">
        <f t="shared" si="49"/>
        <v>-196877</v>
      </c>
      <c r="L188" s="40">
        <f t="shared" si="49"/>
        <v>-252715.98030229282</v>
      </c>
      <c r="M188" s="40">
        <f t="shared" si="49"/>
        <v>-298365.48779721663</v>
      </c>
      <c r="N188" s="40">
        <f t="shared" si="49"/>
        <v>-353826.54914788902</v>
      </c>
      <c r="O188" s="40">
        <f t="shared" si="49"/>
        <v>-407043.8602369235</v>
      </c>
      <c r="P188" s="40">
        <f t="shared" si="49"/>
        <v>-471162.43251772766</v>
      </c>
    </row>
    <row r="189" spans="1:17" ht="15.75" customHeight="1" outlineLevel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5.75" customHeight="1" outlineLevel="1" x14ac:dyDescent="0.3">
      <c r="A190" s="6"/>
      <c r="B190" s="6"/>
      <c r="C190" s="6" t="s">
        <v>139</v>
      </c>
      <c r="D190" s="6"/>
      <c r="E190" s="6"/>
      <c r="F190" s="18" t="s">
        <v>53</v>
      </c>
      <c r="G190" s="24">
        <f t="shared" ref="G190:P190" si="50">G178+G183+G188</f>
        <v>26581.972249999992</v>
      </c>
      <c r="H190" s="24">
        <f t="shared" si="50"/>
        <v>65519.397609999956</v>
      </c>
      <c r="I190" s="24">
        <f t="shared" si="50"/>
        <v>63357.12764000005</v>
      </c>
      <c r="J190" s="24">
        <f t="shared" si="50"/>
        <v>98049.249580000003</v>
      </c>
      <c r="K190" s="24">
        <f t="shared" si="50"/>
        <v>95334.522899999865</v>
      </c>
      <c r="L190" s="24">
        <f t="shared" si="50"/>
        <v>163123.03350705243</v>
      </c>
      <c r="M190" s="24">
        <f t="shared" si="50"/>
        <v>177928.35534674569</v>
      </c>
      <c r="N190" s="24">
        <f t="shared" si="50"/>
        <v>161439.23115495086</v>
      </c>
      <c r="O190" s="24">
        <f t="shared" si="50"/>
        <v>172460.32815594197</v>
      </c>
      <c r="P190" s="24">
        <f t="shared" si="50"/>
        <v>214014.98514970386</v>
      </c>
      <c r="Q190" s="6"/>
    </row>
    <row r="191" spans="1:17" ht="15.75" customHeight="1" outlineLevel="1" x14ac:dyDescent="0.3">
      <c r="A191" s="6"/>
      <c r="B191" s="6"/>
      <c r="C191" s="6" t="s">
        <v>140</v>
      </c>
      <c r="D191" s="6"/>
      <c r="E191" s="6"/>
      <c r="F191" s="18" t="s">
        <v>53</v>
      </c>
      <c r="G191" s="76">
        <v>25766.027750000008</v>
      </c>
      <c r="H191" s="24">
        <f t="shared" ref="H191:P191" si="51">G192</f>
        <v>52348</v>
      </c>
      <c r="I191" s="24">
        <f t="shared" si="51"/>
        <v>117867.39760999996</v>
      </c>
      <c r="J191" s="24">
        <f t="shared" si="51"/>
        <v>181224.52525000001</v>
      </c>
      <c r="K191" s="24">
        <f t="shared" si="51"/>
        <v>279273.77483000001</v>
      </c>
      <c r="L191" s="24">
        <f t="shared" si="51"/>
        <v>374608.29772999987</v>
      </c>
      <c r="M191" s="24">
        <f t="shared" si="51"/>
        <v>537731.33123705233</v>
      </c>
      <c r="N191" s="24">
        <f t="shared" si="51"/>
        <v>715659.68658379803</v>
      </c>
      <c r="O191" s="24">
        <f t="shared" si="51"/>
        <v>877098.91773874895</v>
      </c>
      <c r="P191" s="24">
        <f t="shared" si="51"/>
        <v>1049559.245894691</v>
      </c>
      <c r="Q191" s="6"/>
    </row>
    <row r="192" spans="1:17" ht="15.75" customHeight="1" outlineLevel="1" x14ac:dyDescent="0.3">
      <c r="A192" s="6"/>
      <c r="B192" s="6"/>
      <c r="C192" s="6" t="s">
        <v>141</v>
      </c>
      <c r="D192" s="6"/>
      <c r="E192" s="6"/>
      <c r="F192" s="18" t="s">
        <v>53</v>
      </c>
      <c r="G192" s="22">
        <f t="shared" ref="G192:P192" si="52">G190+G191</f>
        <v>52348</v>
      </c>
      <c r="H192" s="22">
        <f t="shared" si="52"/>
        <v>117867.39760999996</v>
      </c>
      <c r="I192" s="22">
        <f t="shared" si="52"/>
        <v>181224.52525000001</v>
      </c>
      <c r="J192" s="22">
        <f t="shared" si="52"/>
        <v>279273.77483000001</v>
      </c>
      <c r="K192" s="22">
        <f t="shared" si="52"/>
        <v>374608.29772999987</v>
      </c>
      <c r="L192" s="22">
        <f t="shared" si="52"/>
        <v>537731.33123705233</v>
      </c>
      <c r="M192" s="22">
        <f t="shared" si="52"/>
        <v>715659.68658379803</v>
      </c>
      <c r="N192" s="22">
        <f t="shared" si="52"/>
        <v>877098.91773874895</v>
      </c>
      <c r="O192" s="22">
        <f t="shared" si="52"/>
        <v>1049559.245894691</v>
      </c>
      <c r="P192" s="22">
        <f t="shared" si="52"/>
        <v>1263574.2310443949</v>
      </c>
      <c r="Q192" s="6"/>
    </row>
    <row r="195" spans="1:20" s="3" customFormat="1" ht="18" x14ac:dyDescent="0.35">
      <c r="A195" s="6"/>
      <c r="B195" s="62" t="str">
        <f>"Private Company Financial Statements - "&amp;Company_Name&amp;" - U.S. GAAP / IFRS-Compliant"</f>
        <v>Private Company Financial Statements - Fennmark Media Partners LLC - U.S. GAAP / IFRS-Compliant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R195"/>
      <c r="S195"/>
      <c r="T195"/>
    </row>
    <row r="196" spans="1:20" s="3" customFormat="1" ht="15.6" x14ac:dyDescent="0.3">
      <c r="A196" s="6"/>
      <c r="B196" s="63" t="s">
        <v>0</v>
      </c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R196"/>
      <c r="S196"/>
      <c r="T196"/>
    </row>
    <row r="197" spans="1:20" s="3" customFormat="1" ht="15.6" x14ac:dyDescent="0.3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R197"/>
      <c r="S197"/>
      <c r="T197"/>
    </row>
    <row r="198" spans="1:20" s="3" customFormat="1" ht="15.6" x14ac:dyDescent="0.3">
      <c r="A198" s="6"/>
      <c r="B198" s="51" t="s">
        <v>142</v>
      </c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R198"/>
      <c r="S198"/>
      <c r="T198"/>
    </row>
    <row r="199" spans="1:20" s="3" customFormat="1" ht="15.6" outlineLevel="1" x14ac:dyDescent="0.3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R199"/>
      <c r="S199"/>
      <c r="T199"/>
    </row>
    <row r="200" spans="1:20" s="3" customFormat="1" ht="15.6" outlineLevel="1" x14ac:dyDescent="0.3">
      <c r="A200" s="6"/>
      <c r="B200" s="6"/>
      <c r="C200" s="6" t="s">
        <v>143</v>
      </c>
      <c r="D200" s="6"/>
      <c r="E200" s="6"/>
      <c r="F200" s="75">
        <v>0.41192095000000001</v>
      </c>
      <c r="G200" s="7"/>
      <c r="H200" s="6"/>
      <c r="I200" s="6"/>
      <c r="J200" s="6"/>
      <c r="K200" s="6"/>
      <c r="L200" s="6"/>
      <c r="M200" s="6"/>
      <c r="N200" s="6"/>
      <c r="O200" s="6"/>
      <c r="P200" s="6"/>
      <c r="R200"/>
      <c r="S200"/>
      <c r="T200"/>
    </row>
    <row r="201" spans="1:20" s="3" customFormat="1" ht="15.6" outlineLevel="1" x14ac:dyDescent="0.3">
      <c r="A201" s="6"/>
      <c r="B201" s="6"/>
      <c r="C201" s="6" t="s">
        <v>144</v>
      </c>
      <c r="D201" s="6"/>
      <c r="E201" s="64"/>
      <c r="F201" s="65" t="s">
        <v>316</v>
      </c>
      <c r="G201" s="7"/>
      <c r="H201" s="6"/>
      <c r="I201" s="6"/>
      <c r="J201" s="6"/>
      <c r="K201" s="6"/>
      <c r="L201" s="6"/>
      <c r="M201" s="6"/>
      <c r="N201" s="6"/>
      <c r="O201" s="6"/>
      <c r="P201" s="6"/>
      <c r="R201"/>
      <c r="S201"/>
      <c r="T201"/>
    </row>
    <row r="202" spans="1:20" s="3" customFormat="1" ht="15.6" outlineLevel="1" x14ac:dyDescent="0.3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R202"/>
      <c r="S202"/>
      <c r="T202"/>
    </row>
    <row r="203" spans="1:20" s="3" customFormat="1" ht="15.6" outlineLevel="1" x14ac:dyDescent="0.3">
      <c r="A203" s="6"/>
      <c r="B203" s="6"/>
      <c r="C203" s="6" t="s">
        <v>145</v>
      </c>
      <c r="D203" s="6"/>
      <c r="E203" s="6"/>
      <c r="F203" s="75">
        <v>0.3514872</v>
      </c>
      <c r="G203" s="7"/>
      <c r="H203" s="6"/>
      <c r="I203" s="6"/>
      <c r="J203" s="6"/>
      <c r="K203" s="6"/>
      <c r="L203" s="6"/>
      <c r="M203" s="6"/>
      <c r="N203" s="6"/>
      <c r="O203" s="6"/>
      <c r="P203" s="6"/>
      <c r="R203"/>
      <c r="S203"/>
      <c r="T203"/>
    </row>
    <row r="204" spans="1:20" s="3" customFormat="1" ht="15.6" x14ac:dyDescent="0.3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R204"/>
      <c r="S204"/>
      <c r="T204"/>
    </row>
    <row r="205" spans="1:20" s="3" customFormat="1" ht="15.6" x14ac:dyDescent="0.3">
      <c r="A205" s="6"/>
      <c r="B205" s="43"/>
      <c r="C205" s="43"/>
      <c r="D205" s="43"/>
      <c r="E205" s="43"/>
      <c r="F205" s="43"/>
      <c r="G205" s="43" t="s">
        <v>1</v>
      </c>
      <c r="H205" s="43"/>
      <c r="I205" s="43"/>
      <c r="J205" s="43"/>
      <c r="K205" s="44"/>
      <c r="L205" s="43" t="s">
        <v>2</v>
      </c>
      <c r="M205" s="43"/>
      <c r="N205" s="43"/>
      <c r="O205" s="43"/>
      <c r="P205" s="43"/>
      <c r="R205"/>
      <c r="S205"/>
      <c r="T205"/>
    </row>
    <row r="206" spans="1:20" s="3" customFormat="1" ht="15.6" x14ac:dyDescent="0.3">
      <c r="A206" s="6"/>
      <c r="B206" s="68" t="s">
        <v>60</v>
      </c>
      <c r="C206" s="69"/>
      <c r="D206" s="69"/>
      <c r="E206" s="69"/>
      <c r="F206" s="70" t="s">
        <v>4</v>
      </c>
      <c r="G206" s="71" t="s">
        <v>5</v>
      </c>
      <c r="H206" s="71" t="s">
        <v>6</v>
      </c>
      <c r="I206" s="71" t="s">
        <v>7</v>
      </c>
      <c r="J206" s="71" t="s">
        <v>8</v>
      </c>
      <c r="K206" s="72" t="s">
        <v>9</v>
      </c>
      <c r="L206" s="71" t="s">
        <v>10</v>
      </c>
      <c r="M206" s="71" t="s">
        <v>11</v>
      </c>
      <c r="N206" s="71" t="s">
        <v>12</v>
      </c>
      <c r="O206" s="71" t="s">
        <v>13</v>
      </c>
      <c r="P206" s="71" t="s">
        <v>14</v>
      </c>
      <c r="R206"/>
      <c r="S206"/>
      <c r="T206"/>
    </row>
    <row r="207" spans="1:20" s="3" customFormat="1" ht="15.6" outlineLevel="1" x14ac:dyDescent="0.3">
      <c r="A207" s="6"/>
      <c r="B207" s="6"/>
      <c r="C207" s="28"/>
      <c r="D207" s="6"/>
      <c r="E207" s="6"/>
      <c r="F207" s="6"/>
      <c r="G207" s="30"/>
      <c r="H207" s="6"/>
      <c r="I207" s="6"/>
      <c r="J207" s="6"/>
      <c r="K207" s="6"/>
      <c r="L207" s="6"/>
      <c r="M207" s="6"/>
      <c r="N207" s="6"/>
      <c r="O207" s="6"/>
      <c r="P207" s="6"/>
      <c r="R207"/>
      <c r="S207"/>
      <c r="T207"/>
    </row>
    <row r="208" spans="1:20" s="3" customFormat="1" ht="15.6" outlineLevel="1" x14ac:dyDescent="0.3">
      <c r="A208" s="6"/>
      <c r="B208" s="6"/>
      <c r="C208" s="28" t="s">
        <v>146</v>
      </c>
      <c r="D208" s="6"/>
      <c r="E208" s="6"/>
      <c r="F208" s="18" t="s">
        <v>53</v>
      </c>
      <c r="G208" s="66">
        <f>'Books &amp; GAAP Bridge'!G84</f>
        <v>212587</v>
      </c>
      <c r="H208" s="66">
        <f>'Books &amp; GAAP Bridge'!H84</f>
        <v>404856.99999999994</v>
      </c>
      <c r="I208" s="66">
        <f>'Books &amp; GAAP Bridge'!I84</f>
        <v>610871.00000000012</v>
      </c>
      <c r="J208" s="66">
        <f>'Books &amp; GAAP Bridge'!J84</f>
        <v>757182</v>
      </c>
      <c r="K208" s="66">
        <f>'Books &amp; GAAP Bridge'!K84</f>
        <v>954122.99999999988</v>
      </c>
      <c r="L208" s="66">
        <f>'Books &amp; GAAP Bridge'!L84</f>
        <v>1230670.2132770023</v>
      </c>
      <c r="M208" s="66">
        <f>'Books &amp; GAAP Bridge'!M84</f>
        <v>1451212.3287800548</v>
      </c>
      <c r="N208" s="66">
        <f>'Books &amp; GAAP Bridge'!N84</f>
        <v>1718814.333044379</v>
      </c>
      <c r="O208" s="66">
        <f>'Books &amp; GAAP Bridge'!O84</f>
        <v>1975654.4703023995</v>
      </c>
      <c r="P208" s="66">
        <f>'Books &amp; GAAP Bridge'!P84</f>
        <v>2284781.1410274585</v>
      </c>
      <c r="R208"/>
      <c r="S208"/>
      <c r="T208"/>
    </row>
    <row r="209" spans="1:20" s="3" customFormat="1" ht="15.6" outlineLevel="1" x14ac:dyDescent="0.3">
      <c r="A209" s="6"/>
      <c r="B209" s="6"/>
      <c r="C209" s="17" t="s">
        <v>147</v>
      </c>
      <c r="D209" s="6"/>
      <c r="E209" s="6"/>
      <c r="F209" s="18" t="s">
        <v>53</v>
      </c>
      <c r="G209" s="67">
        <f>'Books &amp; GAAP Bridge'!G96</f>
        <v>-6377.61</v>
      </c>
      <c r="H209" s="67">
        <f>'Books &amp; GAAP Bridge'!H96</f>
        <v>-12550.566999999997</v>
      </c>
      <c r="I209" s="67">
        <f>'Books &amp; GAAP Bridge'!I96</f>
        <v>-21380.485000000008</v>
      </c>
      <c r="J209" s="67">
        <f>'Books &amp; GAAP Bridge'!J96</f>
        <v>-30287.279999999999</v>
      </c>
      <c r="K209" s="67">
        <f>'Books &amp; GAAP Bridge'!K96</f>
        <v>-39119.042999999998</v>
      </c>
      <c r="L209" s="67">
        <f>'Books &amp; GAAP Bridge'!L96</f>
        <v>-52381.545475900755</v>
      </c>
      <c r="M209" s="67">
        <f>'Books &amp; GAAP Bridge'!M96</f>
        <v>-61768.574371166847</v>
      </c>
      <c r="N209" s="67">
        <f>'Books &amp; GAAP Bridge'!N96</f>
        <v>-81287.370608367899</v>
      </c>
      <c r="O209" s="67">
        <f>'Books &amp; GAAP Bridge'!O96</f>
        <v>-93434.034167670281</v>
      </c>
      <c r="P209" s="67">
        <f>'Books &amp; GAAP Bridge'!P96</f>
        <v>-129664.16288192314</v>
      </c>
      <c r="R209"/>
      <c r="S209"/>
      <c r="T209"/>
    </row>
    <row r="210" spans="1:20" s="3" customFormat="1" ht="15.6" outlineLevel="1" x14ac:dyDescent="0.3">
      <c r="A210" s="6"/>
      <c r="B210" s="36"/>
      <c r="C210" s="38" t="s">
        <v>148</v>
      </c>
      <c r="D210" s="36"/>
      <c r="E210" s="36"/>
      <c r="F210" s="39" t="s">
        <v>53</v>
      </c>
      <c r="G210" s="40">
        <f t="shared" ref="G210:P210" si="53">SUM(G208:G209)</f>
        <v>206209.39</v>
      </c>
      <c r="H210" s="40">
        <f t="shared" si="53"/>
        <v>392306.43299999996</v>
      </c>
      <c r="I210" s="40">
        <f t="shared" si="53"/>
        <v>589490.51500000013</v>
      </c>
      <c r="J210" s="40">
        <f t="shared" si="53"/>
        <v>726894.72</v>
      </c>
      <c r="K210" s="40">
        <f t="shared" si="53"/>
        <v>915003.95699999994</v>
      </c>
      <c r="L210" s="40">
        <f t="shared" si="53"/>
        <v>1178288.6678011017</v>
      </c>
      <c r="M210" s="40">
        <f t="shared" si="53"/>
        <v>1389443.7544088881</v>
      </c>
      <c r="N210" s="40">
        <f t="shared" si="53"/>
        <v>1637526.9624360111</v>
      </c>
      <c r="O210" s="40">
        <f t="shared" si="53"/>
        <v>1882220.4361347293</v>
      </c>
      <c r="P210" s="40">
        <f t="shared" si="53"/>
        <v>2155116.9781455351</v>
      </c>
      <c r="R210"/>
      <c r="S210"/>
      <c r="T210"/>
    </row>
    <row r="211" spans="1:20" s="3" customFormat="1" ht="15.6" outlineLevel="1" x14ac:dyDescent="0.3">
      <c r="A211" s="6"/>
      <c r="B211" s="6"/>
      <c r="C211" s="28"/>
      <c r="D211" s="6"/>
      <c r="E211" s="6"/>
      <c r="F211" s="6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R211"/>
      <c r="S211"/>
      <c r="T211"/>
    </row>
    <row r="212" spans="1:20" s="3" customFormat="1" ht="15.6" outlineLevel="1" x14ac:dyDescent="0.3">
      <c r="A212" s="6"/>
      <c r="B212" s="6"/>
      <c r="C212" s="6" t="s">
        <v>78</v>
      </c>
      <c r="D212" s="6"/>
      <c r="E212" s="6"/>
      <c r="F212" s="6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R212"/>
      <c r="S212"/>
      <c r="T212"/>
    </row>
    <row r="213" spans="1:20" s="3" customFormat="1" ht="15.6" outlineLevel="1" x14ac:dyDescent="0.3">
      <c r="A213" s="6"/>
      <c r="B213" s="6"/>
      <c r="C213" s="17" t="s">
        <v>149</v>
      </c>
      <c r="D213" s="6"/>
      <c r="E213" s="6"/>
      <c r="F213" s="18" t="s">
        <v>53</v>
      </c>
      <c r="G213" s="67">
        <f>-'Books &amp; GAAP Bridge'!G95-'Books &amp; GAAP Bridge'!G102-'Books &amp; GAAP Bridge'!G103-'Books &amp; GAAP Bridge'!G105-'Books &amp; GAAP Bridge'!G108+'Books &amp; GAAP Bridge'!G72</f>
        <v>39415.023000000001</v>
      </c>
      <c r="H213" s="67">
        <f>-'Books &amp; GAAP Bridge'!H95-'Books &amp; GAAP Bridge'!H102-'Books &amp; GAAP Bridge'!H103-'Books &amp; GAAP Bridge'!H105-'Books &amp; GAAP Bridge'!H108+'Books &amp; GAAP Bridge'!H72</f>
        <v>97835.995999999999</v>
      </c>
      <c r="I213" s="67">
        <f>-'Books &amp; GAAP Bridge'!I95-'Books &amp; GAAP Bridge'!I102-'Books &amp; GAAP Bridge'!I103-'Books &amp; GAAP Bridge'!I105-'Books &amp; GAAP Bridge'!I108+'Books &amp; GAAP Bridge'!I72</f>
        <v>136604.38800000001</v>
      </c>
      <c r="J213" s="67">
        <f>-'Books &amp; GAAP Bridge'!J95-'Books &amp; GAAP Bridge'!J102-'Books &amp; GAAP Bridge'!J103-'Books &amp; GAAP Bridge'!J105-'Books &amp; GAAP Bridge'!J108+'Books &amp; GAAP Bridge'!J72</f>
        <v>158201.09600000002</v>
      </c>
      <c r="K213" s="67">
        <f>-'Books &amp; GAAP Bridge'!K95-'Books &amp; GAAP Bridge'!K102-'Books &amp; GAAP Bridge'!K103-'Books &amp; GAAP Bridge'!K105-'Books &amp; GAAP Bridge'!K108+'Books &amp; GAAP Bridge'!K72</f>
        <v>188965.44399999999</v>
      </c>
      <c r="L213" s="67">
        <f>-'Books &amp; GAAP Bridge'!L95-'Books &amp; GAAP Bridge'!L102-'Books &amp; GAAP Bridge'!L103-'Books &amp; GAAP Bridge'!L105-'Books &amp; GAAP Bridge'!L108+'Books &amp; GAAP Bridge'!L72</f>
        <v>239503.7377100352</v>
      </c>
      <c r="M213" s="67">
        <f>-'Books &amp; GAAP Bridge'!M95-'Books &amp; GAAP Bridge'!M102-'Books &amp; GAAP Bridge'!M103-'Books &amp; GAAP Bridge'!M105-'Books &amp; GAAP Bridge'!M108+'Books &amp; GAAP Bridge'!M72</f>
        <v>296438.26460955665</v>
      </c>
      <c r="N213" s="67">
        <f>-'Books &amp; GAAP Bridge'!N95-'Books &amp; GAAP Bridge'!N102-'Books &amp; GAAP Bridge'!N103-'Books &amp; GAAP Bridge'!N105-'Books &amp; GAAP Bridge'!N108+'Books &amp; GAAP Bridge'!N72</f>
        <v>360591.41761738353</v>
      </c>
      <c r="O213" s="67">
        <f>-'Books &amp; GAAP Bridge'!O95-'Books &amp; GAAP Bridge'!O102-'Books &amp; GAAP Bridge'!O103-'Books &amp; GAAP Bridge'!O105-'Books &amp; GAAP Bridge'!O108+'Books &amp; GAAP Bridge'!O72</f>
        <v>428228.77406082751</v>
      </c>
      <c r="P213" s="67">
        <f>-'Books &amp; GAAP Bridge'!P95-'Books &amp; GAAP Bridge'!P102-'Books &amp; GAAP Bridge'!P103-'Books &amp; GAAP Bridge'!P105-'Books &amp; GAAP Bridge'!P108+'Books &amp; GAAP Bridge'!P72</f>
        <v>465420.52603605582</v>
      </c>
      <c r="R213"/>
      <c r="S213"/>
      <c r="T213"/>
    </row>
    <row r="214" spans="1:20" s="3" customFormat="1" ht="15.6" outlineLevel="1" x14ac:dyDescent="0.3">
      <c r="A214" s="6"/>
      <c r="B214" s="6"/>
      <c r="C214" s="17" t="s">
        <v>323</v>
      </c>
      <c r="D214" s="6"/>
      <c r="E214" s="6"/>
      <c r="F214" s="18" t="s">
        <v>53</v>
      </c>
      <c r="G214" s="67">
        <f>-'Books &amp; GAAP Bridge'!G90-'Books &amp; GAAP Bridge'!G104-'Books &amp; GAAP Bridge'!G106-'Books &amp; GAAP Bridge'!G107+'Books &amp; GAAP Bridge'!G73</f>
        <v>78265.66</v>
      </c>
      <c r="H214" s="67">
        <f>-'Books &amp; GAAP Bridge'!H90-'Books &amp; GAAP Bridge'!H104-'Books &amp; GAAP Bridge'!H106-'Books &amp; GAAP Bridge'!H107+'Books &amp; GAAP Bridge'!H73</f>
        <v>126679.98</v>
      </c>
      <c r="I214" s="67">
        <f>-'Books &amp; GAAP Bridge'!I90-'Books &amp; GAAP Bridge'!I104-'Books &amp; GAAP Bridge'!I106-'Books &amp; GAAP Bridge'!I107+'Books &amp; GAAP Bridge'!I73</f>
        <v>202250.16500000001</v>
      </c>
      <c r="J214" s="67">
        <f>-'Books &amp; GAAP Bridge'!J90-'Books &amp; GAAP Bridge'!J104-'Books &amp; GAAP Bridge'!J106-'Books &amp; GAAP Bridge'!J107+'Books &amp; GAAP Bridge'!J73</f>
        <v>244917.92600000001</v>
      </c>
      <c r="K214" s="67">
        <f>-'Books &amp; GAAP Bridge'!K90-'Books &amp; GAAP Bridge'!K104-'Books &amp; GAAP Bridge'!K106-'Books &amp; GAAP Bridge'!K107+'Books &amp; GAAP Bridge'!K73</f>
        <v>319779.31599999999</v>
      </c>
      <c r="L214" s="67">
        <f>-'Books &amp; GAAP Bridge'!L90-'Books &amp; GAAP Bridge'!L104-'Books &amp; GAAP Bridge'!L106-'Books &amp; GAAP Bridge'!L107+'Books &amp; GAAP Bridge'!L73</f>
        <v>389530.05037247384</v>
      </c>
      <c r="M214" s="67">
        <f>-'Books &amp; GAAP Bridge'!M90-'Books &amp; GAAP Bridge'!M104-'Books &amp; GAAP Bridge'!M106-'Books &amp; GAAP Bridge'!M107+'Books &amp; GAAP Bridge'!M73</f>
        <v>478454.75015880237</v>
      </c>
      <c r="N214" s="67">
        <f>-'Books &amp; GAAP Bridge'!N90-'Books &amp; GAAP Bridge'!N104-'Books &amp; GAAP Bridge'!N106-'Books &amp; GAAP Bridge'!N107+'Books &amp; GAAP Bridge'!N73</f>
        <v>550924.57966082136</v>
      </c>
      <c r="O214" s="67">
        <f>-'Books &amp; GAAP Bridge'!O90-'Books &amp; GAAP Bridge'!O104-'Books &amp; GAAP Bridge'!O106-'Books &amp; GAAP Bridge'!O107+'Books &amp; GAAP Bridge'!O73</f>
        <v>644915.18401245819</v>
      </c>
      <c r="P214" s="67">
        <f>-'Books &amp; GAAP Bridge'!P90-'Books &amp; GAAP Bridge'!P104-'Books &amp; GAAP Bridge'!P106-'Books &amp; GAAP Bridge'!P107+'Books &amp; GAAP Bridge'!P73</f>
        <v>757987.69321400241</v>
      </c>
      <c r="R214"/>
      <c r="S214"/>
      <c r="T214"/>
    </row>
    <row r="215" spans="1:20" s="3" customFormat="1" ht="15.6" outlineLevel="1" x14ac:dyDescent="0.3">
      <c r="A215" s="6"/>
      <c r="B215" s="6"/>
      <c r="C215" s="17" t="s">
        <v>150</v>
      </c>
      <c r="D215" s="6"/>
      <c r="E215" s="6"/>
      <c r="F215" s="18" t="s">
        <v>53</v>
      </c>
      <c r="G215" s="67">
        <f>-'Books &amp; GAAP Bridge'!G111-'Books &amp; GAAP Bridge'!G112+'Books &amp; GAAP Bridge'!G74</f>
        <v>20000</v>
      </c>
      <c r="H215" s="67">
        <f>-'Books &amp; GAAP Bridge'!H111-'Books &amp; GAAP Bridge'!H112+'Books &amp; GAAP Bridge'!H74</f>
        <v>30000</v>
      </c>
      <c r="I215" s="67">
        <f>-'Books &amp; GAAP Bridge'!I111-'Books &amp; GAAP Bridge'!I112+'Books &amp; GAAP Bridge'!I74</f>
        <v>112000</v>
      </c>
      <c r="J215" s="67">
        <f>-'Books &amp; GAAP Bridge'!J111-'Books &amp; GAAP Bridge'!J112+'Books &amp; GAAP Bridge'!J74</f>
        <v>122500</v>
      </c>
      <c r="K215" s="67">
        <f>-'Books &amp; GAAP Bridge'!K111-'Books &amp; GAAP Bridge'!K112+'Books &amp; GAAP Bridge'!K74</f>
        <v>180000</v>
      </c>
      <c r="L215" s="67">
        <f>-'Books &amp; GAAP Bridge'!L111-'Books &amp; GAAP Bridge'!L112+'Books &amp; GAAP Bridge'!L74</f>
        <v>204358.09045580248</v>
      </c>
      <c r="M215" s="67">
        <f>-'Books &amp; GAAP Bridge'!M111-'Books &amp; GAAP Bridge'!M112+'Books &amp; GAAP Bridge'!M74</f>
        <v>226333.32088328019</v>
      </c>
      <c r="N215" s="67">
        <f>-'Books &amp; GAAP Bridge'!N111-'Books &amp; GAAP Bridge'!N112+'Books &amp; GAAP Bridge'!N74</f>
        <v>339036.08408643492</v>
      </c>
      <c r="O215" s="67">
        <f>-'Books &amp; GAAP Bridge'!O111-'Books &amp; GAAP Bridge'!O112+'Books &amp; GAAP Bridge'!O74</f>
        <v>382328.29666010477</v>
      </c>
      <c r="P215" s="67">
        <f>-'Books &amp; GAAP Bridge'!P111-'Books &amp; GAAP Bridge'!P112+'Books &amp; GAAP Bridge'!P74</f>
        <v>412375.58999929589</v>
      </c>
      <c r="R215"/>
      <c r="S215"/>
      <c r="T215"/>
    </row>
    <row r="216" spans="1:20" s="3" customFormat="1" ht="15.6" outlineLevel="1" x14ac:dyDescent="0.3">
      <c r="A216" s="6"/>
      <c r="B216" s="6"/>
      <c r="C216" s="17" t="s">
        <v>95</v>
      </c>
      <c r="D216" s="6"/>
      <c r="E216" s="6"/>
      <c r="F216" s="18" t="s">
        <v>53</v>
      </c>
      <c r="G216" s="67">
        <f>-'Books &amp; GAAP Bridge'!G110</f>
        <v>568</v>
      </c>
      <c r="H216" s="67">
        <f>-'Books &amp; GAAP Bridge'!H110</f>
        <v>792</v>
      </c>
      <c r="I216" s="67">
        <f>-'Books &amp; GAAP Bridge'!I110</f>
        <v>1011</v>
      </c>
      <c r="J216" s="67">
        <f>-'Books &amp; GAAP Bridge'!J110</f>
        <v>1523</v>
      </c>
      <c r="K216" s="67">
        <f>-'Books &amp; GAAP Bridge'!K110</f>
        <v>2024</v>
      </c>
      <c r="L216" s="67">
        <f>-'Books &amp; GAAP Bridge'!L110</f>
        <v>2064.3975946232135</v>
      </c>
      <c r="M216" s="67">
        <f>-'Books &amp; GAAP Bridge'!M110</f>
        <v>2434.3477306107329</v>
      </c>
      <c r="N216" s="67">
        <f>-'Books &amp; GAAP Bridge'!N110</f>
        <v>4324.8582802199371</v>
      </c>
      <c r="O216" s="67">
        <f>-'Books &amp; GAAP Bridge'!O110</f>
        <v>6628.154792889045</v>
      </c>
      <c r="P216" s="67">
        <f>-'Books &amp; GAAP Bridge'!P110</f>
        <v>7665.2488065312764</v>
      </c>
      <c r="R216"/>
      <c r="S216"/>
      <c r="T216"/>
    </row>
    <row r="217" spans="1:20" s="3" customFormat="1" ht="15.6" outlineLevel="1" x14ac:dyDescent="0.3">
      <c r="A217" s="6"/>
      <c r="B217" s="36"/>
      <c r="C217" s="38" t="s">
        <v>89</v>
      </c>
      <c r="D217" s="36"/>
      <c r="E217" s="36"/>
      <c r="F217" s="39" t="s">
        <v>53</v>
      </c>
      <c r="G217" s="40">
        <f t="shared" ref="G217:P217" si="54">SUM(G213:G216)</f>
        <v>138248.68300000002</v>
      </c>
      <c r="H217" s="40">
        <f t="shared" si="54"/>
        <v>255307.976</v>
      </c>
      <c r="I217" s="40">
        <f t="shared" si="54"/>
        <v>451865.55300000001</v>
      </c>
      <c r="J217" s="40">
        <f t="shared" si="54"/>
        <v>527142.022</v>
      </c>
      <c r="K217" s="40">
        <f t="shared" si="54"/>
        <v>690768.76</v>
      </c>
      <c r="L217" s="40">
        <f t="shared" si="54"/>
        <v>835456.27613293484</v>
      </c>
      <c r="M217" s="40">
        <f t="shared" si="54"/>
        <v>1003660.6833822499</v>
      </c>
      <c r="N217" s="40">
        <f t="shared" si="54"/>
        <v>1254876.9396448596</v>
      </c>
      <c r="O217" s="40">
        <f t="shared" si="54"/>
        <v>1462100.4095262794</v>
      </c>
      <c r="P217" s="40">
        <f t="shared" si="54"/>
        <v>1643449.0580558854</v>
      </c>
      <c r="R217"/>
      <c r="S217"/>
      <c r="T217"/>
    </row>
    <row r="218" spans="1:20" s="3" customFormat="1" ht="15.6" outlineLevel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R218"/>
      <c r="S218"/>
      <c r="T218"/>
    </row>
    <row r="219" spans="1:20" s="3" customFormat="1" ht="15.6" outlineLevel="1" x14ac:dyDescent="0.3">
      <c r="A219" s="6"/>
      <c r="B219" s="6"/>
      <c r="C219" s="6" t="s">
        <v>90</v>
      </c>
      <c r="D219" s="6"/>
      <c r="E219" s="6"/>
      <c r="F219" s="18" t="s">
        <v>53</v>
      </c>
      <c r="G219" s="24">
        <f t="shared" ref="G219:P219" si="55">G210-G217</f>
        <v>67960.706999999995</v>
      </c>
      <c r="H219" s="24">
        <f t="shared" si="55"/>
        <v>136998.45699999997</v>
      </c>
      <c r="I219" s="24">
        <f t="shared" si="55"/>
        <v>137624.96200000012</v>
      </c>
      <c r="J219" s="24">
        <f t="shared" si="55"/>
        <v>199752.69799999997</v>
      </c>
      <c r="K219" s="24">
        <f t="shared" si="55"/>
        <v>224235.19699999993</v>
      </c>
      <c r="L219" s="24">
        <f t="shared" si="55"/>
        <v>342832.39166816685</v>
      </c>
      <c r="M219" s="24">
        <f t="shared" si="55"/>
        <v>385783.07102663815</v>
      </c>
      <c r="N219" s="24">
        <f t="shared" si="55"/>
        <v>382650.02279115142</v>
      </c>
      <c r="O219" s="24">
        <f t="shared" si="55"/>
        <v>420120.02660844987</v>
      </c>
      <c r="P219" s="24">
        <f t="shared" si="55"/>
        <v>511667.92008964974</v>
      </c>
      <c r="R219"/>
      <c r="S219"/>
      <c r="T219"/>
    </row>
    <row r="220" spans="1:20" s="3" customFormat="1" ht="15.6" outlineLevel="1" x14ac:dyDescent="0.3">
      <c r="A220" s="6"/>
      <c r="B220" s="6"/>
      <c r="C220" s="17" t="s">
        <v>151</v>
      </c>
      <c r="D220" s="6"/>
      <c r="E220" s="6"/>
      <c r="F220" s="18" t="s">
        <v>53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R220"/>
      <c r="S220"/>
      <c r="T220"/>
    </row>
    <row r="221" spans="1:20" s="3" customFormat="1" ht="15.6" outlineLevel="1" x14ac:dyDescent="0.3">
      <c r="A221" s="6"/>
      <c r="B221" s="36"/>
      <c r="C221" s="36" t="s">
        <v>152</v>
      </c>
      <c r="D221" s="36"/>
      <c r="E221" s="36"/>
      <c r="F221" s="39" t="s">
        <v>53</v>
      </c>
      <c r="G221" s="40">
        <f t="shared" ref="G221:P221" si="56">SUM(G219:G220)</f>
        <v>67960.706999999995</v>
      </c>
      <c r="H221" s="40">
        <f t="shared" si="56"/>
        <v>136998.45699999997</v>
      </c>
      <c r="I221" s="40">
        <f t="shared" si="56"/>
        <v>137624.96200000012</v>
      </c>
      <c r="J221" s="40">
        <f t="shared" si="56"/>
        <v>199752.69799999997</v>
      </c>
      <c r="K221" s="40">
        <f t="shared" si="56"/>
        <v>224235.19699999993</v>
      </c>
      <c r="L221" s="40">
        <f t="shared" si="56"/>
        <v>342832.39166816685</v>
      </c>
      <c r="M221" s="40">
        <f t="shared" si="56"/>
        <v>385783.07102663815</v>
      </c>
      <c r="N221" s="40">
        <f t="shared" si="56"/>
        <v>382650.02279115142</v>
      </c>
      <c r="O221" s="40">
        <f t="shared" si="56"/>
        <v>420120.02660844987</v>
      </c>
      <c r="P221" s="40">
        <f t="shared" si="56"/>
        <v>511667.92008964974</v>
      </c>
      <c r="R221"/>
      <c r="S221"/>
      <c r="T221"/>
    </row>
    <row r="222" spans="1:20" s="3" customFormat="1" ht="15.6" outlineLevel="1" x14ac:dyDescent="0.3">
      <c r="A222" s="6"/>
      <c r="B222" s="6"/>
      <c r="C222" s="6"/>
      <c r="D222" s="6"/>
      <c r="E222" s="6"/>
      <c r="F222" s="6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R222"/>
      <c r="S222"/>
      <c r="T222"/>
    </row>
    <row r="223" spans="1:20" s="3" customFormat="1" ht="15.6" outlineLevel="1" x14ac:dyDescent="0.3">
      <c r="A223" s="6"/>
      <c r="B223" s="6"/>
      <c r="C223" s="6" t="s">
        <v>153</v>
      </c>
      <c r="D223" s="6"/>
      <c r="E223" s="6"/>
      <c r="F223" s="18" t="s">
        <v>53</v>
      </c>
      <c r="G223" s="67">
        <f>-'Books &amp; GAAP Bridge'!G117</f>
        <v>35548.176749999999</v>
      </c>
      <c r="H223" s="67">
        <f>-'Books &amp; GAAP Bridge'!H117</f>
        <v>61614.123389999986</v>
      </c>
      <c r="I223" s="67">
        <f>-'Books &amp; GAAP Bridge'!I117</f>
        <v>70451.629360000021</v>
      </c>
      <c r="J223" s="67">
        <f>-'Books &amp; GAAP Bridge'!J117</f>
        <v>99942.61241999999</v>
      </c>
      <c r="K223" s="67">
        <f>-'Books &amp; GAAP Bridge'!K117</f>
        <v>125241.65909999998</v>
      </c>
      <c r="L223" s="24">
        <f>L221*Tax_Rate</f>
        <v>141219.84446672339</v>
      </c>
      <c r="M223" s="24">
        <f>M221*Tax_Rate</f>
        <v>158912.12911121026</v>
      </c>
      <c r="N223" s="24">
        <f>N221*Tax_Rate</f>
        <v>157621.56090565276</v>
      </c>
      <c r="O223" s="24">
        <f>O221*Tax_Rate</f>
        <v>173056.24047457796</v>
      </c>
      <c r="P223" s="24">
        <f>P221*Tax_Rate</f>
        <v>210766.73572785262</v>
      </c>
      <c r="R223"/>
      <c r="S223"/>
      <c r="T223"/>
    </row>
    <row r="224" spans="1:20" s="3" customFormat="1" ht="15.6" outlineLevel="1" x14ac:dyDescent="0.3">
      <c r="A224" s="6"/>
      <c r="B224" s="6"/>
      <c r="C224" s="6"/>
      <c r="D224" s="6"/>
      <c r="E224" s="6"/>
      <c r="F224" s="6"/>
      <c r="G224" s="30"/>
      <c r="H224" s="30"/>
      <c r="I224" s="30"/>
      <c r="J224" s="30"/>
      <c r="K224" s="30"/>
      <c r="L224" s="30"/>
      <c r="M224" s="6"/>
      <c r="N224" s="6"/>
      <c r="O224" s="6"/>
      <c r="P224" s="6"/>
      <c r="R224"/>
      <c r="S224"/>
      <c r="T224"/>
    </row>
    <row r="225" spans="1:20" s="3" customFormat="1" ht="15.6" outlineLevel="1" x14ac:dyDescent="0.3">
      <c r="A225" s="6"/>
      <c r="B225" s="6"/>
      <c r="C225" s="6" t="s">
        <v>92</v>
      </c>
      <c r="D225" s="6"/>
      <c r="E225" s="6"/>
      <c r="F225" s="18" t="s">
        <v>53</v>
      </c>
      <c r="G225" s="22">
        <f t="shared" ref="G225:P225" si="57">G221-G223</f>
        <v>32412.530249999996</v>
      </c>
      <c r="H225" s="22">
        <f t="shared" si="57"/>
        <v>75384.333609999972</v>
      </c>
      <c r="I225" s="22">
        <f t="shared" si="57"/>
        <v>67173.332640000095</v>
      </c>
      <c r="J225" s="22">
        <f t="shared" si="57"/>
        <v>99810.085579999984</v>
      </c>
      <c r="K225" s="22">
        <f t="shared" si="57"/>
        <v>98993.537899999952</v>
      </c>
      <c r="L225" s="22">
        <f t="shared" si="57"/>
        <v>201612.54720144346</v>
      </c>
      <c r="M225" s="22">
        <f t="shared" si="57"/>
        <v>226870.94191542789</v>
      </c>
      <c r="N225" s="22">
        <f t="shared" si="57"/>
        <v>225028.46188549866</v>
      </c>
      <c r="O225" s="22">
        <f t="shared" si="57"/>
        <v>247063.78613387191</v>
      </c>
      <c r="P225" s="22">
        <f t="shared" si="57"/>
        <v>300901.18436179712</v>
      </c>
      <c r="R225"/>
      <c r="S225"/>
      <c r="T225"/>
    </row>
    <row r="226" spans="1:20" s="3" customFormat="1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R226"/>
      <c r="S226"/>
      <c r="T226"/>
    </row>
    <row r="227" spans="1:20" s="3" customFormat="1" ht="15.6" x14ac:dyDescent="0.3">
      <c r="A227" s="6"/>
      <c r="B227" s="53"/>
      <c r="C227" s="53"/>
      <c r="D227" s="53"/>
      <c r="E227" s="53"/>
      <c r="F227" s="43"/>
      <c r="G227" s="43" t="str">
        <f>$G$205</f>
        <v>Actuals</v>
      </c>
      <c r="H227" s="43"/>
      <c r="I227" s="43"/>
      <c r="J227" s="43"/>
      <c r="K227" s="44"/>
      <c r="L227" s="43" t="str">
        <f>$L$205</f>
        <v>Forecast</v>
      </c>
      <c r="M227" s="43"/>
      <c r="N227" s="43"/>
      <c r="O227" s="43"/>
      <c r="P227" s="43"/>
      <c r="R227"/>
      <c r="S227"/>
      <c r="T227"/>
    </row>
    <row r="228" spans="1:20" s="3" customFormat="1" ht="15.6" x14ac:dyDescent="0.3">
      <c r="A228" s="6"/>
      <c r="B228" s="73" t="s">
        <v>93</v>
      </c>
      <c r="C228" s="73"/>
      <c r="D228" s="74"/>
      <c r="E228" s="74"/>
      <c r="F228" s="70" t="str">
        <f>$F$206</f>
        <v>Reporting Units:</v>
      </c>
      <c r="G228" s="71" t="str">
        <f>$G$206</f>
        <v>Year 1</v>
      </c>
      <c r="H228" s="71" t="str">
        <f>$H$206</f>
        <v>Year 2</v>
      </c>
      <c r="I228" s="71" t="str">
        <f>$I$206</f>
        <v>Year 3</v>
      </c>
      <c r="J228" s="71" t="str">
        <f>$J$206</f>
        <v>Year 4</v>
      </c>
      <c r="K228" s="72" t="str">
        <f>$K$206</f>
        <v>Year 5</v>
      </c>
      <c r="L228" s="71" t="str">
        <f>$L$206</f>
        <v>Year 6</v>
      </c>
      <c r="M228" s="71" t="str">
        <f>$M$206</f>
        <v>Year 7</v>
      </c>
      <c r="N228" s="71" t="str">
        <f>$N$206</f>
        <v>Year 8</v>
      </c>
      <c r="O228" s="71" t="str">
        <f>$O$206</f>
        <v>Year 9</v>
      </c>
      <c r="P228" s="71" t="str">
        <f>$P$206</f>
        <v>Year 10</v>
      </c>
      <c r="R228"/>
      <c r="S228"/>
      <c r="T228"/>
    </row>
    <row r="229" spans="1:20" s="3" customFormat="1" ht="15.6" outlineLevel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R229"/>
      <c r="S229"/>
      <c r="T229"/>
    </row>
    <row r="230" spans="1:20" s="3" customFormat="1" ht="15.6" outlineLevel="1" x14ac:dyDescent="0.3">
      <c r="A230" s="6"/>
      <c r="B230" s="6"/>
      <c r="C230" s="17" t="s">
        <v>94</v>
      </c>
      <c r="D230" s="6"/>
      <c r="E230" s="6"/>
      <c r="F230" s="18" t="s">
        <v>53</v>
      </c>
      <c r="G230" s="22">
        <f t="shared" ref="G230:P230" si="58">G219</f>
        <v>67960.706999999995</v>
      </c>
      <c r="H230" s="22">
        <f t="shared" si="58"/>
        <v>136998.45699999997</v>
      </c>
      <c r="I230" s="22">
        <f t="shared" si="58"/>
        <v>137624.96200000012</v>
      </c>
      <c r="J230" s="22">
        <f t="shared" si="58"/>
        <v>199752.69799999997</v>
      </c>
      <c r="K230" s="22">
        <f t="shared" si="58"/>
        <v>224235.19699999993</v>
      </c>
      <c r="L230" s="22">
        <f t="shared" si="58"/>
        <v>342832.39166816685</v>
      </c>
      <c r="M230" s="22">
        <f t="shared" si="58"/>
        <v>385783.07102663815</v>
      </c>
      <c r="N230" s="22">
        <f t="shared" si="58"/>
        <v>382650.02279115142</v>
      </c>
      <c r="O230" s="22">
        <f t="shared" si="58"/>
        <v>420120.02660844987</v>
      </c>
      <c r="P230" s="22">
        <f t="shared" si="58"/>
        <v>511667.92008964974</v>
      </c>
      <c r="R230"/>
      <c r="S230"/>
      <c r="T230"/>
    </row>
    <row r="231" spans="1:20" s="3" customFormat="1" ht="15.6" outlineLevel="1" x14ac:dyDescent="0.3">
      <c r="A231" s="6"/>
      <c r="B231" s="6"/>
      <c r="C231" s="17" t="s">
        <v>95</v>
      </c>
      <c r="D231" s="6"/>
      <c r="E231" s="6"/>
      <c r="F231" s="18" t="s">
        <v>53</v>
      </c>
      <c r="G231" s="24">
        <f t="shared" ref="G231:P231" si="59">G216</f>
        <v>568</v>
      </c>
      <c r="H231" s="24">
        <f t="shared" si="59"/>
        <v>792</v>
      </c>
      <c r="I231" s="24">
        <f t="shared" si="59"/>
        <v>1011</v>
      </c>
      <c r="J231" s="24">
        <f t="shared" si="59"/>
        <v>1523</v>
      </c>
      <c r="K231" s="24">
        <f t="shared" si="59"/>
        <v>2024</v>
      </c>
      <c r="L231" s="24">
        <f t="shared" si="59"/>
        <v>2064.3975946232135</v>
      </c>
      <c r="M231" s="24">
        <f t="shared" si="59"/>
        <v>2434.3477306107329</v>
      </c>
      <c r="N231" s="24">
        <f t="shared" si="59"/>
        <v>4324.8582802199371</v>
      </c>
      <c r="O231" s="24">
        <f t="shared" si="59"/>
        <v>6628.154792889045</v>
      </c>
      <c r="P231" s="24">
        <f t="shared" si="59"/>
        <v>7665.2488065312764</v>
      </c>
      <c r="R231"/>
      <c r="S231"/>
      <c r="T231"/>
    </row>
    <row r="232" spans="1:20" s="3" customFormat="1" ht="15.6" outlineLevel="1" x14ac:dyDescent="0.3">
      <c r="A232" s="6"/>
      <c r="B232" s="36"/>
      <c r="C232" s="36" t="s">
        <v>96</v>
      </c>
      <c r="D232" s="36"/>
      <c r="E232" s="36"/>
      <c r="F232" s="39" t="s">
        <v>53</v>
      </c>
      <c r="G232" s="40">
        <f t="shared" ref="G232:P232" si="60">SUM(G230:G231)</f>
        <v>68528.706999999995</v>
      </c>
      <c r="H232" s="40">
        <f t="shared" si="60"/>
        <v>137790.45699999997</v>
      </c>
      <c r="I232" s="40">
        <f t="shared" si="60"/>
        <v>138635.96200000012</v>
      </c>
      <c r="J232" s="40">
        <f t="shared" si="60"/>
        <v>201275.69799999997</v>
      </c>
      <c r="K232" s="40">
        <f t="shared" si="60"/>
        <v>226259.19699999993</v>
      </c>
      <c r="L232" s="40">
        <f t="shared" si="60"/>
        <v>344896.78926279006</v>
      </c>
      <c r="M232" s="40">
        <f t="shared" si="60"/>
        <v>388217.4187572489</v>
      </c>
      <c r="N232" s="40">
        <f t="shared" si="60"/>
        <v>386974.88107137138</v>
      </c>
      <c r="O232" s="40">
        <f t="shared" si="60"/>
        <v>426748.18140133889</v>
      </c>
      <c r="P232" s="40">
        <f t="shared" si="60"/>
        <v>519333.16889618099</v>
      </c>
      <c r="R232"/>
      <c r="S232"/>
      <c r="T232"/>
    </row>
    <row r="233" spans="1:20" s="3" customFormat="1" ht="15.6" outlineLevel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R233"/>
      <c r="S233"/>
      <c r="T233"/>
    </row>
    <row r="234" spans="1:20" s="3" customFormat="1" ht="15.6" outlineLevel="1" x14ac:dyDescent="0.3">
      <c r="A234" s="6"/>
      <c r="B234" s="6"/>
      <c r="C234" s="32" t="s">
        <v>97</v>
      </c>
      <c r="D234" s="6"/>
      <c r="E234" s="6"/>
      <c r="F234" s="18" t="s">
        <v>21</v>
      </c>
      <c r="G234" s="19" t="str">
        <f t="shared" ref="G234:P234" si="61">IFERROR(+G210/F210-1,"N/A")</f>
        <v>N/A</v>
      </c>
      <c r="H234" s="19">
        <f t="shared" si="61"/>
        <v>0.90246638623003506</v>
      </c>
      <c r="I234" s="19">
        <f t="shared" si="61"/>
        <v>0.50262770480748187</v>
      </c>
      <c r="J234" s="19">
        <f t="shared" si="61"/>
        <v>0.23308976396337755</v>
      </c>
      <c r="K234" s="19">
        <f t="shared" si="61"/>
        <v>0.25878470681421373</v>
      </c>
      <c r="L234" s="19">
        <f t="shared" si="61"/>
        <v>0.28774160897000556</v>
      </c>
      <c r="M234" s="19">
        <f t="shared" si="61"/>
        <v>0.17920488618620056</v>
      </c>
      <c r="N234" s="19">
        <f t="shared" si="61"/>
        <v>0.17854857905541133</v>
      </c>
      <c r="O234" s="19">
        <f t="shared" si="61"/>
        <v>0.14942866854217063</v>
      </c>
      <c r="P234" s="19">
        <f t="shared" si="61"/>
        <v>0.14498649402150687</v>
      </c>
      <c r="R234"/>
      <c r="S234"/>
      <c r="T234"/>
    </row>
    <row r="235" spans="1:20" s="3" customFormat="1" ht="15.6" outlineLevel="1" x14ac:dyDescent="0.3">
      <c r="A235" s="6"/>
      <c r="B235" s="6"/>
      <c r="C235" s="32" t="s">
        <v>98</v>
      </c>
      <c r="D235" s="6"/>
      <c r="E235" s="6"/>
      <c r="F235" s="18" t="s">
        <v>21</v>
      </c>
      <c r="G235" s="19">
        <f t="shared" ref="G235:P235" si="62">IFERROR(+G230/G210,"N/A")</f>
        <v>0.32957134978188912</v>
      </c>
      <c r="H235" s="19">
        <f t="shared" si="62"/>
        <v>0.34921287411058072</v>
      </c>
      <c r="I235" s="19">
        <f t="shared" si="62"/>
        <v>0.23346425175305846</v>
      </c>
      <c r="J235" s="19">
        <f t="shared" si="62"/>
        <v>0.27480279124877943</v>
      </c>
      <c r="K235" s="19">
        <f t="shared" si="62"/>
        <v>0.24506472926652048</v>
      </c>
      <c r="L235" s="19">
        <f t="shared" si="62"/>
        <v>0.29095789600349264</v>
      </c>
      <c r="M235" s="19">
        <f t="shared" si="62"/>
        <v>0.27765288792907067</v>
      </c>
      <c r="N235" s="19">
        <f t="shared" si="62"/>
        <v>0.23367555562072406</v>
      </c>
      <c r="O235" s="19">
        <f t="shared" si="62"/>
        <v>0.22320447623616052</v>
      </c>
      <c r="P235" s="19">
        <f t="shared" si="62"/>
        <v>0.23742002187275088</v>
      </c>
      <c r="R235"/>
      <c r="S235"/>
      <c r="T235"/>
    </row>
    <row r="236" spans="1:20" s="3" customFormat="1" ht="15.6" outlineLevel="1" x14ac:dyDescent="0.3">
      <c r="A236" s="6"/>
      <c r="B236" s="6"/>
      <c r="C236" s="32" t="s">
        <v>99</v>
      </c>
      <c r="D236" s="6"/>
      <c r="E236" s="6"/>
      <c r="F236" s="18" t="s">
        <v>21</v>
      </c>
      <c r="G236" s="19">
        <f t="shared" ref="G236:P236" si="63">IFERROR(+G232/G210,"N/A")</f>
        <v>0.33232583152493683</v>
      </c>
      <c r="H236" s="19">
        <f t="shared" si="63"/>
        <v>0.35123170412043686</v>
      </c>
      <c r="I236" s="19">
        <f t="shared" si="63"/>
        <v>0.23517929207054347</v>
      </c>
      <c r="J236" s="19">
        <f t="shared" si="63"/>
        <v>0.27689800525721248</v>
      </c>
      <c r="K236" s="19">
        <f t="shared" si="63"/>
        <v>0.24727674155839738</v>
      </c>
      <c r="L236" s="19">
        <f t="shared" si="63"/>
        <v>0.29270992642781624</v>
      </c>
      <c r="M236" s="19">
        <f t="shared" si="63"/>
        <v>0.2794049183533942</v>
      </c>
      <c r="N236" s="19">
        <f t="shared" si="63"/>
        <v>0.23631664696115989</v>
      </c>
      <c r="O236" s="19">
        <f t="shared" si="63"/>
        <v>0.2267259313567416</v>
      </c>
      <c r="P236" s="19">
        <f t="shared" si="63"/>
        <v>0.24097678880664009</v>
      </c>
      <c r="R236"/>
      <c r="S236"/>
      <c r="T236"/>
    </row>
    <row r="237" spans="1:20" s="3" customFormat="1" ht="15.6" outlineLevel="1" x14ac:dyDescent="0.3">
      <c r="A237" s="6"/>
      <c r="B237" s="6"/>
      <c r="C237" s="32" t="s">
        <v>100</v>
      </c>
      <c r="D237" s="6"/>
      <c r="E237" s="6"/>
      <c r="F237" s="18" t="s">
        <v>21</v>
      </c>
      <c r="G237" s="19">
        <f t="shared" ref="G237:P237" si="64">IFERROR(+G225/G210,"N/A")</f>
        <v>0.15718261059789757</v>
      </c>
      <c r="H237" s="19">
        <f t="shared" si="64"/>
        <v>0.19215676131928222</v>
      </c>
      <c r="I237" s="19">
        <f t="shared" si="64"/>
        <v>0.11395150715868614</v>
      </c>
      <c r="J237" s="19">
        <f t="shared" si="64"/>
        <v>0.13731023604078454</v>
      </c>
      <c r="K237" s="19">
        <f t="shared" si="64"/>
        <v>0.1081891910331924</v>
      </c>
      <c r="L237" s="19">
        <f t="shared" si="64"/>
        <v>0.17110624307173275</v>
      </c>
      <c r="M237" s="19">
        <f t="shared" si="64"/>
        <v>0.16328184656308434</v>
      </c>
      <c r="N237" s="19">
        <f t="shared" si="64"/>
        <v>0.13741969875765755</v>
      </c>
      <c r="O237" s="19">
        <f t="shared" si="64"/>
        <v>0.13126187634070885</v>
      </c>
      <c r="P237" s="19">
        <f t="shared" si="64"/>
        <v>0.13962174091390656</v>
      </c>
      <c r="R237"/>
      <c r="S237"/>
      <c r="T237"/>
    </row>
    <row r="238" spans="1:20" s="3" customFormat="1" ht="15.6" outlineLevel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R238"/>
      <c r="S238"/>
      <c r="T238"/>
    </row>
    <row r="239" spans="1:20" s="3" customFormat="1" ht="15.6" outlineLevel="1" x14ac:dyDescent="0.3">
      <c r="A239" s="6"/>
      <c r="B239" s="6"/>
      <c r="C239" s="32" t="s">
        <v>35</v>
      </c>
      <c r="D239" s="6"/>
      <c r="E239" s="6"/>
      <c r="F239" s="18" t="s">
        <v>21</v>
      </c>
      <c r="G239" s="19">
        <f t="shared" ref="G239:P239" si="65">IFERROR(+G223/G221,"N/A")</f>
        <v>0.52306955473550332</v>
      </c>
      <c r="H239" s="19">
        <f t="shared" si="65"/>
        <v>0.44974319229011461</v>
      </c>
      <c r="I239" s="19">
        <f t="shared" si="65"/>
        <v>0.51191025476904373</v>
      </c>
      <c r="J239" s="19">
        <f t="shared" si="65"/>
        <v>0.50033172728410413</v>
      </c>
      <c r="K239" s="19">
        <f t="shared" si="65"/>
        <v>0.5585281025262061</v>
      </c>
      <c r="L239" s="19">
        <f t="shared" si="65"/>
        <v>0.41192095000000001</v>
      </c>
      <c r="M239" s="19">
        <f t="shared" si="65"/>
        <v>0.41192095000000001</v>
      </c>
      <c r="N239" s="19">
        <f t="shared" si="65"/>
        <v>0.41192095000000006</v>
      </c>
      <c r="O239" s="19">
        <f t="shared" si="65"/>
        <v>0.41192095000000001</v>
      </c>
      <c r="P239" s="19">
        <f t="shared" si="65"/>
        <v>0.41192095000000001</v>
      </c>
      <c r="R239"/>
      <c r="S239"/>
      <c r="T239"/>
    </row>
    <row r="240" spans="1:20" s="3" customFormat="1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R240"/>
      <c r="S240"/>
      <c r="T240"/>
    </row>
    <row r="241" spans="1:20" s="3" customFormat="1" ht="15.6" x14ac:dyDescent="0.3">
      <c r="A241" s="6"/>
      <c r="B241" s="43"/>
      <c r="C241" s="43"/>
      <c r="D241" s="43"/>
      <c r="E241" s="43"/>
      <c r="F241" s="43"/>
      <c r="G241" s="43" t="str">
        <f>$G$205</f>
        <v>Actuals</v>
      </c>
      <c r="H241" s="43"/>
      <c r="I241" s="43"/>
      <c r="J241" s="43"/>
      <c r="K241" s="44"/>
      <c r="L241" s="43" t="str">
        <f>$L$205</f>
        <v>Forecast</v>
      </c>
      <c r="M241" s="43"/>
      <c r="N241" s="43"/>
      <c r="O241" s="43"/>
      <c r="P241" s="43"/>
      <c r="R241"/>
      <c r="S241"/>
      <c r="T241"/>
    </row>
    <row r="242" spans="1:20" s="3" customFormat="1" ht="15.6" x14ac:dyDescent="0.3">
      <c r="A242" s="6"/>
      <c r="B242" s="68" t="s">
        <v>101</v>
      </c>
      <c r="C242" s="69"/>
      <c r="D242" s="69"/>
      <c r="E242" s="69"/>
      <c r="F242" s="70" t="str">
        <f>$F$206</f>
        <v>Reporting Units:</v>
      </c>
      <c r="G242" s="71" t="str">
        <f>$G$206</f>
        <v>Year 1</v>
      </c>
      <c r="H242" s="71" t="str">
        <f>$H$206</f>
        <v>Year 2</v>
      </c>
      <c r="I242" s="71" t="str">
        <f>$I$206</f>
        <v>Year 3</v>
      </c>
      <c r="J242" s="71" t="str">
        <f>$J$206</f>
        <v>Year 4</v>
      </c>
      <c r="K242" s="72" t="str">
        <f>$K$206</f>
        <v>Year 5</v>
      </c>
      <c r="L242" s="71" t="str">
        <f>$L$206</f>
        <v>Year 6</v>
      </c>
      <c r="M242" s="71" t="str">
        <f>$M$206</f>
        <v>Year 7</v>
      </c>
      <c r="N242" s="71" t="str">
        <f>$N$206</f>
        <v>Year 8</v>
      </c>
      <c r="O242" s="71" t="str">
        <f>$O$206</f>
        <v>Year 9</v>
      </c>
      <c r="P242" s="71" t="str">
        <f>$P$206</f>
        <v>Year 10</v>
      </c>
      <c r="R242"/>
      <c r="S242"/>
      <c r="T242"/>
    </row>
    <row r="243" spans="1:20" s="3" customFormat="1" ht="15.6" outlineLevel="1" x14ac:dyDescent="0.3">
      <c r="A243" s="6"/>
      <c r="B243" s="33" t="s">
        <v>102</v>
      </c>
      <c r="C243" s="34"/>
      <c r="D243" s="34"/>
      <c r="E243" s="34"/>
      <c r="F243" s="34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R243"/>
      <c r="S243"/>
      <c r="T243"/>
    </row>
    <row r="244" spans="1:20" s="3" customFormat="1" ht="15.6" outlineLevel="1" x14ac:dyDescent="0.3">
      <c r="A244" s="6"/>
      <c r="B244" s="6"/>
      <c r="C244" s="6" t="s">
        <v>103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R244"/>
      <c r="S244"/>
      <c r="T244"/>
    </row>
    <row r="245" spans="1:20" s="3" customFormat="1" ht="15.6" outlineLevel="1" x14ac:dyDescent="0.3">
      <c r="A245" s="6"/>
      <c r="B245" s="6"/>
      <c r="C245" s="17" t="s">
        <v>104</v>
      </c>
      <c r="D245" s="6"/>
      <c r="E245" s="6"/>
      <c r="F245" s="18" t="s">
        <v>53</v>
      </c>
      <c r="G245" s="22">
        <f t="shared" ref="G245:P245" si="66">G297</f>
        <v>58116</v>
      </c>
      <c r="H245" s="22">
        <f t="shared" si="66"/>
        <v>132433.39760999996</v>
      </c>
      <c r="I245" s="22">
        <f t="shared" si="66"/>
        <v>201802.52525000006</v>
      </c>
      <c r="J245" s="22">
        <f t="shared" si="66"/>
        <v>304974.77483000001</v>
      </c>
      <c r="K245" s="22">
        <f t="shared" si="66"/>
        <v>407072.29772999999</v>
      </c>
      <c r="L245" s="22">
        <f t="shared" si="66"/>
        <v>614116.87160178006</v>
      </c>
      <c r="M245" s="22">
        <f t="shared" si="66"/>
        <v>845011.12529872416</v>
      </c>
      <c r="N245" s="22">
        <f t="shared" si="66"/>
        <v>1076434.8113992356</v>
      </c>
      <c r="O245" s="22">
        <f t="shared" si="66"/>
        <v>1330323.8202355173</v>
      </c>
      <c r="P245" s="22">
        <f t="shared" si="66"/>
        <v>1635619.5012616552</v>
      </c>
      <c r="R245"/>
      <c r="S245"/>
      <c r="T245"/>
    </row>
    <row r="246" spans="1:20" s="3" customFormat="1" ht="15.6" outlineLevel="1" x14ac:dyDescent="0.3">
      <c r="A246" s="6"/>
      <c r="B246" s="6"/>
      <c r="C246" s="17" t="s">
        <v>105</v>
      </c>
      <c r="D246" s="6"/>
      <c r="E246" s="6"/>
      <c r="F246" s="18" t="s">
        <v>53</v>
      </c>
      <c r="G246" s="67">
        <f>'Books &amp; GAAP Bridge'!G140</f>
        <v>0</v>
      </c>
      <c r="H246" s="67">
        <f>'Books &amp; GAAP Bridge'!H140</f>
        <v>2024.2849999999999</v>
      </c>
      <c r="I246" s="67">
        <f>'Books &amp; GAAP Bridge'!I140</f>
        <v>6108.7100000000009</v>
      </c>
      <c r="J246" s="67">
        <f>'Books &amp; GAAP Bridge'!J140</f>
        <v>7571.82</v>
      </c>
      <c r="K246" s="67">
        <f>'Books &amp; GAAP Bridge'!K140</f>
        <v>11449.475999999999</v>
      </c>
      <c r="L246" s="67">
        <f>'Books &amp; GAAP Bridge'!L140</f>
        <v>13723.026331741143</v>
      </c>
      <c r="M246" s="67">
        <f>'Books &amp; GAAP Bridge'!M140</f>
        <v>17530.781345621966</v>
      </c>
      <c r="N246" s="67">
        <f>'Books &amp; GAAP Bridge'!N140</f>
        <v>22360.626304932899</v>
      </c>
      <c r="O246" s="67">
        <f>'Books &amp; GAAP Bridge'!O140</f>
        <v>27537.798130122919</v>
      </c>
      <c r="P246" s="67">
        <f>'Books &amp; GAAP Bridge'!P140</f>
        <v>33969.687326817177</v>
      </c>
      <c r="R246"/>
      <c r="S246"/>
      <c r="T246"/>
    </row>
    <row r="247" spans="1:20" s="3" customFormat="1" ht="15.6" outlineLevel="1" x14ac:dyDescent="0.3">
      <c r="A247" s="6"/>
      <c r="B247" s="36"/>
      <c r="C247" s="36" t="s">
        <v>106</v>
      </c>
      <c r="D247" s="36"/>
      <c r="E247" s="36"/>
      <c r="F247" s="39" t="s">
        <v>53</v>
      </c>
      <c r="G247" s="40">
        <f t="shared" ref="G247:P247" si="67">SUM(G245:G246)</f>
        <v>58116</v>
      </c>
      <c r="H247" s="40">
        <f t="shared" si="67"/>
        <v>134457.68260999996</v>
      </c>
      <c r="I247" s="40">
        <f t="shared" si="67"/>
        <v>207911.23525000006</v>
      </c>
      <c r="J247" s="40">
        <f t="shared" si="67"/>
        <v>312546.59483000002</v>
      </c>
      <c r="K247" s="40">
        <f t="shared" si="67"/>
        <v>418521.77373000002</v>
      </c>
      <c r="L247" s="40">
        <f t="shared" si="67"/>
        <v>627839.89793352119</v>
      </c>
      <c r="M247" s="40">
        <f t="shared" si="67"/>
        <v>862541.90664434608</v>
      </c>
      <c r="N247" s="40">
        <f t="shared" si="67"/>
        <v>1098795.4377041685</v>
      </c>
      <c r="O247" s="40">
        <f t="shared" si="67"/>
        <v>1357861.6183656403</v>
      </c>
      <c r="P247" s="40">
        <f t="shared" si="67"/>
        <v>1669589.1885884723</v>
      </c>
      <c r="R247"/>
      <c r="S247"/>
      <c r="T247"/>
    </row>
    <row r="248" spans="1:20" s="3" customFormat="1" ht="15.6" outlineLevel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R248"/>
      <c r="S248"/>
      <c r="T248"/>
    </row>
    <row r="249" spans="1:20" s="3" customFormat="1" ht="15.6" outlineLevel="1" x14ac:dyDescent="0.3">
      <c r="A249" s="6"/>
      <c r="B249" s="6"/>
      <c r="C249" s="6" t="s">
        <v>107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R249"/>
      <c r="S249"/>
      <c r="T249"/>
    </row>
    <row r="250" spans="1:20" s="3" customFormat="1" ht="15.6" outlineLevel="1" x14ac:dyDescent="0.3">
      <c r="A250" s="6"/>
      <c r="B250" s="6"/>
      <c r="C250" s="17" t="s">
        <v>108</v>
      </c>
      <c r="D250" s="6"/>
      <c r="E250" s="6"/>
      <c r="F250" s="18" t="s">
        <v>53</v>
      </c>
      <c r="G250" s="67">
        <f>'Books &amp; GAAP Bridge'!G144</f>
        <v>10038</v>
      </c>
      <c r="H250" s="67">
        <f>'Books &amp; GAAP Bridge'!H144</f>
        <v>11270.285</v>
      </c>
      <c r="I250" s="67">
        <f>'Books &amp; GAAP Bridge'!I144</f>
        <v>13313.64</v>
      </c>
      <c r="J250" s="67">
        <f>'Books &amp; GAAP Bridge'!J144</f>
        <v>15576.55</v>
      </c>
      <c r="K250" s="67">
        <f>'Books &amp; GAAP Bridge'!K144</f>
        <v>19277.288</v>
      </c>
      <c r="L250" s="24">
        <f>K250-L279-L287</f>
        <v>23423.361799040838</v>
      </c>
      <c r="M250" s="24">
        <f>L250-M279-M287</f>
        <v>29533.001983513088</v>
      </c>
      <c r="N250" s="24">
        <f>M250-N279-N287</f>
        <v>35327.633869248268</v>
      </c>
      <c r="O250" s="24">
        <f>N250-O279-O287</f>
        <v>41992.772913821376</v>
      </c>
      <c r="P250" s="24">
        <f>O250-P279-P287</f>
        <v>49700.792823312688</v>
      </c>
      <c r="R250"/>
      <c r="S250"/>
      <c r="T250"/>
    </row>
    <row r="251" spans="1:20" s="3" customFormat="1" ht="15.6" outlineLevel="1" x14ac:dyDescent="0.3">
      <c r="A251" s="6"/>
      <c r="B251" s="6"/>
      <c r="C251" s="42" t="s">
        <v>109</v>
      </c>
      <c r="D251" s="6"/>
      <c r="E251" s="6"/>
      <c r="F251" s="18" t="s">
        <v>53</v>
      </c>
      <c r="G251" s="67">
        <f>'Books &amp; GAAP Bridge'!G145</f>
        <v>127</v>
      </c>
      <c r="H251" s="67">
        <f>'Books &amp; GAAP Bridge'!H145</f>
        <v>381</v>
      </c>
      <c r="I251" s="67">
        <f>'Books &amp; GAAP Bridge'!I145</f>
        <v>702</v>
      </c>
      <c r="J251" s="67">
        <f>'Books &amp; GAAP Bridge'!J145</f>
        <v>1125</v>
      </c>
      <c r="K251" s="67">
        <f>'Books &amp; GAAP Bridge'!K145</f>
        <v>1626</v>
      </c>
      <c r="L251" s="24">
        <f>K251-L288</f>
        <v>2223.9560000000001</v>
      </c>
      <c r="M251" s="24">
        <f>L251-M288</f>
        <v>2941.5032000000001</v>
      </c>
      <c r="N251" s="24">
        <f>M251-N288</f>
        <v>3838.4372000000003</v>
      </c>
      <c r="O251" s="24">
        <f>N251-O288</f>
        <v>4914.7579999999998</v>
      </c>
      <c r="P251" s="24">
        <f>O251-P288</f>
        <v>6230.2611999999999</v>
      </c>
      <c r="R251"/>
      <c r="S251"/>
      <c r="T251"/>
    </row>
    <row r="252" spans="1:20" s="3" customFormat="1" ht="15.6" outlineLevel="1" x14ac:dyDescent="0.3">
      <c r="A252" s="6"/>
      <c r="B252" s="36"/>
      <c r="C252" s="36" t="s">
        <v>110</v>
      </c>
      <c r="D252" s="36"/>
      <c r="E252" s="36"/>
      <c r="F252" s="39" t="s">
        <v>53</v>
      </c>
      <c r="G252" s="40">
        <f t="shared" ref="G252:P252" si="68">SUM(G250:G251)</f>
        <v>10165</v>
      </c>
      <c r="H252" s="40">
        <f t="shared" si="68"/>
        <v>11651.285</v>
      </c>
      <c r="I252" s="40">
        <f t="shared" si="68"/>
        <v>14015.64</v>
      </c>
      <c r="J252" s="40">
        <f t="shared" si="68"/>
        <v>16701.55</v>
      </c>
      <c r="K252" s="40">
        <f t="shared" si="68"/>
        <v>20903.288</v>
      </c>
      <c r="L252" s="40">
        <f t="shared" si="68"/>
        <v>25647.317799040837</v>
      </c>
      <c r="M252" s="40">
        <f t="shared" si="68"/>
        <v>32474.505183513087</v>
      </c>
      <c r="N252" s="40">
        <f t="shared" si="68"/>
        <v>39166.071069248268</v>
      </c>
      <c r="O252" s="40">
        <f t="shared" si="68"/>
        <v>46907.530913821378</v>
      </c>
      <c r="P252" s="40">
        <f t="shared" si="68"/>
        <v>55931.054023312689</v>
      </c>
      <c r="R252"/>
      <c r="S252"/>
      <c r="T252"/>
    </row>
    <row r="253" spans="1:20" s="3" customFormat="1" ht="15.6" outlineLevel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R253"/>
      <c r="S253"/>
      <c r="T253"/>
    </row>
    <row r="254" spans="1:20" s="3" customFormat="1" ht="15.6" outlineLevel="1" x14ac:dyDescent="0.3">
      <c r="A254" s="6"/>
      <c r="B254" s="6"/>
      <c r="C254" s="27" t="s">
        <v>111</v>
      </c>
      <c r="D254" s="6"/>
      <c r="E254" s="6"/>
      <c r="F254" s="18" t="s">
        <v>53</v>
      </c>
      <c r="G254" s="22">
        <f t="shared" ref="G254:P254" si="69">G247+G252</f>
        <v>68281</v>
      </c>
      <c r="H254" s="22">
        <f t="shared" si="69"/>
        <v>146108.96760999996</v>
      </c>
      <c r="I254" s="22">
        <f t="shared" si="69"/>
        <v>221926.87525000004</v>
      </c>
      <c r="J254" s="22">
        <f t="shared" si="69"/>
        <v>329248.14483</v>
      </c>
      <c r="K254" s="22">
        <f t="shared" si="69"/>
        <v>439425.06173000002</v>
      </c>
      <c r="L254" s="22">
        <f t="shared" si="69"/>
        <v>653487.21573256201</v>
      </c>
      <c r="M254" s="22">
        <f t="shared" si="69"/>
        <v>895016.41182785912</v>
      </c>
      <c r="N254" s="22">
        <f t="shared" si="69"/>
        <v>1137961.5087734167</v>
      </c>
      <c r="O254" s="22">
        <f t="shared" si="69"/>
        <v>1404769.1492794617</v>
      </c>
      <c r="P254" s="22">
        <f t="shared" si="69"/>
        <v>1725520.242611785</v>
      </c>
      <c r="R254"/>
      <c r="S254"/>
      <c r="T254"/>
    </row>
    <row r="255" spans="1:20" s="3" customFormat="1" ht="15.6" outlineLevel="1" x14ac:dyDescent="0.3">
      <c r="A255" s="6"/>
      <c r="B255" s="6"/>
      <c r="C255" s="1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R255"/>
      <c r="S255"/>
      <c r="T255"/>
    </row>
    <row r="256" spans="1:20" s="3" customFormat="1" ht="15.6" outlineLevel="1" x14ac:dyDescent="0.3">
      <c r="A256" s="6"/>
      <c r="B256" s="33" t="s">
        <v>112</v>
      </c>
      <c r="C256" s="34"/>
      <c r="D256" s="34"/>
      <c r="E256" s="34"/>
      <c r="F256" s="34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R256"/>
      <c r="S256"/>
      <c r="T256"/>
    </row>
    <row r="257" spans="1:20" s="3" customFormat="1" ht="15.6" outlineLevel="1" x14ac:dyDescent="0.3">
      <c r="A257" s="6"/>
      <c r="B257" s="6"/>
      <c r="C257" s="6" t="s">
        <v>113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R257"/>
      <c r="S257"/>
      <c r="T257"/>
    </row>
    <row r="258" spans="1:20" s="3" customFormat="1" ht="15.6" outlineLevel="1" x14ac:dyDescent="0.3">
      <c r="A258" s="6"/>
      <c r="B258" s="6"/>
      <c r="C258" s="17" t="s">
        <v>114</v>
      </c>
      <c r="D258" s="6"/>
      <c r="E258" s="6"/>
      <c r="F258" s="18" t="s">
        <v>53</v>
      </c>
      <c r="G258" s="67">
        <f>'Books &amp; GAAP Bridge'!G152</f>
        <v>97.93</v>
      </c>
      <c r="H258" s="67">
        <f>'Books &amp; GAAP Bridge'!H152</f>
        <v>864.81000000000006</v>
      </c>
      <c r="I258" s="67">
        <f>'Books &amp; GAAP Bridge'!I152</f>
        <v>3256.7990000000004</v>
      </c>
      <c r="J258" s="67">
        <f>'Books &amp; GAAP Bridge'!J152</f>
        <v>5231.6280000000006</v>
      </c>
      <c r="K258" s="67">
        <f>'Books &amp; GAAP Bridge'!K152</f>
        <v>8043.777000000001</v>
      </c>
      <c r="L258" s="67">
        <f>'Books &amp; GAAP Bridge'!L152</f>
        <v>9408.07906255116</v>
      </c>
      <c r="M258" s="67">
        <f>'Books &amp; GAAP Bridge'!M152</f>
        <v>12465.557951613106</v>
      </c>
      <c r="N258" s="67">
        <f>'Books &amp; GAAP Bridge'!N152</f>
        <v>16287.371811436733</v>
      </c>
      <c r="O258" s="67">
        <f>'Books &amp; GAAP Bridge'!O152</f>
        <v>20714.752348228252</v>
      </c>
      <c r="P258" s="67">
        <f>'Books &amp; GAAP Bridge'!P152</f>
        <v>22676.297161542581</v>
      </c>
      <c r="R258"/>
      <c r="S258"/>
      <c r="T258"/>
    </row>
    <row r="259" spans="1:20" s="3" customFormat="1" ht="15.6" outlineLevel="1" x14ac:dyDescent="0.3">
      <c r="A259" s="6"/>
      <c r="B259" s="6"/>
      <c r="C259" s="17" t="s">
        <v>115</v>
      </c>
      <c r="D259" s="6"/>
      <c r="E259" s="6"/>
      <c r="F259" s="18" t="s">
        <v>53</v>
      </c>
      <c r="G259" s="67">
        <f>'Books &amp; GAAP Bridge'!G153</f>
        <v>195.86</v>
      </c>
      <c r="H259" s="67">
        <f>'Books &amp; GAAP Bridge'!H153</f>
        <v>960.9</v>
      </c>
      <c r="I259" s="67">
        <f>'Books &amp; GAAP Bridge'!I153</f>
        <v>3757.8449999999998</v>
      </c>
      <c r="J259" s="67">
        <f>'Books &amp; GAAP Bridge'!J153</f>
        <v>4359.6899999999996</v>
      </c>
      <c r="K259" s="67">
        <f>'Books &amp; GAAP Bridge'!K153</f>
        <v>5745.5549999999994</v>
      </c>
      <c r="L259" s="67">
        <f>'Books &amp; GAAP Bridge'!L153</f>
        <v>6539.881850448518</v>
      </c>
      <c r="M259" s="67">
        <f>'Books &amp; GAAP Bridge'!M153</f>
        <v>7943.1379515762146</v>
      </c>
      <c r="N259" s="67">
        <f>'Books &amp; GAAP Bridge'!N153</f>
        <v>11599.414641770518</v>
      </c>
      <c r="O259" s="67">
        <f>'Books &amp; GAAP Bridge'!O153</f>
        <v>13617.666749834265</v>
      </c>
      <c r="P259" s="67">
        <f>'Books &amp; GAAP Bridge'!P153</f>
        <v>15691.753987181542</v>
      </c>
      <c r="R259"/>
      <c r="S259"/>
      <c r="T259"/>
    </row>
    <row r="260" spans="1:20" s="3" customFormat="1" ht="15.6" outlineLevel="1" x14ac:dyDescent="0.3">
      <c r="A260" s="6"/>
      <c r="B260" s="36"/>
      <c r="C260" s="36" t="s">
        <v>116</v>
      </c>
      <c r="D260" s="36"/>
      <c r="E260" s="36"/>
      <c r="F260" s="39" t="s">
        <v>53</v>
      </c>
      <c r="G260" s="40">
        <f t="shared" ref="G260:P260" si="70">SUM(G258:G259)</f>
        <v>293.79000000000002</v>
      </c>
      <c r="H260" s="40">
        <f t="shared" si="70"/>
        <v>1825.71</v>
      </c>
      <c r="I260" s="40">
        <f t="shared" si="70"/>
        <v>7014.6440000000002</v>
      </c>
      <c r="J260" s="40">
        <f t="shared" si="70"/>
        <v>9591.3179999999993</v>
      </c>
      <c r="K260" s="40">
        <f t="shared" si="70"/>
        <v>13789.332</v>
      </c>
      <c r="L260" s="40">
        <f t="shared" si="70"/>
        <v>15947.960912999679</v>
      </c>
      <c r="M260" s="40">
        <f t="shared" si="70"/>
        <v>20408.69590318932</v>
      </c>
      <c r="N260" s="40">
        <f t="shared" si="70"/>
        <v>27886.786453207249</v>
      </c>
      <c r="O260" s="40">
        <f t="shared" si="70"/>
        <v>34332.419098062514</v>
      </c>
      <c r="P260" s="40">
        <f t="shared" si="70"/>
        <v>38368.051148724124</v>
      </c>
      <c r="R260"/>
      <c r="S260"/>
      <c r="T260"/>
    </row>
    <row r="261" spans="1:20" s="3" customFormat="1" ht="15.6" outlineLevel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R261"/>
      <c r="S261"/>
      <c r="T261"/>
    </row>
    <row r="262" spans="1:20" s="3" customFormat="1" ht="15.6" outlineLevel="1" x14ac:dyDescent="0.3">
      <c r="A262" s="6"/>
      <c r="B262" s="6"/>
      <c r="C262" s="6" t="s">
        <v>117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R262"/>
      <c r="S262"/>
      <c r="T262"/>
    </row>
    <row r="263" spans="1:20" s="3" customFormat="1" ht="15.6" outlineLevel="1" x14ac:dyDescent="0.3">
      <c r="A263" s="6"/>
      <c r="B263" s="6"/>
      <c r="C263" s="17" t="s">
        <v>118</v>
      </c>
      <c r="D263" s="6"/>
      <c r="E263" s="6"/>
      <c r="F263" s="18" t="s">
        <v>53</v>
      </c>
      <c r="G263" s="67">
        <f>'Books &amp; GAAP Bridge'!G157</f>
        <v>0</v>
      </c>
      <c r="H263" s="67">
        <f>'Books &amp; GAAP Bridge'!H157</f>
        <v>809.71399999999994</v>
      </c>
      <c r="I263" s="67">
        <f>'Books &amp; GAAP Bridge'!I157</f>
        <v>3054.3550000000005</v>
      </c>
      <c r="J263" s="67">
        <f>'Books &amp; GAAP Bridge'!J157</f>
        <v>5678.8649999999998</v>
      </c>
      <c r="K263" s="67">
        <f>'Books &amp; GAAP Bridge'!K157</f>
        <v>9541.23</v>
      </c>
      <c r="L263" s="67">
        <f>'Books &amp; GAAP Bridge'!L157</f>
        <v>15964.77088811885</v>
      </c>
      <c r="M263" s="67">
        <f>'Books &amp; GAAP Bridge'!M157</f>
        <v>21963.358477798451</v>
      </c>
      <c r="N263" s="67">
        <f>'Books &amp; GAAP Bridge'!N157</f>
        <v>27871.476787839456</v>
      </c>
      <c r="O263" s="67">
        <f>'Books &amp; GAAP Bridge'!O157</f>
        <v>36307.777715157026</v>
      </c>
      <c r="P263" s="67">
        <f>'Books &amp; GAAP Bridge'!P157</f>
        <v>46928.63923502175</v>
      </c>
      <c r="R263"/>
      <c r="S263"/>
      <c r="T263"/>
    </row>
    <row r="264" spans="1:20" s="3" customFormat="1" ht="15.6" outlineLevel="1" x14ac:dyDescent="0.3">
      <c r="A264" s="6"/>
      <c r="B264" s="6"/>
      <c r="C264" s="17" t="s">
        <v>119</v>
      </c>
      <c r="D264" s="6"/>
      <c r="E264" s="6"/>
      <c r="F264" s="18" t="s">
        <v>53</v>
      </c>
      <c r="G264" s="67">
        <f>'Books &amp; GAAP Bridge'!G158</f>
        <v>53</v>
      </c>
      <c r="H264" s="67">
        <f>'Books &amp; GAAP Bridge'!H158</f>
        <v>155</v>
      </c>
      <c r="I264" s="67">
        <f>'Books &amp; GAAP Bridge'!I158</f>
        <v>1366</v>
      </c>
      <c r="J264" s="67">
        <f>'Books &amp; GAAP Bridge'!J158</f>
        <v>3676</v>
      </c>
      <c r="K264" s="67">
        <f>'Books &amp; GAAP Bridge'!K158</f>
        <v>6799</v>
      </c>
      <c r="L264" s="24">
        <f>K264+L292</f>
        <v>10666.437</v>
      </c>
      <c r="M264" s="24">
        <f>L264+M292</f>
        <v>14865.3686</v>
      </c>
      <c r="N264" s="24">
        <f>M264+N292</f>
        <v>19395.7948</v>
      </c>
      <c r="O264" s="24">
        <f>N264+O292</f>
        <v>24257.7156</v>
      </c>
      <c r="P264" s="24">
        <f>O264+P292</f>
        <v>29451.131000000001</v>
      </c>
      <c r="R264"/>
      <c r="S264"/>
      <c r="T264"/>
    </row>
    <row r="265" spans="1:20" s="3" customFormat="1" ht="15.6" outlineLevel="1" x14ac:dyDescent="0.3">
      <c r="A265" s="6"/>
      <c r="B265" s="36"/>
      <c r="C265" s="36" t="s">
        <v>120</v>
      </c>
      <c r="D265" s="36"/>
      <c r="E265" s="36"/>
      <c r="F265" s="39" t="s">
        <v>53</v>
      </c>
      <c r="G265" s="40">
        <f t="shared" ref="G265:P265" si="71">SUM(G263:G264)</f>
        <v>53</v>
      </c>
      <c r="H265" s="40">
        <f t="shared" si="71"/>
        <v>964.71399999999994</v>
      </c>
      <c r="I265" s="40">
        <f t="shared" si="71"/>
        <v>4420.3550000000005</v>
      </c>
      <c r="J265" s="40">
        <f t="shared" si="71"/>
        <v>9354.8649999999998</v>
      </c>
      <c r="K265" s="40">
        <f t="shared" si="71"/>
        <v>16340.23</v>
      </c>
      <c r="L265" s="40">
        <f t="shared" si="71"/>
        <v>26631.20788811885</v>
      </c>
      <c r="M265" s="40">
        <f t="shared" si="71"/>
        <v>36828.727077798452</v>
      </c>
      <c r="N265" s="40">
        <f t="shared" si="71"/>
        <v>47267.271587839452</v>
      </c>
      <c r="O265" s="40">
        <f t="shared" si="71"/>
        <v>60565.493315157029</v>
      </c>
      <c r="P265" s="40">
        <f t="shared" si="71"/>
        <v>76379.770235021744</v>
      </c>
      <c r="R265"/>
      <c r="S265"/>
      <c r="T265"/>
    </row>
    <row r="266" spans="1:20" s="3" customFormat="1" ht="15.6" outlineLevel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R266"/>
      <c r="S266"/>
      <c r="T266"/>
    </row>
    <row r="267" spans="1:20" s="3" customFormat="1" ht="15.6" outlineLevel="1" x14ac:dyDescent="0.3">
      <c r="A267" s="6"/>
      <c r="B267" s="6"/>
      <c r="C267" s="6" t="s">
        <v>121</v>
      </c>
      <c r="D267" s="6"/>
      <c r="E267" s="6"/>
      <c r="F267" s="18" t="s">
        <v>53</v>
      </c>
      <c r="G267" s="22">
        <f t="shared" ref="G267:P267" si="72">G260+G265</f>
        <v>346.79</v>
      </c>
      <c r="H267" s="22">
        <f t="shared" si="72"/>
        <v>2790.424</v>
      </c>
      <c r="I267" s="22">
        <f t="shared" si="72"/>
        <v>11434.999</v>
      </c>
      <c r="J267" s="22">
        <f t="shared" si="72"/>
        <v>18946.182999999997</v>
      </c>
      <c r="K267" s="22">
        <f t="shared" si="72"/>
        <v>30129.561999999998</v>
      </c>
      <c r="L267" s="22">
        <f t="shared" si="72"/>
        <v>42579.168801118532</v>
      </c>
      <c r="M267" s="22">
        <f t="shared" si="72"/>
        <v>57237.422980987772</v>
      </c>
      <c r="N267" s="22">
        <f t="shared" si="72"/>
        <v>75154.058041046694</v>
      </c>
      <c r="O267" s="22">
        <f t="shared" si="72"/>
        <v>94897.912413219543</v>
      </c>
      <c r="P267" s="22">
        <f t="shared" si="72"/>
        <v>114747.82138374588</v>
      </c>
      <c r="R267"/>
      <c r="S267"/>
      <c r="T267"/>
    </row>
    <row r="268" spans="1:20" s="3" customFormat="1" ht="15.6" outlineLevel="1" x14ac:dyDescent="0.3">
      <c r="A268" s="6"/>
      <c r="B268" s="6"/>
      <c r="C268" s="6"/>
      <c r="D268" s="6"/>
      <c r="E268" s="6"/>
      <c r="F268" s="6"/>
      <c r="G268" s="6"/>
      <c r="H268" s="22"/>
      <c r="I268" s="22"/>
      <c r="J268" s="22"/>
      <c r="K268" s="22"/>
      <c r="L268" s="6"/>
      <c r="M268" s="6"/>
      <c r="N268" s="6"/>
      <c r="O268" s="6"/>
      <c r="P268" s="6"/>
      <c r="R268"/>
      <c r="S268"/>
      <c r="T268"/>
    </row>
    <row r="269" spans="1:20" s="3" customFormat="1" ht="15.6" outlineLevel="1" x14ac:dyDescent="0.3">
      <c r="A269" s="6"/>
      <c r="B269" s="6"/>
      <c r="C269" s="6" t="s">
        <v>122</v>
      </c>
      <c r="D269" s="6"/>
      <c r="E269" s="6"/>
      <c r="F269" s="18" t="s">
        <v>53</v>
      </c>
      <c r="G269" s="66">
        <f>'Books &amp; GAAP Bridge'!G163-'Books &amp; GAAP Bridge'!G109</f>
        <v>67934.209999999992</v>
      </c>
      <c r="H269" s="22">
        <f t="shared" ref="H269:P269" si="73">G269+H278</f>
        <v>143318.54360999996</v>
      </c>
      <c r="I269" s="22">
        <f t="shared" si="73"/>
        <v>210491.87625000006</v>
      </c>
      <c r="J269" s="22">
        <f t="shared" si="73"/>
        <v>310301.96183000004</v>
      </c>
      <c r="K269" s="22">
        <f t="shared" si="73"/>
        <v>409295.49972999998</v>
      </c>
      <c r="L269" s="22">
        <f t="shared" si="73"/>
        <v>610908.0469314435</v>
      </c>
      <c r="M269" s="22">
        <f t="shared" si="73"/>
        <v>837778.98884687142</v>
      </c>
      <c r="N269" s="22">
        <f t="shared" si="73"/>
        <v>1062807.4507323701</v>
      </c>
      <c r="O269" s="22">
        <f t="shared" si="73"/>
        <v>1309871.236866242</v>
      </c>
      <c r="P269" s="22">
        <f t="shared" si="73"/>
        <v>1610772.4212280391</v>
      </c>
      <c r="R269"/>
      <c r="S269"/>
      <c r="T269"/>
    </row>
    <row r="270" spans="1:20" s="3" customFormat="1" ht="15.6" outlineLevel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R270"/>
      <c r="S270"/>
      <c r="T270"/>
    </row>
    <row r="271" spans="1:20" s="3" customFormat="1" ht="15.6" outlineLevel="1" x14ac:dyDescent="0.3">
      <c r="A271" s="6"/>
      <c r="B271" s="6"/>
      <c r="C271" s="6" t="s">
        <v>123</v>
      </c>
      <c r="D271" s="6"/>
      <c r="E271" s="6"/>
      <c r="F271" s="18" t="s">
        <v>53</v>
      </c>
      <c r="G271" s="22">
        <f t="shared" ref="G271:P271" si="74">G267+G269</f>
        <v>68280.999999999985</v>
      </c>
      <c r="H271" s="22">
        <f t="shared" si="74"/>
        <v>146108.96760999996</v>
      </c>
      <c r="I271" s="22">
        <f t="shared" si="74"/>
        <v>221926.87525000007</v>
      </c>
      <c r="J271" s="22">
        <f t="shared" si="74"/>
        <v>329248.14483000006</v>
      </c>
      <c r="K271" s="22">
        <f t="shared" si="74"/>
        <v>439425.06172999996</v>
      </c>
      <c r="L271" s="22">
        <f t="shared" si="74"/>
        <v>653487.21573256201</v>
      </c>
      <c r="M271" s="22">
        <f t="shared" si="74"/>
        <v>895016.41182785924</v>
      </c>
      <c r="N271" s="22">
        <f t="shared" si="74"/>
        <v>1137961.5087734167</v>
      </c>
      <c r="O271" s="22">
        <f t="shared" si="74"/>
        <v>1404769.1492794615</v>
      </c>
      <c r="P271" s="22">
        <f t="shared" si="74"/>
        <v>1725520.242611785</v>
      </c>
      <c r="R271"/>
      <c r="S271"/>
      <c r="T271"/>
    </row>
    <row r="272" spans="1:20" s="3" customFormat="1" ht="15.6" outlineLevel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R272"/>
      <c r="S272"/>
      <c r="T272"/>
    </row>
    <row r="273" spans="1:20" s="3" customFormat="1" ht="15.6" outlineLevel="1" x14ac:dyDescent="0.3">
      <c r="A273" s="6"/>
      <c r="B273" s="6"/>
      <c r="C273" s="32" t="s">
        <v>124</v>
      </c>
      <c r="D273" s="35"/>
      <c r="E273" s="6"/>
      <c r="F273" s="6"/>
      <c r="G273" s="35">
        <f t="shared" ref="G273:P273" si="75">G254-G271</f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5"/>
        <v>0</v>
      </c>
      <c r="O273" s="35">
        <f t="shared" si="75"/>
        <v>0</v>
      </c>
      <c r="P273" s="35">
        <f t="shared" si="75"/>
        <v>0</v>
      </c>
      <c r="R273"/>
      <c r="S273"/>
      <c r="T273"/>
    </row>
    <row r="274" spans="1:20" s="3" customFormat="1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R274"/>
      <c r="S274"/>
      <c r="T274"/>
    </row>
    <row r="275" spans="1:20" s="3" customFormat="1" ht="15.6" x14ac:dyDescent="0.3">
      <c r="A275" s="6"/>
      <c r="B275" s="43"/>
      <c r="C275" s="43"/>
      <c r="D275" s="43"/>
      <c r="E275" s="43"/>
      <c r="F275" s="43"/>
      <c r="G275" s="43" t="str">
        <f>$G$205</f>
        <v>Actuals</v>
      </c>
      <c r="H275" s="43"/>
      <c r="I275" s="43"/>
      <c r="J275" s="43"/>
      <c r="K275" s="44"/>
      <c r="L275" s="43" t="str">
        <f>$L$205</f>
        <v>Forecast</v>
      </c>
      <c r="M275" s="43"/>
      <c r="N275" s="43"/>
      <c r="O275" s="43"/>
      <c r="P275" s="43"/>
      <c r="R275"/>
      <c r="S275"/>
      <c r="T275"/>
    </row>
    <row r="276" spans="1:20" s="3" customFormat="1" ht="15.6" x14ac:dyDescent="0.3">
      <c r="A276" s="6"/>
      <c r="B276" s="68" t="s">
        <v>125</v>
      </c>
      <c r="C276" s="69"/>
      <c r="D276" s="69"/>
      <c r="E276" s="69"/>
      <c r="F276" s="70" t="str">
        <f>$F$206</f>
        <v>Reporting Units:</v>
      </c>
      <c r="G276" s="71" t="str">
        <f>$G$206</f>
        <v>Year 1</v>
      </c>
      <c r="H276" s="71" t="str">
        <f>$H$206</f>
        <v>Year 2</v>
      </c>
      <c r="I276" s="71" t="str">
        <f>$I$206</f>
        <v>Year 3</v>
      </c>
      <c r="J276" s="71" t="str">
        <f>$J$206</f>
        <v>Year 4</v>
      </c>
      <c r="K276" s="72" t="str">
        <f>$K$206</f>
        <v>Year 5</v>
      </c>
      <c r="L276" s="71" t="str">
        <f>$L$206</f>
        <v>Year 6</v>
      </c>
      <c r="M276" s="71" t="str">
        <f>$M$206</f>
        <v>Year 7</v>
      </c>
      <c r="N276" s="71" t="str">
        <f>$N$206</f>
        <v>Year 8</v>
      </c>
      <c r="O276" s="71" t="str">
        <f>$O$206</f>
        <v>Year 9</v>
      </c>
      <c r="P276" s="71" t="str">
        <f>$P$206</f>
        <v>Year 10</v>
      </c>
      <c r="R276"/>
      <c r="S276"/>
      <c r="T276"/>
    </row>
    <row r="277" spans="1:20" s="3" customFormat="1" ht="15.6" outlineLevel="1" x14ac:dyDescent="0.3">
      <c r="A277" s="6"/>
      <c r="B277" s="33"/>
      <c r="C277" s="33" t="s">
        <v>126</v>
      </c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R277"/>
      <c r="S277"/>
      <c r="T277"/>
    </row>
    <row r="278" spans="1:20" s="3" customFormat="1" ht="15.6" outlineLevel="1" x14ac:dyDescent="0.3">
      <c r="A278" s="6"/>
      <c r="B278" s="6"/>
      <c r="C278" s="6" t="s">
        <v>92</v>
      </c>
      <c r="D278" s="6"/>
      <c r="E278" s="6"/>
      <c r="F278" s="18" t="s">
        <v>53</v>
      </c>
      <c r="G278" s="22">
        <f t="shared" ref="G278:P278" si="76">G225</f>
        <v>32412.530249999996</v>
      </c>
      <c r="H278" s="22">
        <f t="shared" si="76"/>
        <v>75384.333609999972</v>
      </c>
      <c r="I278" s="22">
        <f t="shared" si="76"/>
        <v>67173.332640000095</v>
      </c>
      <c r="J278" s="22">
        <f t="shared" si="76"/>
        <v>99810.085579999984</v>
      </c>
      <c r="K278" s="22">
        <f t="shared" si="76"/>
        <v>98993.537899999952</v>
      </c>
      <c r="L278" s="22">
        <f t="shared" si="76"/>
        <v>201612.54720144346</v>
      </c>
      <c r="M278" s="22">
        <f t="shared" si="76"/>
        <v>226870.94191542789</v>
      </c>
      <c r="N278" s="22">
        <f t="shared" si="76"/>
        <v>225028.46188549866</v>
      </c>
      <c r="O278" s="22">
        <f t="shared" si="76"/>
        <v>247063.78613387191</v>
      </c>
      <c r="P278" s="22">
        <f t="shared" si="76"/>
        <v>300901.18436179712</v>
      </c>
      <c r="R278"/>
      <c r="S278"/>
      <c r="T278"/>
    </row>
    <row r="279" spans="1:20" s="3" customFormat="1" ht="15.6" outlineLevel="1" x14ac:dyDescent="0.3">
      <c r="A279" s="6"/>
      <c r="B279" s="6"/>
      <c r="C279" s="17" t="s">
        <v>95</v>
      </c>
      <c r="D279" s="6"/>
      <c r="E279" s="6"/>
      <c r="F279" s="18" t="s">
        <v>53</v>
      </c>
      <c r="G279" s="24">
        <f t="shared" ref="G279:P279" si="77">G216</f>
        <v>568</v>
      </c>
      <c r="H279" s="24">
        <f t="shared" si="77"/>
        <v>792</v>
      </c>
      <c r="I279" s="24">
        <f t="shared" si="77"/>
        <v>1011</v>
      </c>
      <c r="J279" s="24">
        <f t="shared" si="77"/>
        <v>1523</v>
      </c>
      <c r="K279" s="24">
        <f t="shared" si="77"/>
        <v>2024</v>
      </c>
      <c r="L279" s="24">
        <f t="shared" si="77"/>
        <v>2064.3975946232135</v>
      </c>
      <c r="M279" s="24">
        <f t="shared" si="77"/>
        <v>2434.3477306107329</v>
      </c>
      <c r="N279" s="24">
        <f t="shared" si="77"/>
        <v>4324.8582802199371</v>
      </c>
      <c r="O279" s="24">
        <f t="shared" si="77"/>
        <v>6628.154792889045</v>
      </c>
      <c r="P279" s="24">
        <f t="shared" si="77"/>
        <v>7665.2488065312764</v>
      </c>
      <c r="R279"/>
      <c r="S279"/>
      <c r="T279"/>
    </row>
    <row r="280" spans="1:20" s="3" customFormat="1" ht="15.6" outlineLevel="1" x14ac:dyDescent="0.3">
      <c r="A280" s="6"/>
      <c r="B280" s="6"/>
      <c r="C280" s="17" t="s">
        <v>127</v>
      </c>
      <c r="D280" s="6"/>
      <c r="E280" s="6"/>
      <c r="F280" s="18" t="s">
        <v>53</v>
      </c>
      <c r="G280" s="67">
        <f>'Books &amp; GAAP Bridge'!G174</f>
        <v>0</v>
      </c>
      <c r="H280" s="67">
        <f>'Books &amp; GAAP Bridge'!H174</f>
        <v>-2024.2849999999999</v>
      </c>
      <c r="I280" s="67">
        <f>'Books &amp; GAAP Bridge'!I174</f>
        <v>-4084.4250000000011</v>
      </c>
      <c r="J280" s="67">
        <f>'Books &amp; GAAP Bridge'!J174</f>
        <v>-1463.1099999999988</v>
      </c>
      <c r="K280" s="67">
        <f>'Books &amp; GAAP Bridge'!K174</f>
        <v>-3877.655999999999</v>
      </c>
      <c r="L280" s="24">
        <f>K246-L246</f>
        <v>-2273.550331741144</v>
      </c>
      <c r="M280" s="24">
        <f>L246-M246</f>
        <v>-3807.7550138808238</v>
      </c>
      <c r="N280" s="24">
        <f>M246-N246</f>
        <v>-4829.8449593109326</v>
      </c>
      <c r="O280" s="24">
        <f>N246-O246</f>
        <v>-5177.1718251900202</v>
      </c>
      <c r="P280" s="24">
        <f>O246-P246</f>
        <v>-6431.8891966942574</v>
      </c>
      <c r="R280"/>
      <c r="S280"/>
      <c r="T280"/>
    </row>
    <row r="281" spans="1:20" s="3" customFormat="1" ht="15.6" outlineLevel="1" x14ac:dyDescent="0.3">
      <c r="A281" s="6"/>
      <c r="B281" s="6"/>
      <c r="C281" s="17" t="s">
        <v>128</v>
      </c>
      <c r="D281" s="6"/>
      <c r="E281" s="6"/>
      <c r="F281" s="18" t="s">
        <v>53</v>
      </c>
      <c r="G281" s="67">
        <f>'Books &amp; GAAP Bridge'!G175</f>
        <v>97.93</v>
      </c>
      <c r="H281" s="67">
        <f>'Books &amp; GAAP Bridge'!H175</f>
        <v>766.88000000000011</v>
      </c>
      <c r="I281" s="67">
        <f>'Books &amp; GAAP Bridge'!I175</f>
        <v>2391.9890000000005</v>
      </c>
      <c r="J281" s="67">
        <f>'Books &amp; GAAP Bridge'!J175</f>
        <v>1974.8290000000002</v>
      </c>
      <c r="K281" s="67">
        <f>'Books &amp; GAAP Bridge'!K175</f>
        <v>2812.1490000000003</v>
      </c>
      <c r="L281" s="24">
        <f t="shared" ref="L281:P282" si="78">L258-K258</f>
        <v>1364.302062551159</v>
      </c>
      <c r="M281" s="24">
        <f t="shared" si="78"/>
        <v>3057.4788890619457</v>
      </c>
      <c r="N281" s="24">
        <f t="shared" si="78"/>
        <v>3821.8138598236274</v>
      </c>
      <c r="O281" s="24">
        <f t="shared" si="78"/>
        <v>4427.3805367915193</v>
      </c>
      <c r="P281" s="24">
        <f t="shared" si="78"/>
        <v>1961.5448133143291</v>
      </c>
      <c r="R281"/>
      <c r="S281"/>
      <c r="T281"/>
    </row>
    <row r="282" spans="1:20" s="3" customFormat="1" ht="15.6" outlineLevel="1" x14ac:dyDescent="0.3">
      <c r="A282" s="6"/>
      <c r="B282" s="6"/>
      <c r="C282" s="17" t="s">
        <v>129</v>
      </c>
      <c r="D282" s="6"/>
      <c r="E282" s="6"/>
      <c r="F282" s="18" t="s">
        <v>53</v>
      </c>
      <c r="G282" s="67">
        <f>'Books &amp; GAAP Bridge'!G176</f>
        <v>195.86</v>
      </c>
      <c r="H282" s="67">
        <f>'Books &amp; GAAP Bridge'!H176</f>
        <v>765.04</v>
      </c>
      <c r="I282" s="67">
        <f>'Books &amp; GAAP Bridge'!I176</f>
        <v>2796.9449999999997</v>
      </c>
      <c r="J282" s="67">
        <f>'Books &amp; GAAP Bridge'!J176</f>
        <v>601.8449999999998</v>
      </c>
      <c r="K282" s="67">
        <f>'Books &amp; GAAP Bridge'!K176</f>
        <v>1385.8649999999998</v>
      </c>
      <c r="L282" s="24">
        <f t="shared" si="78"/>
        <v>794.3268504485186</v>
      </c>
      <c r="M282" s="24">
        <f t="shared" si="78"/>
        <v>1403.2561011276966</v>
      </c>
      <c r="N282" s="24">
        <f t="shared" si="78"/>
        <v>3656.2766901943032</v>
      </c>
      <c r="O282" s="24">
        <f t="shared" si="78"/>
        <v>2018.2521080637471</v>
      </c>
      <c r="P282" s="24">
        <f t="shared" si="78"/>
        <v>2074.0872373472776</v>
      </c>
      <c r="R282"/>
      <c r="S282"/>
      <c r="T282"/>
    </row>
    <row r="283" spans="1:20" s="3" customFormat="1" ht="15.6" outlineLevel="1" x14ac:dyDescent="0.3">
      <c r="A283" s="6"/>
      <c r="B283" s="6"/>
      <c r="C283" s="17" t="s">
        <v>130</v>
      </c>
      <c r="D283" s="6"/>
      <c r="E283" s="6"/>
      <c r="F283" s="18" t="s">
        <v>53</v>
      </c>
      <c r="G283" s="67">
        <f>'Books &amp; GAAP Bridge'!G177</f>
        <v>0</v>
      </c>
      <c r="H283" s="67">
        <f>'Books &amp; GAAP Bridge'!H177</f>
        <v>809.71399999999994</v>
      </c>
      <c r="I283" s="67">
        <f>'Books &amp; GAAP Bridge'!I177</f>
        <v>2244.6410000000005</v>
      </c>
      <c r="J283" s="67">
        <f>'Books &amp; GAAP Bridge'!J177</f>
        <v>2624.5099999999993</v>
      </c>
      <c r="K283" s="67">
        <f>'Books &amp; GAAP Bridge'!K177</f>
        <v>3862.3649999999998</v>
      </c>
      <c r="L283" s="24">
        <f>L263-K263</f>
        <v>6423.5408881188505</v>
      </c>
      <c r="M283" s="24">
        <f>M263-L263</f>
        <v>5998.5875896796006</v>
      </c>
      <c r="N283" s="24">
        <f>N263-M263</f>
        <v>5908.1183100410053</v>
      </c>
      <c r="O283" s="24">
        <f>O263-N263</f>
        <v>8436.3009273175703</v>
      </c>
      <c r="P283" s="24">
        <f>P263-O263</f>
        <v>10620.861519864724</v>
      </c>
      <c r="R283"/>
      <c r="S283"/>
      <c r="T283"/>
    </row>
    <row r="284" spans="1:20" s="3" customFormat="1" ht="15.6" outlineLevel="1" x14ac:dyDescent="0.3">
      <c r="A284" s="6"/>
      <c r="B284" s="36"/>
      <c r="C284" s="36" t="s">
        <v>131</v>
      </c>
      <c r="D284" s="36"/>
      <c r="E284" s="36"/>
      <c r="F284" s="39" t="s">
        <v>53</v>
      </c>
      <c r="G284" s="40">
        <f t="shared" ref="G284:P284" si="79">SUM(G278:G283)</f>
        <v>33274.320249999997</v>
      </c>
      <c r="H284" s="40">
        <f t="shared" si="79"/>
        <v>76493.68260999996</v>
      </c>
      <c r="I284" s="40">
        <f t="shared" si="79"/>
        <v>71533.482640000089</v>
      </c>
      <c r="J284" s="40">
        <f t="shared" si="79"/>
        <v>105071.15957999998</v>
      </c>
      <c r="K284" s="40">
        <f t="shared" si="79"/>
        <v>105200.26089999996</v>
      </c>
      <c r="L284" s="40">
        <f t="shared" si="79"/>
        <v>209985.56426544409</v>
      </c>
      <c r="M284" s="40">
        <f t="shared" si="79"/>
        <v>235956.85721202704</v>
      </c>
      <c r="N284" s="40">
        <f t="shared" si="79"/>
        <v>237909.68406646658</v>
      </c>
      <c r="O284" s="40">
        <f t="shared" si="79"/>
        <v>263396.70267374377</v>
      </c>
      <c r="P284" s="40">
        <f t="shared" si="79"/>
        <v>316791.03754216043</v>
      </c>
      <c r="R284"/>
      <c r="S284"/>
      <c r="T284"/>
    </row>
    <row r="285" spans="1:20" s="3" customFormat="1" ht="15.6" outlineLevel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R285"/>
      <c r="S285"/>
      <c r="T285"/>
    </row>
    <row r="286" spans="1:20" s="3" customFormat="1" ht="15.6" outlineLevel="1" x14ac:dyDescent="0.3">
      <c r="A286" s="6"/>
      <c r="B286" s="33"/>
      <c r="C286" s="33" t="s">
        <v>132</v>
      </c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R286"/>
      <c r="S286"/>
      <c r="T286"/>
    </row>
    <row r="287" spans="1:20" s="3" customFormat="1" ht="15.6" outlineLevel="1" x14ac:dyDescent="0.3">
      <c r="A287" s="6"/>
      <c r="B287" s="6"/>
      <c r="C287" s="17" t="s">
        <v>133</v>
      </c>
      <c r="D287" s="6"/>
      <c r="E287" s="6"/>
      <c r="F287" s="18" t="s">
        <v>53</v>
      </c>
      <c r="G287" s="67">
        <f>'Books &amp; GAAP Bridge'!G181</f>
        <v>-850.34800000000007</v>
      </c>
      <c r="H287" s="67">
        <f>'Books &amp; GAAP Bridge'!H181</f>
        <v>-2024.2849999999999</v>
      </c>
      <c r="I287" s="67">
        <f>'Books &amp; GAAP Bridge'!I181</f>
        <v>-3054.3550000000005</v>
      </c>
      <c r="J287" s="67">
        <f>'Books &amp; GAAP Bridge'!J181</f>
        <v>-3785.91</v>
      </c>
      <c r="K287" s="67">
        <f>'Books &amp; GAAP Bridge'!K181</f>
        <v>-5724.7379999999994</v>
      </c>
      <c r="L287" s="67">
        <f>'Books &amp; GAAP Bridge'!L181</f>
        <v>-6210.4713936640501</v>
      </c>
      <c r="M287" s="67">
        <f>'Books &amp; GAAP Bridge'!M181</f>
        <v>-8543.9879150829838</v>
      </c>
      <c r="N287" s="67">
        <f>'Books &amp; GAAP Bridge'!N181</f>
        <v>-10119.49016595512</v>
      </c>
      <c r="O287" s="67">
        <f>'Books &amp; GAAP Bridge'!O181</f>
        <v>-13293.29383746215</v>
      </c>
      <c r="P287" s="67">
        <f>'Books &amp; GAAP Bridge'!P181</f>
        <v>-15373.268716022587</v>
      </c>
      <c r="R287"/>
      <c r="S287"/>
      <c r="T287"/>
    </row>
    <row r="288" spans="1:20" s="3" customFormat="1" ht="15.6" outlineLevel="1" x14ac:dyDescent="0.3">
      <c r="A288" s="6"/>
      <c r="B288" s="6"/>
      <c r="C288" s="17" t="s">
        <v>322</v>
      </c>
      <c r="D288" s="6"/>
      <c r="E288" s="6"/>
      <c r="F288" s="18" t="s">
        <v>53</v>
      </c>
      <c r="G288" s="67">
        <f>'Books &amp; GAAP Bridge'!G182</f>
        <v>-127</v>
      </c>
      <c r="H288" s="67">
        <f>'Books &amp; GAAP Bridge'!H182</f>
        <v>-254</v>
      </c>
      <c r="I288" s="67">
        <f>'Books &amp; GAAP Bridge'!I182</f>
        <v>-321</v>
      </c>
      <c r="J288" s="67">
        <f>'Books &amp; GAAP Bridge'!J182</f>
        <v>-423</v>
      </c>
      <c r="K288" s="67">
        <f>'Books &amp; GAAP Bridge'!K182</f>
        <v>-501</v>
      </c>
      <c r="L288" s="67">
        <f>'Books &amp; GAAP Bridge'!L182</f>
        <v>-597.95600000000002</v>
      </c>
      <c r="M288" s="67">
        <f>'Books &amp; GAAP Bridge'!M182</f>
        <v>-717.54719999999998</v>
      </c>
      <c r="N288" s="67">
        <f>'Books &amp; GAAP Bridge'!N182</f>
        <v>-896.93399999999997</v>
      </c>
      <c r="O288" s="67">
        <f>'Books &amp; GAAP Bridge'!O182</f>
        <v>-1076.3208</v>
      </c>
      <c r="P288" s="67">
        <f>'Books &amp; GAAP Bridge'!P182</f>
        <v>-1315.5032000000001</v>
      </c>
      <c r="R288"/>
      <c r="S288"/>
      <c r="T288"/>
    </row>
    <row r="289" spans="1:20" s="3" customFormat="1" ht="15.6" outlineLevel="1" x14ac:dyDescent="0.3">
      <c r="A289" s="6"/>
      <c r="B289" s="36"/>
      <c r="C289" s="36" t="s">
        <v>134</v>
      </c>
      <c r="D289" s="36"/>
      <c r="E289" s="36"/>
      <c r="F289" s="39" t="s">
        <v>53</v>
      </c>
      <c r="G289" s="40">
        <f t="shared" ref="G289:P289" si="80">SUM(G287:G288)</f>
        <v>-977.34800000000007</v>
      </c>
      <c r="H289" s="40">
        <f t="shared" si="80"/>
        <v>-2278.2849999999999</v>
      </c>
      <c r="I289" s="40">
        <f t="shared" si="80"/>
        <v>-3375.3550000000005</v>
      </c>
      <c r="J289" s="40">
        <f t="shared" si="80"/>
        <v>-4208.91</v>
      </c>
      <c r="K289" s="40">
        <f t="shared" si="80"/>
        <v>-6225.7379999999994</v>
      </c>
      <c r="L289" s="40">
        <f t="shared" si="80"/>
        <v>-6808.4273936640502</v>
      </c>
      <c r="M289" s="40">
        <f t="shared" si="80"/>
        <v>-9261.5351150829847</v>
      </c>
      <c r="N289" s="40">
        <f t="shared" si="80"/>
        <v>-11016.424165955119</v>
      </c>
      <c r="O289" s="40">
        <f t="shared" si="80"/>
        <v>-14369.614637462149</v>
      </c>
      <c r="P289" s="40">
        <f t="shared" si="80"/>
        <v>-16688.771916022586</v>
      </c>
      <c r="R289"/>
      <c r="S289"/>
      <c r="T289"/>
    </row>
    <row r="290" spans="1:20" s="3" customFormat="1" ht="15.6" outlineLevel="1" x14ac:dyDescent="0.3">
      <c r="A290" s="6"/>
      <c r="B290" s="6"/>
      <c r="C290" s="6"/>
      <c r="D290" s="6"/>
      <c r="E290" s="6"/>
      <c r="F290" s="6"/>
      <c r="G290" s="24"/>
      <c r="H290" s="24"/>
      <c r="I290" s="24"/>
      <c r="J290" s="24"/>
      <c r="K290" s="24"/>
      <c r="L290" s="6"/>
      <c r="M290" s="6"/>
      <c r="N290" s="6"/>
      <c r="O290" s="6"/>
      <c r="P290" s="6"/>
      <c r="R290"/>
      <c r="S290"/>
      <c r="T290"/>
    </row>
    <row r="291" spans="1:20" s="3" customFormat="1" ht="15.6" outlineLevel="1" x14ac:dyDescent="0.3">
      <c r="A291" s="6"/>
      <c r="B291" s="33"/>
      <c r="C291" s="33" t="s">
        <v>135</v>
      </c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R291"/>
      <c r="S291"/>
      <c r="T291"/>
    </row>
    <row r="292" spans="1:20" s="3" customFormat="1" ht="15.6" outlineLevel="1" x14ac:dyDescent="0.3">
      <c r="A292" s="6"/>
      <c r="B292" s="6"/>
      <c r="C292" s="17" t="s">
        <v>136</v>
      </c>
      <c r="D292" s="6"/>
      <c r="E292" s="6"/>
      <c r="F292" s="18" t="s">
        <v>53</v>
      </c>
      <c r="G292" s="67">
        <f>'Books &amp; GAAP Bridge'!G186</f>
        <v>53</v>
      </c>
      <c r="H292" s="67">
        <f>'Books &amp; GAAP Bridge'!H186</f>
        <v>102</v>
      </c>
      <c r="I292" s="67">
        <f>'Books &amp; GAAP Bridge'!I186</f>
        <v>1211</v>
      </c>
      <c r="J292" s="67">
        <f>'Books &amp; GAAP Bridge'!J186</f>
        <v>2310</v>
      </c>
      <c r="K292" s="67">
        <f>'Books &amp; GAAP Bridge'!K186</f>
        <v>3123</v>
      </c>
      <c r="L292" s="67">
        <f>'Books &amp; GAAP Bridge'!L186</f>
        <v>3867.4369999999999</v>
      </c>
      <c r="M292" s="67">
        <f>'Books &amp; GAAP Bridge'!M186</f>
        <v>4198.9315999999999</v>
      </c>
      <c r="N292" s="67">
        <f>'Books &amp; GAAP Bridge'!N186</f>
        <v>4530.4261999999999</v>
      </c>
      <c r="O292" s="67">
        <f>'Books &amp; GAAP Bridge'!O186</f>
        <v>4861.9207999999999</v>
      </c>
      <c r="P292" s="67">
        <f>'Books &amp; GAAP Bridge'!P186</f>
        <v>5193.4153999999999</v>
      </c>
      <c r="R292"/>
      <c r="S292"/>
      <c r="T292"/>
    </row>
    <row r="293" spans="1:20" s="3" customFormat="1" ht="15.6" outlineLevel="1" x14ac:dyDescent="0.3">
      <c r="A293" s="6"/>
      <c r="B293" s="36"/>
      <c r="C293" s="36" t="s">
        <v>138</v>
      </c>
      <c r="D293" s="36"/>
      <c r="E293" s="36"/>
      <c r="F293" s="39" t="s">
        <v>53</v>
      </c>
      <c r="G293" s="40">
        <f t="shared" ref="G293:P293" si="81">SUM(G292)</f>
        <v>53</v>
      </c>
      <c r="H293" s="40">
        <f t="shared" si="81"/>
        <v>102</v>
      </c>
      <c r="I293" s="40">
        <f t="shared" si="81"/>
        <v>1211</v>
      </c>
      <c r="J293" s="40">
        <f t="shared" si="81"/>
        <v>2310</v>
      </c>
      <c r="K293" s="40">
        <f t="shared" si="81"/>
        <v>3123</v>
      </c>
      <c r="L293" s="40">
        <f t="shared" si="81"/>
        <v>3867.4369999999999</v>
      </c>
      <c r="M293" s="40">
        <f t="shared" si="81"/>
        <v>4198.9315999999999</v>
      </c>
      <c r="N293" s="40">
        <f t="shared" si="81"/>
        <v>4530.4261999999999</v>
      </c>
      <c r="O293" s="40">
        <f t="shared" si="81"/>
        <v>4861.9207999999999</v>
      </c>
      <c r="P293" s="40">
        <f t="shared" si="81"/>
        <v>5193.4153999999999</v>
      </c>
      <c r="R293"/>
      <c r="S293"/>
      <c r="T293"/>
    </row>
    <row r="294" spans="1:20" s="3" customFormat="1" ht="15.6" outlineLevel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R294"/>
      <c r="S294"/>
      <c r="T294"/>
    </row>
    <row r="295" spans="1:20" s="3" customFormat="1" ht="15.6" outlineLevel="1" x14ac:dyDescent="0.3">
      <c r="A295" s="6"/>
      <c r="B295" s="6"/>
      <c r="C295" s="6" t="s">
        <v>139</v>
      </c>
      <c r="D295" s="6"/>
      <c r="E295" s="6"/>
      <c r="F295" s="18" t="s">
        <v>53</v>
      </c>
      <c r="G295" s="24">
        <f t="shared" ref="G295:P295" si="82">G284+G289+G293</f>
        <v>32349.972249999995</v>
      </c>
      <c r="H295" s="24">
        <f t="shared" si="82"/>
        <v>74317.397609999956</v>
      </c>
      <c r="I295" s="24">
        <f t="shared" si="82"/>
        <v>69369.127640000093</v>
      </c>
      <c r="J295" s="24">
        <f t="shared" si="82"/>
        <v>103172.24957999997</v>
      </c>
      <c r="K295" s="24">
        <f t="shared" si="82"/>
        <v>102097.52289999997</v>
      </c>
      <c r="L295" s="24">
        <f t="shared" si="82"/>
        <v>207044.57387178004</v>
      </c>
      <c r="M295" s="24">
        <f t="shared" si="82"/>
        <v>230894.25369694407</v>
      </c>
      <c r="N295" s="24">
        <f t="shared" si="82"/>
        <v>231423.68610051146</v>
      </c>
      <c r="O295" s="24">
        <f t="shared" si="82"/>
        <v>253889.0088362816</v>
      </c>
      <c r="P295" s="24">
        <f t="shared" si="82"/>
        <v>305295.68102613784</v>
      </c>
      <c r="R295"/>
      <c r="S295"/>
      <c r="T295"/>
    </row>
    <row r="296" spans="1:20" s="3" customFormat="1" ht="15.6" outlineLevel="1" x14ac:dyDescent="0.3">
      <c r="A296" s="6"/>
      <c r="B296" s="6"/>
      <c r="C296" s="6" t="s">
        <v>140</v>
      </c>
      <c r="D296" s="6"/>
      <c r="E296" s="6"/>
      <c r="F296" s="18" t="s">
        <v>53</v>
      </c>
      <c r="G296" s="67">
        <f>'Books &amp; GAAP Bridge'!G191</f>
        <v>25766.027750000008</v>
      </c>
      <c r="H296" s="24">
        <f t="shared" ref="H296:P296" si="83">G297</f>
        <v>58116</v>
      </c>
      <c r="I296" s="24">
        <f t="shared" si="83"/>
        <v>132433.39760999996</v>
      </c>
      <c r="J296" s="24">
        <f t="shared" si="83"/>
        <v>201802.52525000006</v>
      </c>
      <c r="K296" s="24">
        <f t="shared" si="83"/>
        <v>304974.77483000001</v>
      </c>
      <c r="L296" s="24">
        <f t="shared" si="83"/>
        <v>407072.29772999999</v>
      </c>
      <c r="M296" s="24">
        <f t="shared" si="83"/>
        <v>614116.87160178006</v>
      </c>
      <c r="N296" s="24">
        <f t="shared" si="83"/>
        <v>845011.12529872416</v>
      </c>
      <c r="O296" s="24">
        <f t="shared" si="83"/>
        <v>1076434.8113992356</v>
      </c>
      <c r="P296" s="24">
        <f t="shared" si="83"/>
        <v>1330323.8202355173</v>
      </c>
      <c r="R296"/>
      <c r="S296"/>
      <c r="T296"/>
    </row>
    <row r="297" spans="1:20" s="3" customFormat="1" ht="15.6" outlineLevel="1" x14ac:dyDescent="0.3">
      <c r="A297" s="6"/>
      <c r="B297" s="6"/>
      <c r="C297" s="6" t="s">
        <v>141</v>
      </c>
      <c r="D297" s="6"/>
      <c r="E297" s="6"/>
      <c r="F297" s="18" t="s">
        <v>53</v>
      </c>
      <c r="G297" s="22">
        <f t="shared" ref="G297:P297" si="84">G295+G296</f>
        <v>58116</v>
      </c>
      <c r="H297" s="22">
        <f t="shared" si="84"/>
        <v>132433.39760999996</v>
      </c>
      <c r="I297" s="22">
        <f t="shared" si="84"/>
        <v>201802.52525000006</v>
      </c>
      <c r="J297" s="22">
        <f t="shared" si="84"/>
        <v>304974.77483000001</v>
      </c>
      <c r="K297" s="22">
        <f t="shared" si="84"/>
        <v>407072.29772999999</v>
      </c>
      <c r="L297" s="22">
        <f t="shared" si="84"/>
        <v>614116.87160178006</v>
      </c>
      <c r="M297" s="22">
        <f t="shared" si="84"/>
        <v>845011.12529872416</v>
      </c>
      <c r="N297" s="22">
        <f t="shared" si="84"/>
        <v>1076434.8113992356</v>
      </c>
      <c r="O297" s="22">
        <f t="shared" si="84"/>
        <v>1330323.8202355173</v>
      </c>
      <c r="P297" s="22">
        <f t="shared" si="84"/>
        <v>1635619.5012616552</v>
      </c>
      <c r="R297"/>
      <c r="S297"/>
      <c r="T297"/>
    </row>
  </sheetData>
  <pageMargins left="0.7" right="0.7" top="0.75" bottom="0.75" header="0.3" footer="0.3"/>
  <pageSetup scale="42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  <rowBreaks count="3" manualBreakCount="3">
    <brk id="51" max="16" man="1"/>
    <brk id="134" max="16" man="1"/>
    <brk id="16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sheetPr>
    <tabColor rgb="FF1F3864"/>
  </sheetPr>
  <dimension ref="A1:AB153"/>
  <sheetViews>
    <sheetView showGridLines="0" workbookViewId="0"/>
  </sheetViews>
  <sheetFormatPr defaultColWidth="9.109375" defaultRowHeight="15.6" outlineLevelRow="1" x14ac:dyDescent="0.3"/>
  <cols>
    <col min="1" max="1" width="3.33203125" style="4" customWidth="1"/>
    <col min="2" max="2" width="35.44140625" style="4" bestFit="1" customWidth="1"/>
    <col min="3" max="3" width="15.44140625" style="4" customWidth="1"/>
    <col min="4" max="4" width="12.6640625" style="4" customWidth="1" collapsed="1"/>
    <col min="5" max="14" width="12.6640625" style="4" customWidth="1"/>
    <col min="15" max="22" width="13.6640625" style="4" customWidth="1"/>
    <col min="23" max="23" width="13.6640625" customWidth="1"/>
    <col min="29" max="257" width="9.109375" style="4"/>
    <col min="258" max="258" width="2.6640625" style="4" customWidth="1"/>
    <col min="259" max="259" width="27.44140625" style="4" bestFit="1" customWidth="1"/>
    <col min="260" max="260" width="9.6640625" style="4" bestFit="1" customWidth="1"/>
    <col min="261" max="261" width="9.33203125" style="4" bestFit="1" customWidth="1"/>
    <col min="262" max="262" width="10" style="4" customWidth="1"/>
    <col min="263" max="263" width="9.109375" style="4"/>
    <col min="264" max="264" width="9.6640625" style="4" bestFit="1" customWidth="1"/>
    <col min="265" max="513" width="9.109375" style="4"/>
    <col min="514" max="514" width="2.6640625" style="4" customWidth="1"/>
    <col min="515" max="515" width="27.44140625" style="4" bestFit="1" customWidth="1"/>
    <col min="516" max="516" width="9.6640625" style="4" bestFit="1" customWidth="1"/>
    <col min="517" max="517" width="9.33203125" style="4" bestFit="1" customWidth="1"/>
    <col min="518" max="518" width="10" style="4" customWidth="1"/>
    <col min="519" max="519" width="9.109375" style="4"/>
    <col min="520" max="520" width="9.6640625" style="4" bestFit="1" customWidth="1"/>
    <col min="521" max="769" width="9.109375" style="4"/>
    <col min="770" max="770" width="2.6640625" style="4" customWidth="1"/>
    <col min="771" max="771" width="27.44140625" style="4" bestFit="1" customWidth="1"/>
    <col min="772" max="772" width="9.6640625" style="4" bestFit="1" customWidth="1"/>
    <col min="773" max="773" width="9.33203125" style="4" bestFit="1" customWidth="1"/>
    <col min="774" max="774" width="10" style="4" customWidth="1"/>
    <col min="775" max="775" width="9.109375" style="4"/>
    <col min="776" max="776" width="9.6640625" style="4" bestFit="1" customWidth="1"/>
    <col min="777" max="1025" width="9.109375" style="4"/>
    <col min="1026" max="1026" width="2.6640625" style="4" customWidth="1"/>
    <col min="1027" max="1027" width="27.44140625" style="4" bestFit="1" customWidth="1"/>
    <col min="1028" max="1028" width="9.6640625" style="4" bestFit="1" customWidth="1"/>
    <col min="1029" max="1029" width="9.33203125" style="4" bestFit="1" customWidth="1"/>
    <col min="1030" max="1030" width="10" style="4" customWidth="1"/>
    <col min="1031" max="1031" width="9.109375" style="4"/>
    <col min="1032" max="1032" width="9.6640625" style="4" bestFit="1" customWidth="1"/>
    <col min="1033" max="1281" width="9.109375" style="4"/>
    <col min="1282" max="1282" width="2.6640625" style="4" customWidth="1"/>
    <col min="1283" max="1283" width="27.44140625" style="4" bestFit="1" customWidth="1"/>
    <col min="1284" max="1284" width="9.6640625" style="4" bestFit="1" customWidth="1"/>
    <col min="1285" max="1285" width="9.33203125" style="4" bestFit="1" customWidth="1"/>
    <col min="1286" max="1286" width="10" style="4" customWidth="1"/>
    <col min="1287" max="1287" width="9.109375" style="4"/>
    <col min="1288" max="1288" width="9.6640625" style="4" bestFit="1" customWidth="1"/>
    <col min="1289" max="1537" width="9.109375" style="4"/>
    <col min="1538" max="1538" width="2.6640625" style="4" customWidth="1"/>
    <col min="1539" max="1539" width="27.44140625" style="4" bestFit="1" customWidth="1"/>
    <col min="1540" max="1540" width="9.6640625" style="4" bestFit="1" customWidth="1"/>
    <col min="1541" max="1541" width="9.33203125" style="4" bestFit="1" customWidth="1"/>
    <col min="1542" max="1542" width="10" style="4" customWidth="1"/>
    <col min="1543" max="1543" width="9.109375" style="4"/>
    <col min="1544" max="1544" width="9.6640625" style="4" bestFit="1" customWidth="1"/>
    <col min="1545" max="1793" width="9.109375" style="4"/>
    <col min="1794" max="1794" width="2.6640625" style="4" customWidth="1"/>
    <col min="1795" max="1795" width="27.44140625" style="4" bestFit="1" customWidth="1"/>
    <col min="1796" max="1796" width="9.6640625" style="4" bestFit="1" customWidth="1"/>
    <col min="1797" max="1797" width="9.33203125" style="4" bestFit="1" customWidth="1"/>
    <col min="1798" max="1798" width="10" style="4" customWidth="1"/>
    <col min="1799" max="1799" width="9.109375" style="4"/>
    <col min="1800" max="1800" width="9.6640625" style="4" bestFit="1" customWidth="1"/>
    <col min="1801" max="2049" width="9.109375" style="4"/>
    <col min="2050" max="2050" width="2.6640625" style="4" customWidth="1"/>
    <col min="2051" max="2051" width="27.44140625" style="4" bestFit="1" customWidth="1"/>
    <col min="2052" max="2052" width="9.6640625" style="4" bestFit="1" customWidth="1"/>
    <col min="2053" max="2053" width="9.33203125" style="4" bestFit="1" customWidth="1"/>
    <col min="2054" max="2054" width="10" style="4" customWidth="1"/>
    <col min="2055" max="2055" width="9.109375" style="4"/>
    <col min="2056" max="2056" width="9.6640625" style="4" bestFit="1" customWidth="1"/>
    <col min="2057" max="2305" width="9.109375" style="4"/>
    <col min="2306" max="2306" width="2.6640625" style="4" customWidth="1"/>
    <col min="2307" max="2307" width="27.44140625" style="4" bestFit="1" customWidth="1"/>
    <col min="2308" max="2308" width="9.6640625" style="4" bestFit="1" customWidth="1"/>
    <col min="2309" max="2309" width="9.33203125" style="4" bestFit="1" customWidth="1"/>
    <col min="2310" max="2310" width="10" style="4" customWidth="1"/>
    <col min="2311" max="2311" width="9.109375" style="4"/>
    <col min="2312" max="2312" width="9.6640625" style="4" bestFit="1" customWidth="1"/>
    <col min="2313" max="2561" width="9.109375" style="4"/>
    <col min="2562" max="2562" width="2.6640625" style="4" customWidth="1"/>
    <col min="2563" max="2563" width="27.44140625" style="4" bestFit="1" customWidth="1"/>
    <col min="2564" max="2564" width="9.6640625" style="4" bestFit="1" customWidth="1"/>
    <col min="2565" max="2565" width="9.33203125" style="4" bestFit="1" customWidth="1"/>
    <col min="2566" max="2566" width="10" style="4" customWidth="1"/>
    <col min="2567" max="2567" width="9.109375" style="4"/>
    <col min="2568" max="2568" width="9.6640625" style="4" bestFit="1" customWidth="1"/>
    <col min="2569" max="2817" width="9.109375" style="4"/>
    <col min="2818" max="2818" width="2.6640625" style="4" customWidth="1"/>
    <col min="2819" max="2819" width="27.44140625" style="4" bestFit="1" customWidth="1"/>
    <col min="2820" max="2820" width="9.6640625" style="4" bestFit="1" customWidth="1"/>
    <col min="2821" max="2821" width="9.33203125" style="4" bestFit="1" customWidth="1"/>
    <col min="2822" max="2822" width="10" style="4" customWidth="1"/>
    <col min="2823" max="2823" width="9.109375" style="4"/>
    <col min="2824" max="2824" width="9.6640625" style="4" bestFit="1" customWidth="1"/>
    <col min="2825" max="3073" width="9.109375" style="4"/>
    <col min="3074" max="3074" width="2.6640625" style="4" customWidth="1"/>
    <col min="3075" max="3075" width="27.44140625" style="4" bestFit="1" customWidth="1"/>
    <col min="3076" max="3076" width="9.6640625" style="4" bestFit="1" customWidth="1"/>
    <col min="3077" max="3077" width="9.33203125" style="4" bestFit="1" customWidth="1"/>
    <col min="3078" max="3078" width="10" style="4" customWidth="1"/>
    <col min="3079" max="3079" width="9.109375" style="4"/>
    <col min="3080" max="3080" width="9.6640625" style="4" bestFit="1" customWidth="1"/>
    <col min="3081" max="3329" width="9.109375" style="4"/>
    <col min="3330" max="3330" width="2.6640625" style="4" customWidth="1"/>
    <col min="3331" max="3331" width="27.44140625" style="4" bestFit="1" customWidth="1"/>
    <col min="3332" max="3332" width="9.6640625" style="4" bestFit="1" customWidth="1"/>
    <col min="3333" max="3333" width="9.33203125" style="4" bestFit="1" customWidth="1"/>
    <col min="3334" max="3334" width="10" style="4" customWidth="1"/>
    <col min="3335" max="3335" width="9.109375" style="4"/>
    <col min="3336" max="3336" width="9.6640625" style="4" bestFit="1" customWidth="1"/>
    <col min="3337" max="3585" width="9.109375" style="4"/>
    <col min="3586" max="3586" width="2.6640625" style="4" customWidth="1"/>
    <col min="3587" max="3587" width="27.44140625" style="4" bestFit="1" customWidth="1"/>
    <col min="3588" max="3588" width="9.6640625" style="4" bestFit="1" customWidth="1"/>
    <col min="3589" max="3589" width="9.33203125" style="4" bestFit="1" customWidth="1"/>
    <col min="3590" max="3590" width="10" style="4" customWidth="1"/>
    <col min="3591" max="3591" width="9.109375" style="4"/>
    <col min="3592" max="3592" width="9.6640625" style="4" bestFit="1" customWidth="1"/>
    <col min="3593" max="3841" width="9.109375" style="4"/>
    <col min="3842" max="3842" width="2.6640625" style="4" customWidth="1"/>
    <col min="3843" max="3843" width="27.44140625" style="4" bestFit="1" customWidth="1"/>
    <col min="3844" max="3844" width="9.6640625" style="4" bestFit="1" customWidth="1"/>
    <col min="3845" max="3845" width="9.33203125" style="4" bestFit="1" customWidth="1"/>
    <col min="3846" max="3846" width="10" style="4" customWidth="1"/>
    <col min="3847" max="3847" width="9.109375" style="4"/>
    <col min="3848" max="3848" width="9.6640625" style="4" bestFit="1" customWidth="1"/>
    <col min="3849" max="4097" width="9.109375" style="4"/>
    <col min="4098" max="4098" width="2.6640625" style="4" customWidth="1"/>
    <col min="4099" max="4099" width="27.44140625" style="4" bestFit="1" customWidth="1"/>
    <col min="4100" max="4100" width="9.6640625" style="4" bestFit="1" customWidth="1"/>
    <col min="4101" max="4101" width="9.33203125" style="4" bestFit="1" customWidth="1"/>
    <col min="4102" max="4102" width="10" style="4" customWidth="1"/>
    <col min="4103" max="4103" width="9.109375" style="4"/>
    <col min="4104" max="4104" width="9.6640625" style="4" bestFit="1" customWidth="1"/>
    <col min="4105" max="4353" width="9.109375" style="4"/>
    <col min="4354" max="4354" width="2.6640625" style="4" customWidth="1"/>
    <col min="4355" max="4355" width="27.44140625" style="4" bestFit="1" customWidth="1"/>
    <col min="4356" max="4356" width="9.6640625" style="4" bestFit="1" customWidth="1"/>
    <col min="4357" max="4357" width="9.33203125" style="4" bestFit="1" customWidth="1"/>
    <col min="4358" max="4358" width="10" style="4" customWidth="1"/>
    <col min="4359" max="4359" width="9.109375" style="4"/>
    <col min="4360" max="4360" width="9.6640625" style="4" bestFit="1" customWidth="1"/>
    <col min="4361" max="4609" width="9.109375" style="4"/>
    <col min="4610" max="4610" width="2.6640625" style="4" customWidth="1"/>
    <col min="4611" max="4611" width="27.44140625" style="4" bestFit="1" customWidth="1"/>
    <col min="4612" max="4612" width="9.6640625" style="4" bestFit="1" customWidth="1"/>
    <col min="4613" max="4613" width="9.33203125" style="4" bestFit="1" customWidth="1"/>
    <col min="4614" max="4614" width="10" style="4" customWidth="1"/>
    <col min="4615" max="4615" width="9.109375" style="4"/>
    <col min="4616" max="4616" width="9.6640625" style="4" bestFit="1" customWidth="1"/>
    <col min="4617" max="4865" width="9.109375" style="4"/>
    <col min="4866" max="4866" width="2.6640625" style="4" customWidth="1"/>
    <col min="4867" max="4867" width="27.44140625" style="4" bestFit="1" customWidth="1"/>
    <col min="4868" max="4868" width="9.6640625" style="4" bestFit="1" customWidth="1"/>
    <col min="4869" max="4869" width="9.33203125" style="4" bestFit="1" customWidth="1"/>
    <col min="4870" max="4870" width="10" style="4" customWidth="1"/>
    <col min="4871" max="4871" width="9.109375" style="4"/>
    <col min="4872" max="4872" width="9.6640625" style="4" bestFit="1" customWidth="1"/>
    <col min="4873" max="5121" width="9.109375" style="4"/>
    <col min="5122" max="5122" width="2.6640625" style="4" customWidth="1"/>
    <col min="5123" max="5123" width="27.44140625" style="4" bestFit="1" customWidth="1"/>
    <col min="5124" max="5124" width="9.6640625" style="4" bestFit="1" customWidth="1"/>
    <col min="5125" max="5125" width="9.33203125" style="4" bestFit="1" customWidth="1"/>
    <col min="5126" max="5126" width="10" style="4" customWidth="1"/>
    <col min="5127" max="5127" width="9.109375" style="4"/>
    <col min="5128" max="5128" width="9.6640625" style="4" bestFit="1" customWidth="1"/>
    <col min="5129" max="5377" width="9.109375" style="4"/>
    <col min="5378" max="5378" width="2.6640625" style="4" customWidth="1"/>
    <col min="5379" max="5379" width="27.44140625" style="4" bestFit="1" customWidth="1"/>
    <col min="5380" max="5380" width="9.6640625" style="4" bestFit="1" customWidth="1"/>
    <col min="5381" max="5381" width="9.33203125" style="4" bestFit="1" customWidth="1"/>
    <col min="5382" max="5382" width="10" style="4" customWidth="1"/>
    <col min="5383" max="5383" width="9.109375" style="4"/>
    <col min="5384" max="5384" width="9.6640625" style="4" bestFit="1" customWidth="1"/>
    <col min="5385" max="5633" width="9.109375" style="4"/>
    <col min="5634" max="5634" width="2.6640625" style="4" customWidth="1"/>
    <col min="5635" max="5635" width="27.44140625" style="4" bestFit="1" customWidth="1"/>
    <col min="5636" max="5636" width="9.6640625" style="4" bestFit="1" customWidth="1"/>
    <col min="5637" max="5637" width="9.33203125" style="4" bestFit="1" customWidth="1"/>
    <col min="5638" max="5638" width="10" style="4" customWidth="1"/>
    <col min="5639" max="5639" width="9.109375" style="4"/>
    <col min="5640" max="5640" width="9.6640625" style="4" bestFit="1" customWidth="1"/>
    <col min="5641" max="5889" width="9.109375" style="4"/>
    <col min="5890" max="5890" width="2.6640625" style="4" customWidth="1"/>
    <col min="5891" max="5891" width="27.44140625" style="4" bestFit="1" customWidth="1"/>
    <col min="5892" max="5892" width="9.6640625" style="4" bestFit="1" customWidth="1"/>
    <col min="5893" max="5893" width="9.33203125" style="4" bestFit="1" customWidth="1"/>
    <col min="5894" max="5894" width="10" style="4" customWidth="1"/>
    <col min="5895" max="5895" width="9.109375" style="4"/>
    <col min="5896" max="5896" width="9.6640625" style="4" bestFit="1" customWidth="1"/>
    <col min="5897" max="6145" width="9.109375" style="4"/>
    <col min="6146" max="6146" width="2.6640625" style="4" customWidth="1"/>
    <col min="6147" max="6147" width="27.44140625" style="4" bestFit="1" customWidth="1"/>
    <col min="6148" max="6148" width="9.6640625" style="4" bestFit="1" customWidth="1"/>
    <col min="6149" max="6149" width="9.33203125" style="4" bestFit="1" customWidth="1"/>
    <col min="6150" max="6150" width="10" style="4" customWidth="1"/>
    <col min="6151" max="6151" width="9.109375" style="4"/>
    <col min="6152" max="6152" width="9.6640625" style="4" bestFit="1" customWidth="1"/>
    <col min="6153" max="6401" width="9.109375" style="4"/>
    <col min="6402" max="6402" width="2.6640625" style="4" customWidth="1"/>
    <col min="6403" max="6403" width="27.44140625" style="4" bestFit="1" customWidth="1"/>
    <col min="6404" max="6404" width="9.6640625" style="4" bestFit="1" customWidth="1"/>
    <col min="6405" max="6405" width="9.33203125" style="4" bestFit="1" customWidth="1"/>
    <col min="6406" max="6406" width="10" style="4" customWidth="1"/>
    <col min="6407" max="6407" width="9.109375" style="4"/>
    <col min="6408" max="6408" width="9.6640625" style="4" bestFit="1" customWidth="1"/>
    <col min="6409" max="6657" width="9.109375" style="4"/>
    <col min="6658" max="6658" width="2.6640625" style="4" customWidth="1"/>
    <col min="6659" max="6659" width="27.44140625" style="4" bestFit="1" customWidth="1"/>
    <col min="6660" max="6660" width="9.6640625" style="4" bestFit="1" customWidth="1"/>
    <col min="6661" max="6661" width="9.33203125" style="4" bestFit="1" customWidth="1"/>
    <col min="6662" max="6662" width="10" style="4" customWidth="1"/>
    <col min="6663" max="6663" width="9.109375" style="4"/>
    <col min="6664" max="6664" width="9.6640625" style="4" bestFit="1" customWidth="1"/>
    <col min="6665" max="6913" width="9.109375" style="4"/>
    <col min="6914" max="6914" width="2.6640625" style="4" customWidth="1"/>
    <col min="6915" max="6915" width="27.44140625" style="4" bestFit="1" customWidth="1"/>
    <col min="6916" max="6916" width="9.6640625" style="4" bestFit="1" customWidth="1"/>
    <col min="6917" max="6917" width="9.33203125" style="4" bestFit="1" customWidth="1"/>
    <col min="6918" max="6918" width="10" style="4" customWidth="1"/>
    <col min="6919" max="6919" width="9.109375" style="4"/>
    <col min="6920" max="6920" width="9.6640625" style="4" bestFit="1" customWidth="1"/>
    <col min="6921" max="7169" width="9.109375" style="4"/>
    <col min="7170" max="7170" width="2.6640625" style="4" customWidth="1"/>
    <col min="7171" max="7171" width="27.44140625" style="4" bestFit="1" customWidth="1"/>
    <col min="7172" max="7172" width="9.6640625" style="4" bestFit="1" customWidth="1"/>
    <col min="7173" max="7173" width="9.33203125" style="4" bestFit="1" customWidth="1"/>
    <col min="7174" max="7174" width="10" style="4" customWidth="1"/>
    <col min="7175" max="7175" width="9.109375" style="4"/>
    <col min="7176" max="7176" width="9.6640625" style="4" bestFit="1" customWidth="1"/>
    <col min="7177" max="7425" width="9.109375" style="4"/>
    <col min="7426" max="7426" width="2.6640625" style="4" customWidth="1"/>
    <col min="7427" max="7427" width="27.44140625" style="4" bestFit="1" customWidth="1"/>
    <col min="7428" max="7428" width="9.6640625" style="4" bestFit="1" customWidth="1"/>
    <col min="7429" max="7429" width="9.33203125" style="4" bestFit="1" customWidth="1"/>
    <col min="7430" max="7430" width="10" style="4" customWidth="1"/>
    <col min="7431" max="7431" width="9.109375" style="4"/>
    <col min="7432" max="7432" width="9.6640625" style="4" bestFit="1" customWidth="1"/>
    <col min="7433" max="7681" width="9.109375" style="4"/>
    <col min="7682" max="7682" width="2.6640625" style="4" customWidth="1"/>
    <col min="7683" max="7683" width="27.44140625" style="4" bestFit="1" customWidth="1"/>
    <col min="7684" max="7684" width="9.6640625" style="4" bestFit="1" customWidth="1"/>
    <col min="7685" max="7685" width="9.33203125" style="4" bestFit="1" customWidth="1"/>
    <col min="7686" max="7686" width="10" style="4" customWidth="1"/>
    <col min="7687" max="7687" width="9.109375" style="4"/>
    <col min="7688" max="7688" width="9.6640625" style="4" bestFit="1" customWidth="1"/>
    <col min="7689" max="7937" width="9.109375" style="4"/>
    <col min="7938" max="7938" width="2.6640625" style="4" customWidth="1"/>
    <col min="7939" max="7939" width="27.44140625" style="4" bestFit="1" customWidth="1"/>
    <col min="7940" max="7940" width="9.6640625" style="4" bestFit="1" customWidth="1"/>
    <col min="7941" max="7941" width="9.33203125" style="4" bestFit="1" customWidth="1"/>
    <col min="7942" max="7942" width="10" style="4" customWidth="1"/>
    <col min="7943" max="7943" width="9.109375" style="4"/>
    <col min="7944" max="7944" width="9.6640625" style="4" bestFit="1" customWidth="1"/>
    <col min="7945" max="8193" width="9.109375" style="4"/>
    <col min="8194" max="8194" width="2.6640625" style="4" customWidth="1"/>
    <col min="8195" max="8195" width="27.44140625" style="4" bestFit="1" customWidth="1"/>
    <col min="8196" max="8196" width="9.6640625" style="4" bestFit="1" customWidth="1"/>
    <col min="8197" max="8197" width="9.33203125" style="4" bestFit="1" customWidth="1"/>
    <col min="8198" max="8198" width="10" style="4" customWidth="1"/>
    <col min="8199" max="8199" width="9.109375" style="4"/>
    <col min="8200" max="8200" width="9.6640625" style="4" bestFit="1" customWidth="1"/>
    <col min="8201" max="8449" width="9.109375" style="4"/>
    <col min="8450" max="8450" width="2.6640625" style="4" customWidth="1"/>
    <col min="8451" max="8451" width="27.44140625" style="4" bestFit="1" customWidth="1"/>
    <col min="8452" max="8452" width="9.6640625" style="4" bestFit="1" customWidth="1"/>
    <col min="8453" max="8453" width="9.33203125" style="4" bestFit="1" customWidth="1"/>
    <col min="8454" max="8454" width="10" style="4" customWidth="1"/>
    <col min="8455" max="8455" width="9.109375" style="4"/>
    <col min="8456" max="8456" width="9.6640625" style="4" bestFit="1" customWidth="1"/>
    <col min="8457" max="8705" width="9.109375" style="4"/>
    <col min="8706" max="8706" width="2.6640625" style="4" customWidth="1"/>
    <col min="8707" max="8707" width="27.44140625" style="4" bestFit="1" customWidth="1"/>
    <col min="8708" max="8708" width="9.6640625" style="4" bestFit="1" customWidth="1"/>
    <col min="8709" max="8709" width="9.33203125" style="4" bestFit="1" customWidth="1"/>
    <col min="8710" max="8710" width="10" style="4" customWidth="1"/>
    <col min="8711" max="8711" width="9.109375" style="4"/>
    <col min="8712" max="8712" width="9.6640625" style="4" bestFit="1" customWidth="1"/>
    <col min="8713" max="8961" width="9.109375" style="4"/>
    <col min="8962" max="8962" width="2.6640625" style="4" customWidth="1"/>
    <col min="8963" max="8963" width="27.44140625" style="4" bestFit="1" customWidth="1"/>
    <col min="8964" max="8964" width="9.6640625" style="4" bestFit="1" customWidth="1"/>
    <col min="8965" max="8965" width="9.33203125" style="4" bestFit="1" customWidth="1"/>
    <col min="8966" max="8966" width="10" style="4" customWidth="1"/>
    <col min="8967" max="8967" width="9.109375" style="4"/>
    <col min="8968" max="8968" width="9.6640625" style="4" bestFit="1" customWidth="1"/>
    <col min="8969" max="9217" width="9.109375" style="4"/>
    <col min="9218" max="9218" width="2.6640625" style="4" customWidth="1"/>
    <col min="9219" max="9219" width="27.44140625" style="4" bestFit="1" customWidth="1"/>
    <col min="9220" max="9220" width="9.6640625" style="4" bestFit="1" customWidth="1"/>
    <col min="9221" max="9221" width="9.33203125" style="4" bestFit="1" customWidth="1"/>
    <col min="9222" max="9222" width="10" style="4" customWidth="1"/>
    <col min="9223" max="9223" width="9.109375" style="4"/>
    <col min="9224" max="9224" width="9.6640625" style="4" bestFit="1" customWidth="1"/>
    <col min="9225" max="9473" width="9.109375" style="4"/>
    <col min="9474" max="9474" width="2.6640625" style="4" customWidth="1"/>
    <col min="9475" max="9475" width="27.44140625" style="4" bestFit="1" customWidth="1"/>
    <col min="9476" max="9476" width="9.6640625" style="4" bestFit="1" customWidth="1"/>
    <col min="9477" max="9477" width="9.33203125" style="4" bestFit="1" customWidth="1"/>
    <col min="9478" max="9478" width="10" style="4" customWidth="1"/>
    <col min="9479" max="9479" width="9.109375" style="4"/>
    <col min="9480" max="9480" width="9.6640625" style="4" bestFit="1" customWidth="1"/>
    <col min="9481" max="9729" width="9.109375" style="4"/>
    <col min="9730" max="9730" width="2.6640625" style="4" customWidth="1"/>
    <col min="9731" max="9731" width="27.44140625" style="4" bestFit="1" customWidth="1"/>
    <col min="9732" max="9732" width="9.6640625" style="4" bestFit="1" customWidth="1"/>
    <col min="9733" max="9733" width="9.33203125" style="4" bestFit="1" customWidth="1"/>
    <col min="9734" max="9734" width="10" style="4" customWidth="1"/>
    <col min="9735" max="9735" width="9.109375" style="4"/>
    <col min="9736" max="9736" width="9.6640625" style="4" bestFit="1" customWidth="1"/>
    <col min="9737" max="9985" width="9.109375" style="4"/>
    <col min="9986" max="9986" width="2.6640625" style="4" customWidth="1"/>
    <col min="9987" max="9987" width="27.44140625" style="4" bestFit="1" customWidth="1"/>
    <col min="9988" max="9988" width="9.6640625" style="4" bestFit="1" customWidth="1"/>
    <col min="9989" max="9989" width="9.33203125" style="4" bestFit="1" customWidth="1"/>
    <col min="9990" max="9990" width="10" style="4" customWidth="1"/>
    <col min="9991" max="9991" width="9.109375" style="4"/>
    <col min="9992" max="9992" width="9.6640625" style="4" bestFit="1" customWidth="1"/>
    <col min="9993" max="10241" width="9.109375" style="4"/>
    <col min="10242" max="10242" width="2.6640625" style="4" customWidth="1"/>
    <col min="10243" max="10243" width="27.44140625" style="4" bestFit="1" customWidth="1"/>
    <col min="10244" max="10244" width="9.6640625" style="4" bestFit="1" customWidth="1"/>
    <col min="10245" max="10245" width="9.33203125" style="4" bestFit="1" customWidth="1"/>
    <col min="10246" max="10246" width="10" style="4" customWidth="1"/>
    <col min="10247" max="10247" width="9.109375" style="4"/>
    <col min="10248" max="10248" width="9.6640625" style="4" bestFit="1" customWidth="1"/>
    <col min="10249" max="10497" width="9.109375" style="4"/>
    <col min="10498" max="10498" width="2.6640625" style="4" customWidth="1"/>
    <col min="10499" max="10499" width="27.44140625" style="4" bestFit="1" customWidth="1"/>
    <col min="10500" max="10500" width="9.6640625" style="4" bestFit="1" customWidth="1"/>
    <col min="10501" max="10501" width="9.33203125" style="4" bestFit="1" customWidth="1"/>
    <col min="10502" max="10502" width="10" style="4" customWidth="1"/>
    <col min="10503" max="10503" width="9.109375" style="4"/>
    <col min="10504" max="10504" width="9.6640625" style="4" bestFit="1" customWidth="1"/>
    <col min="10505" max="10753" width="9.109375" style="4"/>
    <col min="10754" max="10754" width="2.6640625" style="4" customWidth="1"/>
    <col min="10755" max="10755" width="27.44140625" style="4" bestFit="1" customWidth="1"/>
    <col min="10756" max="10756" width="9.6640625" style="4" bestFit="1" customWidth="1"/>
    <col min="10757" max="10757" width="9.33203125" style="4" bestFit="1" customWidth="1"/>
    <col min="10758" max="10758" width="10" style="4" customWidth="1"/>
    <col min="10759" max="10759" width="9.109375" style="4"/>
    <col min="10760" max="10760" width="9.6640625" style="4" bestFit="1" customWidth="1"/>
    <col min="10761" max="11009" width="9.109375" style="4"/>
    <col min="11010" max="11010" width="2.6640625" style="4" customWidth="1"/>
    <col min="11011" max="11011" width="27.44140625" style="4" bestFit="1" customWidth="1"/>
    <col min="11012" max="11012" width="9.6640625" style="4" bestFit="1" customWidth="1"/>
    <col min="11013" max="11013" width="9.33203125" style="4" bestFit="1" customWidth="1"/>
    <col min="11014" max="11014" width="10" style="4" customWidth="1"/>
    <col min="11015" max="11015" width="9.109375" style="4"/>
    <col min="11016" max="11016" width="9.6640625" style="4" bestFit="1" customWidth="1"/>
    <col min="11017" max="11265" width="9.109375" style="4"/>
    <col min="11266" max="11266" width="2.6640625" style="4" customWidth="1"/>
    <col min="11267" max="11267" width="27.44140625" style="4" bestFit="1" customWidth="1"/>
    <col min="11268" max="11268" width="9.6640625" style="4" bestFit="1" customWidth="1"/>
    <col min="11269" max="11269" width="9.33203125" style="4" bestFit="1" customWidth="1"/>
    <col min="11270" max="11270" width="10" style="4" customWidth="1"/>
    <col min="11271" max="11271" width="9.109375" style="4"/>
    <col min="11272" max="11272" width="9.6640625" style="4" bestFit="1" customWidth="1"/>
    <col min="11273" max="11521" width="9.109375" style="4"/>
    <col min="11522" max="11522" width="2.6640625" style="4" customWidth="1"/>
    <col min="11523" max="11523" width="27.44140625" style="4" bestFit="1" customWidth="1"/>
    <col min="11524" max="11524" width="9.6640625" style="4" bestFit="1" customWidth="1"/>
    <col min="11525" max="11525" width="9.33203125" style="4" bestFit="1" customWidth="1"/>
    <col min="11526" max="11526" width="10" style="4" customWidth="1"/>
    <col min="11527" max="11527" width="9.109375" style="4"/>
    <col min="11528" max="11528" width="9.6640625" style="4" bestFit="1" customWidth="1"/>
    <col min="11529" max="11777" width="9.109375" style="4"/>
    <col min="11778" max="11778" width="2.6640625" style="4" customWidth="1"/>
    <col min="11779" max="11779" width="27.44140625" style="4" bestFit="1" customWidth="1"/>
    <col min="11780" max="11780" width="9.6640625" style="4" bestFit="1" customWidth="1"/>
    <col min="11781" max="11781" width="9.33203125" style="4" bestFit="1" customWidth="1"/>
    <col min="11782" max="11782" width="10" style="4" customWidth="1"/>
    <col min="11783" max="11783" width="9.109375" style="4"/>
    <col min="11784" max="11784" width="9.6640625" style="4" bestFit="1" customWidth="1"/>
    <col min="11785" max="12033" width="9.109375" style="4"/>
    <col min="12034" max="12034" width="2.6640625" style="4" customWidth="1"/>
    <col min="12035" max="12035" width="27.44140625" style="4" bestFit="1" customWidth="1"/>
    <col min="12036" max="12036" width="9.6640625" style="4" bestFit="1" customWidth="1"/>
    <col min="12037" max="12037" width="9.33203125" style="4" bestFit="1" customWidth="1"/>
    <col min="12038" max="12038" width="10" style="4" customWidth="1"/>
    <col min="12039" max="12039" width="9.109375" style="4"/>
    <col min="12040" max="12040" width="9.6640625" style="4" bestFit="1" customWidth="1"/>
    <col min="12041" max="12289" width="9.109375" style="4"/>
    <col min="12290" max="12290" width="2.6640625" style="4" customWidth="1"/>
    <col min="12291" max="12291" width="27.44140625" style="4" bestFit="1" customWidth="1"/>
    <col min="12292" max="12292" width="9.6640625" style="4" bestFit="1" customWidth="1"/>
    <col min="12293" max="12293" width="9.33203125" style="4" bestFit="1" customWidth="1"/>
    <col min="12294" max="12294" width="10" style="4" customWidth="1"/>
    <col min="12295" max="12295" width="9.109375" style="4"/>
    <col min="12296" max="12296" width="9.6640625" style="4" bestFit="1" customWidth="1"/>
    <col min="12297" max="12545" width="9.109375" style="4"/>
    <col min="12546" max="12546" width="2.6640625" style="4" customWidth="1"/>
    <col min="12547" max="12547" width="27.44140625" style="4" bestFit="1" customWidth="1"/>
    <col min="12548" max="12548" width="9.6640625" style="4" bestFit="1" customWidth="1"/>
    <col min="12549" max="12549" width="9.33203125" style="4" bestFit="1" customWidth="1"/>
    <col min="12550" max="12550" width="10" style="4" customWidth="1"/>
    <col min="12551" max="12551" width="9.109375" style="4"/>
    <col min="12552" max="12552" width="9.6640625" style="4" bestFit="1" customWidth="1"/>
    <col min="12553" max="12801" width="9.109375" style="4"/>
    <col min="12802" max="12802" width="2.6640625" style="4" customWidth="1"/>
    <col min="12803" max="12803" width="27.44140625" style="4" bestFit="1" customWidth="1"/>
    <col min="12804" max="12804" width="9.6640625" style="4" bestFit="1" customWidth="1"/>
    <col min="12805" max="12805" width="9.33203125" style="4" bestFit="1" customWidth="1"/>
    <col min="12806" max="12806" width="10" style="4" customWidth="1"/>
    <col min="12807" max="12807" width="9.109375" style="4"/>
    <col min="12808" max="12808" width="9.6640625" style="4" bestFit="1" customWidth="1"/>
    <col min="12809" max="13057" width="9.109375" style="4"/>
    <col min="13058" max="13058" width="2.6640625" style="4" customWidth="1"/>
    <col min="13059" max="13059" width="27.44140625" style="4" bestFit="1" customWidth="1"/>
    <col min="13060" max="13060" width="9.6640625" style="4" bestFit="1" customWidth="1"/>
    <col min="13061" max="13061" width="9.33203125" style="4" bestFit="1" customWidth="1"/>
    <col min="13062" max="13062" width="10" style="4" customWidth="1"/>
    <col min="13063" max="13063" width="9.109375" style="4"/>
    <col min="13064" max="13064" width="9.6640625" style="4" bestFit="1" customWidth="1"/>
    <col min="13065" max="13313" width="9.109375" style="4"/>
    <col min="13314" max="13314" width="2.6640625" style="4" customWidth="1"/>
    <col min="13315" max="13315" width="27.44140625" style="4" bestFit="1" customWidth="1"/>
    <col min="13316" max="13316" width="9.6640625" style="4" bestFit="1" customWidth="1"/>
    <col min="13317" max="13317" width="9.33203125" style="4" bestFit="1" customWidth="1"/>
    <col min="13318" max="13318" width="10" style="4" customWidth="1"/>
    <col min="13319" max="13319" width="9.109375" style="4"/>
    <col min="13320" max="13320" width="9.6640625" style="4" bestFit="1" customWidth="1"/>
    <col min="13321" max="13569" width="9.109375" style="4"/>
    <col min="13570" max="13570" width="2.6640625" style="4" customWidth="1"/>
    <col min="13571" max="13571" width="27.44140625" style="4" bestFit="1" customWidth="1"/>
    <col min="13572" max="13572" width="9.6640625" style="4" bestFit="1" customWidth="1"/>
    <col min="13573" max="13573" width="9.33203125" style="4" bestFit="1" customWidth="1"/>
    <col min="13574" max="13574" width="10" style="4" customWidth="1"/>
    <col min="13575" max="13575" width="9.109375" style="4"/>
    <col min="13576" max="13576" width="9.6640625" style="4" bestFit="1" customWidth="1"/>
    <col min="13577" max="13825" width="9.109375" style="4"/>
    <col min="13826" max="13826" width="2.6640625" style="4" customWidth="1"/>
    <col min="13827" max="13827" width="27.44140625" style="4" bestFit="1" customWidth="1"/>
    <col min="13828" max="13828" width="9.6640625" style="4" bestFit="1" customWidth="1"/>
    <col min="13829" max="13829" width="9.33203125" style="4" bestFit="1" customWidth="1"/>
    <col min="13830" max="13830" width="10" style="4" customWidth="1"/>
    <col min="13831" max="13831" width="9.109375" style="4"/>
    <col min="13832" max="13832" width="9.6640625" style="4" bestFit="1" customWidth="1"/>
    <col min="13833" max="14081" width="9.109375" style="4"/>
    <col min="14082" max="14082" width="2.6640625" style="4" customWidth="1"/>
    <col min="14083" max="14083" width="27.44140625" style="4" bestFit="1" customWidth="1"/>
    <col min="14084" max="14084" width="9.6640625" style="4" bestFit="1" customWidth="1"/>
    <col min="14085" max="14085" width="9.33203125" style="4" bestFit="1" customWidth="1"/>
    <col min="14086" max="14086" width="10" style="4" customWidth="1"/>
    <col min="14087" max="14087" width="9.109375" style="4"/>
    <col min="14088" max="14088" width="9.6640625" style="4" bestFit="1" customWidth="1"/>
    <col min="14089" max="14337" width="9.109375" style="4"/>
    <col min="14338" max="14338" width="2.6640625" style="4" customWidth="1"/>
    <col min="14339" max="14339" width="27.44140625" style="4" bestFit="1" customWidth="1"/>
    <col min="14340" max="14340" width="9.6640625" style="4" bestFit="1" customWidth="1"/>
    <col min="14341" max="14341" width="9.33203125" style="4" bestFit="1" customWidth="1"/>
    <col min="14342" max="14342" width="10" style="4" customWidth="1"/>
    <col min="14343" max="14343" width="9.109375" style="4"/>
    <col min="14344" max="14344" width="9.6640625" style="4" bestFit="1" customWidth="1"/>
    <col min="14345" max="14593" width="9.109375" style="4"/>
    <col min="14594" max="14594" width="2.6640625" style="4" customWidth="1"/>
    <col min="14595" max="14595" width="27.44140625" style="4" bestFit="1" customWidth="1"/>
    <col min="14596" max="14596" width="9.6640625" style="4" bestFit="1" customWidth="1"/>
    <col min="14597" max="14597" width="9.33203125" style="4" bestFit="1" customWidth="1"/>
    <col min="14598" max="14598" width="10" style="4" customWidth="1"/>
    <col min="14599" max="14599" width="9.109375" style="4"/>
    <col min="14600" max="14600" width="9.6640625" style="4" bestFit="1" customWidth="1"/>
    <col min="14601" max="14849" width="9.109375" style="4"/>
    <col min="14850" max="14850" width="2.6640625" style="4" customWidth="1"/>
    <col min="14851" max="14851" width="27.44140625" style="4" bestFit="1" customWidth="1"/>
    <col min="14852" max="14852" width="9.6640625" style="4" bestFit="1" customWidth="1"/>
    <col min="14853" max="14853" width="9.33203125" style="4" bestFit="1" customWidth="1"/>
    <col min="14854" max="14854" width="10" style="4" customWidth="1"/>
    <col min="14855" max="14855" width="9.109375" style="4"/>
    <col min="14856" max="14856" width="9.6640625" style="4" bestFit="1" customWidth="1"/>
    <col min="14857" max="15105" width="9.109375" style="4"/>
    <col min="15106" max="15106" width="2.6640625" style="4" customWidth="1"/>
    <col min="15107" max="15107" width="27.44140625" style="4" bestFit="1" customWidth="1"/>
    <col min="15108" max="15108" width="9.6640625" style="4" bestFit="1" customWidth="1"/>
    <col min="15109" max="15109" width="9.33203125" style="4" bestFit="1" customWidth="1"/>
    <col min="15110" max="15110" width="10" style="4" customWidth="1"/>
    <col min="15111" max="15111" width="9.109375" style="4"/>
    <col min="15112" max="15112" width="9.6640625" style="4" bestFit="1" customWidth="1"/>
    <col min="15113" max="15361" width="9.109375" style="4"/>
    <col min="15362" max="15362" width="2.6640625" style="4" customWidth="1"/>
    <col min="15363" max="15363" width="27.44140625" style="4" bestFit="1" customWidth="1"/>
    <col min="15364" max="15364" width="9.6640625" style="4" bestFit="1" customWidth="1"/>
    <col min="15365" max="15365" width="9.33203125" style="4" bestFit="1" customWidth="1"/>
    <col min="15366" max="15366" width="10" style="4" customWidth="1"/>
    <col min="15367" max="15367" width="9.109375" style="4"/>
    <col min="15368" max="15368" width="9.6640625" style="4" bestFit="1" customWidth="1"/>
    <col min="15369" max="15617" width="9.109375" style="4"/>
    <col min="15618" max="15618" width="2.6640625" style="4" customWidth="1"/>
    <col min="15619" max="15619" width="27.44140625" style="4" bestFit="1" customWidth="1"/>
    <col min="15620" max="15620" width="9.6640625" style="4" bestFit="1" customWidth="1"/>
    <col min="15621" max="15621" width="9.33203125" style="4" bestFit="1" customWidth="1"/>
    <col min="15622" max="15622" width="10" style="4" customWidth="1"/>
    <col min="15623" max="15623" width="9.109375" style="4"/>
    <col min="15624" max="15624" width="9.6640625" style="4" bestFit="1" customWidth="1"/>
    <col min="15625" max="15873" width="9.109375" style="4"/>
    <col min="15874" max="15874" width="2.6640625" style="4" customWidth="1"/>
    <col min="15875" max="15875" width="27.44140625" style="4" bestFit="1" customWidth="1"/>
    <col min="15876" max="15876" width="9.6640625" style="4" bestFit="1" customWidth="1"/>
    <col min="15877" max="15877" width="9.33203125" style="4" bestFit="1" customWidth="1"/>
    <col min="15878" max="15878" width="10" style="4" customWidth="1"/>
    <col min="15879" max="15879" width="9.109375" style="4"/>
    <col min="15880" max="15880" width="9.6640625" style="4" bestFit="1" customWidth="1"/>
    <col min="15881" max="16129" width="9.109375" style="4"/>
    <col min="16130" max="16130" width="2.6640625" style="4" customWidth="1"/>
    <col min="16131" max="16131" width="27.44140625" style="4" bestFit="1" customWidth="1"/>
    <col min="16132" max="16132" width="9.6640625" style="4" bestFit="1" customWidth="1"/>
    <col min="16133" max="16133" width="9.33203125" style="4" bestFit="1" customWidth="1"/>
    <col min="16134" max="16134" width="10" style="4" customWidth="1"/>
    <col min="16135" max="16135" width="9.109375" style="4"/>
    <col min="16136" max="16136" width="9.6640625" style="4" bestFit="1" customWidth="1"/>
    <col min="16137" max="16384" width="9.109375" style="4"/>
  </cols>
  <sheetData>
    <row r="1" spans="1:22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8.75" customHeight="1" x14ac:dyDescent="0.35">
      <c r="A2" s="78"/>
      <c r="B2" s="165" t="str">
        <f>"Private Company WACC Analysis - "&amp;Company_Name</f>
        <v>Private Company WACC Analysis - Fennmark Media Partners LLC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customHeight="1" x14ac:dyDescent="0.3">
      <c r="A3" s="78"/>
      <c r="B3" s="150" t="str">
        <f>'Books &amp; GAAP Bridge'!$B$196</f>
        <v>(USD, as stated)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1:22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</row>
    <row r="5" spans="1:22" ht="15.75" customHeight="1" x14ac:dyDescent="0.3">
      <c r="A5" s="78"/>
      <c r="B5" s="130" t="s">
        <v>227</v>
      </c>
      <c r="C5" s="130"/>
      <c r="D5" s="130"/>
      <c r="E5" s="130"/>
      <c r="F5" s="130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2" ht="15.75" customHeight="1" x14ac:dyDescent="0.3">
      <c r="A6" s="78"/>
      <c r="B6" s="80" t="s">
        <v>228</v>
      </c>
      <c r="C6" s="80"/>
      <c r="D6" s="78"/>
      <c r="E6" s="78"/>
      <c r="F6" s="162">
        <v>2.0767873499999999E-2</v>
      </c>
      <c r="G6" s="131"/>
      <c r="H6" s="131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 spans="1:22" ht="15.75" customHeight="1" x14ac:dyDescent="0.3">
      <c r="A7" s="78"/>
      <c r="B7" s="80" t="s">
        <v>229</v>
      </c>
      <c r="C7" s="80"/>
      <c r="D7" s="78"/>
      <c r="E7" s="78"/>
      <c r="F7" s="163">
        <v>6.8048609999999995E-2</v>
      </c>
      <c r="G7" s="131"/>
      <c r="H7" s="131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</row>
    <row r="8" spans="1:22" ht="15.75" customHeight="1" x14ac:dyDescent="0.3">
      <c r="A8" s="78"/>
      <c r="B8" s="80" t="s">
        <v>230</v>
      </c>
      <c r="C8" s="80"/>
      <c r="D8" s="78"/>
      <c r="E8" s="78"/>
      <c r="F8" s="132">
        <f>Risk_Free_Rate+0.4%</f>
        <v>2.4767873499999999E-2</v>
      </c>
      <c r="G8" s="131"/>
      <c r="H8" s="131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 spans="1:22" ht="15.75" customHeight="1" x14ac:dyDescent="0.3">
      <c r="A9" s="78"/>
      <c r="B9" s="80" t="s">
        <v>231</v>
      </c>
      <c r="C9" s="80"/>
      <c r="D9" s="78"/>
      <c r="E9" s="78"/>
      <c r="F9" s="163">
        <v>0</v>
      </c>
      <c r="G9" s="131"/>
      <c r="H9" s="131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</row>
    <row r="10" spans="1:22" ht="15.75" customHeight="1" x14ac:dyDescent="0.3">
      <c r="A10" s="78"/>
      <c r="B10" s="78" t="s">
        <v>232</v>
      </c>
      <c r="C10" s="78"/>
      <c r="D10" s="78"/>
      <c r="E10" s="78"/>
      <c r="F10" s="163">
        <v>0.17644831959999999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</row>
    <row r="11" spans="1:22" ht="15.75" customHeight="1" x14ac:dyDescent="0.3">
      <c r="A11" s="78"/>
      <c r="B11" s="78" t="s">
        <v>233</v>
      </c>
      <c r="C11" s="78"/>
      <c r="D11" s="78"/>
      <c r="E11" s="78"/>
      <c r="F11" s="163">
        <v>0.27213850000000001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spans="1:22" x14ac:dyDescent="0.3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2" ht="15.75" customHeight="1" x14ac:dyDescent="0.3">
      <c r="A13" s="78"/>
      <c r="B13" s="80" t="s">
        <v>234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78"/>
      <c r="N13" s="78"/>
      <c r="O13" s="78"/>
      <c r="P13" s="78"/>
      <c r="Q13" s="78"/>
      <c r="R13" s="78"/>
      <c r="S13" s="78"/>
      <c r="T13" s="78"/>
      <c r="U13" s="78"/>
      <c r="V13" s="78"/>
    </row>
    <row r="14" spans="1:22" ht="15.75" customHeight="1" x14ac:dyDescent="0.3">
      <c r="A14" s="78"/>
      <c r="B14" s="80"/>
      <c r="C14" s="80"/>
      <c r="D14" s="133" t="s">
        <v>235</v>
      </c>
      <c r="E14" s="133"/>
      <c r="F14" s="133"/>
      <c r="G14" s="133" t="s">
        <v>236</v>
      </c>
      <c r="H14" s="133"/>
      <c r="I14" s="133" t="s">
        <v>237</v>
      </c>
      <c r="J14" s="133"/>
      <c r="K14" s="133"/>
      <c r="L14" s="133" t="s">
        <v>238</v>
      </c>
      <c r="M14" s="78"/>
      <c r="N14" s="78"/>
      <c r="O14" s="78"/>
      <c r="P14" s="78"/>
      <c r="Q14" s="78"/>
      <c r="R14" s="78"/>
      <c r="S14" s="78"/>
      <c r="T14" s="78"/>
      <c r="U14" s="78"/>
      <c r="V14" s="78"/>
    </row>
    <row r="15" spans="1:22" ht="15.75" customHeight="1" x14ac:dyDescent="0.3">
      <c r="A15" s="78"/>
      <c r="B15" s="134" t="s">
        <v>239</v>
      </c>
      <c r="C15" s="134" t="s">
        <v>240</v>
      </c>
      <c r="D15" s="135" t="s">
        <v>241</v>
      </c>
      <c r="E15" s="135" t="s">
        <v>242</v>
      </c>
      <c r="F15" s="135" t="s">
        <v>243</v>
      </c>
      <c r="G15" s="135" t="s">
        <v>244</v>
      </c>
      <c r="H15" s="135" t="s">
        <v>245</v>
      </c>
      <c r="I15" s="135" t="s">
        <v>246</v>
      </c>
      <c r="J15" s="135" t="s">
        <v>247</v>
      </c>
      <c r="K15" s="135" t="s">
        <v>248</v>
      </c>
      <c r="L15" s="135" t="s">
        <v>241</v>
      </c>
      <c r="M15" s="78"/>
      <c r="N15" s="78"/>
      <c r="O15" s="78"/>
      <c r="P15" s="78"/>
      <c r="Q15" s="78"/>
      <c r="R15" s="78"/>
      <c r="S15" s="78"/>
      <c r="T15" s="78"/>
      <c r="U15" s="78"/>
      <c r="V15" s="78"/>
    </row>
    <row r="16" spans="1:22" ht="15.75" customHeight="1" x14ac:dyDescent="0.3">
      <c r="A16" s="78"/>
      <c r="B16" s="151" t="str">
        <f>'Trading Comps'!B8</f>
        <v>Corvane Broadcasting Inc</v>
      </c>
      <c r="C16" s="151" t="str">
        <f>'Trading Comps'!C8</f>
        <v>NYSE:CRVB</v>
      </c>
      <c r="D16" s="152">
        <f>'Trading Comps'!U8</f>
        <v>0.32</v>
      </c>
      <c r="E16" s="153">
        <f>'Trading Comps'!F8</f>
        <v>522.4</v>
      </c>
      <c r="F16" s="137">
        <f t="shared" ref="F16:F21" si="0">E16/($E16+$G16+$I16)</f>
        <v>0.21347739515895869</v>
      </c>
      <c r="G16" s="153">
        <f>'Trading Comps'!G8</f>
        <v>0</v>
      </c>
      <c r="H16" s="137">
        <f t="shared" ref="H16:H21" si="1">G16/($E16+$G16+$I16)</f>
        <v>0</v>
      </c>
      <c r="I16" s="153">
        <f>'Trading Comps'!E8</f>
        <v>1924.6975000000002</v>
      </c>
      <c r="J16" s="137">
        <f t="shared" ref="J16:J21" si="2">I16/($E16+$G16+$I16)</f>
        <v>0.78652260484104131</v>
      </c>
      <c r="K16" s="164">
        <v>0.4</v>
      </c>
      <c r="L16" s="138">
        <f t="shared" ref="L16:L21" si="3">IFERROR(D16/(1+(E16/I16)*(1-K16)+G16/I16),"N/A")</f>
        <v>0.27518559516562319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</row>
    <row r="17" spans="1:22" ht="15.75" customHeight="1" x14ac:dyDescent="0.3">
      <c r="A17" s="78"/>
      <c r="B17" s="151" t="str">
        <f>'Trading Comps'!B9</f>
        <v>Emberwyck Broadcasting Inc</v>
      </c>
      <c r="C17" s="151" t="str">
        <f>'Trading Comps'!C9</f>
        <v>NASDAQ:EMBW</v>
      </c>
      <c r="D17" s="152">
        <f>'Trading Comps'!U9</f>
        <v>1.55</v>
      </c>
      <c r="E17" s="154">
        <f>'Trading Comps'!F9</f>
        <v>118.75</v>
      </c>
      <c r="F17" s="137">
        <f t="shared" si="0"/>
        <v>0.15034271809505964</v>
      </c>
      <c r="G17" s="154">
        <f>'Trading Comps'!G9</f>
        <v>0</v>
      </c>
      <c r="H17" s="137">
        <f t="shared" si="1"/>
        <v>0</v>
      </c>
      <c r="I17" s="154">
        <f>'Trading Comps'!E9</f>
        <v>671.11200000000008</v>
      </c>
      <c r="J17" s="137">
        <f t="shared" si="2"/>
        <v>0.84965728190494039</v>
      </c>
      <c r="K17" s="164">
        <v>0.4</v>
      </c>
      <c r="L17" s="138">
        <f t="shared" si="3"/>
        <v>1.4012349770058272</v>
      </c>
      <c r="M17" s="78"/>
      <c r="N17" s="78"/>
      <c r="O17" s="78"/>
      <c r="P17" s="78"/>
      <c r="Q17" s="78"/>
      <c r="R17" s="78"/>
      <c r="S17" s="78"/>
      <c r="T17" s="78"/>
      <c r="U17" s="78"/>
      <c r="V17" s="78"/>
    </row>
    <row r="18" spans="1:22" ht="15.75" customHeight="1" x14ac:dyDescent="0.3">
      <c r="A18" s="78"/>
      <c r="B18" s="151" t="str">
        <f>'Trading Comps'!B10</f>
        <v>Quillhaven Publishing Corp</v>
      </c>
      <c r="C18" s="151" t="str">
        <f>'Trading Comps'!C10</f>
        <v>NASDAQ:QLHV</v>
      </c>
      <c r="D18" s="152">
        <f>'Trading Comps'!U10</f>
        <v>1.1100000000000001</v>
      </c>
      <c r="E18" s="154">
        <f>'Trading Comps'!F10</f>
        <v>0</v>
      </c>
      <c r="F18" s="137">
        <f t="shared" si="0"/>
        <v>0</v>
      </c>
      <c r="G18" s="154">
        <f>'Trading Comps'!G10</f>
        <v>0</v>
      </c>
      <c r="H18" s="137">
        <f t="shared" si="1"/>
        <v>0</v>
      </c>
      <c r="I18" s="154">
        <f>'Trading Comps'!E10</f>
        <v>800.49600000000009</v>
      </c>
      <c r="J18" s="137">
        <f t="shared" si="2"/>
        <v>1</v>
      </c>
      <c r="K18" s="164">
        <v>0.4</v>
      </c>
      <c r="L18" s="138">
        <f t="shared" si="3"/>
        <v>1.1100000000000001</v>
      </c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 spans="1:22" ht="15.75" customHeight="1" x14ac:dyDescent="0.3">
      <c r="A19" s="78"/>
      <c r="B19" s="151" t="str">
        <f>'Trading Comps'!B11</f>
        <v>Vantablu Streaming, Inc.</v>
      </c>
      <c r="C19" s="151" t="str">
        <f>'Trading Comps'!C11</f>
        <v>NASDAQ:VNBU</v>
      </c>
      <c r="D19" s="152">
        <f>'Trading Comps'!U11</f>
        <v>1.1499999999999999</v>
      </c>
      <c r="E19" s="154">
        <f>'Trading Comps'!F11</f>
        <v>0</v>
      </c>
      <c r="F19" s="137">
        <f t="shared" si="0"/>
        <v>0</v>
      </c>
      <c r="G19" s="154">
        <f>'Trading Comps'!G11</f>
        <v>0</v>
      </c>
      <c r="H19" s="137">
        <f t="shared" si="1"/>
        <v>0</v>
      </c>
      <c r="I19" s="154">
        <f>'Trading Comps'!E11</f>
        <v>595.12480000000005</v>
      </c>
      <c r="J19" s="137">
        <f t="shared" si="2"/>
        <v>1</v>
      </c>
      <c r="K19" s="164">
        <v>0.4</v>
      </c>
      <c r="L19" s="138">
        <f t="shared" si="3"/>
        <v>1.1499999999999999</v>
      </c>
      <c r="M19" s="78"/>
      <c r="N19" s="78"/>
      <c r="O19" s="78"/>
      <c r="P19" s="78"/>
      <c r="Q19" s="78"/>
      <c r="R19" s="78"/>
      <c r="S19" s="78"/>
      <c r="T19" s="78"/>
      <c r="U19" s="78"/>
      <c r="V19" s="78"/>
    </row>
    <row r="20" spans="1:22" ht="15.75" customHeight="1" x14ac:dyDescent="0.3">
      <c r="A20" s="78"/>
      <c r="B20" s="151" t="str">
        <f>'Trading Comps'!B12</f>
        <v>Driftwater Networks Corp</v>
      </c>
      <c r="C20" s="151" t="str">
        <f>'Trading Comps'!C12</f>
        <v>NASDAQ:DFWN</v>
      </c>
      <c r="D20" s="152">
        <f>'Trading Comps'!U12</f>
        <v>2.11</v>
      </c>
      <c r="E20" s="154">
        <f>'Trading Comps'!F12</f>
        <v>43.903999999999989</v>
      </c>
      <c r="F20" s="137">
        <f t="shared" si="0"/>
        <v>0.45348813188175258</v>
      </c>
      <c r="G20" s="154">
        <f>'Trading Comps'!G12</f>
        <v>0</v>
      </c>
      <c r="H20" s="137">
        <f t="shared" si="1"/>
        <v>0</v>
      </c>
      <c r="I20" s="154">
        <f>'Trading Comps'!E12</f>
        <v>52.910000000000004</v>
      </c>
      <c r="J20" s="137">
        <f t="shared" si="2"/>
        <v>0.54651186811824748</v>
      </c>
      <c r="K20" s="164">
        <v>0.4</v>
      </c>
      <c r="L20" s="138">
        <f t="shared" si="3"/>
        <v>1.4086652265420354</v>
      </c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1" spans="1:22" ht="15.75" customHeight="1" x14ac:dyDescent="0.3">
      <c r="A21" s="78"/>
      <c r="B21" s="151" t="str">
        <f>'Trading Comps'!B13</f>
        <v>Hollowmere Broadcast Group Inc</v>
      </c>
      <c r="C21" s="151" t="str">
        <f>'Trading Comps'!C13</f>
        <v>NASDAQ:HWMB</v>
      </c>
      <c r="D21" s="152">
        <f>'Trading Comps'!U13</f>
        <v>1.25</v>
      </c>
      <c r="E21" s="154">
        <f>'Trading Comps'!F13</f>
        <v>12.302999999999999</v>
      </c>
      <c r="F21" s="137">
        <f t="shared" si="0"/>
        <v>0.13034247344522396</v>
      </c>
      <c r="G21" s="154">
        <f>'Trading Comps'!G13</f>
        <v>0</v>
      </c>
      <c r="H21" s="137">
        <f t="shared" si="1"/>
        <v>0</v>
      </c>
      <c r="I21" s="154">
        <f>'Trading Comps'!E13</f>
        <v>82.086799999999997</v>
      </c>
      <c r="J21" s="137">
        <f t="shared" si="2"/>
        <v>0.86965752655477602</v>
      </c>
      <c r="K21" s="164">
        <v>0.4</v>
      </c>
      <c r="L21" s="138">
        <f t="shared" si="3"/>
        <v>1.1468660513297402</v>
      </c>
      <c r="M21" s="78"/>
      <c r="N21" s="78"/>
      <c r="O21" s="78"/>
      <c r="P21" s="78"/>
      <c r="Q21" s="78"/>
      <c r="R21" s="78"/>
      <c r="S21" s="78"/>
      <c r="T21" s="78"/>
      <c r="U21" s="78"/>
      <c r="V21" s="78"/>
    </row>
    <row r="22" spans="1:22" ht="15.75" customHeight="1" x14ac:dyDescent="0.3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</row>
    <row r="23" spans="1:22" ht="15.75" customHeight="1" x14ac:dyDescent="0.3">
      <c r="A23" s="78"/>
      <c r="B23" s="139" t="s">
        <v>261</v>
      </c>
      <c r="C23" s="140"/>
      <c r="D23" s="141">
        <f t="shared" ref="D23:L23" si="4">MEDIAN(D16:D21)</f>
        <v>1.2</v>
      </c>
      <c r="E23" s="142">
        <f t="shared" si="4"/>
        <v>28.103499999999997</v>
      </c>
      <c r="F23" s="143">
        <f t="shared" si="4"/>
        <v>0.1403425957701418</v>
      </c>
      <c r="G23" s="142">
        <f t="shared" si="4"/>
        <v>0</v>
      </c>
      <c r="H23" s="143">
        <f t="shared" si="4"/>
        <v>0</v>
      </c>
      <c r="I23" s="142">
        <f t="shared" si="4"/>
        <v>633.11840000000007</v>
      </c>
      <c r="J23" s="143">
        <f t="shared" si="4"/>
        <v>0.85965740422985815</v>
      </c>
      <c r="K23" s="143">
        <f t="shared" si="4"/>
        <v>0.4</v>
      </c>
      <c r="L23" s="144">
        <f t="shared" si="4"/>
        <v>1.14843302566487</v>
      </c>
      <c r="M23" s="78"/>
      <c r="N23" s="78"/>
      <c r="O23" s="78"/>
      <c r="P23" s="78"/>
      <c r="Q23" s="78"/>
      <c r="R23" s="78"/>
      <c r="S23" s="78"/>
      <c r="T23" s="78"/>
      <c r="U23" s="78"/>
      <c r="V23" s="78"/>
    </row>
    <row r="24" spans="1:22" ht="15.75" customHeight="1" x14ac:dyDescent="0.3">
      <c r="A24" s="78"/>
      <c r="B24" s="145" t="s">
        <v>262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46">
        <f>L23/SQRT(Market_Correlation)*(1-Buyer_Diversification)</f>
        <v>1.989966007309107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</row>
    <row r="25" spans="1:22" ht="15.75" customHeigh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</row>
    <row r="26" spans="1:22" ht="15.75" customHeight="1" x14ac:dyDescent="0.3">
      <c r="A26" s="78"/>
      <c r="B26" s="80" t="str">
        <f>TEXT(Company_Name,"")&amp; " - Levered Beta &amp; WACC Calculation"</f>
        <v>Fennmark Media Partners LLC - Levered Beta &amp; WACC Calculation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78"/>
      <c r="N26" s="78"/>
      <c r="O26" s="78"/>
      <c r="P26" s="78"/>
      <c r="Q26" s="78"/>
      <c r="R26" s="78"/>
      <c r="S26" s="78"/>
      <c r="T26" s="78"/>
      <c r="U26" s="78"/>
      <c r="V26" s="78"/>
    </row>
    <row r="27" spans="1:22" ht="15.75" customHeight="1" x14ac:dyDescent="0.3">
      <c r="A27" s="78"/>
      <c r="B27" s="80"/>
      <c r="C27" s="80"/>
      <c r="D27" s="133" t="s">
        <v>238</v>
      </c>
      <c r="E27" s="133"/>
      <c r="F27" s="133"/>
      <c r="G27" s="133" t="s">
        <v>236</v>
      </c>
      <c r="H27" s="133"/>
      <c r="I27" s="133" t="s">
        <v>237</v>
      </c>
      <c r="J27" s="133"/>
      <c r="K27" s="133"/>
      <c r="L27" s="133" t="s">
        <v>235</v>
      </c>
      <c r="M27" s="78"/>
      <c r="N27" s="78"/>
      <c r="O27" s="78"/>
      <c r="P27" s="78"/>
      <c r="Q27" s="78"/>
      <c r="R27" s="78"/>
      <c r="S27" s="78"/>
      <c r="T27" s="78"/>
      <c r="U27" s="78"/>
      <c r="V27" s="78"/>
    </row>
    <row r="28" spans="1:22" ht="15.75" customHeight="1" x14ac:dyDescent="0.3">
      <c r="A28" s="78"/>
      <c r="B28" s="134"/>
      <c r="C28" s="134" t="s">
        <v>240</v>
      </c>
      <c r="D28" s="135" t="s">
        <v>241</v>
      </c>
      <c r="E28" s="135" t="s">
        <v>242</v>
      </c>
      <c r="F28" s="135" t="s">
        <v>243</v>
      </c>
      <c r="G28" s="135" t="s">
        <v>244</v>
      </c>
      <c r="H28" s="135" t="s">
        <v>245</v>
      </c>
      <c r="I28" s="135" t="s">
        <v>246</v>
      </c>
      <c r="J28" s="135" t="s">
        <v>247</v>
      </c>
      <c r="K28" s="135" t="s">
        <v>248</v>
      </c>
      <c r="L28" s="135" t="s">
        <v>241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</row>
    <row r="29" spans="1:22" ht="15.75" customHeight="1" x14ac:dyDescent="0.3">
      <c r="A29" s="78"/>
      <c r="B29" s="80" t="s">
        <v>263</v>
      </c>
      <c r="C29" s="80" t="s">
        <v>209</v>
      </c>
      <c r="D29" s="147">
        <f>L24</f>
        <v>1.989966007309107</v>
      </c>
      <c r="E29" s="136"/>
      <c r="F29" s="148">
        <f>F23</f>
        <v>0.1403425957701418</v>
      </c>
      <c r="G29" s="136"/>
      <c r="H29" s="148">
        <f>H23</f>
        <v>0</v>
      </c>
      <c r="I29" s="136"/>
      <c r="J29" s="148">
        <f>J23</f>
        <v>0.85965740422985815</v>
      </c>
      <c r="K29" s="87">
        <f>Tax_Rate</f>
        <v>0.41192095000000001</v>
      </c>
      <c r="L29" s="149">
        <f>D29*(1+(F29/J29)*(1-Tax_Rate)+(H29/J29))</f>
        <v>2.1810153126194343</v>
      </c>
      <c r="M29" s="78"/>
      <c r="N29" s="78"/>
      <c r="O29" s="78"/>
      <c r="P29" s="78"/>
      <c r="Q29" s="78"/>
      <c r="R29" s="78"/>
      <c r="S29" s="78"/>
      <c r="T29" s="78"/>
      <c r="U29" s="78"/>
      <c r="V29" s="78"/>
    </row>
    <row r="30" spans="1:22" x14ac:dyDescent="0.3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</row>
    <row r="31" spans="1:22" ht="15.75" customHeight="1" x14ac:dyDescent="0.3">
      <c r="A31" s="78"/>
      <c r="B31" s="155" t="s">
        <v>264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7">
        <f>Risk_Free_Rate+Equity_Risk_Premium*L29</f>
        <v>0.16918293391246797</v>
      </c>
      <c r="M31" s="158"/>
      <c r="N31" s="158"/>
      <c r="O31" s="158"/>
      <c r="P31" s="158"/>
      <c r="Q31" s="158"/>
      <c r="R31" s="158"/>
      <c r="S31" s="158"/>
      <c r="T31" s="158"/>
      <c r="U31" s="158"/>
      <c r="V31" s="158"/>
    </row>
    <row r="32" spans="1:22" ht="15.75" customHeight="1" x14ac:dyDescent="0.3">
      <c r="A32" s="78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78"/>
      <c r="N32" s="78"/>
      <c r="O32" s="78"/>
      <c r="P32" s="78"/>
      <c r="Q32" s="78"/>
      <c r="R32" s="78"/>
      <c r="S32" s="78"/>
      <c r="T32" s="78"/>
      <c r="U32" s="78"/>
      <c r="V32" s="78"/>
    </row>
    <row r="33" spans="1:22" ht="15.75" customHeight="1" x14ac:dyDescent="0.3">
      <c r="A33" s="78"/>
      <c r="B33" s="80" t="s">
        <v>324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78"/>
      <c r="N33" s="78"/>
      <c r="O33" s="78"/>
      <c r="P33" s="78"/>
      <c r="Q33" s="78"/>
      <c r="R33" s="78"/>
      <c r="S33" s="78"/>
      <c r="T33" s="78"/>
      <c r="U33" s="78"/>
      <c r="V33" s="78"/>
    </row>
    <row r="34" spans="1:22" ht="15.75" customHeight="1" x14ac:dyDescent="0.3">
      <c r="A34" s="78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78"/>
      <c r="N34" s="78"/>
      <c r="O34" s="78"/>
      <c r="P34" s="78"/>
      <c r="Q34" s="78"/>
      <c r="R34" s="78"/>
      <c r="S34" s="78"/>
      <c r="T34" s="78"/>
      <c r="U34" s="78"/>
      <c r="V34" s="78"/>
    </row>
    <row r="35" spans="1:22" ht="15.75" customHeight="1" x14ac:dyDescent="0.3">
      <c r="A35" s="78"/>
      <c r="B35" s="159" t="s">
        <v>265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1">
        <f>L31*J29+Cost_of_Debt*F29*(1-Tax_Rate)+Cost_of_Preferred*H29</f>
        <v>0.14748351732732182</v>
      </c>
      <c r="M35" s="158"/>
      <c r="N35" s="158"/>
      <c r="O35" s="158"/>
      <c r="P35" s="158"/>
      <c r="Q35" s="158"/>
      <c r="R35" s="158"/>
      <c r="S35" s="158"/>
      <c r="T35" s="158"/>
      <c r="U35" s="158"/>
      <c r="V35" s="158"/>
    </row>
    <row r="36" spans="1:22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</row>
    <row r="37" spans="1:22" x14ac:dyDescent="0.3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</row>
    <row r="38" spans="1:22" ht="18.75" customHeight="1" x14ac:dyDescent="0.35">
      <c r="A38" s="12"/>
      <c r="B38" s="128" t="str">
        <f>"Private Company DCF Analysis - "&amp;Company_Name</f>
        <v>Private Company DCF Analysis - Fennmark Media Partners LLC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5.75" customHeight="1" x14ac:dyDescent="0.3">
      <c r="A39" s="12"/>
      <c r="B39" s="129" t="s">
        <v>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5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5.75" customHeight="1" x14ac:dyDescent="0.3">
      <c r="A41" s="12"/>
      <c r="B41" s="119" t="str">
        <f>"DCF Assumptions - "&amp;Company_Name&amp;":"</f>
        <v>DCF Assumptions - Fennmark Media Partners LLC: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 outlineLevel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5.75" customHeight="1" outlineLevel="1" x14ac:dyDescent="0.3">
      <c r="A43" s="12"/>
      <c r="B43" s="79" t="s">
        <v>154</v>
      </c>
      <c r="C43" s="79"/>
      <c r="D43" s="79"/>
      <c r="E43" s="79"/>
      <c r="F43" s="12"/>
      <c r="G43" s="79" t="s">
        <v>155</v>
      </c>
      <c r="H43" s="79"/>
      <c r="I43" s="79"/>
      <c r="J43" s="79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 outlineLevel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 outlineLevel="1" x14ac:dyDescent="0.3">
      <c r="A45" s="12"/>
      <c r="B45" s="80" t="s">
        <v>156</v>
      </c>
      <c r="C45" s="12"/>
      <c r="D45" s="12"/>
      <c r="E45" s="81">
        <f>WACC</f>
        <v>0.14748351732732182</v>
      </c>
      <c r="F45" s="12"/>
      <c r="G45" s="12" t="s">
        <v>157</v>
      </c>
      <c r="H45" s="12"/>
      <c r="I45" s="12"/>
      <c r="J45" s="125">
        <v>-2.1515099999999999E-2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 outlineLevel="1" x14ac:dyDescent="0.3">
      <c r="A46" s="12"/>
      <c r="B46" s="12"/>
      <c r="C46" s="12"/>
      <c r="D46" s="12"/>
      <c r="E46" s="12"/>
      <c r="F46" s="12"/>
      <c r="G46" s="12" t="s">
        <v>158</v>
      </c>
      <c r="H46" s="12"/>
      <c r="I46" s="12"/>
      <c r="J46" s="125">
        <v>3.5455800000000003E-2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 outlineLevel="1" x14ac:dyDescent="0.3">
      <c r="A47" s="12"/>
      <c r="B47" s="12" t="s">
        <v>159</v>
      </c>
      <c r="C47" s="12"/>
      <c r="D47" s="12"/>
      <c r="E47" s="125">
        <v>0.25061424999999998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75" customHeight="1" outlineLevel="1" x14ac:dyDescent="0.3">
      <c r="A48" s="12"/>
      <c r="B48" s="12"/>
      <c r="C48" s="12"/>
      <c r="D48" s="12"/>
      <c r="E48" s="12"/>
      <c r="F48" s="12"/>
      <c r="G48" s="12" t="s">
        <v>160</v>
      </c>
      <c r="H48" s="12"/>
      <c r="I48" s="12"/>
      <c r="J48" s="125">
        <v>-5.1572850000000002E-3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.75" customHeight="1" outlineLevel="1" x14ac:dyDescent="0.3">
      <c r="A49" s="12"/>
      <c r="B49" s="12" t="s">
        <v>161</v>
      </c>
      <c r="C49" s="12"/>
      <c r="D49" s="12"/>
      <c r="E49" s="125">
        <v>0</v>
      </c>
      <c r="F49" s="12"/>
      <c r="G49" s="12" t="s">
        <v>162</v>
      </c>
      <c r="H49" s="12"/>
      <c r="I49" s="12"/>
      <c r="J49" s="125">
        <v>0.14165520000000001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 outlineLevel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 outlineLevel="1" x14ac:dyDescent="0.3">
      <c r="A51" s="12"/>
      <c r="B51" s="12"/>
      <c r="C51" s="12"/>
      <c r="D51" s="12"/>
      <c r="E51" s="12"/>
      <c r="F51" s="12"/>
      <c r="G51" s="12" t="s">
        <v>163</v>
      </c>
      <c r="H51" s="12"/>
      <c r="I51" s="12"/>
      <c r="J51" s="125">
        <v>4.754215E-3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 outlineLevel="1" x14ac:dyDescent="0.3">
      <c r="A52" s="12"/>
      <c r="B52" s="12"/>
      <c r="C52" s="12"/>
      <c r="D52" s="12"/>
      <c r="E52" s="12"/>
      <c r="F52" s="12"/>
      <c r="G52" s="12" t="s">
        <v>52</v>
      </c>
      <c r="H52" s="12"/>
      <c r="I52" s="12"/>
      <c r="J52" s="125">
        <v>1.167925E-2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 outlineLevel="1" x14ac:dyDescent="0.3">
      <c r="A53" s="12"/>
      <c r="B53" s="12"/>
      <c r="C53" s="12"/>
      <c r="D53" s="12"/>
      <c r="E53" s="12"/>
      <c r="F53" s="12"/>
      <c r="G53" s="12" t="s">
        <v>164</v>
      </c>
      <c r="H53" s="12"/>
      <c r="I53" s="12"/>
      <c r="J53" s="125">
        <v>2.6880629999999999E-2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 outlineLevel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 outlineLevel="1" x14ac:dyDescent="0.3">
      <c r="A55" s="12"/>
      <c r="B55" s="79" t="s">
        <v>165</v>
      </c>
      <c r="C55" s="79"/>
      <c r="D55" s="79"/>
      <c r="E55" s="79"/>
      <c r="F55" s="12"/>
      <c r="G55" s="79" t="s">
        <v>166</v>
      </c>
      <c r="H55" s="79"/>
      <c r="I55" s="79"/>
      <c r="J55" s="79"/>
      <c r="K55" s="12"/>
      <c r="L55" s="79" t="s">
        <v>167</v>
      </c>
      <c r="M55" s="79"/>
      <c r="N55" s="79"/>
      <c r="O55" s="79"/>
      <c r="P55" s="12"/>
      <c r="Q55" s="79" t="s">
        <v>168</v>
      </c>
      <c r="R55" s="79"/>
      <c r="S55" s="79"/>
      <c r="T55" s="79"/>
      <c r="U55" s="12"/>
      <c r="V55" s="12"/>
    </row>
    <row r="56" spans="1:22" ht="15.75" customHeight="1" outlineLevel="1" x14ac:dyDescent="0.3">
      <c r="A56" s="12"/>
      <c r="B56" s="8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 outlineLevel="1" x14ac:dyDescent="0.3">
      <c r="A57" s="12"/>
      <c r="B57" s="80" t="s">
        <v>169</v>
      </c>
      <c r="C57" s="80"/>
      <c r="D57" s="80"/>
      <c r="E57" s="126">
        <v>5.6970457537651606</v>
      </c>
      <c r="F57" s="12"/>
      <c r="G57" s="80" t="s">
        <v>170</v>
      </c>
      <c r="H57" s="12"/>
      <c r="I57" s="12"/>
      <c r="J57" s="125">
        <v>3.0609689999999998E-2</v>
      </c>
      <c r="K57" s="12"/>
      <c r="L57" s="83" t="s">
        <v>171</v>
      </c>
      <c r="M57" s="12"/>
      <c r="N57" s="12"/>
      <c r="O57" s="84"/>
      <c r="P57" s="12"/>
      <c r="Q57" s="83" t="s">
        <v>172</v>
      </c>
      <c r="R57" s="12"/>
      <c r="S57" s="12"/>
      <c r="T57" s="125">
        <v>-9.3640100000000004E-2</v>
      </c>
      <c r="U57" s="12"/>
      <c r="V57" s="12"/>
    </row>
    <row r="58" spans="1:22" ht="15.75" customHeight="1" outlineLevel="1" x14ac:dyDescent="0.3">
      <c r="A58" s="12"/>
      <c r="B58" s="80" t="s">
        <v>173</v>
      </c>
      <c r="C58" s="80"/>
      <c r="D58" s="80"/>
      <c r="E58" s="85"/>
      <c r="F58" s="12"/>
      <c r="G58" s="80" t="s">
        <v>173</v>
      </c>
      <c r="H58" s="12"/>
      <c r="I58" s="12"/>
      <c r="J58" s="85"/>
      <c r="K58" s="12"/>
      <c r="L58" s="80" t="s">
        <v>174</v>
      </c>
      <c r="M58" s="12"/>
      <c r="N58" s="12"/>
      <c r="O58" s="86"/>
      <c r="P58" s="78"/>
      <c r="Q58" s="80"/>
      <c r="R58" s="12"/>
      <c r="S58" s="12"/>
      <c r="T58" s="86"/>
      <c r="U58" s="78"/>
      <c r="V58" s="78"/>
    </row>
    <row r="59" spans="1:22" ht="15.75" customHeight="1" outlineLevel="1" x14ac:dyDescent="0.3">
      <c r="A59" s="12"/>
      <c r="B59" s="80" t="s">
        <v>175</v>
      </c>
      <c r="C59" s="80"/>
      <c r="D59" s="80"/>
      <c r="E59" s="86"/>
      <c r="F59" s="12"/>
      <c r="G59" s="80" t="s">
        <v>175</v>
      </c>
      <c r="H59" s="12"/>
      <c r="I59" s="12"/>
      <c r="J59" s="86"/>
      <c r="K59" s="12"/>
      <c r="L59" s="80" t="s">
        <v>176</v>
      </c>
      <c r="M59" s="12"/>
      <c r="N59" s="12"/>
      <c r="O59" s="86"/>
      <c r="P59" s="78"/>
      <c r="Q59" s="80"/>
      <c r="R59" s="12"/>
      <c r="S59" s="12"/>
      <c r="T59" s="86"/>
      <c r="U59" s="78"/>
      <c r="V59" s="78"/>
    </row>
    <row r="60" spans="1:22" ht="15.75" customHeight="1" outlineLevel="1" x14ac:dyDescent="0.3">
      <c r="A60" s="12"/>
      <c r="B60" s="80" t="s">
        <v>177</v>
      </c>
      <c r="C60" s="12"/>
      <c r="D60" s="12"/>
      <c r="E60" s="87"/>
      <c r="F60" s="12"/>
      <c r="G60" s="80" t="s">
        <v>178</v>
      </c>
      <c r="H60" s="12"/>
      <c r="I60" s="12"/>
      <c r="J60" s="88"/>
      <c r="K60" s="12"/>
      <c r="L60" s="80" t="s">
        <v>179</v>
      </c>
      <c r="M60" s="12"/>
      <c r="N60" s="12"/>
      <c r="O60" s="86"/>
      <c r="P60" s="78"/>
      <c r="Q60" s="80"/>
      <c r="R60" s="12"/>
      <c r="S60" s="12"/>
      <c r="T60" s="88"/>
      <c r="U60" s="78"/>
      <c r="V60" s="78"/>
    </row>
    <row r="61" spans="1:22" ht="15.75" customHeight="1" outlineLevel="1" x14ac:dyDescent="0.3">
      <c r="A61" s="12"/>
      <c r="B61" s="82"/>
      <c r="C61" s="12"/>
      <c r="D61" s="12"/>
      <c r="E61" s="12"/>
      <c r="F61" s="12"/>
      <c r="G61" s="82"/>
      <c r="H61" s="12"/>
      <c r="I61" s="12"/>
      <c r="J61" s="12"/>
      <c r="K61" s="12"/>
      <c r="L61" s="82"/>
      <c r="M61" s="12"/>
      <c r="N61" s="12"/>
      <c r="O61" s="12"/>
      <c r="P61" s="78"/>
      <c r="Q61" s="82"/>
      <c r="R61" s="12"/>
      <c r="S61" s="12"/>
      <c r="T61" s="12"/>
      <c r="U61" s="78"/>
      <c r="V61" s="78"/>
    </row>
    <row r="62" spans="1:22" ht="15.75" customHeight="1" outlineLevel="1" x14ac:dyDescent="0.3">
      <c r="A62" s="12"/>
      <c r="B62" s="89" t="s">
        <v>180</v>
      </c>
      <c r="C62" s="80"/>
      <c r="D62" s="80"/>
      <c r="E62" s="86"/>
      <c r="F62" s="12"/>
      <c r="G62" s="89" t="str">
        <f>$B$62</f>
        <v>(+) Present Value of Terminal Value:</v>
      </c>
      <c r="H62" s="12"/>
      <c r="I62" s="12"/>
      <c r="J62" s="86"/>
      <c r="K62" s="12"/>
      <c r="L62" s="89" t="str">
        <f>$B$62</f>
        <v>(+) Present Value of Terminal Value:</v>
      </c>
      <c r="M62" s="12"/>
      <c r="N62" s="12"/>
      <c r="O62" s="86"/>
      <c r="P62" s="78"/>
      <c r="Q62" s="89" t="str">
        <f>$B$62</f>
        <v>(+) Present Value of Terminal Value:</v>
      </c>
      <c r="R62" s="12"/>
      <c r="S62" s="12"/>
      <c r="T62" s="86"/>
      <c r="U62" s="78"/>
      <c r="V62" s="78"/>
    </row>
    <row r="63" spans="1:22" ht="15.75" customHeight="1" outlineLevel="1" x14ac:dyDescent="0.3">
      <c r="A63" s="12"/>
      <c r="B63" s="89" t="s">
        <v>181</v>
      </c>
      <c r="C63" s="80"/>
      <c r="D63" s="80"/>
      <c r="E63" s="86"/>
      <c r="F63" s="12"/>
      <c r="G63" s="89" t="str">
        <f>$B$63</f>
        <v>(+) Present Value of Free Cash Flows, Sum:</v>
      </c>
      <c r="H63" s="12"/>
      <c r="I63" s="12"/>
      <c r="J63" s="86"/>
      <c r="K63" s="12"/>
      <c r="L63" s="89" t="str">
        <f>$B$63</f>
        <v>(+) Present Value of Free Cash Flows, Sum:</v>
      </c>
      <c r="M63" s="12"/>
      <c r="N63" s="12"/>
      <c r="O63" s="86"/>
      <c r="P63" s="78"/>
      <c r="Q63" s="89" t="str">
        <f>$B$63</f>
        <v>(+) Present Value of Free Cash Flows, Sum:</v>
      </c>
      <c r="R63" s="12"/>
      <c r="S63" s="12"/>
      <c r="T63" s="86"/>
      <c r="U63" s="78"/>
      <c r="V63" s="78"/>
    </row>
    <row r="64" spans="1:22" ht="15.75" customHeight="1" outlineLevel="1" x14ac:dyDescent="0.3">
      <c r="A64" s="12"/>
      <c r="B64" s="246" t="s">
        <v>182</v>
      </c>
      <c r="C64" s="246"/>
      <c r="D64" s="246"/>
      <c r="E64" s="247">
        <f>SUM(E62:E63)</f>
        <v>0</v>
      </c>
      <c r="F64" s="248"/>
      <c r="G64" s="246" t="str">
        <f>$B$64</f>
        <v>Implied EV:</v>
      </c>
      <c r="H64" s="248"/>
      <c r="I64" s="248"/>
      <c r="J64" s="247"/>
      <c r="K64" s="248"/>
      <c r="L64" s="246" t="str">
        <f>$B$64</f>
        <v>Implied EV:</v>
      </c>
      <c r="M64" s="248"/>
      <c r="N64" s="248"/>
      <c r="O64" s="247"/>
      <c r="P64" s="249"/>
      <c r="Q64" s="246" t="str">
        <f>$B$64</f>
        <v>Implied EV:</v>
      </c>
      <c r="R64" s="248"/>
      <c r="S64" s="248"/>
      <c r="T64" s="247"/>
      <c r="U64" s="249"/>
      <c r="V64" s="249"/>
    </row>
    <row r="65" spans="1:22" ht="15.75" customHeight="1" outlineLevel="1" x14ac:dyDescent="0.3">
      <c r="A65" s="12"/>
      <c r="B65" s="80"/>
      <c r="C65" s="80"/>
      <c r="D65" s="80"/>
      <c r="E65" s="80"/>
      <c r="F65" s="12"/>
      <c r="G65" s="80"/>
      <c r="H65" s="12"/>
      <c r="I65" s="12"/>
      <c r="J65" s="80"/>
      <c r="K65" s="12"/>
      <c r="L65" s="80"/>
      <c r="M65" s="12"/>
      <c r="N65" s="12"/>
      <c r="O65" s="80"/>
      <c r="P65" s="78"/>
      <c r="Q65" s="80"/>
      <c r="R65" s="12"/>
      <c r="S65" s="12"/>
      <c r="T65" s="80"/>
      <c r="U65" s="78"/>
      <c r="V65" s="78"/>
    </row>
    <row r="66" spans="1:22" ht="15.75" customHeight="1" outlineLevel="1" x14ac:dyDescent="0.3">
      <c r="A66" s="12"/>
      <c r="B66" s="91" t="s">
        <v>183</v>
      </c>
      <c r="C66" s="80"/>
      <c r="D66" s="80"/>
      <c r="E66" s="92"/>
      <c r="F66" s="12"/>
      <c r="G66" s="91" t="str">
        <f>$B$66</f>
        <v>Terminal Value as % of Implied EV:</v>
      </c>
      <c r="H66" s="12"/>
      <c r="I66" s="12"/>
      <c r="J66" s="92"/>
      <c r="K66" s="12"/>
      <c r="L66" s="91" t="str">
        <f>$B$66</f>
        <v>Terminal Value as % of Implied EV:</v>
      </c>
      <c r="M66" s="12"/>
      <c r="N66" s="12"/>
      <c r="O66" s="92"/>
      <c r="P66" s="78"/>
      <c r="Q66" s="91" t="str">
        <f>$B$66</f>
        <v>Terminal Value as % of Implied EV:</v>
      </c>
      <c r="R66" s="12"/>
      <c r="S66" s="12"/>
      <c r="T66" s="92"/>
      <c r="U66" s="78"/>
      <c r="V66" s="78"/>
    </row>
    <row r="67" spans="1:22" ht="15.75" customHeight="1" outlineLevel="1" x14ac:dyDescent="0.3">
      <c r="A67" s="12"/>
      <c r="B67" s="80"/>
      <c r="C67" s="80"/>
      <c r="D67" s="80"/>
      <c r="E67" s="80"/>
      <c r="F67" s="12"/>
      <c r="G67" s="80"/>
      <c r="H67" s="12"/>
      <c r="I67" s="12"/>
      <c r="J67" s="80"/>
      <c r="K67" s="12"/>
      <c r="L67" s="80"/>
      <c r="M67" s="12"/>
      <c r="N67" s="12"/>
      <c r="O67" s="80"/>
      <c r="P67" s="78"/>
      <c r="Q67" s="80"/>
      <c r="R67" s="12"/>
      <c r="S67" s="12"/>
      <c r="T67" s="80"/>
      <c r="U67" s="78"/>
      <c r="V67" s="78"/>
    </row>
    <row r="68" spans="1:22" ht="15.75" customHeight="1" outlineLevel="1" x14ac:dyDescent="0.3">
      <c r="A68" s="12"/>
      <c r="B68" s="89" t="s">
        <v>184</v>
      </c>
      <c r="C68" s="80"/>
      <c r="D68" s="80"/>
      <c r="E68" s="86"/>
      <c r="F68" s="12"/>
      <c r="G68" s="89" t="str">
        <f>$B$68</f>
        <v>(+) Cash and Equivalents:</v>
      </c>
      <c r="H68" s="12"/>
      <c r="I68" s="12"/>
      <c r="J68" s="86"/>
      <c r="K68" s="12"/>
      <c r="L68" s="89" t="str">
        <f>$B$68</f>
        <v>(+) Cash and Equivalents:</v>
      </c>
      <c r="M68" s="12"/>
      <c r="N68" s="12"/>
      <c r="O68" s="86"/>
      <c r="P68" s="78"/>
      <c r="Q68" s="89" t="str">
        <f>$B$68</f>
        <v>(+) Cash and Equivalents:</v>
      </c>
      <c r="R68" s="12"/>
      <c r="S68" s="12"/>
      <c r="T68" s="86"/>
      <c r="U68" s="78"/>
      <c r="V68" s="78"/>
    </row>
    <row r="69" spans="1:22" ht="15.75" customHeight="1" outlineLevel="1" x14ac:dyDescent="0.3">
      <c r="A69" s="12"/>
      <c r="B69" s="93" t="s">
        <v>185</v>
      </c>
      <c r="C69" s="12"/>
      <c r="D69" s="12"/>
      <c r="E69" s="254"/>
      <c r="F69" s="12"/>
      <c r="G69" s="93" t="str">
        <f>$B$69</f>
        <v>(+) Investments in Equity:</v>
      </c>
      <c r="H69" s="12"/>
      <c r="I69" s="12"/>
      <c r="J69" s="86"/>
      <c r="K69" s="12"/>
      <c r="L69" s="93" t="str">
        <f>$B$69</f>
        <v>(+) Investments in Equity:</v>
      </c>
      <c r="M69" s="12"/>
      <c r="N69" s="12"/>
      <c r="O69" s="86"/>
      <c r="P69" s="78"/>
      <c r="Q69" s="93" t="str">
        <f>$B$69</f>
        <v>(+) Investments in Equity:</v>
      </c>
      <c r="R69" s="12"/>
      <c r="S69" s="12"/>
      <c r="T69" s="86"/>
      <c r="U69" s="78"/>
      <c r="V69" s="78"/>
    </row>
    <row r="70" spans="1:22" ht="15.75" customHeight="1" outlineLevel="1" x14ac:dyDescent="0.3">
      <c r="A70" s="12"/>
      <c r="B70" s="93" t="s">
        <v>186</v>
      </c>
      <c r="C70" s="12"/>
      <c r="D70" s="12"/>
      <c r="E70" s="254"/>
      <c r="F70" s="12"/>
      <c r="G70" s="93" t="str">
        <f>$B$70</f>
        <v>(+) Other Non-Operating Assets, Net:</v>
      </c>
      <c r="H70" s="12"/>
      <c r="I70" s="12"/>
      <c r="J70" s="86"/>
      <c r="K70" s="12"/>
      <c r="L70" s="93" t="str">
        <f>$B$70</f>
        <v>(+) Other Non-Operating Assets, Net:</v>
      </c>
      <c r="M70" s="12"/>
      <c r="N70" s="12"/>
      <c r="O70" s="86"/>
      <c r="P70" s="78"/>
      <c r="Q70" s="93" t="str">
        <f>$B$70</f>
        <v>(+) Other Non-Operating Assets, Net:</v>
      </c>
      <c r="R70" s="12"/>
      <c r="S70" s="12"/>
      <c r="T70" s="86"/>
      <c r="U70" s="78"/>
      <c r="V70" s="78"/>
    </row>
    <row r="71" spans="1:22" ht="15.75" customHeight="1" outlineLevel="1" x14ac:dyDescent="0.3">
      <c r="A71" s="12"/>
      <c r="B71" s="93" t="s">
        <v>187</v>
      </c>
      <c r="C71" s="12"/>
      <c r="D71" s="12"/>
      <c r="E71" s="254"/>
      <c r="F71" s="12"/>
      <c r="G71" s="93" t="str">
        <f>$B$71</f>
        <v>(-) Debt — Total:</v>
      </c>
      <c r="H71" s="12"/>
      <c r="I71" s="12"/>
      <c r="J71" s="86"/>
      <c r="K71" s="12"/>
      <c r="L71" s="93" t="str">
        <f>$B$71</f>
        <v>(-) Debt — Total:</v>
      </c>
      <c r="M71" s="12"/>
      <c r="N71" s="12"/>
      <c r="O71" s="86"/>
      <c r="P71" s="78"/>
      <c r="Q71" s="93" t="str">
        <f>$B$71</f>
        <v>(-) Debt — Total:</v>
      </c>
      <c r="R71" s="12"/>
      <c r="S71" s="12"/>
      <c r="T71" s="86"/>
      <c r="U71" s="78"/>
      <c r="V71" s="78"/>
    </row>
    <row r="72" spans="1:22" ht="15.75" customHeight="1" outlineLevel="1" x14ac:dyDescent="0.3">
      <c r="A72" s="12"/>
      <c r="B72" s="93" t="s">
        <v>188</v>
      </c>
      <c r="C72" s="12"/>
      <c r="D72" s="12"/>
      <c r="E72" s="254"/>
      <c r="F72" s="12"/>
      <c r="G72" s="93" t="str">
        <f>$B$72</f>
        <v>(-) Minority Interests:</v>
      </c>
      <c r="H72" s="12"/>
      <c r="I72" s="12"/>
      <c r="J72" s="86"/>
      <c r="K72" s="12"/>
      <c r="L72" s="93" t="str">
        <f>$B$72</f>
        <v>(-) Minority Interests:</v>
      </c>
      <c r="M72" s="12"/>
      <c r="N72" s="12"/>
      <c r="O72" s="86"/>
      <c r="P72" s="12"/>
      <c r="Q72" s="93" t="str">
        <f>$B$72</f>
        <v>(-) Minority Interests:</v>
      </c>
      <c r="R72" s="12"/>
      <c r="S72" s="12"/>
      <c r="T72" s="86"/>
      <c r="U72" s="12"/>
      <c r="V72" s="12"/>
    </row>
    <row r="73" spans="1:22" ht="15.75" customHeight="1" outlineLevel="1" x14ac:dyDescent="0.3">
      <c r="A73" s="12"/>
      <c r="B73" s="250" t="s">
        <v>189</v>
      </c>
      <c r="C73" s="246"/>
      <c r="D73" s="246"/>
      <c r="E73" s="251"/>
      <c r="F73" s="248"/>
      <c r="G73" s="250" t="str">
        <f>$B$73</f>
        <v>Implied Value of Equity:</v>
      </c>
      <c r="H73" s="248"/>
      <c r="I73" s="248"/>
      <c r="J73" s="251"/>
      <c r="K73" s="248"/>
      <c r="L73" s="250" t="str">
        <f>$B$73</f>
        <v>Implied Value of Equity:</v>
      </c>
      <c r="M73" s="248"/>
      <c r="N73" s="248"/>
      <c r="O73" s="251"/>
      <c r="P73" s="248"/>
      <c r="Q73" s="250" t="str">
        <f>$B$73</f>
        <v>Implied Value of Equity:</v>
      </c>
      <c r="R73" s="248"/>
      <c r="S73" s="248"/>
      <c r="T73" s="251"/>
      <c r="U73" s="248"/>
      <c r="V73" s="248"/>
    </row>
    <row r="74" spans="1:22" ht="15.75" customHeight="1" x14ac:dyDescent="0.3">
      <c r="A74" s="12"/>
      <c r="B74" s="12"/>
      <c r="C74" s="89"/>
      <c r="D74" s="80"/>
      <c r="E74" s="80"/>
      <c r="F74" s="95"/>
      <c r="G74" s="12"/>
      <c r="H74" s="89"/>
      <c r="I74" s="12"/>
      <c r="J74" s="12"/>
      <c r="K74" s="95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 x14ac:dyDescent="0.3">
      <c r="A75" s="12"/>
      <c r="B75" s="12"/>
      <c r="C75" s="96" t="s">
        <v>190</v>
      </c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</row>
    <row r="76" spans="1:22" ht="15.75" customHeight="1" x14ac:dyDescent="0.3">
      <c r="A76" s="12"/>
      <c r="B76" s="122" t="s">
        <v>191</v>
      </c>
      <c r="C76" s="123" t="s">
        <v>10</v>
      </c>
      <c r="D76" s="123" t="s">
        <v>11</v>
      </c>
      <c r="E76" s="123" t="s">
        <v>12</v>
      </c>
      <c r="F76" s="123" t="s">
        <v>13</v>
      </c>
      <c r="G76" s="123" t="s">
        <v>14</v>
      </c>
      <c r="H76" s="124" t="s">
        <v>192</v>
      </c>
      <c r="I76" s="124" t="s">
        <v>193</v>
      </c>
      <c r="J76" s="124" t="s">
        <v>194</v>
      </c>
      <c r="K76" s="124" t="s">
        <v>195</v>
      </c>
      <c r="L76" s="124" t="s">
        <v>196</v>
      </c>
      <c r="M76" s="124" t="s">
        <v>197</v>
      </c>
      <c r="N76" s="124" t="s">
        <v>198</v>
      </c>
      <c r="O76" s="124" t="s">
        <v>199</v>
      </c>
      <c r="P76" s="124" t="s">
        <v>200</v>
      </c>
      <c r="Q76" s="124" t="s">
        <v>201</v>
      </c>
      <c r="R76" s="124" t="s">
        <v>202</v>
      </c>
      <c r="S76" s="124" t="s">
        <v>203</v>
      </c>
      <c r="T76" s="124" t="s">
        <v>204</v>
      </c>
      <c r="U76" s="124" t="s">
        <v>205</v>
      </c>
      <c r="V76" s="124" t="s">
        <v>206</v>
      </c>
    </row>
    <row r="77" spans="1:22" ht="15.75" customHeight="1" outlineLevel="1" x14ac:dyDescent="0.3">
      <c r="A77" s="12"/>
      <c r="B77" s="12"/>
      <c r="C77" s="12"/>
      <c r="D77" s="12"/>
      <c r="E77" s="12"/>
      <c r="F77" s="12"/>
      <c r="G77" s="12"/>
      <c r="H77" s="97"/>
      <c r="I77" s="97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 outlineLevel="1" x14ac:dyDescent="0.3">
      <c r="A78" s="12"/>
      <c r="B78" s="12" t="s">
        <v>207</v>
      </c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 outlineLevel="1" x14ac:dyDescent="0.3">
      <c r="A79" s="12"/>
      <c r="B79" s="98" t="s">
        <v>208</v>
      </c>
      <c r="C79" s="99"/>
      <c r="D79" s="99"/>
      <c r="E79" s="99"/>
      <c r="F79" s="99"/>
      <c r="G79" s="99"/>
      <c r="H79" s="20"/>
      <c r="I79" s="20"/>
      <c r="J79" s="20"/>
      <c r="K79" s="20"/>
      <c r="L79" s="20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 outlineLevel="1" x14ac:dyDescent="0.3">
      <c r="A80" s="12"/>
      <c r="B80" s="98"/>
      <c r="C80" s="12"/>
      <c r="D80" s="12"/>
      <c r="E80" s="99"/>
      <c r="F80" s="99"/>
      <c r="G80" s="99"/>
      <c r="H80" s="9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 outlineLevel="1" x14ac:dyDescent="0.3">
      <c r="A81" s="12"/>
      <c r="B81" s="12" t="s">
        <v>210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 outlineLevel="1" x14ac:dyDescent="0.3">
      <c r="A82" s="12"/>
      <c r="B82" s="98" t="s">
        <v>98</v>
      </c>
      <c r="C82" s="99"/>
      <c r="D82" s="99"/>
      <c r="E82" s="99"/>
      <c r="F82" s="99"/>
      <c r="G82" s="99"/>
      <c r="H82" s="20"/>
      <c r="I82" s="20"/>
      <c r="J82" s="20"/>
      <c r="K82" s="20"/>
      <c r="L82" s="20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 outlineLevel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 outlineLevel="1" x14ac:dyDescent="0.3">
      <c r="A84" s="12"/>
      <c r="B84" s="101" t="s">
        <v>211</v>
      </c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 outlineLevel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 outlineLevel="1" x14ac:dyDescent="0.3">
      <c r="A86" s="12"/>
      <c r="B86" s="12" t="s">
        <v>212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 outlineLevel="1" x14ac:dyDescent="0.3">
      <c r="A87" s="12"/>
      <c r="B87" s="12"/>
      <c r="C87" s="12"/>
      <c r="D87" s="99"/>
      <c r="E87" s="99"/>
      <c r="F87" s="99"/>
      <c r="G87" s="9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 outlineLevel="1" x14ac:dyDescent="0.3">
      <c r="A88" s="12"/>
      <c r="B88" s="12" t="s">
        <v>95</v>
      </c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 outlineLevel="1" x14ac:dyDescent="0.3">
      <c r="A89" s="12"/>
      <c r="B89" s="12" t="s">
        <v>213</v>
      </c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 outlineLevel="1" x14ac:dyDescent="0.3">
      <c r="A90" s="12"/>
      <c r="B90" s="12" t="s">
        <v>214</v>
      </c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 outlineLevel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 outlineLevel="1" x14ac:dyDescent="0.3">
      <c r="A92" s="12"/>
      <c r="B92" s="120" t="s">
        <v>215</v>
      </c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</row>
    <row r="93" spans="1:22" ht="15.75" customHeight="1" outlineLevel="1" x14ac:dyDescent="0.3">
      <c r="A93" s="12"/>
      <c r="B93" s="98" t="s">
        <v>208</v>
      </c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</row>
    <row r="94" spans="1:22" ht="15.75" customHeight="1" outlineLevel="1" x14ac:dyDescent="0.3">
      <c r="A94" s="12"/>
      <c r="B94" s="12" t="s">
        <v>216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</row>
    <row r="95" spans="1:22" ht="15.75" customHeight="1" outlineLevel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 outlineLevel="1" x14ac:dyDescent="0.3">
      <c r="A96" s="12"/>
      <c r="B96" s="12" t="s">
        <v>217</v>
      </c>
      <c r="C96" s="127">
        <v>1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</row>
    <row r="97" spans="1:22" ht="15.75" customHeight="1" outlineLevel="1" x14ac:dyDescent="0.3">
      <c r="A97" s="12"/>
      <c r="B97" s="12" t="s">
        <v>218</v>
      </c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</row>
    <row r="98" spans="1:22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 x14ac:dyDescent="0.3">
      <c r="A99" s="12"/>
      <c r="B99" s="12" t="s">
        <v>219</v>
      </c>
      <c r="C99" s="82"/>
      <c r="D99" s="8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 outlineLevel="1" x14ac:dyDescent="0.3">
      <c r="A100" s="12"/>
      <c r="B100" s="82"/>
      <c r="C100" s="82"/>
      <c r="D100" s="8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 outlineLevel="1" x14ac:dyDescent="0.3">
      <c r="A101" s="12"/>
      <c r="B101" s="103"/>
      <c r="C101" s="104"/>
      <c r="D101" s="105" t="s">
        <v>220</v>
      </c>
      <c r="E101" s="105"/>
      <c r="F101" s="105"/>
      <c r="G101" s="105"/>
      <c r="H101" s="105"/>
      <c r="I101" s="105"/>
      <c r="J101" s="105"/>
      <c r="K101" s="105"/>
      <c r="L101" s="106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 outlineLevel="1" x14ac:dyDescent="0.3">
      <c r="A102" s="12"/>
      <c r="B102" s="107"/>
      <c r="C102" s="245">
        <f>$J$73</f>
        <v>0</v>
      </c>
      <c r="D102" s="239">
        <v>0</v>
      </c>
      <c r="E102" s="108">
        <f t="shared" ref="E102:L102" si="5">D102+0.5%</f>
        <v>5.0000000000000001E-3</v>
      </c>
      <c r="F102" s="108">
        <f t="shared" si="5"/>
        <v>0.01</v>
      </c>
      <c r="G102" s="108">
        <f t="shared" si="5"/>
        <v>1.4999999999999999E-2</v>
      </c>
      <c r="H102" s="108">
        <f t="shared" si="5"/>
        <v>0.02</v>
      </c>
      <c r="I102" s="108">
        <f t="shared" si="5"/>
        <v>2.5000000000000001E-2</v>
      </c>
      <c r="J102" s="108">
        <f t="shared" si="5"/>
        <v>3.0000000000000002E-2</v>
      </c>
      <c r="K102" s="108">
        <f t="shared" si="5"/>
        <v>3.5000000000000003E-2</v>
      </c>
      <c r="L102" s="109">
        <f t="shared" si="5"/>
        <v>0.04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 outlineLevel="1" x14ac:dyDescent="0.3">
      <c r="A103" s="12"/>
      <c r="B103" s="255" t="s">
        <v>221</v>
      </c>
      <c r="C103" s="239">
        <v>0.13</v>
      </c>
      <c r="D103" s="110"/>
      <c r="E103" s="111"/>
      <c r="F103" s="111"/>
      <c r="G103" s="111"/>
      <c r="H103" s="111"/>
      <c r="I103" s="111"/>
      <c r="J103" s="111"/>
      <c r="K103" s="111"/>
      <c r="L103" s="85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 outlineLevel="1" x14ac:dyDescent="0.3">
      <c r="A104" s="12"/>
      <c r="B104" s="255"/>
      <c r="C104" s="108">
        <f>C103+0.5%</f>
        <v>0.13500000000000001</v>
      </c>
      <c r="D104" s="112"/>
      <c r="E104" s="86"/>
      <c r="F104" s="86"/>
      <c r="G104" s="86"/>
      <c r="H104" s="86"/>
      <c r="I104" s="86"/>
      <c r="J104" s="86"/>
      <c r="K104" s="86"/>
      <c r="L104" s="86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 outlineLevel="1" x14ac:dyDescent="0.3">
      <c r="A105" s="12"/>
      <c r="B105" s="255"/>
      <c r="C105" s="108">
        <f>C104+0.5%</f>
        <v>0.14000000000000001</v>
      </c>
      <c r="D105" s="112"/>
      <c r="E105" s="86"/>
      <c r="F105" s="86"/>
      <c r="G105" s="86"/>
      <c r="H105" s="86"/>
      <c r="I105" s="86"/>
      <c r="J105" s="86"/>
      <c r="K105" s="86"/>
      <c r="L105" s="86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 outlineLevel="1" x14ac:dyDescent="0.3">
      <c r="A106" s="12"/>
      <c r="B106" s="255"/>
      <c r="C106" s="108">
        <f>C105+0.5%</f>
        <v>0.14500000000000002</v>
      </c>
      <c r="D106" s="112"/>
      <c r="E106" s="86"/>
      <c r="F106" s="86"/>
      <c r="G106" s="86"/>
      <c r="H106" s="86"/>
      <c r="I106" s="86"/>
      <c r="J106" s="86"/>
      <c r="K106" s="86"/>
      <c r="L106" s="86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 outlineLevel="1" x14ac:dyDescent="0.3">
      <c r="A107" s="12"/>
      <c r="B107" s="255"/>
      <c r="C107" s="239">
        <v>0.14844063269614838</v>
      </c>
      <c r="D107" s="112"/>
      <c r="E107" s="86"/>
      <c r="F107" s="86"/>
      <c r="G107" s="86"/>
      <c r="H107" s="86"/>
      <c r="I107" s="86"/>
      <c r="J107" s="86"/>
      <c r="K107" s="86"/>
      <c r="L107" s="86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 outlineLevel="1" x14ac:dyDescent="0.3">
      <c r="A108" s="12"/>
      <c r="B108" s="255"/>
      <c r="C108" s="239">
        <v>0.15</v>
      </c>
      <c r="D108" s="112"/>
      <c r="E108" s="86"/>
      <c r="F108" s="86"/>
      <c r="G108" s="86"/>
      <c r="H108" s="86"/>
      <c r="I108" s="86"/>
      <c r="J108" s="86"/>
      <c r="K108" s="86"/>
      <c r="L108" s="86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 outlineLevel="1" x14ac:dyDescent="0.3">
      <c r="A109" s="12"/>
      <c r="B109" s="255"/>
      <c r="C109" s="108">
        <f>C108+0.5%</f>
        <v>0.155</v>
      </c>
      <c r="D109" s="112"/>
      <c r="E109" s="86"/>
      <c r="F109" s="86"/>
      <c r="G109" s="86"/>
      <c r="H109" s="86"/>
      <c r="I109" s="86"/>
      <c r="J109" s="86"/>
      <c r="K109" s="86"/>
      <c r="L109" s="86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 outlineLevel="1" x14ac:dyDescent="0.3">
      <c r="A110" s="12"/>
      <c r="B110" s="255"/>
      <c r="C110" s="108">
        <f>C109+0.5%</f>
        <v>0.16</v>
      </c>
      <c r="D110" s="112"/>
      <c r="E110" s="86"/>
      <c r="F110" s="86"/>
      <c r="G110" s="86"/>
      <c r="H110" s="86"/>
      <c r="I110" s="86"/>
      <c r="J110" s="86"/>
      <c r="K110" s="86"/>
      <c r="L110" s="86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 outlineLevel="1" x14ac:dyDescent="0.3">
      <c r="A111" s="12"/>
      <c r="B111" s="256"/>
      <c r="C111" s="113">
        <f>C110+0.5%</f>
        <v>0.16500000000000001</v>
      </c>
      <c r="D111" s="112"/>
      <c r="E111" s="86"/>
      <c r="F111" s="86"/>
      <c r="G111" s="86"/>
      <c r="H111" s="86"/>
      <c r="I111" s="86"/>
      <c r="J111" s="86"/>
      <c r="K111" s="86"/>
      <c r="L111" s="86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 outlineLevel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 outlineLevel="1" x14ac:dyDescent="0.3">
      <c r="A113" s="12"/>
      <c r="B113" s="12" t="s">
        <v>222</v>
      </c>
      <c r="C113" s="82"/>
      <c r="D113" s="8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 outlineLevel="1" x14ac:dyDescent="0.3">
      <c r="A114" s="12"/>
      <c r="B114" s="82"/>
      <c r="C114" s="82"/>
      <c r="D114" s="8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 outlineLevel="1" x14ac:dyDescent="0.3">
      <c r="A115" s="12"/>
      <c r="B115" s="103"/>
      <c r="C115" s="104"/>
      <c r="D115" s="105" t="s">
        <v>223</v>
      </c>
      <c r="E115" s="105"/>
      <c r="F115" s="105"/>
      <c r="G115" s="105"/>
      <c r="H115" s="105"/>
      <c r="I115" s="105"/>
      <c r="J115" s="105"/>
      <c r="K115" s="105"/>
      <c r="L115" s="106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 outlineLevel="1" x14ac:dyDescent="0.3">
      <c r="A116" s="12"/>
      <c r="B116" s="107"/>
      <c r="C116" s="245">
        <f>$E$73</f>
        <v>0</v>
      </c>
      <c r="D116" s="240">
        <v>4</v>
      </c>
      <c r="E116" s="114">
        <f>D116+0.5</f>
        <v>4.5</v>
      </c>
      <c r="F116" s="114">
        <f>E116+0.5</f>
        <v>5</v>
      </c>
      <c r="G116" s="114">
        <f>F116+0.5</f>
        <v>5.5</v>
      </c>
      <c r="H116" s="240">
        <v>5.6970457537651606</v>
      </c>
      <c r="I116" s="240">
        <v>6</v>
      </c>
      <c r="J116" s="114">
        <f>I116+0.5</f>
        <v>6.5</v>
      </c>
      <c r="K116" s="114">
        <f>J116+0.5</f>
        <v>7</v>
      </c>
      <c r="L116" s="115">
        <f>K116+0.5</f>
        <v>7.5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 outlineLevel="1" x14ac:dyDescent="0.3">
      <c r="A117" s="12"/>
      <c r="B117" s="255" t="s">
        <v>221</v>
      </c>
      <c r="C117" s="108">
        <f t="shared" ref="C117:C125" si="6">C103</f>
        <v>0.13</v>
      </c>
      <c r="D117" s="116"/>
      <c r="E117" s="85"/>
      <c r="F117" s="85"/>
      <c r="G117" s="85"/>
      <c r="H117" s="85"/>
      <c r="I117" s="85"/>
      <c r="J117" s="85"/>
      <c r="K117" s="85"/>
      <c r="L117" s="85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 outlineLevel="1" x14ac:dyDescent="0.3">
      <c r="A118" s="12"/>
      <c r="B118" s="255"/>
      <c r="C118" s="108">
        <f t="shared" si="6"/>
        <v>0.13500000000000001</v>
      </c>
      <c r="D118" s="112"/>
      <c r="E118" s="86"/>
      <c r="F118" s="86"/>
      <c r="G118" s="86"/>
      <c r="H118" s="86"/>
      <c r="I118" s="86"/>
      <c r="J118" s="86"/>
      <c r="K118" s="86"/>
      <c r="L118" s="86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 outlineLevel="1" x14ac:dyDescent="0.3">
      <c r="A119" s="12"/>
      <c r="B119" s="255"/>
      <c r="C119" s="108">
        <f t="shared" si="6"/>
        <v>0.14000000000000001</v>
      </c>
      <c r="D119" s="112"/>
      <c r="E119" s="86"/>
      <c r="F119" s="86"/>
      <c r="G119" s="86"/>
      <c r="H119" s="86"/>
      <c r="I119" s="86"/>
      <c r="J119" s="86"/>
      <c r="K119" s="86"/>
      <c r="L119" s="86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 outlineLevel="1" x14ac:dyDescent="0.3">
      <c r="A120" s="12"/>
      <c r="B120" s="255"/>
      <c r="C120" s="108">
        <f t="shared" si="6"/>
        <v>0.14500000000000002</v>
      </c>
      <c r="D120" s="112"/>
      <c r="E120" s="86"/>
      <c r="F120" s="86"/>
      <c r="G120" s="86"/>
      <c r="H120" s="86"/>
      <c r="I120" s="86"/>
      <c r="J120" s="86"/>
      <c r="K120" s="86"/>
      <c r="L120" s="86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 outlineLevel="1" x14ac:dyDescent="0.3">
      <c r="A121" s="12"/>
      <c r="B121" s="255"/>
      <c r="C121" s="108">
        <f t="shared" si="6"/>
        <v>0.14844063269614838</v>
      </c>
      <c r="D121" s="112"/>
      <c r="E121" s="86"/>
      <c r="F121" s="86"/>
      <c r="G121" s="86"/>
      <c r="H121" s="86"/>
      <c r="I121" s="86"/>
      <c r="J121" s="86"/>
      <c r="K121" s="86"/>
      <c r="L121" s="86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 outlineLevel="1" x14ac:dyDescent="0.3">
      <c r="A122" s="12"/>
      <c r="B122" s="255"/>
      <c r="C122" s="108">
        <f t="shared" si="6"/>
        <v>0.15</v>
      </c>
      <c r="D122" s="112"/>
      <c r="E122" s="86"/>
      <c r="F122" s="86"/>
      <c r="G122" s="86"/>
      <c r="H122" s="86"/>
      <c r="I122" s="86"/>
      <c r="J122" s="86"/>
      <c r="K122" s="86"/>
      <c r="L122" s="86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 outlineLevel="1" x14ac:dyDescent="0.3">
      <c r="A123" s="12"/>
      <c r="B123" s="255"/>
      <c r="C123" s="108">
        <f t="shared" si="6"/>
        <v>0.155</v>
      </c>
      <c r="D123" s="112"/>
      <c r="E123" s="86"/>
      <c r="F123" s="86"/>
      <c r="G123" s="86"/>
      <c r="H123" s="86"/>
      <c r="I123" s="86"/>
      <c r="J123" s="86"/>
      <c r="K123" s="86"/>
      <c r="L123" s="86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 outlineLevel="1" x14ac:dyDescent="0.3">
      <c r="A124" s="12"/>
      <c r="B124" s="255"/>
      <c r="C124" s="108">
        <f t="shared" si="6"/>
        <v>0.16</v>
      </c>
      <c r="D124" s="112"/>
      <c r="E124" s="86"/>
      <c r="F124" s="86"/>
      <c r="G124" s="86"/>
      <c r="H124" s="86"/>
      <c r="I124" s="86"/>
      <c r="J124" s="86"/>
      <c r="K124" s="86"/>
      <c r="L124" s="86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 outlineLevel="1" x14ac:dyDescent="0.3">
      <c r="A125" s="12"/>
      <c r="B125" s="256"/>
      <c r="C125" s="113">
        <f t="shared" si="6"/>
        <v>0.16500000000000001</v>
      </c>
      <c r="D125" s="112"/>
      <c r="E125" s="86"/>
      <c r="F125" s="86"/>
      <c r="G125" s="86"/>
      <c r="H125" s="86"/>
      <c r="I125" s="86"/>
      <c r="J125" s="86"/>
      <c r="K125" s="86"/>
      <c r="L125" s="86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 outlineLevel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 outlineLevel="1" x14ac:dyDescent="0.3">
      <c r="A127" s="12"/>
      <c r="B127" s="12" t="s">
        <v>224</v>
      </c>
      <c r="C127" s="82"/>
      <c r="D127" s="8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 outlineLevel="1" x14ac:dyDescent="0.3">
      <c r="A128" s="12"/>
      <c r="B128" s="82"/>
      <c r="C128" s="82"/>
      <c r="D128" s="8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 outlineLevel="1" x14ac:dyDescent="0.3">
      <c r="A129" s="12"/>
      <c r="B129" s="103"/>
      <c r="C129" s="104"/>
      <c r="D129" s="105" t="s">
        <v>161</v>
      </c>
      <c r="E129" s="105"/>
      <c r="F129" s="105"/>
      <c r="G129" s="105"/>
      <c r="H129" s="105"/>
      <c r="I129" s="105"/>
      <c r="J129" s="105"/>
      <c r="K129" s="105"/>
      <c r="L129" s="106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 outlineLevel="1" x14ac:dyDescent="0.3">
      <c r="A130" s="12"/>
      <c r="B130" s="107"/>
      <c r="C130" s="245">
        <f>$O$73</f>
        <v>0</v>
      </c>
      <c r="D130" s="241">
        <v>0</v>
      </c>
      <c r="E130" s="117">
        <f t="shared" ref="E130:L130" si="7">D130+5%</f>
        <v>0.05</v>
      </c>
      <c r="F130" s="117">
        <f t="shared" si="7"/>
        <v>0.1</v>
      </c>
      <c r="G130" s="117">
        <f t="shared" si="7"/>
        <v>0.15000000000000002</v>
      </c>
      <c r="H130" s="117">
        <f t="shared" si="7"/>
        <v>0.2</v>
      </c>
      <c r="I130" s="117">
        <f t="shared" si="7"/>
        <v>0.25</v>
      </c>
      <c r="J130" s="117">
        <f t="shared" si="7"/>
        <v>0.3</v>
      </c>
      <c r="K130" s="117">
        <f t="shared" si="7"/>
        <v>0.35</v>
      </c>
      <c r="L130" s="118">
        <f t="shared" si="7"/>
        <v>0.39999999999999997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 outlineLevel="1" x14ac:dyDescent="0.3">
      <c r="A131" s="12"/>
      <c r="B131" s="255" t="s">
        <v>221</v>
      </c>
      <c r="C131" s="108">
        <f t="shared" ref="C131:C139" si="8">C117</f>
        <v>0.13</v>
      </c>
      <c r="D131" s="116"/>
      <c r="E131" s="85"/>
      <c r="F131" s="85"/>
      <c r="G131" s="85"/>
      <c r="H131" s="85"/>
      <c r="I131" s="85"/>
      <c r="J131" s="85"/>
      <c r="K131" s="85"/>
      <c r="L131" s="85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 outlineLevel="1" x14ac:dyDescent="0.3">
      <c r="A132" s="12"/>
      <c r="B132" s="255"/>
      <c r="C132" s="108">
        <f t="shared" si="8"/>
        <v>0.13500000000000001</v>
      </c>
      <c r="D132" s="112"/>
      <c r="E132" s="86"/>
      <c r="F132" s="86"/>
      <c r="G132" s="86"/>
      <c r="H132" s="86"/>
      <c r="I132" s="86"/>
      <c r="J132" s="86"/>
      <c r="K132" s="86"/>
      <c r="L132" s="86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 outlineLevel="1" x14ac:dyDescent="0.3">
      <c r="A133" s="12"/>
      <c r="B133" s="255"/>
      <c r="C133" s="108">
        <f t="shared" si="8"/>
        <v>0.14000000000000001</v>
      </c>
      <c r="D133" s="112"/>
      <c r="E133" s="86"/>
      <c r="F133" s="86"/>
      <c r="G133" s="86"/>
      <c r="H133" s="86"/>
      <c r="I133" s="86"/>
      <c r="J133" s="86"/>
      <c r="K133" s="86"/>
      <c r="L133" s="86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 outlineLevel="1" x14ac:dyDescent="0.3">
      <c r="A134" s="12"/>
      <c r="B134" s="255"/>
      <c r="C134" s="108">
        <f t="shared" si="8"/>
        <v>0.14500000000000002</v>
      </c>
      <c r="D134" s="112"/>
      <c r="E134" s="86"/>
      <c r="F134" s="86"/>
      <c r="G134" s="86"/>
      <c r="H134" s="86"/>
      <c r="I134" s="86"/>
      <c r="J134" s="86"/>
      <c r="K134" s="86"/>
      <c r="L134" s="86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 outlineLevel="1" x14ac:dyDescent="0.3">
      <c r="A135" s="12"/>
      <c r="B135" s="255"/>
      <c r="C135" s="108">
        <f t="shared" si="8"/>
        <v>0.14844063269614838</v>
      </c>
      <c r="D135" s="112"/>
      <c r="E135" s="86"/>
      <c r="F135" s="86"/>
      <c r="G135" s="86"/>
      <c r="H135" s="86"/>
      <c r="I135" s="86"/>
      <c r="J135" s="86"/>
      <c r="K135" s="86"/>
      <c r="L135" s="86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 outlineLevel="1" x14ac:dyDescent="0.3">
      <c r="A136" s="12"/>
      <c r="B136" s="255"/>
      <c r="C136" s="108">
        <f t="shared" si="8"/>
        <v>0.15</v>
      </c>
      <c r="D136" s="112"/>
      <c r="E136" s="86"/>
      <c r="F136" s="86"/>
      <c r="G136" s="86"/>
      <c r="H136" s="86"/>
      <c r="I136" s="86"/>
      <c r="J136" s="86"/>
      <c r="K136" s="86"/>
      <c r="L136" s="86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 outlineLevel="1" x14ac:dyDescent="0.3">
      <c r="A137" s="12"/>
      <c r="B137" s="255"/>
      <c r="C137" s="108">
        <f t="shared" si="8"/>
        <v>0.155</v>
      </c>
      <c r="D137" s="112"/>
      <c r="E137" s="86"/>
      <c r="F137" s="86"/>
      <c r="G137" s="86"/>
      <c r="H137" s="86"/>
      <c r="I137" s="86"/>
      <c r="J137" s="86"/>
      <c r="K137" s="86"/>
      <c r="L137" s="86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 outlineLevel="1" x14ac:dyDescent="0.3">
      <c r="A138" s="12"/>
      <c r="B138" s="255"/>
      <c r="C138" s="108">
        <f t="shared" si="8"/>
        <v>0.16</v>
      </c>
      <c r="D138" s="112"/>
      <c r="E138" s="86"/>
      <c r="F138" s="86"/>
      <c r="G138" s="86"/>
      <c r="H138" s="86"/>
      <c r="I138" s="86"/>
      <c r="J138" s="86"/>
      <c r="K138" s="86"/>
      <c r="L138" s="86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 outlineLevel="1" x14ac:dyDescent="0.3">
      <c r="A139" s="12"/>
      <c r="B139" s="256"/>
      <c r="C139" s="113">
        <f t="shared" si="8"/>
        <v>0.16500000000000001</v>
      </c>
      <c r="D139" s="112"/>
      <c r="E139" s="86"/>
      <c r="F139" s="86"/>
      <c r="G139" s="86"/>
      <c r="H139" s="86"/>
      <c r="I139" s="86"/>
      <c r="J139" s="86"/>
      <c r="K139" s="86"/>
      <c r="L139" s="86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 outlineLevel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 outlineLevel="1" x14ac:dyDescent="0.3">
      <c r="A141" s="12"/>
      <c r="B141" s="12" t="s">
        <v>225</v>
      </c>
      <c r="C141" s="82"/>
      <c r="D141" s="8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 outlineLevel="1" x14ac:dyDescent="0.3">
      <c r="A142" s="12"/>
      <c r="B142" s="82"/>
      <c r="C142" s="82"/>
      <c r="D142" s="8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 outlineLevel="1" x14ac:dyDescent="0.3">
      <c r="A143" s="12"/>
      <c r="B143" s="103"/>
      <c r="C143" s="104"/>
      <c r="D143" s="105" t="s">
        <v>226</v>
      </c>
      <c r="E143" s="105"/>
      <c r="F143" s="105"/>
      <c r="G143" s="105"/>
      <c r="H143" s="105"/>
      <c r="I143" s="105"/>
      <c r="J143" s="105"/>
      <c r="K143" s="105"/>
      <c r="L143" s="106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 outlineLevel="1" x14ac:dyDescent="0.3">
      <c r="A144" s="12"/>
      <c r="B144" s="107"/>
      <c r="C144" s="245">
        <f>$T$73</f>
        <v>0</v>
      </c>
      <c r="D144" s="241">
        <v>-0.4</v>
      </c>
      <c r="E144" s="117">
        <f t="shared" ref="E144:L144" si="9">D144+5%</f>
        <v>-0.35000000000000003</v>
      </c>
      <c r="F144" s="117">
        <f t="shared" si="9"/>
        <v>-0.30000000000000004</v>
      </c>
      <c r="G144" s="117">
        <f t="shared" si="9"/>
        <v>-0.25000000000000006</v>
      </c>
      <c r="H144" s="117">
        <f t="shared" si="9"/>
        <v>-0.20000000000000007</v>
      </c>
      <c r="I144" s="117">
        <f t="shared" si="9"/>
        <v>-0.15000000000000008</v>
      </c>
      <c r="J144" s="117">
        <f t="shared" si="9"/>
        <v>-0.10000000000000007</v>
      </c>
      <c r="K144" s="117">
        <f t="shared" si="9"/>
        <v>-5.0000000000000072E-2</v>
      </c>
      <c r="L144" s="118">
        <f t="shared" si="9"/>
        <v>-6.9388939039072284E-17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 outlineLevel="1" x14ac:dyDescent="0.3">
      <c r="A145" s="12"/>
      <c r="B145" s="255" t="s">
        <v>221</v>
      </c>
      <c r="C145" s="108">
        <f t="shared" ref="C145:C153" si="10">C131</f>
        <v>0.13</v>
      </c>
      <c r="D145" s="116"/>
      <c r="E145" s="85"/>
      <c r="F145" s="85"/>
      <c r="G145" s="85"/>
      <c r="H145" s="85"/>
      <c r="I145" s="85"/>
      <c r="J145" s="85"/>
      <c r="K145" s="85"/>
      <c r="L145" s="85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 outlineLevel="1" x14ac:dyDescent="0.3">
      <c r="A146" s="12"/>
      <c r="B146" s="255"/>
      <c r="C146" s="108">
        <f t="shared" si="10"/>
        <v>0.13500000000000001</v>
      </c>
      <c r="D146" s="112"/>
      <c r="E146" s="86"/>
      <c r="F146" s="86"/>
      <c r="G146" s="86"/>
      <c r="H146" s="86"/>
      <c r="I146" s="86"/>
      <c r="J146" s="86"/>
      <c r="K146" s="86"/>
      <c r="L146" s="86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 outlineLevel="1" x14ac:dyDescent="0.3">
      <c r="A147" s="12"/>
      <c r="B147" s="255"/>
      <c r="C147" s="108">
        <f t="shared" si="10"/>
        <v>0.14000000000000001</v>
      </c>
      <c r="D147" s="112"/>
      <c r="E147" s="86"/>
      <c r="F147" s="86"/>
      <c r="G147" s="86"/>
      <c r="H147" s="86"/>
      <c r="I147" s="86"/>
      <c r="J147" s="86"/>
      <c r="K147" s="86"/>
      <c r="L147" s="86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 outlineLevel="1" x14ac:dyDescent="0.3">
      <c r="A148" s="12"/>
      <c r="B148" s="255"/>
      <c r="C148" s="108">
        <f t="shared" si="10"/>
        <v>0.14500000000000002</v>
      </c>
      <c r="D148" s="112"/>
      <c r="E148" s="86"/>
      <c r="F148" s="86"/>
      <c r="G148" s="86"/>
      <c r="H148" s="86"/>
      <c r="I148" s="86"/>
      <c r="J148" s="86"/>
      <c r="K148" s="86"/>
      <c r="L148" s="86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 outlineLevel="1" x14ac:dyDescent="0.3">
      <c r="A149" s="12"/>
      <c r="B149" s="255"/>
      <c r="C149" s="108">
        <f t="shared" si="10"/>
        <v>0.14844063269614838</v>
      </c>
      <c r="D149" s="112"/>
      <c r="E149" s="86"/>
      <c r="F149" s="86"/>
      <c r="G149" s="86"/>
      <c r="H149" s="86"/>
      <c r="I149" s="86"/>
      <c r="J149" s="86"/>
      <c r="K149" s="86"/>
      <c r="L149" s="86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 outlineLevel="1" x14ac:dyDescent="0.3">
      <c r="A150" s="12"/>
      <c r="B150" s="255"/>
      <c r="C150" s="108">
        <f t="shared" si="10"/>
        <v>0.15</v>
      </c>
      <c r="D150" s="112"/>
      <c r="E150" s="86"/>
      <c r="F150" s="86"/>
      <c r="G150" s="86"/>
      <c r="H150" s="86"/>
      <c r="I150" s="86"/>
      <c r="J150" s="86"/>
      <c r="K150" s="86"/>
      <c r="L150" s="86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 outlineLevel="1" x14ac:dyDescent="0.3">
      <c r="A151" s="12"/>
      <c r="B151" s="255"/>
      <c r="C151" s="108">
        <f t="shared" si="10"/>
        <v>0.155</v>
      </c>
      <c r="D151" s="112"/>
      <c r="E151" s="86"/>
      <c r="F151" s="86"/>
      <c r="G151" s="86"/>
      <c r="H151" s="86"/>
      <c r="I151" s="86"/>
      <c r="J151" s="86"/>
      <c r="K151" s="86"/>
      <c r="L151" s="86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 outlineLevel="1" x14ac:dyDescent="0.3">
      <c r="A152" s="12"/>
      <c r="B152" s="255"/>
      <c r="C152" s="108">
        <f t="shared" si="10"/>
        <v>0.16</v>
      </c>
      <c r="D152" s="112"/>
      <c r="E152" s="86"/>
      <c r="F152" s="86"/>
      <c r="G152" s="86"/>
      <c r="H152" s="86"/>
      <c r="I152" s="86"/>
      <c r="J152" s="86"/>
      <c r="K152" s="86"/>
      <c r="L152" s="86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 outlineLevel="1" x14ac:dyDescent="0.3">
      <c r="A153" s="12"/>
      <c r="B153" s="256"/>
      <c r="C153" s="113">
        <f t="shared" si="10"/>
        <v>0.16500000000000001</v>
      </c>
      <c r="D153" s="112"/>
      <c r="E153" s="86"/>
      <c r="F153" s="86"/>
      <c r="G153" s="86"/>
      <c r="H153" s="86"/>
      <c r="I153" s="86"/>
      <c r="J153" s="86"/>
      <c r="K153" s="86"/>
      <c r="L153" s="86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</sheetData>
  <mergeCells count="4">
    <mergeCell ref="B103:B111"/>
    <mergeCell ref="B117:B125"/>
    <mergeCell ref="B131:B139"/>
    <mergeCell ref="B145:B153"/>
  </mergeCells>
  <pageMargins left="0.7" right="0.7" top="0.75" bottom="0.75" header="0.3" footer="0.3"/>
  <pageSetup scale="67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sheetPr>
    <tabColor rgb="FF1F3864"/>
  </sheetPr>
  <dimension ref="A1:W35"/>
  <sheetViews>
    <sheetView showGridLines="0" workbookViewId="0"/>
  </sheetViews>
  <sheetFormatPr defaultColWidth="9.109375" defaultRowHeight="15.6" outlineLevelCol="1" x14ac:dyDescent="0.3"/>
  <cols>
    <col min="1" max="1" width="3.33203125" style="2" customWidth="1"/>
    <col min="2" max="2" width="41" style="2" customWidth="1"/>
    <col min="3" max="3" width="14.4414062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09375" style="2"/>
    <col min="22" max="22" width="2.6640625" style="2" customWidth="1"/>
    <col min="23" max="23" width="2.6640625" customWidth="1"/>
    <col min="24" max="16384" width="9.109375" style="2"/>
  </cols>
  <sheetData>
    <row r="1" spans="1:21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1" ht="18.75" customHeight="1" x14ac:dyDescent="0.35">
      <c r="A2" s="80"/>
      <c r="B2" s="217" t="s">
        <v>266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15.75" customHeight="1" x14ac:dyDescent="0.3">
      <c r="A3" s="80"/>
      <c r="B3" s="80" t="s">
        <v>267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ht="15.75" customHeight="1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spans="1:21" ht="15.75" customHeight="1" x14ac:dyDescent="0.3">
      <c r="A5" s="80"/>
      <c r="B5" s="166" t="s">
        <v>268</v>
      </c>
      <c r="C5" s="94"/>
      <c r="D5" s="94"/>
      <c r="E5" s="167" t="s">
        <v>269</v>
      </c>
      <c r="F5" s="167"/>
      <c r="G5" s="167"/>
      <c r="H5" s="167"/>
      <c r="I5" s="168"/>
      <c r="J5" s="169"/>
      <c r="K5" s="169"/>
      <c r="L5" s="94"/>
      <c r="M5" s="94"/>
      <c r="N5" s="94"/>
      <c r="O5" s="167"/>
      <c r="P5" s="169"/>
      <c r="Q5" s="169"/>
      <c r="R5" s="94"/>
      <c r="S5" s="94"/>
      <c r="T5" s="94"/>
      <c r="U5" s="170"/>
    </row>
    <row r="6" spans="1:21" ht="15.75" customHeight="1" x14ac:dyDescent="0.3">
      <c r="A6" s="80"/>
      <c r="B6" s="171"/>
      <c r="C6" s="80"/>
      <c r="D6" s="133" t="s">
        <v>270</v>
      </c>
      <c r="E6" s="133" t="s">
        <v>237</v>
      </c>
      <c r="F6" s="133"/>
      <c r="G6" s="133" t="s">
        <v>236</v>
      </c>
      <c r="H6" s="133" t="s">
        <v>271</v>
      </c>
      <c r="I6" s="172" t="s">
        <v>272</v>
      </c>
      <c r="J6" s="173"/>
      <c r="K6" s="173"/>
      <c r="L6" s="172" t="s">
        <v>273</v>
      </c>
      <c r="M6" s="172"/>
      <c r="N6" s="172"/>
      <c r="O6" s="172" t="s">
        <v>274</v>
      </c>
      <c r="P6" s="172"/>
      <c r="Q6" s="172"/>
      <c r="R6" s="172" t="s">
        <v>275</v>
      </c>
      <c r="S6" s="172"/>
      <c r="T6" s="172"/>
      <c r="U6" s="174"/>
    </row>
    <row r="7" spans="1:21" ht="15.75" customHeight="1" x14ac:dyDescent="0.3">
      <c r="A7" s="80"/>
      <c r="B7" s="175" t="s">
        <v>276</v>
      </c>
      <c r="C7" s="90" t="s">
        <v>240</v>
      </c>
      <c r="D7" s="176" t="s">
        <v>277</v>
      </c>
      <c r="E7" s="176" t="s">
        <v>246</v>
      </c>
      <c r="F7" s="176" t="s">
        <v>242</v>
      </c>
      <c r="G7" s="176" t="s">
        <v>244</v>
      </c>
      <c r="H7" s="176" t="s">
        <v>246</v>
      </c>
      <c r="I7" s="177" t="s">
        <v>278</v>
      </c>
      <c r="J7" s="178" t="s">
        <v>279</v>
      </c>
      <c r="K7" s="178" t="s">
        <v>280</v>
      </c>
      <c r="L7" s="177" t="str">
        <f>$I$7</f>
        <v>LTM</v>
      </c>
      <c r="M7" s="178" t="str">
        <f>$J$7</f>
        <v>Forward Year 1</v>
      </c>
      <c r="N7" s="178" t="str">
        <f>$K$7</f>
        <v>Forward Year 2</v>
      </c>
      <c r="O7" s="177" t="str">
        <f>$I$7</f>
        <v>LTM</v>
      </c>
      <c r="P7" s="178" t="str">
        <f>$J$7</f>
        <v>Forward Year 1</v>
      </c>
      <c r="Q7" s="178" t="str">
        <f>$K$7</f>
        <v>Forward Year 2</v>
      </c>
      <c r="R7" s="177" t="str">
        <f>$I$7</f>
        <v>LTM</v>
      </c>
      <c r="S7" s="178" t="str">
        <f>$J$7</f>
        <v>Forward Year 1</v>
      </c>
      <c r="T7" s="178" t="str">
        <f>$K$7</f>
        <v>Forward Year 2</v>
      </c>
      <c r="U7" s="179" t="s">
        <v>241</v>
      </c>
    </row>
    <row r="8" spans="1:21" ht="15.75" customHeight="1" x14ac:dyDescent="0.3">
      <c r="A8" s="80"/>
      <c r="B8" s="80" t="s">
        <v>249</v>
      </c>
      <c r="C8" s="80" t="s">
        <v>250</v>
      </c>
      <c r="D8" s="242">
        <v>19.690000000000001</v>
      </c>
      <c r="E8" s="243">
        <v>1924.6975000000002</v>
      </c>
      <c r="F8" s="243">
        <v>522.4</v>
      </c>
      <c r="G8" s="243">
        <v>0</v>
      </c>
      <c r="H8" s="243">
        <v>2280.3975</v>
      </c>
      <c r="I8" s="243">
        <v>474.6</v>
      </c>
      <c r="J8" s="243">
        <v>542.5</v>
      </c>
      <c r="K8" s="243">
        <v>616.1</v>
      </c>
      <c r="L8" s="243">
        <v>127.4</v>
      </c>
      <c r="M8" s="243">
        <v>143.6</v>
      </c>
      <c r="N8" s="243">
        <v>169.6</v>
      </c>
      <c r="O8" s="181">
        <f t="shared" ref="O8:Q13" si="0">IFERROR(+L8/I8,"N/A")</f>
        <v>0.26843657817109146</v>
      </c>
      <c r="P8" s="181">
        <f t="shared" si="0"/>
        <v>0.26470046082949306</v>
      </c>
      <c r="Q8" s="181">
        <f t="shared" si="0"/>
        <v>0.27527998701509493</v>
      </c>
      <c r="R8" s="243">
        <v>26.392500000000002</v>
      </c>
      <c r="S8" s="243">
        <v>61.582500000000003</v>
      </c>
      <c r="T8" s="243">
        <v>78.2</v>
      </c>
      <c r="U8" s="244">
        <v>0.32</v>
      </c>
    </row>
    <row r="9" spans="1:21" ht="15.75" customHeight="1" x14ac:dyDescent="0.3">
      <c r="A9" s="80"/>
      <c r="B9" s="80" t="s">
        <v>251</v>
      </c>
      <c r="C9" s="80" t="s">
        <v>252</v>
      </c>
      <c r="D9" s="215">
        <v>62.14</v>
      </c>
      <c r="E9" s="216">
        <v>671.11200000000008</v>
      </c>
      <c r="F9" s="216">
        <v>118.75</v>
      </c>
      <c r="G9" s="216">
        <v>0</v>
      </c>
      <c r="H9" s="216">
        <v>627.58200000000011</v>
      </c>
      <c r="I9" s="216">
        <v>446.041</v>
      </c>
      <c r="J9" s="216">
        <v>431.62</v>
      </c>
      <c r="K9" s="216">
        <v>443.6</v>
      </c>
      <c r="L9" s="216">
        <v>102.377</v>
      </c>
      <c r="M9" s="216">
        <v>95.6</v>
      </c>
      <c r="N9" s="216">
        <v>104.3</v>
      </c>
      <c r="O9" s="181">
        <f t="shared" si="0"/>
        <v>0.22952374333301198</v>
      </c>
      <c r="P9" s="181">
        <f t="shared" si="0"/>
        <v>0.2214911264538251</v>
      </c>
      <c r="Q9" s="181">
        <f t="shared" si="0"/>
        <v>0.23512173128944994</v>
      </c>
      <c r="R9" s="216">
        <v>46.36</v>
      </c>
      <c r="S9" s="216">
        <v>36.828000000000003</v>
      </c>
      <c r="T9" s="216">
        <v>41.472000000000001</v>
      </c>
      <c r="U9" s="244">
        <v>1.55</v>
      </c>
    </row>
    <row r="10" spans="1:21" ht="15.75" customHeight="1" x14ac:dyDescent="0.3">
      <c r="A10" s="80"/>
      <c r="B10" s="80" t="s">
        <v>253</v>
      </c>
      <c r="C10" s="80" t="s">
        <v>254</v>
      </c>
      <c r="D10" s="215">
        <v>65.400000000000006</v>
      </c>
      <c r="E10" s="216">
        <v>800.49600000000009</v>
      </c>
      <c r="F10" s="216">
        <v>0</v>
      </c>
      <c r="G10" s="216">
        <v>0</v>
      </c>
      <c r="H10" s="216">
        <v>633.44400000000007</v>
      </c>
      <c r="I10" s="216">
        <v>421.96699999999998</v>
      </c>
      <c r="J10" s="216">
        <v>440.8</v>
      </c>
      <c r="K10" s="216">
        <v>463.93</v>
      </c>
      <c r="L10" s="216">
        <v>90.582999999999998</v>
      </c>
      <c r="M10" s="216">
        <v>95</v>
      </c>
      <c r="N10" s="216">
        <v>99.1</v>
      </c>
      <c r="O10" s="181">
        <f t="shared" si="0"/>
        <v>0.21466844563674412</v>
      </c>
      <c r="P10" s="181">
        <f t="shared" si="0"/>
        <v>0.21551724137931033</v>
      </c>
      <c r="Q10" s="181">
        <f t="shared" si="0"/>
        <v>0.21360981182505981</v>
      </c>
      <c r="R10" s="216">
        <v>37.942999999999998</v>
      </c>
      <c r="S10" s="216">
        <v>42.228000000000002</v>
      </c>
      <c r="T10" s="216">
        <v>46.512</v>
      </c>
      <c r="U10" s="244">
        <v>1.1100000000000001</v>
      </c>
    </row>
    <row r="11" spans="1:21" ht="15.75" customHeight="1" x14ac:dyDescent="0.3">
      <c r="A11" s="80"/>
      <c r="B11" s="80" t="s">
        <v>255</v>
      </c>
      <c r="C11" s="80" t="s">
        <v>256</v>
      </c>
      <c r="D11" s="215">
        <v>34.479999999999997</v>
      </c>
      <c r="E11" s="216">
        <v>595.12480000000005</v>
      </c>
      <c r="F11" s="216">
        <v>0</v>
      </c>
      <c r="G11" s="216">
        <v>0</v>
      </c>
      <c r="H11" s="216">
        <v>474.29580000000004</v>
      </c>
      <c r="I11" s="216">
        <v>348.72</v>
      </c>
      <c r="J11" s="216">
        <v>368.86</v>
      </c>
      <c r="K11" s="216">
        <v>385.2</v>
      </c>
      <c r="L11" s="216">
        <v>74.099999999999994</v>
      </c>
      <c r="M11" s="216">
        <v>75.3</v>
      </c>
      <c r="N11" s="216">
        <v>80.099999999999994</v>
      </c>
      <c r="O11" s="181">
        <f t="shared" si="0"/>
        <v>0.21249139710942874</v>
      </c>
      <c r="P11" s="181">
        <f t="shared" si="0"/>
        <v>0.20414249308680799</v>
      </c>
      <c r="Q11" s="181">
        <f t="shared" si="0"/>
        <v>0.20794392523364486</v>
      </c>
      <c r="R11" s="216">
        <v>37.799400000000006</v>
      </c>
      <c r="S11" s="216">
        <v>40.906200000000005</v>
      </c>
      <c r="T11" s="216">
        <v>43.495200000000004</v>
      </c>
      <c r="U11" s="244">
        <v>1.1499999999999999</v>
      </c>
    </row>
    <row r="12" spans="1:21" ht="15.75" customHeight="1" x14ac:dyDescent="0.3">
      <c r="A12" s="80"/>
      <c r="B12" s="80" t="s">
        <v>257</v>
      </c>
      <c r="C12" s="80" t="s">
        <v>258</v>
      </c>
      <c r="D12" s="215">
        <v>2.2000000000000002</v>
      </c>
      <c r="E12" s="216">
        <v>52.910000000000004</v>
      </c>
      <c r="F12" s="216">
        <v>43.903999999999989</v>
      </c>
      <c r="G12" s="216">
        <v>0</v>
      </c>
      <c r="H12" s="216">
        <v>77.801999999999992</v>
      </c>
      <c r="I12" s="216">
        <v>330.24900000000002</v>
      </c>
      <c r="J12" s="216">
        <v>320</v>
      </c>
      <c r="K12" s="216">
        <v>339.06</v>
      </c>
      <c r="L12" s="216">
        <v>-34.301000000000002</v>
      </c>
      <c r="M12" s="216">
        <v>-45</v>
      </c>
      <c r="N12" s="216">
        <v>-15.6</v>
      </c>
      <c r="O12" s="181">
        <f t="shared" si="0"/>
        <v>-0.10386405409251807</v>
      </c>
      <c r="P12" s="181">
        <f t="shared" si="0"/>
        <v>-0.140625</v>
      </c>
      <c r="Q12" s="181">
        <f t="shared" si="0"/>
        <v>-4.6009555830826401E-2</v>
      </c>
      <c r="R12" s="216">
        <v>-75.390000000000015</v>
      </c>
      <c r="S12" s="216">
        <v>-18.759</v>
      </c>
      <c r="T12" s="216">
        <v>-3.3670000000000004</v>
      </c>
      <c r="U12" s="244">
        <v>2.11</v>
      </c>
    </row>
    <row r="13" spans="1:21" ht="15.75" customHeight="1" x14ac:dyDescent="0.3">
      <c r="A13" s="80"/>
      <c r="B13" s="80" t="s">
        <v>259</v>
      </c>
      <c r="C13" s="80" t="s">
        <v>260</v>
      </c>
      <c r="D13" s="215">
        <v>3.26</v>
      </c>
      <c r="E13" s="216">
        <v>82.086799999999997</v>
      </c>
      <c r="F13" s="216">
        <v>12.302999999999999</v>
      </c>
      <c r="G13" s="216">
        <v>0</v>
      </c>
      <c r="H13" s="216">
        <v>74.654799999999994</v>
      </c>
      <c r="I13" s="216">
        <v>127.753</v>
      </c>
      <c r="J13" s="216">
        <v>119.63</v>
      </c>
      <c r="K13" s="216">
        <v>124.21</v>
      </c>
      <c r="L13" s="216">
        <v>12.722999999999999</v>
      </c>
      <c r="M13" s="216">
        <v>11.1</v>
      </c>
      <c r="N13" s="216">
        <v>15.2</v>
      </c>
      <c r="O13" s="181">
        <f t="shared" si="0"/>
        <v>9.9590616267328347E-2</v>
      </c>
      <c r="P13" s="181">
        <f t="shared" si="0"/>
        <v>9.2786090445540412E-2</v>
      </c>
      <c r="Q13" s="181">
        <f t="shared" si="0"/>
        <v>0.12237339988728765</v>
      </c>
      <c r="R13" s="216">
        <v>3.468</v>
      </c>
      <c r="S13" s="216">
        <v>6.0431999999999997</v>
      </c>
      <c r="T13" s="216">
        <v>6.7986000000000004</v>
      </c>
      <c r="U13" s="244">
        <v>1.25</v>
      </c>
    </row>
    <row r="14" spans="1:21" ht="15.75" customHeight="1" x14ac:dyDescent="0.3">
      <c r="A14" s="80"/>
      <c r="B14" s="80"/>
      <c r="C14" s="80"/>
      <c r="D14" s="183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5"/>
      <c r="P14" s="185"/>
      <c r="Q14" s="185"/>
      <c r="R14" s="184"/>
      <c r="S14" s="184"/>
      <c r="T14" s="184"/>
      <c r="U14" s="182"/>
    </row>
    <row r="15" spans="1:21" ht="15.75" customHeight="1" x14ac:dyDescent="0.3">
      <c r="A15" s="80"/>
      <c r="B15" s="186" t="s">
        <v>281</v>
      </c>
      <c r="C15" s="94"/>
      <c r="D15" s="187">
        <f t="shared" ref="D15:U15" si="1">MAX(D8:D13)</f>
        <v>65.400000000000006</v>
      </c>
      <c r="E15" s="188">
        <f t="shared" si="1"/>
        <v>1924.6975000000002</v>
      </c>
      <c r="F15" s="188">
        <f t="shared" si="1"/>
        <v>522.4</v>
      </c>
      <c r="G15" s="188">
        <f t="shared" si="1"/>
        <v>0</v>
      </c>
      <c r="H15" s="188">
        <f t="shared" si="1"/>
        <v>2280.3975</v>
      </c>
      <c r="I15" s="188">
        <f t="shared" si="1"/>
        <v>474.6</v>
      </c>
      <c r="J15" s="188">
        <f t="shared" si="1"/>
        <v>542.5</v>
      </c>
      <c r="K15" s="188">
        <f t="shared" si="1"/>
        <v>616.1</v>
      </c>
      <c r="L15" s="188">
        <f t="shared" si="1"/>
        <v>127.4</v>
      </c>
      <c r="M15" s="188">
        <f t="shared" si="1"/>
        <v>143.6</v>
      </c>
      <c r="N15" s="188">
        <f t="shared" si="1"/>
        <v>169.6</v>
      </c>
      <c r="O15" s="189">
        <f t="shared" si="1"/>
        <v>0.26843657817109146</v>
      </c>
      <c r="P15" s="189">
        <f t="shared" si="1"/>
        <v>0.26470046082949306</v>
      </c>
      <c r="Q15" s="189">
        <f t="shared" si="1"/>
        <v>0.27527998701509493</v>
      </c>
      <c r="R15" s="188">
        <f t="shared" si="1"/>
        <v>46.36</v>
      </c>
      <c r="S15" s="188">
        <f t="shared" si="1"/>
        <v>61.582500000000003</v>
      </c>
      <c r="T15" s="188">
        <f t="shared" si="1"/>
        <v>78.2</v>
      </c>
      <c r="U15" s="190">
        <f t="shared" si="1"/>
        <v>2.11</v>
      </c>
    </row>
    <row r="16" spans="1:21" ht="15.75" customHeight="1" x14ac:dyDescent="0.3">
      <c r="A16" s="80"/>
      <c r="B16" s="171" t="s">
        <v>282</v>
      </c>
      <c r="C16" s="80"/>
      <c r="D16" s="191">
        <f t="shared" ref="D16:U16" si="2">QUARTILE(D8:D13,3)</f>
        <v>55.225000000000001</v>
      </c>
      <c r="E16" s="192">
        <f t="shared" si="2"/>
        <v>768.15000000000009</v>
      </c>
      <c r="F16" s="192">
        <f t="shared" si="2"/>
        <v>100.0385</v>
      </c>
      <c r="G16" s="192">
        <f t="shared" si="2"/>
        <v>0</v>
      </c>
      <c r="H16" s="192">
        <f t="shared" si="2"/>
        <v>631.97850000000005</v>
      </c>
      <c r="I16" s="192">
        <f t="shared" si="2"/>
        <v>440.02249999999998</v>
      </c>
      <c r="J16" s="192">
        <f t="shared" si="2"/>
        <v>438.505</v>
      </c>
      <c r="K16" s="192">
        <f t="shared" si="2"/>
        <v>458.84750000000003</v>
      </c>
      <c r="L16" s="192">
        <f t="shared" si="2"/>
        <v>99.4285</v>
      </c>
      <c r="M16" s="192">
        <f t="shared" si="2"/>
        <v>95.449999999999989</v>
      </c>
      <c r="N16" s="192">
        <f t="shared" si="2"/>
        <v>103</v>
      </c>
      <c r="O16" s="181">
        <f t="shared" si="2"/>
        <v>0.22580991890894503</v>
      </c>
      <c r="P16" s="181">
        <f t="shared" si="2"/>
        <v>0.2199976551851964</v>
      </c>
      <c r="Q16" s="181">
        <f t="shared" si="2"/>
        <v>0.2297437514233524</v>
      </c>
      <c r="R16" s="192">
        <f t="shared" si="2"/>
        <v>37.9071</v>
      </c>
      <c r="S16" s="192">
        <f t="shared" si="2"/>
        <v>41.897550000000003</v>
      </c>
      <c r="T16" s="192">
        <f t="shared" si="2"/>
        <v>45.757800000000003</v>
      </c>
      <c r="U16" s="193">
        <f t="shared" si="2"/>
        <v>1.4750000000000001</v>
      </c>
    </row>
    <row r="17" spans="1:21" ht="15.75" customHeight="1" x14ac:dyDescent="0.3">
      <c r="A17" s="80"/>
      <c r="B17" s="194" t="s">
        <v>283</v>
      </c>
      <c r="C17" s="195"/>
      <c r="D17" s="196">
        <f t="shared" ref="D17:U17" si="3">MEDIAN(D8:D13)</f>
        <v>27.085000000000001</v>
      </c>
      <c r="E17" s="197">
        <f t="shared" si="3"/>
        <v>633.11840000000007</v>
      </c>
      <c r="F17" s="197">
        <f t="shared" si="3"/>
        <v>28.103499999999997</v>
      </c>
      <c r="G17" s="197">
        <f t="shared" si="3"/>
        <v>0</v>
      </c>
      <c r="H17" s="197">
        <f t="shared" si="3"/>
        <v>550.9389000000001</v>
      </c>
      <c r="I17" s="197">
        <f t="shared" si="3"/>
        <v>385.34350000000001</v>
      </c>
      <c r="J17" s="197">
        <f t="shared" si="3"/>
        <v>400.24</v>
      </c>
      <c r="K17" s="197">
        <f t="shared" si="3"/>
        <v>414.4</v>
      </c>
      <c r="L17" s="197">
        <f t="shared" si="3"/>
        <v>82.341499999999996</v>
      </c>
      <c r="M17" s="197">
        <f t="shared" si="3"/>
        <v>85.15</v>
      </c>
      <c r="N17" s="197">
        <f t="shared" si="3"/>
        <v>89.6</v>
      </c>
      <c r="O17" s="198">
        <f t="shared" si="3"/>
        <v>0.21357992137308643</v>
      </c>
      <c r="P17" s="198">
        <f t="shared" si="3"/>
        <v>0.20982986723305916</v>
      </c>
      <c r="Q17" s="198">
        <f t="shared" si="3"/>
        <v>0.21077686852935235</v>
      </c>
      <c r="R17" s="197">
        <f t="shared" si="3"/>
        <v>32.095950000000002</v>
      </c>
      <c r="S17" s="197">
        <f t="shared" si="3"/>
        <v>38.867100000000008</v>
      </c>
      <c r="T17" s="197">
        <f t="shared" si="3"/>
        <v>42.483600000000003</v>
      </c>
      <c r="U17" s="199">
        <f t="shared" si="3"/>
        <v>1.2</v>
      </c>
    </row>
    <row r="18" spans="1:21" ht="15.75" customHeight="1" x14ac:dyDescent="0.3">
      <c r="A18" s="80"/>
      <c r="B18" s="171" t="s">
        <v>284</v>
      </c>
      <c r="C18" s="80"/>
      <c r="D18" s="191">
        <f t="shared" ref="D18:U18" si="4">QUARTILE(D8:D13,1)</f>
        <v>7.3674999999999997</v>
      </c>
      <c r="E18" s="192">
        <f t="shared" si="4"/>
        <v>210.34629999999999</v>
      </c>
      <c r="F18" s="192">
        <f t="shared" si="4"/>
        <v>3.0757499999999998</v>
      </c>
      <c r="G18" s="192">
        <f t="shared" si="4"/>
        <v>0</v>
      </c>
      <c r="H18" s="192">
        <f t="shared" si="4"/>
        <v>176.92545000000001</v>
      </c>
      <c r="I18" s="192">
        <f t="shared" si="4"/>
        <v>334.86675000000002</v>
      </c>
      <c r="J18" s="192">
        <f t="shared" si="4"/>
        <v>332.21500000000003</v>
      </c>
      <c r="K18" s="192">
        <f t="shared" si="4"/>
        <v>350.59500000000003</v>
      </c>
      <c r="L18" s="192">
        <f t="shared" si="4"/>
        <v>28.067249999999998</v>
      </c>
      <c r="M18" s="192">
        <f t="shared" si="4"/>
        <v>27.15</v>
      </c>
      <c r="N18" s="192">
        <f t="shared" si="4"/>
        <v>31.424999999999997</v>
      </c>
      <c r="O18" s="181">
        <f t="shared" si="4"/>
        <v>0.12781581147785345</v>
      </c>
      <c r="P18" s="181">
        <f t="shared" si="4"/>
        <v>0.1206251911058573</v>
      </c>
      <c r="Q18" s="181">
        <f t="shared" si="4"/>
        <v>0.14376603122387696</v>
      </c>
      <c r="R18" s="192">
        <f t="shared" si="4"/>
        <v>9.1991250000000004</v>
      </c>
      <c r="S18" s="192">
        <f t="shared" si="4"/>
        <v>13.7394</v>
      </c>
      <c r="T18" s="192">
        <f t="shared" si="4"/>
        <v>15.466950000000001</v>
      </c>
      <c r="U18" s="193">
        <f t="shared" si="4"/>
        <v>1.1200000000000001</v>
      </c>
    </row>
    <row r="19" spans="1:21" ht="15.75" customHeight="1" x14ac:dyDescent="0.3">
      <c r="A19" s="80"/>
      <c r="B19" s="175" t="s">
        <v>285</v>
      </c>
      <c r="C19" s="90"/>
      <c r="D19" s="200">
        <f t="shared" ref="D19:U19" si="5">MIN(D8:D13)</f>
        <v>2.2000000000000002</v>
      </c>
      <c r="E19" s="201">
        <f t="shared" si="5"/>
        <v>52.910000000000004</v>
      </c>
      <c r="F19" s="201">
        <f t="shared" si="5"/>
        <v>0</v>
      </c>
      <c r="G19" s="201">
        <f t="shared" si="5"/>
        <v>0</v>
      </c>
      <c r="H19" s="201">
        <f t="shared" si="5"/>
        <v>74.654799999999994</v>
      </c>
      <c r="I19" s="201">
        <f t="shared" si="5"/>
        <v>127.753</v>
      </c>
      <c r="J19" s="201">
        <f t="shared" si="5"/>
        <v>119.63</v>
      </c>
      <c r="K19" s="201">
        <f t="shared" si="5"/>
        <v>124.21</v>
      </c>
      <c r="L19" s="201">
        <f t="shared" si="5"/>
        <v>-34.301000000000002</v>
      </c>
      <c r="M19" s="201">
        <f t="shared" si="5"/>
        <v>-45</v>
      </c>
      <c r="N19" s="201">
        <f t="shared" si="5"/>
        <v>-15.6</v>
      </c>
      <c r="O19" s="202">
        <f t="shared" si="5"/>
        <v>-0.10386405409251807</v>
      </c>
      <c r="P19" s="202">
        <f t="shared" si="5"/>
        <v>-0.140625</v>
      </c>
      <c r="Q19" s="202">
        <f t="shared" si="5"/>
        <v>-4.6009555830826401E-2</v>
      </c>
      <c r="R19" s="201">
        <f t="shared" si="5"/>
        <v>-75.390000000000015</v>
      </c>
      <c r="S19" s="201">
        <f t="shared" si="5"/>
        <v>-18.759</v>
      </c>
      <c r="T19" s="201">
        <f t="shared" si="5"/>
        <v>-3.3670000000000004</v>
      </c>
      <c r="U19" s="203">
        <f t="shared" si="5"/>
        <v>0.32</v>
      </c>
    </row>
    <row r="20" spans="1:21" ht="15.75" customHeight="1" x14ac:dyDescent="0.3">
      <c r="A20" s="80"/>
      <c r="B20" s="80"/>
      <c r="C20" s="80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80"/>
    </row>
    <row r="21" spans="1:21" ht="15.75" customHeight="1" x14ac:dyDescent="0.3">
      <c r="A21" s="80"/>
      <c r="B21" s="186" t="s">
        <v>286</v>
      </c>
      <c r="C21" s="94"/>
      <c r="D21" s="94"/>
      <c r="E21" s="167" t="s">
        <v>269</v>
      </c>
      <c r="F21" s="167"/>
      <c r="G21" s="167"/>
      <c r="H21" s="167"/>
      <c r="I21" s="167" t="s">
        <v>287</v>
      </c>
      <c r="J21" s="167"/>
      <c r="K21" s="167"/>
      <c r="L21" s="167" t="s">
        <v>287</v>
      </c>
      <c r="M21" s="167"/>
      <c r="N21" s="167"/>
      <c r="O21" s="168"/>
      <c r="P21" s="168"/>
      <c r="Q21" s="204"/>
      <c r="R21" s="80"/>
      <c r="S21" s="80"/>
      <c r="T21" s="80"/>
      <c r="U21" s="80"/>
    </row>
    <row r="22" spans="1:21" ht="15.75" customHeight="1" x14ac:dyDescent="0.3">
      <c r="A22" s="80"/>
      <c r="B22" s="171"/>
      <c r="C22" s="80"/>
      <c r="D22" s="133" t="str">
        <f>$D$6</f>
        <v>Share</v>
      </c>
      <c r="E22" s="133" t="str">
        <f>$E$6</f>
        <v>Equity</v>
      </c>
      <c r="F22" s="133"/>
      <c r="G22" s="133" t="str">
        <f>$G$6</f>
        <v>Preferred</v>
      </c>
      <c r="H22" s="133" t="str">
        <f>$H$6</f>
        <v>Enterprise</v>
      </c>
      <c r="I22" s="172" t="s">
        <v>272</v>
      </c>
      <c r="J22" s="172"/>
      <c r="K22" s="172"/>
      <c r="L22" s="172" t="s">
        <v>273</v>
      </c>
      <c r="M22" s="173"/>
      <c r="N22" s="173"/>
      <c r="O22" s="172" t="s">
        <v>288</v>
      </c>
      <c r="P22" s="173"/>
      <c r="Q22" s="205"/>
      <c r="R22" s="80"/>
      <c r="S22" s="80"/>
      <c r="T22" s="80"/>
      <c r="U22" s="80"/>
    </row>
    <row r="23" spans="1:21" ht="15.75" customHeight="1" x14ac:dyDescent="0.3">
      <c r="A23" s="80"/>
      <c r="B23" s="175" t="str">
        <f>$B$7</f>
        <v>Comparable Company</v>
      </c>
      <c r="C23" s="90" t="str">
        <f>$C$7</f>
        <v>Ticker</v>
      </c>
      <c r="D23" s="176" t="str">
        <f>$D$7</f>
        <v>Price</v>
      </c>
      <c r="E23" s="176" t="str">
        <f>$E$7</f>
        <v>Value</v>
      </c>
      <c r="F23" s="176" t="str">
        <f>$F$7</f>
        <v>Debt</v>
      </c>
      <c r="G23" s="176" t="str">
        <f>$G$7</f>
        <v>Stock</v>
      </c>
      <c r="H23" s="176" t="str">
        <f>$H$7</f>
        <v>Value</v>
      </c>
      <c r="I23" s="177" t="str">
        <f>$I$7</f>
        <v>LTM</v>
      </c>
      <c r="J23" s="178" t="str">
        <f>$J$7</f>
        <v>Forward Year 1</v>
      </c>
      <c r="K23" s="178" t="str">
        <f>$K$7</f>
        <v>Forward Year 2</v>
      </c>
      <c r="L23" s="177" t="str">
        <f>$I$7</f>
        <v>LTM</v>
      </c>
      <c r="M23" s="178" t="str">
        <f>$J$7</f>
        <v>Forward Year 1</v>
      </c>
      <c r="N23" s="178" t="str">
        <f>$K$7</f>
        <v>Forward Year 2</v>
      </c>
      <c r="O23" s="177" t="str">
        <f>$I$7</f>
        <v>LTM</v>
      </c>
      <c r="P23" s="178" t="str">
        <f>$J$7</f>
        <v>Forward Year 1</v>
      </c>
      <c r="Q23" s="206" t="str">
        <f>$K$7</f>
        <v>Forward Year 2</v>
      </c>
      <c r="R23" s="80"/>
      <c r="S23" s="80"/>
      <c r="T23" s="80"/>
      <c r="U23" s="80"/>
    </row>
    <row r="24" spans="1:21" ht="15.75" customHeight="1" x14ac:dyDescent="0.3">
      <c r="A24" s="80"/>
      <c r="B24" s="80" t="str">
        <f t="shared" ref="B24:H29" si="6">B8</f>
        <v>Corvane Broadcasting Inc</v>
      </c>
      <c r="C24" s="80" t="str">
        <f t="shared" si="6"/>
        <v>NYSE:CRVB</v>
      </c>
      <c r="D24" s="180">
        <f t="shared" si="6"/>
        <v>19.690000000000001</v>
      </c>
      <c r="E24" s="136">
        <f t="shared" si="6"/>
        <v>1924.6975000000002</v>
      </c>
      <c r="F24" s="136">
        <f t="shared" si="6"/>
        <v>522.4</v>
      </c>
      <c r="G24" s="136">
        <f t="shared" si="6"/>
        <v>0</v>
      </c>
      <c r="H24" s="136">
        <f t="shared" si="6"/>
        <v>2280.3975</v>
      </c>
      <c r="I24" s="207">
        <f t="shared" ref="I24:N29" si="7">IFERROR(IF(OR(+$H24/I8&lt;0,+$H24/I8&gt;=100),"NM",+$H24/I8),"N/A")</f>
        <v>4.8048830594184571</v>
      </c>
      <c r="J24" s="207">
        <f t="shared" si="7"/>
        <v>4.2034976958525343</v>
      </c>
      <c r="K24" s="207">
        <f t="shared" si="7"/>
        <v>3.7013431261158902</v>
      </c>
      <c r="L24" s="207">
        <f t="shared" si="7"/>
        <v>17.899509419152277</v>
      </c>
      <c r="M24" s="207">
        <f t="shared" si="7"/>
        <v>15.880205431754876</v>
      </c>
      <c r="N24" s="207">
        <f t="shared" si="7"/>
        <v>13.445739976415094</v>
      </c>
      <c r="O24" s="207">
        <f t="shared" ref="O24:Q29" si="8">IFERROR(IF(OR(+$E24/R8&lt;0,+$E24/R8&gt;=100),"NM",+$E24/R8),"N/A")</f>
        <v>72.925925925925924</v>
      </c>
      <c r="P24" s="207">
        <f t="shared" si="8"/>
        <v>31.253968253968257</v>
      </c>
      <c r="Q24" s="207">
        <f t="shared" si="8"/>
        <v>24.612500000000001</v>
      </c>
      <c r="R24" s="80"/>
      <c r="S24" s="80"/>
      <c r="T24" s="80"/>
      <c r="U24" s="80"/>
    </row>
    <row r="25" spans="1:21" ht="15.75" customHeight="1" x14ac:dyDescent="0.3">
      <c r="A25" s="80"/>
      <c r="B25" s="80" t="str">
        <f t="shared" si="6"/>
        <v>Emberwyck Broadcasting Inc</v>
      </c>
      <c r="C25" s="80" t="str">
        <f t="shared" si="6"/>
        <v>NASDAQ:EMBW</v>
      </c>
      <c r="D25" s="149">
        <f t="shared" si="6"/>
        <v>62.14</v>
      </c>
      <c r="E25" s="95">
        <f t="shared" si="6"/>
        <v>671.11200000000008</v>
      </c>
      <c r="F25" s="95">
        <f t="shared" si="6"/>
        <v>118.75</v>
      </c>
      <c r="G25" s="95">
        <f t="shared" si="6"/>
        <v>0</v>
      </c>
      <c r="H25" s="95">
        <f t="shared" si="6"/>
        <v>627.58200000000011</v>
      </c>
      <c r="I25" s="207">
        <f t="shared" si="7"/>
        <v>1.4070051856219499</v>
      </c>
      <c r="J25" s="207">
        <f t="shared" si="7"/>
        <v>1.4540151058801727</v>
      </c>
      <c r="K25" s="207">
        <f t="shared" si="7"/>
        <v>1.4147475202885484</v>
      </c>
      <c r="L25" s="207">
        <f t="shared" si="7"/>
        <v>6.1301073483301929</v>
      </c>
      <c r="M25" s="207">
        <f t="shared" si="7"/>
        <v>6.564665271966529</v>
      </c>
      <c r="N25" s="207">
        <f t="shared" si="7"/>
        <v>6.0170853307766068</v>
      </c>
      <c r="O25" s="207">
        <f t="shared" si="8"/>
        <v>14.47610008628128</v>
      </c>
      <c r="P25" s="207">
        <f t="shared" si="8"/>
        <v>18.222873900293255</v>
      </c>
      <c r="Q25" s="207">
        <f t="shared" si="8"/>
        <v>16.182291666666668</v>
      </c>
      <c r="R25" s="80"/>
      <c r="S25" s="80"/>
      <c r="T25" s="80"/>
      <c r="U25" s="80"/>
    </row>
    <row r="26" spans="1:21" ht="15.75" customHeight="1" x14ac:dyDescent="0.3">
      <c r="A26" s="80"/>
      <c r="B26" s="80" t="str">
        <f t="shared" si="6"/>
        <v>Quillhaven Publishing Corp</v>
      </c>
      <c r="C26" s="80" t="str">
        <f t="shared" si="6"/>
        <v>NASDAQ:QLHV</v>
      </c>
      <c r="D26" s="149">
        <f t="shared" si="6"/>
        <v>65.400000000000006</v>
      </c>
      <c r="E26" s="95">
        <f t="shared" si="6"/>
        <v>800.49600000000009</v>
      </c>
      <c r="F26" s="95">
        <f t="shared" si="6"/>
        <v>0</v>
      </c>
      <c r="G26" s="95">
        <f t="shared" si="6"/>
        <v>0</v>
      </c>
      <c r="H26" s="95">
        <f t="shared" si="6"/>
        <v>633.44400000000007</v>
      </c>
      <c r="I26" s="207">
        <f t="shared" si="7"/>
        <v>1.5011695227351904</v>
      </c>
      <c r="J26" s="207">
        <f t="shared" si="7"/>
        <v>1.4370326678765881</v>
      </c>
      <c r="K26" s="207">
        <f t="shared" si="7"/>
        <v>1.3653870195934732</v>
      </c>
      <c r="L26" s="207">
        <f t="shared" si="7"/>
        <v>6.9929677754103983</v>
      </c>
      <c r="M26" s="207">
        <f t="shared" si="7"/>
        <v>6.6678315789473688</v>
      </c>
      <c r="N26" s="207">
        <f t="shared" si="7"/>
        <v>6.3919677093844616</v>
      </c>
      <c r="O26" s="207">
        <f t="shared" si="8"/>
        <v>21.097330205835071</v>
      </c>
      <c r="P26" s="207">
        <f t="shared" si="8"/>
        <v>18.956521739130437</v>
      </c>
      <c r="Q26" s="207">
        <f t="shared" si="8"/>
        <v>17.210526315789476</v>
      </c>
      <c r="R26" s="80"/>
      <c r="S26" s="80"/>
      <c r="T26" s="80"/>
      <c r="U26" s="80"/>
    </row>
    <row r="27" spans="1:21" ht="15.75" customHeight="1" x14ac:dyDescent="0.3">
      <c r="A27" s="80"/>
      <c r="B27" s="80" t="str">
        <f t="shared" si="6"/>
        <v>Vantablu Streaming, Inc.</v>
      </c>
      <c r="C27" s="80" t="str">
        <f t="shared" si="6"/>
        <v>NASDAQ:VNBU</v>
      </c>
      <c r="D27" s="149">
        <f t="shared" si="6"/>
        <v>34.479999999999997</v>
      </c>
      <c r="E27" s="95">
        <f t="shared" si="6"/>
        <v>595.12480000000005</v>
      </c>
      <c r="F27" s="95">
        <f t="shared" si="6"/>
        <v>0</v>
      </c>
      <c r="G27" s="95">
        <f t="shared" si="6"/>
        <v>0</v>
      </c>
      <c r="H27" s="95">
        <f t="shared" si="6"/>
        <v>474.29580000000004</v>
      </c>
      <c r="I27" s="207">
        <f t="shared" si="7"/>
        <v>1.3601049552649691</v>
      </c>
      <c r="J27" s="207">
        <f t="shared" si="7"/>
        <v>1.2858423250013555</v>
      </c>
      <c r="K27" s="207">
        <f t="shared" si="7"/>
        <v>1.231297507788162</v>
      </c>
      <c r="L27" s="207">
        <f t="shared" si="7"/>
        <v>6.4007530364372478</v>
      </c>
      <c r="M27" s="207">
        <f t="shared" si="7"/>
        <v>6.2987490039840646</v>
      </c>
      <c r="N27" s="207">
        <f t="shared" si="7"/>
        <v>5.9212958801498141</v>
      </c>
      <c r="O27" s="207">
        <f t="shared" si="8"/>
        <v>15.744292237442922</v>
      </c>
      <c r="P27" s="207">
        <f t="shared" si="8"/>
        <v>14.548523206751055</v>
      </c>
      <c r="Q27" s="207">
        <f t="shared" si="8"/>
        <v>13.682539682539682</v>
      </c>
      <c r="R27" s="80"/>
      <c r="S27" s="80"/>
      <c r="T27" s="80"/>
      <c r="U27" s="80"/>
    </row>
    <row r="28" spans="1:21" ht="15.75" customHeight="1" x14ac:dyDescent="0.3">
      <c r="A28" s="80"/>
      <c r="B28" s="80" t="str">
        <f t="shared" si="6"/>
        <v>Driftwater Networks Corp</v>
      </c>
      <c r="C28" s="80" t="str">
        <f t="shared" si="6"/>
        <v>NASDAQ:DFWN</v>
      </c>
      <c r="D28" s="149">
        <f t="shared" si="6"/>
        <v>2.2000000000000002</v>
      </c>
      <c r="E28" s="95">
        <f t="shared" si="6"/>
        <v>52.910000000000004</v>
      </c>
      <c r="F28" s="95">
        <f t="shared" si="6"/>
        <v>43.903999999999989</v>
      </c>
      <c r="G28" s="95">
        <f t="shared" si="6"/>
        <v>0</v>
      </c>
      <c r="H28" s="95">
        <f t="shared" si="6"/>
        <v>77.801999999999992</v>
      </c>
      <c r="I28" s="207">
        <f t="shared" si="7"/>
        <v>0.23558587611166115</v>
      </c>
      <c r="J28" s="207">
        <f t="shared" si="7"/>
        <v>0.24313124999999997</v>
      </c>
      <c r="K28" s="207">
        <f t="shared" si="7"/>
        <v>0.22946381171474073</v>
      </c>
      <c r="L28" s="207" t="str">
        <f t="shared" si="7"/>
        <v>NM</v>
      </c>
      <c r="M28" s="207" t="str">
        <f t="shared" si="7"/>
        <v>NM</v>
      </c>
      <c r="N28" s="207" t="str">
        <f t="shared" si="7"/>
        <v>NM</v>
      </c>
      <c r="O28" s="207" t="str">
        <f t="shared" si="8"/>
        <v>NM</v>
      </c>
      <c r="P28" s="207" t="str">
        <f t="shared" si="8"/>
        <v>NM</v>
      </c>
      <c r="Q28" s="207" t="str">
        <f t="shared" si="8"/>
        <v>NM</v>
      </c>
      <c r="R28" s="80"/>
      <c r="S28" s="80"/>
      <c r="T28" s="80"/>
      <c r="U28" s="80"/>
    </row>
    <row r="29" spans="1:21" ht="15.75" customHeight="1" x14ac:dyDescent="0.3">
      <c r="A29" s="80"/>
      <c r="B29" s="80" t="str">
        <f t="shared" si="6"/>
        <v>Hollowmere Broadcast Group Inc</v>
      </c>
      <c r="C29" s="80" t="str">
        <f t="shared" si="6"/>
        <v>NASDAQ:HWMB</v>
      </c>
      <c r="D29" s="149">
        <f t="shared" si="6"/>
        <v>3.26</v>
      </c>
      <c r="E29" s="95">
        <f t="shared" si="6"/>
        <v>82.086799999999997</v>
      </c>
      <c r="F29" s="95">
        <f t="shared" si="6"/>
        <v>12.302999999999999</v>
      </c>
      <c r="G29" s="95">
        <f t="shared" si="6"/>
        <v>0</v>
      </c>
      <c r="H29" s="95">
        <f t="shared" si="6"/>
        <v>74.654799999999994</v>
      </c>
      <c r="I29" s="207">
        <f t="shared" si="7"/>
        <v>0.58436827315209816</v>
      </c>
      <c r="J29" s="207">
        <f t="shared" si="7"/>
        <v>0.62404747972916486</v>
      </c>
      <c r="K29" s="207">
        <f t="shared" si="7"/>
        <v>0.60103695354641329</v>
      </c>
      <c r="L29" s="207">
        <f t="shared" si="7"/>
        <v>5.8677041578244129</v>
      </c>
      <c r="M29" s="207">
        <f t="shared" si="7"/>
        <v>6.7256576576576572</v>
      </c>
      <c r="N29" s="207">
        <f t="shared" si="7"/>
        <v>4.9115000000000002</v>
      </c>
      <c r="O29" s="207">
        <f t="shared" si="8"/>
        <v>23.669780853517878</v>
      </c>
      <c r="P29" s="207">
        <f t="shared" si="8"/>
        <v>13.583333333333334</v>
      </c>
      <c r="Q29" s="207">
        <f t="shared" si="8"/>
        <v>12.074074074074073</v>
      </c>
      <c r="R29" s="80"/>
      <c r="S29" s="80"/>
      <c r="T29" s="80"/>
      <c r="U29" s="80"/>
    </row>
    <row r="30" spans="1:21" ht="15.75" customHeight="1" x14ac:dyDescent="0.3">
      <c r="A30" s="80"/>
      <c r="B30" s="80"/>
      <c r="C30" s="80"/>
      <c r="D30" s="183"/>
      <c r="E30" s="184"/>
      <c r="F30" s="184"/>
      <c r="G30" s="184"/>
      <c r="H30" s="184"/>
      <c r="I30" s="207"/>
      <c r="J30" s="207"/>
      <c r="K30" s="207"/>
      <c r="L30" s="207"/>
      <c r="M30" s="207"/>
      <c r="N30" s="207"/>
      <c r="O30" s="207"/>
      <c r="P30" s="207"/>
      <c r="Q30" s="207"/>
      <c r="R30" s="80"/>
      <c r="S30" s="80"/>
      <c r="T30" s="80"/>
      <c r="U30" s="80"/>
    </row>
    <row r="31" spans="1:21" ht="15.75" customHeight="1" x14ac:dyDescent="0.3">
      <c r="A31" s="80"/>
      <c r="B31" s="186" t="s">
        <v>281</v>
      </c>
      <c r="C31" s="94"/>
      <c r="D31" s="187">
        <f t="shared" ref="D31:Q31" si="9">MAX(D24:D29)</f>
        <v>65.400000000000006</v>
      </c>
      <c r="E31" s="188">
        <f t="shared" si="9"/>
        <v>1924.6975000000002</v>
      </c>
      <c r="F31" s="188">
        <f t="shared" si="9"/>
        <v>522.4</v>
      </c>
      <c r="G31" s="188">
        <f t="shared" si="9"/>
        <v>0</v>
      </c>
      <c r="H31" s="188">
        <f t="shared" si="9"/>
        <v>2280.3975</v>
      </c>
      <c r="I31" s="208">
        <f t="shared" si="9"/>
        <v>4.8048830594184571</v>
      </c>
      <c r="J31" s="208">
        <f t="shared" si="9"/>
        <v>4.2034976958525343</v>
      </c>
      <c r="K31" s="208">
        <f t="shared" si="9"/>
        <v>3.7013431261158902</v>
      </c>
      <c r="L31" s="208">
        <f t="shared" si="9"/>
        <v>17.899509419152277</v>
      </c>
      <c r="M31" s="208">
        <f t="shared" si="9"/>
        <v>15.880205431754876</v>
      </c>
      <c r="N31" s="208">
        <f t="shared" si="9"/>
        <v>13.445739976415094</v>
      </c>
      <c r="O31" s="208">
        <f t="shared" si="9"/>
        <v>72.925925925925924</v>
      </c>
      <c r="P31" s="208">
        <f t="shared" si="9"/>
        <v>31.253968253968257</v>
      </c>
      <c r="Q31" s="209">
        <f t="shared" si="9"/>
        <v>24.612500000000001</v>
      </c>
      <c r="R31" s="80"/>
      <c r="S31" s="80"/>
      <c r="T31" s="80"/>
      <c r="U31" s="80"/>
    </row>
    <row r="32" spans="1:21" ht="15.75" customHeight="1" x14ac:dyDescent="0.3">
      <c r="A32" s="80"/>
      <c r="B32" s="171" t="s">
        <v>282</v>
      </c>
      <c r="C32" s="80"/>
      <c r="D32" s="191">
        <f t="shared" ref="D32:Q32" si="10">QUARTILE(D24:D29,3)</f>
        <v>55.225000000000001</v>
      </c>
      <c r="E32" s="192">
        <f t="shared" si="10"/>
        <v>768.15000000000009</v>
      </c>
      <c r="F32" s="192">
        <f t="shared" si="10"/>
        <v>100.0385</v>
      </c>
      <c r="G32" s="192">
        <f t="shared" si="10"/>
        <v>0</v>
      </c>
      <c r="H32" s="192">
        <f t="shared" si="10"/>
        <v>631.97850000000005</v>
      </c>
      <c r="I32" s="207">
        <f t="shared" si="10"/>
        <v>1.4776284384568803</v>
      </c>
      <c r="J32" s="207">
        <f t="shared" si="10"/>
        <v>1.4497694963792767</v>
      </c>
      <c r="K32" s="207">
        <f t="shared" si="10"/>
        <v>1.4024073951147797</v>
      </c>
      <c r="L32" s="207">
        <f t="shared" si="10"/>
        <v>6.9929677754103983</v>
      </c>
      <c r="M32" s="207">
        <f t="shared" si="10"/>
        <v>6.7256576576576572</v>
      </c>
      <c r="N32" s="207">
        <f t="shared" si="10"/>
        <v>6.3919677093844616</v>
      </c>
      <c r="O32" s="207">
        <f t="shared" si="10"/>
        <v>23.669780853517878</v>
      </c>
      <c r="P32" s="207">
        <f t="shared" si="10"/>
        <v>18.956521739130437</v>
      </c>
      <c r="Q32" s="210">
        <f t="shared" si="10"/>
        <v>17.210526315789476</v>
      </c>
      <c r="R32" s="80"/>
      <c r="S32" s="80"/>
      <c r="T32" s="80"/>
      <c r="U32" s="80"/>
    </row>
    <row r="33" spans="1:21" ht="15.75" customHeight="1" x14ac:dyDescent="0.3">
      <c r="A33" s="80"/>
      <c r="B33" s="194" t="s">
        <v>283</v>
      </c>
      <c r="C33" s="195"/>
      <c r="D33" s="196">
        <f t="shared" ref="D33:Q33" si="11">MEDIAN(D24:D29)</f>
        <v>27.085000000000001</v>
      </c>
      <c r="E33" s="197">
        <f t="shared" si="11"/>
        <v>633.11840000000007</v>
      </c>
      <c r="F33" s="197">
        <f t="shared" si="11"/>
        <v>28.103499999999997</v>
      </c>
      <c r="G33" s="197">
        <f t="shared" si="11"/>
        <v>0</v>
      </c>
      <c r="H33" s="197">
        <f t="shared" si="11"/>
        <v>550.9389000000001</v>
      </c>
      <c r="I33" s="211">
        <f t="shared" si="11"/>
        <v>1.3835550704434594</v>
      </c>
      <c r="J33" s="211">
        <f t="shared" si="11"/>
        <v>1.3614374964389717</v>
      </c>
      <c r="K33" s="211">
        <f t="shared" si="11"/>
        <v>1.2983422636908175</v>
      </c>
      <c r="L33" s="211">
        <f t="shared" si="11"/>
        <v>6.4007530364372478</v>
      </c>
      <c r="M33" s="211">
        <f t="shared" si="11"/>
        <v>6.6678315789473688</v>
      </c>
      <c r="N33" s="211">
        <f t="shared" si="11"/>
        <v>6.0170853307766068</v>
      </c>
      <c r="O33" s="211">
        <f t="shared" si="11"/>
        <v>21.097330205835071</v>
      </c>
      <c r="P33" s="211">
        <f t="shared" si="11"/>
        <v>18.222873900293255</v>
      </c>
      <c r="Q33" s="212">
        <f t="shared" si="11"/>
        <v>16.182291666666668</v>
      </c>
      <c r="R33" s="80"/>
      <c r="S33" s="80"/>
      <c r="T33" s="80"/>
      <c r="U33" s="80"/>
    </row>
    <row r="34" spans="1:21" ht="15.75" customHeight="1" x14ac:dyDescent="0.3">
      <c r="A34" s="80"/>
      <c r="B34" s="171" t="s">
        <v>284</v>
      </c>
      <c r="C34" s="80"/>
      <c r="D34" s="191">
        <f t="shared" ref="D34:Q34" si="12">QUARTILE(D24:D29,1)</f>
        <v>7.3674999999999997</v>
      </c>
      <c r="E34" s="192">
        <f t="shared" si="12"/>
        <v>210.34629999999999</v>
      </c>
      <c r="F34" s="192">
        <f t="shared" si="12"/>
        <v>3.0757499999999998</v>
      </c>
      <c r="G34" s="192">
        <f t="shared" si="12"/>
        <v>0</v>
      </c>
      <c r="H34" s="192">
        <f t="shared" si="12"/>
        <v>176.92545000000001</v>
      </c>
      <c r="I34" s="207">
        <f t="shared" si="12"/>
        <v>0.77830244368031587</v>
      </c>
      <c r="J34" s="207">
        <f t="shared" si="12"/>
        <v>0.78949619104721247</v>
      </c>
      <c r="K34" s="207">
        <f t="shared" si="12"/>
        <v>0.75860209210685048</v>
      </c>
      <c r="L34" s="207">
        <f t="shared" si="12"/>
        <v>6.1301073483301929</v>
      </c>
      <c r="M34" s="207">
        <f t="shared" si="12"/>
        <v>6.564665271966529</v>
      </c>
      <c r="N34" s="207">
        <f t="shared" si="12"/>
        <v>5.9212958801498141</v>
      </c>
      <c r="O34" s="207">
        <f t="shared" si="12"/>
        <v>15.744292237442922</v>
      </c>
      <c r="P34" s="207">
        <f t="shared" si="12"/>
        <v>14.548523206751055</v>
      </c>
      <c r="Q34" s="210">
        <f t="shared" si="12"/>
        <v>13.682539682539682</v>
      </c>
      <c r="R34" s="80"/>
      <c r="S34" s="80"/>
      <c r="T34" s="80"/>
      <c r="U34" s="80"/>
    </row>
    <row r="35" spans="1:21" ht="15.75" customHeight="1" x14ac:dyDescent="0.3">
      <c r="A35" s="80"/>
      <c r="B35" s="175" t="s">
        <v>285</v>
      </c>
      <c r="C35" s="90"/>
      <c r="D35" s="200">
        <f t="shared" ref="D35:Q35" si="13">MIN(D24:D29)</f>
        <v>2.2000000000000002</v>
      </c>
      <c r="E35" s="201">
        <f t="shared" si="13"/>
        <v>52.910000000000004</v>
      </c>
      <c r="F35" s="201">
        <f t="shared" si="13"/>
        <v>0</v>
      </c>
      <c r="G35" s="201">
        <f t="shared" si="13"/>
        <v>0</v>
      </c>
      <c r="H35" s="201">
        <f t="shared" si="13"/>
        <v>74.654799999999994</v>
      </c>
      <c r="I35" s="213">
        <f t="shared" si="13"/>
        <v>0.23558587611166115</v>
      </c>
      <c r="J35" s="213">
        <f t="shared" si="13"/>
        <v>0.24313124999999997</v>
      </c>
      <c r="K35" s="213">
        <f t="shared" si="13"/>
        <v>0.22946381171474073</v>
      </c>
      <c r="L35" s="213">
        <f t="shared" si="13"/>
        <v>5.8677041578244129</v>
      </c>
      <c r="M35" s="213">
        <f t="shared" si="13"/>
        <v>6.2987490039840646</v>
      </c>
      <c r="N35" s="213">
        <f t="shared" si="13"/>
        <v>4.9115000000000002</v>
      </c>
      <c r="O35" s="213">
        <f t="shared" si="13"/>
        <v>14.47610008628128</v>
      </c>
      <c r="P35" s="213">
        <f t="shared" si="13"/>
        <v>13.583333333333334</v>
      </c>
      <c r="Q35" s="214">
        <f t="shared" si="13"/>
        <v>12.074074074074073</v>
      </c>
      <c r="R35" s="80"/>
      <c r="S35" s="80"/>
      <c r="T35" s="80"/>
      <c r="U35" s="80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sheetPr>
    <tabColor rgb="FF1F3864"/>
  </sheetPr>
  <dimension ref="A1:R70"/>
  <sheetViews>
    <sheetView showGridLines="0" workbookViewId="0"/>
  </sheetViews>
  <sheetFormatPr defaultColWidth="8.77734375" defaultRowHeight="15.75" customHeight="1" x14ac:dyDescent="0.3"/>
  <cols>
    <col min="1" max="1" width="2.6640625" style="1" customWidth="1"/>
    <col min="2" max="2" width="43.44140625" style="1" customWidth="1"/>
    <col min="3" max="14" width="12.6640625" style="1" customWidth="1"/>
    <col min="15" max="15" width="10.109375" style="1" customWidth="1"/>
  </cols>
  <sheetData>
    <row r="1" spans="1:15" ht="15.7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8.75" customHeight="1" x14ac:dyDescent="0.35">
      <c r="A2" s="12"/>
      <c r="B2" s="230" t="str">
        <f>"Valuation Summary - "&amp;Company_Name</f>
        <v>Valuation Summary - Fennmark Media Partners LLC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5.75" customHeight="1" x14ac:dyDescent="0.3">
      <c r="A3" s="12"/>
      <c r="B3" s="150" t="str">
        <f>'Books &amp; GAAP Bridge'!$B$196</f>
        <v>(USD, as stated)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5.75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45" customHeight="1" x14ac:dyDescent="0.3">
      <c r="A5" s="12"/>
      <c r="B5" s="186" t="str">
        <f>"Valuation Statistics - "&amp;TEXT(Company_Name,"")</f>
        <v>Valuation Statistics - Fennmark Media Partners LLC</v>
      </c>
      <c r="C5" s="252" t="str">
        <f>TEXT(Company_Name,"")&amp;" - Range of Valuation Multiples"</f>
        <v>Fennmark Media Partners LLC - Range of Valuation Multiples</v>
      </c>
      <c r="D5" s="167"/>
      <c r="E5" s="167"/>
      <c r="F5" s="167"/>
      <c r="G5" s="167"/>
      <c r="H5" s="167"/>
      <c r="I5" s="167"/>
      <c r="J5" s="167" t="str">
        <f>TEXT(Company_Name,"")&amp;" - Range of Implied Equity Values"</f>
        <v>Fennmark Media Partners LLC - Range of Implied Equity Values</v>
      </c>
      <c r="K5" s="167"/>
      <c r="L5" s="167"/>
      <c r="M5" s="167"/>
      <c r="N5" s="218"/>
      <c r="O5" s="12"/>
    </row>
    <row r="6" spans="1:15" ht="15.75" customHeight="1" x14ac:dyDescent="0.3">
      <c r="A6" s="12"/>
      <c r="B6" s="171"/>
      <c r="C6" s="133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219"/>
      <c r="O6" s="12"/>
    </row>
    <row r="7" spans="1:15" ht="15.75" customHeight="1" x14ac:dyDescent="0.3">
      <c r="A7" s="12"/>
      <c r="B7" s="171"/>
      <c r="C7" s="133"/>
      <c r="D7" s="133" t="s">
        <v>289</v>
      </c>
      <c r="E7" s="133"/>
      <c r="F7" s="133" t="s">
        <v>290</v>
      </c>
      <c r="G7" s="172"/>
      <c r="H7" s="133" t="s">
        <v>291</v>
      </c>
      <c r="I7" s="133" t="s">
        <v>292</v>
      </c>
      <c r="J7" s="133"/>
      <c r="K7" s="133" t="s">
        <v>290</v>
      </c>
      <c r="L7" s="133"/>
      <c r="M7" s="133" t="s">
        <v>289</v>
      </c>
      <c r="N7" s="220"/>
      <c r="O7" s="12"/>
    </row>
    <row r="8" spans="1:15" ht="15.75" customHeight="1" x14ac:dyDescent="0.3">
      <c r="A8" s="12"/>
      <c r="B8" s="171"/>
      <c r="C8" s="133" t="s">
        <v>281</v>
      </c>
      <c r="D8" s="133" t="s">
        <v>293</v>
      </c>
      <c r="E8" s="133" t="s">
        <v>283</v>
      </c>
      <c r="F8" s="133" t="s">
        <v>293</v>
      </c>
      <c r="G8" s="133" t="s">
        <v>285</v>
      </c>
      <c r="H8" s="133" t="s">
        <v>294</v>
      </c>
      <c r="I8" s="133" t="s">
        <v>294</v>
      </c>
      <c r="J8" s="133" t="s">
        <v>285</v>
      </c>
      <c r="K8" s="133" t="s">
        <v>293</v>
      </c>
      <c r="L8" s="133" t="s">
        <v>283</v>
      </c>
      <c r="M8" s="133" t="s">
        <v>293</v>
      </c>
      <c r="N8" s="220" t="s">
        <v>281</v>
      </c>
      <c r="O8" s="12"/>
    </row>
    <row r="9" spans="1:15" ht="15.75" customHeight="1" x14ac:dyDescent="0.3">
      <c r="A9" s="12"/>
      <c r="B9" s="175" t="s">
        <v>295</v>
      </c>
      <c r="C9" s="176" t="s">
        <v>296</v>
      </c>
      <c r="D9" s="176" t="s">
        <v>296</v>
      </c>
      <c r="E9" s="176" t="s">
        <v>296</v>
      </c>
      <c r="F9" s="176" t="s">
        <v>296</v>
      </c>
      <c r="G9" s="176" t="s">
        <v>296</v>
      </c>
      <c r="H9" s="176" t="s">
        <v>297</v>
      </c>
      <c r="I9" s="176" t="s">
        <v>298</v>
      </c>
      <c r="J9" s="176" t="s">
        <v>296</v>
      </c>
      <c r="K9" s="176" t="s">
        <v>296</v>
      </c>
      <c r="L9" s="176" t="s">
        <v>296</v>
      </c>
      <c r="M9" s="176" t="s">
        <v>296</v>
      </c>
      <c r="N9" s="221" t="s">
        <v>296</v>
      </c>
      <c r="O9" s="12"/>
    </row>
    <row r="10" spans="1:15" ht="15.75" customHeight="1" x14ac:dyDescent="0.3">
      <c r="A10" s="12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12"/>
    </row>
    <row r="11" spans="1:15" ht="15.75" customHeight="1" x14ac:dyDescent="0.3">
      <c r="A11" s="12"/>
      <c r="B11" s="80" t="s">
        <v>299</v>
      </c>
      <c r="C11" s="136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12"/>
    </row>
    <row r="12" spans="1:15" ht="15.75" customHeight="1" x14ac:dyDescent="0.3">
      <c r="A12" s="12"/>
      <c r="B12" s="89" t="s">
        <v>300</v>
      </c>
      <c r="C12" s="222"/>
      <c r="D12" s="222"/>
      <c r="E12" s="222"/>
      <c r="F12" s="222"/>
      <c r="G12" s="222"/>
      <c r="H12" s="223"/>
      <c r="I12" s="224"/>
      <c r="J12" s="223"/>
      <c r="K12" s="223"/>
      <c r="L12" s="223"/>
      <c r="M12" s="223"/>
      <c r="N12" s="223"/>
      <c r="O12" s="12"/>
    </row>
    <row r="13" spans="1:15" ht="15.75" customHeight="1" x14ac:dyDescent="0.3">
      <c r="A13" s="12"/>
      <c r="B13" s="227" t="str">
        <f>TEXT('Trading Comps'!$J$7,"yyyy-mm-dd")&amp;" EV / Revenue:"</f>
        <v>Forward Year 1 EV / Revenue:</v>
      </c>
      <c r="C13" s="222"/>
      <c r="D13" s="222"/>
      <c r="E13" s="222"/>
      <c r="F13" s="222"/>
      <c r="G13" s="222"/>
      <c r="H13" s="225"/>
      <c r="I13" s="224"/>
      <c r="J13" s="225"/>
      <c r="K13" s="225"/>
      <c r="L13" s="225"/>
      <c r="M13" s="225"/>
      <c r="N13" s="225"/>
      <c r="O13" s="12"/>
    </row>
    <row r="14" spans="1:15" ht="15.75" customHeight="1" x14ac:dyDescent="0.3">
      <c r="A14" s="12"/>
      <c r="B14" s="227" t="str">
        <f>TEXT('Trading Comps'!$K$7,"yyyy-mm-dd")&amp;" EV / Revenue:"</f>
        <v>Forward Year 2 EV / Revenue:</v>
      </c>
      <c r="C14" s="222"/>
      <c r="D14" s="222"/>
      <c r="E14" s="222"/>
      <c r="F14" s="222"/>
      <c r="G14" s="222"/>
      <c r="H14" s="225"/>
      <c r="I14" s="224"/>
      <c r="J14" s="225"/>
      <c r="K14" s="225"/>
      <c r="L14" s="225"/>
      <c r="M14" s="225"/>
      <c r="N14" s="225"/>
      <c r="O14" s="12"/>
    </row>
    <row r="15" spans="1:15" ht="15.75" customHeight="1" x14ac:dyDescent="0.3">
      <c r="A15" s="12"/>
      <c r="B15" s="89" t="s">
        <v>301</v>
      </c>
      <c r="C15" s="222"/>
      <c r="D15" s="222"/>
      <c r="E15" s="222"/>
      <c r="F15" s="222"/>
      <c r="G15" s="222"/>
      <c r="H15" s="225"/>
      <c r="I15" s="224"/>
      <c r="J15" s="225"/>
      <c r="K15" s="225"/>
      <c r="L15" s="225"/>
      <c r="M15" s="225"/>
      <c r="N15" s="225"/>
      <c r="O15" s="12"/>
    </row>
    <row r="16" spans="1:15" ht="15.75" customHeight="1" x14ac:dyDescent="0.3">
      <c r="A16" s="12"/>
      <c r="B16" s="227" t="str">
        <f>TEXT('Trading Comps'!$J$7,"yyyy-mm-dd")&amp;" EV / EBITDA:"</f>
        <v>Forward Year 1 EV / EBITDA:</v>
      </c>
      <c r="C16" s="222"/>
      <c r="D16" s="222"/>
      <c r="E16" s="222"/>
      <c r="F16" s="222"/>
      <c r="G16" s="222"/>
      <c r="H16" s="225"/>
      <c r="I16" s="224"/>
      <c r="J16" s="225"/>
      <c r="K16" s="225"/>
      <c r="L16" s="225"/>
      <c r="M16" s="225"/>
      <c r="N16" s="225"/>
      <c r="O16" s="12"/>
    </row>
    <row r="17" spans="1:15" ht="15.75" customHeight="1" x14ac:dyDescent="0.3">
      <c r="A17" s="12"/>
      <c r="B17" s="227" t="str">
        <f>TEXT('Trading Comps'!$K$7,"yyyy-mm-dd")&amp;" EV / EBITDA:"</f>
        <v>Forward Year 2 EV / EBITDA:</v>
      </c>
      <c r="C17" s="222"/>
      <c r="D17" s="222"/>
      <c r="E17" s="222"/>
      <c r="F17" s="222"/>
      <c r="G17" s="222"/>
      <c r="H17" s="225"/>
      <c r="I17" s="224"/>
      <c r="J17" s="225"/>
      <c r="K17" s="225"/>
      <c r="L17" s="225"/>
      <c r="M17" s="225"/>
      <c r="N17" s="225"/>
      <c r="O17" s="12"/>
    </row>
    <row r="18" spans="1:15" ht="15.75" customHeight="1" x14ac:dyDescent="0.3">
      <c r="A18" s="12"/>
      <c r="B18" s="89" t="s">
        <v>302</v>
      </c>
      <c r="C18" s="222"/>
      <c r="D18" s="222"/>
      <c r="E18" s="222"/>
      <c r="F18" s="222"/>
      <c r="G18" s="222"/>
      <c r="H18" s="225"/>
      <c r="I18" s="224"/>
      <c r="J18" s="225"/>
      <c r="K18" s="225"/>
      <c r="L18" s="225"/>
      <c r="M18" s="225"/>
      <c r="N18" s="225"/>
      <c r="O18" s="12"/>
    </row>
    <row r="19" spans="1:15" ht="15.75" customHeight="1" x14ac:dyDescent="0.3">
      <c r="A19" s="12"/>
      <c r="B19" s="227" t="str">
        <f>TEXT('Trading Comps'!$J$7,"yyyy-mm-dd")&amp;" Price / Earnings:"</f>
        <v>Forward Year 1 Price / Earnings:</v>
      </c>
      <c r="C19" s="222"/>
      <c r="D19" s="222"/>
      <c r="E19" s="222"/>
      <c r="F19" s="222"/>
      <c r="G19" s="222"/>
      <c r="H19" s="225"/>
      <c r="I19" s="224"/>
      <c r="J19" s="225"/>
      <c r="K19" s="225"/>
      <c r="L19" s="225"/>
      <c r="M19" s="225"/>
      <c r="N19" s="225"/>
      <c r="O19" s="12"/>
    </row>
    <row r="20" spans="1:15" ht="15.75" customHeight="1" x14ac:dyDescent="0.3">
      <c r="A20" s="12"/>
      <c r="B20" s="227" t="str">
        <f>TEXT('Trading Comps'!$K$7,"yyyy-mm-dd")&amp;" Price / Earnings:"</f>
        <v>Forward Year 2 Price / Earnings:</v>
      </c>
      <c r="C20" s="222"/>
      <c r="D20" s="222"/>
      <c r="E20" s="222"/>
      <c r="F20" s="222"/>
      <c r="G20" s="222"/>
      <c r="H20" s="225"/>
      <c r="I20" s="224"/>
      <c r="J20" s="225"/>
      <c r="K20" s="225"/>
      <c r="L20" s="225"/>
      <c r="M20" s="225"/>
      <c r="N20" s="225"/>
      <c r="O20" s="12"/>
    </row>
    <row r="21" spans="1:15" ht="15.75" customHeight="1" x14ac:dyDescent="0.3">
      <c r="A21" s="12"/>
      <c r="B21" s="80"/>
      <c r="C21" s="95"/>
      <c r="D21" s="80"/>
      <c r="E21" s="95"/>
      <c r="F21" s="80"/>
      <c r="G21" s="80"/>
      <c r="H21" s="80"/>
      <c r="I21" s="80"/>
      <c r="J21" s="80"/>
      <c r="K21" s="80"/>
      <c r="L21" s="80"/>
      <c r="M21" s="80"/>
      <c r="N21" s="80"/>
      <c r="O21" s="12"/>
    </row>
    <row r="22" spans="1:15" ht="15.75" customHeight="1" x14ac:dyDescent="0.3">
      <c r="A22" s="12"/>
      <c r="B22" s="80" t="s">
        <v>303</v>
      </c>
      <c r="C22" s="95"/>
      <c r="D22" s="80"/>
      <c r="E22" s="95"/>
      <c r="F22" s="80"/>
      <c r="G22" s="80"/>
      <c r="H22" s="80"/>
      <c r="I22" s="80"/>
      <c r="J22" s="80"/>
      <c r="K22" s="80"/>
      <c r="L22" s="80"/>
      <c r="M22" s="80"/>
      <c r="N22" s="80"/>
      <c r="O22" s="12"/>
    </row>
    <row r="23" spans="1:15" ht="15.75" customHeight="1" x14ac:dyDescent="0.3">
      <c r="A23" s="12"/>
      <c r="B23" s="89" t="s">
        <v>300</v>
      </c>
      <c r="C23" s="228">
        <v>2.5</v>
      </c>
      <c r="D23" s="229">
        <v>1.7</v>
      </c>
      <c r="E23" s="228">
        <v>1.5</v>
      </c>
      <c r="F23" s="228">
        <v>1.4</v>
      </c>
      <c r="G23" s="228">
        <v>0.9</v>
      </c>
      <c r="H23" s="223"/>
      <c r="I23" s="224"/>
      <c r="J23" s="225"/>
      <c r="K23" s="225"/>
      <c r="L23" s="225"/>
      <c r="M23" s="225"/>
      <c r="N23" s="225"/>
      <c r="O23" s="12"/>
    </row>
    <row r="24" spans="1:15" ht="15.75" customHeight="1" x14ac:dyDescent="0.3">
      <c r="A24" s="12"/>
      <c r="B24" s="89" t="s">
        <v>301</v>
      </c>
      <c r="C24" s="228">
        <v>13.5</v>
      </c>
      <c r="D24" s="229">
        <v>12.1</v>
      </c>
      <c r="E24" s="228">
        <v>11.1</v>
      </c>
      <c r="F24" s="228">
        <v>10.1</v>
      </c>
      <c r="G24" s="228">
        <v>8</v>
      </c>
      <c r="H24" s="225"/>
      <c r="I24" s="224"/>
      <c r="J24" s="225"/>
      <c r="K24" s="225"/>
      <c r="L24" s="225"/>
      <c r="M24" s="225"/>
      <c r="N24" s="225"/>
      <c r="O24" s="12"/>
    </row>
    <row r="25" spans="1:15" ht="15.75" customHeight="1" x14ac:dyDescent="0.3">
      <c r="A25" s="12"/>
      <c r="B25" s="80"/>
      <c r="C25" s="95"/>
      <c r="D25" s="80"/>
      <c r="E25" s="95"/>
      <c r="F25" s="80"/>
      <c r="G25" s="80"/>
      <c r="H25" s="80"/>
      <c r="I25" s="80"/>
      <c r="J25" s="80"/>
      <c r="K25" s="80"/>
      <c r="L25" s="80"/>
      <c r="M25" s="80"/>
      <c r="N25" s="80"/>
      <c r="O25" s="12"/>
    </row>
    <row r="26" spans="1:15" ht="15.75" customHeight="1" x14ac:dyDescent="0.3">
      <c r="A26" s="12"/>
      <c r="B26" s="80" t="s">
        <v>304</v>
      </c>
      <c r="C26" s="95"/>
      <c r="D26" s="80"/>
      <c r="E26" s="95"/>
      <c r="F26" s="80"/>
      <c r="G26" s="80"/>
      <c r="H26" s="80"/>
      <c r="I26" s="80"/>
      <c r="J26" s="80"/>
      <c r="K26" s="80"/>
      <c r="L26" s="80"/>
      <c r="M26" s="80"/>
      <c r="N26" s="80"/>
      <c r="O26" s="12"/>
    </row>
    <row r="27" spans="1:15" ht="15.75" customHeight="1" x14ac:dyDescent="0.3">
      <c r="A27" s="12"/>
      <c r="B27" s="89" t="s">
        <v>305</v>
      </c>
      <c r="C27" s="87"/>
      <c r="D27" s="87"/>
      <c r="E27" s="87"/>
      <c r="F27" s="87"/>
      <c r="G27" s="87"/>
      <c r="H27" s="180"/>
      <c r="I27" s="180"/>
      <c r="J27" s="225"/>
      <c r="K27" s="225"/>
      <c r="L27" s="225"/>
      <c r="M27" s="225"/>
      <c r="N27" s="225"/>
      <c r="O27" s="12"/>
    </row>
    <row r="28" spans="1:15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.75" customHeight="1" x14ac:dyDescent="0.3">
      <c r="A29" s="12"/>
      <c r="B29" s="12"/>
      <c r="C29" s="12"/>
      <c r="D29" s="12"/>
      <c r="E29" s="12"/>
      <c r="F29" s="12"/>
      <c r="G29" s="79"/>
      <c r="H29" s="79" t="s">
        <v>306</v>
      </c>
      <c r="I29" s="79"/>
      <c r="J29" s="79"/>
      <c r="K29" s="79"/>
      <c r="L29" s="79"/>
      <c r="M29" s="79"/>
      <c r="N29" s="79"/>
      <c r="O29" s="12"/>
    </row>
    <row r="30" spans="1:15" ht="15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5.75" customHeight="1" x14ac:dyDescent="0.3">
      <c r="A31" s="12"/>
      <c r="B31" s="12"/>
      <c r="C31" s="12"/>
      <c r="D31" s="12"/>
      <c r="E31" s="12"/>
      <c r="F31" s="12"/>
      <c r="G31" s="12" t="s">
        <v>307</v>
      </c>
      <c r="H31" s="12"/>
      <c r="I31" s="12"/>
      <c r="J31" s="223"/>
      <c r="K31" s="223"/>
      <c r="L31" s="223"/>
      <c r="M31" s="223"/>
      <c r="N31" s="223"/>
      <c r="O31" s="12"/>
    </row>
    <row r="32" spans="1:15" ht="15.75" customHeight="1" x14ac:dyDescent="0.3">
      <c r="A32" s="12"/>
      <c r="B32" s="12"/>
      <c r="C32" s="12"/>
      <c r="D32" s="12"/>
      <c r="E32" s="12"/>
      <c r="F32" s="12"/>
      <c r="G32" s="12" t="s">
        <v>307</v>
      </c>
      <c r="H32" s="12"/>
      <c r="I32" s="12"/>
      <c r="J32" s="226"/>
      <c r="K32" s="226"/>
      <c r="L32" s="226"/>
      <c r="M32" s="226"/>
      <c r="N32" s="226"/>
      <c r="O32" s="12"/>
    </row>
    <row r="33" spans="1:15" ht="15.75" customHeight="1" x14ac:dyDescent="0.3">
      <c r="A33" s="12"/>
      <c r="B33" s="12"/>
      <c r="C33" s="12"/>
      <c r="D33" s="12"/>
      <c r="E33" s="12"/>
      <c r="F33" s="12"/>
      <c r="G33" s="12" t="s">
        <v>307</v>
      </c>
      <c r="H33" s="12"/>
      <c r="I33" s="12"/>
      <c r="J33" s="226"/>
      <c r="K33" s="226"/>
      <c r="L33" s="226"/>
      <c r="M33" s="226"/>
      <c r="N33" s="226"/>
      <c r="O33" s="12"/>
    </row>
    <row r="34" spans="1:15" ht="15.75" customHeight="1" x14ac:dyDescent="0.3">
      <c r="A34" s="12"/>
      <c r="B34" s="12"/>
      <c r="C34" s="12"/>
      <c r="D34" s="12"/>
      <c r="E34" s="12"/>
      <c r="F34" s="12"/>
      <c r="G34" s="12" t="s">
        <v>307</v>
      </c>
      <c r="H34" s="12"/>
      <c r="I34" s="12"/>
      <c r="J34" s="226"/>
      <c r="K34" s="226"/>
      <c r="L34" s="226"/>
      <c r="M34" s="226"/>
      <c r="N34" s="226"/>
      <c r="O34" s="12"/>
    </row>
    <row r="35" spans="1:15" ht="15.75" customHeight="1" x14ac:dyDescent="0.3">
      <c r="A35" s="12"/>
      <c r="B35" s="12"/>
      <c r="C35" s="12"/>
      <c r="D35" s="12"/>
      <c r="E35" s="12"/>
      <c r="F35" s="12"/>
      <c r="G35" s="12" t="s">
        <v>307</v>
      </c>
      <c r="H35" s="12"/>
      <c r="I35" s="12"/>
      <c r="J35" s="226"/>
      <c r="K35" s="226"/>
      <c r="L35" s="226"/>
      <c r="M35" s="226"/>
      <c r="N35" s="226"/>
      <c r="O35" s="12"/>
    </row>
    <row r="36" spans="1:15" ht="15.75" customHeight="1" x14ac:dyDescent="0.3">
      <c r="A36" s="12"/>
      <c r="B36" s="12"/>
      <c r="C36" s="12"/>
      <c r="D36" s="12"/>
      <c r="E36" s="12"/>
      <c r="F36" s="12"/>
      <c r="G36" s="12" t="s">
        <v>307</v>
      </c>
      <c r="H36" s="12"/>
      <c r="I36" s="12"/>
      <c r="J36" s="226"/>
      <c r="K36" s="226"/>
      <c r="L36" s="226"/>
      <c r="M36" s="226"/>
      <c r="N36" s="226"/>
      <c r="O36" s="12"/>
    </row>
    <row r="37" spans="1:15" ht="15.7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226"/>
      <c r="K37" s="226"/>
      <c r="L37" s="226"/>
      <c r="M37" s="226"/>
      <c r="N37" s="226"/>
      <c r="O37" s="12"/>
    </row>
    <row r="38" spans="1:15" ht="15.75" customHeight="1" x14ac:dyDescent="0.3">
      <c r="A38" s="12"/>
      <c r="B38" s="12"/>
      <c r="C38" s="12"/>
      <c r="D38" s="12"/>
      <c r="E38" s="12"/>
      <c r="F38" s="12"/>
      <c r="G38" s="12" t="s">
        <v>308</v>
      </c>
      <c r="H38" s="12"/>
      <c r="I38" s="12"/>
      <c r="J38" s="226"/>
      <c r="K38" s="226"/>
      <c r="L38" s="226"/>
      <c r="M38" s="226"/>
      <c r="N38" s="226"/>
      <c r="O38" s="12"/>
    </row>
    <row r="39" spans="1:15" ht="15.75" customHeight="1" x14ac:dyDescent="0.3">
      <c r="A39" s="12"/>
      <c r="B39" s="12"/>
      <c r="C39" s="12"/>
      <c r="D39" s="12"/>
      <c r="E39" s="12"/>
      <c r="F39" s="12"/>
      <c r="G39" s="12" t="s">
        <v>308</v>
      </c>
      <c r="H39" s="12"/>
      <c r="I39" s="12"/>
      <c r="J39" s="226"/>
      <c r="K39" s="226"/>
      <c r="L39" s="226"/>
      <c r="M39" s="226"/>
      <c r="N39" s="226"/>
      <c r="O39" s="12"/>
    </row>
    <row r="40" spans="1:15" ht="15.75" customHeight="1" x14ac:dyDescent="0.3">
      <c r="A40" s="12"/>
      <c r="B40" s="12"/>
      <c r="C40" s="12"/>
      <c r="D40" s="12"/>
      <c r="E40" s="12"/>
      <c r="F40" s="12"/>
      <c r="G40" s="12" t="s">
        <v>308</v>
      </c>
      <c r="H40" s="12"/>
      <c r="I40" s="12"/>
      <c r="J40" s="226"/>
      <c r="K40" s="226"/>
      <c r="L40" s="226"/>
      <c r="M40" s="226"/>
      <c r="N40" s="226"/>
      <c r="O40" s="12"/>
    </row>
    <row r="41" spans="1:15" ht="15.75" customHeight="1" x14ac:dyDescent="0.3">
      <c r="A41" s="12"/>
      <c r="B41" s="12"/>
      <c r="C41" s="12"/>
      <c r="D41" s="12"/>
      <c r="E41" s="12"/>
      <c r="F41" s="12"/>
      <c r="G41" s="12" t="s">
        <v>308</v>
      </c>
      <c r="H41" s="12"/>
      <c r="I41" s="12"/>
      <c r="J41" s="226"/>
      <c r="K41" s="226"/>
      <c r="L41" s="226"/>
      <c r="M41" s="226"/>
      <c r="N41" s="226"/>
      <c r="O41" s="12"/>
    </row>
    <row r="42" spans="1:15" ht="15.75" customHeight="1" x14ac:dyDescent="0.3">
      <c r="A42" s="12"/>
      <c r="B42" s="12"/>
      <c r="C42" s="12"/>
      <c r="D42" s="12"/>
      <c r="E42" s="12"/>
      <c r="F42" s="12"/>
      <c r="G42" s="12" t="s">
        <v>308</v>
      </c>
      <c r="H42" s="12"/>
      <c r="I42" s="12"/>
      <c r="J42" s="226"/>
      <c r="K42" s="226"/>
      <c r="L42" s="226"/>
      <c r="M42" s="226"/>
      <c r="N42" s="226"/>
      <c r="O42" s="12"/>
    </row>
    <row r="43" spans="1:15" ht="15.75" customHeight="1" x14ac:dyDescent="0.3">
      <c r="A43" s="12"/>
      <c r="B43" s="12"/>
      <c r="C43" s="12"/>
      <c r="D43" s="12"/>
      <c r="E43" s="12"/>
      <c r="F43" s="12"/>
      <c r="G43" s="12" t="s">
        <v>308</v>
      </c>
      <c r="H43" s="12"/>
      <c r="I43" s="12"/>
      <c r="J43" s="226"/>
      <c r="K43" s="226"/>
      <c r="L43" s="226"/>
      <c r="M43" s="226"/>
      <c r="N43" s="226"/>
      <c r="O43" s="12"/>
    </row>
    <row r="44" spans="1:15" ht="15.75" customHeight="1" x14ac:dyDescent="0.3">
      <c r="A44" s="12"/>
      <c r="B44" s="12"/>
      <c r="C44" s="12"/>
      <c r="D44" s="12"/>
      <c r="E44" s="12"/>
      <c r="F44" s="12"/>
      <c r="G44" s="12" t="s">
        <v>308</v>
      </c>
      <c r="H44" s="12"/>
      <c r="I44" s="12"/>
      <c r="J44" s="226"/>
      <c r="K44" s="226"/>
      <c r="L44" s="226"/>
      <c r="M44" s="226"/>
      <c r="N44" s="226"/>
      <c r="O44" s="12"/>
    </row>
    <row r="45" spans="1:15" ht="15.75" customHeight="1" x14ac:dyDescent="0.3">
      <c r="A45" s="12"/>
      <c r="B45" s="12"/>
      <c r="C45" s="12"/>
      <c r="D45" s="12"/>
      <c r="E45" s="12"/>
      <c r="F45" s="12"/>
      <c r="G45" s="12" t="s">
        <v>308</v>
      </c>
      <c r="H45" s="12"/>
      <c r="I45" s="12"/>
      <c r="J45" s="226"/>
      <c r="K45" s="226"/>
      <c r="L45" s="226"/>
      <c r="M45" s="226"/>
      <c r="N45" s="226"/>
      <c r="O45" s="12"/>
    </row>
    <row r="46" spans="1:15" ht="15.75" customHeight="1" x14ac:dyDescent="0.3">
      <c r="A46" s="12"/>
      <c r="B46" s="12"/>
      <c r="C46" s="12"/>
      <c r="D46" s="12"/>
      <c r="E46" s="12"/>
      <c r="F46" s="12"/>
      <c r="G46" s="12" t="s">
        <v>308</v>
      </c>
      <c r="H46" s="12"/>
      <c r="I46" s="12"/>
      <c r="J46" s="226"/>
      <c r="K46" s="226"/>
      <c r="L46" s="226"/>
      <c r="M46" s="226"/>
      <c r="N46" s="226"/>
      <c r="O46" s="12"/>
    </row>
    <row r="47" spans="1:15" ht="15.7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.75" customHeight="1" x14ac:dyDescent="0.3">
      <c r="A48" s="12"/>
      <c r="B48" s="12"/>
      <c r="C48" s="12"/>
      <c r="D48" s="12"/>
      <c r="E48" s="12"/>
      <c r="F48" s="12"/>
      <c r="G48" s="12" t="s">
        <v>307</v>
      </c>
      <c r="H48" s="12"/>
      <c r="I48" s="12"/>
      <c r="J48" s="226"/>
      <c r="K48" s="226"/>
      <c r="L48" s="226"/>
      <c r="M48" s="226"/>
      <c r="N48" s="226"/>
      <c r="O48" s="12"/>
    </row>
    <row r="49" spans="1:18" ht="15.75" customHeight="1" x14ac:dyDescent="0.3">
      <c r="A49" s="12"/>
      <c r="B49" s="12"/>
      <c r="C49" s="12"/>
      <c r="D49" s="12"/>
      <c r="E49" s="12"/>
      <c r="F49" s="12"/>
      <c r="G49" s="12" t="s">
        <v>307</v>
      </c>
      <c r="H49" s="12"/>
      <c r="I49" s="12"/>
      <c r="J49" s="226"/>
      <c r="K49" s="226"/>
      <c r="L49" s="226"/>
      <c r="M49" s="226"/>
      <c r="N49" s="226"/>
      <c r="O49" s="12"/>
    </row>
    <row r="50" spans="1:18" ht="15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8" ht="15.75" customHeight="1" x14ac:dyDescent="0.3">
      <c r="A51" s="12"/>
      <c r="B51" s="12"/>
      <c r="C51" s="12"/>
      <c r="D51" s="12"/>
      <c r="E51" s="12"/>
      <c r="F51" s="12"/>
      <c r="G51" s="12" t="s">
        <v>308</v>
      </c>
      <c r="H51" s="12"/>
      <c r="I51" s="12"/>
      <c r="J51" s="226"/>
      <c r="K51" s="226"/>
      <c r="L51" s="226"/>
      <c r="M51" s="226"/>
      <c r="N51" s="226"/>
      <c r="O51" s="12"/>
    </row>
    <row r="52" spans="1:18" ht="15.75" customHeight="1" x14ac:dyDescent="0.3">
      <c r="A52" s="12"/>
      <c r="B52" s="12"/>
      <c r="C52" s="12"/>
      <c r="D52" s="12"/>
      <c r="E52" s="12"/>
      <c r="F52" s="12"/>
      <c r="G52" s="12" t="s">
        <v>308</v>
      </c>
      <c r="H52" s="12"/>
      <c r="I52" s="12"/>
      <c r="J52" s="226"/>
      <c r="K52" s="226"/>
      <c r="L52" s="226"/>
      <c r="M52" s="226"/>
      <c r="N52" s="226"/>
      <c r="O52" s="12"/>
    </row>
    <row r="55" spans="1:18" ht="30" customHeight="1" x14ac:dyDescent="0.3">
      <c r="A55" s="12"/>
      <c r="B55" s="12"/>
      <c r="C55" s="12"/>
      <c r="D55" s="12"/>
      <c r="E55" s="12"/>
      <c r="F55" s="12"/>
      <c r="G55" s="12"/>
      <c r="H55" s="12"/>
      <c r="I55" s="12" t="s">
        <v>309</v>
      </c>
      <c r="J55" s="12" t="s">
        <v>290</v>
      </c>
      <c r="K55" s="12" t="s">
        <v>283</v>
      </c>
      <c r="L55" s="12" t="s">
        <v>289</v>
      </c>
      <c r="M55" s="12" t="s">
        <v>310</v>
      </c>
      <c r="N55" s="12" t="s">
        <v>311</v>
      </c>
      <c r="O55" s="12" t="s">
        <v>312</v>
      </c>
      <c r="P55" s="253" t="s">
        <v>313</v>
      </c>
      <c r="Q55" s="253" t="s">
        <v>314</v>
      </c>
      <c r="R55" s="12" t="s">
        <v>315</v>
      </c>
    </row>
    <row r="56" spans="1:18" ht="15.75" customHeight="1" x14ac:dyDescent="0.3">
      <c r="A56" s="12"/>
      <c r="B56" s="12"/>
      <c r="C56" s="12"/>
      <c r="D56" s="12"/>
      <c r="E56" s="12"/>
      <c r="F56" s="12"/>
      <c r="G56" s="12"/>
      <c r="H56" s="12"/>
      <c r="I56" s="231"/>
      <c r="J56" s="231"/>
      <c r="K56" s="231"/>
      <c r="L56" s="231"/>
      <c r="M56" s="231"/>
      <c r="N56" s="231"/>
      <c r="O56" s="231"/>
      <c r="P56" s="231"/>
      <c r="Q56" s="231"/>
      <c r="R56" s="231"/>
    </row>
    <row r="57" spans="1:18" ht="15.75" customHeight="1" x14ac:dyDescent="0.3">
      <c r="A57" s="12"/>
      <c r="B57" s="233" t="str">
        <f>'Valuation Bridge'!B27</f>
        <v>Discount Rate 13.5%–15.5%, Perpetuity FCF Growth 2.0%–4.0%:</v>
      </c>
      <c r="C57" s="12"/>
      <c r="D57" s="12"/>
      <c r="E57" s="12"/>
      <c r="F57" s="12"/>
      <c r="G57" s="12"/>
      <c r="H57" s="12"/>
      <c r="I57" s="223"/>
      <c r="J57" s="223"/>
      <c r="K57" s="223"/>
      <c r="L57" s="223"/>
      <c r="M57" s="223"/>
      <c r="N57" s="223"/>
      <c r="O57" s="223"/>
      <c r="P57" s="223"/>
      <c r="Q57" s="223"/>
      <c r="R57" s="223"/>
    </row>
    <row r="58" spans="1:18" ht="15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5.75" customHeight="1" x14ac:dyDescent="0.3">
      <c r="A59" s="12"/>
      <c r="B59" s="233" t="str">
        <f>'Valuation Bridge'!B24</f>
        <v>LTM EV/EBITDA:</v>
      </c>
      <c r="C59" s="12"/>
      <c r="D59" s="12"/>
      <c r="E59" s="12"/>
      <c r="F59" s="12"/>
      <c r="G59" s="12"/>
      <c r="H59" s="12"/>
      <c r="I59" s="226"/>
      <c r="J59" s="226"/>
      <c r="K59" s="226"/>
      <c r="L59" s="226"/>
      <c r="M59" s="226"/>
      <c r="N59" s="226"/>
      <c r="O59" s="226"/>
      <c r="P59" s="226"/>
      <c r="Q59" s="226"/>
      <c r="R59" s="226"/>
    </row>
    <row r="60" spans="1:18" ht="15.75" customHeight="1" x14ac:dyDescent="0.3">
      <c r="A60" s="12"/>
      <c r="B60" s="233" t="str">
        <f>'Valuation Bridge'!B23</f>
        <v>LTM EV / Media Revenue:</v>
      </c>
      <c r="C60" s="12"/>
      <c r="D60" s="12"/>
      <c r="E60" s="12"/>
      <c r="F60" s="12"/>
      <c r="G60" s="12"/>
      <c r="H60" s="12"/>
      <c r="I60" s="226"/>
      <c r="J60" s="226"/>
      <c r="K60" s="226"/>
      <c r="L60" s="226"/>
      <c r="M60" s="226"/>
      <c r="N60" s="226"/>
      <c r="O60" s="226"/>
      <c r="P60" s="226"/>
      <c r="Q60" s="226"/>
      <c r="R60" s="226"/>
    </row>
    <row r="61" spans="1:18" ht="15.75" customHeight="1" x14ac:dyDescent="0.3">
      <c r="A61" s="12"/>
      <c r="B61" s="12"/>
      <c r="C61" s="12"/>
      <c r="D61" s="12"/>
      <c r="E61" s="12"/>
      <c r="F61" s="12"/>
      <c r="G61" s="12"/>
      <c r="H61" s="12"/>
      <c r="I61" s="232"/>
      <c r="J61" s="232"/>
      <c r="K61" s="232"/>
      <c r="L61" s="232"/>
      <c r="M61" s="232"/>
      <c r="N61" s="232"/>
      <c r="O61" s="232"/>
      <c r="P61" s="232"/>
      <c r="Q61" s="232"/>
      <c r="R61" s="232"/>
    </row>
    <row r="62" spans="1:18" ht="15.75" customHeight="1" x14ac:dyDescent="0.3">
      <c r="A62" s="12"/>
      <c r="B62" s="233" t="str">
        <f>'Valuation Bridge'!B20</f>
        <v>Forward Year 2 Price / Earnings:</v>
      </c>
      <c r="C62" s="12"/>
      <c r="D62" s="12"/>
      <c r="E62" s="12"/>
      <c r="F62" s="12"/>
      <c r="G62" s="12"/>
      <c r="H62" s="12"/>
      <c r="I62" s="226"/>
      <c r="J62" s="226"/>
      <c r="K62" s="226"/>
      <c r="L62" s="226"/>
      <c r="M62" s="226"/>
      <c r="N62" s="226"/>
      <c r="O62" s="226"/>
      <c r="P62" s="226"/>
      <c r="Q62" s="226"/>
      <c r="R62" s="226"/>
    </row>
    <row r="63" spans="1:18" ht="15.75" customHeight="1" x14ac:dyDescent="0.3">
      <c r="A63" s="12"/>
      <c r="B63" s="233" t="str">
        <f>'Valuation Bridge'!B19</f>
        <v>Forward Year 1 Price / Earnings:</v>
      </c>
      <c r="C63" s="12"/>
      <c r="D63" s="12"/>
      <c r="E63" s="12"/>
      <c r="F63" s="12"/>
      <c r="G63" s="12"/>
      <c r="H63" s="12"/>
      <c r="I63" s="226"/>
      <c r="J63" s="226"/>
      <c r="K63" s="226"/>
      <c r="L63" s="226"/>
      <c r="M63" s="226"/>
      <c r="N63" s="226"/>
      <c r="O63" s="226"/>
      <c r="P63" s="226"/>
      <c r="Q63" s="226"/>
      <c r="R63" s="226"/>
    </row>
    <row r="64" spans="1:18" ht="15.75" customHeight="1" x14ac:dyDescent="0.3">
      <c r="A64" s="12"/>
      <c r="B64" s="233" t="str">
        <f>'Valuation Bridge'!B18</f>
        <v>LTM P/E:</v>
      </c>
      <c r="C64" s="12"/>
      <c r="D64" s="12"/>
      <c r="E64" s="12"/>
      <c r="F64" s="12"/>
      <c r="G64" s="12"/>
      <c r="H64" s="12"/>
      <c r="I64" s="226"/>
      <c r="J64" s="226"/>
      <c r="K64" s="226"/>
      <c r="L64" s="226"/>
      <c r="M64" s="226"/>
      <c r="N64" s="226"/>
      <c r="O64" s="226"/>
      <c r="P64" s="226"/>
      <c r="Q64" s="226"/>
      <c r="R64" s="226"/>
    </row>
    <row r="65" spans="1:18" ht="15.75" customHeight="1" x14ac:dyDescent="0.3">
      <c r="A65" s="12"/>
      <c r="B65" s="233" t="str">
        <f>'Valuation Bridge'!B17</f>
        <v>Forward Year 2 EV / EBITDA:</v>
      </c>
      <c r="C65" s="12"/>
      <c r="D65" s="12"/>
      <c r="E65" s="12"/>
      <c r="F65" s="12"/>
      <c r="G65" s="12"/>
      <c r="H65" s="12"/>
      <c r="I65" s="226"/>
      <c r="J65" s="226"/>
      <c r="K65" s="226"/>
      <c r="L65" s="226"/>
      <c r="M65" s="226"/>
      <c r="N65" s="226"/>
      <c r="O65" s="226"/>
      <c r="P65" s="226"/>
      <c r="Q65" s="226"/>
      <c r="R65" s="226"/>
    </row>
    <row r="66" spans="1:18" ht="15.75" customHeight="1" x14ac:dyDescent="0.3">
      <c r="A66" s="12"/>
      <c r="B66" s="233" t="str">
        <f>'Valuation Bridge'!B16</f>
        <v>Forward Year 1 EV / EBITDA:</v>
      </c>
      <c r="C66" s="12"/>
      <c r="D66" s="12"/>
      <c r="E66" s="12"/>
      <c r="F66" s="12"/>
      <c r="G66" s="12"/>
      <c r="H66" s="12"/>
      <c r="I66" s="226"/>
      <c r="J66" s="226"/>
      <c r="K66" s="226"/>
      <c r="L66" s="226"/>
      <c r="M66" s="226"/>
      <c r="N66" s="226"/>
      <c r="O66" s="226"/>
      <c r="P66" s="226"/>
      <c r="Q66" s="226"/>
      <c r="R66" s="226"/>
    </row>
    <row r="67" spans="1:18" ht="15.75" customHeight="1" x14ac:dyDescent="0.3">
      <c r="A67" s="12"/>
      <c r="B67" s="233" t="str">
        <f>'Valuation Bridge'!B15</f>
        <v>LTM EV/EBITDA:</v>
      </c>
      <c r="C67" s="12"/>
      <c r="D67" s="12"/>
      <c r="E67" s="12"/>
      <c r="F67" s="12"/>
      <c r="G67" s="12"/>
      <c r="H67" s="12"/>
      <c r="I67" s="226"/>
      <c r="J67" s="226"/>
      <c r="K67" s="226"/>
      <c r="L67" s="226"/>
      <c r="M67" s="226"/>
      <c r="N67" s="226"/>
      <c r="O67" s="226"/>
      <c r="P67" s="226"/>
      <c r="Q67" s="226"/>
      <c r="R67" s="226"/>
    </row>
    <row r="68" spans="1:18" ht="15.75" customHeight="1" x14ac:dyDescent="0.3">
      <c r="A68" s="12"/>
      <c r="B68" s="233" t="str">
        <f>'Valuation Bridge'!B14</f>
        <v>Forward Year 2 EV / Revenue:</v>
      </c>
      <c r="C68" s="12"/>
      <c r="D68" s="12"/>
      <c r="E68" s="12"/>
      <c r="F68" s="12"/>
      <c r="G68" s="12"/>
      <c r="H68" s="12"/>
      <c r="I68" s="226"/>
      <c r="J68" s="226"/>
      <c r="K68" s="226"/>
      <c r="L68" s="226"/>
      <c r="M68" s="226"/>
      <c r="N68" s="226"/>
      <c r="O68" s="226"/>
      <c r="P68" s="226"/>
      <c r="Q68" s="226"/>
      <c r="R68" s="226"/>
    </row>
    <row r="69" spans="1:18" ht="15.75" customHeight="1" x14ac:dyDescent="0.3">
      <c r="A69" s="12"/>
      <c r="B69" s="233" t="str">
        <f>'Valuation Bridge'!B13</f>
        <v>Forward Year 1 EV / Revenue:</v>
      </c>
      <c r="C69" s="12"/>
      <c r="D69" s="12"/>
      <c r="E69" s="12"/>
      <c r="F69" s="12"/>
      <c r="G69" s="12"/>
      <c r="H69" s="12"/>
      <c r="I69" s="226"/>
      <c r="J69" s="226"/>
      <c r="K69" s="226"/>
      <c r="L69" s="226"/>
      <c r="M69" s="226"/>
      <c r="N69" s="226"/>
      <c r="O69" s="226"/>
      <c r="P69" s="226"/>
      <c r="Q69" s="226"/>
      <c r="R69" s="226"/>
    </row>
    <row r="70" spans="1:18" ht="15.75" customHeight="1" x14ac:dyDescent="0.3">
      <c r="A70" s="12"/>
      <c r="B70" s="233" t="str">
        <f>'Valuation Bridge'!B12</f>
        <v>LTM EV / Media Revenue:</v>
      </c>
      <c r="C70" s="12"/>
      <c r="D70" s="12"/>
      <c r="E70" s="12"/>
      <c r="F70" s="12"/>
      <c r="G70" s="12"/>
      <c r="H70" s="12"/>
      <c r="I70" s="226"/>
      <c r="J70" s="226"/>
      <c r="K70" s="226"/>
      <c r="L70" s="226"/>
      <c r="M70" s="226"/>
      <c r="N70" s="226"/>
      <c r="O70" s="226"/>
      <c r="P70" s="226"/>
      <c r="Q70" s="226"/>
      <c r="R70" s="226"/>
    </row>
  </sheetData>
  <pageMargins left="0.7" right="0.7" top="0.75" bottom="0.75" header="0.3" footer="0.3"/>
  <pageSetup scale="48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Books &amp; GAAP Bridge</vt:lpstr>
      <vt:lpstr>Cash Flow Valuation</vt:lpstr>
      <vt:lpstr>Trading Comps</vt:lpstr>
      <vt:lpstr>Valuation Bridge</vt:lpstr>
      <vt:lpstr>Buyer_Diversification</vt:lpstr>
      <vt:lpstr>Company_Name</vt:lpstr>
      <vt:lpstr>Cost_of_Debt</vt:lpstr>
      <vt:lpstr>Cost_of_Preferred</vt:lpstr>
      <vt:lpstr>Equity_Risk_Premium</vt:lpstr>
      <vt:lpstr>Market_Correlation</vt:lpstr>
      <vt:lpstr>'Books &amp; GAAP Bridge'!Print_Area</vt:lpstr>
      <vt:lpstr>'Cash Flow Valuation'!Print_Area</vt:lpstr>
      <vt:lpstr>'Trading Comps'!Print_Area</vt:lpstr>
      <vt:lpstr>'Valuation Bridge'!Print_Area</vt:lpstr>
      <vt:lpstr>Risk_Free_Rate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2011-04-03T06:45:35Z</dcterms:created>
  <dcterms:modified xsi:type="dcterms:W3CDTF">2026-08-17T20:26:57Z</dcterms:modified>
</cp:coreProperties>
</file>