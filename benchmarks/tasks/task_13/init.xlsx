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xr:revisionPtr revIDLastSave="0" documentId="13_ncr:1_{D7609ECA-446F-4354-8C7A-EF76CFDEEAC2}" xr6:coauthVersionLast="47" xr6:coauthVersionMax="47" xr10:uidLastSave="{00000000-0000-0000-0000-000000000000}"/>
  <bookViews>
    <workbookView xWindow="7448" yWindow="-16695" windowWidth="28994" windowHeight="15675" xr2:uid="{00000000-000D-0000-FFFF-FFFF00000000}"/>
  </bookViews>
  <sheets>
    <sheet name="Assumptions" sheetId="1" r:id="rId1"/>
    <sheet name="Scenario Engine" sheetId="2" r:id="rId2"/>
    <sheet name="Valuation Outp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2" i="3" l="1"/>
  <c r="X12" i="3"/>
  <c r="Y11" i="3"/>
  <c r="X11" i="3"/>
  <c r="Y10" i="3"/>
  <c r="X10" i="3"/>
  <c r="Y9" i="3"/>
  <c r="X9" i="3"/>
  <c r="Y8" i="3"/>
  <c r="X8" i="3"/>
  <c r="Y7" i="3"/>
  <c r="X7" i="3"/>
  <c r="I12" i="2"/>
  <c r="F12" i="2"/>
  <c r="E12" i="3" s="1"/>
  <c r="E12" i="2"/>
  <c r="I11" i="2"/>
  <c r="F11" i="2"/>
  <c r="G11" i="2" s="1"/>
  <c r="E11" i="2"/>
  <c r="I10" i="2"/>
  <c r="F10" i="2"/>
  <c r="G10" i="2" s="1"/>
  <c r="E10" i="2"/>
  <c r="I9" i="2"/>
  <c r="F9" i="2"/>
  <c r="G9" i="2" s="1"/>
  <c r="E9" i="2"/>
  <c r="I8" i="2"/>
  <c r="F8" i="2"/>
  <c r="E8" i="3" s="1"/>
  <c r="E8" i="2"/>
  <c r="I7" i="2"/>
  <c r="F7" i="2"/>
  <c r="G7" i="2" s="1"/>
  <c r="E7" i="2"/>
  <c r="F14" i="1"/>
  <c r="J10" i="1"/>
  <c r="K12" i="2" s="1"/>
  <c r="F8" i="1"/>
  <c r="H9" i="2" l="1"/>
  <c r="F9" i="3" s="1"/>
  <c r="R9" i="2"/>
  <c r="G9" i="3"/>
  <c r="H10" i="2"/>
  <c r="F10" i="3" s="1"/>
  <c r="R10" i="2"/>
  <c r="H7" i="2"/>
  <c r="F7" i="3" s="1"/>
  <c r="G10" i="3"/>
  <c r="H11" i="2"/>
  <c r="F11" i="3" s="1"/>
  <c r="R11" i="2"/>
  <c r="J11" i="2"/>
  <c r="M11" i="3" s="1"/>
  <c r="K7" i="2"/>
  <c r="K8" i="2"/>
  <c r="K9" i="2"/>
  <c r="K10" i="2"/>
  <c r="K11" i="2"/>
  <c r="E10" i="3"/>
  <c r="J7" i="2"/>
  <c r="M7" i="3" s="1"/>
  <c r="J8" i="2"/>
  <c r="M8" i="3" s="1"/>
  <c r="J9" i="2"/>
  <c r="M9" i="3" s="1"/>
  <c r="J10" i="2"/>
  <c r="M10" i="3" s="1"/>
  <c r="E9" i="3"/>
  <c r="J12" i="2"/>
  <c r="M12" i="3" s="1"/>
  <c r="E7" i="3"/>
  <c r="E11" i="3"/>
  <c r="G8" i="2"/>
  <c r="G12" i="2"/>
  <c r="O7" i="3" l="1"/>
  <c r="N7" i="3"/>
  <c r="P7" i="3" s="1"/>
  <c r="H12" i="2"/>
  <c r="F12" i="3" s="1"/>
  <c r="R12" i="2"/>
  <c r="Q10" i="3"/>
  <c r="O10" i="3"/>
  <c r="N10" i="3"/>
  <c r="P10" i="3" s="1"/>
  <c r="H8" i="2"/>
  <c r="F8" i="3" s="1"/>
  <c r="R8" i="2"/>
  <c r="G7" i="3"/>
  <c r="Q11" i="3"/>
  <c r="O11" i="3"/>
  <c r="N11" i="3"/>
  <c r="P11" i="3" s="1"/>
  <c r="K9" i="3"/>
  <c r="H9" i="3"/>
  <c r="Z9" i="3"/>
  <c r="K10" i="3"/>
  <c r="H10" i="3"/>
  <c r="Z10" i="3"/>
  <c r="N9" i="3"/>
  <c r="O9" i="3"/>
  <c r="Q9" i="3"/>
  <c r="R7" i="2"/>
  <c r="G11" i="3"/>
  <c r="U9" i="3" l="1"/>
  <c r="AC9" i="3"/>
  <c r="J9" i="3"/>
  <c r="R9" i="3"/>
  <c r="W9" i="3" s="1"/>
  <c r="H7" i="3"/>
  <c r="Z7" i="3"/>
  <c r="K7" i="3"/>
  <c r="P9" i="3"/>
  <c r="O12" i="3"/>
  <c r="N12" i="3"/>
  <c r="P12" i="3" s="1"/>
  <c r="G12" i="3"/>
  <c r="U10" i="3"/>
  <c r="AC10" i="3"/>
  <c r="J10" i="3"/>
  <c r="R10" i="3"/>
  <c r="W10" i="3" s="1"/>
  <c r="H11" i="3"/>
  <c r="Z11" i="3"/>
  <c r="K11" i="3"/>
  <c r="O8" i="3"/>
  <c r="N8" i="3"/>
  <c r="P8" i="3" s="1"/>
  <c r="G8" i="3"/>
  <c r="Q7" i="3"/>
  <c r="Z8" i="3" l="1"/>
  <c r="K8" i="3"/>
  <c r="H8" i="3"/>
  <c r="R7" i="3"/>
  <c r="W7" i="3" s="1"/>
  <c r="J7" i="3"/>
  <c r="Q8" i="3"/>
  <c r="AC7" i="3"/>
  <c r="U7" i="3"/>
  <c r="Z12" i="3"/>
  <c r="K12" i="3"/>
  <c r="H12" i="3"/>
  <c r="R11" i="3"/>
  <c r="W11" i="3" s="1"/>
  <c r="J11" i="3"/>
  <c r="Q12" i="3"/>
  <c r="AC11" i="3"/>
  <c r="U11" i="3"/>
  <c r="AC12" i="3" l="1"/>
  <c r="U12" i="3"/>
  <c r="AC8" i="3"/>
  <c r="U8" i="3"/>
  <c r="J12" i="3"/>
  <c r="R12" i="3"/>
  <c r="W12" i="3" s="1"/>
  <c r="J8" i="3"/>
  <c r="R8" i="3"/>
  <c r="W8" i="3" s="1"/>
</calcChain>
</file>

<file path=xl/sharedStrings.xml><?xml version="1.0" encoding="utf-8"?>
<sst xmlns="http://schemas.openxmlformats.org/spreadsheetml/2006/main" count="133" uniqueCount="81">
  <si>
    <t>Transaction Scenario Assumptions</t>
  </si>
  <si>
    <t>Capital and Ownership Inputs</t>
  </si>
  <si>
    <t>Fees and Forward Metrics</t>
  </si>
  <si>
    <t>Reference Share Price</t>
  </si>
  <si>
    <t>Diluted Shares</t>
  </si>
  <si>
    <t>Diluted Equity Value</t>
  </si>
  <si>
    <t>Base Offering Proceeds</t>
  </si>
  <si>
    <t>Underwriting Fee Rate</t>
  </si>
  <si>
    <t>Primary Share Mix</t>
  </si>
  <si>
    <t>Secondary Share Mix</t>
  </si>
  <si>
    <t>Overallotment Rate</t>
  </si>
  <si>
    <t>Primary Overallotment Mix</t>
  </si>
  <si>
    <t>Regulatory Filing Fees</t>
  </si>
  <si>
    <t>Document Production Fees</t>
  </si>
  <si>
    <t>Accounting and Legal Fees</t>
  </si>
  <si>
    <t>Other Transaction Fees</t>
  </si>
  <si>
    <t>Total Transaction Fees</t>
  </si>
  <si>
    <t>Pre-Transaction Forward EPS</t>
  </si>
  <si>
    <t>Forward Revenue</t>
  </si>
  <si>
    <t>Forward EBITDA</t>
  </si>
  <si>
    <t>Forward Net Income</t>
  </si>
  <si>
    <t>Debt and Convertible Costs</t>
  </si>
  <si>
    <t>Scenario-specific</t>
  </si>
  <si>
    <t>Scenario Calculation Engine</t>
  </si>
  <si>
    <t>Scenario</t>
  </si>
  <si>
    <t>Pricing Discount</t>
  </si>
  <si>
    <t>Pricing Step</t>
  </si>
  <si>
    <t>%</t>
  </si>
  <si>
    <t>Scenario Offer Price</t>
  </si>
  <si>
    <t>$</t>
  </si>
  <si>
    <t>Base Shares in Transaction</t>
  </si>
  <si>
    <t>M shares</t>
  </si>
  <si>
    <t>Overallotment Shares</t>
  </si>
  <si>
    <t>Primary Shares — Overallotment</t>
  </si>
  <si>
    <t>Diluted Shares Before Transaction</t>
  </si>
  <si>
    <t>Base Transaction Value</t>
  </si>
  <si>
    <t>$M</t>
  </si>
  <si>
    <t>Less: Cash and Equivalents</t>
  </si>
  <si>
    <t>Less: Equity Investments</t>
  </si>
  <si>
    <t>Less: Non-Core Assets</t>
  </si>
  <si>
    <t>Less: Tax Attributes</t>
  </si>
  <si>
    <t>Add: Debt</t>
  </si>
  <si>
    <t>Add: Noncontrolling Interests</t>
  </si>
  <si>
    <t>Scenario 1</t>
  </si>
  <si>
    <t>Scenario 2</t>
  </si>
  <si>
    <t>Scenario 3</t>
  </si>
  <si>
    <t>Scenario 4</t>
  </si>
  <si>
    <t>Scenario 5</t>
  </si>
  <si>
    <t>Scenario 6</t>
  </si>
  <si>
    <t>Scenario Valuation and Dilution Outputs</t>
  </si>
  <si>
    <t>Primary Shares — Base</t>
  </si>
  <si>
    <t>Secondary Shares — Base</t>
  </si>
  <si>
    <t>Total Primary Shares</t>
  </si>
  <si>
    <t>Diluted Shares After Transaction</t>
  </si>
  <si>
    <t>Equity Value at Offer Price</t>
  </si>
  <si>
    <t>Offer-Price Discount</t>
  </si>
  <si>
    <t>Equity Value Discount</t>
  </si>
  <si>
    <t>Equity Value at Market Price</t>
  </si>
  <si>
    <t>Overallotment Value</t>
  </si>
  <si>
    <t>Total Transaction Value</t>
  </si>
  <si>
    <t>Gross Primary Capital</t>
  </si>
  <si>
    <t>Underwriting Fees</t>
  </si>
  <si>
    <t>Net Primary Capital</t>
  </si>
  <si>
    <t>Ownership Sold</t>
  </si>
  <si>
    <t>Less: Net Primary Capital</t>
  </si>
  <si>
    <t>Enterprise Value at Market Price</t>
  </si>
  <si>
    <t>Forward P/E at Offer Price</t>
  </si>
  <si>
    <t>x</t>
  </si>
  <si>
    <t>Forward P/E at Market Price</t>
  </si>
  <si>
    <t>Forward EV / EBITDA at Market Price</t>
  </si>
  <si>
    <t>Forward EV / Revenue at Market Price</t>
  </si>
  <si>
    <t>Forward EPS After Transaction</t>
  </si>
  <si>
    <t>Forward EPS Change per Share</t>
  </si>
  <si>
    <t>Forward EPS Change</t>
  </si>
  <si>
    <t>Secondary Shares — Overallotment</t>
  </si>
  <si>
    <t>After-Tax Debt Cost</t>
  </si>
  <si>
    <t>After-Tax Convertible Cost</t>
  </si>
  <si>
    <t>Enterprise Value at Offer Price</t>
  </si>
  <si>
    <t>Forward EV / EBITDA at Offer Price</t>
  </si>
  <si>
    <t>Forward EV / Revenue at Offer Price</t>
  </si>
  <si>
    <t>Cost of Equity After 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</si>
</sst>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\(#,##0.000\);\-"/>
    <numFmt numFmtId="165" formatCode="0.0%;\(0.0%\);\-"/>
    <numFmt numFmtId="166" formatCode="#,##0.0;\(#,##0.0\);\-"/>
  </numFmts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3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5" fontId="4" fillId="3" borderId="0" xfId="0" applyNumberFormat="1" applyFont="1" applyFill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0" borderId="1" xfId="0" applyNumberFormat="1" applyFont="1" applyBorder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showGridLines="0" tabSelected="1" workbookViewId="0"/>
  </sheetViews>
  <sheetFormatPr defaultRowHeight="18" customHeight="1" x14ac:dyDescent="0.3"/>
  <cols>
    <col min="1" max="1" width="2.6640625" customWidth="1"/>
    <col min="2" max="2" width="34.6640625" customWidth="1"/>
    <col min="3" max="5" width="3.6640625" customWidth="1"/>
    <col min="6" max="6" width="16.6640625" customWidth="1"/>
    <col min="7" max="7" width="3.6640625" customWidth="1"/>
    <col min="8" max="9" width="31.6640625" customWidth="1"/>
    <col min="10" max="10" width="16.6640625" customWidth="1"/>
  </cols>
  <sheetData>
    <row r="2" spans="2:10" ht="24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</row>
    <row r="4" spans="2:10" ht="18" customHeight="1" x14ac:dyDescent="0.3">
      <c r="B4" s="1" t="s">
        <v>1</v>
      </c>
      <c r="H4" s="1" t="s">
        <v>2</v>
      </c>
    </row>
    <row r="6" spans="2:10" ht="18" customHeight="1" x14ac:dyDescent="0.3">
      <c r="B6" s="2" t="s">
        <v>3</v>
      </c>
      <c r="F6" s="3">
        <v>456.032962</v>
      </c>
      <c r="H6" s="2" t="s">
        <v>12</v>
      </c>
      <c r="J6" s="3">
        <v>0.163386</v>
      </c>
    </row>
    <row r="7" spans="2:10" ht="18" customHeight="1" x14ac:dyDescent="0.3">
      <c r="B7" s="2" t="s">
        <v>4</v>
      </c>
      <c r="F7" s="3">
        <v>56.721032000000001</v>
      </c>
      <c r="H7" s="2" t="s">
        <v>13</v>
      </c>
      <c r="J7" s="3">
        <v>8.6735999999999994E-2</v>
      </c>
    </row>
    <row r="8" spans="2:10" ht="18" customHeight="1" x14ac:dyDescent="0.3">
      <c r="B8" s="2" t="s">
        <v>5</v>
      </c>
      <c r="F8" s="4">
        <f>F6*F7</f>
        <v>25866.660230656784</v>
      </c>
      <c r="H8" s="2" t="s">
        <v>14</v>
      </c>
      <c r="J8" s="3">
        <v>0.11448800000000001</v>
      </c>
    </row>
    <row r="9" spans="2:10" ht="18" customHeight="1" x14ac:dyDescent="0.3">
      <c r="H9" s="2" t="s">
        <v>15</v>
      </c>
      <c r="J9" s="3">
        <v>0.11143699999999999</v>
      </c>
    </row>
    <row r="10" spans="2:10" ht="18" customHeight="1" x14ac:dyDescent="0.3">
      <c r="B10" s="2" t="s">
        <v>6</v>
      </c>
      <c r="F10" s="3">
        <v>1453</v>
      </c>
      <c r="H10" s="2" t="s">
        <v>16</v>
      </c>
      <c r="J10" s="4">
        <f>SUM(J6:J9)</f>
        <v>0.476047</v>
      </c>
    </row>
    <row r="11" spans="2:10" ht="18" customHeight="1" x14ac:dyDescent="0.3">
      <c r="B11" s="2" t="s">
        <v>7</v>
      </c>
      <c r="F11" s="5">
        <v>2.3310000000000001E-2</v>
      </c>
    </row>
    <row r="12" spans="2:10" ht="18" customHeight="1" x14ac:dyDescent="0.3">
      <c r="H12" s="2" t="s">
        <v>17</v>
      </c>
      <c r="J12" s="3">
        <v>5.1406289999999997</v>
      </c>
    </row>
    <row r="13" spans="2:10" ht="18" customHeight="1" x14ac:dyDescent="0.3">
      <c r="B13" s="2" t="s">
        <v>8</v>
      </c>
      <c r="F13" s="5">
        <v>0.94916699999999998</v>
      </c>
    </row>
    <row r="14" spans="2:10" ht="18" customHeight="1" x14ac:dyDescent="0.3">
      <c r="B14" s="2" t="s">
        <v>9</v>
      </c>
      <c r="F14" s="12">
        <f>1-F13</f>
        <v>5.0833000000000017E-2</v>
      </c>
      <c r="H14" s="2" t="s">
        <v>18</v>
      </c>
      <c r="J14" s="3">
        <v>5914.5882039999997</v>
      </c>
    </row>
    <row r="15" spans="2:10" ht="18" customHeight="1" x14ac:dyDescent="0.3">
      <c r="H15" s="2" t="s">
        <v>19</v>
      </c>
      <c r="J15" s="3">
        <v>690.23351200000002</v>
      </c>
    </row>
    <row r="16" spans="2:10" ht="18" customHeight="1" x14ac:dyDescent="0.3">
      <c r="B16" s="2" t="s">
        <v>10</v>
      </c>
      <c r="F16" s="5">
        <v>0.14321600000000001</v>
      </c>
      <c r="H16" s="2" t="s">
        <v>20</v>
      </c>
      <c r="J16" s="3">
        <v>283.30690700000002</v>
      </c>
    </row>
    <row r="17" spans="2:10" ht="18" customHeight="1" x14ac:dyDescent="0.3">
      <c r="B17" s="2" t="s">
        <v>11</v>
      </c>
      <c r="F17" s="5">
        <v>0.782447</v>
      </c>
      <c r="H17" s="2" t="s">
        <v>21</v>
      </c>
      <c r="J17" s="6" t="s">
        <v>22</v>
      </c>
    </row>
    <row r="18" spans="2:10" ht="18" customHeight="1" x14ac:dyDescent="0.3">
      <c r="J18" s="6"/>
    </row>
  </sheetData>
  <mergeCells count="1"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T12"/>
  <sheetViews>
    <sheetView showGridLines="0" workbookViewId="0"/>
  </sheetViews>
  <sheetFormatPr defaultRowHeight="18" customHeight="1" x14ac:dyDescent="0.3"/>
  <cols>
    <col min="1" max="1" width="2.6640625" customWidth="1"/>
    <col min="2" max="2" width="16.6640625" customWidth="1"/>
    <col min="3" max="3" width="3.6640625" customWidth="1"/>
    <col min="4" max="32" width="15.77734375" customWidth="1"/>
  </cols>
  <sheetData>
    <row r="2" spans="2:20" ht="24" customHeight="1" x14ac:dyDescent="0.3">
      <c r="B2" s="14" t="s">
        <v>23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5" spans="2:20" ht="48" customHeight="1" x14ac:dyDescent="0.3">
      <c r="B5" s="7" t="s">
        <v>24</v>
      </c>
      <c r="D5" s="7" t="s">
        <v>26</v>
      </c>
      <c r="E5" s="7" t="s">
        <v>28</v>
      </c>
      <c r="F5" s="7" t="s">
        <v>30</v>
      </c>
      <c r="G5" s="7" t="s">
        <v>32</v>
      </c>
      <c r="H5" s="7" t="s">
        <v>33</v>
      </c>
      <c r="I5" s="7" t="s">
        <v>34</v>
      </c>
      <c r="J5" s="7" t="s">
        <v>35</v>
      </c>
      <c r="K5" s="7" t="s">
        <v>16</v>
      </c>
      <c r="L5" s="7" t="s">
        <v>37</v>
      </c>
      <c r="M5" s="7" t="s">
        <v>38</v>
      </c>
      <c r="N5" s="7" t="s">
        <v>39</v>
      </c>
      <c r="O5" s="7" t="s">
        <v>40</v>
      </c>
      <c r="P5" s="7" t="s">
        <v>41</v>
      </c>
      <c r="Q5" s="7" t="s">
        <v>42</v>
      </c>
      <c r="R5" s="7" t="s">
        <v>74</v>
      </c>
      <c r="S5" s="7" t="s">
        <v>75</v>
      </c>
      <c r="T5" s="7" t="s">
        <v>76</v>
      </c>
    </row>
    <row r="6" spans="2:20" ht="18" customHeight="1" x14ac:dyDescent="0.3">
      <c r="B6" s="7" t="s">
        <v>25</v>
      </c>
      <c r="D6" s="8" t="s">
        <v>27</v>
      </c>
      <c r="E6" s="8" t="s">
        <v>29</v>
      </c>
      <c r="F6" s="8" t="s">
        <v>31</v>
      </c>
      <c r="G6" s="8" t="s">
        <v>31</v>
      </c>
      <c r="H6" s="8" t="s">
        <v>31</v>
      </c>
      <c r="I6" s="8" t="s">
        <v>31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36</v>
      </c>
      <c r="R6" s="8" t="s">
        <v>31</v>
      </c>
      <c r="S6" s="8" t="s">
        <v>27</v>
      </c>
      <c r="T6" s="8" t="s">
        <v>27</v>
      </c>
    </row>
    <row r="7" spans="2:20" ht="18" customHeight="1" x14ac:dyDescent="0.3">
      <c r="B7" s="7" t="s">
        <v>43</v>
      </c>
      <c r="D7" s="5">
        <v>-0.28219100000000003</v>
      </c>
      <c r="E7" s="4">
        <f>Assumptions!F6*(1+D7)</f>
        <v>327.34456442025794</v>
      </c>
      <c r="F7" s="4">
        <f>Assumptions!F10/E7</f>
        <v>4.4387479064249282</v>
      </c>
      <c r="G7" s="4">
        <f>F7*Assumptions!F16</f>
        <v>0.63569972016655252</v>
      </c>
      <c r="H7" s="4">
        <f>G7*Assumptions!F17</f>
        <v>0.49740133894515853</v>
      </c>
      <c r="I7" s="4">
        <f>Assumptions!F7</f>
        <v>56.721032000000001</v>
      </c>
      <c r="J7" s="4">
        <f t="shared" ref="J7:J12" si="0">F7*E7</f>
        <v>1453</v>
      </c>
      <c r="K7" s="4">
        <f>-Assumptions!J10</f>
        <v>-0.476047</v>
      </c>
      <c r="L7" s="3">
        <v>-1641.0471010000001</v>
      </c>
      <c r="M7" s="3">
        <v>0</v>
      </c>
      <c r="N7" s="3">
        <v>0</v>
      </c>
      <c r="O7" s="3">
        <v>0</v>
      </c>
      <c r="P7" s="3">
        <v>914.69783199999995</v>
      </c>
      <c r="Q7" s="3">
        <v>0</v>
      </c>
      <c r="R7" s="4">
        <f t="shared" ref="R7:R12" si="1">G7-H7</f>
        <v>0.13829838122139398</v>
      </c>
      <c r="S7" s="10">
        <v>3.0908999999999999E-2</v>
      </c>
      <c r="T7" s="10">
        <v>8.0540000000000004E-3</v>
      </c>
    </row>
    <row r="8" spans="2:20" ht="18" customHeight="1" x14ac:dyDescent="0.3">
      <c r="B8" s="7" t="s">
        <v>44</v>
      </c>
      <c r="D8" s="5">
        <v>-0.23219100000000001</v>
      </c>
      <c r="E8" s="4">
        <f>Assumptions!F6*(1+D8)</f>
        <v>350.14621252025796</v>
      </c>
      <c r="F8" s="4">
        <f>Assumptions!F10/E8</f>
        <v>4.1496950360870626</v>
      </c>
      <c r="G8" s="4">
        <f>F8*Assumptions!F16</f>
        <v>0.59430272428824482</v>
      </c>
      <c r="H8" s="4">
        <f>G8*Assumptions!F17</f>
        <v>0.46501038371116432</v>
      </c>
      <c r="I8" s="4">
        <f>Assumptions!F7</f>
        <v>56.721032000000001</v>
      </c>
      <c r="J8" s="4">
        <f t="shared" si="0"/>
        <v>1453.0000000000002</v>
      </c>
      <c r="K8" s="4">
        <f>-Assumptions!J10</f>
        <v>-0.476047</v>
      </c>
      <c r="L8" s="3">
        <v>-1395.820426</v>
      </c>
      <c r="M8" s="3">
        <v>0</v>
      </c>
      <c r="N8" s="3">
        <v>0</v>
      </c>
      <c r="O8" s="3">
        <v>0</v>
      </c>
      <c r="P8" s="3">
        <v>821.41271800000004</v>
      </c>
      <c r="Q8" s="3">
        <v>0</v>
      </c>
      <c r="R8" s="4">
        <f t="shared" si="1"/>
        <v>0.1292923405770805</v>
      </c>
      <c r="S8" s="10">
        <v>4.1825000000000001E-2</v>
      </c>
      <c r="T8" s="10">
        <v>8.6230000000000005E-3</v>
      </c>
    </row>
    <row r="9" spans="2:20" ht="18" customHeight="1" x14ac:dyDescent="0.3">
      <c r="B9" s="7" t="s">
        <v>45</v>
      </c>
      <c r="D9" s="5">
        <v>-0.18219099999999999</v>
      </c>
      <c r="E9" s="4">
        <f>Assumptions!F6*(1+D9)</f>
        <v>372.94786062025798</v>
      </c>
      <c r="F9" s="4">
        <f>Assumptions!F10/E9</f>
        <v>3.8959869553440605</v>
      </c>
      <c r="G9" s="4">
        <f>F9*Assumptions!F16</f>
        <v>0.55796766779655504</v>
      </c>
      <c r="H9" s="4">
        <f>G9*Assumptions!F17</f>
        <v>0.43658012776441113</v>
      </c>
      <c r="I9" s="4">
        <f>Assumptions!F7</f>
        <v>56.721032000000001</v>
      </c>
      <c r="J9" s="4">
        <f t="shared" si="0"/>
        <v>1453</v>
      </c>
      <c r="K9" s="4">
        <f>-Assumptions!J10</f>
        <v>-0.476047</v>
      </c>
      <c r="L9" s="3">
        <v>-1778.075742</v>
      </c>
      <c r="M9" s="3">
        <v>0</v>
      </c>
      <c r="N9" s="3">
        <v>0</v>
      </c>
      <c r="O9" s="3">
        <v>0</v>
      </c>
      <c r="P9" s="3">
        <v>810.06476899999996</v>
      </c>
      <c r="Q9" s="3">
        <v>0</v>
      </c>
      <c r="R9" s="4">
        <f t="shared" si="1"/>
        <v>0.12138754003214391</v>
      </c>
      <c r="S9" s="10">
        <v>3.4758999999999998E-2</v>
      </c>
      <c r="T9" s="10">
        <v>9.4769999999999993E-3</v>
      </c>
    </row>
    <row r="10" spans="2:20" ht="18" customHeight="1" x14ac:dyDescent="0.3">
      <c r="B10" s="7" t="s">
        <v>46</v>
      </c>
      <c r="D10" s="5">
        <v>-0.13219100000000009</v>
      </c>
      <c r="E10" s="4">
        <f>Assumptions!F6*(1+D10)</f>
        <v>395.74950872025795</v>
      </c>
      <c r="F10" s="4">
        <f>Assumptions!F10/E10</f>
        <v>3.6715143493130067</v>
      </c>
      <c r="G10" s="4">
        <f>F10*Assumptions!F16</f>
        <v>0.52581959905121156</v>
      </c>
      <c r="H10" s="4">
        <f>G10*Assumptions!F17</f>
        <v>0.41142596781882335</v>
      </c>
      <c r="I10" s="4">
        <f>Assumptions!F7</f>
        <v>56.721032000000001</v>
      </c>
      <c r="J10" s="4">
        <f t="shared" si="0"/>
        <v>1453</v>
      </c>
      <c r="K10" s="4">
        <f>-Assumptions!J10</f>
        <v>-0.476047</v>
      </c>
      <c r="L10" s="3">
        <v>-1633.9267050000001</v>
      </c>
      <c r="M10" s="3">
        <v>0</v>
      </c>
      <c r="N10" s="3">
        <v>0</v>
      </c>
      <c r="O10" s="3">
        <v>0</v>
      </c>
      <c r="P10" s="3">
        <v>815.65032299999996</v>
      </c>
      <c r="Q10" s="3">
        <v>0</v>
      </c>
      <c r="R10" s="4">
        <f t="shared" si="1"/>
        <v>0.11439363123238822</v>
      </c>
      <c r="S10" s="10">
        <v>3.2319000000000001E-2</v>
      </c>
      <c r="T10" s="10">
        <v>1.1279000000000001E-2</v>
      </c>
    </row>
    <row r="11" spans="2:20" ht="18" customHeight="1" x14ac:dyDescent="0.3">
      <c r="B11" s="7" t="s">
        <v>47</v>
      </c>
      <c r="D11" s="5">
        <v>-8.2191000000000056E-2</v>
      </c>
      <c r="E11" s="4">
        <f>Assumptions!F6*(1+D11)</f>
        <v>418.55115682025797</v>
      </c>
      <c r="F11" s="4">
        <f>Assumptions!F10/E11</f>
        <v>3.4714991855200492</v>
      </c>
      <c r="G11" s="4">
        <f>F11*Assumptions!F16</f>
        <v>0.49717422735343941</v>
      </c>
      <c r="H11" s="4">
        <f>G11*Assumptions!F17</f>
        <v>0.38901248267001659</v>
      </c>
      <c r="I11" s="4">
        <f>Assumptions!F7</f>
        <v>56.721032000000001</v>
      </c>
      <c r="J11" s="4">
        <f t="shared" si="0"/>
        <v>1453</v>
      </c>
      <c r="K11" s="4">
        <f>-Assumptions!J10</f>
        <v>-0.476047</v>
      </c>
      <c r="L11" s="3">
        <v>-1720.5347099999999</v>
      </c>
      <c r="M11" s="3">
        <v>0</v>
      </c>
      <c r="N11" s="3">
        <v>0</v>
      </c>
      <c r="O11" s="3">
        <v>0</v>
      </c>
      <c r="P11" s="3">
        <v>777.93471499999998</v>
      </c>
      <c r="Q11" s="3">
        <v>0</v>
      </c>
      <c r="R11" s="4">
        <f t="shared" si="1"/>
        <v>0.10816174468342282</v>
      </c>
      <c r="S11" s="10">
        <v>3.5770999999999997E-2</v>
      </c>
      <c r="T11" s="10">
        <v>9.7610000000000006E-3</v>
      </c>
    </row>
    <row r="12" spans="2:20" ht="18" customHeight="1" x14ac:dyDescent="0.3">
      <c r="B12" s="7" t="s">
        <v>48</v>
      </c>
      <c r="D12" s="5">
        <v>-3.2191000000000053E-2</v>
      </c>
      <c r="E12" s="4">
        <f>Assumptions!F6*(1+D12)</f>
        <v>441.35280492025794</v>
      </c>
      <c r="F12" s="4">
        <f>Assumptions!F10/E12</f>
        <v>3.2921508231096954</v>
      </c>
      <c r="G12" s="4">
        <f>F12*Assumptions!F16</f>
        <v>0.47148867228247815</v>
      </c>
      <c r="H12" s="4">
        <f>G12*Assumptions!F17</f>
        <v>0.36891489716140818</v>
      </c>
      <c r="I12" s="4">
        <f>Assumptions!F7</f>
        <v>56.721032000000001</v>
      </c>
      <c r="J12" s="4">
        <f t="shared" si="0"/>
        <v>1453</v>
      </c>
      <c r="K12" s="4">
        <f>-Assumptions!J10</f>
        <v>-0.476047</v>
      </c>
      <c r="L12" s="3">
        <v>-1388.89797</v>
      </c>
      <c r="M12" s="3">
        <v>0</v>
      </c>
      <c r="N12" s="3">
        <v>0</v>
      </c>
      <c r="O12" s="3">
        <v>0</v>
      </c>
      <c r="P12" s="3">
        <v>872.78779099999997</v>
      </c>
      <c r="Q12" s="3">
        <v>0</v>
      </c>
      <c r="R12" s="4">
        <f t="shared" si="1"/>
        <v>0.10257377512106997</v>
      </c>
      <c r="S12" s="10">
        <v>3.3780999999999999E-2</v>
      </c>
      <c r="T12" s="10">
        <v>8.2760000000000004E-3</v>
      </c>
    </row>
  </sheetData>
  <mergeCells count="1">
    <mergeCell ref="B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F12"/>
  <sheetViews>
    <sheetView showGridLines="0" workbookViewId="0"/>
  </sheetViews>
  <sheetFormatPr defaultRowHeight="18" customHeight="1" x14ac:dyDescent="0.3"/>
  <cols>
    <col min="1" max="1" width="2.6640625" customWidth="1"/>
    <col min="2" max="2" width="15.6640625" customWidth="1"/>
    <col min="3" max="3" width="3.6640625" customWidth="1"/>
    <col min="4" max="32" width="15.77734375" customWidth="1"/>
  </cols>
  <sheetData>
    <row r="2" spans="2:32" ht="24" customHeight="1" x14ac:dyDescent="0.3">
      <c r="B2" s="14" t="s">
        <v>49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5" spans="2:32" ht="48" customHeight="1" x14ac:dyDescent="0.3">
      <c r="B5" s="7" t="s">
        <v>24</v>
      </c>
      <c r="D5" s="7" t="s">
        <v>50</v>
      </c>
      <c r="E5" s="7" t="s">
        <v>51</v>
      </c>
      <c r="F5" s="7" t="s">
        <v>52</v>
      </c>
      <c r="G5" s="7" t="s">
        <v>53</v>
      </c>
      <c r="H5" s="7" t="s">
        <v>54</v>
      </c>
      <c r="I5" s="7" t="s">
        <v>55</v>
      </c>
      <c r="J5" s="7" t="s">
        <v>56</v>
      </c>
      <c r="K5" s="7" t="s">
        <v>57</v>
      </c>
      <c r="L5" s="7" t="s">
        <v>58</v>
      </c>
      <c r="M5" s="7" t="s">
        <v>59</v>
      </c>
      <c r="N5" s="7" t="s">
        <v>60</v>
      </c>
      <c r="O5" s="7" t="s">
        <v>61</v>
      </c>
      <c r="P5" s="7" t="s">
        <v>62</v>
      </c>
      <c r="Q5" s="7" t="s">
        <v>63</v>
      </c>
      <c r="R5" s="7" t="s">
        <v>57</v>
      </c>
      <c r="S5" s="7" t="s">
        <v>64</v>
      </c>
      <c r="T5" s="7" t="s">
        <v>65</v>
      </c>
      <c r="U5" s="7" t="s">
        <v>54</v>
      </c>
      <c r="V5" s="7" t="s">
        <v>66</v>
      </c>
      <c r="W5" s="7" t="s">
        <v>68</v>
      </c>
      <c r="X5" s="7" t="s">
        <v>69</v>
      </c>
      <c r="Y5" s="7" t="s">
        <v>70</v>
      </c>
      <c r="Z5" s="7" t="s">
        <v>71</v>
      </c>
      <c r="AA5" s="7" t="s">
        <v>72</v>
      </c>
      <c r="AB5" s="7" t="s">
        <v>73</v>
      </c>
      <c r="AC5" s="7" t="s">
        <v>80</v>
      </c>
      <c r="AD5" s="7" t="s">
        <v>77</v>
      </c>
      <c r="AE5" s="7" t="s">
        <v>78</v>
      </c>
      <c r="AF5" s="7" t="s">
        <v>79</v>
      </c>
    </row>
    <row r="6" spans="2:32" ht="18" customHeight="1" x14ac:dyDescent="0.3">
      <c r="B6" s="7" t="s">
        <v>25</v>
      </c>
      <c r="D6" s="8" t="s">
        <v>31</v>
      </c>
      <c r="E6" s="8" t="s">
        <v>31</v>
      </c>
      <c r="F6" s="8" t="s">
        <v>31</v>
      </c>
      <c r="G6" s="8" t="s">
        <v>31</v>
      </c>
      <c r="H6" s="8" t="s">
        <v>36</v>
      </c>
      <c r="I6" s="8" t="s">
        <v>27</v>
      </c>
      <c r="J6" s="8" t="s">
        <v>36</v>
      </c>
      <c r="K6" s="8" t="s">
        <v>36</v>
      </c>
      <c r="L6" s="8" t="s">
        <v>36</v>
      </c>
      <c r="M6" s="8" t="s">
        <v>36</v>
      </c>
      <c r="N6" s="8" t="s">
        <v>36</v>
      </c>
      <c r="O6" s="8" t="s">
        <v>36</v>
      </c>
      <c r="P6" s="8" t="s">
        <v>36</v>
      </c>
      <c r="Q6" s="8" t="s">
        <v>27</v>
      </c>
      <c r="R6" s="8" t="s">
        <v>36</v>
      </c>
      <c r="S6" s="8" t="s">
        <v>36</v>
      </c>
      <c r="T6" s="8" t="s">
        <v>36</v>
      </c>
      <c r="U6" s="8" t="s">
        <v>36</v>
      </c>
      <c r="V6" s="8" t="s">
        <v>67</v>
      </c>
      <c r="W6" s="8" t="s">
        <v>67</v>
      </c>
      <c r="X6" s="8" t="s">
        <v>67</v>
      </c>
      <c r="Y6" s="8" t="s">
        <v>67</v>
      </c>
      <c r="Z6" s="8" t="s">
        <v>29</v>
      </c>
      <c r="AA6" s="8" t="s">
        <v>29</v>
      </c>
      <c r="AB6" s="8" t="s">
        <v>27</v>
      </c>
      <c r="AC6" s="8" t="s">
        <v>27</v>
      </c>
      <c r="AD6" s="8" t="s">
        <v>36</v>
      </c>
      <c r="AE6" s="8" t="s">
        <v>67</v>
      </c>
      <c r="AF6" s="8" t="s">
        <v>67</v>
      </c>
    </row>
    <row r="7" spans="2:32" ht="18" customHeight="1" x14ac:dyDescent="0.3">
      <c r="B7" s="7" t="s">
        <v>43</v>
      </c>
      <c r="D7" s="13"/>
      <c r="E7" s="10">
        <f>'Scenario Engine'!F7-'Valuation Output'!D7</f>
        <v>4.4387479064249282</v>
      </c>
      <c r="F7" s="10">
        <f>'Valuation Output'!D7+'Scenario Engine'!H7</f>
        <v>0.49740133894515853</v>
      </c>
      <c r="G7" s="10">
        <f>SUM('Scenario Engine'!I7,'Valuation Output'!F7)</f>
        <v>57.218433338945161</v>
      </c>
      <c r="H7" s="10">
        <f>'Valuation Output'!G7*'Scenario Engine'!E7</f>
        <v>18730.14313814657</v>
      </c>
      <c r="I7" s="13"/>
      <c r="J7" s="10">
        <f>'Valuation Output'!K7-'Valuation Output'!H7</f>
        <v>7363.3484984121424</v>
      </c>
      <c r="K7" s="10">
        <f>'Valuation Output'!G7*Assumptions!F6</f>
        <v>26093.491636558712</v>
      </c>
      <c r="L7" s="13"/>
      <c r="M7" s="10">
        <f>SUM('Scenario Engine'!J7,'Valuation Output'!L7)</f>
        <v>1453</v>
      </c>
      <c r="N7" s="10">
        <f>'Valuation Output'!F7*'Scenario Engine'!E7</f>
        <v>162.82162463905601</v>
      </c>
      <c r="O7" s="10">
        <f>-'Valuation Output'!F7*'Scenario Engine'!E7*Assumptions!F11</f>
        <v>-3.7953720703363958</v>
      </c>
      <c r="P7" s="10">
        <f>SUM('Valuation Output'!N7,'Valuation Output'!O7,'Scenario Engine'!K7)</f>
        <v>158.55020556871963</v>
      </c>
      <c r="Q7" s="11">
        <f>'Valuation Output'!F7/'Valuation Output'!G7</f>
        <v>8.6930261791457897E-3</v>
      </c>
      <c r="R7" s="10">
        <f>'Valuation Output'!K7</f>
        <v>26093.491636558712</v>
      </c>
      <c r="S7" s="13"/>
      <c r="T7" s="13"/>
      <c r="U7" s="10">
        <f>'Valuation Output'!H7</f>
        <v>18730.14313814657</v>
      </c>
      <c r="V7" s="13"/>
      <c r="W7" s="10">
        <f>'Valuation Output'!R7/Assumptions!J16</f>
        <v>92.10326678183921</v>
      </c>
      <c r="X7" s="10">
        <f>'Valuation Output'!T7/Assumptions!J15</f>
        <v>0</v>
      </c>
      <c r="Y7" s="10">
        <f>'Valuation Output'!T7/Assumptions!J14</f>
        <v>0</v>
      </c>
      <c r="Z7" s="10">
        <f>Assumptions!J16/'Valuation Output'!G7</f>
        <v>4.9513223356147007</v>
      </c>
      <c r="AA7" s="13"/>
      <c r="AB7" s="13"/>
      <c r="AC7" s="11">
        <f>Assumptions!J16/'Valuation Output'!H7</f>
        <v>1.5125720338089978E-2</v>
      </c>
      <c r="AD7" s="9">
        <v>18003.793869146572</v>
      </c>
      <c r="AE7" s="9">
        <v>26.083627578410841</v>
      </c>
      <c r="AF7" s="9">
        <v>3.0439640509496022</v>
      </c>
    </row>
    <row r="8" spans="2:32" ht="18" customHeight="1" x14ac:dyDescent="0.3">
      <c r="B8" s="7" t="s">
        <v>44</v>
      </c>
      <c r="D8" s="13"/>
      <c r="E8" s="10">
        <f>'Scenario Engine'!F8-'Valuation Output'!D8</f>
        <v>4.1496950360870626</v>
      </c>
      <c r="F8" s="10">
        <f>'Valuation Output'!D8+'Scenario Engine'!H8</f>
        <v>0.46501038371116432</v>
      </c>
      <c r="G8" s="10">
        <f>SUM('Scenario Engine'!I8,'Valuation Output'!F8)</f>
        <v>57.186042383711168</v>
      </c>
      <c r="H8" s="10">
        <f>'Valuation Output'!G8*'Scenario Engine'!E8</f>
        <v>20023.476149679409</v>
      </c>
      <c r="I8" s="13"/>
      <c r="J8" s="10">
        <f>'Valuation Output'!K8-'Valuation Output'!H8</f>
        <v>6055.2441436219342</v>
      </c>
      <c r="K8" s="10">
        <f>'Valuation Output'!G8*Assumptions!F6</f>
        <v>26078.720293301343</v>
      </c>
      <c r="L8" s="13"/>
      <c r="M8" s="10">
        <f>SUM('Scenario Engine'!J8,'Valuation Output'!L8)</f>
        <v>1453.0000000000002</v>
      </c>
      <c r="N8" s="10">
        <f>'Valuation Output'!F8*'Scenario Engine'!E8</f>
        <v>162.82162463905604</v>
      </c>
      <c r="O8" s="10">
        <f>-'Valuation Output'!F8*'Scenario Engine'!E8*Assumptions!F11</f>
        <v>-3.7953720703363962</v>
      </c>
      <c r="P8" s="10">
        <f>SUM('Valuation Output'!N8,'Valuation Output'!O8,'Scenario Engine'!K8)</f>
        <v>158.55020556871966</v>
      </c>
      <c r="Q8" s="11">
        <f>'Valuation Output'!F8/'Valuation Output'!G8</f>
        <v>8.1315363737011741E-3</v>
      </c>
      <c r="R8" s="10">
        <f>'Valuation Output'!K8</f>
        <v>26078.720293301343</v>
      </c>
      <c r="S8" s="13"/>
      <c r="T8" s="13"/>
      <c r="U8" s="10">
        <f>'Valuation Output'!H8</f>
        <v>20023.476149679409</v>
      </c>
      <c r="V8" s="13"/>
      <c r="W8" s="10">
        <f>'Valuation Output'!R8/Assumptions!J16</f>
        <v>92.051127766190817</v>
      </c>
      <c r="X8" s="10">
        <f>'Valuation Output'!T8/Assumptions!J15</f>
        <v>0</v>
      </c>
      <c r="Y8" s="10">
        <f>'Valuation Output'!T8/Assumptions!J14</f>
        <v>0</v>
      </c>
      <c r="Z8" s="10">
        <f>Assumptions!J16/'Valuation Output'!G8</f>
        <v>4.9541268321917826</v>
      </c>
      <c r="AA8" s="13"/>
      <c r="AB8" s="13"/>
      <c r="AC8" s="11">
        <f>Assumptions!J16/'Valuation Output'!H8</f>
        <v>1.4148737456085315E-2</v>
      </c>
      <c r="AD8" s="9">
        <v>19449.06844167941</v>
      </c>
      <c r="AE8" s="9">
        <v>28.177519786491342</v>
      </c>
      <c r="AF8" s="9">
        <v>3.2883216499377124</v>
      </c>
    </row>
    <row r="9" spans="2:32" ht="18" customHeight="1" x14ac:dyDescent="0.3">
      <c r="B9" s="7" t="s">
        <v>45</v>
      </c>
      <c r="D9" s="13"/>
      <c r="E9" s="10">
        <f>'Scenario Engine'!F9-'Valuation Output'!D9</f>
        <v>3.8959869553440605</v>
      </c>
      <c r="F9" s="10">
        <f>'Valuation Output'!D9+'Scenario Engine'!H9</f>
        <v>0.43658012776441113</v>
      </c>
      <c r="G9" s="10">
        <f>SUM('Scenario Engine'!I9,'Valuation Output'!F9)</f>
        <v>57.157612127764409</v>
      </c>
      <c r="H9" s="10">
        <f>'Valuation Output'!G9*'Scenario Engine'!E9</f>
        <v>21316.809161212248</v>
      </c>
      <c r="I9" s="13"/>
      <c r="J9" s="10">
        <f>'Valuation Output'!K9-'Valuation Output'!H9</f>
        <v>4748.945998259278</v>
      </c>
      <c r="K9" s="10">
        <f>'Valuation Output'!G9*Assumptions!F6</f>
        <v>26065.755159471526</v>
      </c>
      <c r="L9" s="13"/>
      <c r="M9" s="10">
        <f>SUM('Scenario Engine'!J9,'Valuation Output'!L9)</f>
        <v>1453</v>
      </c>
      <c r="N9" s="10">
        <f>'Valuation Output'!F9*'Scenario Engine'!E9</f>
        <v>162.82162463905601</v>
      </c>
      <c r="O9" s="10">
        <f>-'Valuation Output'!F9*'Scenario Engine'!E9*Assumptions!F11</f>
        <v>-3.7953720703363958</v>
      </c>
      <c r="P9" s="10">
        <f>SUM('Valuation Output'!N9,'Valuation Output'!O9,'Scenario Engine'!K9)</f>
        <v>158.55020556871963</v>
      </c>
      <c r="Q9" s="11">
        <f>'Valuation Output'!F9/'Valuation Output'!G9</f>
        <v>7.6381799643505674E-3</v>
      </c>
      <c r="R9" s="10">
        <f>'Valuation Output'!K9</f>
        <v>26065.755159471526</v>
      </c>
      <c r="S9" s="13"/>
      <c r="T9" s="13"/>
      <c r="U9" s="10">
        <f>'Valuation Output'!H9</f>
        <v>21316.809161212248</v>
      </c>
      <c r="V9" s="13"/>
      <c r="W9" s="10">
        <f>'Valuation Output'!R9/Assumptions!J16</f>
        <v>92.005364201980171</v>
      </c>
      <c r="X9" s="10">
        <f>'Valuation Output'!T9/Assumptions!J15</f>
        <v>0</v>
      </c>
      <c r="Y9" s="10">
        <f>'Valuation Output'!T9/Assumptions!J14</f>
        <v>0</v>
      </c>
      <c r="Z9" s="10">
        <f>Assumptions!J16/'Valuation Output'!G9</f>
        <v>4.9565910200503849</v>
      </c>
      <c r="AA9" s="13"/>
      <c r="AB9" s="13"/>
      <c r="AC9" s="11">
        <f>Assumptions!J16/'Valuation Output'!H9</f>
        <v>1.3290305545142333E-2</v>
      </c>
      <c r="AD9" s="9">
        <v>20348.798188212248</v>
      </c>
      <c r="AE9" s="9">
        <v>29.481034801179355</v>
      </c>
      <c r="AF9" s="9">
        <v>3.4404420876588637</v>
      </c>
    </row>
    <row r="10" spans="2:32" ht="18" customHeight="1" x14ac:dyDescent="0.3">
      <c r="B10" s="7" t="s">
        <v>46</v>
      </c>
      <c r="D10" s="13"/>
      <c r="E10" s="10">
        <f>'Scenario Engine'!F10-'Valuation Output'!D10</f>
        <v>3.6715143493130067</v>
      </c>
      <c r="F10" s="10">
        <f>'Valuation Output'!D10+'Scenario Engine'!H10</f>
        <v>0.41142596781882335</v>
      </c>
      <c r="G10" s="10">
        <f>SUM('Scenario Engine'!I10,'Valuation Output'!F10)</f>
        <v>57.132457967818823</v>
      </c>
      <c r="H10" s="10">
        <f>'Valuation Output'!G10*'Scenario Engine'!E10</f>
        <v>22610.142172745087</v>
      </c>
      <c r="I10" s="13"/>
      <c r="J10" s="10">
        <f>'Valuation Output'!K10-'Valuation Output'!H10</f>
        <v>3444.1418606598309</v>
      </c>
      <c r="K10" s="10">
        <f>'Valuation Output'!G10*Assumptions!F6</f>
        <v>26054.284033404918</v>
      </c>
      <c r="L10" s="13"/>
      <c r="M10" s="10">
        <f>SUM('Scenario Engine'!J10,'Valuation Output'!L10)</f>
        <v>1453</v>
      </c>
      <c r="N10" s="10">
        <f>'Valuation Output'!F10*'Scenario Engine'!E10</f>
        <v>162.82162463905598</v>
      </c>
      <c r="O10" s="10">
        <f>-'Valuation Output'!F10*'Scenario Engine'!E10*Assumptions!F11</f>
        <v>-3.7953720703363949</v>
      </c>
      <c r="P10" s="10">
        <f>SUM('Valuation Output'!N10,'Valuation Output'!O10,'Scenario Engine'!K10)</f>
        <v>158.5502055687196</v>
      </c>
      <c r="Q10" s="11">
        <f>'Valuation Output'!F10/'Valuation Output'!G10</f>
        <v>7.2012649630892574E-3</v>
      </c>
      <c r="R10" s="10">
        <f>'Valuation Output'!K10</f>
        <v>26054.284033404918</v>
      </c>
      <c r="S10" s="13"/>
      <c r="T10" s="13"/>
      <c r="U10" s="10">
        <f>'Valuation Output'!H10</f>
        <v>22610.142172745087</v>
      </c>
      <c r="V10" s="13"/>
      <c r="W10" s="10">
        <f>'Valuation Output'!R10/Assumptions!J16</f>
        <v>91.964874098198095</v>
      </c>
      <c r="X10" s="10">
        <f>'Valuation Output'!T10/Assumptions!J15</f>
        <v>0</v>
      </c>
      <c r="Y10" s="10">
        <f>'Valuation Output'!T10/Assumptions!J14</f>
        <v>0</v>
      </c>
      <c r="Z10" s="10">
        <f>Assumptions!J16/'Valuation Output'!G10</f>
        <v>4.9587732976512084</v>
      </c>
      <c r="AA10" s="13"/>
      <c r="AB10" s="13"/>
      <c r="AC10" s="11">
        <f>Assumptions!J16/'Valuation Output'!H10</f>
        <v>1.2530080741442939E-2</v>
      </c>
      <c r="AD10" s="9">
        <v>21791.865790745087</v>
      </c>
      <c r="AE10" s="9">
        <v>31.571729584096296</v>
      </c>
      <c r="AF10" s="9">
        <v>3.6844265465527055</v>
      </c>
    </row>
    <row r="11" spans="2:32" ht="18" customHeight="1" x14ac:dyDescent="0.3">
      <c r="B11" s="7" t="s">
        <v>47</v>
      </c>
      <c r="D11" s="13"/>
      <c r="E11" s="10">
        <f>'Scenario Engine'!F11-'Valuation Output'!D11</f>
        <v>3.4714991855200492</v>
      </c>
      <c r="F11" s="10">
        <f>'Valuation Output'!D11+'Scenario Engine'!H11</f>
        <v>0.38901248267001659</v>
      </c>
      <c r="G11" s="10">
        <f>SUM('Scenario Engine'!I11,'Valuation Output'!F11)</f>
        <v>57.11004448267002</v>
      </c>
      <c r="H11" s="10">
        <f>'Valuation Output'!G11*'Scenario Engine'!E11</f>
        <v>23903.47518427793</v>
      </c>
      <c r="I11" s="13"/>
      <c r="J11" s="10">
        <f>'Valuation Output'!K11-'Valuation Output'!H11</f>
        <v>2140.5875611058364</v>
      </c>
      <c r="K11" s="10">
        <f>'Valuation Output'!G11*Assumptions!F6</f>
        <v>26044.062745383766</v>
      </c>
      <c r="L11" s="13"/>
      <c r="M11" s="10">
        <f>SUM('Scenario Engine'!J11,'Valuation Output'!L11)</f>
        <v>1453</v>
      </c>
      <c r="N11" s="10">
        <f>'Valuation Output'!F11*'Scenario Engine'!E11</f>
        <v>162.82162463905601</v>
      </c>
      <c r="O11" s="10">
        <f>-'Valuation Output'!F11*'Scenario Engine'!E11*Assumptions!F11</f>
        <v>-3.7953720703363958</v>
      </c>
      <c r="P11" s="10">
        <f>SUM('Valuation Output'!N11,'Valuation Output'!O11,'Scenario Engine'!K11)</f>
        <v>158.55020556871963</v>
      </c>
      <c r="Q11" s="11">
        <f>'Valuation Output'!F11/'Valuation Output'!G11</f>
        <v>6.8116298313874012E-3</v>
      </c>
      <c r="R11" s="10">
        <f>'Valuation Output'!K11</f>
        <v>26044.062745383766</v>
      </c>
      <c r="S11" s="13"/>
      <c r="T11" s="13"/>
      <c r="U11" s="10">
        <f>'Valuation Output'!H11</f>
        <v>23903.47518427793</v>
      </c>
      <c r="V11" s="13"/>
      <c r="W11" s="10">
        <f>'Valuation Output'!R11/Assumptions!J16</f>
        <v>91.928795598985388</v>
      </c>
      <c r="X11" s="10">
        <f>'Valuation Output'!T11/Assumptions!J15</f>
        <v>0</v>
      </c>
      <c r="Y11" s="10">
        <f>'Valuation Output'!T11/Assumptions!J14</f>
        <v>0</v>
      </c>
      <c r="Z11" s="10">
        <f>Assumptions!J16/'Valuation Output'!G11</f>
        <v>4.9607194245133046</v>
      </c>
      <c r="AA11" s="13"/>
      <c r="AB11" s="13"/>
      <c r="AC11" s="11">
        <f>Assumptions!J16/'Valuation Output'!H11</f>
        <v>1.185212212098515E-2</v>
      </c>
      <c r="AD11" s="9">
        <v>22960.875189277929</v>
      </c>
      <c r="AE11" s="9">
        <v>33.265372935526095</v>
      </c>
      <c r="AF11" s="9">
        <v>3.8820750316564103</v>
      </c>
    </row>
    <row r="12" spans="2:32" ht="18" customHeight="1" x14ac:dyDescent="0.3">
      <c r="B12" s="7" t="s">
        <v>48</v>
      </c>
      <c r="D12" s="13"/>
      <c r="E12" s="10">
        <f>'Scenario Engine'!F12-'Valuation Output'!D12</f>
        <v>3.2921508231096954</v>
      </c>
      <c r="F12" s="10">
        <f>'Valuation Output'!D12+'Scenario Engine'!H12</f>
        <v>0.36891489716140818</v>
      </c>
      <c r="G12" s="10">
        <f>SUM('Scenario Engine'!I12,'Valuation Output'!F12)</f>
        <v>57.089946897161411</v>
      </c>
      <c r="H12" s="10">
        <f>'Valuation Output'!G12*'Scenario Engine'!E12</f>
        <v>25196.808195810765</v>
      </c>
      <c r="I12" s="13"/>
      <c r="J12" s="10">
        <f>'Valuation Output'!K12-'Valuation Output'!H12</f>
        <v>838.08938812446286</v>
      </c>
      <c r="K12" s="10">
        <f>'Valuation Output'!G12*Assumptions!F6</f>
        <v>26034.897583935228</v>
      </c>
      <c r="L12" s="13"/>
      <c r="M12" s="10">
        <f>SUM('Scenario Engine'!J12,'Valuation Output'!L12)</f>
        <v>1453</v>
      </c>
      <c r="N12" s="10">
        <f>'Valuation Output'!F12*'Scenario Engine'!E12</f>
        <v>162.82162463905601</v>
      </c>
      <c r="O12" s="10">
        <f>-'Valuation Output'!F12*'Scenario Engine'!E12*Assumptions!F11</f>
        <v>-3.7953720703363958</v>
      </c>
      <c r="P12" s="10">
        <f>SUM('Valuation Output'!N12,'Valuation Output'!O12,'Scenario Engine'!K12)</f>
        <v>158.55020556871963</v>
      </c>
      <c r="Q12" s="11">
        <f>'Valuation Output'!F12/'Valuation Output'!G12</f>
        <v>6.461994049949819E-3</v>
      </c>
      <c r="R12" s="10">
        <f>'Valuation Output'!K12</f>
        <v>26034.897583935228</v>
      </c>
      <c r="S12" s="13"/>
      <c r="T12" s="13"/>
      <c r="U12" s="10">
        <f>'Valuation Output'!H12</f>
        <v>25196.808195810765</v>
      </c>
      <c r="V12" s="13"/>
      <c r="W12" s="10">
        <f>'Valuation Output'!R12/Assumptions!J16</f>
        <v>91.896444953017777</v>
      </c>
      <c r="X12" s="10">
        <f>'Valuation Output'!T12/Assumptions!J15</f>
        <v>0</v>
      </c>
      <c r="Y12" s="10">
        <f>'Valuation Output'!T12/Assumptions!J14</f>
        <v>0</v>
      </c>
      <c r="Z12" s="10">
        <f>Assumptions!J16/'Valuation Output'!G12</f>
        <v>4.9624657649504034</v>
      </c>
      <c r="AA12" s="13"/>
      <c r="AB12" s="13"/>
      <c r="AC12" s="11">
        <f>Assumptions!J16/'Valuation Output'!H12</f>
        <v>1.1243761701813597E-2</v>
      </c>
      <c r="AD12" s="9">
        <v>24680.698016810766</v>
      </c>
      <c r="AE12" s="9">
        <v>35.757026553661113</v>
      </c>
      <c r="AF12" s="9">
        <v>4.172851459061742</v>
      </c>
    </row>
  </sheetData>
  <mergeCells count="1">
    <mergeCell ref="B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Assumptions</vt:lpstr>
      <vt:lpstr>Scenario Engine</vt:lpstr>
      <vt:lpstr>Valuation Output</vt:lpstr>
    </vt:vector>
  </TitlesOfParts>
  <Company>shortcut.ai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Scenario Financing Analysis</dc:title>
  <dc:creator>shortcut.ai</dc:creator>
  <dc:description>shortcut.ai</dc:description>
  <cp:lastModifiedBy>shortcut.ai</cp:lastModifiedBy>
  <dcterms:created xsi:type="dcterms:W3CDTF">2026-07-16T23:05:47Z</dcterms:created>
  <dcterms:modified xsi:type="dcterms:W3CDTF">2026-08-17T20:25:32Z</dcterms:modified>
</cp:coreProperties>
</file>