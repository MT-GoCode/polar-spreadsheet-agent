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xr:revisionPtr revIDLastSave="0" documentId="13_ncr:1_{88C4A41D-0372-4718-8C5E-22D6BC9E5CE2}" xr6:coauthVersionLast="47" xr6:coauthVersionMax="47" xr10:uidLastSave="{00000000-0000-0000-0000-000000000000}"/>
  <bookViews>
    <workbookView xWindow="7448" yWindow="-16695" windowWidth="28994" windowHeight="15675" xr2:uid="{00000000-000D-0000-FFFF-FFFF00000000}"/>
  </bookViews>
  <sheets>
    <sheet name="Assumptions" sheetId="1" r:id="rId1"/>
    <sheet name="Scenario Engine" sheetId="2" r:id="rId2"/>
    <sheet name="Valuation Outpu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2" i="2" l="1"/>
  <c r="E12" i="2"/>
  <c r="F12" i="2" s="1"/>
  <c r="I11" i="2"/>
  <c r="E11" i="2"/>
  <c r="F11" i="2" s="1"/>
  <c r="I10" i="2"/>
  <c r="E10" i="2"/>
  <c r="F10" i="2" s="1"/>
  <c r="I9" i="2"/>
  <c r="E9" i="2"/>
  <c r="F9" i="2" s="1"/>
  <c r="I8" i="2"/>
  <c r="E8" i="2"/>
  <c r="F8" i="2" s="1"/>
  <c r="I7" i="2"/>
  <c r="E7" i="2"/>
  <c r="F7" i="2" s="1"/>
  <c r="F14" i="1"/>
  <c r="J10" i="1"/>
  <c r="K12" i="2" s="1"/>
  <c r="F8" i="1"/>
  <c r="J7" i="2" l="1"/>
  <c r="G7" i="2"/>
  <c r="D7" i="3"/>
  <c r="E7" i="3"/>
  <c r="J9" i="2"/>
  <c r="G9" i="2"/>
  <c r="D9" i="3"/>
  <c r="D10" i="3"/>
  <c r="J10" i="2"/>
  <c r="G10" i="2"/>
  <c r="D11" i="3"/>
  <c r="J11" i="2"/>
  <c r="G11" i="2"/>
  <c r="J8" i="2"/>
  <c r="G8" i="2"/>
  <c r="D8" i="3"/>
  <c r="E8" i="3" s="1"/>
  <c r="D12" i="3"/>
  <c r="J12" i="2"/>
  <c r="G12" i="2"/>
  <c r="E12" i="3"/>
  <c r="K7" i="2"/>
  <c r="K8" i="2"/>
  <c r="K9" i="2"/>
  <c r="K10" i="2"/>
  <c r="K11" i="2"/>
  <c r="H9" i="2" l="1"/>
  <c r="R9" i="2" s="1"/>
  <c r="L9" i="3"/>
  <c r="R8" i="2"/>
  <c r="H8" i="2"/>
  <c r="L8" i="3"/>
  <c r="M9" i="3"/>
  <c r="F8" i="3"/>
  <c r="E11" i="3"/>
  <c r="M8" i="3"/>
  <c r="E9" i="3"/>
  <c r="H7" i="2"/>
  <c r="F7" i="3" s="1"/>
  <c r="L7" i="3"/>
  <c r="L10" i="3"/>
  <c r="H10" i="2"/>
  <c r="F10" i="3" s="1"/>
  <c r="M10" i="3"/>
  <c r="L12" i="3"/>
  <c r="M12" i="3" s="1"/>
  <c r="H12" i="2"/>
  <c r="R12" i="2" s="1"/>
  <c r="L11" i="3"/>
  <c r="H11" i="2"/>
  <c r="F11" i="3" s="1"/>
  <c r="E10" i="3"/>
  <c r="M11" i="3"/>
  <c r="M7" i="3"/>
  <c r="N10" i="3" l="1"/>
  <c r="O10" i="3"/>
  <c r="G10" i="3"/>
  <c r="N11" i="3"/>
  <c r="P11" i="3" s="1"/>
  <c r="S11" i="3" s="1"/>
  <c r="O11" i="3"/>
  <c r="G11" i="3"/>
  <c r="O7" i="3"/>
  <c r="N7" i="3"/>
  <c r="P7" i="3" s="1"/>
  <c r="S7" i="3" s="1"/>
  <c r="G7" i="3"/>
  <c r="F12" i="3"/>
  <c r="R7" i="2"/>
  <c r="Q8" i="3"/>
  <c r="N8" i="3"/>
  <c r="P8" i="3" s="1"/>
  <c r="S8" i="3" s="1"/>
  <c r="O8" i="3"/>
  <c r="G8" i="3"/>
  <c r="R11" i="2"/>
  <c r="R10" i="2"/>
  <c r="F9" i="3"/>
  <c r="K11" i="3" l="1"/>
  <c r="Z11" i="3"/>
  <c r="AA11" i="3" s="1"/>
  <c r="AB11" i="3" s="1"/>
  <c r="H11" i="3"/>
  <c r="K7" i="3"/>
  <c r="Z7" i="3"/>
  <c r="AA7" i="3" s="1"/>
  <c r="AB7" i="3" s="1"/>
  <c r="H7" i="3"/>
  <c r="O9" i="3"/>
  <c r="N9" i="3"/>
  <c r="G9" i="3"/>
  <c r="O12" i="3"/>
  <c r="N12" i="3"/>
  <c r="P12" i="3" s="1"/>
  <c r="S12" i="3" s="1"/>
  <c r="G12" i="3"/>
  <c r="Q11" i="3"/>
  <c r="K10" i="3"/>
  <c r="Z10" i="3"/>
  <c r="AA10" i="3" s="1"/>
  <c r="AB10" i="3" s="1"/>
  <c r="H10" i="3"/>
  <c r="Z8" i="3"/>
  <c r="AA8" i="3" s="1"/>
  <c r="AB8" i="3" s="1"/>
  <c r="H8" i="3"/>
  <c r="K8" i="3"/>
  <c r="Q10" i="3"/>
  <c r="Q7" i="3"/>
  <c r="P10" i="3"/>
  <c r="S10" i="3" s="1"/>
  <c r="R10" i="3" l="1"/>
  <c r="J10" i="3"/>
  <c r="I10" i="3" s="1"/>
  <c r="P9" i="3"/>
  <c r="S9" i="3" s="1"/>
  <c r="K12" i="3"/>
  <c r="Z12" i="3"/>
  <c r="AA12" i="3" s="1"/>
  <c r="AB12" i="3" s="1"/>
  <c r="H12" i="3"/>
  <c r="AC7" i="3"/>
  <c r="U7" i="3"/>
  <c r="R8" i="3"/>
  <c r="J8" i="3"/>
  <c r="I8" i="3" s="1"/>
  <c r="AC8" i="3"/>
  <c r="U8" i="3"/>
  <c r="Q12" i="3"/>
  <c r="R7" i="3"/>
  <c r="J7" i="3"/>
  <c r="I7" i="3" s="1"/>
  <c r="U11" i="3"/>
  <c r="AC11" i="3"/>
  <c r="U10" i="3"/>
  <c r="AC10" i="3"/>
  <c r="K9" i="3"/>
  <c r="Z9" i="3"/>
  <c r="AA9" i="3" s="1"/>
  <c r="AB9" i="3" s="1"/>
  <c r="H9" i="3"/>
  <c r="Q9" i="3"/>
  <c r="R11" i="3"/>
  <c r="J11" i="3"/>
  <c r="I11" i="3" s="1"/>
  <c r="T11" i="3" l="1"/>
  <c r="W11" i="3"/>
  <c r="AD11" i="3"/>
  <c r="V11" i="3"/>
  <c r="V7" i="3"/>
  <c r="AD7" i="3"/>
  <c r="U9" i="3"/>
  <c r="AC9" i="3"/>
  <c r="W7" i="3"/>
  <c r="T7" i="3"/>
  <c r="AC12" i="3"/>
  <c r="U12" i="3"/>
  <c r="R9" i="3"/>
  <c r="J9" i="3"/>
  <c r="I9" i="3" s="1"/>
  <c r="AD8" i="3"/>
  <c r="V8" i="3"/>
  <c r="R12" i="3"/>
  <c r="J12" i="3"/>
  <c r="I12" i="3" s="1"/>
  <c r="V10" i="3"/>
  <c r="AD10" i="3"/>
  <c r="T8" i="3"/>
  <c r="W8" i="3"/>
  <c r="T10" i="3"/>
  <c r="W10" i="3"/>
  <c r="Y10" i="3" l="1"/>
  <c r="X10" i="3"/>
  <c r="Y8" i="3"/>
  <c r="X8" i="3"/>
  <c r="AF7" i="3"/>
  <c r="AE7" i="3"/>
  <c r="AF8" i="3"/>
  <c r="AE8" i="3"/>
  <c r="V9" i="3"/>
  <c r="AD9" i="3"/>
  <c r="W9" i="3"/>
  <c r="T9" i="3"/>
  <c r="AF10" i="3"/>
  <c r="AE10" i="3"/>
  <c r="AD12" i="3"/>
  <c r="V12" i="3"/>
  <c r="AF11" i="3"/>
  <c r="AE11" i="3"/>
  <c r="Y7" i="3"/>
  <c r="X7" i="3"/>
  <c r="T12" i="3"/>
  <c r="W12" i="3"/>
  <c r="X11" i="3"/>
  <c r="Y11" i="3"/>
  <c r="AF12" i="3" l="1"/>
  <c r="AE12" i="3"/>
  <c r="X12" i="3"/>
  <c r="Y12" i="3"/>
  <c r="Y9" i="3"/>
  <c r="X9" i="3"/>
  <c r="AE9" i="3"/>
  <c r="AF9" i="3"/>
</calcChain>
</file>

<file path=xl/sharedStrings.xml><?xml version="1.0" encoding="utf-8"?>
<sst xmlns="http://schemas.openxmlformats.org/spreadsheetml/2006/main" count="133" uniqueCount="81">
  <si>
    <t>Transaction Scenario Assumptions</t>
  </si>
  <si>
    <t>Capital and Ownership Inputs</t>
  </si>
  <si>
    <t>Fees and Forward Metrics</t>
  </si>
  <si>
    <t>Reference Share Price</t>
  </si>
  <si>
    <t>Diluted Shares</t>
  </si>
  <si>
    <t>Diluted Equity Value</t>
  </si>
  <si>
    <t>Base Offering Proceeds</t>
  </si>
  <si>
    <t>Underwriting Fee Rate</t>
  </si>
  <si>
    <t>Primary Share Mix</t>
  </si>
  <si>
    <t>Secondary Share Mix</t>
  </si>
  <si>
    <t>Overallotment Rate</t>
  </si>
  <si>
    <t>Primary Overallotment Mix</t>
  </si>
  <si>
    <t>Regulatory Filing Fees</t>
  </si>
  <si>
    <t>Document Production Fees</t>
  </si>
  <si>
    <t>Accounting and Legal Fees</t>
  </si>
  <si>
    <t>Other Transaction Fees</t>
  </si>
  <si>
    <t>Total Transaction Fees</t>
  </si>
  <si>
    <t>Pre-Transaction Forward EPS</t>
  </si>
  <si>
    <t>Forward Revenue</t>
  </si>
  <si>
    <t>Forward EBITDA</t>
  </si>
  <si>
    <t>Forward Net Income</t>
  </si>
  <si>
    <t>Debt and Convertible Costs</t>
  </si>
  <si>
    <t>Scenario-specific</t>
  </si>
  <si>
    <t>Scenario Calculation Engine</t>
  </si>
  <si>
    <t>Scenario</t>
  </si>
  <si>
    <t>Pricing Discount</t>
  </si>
  <si>
    <t>Pricing Step</t>
  </si>
  <si>
    <t>%</t>
  </si>
  <si>
    <t>Scenario Offer Price</t>
  </si>
  <si>
    <t>$</t>
  </si>
  <si>
    <t>Base Shares in Transaction</t>
  </si>
  <si>
    <t>M shares</t>
  </si>
  <si>
    <t>Overallotment Shares</t>
  </si>
  <si>
    <t>Primary Shares — Overallotment</t>
  </si>
  <si>
    <t>Diluted Shares Before Transaction</t>
  </si>
  <si>
    <t>Base Transaction Value</t>
  </si>
  <si>
    <t>$M</t>
  </si>
  <si>
    <t>Less: Cash and Equivalents</t>
  </si>
  <si>
    <t>Less: Equity Investments</t>
  </si>
  <si>
    <t>Less: Non-Core Assets</t>
  </si>
  <si>
    <t>Less: Tax Attributes</t>
  </si>
  <si>
    <t>Add: Debt</t>
  </si>
  <si>
    <t>Add: Noncontrolling Interests</t>
  </si>
  <si>
    <t>Scenario 1</t>
  </si>
  <si>
    <t>Scenario 2</t>
  </si>
  <si>
    <t>Scenario 3</t>
  </si>
  <si>
    <t>Scenario 4</t>
  </si>
  <si>
    <t>Scenario 5</t>
  </si>
  <si>
    <t>Scenario 6</t>
  </si>
  <si>
    <t>Scenario Valuation and Dilution Outputs</t>
  </si>
  <si>
    <t>Primary Shares — Base</t>
  </si>
  <si>
    <t>Secondary Shares — Base</t>
  </si>
  <si>
    <t>Total Primary Shares</t>
  </si>
  <si>
    <t>Diluted Shares After Transaction</t>
  </si>
  <si>
    <t>Equity Value at Offer Price</t>
  </si>
  <si>
    <t>Offer-Price Discount</t>
  </si>
  <si>
    <t>Equity Value Discount</t>
  </si>
  <si>
    <t>Equity Value at Market Price</t>
  </si>
  <si>
    <t>Overallotment Value</t>
  </si>
  <si>
    <t>Total Transaction Value</t>
  </si>
  <si>
    <t>Gross Primary Capital</t>
  </si>
  <si>
    <t>Underwriting Fees</t>
  </si>
  <si>
    <t>Net Primary Capital</t>
  </si>
  <si>
    <t>Ownership Sold</t>
  </si>
  <si>
    <t>Less: Net Primary Capital</t>
  </si>
  <si>
    <t>Enterprise Value at Market Price</t>
  </si>
  <si>
    <t>Forward P/E at Offer Price</t>
  </si>
  <si>
    <t>x</t>
  </si>
  <si>
    <t>Forward P/E at Market Price</t>
  </si>
  <si>
    <t>Forward EV / EBITDA at Market Price</t>
  </si>
  <si>
    <t>Forward EV / Revenue at Market Price</t>
  </si>
  <si>
    <t>Forward EPS After Transaction</t>
  </si>
  <si>
    <t>Forward EPS Change per Share</t>
  </si>
  <si>
    <t>Forward EPS Change</t>
  </si>
  <si>
    <t>Secondary Shares — Overallotment</t>
  </si>
  <si>
    <t>After-Tax Debt Cost</t>
  </si>
  <si>
    <t>After-Tax Convertible Cost</t>
  </si>
  <si>
    <t>Enterprise Value at Offer Price</t>
  </si>
  <si>
    <t>Forward EV / EBITDA at Offer Price</t>
  </si>
  <si>
    <t>Forward EV / Revenue at Offer Price</t>
  </si>
  <si>
    <t>Cost of Equity After Taxes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</si>
</sst>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;\(#,##0.000\);\-"/>
    <numFmt numFmtId="165" formatCode="0.0%;\(0.0%\);\-"/>
    <numFmt numFmtId="166" formatCode="#,##0.0;\(#,##0.0\);\-"/>
  </numFmts>
  <fonts count="6" x14ac:knownFonts="1">
    <font>
      <sz val="11"/>
      <color theme="1"/>
      <name val="Calibri"/>
      <family val="2"/>
      <scheme val="minor"/>
    </font>
    <font>
      <b/>
      <sz val="15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/>
    </xf>
    <xf numFmtId="164" fontId="4" fillId="3" borderId="0" xfId="0" applyNumberFormat="1" applyFont="1" applyFill="1" applyAlignment="1">
      <alignment horizontal="right" vertical="center"/>
    </xf>
    <xf numFmtId="164" fontId="3" fillId="0" borderId="0" xfId="0" applyNumberFormat="1" applyFont="1" applyAlignment="1">
      <alignment horizontal="right" vertical="center"/>
    </xf>
    <xf numFmtId="165" fontId="4" fillId="3" borderId="0" xfId="0" applyNumberFormat="1" applyFont="1" applyFill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166" fontId="3" fillId="0" borderId="1" xfId="0" applyNumberFormat="1" applyFont="1" applyBorder="1" applyAlignment="1">
      <alignment horizontal="right" vertical="center"/>
    </xf>
    <xf numFmtId="165" fontId="3" fillId="0" borderId="1" xfId="0" applyNumberFormat="1" applyFont="1" applyBorder="1" applyAlignment="1">
      <alignment horizontal="right" vertical="center"/>
    </xf>
    <xf numFmtId="165" fontId="3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18"/>
  <sheetViews>
    <sheetView showGridLines="0" tabSelected="1" workbookViewId="0"/>
  </sheetViews>
  <sheetFormatPr defaultRowHeight="18" customHeight="1" x14ac:dyDescent="0.3"/>
  <cols>
    <col min="1" max="1" width="2.6640625" customWidth="1"/>
    <col min="2" max="2" width="34.6640625" customWidth="1"/>
    <col min="3" max="5" width="3.6640625" customWidth="1"/>
    <col min="6" max="6" width="16.6640625" customWidth="1"/>
    <col min="7" max="7" width="3.6640625" customWidth="1"/>
    <col min="8" max="9" width="31.6640625" customWidth="1"/>
    <col min="10" max="10" width="16.6640625" customWidth="1"/>
  </cols>
  <sheetData>
    <row r="2" spans="2:10" ht="24" customHeight="1" x14ac:dyDescent="0.3">
      <c r="B2" s="12" t="s">
        <v>0</v>
      </c>
      <c r="C2" s="12"/>
      <c r="D2" s="12"/>
      <c r="E2" s="12"/>
      <c r="F2" s="12"/>
      <c r="G2" s="12"/>
      <c r="H2" s="12"/>
      <c r="I2" s="12"/>
      <c r="J2" s="12"/>
    </row>
    <row r="4" spans="2:10" ht="18" customHeight="1" x14ac:dyDescent="0.3">
      <c r="B4" s="1" t="s">
        <v>1</v>
      </c>
      <c r="H4" s="1" t="s">
        <v>2</v>
      </c>
    </row>
    <row r="6" spans="2:10" ht="18" customHeight="1" x14ac:dyDescent="0.3">
      <c r="B6" s="2" t="s">
        <v>3</v>
      </c>
      <c r="F6" s="3">
        <v>456.032962</v>
      </c>
      <c r="H6" s="2" t="s">
        <v>12</v>
      </c>
      <c r="J6" s="3">
        <v>0.163386</v>
      </c>
    </row>
    <row r="7" spans="2:10" ht="18" customHeight="1" x14ac:dyDescent="0.3">
      <c r="B7" s="2" t="s">
        <v>4</v>
      </c>
      <c r="F7" s="3">
        <v>56.721032000000001</v>
      </c>
      <c r="H7" s="2" t="s">
        <v>13</v>
      </c>
      <c r="J7" s="3">
        <v>8.6735999999999994E-2</v>
      </c>
    </row>
    <row r="8" spans="2:10" ht="18" customHeight="1" x14ac:dyDescent="0.3">
      <c r="B8" s="2" t="s">
        <v>5</v>
      </c>
      <c r="F8" s="4">
        <f>F6*F7</f>
        <v>25866.660230656784</v>
      </c>
      <c r="H8" s="2" t="s">
        <v>14</v>
      </c>
      <c r="J8" s="3">
        <v>0.11448800000000001</v>
      </c>
    </row>
    <row r="9" spans="2:10" ht="18" customHeight="1" x14ac:dyDescent="0.3">
      <c r="H9" s="2" t="s">
        <v>15</v>
      </c>
      <c r="J9" s="3">
        <v>0.11143699999999999</v>
      </c>
    </row>
    <row r="10" spans="2:10" ht="18" customHeight="1" x14ac:dyDescent="0.3">
      <c r="B10" s="2" t="s">
        <v>6</v>
      </c>
      <c r="F10" s="3">
        <v>1453</v>
      </c>
      <c r="H10" s="2" t="s">
        <v>16</v>
      </c>
      <c r="J10" s="4">
        <f>SUM(J6:J9)</f>
        <v>0.476047</v>
      </c>
    </row>
    <row r="11" spans="2:10" ht="18" customHeight="1" x14ac:dyDescent="0.3">
      <c r="B11" s="2" t="s">
        <v>7</v>
      </c>
      <c r="F11" s="5">
        <v>2.3310000000000001E-2</v>
      </c>
    </row>
    <row r="12" spans="2:10" ht="18" customHeight="1" x14ac:dyDescent="0.3">
      <c r="H12" s="2" t="s">
        <v>17</v>
      </c>
      <c r="J12" s="3">
        <v>5.1406289999999997</v>
      </c>
    </row>
    <row r="13" spans="2:10" ht="18" customHeight="1" x14ac:dyDescent="0.3">
      <c r="B13" s="2" t="s">
        <v>8</v>
      </c>
      <c r="F13" s="5">
        <v>0.94916699999999998</v>
      </c>
    </row>
    <row r="14" spans="2:10" ht="18" customHeight="1" x14ac:dyDescent="0.3">
      <c r="B14" s="2" t="s">
        <v>9</v>
      </c>
      <c r="F14" s="11">
        <f>1-F13</f>
        <v>5.0833000000000017E-2</v>
      </c>
      <c r="H14" s="2" t="s">
        <v>18</v>
      </c>
      <c r="J14" s="3">
        <v>5914.5882039999997</v>
      </c>
    </row>
    <row r="15" spans="2:10" ht="18" customHeight="1" x14ac:dyDescent="0.3">
      <c r="H15" s="2" t="s">
        <v>19</v>
      </c>
      <c r="J15" s="3">
        <v>690.23351200000002</v>
      </c>
    </row>
    <row r="16" spans="2:10" ht="18" customHeight="1" x14ac:dyDescent="0.3">
      <c r="B16" s="2" t="s">
        <v>10</v>
      </c>
      <c r="F16" s="5">
        <v>0.14321600000000001</v>
      </c>
      <c r="H16" s="2" t="s">
        <v>20</v>
      </c>
      <c r="J16" s="3">
        <v>283.30690700000002</v>
      </c>
    </row>
    <row r="17" spans="2:10" ht="18" customHeight="1" x14ac:dyDescent="0.3">
      <c r="B17" s="2" t="s">
        <v>11</v>
      </c>
      <c r="F17" s="5">
        <v>0.782447</v>
      </c>
      <c r="H17" s="2" t="s">
        <v>21</v>
      </c>
      <c r="J17" s="6" t="s">
        <v>22</v>
      </c>
    </row>
    <row r="18" spans="2:10" ht="18" customHeight="1" x14ac:dyDescent="0.3">
      <c r="J18" s="6"/>
    </row>
  </sheetData>
  <mergeCells count="1">
    <mergeCell ref="B2:J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T12"/>
  <sheetViews>
    <sheetView showGridLines="0" workbookViewId="0"/>
  </sheetViews>
  <sheetFormatPr defaultRowHeight="18" customHeight="1" x14ac:dyDescent="0.3"/>
  <cols>
    <col min="1" max="1" width="2.6640625" customWidth="1"/>
    <col min="2" max="2" width="16.6640625" customWidth="1"/>
    <col min="3" max="3" width="3.6640625" customWidth="1"/>
    <col min="4" max="32" width="15.77734375" customWidth="1"/>
  </cols>
  <sheetData>
    <row r="2" spans="2:20" ht="24" customHeight="1" x14ac:dyDescent="0.3">
      <c r="B2" s="12" t="s">
        <v>23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5" spans="2:20" ht="48" customHeight="1" x14ac:dyDescent="0.3">
      <c r="B5" s="7" t="s">
        <v>24</v>
      </c>
      <c r="D5" s="7" t="s">
        <v>26</v>
      </c>
      <c r="E5" s="7" t="s">
        <v>28</v>
      </c>
      <c r="F5" s="7" t="s">
        <v>30</v>
      </c>
      <c r="G5" s="7" t="s">
        <v>32</v>
      </c>
      <c r="H5" s="7" t="s">
        <v>33</v>
      </c>
      <c r="I5" s="7" t="s">
        <v>34</v>
      </c>
      <c r="J5" s="7" t="s">
        <v>35</v>
      </c>
      <c r="K5" s="7" t="s">
        <v>16</v>
      </c>
      <c r="L5" s="7" t="s">
        <v>37</v>
      </c>
      <c r="M5" s="7" t="s">
        <v>38</v>
      </c>
      <c r="N5" s="7" t="s">
        <v>39</v>
      </c>
      <c r="O5" s="7" t="s">
        <v>40</v>
      </c>
      <c r="P5" s="7" t="s">
        <v>41</v>
      </c>
      <c r="Q5" s="7" t="s">
        <v>42</v>
      </c>
      <c r="R5" s="7" t="s">
        <v>74</v>
      </c>
      <c r="S5" s="7" t="s">
        <v>75</v>
      </c>
      <c r="T5" s="7" t="s">
        <v>76</v>
      </c>
    </row>
    <row r="6" spans="2:20" ht="18" customHeight="1" x14ac:dyDescent="0.3">
      <c r="B6" s="7" t="s">
        <v>25</v>
      </c>
      <c r="D6" s="8" t="s">
        <v>27</v>
      </c>
      <c r="E6" s="8" t="s">
        <v>29</v>
      </c>
      <c r="F6" s="8" t="s">
        <v>31</v>
      </c>
      <c r="G6" s="8" t="s">
        <v>31</v>
      </c>
      <c r="H6" s="8" t="s">
        <v>31</v>
      </c>
      <c r="I6" s="8" t="s">
        <v>31</v>
      </c>
      <c r="J6" s="8" t="s">
        <v>36</v>
      </c>
      <c r="K6" s="8" t="s">
        <v>36</v>
      </c>
      <c r="L6" s="8" t="s">
        <v>36</v>
      </c>
      <c r="M6" s="8" t="s">
        <v>36</v>
      </c>
      <c r="N6" s="8" t="s">
        <v>36</v>
      </c>
      <c r="O6" s="8" t="s">
        <v>36</v>
      </c>
      <c r="P6" s="8" t="s">
        <v>36</v>
      </c>
      <c r="Q6" s="8" t="s">
        <v>36</v>
      </c>
      <c r="R6" s="8" t="s">
        <v>31</v>
      </c>
      <c r="S6" s="8" t="s">
        <v>27</v>
      </c>
      <c r="T6" s="8" t="s">
        <v>27</v>
      </c>
    </row>
    <row r="7" spans="2:20" ht="18" customHeight="1" x14ac:dyDescent="0.3">
      <c r="B7" s="7" t="s">
        <v>43</v>
      </c>
      <c r="D7" s="5">
        <v>-0.28219100000000003</v>
      </c>
      <c r="E7" s="4">
        <f>Assumptions!F6*(1+D7)</f>
        <v>327.34456442025794</v>
      </c>
      <c r="F7" s="4">
        <f>Assumptions!F10/E7</f>
        <v>4.4387479064249282</v>
      </c>
      <c r="G7" s="4">
        <f>F7*Assumptions!F16</f>
        <v>0.63569972016655252</v>
      </c>
      <c r="H7" s="4">
        <f>G7*Assumptions!F17</f>
        <v>0.49740133894515853</v>
      </c>
      <c r="I7" s="4">
        <f>Assumptions!F7</f>
        <v>56.721032000000001</v>
      </c>
      <c r="J7" s="4">
        <f t="shared" ref="J7:J12" si="0">F7*E7</f>
        <v>1453</v>
      </c>
      <c r="K7" s="4">
        <f>-Assumptions!J10</f>
        <v>-0.476047</v>
      </c>
      <c r="L7" s="3">
        <v>-1641.0471010000001</v>
      </c>
      <c r="M7" s="3">
        <v>0</v>
      </c>
      <c r="N7" s="3">
        <v>0</v>
      </c>
      <c r="O7" s="3">
        <v>0</v>
      </c>
      <c r="P7" s="3">
        <v>914.69783199999995</v>
      </c>
      <c r="Q7" s="3">
        <v>0</v>
      </c>
      <c r="R7" s="4">
        <f t="shared" ref="R7:R12" si="1">G7-H7</f>
        <v>0.13829838122139398</v>
      </c>
      <c r="S7" s="10">
        <v>3.0908999999999999E-2</v>
      </c>
      <c r="T7" s="10">
        <v>8.0540000000000004E-3</v>
      </c>
    </row>
    <row r="8" spans="2:20" ht="18" customHeight="1" x14ac:dyDescent="0.3">
      <c r="B8" s="7" t="s">
        <v>44</v>
      </c>
      <c r="D8" s="5">
        <v>-0.23219100000000001</v>
      </c>
      <c r="E8" s="4">
        <f>Assumptions!F6*(1+D8)</f>
        <v>350.14621252025796</v>
      </c>
      <c r="F8" s="4">
        <f>Assumptions!F10/E8</f>
        <v>4.1496950360870626</v>
      </c>
      <c r="G8" s="4">
        <f>F8*Assumptions!F16</f>
        <v>0.59430272428824482</v>
      </c>
      <c r="H8" s="4">
        <f>G8*Assumptions!F17</f>
        <v>0.46501038371116432</v>
      </c>
      <c r="I8" s="4">
        <f>Assumptions!F7</f>
        <v>56.721032000000001</v>
      </c>
      <c r="J8" s="4">
        <f t="shared" si="0"/>
        <v>1453.0000000000002</v>
      </c>
      <c r="K8" s="4">
        <f>-Assumptions!J10</f>
        <v>-0.476047</v>
      </c>
      <c r="L8" s="3">
        <v>-1395.820426</v>
      </c>
      <c r="M8" s="3">
        <v>0</v>
      </c>
      <c r="N8" s="3">
        <v>0</v>
      </c>
      <c r="O8" s="3">
        <v>0</v>
      </c>
      <c r="P8" s="3">
        <v>821.41271800000004</v>
      </c>
      <c r="Q8" s="3">
        <v>0</v>
      </c>
      <c r="R8" s="4">
        <f t="shared" si="1"/>
        <v>0.1292923405770805</v>
      </c>
      <c r="S8" s="10">
        <v>4.1825000000000001E-2</v>
      </c>
      <c r="T8" s="10">
        <v>8.6230000000000005E-3</v>
      </c>
    </row>
    <row r="9" spans="2:20" ht="18" customHeight="1" x14ac:dyDescent="0.3">
      <c r="B9" s="7" t="s">
        <v>45</v>
      </c>
      <c r="D9" s="5">
        <v>-0.18219099999999999</v>
      </c>
      <c r="E9" s="4">
        <f>Assumptions!F6*(1+D9)</f>
        <v>372.94786062025798</v>
      </c>
      <c r="F9" s="4">
        <f>Assumptions!F10/E9</f>
        <v>3.8959869553440605</v>
      </c>
      <c r="G9" s="4">
        <f>F9*Assumptions!F16</f>
        <v>0.55796766779655504</v>
      </c>
      <c r="H9" s="4">
        <f>G9*Assumptions!F17</f>
        <v>0.43658012776441113</v>
      </c>
      <c r="I9" s="4">
        <f>Assumptions!F7</f>
        <v>56.721032000000001</v>
      </c>
      <c r="J9" s="4">
        <f t="shared" si="0"/>
        <v>1453</v>
      </c>
      <c r="K9" s="4">
        <f>-Assumptions!J10</f>
        <v>-0.476047</v>
      </c>
      <c r="L9" s="3">
        <v>-1778.075742</v>
      </c>
      <c r="M9" s="3">
        <v>0</v>
      </c>
      <c r="N9" s="3">
        <v>0</v>
      </c>
      <c r="O9" s="3">
        <v>0</v>
      </c>
      <c r="P9" s="3">
        <v>810.06476899999996</v>
      </c>
      <c r="Q9" s="3">
        <v>0</v>
      </c>
      <c r="R9" s="4">
        <f t="shared" si="1"/>
        <v>0.12138754003214391</v>
      </c>
      <c r="S9" s="10">
        <v>3.4758999999999998E-2</v>
      </c>
      <c r="T9" s="10">
        <v>9.4769999999999993E-3</v>
      </c>
    </row>
    <row r="10" spans="2:20" ht="18" customHeight="1" x14ac:dyDescent="0.3">
      <c r="B10" s="7" t="s">
        <v>46</v>
      </c>
      <c r="D10" s="5">
        <v>-0.13219100000000009</v>
      </c>
      <c r="E10" s="4">
        <f>Assumptions!F6*(1+D10)</f>
        <v>395.74950872025795</v>
      </c>
      <c r="F10" s="4">
        <f>Assumptions!F10/E10</f>
        <v>3.6715143493130067</v>
      </c>
      <c r="G10" s="4">
        <f>F10*Assumptions!F16</f>
        <v>0.52581959905121156</v>
      </c>
      <c r="H10" s="4">
        <f>G10*Assumptions!F17</f>
        <v>0.41142596781882335</v>
      </c>
      <c r="I10" s="4">
        <f>Assumptions!F7</f>
        <v>56.721032000000001</v>
      </c>
      <c r="J10" s="4">
        <f t="shared" si="0"/>
        <v>1453</v>
      </c>
      <c r="K10" s="4">
        <f>-Assumptions!J10</f>
        <v>-0.476047</v>
      </c>
      <c r="L10" s="3">
        <v>-1633.9267050000001</v>
      </c>
      <c r="M10" s="3">
        <v>0</v>
      </c>
      <c r="N10" s="3">
        <v>0</v>
      </c>
      <c r="O10" s="3">
        <v>0</v>
      </c>
      <c r="P10" s="3">
        <v>815.65032299999996</v>
      </c>
      <c r="Q10" s="3">
        <v>0</v>
      </c>
      <c r="R10" s="4">
        <f t="shared" si="1"/>
        <v>0.11439363123238822</v>
      </c>
      <c r="S10" s="10">
        <v>3.2319000000000001E-2</v>
      </c>
      <c r="T10" s="10">
        <v>1.1279000000000001E-2</v>
      </c>
    </row>
    <row r="11" spans="2:20" ht="18" customHeight="1" x14ac:dyDescent="0.3">
      <c r="B11" s="7" t="s">
        <v>47</v>
      </c>
      <c r="D11" s="5">
        <v>-8.2191000000000056E-2</v>
      </c>
      <c r="E11" s="4">
        <f>Assumptions!F6*(1+D11)</f>
        <v>418.55115682025797</v>
      </c>
      <c r="F11" s="4">
        <f>Assumptions!F10/E11</f>
        <v>3.4714991855200492</v>
      </c>
      <c r="G11" s="4">
        <f>F11*Assumptions!F16</f>
        <v>0.49717422735343941</v>
      </c>
      <c r="H11" s="4">
        <f>G11*Assumptions!F17</f>
        <v>0.38901248267001659</v>
      </c>
      <c r="I11" s="4">
        <f>Assumptions!F7</f>
        <v>56.721032000000001</v>
      </c>
      <c r="J11" s="4">
        <f t="shared" si="0"/>
        <v>1453</v>
      </c>
      <c r="K11" s="4">
        <f>-Assumptions!J10</f>
        <v>-0.476047</v>
      </c>
      <c r="L11" s="3">
        <v>-1720.5347099999999</v>
      </c>
      <c r="M11" s="3">
        <v>0</v>
      </c>
      <c r="N11" s="3">
        <v>0</v>
      </c>
      <c r="O11" s="3">
        <v>0</v>
      </c>
      <c r="P11" s="3">
        <v>777.93471499999998</v>
      </c>
      <c r="Q11" s="3">
        <v>0</v>
      </c>
      <c r="R11" s="4">
        <f t="shared" si="1"/>
        <v>0.10816174468342282</v>
      </c>
      <c r="S11" s="10">
        <v>3.5770999999999997E-2</v>
      </c>
      <c r="T11" s="10">
        <v>9.7610000000000006E-3</v>
      </c>
    </row>
    <row r="12" spans="2:20" ht="18" customHeight="1" x14ac:dyDescent="0.3">
      <c r="B12" s="7" t="s">
        <v>48</v>
      </c>
      <c r="D12" s="5">
        <v>-3.2191000000000053E-2</v>
      </c>
      <c r="E12" s="4">
        <f>Assumptions!F6*(1+D12)</f>
        <v>441.35280492025794</v>
      </c>
      <c r="F12" s="4">
        <f>Assumptions!F10/E12</f>
        <v>3.2921508231096954</v>
      </c>
      <c r="G12" s="4">
        <f>F12*Assumptions!F16</f>
        <v>0.47148867228247815</v>
      </c>
      <c r="H12" s="4">
        <f>G12*Assumptions!F17</f>
        <v>0.36891489716140818</v>
      </c>
      <c r="I12" s="4">
        <f>Assumptions!F7</f>
        <v>56.721032000000001</v>
      </c>
      <c r="J12" s="4">
        <f t="shared" si="0"/>
        <v>1453</v>
      </c>
      <c r="K12" s="4">
        <f>-Assumptions!J10</f>
        <v>-0.476047</v>
      </c>
      <c r="L12" s="3">
        <v>-1388.89797</v>
      </c>
      <c r="M12" s="3">
        <v>0</v>
      </c>
      <c r="N12" s="3">
        <v>0</v>
      </c>
      <c r="O12" s="3">
        <v>0</v>
      </c>
      <c r="P12" s="3">
        <v>872.78779099999997</v>
      </c>
      <c r="Q12" s="3">
        <v>0</v>
      </c>
      <c r="R12" s="4">
        <f t="shared" si="1"/>
        <v>0.10257377512106997</v>
      </c>
      <c r="S12" s="10">
        <v>3.3780999999999999E-2</v>
      </c>
      <c r="T12" s="10">
        <v>8.2760000000000004E-3</v>
      </c>
    </row>
  </sheetData>
  <mergeCells count="1">
    <mergeCell ref="B2:Q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AF12"/>
  <sheetViews>
    <sheetView showGridLines="0" workbookViewId="0"/>
  </sheetViews>
  <sheetFormatPr defaultRowHeight="18" customHeight="1" x14ac:dyDescent="0.3"/>
  <cols>
    <col min="1" max="1" width="2.6640625" customWidth="1"/>
    <col min="2" max="2" width="15.6640625" customWidth="1"/>
    <col min="3" max="3" width="3.6640625" customWidth="1"/>
    <col min="4" max="32" width="15.77734375" customWidth="1"/>
  </cols>
  <sheetData>
    <row r="2" spans="2:32" ht="24" customHeight="1" x14ac:dyDescent="0.3">
      <c r="B2" s="12" t="s">
        <v>49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</row>
    <row r="5" spans="2:32" ht="48" customHeight="1" x14ac:dyDescent="0.3">
      <c r="B5" s="7" t="s">
        <v>24</v>
      </c>
      <c r="D5" s="7" t="s">
        <v>50</v>
      </c>
      <c r="E5" s="7" t="s">
        <v>51</v>
      </c>
      <c r="F5" s="7" t="s">
        <v>52</v>
      </c>
      <c r="G5" s="7" t="s">
        <v>53</v>
      </c>
      <c r="H5" s="7" t="s">
        <v>54</v>
      </c>
      <c r="I5" s="7" t="s">
        <v>55</v>
      </c>
      <c r="J5" s="7" t="s">
        <v>56</v>
      </c>
      <c r="K5" s="7" t="s">
        <v>57</v>
      </c>
      <c r="L5" s="7" t="s">
        <v>58</v>
      </c>
      <c r="M5" s="7" t="s">
        <v>59</v>
      </c>
      <c r="N5" s="7" t="s">
        <v>60</v>
      </c>
      <c r="O5" s="7" t="s">
        <v>61</v>
      </c>
      <c r="P5" s="7" t="s">
        <v>62</v>
      </c>
      <c r="Q5" s="7" t="s">
        <v>63</v>
      </c>
      <c r="R5" s="7" t="s">
        <v>57</v>
      </c>
      <c r="S5" s="7" t="s">
        <v>64</v>
      </c>
      <c r="T5" s="7" t="s">
        <v>65</v>
      </c>
      <c r="U5" s="7" t="s">
        <v>54</v>
      </c>
      <c r="V5" s="7" t="s">
        <v>66</v>
      </c>
      <c r="W5" s="7" t="s">
        <v>68</v>
      </c>
      <c r="X5" s="7" t="s">
        <v>69</v>
      </c>
      <c r="Y5" s="7" t="s">
        <v>70</v>
      </c>
      <c r="Z5" s="7" t="s">
        <v>71</v>
      </c>
      <c r="AA5" s="7" t="s">
        <v>72</v>
      </c>
      <c r="AB5" s="7" t="s">
        <v>73</v>
      </c>
      <c r="AC5" s="7" t="s">
        <v>80</v>
      </c>
      <c r="AD5" s="7" t="s">
        <v>77</v>
      </c>
      <c r="AE5" s="7" t="s">
        <v>78</v>
      </c>
      <c r="AF5" s="7" t="s">
        <v>79</v>
      </c>
    </row>
    <row r="6" spans="2:32" ht="18" customHeight="1" x14ac:dyDescent="0.3">
      <c r="B6" s="7" t="s">
        <v>25</v>
      </c>
      <c r="D6" s="8" t="s">
        <v>31</v>
      </c>
      <c r="E6" s="8" t="s">
        <v>31</v>
      </c>
      <c r="F6" s="8" t="s">
        <v>31</v>
      </c>
      <c r="G6" s="8" t="s">
        <v>31</v>
      </c>
      <c r="H6" s="8" t="s">
        <v>36</v>
      </c>
      <c r="I6" s="8" t="s">
        <v>27</v>
      </c>
      <c r="J6" s="8" t="s">
        <v>36</v>
      </c>
      <c r="K6" s="8" t="s">
        <v>36</v>
      </c>
      <c r="L6" s="8" t="s">
        <v>36</v>
      </c>
      <c r="M6" s="8" t="s">
        <v>36</v>
      </c>
      <c r="N6" s="8" t="s">
        <v>36</v>
      </c>
      <c r="O6" s="8" t="s">
        <v>36</v>
      </c>
      <c r="P6" s="8" t="s">
        <v>36</v>
      </c>
      <c r="Q6" s="8" t="s">
        <v>27</v>
      </c>
      <c r="R6" s="8" t="s">
        <v>36</v>
      </c>
      <c r="S6" s="8" t="s">
        <v>36</v>
      </c>
      <c r="T6" s="8" t="s">
        <v>36</v>
      </c>
      <c r="U6" s="8" t="s">
        <v>36</v>
      </c>
      <c r="V6" s="8" t="s">
        <v>67</v>
      </c>
      <c r="W6" s="8" t="s">
        <v>67</v>
      </c>
      <c r="X6" s="8" t="s">
        <v>67</v>
      </c>
      <c r="Y6" s="8" t="s">
        <v>67</v>
      </c>
      <c r="Z6" s="8" t="s">
        <v>29</v>
      </c>
      <c r="AA6" s="8" t="s">
        <v>29</v>
      </c>
      <c r="AB6" s="8" t="s">
        <v>27</v>
      </c>
      <c r="AC6" s="8" t="s">
        <v>27</v>
      </c>
      <c r="AD6" s="8" t="s">
        <v>36</v>
      </c>
      <c r="AE6" s="8" t="s">
        <v>67</v>
      </c>
      <c r="AF6" s="8" t="s">
        <v>67</v>
      </c>
    </row>
    <row r="7" spans="2:32" ht="18" customHeight="1" x14ac:dyDescent="0.3">
      <c r="B7" s="7" t="s">
        <v>43</v>
      </c>
      <c r="D7" s="9">
        <f>'Scenario Engine'!F7*Assumptions!F13</f>
        <v>4.2131130340976295</v>
      </c>
      <c r="E7" s="9">
        <f>'Scenario Engine'!F7-'Valuation Output'!D7</f>
        <v>0.22563487232729873</v>
      </c>
      <c r="F7" s="9">
        <f>'Valuation Output'!D7+'Scenario Engine'!H7</f>
        <v>4.7105143730427876</v>
      </c>
      <c r="G7" s="9">
        <f>SUM('Scenario Engine'!I7,'Valuation Output'!F7)</f>
        <v>61.431546373042792</v>
      </c>
      <c r="H7" s="9">
        <f>'Valuation Output'!G7*'Scenario Engine'!E7</f>
        <v>20109.282789146568</v>
      </c>
      <c r="I7" s="10">
        <f>'Valuation Output'!J7/'Valuation Output'!K7</f>
        <v>0.28219100000000014</v>
      </c>
      <c r="J7" s="9">
        <f>'Valuation Output'!K7-'Valuation Output'!H7</f>
        <v>7905.5272635924921</v>
      </c>
      <c r="K7" s="9">
        <f>'Valuation Output'!G7*Assumptions!F6</f>
        <v>28014.81005273906</v>
      </c>
      <c r="L7" s="9">
        <f>'Scenario Engine'!G7*'Scenario Engine'!E7</f>
        <v>208.092848</v>
      </c>
      <c r="M7" s="9">
        <f>SUM('Scenario Engine'!J7,'Valuation Output'!L7)</f>
        <v>1661.092848</v>
      </c>
      <c r="N7" s="9">
        <f>'Valuation Output'!F7*'Scenario Engine'!E7</f>
        <v>1541.9612756390557</v>
      </c>
      <c r="O7" s="9">
        <f>-'Valuation Output'!F7*'Scenario Engine'!E7*Assumptions!F11</f>
        <v>-35.94311733514639</v>
      </c>
      <c r="P7" s="9">
        <f>SUM('Valuation Output'!N7,'Valuation Output'!O7,'Scenario Engine'!K7)</f>
        <v>1505.5421113039092</v>
      </c>
      <c r="Q7" s="10">
        <f>'Valuation Output'!F7/'Valuation Output'!G7</f>
        <v>7.6679078603006504E-2</v>
      </c>
      <c r="R7" s="9">
        <f>'Valuation Output'!K7</f>
        <v>28014.81005273906</v>
      </c>
      <c r="S7" s="9">
        <f>-'Valuation Output'!P7</f>
        <v>-1505.5421113039092</v>
      </c>
      <c r="T7" s="9">
        <f>SUM('Valuation Output'!R7,'Valuation Output'!S7,'Scenario Engine'!L7:'Scenario Engine'!Q7)</f>
        <v>25782.918672435153</v>
      </c>
      <c r="U7" s="9">
        <f>'Valuation Output'!H7</f>
        <v>20109.282789146568</v>
      </c>
      <c r="V7" s="9">
        <f>'Valuation Output'!U7/Assumptions!J16</f>
        <v>70.980559570849309</v>
      </c>
      <c r="W7" s="9">
        <f>'Valuation Output'!R7/Assumptions!J16</f>
        <v>98.885023134077898</v>
      </c>
      <c r="X7" s="9">
        <f>'Valuation Output'!T7/Assumptions!J15</f>
        <v>37.353907372198343</v>
      </c>
      <c r="Y7" s="9">
        <f>'Valuation Output'!T7/Assumptions!J14</f>
        <v>4.3592077390947219</v>
      </c>
      <c r="Z7" s="9">
        <f>Assumptions!J16/'Valuation Output'!G7</f>
        <v>4.61174956071625</v>
      </c>
      <c r="AA7" s="9">
        <f>'Valuation Output'!Z7-Assumptions!J12</f>
        <v>-0.5288794392837497</v>
      </c>
      <c r="AB7" s="10">
        <f>'Valuation Output'!AA7/Assumptions!J12</f>
        <v>-0.10288224248117298</v>
      </c>
      <c r="AC7" s="10">
        <f>Assumptions!J16/'Valuation Output'!H7</f>
        <v>1.4088364561311312E-2</v>
      </c>
      <c r="AD7" s="9">
        <f>'Valuation Output'!U7+SUM('Valuation Output'!S7,'Scenario Engine'!L7:'Scenario Engine'!Q7)</f>
        <v>17877.391408842657</v>
      </c>
      <c r="AE7" s="9">
        <f>'Valuation Output'!AD7/Assumptions!J15</f>
        <v>25.90049758239304</v>
      </c>
      <c r="AF7" s="9">
        <f>'Valuation Output'!AD7/Assumptions!J14</f>
        <v>3.0225927473280874</v>
      </c>
    </row>
    <row r="8" spans="2:32" ht="18" customHeight="1" x14ac:dyDescent="0.3">
      <c r="B8" s="7" t="s">
        <v>44</v>
      </c>
      <c r="D8" s="9">
        <f>'Scenario Engine'!F8*Assumptions!F13</f>
        <v>3.938753588317649</v>
      </c>
      <c r="E8" s="9">
        <f>'Scenario Engine'!F8-'Valuation Output'!D8</f>
        <v>0.21094144776941359</v>
      </c>
      <c r="F8" s="9">
        <f>'Valuation Output'!D8+'Scenario Engine'!H8</f>
        <v>4.4037639720288135</v>
      </c>
      <c r="G8" s="9">
        <f>SUM('Scenario Engine'!I8,'Valuation Output'!F8)</f>
        <v>61.124795972028814</v>
      </c>
      <c r="H8" s="9">
        <f>'Valuation Output'!G8*'Scenario Engine'!E8</f>
        <v>21402.61580067941</v>
      </c>
      <c r="I8" s="10">
        <f>'Valuation Output'!J8/'Valuation Output'!K8</f>
        <v>0.23219099999999998</v>
      </c>
      <c r="J8" s="9">
        <f>'Valuation Output'!K8-'Valuation Output'!H8</f>
        <v>6472.3059580905574</v>
      </c>
      <c r="K8" s="9">
        <f>'Valuation Output'!G8*Assumptions!F6</f>
        <v>27874.921758769968</v>
      </c>
      <c r="L8" s="9">
        <f>'Scenario Engine'!G8*'Scenario Engine'!E8</f>
        <v>208.09284800000003</v>
      </c>
      <c r="M8" s="9">
        <f>SUM('Scenario Engine'!J8,'Valuation Output'!L8)</f>
        <v>1661.0928480000002</v>
      </c>
      <c r="N8" s="9">
        <f>'Valuation Output'!F8*'Scenario Engine'!E8</f>
        <v>1541.9612756390563</v>
      </c>
      <c r="O8" s="9">
        <f>-'Valuation Output'!F8*'Scenario Engine'!E8*Assumptions!F11</f>
        <v>-35.943117335146404</v>
      </c>
      <c r="P8" s="9">
        <f>SUM('Valuation Output'!N8,'Valuation Output'!O8,'Scenario Engine'!K8)</f>
        <v>1505.5421113039099</v>
      </c>
      <c r="Q8" s="10">
        <f>'Valuation Output'!F8/'Valuation Output'!G8</f>
        <v>7.204545883546197E-2</v>
      </c>
      <c r="R8" s="9">
        <f>'Valuation Output'!K8</f>
        <v>27874.921758769968</v>
      </c>
      <c r="S8" s="9">
        <f>-'Valuation Output'!P8</f>
        <v>-1505.5421113039099</v>
      </c>
      <c r="T8" s="9">
        <f>SUM('Valuation Output'!R8,'Valuation Output'!S8,'Scenario Engine'!L8:'Scenario Engine'!Q8)</f>
        <v>25794.971939466061</v>
      </c>
      <c r="U8" s="9">
        <f>'Valuation Output'!H8</f>
        <v>21402.61580067941</v>
      </c>
      <c r="V8" s="9">
        <f>'Valuation Output'!U8/Assumptions!J16</f>
        <v>75.545690104475312</v>
      </c>
      <c r="W8" s="9">
        <f>'Valuation Output'!R8/Assumptions!J16</f>
        <v>98.391253690013158</v>
      </c>
      <c r="X8" s="9">
        <f>'Valuation Output'!T8/Assumptions!J15</f>
        <v>37.371369965395218</v>
      </c>
      <c r="Y8" s="9">
        <f>'Valuation Output'!T8/Assumptions!J14</f>
        <v>4.3612456268757782</v>
      </c>
      <c r="Z8" s="9">
        <f>Assumptions!J16/'Valuation Output'!G8</f>
        <v>4.6348932948527715</v>
      </c>
      <c r="AA8" s="9">
        <f>'Valuation Output'!Z8-Assumptions!J12</f>
        <v>-0.50573570514722821</v>
      </c>
      <c r="AB8" s="10">
        <f>'Valuation Output'!AA8/Assumptions!J12</f>
        <v>-9.838012141067333E-2</v>
      </c>
      <c r="AC8" s="10">
        <f>Assumptions!J16/'Valuation Output'!H8</f>
        <v>1.3237022504090675E-2</v>
      </c>
      <c r="AD8" s="9">
        <f>'Valuation Output'!U8+SUM('Valuation Output'!S8,'Scenario Engine'!L8:'Scenario Engine'!Q8)</f>
        <v>19322.6659813755</v>
      </c>
      <c r="AE8" s="9">
        <f>'Valuation Output'!AD8/Assumptions!J15</f>
        <v>27.994389790473544</v>
      </c>
      <c r="AF8" s="9">
        <f>'Valuation Output'!AD8/Assumptions!J14</f>
        <v>3.266950346316198</v>
      </c>
    </row>
    <row r="9" spans="2:32" ht="18" customHeight="1" x14ac:dyDescent="0.3">
      <c r="B9" s="7" t="s">
        <v>45</v>
      </c>
      <c r="D9" s="9">
        <f>'Scenario Engine'!F9*Assumptions!F13</f>
        <v>3.6979422504430559</v>
      </c>
      <c r="E9" s="9">
        <f>'Scenario Engine'!F9-'Valuation Output'!D9</f>
        <v>0.19804470490100456</v>
      </c>
      <c r="F9" s="9">
        <f>'Valuation Output'!D9+'Scenario Engine'!H9</f>
        <v>4.1345223782074667</v>
      </c>
      <c r="G9" s="9">
        <f>SUM('Scenario Engine'!I9,'Valuation Output'!F9)</f>
        <v>60.855554378207465</v>
      </c>
      <c r="H9" s="9">
        <f>'Valuation Output'!G9*'Scenario Engine'!E9</f>
        <v>22695.948812212249</v>
      </c>
      <c r="I9" s="10">
        <f>'Valuation Output'!J9/'Valuation Output'!K9</f>
        <v>0.18219100000000005</v>
      </c>
      <c r="J9" s="9">
        <f>'Valuation Output'!K9-'Valuation Output'!H9</f>
        <v>5056.1899050337706</v>
      </c>
      <c r="K9" s="9">
        <f>'Valuation Output'!G9*Assumptions!F6</f>
        <v>27752.13871724602</v>
      </c>
      <c r="L9" s="9">
        <f>'Scenario Engine'!G9*'Scenario Engine'!E9</f>
        <v>208.09284800000003</v>
      </c>
      <c r="M9" s="9">
        <f>SUM('Scenario Engine'!J9,'Valuation Output'!L9)</f>
        <v>1661.092848</v>
      </c>
      <c r="N9" s="9">
        <f>'Valuation Output'!F9*'Scenario Engine'!E9</f>
        <v>1541.9612756390559</v>
      </c>
      <c r="O9" s="9">
        <f>-'Valuation Output'!F9*'Scenario Engine'!E9*Assumptions!F11</f>
        <v>-35.943117335146397</v>
      </c>
      <c r="P9" s="9">
        <f>SUM('Valuation Output'!N9,'Valuation Output'!O9,'Scenario Engine'!K9)</f>
        <v>1505.5421113039095</v>
      </c>
      <c r="Q9" s="10">
        <f>'Valuation Output'!F9/'Valuation Output'!G9</f>
        <v>6.7939934496563395E-2</v>
      </c>
      <c r="R9" s="9">
        <f>'Valuation Output'!K9</f>
        <v>27752.13871724602</v>
      </c>
      <c r="S9" s="9">
        <f>-'Valuation Output'!P9</f>
        <v>-1505.5421113039095</v>
      </c>
      <c r="T9" s="9">
        <f>SUM('Valuation Output'!R9,'Valuation Output'!S9,'Scenario Engine'!L9:'Scenario Engine'!Q9)</f>
        <v>25278.585632942111</v>
      </c>
      <c r="U9" s="9">
        <f>'Valuation Output'!H9</f>
        <v>22695.948812212249</v>
      </c>
      <c r="V9" s="9">
        <f>'Valuation Output'!U9/Assumptions!J16</f>
        <v>80.110820638101302</v>
      </c>
      <c r="W9" s="9">
        <f>'Valuation Output'!R9/Assumptions!J16</f>
        <v>97.957861356504154</v>
      </c>
      <c r="X9" s="9">
        <f>'Valuation Output'!T9/Assumptions!J15</f>
        <v>36.623237199387255</v>
      </c>
      <c r="Y9" s="9">
        <f>'Valuation Output'!T9/Assumptions!J14</f>
        <v>4.2739383979169263</v>
      </c>
      <c r="Z9" s="9">
        <f>Assumptions!J16/'Valuation Output'!G9</f>
        <v>4.6553993287004376</v>
      </c>
      <c r="AA9" s="9">
        <f>'Valuation Output'!Z9-Assumptions!J12</f>
        <v>-0.48522967129956207</v>
      </c>
      <c r="AB9" s="10">
        <f>'Valuation Output'!AA9/Assumptions!J12</f>
        <v>-9.4391108811696406E-2</v>
      </c>
      <c r="AC9" s="10">
        <f>Assumptions!J16/'Valuation Output'!H9</f>
        <v>1.2482708228860566E-2</v>
      </c>
      <c r="AD9" s="9">
        <f>'Valuation Output'!U9+SUM('Valuation Output'!S9,'Scenario Engine'!L9:'Scenario Engine'!Q9)</f>
        <v>20222.395727908341</v>
      </c>
      <c r="AE9" s="9">
        <f>'Valuation Output'!AD9/Assumptions!J15</f>
        <v>29.297904805161561</v>
      </c>
      <c r="AF9" s="9">
        <f>'Valuation Output'!AD9/Assumptions!J14</f>
        <v>3.4190707840373502</v>
      </c>
    </row>
    <row r="10" spans="2:32" ht="18" customHeight="1" x14ac:dyDescent="0.3">
      <c r="B10" s="7" t="s">
        <v>46</v>
      </c>
      <c r="D10" s="9">
        <f>'Scenario Engine'!F10*Assumptions!F13</f>
        <v>3.4848802603943785</v>
      </c>
      <c r="E10" s="9">
        <f>'Scenario Engine'!F10-'Valuation Output'!D10</f>
        <v>0.1866340889186282</v>
      </c>
      <c r="F10" s="9">
        <f>'Valuation Output'!D10+'Scenario Engine'!H10</f>
        <v>3.8963062282132017</v>
      </c>
      <c r="G10" s="9">
        <f>SUM('Scenario Engine'!I10,'Valuation Output'!F10)</f>
        <v>60.6173382282132</v>
      </c>
      <c r="H10" s="9">
        <f>'Valuation Output'!G10*'Scenario Engine'!E10</f>
        <v>23989.281823745085</v>
      </c>
      <c r="I10" s="10">
        <f>'Valuation Output'!J10/'Valuation Output'!K10</f>
        <v>0.13219100000000014</v>
      </c>
      <c r="J10" s="9">
        <f>'Valuation Output'!K10-'Valuation Output'!H10</f>
        <v>3654.2224770228131</v>
      </c>
      <c r="K10" s="9">
        <f>'Valuation Output'!G10*Assumptions!F6</f>
        <v>27643.504300767898</v>
      </c>
      <c r="L10" s="9">
        <f>'Scenario Engine'!G10*'Scenario Engine'!E10</f>
        <v>208.09284799999998</v>
      </c>
      <c r="M10" s="9">
        <f>SUM('Scenario Engine'!J10,'Valuation Output'!L10)</f>
        <v>1661.092848</v>
      </c>
      <c r="N10" s="9">
        <f>'Valuation Output'!F10*'Scenario Engine'!E10</f>
        <v>1541.9612756390559</v>
      </c>
      <c r="O10" s="9">
        <f>-'Valuation Output'!F10*'Scenario Engine'!E10*Assumptions!F11</f>
        <v>-35.943117335146397</v>
      </c>
      <c r="P10" s="9">
        <f>SUM('Valuation Output'!N10,'Valuation Output'!O10,'Scenario Engine'!K10)</f>
        <v>1505.5421113039095</v>
      </c>
      <c r="Q10" s="10">
        <f>'Valuation Output'!F10/'Valuation Output'!G10</f>
        <v>6.4277092035026698E-2</v>
      </c>
      <c r="R10" s="9">
        <f>'Valuation Output'!K10</f>
        <v>27643.504300767898</v>
      </c>
      <c r="S10" s="9">
        <f>-'Valuation Output'!P10</f>
        <v>-1505.5421113039095</v>
      </c>
      <c r="T10" s="9">
        <f>SUM('Valuation Output'!R10,'Valuation Output'!S10,'Scenario Engine'!L10:'Scenario Engine'!Q10)</f>
        <v>25319.685807463989</v>
      </c>
      <c r="U10" s="9">
        <f>'Valuation Output'!H10</f>
        <v>23989.281823745085</v>
      </c>
      <c r="V10" s="9">
        <f>'Valuation Output'!U10/Assumptions!J16</f>
        <v>84.675951171727277</v>
      </c>
      <c r="W10" s="9">
        <f>'Valuation Output'!R10/Assumptions!J16</f>
        <v>97.574410004652293</v>
      </c>
      <c r="X10" s="9">
        <f>'Valuation Output'!T10/Assumptions!J15</f>
        <v>36.682782518192177</v>
      </c>
      <c r="Y10" s="9">
        <f>'Valuation Output'!T10/Assumptions!J14</f>
        <v>4.2808873473795588</v>
      </c>
      <c r="Z10" s="9">
        <f>Assumptions!J16/'Valuation Output'!G10</f>
        <v>4.6736942808904161</v>
      </c>
      <c r="AA10" s="9">
        <f>'Valuation Output'!Z10-Assumptions!J12</f>
        <v>-0.46693471910958362</v>
      </c>
      <c r="AB10" s="10">
        <f>'Valuation Output'!AA10/Assumptions!J12</f>
        <v>-9.0832215106280506E-2</v>
      </c>
      <c r="AC10" s="10">
        <f>Assumptions!J16/'Valuation Output'!H10</f>
        <v>1.1809728573015345E-2</v>
      </c>
      <c r="AD10" s="9">
        <f>'Valuation Output'!U10+SUM('Valuation Output'!S10,'Scenario Engine'!L10:'Scenario Engine'!Q10)</f>
        <v>21665.463330441176</v>
      </c>
      <c r="AE10" s="9">
        <f>'Valuation Output'!AD10/Assumptions!J15</f>
        <v>31.388599588078499</v>
      </c>
      <c r="AF10" s="9">
        <f>'Valuation Output'!AD10/Assumptions!J14</f>
        <v>3.6630552429311911</v>
      </c>
    </row>
    <row r="11" spans="2:32" ht="18" customHeight="1" x14ac:dyDescent="0.3">
      <c r="B11" s="7" t="s">
        <v>47</v>
      </c>
      <c r="D11" s="9">
        <f>'Scenario Engine'!F11*Assumptions!F13</f>
        <v>3.2950324674225087</v>
      </c>
      <c r="E11" s="9">
        <f>'Scenario Engine'!F11-'Valuation Output'!D11</f>
        <v>0.17646671809754055</v>
      </c>
      <c r="F11" s="9">
        <f>'Valuation Output'!D11+'Scenario Engine'!H11</f>
        <v>3.6840449500925252</v>
      </c>
      <c r="G11" s="9">
        <f>SUM('Scenario Engine'!I11,'Valuation Output'!F11)</f>
        <v>60.405076950092528</v>
      </c>
      <c r="H11" s="9">
        <f>'Valuation Output'!G11*'Scenario Engine'!E11</f>
        <v>25282.614835277927</v>
      </c>
      <c r="I11" s="10">
        <f>'Valuation Output'!J11/'Valuation Output'!K11</f>
        <v>8.2191000000000083E-2</v>
      </c>
      <c r="J11" s="9">
        <f>'Valuation Output'!K11-'Valuation Output'!H11</f>
        <v>2264.0913261106944</v>
      </c>
      <c r="K11" s="9">
        <f>'Valuation Output'!G11*Assumptions!F6</f>
        <v>27546.706161388622</v>
      </c>
      <c r="L11" s="9">
        <f>'Scenario Engine'!G11*'Scenario Engine'!E11</f>
        <v>208.092848</v>
      </c>
      <c r="M11" s="9">
        <f>SUM('Scenario Engine'!J11,'Valuation Output'!L11)</f>
        <v>1661.092848</v>
      </c>
      <c r="N11" s="9">
        <f>'Valuation Output'!F11*'Scenario Engine'!E11</f>
        <v>1541.9612756390559</v>
      </c>
      <c r="O11" s="9">
        <f>-'Valuation Output'!F11*'Scenario Engine'!E11*Assumptions!F11</f>
        <v>-35.943117335146397</v>
      </c>
      <c r="P11" s="9">
        <f>SUM('Valuation Output'!N11,'Valuation Output'!O11,'Scenario Engine'!K11)</f>
        <v>1505.5421113039095</v>
      </c>
      <c r="Q11" s="10">
        <f>'Valuation Output'!F11/'Valuation Output'!G11</f>
        <v>6.0988995231912903E-2</v>
      </c>
      <c r="R11" s="9">
        <f>'Valuation Output'!K11</f>
        <v>27546.706161388622</v>
      </c>
      <c r="S11" s="9">
        <f>-'Valuation Output'!P11</f>
        <v>-1505.5421113039095</v>
      </c>
      <c r="T11" s="9">
        <f>SUM('Valuation Output'!R11,'Valuation Output'!S11,'Scenario Engine'!L11:'Scenario Engine'!Q11)</f>
        <v>25098.564055084713</v>
      </c>
      <c r="U11" s="9">
        <f>'Valuation Output'!H11</f>
        <v>25282.614835277927</v>
      </c>
      <c r="V11" s="9">
        <f>'Valuation Output'!U11/Assumptions!J16</f>
        <v>89.241081705353281</v>
      </c>
      <c r="W11" s="9">
        <f>'Valuation Output'!R11/Assumptions!J16</f>
        <v>97.232737645145448</v>
      </c>
      <c r="X11" s="9">
        <f>'Valuation Output'!T11/Assumptions!J15</f>
        <v>36.362424626935109</v>
      </c>
      <c r="Y11" s="9">
        <f>'Valuation Output'!T11/Assumptions!J14</f>
        <v>4.2435015235905533</v>
      </c>
      <c r="Z11" s="9">
        <f>Assumptions!J16/'Valuation Output'!G11</f>
        <v>4.6901174752922161</v>
      </c>
      <c r="AA11" s="9">
        <f>'Valuation Output'!Z11-Assumptions!J12</f>
        <v>-0.45051152470778355</v>
      </c>
      <c r="AB11" s="10">
        <f>'Valuation Output'!AA11/Assumptions!J12</f>
        <v>-8.7637432055062442E-2</v>
      </c>
      <c r="AC11" s="10">
        <f>Assumptions!J16/'Valuation Output'!H11</f>
        <v>1.1205601510991245E-2</v>
      </c>
      <c r="AD11" s="9">
        <f>'Valuation Output'!U11+SUM('Valuation Output'!S11,'Scenario Engine'!L11:'Scenario Engine'!Q11)</f>
        <v>22834.472728974019</v>
      </c>
      <c r="AE11" s="9">
        <f>'Valuation Output'!AD11/Assumptions!J15</f>
        <v>33.082242939508298</v>
      </c>
      <c r="AF11" s="9">
        <f>'Valuation Output'!AD11/Assumptions!J14</f>
        <v>3.8607037280348959</v>
      </c>
    </row>
    <row r="12" spans="2:32" ht="18" customHeight="1" x14ac:dyDescent="0.3">
      <c r="B12" s="7" t="s">
        <v>48</v>
      </c>
      <c r="D12" s="9">
        <f>'Scenario Engine'!F12*Assumptions!F13</f>
        <v>3.12480092031856</v>
      </c>
      <c r="E12" s="9">
        <f>'Scenario Engine'!F12-'Valuation Output'!D12</f>
        <v>0.16734990279113537</v>
      </c>
      <c r="F12" s="9">
        <f>'Valuation Output'!D12+'Scenario Engine'!H12</f>
        <v>3.4937158174799681</v>
      </c>
      <c r="G12" s="9">
        <f>SUM('Scenario Engine'!I12,'Valuation Output'!F12)</f>
        <v>60.214747817479967</v>
      </c>
      <c r="H12" s="9">
        <f>'Valuation Output'!G12*'Scenario Engine'!E12</f>
        <v>26575.947846810763</v>
      </c>
      <c r="I12" s="10">
        <f>'Valuation Output'!J12/'Valuation Output'!K12</f>
        <v>3.2191000000000164E-2</v>
      </c>
      <c r="J12" s="9">
        <f>'Valuation Output'!K12-'Valuation Output'!H12</f>
        <v>883.96195647766217</v>
      </c>
      <c r="K12" s="9">
        <f>'Valuation Output'!G12*Assumptions!F6</f>
        <v>27459.909803288425</v>
      </c>
      <c r="L12" s="9">
        <f>'Scenario Engine'!G12*'Scenario Engine'!E12</f>
        <v>208.092848</v>
      </c>
      <c r="M12" s="9">
        <f>SUM('Scenario Engine'!J12,'Valuation Output'!L12)</f>
        <v>1661.092848</v>
      </c>
      <c r="N12" s="9">
        <f>'Valuation Output'!F12*'Scenario Engine'!E12</f>
        <v>1541.9612756390559</v>
      </c>
      <c r="O12" s="9">
        <f>-'Valuation Output'!F12*'Scenario Engine'!E12*Assumptions!F11</f>
        <v>-35.943117335146397</v>
      </c>
      <c r="P12" s="9">
        <f>SUM('Valuation Output'!N12,'Valuation Output'!O12,'Scenario Engine'!K12)</f>
        <v>1505.5421113039095</v>
      </c>
      <c r="Q12" s="10">
        <f>'Valuation Output'!F12/'Valuation Output'!G12</f>
        <v>5.8020932481025259E-2</v>
      </c>
      <c r="R12" s="9">
        <f>'Valuation Output'!K12</f>
        <v>27459.909803288425</v>
      </c>
      <c r="S12" s="9">
        <f>-'Valuation Output'!P12</f>
        <v>-1505.5421113039095</v>
      </c>
      <c r="T12" s="9">
        <f>SUM('Valuation Output'!R12,'Valuation Output'!S12,'Scenario Engine'!L12:'Scenario Engine'!Q12)</f>
        <v>25438.257512984517</v>
      </c>
      <c r="U12" s="9">
        <f>'Valuation Output'!H12</f>
        <v>26575.947846810763</v>
      </c>
      <c r="V12" s="9">
        <f>'Valuation Output'!U12/Assumptions!J16</f>
        <v>93.806212238979271</v>
      </c>
      <c r="W12" s="9">
        <f>'Valuation Output'!R12/Assumptions!J16</f>
        <v>96.926368982908073</v>
      </c>
      <c r="X12" s="9">
        <f>'Valuation Output'!T12/Assumptions!J15</f>
        <v>36.854567433672386</v>
      </c>
      <c r="Y12" s="9">
        <f>'Valuation Output'!T12/Assumptions!J14</f>
        <v>4.3009346780526121</v>
      </c>
      <c r="Z12" s="9">
        <f>Assumptions!J16/'Valuation Output'!G12</f>
        <v>4.7049421822498738</v>
      </c>
      <c r="AA12" s="9">
        <f>'Valuation Output'!Z12-Assumptions!J12</f>
        <v>-0.43568681775012585</v>
      </c>
      <c r="AB12" s="10">
        <f>'Valuation Output'!AA12/Assumptions!J12</f>
        <v>-8.4753600726705985E-2</v>
      </c>
      <c r="AC12" s="10">
        <f>Assumptions!J16/'Valuation Output'!H12</f>
        <v>1.0660274795579799E-2</v>
      </c>
      <c r="AD12" s="9">
        <f>'Valuation Output'!U12+SUM('Valuation Output'!S12,'Scenario Engine'!L12:'Scenario Engine'!Q12)</f>
        <v>24554.295556506855</v>
      </c>
      <c r="AE12" s="9">
        <f>'Valuation Output'!AD12/Assumptions!J15</f>
        <v>35.573896557643316</v>
      </c>
      <c r="AF12" s="9">
        <f>'Valuation Output'!AD12/Assumptions!J14</f>
        <v>4.1514801554402272</v>
      </c>
    </row>
  </sheetData>
  <mergeCells count="1">
    <mergeCell ref="B2:A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Assumptions</vt:lpstr>
      <vt:lpstr>Scenario Engine</vt:lpstr>
      <vt:lpstr>Valuation Output</vt:lpstr>
    </vt:vector>
  </TitlesOfParts>
  <Company>shortcut.ai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Scenario Financing Analysis</dc:title>
  <dc:creator>shortcut.ai</dc:creator>
  <dc:description>shortcut.ai</dc:description>
  <cp:lastModifiedBy>shortcut.ai</cp:lastModifiedBy>
  <dcterms:created xsi:type="dcterms:W3CDTF">2026-07-16T23:05:47Z</dcterms:created>
  <dcterms:modified xsi:type="dcterms:W3CDTF">2026-08-17T20:25:32Z</dcterms:modified>
</cp:coreProperties>
</file>