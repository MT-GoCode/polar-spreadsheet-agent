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6475B946-A2BC-4752-805F-B7A19EE155D6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Drivers" sheetId="1" r:id="rId1"/>
    <sheet name="P&amp;L" sheetId="2" r:id="rId2"/>
    <sheet name="BS-CF-WC" sheetId="3" r:id="rId3"/>
    <sheet name="Debt-Capex-Amort" sheetId="4" r:id="rId4"/>
    <sheet name="Equity-Shares" sheetId="5" r:id="rId5"/>
    <sheet name="Valu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9" i="6" l="1"/>
  <c r="V99" i="6"/>
  <c r="U99" i="6"/>
  <c r="G99" i="6"/>
  <c r="F99" i="6"/>
  <c r="T98" i="6"/>
  <c r="R98" i="6"/>
  <c r="Q98" i="6"/>
  <c r="G98" i="6"/>
  <c r="F98" i="6"/>
  <c r="V97" i="6"/>
  <c r="N97" i="6"/>
  <c r="L97" i="6"/>
  <c r="G97" i="6"/>
  <c r="F97" i="6"/>
  <c r="U96" i="6"/>
  <c r="T96" i="6"/>
  <c r="R96" i="6"/>
  <c r="G96" i="6"/>
  <c r="F96" i="6"/>
  <c r="Y94" i="6"/>
  <c r="W94" i="6"/>
  <c r="V94" i="6"/>
  <c r="U94" i="6"/>
  <c r="T94" i="6"/>
  <c r="R94" i="6"/>
  <c r="Q94" i="6"/>
  <c r="P94" i="6"/>
  <c r="N94" i="6"/>
  <c r="L94" i="6"/>
  <c r="J94" i="6"/>
  <c r="I94" i="6"/>
  <c r="Y93" i="6"/>
  <c r="W93" i="6"/>
  <c r="V93" i="6"/>
  <c r="U93" i="6"/>
  <c r="T93" i="6"/>
  <c r="R93" i="6"/>
  <c r="Q93" i="6"/>
  <c r="P93" i="6"/>
  <c r="N93" i="6"/>
  <c r="L93" i="6"/>
  <c r="J93" i="6"/>
  <c r="I93" i="6"/>
  <c r="Y92" i="6"/>
  <c r="W92" i="6"/>
  <c r="V92" i="6"/>
  <c r="U92" i="6"/>
  <c r="T92" i="6"/>
  <c r="R92" i="6"/>
  <c r="Q92" i="6"/>
  <c r="P92" i="6"/>
  <c r="N92" i="6"/>
  <c r="L92" i="6"/>
  <c r="J92" i="6"/>
  <c r="I92" i="6"/>
  <c r="Y91" i="6"/>
  <c r="W91" i="6"/>
  <c r="V91" i="6"/>
  <c r="U91" i="6"/>
  <c r="T91" i="6"/>
  <c r="R91" i="6"/>
  <c r="Q91" i="6"/>
  <c r="P91" i="6"/>
  <c r="N91" i="6"/>
  <c r="L91" i="6"/>
  <c r="J91" i="6"/>
  <c r="I91" i="6"/>
  <c r="Y90" i="6"/>
  <c r="W90" i="6"/>
  <c r="V90" i="6"/>
  <c r="U90" i="6"/>
  <c r="T90" i="6"/>
  <c r="R90" i="6"/>
  <c r="Q90" i="6"/>
  <c r="P90" i="6"/>
  <c r="N90" i="6"/>
  <c r="L90" i="6"/>
  <c r="J90" i="6"/>
  <c r="I90" i="6"/>
  <c r="Y89" i="6"/>
  <c r="W89" i="6"/>
  <c r="V89" i="6"/>
  <c r="U89" i="6"/>
  <c r="T89" i="6"/>
  <c r="R89" i="6"/>
  <c r="Q89" i="6"/>
  <c r="P89" i="6"/>
  <c r="N89" i="6"/>
  <c r="L89" i="6"/>
  <c r="J89" i="6"/>
  <c r="I89" i="6"/>
  <c r="Y88" i="6"/>
  <c r="W88" i="6"/>
  <c r="V88" i="6"/>
  <c r="U88" i="6"/>
  <c r="T88" i="6"/>
  <c r="R88" i="6"/>
  <c r="Q88" i="6"/>
  <c r="P88" i="6"/>
  <c r="N88" i="6"/>
  <c r="L88" i="6"/>
  <c r="J88" i="6"/>
  <c r="I88" i="6"/>
  <c r="Y87" i="6"/>
  <c r="W87" i="6"/>
  <c r="V87" i="6"/>
  <c r="U87" i="6"/>
  <c r="T87" i="6"/>
  <c r="R87" i="6"/>
  <c r="Q87" i="6"/>
  <c r="P87" i="6"/>
  <c r="N87" i="6"/>
  <c r="L87" i="6"/>
  <c r="J87" i="6"/>
  <c r="I87" i="6"/>
  <c r="Y86" i="6"/>
  <c r="W86" i="6"/>
  <c r="V86" i="6"/>
  <c r="U86" i="6"/>
  <c r="T86" i="6"/>
  <c r="R86" i="6"/>
  <c r="Q86" i="6"/>
  <c r="P86" i="6"/>
  <c r="N86" i="6"/>
  <c r="L86" i="6"/>
  <c r="J86" i="6"/>
  <c r="I86" i="6"/>
  <c r="Y85" i="6"/>
  <c r="W85" i="6"/>
  <c r="V85" i="6"/>
  <c r="U85" i="6"/>
  <c r="T85" i="6"/>
  <c r="R85" i="6"/>
  <c r="Q85" i="6"/>
  <c r="P85" i="6"/>
  <c r="N85" i="6"/>
  <c r="L85" i="6"/>
  <c r="J85" i="6"/>
  <c r="I85" i="6"/>
  <c r="Y84" i="6"/>
  <c r="W84" i="6"/>
  <c r="V84" i="6"/>
  <c r="U84" i="6"/>
  <c r="T84" i="6"/>
  <c r="R84" i="6"/>
  <c r="Q84" i="6"/>
  <c r="P84" i="6"/>
  <c r="N84" i="6"/>
  <c r="L84" i="6"/>
  <c r="J84" i="6"/>
  <c r="I84" i="6"/>
  <c r="Y83" i="6"/>
  <c r="W83" i="6"/>
  <c r="V83" i="6"/>
  <c r="U83" i="6"/>
  <c r="T83" i="6"/>
  <c r="R83" i="6"/>
  <c r="Q83" i="6"/>
  <c r="P83" i="6"/>
  <c r="N83" i="6"/>
  <c r="L83" i="6"/>
  <c r="J83" i="6"/>
  <c r="I83" i="6"/>
  <c r="Y82" i="6"/>
  <c r="W82" i="6"/>
  <c r="V82" i="6"/>
  <c r="U82" i="6"/>
  <c r="T82" i="6"/>
  <c r="R82" i="6"/>
  <c r="Q82" i="6"/>
  <c r="P82" i="6"/>
  <c r="N82" i="6"/>
  <c r="L82" i="6"/>
  <c r="J82" i="6"/>
  <c r="I82" i="6"/>
  <c r="Y81" i="6"/>
  <c r="W81" i="6"/>
  <c r="V81" i="6"/>
  <c r="U81" i="6"/>
  <c r="T81" i="6"/>
  <c r="R81" i="6"/>
  <c r="Q81" i="6"/>
  <c r="P81" i="6"/>
  <c r="N81" i="6"/>
  <c r="L81" i="6"/>
  <c r="J81" i="6"/>
  <c r="I81" i="6"/>
  <c r="Y80" i="6"/>
  <c r="W80" i="6"/>
  <c r="V80" i="6"/>
  <c r="U80" i="6"/>
  <c r="T80" i="6"/>
  <c r="R80" i="6"/>
  <c r="Q80" i="6"/>
  <c r="P80" i="6"/>
  <c r="N80" i="6"/>
  <c r="L80" i="6"/>
  <c r="J80" i="6"/>
  <c r="I80" i="6"/>
  <c r="Y79" i="6"/>
  <c r="W79" i="6"/>
  <c r="V79" i="6"/>
  <c r="U79" i="6"/>
  <c r="T79" i="6"/>
  <c r="R79" i="6"/>
  <c r="Q79" i="6"/>
  <c r="P79" i="6"/>
  <c r="N79" i="6"/>
  <c r="L79" i="6"/>
  <c r="J79" i="6"/>
  <c r="I79" i="6"/>
  <c r="Y78" i="6"/>
  <c r="W78" i="6"/>
  <c r="V78" i="6"/>
  <c r="U78" i="6"/>
  <c r="T78" i="6"/>
  <c r="R78" i="6"/>
  <c r="Q78" i="6"/>
  <c r="P78" i="6"/>
  <c r="N78" i="6"/>
  <c r="J78" i="6"/>
  <c r="I78" i="6"/>
  <c r="Y77" i="6"/>
  <c r="W77" i="6"/>
  <c r="V77" i="6"/>
  <c r="U77" i="6"/>
  <c r="T77" i="6"/>
  <c r="R77" i="6"/>
  <c r="Q77" i="6"/>
  <c r="P77" i="6"/>
  <c r="N77" i="6"/>
  <c r="L77" i="6"/>
  <c r="J77" i="6"/>
  <c r="I77" i="6"/>
  <c r="Y76" i="6"/>
  <c r="W76" i="6"/>
  <c r="V76" i="6"/>
  <c r="U76" i="6"/>
  <c r="T76" i="6"/>
  <c r="R76" i="6"/>
  <c r="Q76" i="6"/>
  <c r="P76" i="6"/>
  <c r="N76" i="6"/>
  <c r="L76" i="6"/>
  <c r="J76" i="6"/>
  <c r="I76" i="6"/>
  <c r="Y75" i="6"/>
  <c r="W75" i="6"/>
  <c r="V75" i="6"/>
  <c r="U75" i="6"/>
  <c r="T75" i="6"/>
  <c r="R75" i="6"/>
  <c r="Q75" i="6"/>
  <c r="P75" i="6"/>
  <c r="N75" i="6"/>
  <c r="L75" i="6"/>
  <c r="J75" i="6"/>
  <c r="I75" i="6"/>
  <c r="Y74" i="6"/>
  <c r="W74" i="6"/>
  <c r="V74" i="6"/>
  <c r="U74" i="6"/>
  <c r="T74" i="6"/>
  <c r="R74" i="6"/>
  <c r="Q74" i="6"/>
  <c r="P74" i="6"/>
  <c r="N74" i="6"/>
  <c r="L74" i="6"/>
  <c r="J74" i="6"/>
  <c r="I74" i="6"/>
  <c r="Y73" i="6"/>
  <c r="W73" i="6"/>
  <c r="V73" i="6"/>
  <c r="U73" i="6"/>
  <c r="T73" i="6"/>
  <c r="R73" i="6"/>
  <c r="Q73" i="6"/>
  <c r="P73" i="6"/>
  <c r="N73" i="6"/>
  <c r="L73" i="6"/>
  <c r="J73" i="6"/>
  <c r="I73" i="6"/>
  <c r="Y72" i="6"/>
  <c r="W72" i="6"/>
  <c r="V72" i="6"/>
  <c r="U72" i="6"/>
  <c r="T72" i="6"/>
  <c r="R72" i="6"/>
  <c r="Q72" i="6"/>
  <c r="P72" i="6"/>
  <c r="N72" i="6"/>
  <c r="L72" i="6"/>
  <c r="J72" i="6"/>
  <c r="I72" i="6"/>
  <c r="Y71" i="6"/>
  <c r="W71" i="6"/>
  <c r="V71" i="6"/>
  <c r="U71" i="6"/>
  <c r="T71" i="6"/>
  <c r="R71" i="6"/>
  <c r="Q71" i="6"/>
  <c r="P71" i="6"/>
  <c r="N71" i="6"/>
  <c r="L71" i="6"/>
  <c r="J71" i="6"/>
  <c r="I71" i="6"/>
  <c r="Y70" i="6"/>
  <c r="W70" i="6"/>
  <c r="V70" i="6"/>
  <c r="U70" i="6"/>
  <c r="T70" i="6"/>
  <c r="R70" i="6"/>
  <c r="Q70" i="6"/>
  <c r="P70" i="6"/>
  <c r="N70" i="6"/>
  <c r="L70" i="6"/>
  <c r="J70" i="6"/>
  <c r="I70" i="6"/>
  <c r="Y69" i="6"/>
  <c r="W69" i="6"/>
  <c r="V69" i="6"/>
  <c r="U69" i="6"/>
  <c r="T69" i="6"/>
  <c r="R69" i="6"/>
  <c r="Q69" i="6"/>
  <c r="P69" i="6"/>
  <c r="N69" i="6"/>
  <c r="L69" i="6"/>
  <c r="J69" i="6"/>
  <c r="I69" i="6"/>
  <c r="Y68" i="6"/>
  <c r="W68" i="6"/>
  <c r="V68" i="6"/>
  <c r="U68" i="6"/>
  <c r="T68" i="6"/>
  <c r="R68" i="6"/>
  <c r="Q68" i="6"/>
  <c r="P68" i="6"/>
  <c r="N68" i="6"/>
  <c r="L68" i="6"/>
  <c r="J68" i="6"/>
  <c r="I68" i="6"/>
  <c r="Y67" i="6"/>
  <c r="W67" i="6"/>
  <c r="V67" i="6"/>
  <c r="U67" i="6"/>
  <c r="T67" i="6"/>
  <c r="R67" i="6"/>
  <c r="Q67" i="6"/>
  <c r="P67" i="6"/>
  <c r="N67" i="6"/>
  <c r="L67" i="6"/>
  <c r="J67" i="6"/>
  <c r="I67" i="6"/>
  <c r="Y66" i="6"/>
  <c r="W66" i="6"/>
  <c r="V66" i="6"/>
  <c r="U66" i="6"/>
  <c r="T66" i="6"/>
  <c r="R66" i="6"/>
  <c r="Q66" i="6"/>
  <c r="P66" i="6"/>
  <c r="N66" i="6"/>
  <c r="L66" i="6"/>
  <c r="J66" i="6"/>
  <c r="I66" i="6"/>
  <c r="Y65" i="6"/>
  <c r="V65" i="6"/>
  <c r="U65" i="6"/>
  <c r="T65" i="6"/>
  <c r="R65" i="6"/>
  <c r="Q65" i="6"/>
  <c r="P65" i="6"/>
  <c r="J65" i="6"/>
  <c r="I65" i="6"/>
  <c r="Y64" i="6"/>
  <c r="W64" i="6"/>
  <c r="V64" i="6"/>
  <c r="U64" i="6"/>
  <c r="T64" i="6"/>
  <c r="R64" i="6"/>
  <c r="Q64" i="6"/>
  <c r="P64" i="6"/>
  <c r="N64" i="6"/>
  <c r="L64" i="6"/>
  <c r="J64" i="6"/>
  <c r="I64" i="6"/>
  <c r="Y63" i="6"/>
  <c r="W63" i="6"/>
  <c r="V63" i="6"/>
  <c r="U63" i="6"/>
  <c r="T63" i="6"/>
  <c r="R63" i="6"/>
  <c r="Q63" i="6"/>
  <c r="P63" i="6"/>
  <c r="N63" i="6"/>
  <c r="L63" i="6"/>
  <c r="J63" i="6"/>
  <c r="I63" i="6"/>
  <c r="Y62" i="6"/>
  <c r="W62" i="6"/>
  <c r="V62" i="6"/>
  <c r="U62" i="6"/>
  <c r="T62" i="6"/>
  <c r="R62" i="6"/>
  <c r="Q62" i="6"/>
  <c r="P62" i="6"/>
  <c r="N62" i="6"/>
  <c r="L62" i="6"/>
  <c r="J62" i="6"/>
  <c r="I62" i="6"/>
  <c r="Y61" i="6"/>
  <c r="W61" i="6"/>
  <c r="V61" i="6"/>
  <c r="U61" i="6"/>
  <c r="T61" i="6"/>
  <c r="R61" i="6"/>
  <c r="Q61" i="6"/>
  <c r="P61" i="6"/>
  <c r="N61" i="6"/>
  <c r="L61" i="6"/>
  <c r="J61" i="6"/>
  <c r="I61" i="6"/>
  <c r="Y60" i="6"/>
  <c r="W60" i="6"/>
  <c r="V60" i="6"/>
  <c r="U60" i="6"/>
  <c r="T60" i="6"/>
  <c r="R60" i="6"/>
  <c r="Q60" i="6"/>
  <c r="P60" i="6"/>
  <c r="N60" i="6"/>
  <c r="L60" i="6"/>
  <c r="J60" i="6"/>
  <c r="I60" i="6"/>
  <c r="Y59" i="6"/>
  <c r="Y97" i="6" s="1"/>
  <c r="W59" i="6"/>
  <c r="V59" i="6"/>
  <c r="U59" i="6"/>
  <c r="T59" i="6"/>
  <c r="R59" i="6"/>
  <c r="Q59" i="6"/>
  <c r="P59" i="6"/>
  <c r="P98" i="6" s="1"/>
  <c r="N59" i="6"/>
  <c r="N99" i="6" s="1"/>
  <c r="L59" i="6"/>
  <c r="J59" i="6"/>
  <c r="I59" i="6"/>
  <c r="Y58" i="6"/>
  <c r="Y98" i="6" s="1"/>
  <c r="W58" i="6"/>
  <c r="W97" i="6" s="1"/>
  <c r="V58" i="6"/>
  <c r="V98" i="6" s="1"/>
  <c r="U58" i="6"/>
  <c r="T58" i="6"/>
  <c r="R58" i="6"/>
  <c r="Q58" i="6"/>
  <c r="Q96" i="6" s="1"/>
  <c r="P58" i="6"/>
  <c r="P99" i="6" s="1"/>
  <c r="N58" i="6"/>
  <c r="N98" i="6" s="1"/>
  <c r="L58" i="6"/>
  <c r="J58" i="6"/>
  <c r="I58" i="6"/>
  <c r="I98" i="6" s="1"/>
  <c r="C37" i="6"/>
  <c r="C27" i="6"/>
  <c r="D22" i="6"/>
  <c r="C22" i="6"/>
  <c r="J13" i="6"/>
  <c r="I13" i="6"/>
  <c r="H13" i="6"/>
  <c r="G13" i="6"/>
  <c r="F13" i="6"/>
  <c r="E13" i="6"/>
  <c r="E12" i="6"/>
  <c r="D12" i="6"/>
  <c r="C12" i="6"/>
  <c r="E11" i="6"/>
  <c r="D11" i="6"/>
  <c r="C11" i="6"/>
  <c r="D5" i="6"/>
  <c r="D27" i="6" s="1"/>
  <c r="D78" i="5"/>
  <c r="B28" i="5" s="1"/>
  <c r="B39" i="5" s="1"/>
  <c r="D67" i="5"/>
  <c r="C67" i="5"/>
  <c r="B43" i="5"/>
  <c r="B42" i="5"/>
  <c r="B41" i="5"/>
  <c r="B44" i="5" s="1"/>
  <c r="B40" i="5"/>
  <c r="B33" i="5"/>
  <c r="B29" i="5"/>
  <c r="B24" i="5"/>
  <c r="B37" i="5" s="1"/>
  <c r="B23" i="5"/>
  <c r="B34" i="5" s="1"/>
  <c r="B36" i="5" s="1"/>
  <c r="J7" i="5"/>
  <c r="I7" i="5"/>
  <c r="I6" i="4" s="1"/>
  <c r="H7" i="5"/>
  <c r="G7" i="5"/>
  <c r="F7" i="5"/>
  <c r="J6" i="5"/>
  <c r="I6" i="5"/>
  <c r="H6" i="5"/>
  <c r="G6" i="5"/>
  <c r="F6" i="5"/>
  <c r="E148" i="4"/>
  <c r="F144" i="4"/>
  <c r="E141" i="4"/>
  <c r="D141" i="4"/>
  <c r="C139" i="4"/>
  <c r="B126" i="4"/>
  <c r="B127" i="4" s="1"/>
  <c r="B125" i="4"/>
  <c r="C120" i="4"/>
  <c r="C119" i="4"/>
  <c r="B113" i="4"/>
  <c r="B114" i="4" s="1"/>
  <c r="B112" i="4"/>
  <c r="G108" i="4"/>
  <c r="F108" i="4"/>
  <c r="C107" i="4"/>
  <c r="C106" i="4"/>
  <c r="B101" i="4"/>
  <c r="B99" i="4"/>
  <c r="B100" i="4" s="1"/>
  <c r="J95" i="4"/>
  <c r="I95" i="4"/>
  <c r="H95" i="4"/>
  <c r="C94" i="4"/>
  <c r="C93" i="4"/>
  <c r="B88" i="4"/>
  <c r="B87" i="4"/>
  <c r="B86" i="4"/>
  <c r="C81" i="4"/>
  <c r="C80" i="4"/>
  <c r="F67" i="4"/>
  <c r="H63" i="4" s="1"/>
  <c r="E67" i="4"/>
  <c r="H64" i="4"/>
  <c r="H62" i="4"/>
  <c r="E58" i="4"/>
  <c r="F54" i="4"/>
  <c r="J52" i="4"/>
  <c r="I52" i="4"/>
  <c r="H52" i="4"/>
  <c r="G52" i="4"/>
  <c r="F52" i="4"/>
  <c r="E51" i="4"/>
  <c r="D51" i="4"/>
  <c r="D50" i="4"/>
  <c r="C49" i="4"/>
  <c r="I35" i="4"/>
  <c r="H35" i="4"/>
  <c r="J33" i="4"/>
  <c r="I33" i="4"/>
  <c r="H33" i="4"/>
  <c r="G33" i="4"/>
  <c r="G35" i="4" s="1"/>
  <c r="F33" i="4"/>
  <c r="F35" i="4" s="1"/>
  <c r="J29" i="4"/>
  <c r="J35" i="4" s="1"/>
  <c r="I29" i="4"/>
  <c r="H29" i="4"/>
  <c r="G29" i="4"/>
  <c r="F29" i="4"/>
  <c r="E23" i="4"/>
  <c r="G22" i="4"/>
  <c r="H22" i="4" s="1"/>
  <c r="H87" i="3" s="1"/>
  <c r="F20" i="4"/>
  <c r="F23" i="4" s="1"/>
  <c r="F31" i="3" s="1"/>
  <c r="F15" i="4"/>
  <c r="J11" i="4"/>
  <c r="I11" i="4"/>
  <c r="H11" i="4"/>
  <c r="G11" i="4"/>
  <c r="F11" i="4"/>
  <c r="I9" i="4"/>
  <c r="I12" i="4" s="1"/>
  <c r="I16" i="4" s="1"/>
  <c r="I86" i="3" s="1"/>
  <c r="I93" i="3" s="1"/>
  <c r="F9" i="4"/>
  <c r="F12" i="4" s="1"/>
  <c r="F16" i="4" s="1"/>
  <c r="F86" i="3" s="1"/>
  <c r="F93" i="3" s="1"/>
  <c r="J8" i="4"/>
  <c r="I8" i="4"/>
  <c r="H8" i="4"/>
  <c r="G8" i="4"/>
  <c r="F8" i="4"/>
  <c r="J6" i="4"/>
  <c r="J9" i="4" s="1"/>
  <c r="J12" i="4" s="1"/>
  <c r="J16" i="4" s="1"/>
  <c r="J86" i="3" s="1"/>
  <c r="J93" i="3" s="1"/>
  <c r="H6" i="4"/>
  <c r="H9" i="4" s="1"/>
  <c r="H12" i="4" s="1"/>
  <c r="H16" i="4" s="1"/>
  <c r="H86" i="3" s="1"/>
  <c r="H93" i="3" s="1"/>
  <c r="G6" i="4"/>
  <c r="F6" i="4"/>
  <c r="J5" i="4"/>
  <c r="I5" i="4"/>
  <c r="H5" i="4"/>
  <c r="G5" i="4"/>
  <c r="F5" i="4"/>
  <c r="D148" i="3"/>
  <c r="J147" i="3"/>
  <c r="I147" i="3"/>
  <c r="H147" i="3"/>
  <c r="G147" i="3"/>
  <c r="F147" i="3"/>
  <c r="E147" i="3"/>
  <c r="E148" i="3" s="1"/>
  <c r="D147" i="3"/>
  <c r="J145" i="3"/>
  <c r="I145" i="3"/>
  <c r="H145" i="3"/>
  <c r="G145" i="3"/>
  <c r="F145" i="3"/>
  <c r="E145" i="3"/>
  <c r="D145" i="3"/>
  <c r="D143" i="3"/>
  <c r="J142" i="3"/>
  <c r="I142" i="3"/>
  <c r="H142" i="3"/>
  <c r="G142" i="3"/>
  <c r="F142" i="3"/>
  <c r="E142" i="3"/>
  <c r="E143" i="3" s="1"/>
  <c r="D142" i="3"/>
  <c r="E140" i="3"/>
  <c r="D140" i="3"/>
  <c r="J139" i="3"/>
  <c r="I139" i="3"/>
  <c r="H139" i="3"/>
  <c r="G139" i="3"/>
  <c r="F139" i="3"/>
  <c r="E139" i="3"/>
  <c r="D139" i="3"/>
  <c r="E137" i="3"/>
  <c r="D137" i="3"/>
  <c r="E135" i="3"/>
  <c r="J134" i="3"/>
  <c r="I134" i="3"/>
  <c r="H134" i="3"/>
  <c r="G134" i="3"/>
  <c r="F134" i="3"/>
  <c r="E134" i="3"/>
  <c r="D134" i="3"/>
  <c r="D135" i="3" s="1"/>
  <c r="D132" i="3"/>
  <c r="J131" i="3"/>
  <c r="I131" i="3"/>
  <c r="H131" i="3"/>
  <c r="G131" i="3"/>
  <c r="F131" i="3"/>
  <c r="E131" i="3"/>
  <c r="E132" i="3" s="1"/>
  <c r="D131" i="3"/>
  <c r="E129" i="3"/>
  <c r="D129" i="3"/>
  <c r="J98" i="3"/>
  <c r="I98" i="3"/>
  <c r="H98" i="3"/>
  <c r="G98" i="3"/>
  <c r="C96" i="3"/>
  <c r="C99" i="3" s="1"/>
  <c r="E93" i="3"/>
  <c r="D93" i="3"/>
  <c r="D96" i="3" s="1"/>
  <c r="D99" i="3" s="1"/>
  <c r="E98" i="3" s="1"/>
  <c r="C93" i="3"/>
  <c r="F90" i="3"/>
  <c r="J87" i="3"/>
  <c r="I87" i="3"/>
  <c r="G87" i="3"/>
  <c r="F87" i="3"/>
  <c r="D83" i="3"/>
  <c r="D84" i="3" s="1"/>
  <c r="E81" i="3"/>
  <c r="D81" i="3"/>
  <c r="C81" i="3"/>
  <c r="E73" i="3"/>
  <c r="D73" i="3"/>
  <c r="C73" i="3"/>
  <c r="J72" i="3"/>
  <c r="I72" i="3"/>
  <c r="H72" i="3"/>
  <c r="G72" i="3"/>
  <c r="F72" i="3"/>
  <c r="J71" i="3"/>
  <c r="I71" i="3"/>
  <c r="H71" i="3"/>
  <c r="G71" i="3"/>
  <c r="F71" i="3"/>
  <c r="J70" i="3"/>
  <c r="I70" i="3"/>
  <c r="H70" i="3"/>
  <c r="G70" i="3"/>
  <c r="F70" i="3"/>
  <c r="J69" i="3"/>
  <c r="I69" i="3"/>
  <c r="H69" i="3"/>
  <c r="G69" i="3"/>
  <c r="F69" i="3"/>
  <c r="J68" i="3"/>
  <c r="I68" i="3"/>
  <c r="H68" i="3"/>
  <c r="G68" i="3"/>
  <c r="F68" i="3"/>
  <c r="J67" i="3"/>
  <c r="I67" i="3"/>
  <c r="H67" i="3"/>
  <c r="G67" i="3"/>
  <c r="F67" i="3"/>
  <c r="J66" i="3"/>
  <c r="I66" i="3"/>
  <c r="H66" i="3"/>
  <c r="G66" i="3"/>
  <c r="F66" i="3"/>
  <c r="J57" i="3"/>
  <c r="I57" i="3"/>
  <c r="D47" i="3"/>
  <c r="D49" i="3" s="1"/>
  <c r="E46" i="3"/>
  <c r="E8" i="5" s="1"/>
  <c r="F5" i="5" s="1"/>
  <c r="D46" i="3"/>
  <c r="F35" i="3"/>
  <c r="G35" i="3" s="1"/>
  <c r="H35" i="3" s="1"/>
  <c r="I35" i="3" s="1"/>
  <c r="J35" i="3" s="1"/>
  <c r="F34" i="3"/>
  <c r="G34" i="3" s="1"/>
  <c r="H34" i="3" s="1"/>
  <c r="I34" i="3" s="1"/>
  <c r="J34" i="3" s="1"/>
  <c r="H33" i="3"/>
  <c r="I33" i="3" s="1"/>
  <c r="J33" i="3" s="1"/>
  <c r="G33" i="3"/>
  <c r="F33" i="3"/>
  <c r="G32" i="3"/>
  <c r="H32" i="3" s="1"/>
  <c r="I32" i="3" s="1"/>
  <c r="J32" i="3" s="1"/>
  <c r="F32" i="3"/>
  <c r="E29" i="3"/>
  <c r="E37" i="3" s="1"/>
  <c r="D29" i="3"/>
  <c r="D37" i="3" s="1"/>
  <c r="J27" i="3"/>
  <c r="I27" i="3"/>
  <c r="H27" i="3"/>
  <c r="G27" i="3"/>
  <c r="F27" i="3"/>
  <c r="J26" i="3"/>
  <c r="I26" i="3"/>
  <c r="H26" i="3"/>
  <c r="G26" i="3"/>
  <c r="F26" i="3"/>
  <c r="J25" i="3"/>
  <c r="I25" i="3"/>
  <c r="H25" i="3"/>
  <c r="G25" i="3"/>
  <c r="F25" i="3"/>
  <c r="J24" i="3"/>
  <c r="I24" i="3"/>
  <c r="H24" i="3"/>
  <c r="G24" i="3"/>
  <c r="F24" i="3"/>
  <c r="J23" i="3"/>
  <c r="I23" i="3"/>
  <c r="H23" i="3"/>
  <c r="G23" i="3"/>
  <c r="F23" i="3"/>
  <c r="E19" i="3"/>
  <c r="H17" i="3"/>
  <c r="I17" i="3" s="1"/>
  <c r="J17" i="3" s="1"/>
  <c r="G17" i="3"/>
  <c r="F17" i="3"/>
  <c r="H16" i="3"/>
  <c r="I16" i="3" s="1"/>
  <c r="J16" i="3" s="1"/>
  <c r="G16" i="3"/>
  <c r="F16" i="3"/>
  <c r="E12" i="3"/>
  <c r="D12" i="3"/>
  <c r="D19" i="3" s="1"/>
  <c r="J11" i="3"/>
  <c r="I11" i="3"/>
  <c r="H11" i="3"/>
  <c r="H12" i="3" s="1"/>
  <c r="G11" i="3"/>
  <c r="F11" i="3"/>
  <c r="J10" i="3"/>
  <c r="I10" i="3"/>
  <c r="H10" i="3"/>
  <c r="G10" i="3"/>
  <c r="F10" i="3"/>
  <c r="J9" i="3"/>
  <c r="J12" i="3" s="1"/>
  <c r="I9" i="3"/>
  <c r="I12" i="3" s="1"/>
  <c r="H9" i="3"/>
  <c r="G9" i="3"/>
  <c r="F9" i="3"/>
  <c r="J8" i="3"/>
  <c r="I8" i="3"/>
  <c r="H8" i="3"/>
  <c r="G8" i="3"/>
  <c r="G12" i="3" s="1"/>
  <c r="F8" i="3"/>
  <c r="C4" i="3"/>
  <c r="C4" i="4" s="1"/>
  <c r="J126" i="2"/>
  <c r="I126" i="2"/>
  <c r="H126" i="2"/>
  <c r="G126" i="2"/>
  <c r="F126" i="2"/>
  <c r="C124" i="2"/>
  <c r="C127" i="2" s="1"/>
  <c r="C130" i="2" s="1"/>
  <c r="J111" i="2"/>
  <c r="I111" i="2"/>
  <c r="H111" i="2"/>
  <c r="G111" i="2"/>
  <c r="F111" i="2"/>
  <c r="J109" i="2"/>
  <c r="I109" i="2"/>
  <c r="H109" i="2"/>
  <c r="G109" i="2"/>
  <c r="F109" i="2"/>
  <c r="J107" i="2"/>
  <c r="I107" i="2"/>
  <c r="H107" i="2"/>
  <c r="G107" i="2"/>
  <c r="F107" i="2"/>
  <c r="J105" i="2"/>
  <c r="I105" i="2"/>
  <c r="H105" i="2"/>
  <c r="G105" i="2"/>
  <c r="F105" i="2"/>
  <c r="J102" i="2"/>
  <c r="I102" i="2"/>
  <c r="H102" i="2"/>
  <c r="G102" i="2"/>
  <c r="F102" i="2"/>
  <c r="D101" i="2"/>
  <c r="D102" i="2" s="1"/>
  <c r="C101" i="2"/>
  <c r="J95" i="2"/>
  <c r="I95" i="2"/>
  <c r="H95" i="2"/>
  <c r="H57" i="3" s="1"/>
  <c r="G95" i="2"/>
  <c r="G57" i="3" s="1"/>
  <c r="F95" i="2"/>
  <c r="F57" i="3" s="1"/>
  <c r="C92" i="2"/>
  <c r="C95" i="2" s="1"/>
  <c r="E91" i="2"/>
  <c r="D91" i="2"/>
  <c r="C90" i="2"/>
  <c r="E88" i="2"/>
  <c r="D88" i="2"/>
  <c r="E87" i="2"/>
  <c r="D87" i="2"/>
  <c r="E86" i="2"/>
  <c r="D86" i="2"/>
  <c r="C81" i="2"/>
  <c r="D78" i="2"/>
  <c r="D80" i="2" s="1"/>
  <c r="C78" i="2"/>
  <c r="C80" i="2" s="1"/>
  <c r="E77" i="2"/>
  <c r="E81" i="2" s="1"/>
  <c r="D77" i="2"/>
  <c r="D81" i="2" s="1"/>
  <c r="E76" i="2"/>
  <c r="D76" i="2"/>
  <c r="E75" i="2"/>
  <c r="E78" i="2" s="1"/>
  <c r="E80" i="2" s="1"/>
  <c r="D75" i="2"/>
  <c r="D72" i="2"/>
  <c r="C72" i="2"/>
  <c r="C84" i="2" s="1"/>
  <c r="C7" i="6" s="1"/>
  <c r="C10" i="6" s="1"/>
  <c r="C14" i="6" s="1"/>
  <c r="E71" i="2"/>
  <c r="D71" i="2"/>
  <c r="E70" i="2"/>
  <c r="E140" i="4" s="1"/>
  <c r="D70" i="2"/>
  <c r="D68" i="2"/>
  <c r="C54" i="2"/>
  <c r="C55" i="2" s="1"/>
  <c r="F52" i="2"/>
  <c r="E52" i="2"/>
  <c r="J51" i="2"/>
  <c r="I51" i="2"/>
  <c r="I54" i="2" s="1"/>
  <c r="I55" i="2" s="1"/>
  <c r="H51" i="2"/>
  <c r="H54" i="2" s="1"/>
  <c r="H55" i="2" s="1"/>
  <c r="G51" i="2"/>
  <c r="G52" i="2" s="1"/>
  <c r="F51" i="2"/>
  <c r="F54" i="2" s="1"/>
  <c r="E51" i="2"/>
  <c r="D51" i="2"/>
  <c r="C51" i="2"/>
  <c r="C52" i="2" s="1"/>
  <c r="G50" i="2"/>
  <c r="F50" i="2"/>
  <c r="J49" i="2"/>
  <c r="J50" i="2" s="1"/>
  <c r="I49" i="2"/>
  <c r="I50" i="2" s="1"/>
  <c r="H49" i="2"/>
  <c r="G49" i="2"/>
  <c r="F49" i="2"/>
  <c r="E49" i="2"/>
  <c r="E50" i="2" s="1"/>
  <c r="D49" i="2"/>
  <c r="C49" i="2"/>
  <c r="C50" i="2" s="1"/>
  <c r="E48" i="2"/>
  <c r="J47" i="2"/>
  <c r="J48" i="2" s="1"/>
  <c r="I47" i="2"/>
  <c r="I48" i="2" s="1"/>
  <c r="H47" i="2"/>
  <c r="G47" i="2"/>
  <c r="F47" i="2"/>
  <c r="F48" i="2" s="1"/>
  <c r="E47" i="2"/>
  <c r="D47" i="2"/>
  <c r="C47" i="2"/>
  <c r="C48" i="2" s="1"/>
  <c r="J46" i="2"/>
  <c r="J45" i="2"/>
  <c r="I45" i="2"/>
  <c r="I46" i="2" s="1"/>
  <c r="H45" i="2"/>
  <c r="H46" i="2" s="1"/>
  <c r="G45" i="2"/>
  <c r="G46" i="2" s="1"/>
  <c r="F45" i="2"/>
  <c r="F46" i="2" s="1"/>
  <c r="E45" i="2"/>
  <c r="E46" i="2" s="1"/>
  <c r="D45" i="2"/>
  <c r="C45" i="2"/>
  <c r="C46" i="2" s="1"/>
  <c r="G43" i="2"/>
  <c r="F43" i="2"/>
  <c r="J42" i="2"/>
  <c r="J52" i="2" s="1"/>
  <c r="I42" i="2"/>
  <c r="H42" i="2"/>
  <c r="G42" i="2"/>
  <c r="F42" i="2"/>
  <c r="E42" i="2"/>
  <c r="D42" i="2"/>
  <c r="D46" i="2" s="1"/>
  <c r="C42" i="2"/>
  <c r="C57" i="2" s="1"/>
  <c r="C58" i="2" s="1"/>
  <c r="J18" i="2"/>
  <c r="F18" i="2"/>
  <c r="F24" i="2" s="1"/>
  <c r="F27" i="2" s="1"/>
  <c r="F30" i="2" s="1"/>
  <c r="F32" i="2" s="1"/>
  <c r="J16" i="2"/>
  <c r="I16" i="2"/>
  <c r="H16" i="2"/>
  <c r="G16" i="2"/>
  <c r="F16" i="2"/>
  <c r="E16" i="2"/>
  <c r="D16" i="2"/>
  <c r="C16" i="2"/>
  <c r="J10" i="2"/>
  <c r="I10" i="2"/>
  <c r="I18" i="2" s="1"/>
  <c r="H10" i="2"/>
  <c r="H18" i="2" s="1"/>
  <c r="G10" i="2"/>
  <c r="G18" i="2" s="1"/>
  <c r="G24" i="2" s="1"/>
  <c r="F10" i="2"/>
  <c r="E10" i="2"/>
  <c r="E18" i="2" s="1"/>
  <c r="E24" i="2" s="1"/>
  <c r="E27" i="2" s="1"/>
  <c r="E30" i="2" s="1"/>
  <c r="D10" i="2"/>
  <c r="D18" i="2" s="1"/>
  <c r="D24" i="2" s="1"/>
  <c r="D27" i="2" s="1"/>
  <c r="D30" i="2" s="1"/>
  <c r="D32" i="2" s="1"/>
  <c r="C10" i="2"/>
  <c r="C18" i="2" s="1"/>
  <c r="C24" i="2" s="1"/>
  <c r="C27" i="2" s="1"/>
  <c r="C30" i="2" s="1"/>
  <c r="C32" i="2" s="1"/>
  <c r="E11" i="1"/>
  <c r="D11" i="1"/>
  <c r="E10" i="1"/>
  <c r="D10" i="1"/>
  <c r="E9" i="1"/>
  <c r="D9" i="1"/>
  <c r="E8" i="1"/>
  <c r="D8" i="1"/>
  <c r="E6" i="1"/>
  <c r="F6" i="1" s="1"/>
  <c r="G6" i="1" s="1"/>
  <c r="H6" i="1" s="1"/>
  <c r="I6" i="1" s="1"/>
  <c r="J6" i="1" s="1"/>
  <c r="D6" i="1"/>
  <c r="H24" i="2" l="1"/>
  <c r="G57" i="2"/>
  <c r="G58" i="2" s="1"/>
  <c r="G60" i="2"/>
  <c r="G27" i="2"/>
  <c r="G30" i="2" s="1"/>
  <c r="G32" i="2" s="1"/>
  <c r="I24" i="2"/>
  <c r="F55" i="2"/>
  <c r="F57" i="2"/>
  <c r="F58" i="2" s="1"/>
  <c r="G20" i="4"/>
  <c r="G23" i="4" s="1"/>
  <c r="J43" i="2"/>
  <c r="D48" i="2"/>
  <c r="F8" i="5"/>
  <c r="E96" i="3"/>
  <c r="E99" i="3" s="1"/>
  <c r="F98" i="3" s="1"/>
  <c r="G54" i="2"/>
  <c r="G55" i="2" s="1"/>
  <c r="D140" i="4"/>
  <c r="D124" i="2"/>
  <c r="D127" i="2" s="1"/>
  <c r="G121" i="4"/>
  <c r="J121" i="4"/>
  <c r="I121" i="4"/>
  <c r="H121" i="4"/>
  <c r="F121" i="4"/>
  <c r="G48" i="2"/>
  <c r="D54" i="2"/>
  <c r="D55" i="2" s="1"/>
  <c r="J54" i="2"/>
  <c r="J55" i="2" s="1"/>
  <c r="E124" i="2"/>
  <c r="E127" i="2" s="1"/>
  <c r="E101" i="2"/>
  <c r="D84" i="2"/>
  <c r="F17" i="4"/>
  <c r="E54" i="2"/>
  <c r="H57" i="2"/>
  <c r="H58" i="2" s="1"/>
  <c r="H50" i="2"/>
  <c r="H43" i="2"/>
  <c r="E72" i="2"/>
  <c r="E84" i="2" s="1"/>
  <c r="J24" i="2"/>
  <c r="I57" i="2"/>
  <c r="I58" i="2" s="1"/>
  <c r="I43" i="2"/>
  <c r="H48" i="2"/>
  <c r="J57" i="2"/>
  <c r="J58" i="2" s="1"/>
  <c r="E83" i="3"/>
  <c r="E84" i="3" s="1"/>
  <c r="F82" i="4"/>
  <c r="J82" i="4"/>
  <c r="I82" i="4"/>
  <c r="H82" i="4"/>
  <c r="G82" i="4"/>
  <c r="D57" i="2"/>
  <c r="D58" i="2" s="1"/>
  <c r="D50" i="2"/>
  <c r="D4" i="3"/>
  <c r="E68" i="2"/>
  <c r="E108" i="6"/>
  <c r="D108" i="6"/>
  <c r="C108" i="6"/>
  <c r="F12" i="3"/>
  <c r="E50" i="4"/>
  <c r="I108" i="4"/>
  <c r="J108" i="4"/>
  <c r="H108" i="4"/>
  <c r="B46" i="5"/>
  <c r="H65" i="4"/>
  <c r="V96" i="6"/>
  <c r="H52" i="2"/>
  <c r="C4" i="5"/>
  <c r="C55" i="3"/>
  <c r="E47" i="3"/>
  <c r="E49" i="3" s="1"/>
  <c r="G9" i="4"/>
  <c r="G12" i="4" s="1"/>
  <c r="G16" i="4" s="1"/>
  <c r="G86" i="3" s="1"/>
  <c r="G93" i="3" s="1"/>
  <c r="I52" i="2"/>
  <c r="H66" i="4"/>
  <c r="T99" i="6"/>
  <c r="T97" i="6"/>
  <c r="D52" i="4"/>
  <c r="D12" i="1" s="1"/>
  <c r="E142" i="4"/>
  <c r="U98" i="6"/>
  <c r="U97" i="6"/>
  <c r="I99" i="6"/>
  <c r="G95" i="4"/>
  <c r="J98" i="6"/>
  <c r="J96" i="6"/>
  <c r="I97" i="6"/>
  <c r="J99" i="6"/>
  <c r="D52" i="2"/>
  <c r="F95" i="4"/>
  <c r="L99" i="6"/>
  <c r="L98" i="6"/>
  <c r="L96" i="6"/>
  <c r="W99" i="6"/>
  <c r="W98" i="6"/>
  <c r="W96" i="6"/>
  <c r="R99" i="6"/>
  <c r="I96" i="6"/>
  <c r="J97" i="6"/>
  <c r="D103" i="6" s="1"/>
  <c r="P97" i="6"/>
  <c r="P96" i="6"/>
  <c r="Y96" i="6"/>
  <c r="Q97" i="6"/>
  <c r="Q99" i="6"/>
  <c r="N96" i="6"/>
  <c r="E5" i="6"/>
  <c r="R97" i="6"/>
  <c r="D55" i="3" l="1"/>
  <c r="D4" i="4"/>
  <c r="D49" i="4"/>
  <c r="D4" i="5"/>
  <c r="D105" i="3"/>
  <c r="D139" i="4"/>
  <c r="E7" i="6"/>
  <c r="E10" i="6" s="1"/>
  <c r="E14" i="6" s="1"/>
  <c r="E90" i="2"/>
  <c r="E92" i="2" s="1"/>
  <c r="E95" i="2" s="1"/>
  <c r="D90" i="2"/>
  <c r="D92" i="2" s="1"/>
  <c r="D95" i="2" s="1"/>
  <c r="D7" i="6"/>
  <c r="D10" i="6" s="1"/>
  <c r="D14" i="6" s="1"/>
  <c r="D130" i="2"/>
  <c r="D128" i="2"/>
  <c r="I60" i="2"/>
  <c r="I27" i="2"/>
  <c r="I30" i="2" s="1"/>
  <c r="F46" i="3"/>
  <c r="G5" i="5"/>
  <c r="F101" i="2"/>
  <c r="E102" i="2"/>
  <c r="E7" i="1" s="1"/>
  <c r="D142" i="4"/>
  <c r="J60" i="2"/>
  <c r="J27" i="2"/>
  <c r="J30" i="2" s="1"/>
  <c r="E128" i="2"/>
  <c r="E130" i="2"/>
  <c r="G31" i="3"/>
  <c r="H20" i="4"/>
  <c r="H23" i="4" s="1"/>
  <c r="E52" i="4"/>
  <c r="E12" i="1" s="1"/>
  <c r="H60" i="2"/>
  <c r="H27" i="2"/>
  <c r="H30" i="2" s="1"/>
  <c r="B49" i="5"/>
  <c r="B50" i="5" s="1"/>
  <c r="B47" i="5"/>
  <c r="B52" i="5" s="1"/>
  <c r="B54" i="5" s="1"/>
  <c r="C39" i="6" s="1"/>
  <c r="G15" i="4"/>
  <c r="G17" i="4" s="1"/>
  <c r="F28" i="3"/>
  <c r="E4" i="3"/>
  <c r="F68" i="2"/>
  <c r="F5" i="6"/>
  <c r="E27" i="6"/>
  <c r="E22" i="6"/>
  <c r="E55" i="2"/>
  <c r="E57" i="2"/>
  <c r="E58" i="2" s="1"/>
  <c r="G8" i="5" l="1"/>
  <c r="H15" i="4"/>
  <c r="H17" i="4" s="1"/>
  <c r="G28" i="3"/>
  <c r="G29" i="3" s="1"/>
  <c r="G37" i="3" s="1"/>
  <c r="F22" i="6"/>
  <c r="G5" i="6"/>
  <c r="F27" i="6"/>
  <c r="F47" i="3"/>
  <c r="H31" i="3"/>
  <c r="I20" i="4"/>
  <c r="I23" i="4" s="1"/>
  <c r="F29" i="3"/>
  <c r="F37" i="3" s="1"/>
  <c r="D107" i="6"/>
  <c r="E107" i="6"/>
  <c r="C107" i="6"/>
  <c r="F4" i="3"/>
  <c r="G68" i="2"/>
  <c r="E4" i="5"/>
  <c r="E55" i="3"/>
  <c r="E4" i="4"/>
  <c r="E49" i="4"/>
  <c r="E139" i="4"/>
  <c r="E105" i="3"/>
  <c r="F104" i="2"/>
  <c r="F71" i="2" s="1"/>
  <c r="F106" i="2"/>
  <c r="F75" i="2" s="1"/>
  <c r="G101" i="2"/>
  <c r="F70" i="2"/>
  <c r="F108" i="2"/>
  <c r="F76" i="2" s="1"/>
  <c r="F110" i="2"/>
  <c r="F113" i="2" l="1"/>
  <c r="F77" i="2"/>
  <c r="G4" i="3"/>
  <c r="H68" i="2"/>
  <c r="F139" i="4"/>
  <c r="F49" i="4"/>
  <c r="F55" i="3"/>
  <c r="F4" i="4"/>
  <c r="F105" i="3"/>
  <c r="F4" i="5"/>
  <c r="F78" i="2"/>
  <c r="F80" i="2" s="1"/>
  <c r="G27" i="6"/>
  <c r="G22" i="6"/>
  <c r="H5" i="6"/>
  <c r="F81" i="2"/>
  <c r="I15" i="4"/>
  <c r="I17" i="4" s="1"/>
  <c r="H28" i="3"/>
  <c r="H29" i="3" s="1"/>
  <c r="H37" i="3" s="1"/>
  <c r="E104" i="6"/>
  <c r="E105" i="6" s="1"/>
  <c r="E109" i="6" s="1"/>
  <c r="E111" i="6" s="1"/>
  <c r="D104" i="6"/>
  <c r="D105" i="6" s="1"/>
  <c r="D109" i="6" s="1"/>
  <c r="D111" i="6" s="1"/>
  <c r="C104" i="6"/>
  <c r="C105" i="6" s="1"/>
  <c r="C109" i="6" s="1"/>
  <c r="C111" i="6" s="1"/>
  <c r="F124" i="2"/>
  <c r="F127" i="2" s="1"/>
  <c r="F128" i="2" s="1"/>
  <c r="F72" i="2"/>
  <c r="F84" i="2" s="1"/>
  <c r="F50" i="4"/>
  <c r="F140" i="4"/>
  <c r="I31" i="3"/>
  <c r="J20" i="4"/>
  <c r="J23" i="4" s="1"/>
  <c r="J31" i="3" s="1"/>
  <c r="G104" i="2"/>
  <c r="G71" i="2" s="1"/>
  <c r="H101" i="2"/>
  <c r="G70" i="2"/>
  <c r="G106" i="2"/>
  <c r="G75" i="2" s="1"/>
  <c r="G108" i="2"/>
  <c r="G76" i="2" s="1"/>
  <c r="G110" i="2"/>
  <c r="H5" i="5"/>
  <c r="G46" i="3"/>
  <c r="G47" i="3" s="1"/>
  <c r="F51" i="4" l="1"/>
  <c r="F7" i="6"/>
  <c r="F90" i="2"/>
  <c r="G78" i="2"/>
  <c r="G80" i="2" s="1"/>
  <c r="G140" i="4"/>
  <c r="G141" i="4" s="1"/>
  <c r="G50" i="4"/>
  <c r="G51" i="4" s="1"/>
  <c r="G124" i="2"/>
  <c r="G127" i="2" s="1"/>
  <c r="G128" i="2" s="1"/>
  <c r="G72" i="2"/>
  <c r="H4" i="3"/>
  <c r="I68" i="2"/>
  <c r="I5" i="6"/>
  <c r="H27" i="6"/>
  <c r="H22" i="6"/>
  <c r="H104" i="2"/>
  <c r="H71" i="2" s="1"/>
  <c r="I101" i="2"/>
  <c r="H70" i="2"/>
  <c r="H106" i="2"/>
  <c r="H75" i="2" s="1"/>
  <c r="H108" i="2"/>
  <c r="H76" i="2" s="1"/>
  <c r="H110" i="2"/>
  <c r="G4" i="4"/>
  <c r="G105" i="3"/>
  <c r="G49" i="4"/>
  <c r="G139" i="4"/>
  <c r="G4" i="5"/>
  <c r="G55" i="3"/>
  <c r="H8" i="5"/>
  <c r="G113" i="2"/>
  <c r="G77" i="2"/>
  <c r="F114" i="2"/>
  <c r="F116" i="2"/>
  <c r="F117" i="2" s="1"/>
  <c r="G81" i="2"/>
  <c r="F141" i="4"/>
  <c r="I28" i="3"/>
  <c r="I29" i="3" s="1"/>
  <c r="I37" i="3" s="1"/>
  <c r="J15" i="4"/>
  <c r="J17" i="4" s="1"/>
  <c r="J28" i="3" s="1"/>
  <c r="J29" i="3" s="1"/>
  <c r="J37" i="3" s="1"/>
  <c r="G55" i="4" l="1"/>
  <c r="G72" i="4"/>
  <c r="G76" i="4"/>
  <c r="G74" i="4"/>
  <c r="G78" i="3"/>
  <c r="G75" i="4"/>
  <c r="G73" i="4"/>
  <c r="H78" i="2"/>
  <c r="H80" i="2" s="1"/>
  <c r="I4" i="3"/>
  <c r="J68" i="2"/>
  <c r="J4" i="3" s="1"/>
  <c r="G80" i="3"/>
  <c r="G145" i="4"/>
  <c r="H113" i="2"/>
  <c r="H77" i="2"/>
  <c r="H81" i="2" s="1"/>
  <c r="F145" i="4"/>
  <c r="F148" i="4" s="1"/>
  <c r="F80" i="3"/>
  <c r="H124" i="2"/>
  <c r="H127" i="2" s="1"/>
  <c r="H128" i="2" s="1"/>
  <c r="H72" i="2"/>
  <c r="H50" i="4"/>
  <c r="H51" i="4" s="1"/>
  <c r="H140" i="4"/>
  <c r="H55" i="3"/>
  <c r="H139" i="4"/>
  <c r="H4" i="4"/>
  <c r="H49" i="4"/>
  <c r="H4" i="5"/>
  <c r="H105" i="3"/>
  <c r="F16" i="6"/>
  <c r="F10" i="6"/>
  <c r="G114" i="2"/>
  <c r="G116" i="2"/>
  <c r="G117" i="2" s="1"/>
  <c r="H46" i="3"/>
  <c r="H47" i="3" s="1"/>
  <c r="I5" i="5"/>
  <c r="I22" i="6"/>
  <c r="I27" i="6"/>
  <c r="J5" i="6"/>
  <c r="G84" i="2"/>
  <c r="J101" i="2"/>
  <c r="I70" i="2"/>
  <c r="I104" i="2"/>
  <c r="I71" i="2" s="1"/>
  <c r="I106" i="2"/>
  <c r="I75" i="2" s="1"/>
  <c r="I110" i="2"/>
  <c r="I108" i="2"/>
  <c r="I76" i="2" s="1"/>
  <c r="F74" i="4"/>
  <c r="F78" i="3"/>
  <c r="F72" i="4"/>
  <c r="F76" i="4"/>
  <c r="F55" i="4"/>
  <c r="F73" i="4"/>
  <c r="F75" i="4"/>
  <c r="I50" i="4" l="1"/>
  <c r="I51" i="4" s="1"/>
  <c r="I124" i="2"/>
  <c r="I127" i="2" s="1"/>
  <c r="I128" i="2" s="1"/>
  <c r="I140" i="4"/>
  <c r="I141" i="4" s="1"/>
  <c r="I72" i="2"/>
  <c r="H114" i="2"/>
  <c r="H116" i="2"/>
  <c r="H117" i="2" s="1"/>
  <c r="G81" i="3"/>
  <c r="G12" i="6"/>
  <c r="J22" i="6"/>
  <c r="J27" i="6"/>
  <c r="H72" i="4"/>
  <c r="H76" i="4"/>
  <c r="H74" i="4"/>
  <c r="H55" i="4"/>
  <c r="H78" i="3"/>
  <c r="H75" i="4"/>
  <c r="H73" i="4"/>
  <c r="J70" i="2"/>
  <c r="J104" i="2"/>
  <c r="J71" i="2" s="1"/>
  <c r="J110" i="2"/>
  <c r="J108" i="2"/>
  <c r="J76" i="2" s="1"/>
  <c r="J106" i="2"/>
  <c r="J75" i="2" s="1"/>
  <c r="F15" i="3"/>
  <c r="G144" i="4"/>
  <c r="G148" i="4" s="1"/>
  <c r="F12" i="6"/>
  <c r="F81" i="3"/>
  <c r="G90" i="2"/>
  <c r="G7" i="6"/>
  <c r="H141" i="4"/>
  <c r="H84" i="2"/>
  <c r="J105" i="3"/>
  <c r="J49" i="4"/>
  <c r="J4" i="5"/>
  <c r="J139" i="4"/>
  <c r="J4" i="4"/>
  <c r="J55" i="3"/>
  <c r="I113" i="2"/>
  <c r="I77" i="2"/>
  <c r="I78" i="2" s="1"/>
  <c r="I80" i="2" s="1"/>
  <c r="I8" i="5"/>
  <c r="I49" i="4"/>
  <c r="I4" i="5"/>
  <c r="I139" i="4"/>
  <c r="I105" i="3"/>
  <c r="I4" i="4"/>
  <c r="I55" i="3"/>
  <c r="H145" i="4" l="1"/>
  <c r="H80" i="3"/>
  <c r="I81" i="2"/>
  <c r="I84" i="2"/>
  <c r="J140" i="4"/>
  <c r="J124" i="2"/>
  <c r="J127" i="2" s="1"/>
  <c r="J128" i="2" s="1"/>
  <c r="J72" i="2"/>
  <c r="J50" i="4"/>
  <c r="J51" i="4" s="1"/>
  <c r="H90" i="2"/>
  <c r="H7" i="6"/>
  <c r="J5" i="5"/>
  <c r="I46" i="3"/>
  <c r="I47" i="3" s="1"/>
  <c r="G10" i="6"/>
  <c r="G16" i="6"/>
  <c r="H12" i="6"/>
  <c r="H81" i="3"/>
  <c r="I80" i="3"/>
  <c r="I145" i="4"/>
  <c r="J113" i="2"/>
  <c r="J77" i="2"/>
  <c r="J81" i="2" s="1"/>
  <c r="I114" i="2"/>
  <c r="I116" i="2"/>
  <c r="I117" i="2" s="1"/>
  <c r="G15" i="3"/>
  <c r="H144" i="4"/>
  <c r="H148" i="4" s="1"/>
  <c r="I75" i="4"/>
  <c r="C124" i="4" s="1" a="1"/>
  <c r="I55" i="4"/>
  <c r="I78" i="3"/>
  <c r="I73" i="4"/>
  <c r="C98" i="4" s="1" a="1"/>
  <c r="I72" i="4"/>
  <c r="C85" i="4" s="1" a="1"/>
  <c r="I76" i="4"/>
  <c r="I74" i="4"/>
  <c r="C111" i="4" s="1" a="1"/>
  <c r="C86" i="4" l="1"/>
  <c r="C88" i="4"/>
  <c r="C87" i="4"/>
  <c r="C85" i="4"/>
  <c r="J8" i="5"/>
  <c r="J46" i="3" s="1"/>
  <c r="J47" i="3" s="1"/>
  <c r="H16" i="6"/>
  <c r="H10" i="6"/>
  <c r="C98" i="4"/>
  <c r="C101" i="4"/>
  <c r="C100" i="4"/>
  <c r="C99" i="4"/>
  <c r="J141" i="4"/>
  <c r="I12" i="6"/>
  <c r="I81" i="3"/>
  <c r="C113" i="4"/>
  <c r="C112" i="4"/>
  <c r="C111" i="4"/>
  <c r="C114" i="4"/>
  <c r="C127" i="4"/>
  <c r="C124" i="4"/>
  <c r="C126" i="4"/>
  <c r="C125" i="4"/>
  <c r="J114" i="2"/>
  <c r="J116" i="2"/>
  <c r="J117" i="2" s="1"/>
  <c r="I7" i="6"/>
  <c r="I90" i="2"/>
  <c r="I144" i="4"/>
  <c r="I148" i="4" s="1"/>
  <c r="H15" i="3"/>
  <c r="J78" i="2"/>
  <c r="J80" i="2" s="1"/>
  <c r="J75" i="4"/>
  <c r="J73" i="4"/>
  <c r="J72" i="4"/>
  <c r="J76" i="4"/>
  <c r="J55" i="4"/>
  <c r="J74" i="4"/>
  <c r="J78" i="3"/>
  <c r="J84" i="2"/>
  <c r="J101" i="4" l="1"/>
  <c r="I101" i="4"/>
  <c r="J85" i="4"/>
  <c r="I85" i="4"/>
  <c r="H85" i="4"/>
  <c r="H90" i="4" s="1"/>
  <c r="G85" i="4"/>
  <c r="F85" i="4"/>
  <c r="F90" i="4" s="1"/>
  <c r="J124" i="4"/>
  <c r="I124" i="4"/>
  <c r="H124" i="4"/>
  <c r="G124" i="4"/>
  <c r="F124" i="4"/>
  <c r="F129" i="4" s="1"/>
  <c r="B14" i="5"/>
  <c r="J80" i="3"/>
  <c r="J145" i="4"/>
  <c r="J144" i="4"/>
  <c r="I15" i="3"/>
  <c r="G111" i="4"/>
  <c r="G116" i="4" s="1"/>
  <c r="I111" i="4"/>
  <c r="J111" i="4"/>
  <c r="H111" i="4"/>
  <c r="H116" i="4" s="1"/>
  <c r="F111" i="4"/>
  <c r="F116" i="4" s="1"/>
  <c r="J112" i="4"/>
  <c r="I112" i="4"/>
  <c r="H112" i="4"/>
  <c r="G112" i="4"/>
  <c r="I113" i="4"/>
  <c r="H113" i="4"/>
  <c r="J113" i="4"/>
  <c r="J87" i="4"/>
  <c r="I87" i="4"/>
  <c r="H87" i="4"/>
  <c r="J88" i="4"/>
  <c r="I88" i="4"/>
  <c r="I127" i="4"/>
  <c r="J127" i="4"/>
  <c r="J114" i="4"/>
  <c r="I114" i="4"/>
  <c r="J99" i="4"/>
  <c r="I99" i="4"/>
  <c r="H99" i="4"/>
  <c r="G99" i="4"/>
  <c r="I10" i="6"/>
  <c r="I16" i="6"/>
  <c r="H100" i="4"/>
  <c r="I100" i="4"/>
  <c r="J100" i="4"/>
  <c r="J90" i="2"/>
  <c r="J7" i="6"/>
  <c r="I98" i="4"/>
  <c r="F98" i="4"/>
  <c r="F103" i="4" s="1"/>
  <c r="G98" i="4"/>
  <c r="G103" i="4" s="1"/>
  <c r="H98" i="4"/>
  <c r="H103" i="4" s="1"/>
  <c r="J98" i="4"/>
  <c r="J103" i="4" s="1"/>
  <c r="H125" i="4"/>
  <c r="G125" i="4"/>
  <c r="J125" i="4"/>
  <c r="I125" i="4"/>
  <c r="J12" i="6"/>
  <c r="J81" i="3"/>
  <c r="J126" i="4"/>
  <c r="I126" i="4"/>
  <c r="H126" i="4"/>
  <c r="H86" i="4"/>
  <c r="J86" i="4"/>
  <c r="I86" i="4"/>
  <c r="G86" i="4"/>
  <c r="I103" i="4" l="1"/>
  <c r="I90" i="4"/>
  <c r="J129" i="4"/>
  <c r="G90" i="4"/>
  <c r="J116" i="4"/>
  <c r="J90" i="4"/>
  <c r="J148" i="4"/>
  <c r="J15" i="3" s="1"/>
  <c r="J16" i="6"/>
  <c r="J10" i="6"/>
  <c r="I116" i="4"/>
  <c r="F131" i="4"/>
  <c r="F56" i="4" s="1"/>
  <c r="G129" i="4"/>
  <c r="G131" i="4" s="1"/>
  <c r="G56" i="4" s="1"/>
  <c r="G59" i="3" s="1"/>
  <c r="H129" i="4"/>
  <c r="H131" i="4" s="1"/>
  <c r="H56" i="4" s="1"/>
  <c r="H59" i="3" s="1"/>
  <c r="I129" i="4"/>
  <c r="I131" i="4" s="1"/>
  <c r="I56" i="4" s="1"/>
  <c r="I59" i="3" s="1"/>
  <c r="I11" i="6" l="1"/>
  <c r="I14" i="6" s="1"/>
  <c r="I23" i="6" s="1"/>
  <c r="I73" i="3"/>
  <c r="I97" i="2"/>
  <c r="H11" i="6"/>
  <c r="H14" i="6" s="1"/>
  <c r="H23" i="6" s="1"/>
  <c r="H73" i="3"/>
  <c r="J40" i="2"/>
  <c r="H97" i="2"/>
  <c r="F59" i="3"/>
  <c r="F58" i="4"/>
  <c r="G11" i="6"/>
  <c r="G14" i="6" s="1"/>
  <c r="G23" i="6" s="1"/>
  <c r="G73" i="3"/>
  <c r="I40" i="2"/>
  <c r="G97" i="2"/>
  <c r="J131" i="4"/>
  <c r="J56" i="4" s="1"/>
  <c r="J59" i="3" s="1"/>
  <c r="B155" i="4"/>
  <c r="F11" i="6" l="1"/>
  <c r="F14" i="6" s="1"/>
  <c r="F23" i="6" s="1"/>
  <c r="H40" i="2"/>
  <c r="F73" i="3"/>
  <c r="F97" i="2"/>
  <c r="J11" i="6"/>
  <c r="J14" i="6" s="1"/>
  <c r="J73" i="3"/>
  <c r="J97" i="2"/>
  <c r="G54" i="4"/>
  <c r="F14" i="3"/>
  <c r="F19" i="3" s="1"/>
  <c r="F49" i="3" s="1"/>
  <c r="J23" i="6" l="1"/>
  <c r="J28" i="6"/>
  <c r="C29" i="6" s="1" a="1"/>
  <c r="C29" i="6" s="1"/>
  <c r="C35" i="6" s="1"/>
  <c r="G58" i="4"/>
  <c r="C24" i="6" a="1"/>
  <c r="C24" i="6" s="1"/>
  <c r="C34" i="6" s="1"/>
  <c r="D34" i="6" l="1"/>
  <c r="C36" i="6"/>
  <c r="C38" i="6" s="1"/>
  <c r="C40" i="6" s="1"/>
  <c r="C41" i="6" s="1"/>
  <c r="D45" i="6" s="1"/>
  <c r="D35" i="6"/>
  <c r="G14" i="3"/>
  <c r="G19" i="3" s="1"/>
  <c r="G49" i="3" s="1"/>
  <c r="H54" i="4"/>
  <c r="H58" i="4" l="1"/>
  <c r="H14" i="3" l="1"/>
  <c r="H19" i="3" s="1"/>
  <c r="H49" i="3" s="1"/>
  <c r="I54" i="4"/>
  <c r="I58" i="4" l="1"/>
  <c r="I14" i="3" l="1"/>
  <c r="I19" i="3" s="1"/>
  <c r="I49" i="3" s="1"/>
  <c r="J54" i="4"/>
  <c r="J58" i="4" l="1"/>
  <c r="J14" i="3" s="1"/>
  <c r="J19" i="3" s="1"/>
  <c r="J49" i="3" s="1"/>
  <c r="B134" i="4"/>
</calcChain>
</file>

<file path=xl/sharedStrings.xml><?xml version="1.0" encoding="utf-8"?>
<sst xmlns="http://schemas.openxmlformats.org/spreadsheetml/2006/main" count="549" uniqueCount="405">
  <si>
    <t>Projection Inputs</t>
  </si>
  <si>
    <t>Operating Model Assumptions</t>
  </si>
  <si>
    <t>Top-Line Growth (YoY %)</t>
  </si>
  <si>
    <t>Delivery Cost Ratio (% of Sales)</t>
  </si>
  <si>
    <t>Product Engineering (% of Sales)</t>
  </si>
  <si>
    <t>Commercial Spend (% of Sales)</t>
  </si>
  <si>
    <t>G&amp;A Load (% of Sales)</t>
  </si>
  <si>
    <t>Capital Spend (% of Sales)</t>
  </si>
  <si>
    <t>Quarterly Income Statement</t>
  </si>
  <si>
    <t>Period Ending</t>
  </si>
  <si>
    <t>Apr. 30,2012</t>
  </si>
  <si>
    <t>Jul. 31,2012</t>
  </si>
  <si>
    <t>Oct. 31,2012</t>
  </si>
  <si>
    <t>Jan. 31,2013</t>
  </si>
  <si>
    <t>Apr. 30,2013</t>
  </si>
  <si>
    <t>Jul. 31,2013</t>
  </si>
  <si>
    <t>Oct. 31,2013</t>
  </si>
  <si>
    <t>Jan. 31,2014</t>
  </si>
  <si>
    <t>(USD millions, except per-share figures)</t>
  </si>
  <si>
    <t>Total Revenue</t>
  </si>
  <si>
    <t>Cost of delivery</t>
  </si>
  <si>
    <t>Gross margin ($)</t>
  </si>
  <si>
    <t>Operating cost lines:</t>
  </si>
  <si>
    <t>Product engineering</t>
  </si>
  <si>
    <t>Go-to-market</t>
  </si>
  <si>
    <t>Corporate &amp; administrative</t>
  </si>
  <si>
    <t>Aggregate operating costs</t>
  </si>
  <si>
    <t>Operating income/(loss) — EBIT</t>
  </si>
  <si>
    <t>Fair-value change on preferred warrant obligation</t>
  </si>
  <si>
    <t>Net interest, income/(expense)</t>
  </si>
  <si>
    <t>Net other, income/(expense)</t>
  </si>
  <si>
    <t>Pre-tax income/(loss)</t>
  </si>
  <si>
    <t>Income tax charge/(credit)</t>
  </si>
  <si>
    <t>Net income/(loss)</t>
  </si>
  <si>
    <t>Preferred-stock accretion charge</t>
  </si>
  <si>
    <t>Earnings/(loss) to common holders</t>
  </si>
  <si>
    <t>EPS to common — basic &amp; diluted</t>
  </si>
  <si>
    <t>Weighted-average common shares — basic &amp; diluted</t>
  </si>
  <si>
    <t>Pro-forma EPS to common — basic &amp; diluted (unaudited)</t>
  </si>
  <si>
    <t>Diluted weighted-average shares</t>
  </si>
  <si>
    <t>Operating cash earnings (EBITDA)</t>
  </si>
  <si>
    <t>(YoY %)</t>
  </si>
  <si>
    <t>% of sales</t>
  </si>
  <si>
    <t>Operating income/(loss)</t>
  </si>
  <si>
    <t>Effective tax rate</t>
  </si>
  <si>
    <t>Annual Income Statement</t>
  </si>
  <si>
    <t>Reported history</t>
  </si>
  <si>
    <t>Projected periods</t>
  </si>
  <si>
    <t>Monthly operating spend</t>
  </si>
  <si>
    <t>Monthly operating spend (excl. engineering)</t>
  </si>
  <si>
    <t>Operating Driver Buildup</t>
  </si>
  <si>
    <t>Billings &amp; Unearned Revenue</t>
  </si>
  <si>
    <t>Unearned revenue, period close</t>
  </si>
  <si>
    <t>Less: unearned revenue, period open</t>
  </si>
  <si>
    <t>Invoiced billings</t>
  </si>
  <si>
    <t>Billings growth</t>
  </si>
  <si>
    <t>Unearned revenue as % of billings</t>
  </si>
  <si>
    <t>Projected Balance Sheet</t>
  </si>
  <si>
    <t>ASSET BASE</t>
  </si>
  <si>
    <t>Short-term assets:</t>
  </si>
  <si>
    <t>Cash &amp; equivalents</t>
  </si>
  <si>
    <t>Trade receivables</t>
  </si>
  <si>
    <t>Prepaids &amp; other short-term assets</t>
  </si>
  <si>
    <t>Capitalized commissions</t>
  </si>
  <si>
    <t>Short-term assets — total</t>
  </si>
  <si>
    <t>Net fixed assets</t>
  </si>
  <si>
    <t>Net intangible assets</t>
  </si>
  <si>
    <t>Acquired goodwill</t>
  </si>
  <si>
    <t>Other non-current assets</t>
  </si>
  <si>
    <t>Asset base — total</t>
  </si>
  <si>
    <t>OBLIGATIONS</t>
  </si>
  <si>
    <t>Short-term obligations:</t>
  </si>
  <si>
    <t>Trade payables</t>
  </si>
  <si>
    <t>Accrued payroll &amp; benefits</t>
  </si>
  <si>
    <t>Accruals &amp; other short-term obligations</t>
  </si>
  <si>
    <t>Unearned revenue</t>
  </si>
  <si>
    <t>Deferred lease cost</t>
  </si>
  <si>
    <t>Borrowings</t>
  </si>
  <si>
    <t>Short-term obligations — total</t>
  </si>
  <si>
    <t>Non-current borrowings (revolver)</t>
  </si>
  <si>
    <t>Unearned revenue, non-current</t>
  </si>
  <si>
    <t>Preferred warrant obligation, non-current</t>
  </si>
  <si>
    <t>Deferred lease cost, non-current</t>
  </si>
  <si>
    <t>Other non-current obligations</t>
  </si>
  <si>
    <t>Obligations — total</t>
  </si>
  <si>
    <t>Redeemable preferred equity:</t>
  </si>
  <si>
    <t>Common equity/(deficit):</t>
  </si>
  <si>
    <t>Class A &amp; Class B common shares</t>
  </si>
  <si>
    <t>Paid-in capital surplus</t>
  </si>
  <si>
    <t>Treasury shares (refer Note 10)</t>
  </si>
  <si>
    <t>Cumulative other comprehensive income</t>
  </si>
  <si>
    <t>Retained deficit</t>
  </si>
  <si>
    <t>Common equity/(deficit) — total</t>
  </si>
  <si>
    <t>Obligations + equity — total</t>
  </si>
  <si>
    <t>Balance check</t>
  </si>
  <si>
    <t>Projected Cash Flow Statement</t>
  </si>
  <si>
    <t>OPERATING CASH FLOWS:</t>
  </si>
  <si>
    <t>Reconciling items from net result to operating cash:</t>
  </si>
  <si>
    <t>Depreciation &amp; amortization charge</t>
  </si>
  <si>
    <t>Share-based pay expense</t>
  </si>
  <si>
    <t>Amortization of capitalized commissions</t>
  </si>
  <si>
    <t>Reversal of deferred-tax valuation allowance</t>
  </si>
  <si>
    <t>Other adjustments</t>
  </si>
  <si>
    <t>Working-capital movements, net of acquisition effects:</t>
  </si>
  <si>
    <t>Prepaids &amp; other assets</t>
  </si>
  <si>
    <t>Accruals &amp; other obligations</t>
  </si>
  <si>
    <t>Operating cash flow, net</t>
  </si>
  <si>
    <t>INVESTING CASH FLOWS:</t>
  </si>
  <si>
    <t>Marketable securities purchased</t>
  </si>
  <si>
    <t>Marketable securities matured</t>
  </si>
  <si>
    <t>Fixed-asset additions</t>
  </si>
  <si>
    <t>Investments in private equity holdings</t>
  </si>
  <si>
    <t>Acquisitions (net of cash) &amp; intangible purchases</t>
  </si>
  <si>
    <t>Investing cash flow, net</t>
  </si>
  <si>
    <t>Cash available before financing</t>
  </si>
  <si>
    <t>FINANCING CASH FLOWS:</t>
  </si>
  <si>
    <t>Borrowing proceeds, net of costs</t>
  </si>
  <si>
    <t>Debt principal repaid</t>
  </si>
  <si>
    <t>Preferred-stock issuance proceeds, net of costs</t>
  </si>
  <si>
    <t>Preferred warrant exercise proceeds</t>
  </si>
  <si>
    <t>Offering proceeds</t>
  </si>
  <si>
    <t>Option exercise proceeds</t>
  </si>
  <si>
    <t>Deferred offering costs paid</t>
  </si>
  <si>
    <t>Financing cash flow, net</t>
  </si>
  <si>
    <t>FX impact on cash</t>
  </si>
  <si>
    <t>Net movement in cash</t>
  </si>
  <si>
    <t>Cash, period open</t>
  </si>
  <si>
    <t>Cash, period close</t>
  </si>
  <si>
    <t>Borrowings Roll-Forward</t>
  </si>
  <si>
    <t>Cash available before financing</t>
  </si>
  <si>
    <t>Equity issued/(repurchased)</t>
  </si>
  <si>
    <t>+ Opening cash</t>
  </si>
  <si>
    <t>- Minimum cash buffer</t>
  </si>
  <si>
    <t>Cash free for debt service</t>
  </si>
  <si>
    <t>Term-debt drawdowns</t>
  </si>
  <si>
    <t>Term-debt repayments</t>
  </si>
  <si>
    <t>Cash free for revolver</t>
  </si>
  <si>
    <t>Incremental revolver draw</t>
  </si>
  <si>
    <t>Opening balance</t>
  </si>
  <si>
    <t>Discretionary (paydown)/draw</t>
  </si>
  <si>
    <t>Closing balance</t>
  </si>
  <si>
    <t>Revolver (committed repayments)</t>
  </si>
  <si>
    <t>Draws</t>
  </si>
  <si>
    <t>(Repayment/amortization)</t>
  </si>
  <si>
    <t>Interest Cost Build</t>
  </si>
  <si>
    <t>1) Revolver</t>
  </si>
  <si>
    <t>Revolver interest cost</t>
  </si>
  <si>
    <t>2) Revolver (committed)</t>
  </si>
  <si>
    <t>Interest cost</t>
  </si>
  <si>
    <t>(1) + (2): Total interest cost</t>
  </si>
  <si>
    <t>Cash Balance Roll-Forward Schedule</t>
  </si>
  <si>
    <t>Cash on hand</t>
  </si>
  <si>
    <t>Average cash on hand</t>
  </si>
  <si>
    <t>Interest income earned</t>
  </si>
  <si>
    <t>Working Capital Schedule</t>
  </si>
  <si>
    <t>Net revenue</t>
  </si>
  <si>
    <t>Cost of delivery</t>
  </si>
  <si>
    <t>Short-term asset &amp; obligation balances</t>
  </si>
  <si>
    <t>Assumed days outstanding</t>
  </si>
  <si>
    <t>Non-cash short-term assets — total</t>
  </si>
  <si>
    <t>Non-debt short-term obligations — total</t>
  </si>
  <si>
    <t>Working capital/(deficit)</t>
  </si>
  <si>
    <t>(Increase)/decrease in working capital</t>
  </si>
  <si>
    <t>Efficiency Ratios &amp; Drivers</t>
  </si>
  <si>
    <t>Trade receivables (days to collect)</t>
  </si>
  <si>
    <t>% of revenue</t>
  </si>
  <si>
    <t>Trade payables (days)</t>
  </si>
  <si>
    <t>% of delivery cost</t>
  </si>
  <si>
    <t>Fixed-Asset &amp; Depreciation Schedule</t>
  </si>
  <si>
    <t>Capital spend</t>
  </si>
  <si>
    <t>Capital spend as % of net revenue</t>
  </si>
  <si>
    <t>Opening net fixed assets</t>
  </si>
  <si>
    <t>(Depreciation charge)</t>
  </si>
  <si>
    <t>(Asset disposals)</t>
  </si>
  <si>
    <t>Closing net fixed assets</t>
  </si>
  <si>
    <t>figures below stated gross</t>
  </si>
  <si>
    <t>Fixed assets (opening breakdown)</t>
  </si>
  <si>
    <t>Value</t>
  </si>
  <si>
    <t>Service life</t>
  </si>
  <si>
    <t>Asset mix share</t>
  </si>
  <si>
    <t>Server hardware</t>
  </si>
  <si>
    <t>Computing hardware &amp; software</t>
  </si>
  <si>
    <t>Furniture &amp; fixtures</t>
  </si>
  <si>
    <t>Straight-line depreciation basis</t>
  </si>
  <si>
    <t>Leasehold build-outs</t>
  </si>
  <si>
    <t>Assets under construction</t>
  </si>
  <si>
    <t>NA</t>
  </si>
  <si>
    <t>Total</t>
  </si>
  <si>
    <t>Total capital spend</t>
  </si>
  <si>
    <t>Breakdown</t>
  </si>
  <si>
    <t>Server hardware — straight-line</t>
  </si>
  <si>
    <t>Depreciation on legacy assets</t>
  </si>
  <si>
    <t>Year</t>
  </si>
  <si>
    <t>Capital spend</t>
  </si>
  <si>
    <t>Depreciation — server hardware</t>
  </si>
  <si>
    <t>Depreciation — computing hardware &amp; software</t>
  </si>
  <si>
    <t>Depreciation — furniture &amp; fixtures</t>
  </si>
  <si>
    <t>Depreciation — leasehold build-outs</t>
  </si>
  <si>
    <t>Total depreciation charge</t>
  </si>
  <si>
    <t>Reconciliation check</t>
  </si>
  <si>
    <t>Intangibles &amp; Amortization Schedule</t>
  </si>
  <si>
    <t>Intangible additions</t>
  </si>
  <si>
    <t>Intangible additions as % of net revenue</t>
  </si>
  <si>
    <t>Opening net intangibles</t>
  </si>
  <si>
    <t>(Amortization charge)</t>
  </si>
  <si>
    <t>(Intangible disposals &amp; write-offs)</t>
  </si>
  <si>
    <t>Closing net intangibles</t>
  </si>
  <si>
    <t>Common Equity Roll-Forward</t>
  </si>
  <si>
    <t>Opening equity</t>
  </si>
  <si>
    <t>Net result</t>
  </si>
  <si>
    <t>Equity issued/(repurchased)</t>
  </si>
  <si>
    <t>Closing equity</t>
  </si>
  <si>
    <t>Option Valuation Model</t>
  </si>
  <si>
    <t>Black-Scholes model inputs</t>
  </si>
  <si>
    <t>Current share price =</t>
  </si>
  <si>
    <t>Option strike price =</t>
  </si>
  <si>
    <t>Option expiry =</t>
  </si>
  <si>
    <t>Share-price volatility =</t>
  </si>
  <si>
    <t>Annualized dividend yield =</t>
  </si>
  <si>
    <t>Risk-free treasury rate =</t>
  </si>
  <si>
    <t>Warrants/options outstanding =</t>
  </si>
  <si>
    <t>Shares outstanding =</t>
  </si>
  <si>
    <t>Option value calculation</t>
  </si>
  <si>
    <t>Share price =</t>
  </si>
  <si>
    <t>Strike =</t>
  </si>
  <si>
    <t>Adjusted S =</t>
  </si>
  <si>
    <t>Adjusted K =</t>
  </si>
  <si>
    <t>Expiry (years) =</t>
  </si>
  <si>
    <t>Options granted</t>
  </si>
  <si>
    <t>Shares outstanding — total</t>
  </si>
  <si>
    <t>Treasury rate</t>
  </si>
  <si>
    <t>Return variance</t>
  </si>
  <si>
    <t>Annualized dividend yield</t>
  </si>
  <si>
    <t>Discount rate</t>
  </si>
  <si>
    <t xml:space="preserve">d1 = </t>
  </si>
  <si>
    <t>N (d1) =</t>
  </si>
  <si>
    <t xml:space="preserve">d2 = </t>
  </si>
  <si>
    <t>N (d2) =</t>
  </si>
  <si>
    <t>Value per option =</t>
  </si>
  <si>
    <t>Aggregate option value =</t>
  </si>
  <si>
    <t>Share Count Buildup</t>
  </si>
  <si>
    <t>Common shares</t>
  </si>
  <si>
    <t>Existing structure</t>
  </si>
  <si>
    <t>Class A</t>
  </si>
  <si>
    <t>Class B</t>
  </si>
  <si>
    <t>issuable on vesting</t>
  </si>
  <si>
    <t>future issuance</t>
  </si>
  <si>
    <t>New Class B shares from offering</t>
  </si>
  <si>
    <t>(input)</t>
  </si>
  <si>
    <t>Option grant data</t>
  </si>
  <si>
    <t>  </t>
  </si>
  <si>
    <t>Shares under outstanding options</t>
  </si>
  <si>
    <t>Weighted-average strike</t>
  </si>
  <si>
    <t>Weighted-average remaining term (years)</t>
  </si>
  <si>
    <t>Aggregate intrinsic value (000s)</t>
  </si>
  <si>
    <t>Balance as of January 31, 2013</t>
  </si>
  <si>
    <t>Options granted</t>
  </si>
  <si>
    <t>Options exercised</t>
  </si>
  <si>
    <t>Options forfeited/cancelled — Plan A</t>
  </si>
  <si>
    <t>Options forfeited/cancelled — Plan B</t>
  </si>
  <si>
    <t>Balance as of January 31, 2014</t>
  </si>
  <si>
    <t>Vested &amp; expected to vest at period close</t>
  </si>
  <si>
    <t>Exercisable at period close</t>
  </si>
  <si>
    <t>Discounted Cash Flow Valuation</t>
  </si>
  <si>
    <t>Projected free cash flow</t>
  </si>
  <si>
    <t>Operating income (EBIT)</t>
  </si>
  <si>
    <t>Unlevered free cash flow</t>
  </si>
  <si>
    <t>EBIT after tax</t>
  </si>
  <si>
    <t>Add: depreciation &amp; amortization</t>
  </si>
  <si>
    <t>Less: capital spend</t>
  </si>
  <si>
    <t>Add: working-capital movement</t>
  </si>
  <si>
    <t>Unlevered FCF</t>
  </si>
  <si>
    <t>Loss carryforwards</t>
  </si>
  <si>
    <t>Discount rate (WACC)</t>
  </si>
  <si>
    <t>Perpetual growth rate</t>
  </si>
  <si>
    <t>Unlevered FCF over explicit horizon (2015P-2019P)</t>
  </si>
  <si>
    <t>Cash flow stream</t>
  </si>
  <si>
    <t>PV of explicit horizon</t>
  </si>
  <si>
    <t>Continuing value at perpetual growth (2019)</t>
  </si>
  <si>
    <t>Continuing value as of 2019</t>
  </si>
  <si>
    <t>PV of continuing value</t>
  </si>
  <si>
    <t>DCF valuation summary</t>
  </si>
  <si>
    <t>Valuation date</t>
  </si>
  <si>
    <t>Total firm value</t>
  </si>
  <si>
    <t>Net borrowings</t>
  </si>
  <si>
    <t>Equity value</t>
  </si>
  <si>
    <t>Option value</t>
  </si>
  <si>
    <t>Adjusted equity value</t>
  </si>
  <si>
    <t>Value per share</t>
  </si>
  <si>
    <t>not meaningful — unlevered FCF is negative</t>
  </si>
  <si>
    <t>Sensitivity Grid</t>
  </si>
  <si>
    <t>WACC</t>
  </si>
  <si>
    <t>perpetual growth</t>
  </si>
  <si>
    <t>Comparable Companies</t>
  </si>
  <si>
    <t>Valuation multiples</t>
  </si>
  <si>
    <t>Operating KPIs</t>
  </si>
  <si>
    <t>EV / Revenue</t>
  </si>
  <si>
    <t>Price / FCF</t>
  </si>
  <si>
    <t>EV / EBITDA</t>
  </si>
  <si>
    <t>Revenue growth %</t>
  </si>
  <si>
    <t>Margin %</t>
  </si>
  <si>
    <t>Gross %</t>
  </si>
  <si>
    <t>Revenue</t>
  </si>
  <si>
    <t>Gross margin</t>
  </si>
  <si>
    <t>Free cash flow</t>
  </si>
  <si>
    <t>Gross</t>
  </si>
  <si>
    <t>Company</t>
  </si>
  <si>
    <t>Ticker</t>
  </si>
  <si>
    <t>Share price</t>
  </si>
  <si>
    <t>Market cap</t>
  </si>
  <si>
    <t>Enterprise value</t>
  </si>
  <si>
    <t>'13-'14</t>
  </si>
  <si>
    <t>14-'15</t>
  </si>
  <si>
    <t>GTM %</t>
  </si>
  <si>
    <t>Eng %</t>
  </si>
  <si>
    <t>Net retention</t>
  </si>
  <si>
    <t>Athenahealth</t>
  </si>
  <si>
    <t>ATHN</t>
  </si>
  <si>
    <t>Bazaarvoice</t>
  </si>
  <si>
    <t>BV</t>
  </si>
  <si>
    <t>Benefitfocus</t>
  </si>
  <si>
    <t>BNFT</t>
  </si>
  <si>
    <t>BroadSoft</t>
  </si>
  <si>
    <t>BSFT</t>
  </si>
  <si>
    <t>Concur Technologies</t>
  </si>
  <si>
    <t>CNQR</t>
  </si>
  <si>
    <t>Constant Contact</t>
  </si>
  <si>
    <t>CTCT</t>
  </si>
  <si>
    <t>Cornerstone OnDemand</t>
  </si>
  <si>
    <t>CSOD</t>
  </si>
  <si>
    <t>Cvent</t>
  </si>
  <si>
    <t>CVT</t>
  </si>
  <si>
    <t>Dealertrack Technologies</t>
  </si>
  <si>
    <t>TRAK</t>
  </si>
  <si>
    <t>Demandware</t>
  </si>
  <si>
    <t>DWRE</t>
  </si>
  <si>
    <t>E2open</t>
  </si>
  <si>
    <t>EOPN</t>
  </si>
  <si>
    <t>Fleetmatics Group</t>
  </si>
  <si>
    <t>FLTX</t>
  </si>
  <si>
    <t>IntraLinks</t>
  </si>
  <si>
    <t>IL</t>
  </si>
  <si>
    <t>Jive Software</t>
  </si>
  <si>
    <t>JIVE</t>
  </si>
  <si>
    <t>LifeLock</t>
  </si>
  <si>
    <t>LOCK</t>
  </si>
  <si>
    <t>LinkedIn</t>
  </si>
  <si>
    <t>LNKD</t>
  </si>
  <si>
    <t>LivePerson</t>
  </si>
  <si>
    <t>LPSN</t>
  </si>
  <si>
    <t>LogMeIn</t>
  </si>
  <si>
    <t>LOGM</t>
  </si>
  <si>
    <t>Marin Software</t>
  </si>
  <si>
    <t>MRIN</t>
  </si>
  <si>
    <t>Marketo</t>
  </si>
  <si>
    <t>MKTO</t>
  </si>
  <si>
    <t>Medidata Solutions</t>
  </si>
  <si>
    <t>MDSO</t>
  </si>
  <si>
    <t>NM</t>
  </si>
  <si>
    <t>NetSuite</t>
  </si>
  <si>
    <t>N</t>
  </si>
  <si>
    <t>Proofpoint</t>
  </si>
  <si>
    <t>PFPT</t>
  </si>
  <si>
    <t>Qualys</t>
  </si>
  <si>
    <t>QLYS</t>
  </si>
  <si>
    <t>Rally Software</t>
  </si>
  <si>
    <t>RALY</t>
  </si>
  <si>
    <t>RealPage</t>
  </si>
  <si>
    <t>RP</t>
  </si>
  <si>
    <t>RingCentral</t>
  </si>
  <si>
    <t>RNG</t>
  </si>
  <si>
    <t>Salesforce</t>
  </si>
  <si>
    <t>CRM</t>
  </si>
  <si>
    <t>ServiceNow</t>
  </si>
  <si>
    <t>NOW</t>
  </si>
  <si>
    <t>SPS Commerce</t>
  </si>
  <si>
    <t>SPSC</t>
  </si>
  <si>
    <t>Textura</t>
  </si>
  <si>
    <t>TXTR</t>
  </si>
  <si>
    <t>The Ultimate Software Group</t>
  </si>
  <si>
    <t>ULTI</t>
  </si>
  <si>
    <t>Veeva</t>
  </si>
  <si>
    <t>VEEV</t>
  </si>
  <si>
    <t>Vocus</t>
  </si>
  <si>
    <t>VOCS</t>
  </si>
  <si>
    <t>Wix</t>
  </si>
  <si>
    <t>WIX</t>
  </si>
  <si>
    <t>Workday</t>
  </si>
  <si>
    <t>WDAY</t>
  </si>
  <si>
    <t>Xero</t>
  </si>
  <si>
    <t>XRO</t>
  </si>
  <si>
    <t>Median</t>
  </si>
  <si>
    <t>Average</t>
  </si>
  <si>
    <t>Minimum</t>
  </si>
  <si>
    <t>Maximum</t>
  </si>
  <si>
    <t xml:space="preserve"> valuation output</t>
  </si>
  <si>
    <t>Downside case</t>
  </si>
  <si>
    <t>Base case</t>
  </si>
  <si>
    <t>Upside case</t>
  </si>
  <si>
    <t>Implied EV / Revenue</t>
  </si>
  <si>
    <t xml:space="preserve"> revenue</t>
  </si>
  <si>
    <t>Cash</t>
  </si>
  <si>
    <t>Equity value</t>
  </si>
  <si>
    <t>Value per share</t>
  </si>
  <si>
    <t>Minimum Cash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</si>
</sst>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_);_(@_)"/>
    <numFmt numFmtId="168" formatCode="_(* #,##0.0_);_(* \(#,##0.0\);_(* &quot;-&quot;?_);_(@_)"/>
    <numFmt numFmtId="169" formatCode="#,##0%_);\(#,##0%\)"/>
    <numFmt numFmtId="170" formatCode="#,##0.0%_);\(#,##0.0%\)"/>
    <numFmt numFmtId="171" formatCode="0.00%;\(0.00%\)"/>
    <numFmt numFmtId="172" formatCode="0%;\(0%\)"/>
    <numFmt numFmtId="173" formatCode="0.0;\(0.0\)"/>
    <numFmt numFmtId="174" formatCode="0;\(0\)"/>
    <numFmt numFmtId="175" formatCode="#,##0;\(#,##0\)"/>
    <numFmt numFmtId="176" formatCode="0.0%;\(0.0%\)"/>
    <numFmt numFmtId="177" formatCode="#,##0.0000;\(#,##0.0000\)"/>
    <numFmt numFmtId="178" formatCode="#,##0.0\x;\(#,##0.0\x\)"/>
    <numFmt numFmtId="179" formatCode="0.0000;\(0.0000\)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sz val="11"/>
      <color rgb="FF244061"/>
      <name val="Calibri"/>
      <family val="2"/>
    </font>
    <font>
      <b/>
      <sz val="11"/>
      <color rgb="FF008000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</font>
    <font>
      <sz val="11"/>
      <color rgb="FF000080"/>
      <name val="Calibri"/>
      <family val="2"/>
    </font>
    <font>
      <sz val="11"/>
      <color rgb="FF333399"/>
      <name val="Calibri"/>
      <family val="2"/>
    </font>
    <font>
      <sz val="11"/>
      <color rgb="FF000000"/>
      <name val="Calibri"/>
      <family val="2"/>
    </font>
    <font>
      <b/>
      <sz val="11"/>
      <color rgb="FF333399"/>
      <name val="Calibri"/>
      <family val="2"/>
    </font>
    <font>
      <i/>
      <sz val="11"/>
      <color theme="1"/>
      <name val="Calibri"/>
      <family val="2"/>
    </font>
    <font>
      <sz val="11"/>
      <color rgb="FF4F6128"/>
      <name val="Calibri"/>
      <family val="2"/>
    </font>
    <font>
      <b/>
      <sz val="11"/>
      <color rgb="FF0000FF"/>
      <name val="Calibri"/>
      <family val="2"/>
    </font>
    <font>
      <b/>
      <sz val="11"/>
      <color rgb="FF000080"/>
      <name val="Calibri"/>
      <family val="2"/>
    </font>
    <font>
      <b/>
      <sz val="11"/>
      <name val="Calibri"/>
      <family val="2"/>
    </font>
    <font>
      <i/>
      <sz val="9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A5A5A5"/>
      </patternFill>
    </fill>
    <fill>
      <patternFill patternType="solid">
        <fgColor rgb="FFDDEBF7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theme="0"/>
      </patternFill>
    </fill>
    <fill>
      <patternFill patternType="solid">
        <fgColor rgb="FFF2F2F2"/>
        <bgColor theme="0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3864"/>
        <bgColor rgb="FFDDEBF7"/>
      </patternFill>
    </fill>
    <fill>
      <patternFill patternType="solid">
        <fgColor rgb="FFF2F2F2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F2F2F2"/>
      </patternFill>
    </fill>
    <fill>
      <patternFill patternType="solid">
        <fgColor rgb="FF1F3864"/>
        <bgColor rgb="FFF2F2F2"/>
      </patternFill>
    </fill>
    <fill>
      <patternFill patternType="solid">
        <fgColor rgb="FFF2F2F2"/>
        <bgColor rgb="FFA5A5A5"/>
      </patternFill>
    </fill>
    <fill>
      <patternFill patternType="solid">
        <fgColor rgb="FFF2F2F2"/>
        <bgColor rgb="FFFFFF00"/>
      </patternFill>
    </fill>
    <fill>
      <patternFill patternType="solid">
        <fgColor rgb="FFDDEBF7"/>
        <bgColor rgb="FFF2F2F2"/>
      </patternFill>
    </fill>
    <fill>
      <patternFill patternType="solid">
        <fgColor rgb="FF1F3864"/>
        <bgColor rgb="FFFFC000"/>
      </patternFill>
    </fill>
    <fill>
      <patternFill patternType="solid">
        <fgColor rgb="FFDDEBF7"/>
        <bgColor rgb="FFF2F2F2"/>
      </patternFill>
    </fill>
    <fill>
      <patternFill patternType="solid">
        <fgColor rgb="FFDDEBF7"/>
        <bgColor rgb="FFA5A5A5"/>
      </patternFill>
    </fill>
    <fill>
      <patternFill patternType="solid">
        <fgColor rgb="FFDDEBF7"/>
        <b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393">
    <xf numFmtId="0" fontId="0" fillId="0" borderId="0" xfId="0"/>
    <xf numFmtId="165" fontId="2" fillId="0" borderId="0" xfId="0" applyNumberFormat="1" applyFont="1"/>
    <xf numFmtId="165" fontId="5" fillId="0" borderId="0" xfId="0" applyNumberFormat="1" applyFont="1"/>
    <xf numFmtId="0" fontId="2" fillId="0" borderId="0" xfId="0" applyFont="1" applyAlignment="1">
      <alignment horizontal="left"/>
    </xf>
    <xf numFmtId="165" fontId="6" fillId="0" borderId="0" xfId="0" applyNumberFormat="1" applyFont="1"/>
    <xf numFmtId="176" fontId="6" fillId="0" borderId="0" xfId="0" applyNumberFormat="1" applyFont="1"/>
    <xf numFmtId="166" fontId="2" fillId="0" borderId="0" xfId="0" applyNumberFormat="1" applyFont="1"/>
    <xf numFmtId="175" fontId="2" fillId="0" borderId="0" xfId="0" applyNumberFormat="1" applyFont="1"/>
    <xf numFmtId="166" fontId="8" fillId="0" borderId="0" xfId="0" applyNumberFormat="1" applyFont="1"/>
    <xf numFmtId="173" fontId="2" fillId="0" borderId="0" xfId="0" applyNumberFormat="1" applyFont="1"/>
    <xf numFmtId="176" fontId="8" fillId="0" borderId="0" xfId="0" applyNumberFormat="1" applyFont="1"/>
    <xf numFmtId="166" fontId="2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8" fillId="0" borderId="0" xfId="0" applyFont="1"/>
    <xf numFmtId="169" fontId="2" fillId="0" borderId="0" xfId="0" applyNumberFormat="1" applyFont="1"/>
    <xf numFmtId="0" fontId="10" fillId="10" borderId="1" xfId="0" applyFont="1" applyFill="1" applyBorder="1"/>
    <xf numFmtId="0" fontId="2" fillId="0" borderId="0" xfId="0" applyFont="1"/>
    <xf numFmtId="0" fontId="2" fillId="0" borderId="3" xfId="0" applyFont="1" applyBorder="1"/>
    <xf numFmtId="165" fontId="2" fillId="0" borderId="4" xfId="0" applyNumberFormat="1" applyFont="1" applyBorder="1"/>
    <xf numFmtId="176" fontId="2" fillId="0" borderId="0" xfId="0" applyNumberFormat="1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0" fillId="12" borderId="0" xfId="0" applyNumberFormat="1" applyFont="1" applyFill="1"/>
    <xf numFmtId="43" fontId="2" fillId="0" borderId="0" xfId="0" applyNumberFormat="1" applyFont="1"/>
    <xf numFmtId="0" fontId="2" fillId="0" borderId="9" xfId="0" applyFont="1" applyBorder="1"/>
    <xf numFmtId="165" fontId="5" fillId="0" borderId="10" xfId="0" applyNumberFormat="1" applyFont="1" applyBorder="1"/>
    <xf numFmtId="165" fontId="2" fillId="0" borderId="10" xfId="0" applyNumberFormat="1" applyFont="1" applyBorder="1"/>
    <xf numFmtId="0" fontId="2" fillId="0" borderId="9" xfId="0" applyFont="1" applyBorder="1" applyAlignment="1">
      <alignment horizontal="left"/>
    </xf>
    <xf numFmtId="176" fontId="2" fillId="0" borderId="3" xfId="0" applyNumberFormat="1" applyFont="1" applyBorder="1"/>
    <xf numFmtId="176" fontId="5" fillId="0" borderId="0" xfId="0" applyNumberFormat="1" applyFont="1"/>
    <xf numFmtId="0" fontId="2" fillId="0" borderId="10" xfId="0" applyFont="1" applyBorder="1"/>
    <xf numFmtId="0" fontId="20" fillId="0" borderId="0" xfId="0" applyFont="1"/>
    <xf numFmtId="164" fontId="2" fillId="0" borderId="3" xfId="0" applyNumberFormat="1" applyFont="1" applyBorder="1"/>
    <xf numFmtId="176" fontId="10" fillId="12" borderId="0" xfId="0" applyNumberFormat="1" applyFont="1" applyFill="1"/>
    <xf numFmtId="172" fontId="10" fillId="12" borderId="3" xfId="0" applyNumberFormat="1" applyFont="1" applyFill="1" applyBorder="1"/>
    <xf numFmtId="172" fontId="10" fillId="12" borderId="12" xfId="0" applyNumberFormat="1" applyFont="1" applyFill="1" applyBorder="1"/>
    <xf numFmtId="0" fontId="8" fillId="0" borderId="3" xfId="0" applyFont="1" applyBorder="1"/>
    <xf numFmtId="175" fontId="5" fillId="0" borderId="0" xfId="0" applyNumberFormat="1" applyFont="1"/>
    <xf numFmtId="0" fontId="5" fillId="0" borderId="0" xfId="0" applyFont="1"/>
    <xf numFmtId="175" fontId="5" fillId="0" borderId="0" xfId="0" applyNumberFormat="1" applyFont="1" applyAlignment="1">
      <alignment horizontal="right" wrapText="1"/>
    </xf>
    <xf numFmtId="175" fontId="10" fillId="12" borderId="0" xfId="0" applyNumberFormat="1" applyFont="1" applyFill="1"/>
    <xf numFmtId="0" fontId="10" fillId="12" borderId="0" xfId="0" applyFont="1" applyFill="1"/>
    <xf numFmtId="175" fontId="10" fillId="12" borderId="0" xfId="0" applyNumberFormat="1" applyFont="1" applyFill="1" applyAlignment="1">
      <alignment horizontal="right" wrapText="1"/>
    </xf>
    <xf numFmtId="0" fontId="7" fillId="13" borderId="4" xfId="0" applyFont="1" applyFill="1" applyBorder="1"/>
    <xf numFmtId="0" fontId="2" fillId="0" borderId="2" xfId="0" applyFont="1" applyBorder="1"/>
    <xf numFmtId="166" fontId="9" fillId="0" borderId="0" xfId="0" applyNumberFormat="1" applyFont="1"/>
    <xf numFmtId="166" fontId="10" fillId="0" borderId="0" xfId="0" applyNumberFormat="1" applyFont="1"/>
    <xf numFmtId="176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/>
    </xf>
    <xf numFmtId="166" fontId="8" fillId="0" borderId="4" xfId="0" applyNumberFormat="1" applyFont="1" applyBorder="1"/>
    <xf numFmtId="166" fontId="2" fillId="0" borderId="4" xfId="0" applyNumberFormat="1" applyFont="1" applyBorder="1"/>
    <xf numFmtId="166" fontId="10" fillId="12" borderId="0" xfId="0" applyNumberFormat="1" applyFont="1" applyFill="1"/>
    <xf numFmtId="172" fontId="10" fillId="12" borderId="1" xfId="0" applyNumberFormat="1" applyFont="1" applyFill="1" applyBorder="1"/>
    <xf numFmtId="166" fontId="23" fillId="13" borderId="26" xfId="0" applyNumberFormat="1" applyFont="1" applyFill="1" applyBorder="1" applyAlignment="1">
      <alignment vertical="center"/>
    </xf>
    <xf numFmtId="166" fontId="7" fillId="13" borderId="16" xfId="0" applyNumberFormat="1" applyFont="1" applyFill="1" applyBorder="1"/>
    <xf numFmtId="165" fontId="9" fillId="0" borderId="0" xfId="0" applyNumberFormat="1" applyFont="1"/>
    <xf numFmtId="0" fontId="2" fillId="0" borderId="13" xfId="0" applyFont="1" applyBorder="1"/>
    <xf numFmtId="165" fontId="2" fillId="0" borderId="14" xfId="0" applyNumberFormat="1" applyFont="1" applyBorder="1"/>
    <xf numFmtId="165" fontId="2" fillId="0" borderId="15" xfId="0" applyNumberFormat="1" applyFont="1" applyBorder="1"/>
    <xf numFmtId="41" fontId="9" fillId="0" borderId="0" xfId="0" applyNumberFormat="1" applyFont="1" applyAlignment="1">
      <alignment vertical="center"/>
    </xf>
    <xf numFmtId="165" fontId="8" fillId="0" borderId="0" xfId="0" applyNumberFormat="1" applyFont="1"/>
    <xf numFmtId="0" fontId="28" fillId="0" borderId="0" xfId="0" applyFont="1"/>
    <xf numFmtId="167" fontId="2" fillId="0" borderId="0" xfId="0" applyNumberFormat="1" applyFont="1"/>
    <xf numFmtId="0" fontId="25" fillId="0" borderId="0" xfId="0" applyFont="1"/>
    <xf numFmtId="166" fontId="2" fillId="0" borderId="7" xfId="0" applyNumberFormat="1" applyFont="1" applyBorder="1"/>
    <xf numFmtId="166" fontId="2" fillId="0" borderId="3" xfId="0" applyNumberFormat="1" applyFont="1" applyBorder="1"/>
    <xf numFmtId="41" fontId="29" fillId="0" borderId="0" xfId="0" applyNumberFormat="1" applyFont="1" applyAlignment="1">
      <alignment vertical="center"/>
    </xf>
    <xf numFmtId="166" fontId="7" fillId="13" borderId="5" xfId="0" applyNumberFormat="1" applyFont="1" applyFill="1" applyBorder="1"/>
    <xf numFmtId="0" fontId="2" fillId="0" borderId="2" xfId="0" applyFont="1" applyBorder="1" applyAlignment="1">
      <alignment horizontal="left"/>
    </xf>
    <xf numFmtId="41" fontId="8" fillId="0" borderId="2" xfId="0" applyNumberFormat="1" applyFont="1" applyBorder="1" applyAlignment="1">
      <alignment horizontal="right"/>
    </xf>
    <xf numFmtId="0" fontId="7" fillId="13" borderId="16" xfId="0" applyFont="1" applyFill="1" applyBorder="1"/>
    <xf numFmtId="0" fontId="7" fillId="13" borderId="32" xfId="0" applyFont="1" applyFill="1" applyBorder="1"/>
    <xf numFmtId="0" fontId="12" fillId="0" borderId="0" xfId="0" applyFont="1"/>
    <xf numFmtId="179" fontId="2" fillId="0" borderId="0" xfId="0" applyNumberFormat="1" applyFont="1" applyAlignment="1">
      <alignment horizontal="right"/>
    </xf>
    <xf numFmtId="0" fontId="10" fillId="12" borderId="17" xfId="0" applyFont="1" applyFill="1" applyBorder="1"/>
    <xf numFmtId="171" fontId="10" fillId="12" borderId="17" xfId="0" applyNumberFormat="1" applyFont="1" applyFill="1" applyBorder="1"/>
    <xf numFmtId="166" fontId="2" fillId="0" borderId="0" xfId="0" applyNumberFormat="1" applyFont="1" applyAlignment="1">
      <alignment vertical="top"/>
    </xf>
    <xf numFmtId="166" fontId="12" fillId="0" borderId="0" xfId="0" applyNumberFormat="1" applyFont="1"/>
    <xf numFmtId="164" fontId="2" fillId="0" borderId="0" xfId="0" applyNumberFormat="1" applyFont="1"/>
    <xf numFmtId="0" fontId="18" fillId="14" borderId="18" xfId="0" applyFont="1" applyFill="1" applyBorder="1"/>
    <xf numFmtId="0" fontId="18" fillId="14" borderId="33" xfId="0" applyFont="1" applyFill="1" applyBorder="1"/>
    <xf numFmtId="166" fontId="18" fillId="14" borderId="33" xfId="0" applyNumberFormat="1" applyFont="1" applyFill="1" applyBorder="1" applyAlignment="1">
      <alignment vertical="center"/>
    </xf>
    <xf numFmtId="0" fontId="18" fillId="14" borderId="34" xfId="0" applyFont="1" applyFill="1" applyBorder="1"/>
    <xf numFmtId="165" fontId="18" fillId="14" borderId="34" xfId="0" applyNumberFormat="1" applyFont="1" applyFill="1" applyBorder="1"/>
    <xf numFmtId="43" fontId="18" fillId="14" borderId="34" xfId="0" applyNumberFormat="1" applyFont="1" applyFill="1" applyBorder="1"/>
    <xf numFmtId="166" fontId="18" fillId="14" borderId="34" xfId="0" applyNumberFormat="1" applyFont="1" applyFill="1" applyBorder="1"/>
    <xf numFmtId="7" fontId="2" fillId="0" borderId="0" xfId="0" applyNumberFormat="1" applyFont="1"/>
    <xf numFmtId="175" fontId="8" fillId="0" borderId="0" xfId="0" applyNumberFormat="1" applyFont="1"/>
    <xf numFmtId="0" fontId="18" fillId="14" borderId="35" xfId="0" applyFont="1" applyFill="1" applyBorder="1"/>
    <xf numFmtId="43" fontId="18" fillId="14" borderId="35" xfId="0" applyNumberFormat="1" applyFont="1" applyFill="1" applyBorder="1"/>
    <xf numFmtId="0" fontId="2" fillId="0" borderId="0" xfId="0" applyFont="1" applyAlignment="1">
      <alignment horizontal="center"/>
    </xf>
    <xf numFmtId="5" fontId="2" fillId="0" borderId="0" xfId="0" applyNumberFormat="1" applyFont="1"/>
    <xf numFmtId="178" fontId="2" fillId="0" borderId="0" xfId="0" applyNumberFormat="1" applyFont="1"/>
    <xf numFmtId="17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0" fontId="22" fillId="14" borderId="33" xfId="0" applyFont="1" applyFill="1" applyBorder="1"/>
    <xf numFmtId="0" fontId="18" fillId="19" borderId="33" xfId="0" applyFont="1" applyFill="1" applyBorder="1"/>
    <xf numFmtId="0" fontId="18" fillId="15" borderId="33" xfId="0" applyFont="1" applyFill="1" applyBorder="1"/>
    <xf numFmtId="0" fontId="2" fillId="4" borderId="2" xfId="0" applyFont="1" applyFill="1" applyBorder="1"/>
    <xf numFmtId="0" fontId="13" fillId="4" borderId="2" xfId="0" applyFont="1" applyFill="1" applyBorder="1"/>
    <xf numFmtId="0" fontId="7" fillId="11" borderId="30" xfId="0" applyFont="1" applyFill="1" applyBorder="1"/>
    <xf numFmtId="164" fontId="7" fillId="11" borderId="30" xfId="0" applyNumberFormat="1" applyFont="1" applyFill="1" applyBorder="1"/>
    <xf numFmtId="0" fontId="8" fillId="4" borderId="2" xfId="0" applyFont="1" applyFill="1" applyBorder="1"/>
    <xf numFmtId="172" fontId="2" fillId="4" borderId="2" xfId="0" applyNumberFormat="1" applyFont="1" applyFill="1" applyBorder="1"/>
    <xf numFmtId="172" fontId="9" fillId="4" borderId="2" xfId="0" applyNumberFormat="1" applyFont="1" applyFill="1" applyBorder="1"/>
    <xf numFmtId="172" fontId="10" fillId="10" borderId="6" xfId="0" applyNumberFormat="1" applyFont="1" applyFill="1" applyBorder="1"/>
    <xf numFmtId="172" fontId="10" fillId="10" borderId="7" xfId="0" applyNumberFormat="1" applyFont="1" applyFill="1" applyBorder="1"/>
    <xf numFmtId="172" fontId="10" fillId="10" borderId="8" xfId="0" applyNumberFormat="1" applyFont="1" applyFill="1" applyBorder="1"/>
    <xf numFmtId="172" fontId="10" fillId="10" borderId="9" xfId="0" applyNumberFormat="1" applyFont="1" applyFill="1" applyBorder="1"/>
    <xf numFmtId="172" fontId="10" fillId="10" borderId="2" xfId="0" applyNumberFormat="1" applyFont="1" applyFill="1" applyBorder="1"/>
    <xf numFmtId="172" fontId="10" fillId="10" borderId="10" xfId="0" applyNumberFormat="1" applyFont="1" applyFill="1" applyBorder="1"/>
    <xf numFmtId="172" fontId="10" fillId="10" borderId="11" xfId="0" applyNumberFormat="1" applyFont="1" applyFill="1" applyBorder="1"/>
    <xf numFmtId="172" fontId="10" fillId="10" borderId="3" xfId="0" applyNumberFormat="1" applyFont="1" applyFill="1" applyBorder="1"/>
    <xf numFmtId="172" fontId="10" fillId="10" borderId="12" xfId="0" applyNumberFormat="1" applyFont="1" applyFill="1" applyBorder="1"/>
    <xf numFmtId="0" fontId="8" fillId="2" borderId="2" xfId="0" applyFont="1" applyFill="1" applyBorder="1" applyAlignment="1">
      <alignment horizontal="right"/>
    </xf>
    <xf numFmtId="0" fontId="33" fillId="0" borderId="3" xfId="0" applyFont="1" applyBorder="1"/>
    <xf numFmtId="0" fontId="8" fillId="0" borderId="0" xfId="0" applyFont="1" applyAlignment="1">
      <alignment horizontal="right"/>
    </xf>
    <xf numFmtId="0" fontId="10" fillId="12" borderId="0" xfId="0" applyFont="1" applyFill="1" applyAlignment="1">
      <alignment horizontal="right"/>
    </xf>
    <xf numFmtId="165" fontId="10" fillId="12" borderId="18" xfId="0" applyNumberFormat="1" applyFont="1" applyFill="1" applyBorder="1"/>
    <xf numFmtId="165" fontId="7" fillId="13" borderId="4" xfId="0" applyNumberFormat="1" applyFont="1" applyFill="1" applyBorder="1"/>
    <xf numFmtId="165" fontId="18" fillId="14" borderId="33" xfId="0" applyNumberFormat="1" applyFont="1" applyFill="1" applyBorder="1"/>
    <xf numFmtId="0" fontId="8" fillId="0" borderId="0" xfId="0" applyFont="1" applyAlignment="1">
      <alignment horizontal="left"/>
    </xf>
    <xf numFmtId="0" fontId="8" fillId="0" borderId="4" xfId="0" applyFont="1" applyBorder="1"/>
    <xf numFmtId="165" fontId="8" fillId="0" borderId="4" xfId="0" applyNumberFormat="1" applyFont="1" applyBorder="1"/>
    <xf numFmtId="0" fontId="7" fillId="13" borderId="5" xfId="0" applyFont="1" applyFill="1" applyBorder="1"/>
    <xf numFmtId="165" fontId="7" fillId="13" borderId="5" xfId="0" applyNumberFormat="1" applyFont="1" applyFill="1" applyBorder="1"/>
    <xf numFmtId="0" fontId="7" fillId="13" borderId="27" xfId="0" applyFont="1" applyFill="1" applyBorder="1"/>
    <xf numFmtId="165" fontId="7" fillId="13" borderId="27" xfId="0" applyNumberFormat="1" applyFont="1" applyFill="1" applyBorder="1"/>
    <xf numFmtId="0" fontId="7" fillId="13" borderId="26" xfId="0" applyFont="1" applyFill="1" applyBorder="1"/>
    <xf numFmtId="165" fontId="7" fillId="13" borderId="26" xfId="0" applyNumberFormat="1" applyFont="1" applyFill="1" applyBorder="1"/>
    <xf numFmtId="165" fontId="16" fillId="12" borderId="26" xfId="0" applyNumberFormat="1" applyFont="1" applyFill="1" applyBorder="1"/>
    <xf numFmtId="165" fontId="23" fillId="13" borderId="26" xfId="0" applyNumberFormat="1" applyFont="1" applyFill="1" applyBorder="1"/>
    <xf numFmtId="175" fontId="7" fillId="13" borderId="26" xfId="0" applyNumberFormat="1" applyFont="1" applyFill="1" applyBorder="1"/>
    <xf numFmtId="0" fontId="18" fillId="14" borderId="33" xfId="0" applyFont="1" applyFill="1" applyBorder="1" applyAlignment="1">
      <alignment horizontal="left"/>
    </xf>
    <xf numFmtId="164" fontId="8" fillId="0" borderId="3" xfId="0" applyNumberFormat="1" applyFont="1" applyBorder="1"/>
    <xf numFmtId="165" fontId="16" fillId="12" borderId="27" xfId="0" applyNumberFormat="1" applyFont="1" applyFill="1" applyBorder="1"/>
    <xf numFmtId="165" fontId="23" fillId="13" borderId="27" xfId="0" applyNumberFormat="1" applyFont="1" applyFill="1" applyBorder="1"/>
    <xf numFmtId="0" fontId="7" fillId="13" borderId="26" xfId="0" applyFont="1" applyFill="1" applyBorder="1" applyAlignment="1">
      <alignment horizontal="left"/>
    </xf>
    <xf numFmtId="0" fontId="7" fillId="13" borderId="27" xfId="0" applyFont="1" applyFill="1" applyBorder="1" applyAlignment="1">
      <alignment horizontal="left"/>
    </xf>
    <xf numFmtId="43" fontId="16" fillId="12" borderId="27" xfId="0" applyNumberFormat="1" applyFont="1" applyFill="1" applyBorder="1"/>
    <xf numFmtId="0" fontId="16" fillId="12" borderId="27" xfId="0" applyFont="1" applyFill="1" applyBorder="1"/>
    <xf numFmtId="165" fontId="16" fillId="12" borderId="5" xfId="0" applyNumberFormat="1" applyFont="1" applyFill="1" applyBorder="1"/>
    <xf numFmtId="0" fontId="7" fillId="16" borderId="26" xfId="0" applyFont="1" applyFill="1" applyBorder="1"/>
    <xf numFmtId="165" fontId="23" fillId="16" borderId="26" xfId="0" applyNumberFormat="1" applyFont="1" applyFill="1" applyBorder="1"/>
    <xf numFmtId="0" fontId="19" fillId="14" borderId="33" xfId="0" applyFont="1" applyFill="1" applyBorder="1"/>
    <xf numFmtId="0" fontId="8" fillId="0" borderId="6" xfId="0" applyFont="1" applyBorder="1"/>
    <xf numFmtId="165" fontId="8" fillId="0" borderId="7" xfId="0" applyNumberFormat="1" applyFont="1" applyBorder="1"/>
    <xf numFmtId="165" fontId="8" fillId="0" borderId="8" xfId="0" applyNumberFormat="1" applyFont="1" applyBorder="1"/>
    <xf numFmtId="0" fontId="7" fillId="13" borderId="28" xfId="0" applyFont="1" applyFill="1" applyBorder="1"/>
    <xf numFmtId="176" fontId="7" fillId="13" borderId="26" xfId="0" applyNumberFormat="1" applyFont="1" applyFill="1" applyBorder="1"/>
    <xf numFmtId="176" fontId="23" fillId="17" borderId="26" xfId="0" applyNumberFormat="1" applyFont="1" applyFill="1" applyBorder="1"/>
    <xf numFmtId="176" fontId="23" fillId="17" borderId="29" xfId="0" applyNumberFormat="1" applyFont="1" applyFill="1" applyBorder="1"/>
    <xf numFmtId="0" fontId="8" fillId="0" borderId="9" xfId="0" applyFont="1" applyBorder="1"/>
    <xf numFmtId="165" fontId="8" fillId="0" borderId="10" xfId="0" applyNumberFormat="1" applyFont="1" applyBorder="1"/>
    <xf numFmtId="0" fontId="7" fillId="13" borderId="28" xfId="0" applyFont="1" applyFill="1" applyBorder="1" applyAlignment="1">
      <alignment horizontal="left"/>
    </xf>
    <xf numFmtId="176" fontId="16" fillId="12" borderId="26" xfId="0" applyNumberFormat="1" applyFont="1" applyFill="1" applyBorder="1"/>
    <xf numFmtId="0" fontId="8" fillId="0" borderId="9" xfId="0" applyFont="1" applyBorder="1" applyAlignment="1">
      <alignment horizontal="left"/>
    </xf>
    <xf numFmtId="165" fontId="7" fillId="13" borderId="29" xfId="0" applyNumberFormat="1" applyFont="1" applyFill="1" applyBorder="1"/>
    <xf numFmtId="176" fontId="8" fillId="6" borderId="2" xfId="0" applyNumberFormat="1" applyFont="1" applyFill="1" applyBorder="1"/>
    <xf numFmtId="176" fontId="8" fillId="6" borderId="10" xfId="0" applyNumberFormat="1" applyFont="1" applyFill="1" applyBorder="1"/>
    <xf numFmtId="0" fontId="8" fillId="0" borderId="11" xfId="0" applyFont="1" applyBorder="1"/>
    <xf numFmtId="176" fontId="10" fillId="12" borderId="3" xfId="0" applyNumberFormat="1" applyFont="1" applyFill="1" applyBorder="1"/>
    <xf numFmtId="176" fontId="10" fillId="25" borderId="3" xfId="0" applyNumberFormat="1" applyFont="1" applyFill="1" applyBorder="1"/>
    <xf numFmtId="176" fontId="10" fillId="25" borderId="12" xfId="0" applyNumberFormat="1" applyFont="1" applyFill="1" applyBorder="1"/>
    <xf numFmtId="165" fontId="10" fillId="12" borderId="10" xfId="0" applyNumberFormat="1" applyFont="1" applyFill="1" applyBorder="1"/>
    <xf numFmtId="176" fontId="8" fillId="0" borderId="10" xfId="0" applyNumberFormat="1" applyFont="1" applyBorder="1"/>
    <xf numFmtId="172" fontId="8" fillId="0" borderId="3" xfId="0" applyNumberFormat="1" applyFont="1" applyBorder="1"/>
    <xf numFmtId="164" fontId="9" fillId="0" borderId="3" xfId="0" applyNumberFormat="1" applyFont="1" applyBorder="1"/>
    <xf numFmtId="175" fontId="9" fillId="0" borderId="0" xfId="0" applyNumberFormat="1" applyFont="1"/>
    <xf numFmtId="175" fontId="7" fillId="13" borderId="4" xfId="0" applyNumberFormat="1" applyFont="1" applyFill="1" applyBorder="1"/>
    <xf numFmtId="175" fontId="7" fillId="13" borderId="5" xfId="0" applyNumberFormat="1" applyFont="1" applyFill="1" applyBorder="1"/>
    <xf numFmtId="0" fontId="8" fillId="0" borderId="18" xfId="0" applyFont="1" applyBorder="1"/>
    <xf numFmtId="175" fontId="5" fillId="0" borderId="18" xfId="0" applyNumberFormat="1" applyFont="1" applyBorder="1" applyAlignment="1">
      <alignment horizontal="right" wrapText="1"/>
    </xf>
    <xf numFmtId="175" fontId="10" fillId="12" borderId="18" xfId="0" applyNumberFormat="1" applyFont="1" applyFill="1" applyBorder="1" applyAlignment="1">
      <alignment horizontal="right" wrapText="1"/>
    </xf>
    <xf numFmtId="0" fontId="10" fillId="12" borderId="18" xfId="0" applyFont="1" applyFill="1" applyBorder="1"/>
    <xf numFmtId="0" fontId="5" fillId="0" borderId="18" xfId="0" applyFont="1" applyBorder="1"/>
    <xf numFmtId="175" fontId="23" fillId="13" borderId="4" xfId="0" applyNumberFormat="1" applyFont="1" applyFill="1" applyBorder="1"/>
    <xf numFmtId="164" fontId="9" fillId="0" borderId="2" xfId="0" applyNumberFormat="1" applyFont="1" applyBorder="1"/>
    <xf numFmtId="0" fontId="19" fillId="14" borderId="34" xfId="0" applyFont="1" applyFill="1" applyBorder="1"/>
    <xf numFmtId="0" fontId="22" fillId="14" borderId="34" xfId="0" applyFont="1" applyFill="1" applyBorder="1"/>
    <xf numFmtId="0" fontId="34" fillId="13" borderId="26" xfId="0" applyFont="1" applyFill="1" applyBorder="1"/>
    <xf numFmtId="0" fontId="35" fillId="0" borderId="0" xfId="0" applyFont="1"/>
    <xf numFmtId="0" fontId="1" fillId="0" borderId="0" xfId="0" applyFont="1"/>
    <xf numFmtId="0" fontId="8" fillId="0" borderId="5" xfId="0" applyFont="1" applyBorder="1"/>
    <xf numFmtId="165" fontId="8" fillId="0" borderId="5" xfId="0" applyNumberFormat="1" applyFont="1" applyBorder="1"/>
    <xf numFmtId="165" fontId="10" fillId="12" borderId="5" xfId="0" applyNumberFormat="1" applyFont="1" applyFill="1" applyBorder="1"/>
    <xf numFmtId="0" fontId="8" fillId="0" borderId="19" xfId="0" applyFont="1" applyBorder="1"/>
    <xf numFmtId="165" fontId="10" fillId="12" borderId="20" xfId="0" applyNumberFormat="1" applyFont="1" applyFill="1" applyBorder="1"/>
    <xf numFmtId="165" fontId="8" fillId="0" borderId="20" xfId="0" applyNumberFormat="1" applyFont="1" applyBorder="1"/>
    <xf numFmtId="165" fontId="8" fillId="0" borderId="21" xfId="0" applyNumberFormat="1" applyFont="1" applyBorder="1"/>
    <xf numFmtId="0" fontId="8" fillId="0" borderId="24" xfId="0" applyFont="1" applyBorder="1"/>
    <xf numFmtId="165" fontId="8" fillId="0" borderId="18" xfId="0" applyNumberFormat="1" applyFont="1" applyBorder="1"/>
    <xf numFmtId="165" fontId="10" fillId="12" borderId="25" xfId="0" applyNumberFormat="1" applyFont="1" applyFill="1" applyBorder="1"/>
    <xf numFmtId="0" fontId="8" fillId="0" borderId="0" xfId="0" quotePrefix="1" applyFont="1"/>
    <xf numFmtId="0" fontId="7" fillId="13" borderId="26" xfId="0" quotePrefix="1" applyFont="1" applyFill="1" applyBorder="1"/>
    <xf numFmtId="166" fontId="23" fillId="13" borderId="26" xfId="0" applyNumberFormat="1" applyFont="1" applyFill="1" applyBorder="1"/>
    <xf numFmtId="166" fontId="7" fillId="13" borderId="26" xfId="0" applyNumberFormat="1" applyFont="1" applyFill="1" applyBorder="1"/>
    <xf numFmtId="0" fontId="19" fillId="15" borderId="33" xfId="0" applyFont="1" applyFill="1" applyBorder="1"/>
    <xf numFmtId="166" fontId="18" fillId="15" borderId="33" xfId="0" applyNumberFormat="1" applyFont="1" applyFill="1" applyBorder="1"/>
    <xf numFmtId="166" fontId="16" fillId="12" borderId="16" xfId="0" applyNumberFormat="1" applyFont="1" applyFill="1" applyBorder="1"/>
    <xf numFmtId="166" fontId="23" fillId="13" borderId="16" xfId="0" applyNumberFormat="1" applyFont="1" applyFill="1" applyBorder="1"/>
    <xf numFmtId="0" fontId="36" fillId="0" borderId="0" xfId="0" applyFont="1"/>
    <xf numFmtId="0" fontId="7" fillId="13" borderId="26" xfId="0" quotePrefix="1" applyFont="1" applyFill="1" applyBorder="1" applyAlignment="1">
      <alignment horizontal="left"/>
    </xf>
    <xf numFmtId="0" fontId="7" fillId="18" borderId="26" xfId="0" applyFont="1" applyFill="1" applyBorder="1"/>
    <xf numFmtId="0" fontId="16" fillId="23" borderId="26" xfId="0" applyFont="1" applyFill="1" applyBorder="1"/>
    <xf numFmtId="0" fontId="8" fillId="0" borderId="0" xfId="0" quotePrefix="1" applyFont="1" applyAlignment="1">
      <alignment horizontal="left"/>
    </xf>
    <xf numFmtId="0" fontId="7" fillId="13" borderId="30" xfId="0" applyFont="1" applyFill="1" applyBorder="1"/>
    <xf numFmtId="0" fontId="18" fillId="19" borderId="34" xfId="0" applyFont="1" applyFill="1" applyBorder="1"/>
    <xf numFmtId="41" fontId="8" fillId="0" borderId="0" xfId="0" applyNumberFormat="1" applyFont="1" applyAlignment="1">
      <alignment vertical="center"/>
    </xf>
    <xf numFmtId="0" fontId="37" fillId="13" borderId="26" xfId="0" applyFont="1" applyFill="1" applyBorder="1"/>
    <xf numFmtId="176" fontId="23" fillId="13" borderId="26" xfId="0" applyNumberFormat="1" applyFont="1" applyFill="1" applyBorder="1"/>
    <xf numFmtId="167" fontId="8" fillId="0" borderId="0" xfId="0" applyNumberFormat="1" applyFont="1"/>
    <xf numFmtId="166" fontId="23" fillId="13" borderId="5" xfId="0" applyNumberFormat="1" applyFont="1" applyFill="1" applyBorder="1"/>
    <xf numFmtId="0" fontId="2" fillId="0" borderId="18" xfId="0" applyFont="1" applyBorder="1"/>
    <xf numFmtId="0" fontId="7" fillId="13" borderId="31" xfId="0" applyFont="1" applyFill="1" applyBorder="1" applyAlignment="1">
      <alignment horizontal="left"/>
    </xf>
    <xf numFmtId="166" fontId="7" fillId="13" borderId="31" xfId="0" applyNumberFormat="1" applyFont="1" applyFill="1" applyBorder="1" applyAlignment="1">
      <alignment horizontal="right"/>
    </xf>
    <xf numFmtId="0" fontId="1" fillId="0" borderId="2" xfId="0" applyFont="1" applyBorder="1"/>
    <xf numFmtId="167" fontId="18" fillId="14" borderId="34" xfId="0" applyNumberFormat="1" applyFont="1" applyFill="1" applyBorder="1"/>
    <xf numFmtId="0" fontId="8" fillId="0" borderId="6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65" fontId="8" fillId="0" borderId="3" xfId="0" applyNumberFormat="1" applyFont="1" applyBorder="1"/>
    <xf numFmtId="165" fontId="8" fillId="0" borderId="12" xfId="0" applyNumberFormat="1" applyFont="1" applyBorder="1"/>
    <xf numFmtId="0" fontId="18" fillId="20" borderId="33" xfId="0" applyFont="1" applyFill="1" applyBorder="1"/>
    <xf numFmtId="165" fontId="35" fillId="0" borderId="0" xfId="0" applyNumberFormat="1" applyFont="1"/>
    <xf numFmtId="41" fontId="7" fillId="18" borderId="26" xfId="0" applyNumberFormat="1" applyFont="1" applyFill="1" applyBorder="1"/>
    <xf numFmtId="0" fontId="9" fillId="0" borderId="0" xfId="0" applyFont="1"/>
    <xf numFmtId="173" fontId="9" fillId="0" borderId="0" xfId="0" applyNumberFormat="1" applyFont="1"/>
    <xf numFmtId="173" fontId="8" fillId="0" borderId="0" xfId="0" applyNumberFormat="1" applyFont="1"/>
    <xf numFmtId="0" fontId="38" fillId="0" borderId="0" xfId="0" applyFont="1"/>
    <xf numFmtId="166" fontId="8" fillId="0" borderId="0" xfId="0" applyNumberFormat="1" applyFont="1" applyAlignment="1">
      <alignment vertical="center"/>
    </xf>
    <xf numFmtId="166" fontId="7" fillId="18" borderId="26" xfId="0" applyNumberFormat="1" applyFont="1" applyFill="1" applyBorder="1"/>
    <xf numFmtId="0" fontId="9" fillId="0" borderId="17" xfId="0" applyFont="1" applyBorder="1"/>
    <xf numFmtId="165" fontId="9" fillId="0" borderId="17" xfId="0" applyNumberFormat="1" applyFont="1" applyBorder="1"/>
    <xf numFmtId="0" fontId="8" fillId="7" borderId="17" xfId="0" applyFont="1" applyFill="1" applyBorder="1"/>
    <xf numFmtId="173" fontId="10" fillId="26" borderId="17" xfId="0" applyNumberFormat="1" applyFont="1" applyFill="1" applyBorder="1"/>
    <xf numFmtId="174" fontId="8" fillId="7" borderId="17" xfId="0" applyNumberFormat="1" applyFont="1" applyFill="1" applyBorder="1"/>
    <xf numFmtId="175" fontId="7" fillId="21" borderId="17" xfId="0" applyNumberFormat="1" applyFont="1" applyFill="1" applyBorder="1"/>
    <xf numFmtId="171" fontId="8" fillId="7" borderId="17" xfId="0" applyNumberFormat="1" applyFont="1" applyFill="1" applyBorder="1"/>
    <xf numFmtId="177" fontId="8" fillId="7" borderId="17" xfId="0" applyNumberFormat="1" applyFont="1" applyFill="1" applyBorder="1"/>
    <xf numFmtId="179" fontId="8" fillId="7" borderId="17" xfId="0" applyNumberFormat="1" applyFont="1" applyFill="1" applyBorder="1" applyAlignment="1">
      <alignment horizontal="right"/>
    </xf>
    <xf numFmtId="44" fontId="8" fillId="0" borderId="1" xfId="0" applyNumberFormat="1" applyFont="1" applyBorder="1"/>
    <xf numFmtId="165" fontId="16" fillId="27" borderId="33" xfId="0" applyNumberFormat="1" applyFont="1" applyFill="1" applyBorder="1"/>
    <xf numFmtId="0" fontId="8" fillId="5" borderId="2" xfId="0" applyFont="1" applyFill="1" applyBorder="1"/>
    <xf numFmtId="0" fontId="8" fillId="5" borderId="2" xfId="0" applyFont="1" applyFill="1" applyBorder="1" applyAlignment="1">
      <alignment wrapText="1"/>
    </xf>
    <xf numFmtId="165" fontId="7" fillId="22" borderId="16" xfId="0" applyNumberFormat="1" applyFont="1" applyFill="1" applyBorder="1"/>
    <xf numFmtId="0" fontId="16" fillId="27" borderId="16" xfId="0" applyFont="1" applyFill="1" applyBorder="1"/>
    <xf numFmtId="165" fontId="16" fillId="12" borderId="16" xfId="0" applyNumberFormat="1" applyFont="1" applyFill="1" applyBorder="1"/>
    <xf numFmtId="0" fontId="18" fillId="14" borderId="34" xfId="0" applyFont="1" applyFill="1" applyBorder="1" applyAlignment="1">
      <alignment horizontal="left"/>
    </xf>
    <xf numFmtId="165" fontId="7" fillId="13" borderId="16" xfId="0" applyNumberFormat="1" applyFont="1" applyFill="1" applyBorder="1"/>
    <xf numFmtId="165" fontId="10" fillId="12" borderId="4" xfId="0" applyNumberFormat="1" applyFont="1" applyFill="1" applyBorder="1"/>
    <xf numFmtId="0" fontId="8" fillId="8" borderId="2" xfId="0" applyFont="1" applyFill="1" applyBorder="1"/>
    <xf numFmtId="176" fontId="10" fillId="27" borderId="2" xfId="0" applyNumberFormat="1" applyFont="1" applyFill="1" applyBorder="1"/>
    <xf numFmtId="172" fontId="10" fillId="27" borderId="2" xfId="0" applyNumberFormat="1" applyFont="1" applyFill="1" applyBorder="1"/>
    <xf numFmtId="164" fontId="8" fillId="0" borderId="0" xfId="0" applyNumberFormat="1" applyFont="1"/>
    <xf numFmtId="0" fontId="7" fillId="14" borderId="33" xfId="0" applyFont="1" applyFill="1" applyBorder="1"/>
    <xf numFmtId="5" fontId="7" fillId="13" borderId="26" xfId="0" applyNumberFormat="1" applyFont="1" applyFill="1" applyBorder="1"/>
    <xf numFmtId="5" fontId="9" fillId="0" borderId="0" xfId="0" applyNumberFormat="1" applyFont="1"/>
    <xf numFmtId="0" fontId="19" fillId="14" borderId="34" xfId="0" applyFont="1" applyFill="1" applyBorder="1" applyAlignment="1">
      <alignment horizontal="center"/>
    </xf>
    <xf numFmtId="43" fontId="8" fillId="0" borderId="0" xfId="0" applyNumberFormat="1" applyFont="1"/>
    <xf numFmtId="172" fontId="10" fillId="12" borderId="18" xfId="0" applyNumberFormat="1" applyFont="1" applyFill="1" applyBorder="1"/>
    <xf numFmtId="172" fontId="10" fillId="12" borderId="23" xfId="0" applyNumberFormat="1" applyFont="1" applyFill="1" applyBorder="1"/>
    <xf numFmtId="166" fontId="10" fillId="10" borderId="2" xfId="0" applyNumberFormat="1" applyFont="1" applyFill="1" applyBorder="1"/>
    <xf numFmtId="0" fontId="7" fillId="13" borderId="27" xfId="0" applyFont="1" applyFill="1" applyBorder="1" applyAlignment="1">
      <alignment horizontal="center"/>
    </xf>
    <xf numFmtId="0" fontId="7" fillId="13" borderId="26" xfId="0" applyFont="1" applyFill="1" applyBorder="1" applyAlignment="1">
      <alignment horizontal="center"/>
    </xf>
    <xf numFmtId="0" fontId="7" fillId="18" borderId="27" xfId="0" applyFont="1" applyFill="1" applyBorder="1" applyAlignment="1">
      <alignment horizontal="center"/>
    </xf>
    <xf numFmtId="0" fontId="7" fillId="18" borderId="26" xfId="0" applyFont="1" applyFill="1" applyBorder="1" applyAlignment="1">
      <alignment horizontal="center"/>
    </xf>
    <xf numFmtId="0" fontId="8" fillId="0" borderId="18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/>
    </xf>
    <xf numFmtId="0" fontId="8" fillId="0" borderId="18" xfId="0" quotePrefix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7" fontId="8" fillId="0" borderId="0" xfId="0" applyNumberFormat="1" applyFont="1"/>
    <xf numFmtId="5" fontId="8" fillId="0" borderId="0" xfId="0" applyNumberFormat="1" applyFont="1"/>
    <xf numFmtId="178" fontId="8" fillId="0" borderId="0" xfId="0" applyNumberFormat="1" applyFont="1"/>
    <xf numFmtId="178" fontId="8" fillId="0" borderId="0" xfId="0" applyNumberFormat="1" applyFont="1" applyAlignment="1">
      <alignment horizontal="right"/>
    </xf>
    <xf numFmtId="169" fontId="8" fillId="0" borderId="0" xfId="0" applyNumberFormat="1" applyFont="1"/>
    <xf numFmtId="169" fontId="8" fillId="0" borderId="0" xfId="0" applyNumberFormat="1" applyFont="1" applyAlignment="1">
      <alignment horizontal="right"/>
    </xf>
    <xf numFmtId="170" fontId="10" fillId="23" borderId="2" xfId="0" applyNumberFormat="1" applyFont="1" applyFill="1" applyBorder="1"/>
    <xf numFmtId="169" fontId="10" fillId="23" borderId="2" xfId="0" applyNumberFormat="1" applyFont="1" applyFill="1" applyBorder="1"/>
    <xf numFmtId="0" fontId="8" fillId="9" borderId="19" xfId="0" applyFont="1" applyFill="1" applyBorder="1"/>
    <xf numFmtId="5" fontId="8" fillId="9" borderId="20" xfId="0" applyNumberFormat="1" applyFont="1" applyFill="1" applyBorder="1"/>
    <xf numFmtId="178" fontId="8" fillId="9" borderId="20" xfId="0" applyNumberFormat="1" applyFont="1" applyFill="1" applyBorder="1"/>
    <xf numFmtId="178" fontId="8" fillId="9" borderId="20" xfId="0" applyNumberFormat="1" applyFont="1" applyFill="1" applyBorder="1" applyAlignment="1">
      <alignment horizontal="right"/>
    </xf>
    <xf numFmtId="169" fontId="8" fillId="9" borderId="20" xfId="0" applyNumberFormat="1" applyFont="1" applyFill="1" applyBorder="1"/>
    <xf numFmtId="169" fontId="8" fillId="9" borderId="21" xfId="0" applyNumberFormat="1" applyFont="1" applyFill="1" applyBorder="1"/>
    <xf numFmtId="0" fontId="8" fillId="9" borderId="22" xfId="0" applyFont="1" applyFill="1" applyBorder="1"/>
    <xf numFmtId="5" fontId="8" fillId="9" borderId="2" xfId="0" applyNumberFormat="1" applyFont="1" applyFill="1" applyBorder="1"/>
    <xf numFmtId="178" fontId="8" fillId="9" borderId="2" xfId="0" applyNumberFormat="1" applyFont="1" applyFill="1" applyBorder="1"/>
    <xf numFmtId="178" fontId="8" fillId="9" borderId="2" xfId="0" applyNumberFormat="1" applyFont="1" applyFill="1" applyBorder="1" applyAlignment="1">
      <alignment horizontal="right"/>
    </xf>
    <xf numFmtId="169" fontId="8" fillId="9" borderId="2" xfId="0" applyNumberFormat="1" applyFont="1" applyFill="1" applyBorder="1"/>
    <xf numFmtId="169" fontId="8" fillId="9" borderId="23" xfId="0" applyNumberFormat="1" applyFont="1" applyFill="1" applyBorder="1"/>
    <xf numFmtId="0" fontId="8" fillId="9" borderId="24" xfId="0" applyFont="1" applyFill="1" applyBorder="1"/>
    <xf numFmtId="5" fontId="8" fillId="9" borderId="18" xfId="0" applyNumberFormat="1" applyFont="1" applyFill="1" applyBorder="1"/>
    <xf numFmtId="178" fontId="8" fillId="9" borderId="18" xfId="0" applyNumberFormat="1" applyFont="1" applyFill="1" applyBorder="1"/>
    <xf numFmtId="178" fontId="8" fillId="9" borderId="18" xfId="0" applyNumberFormat="1" applyFont="1" applyFill="1" applyBorder="1" applyAlignment="1">
      <alignment horizontal="right"/>
    </xf>
    <xf numFmtId="169" fontId="8" fillId="9" borderId="18" xfId="0" applyNumberFormat="1" applyFont="1" applyFill="1" applyBorder="1"/>
    <xf numFmtId="169" fontId="8" fillId="9" borderId="25" xfId="0" applyNumberFormat="1" applyFont="1" applyFill="1" applyBorder="1"/>
    <xf numFmtId="0" fontId="7" fillId="15" borderId="33" xfId="0" applyFont="1" applyFill="1" applyBorder="1"/>
    <xf numFmtId="178" fontId="10" fillId="12" borderId="0" xfId="0" applyNumberFormat="1" applyFont="1" applyFill="1" applyAlignment="1">
      <alignment horizontal="center"/>
    </xf>
    <xf numFmtId="178" fontId="8" fillId="0" borderId="0" xfId="0" applyNumberFormat="1" applyFont="1" applyAlignment="1">
      <alignment horizontal="center"/>
    </xf>
    <xf numFmtId="0" fontId="18" fillId="24" borderId="33" xfId="0" applyFont="1" applyFill="1" applyBorder="1"/>
    <xf numFmtId="43" fontId="18" fillId="24" borderId="33" xfId="0" applyNumberFormat="1" applyFont="1" applyFill="1" applyBorder="1"/>
    <xf numFmtId="0" fontId="12" fillId="0" borderId="2" xfId="0" applyFont="1" applyBorder="1"/>
    <xf numFmtId="165" fontId="23" fillId="0" borderId="26" xfId="0" applyNumberFormat="1" applyFont="1" applyBorder="1"/>
    <xf numFmtId="165" fontId="7" fillId="0" borderId="26" xfId="0" applyNumberFormat="1" applyFont="1" applyBorder="1"/>
    <xf numFmtId="165" fontId="7" fillId="0" borderId="30" xfId="0" applyNumberFormat="1" applyFont="1" applyBorder="1"/>
    <xf numFmtId="5" fontId="8" fillId="0" borderId="1" xfId="0" applyNumberFormat="1" applyFont="1" applyBorder="1"/>
    <xf numFmtId="0" fontId="0" fillId="0" borderId="2" xfId="0" applyBorder="1"/>
    <xf numFmtId="0" fontId="19" fillId="14" borderId="33" xfId="0" applyFont="1" applyFill="1" applyBorder="1" applyAlignment="1">
      <alignment horizontal="left"/>
    </xf>
    <xf numFmtId="175" fontId="2" fillId="0" borderId="2" xfId="0" applyNumberFormat="1" applyFont="1" applyBorder="1"/>
    <xf numFmtId="168" fontId="2" fillId="0" borderId="2" xfId="0" applyNumberFormat="1" applyFont="1" applyBorder="1"/>
    <xf numFmtId="43" fontId="2" fillId="0" borderId="2" xfId="0" applyNumberFormat="1" applyFont="1" applyBorder="1"/>
    <xf numFmtId="0" fontId="19" fillId="15" borderId="33" xfId="0" applyFont="1" applyFill="1" applyBorder="1" applyAlignment="1">
      <alignment horizontal="left"/>
    </xf>
    <xf numFmtId="0" fontId="8" fillId="3" borderId="2" xfId="0" applyFont="1" applyFill="1" applyBorder="1"/>
    <xf numFmtId="0" fontId="28" fillId="0" borderId="2" xfId="0" applyFont="1" applyBorder="1"/>
    <xf numFmtId="0" fontId="18" fillId="15" borderId="33" xfId="0" applyFont="1" applyFill="1" applyBorder="1" applyAlignment="1">
      <alignment horizontal="left"/>
    </xf>
    <xf numFmtId="5" fontId="8" fillId="3" borderId="2" xfId="0" applyNumberFormat="1" applyFont="1" applyFill="1" applyBorder="1"/>
    <xf numFmtId="169" fontId="8" fillId="3" borderId="2" xfId="0" applyNumberFormat="1" applyFont="1" applyFill="1" applyBorder="1" applyAlignment="1">
      <alignment horizontal="right"/>
    </xf>
    <xf numFmtId="170" fontId="8" fillId="3" borderId="2" xfId="0" applyNumberFormat="1" applyFont="1" applyFill="1" applyBorder="1"/>
    <xf numFmtId="0" fontId="22" fillId="0" borderId="2" xfId="0" applyFont="1" applyBorder="1"/>
    <xf numFmtId="0" fontId="18" fillId="0" borderId="2" xfId="0" applyFont="1" applyBorder="1"/>
    <xf numFmtId="166" fontId="8" fillId="0" borderId="2" xfId="0" applyNumberFormat="1" applyFont="1" applyBorder="1"/>
    <xf numFmtId="171" fontId="12" fillId="0" borderId="2" xfId="0" applyNumberFormat="1" applyFont="1" applyBorder="1"/>
    <xf numFmtId="0" fontId="2" fillId="14" borderId="0" xfId="0" applyFont="1" applyFill="1"/>
    <xf numFmtId="0" fontId="2" fillId="20" borderId="2" xfId="0" applyFont="1" applyFill="1" applyBorder="1"/>
    <xf numFmtId="0" fontId="18" fillId="14" borderId="0" xfId="0" applyFont="1" applyFill="1"/>
    <xf numFmtId="5" fontId="9" fillId="0" borderId="2" xfId="0" applyNumberFormat="1" applyFont="1" applyBorder="1"/>
    <xf numFmtId="170" fontId="9" fillId="0" borderId="2" xfId="0" applyNumberFormat="1" applyFont="1" applyBorder="1"/>
    <xf numFmtId="169" fontId="10" fillId="0" borderId="2" xfId="0" applyNumberFormat="1" applyFont="1" applyBorder="1"/>
    <xf numFmtId="165" fontId="4" fillId="0" borderId="26" xfId="0" applyNumberFormat="1" applyFont="1" applyBorder="1"/>
    <xf numFmtId="0" fontId="4" fillId="0" borderId="26" xfId="0" applyFont="1" applyBorder="1"/>
    <xf numFmtId="165" fontId="17" fillId="0" borderId="26" xfId="0" applyNumberFormat="1" applyFont="1" applyBorder="1"/>
    <xf numFmtId="176" fontId="4" fillId="0" borderId="26" xfId="0" applyNumberFormat="1" applyFont="1" applyBorder="1"/>
    <xf numFmtId="175" fontId="4" fillId="0" borderId="4" xfId="0" applyNumberFormat="1" applyFont="1" applyBorder="1"/>
    <xf numFmtId="175" fontId="4" fillId="0" borderId="5" xfId="0" applyNumberFormat="1" applyFont="1" applyBorder="1"/>
    <xf numFmtId="165" fontId="21" fillId="0" borderId="26" xfId="0" applyNumberFormat="1" applyFont="1" applyBorder="1"/>
    <xf numFmtId="165" fontId="4" fillId="0" borderId="30" xfId="0" applyNumberFormat="1" applyFont="1" applyBorder="1"/>
    <xf numFmtId="166" fontId="4" fillId="0" borderId="26" xfId="0" applyNumberFormat="1" applyFont="1" applyBorder="1" applyAlignment="1">
      <alignment vertical="center"/>
    </xf>
    <xf numFmtId="166" fontId="23" fillId="0" borderId="26" xfId="0" applyNumberFormat="1" applyFont="1" applyBorder="1" applyAlignment="1">
      <alignment vertical="center"/>
    </xf>
    <xf numFmtId="166" fontId="24" fillId="0" borderId="2" xfId="0" applyNumberFormat="1" applyFont="1" applyBorder="1" applyAlignment="1">
      <alignment vertical="center"/>
    </xf>
    <xf numFmtId="166" fontId="9" fillId="0" borderId="2" xfId="0" applyNumberFormat="1" applyFont="1" applyBorder="1" applyAlignment="1">
      <alignment vertical="center"/>
    </xf>
    <xf numFmtId="166" fontId="9" fillId="0" borderId="2" xfId="0" applyNumberFormat="1" applyFont="1" applyBorder="1"/>
    <xf numFmtId="166" fontId="7" fillId="0" borderId="26" xfId="0" applyNumberFormat="1" applyFont="1" applyBorder="1"/>
    <xf numFmtId="166" fontId="27" fillId="0" borderId="26" xfId="0" applyNumberFormat="1" applyFont="1" applyBorder="1"/>
    <xf numFmtId="166" fontId="7" fillId="0" borderId="16" xfId="0" applyNumberFormat="1" applyFont="1" applyBorder="1"/>
    <xf numFmtId="166" fontId="4" fillId="0" borderId="5" xfId="0" applyNumberFormat="1" applyFont="1" applyBorder="1"/>
    <xf numFmtId="43" fontId="4" fillId="0" borderId="5" xfId="0" applyNumberFormat="1" applyFont="1" applyBorder="1"/>
    <xf numFmtId="176" fontId="30" fillId="0" borderId="26" xfId="0" applyNumberFormat="1" applyFont="1" applyBorder="1"/>
    <xf numFmtId="166" fontId="7" fillId="0" borderId="5" xfId="0" applyNumberFormat="1" applyFont="1" applyBorder="1"/>
    <xf numFmtId="0" fontId="4" fillId="0" borderId="31" xfId="0" applyFont="1" applyBorder="1"/>
    <xf numFmtId="166" fontId="4" fillId="0" borderId="31" xfId="0" applyNumberFormat="1" applyFont="1" applyBorder="1" applyAlignment="1">
      <alignment horizontal="right"/>
    </xf>
    <xf numFmtId="166" fontId="2" fillId="0" borderId="2" xfId="0" applyNumberFormat="1" applyFont="1" applyBorder="1"/>
    <xf numFmtId="166" fontId="5" fillId="0" borderId="2" xfId="0" applyNumberFormat="1" applyFont="1" applyBorder="1"/>
    <xf numFmtId="166" fontId="10" fillId="0" borderId="2" xfId="0" applyNumberFormat="1" applyFont="1" applyBorder="1"/>
    <xf numFmtId="166" fontId="4" fillId="0" borderId="16" xfId="0" applyNumberFormat="1" applyFont="1" applyBorder="1"/>
    <xf numFmtId="166" fontId="2" fillId="0" borderId="2" xfId="0" applyNumberFormat="1" applyFont="1" applyBorder="1" applyAlignment="1">
      <alignment vertical="center"/>
    </xf>
    <xf numFmtId="166" fontId="31" fillId="0" borderId="26" xfId="0" applyNumberFormat="1" applyFont="1" applyBorder="1" applyAlignment="1">
      <alignment vertical="center"/>
    </xf>
    <xf numFmtId="166" fontId="4" fillId="0" borderId="26" xfId="0" applyNumberFormat="1" applyFont="1" applyBorder="1"/>
    <xf numFmtId="171" fontId="2" fillId="0" borderId="2" xfId="0" applyNumberFormat="1" applyFont="1" applyBorder="1"/>
    <xf numFmtId="0" fontId="4" fillId="0" borderId="16" xfId="0" applyFont="1" applyBorder="1"/>
    <xf numFmtId="0" fontId="4" fillId="0" borderId="26" xfId="0" applyFont="1" applyBorder="1" applyAlignment="1">
      <alignment horizontal="center"/>
    </xf>
    <xf numFmtId="169" fontId="4" fillId="0" borderId="26" xfId="0" applyNumberFormat="1" applyFont="1" applyBorder="1"/>
    <xf numFmtId="0" fontId="11" fillId="0" borderId="26" xfId="0" applyFont="1" applyBorder="1"/>
    <xf numFmtId="169" fontId="10" fillId="0" borderId="2" xfId="0" applyNumberFormat="1" applyFont="1" applyBorder="1" applyAlignment="1">
      <alignment horizontal="right"/>
    </xf>
    <xf numFmtId="0" fontId="2" fillId="0" borderId="20" xfId="0" applyFont="1" applyBorder="1"/>
    <xf numFmtId="7" fontId="2" fillId="0" borderId="20" xfId="0" applyNumberFormat="1" applyFont="1" applyBorder="1"/>
    <xf numFmtId="5" fontId="2" fillId="0" borderId="20" xfId="0" applyNumberFormat="1" applyFont="1" applyBorder="1"/>
    <xf numFmtId="169" fontId="2" fillId="0" borderId="20" xfId="0" applyNumberFormat="1" applyFont="1" applyBorder="1"/>
    <xf numFmtId="5" fontId="2" fillId="0" borderId="2" xfId="0" applyNumberFormat="1" applyFont="1" applyBorder="1"/>
    <xf numFmtId="170" fontId="2" fillId="0" borderId="2" xfId="0" applyNumberFormat="1" applyFont="1" applyBorder="1"/>
    <xf numFmtId="7" fontId="2" fillId="0" borderId="2" xfId="0" applyNumberFormat="1" applyFont="1" applyBorder="1"/>
    <xf numFmtId="169" fontId="2" fillId="0" borderId="2" xfId="0" applyNumberFormat="1" applyFont="1" applyBorder="1"/>
    <xf numFmtId="7" fontId="2" fillId="0" borderId="18" xfId="0" applyNumberFormat="1" applyFont="1" applyBorder="1"/>
    <xf numFmtId="5" fontId="2" fillId="0" borderId="18" xfId="0" applyNumberFormat="1" applyFont="1" applyBorder="1"/>
    <xf numFmtId="169" fontId="2" fillId="0" borderId="18" xfId="0" applyNumberFormat="1" applyFont="1" applyBorder="1"/>
    <xf numFmtId="0" fontId="19" fillId="15" borderId="33" xfId="0" applyFont="1" applyFill="1" applyBorder="1" applyAlignment="1">
      <alignment horizontal="center"/>
    </xf>
    <xf numFmtId="0" fontId="18" fillId="14" borderId="33" xfId="0" applyFont="1" applyFill="1" applyBorder="1"/>
    <xf numFmtId="0" fontId="18" fillId="14" borderId="34" xfId="0" applyFont="1" applyFill="1" applyBorder="1" applyAlignment="1">
      <alignment horizontal="left"/>
    </xf>
    <xf numFmtId="0" fontId="7" fillId="18" borderId="27" xfId="0" applyFont="1" applyFill="1" applyBorder="1" applyAlignment="1">
      <alignment horizontal="center"/>
    </xf>
    <xf numFmtId="0" fontId="32" fillId="0" borderId="27" xfId="0" applyFont="1" applyBorder="1"/>
    <xf numFmtId="0" fontId="18" fillId="14" borderId="33" xfId="0" applyFont="1" applyFill="1" applyBorder="1" applyAlignment="1">
      <alignment horizontal="center"/>
    </xf>
    <xf numFmtId="0" fontId="7" fillId="13" borderId="27" xfId="0" applyFont="1" applyFill="1" applyBorder="1" applyAlignment="1">
      <alignment horizontal="center"/>
    </xf>
    <xf numFmtId="0" fontId="8" fillId="0" borderId="23" xfId="0" applyFont="1" applyBorder="1" applyAlignment="1">
      <alignment vertical="center" textRotation="90"/>
    </xf>
    <xf numFmtId="0" fontId="3" fillId="0" borderId="23" xfId="0" applyFont="1" applyBorder="1"/>
    <xf numFmtId="0" fontId="19" fillId="15" borderId="34" xfId="0" applyFont="1" applyFill="1" applyBorder="1" applyAlignment="1">
      <alignment horizontal="center"/>
    </xf>
    <xf numFmtId="0" fontId="18" fillId="14" borderId="34" xfId="0" applyFont="1" applyFill="1" applyBorder="1"/>
    <xf numFmtId="0" fontId="22" fillId="14" borderId="34" xfId="0" applyFont="1" applyFill="1" applyBorder="1"/>
    <xf numFmtId="0" fontId="1" fillId="0" borderId="0" xfId="0" applyFont="1"/>
    <xf numFmtId="0" fontId="19" fillId="14" borderId="3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showGridLines="0" tabSelected="1" workbookViewId="0">
      <pane xSplit="2" ySplit="1" topLeftCell="C2" activePane="bottomRight" state="frozen"/>
      <selection pane="topRight" activeCell="C2" sqref="C2"/>
      <selection pane="bottomLeft" activeCell="C2" sqref="C2"/>
      <selection pane="bottomRight" activeCell="C2" sqref="C2"/>
    </sheetView>
  </sheetViews>
  <sheetFormatPr defaultRowHeight="14.4" x14ac:dyDescent="0.3"/>
  <cols>
    <col min="1" max="1" width="3.33203125" customWidth="1"/>
    <col min="2" max="2" width="50.33203125" customWidth="1"/>
    <col min="3" max="10" width="9.109375" customWidth="1"/>
    <col min="11" max="26" width="9.109375" style="311" customWidth="1"/>
  </cols>
  <sheetData>
    <row r="1" spans="1:26" x14ac:dyDescent="0.3">
      <c r="A1" s="306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3">
      <c r="A2" s="134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3">
      <c r="A4" s="99"/>
      <c r="B4" s="100"/>
      <c r="C4" s="99"/>
      <c r="D4" s="99"/>
      <c r="E4" s="99"/>
      <c r="F4" s="99"/>
      <c r="G4" s="99"/>
      <c r="H4" s="99"/>
      <c r="I4" s="99"/>
      <c r="J4" s="99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3">
      <c r="A6" s="99"/>
      <c r="B6" s="101" t="s">
        <v>1</v>
      </c>
      <c r="C6" s="102">
        <v>40908</v>
      </c>
      <c r="D6" s="102">
        <f>EOMONTH(C6,13)</f>
        <v>41305</v>
      </c>
      <c r="E6" s="102">
        <f t="shared" ref="E6:J6" si="0">EOMONTH(D6,12)</f>
        <v>41670</v>
      </c>
      <c r="F6" s="102">
        <f t="shared" si="0"/>
        <v>42035</v>
      </c>
      <c r="G6" s="102">
        <f t="shared" si="0"/>
        <v>42400</v>
      </c>
      <c r="H6" s="102">
        <f t="shared" si="0"/>
        <v>42766</v>
      </c>
      <c r="I6" s="102">
        <f t="shared" si="0"/>
        <v>43131</v>
      </c>
      <c r="J6" s="102">
        <f t="shared" si="0"/>
        <v>43496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3">
      <c r="A7" s="99"/>
      <c r="B7" s="103" t="s">
        <v>2</v>
      </c>
      <c r="C7" s="99"/>
      <c r="D7" s="104"/>
      <c r="E7" s="105">
        <f>'P&amp;L'!E102</f>
        <v>0.96688701741676475</v>
      </c>
      <c r="F7" s="106">
        <v>1</v>
      </c>
      <c r="G7" s="107">
        <v>0.77207800000000004</v>
      </c>
      <c r="H7" s="107">
        <v>0.93297399999999997</v>
      </c>
      <c r="I7" s="107">
        <v>0.94612399999999997</v>
      </c>
      <c r="J7" s="108">
        <v>0.76721700000000004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3">
      <c r="A8" s="99"/>
      <c r="B8" s="103" t="s">
        <v>3</v>
      </c>
      <c r="C8" s="99"/>
      <c r="D8" s="105">
        <f>'P&amp;L'!D105</f>
        <v>-0.22572800000000001</v>
      </c>
      <c r="E8" s="105">
        <f>'P&amp;L'!E105</f>
        <v>-0.23244799999999999</v>
      </c>
      <c r="F8" s="109">
        <v>-0.191609</v>
      </c>
      <c r="G8" s="110">
        <v>-0.21867</v>
      </c>
      <c r="H8" s="110">
        <v>-0.238979</v>
      </c>
      <c r="I8" s="110">
        <v>-0.238706</v>
      </c>
      <c r="J8" s="111">
        <v>-0.19620299999999999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3">
      <c r="A9" s="99"/>
      <c r="B9" s="103" t="s">
        <v>4</v>
      </c>
      <c r="C9" s="99"/>
      <c r="D9" s="105">
        <f>'P&amp;L'!D107</f>
        <v>-0.53334499999999996</v>
      </c>
      <c r="E9" s="105">
        <f>'P&amp;L'!E107</f>
        <v>-0.34353499999999998</v>
      </c>
      <c r="F9" s="109">
        <v>-0.25732699999999997</v>
      </c>
      <c r="G9" s="110">
        <v>-0.29593999999999998</v>
      </c>
      <c r="H9" s="110">
        <v>-0.226937</v>
      </c>
      <c r="I9" s="110">
        <v>-0.125974</v>
      </c>
      <c r="J9" s="111">
        <v>-8.6574999999999999E-2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3">
      <c r="A10" s="99"/>
      <c r="B10" s="103" t="s">
        <v>5</v>
      </c>
      <c r="C10" s="99"/>
      <c r="D10" s="105">
        <f>'P&amp;L'!D109</f>
        <v>-1.374587</v>
      </c>
      <c r="E10" s="105">
        <f>'P&amp;L'!E109</f>
        <v>-1.6207860000000001</v>
      </c>
      <c r="F10" s="109">
        <v>-1.259474</v>
      </c>
      <c r="G10" s="110">
        <v>-1.245412</v>
      </c>
      <c r="H10" s="110">
        <v>-1</v>
      </c>
      <c r="I10" s="110">
        <v>-0.80605199999999999</v>
      </c>
      <c r="J10" s="111">
        <v>-0.80472100000000002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3">
      <c r="A11" s="99"/>
      <c r="B11" s="103" t="s">
        <v>6</v>
      </c>
      <c r="C11" s="99"/>
      <c r="D11" s="105">
        <f>'P&amp;L'!D111</f>
        <v>-0.43127100000000002</v>
      </c>
      <c r="E11" s="105">
        <f>'P&amp;L'!E111</f>
        <v>-0.34769699999999998</v>
      </c>
      <c r="F11" s="109">
        <v>-0.26978099999999999</v>
      </c>
      <c r="G11" s="110">
        <v>-0.32659300000000002</v>
      </c>
      <c r="H11" s="110">
        <v>-0.30158800000000002</v>
      </c>
      <c r="I11" s="110">
        <v>-0.21249299999999999</v>
      </c>
      <c r="J11" s="111">
        <v>-0.26304699999999998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3">
      <c r="A12" s="99"/>
      <c r="B12" s="103" t="s">
        <v>7</v>
      </c>
      <c r="C12" s="99"/>
      <c r="D12" s="105">
        <f>'Debt-Capex-Amort'!D52</f>
        <v>0.27890971656252828</v>
      </c>
      <c r="E12" s="105">
        <f>'Debt-Capex-Amort'!E52</f>
        <v>0.18379859118184189</v>
      </c>
      <c r="F12" s="112">
        <v>4.2092999999999998E-2</v>
      </c>
      <c r="G12" s="113">
        <v>4.7855000000000002E-2</v>
      </c>
      <c r="H12" s="113">
        <v>5.8756999999999997E-2</v>
      </c>
      <c r="I12" s="113">
        <v>5.9184E-2</v>
      </c>
      <c r="J12" s="114">
        <v>5.3318999999999998E-2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3">
      <c r="A13" s="99"/>
      <c r="B13" s="103" t="s">
        <v>404</v>
      </c>
      <c r="C13" s="15">
        <v>85530</v>
      </c>
      <c r="D13" s="99"/>
      <c r="E13" s="99"/>
      <c r="F13" s="99"/>
      <c r="G13" s="99"/>
      <c r="H13" s="99"/>
      <c r="I13" s="99"/>
      <c r="J13" s="9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0"/>
  <sheetViews>
    <sheetView showGridLines="0" workbookViewId="0">
      <pane xSplit="2" ySplit="1" topLeftCell="C45" activePane="bottomRight" state="frozen"/>
      <selection pane="topRight" activeCell="C45" sqref="C45"/>
      <selection pane="bottomLeft" activeCell="C45" sqref="C45"/>
      <selection pane="bottomRight" activeCell="C45" sqref="C45"/>
    </sheetView>
  </sheetViews>
  <sheetFormatPr defaultRowHeight="14.4" x14ac:dyDescent="0.3"/>
  <cols>
    <col min="1" max="1" width="2.77734375" customWidth="1"/>
    <col min="2" max="2" width="68.44140625" customWidth="1"/>
    <col min="3" max="3" width="12.44140625" customWidth="1"/>
    <col min="4" max="4" width="14.33203125" customWidth="1"/>
    <col min="5" max="7" width="13.77734375" customWidth="1"/>
    <col min="8" max="8" width="14.6640625" customWidth="1"/>
    <col min="9" max="10" width="15.44140625" customWidth="1"/>
    <col min="11" max="26" width="9.109375" style="311" customWidth="1"/>
  </cols>
  <sheetData>
    <row r="1" spans="1:26" x14ac:dyDescent="0.3">
      <c r="A1" s="306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3">
      <c r="A2" s="134" t="s">
        <v>8</v>
      </c>
      <c r="B2" s="81"/>
      <c r="C2" s="81"/>
      <c r="D2" s="81"/>
      <c r="E2" s="81"/>
      <c r="F2" s="81"/>
      <c r="G2" s="81"/>
      <c r="H2" s="81"/>
      <c r="I2" s="81"/>
      <c r="J2" s="81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3">
      <c r="A4" s="20"/>
      <c r="B4" s="81"/>
      <c r="C4" s="379" t="s">
        <v>9</v>
      </c>
      <c r="D4" s="380"/>
      <c r="E4" s="380"/>
      <c r="F4" s="380"/>
      <c r="G4" s="380"/>
      <c r="H4" s="380"/>
      <c r="I4" s="380"/>
      <c r="J4" s="380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3">
      <c r="A5" s="16"/>
      <c r="B5" s="21"/>
      <c r="C5" s="115" t="s">
        <v>10</v>
      </c>
      <c r="D5" s="115" t="s">
        <v>11</v>
      </c>
      <c r="E5" s="115" t="s">
        <v>12</v>
      </c>
      <c r="F5" s="115" t="s">
        <v>13</v>
      </c>
      <c r="G5" s="115" t="s">
        <v>14</v>
      </c>
      <c r="H5" s="115" t="s">
        <v>15</v>
      </c>
      <c r="I5" s="115" t="s">
        <v>16</v>
      </c>
      <c r="J5" s="115" t="s">
        <v>17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3">
      <c r="A6" s="16"/>
      <c r="B6" s="116" t="s">
        <v>18</v>
      </c>
      <c r="C6" s="117">
        <v>1932</v>
      </c>
      <c r="D6" s="118">
        <v>2133</v>
      </c>
      <c r="E6" s="118">
        <v>2275</v>
      </c>
      <c r="F6" s="118">
        <v>2234</v>
      </c>
      <c r="G6" s="118">
        <v>2261</v>
      </c>
      <c r="H6" s="118">
        <v>2249</v>
      </c>
      <c r="I6" s="118">
        <v>1870</v>
      </c>
      <c r="J6" s="118">
        <v>2181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3">
      <c r="A8" s="16"/>
      <c r="B8" s="13" t="s">
        <v>19</v>
      </c>
      <c r="C8" s="22">
        <v>11618</v>
      </c>
      <c r="D8" s="22">
        <v>13858</v>
      </c>
      <c r="E8" s="22">
        <v>18502</v>
      </c>
      <c r="F8" s="22">
        <v>22280</v>
      </c>
      <c r="G8" s="22">
        <v>23639</v>
      </c>
      <c r="H8" s="22">
        <v>28365</v>
      </c>
      <c r="I8" s="22">
        <v>37389</v>
      </c>
      <c r="J8" s="22">
        <v>40929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3">
      <c r="A9" s="16"/>
      <c r="B9" s="13" t="s">
        <v>20</v>
      </c>
      <c r="C9" s="119">
        <v>-2545</v>
      </c>
      <c r="D9" s="119">
        <v>-3494</v>
      </c>
      <c r="E9" s="119">
        <v>-3614</v>
      </c>
      <c r="F9" s="119">
        <v>-4087</v>
      </c>
      <c r="G9" s="119">
        <v>-5229</v>
      </c>
      <c r="H9" s="119">
        <v>-6642</v>
      </c>
      <c r="I9" s="119">
        <v>-8535</v>
      </c>
      <c r="J9" s="119">
        <v>-8789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3">
      <c r="A10" s="16"/>
      <c r="B10" s="43" t="s">
        <v>21</v>
      </c>
      <c r="C10" s="120">
        <f t="shared" ref="C10:J10" si="0">SUM(C8:C9)</f>
        <v>9073</v>
      </c>
      <c r="D10" s="120">
        <f t="shared" si="0"/>
        <v>10364</v>
      </c>
      <c r="E10" s="120">
        <f t="shared" si="0"/>
        <v>14888</v>
      </c>
      <c r="F10" s="120">
        <f t="shared" si="0"/>
        <v>18193</v>
      </c>
      <c r="G10" s="120">
        <f t="shared" si="0"/>
        <v>18410</v>
      </c>
      <c r="H10" s="120">
        <f t="shared" si="0"/>
        <v>21723</v>
      </c>
      <c r="I10" s="120">
        <f t="shared" si="0"/>
        <v>28854</v>
      </c>
      <c r="J10" s="120">
        <f t="shared" si="0"/>
        <v>32140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3">
      <c r="A11" s="16"/>
      <c r="B11" s="16"/>
      <c r="C11" s="1"/>
      <c r="D11" s="1"/>
      <c r="E11" s="1"/>
      <c r="F11" s="1"/>
      <c r="G11" s="1"/>
      <c r="H11" s="16"/>
      <c r="I11" s="16"/>
      <c r="J11" s="16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3">
      <c r="A12" s="16"/>
      <c r="B12" s="81" t="s">
        <v>22</v>
      </c>
      <c r="C12" s="121"/>
      <c r="D12" s="121"/>
      <c r="E12" s="121"/>
      <c r="F12" s="121"/>
      <c r="G12" s="121"/>
      <c r="H12" s="81"/>
      <c r="I12" s="81"/>
      <c r="J12" s="81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3">
      <c r="A13" s="16"/>
      <c r="B13" s="122" t="s">
        <v>23</v>
      </c>
      <c r="C13" s="22">
        <v>-6956</v>
      </c>
      <c r="D13" s="22">
        <v>-6702</v>
      </c>
      <c r="E13" s="22">
        <v>-8464</v>
      </c>
      <c r="F13" s="22">
        <v>-9141</v>
      </c>
      <c r="G13" s="22">
        <v>-9125</v>
      </c>
      <c r="H13" s="22">
        <v>-9340</v>
      </c>
      <c r="I13" s="22">
        <v>-11816</v>
      </c>
      <c r="J13" s="22">
        <v>-14504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3">
      <c r="A14" s="16"/>
      <c r="B14" s="122" t="s">
        <v>24</v>
      </c>
      <c r="C14" s="22">
        <v>-18687</v>
      </c>
      <c r="D14" s="22">
        <v>-19422</v>
      </c>
      <c r="E14" s="22">
        <v>-22701</v>
      </c>
      <c r="F14" s="22">
        <v>-32462</v>
      </c>
      <c r="G14" s="22">
        <v>-40477</v>
      </c>
      <c r="H14" s="22">
        <v>-40765</v>
      </c>
      <c r="I14" s="22">
        <v>-53103</v>
      </c>
      <c r="J14" s="22">
        <v>-45133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3">
      <c r="A15" s="16"/>
      <c r="B15" s="122" t="s">
        <v>25</v>
      </c>
      <c r="C15" s="119">
        <v>-4419</v>
      </c>
      <c r="D15" s="119">
        <v>-5990</v>
      </c>
      <c r="E15" s="119">
        <v>-9618</v>
      </c>
      <c r="F15" s="119">
        <v>-7245</v>
      </c>
      <c r="G15" s="119">
        <v>-6950</v>
      </c>
      <c r="H15" s="119">
        <v>-9873</v>
      </c>
      <c r="I15" s="119">
        <v>-11133</v>
      </c>
      <c r="J15" s="119">
        <v>-11263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3">
      <c r="A16" s="16"/>
      <c r="B16" s="43" t="s">
        <v>26</v>
      </c>
      <c r="C16" s="120">
        <f t="shared" ref="C16:J16" si="1">SUM(C13:C15)</f>
        <v>-30062</v>
      </c>
      <c r="D16" s="120">
        <f t="shared" si="1"/>
        <v>-32114</v>
      </c>
      <c r="E16" s="120">
        <f t="shared" si="1"/>
        <v>-40783</v>
      </c>
      <c r="F16" s="120">
        <f t="shared" si="1"/>
        <v>-48848</v>
      </c>
      <c r="G16" s="120">
        <f t="shared" si="1"/>
        <v>-56552</v>
      </c>
      <c r="H16" s="120">
        <f t="shared" si="1"/>
        <v>-59978</v>
      </c>
      <c r="I16" s="120">
        <f t="shared" si="1"/>
        <v>-76052</v>
      </c>
      <c r="J16" s="120">
        <f t="shared" si="1"/>
        <v>-70900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3">
      <c r="A17" s="16"/>
      <c r="B17" s="16"/>
      <c r="C17" s="1"/>
      <c r="D17" s="1"/>
      <c r="E17" s="1"/>
      <c r="F17" s="1"/>
      <c r="G17" s="1"/>
      <c r="H17" s="16"/>
      <c r="I17" s="16"/>
      <c r="J17" s="16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3">
      <c r="A18" s="16"/>
      <c r="B18" s="123" t="s">
        <v>27</v>
      </c>
      <c r="C18" s="124">
        <f t="shared" ref="C18:J18" si="2">C10+C16</f>
        <v>-20989</v>
      </c>
      <c r="D18" s="124">
        <f t="shared" si="2"/>
        <v>-21750</v>
      </c>
      <c r="E18" s="124">
        <f t="shared" si="2"/>
        <v>-25895</v>
      </c>
      <c r="F18" s="124">
        <f t="shared" si="2"/>
        <v>-30655</v>
      </c>
      <c r="G18" s="124">
        <f t="shared" si="2"/>
        <v>-38142</v>
      </c>
      <c r="H18" s="124">
        <f t="shared" si="2"/>
        <v>-38255</v>
      </c>
      <c r="I18" s="124">
        <f t="shared" si="2"/>
        <v>-47198</v>
      </c>
      <c r="J18" s="124">
        <f t="shared" si="2"/>
        <v>-38760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3">
      <c r="A19" s="16"/>
      <c r="B19" s="16"/>
      <c r="C19" s="1"/>
      <c r="D19" s="1"/>
      <c r="E19" s="1"/>
      <c r="F19" s="1"/>
      <c r="G19" s="1"/>
      <c r="H19" s="16"/>
      <c r="I19" s="16"/>
      <c r="J19" s="16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3">
      <c r="A20" s="16"/>
      <c r="B20" s="13" t="s">
        <v>28</v>
      </c>
      <c r="C20" s="22">
        <v>0</v>
      </c>
      <c r="D20" s="22">
        <v>-1617</v>
      </c>
      <c r="E20" s="22">
        <v>-81</v>
      </c>
      <c r="F20" s="22">
        <v>-96</v>
      </c>
      <c r="G20" s="22">
        <v>-800</v>
      </c>
      <c r="H20" s="22">
        <v>-1473</v>
      </c>
      <c r="I20" s="22">
        <v>-3765</v>
      </c>
      <c r="J20" s="22">
        <v>-2817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3">
      <c r="A21" s="16"/>
      <c r="B21" s="13" t="s">
        <v>29</v>
      </c>
      <c r="C21" s="22">
        <v>-261</v>
      </c>
      <c r="D21" s="22">
        <v>-404</v>
      </c>
      <c r="E21" s="22">
        <v>-551</v>
      </c>
      <c r="F21" s="22">
        <v>-653</v>
      </c>
      <c r="G21" s="22">
        <v>-629</v>
      </c>
      <c r="H21" s="22">
        <v>-585</v>
      </c>
      <c r="I21" s="22">
        <v>-2327</v>
      </c>
      <c r="J21" s="22">
        <v>-531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x14ac:dyDescent="0.3">
      <c r="A22" s="16"/>
      <c r="B22" s="13" t="s">
        <v>30</v>
      </c>
      <c r="C22" s="22">
        <v>9.3883869999999998</v>
      </c>
      <c r="D22" s="22">
        <v>5.7349569999999996</v>
      </c>
      <c r="E22" s="22">
        <v>0</v>
      </c>
      <c r="F22" s="22">
        <v>111</v>
      </c>
      <c r="G22" s="22">
        <v>-9.2961200000000002</v>
      </c>
      <c r="H22" s="22">
        <v>-79</v>
      </c>
      <c r="I22" s="22">
        <v>94</v>
      </c>
      <c r="J22" s="22">
        <v>-45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3">
      <c r="A23" s="16"/>
      <c r="B23" s="16"/>
      <c r="C23" s="1"/>
      <c r="D23" s="1"/>
      <c r="E23" s="1"/>
      <c r="F23" s="1"/>
      <c r="G23" s="1"/>
      <c r="H23" s="16"/>
      <c r="I23" s="16"/>
      <c r="J23" s="16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3">
      <c r="A24" s="16"/>
      <c r="B24" s="43" t="s">
        <v>31</v>
      </c>
      <c r="C24" s="120">
        <f t="shared" ref="C24:J24" si="3">SUM(C18:C22)</f>
        <v>-21240.611613000001</v>
      </c>
      <c r="D24" s="120">
        <f t="shared" si="3"/>
        <v>-23765.265042999999</v>
      </c>
      <c r="E24" s="120">
        <f t="shared" si="3"/>
        <v>-26527</v>
      </c>
      <c r="F24" s="120">
        <f t="shared" si="3"/>
        <v>-31293</v>
      </c>
      <c r="G24" s="120">
        <f t="shared" si="3"/>
        <v>-39580.296119999999</v>
      </c>
      <c r="H24" s="120">
        <f t="shared" si="3"/>
        <v>-40392</v>
      </c>
      <c r="I24" s="120">
        <f t="shared" si="3"/>
        <v>-53196</v>
      </c>
      <c r="J24" s="120">
        <f t="shared" si="3"/>
        <v>-42153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3">
      <c r="A25" s="16"/>
      <c r="B25" s="13" t="s">
        <v>32</v>
      </c>
      <c r="C25" s="22">
        <v>3.5050810000000001</v>
      </c>
      <c r="D25" s="22">
        <v>0</v>
      </c>
      <c r="E25" s="22">
        <v>7.0449409999999997</v>
      </c>
      <c r="F25" s="22">
        <v>44</v>
      </c>
      <c r="G25" s="22">
        <v>5.2028420000000004</v>
      </c>
      <c r="H25" s="22">
        <v>-2218</v>
      </c>
      <c r="I25" s="22">
        <v>62</v>
      </c>
      <c r="J25" s="22">
        <v>85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3">
      <c r="A26" s="16"/>
      <c r="B26" s="16"/>
      <c r="C26" s="1"/>
      <c r="D26" s="1"/>
      <c r="E26" s="1"/>
      <c r="F26" s="1"/>
      <c r="G26" s="1"/>
      <c r="H26" s="16"/>
      <c r="I26" s="16"/>
      <c r="J26" s="16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3">
      <c r="A27" s="16"/>
      <c r="B27" s="125" t="s">
        <v>33</v>
      </c>
      <c r="C27" s="126">
        <f t="shared" ref="C27:J27" si="4">C24-C25</f>
        <v>-21244.116694</v>
      </c>
      <c r="D27" s="126">
        <f t="shared" si="4"/>
        <v>-23765.265042999999</v>
      </c>
      <c r="E27" s="126">
        <f t="shared" si="4"/>
        <v>-26534.044941</v>
      </c>
      <c r="F27" s="126">
        <f t="shared" si="4"/>
        <v>-31337</v>
      </c>
      <c r="G27" s="126">
        <f t="shared" si="4"/>
        <v>-39585.498961999998</v>
      </c>
      <c r="H27" s="126">
        <f t="shared" si="4"/>
        <v>-38174</v>
      </c>
      <c r="I27" s="126">
        <f t="shared" si="4"/>
        <v>-53258</v>
      </c>
      <c r="J27" s="126">
        <f t="shared" si="4"/>
        <v>-42238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3">
      <c r="A28" s="16"/>
      <c r="B28" s="13" t="s">
        <v>34</v>
      </c>
      <c r="C28" s="2"/>
      <c r="D28" s="2"/>
      <c r="E28" s="2"/>
      <c r="F28" s="2"/>
      <c r="G28" s="2"/>
      <c r="H28" s="16"/>
      <c r="I28" s="16"/>
      <c r="J28" s="16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3">
      <c r="A29" s="16"/>
      <c r="B29" s="16"/>
      <c r="C29" s="1"/>
      <c r="D29" s="1"/>
      <c r="E29" s="1"/>
      <c r="F29" s="1"/>
      <c r="G29" s="1"/>
      <c r="H29" s="16"/>
      <c r="I29" s="16"/>
      <c r="J29" s="16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3">
      <c r="A30" s="16"/>
      <c r="B30" s="127" t="s">
        <v>35</v>
      </c>
      <c r="C30" s="128">
        <f t="shared" ref="C30:J30" si="5">SUM(C27:C28)</f>
        <v>-21244.116694</v>
      </c>
      <c r="D30" s="128">
        <f t="shared" si="5"/>
        <v>-23765.265042999999</v>
      </c>
      <c r="E30" s="128">
        <f t="shared" si="5"/>
        <v>-26534.044941</v>
      </c>
      <c r="F30" s="128">
        <f t="shared" si="5"/>
        <v>-31337</v>
      </c>
      <c r="G30" s="128">
        <f t="shared" si="5"/>
        <v>-39585.498961999998</v>
      </c>
      <c r="H30" s="128">
        <f t="shared" si="5"/>
        <v>-38174</v>
      </c>
      <c r="I30" s="128">
        <f t="shared" si="5"/>
        <v>-53258</v>
      </c>
      <c r="J30" s="128">
        <f t="shared" si="5"/>
        <v>-42238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3">
      <c r="A31" s="16"/>
      <c r="B31" s="16"/>
      <c r="C31" s="1"/>
      <c r="D31" s="1"/>
      <c r="E31" s="1"/>
      <c r="F31" s="1"/>
      <c r="G31" s="1"/>
      <c r="H31" s="16"/>
      <c r="I31" s="16"/>
      <c r="J31" s="16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3">
      <c r="A32" s="16"/>
      <c r="B32" s="129" t="s">
        <v>36</v>
      </c>
      <c r="C32" s="130">
        <f>C30/C34</f>
        <v>-4.0204611457229369</v>
      </c>
      <c r="D32" s="130">
        <f>D30/D34</f>
        <v>-3.896583873257911</v>
      </c>
      <c r="E32" s="333"/>
      <c r="F32" s="130">
        <f>F30/F34</f>
        <v>-4.0782144716293596</v>
      </c>
      <c r="G32" s="130">
        <f>G30/G34</f>
        <v>-3.4904769387179257</v>
      </c>
      <c r="H32" s="334"/>
      <c r="I32" s="334"/>
      <c r="J32" s="33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3">
      <c r="A33" s="16"/>
      <c r="B33" s="16"/>
      <c r="C33" s="1"/>
      <c r="D33" s="1"/>
      <c r="E33" s="1"/>
      <c r="F33" s="1"/>
      <c r="G33" s="1"/>
      <c r="H33" s="16"/>
      <c r="I33" s="16"/>
      <c r="J33" s="16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3">
      <c r="A34" s="16"/>
      <c r="B34" s="129" t="s">
        <v>37</v>
      </c>
      <c r="C34" s="131">
        <v>5284</v>
      </c>
      <c r="D34" s="131">
        <v>6099</v>
      </c>
      <c r="E34" s="335"/>
      <c r="F34" s="131">
        <v>7684</v>
      </c>
      <c r="G34" s="131">
        <v>11341</v>
      </c>
      <c r="H34" s="334"/>
      <c r="I34" s="334"/>
      <c r="J34" s="33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3">
      <c r="A35" s="16"/>
      <c r="B35" s="16"/>
      <c r="C35" s="1"/>
      <c r="D35" s="1"/>
      <c r="E35" s="1"/>
      <c r="F35" s="1"/>
      <c r="G35" s="1"/>
      <c r="H35" s="16"/>
      <c r="I35" s="16"/>
      <c r="J35" s="16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3">
      <c r="A36" s="16"/>
      <c r="B36" s="129" t="s">
        <v>38</v>
      </c>
      <c r="C36" s="333"/>
      <c r="D36" s="333"/>
      <c r="E36" s="333"/>
      <c r="F36" s="333"/>
      <c r="G36" s="131">
        <v>-1.9780279999999999</v>
      </c>
      <c r="H36" s="334"/>
      <c r="I36" s="334"/>
      <c r="J36" s="33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3">
      <c r="A37" s="16"/>
      <c r="B37" s="16"/>
      <c r="C37" s="1"/>
      <c r="D37" s="1"/>
      <c r="E37" s="1"/>
      <c r="F37" s="1"/>
      <c r="G37" s="1"/>
      <c r="H37" s="16"/>
      <c r="I37" s="16"/>
      <c r="J37" s="16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x14ac:dyDescent="0.3">
      <c r="A38" s="16"/>
      <c r="B38" s="13" t="s">
        <v>39</v>
      </c>
      <c r="C38" s="1"/>
      <c r="D38" s="1"/>
      <c r="E38" s="1"/>
      <c r="F38" s="1"/>
      <c r="G38" s="22">
        <v>7671</v>
      </c>
      <c r="H38" s="16"/>
      <c r="I38" s="16"/>
      <c r="J38" s="16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3">
      <c r="A40" s="16"/>
      <c r="B40" s="129" t="s">
        <v>40</v>
      </c>
      <c r="C40" s="334"/>
      <c r="D40" s="334"/>
      <c r="E40" s="334"/>
      <c r="F40" s="334"/>
      <c r="G40" s="333"/>
      <c r="H40" s="132">
        <f>H18+'BS-CF-WC'!F59</f>
        <v>-8961.5650487606763</v>
      </c>
      <c r="I40" s="132">
        <f>I18+'BS-CF-WC'!G59</f>
        <v>-10816.778941398588</v>
      </c>
      <c r="J40" s="132">
        <f>J18+'BS-CF-WC'!H59</f>
        <v>12902.723071328001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3">
      <c r="A42" s="16"/>
      <c r="B42" s="13" t="s">
        <v>19</v>
      </c>
      <c r="C42" s="88">
        <f t="shared" ref="C42:J42" si="6">C8</f>
        <v>11618</v>
      </c>
      <c r="D42" s="88">
        <f t="shared" si="6"/>
        <v>13858</v>
      </c>
      <c r="E42" s="88">
        <f t="shared" si="6"/>
        <v>18502</v>
      </c>
      <c r="F42" s="88">
        <f t="shared" si="6"/>
        <v>22280</v>
      </c>
      <c r="G42" s="88">
        <f t="shared" si="6"/>
        <v>23639</v>
      </c>
      <c r="H42" s="88">
        <f t="shared" si="6"/>
        <v>28365</v>
      </c>
      <c r="I42" s="88">
        <f t="shared" si="6"/>
        <v>37389</v>
      </c>
      <c r="J42" s="88">
        <f t="shared" si="6"/>
        <v>40929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3">
      <c r="A43" s="16"/>
      <c r="B43" s="13" t="s">
        <v>41</v>
      </c>
      <c r="C43" s="16"/>
      <c r="D43" s="16"/>
      <c r="E43" s="16"/>
      <c r="F43" s="10">
        <f>F42/E42-1</f>
        <v>0.2041941411739272</v>
      </c>
      <c r="G43" s="10">
        <f>G42/F42-1</f>
        <v>6.0996409335727142E-2</v>
      </c>
      <c r="H43" s="10">
        <f>H42/G42-1</f>
        <v>0.1999238546469817</v>
      </c>
      <c r="I43" s="10">
        <f>I42/H42-1</f>
        <v>0.31813855103120048</v>
      </c>
      <c r="J43" s="10">
        <f>J42/I42-1</f>
        <v>9.4680253550509574E-2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x14ac:dyDescent="0.3">
      <c r="A44" s="16"/>
      <c r="B44" s="16"/>
      <c r="C44" s="16"/>
      <c r="D44" s="16"/>
      <c r="E44" s="16"/>
      <c r="F44" s="19"/>
      <c r="G44" s="19"/>
      <c r="H44" s="19"/>
      <c r="I44" s="19"/>
      <c r="J44" s="19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x14ac:dyDescent="0.3">
      <c r="A45" s="16"/>
      <c r="B45" s="13" t="s">
        <v>20</v>
      </c>
      <c r="C45" s="88">
        <f t="shared" ref="C45:J45" si="7">C9</f>
        <v>-2545</v>
      </c>
      <c r="D45" s="88">
        <f t="shared" si="7"/>
        <v>-3494</v>
      </c>
      <c r="E45" s="88">
        <f t="shared" si="7"/>
        <v>-3614</v>
      </c>
      <c r="F45" s="88">
        <f t="shared" si="7"/>
        <v>-4087</v>
      </c>
      <c r="G45" s="88">
        <f t="shared" si="7"/>
        <v>-5229</v>
      </c>
      <c r="H45" s="88">
        <f t="shared" si="7"/>
        <v>-6642</v>
      </c>
      <c r="I45" s="88">
        <f t="shared" si="7"/>
        <v>-8535</v>
      </c>
      <c r="J45" s="88">
        <f t="shared" si="7"/>
        <v>-8789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3">
      <c r="A46" s="16"/>
      <c r="B46" s="122" t="s">
        <v>42</v>
      </c>
      <c r="C46" s="10">
        <f t="shared" ref="C46:J46" si="8">C45/C42</f>
        <v>-0.21905663625408847</v>
      </c>
      <c r="D46" s="10">
        <f t="shared" si="8"/>
        <v>-0.25212873430509453</v>
      </c>
      <c r="E46" s="10">
        <f t="shared" si="8"/>
        <v>-0.19533023456923576</v>
      </c>
      <c r="F46" s="10">
        <f t="shared" si="8"/>
        <v>-0.18343806104129265</v>
      </c>
      <c r="G46" s="10">
        <f t="shared" si="8"/>
        <v>-0.22120225051821144</v>
      </c>
      <c r="H46" s="10">
        <f t="shared" si="8"/>
        <v>-0.23416181914331041</v>
      </c>
      <c r="I46" s="10">
        <f t="shared" si="8"/>
        <v>-0.2282756960603386</v>
      </c>
      <c r="J46" s="10">
        <f t="shared" si="8"/>
        <v>-0.21473771653350926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3">
      <c r="A47" s="16"/>
      <c r="B47" s="122" t="s">
        <v>23</v>
      </c>
      <c r="C47" s="88">
        <f t="shared" ref="C47:J47" si="9">C13</f>
        <v>-6956</v>
      </c>
      <c r="D47" s="88">
        <f t="shared" si="9"/>
        <v>-6702</v>
      </c>
      <c r="E47" s="88">
        <f t="shared" si="9"/>
        <v>-8464</v>
      </c>
      <c r="F47" s="88">
        <f t="shared" si="9"/>
        <v>-9141</v>
      </c>
      <c r="G47" s="88">
        <f t="shared" si="9"/>
        <v>-9125</v>
      </c>
      <c r="H47" s="88">
        <f t="shared" si="9"/>
        <v>-9340</v>
      </c>
      <c r="I47" s="88">
        <f t="shared" si="9"/>
        <v>-11816</v>
      </c>
      <c r="J47" s="88">
        <f t="shared" si="9"/>
        <v>-14504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3">
      <c r="A48" s="16"/>
      <c r="B48" s="122" t="s">
        <v>42</v>
      </c>
      <c r="C48" s="10">
        <f t="shared" ref="C48:J48" si="10">C47/C42</f>
        <v>-0.59872611464968151</v>
      </c>
      <c r="D48" s="10">
        <f t="shared" si="10"/>
        <v>-0.48361956992350991</v>
      </c>
      <c r="E48" s="10">
        <f t="shared" si="10"/>
        <v>-0.4574640579396822</v>
      </c>
      <c r="F48" s="10">
        <f t="shared" si="10"/>
        <v>-0.41027827648114901</v>
      </c>
      <c r="G48" s="10">
        <f t="shared" si="10"/>
        <v>-0.38601463682896908</v>
      </c>
      <c r="H48" s="10">
        <f t="shared" si="10"/>
        <v>-0.32927904107174333</v>
      </c>
      <c r="I48" s="10">
        <f t="shared" si="10"/>
        <v>-0.31602877851774586</v>
      </c>
      <c r="J48" s="10">
        <f t="shared" si="10"/>
        <v>-0.35436976227125022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x14ac:dyDescent="0.3">
      <c r="A49" s="16"/>
      <c r="B49" s="122" t="s">
        <v>24</v>
      </c>
      <c r="C49" s="88">
        <f t="shared" ref="C49:J49" si="11">C14</f>
        <v>-18687</v>
      </c>
      <c r="D49" s="88">
        <f t="shared" si="11"/>
        <v>-19422</v>
      </c>
      <c r="E49" s="88">
        <f t="shared" si="11"/>
        <v>-22701</v>
      </c>
      <c r="F49" s="88">
        <f t="shared" si="11"/>
        <v>-32462</v>
      </c>
      <c r="G49" s="88">
        <f t="shared" si="11"/>
        <v>-40477</v>
      </c>
      <c r="H49" s="88">
        <f t="shared" si="11"/>
        <v>-40765</v>
      </c>
      <c r="I49" s="88">
        <f t="shared" si="11"/>
        <v>-53103</v>
      </c>
      <c r="J49" s="88">
        <f t="shared" si="11"/>
        <v>-45133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x14ac:dyDescent="0.3">
      <c r="A50" s="16"/>
      <c r="B50" s="122" t="s">
        <v>42</v>
      </c>
      <c r="C50" s="10">
        <f t="shared" ref="C50:J50" si="12">C49/C42</f>
        <v>-1.608452401446032</v>
      </c>
      <c r="D50" s="10">
        <f t="shared" si="12"/>
        <v>-1.4015009380863039</v>
      </c>
      <c r="E50" s="10">
        <f t="shared" si="12"/>
        <v>-1.2269484380067019</v>
      </c>
      <c r="F50" s="10">
        <f t="shared" si="12"/>
        <v>-1.4570017953321364</v>
      </c>
      <c r="G50" s="10">
        <f t="shared" si="12"/>
        <v>-1.7122974745124582</v>
      </c>
      <c r="H50" s="10">
        <f t="shared" si="12"/>
        <v>-1.4371584699453552</v>
      </c>
      <c r="I50" s="10">
        <f t="shared" si="12"/>
        <v>-1.4202840407606516</v>
      </c>
      <c r="J50" s="10">
        <f t="shared" si="12"/>
        <v>-1.1027144567421632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x14ac:dyDescent="0.3">
      <c r="A51" s="16"/>
      <c r="B51" s="122" t="s">
        <v>25</v>
      </c>
      <c r="C51" s="88">
        <f t="shared" ref="C51:J51" si="13">C15</f>
        <v>-4419</v>
      </c>
      <c r="D51" s="88">
        <f t="shared" si="13"/>
        <v>-5990</v>
      </c>
      <c r="E51" s="88">
        <f t="shared" si="13"/>
        <v>-9618</v>
      </c>
      <c r="F51" s="88">
        <f t="shared" si="13"/>
        <v>-7245</v>
      </c>
      <c r="G51" s="88">
        <f t="shared" si="13"/>
        <v>-6950</v>
      </c>
      <c r="H51" s="88">
        <f t="shared" si="13"/>
        <v>-9873</v>
      </c>
      <c r="I51" s="88">
        <f t="shared" si="13"/>
        <v>-11133</v>
      </c>
      <c r="J51" s="88">
        <f t="shared" si="13"/>
        <v>-11263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x14ac:dyDescent="0.3">
      <c r="A52" s="16"/>
      <c r="B52" s="122" t="s">
        <v>42</v>
      </c>
      <c r="C52" s="10">
        <f t="shared" ref="C52:J52" si="14">C51/C42</f>
        <v>-0.38035806507144088</v>
      </c>
      <c r="D52" s="10">
        <f t="shared" si="14"/>
        <v>-0.43224130466156735</v>
      </c>
      <c r="E52" s="10">
        <f t="shared" si="14"/>
        <v>-0.51983569343854719</v>
      </c>
      <c r="F52" s="10">
        <f t="shared" si="14"/>
        <v>-0.32517953321364451</v>
      </c>
      <c r="G52" s="10">
        <f t="shared" si="14"/>
        <v>-0.29400566859850247</v>
      </c>
      <c r="H52" s="10">
        <f t="shared" si="14"/>
        <v>-0.34806980433633</v>
      </c>
      <c r="I52" s="10">
        <f t="shared" si="14"/>
        <v>-0.29776137366605149</v>
      </c>
      <c r="J52" s="10">
        <f t="shared" si="14"/>
        <v>-0.27518385496835984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x14ac:dyDescent="0.3">
      <c r="A53" s="16"/>
      <c r="B53" s="3"/>
      <c r="C53" s="16"/>
      <c r="D53" s="16"/>
      <c r="E53" s="16"/>
      <c r="F53" s="16"/>
      <c r="G53" s="16"/>
      <c r="H53" s="16"/>
      <c r="I53" s="16"/>
      <c r="J53" s="16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x14ac:dyDescent="0.3">
      <c r="A54" s="16"/>
      <c r="B54" s="127" t="s">
        <v>26</v>
      </c>
      <c r="C54" s="133">
        <f t="shared" ref="C54:J54" si="15">C51+C49+C47+C45</f>
        <v>-32607</v>
      </c>
      <c r="D54" s="133">
        <f t="shared" si="15"/>
        <v>-35608</v>
      </c>
      <c r="E54" s="133">
        <f t="shared" si="15"/>
        <v>-44397</v>
      </c>
      <c r="F54" s="133">
        <f t="shared" si="15"/>
        <v>-52935</v>
      </c>
      <c r="G54" s="133">
        <f t="shared" si="15"/>
        <v>-61781</v>
      </c>
      <c r="H54" s="133">
        <f t="shared" si="15"/>
        <v>-66620</v>
      </c>
      <c r="I54" s="133">
        <f t="shared" si="15"/>
        <v>-84587</v>
      </c>
      <c r="J54" s="133">
        <f t="shared" si="15"/>
        <v>-79689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x14ac:dyDescent="0.3">
      <c r="A55" s="16"/>
      <c r="B55" s="122" t="s">
        <v>42</v>
      </c>
      <c r="C55" s="10">
        <f t="shared" ref="C55:J55" si="16">C54/C42</f>
        <v>-2.8065932174212427</v>
      </c>
      <c r="D55" s="10">
        <f t="shared" si="16"/>
        <v>-2.5694905469764757</v>
      </c>
      <c r="E55" s="10">
        <f t="shared" si="16"/>
        <v>-2.3995784239541673</v>
      </c>
      <c r="F55" s="10">
        <f t="shared" si="16"/>
        <v>-2.3758976660682225</v>
      </c>
      <c r="G55" s="10">
        <f t="shared" si="16"/>
        <v>-2.6135200304581412</v>
      </c>
      <c r="H55" s="10">
        <f t="shared" si="16"/>
        <v>-2.3486691344967388</v>
      </c>
      <c r="I55" s="10">
        <f t="shared" si="16"/>
        <v>-2.2623498890047875</v>
      </c>
      <c r="J55" s="10">
        <f t="shared" si="16"/>
        <v>-1.9470057905152827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x14ac:dyDescent="0.3">
      <c r="A56" s="16"/>
      <c r="B56" s="16"/>
      <c r="C56" s="7"/>
      <c r="D56" s="7"/>
      <c r="E56" s="7"/>
      <c r="F56" s="7"/>
      <c r="G56" s="7"/>
      <c r="H56" s="7"/>
      <c r="I56" s="7"/>
      <c r="J56" s="7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x14ac:dyDescent="0.3">
      <c r="A57" s="16"/>
      <c r="B57" s="123" t="s">
        <v>43</v>
      </c>
      <c r="C57" s="88">
        <f t="shared" ref="C57:J57" si="17">C42+C54</f>
        <v>-20989</v>
      </c>
      <c r="D57" s="88">
        <f t="shared" si="17"/>
        <v>-21750</v>
      </c>
      <c r="E57" s="88">
        <f t="shared" si="17"/>
        <v>-25895</v>
      </c>
      <c r="F57" s="88">
        <f t="shared" si="17"/>
        <v>-30655</v>
      </c>
      <c r="G57" s="88">
        <f t="shared" si="17"/>
        <v>-38142</v>
      </c>
      <c r="H57" s="88">
        <f t="shared" si="17"/>
        <v>-38255</v>
      </c>
      <c r="I57" s="88">
        <f t="shared" si="17"/>
        <v>-47198</v>
      </c>
      <c r="J57" s="88">
        <f t="shared" si="17"/>
        <v>-38760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x14ac:dyDescent="0.3">
      <c r="A58" s="16"/>
      <c r="B58" s="16"/>
      <c r="C58" s="10">
        <f t="shared" ref="C58:J58" si="18">C57/C42</f>
        <v>-1.8065932174212429</v>
      </c>
      <c r="D58" s="10">
        <f t="shared" si="18"/>
        <v>-1.5694905469764757</v>
      </c>
      <c r="E58" s="10">
        <f t="shared" si="18"/>
        <v>-1.3995784239541671</v>
      </c>
      <c r="F58" s="10">
        <f t="shared" si="18"/>
        <v>-1.3758976660682227</v>
      </c>
      <c r="G58" s="10">
        <f t="shared" si="18"/>
        <v>-1.6135200304581412</v>
      </c>
      <c r="H58" s="10">
        <f t="shared" si="18"/>
        <v>-1.348669134496739</v>
      </c>
      <c r="I58" s="10">
        <f t="shared" si="18"/>
        <v>-1.2623498890047875</v>
      </c>
      <c r="J58" s="10">
        <f t="shared" si="18"/>
        <v>-0.94700579051528255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x14ac:dyDescent="0.3">
      <c r="A60" s="16"/>
      <c r="B60" s="13" t="s">
        <v>44</v>
      </c>
      <c r="C60" s="16"/>
      <c r="D60" s="16"/>
      <c r="E60" s="16"/>
      <c r="F60" s="16"/>
      <c r="G60" s="10">
        <f>G25/G24</f>
        <v>-1.3145030507669684E-4</v>
      </c>
      <c r="H60" s="10">
        <f>H25/H24</f>
        <v>5.4911863735393147E-2</v>
      </c>
      <c r="I60" s="10">
        <f>I25/I24</f>
        <v>-1.1655011655011655E-3</v>
      </c>
      <c r="J60" s="10">
        <f>J25/J24</f>
        <v>-2.0164638341280574E-3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x14ac:dyDescent="0.3">
      <c r="A62" s="16"/>
      <c r="B62" s="129" t="s">
        <v>40</v>
      </c>
      <c r="C62" s="334"/>
      <c r="D62" s="334"/>
      <c r="E62" s="334"/>
      <c r="F62" s="334"/>
      <c r="G62" s="334"/>
      <c r="H62" s="334"/>
      <c r="I62" s="334"/>
      <c r="J62" s="33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4" spans="1:26" x14ac:dyDescent="0.3">
      <c r="A64" s="306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x14ac:dyDescent="0.3">
      <c r="A65" s="134" t="s">
        <v>45</v>
      </c>
      <c r="B65" s="81"/>
      <c r="C65" s="81"/>
      <c r="D65" s="81"/>
      <c r="E65" s="81"/>
      <c r="F65" s="81"/>
      <c r="G65" s="81"/>
      <c r="H65" s="81"/>
      <c r="I65" s="81"/>
      <c r="J65" s="81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x14ac:dyDescent="0.3">
      <c r="A66" s="31"/>
      <c r="B66" s="16"/>
      <c r="C66" s="16"/>
      <c r="D66" s="16"/>
      <c r="E66" s="16"/>
      <c r="F66" s="16"/>
      <c r="G66" s="16"/>
      <c r="H66" s="16"/>
      <c r="I66" s="16"/>
      <c r="J66" s="16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x14ac:dyDescent="0.3">
      <c r="A67" s="16"/>
      <c r="B67" s="134"/>
      <c r="C67" s="379" t="s">
        <v>46</v>
      </c>
      <c r="D67" s="380"/>
      <c r="E67" s="380"/>
      <c r="F67" s="379" t="s">
        <v>47</v>
      </c>
      <c r="G67" s="380"/>
      <c r="H67" s="380"/>
      <c r="I67" s="380"/>
      <c r="J67" s="380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x14ac:dyDescent="0.3">
      <c r="A68" s="16"/>
      <c r="B68" s="116" t="s">
        <v>18</v>
      </c>
      <c r="C68" s="135">
        <v>40908</v>
      </c>
      <c r="D68" s="135">
        <f>EOMONTH(C68,13)</f>
        <v>41305</v>
      </c>
      <c r="E68" s="135">
        <f t="shared" ref="E68:J68" si="19">EOMONTH(D68,12)</f>
        <v>41670</v>
      </c>
      <c r="F68" s="135">
        <f t="shared" si="19"/>
        <v>42035</v>
      </c>
      <c r="G68" s="135">
        <f t="shared" si="19"/>
        <v>42400</v>
      </c>
      <c r="H68" s="135">
        <f t="shared" si="19"/>
        <v>42766</v>
      </c>
      <c r="I68" s="135">
        <f t="shared" si="19"/>
        <v>43131</v>
      </c>
      <c r="J68" s="135">
        <f t="shared" si="19"/>
        <v>43496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x14ac:dyDescent="0.3">
      <c r="A70" s="16"/>
      <c r="B70" s="129" t="s">
        <v>19</v>
      </c>
      <c r="C70" s="131">
        <v>23669</v>
      </c>
      <c r="D70" s="132">
        <f>SUM(C8:F8)</f>
        <v>66258</v>
      </c>
      <c r="E70" s="132">
        <f>SUM(G8:J8)</f>
        <v>130322</v>
      </c>
      <c r="F70" s="130">
        <f>F101</f>
        <v>260644</v>
      </c>
      <c r="G70" s="130">
        <f>G101</f>
        <v>461881.49823199998</v>
      </c>
      <c r="H70" s="130">
        <f>H101</f>
        <v>892804.92716350197</v>
      </c>
      <c r="I70" s="130">
        <f>I101</f>
        <v>1737509.0960711432</v>
      </c>
      <c r="J70" s="130">
        <f>J101</f>
        <v>3070555.6122315573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x14ac:dyDescent="0.3">
      <c r="A71" s="16"/>
      <c r="B71" s="127" t="s">
        <v>20</v>
      </c>
      <c r="C71" s="136">
        <v>-6697</v>
      </c>
      <c r="D71" s="137">
        <f>SUM(C9:F9)</f>
        <v>-13740</v>
      </c>
      <c r="E71" s="137">
        <f>SUM(G9:J9)</f>
        <v>-29195</v>
      </c>
      <c r="F71" s="128">
        <f>F104</f>
        <v>-49941.736195999998</v>
      </c>
      <c r="G71" s="128">
        <f>G104</f>
        <v>-100999.62721839144</v>
      </c>
      <c r="H71" s="128">
        <f>H104</f>
        <v>-213361.62868860652</v>
      </c>
      <c r="I71" s="128">
        <f>I104</f>
        <v>-414753.84628675831</v>
      </c>
      <c r="J71" s="128">
        <f>J104</f>
        <v>-602452.22278666822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x14ac:dyDescent="0.3">
      <c r="A72" s="16"/>
      <c r="B72" s="43" t="s">
        <v>21</v>
      </c>
      <c r="C72" s="120">
        <f t="shared" ref="C72:J72" si="20">SUM(C70:C71)</f>
        <v>16972</v>
      </c>
      <c r="D72" s="120">
        <f t="shared" si="20"/>
        <v>52518</v>
      </c>
      <c r="E72" s="120">
        <f t="shared" si="20"/>
        <v>101127</v>
      </c>
      <c r="F72" s="120">
        <f t="shared" si="20"/>
        <v>210702.26380399999</v>
      </c>
      <c r="G72" s="120">
        <f t="shared" si="20"/>
        <v>360881.87101360853</v>
      </c>
      <c r="H72" s="120">
        <f t="shared" si="20"/>
        <v>679443.29847489542</v>
      </c>
      <c r="I72" s="120">
        <f t="shared" si="20"/>
        <v>1322755.2497843849</v>
      </c>
      <c r="J72" s="120">
        <f t="shared" si="20"/>
        <v>2468103.389444889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x14ac:dyDescent="0.3">
      <c r="A73" s="16"/>
      <c r="B73" s="16"/>
      <c r="C73" s="1"/>
      <c r="D73" s="1"/>
      <c r="E73" s="1"/>
      <c r="F73" s="16"/>
      <c r="G73" s="16"/>
      <c r="H73" s="16"/>
      <c r="I73" s="16"/>
      <c r="J73" s="16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x14ac:dyDescent="0.3">
      <c r="A74" s="16"/>
      <c r="B74" s="81" t="s">
        <v>22</v>
      </c>
      <c r="C74" s="121"/>
      <c r="D74" s="121"/>
      <c r="E74" s="121"/>
      <c r="F74" s="81"/>
      <c r="G74" s="81"/>
      <c r="H74" s="81"/>
      <c r="I74" s="81"/>
      <c r="J74" s="81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x14ac:dyDescent="0.3">
      <c r="A75" s="16"/>
      <c r="B75" s="138" t="s">
        <v>23</v>
      </c>
      <c r="C75" s="131">
        <v>-12696</v>
      </c>
      <c r="D75" s="132">
        <f>SUM(C13:F13)</f>
        <v>-31263</v>
      </c>
      <c r="E75" s="132">
        <f>SUM(G13:J13)</f>
        <v>-44785</v>
      </c>
      <c r="F75" s="130">
        <f>F106</f>
        <v>-67070.738587999993</v>
      </c>
      <c r="G75" s="130">
        <f>G106</f>
        <v>-136689.21058677806</v>
      </c>
      <c r="H75" s="130">
        <f>H106</f>
        <v>-202610.47175570365</v>
      </c>
      <c r="I75" s="130">
        <f>I106</f>
        <v>-218880.97086846619</v>
      </c>
      <c r="J75" s="130">
        <f>J106</f>
        <v>-265833.3521289471</v>
      </c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x14ac:dyDescent="0.3">
      <c r="A76" s="16"/>
      <c r="B76" s="138" t="s">
        <v>24</v>
      </c>
      <c r="C76" s="131">
        <v>-38092</v>
      </c>
      <c r="D76" s="132">
        <f>SUM(C14:F14)</f>
        <v>-93272</v>
      </c>
      <c r="E76" s="132">
        <f>SUM(G14:J14)</f>
        <v>-179478</v>
      </c>
      <c r="F76" s="130">
        <f>F108</f>
        <v>-328274.34125599999</v>
      </c>
      <c r="G76" s="130">
        <f>G108</f>
        <v>-575232.76047611155</v>
      </c>
      <c r="H76" s="130">
        <f>H108</f>
        <v>-892804.92716350197</v>
      </c>
      <c r="I76" s="130">
        <f>I108</f>
        <v>-1400522.6819063372</v>
      </c>
      <c r="J76" s="130">
        <f>J108</f>
        <v>-2470940.5828305911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x14ac:dyDescent="0.3">
      <c r="A77" s="16"/>
      <c r="B77" s="139" t="s">
        <v>25</v>
      </c>
      <c r="C77" s="136">
        <v>-13066</v>
      </c>
      <c r="D77" s="137">
        <f>SUM(C15:F15)</f>
        <v>-27272</v>
      </c>
      <c r="E77" s="137">
        <f>SUM(G15:J15)</f>
        <v>-39219</v>
      </c>
      <c r="F77" s="128">
        <f>F110</f>
        <v>-70316.798964000001</v>
      </c>
      <c r="G77" s="128">
        <f>G110</f>
        <v>-150847.26415208358</v>
      </c>
      <c r="H77" s="128">
        <f>H110</f>
        <v>-269259.25237338623</v>
      </c>
      <c r="I77" s="128">
        <f>I110</f>
        <v>-369208.52035144542</v>
      </c>
      <c r="J77" s="128">
        <f>J110</f>
        <v>-807700.44213067438</v>
      </c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x14ac:dyDescent="0.3">
      <c r="A78" s="16"/>
      <c r="B78" s="43" t="s">
        <v>26</v>
      </c>
      <c r="C78" s="120">
        <f t="shared" ref="C78:J78" si="21">SUM(C75:C77)</f>
        <v>-63854</v>
      </c>
      <c r="D78" s="120">
        <f t="shared" si="21"/>
        <v>-151807</v>
      </c>
      <c r="E78" s="120">
        <f t="shared" si="21"/>
        <v>-263482</v>
      </c>
      <c r="F78" s="120">
        <f t="shared" si="21"/>
        <v>-465661.87880800001</v>
      </c>
      <c r="G78" s="120">
        <f t="shared" si="21"/>
        <v>-862769.2352149731</v>
      </c>
      <c r="H78" s="120">
        <f t="shared" si="21"/>
        <v>-1364674.6512925918</v>
      </c>
      <c r="I78" s="120">
        <f t="shared" si="21"/>
        <v>-1988612.1731262486</v>
      </c>
      <c r="J78" s="120">
        <f t="shared" si="21"/>
        <v>-3544474.3770902129</v>
      </c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x14ac:dyDescent="0.3">
      <c r="A79" s="16"/>
      <c r="B79" s="16"/>
      <c r="C79" s="1"/>
      <c r="D79" s="1"/>
      <c r="E79" s="16"/>
      <c r="F79" s="16"/>
      <c r="G79" s="16"/>
      <c r="H79" s="16"/>
      <c r="I79" s="16"/>
      <c r="J79" s="16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x14ac:dyDescent="0.3">
      <c r="A80" s="16"/>
      <c r="B80" s="13" t="s">
        <v>48</v>
      </c>
      <c r="C80" s="61">
        <f t="shared" ref="C80:J80" si="22">C78/12</f>
        <v>-5321.166666666667</v>
      </c>
      <c r="D80" s="61">
        <f t="shared" si="22"/>
        <v>-12650.583333333334</v>
      </c>
      <c r="E80" s="61">
        <f t="shared" si="22"/>
        <v>-21956.833333333332</v>
      </c>
      <c r="F80" s="61">
        <f t="shared" si="22"/>
        <v>-38805.156567333332</v>
      </c>
      <c r="G80" s="61">
        <f t="shared" si="22"/>
        <v>-71897.436267914425</v>
      </c>
      <c r="H80" s="61">
        <f t="shared" si="22"/>
        <v>-113722.88760771598</v>
      </c>
      <c r="I80" s="61">
        <f t="shared" si="22"/>
        <v>-165717.68109385404</v>
      </c>
      <c r="J80" s="61">
        <f t="shared" si="22"/>
        <v>-295372.86475751776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x14ac:dyDescent="0.3">
      <c r="A81" s="16"/>
      <c r="B81" s="13" t="s">
        <v>49</v>
      </c>
      <c r="C81" s="61">
        <f t="shared" ref="C81:J81" si="23">(C76+C77)/12</f>
        <v>-4263.166666666667</v>
      </c>
      <c r="D81" s="61">
        <f t="shared" si="23"/>
        <v>-10045.333333333334</v>
      </c>
      <c r="E81" s="61">
        <f t="shared" si="23"/>
        <v>-18224.75</v>
      </c>
      <c r="F81" s="61">
        <f t="shared" si="23"/>
        <v>-33215.928351666669</v>
      </c>
      <c r="G81" s="61">
        <f t="shared" si="23"/>
        <v>-60506.668719016256</v>
      </c>
      <c r="H81" s="61">
        <f t="shared" si="23"/>
        <v>-96838.681628074017</v>
      </c>
      <c r="I81" s="61">
        <f t="shared" si="23"/>
        <v>-147477.60018814856</v>
      </c>
      <c r="J81" s="61">
        <f t="shared" si="23"/>
        <v>-273220.08541343879</v>
      </c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x14ac:dyDescent="0.3">
      <c r="A82" s="16"/>
      <c r="B82" s="16"/>
      <c r="C82" s="1"/>
      <c r="D82" s="1"/>
      <c r="E82" s="16"/>
      <c r="F82" s="16"/>
      <c r="G82" s="16"/>
      <c r="H82" s="16"/>
      <c r="I82" s="16"/>
      <c r="J82" s="16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x14ac:dyDescent="0.3">
      <c r="A83" s="16"/>
      <c r="B83" s="16"/>
      <c r="C83" s="1"/>
      <c r="D83" s="1"/>
      <c r="E83" s="16"/>
      <c r="F83" s="16"/>
      <c r="G83" s="16"/>
      <c r="H83" s="16"/>
      <c r="I83" s="16"/>
      <c r="J83" s="16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x14ac:dyDescent="0.3">
      <c r="A84" s="16"/>
      <c r="B84" s="123" t="s">
        <v>27</v>
      </c>
      <c r="C84" s="124">
        <f t="shared" ref="C84:J84" si="24">C72+C78</f>
        <v>-46882</v>
      </c>
      <c r="D84" s="124">
        <f t="shared" si="24"/>
        <v>-99289</v>
      </c>
      <c r="E84" s="124">
        <f t="shared" si="24"/>
        <v>-162355</v>
      </c>
      <c r="F84" s="124">
        <f t="shared" si="24"/>
        <v>-254959.61500400002</v>
      </c>
      <c r="G84" s="124">
        <f t="shared" si="24"/>
        <v>-501887.36420136457</v>
      </c>
      <c r="H84" s="124">
        <f t="shared" si="24"/>
        <v>-685231.3528176964</v>
      </c>
      <c r="I84" s="124">
        <f t="shared" si="24"/>
        <v>-665856.92334186379</v>
      </c>
      <c r="J84" s="124">
        <f t="shared" si="24"/>
        <v>-1076370.9876453239</v>
      </c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x14ac:dyDescent="0.3">
      <c r="A85" s="16"/>
      <c r="B85" s="16"/>
      <c r="C85" s="1"/>
      <c r="D85" s="1"/>
      <c r="E85" s="1"/>
      <c r="F85" s="16"/>
      <c r="G85" s="16"/>
      <c r="H85" s="16"/>
      <c r="I85" s="16"/>
      <c r="J85" s="16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x14ac:dyDescent="0.3">
      <c r="A86" s="16"/>
      <c r="B86" s="129" t="s">
        <v>28</v>
      </c>
      <c r="C86" s="131">
        <v>-423</v>
      </c>
      <c r="D86" s="132">
        <f>SUM(C20:F20)</f>
        <v>-1794</v>
      </c>
      <c r="E86" s="132">
        <f>SUM(G20:J20)</f>
        <v>-8855</v>
      </c>
      <c r="F86" s="334"/>
      <c r="G86" s="334"/>
      <c r="H86" s="334"/>
      <c r="I86" s="334"/>
      <c r="J86" s="33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x14ac:dyDescent="0.3">
      <c r="A87" s="16"/>
      <c r="B87" s="129" t="s">
        <v>29</v>
      </c>
      <c r="C87" s="131">
        <v>-127</v>
      </c>
      <c r="D87" s="132">
        <f>SUM(C21:F21)</f>
        <v>-1869</v>
      </c>
      <c r="E87" s="132">
        <f>SUM(G21:J21)</f>
        <v>-4072</v>
      </c>
      <c r="F87" s="131">
        <v>-1985.699348887608</v>
      </c>
      <c r="G87" s="131">
        <v>1351.6541561793742</v>
      </c>
      <c r="H87" s="131">
        <v>10765.988922659197</v>
      </c>
      <c r="I87" s="131">
        <v>23512.065739912716</v>
      </c>
      <c r="J87" s="131">
        <v>35448.096580339698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x14ac:dyDescent="0.3">
      <c r="A88" s="16"/>
      <c r="B88" s="129" t="s">
        <v>30</v>
      </c>
      <c r="C88" s="131">
        <v>41</v>
      </c>
      <c r="D88" s="132">
        <f>SUM(C22:F22)</f>
        <v>126.123344</v>
      </c>
      <c r="E88" s="132">
        <f>SUM(G22:J22)</f>
        <v>-39.296120000000002</v>
      </c>
      <c r="F88" s="334"/>
      <c r="G88" s="334"/>
      <c r="H88" s="334"/>
      <c r="I88" s="334"/>
      <c r="J88" s="33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x14ac:dyDescent="0.3">
      <c r="A89" s="16"/>
      <c r="B89" s="16"/>
      <c r="C89" s="1"/>
      <c r="D89" s="1"/>
      <c r="E89" s="1"/>
      <c r="F89" s="16"/>
      <c r="G89" s="16"/>
      <c r="H89" s="16"/>
      <c r="I89" s="16"/>
      <c r="J89" s="16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x14ac:dyDescent="0.3">
      <c r="A90" s="16"/>
      <c r="B90" s="129" t="s">
        <v>31</v>
      </c>
      <c r="C90" s="130">
        <f t="shared" ref="C90:J90" si="25">SUM(C84:C88)</f>
        <v>-47391</v>
      </c>
      <c r="D90" s="130">
        <f t="shared" si="25"/>
        <v>-102825.87665599999</v>
      </c>
      <c r="E90" s="130">
        <f t="shared" si="25"/>
        <v>-175321.29612000001</v>
      </c>
      <c r="F90" s="130">
        <f t="shared" si="25"/>
        <v>-256945.31435288762</v>
      </c>
      <c r="G90" s="130">
        <f t="shared" si="25"/>
        <v>-500535.71004518517</v>
      </c>
      <c r="H90" s="130">
        <f t="shared" si="25"/>
        <v>-674465.36389503721</v>
      </c>
      <c r="I90" s="130">
        <f t="shared" si="25"/>
        <v>-642344.85760195111</v>
      </c>
      <c r="J90" s="130">
        <f t="shared" si="25"/>
        <v>-1040922.8910649841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x14ac:dyDescent="0.3">
      <c r="A91" s="16"/>
      <c r="B91" s="127" t="s">
        <v>32</v>
      </c>
      <c r="C91" s="136">
        <v>1</v>
      </c>
      <c r="D91" s="137">
        <f>SUM(C25:F25)</f>
        <v>54.550021999999998</v>
      </c>
      <c r="E91" s="137">
        <f>SUM(G25:J25)</f>
        <v>-2065.7971579999999</v>
      </c>
      <c r="F91" s="140">
        <v>0</v>
      </c>
      <c r="G91" s="141">
        <v>0</v>
      </c>
      <c r="H91" s="141">
        <v>0</v>
      </c>
      <c r="I91" s="141">
        <v>0</v>
      </c>
      <c r="J91" s="136">
        <v>0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x14ac:dyDescent="0.3">
      <c r="A92" s="16"/>
      <c r="B92" s="125" t="s">
        <v>33</v>
      </c>
      <c r="C92" s="126">
        <f>C90-C91</f>
        <v>-47392</v>
      </c>
      <c r="D92" s="126">
        <f>D90-D91</f>
        <v>-102880.42667799999</v>
      </c>
      <c r="E92" s="126">
        <f>E90-E91</f>
        <v>-173255.49896200001</v>
      </c>
      <c r="F92" s="142">
        <v>-250369.6993488876</v>
      </c>
      <c r="G92" s="142">
        <v>-390349.91384382051</v>
      </c>
      <c r="H92" s="142">
        <v>-565460.05267734092</v>
      </c>
      <c r="I92" s="142">
        <v>-746535.46258008759</v>
      </c>
      <c r="J92" s="142">
        <v>-844606.2214996604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x14ac:dyDescent="0.3">
      <c r="A93" s="16"/>
      <c r="B93" s="13" t="s">
        <v>34</v>
      </c>
      <c r="C93" s="22">
        <v>-90</v>
      </c>
      <c r="D93" s="22">
        <v>-186</v>
      </c>
      <c r="E93" s="22">
        <v>-380</v>
      </c>
      <c r="F93" s="16"/>
      <c r="G93" s="16"/>
      <c r="H93" s="16"/>
      <c r="I93" s="16"/>
      <c r="J93" s="16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x14ac:dyDescent="0.3">
      <c r="A94" s="16"/>
      <c r="B94" s="16"/>
      <c r="C94" s="1"/>
      <c r="D94" s="1"/>
      <c r="E94" s="1"/>
      <c r="F94" s="16"/>
      <c r="G94" s="16"/>
      <c r="H94" s="16"/>
      <c r="I94" s="16"/>
      <c r="J94" s="16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x14ac:dyDescent="0.3">
      <c r="A95" s="16"/>
      <c r="B95" s="127" t="s">
        <v>35</v>
      </c>
      <c r="C95" s="128">
        <f t="shared" ref="C95:J95" si="26">SUM(C92:C93)</f>
        <v>-47482</v>
      </c>
      <c r="D95" s="128">
        <f t="shared" si="26"/>
        <v>-103066.42667799999</v>
      </c>
      <c r="E95" s="128">
        <f t="shared" si="26"/>
        <v>-173635.49896200001</v>
      </c>
      <c r="F95" s="128">
        <f t="shared" si="26"/>
        <v>-250369.6993488876</v>
      </c>
      <c r="G95" s="128">
        <f t="shared" si="26"/>
        <v>-390349.91384382051</v>
      </c>
      <c r="H95" s="128">
        <f t="shared" si="26"/>
        <v>-565460.05267734092</v>
      </c>
      <c r="I95" s="128">
        <f t="shared" si="26"/>
        <v>-746535.46258008759</v>
      </c>
      <c r="J95" s="128">
        <f t="shared" si="26"/>
        <v>-844606.2214996604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x14ac:dyDescent="0.3">
      <c r="A96" s="16"/>
      <c r="B96" s="16"/>
      <c r="C96" s="1"/>
      <c r="D96" s="1"/>
      <c r="E96" s="1"/>
      <c r="F96" s="16"/>
      <c r="G96" s="16"/>
      <c r="H96" s="16"/>
      <c r="I96" s="16"/>
      <c r="J96" s="16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x14ac:dyDescent="0.3">
      <c r="A97" s="16"/>
      <c r="B97" s="143" t="s">
        <v>40</v>
      </c>
      <c r="C97" s="334"/>
      <c r="D97" s="334"/>
      <c r="E97" s="333"/>
      <c r="F97" s="144">
        <f>F84+'BS-CF-WC'!F59</f>
        <v>-225666.1800527607</v>
      </c>
      <c r="G97" s="144">
        <f>G84+'BS-CF-WC'!G59</f>
        <v>-465506.14314276318</v>
      </c>
      <c r="H97" s="144">
        <f>H84+'BS-CF-WC'!H59</f>
        <v>-633568.62974636839</v>
      </c>
      <c r="I97" s="144">
        <f>I84+'BS-CF-WC'!I59</f>
        <v>-581537.62564732425</v>
      </c>
      <c r="J97" s="144">
        <f>J84+'BS-CF-WC'!J59</f>
        <v>-992051.68995078432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x14ac:dyDescent="0.3">
      <c r="A99" s="16"/>
      <c r="B99" s="145" t="s">
        <v>50</v>
      </c>
      <c r="C99" s="81"/>
      <c r="D99" s="81"/>
      <c r="E99" s="81"/>
      <c r="F99" s="81"/>
      <c r="G99" s="81"/>
      <c r="H99" s="81"/>
      <c r="I99" s="81"/>
      <c r="J99" s="81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x14ac:dyDescent="0.3">
      <c r="A101" s="16"/>
      <c r="B101" s="146" t="s">
        <v>19</v>
      </c>
      <c r="C101" s="147">
        <f>C70</f>
        <v>23669</v>
      </c>
      <c r="D101" s="147">
        <f>D70</f>
        <v>66258</v>
      </c>
      <c r="E101" s="147">
        <f>E70</f>
        <v>130322</v>
      </c>
      <c r="F101" s="147">
        <f>E101*(1+F102)</f>
        <v>260644</v>
      </c>
      <c r="G101" s="147">
        <f>F101*(1+G102)</f>
        <v>461881.49823199998</v>
      </c>
      <c r="H101" s="147">
        <f>G101*(1+H102)</f>
        <v>892804.92716350197</v>
      </c>
      <c r="I101" s="148">
        <f>H101*(1+I102)</f>
        <v>1737509.0960711432</v>
      </c>
      <c r="J101" s="148">
        <f>I101*(1+J102)</f>
        <v>3070555.6122315573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x14ac:dyDescent="0.3">
      <c r="A102" s="16"/>
      <c r="B102" s="149" t="s">
        <v>41</v>
      </c>
      <c r="C102" s="336"/>
      <c r="D102" s="150">
        <f>D101/C101-1</f>
        <v>1.7993578097934004</v>
      </c>
      <c r="E102" s="150">
        <f>E101/D101-1</f>
        <v>0.96688701741676475</v>
      </c>
      <c r="F102" s="151">
        <f>Drivers!F7</f>
        <v>1</v>
      </c>
      <c r="G102" s="151">
        <f>Drivers!G7</f>
        <v>0.77207800000000004</v>
      </c>
      <c r="H102" s="151">
        <f>Drivers!H7</f>
        <v>0.93297399999999997</v>
      </c>
      <c r="I102" s="152">
        <f>Drivers!I7</f>
        <v>0.94612399999999997</v>
      </c>
      <c r="J102" s="152">
        <f>Drivers!J7</f>
        <v>0.76721700000000004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x14ac:dyDescent="0.3">
      <c r="A103" s="16"/>
      <c r="B103" s="24"/>
      <c r="C103" s="1"/>
      <c r="D103" s="1"/>
      <c r="E103" s="1"/>
      <c r="F103" s="2"/>
      <c r="G103" s="2"/>
      <c r="H103" s="2"/>
      <c r="I103" s="25"/>
      <c r="J103" s="25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x14ac:dyDescent="0.3">
      <c r="A104" s="16"/>
      <c r="B104" s="153" t="s">
        <v>20</v>
      </c>
      <c r="C104" s="22">
        <v>-5747</v>
      </c>
      <c r="D104" s="22">
        <v>-15130</v>
      </c>
      <c r="E104" s="22">
        <v>-25528</v>
      </c>
      <c r="F104" s="61">
        <f>F101*F105</f>
        <v>-49941.736195999998</v>
      </c>
      <c r="G104" s="61">
        <f>G101*G105</f>
        <v>-100999.62721839144</v>
      </c>
      <c r="H104" s="61">
        <f>H101*H105</f>
        <v>-213361.62868860652</v>
      </c>
      <c r="I104" s="154">
        <f>I101*I105</f>
        <v>-414753.84628675831</v>
      </c>
      <c r="J104" s="154">
        <f>J101*J105</f>
        <v>-602452.22278666822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x14ac:dyDescent="0.3">
      <c r="A105" s="16"/>
      <c r="B105" s="155" t="s">
        <v>42</v>
      </c>
      <c r="C105" s="156">
        <v>-0.302539</v>
      </c>
      <c r="D105" s="156">
        <v>-0.22572800000000001</v>
      </c>
      <c r="E105" s="156">
        <v>-0.23244799999999999</v>
      </c>
      <c r="F105" s="151">
        <f>Drivers!F8</f>
        <v>-0.191609</v>
      </c>
      <c r="G105" s="151">
        <f>Drivers!G8</f>
        <v>-0.21867</v>
      </c>
      <c r="H105" s="151">
        <f>Drivers!H8</f>
        <v>-0.238979</v>
      </c>
      <c r="I105" s="152">
        <f>Drivers!I8</f>
        <v>-0.238706</v>
      </c>
      <c r="J105" s="152">
        <f>Drivers!J8</f>
        <v>-0.19620299999999999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x14ac:dyDescent="0.3">
      <c r="A106" s="16"/>
      <c r="B106" s="157" t="s">
        <v>23</v>
      </c>
      <c r="C106" s="22">
        <v>-15084</v>
      </c>
      <c r="D106" s="22">
        <v>-25873</v>
      </c>
      <c r="E106" s="22">
        <v>-39781</v>
      </c>
      <c r="F106" s="61">
        <f>F107*F101</f>
        <v>-67070.738587999993</v>
      </c>
      <c r="G106" s="61">
        <f>G107*G101</f>
        <v>-136689.21058677806</v>
      </c>
      <c r="H106" s="61">
        <f>H107*H101</f>
        <v>-202610.47175570365</v>
      </c>
      <c r="I106" s="154">
        <f>I107*I101</f>
        <v>-218880.97086846619</v>
      </c>
      <c r="J106" s="154">
        <f>J107*J101</f>
        <v>-265833.3521289471</v>
      </c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x14ac:dyDescent="0.3">
      <c r="A107" s="16"/>
      <c r="B107" s="155" t="s">
        <v>42</v>
      </c>
      <c r="C107" s="156">
        <v>-0.65205299999999999</v>
      </c>
      <c r="D107" s="156">
        <v>-0.53334499999999996</v>
      </c>
      <c r="E107" s="156">
        <v>-0.34353499999999998</v>
      </c>
      <c r="F107" s="151">
        <f>Drivers!F9</f>
        <v>-0.25732699999999997</v>
      </c>
      <c r="G107" s="151">
        <f>Drivers!G9</f>
        <v>-0.29593999999999998</v>
      </c>
      <c r="H107" s="151">
        <f>Drivers!H9</f>
        <v>-0.226937</v>
      </c>
      <c r="I107" s="152">
        <f>Drivers!I9</f>
        <v>-0.125974</v>
      </c>
      <c r="J107" s="152">
        <f>Drivers!J9</f>
        <v>-8.6574999999999999E-2</v>
      </c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x14ac:dyDescent="0.3">
      <c r="A108" s="16"/>
      <c r="B108" s="157" t="s">
        <v>24</v>
      </c>
      <c r="C108" s="22">
        <v>-34912</v>
      </c>
      <c r="D108" s="22">
        <v>-100511</v>
      </c>
      <c r="E108" s="22">
        <v>-140371</v>
      </c>
      <c r="F108" s="61">
        <f>F109*F101</f>
        <v>-328274.34125599999</v>
      </c>
      <c r="G108" s="61">
        <f>G109*G101</f>
        <v>-575232.76047611155</v>
      </c>
      <c r="H108" s="61">
        <f>H109*H101</f>
        <v>-892804.92716350197</v>
      </c>
      <c r="I108" s="154">
        <f>I109*I101</f>
        <v>-1400522.6819063372</v>
      </c>
      <c r="J108" s="154">
        <f>J109*J101</f>
        <v>-2470940.5828305911</v>
      </c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x14ac:dyDescent="0.3">
      <c r="A109" s="16"/>
      <c r="B109" s="155" t="s">
        <v>42</v>
      </c>
      <c r="C109" s="156">
        <v>-1.867094</v>
      </c>
      <c r="D109" s="156">
        <v>-1.374587</v>
      </c>
      <c r="E109" s="156">
        <v>-1.6207860000000001</v>
      </c>
      <c r="F109" s="151">
        <f>Drivers!F10</f>
        <v>-1.259474</v>
      </c>
      <c r="G109" s="151">
        <f>Drivers!G10</f>
        <v>-1.245412</v>
      </c>
      <c r="H109" s="151">
        <f>Drivers!H10</f>
        <v>-1</v>
      </c>
      <c r="I109" s="152">
        <f>Drivers!I10</f>
        <v>-0.80605199999999999</v>
      </c>
      <c r="J109" s="152">
        <f>Drivers!J10</f>
        <v>-0.80472100000000002</v>
      </c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x14ac:dyDescent="0.3">
      <c r="A110" s="16"/>
      <c r="B110" s="157" t="s">
        <v>25</v>
      </c>
      <c r="C110" s="22">
        <v>-15652</v>
      </c>
      <c r="D110" s="22">
        <v>-27263</v>
      </c>
      <c r="E110" s="22">
        <v>-33359</v>
      </c>
      <c r="F110" s="61">
        <f>F111*F101</f>
        <v>-70316.798964000001</v>
      </c>
      <c r="G110" s="61">
        <f>G111*G101</f>
        <v>-150847.26415208358</v>
      </c>
      <c r="H110" s="61">
        <f>H111*H101</f>
        <v>-269259.25237338623</v>
      </c>
      <c r="I110" s="154">
        <f>I111*I101</f>
        <v>-369208.52035144542</v>
      </c>
      <c r="J110" s="154">
        <f>J111*J101</f>
        <v>-807700.44213067438</v>
      </c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x14ac:dyDescent="0.3">
      <c r="A111" s="16"/>
      <c r="B111" s="155" t="s">
        <v>42</v>
      </c>
      <c r="C111" s="156">
        <v>-0.73924900000000004</v>
      </c>
      <c r="D111" s="156">
        <v>-0.43127100000000002</v>
      </c>
      <c r="E111" s="156">
        <v>-0.34769699999999998</v>
      </c>
      <c r="F111" s="151">
        <f>Drivers!F11</f>
        <v>-0.26978099999999999</v>
      </c>
      <c r="G111" s="151">
        <f>Drivers!G11</f>
        <v>-0.32659300000000002</v>
      </c>
      <c r="H111" s="151">
        <f>Drivers!H11</f>
        <v>-0.30158800000000002</v>
      </c>
      <c r="I111" s="152">
        <f>Drivers!I11</f>
        <v>-0.21249299999999999</v>
      </c>
      <c r="J111" s="152">
        <f>Drivers!J11</f>
        <v>-0.26304699999999998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x14ac:dyDescent="0.3">
      <c r="A112" s="16"/>
      <c r="B112" s="27"/>
      <c r="C112" s="1"/>
      <c r="D112" s="1"/>
      <c r="E112" s="1"/>
      <c r="F112" s="1"/>
      <c r="G112" s="1"/>
      <c r="H112" s="1"/>
      <c r="I112" s="26"/>
      <c r="J112" s="26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x14ac:dyDescent="0.3">
      <c r="A113" s="16"/>
      <c r="B113" s="149" t="s">
        <v>26</v>
      </c>
      <c r="C113" s="131">
        <v>-67860</v>
      </c>
      <c r="D113" s="131">
        <v>-198196</v>
      </c>
      <c r="E113" s="131">
        <v>-292062</v>
      </c>
      <c r="F113" s="130">
        <f>F110+F108+F106+F104</f>
        <v>-515603.61500400002</v>
      </c>
      <c r="G113" s="130">
        <f>G110+G108+G106+G104</f>
        <v>-963768.8624333645</v>
      </c>
      <c r="H113" s="130">
        <f>H110+H108+H106+H104</f>
        <v>-1578036.2799811983</v>
      </c>
      <c r="I113" s="158">
        <f>I110+I108+I106+I104</f>
        <v>-2403366.0194130074</v>
      </c>
      <c r="J113" s="158">
        <f>J110+J108+J106+J104</f>
        <v>-4146926.5998768811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x14ac:dyDescent="0.3">
      <c r="A114" s="16"/>
      <c r="B114" s="157" t="s">
        <v>42</v>
      </c>
      <c r="C114" s="33">
        <v>-2.96292</v>
      </c>
      <c r="D114" s="33">
        <v>-2.6611210000000001</v>
      </c>
      <c r="E114" s="33">
        <v>-2.2606009999999999</v>
      </c>
      <c r="F114" s="159">
        <f>F113/F101</f>
        <v>-1.978191</v>
      </c>
      <c r="G114" s="159">
        <f>G113/G101</f>
        <v>-2.0866149999999997</v>
      </c>
      <c r="H114" s="159">
        <f>H113/H101</f>
        <v>-1.767504</v>
      </c>
      <c r="I114" s="160">
        <f>I113/I101</f>
        <v>-1.3832250000000001</v>
      </c>
      <c r="J114" s="160">
        <f>J113/J101</f>
        <v>-1.350546</v>
      </c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x14ac:dyDescent="0.3">
      <c r="A115" s="16"/>
      <c r="B115" s="24"/>
      <c r="C115" s="1"/>
      <c r="D115" s="1"/>
      <c r="E115" s="1"/>
      <c r="F115" s="1"/>
      <c r="G115" s="1"/>
      <c r="H115" s="1"/>
      <c r="I115" s="26"/>
      <c r="J115" s="26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x14ac:dyDescent="0.3">
      <c r="A116" s="16"/>
      <c r="B116" s="153" t="s">
        <v>43</v>
      </c>
      <c r="C116" s="22">
        <v>-40123</v>
      </c>
      <c r="D116" s="22">
        <v>-96740</v>
      </c>
      <c r="E116" s="22">
        <v>-149567</v>
      </c>
      <c r="F116" s="61">
        <f>F101+F113</f>
        <v>-254959.61500400002</v>
      </c>
      <c r="G116" s="61">
        <f>G101+G113</f>
        <v>-501887.36420136451</v>
      </c>
      <c r="H116" s="61">
        <f>H101+H113</f>
        <v>-685231.35281769629</v>
      </c>
      <c r="I116" s="154">
        <f>I101+I113</f>
        <v>-665856.92334186425</v>
      </c>
      <c r="J116" s="154">
        <f>J101+J113</f>
        <v>-1076370.9876453239</v>
      </c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x14ac:dyDescent="0.3">
      <c r="A117" s="16"/>
      <c r="B117" s="157" t="s">
        <v>42</v>
      </c>
      <c r="C117" s="33">
        <v>-2.667716</v>
      </c>
      <c r="D117" s="33">
        <v>-1.6880649999999999</v>
      </c>
      <c r="E117" s="33">
        <v>-1.4477370000000001</v>
      </c>
      <c r="F117" s="159">
        <f>F116/F101</f>
        <v>-0.97819100000000003</v>
      </c>
      <c r="G117" s="159">
        <f>G116/G101</f>
        <v>-1.0866149999999997</v>
      </c>
      <c r="H117" s="159">
        <f>H116/H101</f>
        <v>-0.76750399999999985</v>
      </c>
      <c r="I117" s="160">
        <f>I116/I101</f>
        <v>-0.38322500000000026</v>
      </c>
      <c r="J117" s="160">
        <f>J116/J101</f>
        <v>-0.35054600000000014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x14ac:dyDescent="0.3">
      <c r="A118" s="16"/>
      <c r="B118" s="24"/>
      <c r="C118" s="1"/>
      <c r="D118" s="1"/>
      <c r="E118" s="1"/>
      <c r="F118" s="1"/>
      <c r="G118" s="1"/>
      <c r="H118" s="1"/>
      <c r="I118" s="26"/>
      <c r="J118" s="26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x14ac:dyDescent="0.3">
      <c r="A119" s="16"/>
      <c r="B119" s="161" t="s">
        <v>44</v>
      </c>
      <c r="C119" s="28"/>
      <c r="D119" s="28"/>
      <c r="E119" s="162">
        <v>1.4827E-2</v>
      </c>
      <c r="F119" s="163">
        <v>0.3</v>
      </c>
      <c r="G119" s="163">
        <v>0.3</v>
      </c>
      <c r="H119" s="163">
        <v>0.3</v>
      </c>
      <c r="I119" s="163">
        <v>0.3</v>
      </c>
      <c r="J119" s="164">
        <v>0.3</v>
      </c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x14ac:dyDescent="0.3">
      <c r="A122" s="16"/>
      <c r="B122" s="145" t="s">
        <v>51</v>
      </c>
      <c r="C122" s="81"/>
      <c r="D122" s="81"/>
      <c r="E122" s="81"/>
      <c r="F122" s="81"/>
      <c r="G122" s="81"/>
      <c r="H122" s="81"/>
      <c r="I122" s="81"/>
      <c r="J122" s="81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x14ac:dyDescent="0.3">
      <c r="A124" s="16"/>
      <c r="B124" s="146" t="s">
        <v>19</v>
      </c>
      <c r="C124" s="147">
        <f t="shared" ref="C124:J124" si="27">C70</f>
        <v>23669</v>
      </c>
      <c r="D124" s="147">
        <f t="shared" si="27"/>
        <v>66258</v>
      </c>
      <c r="E124" s="147">
        <f t="shared" si="27"/>
        <v>130322</v>
      </c>
      <c r="F124" s="147">
        <f t="shared" si="27"/>
        <v>260644</v>
      </c>
      <c r="G124" s="147">
        <f t="shared" si="27"/>
        <v>461881.49823199998</v>
      </c>
      <c r="H124" s="147">
        <f t="shared" si="27"/>
        <v>892804.92716350197</v>
      </c>
      <c r="I124" s="148">
        <f t="shared" si="27"/>
        <v>1737509.0960711432</v>
      </c>
      <c r="J124" s="148">
        <f t="shared" si="27"/>
        <v>3070555.6122315573</v>
      </c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x14ac:dyDescent="0.3">
      <c r="A125" s="16"/>
      <c r="B125" s="153" t="s">
        <v>52</v>
      </c>
      <c r="C125" s="22">
        <v>14185</v>
      </c>
      <c r="D125" s="22">
        <v>35537</v>
      </c>
      <c r="E125" s="22">
        <v>106751</v>
      </c>
      <c r="F125" s="22">
        <v>193492.4444444445</v>
      </c>
      <c r="G125" s="22">
        <v>340312.07901234564</v>
      </c>
      <c r="H125" s="22">
        <v>651148.27676268911</v>
      </c>
      <c r="I125" s="165">
        <v>1124905.5781789357</v>
      </c>
      <c r="J125" s="165">
        <v>1986433.9804479682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x14ac:dyDescent="0.3">
      <c r="A126" s="16"/>
      <c r="B126" s="153" t="s">
        <v>53</v>
      </c>
      <c r="C126" s="22">
        <v>-3198</v>
      </c>
      <c r="D126" s="22">
        <v>-11845</v>
      </c>
      <c r="E126" s="22">
        <v>-41394</v>
      </c>
      <c r="F126" s="61">
        <f>-E125</f>
        <v>-106751</v>
      </c>
      <c r="G126" s="61">
        <f>-F125</f>
        <v>-193492.4444444445</v>
      </c>
      <c r="H126" s="61">
        <f>-G125</f>
        <v>-340312.07901234564</v>
      </c>
      <c r="I126" s="154">
        <f>-H125</f>
        <v>-651148.27676268911</v>
      </c>
      <c r="J126" s="154">
        <f>-I125</f>
        <v>-1124905.5781789357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x14ac:dyDescent="0.3">
      <c r="A127" s="16"/>
      <c r="B127" s="149" t="s">
        <v>54</v>
      </c>
      <c r="C127" s="130">
        <f t="shared" ref="C127:J127" si="28">SUM(C124:C126)</f>
        <v>34656</v>
      </c>
      <c r="D127" s="130">
        <f t="shared" si="28"/>
        <v>89950</v>
      </c>
      <c r="E127" s="130">
        <f t="shared" si="28"/>
        <v>195679</v>
      </c>
      <c r="F127" s="130">
        <f t="shared" si="28"/>
        <v>347385.4444444445</v>
      </c>
      <c r="G127" s="130">
        <f t="shared" si="28"/>
        <v>608701.13279990107</v>
      </c>
      <c r="H127" s="130">
        <f t="shared" si="28"/>
        <v>1203641.1249138457</v>
      </c>
      <c r="I127" s="158">
        <f t="shared" si="28"/>
        <v>2211266.3974873899</v>
      </c>
      <c r="J127" s="158">
        <f t="shared" si="28"/>
        <v>3932084.01450059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x14ac:dyDescent="0.3">
      <c r="A128" s="16"/>
      <c r="B128" s="153" t="s">
        <v>55</v>
      </c>
      <c r="C128" s="33">
        <v>1.612328</v>
      </c>
      <c r="D128" s="10">
        <f t="shared" ref="D128:J128" si="29">D127/C127-1</f>
        <v>1.5955101569713759</v>
      </c>
      <c r="E128" s="10">
        <f t="shared" si="29"/>
        <v>1.1754196775986658</v>
      </c>
      <c r="F128" s="10">
        <f t="shared" si="29"/>
        <v>0.77528219402411347</v>
      </c>
      <c r="G128" s="10">
        <f t="shared" si="29"/>
        <v>0.752235571566233</v>
      </c>
      <c r="H128" s="10">
        <f t="shared" si="29"/>
        <v>0.97739261528451893</v>
      </c>
      <c r="I128" s="166">
        <f t="shared" si="29"/>
        <v>0.83714759467500577</v>
      </c>
      <c r="J128" s="166">
        <f t="shared" si="29"/>
        <v>0.77820457045271652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x14ac:dyDescent="0.3">
      <c r="A129" s="16"/>
      <c r="B129" s="24"/>
      <c r="C129" s="16"/>
      <c r="D129" s="16"/>
      <c r="E129" s="16"/>
      <c r="F129" s="16"/>
      <c r="G129" s="16"/>
      <c r="H129" s="16"/>
      <c r="I129" s="30"/>
      <c r="J129" s="30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x14ac:dyDescent="0.3">
      <c r="A130" s="16"/>
      <c r="B130" s="161" t="s">
        <v>56</v>
      </c>
      <c r="C130" s="167">
        <f>C125/C127</f>
        <v>0.40930863342566942</v>
      </c>
      <c r="D130" s="167">
        <f>D125/D127</f>
        <v>0.39507504168982766</v>
      </c>
      <c r="E130" s="167">
        <f>E125/E127</f>
        <v>0.5455414224316355</v>
      </c>
      <c r="F130" s="34">
        <v>0.55000000000000004</v>
      </c>
      <c r="G130" s="34">
        <v>0.55000000000000004</v>
      </c>
      <c r="H130" s="34">
        <v>0.55000000000000004</v>
      </c>
      <c r="I130" s="35">
        <v>0.55000000000000004</v>
      </c>
      <c r="J130" s="35">
        <v>0.55000000000000004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</sheetData>
  <mergeCells count="3">
    <mergeCell ref="C4:J4"/>
    <mergeCell ref="C67:E67"/>
    <mergeCell ref="F67:J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8"/>
  <sheetViews>
    <sheetView showGridLines="0" workbookViewId="0">
      <pane xSplit="2" ySplit="1" topLeftCell="C82" activePane="bottomRight" state="frozen"/>
      <selection pane="topRight" activeCell="C82" sqref="C82"/>
      <selection pane="bottomLeft" activeCell="C82" sqref="C82"/>
      <selection pane="bottomRight" activeCell="C82" sqref="C82"/>
    </sheetView>
  </sheetViews>
  <sheetFormatPr defaultRowHeight="14.4" x14ac:dyDescent="0.3"/>
  <cols>
    <col min="1" max="1" width="2.6640625" customWidth="1"/>
    <col min="2" max="2" width="73.44140625" customWidth="1"/>
    <col min="3" max="3" width="10.44140625" hidden="1" customWidth="1"/>
    <col min="4" max="7" width="12.44140625" customWidth="1"/>
    <col min="8" max="10" width="14" customWidth="1"/>
    <col min="11" max="13" width="9.109375" customWidth="1"/>
    <col min="14" max="26" width="9.109375" style="311" customWidth="1"/>
  </cols>
  <sheetData>
    <row r="1" spans="1:26" x14ac:dyDescent="0.3">
      <c r="A1" s="306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3">
      <c r="A2" s="312" t="s">
        <v>57</v>
      </c>
      <c r="B2" s="145"/>
      <c r="C2" s="145"/>
      <c r="D2" s="145"/>
      <c r="E2" s="145"/>
      <c r="F2" s="145"/>
      <c r="G2" s="145"/>
      <c r="H2" s="145"/>
      <c r="I2" s="145"/>
      <c r="J2" s="1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3">
      <c r="A3" s="20"/>
      <c r="B3" s="16"/>
      <c r="C3" s="16"/>
      <c r="D3" s="16"/>
      <c r="E3" s="16"/>
      <c r="F3" s="16"/>
      <c r="G3" s="16"/>
      <c r="H3" s="16"/>
      <c r="I3" s="16"/>
      <c r="J3" s="16"/>
      <c r="K3" s="16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3">
      <c r="A4" s="16"/>
      <c r="B4" s="36"/>
      <c r="C4" s="168">
        <f>'P&amp;L'!C68</f>
        <v>40908</v>
      </c>
      <c r="D4" s="168">
        <f>'P&amp;L'!D68</f>
        <v>41305</v>
      </c>
      <c r="E4" s="168">
        <f>'P&amp;L'!E68</f>
        <v>41670</v>
      </c>
      <c r="F4" s="168">
        <f>'P&amp;L'!F68</f>
        <v>42035</v>
      </c>
      <c r="G4" s="168">
        <f>'P&amp;L'!G68</f>
        <v>42400</v>
      </c>
      <c r="H4" s="168">
        <f>'P&amp;L'!H68</f>
        <v>42766</v>
      </c>
      <c r="I4" s="168">
        <f>'P&amp;L'!I68</f>
        <v>43131</v>
      </c>
      <c r="J4" s="168">
        <f>'P&amp;L'!J68</f>
        <v>43496</v>
      </c>
      <c r="K4" s="16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3">
      <c r="A6" s="16"/>
      <c r="B6" s="145" t="s">
        <v>58</v>
      </c>
      <c r="C6" s="81"/>
      <c r="D6" s="81"/>
      <c r="E6" s="81"/>
      <c r="F6" s="81"/>
      <c r="G6" s="81"/>
      <c r="H6" s="81"/>
      <c r="I6" s="81"/>
      <c r="J6" s="81"/>
      <c r="K6" s="16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3">
      <c r="A7" s="16"/>
      <c r="B7" s="13" t="s">
        <v>59</v>
      </c>
      <c r="C7" s="16"/>
      <c r="D7" s="16"/>
      <c r="E7" s="16"/>
      <c r="F7" s="16"/>
      <c r="G7" s="16"/>
      <c r="H7" s="16"/>
      <c r="I7" s="16"/>
      <c r="J7" s="16"/>
      <c r="K7" s="16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3">
      <c r="A8" s="16"/>
      <c r="B8" s="13" t="s">
        <v>60</v>
      </c>
      <c r="C8" s="37"/>
      <c r="D8" s="40">
        <v>102958</v>
      </c>
      <c r="E8" s="40">
        <v>101561</v>
      </c>
      <c r="F8" s="169">
        <f>F99</f>
        <v>206118.43488876079</v>
      </c>
      <c r="G8" s="169">
        <f>G99</f>
        <v>100000.00000000003</v>
      </c>
      <c r="H8" s="169">
        <f>H99</f>
        <v>99999.999999999971</v>
      </c>
      <c r="I8" s="169">
        <f>I99</f>
        <v>100000.00000000003</v>
      </c>
      <c r="J8" s="169">
        <f>J99</f>
        <v>100000</v>
      </c>
      <c r="K8" s="16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3">
      <c r="A9" s="16"/>
      <c r="B9" s="13" t="s">
        <v>61</v>
      </c>
      <c r="C9" s="37"/>
      <c r="D9" s="40">
        <v>17352</v>
      </c>
      <c r="E9" s="40">
        <v>49977</v>
      </c>
      <c r="F9" s="169">
        <f t="shared" ref="F9:J11" si="0">F110</f>
        <v>0</v>
      </c>
      <c r="G9" s="169">
        <f t="shared" si="0"/>
        <v>0</v>
      </c>
      <c r="H9" s="169">
        <f t="shared" si="0"/>
        <v>0</v>
      </c>
      <c r="I9" s="169">
        <f t="shared" si="0"/>
        <v>0</v>
      </c>
      <c r="J9" s="169">
        <f t="shared" si="0"/>
        <v>0</v>
      </c>
      <c r="K9" s="1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3">
      <c r="A10" s="16"/>
      <c r="B10" s="13" t="s">
        <v>62</v>
      </c>
      <c r="C10" s="37"/>
      <c r="D10" s="40">
        <v>8379</v>
      </c>
      <c r="E10" s="40">
        <v>8437</v>
      </c>
      <c r="F10" s="169">
        <f t="shared" si="0"/>
        <v>0</v>
      </c>
      <c r="G10" s="169">
        <f t="shared" si="0"/>
        <v>0</v>
      </c>
      <c r="H10" s="169">
        <f t="shared" si="0"/>
        <v>0</v>
      </c>
      <c r="I10" s="169">
        <f t="shared" si="0"/>
        <v>0</v>
      </c>
      <c r="J10" s="169">
        <f t="shared" si="0"/>
        <v>0</v>
      </c>
      <c r="K10" s="16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3">
      <c r="A11" s="16"/>
      <c r="B11" s="13" t="s">
        <v>63</v>
      </c>
      <c r="C11" s="37"/>
      <c r="D11" s="40">
        <v>8246</v>
      </c>
      <c r="E11" s="40">
        <v>7071</v>
      </c>
      <c r="F11" s="169">
        <f t="shared" si="0"/>
        <v>0</v>
      </c>
      <c r="G11" s="169">
        <f t="shared" si="0"/>
        <v>0</v>
      </c>
      <c r="H11" s="169">
        <f t="shared" si="0"/>
        <v>0</v>
      </c>
      <c r="I11" s="169">
        <f t="shared" si="0"/>
        <v>0</v>
      </c>
      <c r="J11" s="169">
        <f t="shared" si="0"/>
        <v>0</v>
      </c>
      <c r="K11" s="16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3">
      <c r="A12" s="16"/>
      <c r="B12" s="43" t="s">
        <v>64</v>
      </c>
      <c r="C12" s="337"/>
      <c r="D12" s="170">
        <f t="shared" ref="D12:J12" si="1">SUM(D8:D11)</f>
        <v>136935</v>
      </c>
      <c r="E12" s="170">
        <f t="shared" si="1"/>
        <v>167046</v>
      </c>
      <c r="F12" s="170">
        <f t="shared" si="1"/>
        <v>206118.43488876079</v>
      </c>
      <c r="G12" s="170">
        <f t="shared" si="1"/>
        <v>100000.00000000003</v>
      </c>
      <c r="H12" s="170">
        <f t="shared" si="1"/>
        <v>99999.999999999971</v>
      </c>
      <c r="I12" s="170">
        <f t="shared" si="1"/>
        <v>100000.00000000003</v>
      </c>
      <c r="J12" s="170">
        <f t="shared" si="1"/>
        <v>100000</v>
      </c>
      <c r="K12" s="1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3">
      <c r="A13" s="16"/>
      <c r="B13" s="16"/>
      <c r="C13" s="7"/>
      <c r="D13" s="7"/>
      <c r="E13" s="7"/>
      <c r="F13" s="7"/>
      <c r="G13" s="7"/>
      <c r="H13" s="7"/>
      <c r="I13" s="7"/>
      <c r="J13" s="7"/>
      <c r="K13" s="16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3">
      <c r="A14" s="16"/>
      <c r="B14" s="13" t="s">
        <v>65</v>
      </c>
      <c r="C14" s="37"/>
      <c r="D14" s="40">
        <v>32513</v>
      </c>
      <c r="E14" s="40">
        <v>35981</v>
      </c>
      <c r="F14" s="169">
        <f>'Debt-Capex-Amort'!F58</f>
        <v>20441.852940760677</v>
      </c>
      <c r="G14" s="169">
        <f>'Debt-Capex-Amort'!G58</f>
        <v>8850.9709800516284</v>
      </c>
      <c r="H14" s="169">
        <f>'Debt-Capex-Amort'!H58</f>
        <v>10565.787014069509</v>
      </c>
      <c r="I14" s="169">
        <f>'Debt-Capex-Amort'!I58</f>
        <v>29233.227661404526</v>
      </c>
      <c r="J14" s="169">
        <f>'Debt-Capex-Amort'!J58</f>
        <v>108786.88465543938</v>
      </c>
      <c r="K14" s="16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3">
      <c r="A15" s="16"/>
      <c r="B15" s="13" t="s">
        <v>66</v>
      </c>
      <c r="C15" s="38"/>
      <c r="D15" s="41">
        <v>715</v>
      </c>
      <c r="E15" s="40">
        <v>7419</v>
      </c>
      <c r="F15" s="169">
        <f>'Debt-Capex-Amort'!F148</f>
        <v>7242.4400000000005</v>
      </c>
      <c r="G15" s="169">
        <f>'Debt-Capex-Amort'!G148</f>
        <v>6864.8474911600006</v>
      </c>
      <c r="H15" s="169">
        <f>'Debt-Capex-Amort'!H148</f>
        <v>10409.872126977511</v>
      </c>
      <c r="I15" s="169">
        <f>'Debt-Capex-Amort'!I148</f>
        <v>18943.417607333227</v>
      </c>
      <c r="J15" s="169">
        <f>'Debt-Capex-Amort'!J148</f>
        <v>34142.195668491011</v>
      </c>
      <c r="K15" s="1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3">
      <c r="A16" s="16"/>
      <c r="B16" s="13" t="s">
        <v>67</v>
      </c>
      <c r="C16" s="38"/>
      <c r="D16" s="41">
        <v>0</v>
      </c>
      <c r="E16" s="40">
        <v>8669</v>
      </c>
      <c r="F16" s="88">
        <f t="shared" ref="F16:J17" si="2">E16</f>
        <v>8669</v>
      </c>
      <c r="G16" s="88">
        <f t="shared" si="2"/>
        <v>8669</v>
      </c>
      <c r="H16" s="88">
        <f t="shared" si="2"/>
        <v>8669</v>
      </c>
      <c r="I16" s="88">
        <f t="shared" si="2"/>
        <v>8669</v>
      </c>
      <c r="J16" s="88">
        <f t="shared" si="2"/>
        <v>8669</v>
      </c>
      <c r="K16" s="16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3">
      <c r="A17" s="16"/>
      <c r="B17" s="13" t="s">
        <v>68</v>
      </c>
      <c r="C17" s="37"/>
      <c r="D17" s="40">
        <v>3318</v>
      </c>
      <c r="E17" s="40">
        <v>11450</v>
      </c>
      <c r="F17" s="88">
        <f t="shared" si="2"/>
        <v>11450</v>
      </c>
      <c r="G17" s="88">
        <f t="shared" si="2"/>
        <v>11450</v>
      </c>
      <c r="H17" s="88">
        <f t="shared" si="2"/>
        <v>11450</v>
      </c>
      <c r="I17" s="88">
        <f t="shared" si="2"/>
        <v>11450</v>
      </c>
      <c r="J17" s="88">
        <f t="shared" si="2"/>
        <v>11450</v>
      </c>
      <c r="K17" s="16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3">
      <c r="A19" s="16"/>
      <c r="B19" s="125" t="s">
        <v>69</v>
      </c>
      <c r="C19" s="338"/>
      <c r="D19" s="171">
        <f t="shared" ref="D19:J19" si="3">SUM(D12:D17)</f>
        <v>173481</v>
      </c>
      <c r="E19" s="171">
        <f t="shared" si="3"/>
        <v>230565</v>
      </c>
      <c r="F19" s="171">
        <f t="shared" si="3"/>
        <v>253921.72782952146</v>
      </c>
      <c r="G19" s="171">
        <f t="shared" si="3"/>
        <v>135834.81847121165</v>
      </c>
      <c r="H19" s="171">
        <f t="shared" si="3"/>
        <v>141094.65914104698</v>
      </c>
      <c r="I19" s="171">
        <f t="shared" si="3"/>
        <v>168295.64526873778</v>
      </c>
      <c r="J19" s="171">
        <f t="shared" si="3"/>
        <v>263048.08032393036</v>
      </c>
      <c r="K19" s="16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3">
      <c r="A21" s="16"/>
      <c r="B21" s="145" t="s">
        <v>70</v>
      </c>
      <c r="C21" s="81"/>
      <c r="D21" s="81"/>
      <c r="E21" s="81"/>
      <c r="F21" s="81"/>
      <c r="G21" s="81"/>
      <c r="H21" s="81"/>
      <c r="I21" s="81"/>
      <c r="J21" s="81"/>
      <c r="K21" s="1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x14ac:dyDescent="0.3">
      <c r="A22" s="16"/>
      <c r="B22" s="13" t="s">
        <v>71</v>
      </c>
      <c r="C22" s="16"/>
      <c r="D22" s="16"/>
      <c r="E22" s="16"/>
      <c r="F22" s="16"/>
      <c r="G22" s="16"/>
      <c r="H22" s="16"/>
      <c r="I22" s="16"/>
      <c r="J22" s="16"/>
      <c r="K22" s="16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3">
      <c r="A23" s="16"/>
      <c r="B23" s="13" t="s">
        <v>72</v>
      </c>
      <c r="C23" s="37"/>
      <c r="D23" s="40">
        <v>13726</v>
      </c>
      <c r="E23" s="40">
        <v>14208</v>
      </c>
      <c r="F23" s="169">
        <f t="shared" ref="F23:J27" si="4">F115</f>
        <v>0</v>
      </c>
      <c r="G23" s="169">
        <f t="shared" si="4"/>
        <v>0</v>
      </c>
      <c r="H23" s="169">
        <f t="shared" si="4"/>
        <v>0</v>
      </c>
      <c r="I23" s="169">
        <f t="shared" si="4"/>
        <v>0</v>
      </c>
      <c r="J23" s="169">
        <f t="shared" si="4"/>
        <v>0</v>
      </c>
      <c r="K23" s="16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3">
      <c r="A24" s="16"/>
      <c r="B24" s="13" t="s">
        <v>73</v>
      </c>
      <c r="C24" s="37"/>
      <c r="D24" s="40">
        <v>3572</v>
      </c>
      <c r="E24" s="40">
        <v>18132</v>
      </c>
      <c r="F24" s="169">
        <f t="shared" si="4"/>
        <v>0</v>
      </c>
      <c r="G24" s="169">
        <f t="shared" si="4"/>
        <v>0</v>
      </c>
      <c r="H24" s="169">
        <f t="shared" si="4"/>
        <v>0</v>
      </c>
      <c r="I24" s="169">
        <f t="shared" si="4"/>
        <v>0</v>
      </c>
      <c r="J24" s="169">
        <f t="shared" si="4"/>
        <v>0</v>
      </c>
      <c r="K24" s="1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3">
      <c r="A25" s="16"/>
      <c r="B25" s="13" t="s">
        <v>74</v>
      </c>
      <c r="C25" s="37"/>
      <c r="D25" s="40">
        <v>1599</v>
      </c>
      <c r="E25" s="40">
        <v>16988</v>
      </c>
      <c r="F25" s="169">
        <f t="shared" si="4"/>
        <v>0</v>
      </c>
      <c r="G25" s="169">
        <f t="shared" si="4"/>
        <v>0</v>
      </c>
      <c r="H25" s="169">
        <f t="shared" si="4"/>
        <v>0</v>
      </c>
      <c r="I25" s="169">
        <f t="shared" si="4"/>
        <v>0</v>
      </c>
      <c r="J25" s="169">
        <f t="shared" si="4"/>
        <v>0</v>
      </c>
      <c r="K25" s="16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3">
      <c r="A26" s="16"/>
      <c r="B26" s="13" t="s">
        <v>75</v>
      </c>
      <c r="C26" s="37"/>
      <c r="D26" s="40">
        <v>31625</v>
      </c>
      <c r="E26" s="40">
        <v>85653</v>
      </c>
      <c r="F26" s="169">
        <f t="shared" si="4"/>
        <v>0</v>
      </c>
      <c r="G26" s="169">
        <f t="shared" si="4"/>
        <v>0</v>
      </c>
      <c r="H26" s="169">
        <f t="shared" si="4"/>
        <v>0</v>
      </c>
      <c r="I26" s="169">
        <f t="shared" si="4"/>
        <v>0</v>
      </c>
      <c r="J26" s="169">
        <f t="shared" si="4"/>
        <v>0</v>
      </c>
      <c r="K26" s="7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3">
      <c r="A27" s="16"/>
      <c r="B27" s="13" t="s">
        <v>76</v>
      </c>
      <c r="C27" s="38"/>
      <c r="D27" s="41">
        <v>590</v>
      </c>
      <c r="E27" s="40">
        <v>1222</v>
      </c>
      <c r="F27" s="169">
        <f t="shared" si="4"/>
        <v>0</v>
      </c>
      <c r="G27" s="169">
        <f t="shared" si="4"/>
        <v>0</v>
      </c>
      <c r="H27" s="169">
        <f t="shared" si="4"/>
        <v>0</v>
      </c>
      <c r="I27" s="169">
        <f t="shared" si="4"/>
        <v>0</v>
      </c>
      <c r="J27" s="169">
        <f t="shared" si="4"/>
        <v>0</v>
      </c>
      <c r="K27" s="16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3">
      <c r="A28" s="16"/>
      <c r="B28" s="13" t="s">
        <v>77</v>
      </c>
      <c r="C28" s="38"/>
      <c r="D28" s="41">
        <v>1132</v>
      </c>
      <c r="E28" s="16"/>
      <c r="F28" s="56">
        <f>'Debt-Capex-Amort'!F17</f>
        <v>0</v>
      </c>
      <c r="G28" s="56">
        <f>'Debt-Capex-Amort'!G17</f>
        <v>165307.8431466847</v>
      </c>
      <c r="H28" s="56">
        <f>'Debt-Capex-Amort'!H17</f>
        <v>489408.45243384084</v>
      </c>
      <c r="I28" s="56">
        <f>'Debt-Capex-Amort'!I17</f>
        <v>885227.87556117144</v>
      </c>
      <c r="J28" s="56">
        <f>'Debt-Capex-Amort'!J17</f>
        <v>1142527.3576010969</v>
      </c>
      <c r="K28" s="16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3">
      <c r="A29" s="16"/>
      <c r="B29" s="43" t="s">
        <v>78</v>
      </c>
      <c r="C29" s="337"/>
      <c r="D29" s="170">
        <f t="shared" ref="D29:J29" si="5">SUM(D23:D28)</f>
        <v>52244</v>
      </c>
      <c r="E29" s="170">
        <f t="shared" si="5"/>
        <v>136203</v>
      </c>
      <c r="F29" s="170">
        <f t="shared" si="5"/>
        <v>0</v>
      </c>
      <c r="G29" s="170">
        <f t="shared" si="5"/>
        <v>165307.8431466847</v>
      </c>
      <c r="H29" s="170">
        <f t="shared" si="5"/>
        <v>489408.45243384084</v>
      </c>
      <c r="I29" s="170">
        <f t="shared" si="5"/>
        <v>885227.87556117144</v>
      </c>
      <c r="J29" s="170">
        <f t="shared" si="5"/>
        <v>1142527.3576010969</v>
      </c>
      <c r="K29" s="16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3">
      <c r="A30" s="16"/>
      <c r="B30" s="16"/>
      <c r="C30" s="7"/>
      <c r="D30" s="7"/>
      <c r="E30" s="7"/>
      <c r="F30" s="7"/>
      <c r="G30" s="7"/>
      <c r="H30" s="7"/>
      <c r="I30" s="7"/>
      <c r="J30" s="7"/>
      <c r="K30" s="16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3">
      <c r="A31" s="16"/>
      <c r="B31" s="13" t="s">
        <v>79</v>
      </c>
      <c r="C31" s="37"/>
      <c r="D31" s="40">
        <v>25423</v>
      </c>
      <c r="E31" s="40">
        <v>28577</v>
      </c>
      <c r="F31" s="169">
        <f>'Debt-Capex-Amort'!F23</f>
        <v>27091</v>
      </c>
      <c r="G31" s="169">
        <f>'Debt-Capex-Amort'!G23</f>
        <v>13545.5</v>
      </c>
      <c r="H31" s="169">
        <f>'Debt-Capex-Amort'!H23</f>
        <v>0</v>
      </c>
      <c r="I31" s="169">
        <f>'Debt-Capex-Amort'!I23</f>
        <v>0</v>
      </c>
      <c r="J31" s="169">
        <f>'Debt-Capex-Amort'!J23</f>
        <v>0</v>
      </c>
      <c r="K31" s="16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3">
      <c r="A32" s="16"/>
      <c r="B32" s="13" t="s">
        <v>80</v>
      </c>
      <c r="C32" s="37"/>
      <c r="D32" s="40">
        <v>1584</v>
      </c>
      <c r="E32" s="40">
        <v>12747</v>
      </c>
      <c r="F32" s="88">
        <f t="shared" ref="F32:J35" si="6">E32</f>
        <v>12747</v>
      </c>
      <c r="G32" s="88">
        <f t="shared" si="6"/>
        <v>12747</v>
      </c>
      <c r="H32" s="88">
        <f t="shared" si="6"/>
        <v>12747</v>
      </c>
      <c r="I32" s="88">
        <f t="shared" si="6"/>
        <v>12747</v>
      </c>
      <c r="J32" s="88">
        <f t="shared" si="6"/>
        <v>12747</v>
      </c>
      <c r="K32" s="16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3">
      <c r="A33" s="16"/>
      <c r="B33" s="13" t="s">
        <v>81</v>
      </c>
      <c r="C33" s="37"/>
      <c r="D33" s="40">
        <v>3154</v>
      </c>
      <c r="E33" s="41">
        <v>0</v>
      </c>
      <c r="F33" s="13">
        <f t="shared" si="6"/>
        <v>0</v>
      </c>
      <c r="G33" s="13">
        <f t="shared" si="6"/>
        <v>0</v>
      </c>
      <c r="H33" s="13">
        <f t="shared" si="6"/>
        <v>0</v>
      </c>
      <c r="I33" s="13">
        <f t="shared" si="6"/>
        <v>0</v>
      </c>
      <c r="J33" s="13">
        <f t="shared" si="6"/>
        <v>0</v>
      </c>
      <c r="K33" s="16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3">
      <c r="A34" s="16"/>
      <c r="B34" s="13" t="s">
        <v>82</v>
      </c>
      <c r="C34" s="37"/>
      <c r="D34" s="40">
        <v>5849</v>
      </c>
      <c r="E34" s="40">
        <v>3465</v>
      </c>
      <c r="F34" s="88">
        <f t="shared" si="6"/>
        <v>3465</v>
      </c>
      <c r="G34" s="88">
        <f t="shared" si="6"/>
        <v>3465</v>
      </c>
      <c r="H34" s="88">
        <f t="shared" si="6"/>
        <v>3465</v>
      </c>
      <c r="I34" s="88">
        <f t="shared" si="6"/>
        <v>3465</v>
      </c>
      <c r="J34" s="88">
        <f t="shared" si="6"/>
        <v>3465</v>
      </c>
      <c r="K34" s="16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3">
      <c r="A35" s="16"/>
      <c r="B35" s="13" t="s">
        <v>83</v>
      </c>
      <c r="C35" s="38"/>
      <c r="D35" s="41">
        <v>574</v>
      </c>
      <c r="E35" s="40">
        <v>1478</v>
      </c>
      <c r="F35" s="88">
        <f t="shared" si="6"/>
        <v>1478</v>
      </c>
      <c r="G35" s="88">
        <f t="shared" si="6"/>
        <v>1478</v>
      </c>
      <c r="H35" s="88">
        <f t="shared" si="6"/>
        <v>1478</v>
      </c>
      <c r="I35" s="88">
        <f t="shared" si="6"/>
        <v>1478</v>
      </c>
      <c r="J35" s="88">
        <f t="shared" si="6"/>
        <v>1478</v>
      </c>
      <c r="K35" s="16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3">
      <c r="A37" s="16"/>
      <c r="B37" s="43" t="s">
        <v>84</v>
      </c>
      <c r="C37" s="337"/>
      <c r="D37" s="170">
        <f t="shared" ref="D37:J37" si="7">SUM(D29:D35)</f>
        <v>88828</v>
      </c>
      <c r="E37" s="170">
        <f t="shared" si="7"/>
        <v>182470</v>
      </c>
      <c r="F37" s="170">
        <f t="shared" si="7"/>
        <v>44781</v>
      </c>
      <c r="G37" s="170">
        <f t="shared" si="7"/>
        <v>196543.3431466847</v>
      </c>
      <c r="H37" s="170">
        <f t="shared" si="7"/>
        <v>507098.45243384084</v>
      </c>
      <c r="I37" s="170">
        <f t="shared" si="7"/>
        <v>902917.87556117144</v>
      </c>
      <c r="J37" s="170">
        <f t="shared" si="7"/>
        <v>1160217.3576010969</v>
      </c>
      <c r="K37" s="16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x14ac:dyDescent="0.3">
      <c r="A39" s="16"/>
      <c r="B39" s="13" t="s">
        <v>85</v>
      </c>
      <c r="C39" s="39"/>
      <c r="D39" s="42">
        <v>250523</v>
      </c>
      <c r="E39" s="41">
        <v>0</v>
      </c>
      <c r="F39" s="38"/>
      <c r="G39" s="38"/>
      <c r="H39" s="38"/>
      <c r="I39" s="38"/>
      <c r="J39" s="38"/>
      <c r="K39" s="1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3">
      <c r="A40" s="16"/>
      <c r="B40" s="13" t="s">
        <v>86</v>
      </c>
      <c r="C40" s="16"/>
      <c r="D40" s="16"/>
      <c r="E40" s="16"/>
      <c r="F40" s="16"/>
      <c r="G40" s="16"/>
      <c r="H40" s="16"/>
      <c r="I40" s="16"/>
      <c r="J40" s="16"/>
      <c r="K40" s="16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3">
      <c r="A41" s="16"/>
      <c r="B41" s="13" t="s">
        <v>87</v>
      </c>
      <c r="C41" s="38"/>
      <c r="D41" s="41">
        <v>1</v>
      </c>
      <c r="E41" s="41">
        <v>9</v>
      </c>
      <c r="F41" s="38"/>
      <c r="G41" s="38"/>
      <c r="H41" s="38"/>
      <c r="I41" s="38"/>
      <c r="J41" s="38"/>
      <c r="K41" s="16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3">
      <c r="A42" s="16"/>
      <c r="B42" s="13" t="s">
        <v>88</v>
      </c>
      <c r="C42" s="37"/>
      <c r="D42" s="40">
        <v>8582</v>
      </c>
      <c r="E42" s="40">
        <v>340603</v>
      </c>
      <c r="F42" s="37"/>
      <c r="G42" s="37"/>
      <c r="H42" s="37"/>
      <c r="I42" s="37"/>
      <c r="J42" s="37"/>
      <c r="K42" s="1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3">
      <c r="A43" s="16"/>
      <c r="B43" s="13" t="s">
        <v>89</v>
      </c>
      <c r="C43" s="39"/>
      <c r="D43" s="42">
        <v>-1142</v>
      </c>
      <c r="E43" s="42">
        <v>-1292</v>
      </c>
      <c r="F43" s="39"/>
      <c r="G43" s="39"/>
      <c r="H43" s="39"/>
      <c r="I43" s="39"/>
      <c r="J43" s="39"/>
      <c r="K43" s="16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x14ac:dyDescent="0.3">
      <c r="A44" s="16"/>
      <c r="B44" s="13" t="s">
        <v>90</v>
      </c>
      <c r="C44" s="38"/>
      <c r="D44" s="41">
        <v>0</v>
      </c>
      <c r="E44" s="41">
        <v>16</v>
      </c>
      <c r="F44" s="38"/>
      <c r="G44" s="38"/>
      <c r="H44" s="38"/>
      <c r="I44" s="38"/>
      <c r="J44" s="38"/>
      <c r="K44" s="16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x14ac:dyDescent="0.3">
      <c r="A45" s="16"/>
      <c r="B45" s="172" t="s">
        <v>91</v>
      </c>
      <c r="C45" s="173"/>
      <c r="D45" s="174">
        <v>-205805</v>
      </c>
      <c r="E45" s="175">
        <v>-322829</v>
      </c>
      <c r="F45" s="176"/>
      <c r="G45" s="176"/>
      <c r="H45" s="176"/>
      <c r="I45" s="176"/>
      <c r="J45" s="176"/>
      <c r="K45" s="1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3">
      <c r="A46" s="16"/>
      <c r="B46" s="43" t="s">
        <v>92</v>
      </c>
      <c r="C46" s="337"/>
      <c r="D46" s="170">
        <f>SUM(D41:D45)</f>
        <v>-198364</v>
      </c>
      <c r="E46" s="170">
        <f>SUM(E41:E45)</f>
        <v>16507</v>
      </c>
      <c r="F46" s="177">
        <f>'Equity-Shares'!F8</f>
        <v>16137.300651112397</v>
      </c>
      <c r="G46" s="177">
        <f>'Equity-Shares'!G8</f>
        <v>-374212.61319270812</v>
      </c>
      <c r="H46" s="177">
        <f>'Equity-Shares'!H8</f>
        <v>-939672.66587004904</v>
      </c>
      <c r="I46" s="177">
        <f>'Equity-Shares'!I8</f>
        <v>-1686208.1284501366</v>
      </c>
      <c r="J46" s="177">
        <f>'Equity-Shares'!J8</f>
        <v>-2530814.3499497971</v>
      </c>
      <c r="K46" s="16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3">
      <c r="A47" s="16"/>
      <c r="B47" s="43" t="s">
        <v>93</v>
      </c>
      <c r="C47" s="337"/>
      <c r="D47" s="170">
        <f t="shared" ref="D47:J47" si="8">D46+D39+D37</f>
        <v>140987</v>
      </c>
      <c r="E47" s="170">
        <f t="shared" si="8"/>
        <v>198977</v>
      </c>
      <c r="F47" s="170">
        <f t="shared" si="8"/>
        <v>60918.300651112397</v>
      </c>
      <c r="G47" s="170">
        <f t="shared" si="8"/>
        <v>-177669.27004602342</v>
      </c>
      <c r="H47" s="170">
        <f t="shared" si="8"/>
        <v>-432574.2134362082</v>
      </c>
      <c r="I47" s="170">
        <f t="shared" si="8"/>
        <v>-783290.25288896519</v>
      </c>
      <c r="J47" s="170">
        <f t="shared" si="8"/>
        <v>-1370596.9923487003</v>
      </c>
      <c r="K47" s="16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x14ac:dyDescent="0.3">
      <c r="A49" s="16"/>
      <c r="B49" s="13" t="s">
        <v>94</v>
      </c>
      <c r="C49" s="1"/>
      <c r="D49" s="61">
        <f t="shared" ref="D49:J49" si="9">D47-D19</f>
        <v>-32494</v>
      </c>
      <c r="E49" s="61">
        <f t="shared" si="9"/>
        <v>-31588</v>
      </c>
      <c r="F49" s="61">
        <f t="shared" si="9"/>
        <v>-193003.42717840907</v>
      </c>
      <c r="G49" s="61">
        <f t="shared" si="9"/>
        <v>-313504.08851723507</v>
      </c>
      <c r="H49" s="61">
        <f t="shared" si="9"/>
        <v>-573668.87257725513</v>
      </c>
      <c r="I49" s="61">
        <f t="shared" si="9"/>
        <v>-951585.89815770299</v>
      </c>
      <c r="J49" s="61">
        <f t="shared" si="9"/>
        <v>-1633645.0726726307</v>
      </c>
      <c r="K49" s="16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1" spans="1:26" x14ac:dyDescent="0.3">
      <c r="A51" s="306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x14ac:dyDescent="0.3">
      <c r="A52" s="312" t="s">
        <v>95</v>
      </c>
      <c r="B52" s="145"/>
      <c r="C52" s="145"/>
      <c r="D52" s="145"/>
      <c r="E52" s="145"/>
      <c r="F52" s="145"/>
      <c r="G52" s="145"/>
      <c r="H52" s="145"/>
      <c r="I52" s="145"/>
      <c r="J52" s="145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x14ac:dyDescent="0.3">
      <c r="A53" s="2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x14ac:dyDescent="0.3">
      <c r="A55" s="16"/>
      <c r="B55" s="44"/>
      <c r="C55" s="178">
        <f t="shared" ref="C55:J55" si="10">C4</f>
        <v>40908</v>
      </c>
      <c r="D55" s="178">
        <f t="shared" si="10"/>
        <v>41305</v>
      </c>
      <c r="E55" s="178">
        <f t="shared" si="10"/>
        <v>41670</v>
      </c>
      <c r="F55" s="178">
        <f t="shared" si="10"/>
        <v>42035</v>
      </c>
      <c r="G55" s="178">
        <f t="shared" si="10"/>
        <v>42400</v>
      </c>
      <c r="H55" s="178">
        <f t="shared" si="10"/>
        <v>42766</v>
      </c>
      <c r="I55" s="178">
        <f t="shared" si="10"/>
        <v>43131</v>
      </c>
      <c r="J55" s="178">
        <f t="shared" si="10"/>
        <v>43496</v>
      </c>
      <c r="K55" s="16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x14ac:dyDescent="0.3">
      <c r="A56" s="16"/>
      <c r="B56" s="179" t="s">
        <v>96</v>
      </c>
      <c r="C56" s="180"/>
      <c r="D56" s="180"/>
      <c r="E56" s="83"/>
      <c r="F56" s="83"/>
      <c r="G56" s="83"/>
      <c r="H56" s="83"/>
      <c r="I56" s="83"/>
      <c r="J56" s="83"/>
      <c r="K56" s="16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x14ac:dyDescent="0.3">
      <c r="A57" s="16"/>
      <c r="B57" s="181" t="s">
        <v>33</v>
      </c>
      <c r="C57" s="131">
        <v>-51724</v>
      </c>
      <c r="D57" s="131">
        <v>-105541</v>
      </c>
      <c r="E57" s="131">
        <v>-181071</v>
      </c>
      <c r="F57" s="132">
        <f>'P&amp;L'!F95</f>
        <v>-250369.6993488876</v>
      </c>
      <c r="G57" s="132">
        <f>'P&amp;L'!G95</f>
        <v>-390349.91384382051</v>
      </c>
      <c r="H57" s="132">
        <f>'P&amp;L'!H95</f>
        <v>-565460.05267734092</v>
      </c>
      <c r="I57" s="132">
        <f>'P&amp;L'!I95</f>
        <v>-746535.46258008759</v>
      </c>
      <c r="J57" s="132">
        <f>'P&amp;L'!J95</f>
        <v>-844606.2214996604</v>
      </c>
      <c r="K57" s="1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x14ac:dyDescent="0.3">
      <c r="A58" s="16"/>
      <c r="B58" s="181" t="s">
        <v>97</v>
      </c>
      <c r="C58" s="333"/>
      <c r="D58" s="333"/>
      <c r="E58" s="333"/>
      <c r="F58" s="339"/>
      <c r="G58" s="339"/>
      <c r="H58" s="339"/>
      <c r="I58" s="339"/>
      <c r="J58" s="339"/>
      <c r="K58" s="1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x14ac:dyDescent="0.3">
      <c r="A59" s="16"/>
      <c r="B59" s="122" t="s">
        <v>98</v>
      </c>
      <c r="C59" s="22">
        <v>3338</v>
      </c>
      <c r="D59" s="22">
        <v>8616</v>
      </c>
      <c r="E59" s="22">
        <v>15964</v>
      </c>
      <c r="F59" s="56">
        <f>-'Debt-Capex-Amort'!F56-'Debt-Capex-Amort'!F146</f>
        <v>29293.434951239324</v>
      </c>
      <c r="G59" s="56">
        <f>-'Debt-Capex-Amort'!G56-'Debt-Capex-Amort'!G146</f>
        <v>36381.221058601412</v>
      </c>
      <c r="H59" s="56">
        <f>-'Debt-Capex-Amort'!H56-'Debt-Capex-Amort'!H146</f>
        <v>51662.723071328001</v>
      </c>
      <c r="I59" s="56">
        <f>-'Debt-Capex-Amort'!I56-'Debt-Capex-Amort'!I146</f>
        <v>84319.297694539535</v>
      </c>
      <c r="J59" s="56">
        <f>-'Debt-Capex-Amort'!J56-'Debt-Capex-Amort'!J146</f>
        <v>84319.297694539535</v>
      </c>
      <c r="K59" s="1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x14ac:dyDescent="0.3">
      <c r="A60" s="16"/>
      <c r="B60" s="122" t="s">
        <v>99</v>
      </c>
      <c r="C60" s="22">
        <v>5281</v>
      </c>
      <c r="D60" s="22">
        <v>6207</v>
      </c>
      <c r="E60" s="22">
        <v>11679</v>
      </c>
      <c r="F60" s="4"/>
      <c r="G60" s="4"/>
      <c r="H60" s="4"/>
      <c r="I60" s="4"/>
      <c r="J60" s="4"/>
      <c r="K60" s="1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x14ac:dyDescent="0.3">
      <c r="A61" s="16"/>
      <c r="B61" s="122" t="s">
        <v>100</v>
      </c>
      <c r="C61" s="22">
        <v>1916</v>
      </c>
      <c r="D61" s="22">
        <v>7983</v>
      </c>
      <c r="E61" s="22">
        <v>11310</v>
      </c>
      <c r="F61" s="4"/>
      <c r="G61" s="4"/>
      <c r="H61" s="4"/>
      <c r="I61" s="4"/>
      <c r="J61" s="4"/>
      <c r="K61" s="1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x14ac:dyDescent="0.3">
      <c r="A62" s="16"/>
      <c r="B62" s="122" t="s">
        <v>28</v>
      </c>
      <c r="C62" s="22">
        <v>378</v>
      </c>
      <c r="D62" s="22">
        <v>1398</v>
      </c>
      <c r="E62" s="22">
        <v>8433</v>
      </c>
      <c r="F62" s="4"/>
      <c r="G62" s="4"/>
      <c r="H62" s="4"/>
      <c r="I62" s="4"/>
      <c r="J62" s="4"/>
      <c r="K62" s="1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x14ac:dyDescent="0.3">
      <c r="A63" s="16"/>
      <c r="B63" s="122" t="s">
        <v>101</v>
      </c>
      <c r="C63" s="1"/>
      <c r="D63" s="1"/>
      <c r="E63" s="22">
        <v>-2519</v>
      </c>
      <c r="F63" s="4"/>
      <c r="G63" s="4"/>
      <c r="H63" s="4"/>
      <c r="I63" s="4"/>
      <c r="J63" s="4"/>
      <c r="K63" s="1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x14ac:dyDescent="0.3">
      <c r="A64" s="16"/>
      <c r="B64" s="122" t="s">
        <v>102</v>
      </c>
      <c r="C64" s="22">
        <v>246</v>
      </c>
      <c r="D64" s="22">
        <v>657</v>
      </c>
      <c r="E64" s="22">
        <v>182</v>
      </c>
      <c r="F64" s="4"/>
      <c r="G64" s="4"/>
      <c r="H64" s="4"/>
      <c r="I64" s="4"/>
      <c r="J64" s="4"/>
      <c r="K64" s="1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x14ac:dyDescent="0.3">
      <c r="A65" s="16"/>
      <c r="B65" s="182" t="s">
        <v>103</v>
      </c>
      <c r="C65" s="1"/>
      <c r="D65" s="1"/>
      <c r="E65" s="1"/>
      <c r="F65" s="4"/>
      <c r="G65" s="4"/>
      <c r="H65" s="4"/>
      <c r="I65" s="4"/>
      <c r="J65" s="4"/>
      <c r="K65" s="1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x14ac:dyDescent="0.3">
      <c r="A66" s="16"/>
      <c r="B66" s="122" t="s">
        <v>61</v>
      </c>
      <c r="C66" s="22">
        <v>-4659</v>
      </c>
      <c r="D66" s="22">
        <v>-10762</v>
      </c>
      <c r="E66" s="22">
        <v>-29402</v>
      </c>
      <c r="F66" s="56">
        <f>E110-F110</f>
        <v>0</v>
      </c>
      <c r="G66" s="56">
        <f>F110-G110</f>
        <v>0</v>
      </c>
      <c r="H66" s="56">
        <f>G110-H110</f>
        <v>0</v>
      </c>
      <c r="I66" s="56">
        <f>H110-I110</f>
        <v>0</v>
      </c>
      <c r="J66" s="56">
        <f>I110-J110</f>
        <v>0</v>
      </c>
      <c r="K66" s="1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x14ac:dyDescent="0.3">
      <c r="A67" s="16"/>
      <c r="B67" s="122" t="s">
        <v>63</v>
      </c>
      <c r="C67" s="22">
        <v>-3602</v>
      </c>
      <c r="D67" s="22">
        <v>-11664</v>
      </c>
      <c r="E67" s="22">
        <v>-12962</v>
      </c>
      <c r="F67" s="56">
        <f>E112-F112</f>
        <v>0</v>
      </c>
      <c r="G67" s="56">
        <f>F112-G112</f>
        <v>0</v>
      </c>
      <c r="H67" s="56">
        <f>G112-H112</f>
        <v>0</v>
      </c>
      <c r="I67" s="56">
        <f>H112-I112</f>
        <v>0</v>
      </c>
      <c r="J67" s="56">
        <f>I112-J112</f>
        <v>0</v>
      </c>
      <c r="K67" s="1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x14ac:dyDescent="0.3">
      <c r="A68" s="16"/>
      <c r="B68" s="122" t="s">
        <v>104</v>
      </c>
      <c r="C68" s="22">
        <v>-8817</v>
      </c>
      <c r="D68" s="22">
        <v>-1929</v>
      </c>
      <c r="E68" s="22">
        <v>-3437</v>
      </c>
      <c r="F68" s="56">
        <f>E111-F111</f>
        <v>0</v>
      </c>
      <c r="G68" s="56">
        <f>F111-G111</f>
        <v>0</v>
      </c>
      <c r="H68" s="56">
        <f>G111-H111</f>
        <v>0</v>
      </c>
      <c r="I68" s="56">
        <f>H111-I111</f>
        <v>0</v>
      </c>
      <c r="J68" s="56">
        <f>I111-J111</f>
        <v>0</v>
      </c>
      <c r="K68" s="1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x14ac:dyDescent="0.3">
      <c r="A69" s="16"/>
      <c r="B69" s="122" t="s">
        <v>72</v>
      </c>
      <c r="C69" s="22">
        <v>3565</v>
      </c>
      <c r="D69" s="22">
        <v>1678</v>
      </c>
      <c r="E69" s="22">
        <v>-2707</v>
      </c>
      <c r="F69" s="56">
        <f>F115-E115</f>
        <v>0</v>
      </c>
      <c r="G69" s="56">
        <f>G115-F115</f>
        <v>0</v>
      </c>
      <c r="H69" s="56">
        <f>H115-G115</f>
        <v>0</v>
      </c>
      <c r="I69" s="56">
        <f>I115-H115</f>
        <v>0</v>
      </c>
      <c r="J69" s="56">
        <f>J115-I115</f>
        <v>0</v>
      </c>
      <c r="K69" s="1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x14ac:dyDescent="0.3">
      <c r="A70" s="16"/>
      <c r="B70" s="122" t="s">
        <v>105</v>
      </c>
      <c r="C70" s="22">
        <v>3282</v>
      </c>
      <c r="D70" s="22">
        <v>1856</v>
      </c>
      <c r="E70" s="22">
        <v>27390</v>
      </c>
      <c r="F70" s="56">
        <f>F117-E117+F116-E116</f>
        <v>0</v>
      </c>
      <c r="G70" s="56">
        <f>G117-F117+G116-F116</f>
        <v>0</v>
      </c>
      <c r="H70" s="56">
        <f>H117-G117+H116-G116</f>
        <v>0</v>
      </c>
      <c r="I70" s="56">
        <f>I117-H117+I116-H116</f>
        <v>0</v>
      </c>
      <c r="J70" s="56">
        <f>J117-I117+J116-I116</f>
        <v>0</v>
      </c>
      <c r="K70" s="1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x14ac:dyDescent="0.3">
      <c r="A71" s="16"/>
      <c r="B71" s="122" t="s">
        <v>76</v>
      </c>
      <c r="C71" s="22">
        <v>2950</v>
      </c>
      <c r="D71" s="22">
        <v>1642</v>
      </c>
      <c r="E71" s="22">
        <v>-358</v>
      </c>
      <c r="F71" s="56">
        <f>F119-E119</f>
        <v>0</v>
      </c>
      <c r="G71" s="56">
        <f>G119-F119</f>
        <v>0</v>
      </c>
      <c r="H71" s="56">
        <f>H119-G119</f>
        <v>0</v>
      </c>
      <c r="I71" s="56">
        <f>I119-H119</f>
        <v>0</v>
      </c>
      <c r="J71" s="56">
        <f>J119-I119</f>
        <v>0</v>
      </c>
      <c r="K71" s="1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x14ac:dyDescent="0.3">
      <c r="A72" s="16"/>
      <c r="B72" s="122" t="s">
        <v>75</v>
      </c>
      <c r="C72" s="22">
        <v>8135</v>
      </c>
      <c r="D72" s="22">
        <v>29455</v>
      </c>
      <c r="E72" s="22">
        <v>47316</v>
      </c>
      <c r="F72" s="56">
        <f>F118-E118</f>
        <v>0</v>
      </c>
      <c r="G72" s="56">
        <f>G118-F118</f>
        <v>0</v>
      </c>
      <c r="H72" s="56">
        <f>H118-G118</f>
        <v>0</v>
      </c>
      <c r="I72" s="56">
        <f>I118-H118</f>
        <v>0</v>
      </c>
      <c r="J72" s="56">
        <f>J118-I118</f>
        <v>0</v>
      </c>
      <c r="K72" s="1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x14ac:dyDescent="0.3">
      <c r="A73" s="16"/>
      <c r="B73" s="43" t="s">
        <v>106</v>
      </c>
      <c r="C73" s="120">
        <f t="shared" ref="C73:J73" si="11">SUM(C57:C72)</f>
        <v>-39711</v>
      </c>
      <c r="D73" s="120">
        <f t="shared" si="11"/>
        <v>-70404</v>
      </c>
      <c r="E73" s="120">
        <f t="shared" si="11"/>
        <v>-110182</v>
      </c>
      <c r="F73" s="120">
        <f t="shared" si="11"/>
        <v>-221076.26439764828</v>
      </c>
      <c r="G73" s="120">
        <f t="shared" si="11"/>
        <v>-353968.69278521911</v>
      </c>
      <c r="H73" s="120">
        <f t="shared" si="11"/>
        <v>-513797.32960601291</v>
      </c>
      <c r="I73" s="120">
        <f t="shared" si="11"/>
        <v>-662216.16488554806</v>
      </c>
      <c r="J73" s="120">
        <f t="shared" si="11"/>
        <v>-760286.92380512087</v>
      </c>
      <c r="K73" s="1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x14ac:dyDescent="0.3">
      <c r="A74" s="16"/>
      <c r="B74" s="183"/>
      <c r="C74" s="1"/>
      <c r="D74" s="1"/>
      <c r="E74" s="1"/>
      <c r="F74" s="1"/>
      <c r="G74" s="1"/>
      <c r="H74" s="1"/>
      <c r="I74" s="1"/>
      <c r="J74" s="1"/>
      <c r="K74" s="1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x14ac:dyDescent="0.3">
      <c r="A75" s="16"/>
      <c r="B75" s="179" t="s">
        <v>107</v>
      </c>
      <c r="C75" s="84"/>
      <c r="D75" s="84"/>
      <c r="E75" s="84"/>
      <c r="F75" s="84"/>
      <c r="G75" s="84"/>
      <c r="H75" s="84"/>
      <c r="I75" s="84"/>
      <c r="J75" s="84"/>
      <c r="K75" s="1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x14ac:dyDescent="0.3">
      <c r="A76" s="16"/>
      <c r="B76" s="122" t="s">
        <v>108</v>
      </c>
      <c r="C76" s="22">
        <v>-32693</v>
      </c>
      <c r="D76" s="22">
        <v>0</v>
      </c>
      <c r="E76" s="22">
        <v>0</v>
      </c>
      <c r="F76" s="4"/>
      <c r="G76" s="4"/>
      <c r="H76" s="4"/>
      <c r="I76" s="4"/>
      <c r="J76" s="4"/>
      <c r="K76" s="1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x14ac:dyDescent="0.3">
      <c r="A77" s="16"/>
      <c r="B77" s="122" t="s">
        <v>109</v>
      </c>
      <c r="C77" s="22">
        <v>13029</v>
      </c>
      <c r="D77" s="22">
        <v>20340</v>
      </c>
      <c r="E77" s="22">
        <v>0</v>
      </c>
      <c r="F77" s="4"/>
      <c r="G77" s="4"/>
      <c r="H77" s="4"/>
      <c r="I77" s="4"/>
      <c r="J77" s="4"/>
      <c r="K77" s="1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x14ac:dyDescent="0.3">
      <c r="A78" s="16"/>
      <c r="B78" s="122" t="s">
        <v>110</v>
      </c>
      <c r="C78" s="22">
        <v>-14876</v>
      </c>
      <c r="D78" s="22">
        <v>-18480</v>
      </c>
      <c r="E78" s="22">
        <v>-23953</v>
      </c>
      <c r="F78" s="56">
        <f>-'Debt-Capex-Amort'!F51</f>
        <v>-10971.287892</v>
      </c>
      <c r="G78" s="56">
        <f>-'Debt-Capex-Amort'!G51</f>
        <v>-22103.33909789236</v>
      </c>
      <c r="H78" s="56">
        <f>-'Debt-Capex-Amort'!H51</f>
        <v>-52458.539105345881</v>
      </c>
      <c r="I78" s="56">
        <f>-'Debt-Capex-Amort'!I51</f>
        <v>-102832.73834187454</v>
      </c>
      <c r="J78" s="56">
        <f>-'Debt-Capex-Amort'!J51</f>
        <v>-163718.95468857439</v>
      </c>
      <c r="K78" s="1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x14ac:dyDescent="0.3">
      <c r="A79" s="16"/>
      <c r="B79" s="122" t="s">
        <v>111</v>
      </c>
      <c r="C79" s="22">
        <v>0</v>
      </c>
      <c r="D79" s="22">
        <v>-103</v>
      </c>
      <c r="E79" s="22">
        <v>0</v>
      </c>
      <c r="F79" s="4"/>
      <c r="G79" s="4"/>
      <c r="H79" s="4"/>
      <c r="I79" s="4"/>
      <c r="J79" s="4"/>
      <c r="K79" s="1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x14ac:dyDescent="0.3">
      <c r="A80" s="16"/>
      <c r="B80" s="122" t="s">
        <v>112</v>
      </c>
      <c r="C80" s="22">
        <v>-990</v>
      </c>
      <c r="D80" s="22">
        <v>-53</v>
      </c>
      <c r="E80" s="22">
        <v>-8768</v>
      </c>
      <c r="F80" s="56">
        <f>-'Debt-Capex-Amort'!F141</f>
        <v>-2606.44</v>
      </c>
      <c r="G80" s="56">
        <f>-'Debt-Capex-Amort'!G141</f>
        <v>-2309.4074911600001</v>
      </c>
      <c r="H80" s="56">
        <f>-'Debt-Capex-Amort'!H141</f>
        <v>-4464.02463581751</v>
      </c>
      <c r="I80" s="56">
        <f>-'Debt-Capex-Amort'!I141</f>
        <v>-8687.5454803557168</v>
      </c>
      <c r="J80" s="56">
        <f>-'Debt-Capex-Amort'!J141</f>
        <v>-15352.778061157787</v>
      </c>
      <c r="K80" s="1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x14ac:dyDescent="0.3">
      <c r="A81" s="16"/>
      <c r="B81" s="43" t="s">
        <v>113</v>
      </c>
      <c r="C81" s="120">
        <f t="shared" ref="C81:J81" si="12">SUM(C76:C80)</f>
        <v>-35530</v>
      </c>
      <c r="D81" s="120">
        <f t="shared" si="12"/>
        <v>1704</v>
      </c>
      <c r="E81" s="120">
        <f t="shared" si="12"/>
        <v>-32721</v>
      </c>
      <c r="F81" s="120">
        <f t="shared" si="12"/>
        <v>-13577.727892000001</v>
      </c>
      <c r="G81" s="120">
        <f t="shared" si="12"/>
        <v>-24412.74658905236</v>
      </c>
      <c r="H81" s="120">
        <f t="shared" si="12"/>
        <v>-56922.563741163394</v>
      </c>
      <c r="I81" s="120">
        <f t="shared" si="12"/>
        <v>-111520.28382223027</v>
      </c>
      <c r="J81" s="120">
        <f t="shared" si="12"/>
        <v>-179071.73274973218</v>
      </c>
      <c r="K81" s="1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x14ac:dyDescent="0.3">
      <c r="A82" s="16"/>
      <c r="B82" s="183"/>
      <c r="C82" s="1"/>
      <c r="D82" s="1"/>
      <c r="E82" s="1"/>
      <c r="F82" s="1"/>
      <c r="G82" s="1"/>
      <c r="H82" s="1"/>
      <c r="I82" s="1"/>
      <c r="J82" s="1"/>
      <c r="K82" s="1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x14ac:dyDescent="0.3">
      <c r="A83" s="16"/>
      <c r="B83" s="138" t="s">
        <v>114</v>
      </c>
      <c r="C83" s="333"/>
      <c r="D83" s="130">
        <f>D81+D73</f>
        <v>-68700</v>
      </c>
      <c r="E83" s="130">
        <f>E81+E73</f>
        <v>-142903</v>
      </c>
      <c r="F83" s="131">
        <v>-151246.56511123921</v>
      </c>
      <c r="G83" s="131">
        <v>-272350.77803544549</v>
      </c>
      <c r="H83" s="131">
        <v>-325025.1092871562</v>
      </c>
      <c r="I83" s="131">
        <v>-410289.42312733055</v>
      </c>
      <c r="J83" s="131">
        <v>-271769.48203992553</v>
      </c>
      <c r="K83" s="1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x14ac:dyDescent="0.3">
      <c r="A84" s="16"/>
      <c r="B84" s="183"/>
      <c r="C84" s="1"/>
      <c r="D84" s="61">
        <f>D83/12</f>
        <v>-5725</v>
      </c>
      <c r="E84" s="61">
        <f>E83/12</f>
        <v>-11908.583333333334</v>
      </c>
      <c r="F84" s="5"/>
      <c r="G84" s="4"/>
      <c r="H84" s="4"/>
      <c r="I84" s="4"/>
      <c r="J84" s="4"/>
      <c r="K84" s="1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x14ac:dyDescent="0.3">
      <c r="A85" s="16"/>
      <c r="B85" s="179" t="s">
        <v>115</v>
      </c>
      <c r="C85" s="84"/>
      <c r="D85" s="84"/>
      <c r="E85" s="84"/>
      <c r="F85" s="84"/>
      <c r="G85" s="84"/>
      <c r="H85" s="84"/>
      <c r="I85" s="84"/>
      <c r="J85" s="84"/>
      <c r="K85" s="1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x14ac:dyDescent="0.3">
      <c r="A86" s="16"/>
      <c r="B86" s="122" t="s">
        <v>116</v>
      </c>
      <c r="C86" s="22">
        <v>12252</v>
      </c>
      <c r="D86" s="22">
        <v>22468</v>
      </c>
      <c r="E86" s="22">
        <v>33802</v>
      </c>
      <c r="F86" s="56">
        <f>'Debt-Capex-Amort'!F16</f>
        <v>0</v>
      </c>
      <c r="G86" s="56">
        <f>'Debt-Capex-Amort'!G16</f>
        <v>165307.8431466847</v>
      </c>
      <c r="H86" s="56">
        <f>'Debt-Capex-Amort'!H16</f>
        <v>324100.60928715614</v>
      </c>
      <c r="I86" s="56">
        <f>'Debt-Capex-Amort'!I16</f>
        <v>395819.42312733061</v>
      </c>
      <c r="J86" s="56">
        <f>'Debt-Capex-Amort'!J16</f>
        <v>257299.4820399255</v>
      </c>
      <c r="K86" s="1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x14ac:dyDescent="0.3">
      <c r="A87" s="16"/>
      <c r="B87" s="122" t="s">
        <v>117</v>
      </c>
      <c r="C87" s="22">
        <v>-289</v>
      </c>
      <c r="D87" s="22">
        <v>-658</v>
      </c>
      <c r="E87" s="22">
        <v>-36352</v>
      </c>
      <c r="F87" s="56">
        <f>'Debt-Capex-Amort'!F22</f>
        <v>-1486</v>
      </c>
      <c r="G87" s="56">
        <f>'Debt-Capex-Amort'!G22</f>
        <v>-13545.5</v>
      </c>
      <c r="H87" s="56">
        <f>'Debt-Capex-Amort'!H22</f>
        <v>-13545.5</v>
      </c>
      <c r="I87" s="56">
        <f>'Debt-Capex-Amort'!I22</f>
        <v>0</v>
      </c>
      <c r="J87" s="56">
        <f>'Debt-Capex-Amort'!J22</f>
        <v>0</v>
      </c>
      <c r="K87" s="1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x14ac:dyDescent="0.3">
      <c r="A88" s="16"/>
      <c r="B88" s="122" t="s">
        <v>118</v>
      </c>
      <c r="C88" s="22">
        <v>96444</v>
      </c>
      <c r="D88" s="22">
        <v>169238</v>
      </c>
      <c r="E88" s="22">
        <v>94427</v>
      </c>
      <c r="F88" s="4"/>
      <c r="G88" s="4"/>
      <c r="H88" s="4"/>
      <c r="I88" s="4"/>
      <c r="J88" s="4"/>
      <c r="K88" s="1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x14ac:dyDescent="0.3">
      <c r="A89" s="16"/>
      <c r="B89" s="122" t="s">
        <v>119</v>
      </c>
      <c r="C89" s="22">
        <v>0</v>
      </c>
      <c r="D89" s="22">
        <v>0</v>
      </c>
      <c r="E89" s="22">
        <v>1097</v>
      </c>
      <c r="F89" s="4"/>
      <c r="G89" s="4"/>
      <c r="H89" s="4"/>
      <c r="I89" s="4"/>
      <c r="J89" s="4"/>
      <c r="K89" s="1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x14ac:dyDescent="0.3">
      <c r="A90" s="16"/>
      <c r="B90" s="122" t="s">
        <v>120</v>
      </c>
      <c r="C90" s="2"/>
      <c r="D90" s="2"/>
      <c r="E90" s="2"/>
      <c r="F90" s="56">
        <f>'Equity-Shares'!F7</f>
        <v>250000</v>
      </c>
      <c r="G90" s="4"/>
      <c r="H90" s="4"/>
      <c r="I90" s="4"/>
      <c r="J90" s="4"/>
      <c r="K90" s="1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x14ac:dyDescent="0.3">
      <c r="A91" s="16"/>
      <c r="B91" s="122" t="s">
        <v>121</v>
      </c>
      <c r="C91" s="22">
        <v>298</v>
      </c>
      <c r="D91" s="22">
        <v>2204</v>
      </c>
      <c r="E91" s="22">
        <v>2949</v>
      </c>
      <c r="F91" s="4"/>
      <c r="G91" s="4"/>
      <c r="H91" s="4"/>
      <c r="I91" s="4"/>
      <c r="J91" s="4"/>
      <c r="K91" s="1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x14ac:dyDescent="0.3">
      <c r="A92" s="16"/>
      <c r="B92" s="122" t="s">
        <v>122</v>
      </c>
      <c r="C92" s="22">
        <v>0</v>
      </c>
      <c r="D92" s="22">
        <v>0</v>
      </c>
      <c r="E92" s="22">
        <v>-650</v>
      </c>
      <c r="F92" s="4"/>
      <c r="G92" s="4"/>
      <c r="H92" s="4"/>
      <c r="I92" s="4"/>
      <c r="J92" s="4"/>
      <c r="K92" s="1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x14ac:dyDescent="0.3">
      <c r="A93" s="16"/>
      <c r="B93" s="43" t="s">
        <v>123</v>
      </c>
      <c r="C93" s="120">
        <f t="shared" ref="C93:J93" si="13">SUM(C86:C92)</f>
        <v>108705</v>
      </c>
      <c r="D93" s="120">
        <f t="shared" si="13"/>
        <v>193252</v>
      </c>
      <c r="E93" s="120">
        <f t="shared" si="13"/>
        <v>95273</v>
      </c>
      <c r="F93" s="120">
        <f t="shared" si="13"/>
        <v>248514</v>
      </c>
      <c r="G93" s="120">
        <f t="shared" si="13"/>
        <v>151762.3431466847</v>
      </c>
      <c r="H93" s="120">
        <f t="shared" si="13"/>
        <v>310555.10928715614</v>
      </c>
      <c r="I93" s="120">
        <f t="shared" si="13"/>
        <v>395819.42312733061</v>
      </c>
      <c r="J93" s="120">
        <f t="shared" si="13"/>
        <v>257299.4820399255</v>
      </c>
      <c r="K93" s="1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x14ac:dyDescent="0.3">
      <c r="A94" s="16"/>
      <c r="B94" s="182" t="s">
        <v>124</v>
      </c>
      <c r="C94" s="22">
        <v>0</v>
      </c>
      <c r="D94" s="22">
        <v>0</v>
      </c>
      <c r="E94" s="22">
        <v>13</v>
      </c>
      <c r="F94" s="1"/>
      <c r="G94" s="1"/>
      <c r="H94" s="1"/>
      <c r="I94" s="1"/>
      <c r="J94" s="1"/>
      <c r="K94" s="1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x14ac:dyDescent="0.3">
      <c r="A95" s="16"/>
      <c r="B95" s="183"/>
      <c r="C95" s="1"/>
      <c r="D95" s="1"/>
      <c r="E95" s="1"/>
      <c r="F95" s="1"/>
      <c r="G95" s="1"/>
      <c r="H95" s="1"/>
      <c r="I95" s="1"/>
      <c r="J95" s="1"/>
      <c r="K95" s="1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x14ac:dyDescent="0.3">
      <c r="A96" s="16"/>
      <c r="B96" s="184" t="s">
        <v>125</v>
      </c>
      <c r="C96" s="185">
        <f>C93+C81+C73</f>
        <v>33464</v>
      </c>
      <c r="D96" s="185">
        <f>D93+D81+D73</f>
        <v>124552</v>
      </c>
      <c r="E96" s="185">
        <f>E93+E81+E73+E94</f>
        <v>-47617</v>
      </c>
      <c r="F96" s="186">
        <v>97267.434888760792</v>
      </c>
      <c r="G96" s="186">
        <v>-106118.43488876076</v>
      </c>
      <c r="H96" s="186">
        <v>-5.8207660913467407E-11</v>
      </c>
      <c r="I96" s="186">
        <v>5.8207660913467407E-11</v>
      </c>
      <c r="J96" s="186">
        <v>-2.9103830456733704E-11</v>
      </c>
      <c r="K96" s="1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x14ac:dyDescent="0.3">
      <c r="A97" s="16"/>
      <c r="B97" s="183"/>
      <c r="C97" s="1"/>
      <c r="D97" s="1"/>
      <c r="E97" s="1"/>
      <c r="F97" s="1"/>
      <c r="G97" s="1"/>
      <c r="H97" s="1"/>
      <c r="I97" s="1"/>
      <c r="J97" s="1"/>
      <c r="K97" s="1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x14ac:dyDescent="0.3">
      <c r="A98" s="16"/>
      <c r="B98" s="187" t="s">
        <v>126</v>
      </c>
      <c r="C98" s="188">
        <v>7298</v>
      </c>
      <c r="D98" s="188">
        <v>30539</v>
      </c>
      <c r="E98" s="189">
        <f t="shared" ref="E98:J98" si="14">D99</f>
        <v>155091</v>
      </c>
      <c r="F98" s="189">
        <f t="shared" si="14"/>
        <v>107474</v>
      </c>
      <c r="G98" s="189">
        <f t="shared" si="14"/>
        <v>206118.43488876079</v>
      </c>
      <c r="H98" s="189">
        <f t="shared" si="14"/>
        <v>100000.00000000003</v>
      </c>
      <c r="I98" s="190">
        <f t="shared" si="14"/>
        <v>99999.999999999971</v>
      </c>
      <c r="J98" s="190">
        <f t="shared" si="14"/>
        <v>100000.00000000003</v>
      </c>
      <c r="K98" s="1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x14ac:dyDescent="0.3">
      <c r="A99" s="16"/>
      <c r="B99" s="191" t="s">
        <v>127</v>
      </c>
      <c r="C99" s="192">
        <f>C96+C98</f>
        <v>40762</v>
      </c>
      <c r="D99" s="192">
        <f>D96+D98</f>
        <v>155091</v>
      </c>
      <c r="E99" s="192">
        <f>E96+E98</f>
        <v>107474</v>
      </c>
      <c r="F99" s="119">
        <v>206118.43488876079</v>
      </c>
      <c r="G99" s="119">
        <v>100000.00000000003</v>
      </c>
      <c r="H99" s="119">
        <v>99999.999999999971</v>
      </c>
      <c r="I99" s="193">
        <v>100000.00000000003</v>
      </c>
      <c r="J99" s="193">
        <v>100000</v>
      </c>
      <c r="K99" s="1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1" spans="1:26" x14ac:dyDescent="0.3">
      <c r="A101" s="306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x14ac:dyDescent="0.3">
      <c r="A102" s="312" t="s">
        <v>154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x14ac:dyDescent="0.3">
      <c r="A103" s="49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x14ac:dyDescent="0.3">
      <c r="A105" s="16"/>
      <c r="B105" s="17"/>
      <c r="C105" s="32"/>
      <c r="D105" s="168">
        <f t="shared" ref="D105:J105" si="15">D4</f>
        <v>41305</v>
      </c>
      <c r="E105" s="168">
        <f t="shared" si="15"/>
        <v>41670</v>
      </c>
      <c r="F105" s="168">
        <f t="shared" si="15"/>
        <v>42035</v>
      </c>
      <c r="G105" s="168">
        <f t="shared" si="15"/>
        <v>42400</v>
      </c>
      <c r="H105" s="168">
        <f t="shared" si="15"/>
        <v>42766</v>
      </c>
      <c r="I105" s="168">
        <f t="shared" si="15"/>
        <v>43131</v>
      </c>
      <c r="J105" s="168">
        <f t="shared" si="15"/>
        <v>43496</v>
      </c>
      <c r="K105" s="1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x14ac:dyDescent="0.3">
      <c r="A106" s="183"/>
      <c r="B106" s="13" t="s">
        <v>155</v>
      </c>
      <c r="C106" s="60"/>
      <c r="D106" s="60"/>
      <c r="E106" s="60"/>
      <c r="F106" s="60"/>
      <c r="G106" s="60"/>
      <c r="H106" s="60"/>
      <c r="I106" s="60"/>
      <c r="J106" s="60"/>
      <c r="K106" s="183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x14ac:dyDescent="0.3">
      <c r="A107" s="183"/>
      <c r="B107" s="13" t="s">
        <v>156</v>
      </c>
      <c r="C107" s="60"/>
      <c r="D107" s="60"/>
      <c r="E107" s="60"/>
      <c r="F107" s="60"/>
      <c r="G107" s="60"/>
      <c r="H107" s="60"/>
      <c r="I107" s="60"/>
      <c r="J107" s="60"/>
      <c r="K107" s="183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x14ac:dyDescent="0.3">
      <c r="A108" s="183"/>
      <c r="B108" s="16"/>
      <c r="C108" s="183"/>
      <c r="D108" s="183"/>
      <c r="E108" s="183"/>
      <c r="F108" s="183"/>
      <c r="G108" s="183"/>
      <c r="H108" s="183"/>
      <c r="I108" s="183"/>
      <c r="J108" s="183"/>
      <c r="K108" s="183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x14ac:dyDescent="0.3">
      <c r="A109" s="183"/>
      <c r="B109" s="145" t="s">
        <v>157</v>
      </c>
      <c r="C109" s="96"/>
      <c r="D109" s="96"/>
      <c r="E109" s="96"/>
      <c r="F109" s="96"/>
      <c r="G109" s="96"/>
      <c r="H109" s="96"/>
      <c r="I109" s="96"/>
      <c r="J109" s="96"/>
      <c r="K109" s="323"/>
      <c r="L109" s="324"/>
      <c r="M109" s="32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x14ac:dyDescent="0.3">
      <c r="A110" s="183"/>
      <c r="B110" s="203" t="s">
        <v>61</v>
      </c>
      <c r="C110" s="307"/>
      <c r="D110" s="307"/>
      <c r="E110" s="307"/>
      <c r="F110" s="308"/>
      <c r="G110" s="308"/>
      <c r="H110" s="308"/>
      <c r="I110" s="308"/>
      <c r="J110" s="308"/>
      <c r="K110" s="334"/>
      <c r="L110" s="204" t="s">
        <v>158</v>
      </c>
      <c r="M110" s="205">
        <v>365</v>
      </c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x14ac:dyDescent="0.3">
      <c r="A111" s="183"/>
      <c r="B111" s="206" t="s">
        <v>62</v>
      </c>
      <c r="C111" s="56"/>
      <c r="D111" s="56"/>
      <c r="E111" s="56"/>
      <c r="F111" s="61"/>
      <c r="G111" s="61"/>
      <c r="H111" s="61"/>
      <c r="I111" s="61"/>
      <c r="J111" s="61"/>
      <c r="K111" s="1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x14ac:dyDescent="0.3">
      <c r="A112" s="183"/>
      <c r="B112" s="206" t="s">
        <v>63</v>
      </c>
      <c r="C112" s="56"/>
      <c r="D112" s="56"/>
      <c r="E112" s="56"/>
      <c r="F112" s="61"/>
      <c r="G112" s="61"/>
      <c r="H112" s="61"/>
      <c r="I112" s="61"/>
      <c r="J112" s="61"/>
      <c r="K112" s="1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x14ac:dyDescent="0.3">
      <c r="A113" s="183"/>
      <c r="B113" s="207" t="s">
        <v>159</v>
      </c>
      <c r="C113" s="340"/>
      <c r="D113" s="309"/>
      <c r="E113" s="309"/>
      <c r="F113" s="309"/>
      <c r="G113" s="309"/>
      <c r="H113" s="309"/>
      <c r="I113" s="309"/>
      <c r="J113" s="309"/>
      <c r="K113" s="334"/>
      <c r="L113" s="334"/>
      <c r="M113" s="33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x14ac:dyDescent="0.3">
      <c r="A114" s="183"/>
      <c r="B114" s="16"/>
      <c r="C114" s="1"/>
      <c r="D114" s="1"/>
      <c r="E114" s="1"/>
      <c r="F114" s="1"/>
      <c r="G114" s="1"/>
      <c r="H114" s="1"/>
      <c r="I114" s="1"/>
      <c r="J114" s="1"/>
      <c r="K114" s="1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x14ac:dyDescent="0.3">
      <c r="A115" s="183"/>
      <c r="B115" s="206" t="s">
        <v>72</v>
      </c>
      <c r="C115" s="56"/>
      <c r="D115" s="56"/>
      <c r="E115" s="56"/>
      <c r="F115" s="61"/>
      <c r="G115" s="61"/>
      <c r="H115" s="61"/>
      <c r="I115" s="61"/>
      <c r="J115" s="61"/>
      <c r="K115" s="1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x14ac:dyDescent="0.3">
      <c r="A116" s="183"/>
      <c r="B116" s="206" t="s">
        <v>73</v>
      </c>
      <c r="C116" s="56"/>
      <c r="D116" s="56"/>
      <c r="E116" s="56"/>
      <c r="F116" s="61"/>
      <c r="G116" s="61"/>
      <c r="H116" s="61"/>
      <c r="I116" s="61"/>
      <c r="J116" s="61"/>
      <c r="K116" s="1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x14ac:dyDescent="0.3">
      <c r="A117" s="183"/>
      <c r="B117" s="206" t="s">
        <v>74</v>
      </c>
      <c r="C117" s="56"/>
      <c r="D117" s="56"/>
      <c r="E117" s="56"/>
      <c r="F117" s="61"/>
      <c r="G117" s="61"/>
      <c r="H117" s="61"/>
      <c r="I117" s="61"/>
      <c r="J117" s="61"/>
      <c r="K117" s="1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x14ac:dyDescent="0.3">
      <c r="A118" s="183"/>
      <c r="B118" s="206" t="s">
        <v>75</v>
      </c>
      <c r="C118" s="56"/>
      <c r="D118" s="56"/>
      <c r="E118" s="56"/>
      <c r="F118" s="61"/>
      <c r="G118" s="61"/>
      <c r="H118" s="61"/>
      <c r="I118" s="61"/>
      <c r="J118" s="61"/>
      <c r="K118" s="1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x14ac:dyDescent="0.3">
      <c r="A119" s="183"/>
      <c r="B119" s="206" t="s">
        <v>76</v>
      </c>
      <c r="C119" s="56"/>
      <c r="D119" s="56"/>
      <c r="E119" s="56"/>
      <c r="F119" s="61"/>
      <c r="G119" s="61"/>
      <c r="H119" s="61"/>
      <c r="I119" s="61"/>
      <c r="J119" s="61"/>
      <c r="K119" s="1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x14ac:dyDescent="0.3">
      <c r="A120" s="183"/>
      <c r="B120" s="207" t="s">
        <v>160</v>
      </c>
      <c r="C120" s="309"/>
      <c r="D120" s="309"/>
      <c r="E120" s="309"/>
      <c r="F120" s="309"/>
      <c r="G120" s="309"/>
      <c r="H120" s="309"/>
      <c r="I120" s="309"/>
      <c r="J120" s="309"/>
      <c r="K120" s="334"/>
      <c r="L120" s="334"/>
      <c r="M120" s="33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x14ac:dyDescent="0.3">
      <c r="A121" s="183"/>
      <c r="B121" s="16"/>
      <c r="C121" s="1"/>
      <c r="D121" s="1"/>
      <c r="E121" s="1"/>
      <c r="F121" s="1"/>
      <c r="G121" s="1"/>
      <c r="H121" s="1"/>
      <c r="I121" s="1"/>
      <c r="J121" s="1"/>
      <c r="K121" s="1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x14ac:dyDescent="0.3">
      <c r="A122" s="183"/>
      <c r="B122" s="13" t="s">
        <v>161</v>
      </c>
      <c r="C122" s="61"/>
      <c r="D122" s="61"/>
      <c r="E122" s="61"/>
      <c r="F122" s="61"/>
      <c r="G122" s="61"/>
      <c r="H122" s="61"/>
      <c r="I122" s="61"/>
      <c r="J122" s="61"/>
      <c r="K122" s="1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x14ac:dyDescent="0.3">
      <c r="A123" s="183"/>
      <c r="B123" s="16"/>
      <c r="C123" s="1"/>
      <c r="D123" s="1"/>
      <c r="E123" s="1"/>
      <c r="F123" s="1"/>
      <c r="G123" s="1"/>
      <c r="H123" s="1"/>
      <c r="I123" s="1"/>
      <c r="J123" s="1"/>
      <c r="K123" s="1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x14ac:dyDescent="0.3">
      <c r="A124" s="183"/>
      <c r="B124" s="13" t="s">
        <v>162</v>
      </c>
      <c r="C124" s="61"/>
      <c r="D124" s="61"/>
      <c r="E124" s="61"/>
      <c r="F124" s="61"/>
      <c r="G124" s="61"/>
      <c r="H124" s="61"/>
      <c r="I124" s="61"/>
      <c r="J124" s="61"/>
      <c r="K124" s="1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x14ac:dyDescent="0.3">
      <c r="A125" s="183"/>
      <c r="B125" s="16"/>
      <c r="C125" s="1"/>
      <c r="D125" s="1"/>
      <c r="E125" s="1"/>
      <c r="F125" s="1"/>
      <c r="G125" s="1"/>
      <c r="H125" s="1"/>
      <c r="I125" s="1"/>
      <c r="J125" s="1"/>
      <c r="K125" s="1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x14ac:dyDescent="0.3">
      <c r="A126" s="183"/>
      <c r="B126" s="57"/>
      <c r="C126" s="58"/>
      <c r="D126" s="58"/>
      <c r="E126" s="58"/>
      <c r="F126" s="58"/>
      <c r="G126" s="58"/>
      <c r="H126" s="58"/>
      <c r="I126" s="59"/>
      <c r="J126" s="59"/>
      <c r="K126" s="1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x14ac:dyDescent="0.3">
      <c r="A127" s="183"/>
      <c r="B127" s="16"/>
      <c r="C127" s="183"/>
      <c r="D127" s="1"/>
      <c r="E127" s="1"/>
      <c r="F127" s="1"/>
      <c r="G127" s="1"/>
      <c r="H127" s="1"/>
      <c r="I127" s="1"/>
      <c r="J127" s="1"/>
      <c r="K127" s="1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x14ac:dyDescent="0.3">
      <c r="A128" s="183"/>
      <c r="B128" s="179" t="s">
        <v>163</v>
      </c>
      <c r="C128" s="84"/>
      <c r="D128" s="84"/>
      <c r="E128" s="84"/>
      <c r="F128" s="84"/>
      <c r="G128" s="84"/>
      <c r="H128" s="84"/>
      <c r="I128" s="84"/>
      <c r="J128" s="84"/>
      <c r="K128" s="324"/>
      <c r="L128" s="324"/>
      <c r="M128" s="32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x14ac:dyDescent="0.3">
      <c r="A129" s="183"/>
      <c r="B129" s="13" t="s">
        <v>164</v>
      </c>
      <c r="C129" s="1"/>
      <c r="D129" s="61" t="e">
        <f>365/(D106/D110)</f>
        <v>#DIV/0!</v>
      </c>
      <c r="E129" s="61" t="e">
        <f>365/(E106/E110)</f>
        <v>#DIV/0!</v>
      </c>
      <c r="F129" s="22">
        <v>126</v>
      </c>
      <c r="G129" s="22">
        <v>140</v>
      </c>
      <c r="H129" s="22">
        <v>117</v>
      </c>
      <c r="I129" s="22">
        <v>147</v>
      </c>
      <c r="J129" s="22">
        <v>102</v>
      </c>
      <c r="K129" s="1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x14ac:dyDescent="0.3">
      <c r="A130" s="183"/>
      <c r="B130" s="16"/>
      <c r="C130" s="1"/>
      <c r="D130" s="2"/>
      <c r="E130" s="2"/>
      <c r="F130" s="2"/>
      <c r="G130" s="2"/>
      <c r="H130" s="2"/>
      <c r="I130" s="2"/>
      <c r="J130" s="2"/>
      <c r="K130" s="1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x14ac:dyDescent="0.3">
      <c r="A131" s="183"/>
      <c r="B131" s="206" t="s">
        <v>62</v>
      </c>
      <c r="C131" s="1"/>
      <c r="D131" s="61">
        <f>D111</f>
        <v>0</v>
      </c>
      <c r="E131" s="61">
        <f>E111</f>
        <v>0</v>
      </c>
      <c r="F131" s="61">
        <f>F132*F106</f>
        <v>0</v>
      </c>
      <c r="G131" s="61">
        <f>G132*G106</f>
        <v>0</v>
      </c>
      <c r="H131" s="61">
        <f>H132*H106</f>
        <v>0</v>
      </c>
      <c r="I131" s="61">
        <f>I132*I106</f>
        <v>0</v>
      </c>
      <c r="J131" s="61">
        <f>J132*J106</f>
        <v>0</v>
      </c>
      <c r="K131" s="1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x14ac:dyDescent="0.3">
      <c r="A132" s="183"/>
      <c r="B132" s="122" t="s">
        <v>165</v>
      </c>
      <c r="C132" s="1"/>
      <c r="D132" s="10" t="e">
        <f>D131/D106</f>
        <v>#DIV/0!</v>
      </c>
      <c r="E132" s="10" t="e">
        <f>E131/E106</f>
        <v>#DIV/0!</v>
      </c>
      <c r="F132" s="33">
        <v>5.8975E-2</v>
      </c>
      <c r="G132" s="33">
        <v>5.2309000000000001E-2</v>
      </c>
      <c r="H132" s="33">
        <v>6.2233999999999998E-2</v>
      </c>
      <c r="I132" s="33">
        <v>5.1618999999999998E-2</v>
      </c>
      <c r="J132" s="33">
        <v>6.1894999999999999E-2</v>
      </c>
      <c r="K132" s="1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x14ac:dyDescent="0.3">
      <c r="A133" s="183"/>
      <c r="B133" s="3"/>
      <c r="C133" s="1"/>
      <c r="D133" s="2"/>
      <c r="E133" s="2"/>
      <c r="F133" s="2"/>
      <c r="G133" s="2"/>
      <c r="H133" s="2"/>
      <c r="I133" s="2"/>
      <c r="J133" s="2"/>
      <c r="K133" s="1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x14ac:dyDescent="0.3">
      <c r="A134" s="183"/>
      <c r="B134" s="206" t="s">
        <v>63</v>
      </c>
      <c r="C134" s="1"/>
      <c r="D134" s="61">
        <f>D112</f>
        <v>0</v>
      </c>
      <c r="E134" s="61">
        <f>E112</f>
        <v>0</v>
      </c>
      <c r="F134" s="61">
        <f>F135*F106</f>
        <v>0</v>
      </c>
      <c r="G134" s="61">
        <f>G135*G106</f>
        <v>0</v>
      </c>
      <c r="H134" s="61">
        <f>H135*H106</f>
        <v>0</v>
      </c>
      <c r="I134" s="61">
        <f>I135*I106</f>
        <v>0</v>
      </c>
      <c r="J134" s="61">
        <f>J135*J106</f>
        <v>0</v>
      </c>
      <c r="K134" s="1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x14ac:dyDescent="0.3">
      <c r="A135" s="183"/>
      <c r="B135" s="122" t="s">
        <v>165</v>
      </c>
      <c r="C135" s="1"/>
      <c r="D135" s="10" t="e">
        <f>D134/D106</f>
        <v>#DIV/0!</v>
      </c>
      <c r="E135" s="10" t="e">
        <f>E134/E106</f>
        <v>#DIV/0!</v>
      </c>
      <c r="F135" s="33">
        <v>6.1422999999999998E-2</v>
      </c>
      <c r="G135" s="33">
        <v>5.3137999999999998E-2</v>
      </c>
      <c r="H135" s="33">
        <v>5.4463999999999999E-2</v>
      </c>
      <c r="I135" s="33">
        <v>4.4540999999999997E-2</v>
      </c>
      <c r="J135" s="33">
        <v>5.7248E-2</v>
      </c>
      <c r="K135" s="1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x14ac:dyDescent="0.3">
      <c r="A136" s="183"/>
      <c r="B136" s="16"/>
      <c r="C136" s="1"/>
      <c r="D136" s="2"/>
      <c r="E136" s="2"/>
      <c r="F136" s="2"/>
      <c r="G136" s="2"/>
      <c r="H136" s="2"/>
      <c r="I136" s="2"/>
      <c r="J136" s="2"/>
      <c r="K136" s="1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x14ac:dyDescent="0.3">
      <c r="A137" s="183"/>
      <c r="B137" s="206" t="s">
        <v>166</v>
      </c>
      <c r="C137" s="1"/>
      <c r="D137" s="61" t="e">
        <f>365/(D107/D115)</f>
        <v>#DIV/0!</v>
      </c>
      <c r="E137" s="61" t="e">
        <f>365/(E107/E115)</f>
        <v>#DIV/0!</v>
      </c>
      <c r="F137" s="22">
        <v>202</v>
      </c>
      <c r="G137" s="22">
        <v>149</v>
      </c>
      <c r="H137" s="22">
        <v>202</v>
      </c>
      <c r="I137" s="22">
        <v>207</v>
      </c>
      <c r="J137" s="22">
        <v>155</v>
      </c>
      <c r="K137" s="1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x14ac:dyDescent="0.3">
      <c r="A138" s="183"/>
      <c r="B138" s="3"/>
      <c r="C138" s="1"/>
      <c r="D138" s="2"/>
      <c r="E138" s="2"/>
      <c r="F138" s="2"/>
      <c r="G138" s="2"/>
      <c r="H138" s="2"/>
      <c r="I138" s="2"/>
      <c r="J138" s="2"/>
      <c r="K138" s="1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x14ac:dyDescent="0.3">
      <c r="A139" s="183"/>
      <c r="B139" s="206" t="s">
        <v>73</v>
      </c>
      <c r="C139" s="1"/>
      <c r="D139" s="61">
        <f>D116</f>
        <v>0</v>
      </c>
      <c r="E139" s="61">
        <f>E116</f>
        <v>0</v>
      </c>
      <c r="F139" s="61">
        <f>F140*F$107</f>
        <v>0</v>
      </c>
      <c r="G139" s="61">
        <f>G140*G$107</f>
        <v>0</v>
      </c>
      <c r="H139" s="61">
        <f>H140*H$107</f>
        <v>0</v>
      </c>
      <c r="I139" s="61">
        <f>I140*I$107</f>
        <v>0</v>
      </c>
      <c r="J139" s="61">
        <f>J140*J$107</f>
        <v>0</v>
      </c>
      <c r="K139" s="1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x14ac:dyDescent="0.3">
      <c r="A140" s="183"/>
      <c r="B140" s="122" t="s">
        <v>167</v>
      </c>
      <c r="C140" s="1"/>
      <c r="D140" s="10" t="e">
        <f>D139/D107</f>
        <v>#DIV/0!</v>
      </c>
      <c r="E140" s="10" t="e">
        <f>E139/E107</f>
        <v>#DIV/0!</v>
      </c>
      <c r="F140" s="33">
        <v>0.698322</v>
      </c>
      <c r="G140" s="33">
        <v>0.54195599999999999</v>
      </c>
      <c r="H140" s="33">
        <v>0.50336999999999998</v>
      </c>
      <c r="I140" s="33">
        <v>0.58963600000000005</v>
      </c>
      <c r="J140" s="33">
        <v>0.53124400000000005</v>
      </c>
      <c r="K140" s="1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x14ac:dyDescent="0.3">
      <c r="A141" s="183"/>
      <c r="B141" s="3"/>
      <c r="C141" s="1"/>
      <c r="D141" s="2"/>
      <c r="E141" s="2"/>
      <c r="F141" s="2"/>
      <c r="G141" s="2"/>
      <c r="H141" s="2"/>
      <c r="I141" s="2"/>
      <c r="J141" s="2"/>
      <c r="K141" s="1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x14ac:dyDescent="0.3">
      <c r="A142" s="183"/>
      <c r="B142" s="206" t="s">
        <v>74</v>
      </c>
      <c r="C142" s="1"/>
      <c r="D142" s="61">
        <f>D117</f>
        <v>0</v>
      </c>
      <c r="E142" s="61">
        <f>E117</f>
        <v>0</v>
      </c>
      <c r="F142" s="61">
        <f>F143*F$107</f>
        <v>0</v>
      </c>
      <c r="G142" s="61">
        <f>G143*G$107</f>
        <v>0</v>
      </c>
      <c r="H142" s="61">
        <f>H143*H$107</f>
        <v>0</v>
      </c>
      <c r="I142" s="61">
        <f>I143*I$107</f>
        <v>0</v>
      </c>
      <c r="J142" s="61">
        <f>J143*J$107</f>
        <v>0</v>
      </c>
      <c r="K142" s="1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x14ac:dyDescent="0.3">
      <c r="A143" s="183"/>
      <c r="B143" s="122" t="s">
        <v>167</v>
      </c>
      <c r="C143" s="1"/>
      <c r="D143" s="10" t="e">
        <f>D142/D107</f>
        <v>#DIV/0!</v>
      </c>
      <c r="E143" s="10" t="e">
        <f>E142/E107</f>
        <v>#DIV/0!</v>
      </c>
      <c r="F143" s="33">
        <v>0.25923000000000002</v>
      </c>
      <c r="G143" s="33">
        <v>0.28829399999999999</v>
      </c>
      <c r="H143" s="33">
        <v>0.299404</v>
      </c>
      <c r="I143" s="33">
        <v>0.211788</v>
      </c>
      <c r="J143" s="33">
        <v>0.27831800000000001</v>
      </c>
      <c r="K143" s="1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x14ac:dyDescent="0.3">
      <c r="A144" s="183"/>
      <c r="B144" s="3"/>
      <c r="C144" s="1"/>
      <c r="D144" s="2"/>
      <c r="E144" s="2"/>
      <c r="F144" s="2"/>
      <c r="G144" s="2"/>
      <c r="H144" s="2"/>
      <c r="I144" s="2"/>
      <c r="J144" s="2"/>
      <c r="K144" s="1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x14ac:dyDescent="0.3">
      <c r="A145" s="183"/>
      <c r="B145" s="206" t="s">
        <v>75</v>
      </c>
      <c r="C145" s="1"/>
      <c r="D145" s="61">
        <f>D118</f>
        <v>0</v>
      </c>
      <c r="E145" s="61">
        <f>E118</f>
        <v>0</v>
      </c>
      <c r="F145" s="56">
        <f>'P&amp;L'!F125</f>
        <v>193492.4444444445</v>
      </c>
      <c r="G145" s="56">
        <f>'P&amp;L'!G125</f>
        <v>340312.07901234564</v>
      </c>
      <c r="H145" s="56">
        <f>'P&amp;L'!H125</f>
        <v>651148.27676268911</v>
      </c>
      <c r="I145" s="56">
        <f>'P&amp;L'!I125</f>
        <v>1124905.5781789357</v>
      </c>
      <c r="J145" s="56">
        <f>'P&amp;L'!J125</f>
        <v>1986433.9804479682</v>
      </c>
      <c r="K145" s="1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x14ac:dyDescent="0.3">
      <c r="A146" s="183"/>
      <c r="B146" s="3"/>
      <c r="C146" s="1"/>
      <c r="D146" s="19"/>
      <c r="E146" s="19"/>
      <c r="F146" s="29"/>
      <c r="G146" s="29"/>
      <c r="H146" s="29"/>
      <c r="I146" s="29"/>
      <c r="J146" s="29"/>
      <c r="K146" s="1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x14ac:dyDescent="0.3">
      <c r="A147" s="183"/>
      <c r="B147" s="206" t="s">
        <v>76</v>
      </c>
      <c r="C147" s="1"/>
      <c r="D147" s="61">
        <f>D119</f>
        <v>0</v>
      </c>
      <c r="E147" s="61">
        <f>E119</f>
        <v>0</v>
      </c>
      <c r="F147" s="61">
        <f>F148*F$107</f>
        <v>0</v>
      </c>
      <c r="G147" s="61">
        <f>G148*G$107</f>
        <v>0</v>
      </c>
      <c r="H147" s="61">
        <f>H148*H$107</f>
        <v>0</v>
      </c>
      <c r="I147" s="61">
        <f>I148*I$107</f>
        <v>0</v>
      </c>
      <c r="J147" s="61">
        <f>J148*J$107</f>
        <v>0</v>
      </c>
      <c r="K147" s="1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x14ac:dyDescent="0.3">
      <c r="A148" s="183"/>
      <c r="B148" s="122" t="s">
        <v>167</v>
      </c>
      <c r="C148" s="1"/>
      <c r="D148" s="10" t="e">
        <f>D147/D107</f>
        <v>#DIV/0!</v>
      </c>
      <c r="E148" s="10" t="e">
        <f>E147/E107</f>
        <v>#DIV/0!</v>
      </c>
      <c r="F148" s="33">
        <v>4.1765999999999998E-2</v>
      </c>
      <c r="G148" s="33">
        <v>4.0418000000000003E-2</v>
      </c>
      <c r="H148" s="33">
        <v>4.8221E-2</v>
      </c>
      <c r="I148" s="33">
        <v>4.1154000000000003E-2</v>
      </c>
      <c r="J148" s="33">
        <v>4.8614999999999998E-2</v>
      </c>
      <c r="K148" s="1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5"/>
  <sheetViews>
    <sheetView showGridLines="0" workbookViewId="0">
      <pane xSplit="2" ySplit="1" topLeftCell="C117" activePane="bottomRight" state="frozen"/>
      <selection pane="topRight" activeCell="C117" sqref="C117"/>
      <selection pane="bottomLeft" activeCell="C117" sqref="C117"/>
      <selection pane="bottomRight" activeCell="C117" sqref="C117"/>
    </sheetView>
  </sheetViews>
  <sheetFormatPr defaultRowHeight="14.4" x14ac:dyDescent="0.3"/>
  <cols>
    <col min="1" max="1" width="18.88671875" customWidth="1"/>
    <col min="2" max="2" width="41.33203125" customWidth="1"/>
    <col min="3" max="3" width="12.88671875" customWidth="1"/>
    <col min="4" max="4" width="10.33203125" customWidth="1"/>
    <col min="5" max="7" width="12.77734375" customWidth="1"/>
    <col min="8" max="9" width="14.33203125" customWidth="1"/>
    <col min="10" max="10" width="12.44140625" customWidth="1"/>
    <col min="11" max="11" width="12.44140625" style="311" customWidth="1"/>
    <col min="12" max="13" width="13.109375" style="311" customWidth="1"/>
    <col min="14" max="14" width="33.44140625" style="311" customWidth="1"/>
    <col min="15" max="26" width="13.109375" style="311" customWidth="1"/>
  </cols>
  <sheetData>
    <row r="1" spans="1:26" x14ac:dyDescent="0.3">
      <c r="A1" s="306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3">
      <c r="A2" s="316" t="s">
        <v>128</v>
      </c>
      <c r="B2" s="198"/>
      <c r="C2" s="198"/>
      <c r="D2" s="198"/>
      <c r="E2" s="198"/>
      <c r="F2" s="198"/>
      <c r="G2" s="198"/>
      <c r="H2" s="198"/>
      <c r="I2" s="198"/>
      <c r="J2" s="198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3">
      <c r="A3" s="49"/>
      <c r="B3" s="16"/>
      <c r="C3" s="16"/>
      <c r="D3" s="16"/>
      <c r="E3" s="16"/>
      <c r="F3" s="16"/>
      <c r="G3" s="16"/>
      <c r="H3" s="16"/>
      <c r="I3" s="16"/>
      <c r="J3" s="16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3">
      <c r="A4" s="16"/>
      <c r="B4" s="44"/>
      <c r="C4" s="178">
        <f>'BS-CF-WC'!C4</f>
        <v>40908</v>
      </c>
      <c r="D4" s="178">
        <f>'BS-CF-WC'!D4</f>
        <v>41305</v>
      </c>
      <c r="E4" s="178">
        <f>'BS-CF-WC'!E4</f>
        <v>41670</v>
      </c>
      <c r="F4" s="178">
        <f>'BS-CF-WC'!F4</f>
        <v>42035</v>
      </c>
      <c r="G4" s="178">
        <f>'BS-CF-WC'!G4</f>
        <v>42400</v>
      </c>
      <c r="H4" s="178">
        <f>'BS-CF-WC'!H4</f>
        <v>42766</v>
      </c>
      <c r="I4" s="178">
        <f>'BS-CF-WC'!I4</f>
        <v>43131</v>
      </c>
      <c r="J4" s="178">
        <f>'BS-CF-WC'!J4</f>
        <v>43496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3">
      <c r="A5" s="16"/>
      <c r="B5" s="129" t="s">
        <v>129</v>
      </c>
      <c r="C5" s="341"/>
      <c r="D5" s="342"/>
      <c r="E5" s="342"/>
      <c r="F5" s="54">
        <f>'BS-CF-WC'!F83</f>
        <v>-151246.56511123921</v>
      </c>
      <c r="G5" s="54">
        <f>'BS-CF-WC'!G83</f>
        <v>-272350.77803544549</v>
      </c>
      <c r="H5" s="54">
        <f>'BS-CF-WC'!H83</f>
        <v>-325025.1092871562</v>
      </c>
      <c r="I5" s="54">
        <f>'BS-CF-WC'!I83</f>
        <v>-410289.42312733055</v>
      </c>
      <c r="J5" s="54">
        <f>'BS-CF-WC'!J83</f>
        <v>-271769.48203992553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3">
      <c r="A6" s="16"/>
      <c r="B6" s="13" t="s">
        <v>130</v>
      </c>
      <c r="C6" s="343"/>
      <c r="D6" s="344"/>
      <c r="E6" s="344"/>
      <c r="F6" s="12">
        <f>'Equity-Shares'!F7</f>
        <v>250000</v>
      </c>
      <c r="G6" s="12">
        <f>'Equity-Shares'!G7</f>
        <v>0</v>
      </c>
      <c r="H6" s="12">
        <f>'Equity-Shares'!H7</f>
        <v>0</v>
      </c>
      <c r="I6" s="12">
        <f>'Equity-Shares'!I7</f>
        <v>0</v>
      </c>
      <c r="J6" s="12">
        <f>'Equity-Shares'!J7</f>
        <v>0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3">
      <c r="A7" s="16"/>
      <c r="B7" s="194" t="s">
        <v>131</v>
      </c>
      <c r="C7" s="325"/>
      <c r="D7" s="345"/>
      <c r="E7" s="345"/>
      <c r="F7" s="52">
        <v>108851</v>
      </c>
      <c r="G7" s="52">
        <v>206118.43488876079</v>
      </c>
      <c r="H7" s="52">
        <v>100000.00000000003</v>
      </c>
      <c r="I7" s="52">
        <v>99999.999999999971</v>
      </c>
      <c r="J7" s="52">
        <v>100000.00000000003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3">
      <c r="A8" s="16"/>
      <c r="B8" s="195" t="s">
        <v>132</v>
      </c>
      <c r="C8" s="346"/>
      <c r="D8" s="347"/>
      <c r="E8" s="347"/>
      <c r="F8" s="196">
        <f>-Drivers!$C$13</f>
        <v>-85530</v>
      </c>
      <c r="G8" s="196">
        <f>-Drivers!$C$13</f>
        <v>-85530</v>
      </c>
      <c r="H8" s="196">
        <f>-Drivers!$C$13</f>
        <v>-85530</v>
      </c>
      <c r="I8" s="196">
        <f>-Drivers!$C$13</f>
        <v>-85530</v>
      </c>
      <c r="J8" s="196">
        <f>-Drivers!$C$13</f>
        <v>-85530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3">
      <c r="A9" s="16"/>
      <c r="B9" s="129" t="s">
        <v>133</v>
      </c>
      <c r="C9" s="346"/>
      <c r="D9" s="346"/>
      <c r="E9" s="346"/>
      <c r="F9" s="197">
        <f>SUM(F5:F8)</f>
        <v>122074.43488876079</v>
      </c>
      <c r="G9" s="197">
        <f>SUM(G5:G8)</f>
        <v>-151762.3431466847</v>
      </c>
      <c r="H9" s="197">
        <f>SUM(H5:H8)</f>
        <v>-310555.10928715614</v>
      </c>
      <c r="I9" s="197">
        <f>SUM(I5:I8)</f>
        <v>-395819.42312733061</v>
      </c>
      <c r="J9" s="197">
        <f>SUM(J5:J8)</f>
        <v>-257299.4820399255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3">
      <c r="A10" s="16"/>
      <c r="B10" s="13" t="s">
        <v>134</v>
      </c>
      <c r="C10" s="325"/>
      <c r="D10" s="325"/>
      <c r="E10" s="325"/>
      <c r="F10" s="8"/>
      <c r="G10" s="8"/>
      <c r="H10" s="8"/>
      <c r="I10" s="8"/>
      <c r="J10" s="8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3">
      <c r="A11" s="16"/>
      <c r="B11" s="13" t="s">
        <v>135</v>
      </c>
      <c r="C11" s="325"/>
      <c r="D11" s="325"/>
      <c r="E11" s="325"/>
      <c r="F11" s="8">
        <f>F22</f>
        <v>-1486</v>
      </c>
      <c r="G11" s="8">
        <f>G22</f>
        <v>-13545.5</v>
      </c>
      <c r="H11" s="8">
        <f>H22</f>
        <v>-13545.5</v>
      </c>
      <c r="I11" s="8">
        <f>I22</f>
        <v>0</v>
      </c>
      <c r="J11" s="8">
        <f>J22</f>
        <v>0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3">
      <c r="A12" s="16"/>
      <c r="B12" s="123" t="s">
        <v>136</v>
      </c>
      <c r="C12" s="50"/>
      <c r="D12" s="50"/>
      <c r="E12" s="50"/>
      <c r="F12" s="50">
        <f>F9+F10+F11</f>
        <v>120588.43488876079</v>
      </c>
      <c r="G12" s="50">
        <f>G9+G10+G11</f>
        <v>-165307.8431466847</v>
      </c>
      <c r="H12" s="50">
        <f>H9+H10+H11</f>
        <v>-324100.60928715614</v>
      </c>
      <c r="I12" s="50">
        <f>I9+I10+I11</f>
        <v>-395819.42312733061</v>
      </c>
      <c r="J12" s="50">
        <f>J9+J10+J11</f>
        <v>-257299.4820399255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3">
      <c r="A13" s="16"/>
      <c r="B13" s="16"/>
      <c r="C13" s="8"/>
      <c r="D13" s="8"/>
      <c r="E13" s="8"/>
      <c r="F13" s="8"/>
      <c r="G13" s="8"/>
      <c r="H13" s="8"/>
      <c r="I13" s="16"/>
      <c r="J13" s="16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3">
      <c r="A14" s="16"/>
      <c r="B14" s="198" t="s">
        <v>137</v>
      </c>
      <c r="C14" s="199"/>
      <c r="D14" s="199"/>
      <c r="E14" s="199"/>
      <c r="F14" s="199"/>
      <c r="G14" s="199"/>
      <c r="H14" s="199"/>
      <c r="I14" s="98"/>
      <c r="J14" s="98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3">
      <c r="A15" s="16"/>
      <c r="B15" s="13" t="s">
        <v>138</v>
      </c>
      <c r="C15" s="8"/>
      <c r="D15" s="8"/>
      <c r="E15" s="8"/>
      <c r="F15" s="8">
        <f>E17</f>
        <v>0</v>
      </c>
      <c r="G15" s="8">
        <f>F17</f>
        <v>0</v>
      </c>
      <c r="H15" s="8">
        <f>G17</f>
        <v>165307.8431466847</v>
      </c>
      <c r="I15" s="8">
        <f>H17</f>
        <v>489408.45243384084</v>
      </c>
      <c r="J15" s="8">
        <f>I17</f>
        <v>885227.87556117144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3">
      <c r="A16" s="16"/>
      <c r="B16" s="13" t="s">
        <v>139</v>
      </c>
      <c r="C16" s="8"/>
      <c r="D16" s="8"/>
      <c r="E16" s="8"/>
      <c r="F16" s="8">
        <f>IF(F12&lt;0,-F12,-MIN(F15,F12))</f>
        <v>0</v>
      </c>
      <c r="G16" s="8">
        <f>IF(G12&lt;0,-G12,-MIN(G15,G12))</f>
        <v>165307.8431466847</v>
      </c>
      <c r="H16" s="8">
        <f>IF(H12&lt;0,-H12,-MIN(H15,H12))</f>
        <v>324100.60928715614</v>
      </c>
      <c r="I16" s="8">
        <f>IF(I12&lt;0,-I12,-MIN(I15,I12))</f>
        <v>395819.42312733061</v>
      </c>
      <c r="J16" s="8">
        <f>IF(J12&lt;0,-J12,-MIN(J15,J12))</f>
        <v>257299.4820399255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3">
      <c r="A17" s="16"/>
      <c r="B17" s="71" t="s">
        <v>140</v>
      </c>
      <c r="C17" s="348"/>
      <c r="D17" s="348"/>
      <c r="E17" s="200">
        <v>0</v>
      </c>
      <c r="F17" s="55">
        <f>SUM(F15:F16)</f>
        <v>0</v>
      </c>
      <c r="G17" s="55">
        <f>SUM(G15:G16)</f>
        <v>165307.8431466847</v>
      </c>
      <c r="H17" s="55">
        <f>SUM(H15:H16)</f>
        <v>489408.45243384084</v>
      </c>
      <c r="I17" s="55">
        <f>SUM(I15:I16)</f>
        <v>885227.87556117144</v>
      </c>
      <c r="J17" s="55">
        <f>SUM(J15:J16)</f>
        <v>1142527.3576010969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3">
      <c r="A18" s="16"/>
      <c r="B18" s="16"/>
      <c r="C18" s="8"/>
      <c r="D18" s="8"/>
      <c r="E18" s="8"/>
      <c r="F18" s="8"/>
      <c r="G18" s="8"/>
      <c r="H18" s="8"/>
      <c r="I18" s="16"/>
      <c r="J18" s="16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3">
      <c r="A19" s="16"/>
      <c r="B19" s="198" t="s">
        <v>141</v>
      </c>
      <c r="C19" s="199"/>
      <c r="D19" s="199"/>
      <c r="E19" s="199"/>
      <c r="F19" s="199"/>
      <c r="G19" s="199"/>
      <c r="H19" s="199"/>
      <c r="I19" s="98"/>
      <c r="J19" s="98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3">
      <c r="A20" s="16"/>
      <c r="B20" s="13" t="s">
        <v>138</v>
      </c>
      <c r="C20" s="8"/>
      <c r="D20" s="8"/>
      <c r="E20" s="8"/>
      <c r="F20" s="8">
        <f>E23</f>
        <v>28577</v>
      </c>
      <c r="G20" s="8">
        <f>F23</f>
        <v>27091</v>
      </c>
      <c r="H20" s="8">
        <f>G23</f>
        <v>13545.5</v>
      </c>
      <c r="I20" s="8">
        <f>H23</f>
        <v>0</v>
      </c>
      <c r="J20" s="8">
        <f>I23</f>
        <v>0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3">
      <c r="A21" s="16"/>
      <c r="B21" s="13" t="s">
        <v>142</v>
      </c>
      <c r="C21" s="46"/>
      <c r="D21" s="46"/>
      <c r="E21" s="46"/>
      <c r="F21" s="46"/>
      <c r="G21" s="16"/>
      <c r="H21" s="16"/>
      <c r="I21" s="16"/>
      <c r="J21" s="16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x14ac:dyDescent="0.3">
      <c r="A22" s="16"/>
      <c r="B22" s="13" t="s">
        <v>143</v>
      </c>
      <c r="C22" s="46"/>
      <c r="D22" s="46"/>
      <c r="E22" s="46"/>
      <c r="F22" s="52">
        <v>-1486</v>
      </c>
      <c r="G22" s="8">
        <f>-(E23+F22)/2</f>
        <v>-13545.5</v>
      </c>
      <c r="H22" s="8">
        <f>G22</f>
        <v>-13545.5</v>
      </c>
      <c r="I22" s="52">
        <v>0</v>
      </c>
      <c r="J22" s="52">
        <v>0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3">
      <c r="A23" s="16"/>
      <c r="B23" s="71" t="s">
        <v>140</v>
      </c>
      <c r="C23" s="348"/>
      <c r="D23" s="348"/>
      <c r="E23" s="201">
        <f>'BS-CF-WC'!E31</f>
        <v>28577</v>
      </c>
      <c r="F23" s="55">
        <f>SUM(F20:F22)</f>
        <v>27091</v>
      </c>
      <c r="G23" s="55">
        <f>SUM(G20:G22)</f>
        <v>13545.5</v>
      </c>
      <c r="H23" s="55">
        <f>SUM(H20:H22)</f>
        <v>0</v>
      </c>
      <c r="I23" s="55">
        <f>SUM(I20:I22)</f>
        <v>0</v>
      </c>
      <c r="J23" s="55">
        <f>SUM(J20:J22)</f>
        <v>0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3">
      <c r="A25" s="16"/>
      <c r="B25" s="198" t="s">
        <v>144</v>
      </c>
      <c r="C25" s="98"/>
      <c r="D25" s="98"/>
      <c r="E25" s="98"/>
      <c r="F25" s="98"/>
      <c r="G25" s="98"/>
      <c r="H25" s="98"/>
      <c r="I25" s="98"/>
      <c r="J25" s="98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3">
      <c r="A27" s="16"/>
      <c r="B27" s="202" t="s">
        <v>145</v>
      </c>
      <c r="C27" s="6"/>
      <c r="D27" s="6"/>
      <c r="E27" s="6"/>
      <c r="F27" s="22">
        <v>0</v>
      </c>
      <c r="G27" s="22">
        <v>91244.671573342348</v>
      </c>
      <c r="H27" s="22">
        <v>353130.39779026277</v>
      </c>
      <c r="I27" s="22">
        <v>728916.16399750614</v>
      </c>
      <c r="J27" s="22">
        <v>1069945.616581134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3">
      <c r="A28" s="16"/>
      <c r="B28" s="16"/>
      <c r="C28" s="47"/>
      <c r="D28" s="29"/>
      <c r="E28" s="29"/>
      <c r="F28" s="33">
        <v>3.5000000000000003E-2</v>
      </c>
      <c r="G28" s="33">
        <v>3.5000000000000003E-2</v>
      </c>
      <c r="H28" s="33">
        <v>3.5000000000000003E-2</v>
      </c>
      <c r="I28" s="33">
        <v>3.5000000000000003E-2</v>
      </c>
      <c r="J28" s="33">
        <v>3.5000000000000003E-2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3">
      <c r="A29" s="16"/>
      <c r="B29" s="123" t="s">
        <v>146</v>
      </c>
      <c r="C29" s="51"/>
      <c r="D29" s="51"/>
      <c r="E29" s="51"/>
      <c r="F29" s="50">
        <f>F28*F27</f>
        <v>0</v>
      </c>
      <c r="G29" s="50">
        <f>G28*G27</f>
        <v>3193.5635050669825</v>
      </c>
      <c r="H29" s="50">
        <f>H28*H27</f>
        <v>12359.563922659197</v>
      </c>
      <c r="I29" s="50">
        <f>I28*I27</f>
        <v>25512.065739912716</v>
      </c>
      <c r="J29" s="50">
        <f>J28*J27</f>
        <v>37448.096580339698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3">
      <c r="A31" s="16"/>
      <c r="B31" s="202" t="s">
        <v>147</v>
      </c>
      <c r="C31" s="6"/>
      <c r="D31" s="6"/>
      <c r="E31" s="6"/>
      <c r="F31" s="22">
        <v>33257</v>
      </c>
      <c r="G31" s="22">
        <v>24385.5</v>
      </c>
      <c r="H31" s="22">
        <v>8128.5</v>
      </c>
      <c r="I31" s="22">
        <v>0</v>
      </c>
      <c r="J31" s="22">
        <v>0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3">
      <c r="A32" s="16"/>
      <c r="B32" s="16"/>
      <c r="C32" s="47"/>
      <c r="D32" s="19"/>
      <c r="E32" s="19"/>
      <c r="F32" s="33">
        <v>3.5000000000000003E-2</v>
      </c>
      <c r="G32" s="33">
        <v>0.05</v>
      </c>
      <c r="H32" s="33">
        <v>0.05</v>
      </c>
      <c r="I32" s="33">
        <v>0.05</v>
      </c>
      <c r="J32" s="33">
        <v>0.05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3">
      <c r="A33" s="16"/>
      <c r="B33" s="123" t="s">
        <v>148</v>
      </c>
      <c r="C33" s="51"/>
      <c r="D33" s="51"/>
      <c r="E33" s="51"/>
      <c r="F33" s="124">
        <f>F32*F31</f>
        <v>1163.9950000000001</v>
      </c>
      <c r="G33" s="124">
        <f>G32*G31</f>
        <v>1219.2750000000001</v>
      </c>
      <c r="H33" s="124">
        <f>H32*H31</f>
        <v>406.42500000000001</v>
      </c>
      <c r="I33" s="124">
        <f>I32*I31</f>
        <v>0</v>
      </c>
      <c r="J33" s="124">
        <f>J32*J31</f>
        <v>0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3">
      <c r="A34" s="16"/>
      <c r="B34" s="16"/>
      <c r="C34" s="16"/>
      <c r="D34" s="16"/>
      <c r="E34" s="16"/>
      <c r="F34" s="1"/>
      <c r="G34" s="1"/>
      <c r="H34" s="1"/>
      <c r="I34" s="1"/>
      <c r="J34" s="1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3">
      <c r="A35" s="16"/>
      <c r="B35" s="125" t="s">
        <v>149</v>
      </c>
      <c r="C35" s="349"/>
      <c r="D35" s="350"/>
      <c r="E35" s="350"/>
      <c r="F35" s="126">
        <f>F33+F29</f>
        <v>1163.9950000000001</v>
      </c>
      <c r="G35" s="126">
        <f>G33+G29</f>
        <v>4412.8385050669822</v>
      </c>
      <c r="H35" s="126">
        <f>H33+H29</f>
        <v>12765.988922659197</v>
      </c>
      <c r="I35" s="126">
        <f>I33+I29</f>
        <v>25512.065739912716</v>
      </c>
      <c r="J35" s="126">
        <f>J33+J29</f>
        <v>37448.096580339698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3">
      <c r="A36" s="16"/>
      <c r="B36" s="16"/>
      <c r="C36" s="23"/>
      <c r="D36" s="23"/>
      <c r="E36" s="23"/>
      <c r="F36" s="23"/>
      <c r="G36" s="16"/>
      <c r="H36" s="16"/>
      <c r="I36" s="16"/>
      <c r="J36" s="16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3">
      <c r="A37" s="16"/>
      <c r="B37" s="16"/>
      <c r="C37" s="23"/>
      <c r="D37" s="23"/>
      <c r="E37" s="23"/>
      <c r="F37" s="23"/>
      <c r="G37" s="16"/>
      <c r="H37" s="16"/>
      <c r="I37" s="16"/>
      <c r="J37" s="16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x14ac:dyDescent="0.3">
      <c r="A38" s="16"/>
      <c r="B38" s="202" t="s">
        <v>150</v>
      </c>
      <c r="C38" s="6"/>
      <c r="D38" s="6"/>
      <c r="E38" s="6"/>
      <c r="F38" s="6"/>
      <c r="G38" s="6"/>
      <c r="H38" s="6"/>
      <c r="I38" s="16"/>
      <c r="J38" s="16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x14ac:dyDescent="0.3">
      <c r="A39" s="16"/>
      <c r="B39" s="16"/>
      <c r="C39" s="48"/>
      <c r="D39" s="48"/>
      <c r="E39" s="48"/>
      <c r="F39" s="48"/>
      <c r="G39" s="48"/>
      <c r="H39" s="48"/>
      <c r="I39" s="16"/>
      <c r="J39" s="16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3">
      <c r="A40" s="16"/>
      <c r="B40" s="13" t="s">
        <v>151</v>
      </c>
      <c r="C40" s="23"/>
      <c r="D40" s="23"/>
      <c r="E40" s="22">
        <v>108851</v>
      </c>
      <c r="F40" s="22">
        <v>206118.43488876079</v>
      </c>
      <c r="G40" s="22">
        <v>100000.00000000003</v>
      </c>
      <c r="H40" s="22">
        <v>99999.999999999971</v>
      </c>
      <c r="I40" s="22">
        <v>100000.00000000003</v>
      </c>
      <c r="J40" s="22">
        <v>100000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3">
      <c r="A41" s="16"/>
      <c r="B41" s="13" t="s">
        <v>152</v>
      </c>
      <c r="C41" s="16"/>
      <c r="D41" s="16"/>
      <c r="E41" s="1"/>
      <c r="F41" s="22">
        <v>157484.7174443804</v>
      </c>
      <c r="G41" s="22">
        <v>153059.2174443804</v>
      </c>
      <c r="H41" s="22">
        <v>100000</v>
      </c>
      <c r="I41" s="22">
        <v>100000</v>
      </c>
      <c r="J41" s="22">
        <v>100000.00000000001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3">
      <c r="A42" s="16"/>
      <c r="B42" s="16"/>
      <c r="C42" s="16"/>
      <c r="D42" s="16"/>
      <c r="E42" s="1"/>
      <c r="F42" s="1"/>
      <c r="G42" s="1"/>
      <c r="H42" s="1"/>
      <c r="I42" s="1"/>
      <c r="J42" s="1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3">
      <c r="A43" s="16"/>
      <c r="B43" s="13" t="s">
        <v>153</v>
      </c>
      <c r="C43" s="16"/>
      <c r="D43" s="53">
        <v>0.02</v>
      </c>
      <c r="E43" s="1"/>
      <c r="F43" s="22">
        <v>3149.6943488876082</v>
      </c>
      <c r="G43" s="22">
        <v>3061.1843488876079</v>
      </c>
      <c r="H43" s="22">
        <v>2000</v>
      </c>
      <c r="I43" s="22">
        <v>2000</v>
      </c>
      <c r="J43" s="22">
        <v>2000.0000000000002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5" spans="1:26" x14ac:dyDescent="0.3">
      <c r="A45" s="306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3">
      <c r="A46" s="316" t="s">
        <v>168</v>
      </c>
      <c r="B46" s="198"/>
      <c r="C46" s="198"/>
      <c r="D46" s="198"/>
      <c r="E46" s="198"/>
      <c r="F46" s="198"/>
      <c r="G46" s="198"/>
      <c r="H46" s="198"/>
      <c r="I46" s="198"/>
      <c r="J46" s="198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3">
      <c r="A47" s="49"/>
      <c r="B47" s="16"/>
      <c r="C47" s="16"/>
      <c r="D47" s="16"/>
      <c r="E47" s="16"/>
      <c r="F47" s="16"/>
      <c r="G47" s="16"/>
      <c r="H47" s="16"/>
      <c r="I47" s="16"/>
      <c r="J47" s="16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3">
      <c r="A48" s="16"/>
      <c r="B48" s="16"/>
      <c r="C48" s="16"/>
      <c r="D48" s="16"/>
      <c r="E48" s="16"/>
      <c r="F48" s="16"/>
      <c r="G48" s="16"/>
      <c r="H48" s="16"/>
      <c r="I48" s="183"/>
      <c r="J48" s="183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x14ac:dyDescent="0.3">
      <c r="A49" s="16"/>
      <c r="B49" s="16"/>
      <c r="C49" s="168">
        <f>'BS-CF-WC'!C4</f>
        <v>40908</v>
      </c>
      <c r="D49" s="168">
        <f>'BS-CF-WC'!D4</f>
        <v>41305</v>
      </c>
      <c r="E49" s="168">
        <f>'BS-CF-WC'!E4</f>
        <v>41670</v>
      </c>
      <c r="F49" s="168">
        <f>'BS-CF-WC'!F4</f>
        <v>42035</v>
      </c>
      <c r="G49" s="168">
        <f>'BS-CF-WC'!G4</f>
        <v>42400</v>
      </c>
      <c r="H49" s="168">
        <f>'BS-CF-WC'!H4</f>
        <v>42766</v>
      </c>
      <c r="I49" s="168">
        <f>'BS-CF-WC'!I4</f>
        <v>43131</v>
      </c>
      <c r="J49" s="168">
        <f>'BS-CF-WC'!J4</f>
        <v>43496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x14ac:dyDescent="0.3">
      <c r="A50" s="183"/>
      <c r="B50" s="13" t="s">
        <v>155</v>
      </c>
      <c r="C50" s="60"/>
      <c r="D50" s="60">
        <f>'P&amp;L'!D70</f>
        <v>66258</v>
      </c>
      <c r="E50" s="60">
        <f>'P&amp;L'!E70</f>
        <v>130322</v>
      </c>
      <c r="F50" s="60">
        <f>'P&amp;L'!F70</f>
        <v>260644</v>
      </c>
      <c r="G50" s="60">
        <f>'P&amp;L'!G70</f>
        <v>461881.49823199998</v>
      </c>
      <c r="H50" s="60">
        <f>'P&amp;L'!H70</f>
        <v>892804.92716350197</v>
      </c>
      <c r="I50" s="60">
        <f>'P&amp;L'!I70</f>
        <v>1737509.0960711432</v>
      </c>
      <c r="J50" s="60">
        <f>'P&amp;L'!J70</f>
        <v>3070555.6122315573</v>
      </c>
      <c r="K50" s="217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x14ac:dyDescent="0.3">
      <c r="A51" s="183"/>
      <c r="B51" s="13" t="s">
        <v>169</v>
      </c>
      <c r="C51" s="67"/>
      <c r="D51" s="60">
        <f>-'BS-CF-WC'!D78</f>
        <v>18480</v>
      </c>
      <c r="E51" s="60">
        <f>-'BS-CF-WC'!E78</f>
        <v>23953</v>
      </c>
      <c r="F51" s="209">
        <f>F52*F50</f>
        <v>10971.287892</v>
      </c>
      <c r="G51" s="209">
        <f>G52*G50</f>
        <v>22103.33909789236</v>
      </c>
      <c r="H51" s="209">
        <f>H52*H50</f>
        <v>52458.539105345881</v>
      </c>
      <c r="I51" s="209">
        <f>I52*I50</f>
        <v>102832.73834187454</v>
      </c>
      <c r="J51" s="209">
        <f>J52*J50</f>
        <v>163718.95468857439</v>
      </c>
      <c r="K51" s="217"/>
      <c r="L51" s="44"/>
      <c r="M51" s="44"/>
      <c r="N51" s="44"/>
      <c r="O51" s="313"/>
      <c r="P51" s="313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x14ac:dyDescent="0.3">
      <c r="A52" s="183"/>
      <c r="B52" s="210" t="s">
        <v>170</v>
      </c>
      <c r="C52" s="351"/>
      <c r="D52" s="150">
        <f>D51/D50</f>
        <v>0.27890971656252828</v>
      </c>
      <c r="E52" s="150">
        <f>E51/E50</f>
        <v>0.18379859118184189</v>
      </c>
      <c r="F52" s="211">
        <f>Drivers!F12</f>
        <v>4.2092999999999998E-2</v>
      </c>
      <c r="G52" s="211">
        <f>Drivers!G12</f>
        <v>4.7855000000000002E-2</v>
      </c>
      <c r="H52" s="211">
        <f>Drivers!H12</f>
        <v>5.8756999999999997E-2</v>
      </c>
      <c r="I52" s="211">
        <f>Drivers!I12</f>
        <v>5.9184E-2</v>
      </c>
      <c r="J52" s="211">
        <f>Drivers!J12</f>
        <v>5.3318999999999998E-2</v>
      </c>
      <c r="K52" s="217"/>
      <c r="L52" s="44"/>
      <c r="M52" s="44"/>
      <c r="N52" s="44"/>
      <c r="O52" s="313"/>
      <c r="P52" s="313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x14ac:dyDescent="0.3">
      <c r="A53" s="183"/>
      <c r="B53" s="16"/>
      <c r="C53" s="16"/>
      <c r="D53" s="16"/>
      <c r="E53" s="183"/>
      <c r="F53" s="183"/>
      <c r="G53" s="183"/>
      <c r="H53" s="183"/>
      <c r="I53" s="183"/>
      <c r="J53" s="183"/>
      <c r="K53" s="217"/>
      <c r="L53" s="44"/>
      <c r="M53" s="44"/>
      <c r="N53" s="44"/>
      <c r="O53" s="313"/>
      <c r="P53" s="313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x14ac:dyDescent="0.3">
      <c r="A54" s="183"/>
      <c r="B54" s="13" t="s">
        <v>171</v>
      </c>
      <c r="C54" s="16"/>
      <c r="D54" s="6"/>
      <c r="E54" s="6"/>
      <c r="F54" s="8">
        <f>E58</f>
        <v>35981</v>
      </c>
      <c r="G54" s="8">
        <f>F58</f>
        <v>20441.852940760677</v>
      </c>
      <c r="H54" s="8">
        <f>G58</f>
        <v>8850.9709800516284</v>
      </c>
      <c r="I54" s="8">
        <f>H58</f>
        <v>10565.787014069509</v>
      </c>
      <c r="J54" s="8">
        <f>I58</f>
        <v>29233.227661404526</v>
      </c>
      <c r="K54" s="217"/>
      <c r="L54" s="44"/>
      <c r="M54" s="44"/>
      <c r="N54" s="44"/>
      <c r="O54" s="313"/>
      <c r="P54" s="313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x14ac:dyDescent="0.3">
      <c r="A55" s="183"/>
      <c r="B55" s="13" t="s">
        <v>169</v>
      </c>
      <c r="C55" s="63"/>
      <c r="D55" s="63"/>
      <c r="E55" s="63"/>
      <c r="F55" s="212">
        <f>F51</f>
        <v>10971.287892</v>
      </c>
      <c r="G55" s="212">
        <f>G51</f>
        <v>22103.33909789236</v>
      </c>
      <c r="H55" s="212">
        <f>H51</f>
        <v>52458.539105345881</v>
      </c>
      <c r="I55" s="212">
        <f>I51</f>
        <v>102832.73834187454</v>
      </c>
      <c r="J55" s="212">
        <f>J51</f>
        <v>163718.95468857439</v>
      </c>
      <c r="K55" s="217"/>
      <c r="L55" s="44"/>
      <c r="M55" s="44"/>
      <c r="N55" s="44"/>
      <c r="O55" s="313"/>
      <c r="P55" s="313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x14ac:dyDescent="0.3">
      <c r="A56" s="183"/>
      <c r="B56" s="13" t="s">
        <v>172</v>
      </c>
      <c r="C56" s="8"/>
      <c r="D56" s="8"/>
      <c r="E56" s="8"/>
      <c r="F56" s="8">
        <f>-F131</f>
        <v>-26510.434951239324</v>
      </c>
      <c r="G56" s="8">
        <f>-G131</f>
        <v>-33694.221058601412</v>
      </c>
      <c r="H56" s="8">
        <f>-H131</f>
        <v>-50743.723071328001</v>
      </c>
      <c r="I56" s="8">
        <f>-I131</f>
        <v>-84165.297694539535</v>
      </c>
      <c r="J56" s="8">
        <f>-J131</f>
        <v>-84165.297694539535</v>
      </c>
      <c r="K56" s="217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x14ac:dyDescent="0.3">
      <c r="A57" s="183"/>
      <c r="B57" s="13" t="s">
        <v>173</v>
      </c>
      <c r="C57" s="64"/>
      <c r="D57" s="64"/>
      <c r="E57" s="64"/>
      <c r="F57" s="64"/>
      <c r="G57" s="64"/>
      <c r="H57" s="64"/>
      <c r="I57" s="64"/>
      <c r="J57" s="64"/>
      <c r="K57" s="217"/>
      <c r="L57" s="44"/>
      <c r="M57" s="44"/>
      <c r="N57" s="44"/>
      <c r="O57" s="313"/>
      <c r="P57" s="313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x14ac:dyDescent="0.3">
      <c r="A58" s="183"/>
      <c r="B58" s="125" t="s">
        <v>174</v>
      </c>
      <c r="C58" s="352"/>
      <c r="D58" s="352"/>
      <c r="E58" s="213">
        <f>'BS-CF-WC'!E14</f>
        <v>35981</v>
      </c>
      <c r="F58" s="68">
        <f>SUM(F54:F57)</f>
        <v>20441.852940760677</v>
      </c>
      <c r="G58" s="68">
        <f>SUM(G54:G57)</f>
        <v>8850.9709800516284</v>
      </c>
      <c r="H58" s="68">
        <f>SUM(H54:H57)</f>
        <v>10565.787014069509</v>
      </c>
      <c r="I58" s="68">
        <f>SUM(I54:I57)</f>
        <v>29233.227661404526</v>
      </c>
      <c r="J58" s="68">
        <f>SUM(J54:J57)</f>
        <v>108786.88465543938</v>
      </c>
      <c r="K58" s="217"/>
      <c r="L58" s="44"/>
      <c r="M58" s="44"/>
      <c r="N58" s="44"/>
      <c r="O58" s="313"/>
      <c r="P58" s="313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x14ac:dyDescent="0.3">
      <c r="A59" s="183"/>
      <c r="B59" s="16"/>
      <c r="C59" s="16"/>
      <c r="D59" s="16"/>
      <c r="E59" s="16"/>
      <c r="F59" s="16"/>
      <c r="G59" s="183"/>
      <c r="H59" s="183"/>
      <c r="I59" s="183"/>
      <c r="J59" s="183"/>
      <c r="K59" s="217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x14ac:dyDescent="0.3">
      <c r="A60" s="183"/>
      <c r="B60" s="81"/>
      <c r="C60" s="81"/>
      <c r="D60" s="81"/>
      <c r="E60" s="145" t="s">
        <v>175</v>
      </c>
      <c r="F60" s="81"/>
      <c r="G60" s="96"/>
      <c r="H60" s="96"/>
      <c r="I60" s="96"/>
      <c r="J60" s="96"/>
      <c r="K60" s="217"/>
      <c r="L60" s="44"/>
      <c r="M60" s="44"/>
      <c r="N60" s="44"/>
      <c r="O60" s="313"/>
      <c r="P60" s="313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x14ac:dyDescent="0.3">
      <c r="A61" s="183"/>
      <c r="B61" s="172" t="s">
        <v>176</v>
      </c>
      <c r="C61" s="214"/>
      <c r="D61" s="214"/>
      <c r="E61" s="172" t="s">
        <v>177</v>
      </c>
      <c r="F61" s="172" t="s">
        <v>177</v>
      </c>
      <c r="G61" s="172" t="s">
        <v>178</v>
      </c>
      <c r="H61" s="13" t="s">
        <v>179</v>
      </c>
      <c r="I61" s="16"/>
      <c r="J61" s="16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x14ac:dyDescent="0.3">
      <c r="A62" s="183"/>
      <c r="B62" s="182" t="s">
        <v>180</v>
      </c>
      <c r="C62" s="183"/>
      <c r="D62" s="183"/>
      <c r="E62" s="52">
        <v>22254</v>
      </c>
      <c r="F62" s="52">
        <v>49168</v>
      </c>
      <c r="G62" s="41">
        <v>3</v>
      </c>
      <c r="H62" s="10">
        <f>F62/$F$67</f>
        <v>0.69646018952646715</v>
      </c>
      <c r="I62" s="16"/>
      <c r="J62" s="16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x14ac:dyDescent="0.3">
      <c r="A63" s="183"/>
      <c r="B63" s="182" t="s">
        <v>181</v>
      </c>
      <c r="C63" s="183"/>
      <c r="D63" s="183"/>
      <c r="E63" s="52">
        <v>3086</v>
      </c>
      <c r="F63" s="52">
        <v>5792</v>
      </c>
      <c r="G63" s="41">
        <v>3</v>
      </c>
      <c r="H63" s="10">
        <f>F63/$F$67</f>
        <v>8.2043146309333265E-2</v>
      </c>
      <c r="I63" s="16"/>
      <c r="J63" s="16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x14ac:dyDescent="0.3">
      <c r="A64" s="183"/>
      <c r="B64" s="182" t="s">
        <v>182</v>
      </c>
      <c r="C64" s="183"/>
      <c r="D64" s="7"/>
      <c r="E64" s="52">
        <v>3427</v>
      </c>
      <c r="F64" s="52">
        <v>4388</v>
      </c>
      <c r="G64" s="41">
        <v>3</v>
      </c>
      <c r="H64" s="10">
        <f>F64/$F$67</f>
        <v>6.2155615677720016E-2</v>
      </c>
      <c r="I64" s="13" t="s">
        <v>183</v>
      </c>
      <c r="J64" s="16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x14ac:dyDescent="0.3">
      <c r="A65" s="183"/>
      <c r="B65" s="182" t="s">
        <v>184</v>
      </c>
      <c r="C65" s="183"/>
      <c r="D65" s="7"/>
      <c r="E65" s="52">
        <v>7483</v>
      </c>
      <c r="F65" s="52">
        <v>9486</v>
      </c>
      <c r="G65" s="41">
        <v>3</v>
      </c>
      <c r="H65" s="10">
        <f>F65/$F$67</f>
        <v>0.13436831593410484</v>
      </c>
      <c r="I65" s="13" t="s">
        <v>183</v>
      </c>
      <c r="J65" s="16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x14ac:dyDescent="0.3">
      <c r="A66" s="183"/>
      <c r="B66" s="182" t="s">
        <v>185</v>
      </c>
      <c r="C66" s="183"/>
      <c r="D66" s="7"/>
      <c r="E66" s="52">
        <v>7031</v>
      </c>
      <c r="F66" s="52">
        <v>1763</v>
      </c>
      <c r="G66" s="13" t="s">
        <v>186</v>
      </c>
      <c r="H66" s="10">
        <f>F66/$F$67</f>
        <v>2.4972732552374748E-2</v>
      </c>
      <c r="I66" s="13" t="s">
        <v>183</v>
      </c>
      <c r="J66" s="16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x14ac:dyDescent="0.3">
      <c r="A67" s="183"/>
      <c r="B67" s="215" t="s">
        <v>187</v>
      </c>
      <c r="C67" s="353"/>
      <c r="D67" s="354"/>
      <c r="E67" s="216">
        <f>SUM(E62:E66)</f>
        <v>43281</v>
      </c>
      <c r="F67" s="216">
        <f>SUM(F62:F66)</f>
        <v>70597</v>
      </c>
      <c r="G67" s="353"/>
      <c r="H67" s="336"/>
      <c r="I67" s="334"/>
      <c r="J67" s="33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x14ac:dyDescent="0.3">
      <c r="A68" s="183"/>
      <c r="B68" s="16"/>
      <c r="C68" s="16"/>
      <c r="D68" s="16"/>
      <c r="E68" s="16"/>
      <c r="F68" s="16"/>
      <c r="G68" s="183"/>
      <c r="H68" s="183"/>
      <c r="I68" s="183"/>
      <c r="J68" s="183"/>
      <c r="K68" s="217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x14ac:dyDescent="0.3">
      <c r="A69" s="183"/>
      <c r="B69" s="69"/>
      <c r="C69" s="70"/>
      <c r="D69" s="70"/>
      <c r="E69" s="70"/>
      <c r="F69" s="70"/>
      <c r="G69" s="70"/>
      <c r="H69" s="70"/>
      <c r="I69" s="217"/>
      <c r="J69" s="217"/>
      <c r="K69" s="217"/>
      <c r="L69" s="44"/>
      <c r="M69" s="44"/>
      <c r="N69" s="44"/>
      <c r="O69" s="44"/>
      <c r="P69" s="44"/>
      <c r="Q69" s="314"/>
      <c r="R69" s="44"/>
      <c r="S69" s="44"/>
      <c r="T69" s="44"/>
      <c r="U69" s="44"/>
      <c r="V69" s="44"/>
      <c r="W69" s="44"/>
      <c r="X69" s="44"/>
      <c r="Y69" s="44"/>
      <c r="Z69" s="44"/>
    </row>
    <row r="70" spans="1:26" x14ac:dyDescent="0.3">
      <c r="A70" s="183"/>
      <c r="B70" s="83" t="s">
        <v>188</v>
      </c>
      <c r="C70" s="218"/>
      <c r="D70" s="218"/>
      <c r="E70" s="218"/>
      <c r="F70" s="218"/>
      <c r="G70" s="218"/>
      <c r="H70" s="218"/>
      <c r="I70" s="180"/>
      <c r="J70" s="180"/>
      <c r="K70" s="217"/>
      <c r="L70" s="44"/>
      <c r="M70" s="44"/>
      <c r="N70" s="44"/>
      <c r="O70" s="44"/>
      <c r="P70" s="44"/>
      <c r="Q70" s="315"/>
      <c r="R70" s="44"/>
      <c r="S70" s="44"/>
      <c r="T70" s="44"/>
      <c r="U70" s="44"/>
      <c r="V70" s="44"/>
      <c r="W70" s="44"/>
      <c r="X70" s="44"/>
      <c r="Y70" s="44"/>
      <c r="Z70" s="44"/>
    </row>
    <row r="71" spans="1:26" x14ac:dyDescent="0.3">
      <c r="A71" s="183"/>
      <c r="B71" s="13" t="s">
        <v>189</v>
      </c>
      <c r="C71" s="16"/>
      <c r="D71" s="16"/>
      <c r="E71" s="16"/>
      <c r="F71" s="16"/>
      <c r="G71" s="183"/>
      <c r="H71" s="183"/>
      <c r="I71" s="183"/>
      <c r="J71" s="183"/>
      <c r="K71" s="217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x14ac:dyDescent="0.3">
      <c r="A72" s="183"/>
      <c r="B72" s="219" t="s">
        <v>180</v>
      </c>
      <c r="C72" s="65"/>
      <c r="D72" s="65"/>
      <c r="E72" s="65"/>
      <c r="F72" s="147">
        <f t="shared" ref="F72:J76" si="0">F$51*$H62</f>
        <v>7641.0652446117547</v>
      </c>
      <c r="G72" s="147">
        <f t="shared" si="0"/>
        <v>15394.095737285885</v>
      </c>
      <c r="H72" s="147">
        <f t="shared" si="0"/>
        <v>36535.284087590779</v>
      </c>
      <c r="I72" s="148">
        <f t="shared" si="0"/>
        <v>71618.908435107558</v>
      </c>
      <c r="J72" s="148">
        <f t="shared" si="0"/>
        <v>114023.7342114796</v>
      </c>
      <c r="K72" s="217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x14ac:dyDescent="0.3">
      <c r="A73" s="183"/>
      <c r="B73" s="157" t="s">
        <v>181</v>
      </c>
      <c r="C73" s="6"/>
      <c r="D73" s="6"/>
      <c r="E73" s="6"/>
      <c r="F73" s="61">
        <f t="shared" si="0"/>
        <v>900.11897772517261</v>
      </c>
      <c r="G73" s="61">
        <f t="shared" si="0"/>
        <v>1813.4274835331892</v>
      </c>
      <c r="H73" s="61">
        <f t="shared" si="0"/>
        <v>4303.8635989937729</v>
      </c>
      <c r="I73" s="154">
        <f t="shared" si="0"/>
        <v>8436.7213971717974</v>
      </c>
      <c r="J73" s="154">
        <f t="shared" si="0"/>
        <v>13432.018153125811</v>
      </c>
      <c r="K73" s="217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x14ac:dyDescent="0.3">
      <c r="A74" s="183"/>
      <c r="B74" s="157" t="s">
        <v>182</v>
      </c>
      <c r="C74" s="6"/>
      <c r="D74" s="6"/>
      <c r="E74" s="6"/>
      <c r="F74" s="61">
        <f t="shared" si="0"/>
        <v>681.92715370477504</v>
      </c>
      <c r="G74" s="61">
        <f t="shared" si="0"/>
        <v>1373.8466501629202</v>
      </c>
      <c r="H74" s="61">
        <f t="shared" si="0"/>
        <v>3260.5927956465248</v>
      </c>
      <c r="I74" s="154">
        <f t="shared" si="0"/>
        <v>6391.6321634650976</v>
      </c>
      <c r="J74" s="154">
        <f t="shared" si="0"/>
        <v>10176.052426781087</v>
      </c>
      <c r="K74" s="217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x14ac:dyDescent="0.3">
      <c r="A75" s="183"/>
      <c r="B75" s="157" t="s">
        <v>184</v>
      </c>
      <c r="C75" s="6"/>
      <c r="D75" s="6"/>
      <c r="E75" s="6"/>
      <c r="F75" s="61">
        <f t="shared" si="0"/>
        <v>1474.1934776762751</v>
      </c>
      <c r="G75" s="61">
        <f t="shared" si="0"/>
        <v>2969.9884511042524</v>
      </c>
      <c r="H75" s="61">
        <f t="shared" si="0"/>
        <v>7048.7655559487084</v>
      </c>
      <c r="I75" s="154">
        <f t="shared" si="0"/>
        <v>13817.461873890135</v>
      </c>
      <c r="J75" s="154">
        <f t="shared" si="0"/>
        <v>21998.640227995758</v>
      </c>
      <c r="K75" s="217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x14ac:dyDescent="0.3">
      <c r="A76" s="183"/>
      <c r="B76" s="220" t="s">
        <v>185</v>
      </c>
      <c r="C76" s="66"/>
      <c r="D76" s="66"/>
      <c r="E76" s="66"/>
      <c r="F76" s="221">
        <f t="shared" si="0"/>
        <v>273.98303828202336</v>
      </c>
      <c r="G76" s="221">
        <f t="shared" si="0"/>
        <v>551.98077580611402</v>
      </c>
      <c r="H76" s="221">
        <f t="shared" si="0"/>
        <v>1310.0330671660947</v>
      </c>
      <c r="I76" s="222">
        <f t="shared" si="0"/>
        <v>2568.0144722399655</v>
      </c>
      <c r="J76" s="222">
        <f t="shared" si="0"/>
        <v>4088.5096691921281</v>
      </c>
      <c r="K76" s="217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x14ac:dyDescent="0.3">
      <c r="A77" s="183"/>
      <c r="B77" s="16"/>
      <c r="C77" s="16"/>
      <c r="D77" s="16"/>
      <c r="E77" s="16"/>
      <c r="F77" s="16"/>
      <c r="G77" s="183"/>
      <c r="H77" s="183"/>
      <c r="I77" s="183"/>
      <c r="J77" s="183"/>
      <c r="K77" s="217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x14ac:dyDescent="0.3">
      <c r="A78" s="183"/>
      <c r="B78" s="16"/>
      <c r="C78" s="16"/>
      <c r="D78" s="16"/>
      <c r="E78" s="16"/>
      <c r="F78" s="16"/>
      <c r="G78" s="183"/>
      <c r="H78" s="183"/>
      <c r="I78" s="183"/>
      <c r="J78" s="183"/>
      <c r="K78" s="217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x14ac:dyDescent="0.3">
      <c r="A79" s="183"/>
      <c r="B79" s="223" t="s">
        <v>190</v>
      </c>
      <c r="C79" s="223"/>
      <c r="D79" s="223"/>
      <c r="E79" s="223"/>
      <c r="F79" s="223"/>
      <c r="G79" s="223"/>
      <c r="H79" s="223"/>
      <c r="I79" s="223"/>
      <c r="J79" s="223"/>
      <c r="K79" s="217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x14ac:dyDescent="0.3">
      <c r="A80" s="183"/>
      <c r="B80" s="122" t="s">
        <v>178</v>
      </c>
      <c r="C80" s="13">
        <f>G62</f>
        <v>3</v>
      </c>
      <c r="D80" s="16"/>
      <c r="E80" s="16"/>
      <c r="F80" s="183"/>
      <c r="G80" s="183"/>
      <c r="H80" s="183"/>
      <c r="I80" s="183"/>
      <c r="J80" s="183"/>
      <c r="K80" s="217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x14ac:dyDescent="0.3">
      <c r="A81" s="183"/>
      <c r="B81" s="122" t="s">
        <v>180</v>
      </c>
      <c r="C81" s="61">
        <f>F62</f>
        <v>49168</v>
      </c>
      <c r="D81" s="16"/>
      <c r="E81" s="16"/>
      <c r="F81" s="183"/>
      <c r="G81" s="183"/>
      <c r="H81" s="183"/>
      <c r="I81" s="183"/>
      <c r="J81" s="183"/>
      <c r="K81" s="217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x14ac:dyDescent="0.3">
      <c r="A82" s="183"/>
      <c r="B82" s="122" t="s">
        <v>191</v>
      </c>
      <c r="C82" s="6"/>
      <c r="D82" s="6"/>
      <c r="E82" s="6"/>
      <c r="F82" s="8">
        <f>$C81/$C80</f>
        <v>16389.333333333332</v>
      </c>
      <c r="G82" s="8">
        <f>$C81/$C80</f>
        <v>16389.333333333332</v>
      </c>
      <c r="H82" s="8">
        <f>$C81/$C80</f>
        <v>16389.333333333332</v>
      </c>
      <c r="I82" s="8">
        <f>$C81/$C80</f>
        <v>16389.333333333332</v>
      </c>
      <c r="J82" s="8">
        <f>$C81/$C80</f>
        <v>16389.333333333332</v>
      </c>
      <c r="K82" s="217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x14ac:dyDescent="0.3">
      <c r="A83" s="183"/>
      <c r="B83" s="3"/>
      <c r="C83" s="16"/>
      <c r="D83" s="16"/>
      <c r="E83" s="16"/>
      <c r="F83" s="183"/>
      <c r="G83" s="183"/>
      <c r="H83" s="183"/>
      <c r="I83" s="183"/>
      <c r="J83" s="183"/>
      <c r="K83" s="217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x14ac:dyDescent="0.3">
      <c r="A84" s="183"/>
      <c r="B84" s="117" t="s">
        <v>192</v>
      </c>
      <c r="C84" s="182" t="s">
        <v>193</v>
      </c>
      <c r="D84" s="13" t="s">
        <v>178</v>
      </c>
      <c r="E84" s="16"/>
      <c r="F84" s="183"/>
      <c r="G84" s="183"/>
      <c r="H84" s="183"/>
      <c r="I84" s="183"/>
      <c r="J84" s="183"/>
      <c r="K84" s="217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x14ac:dyDescent="0.3">
      <c r="A85" s="183"/>
      <c r="B85" s="13">
        <v>2015</v>
      </c>
      <c r="C85" s="224">
        <f t="array" ref="C85:C88">TRANSPOSE(F72:I72)</f>
        <v>7641.0652446117547</v>
      </c>
      <c r="D85" s="52">
        <v>3</v>
      </c>
      <c r="E85" s="8"/>
      <c r="F85" s="8">
        <f>$C85/$D85</f>
        <v>2547.0217482039184</v>
      </c>
      <c r="G85" s="8">
        <f>$C85/$D85</f>
        <v>2547.0217482039184</v>
      </c>
      <c r="H85" s="8">
        <f>$C85/$D85</f>
        <v>2547.0217482039184</v>
      </c>
      <c r="I85" s="8">
        <f>$C85/$D85</f>
        <v>2547.0217482039184</v>
      </c>
      <c r="J85" s="8">
        <f>$C85/$D85</f>
        <v>2547.0217482039184</v>
      </c>
      <c r="K85" s="217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x14ac:dyDescent="0.3">
      <c r="A86" s="183"/>
      <c r="B86" s="13">
        <f>B85+1</f>
        <v>2016</v>
      </c>
      <c r="C86" s="224">
        <v>15394.095737285885</v>
      </c>
      <c r="D86" s="52">
        <v>3</v>
      </c>
      <c r="E86" s="8"/>
      <c r="F86" s="8"/>
      <c r="G86" s="8">
        <f>$C86/$D86</f>
        <v>5131.3652457619619</v>
      </c>
      <c r="H86" s="8">
        <f>$C86/$D86</f>
        <v>5131.3652457619619</v>
      </c>
      <c r="I86" s="8">
        <f>$C86/$D86</f>
        <v>5131.3652457619619</v>
      </c>
      <c r="J86" s="8">
        <f>$C86/$D86</f>
        <v>5131.3652457619619</v>
      </c>
      <c r="K86" s="21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x14ac:dyDescent="0.3">
      <c r="A87" s="183"/>
      <c r="B87" s="13">
        <f>B86+1</f>
        <v>2017</v>
      </c>
      <c r="C87" s="224">
        <v>36535.284087590779</v>
      </c>
      <c r="D87" s="52">
        <v>3</v>
      </c>
      <c r="E87" s="8"/>
      <c r="F87" s="8"/>
      <c r="G87" s="8"/>
      <c r="H87" s="8">
        <f>$C87/$D87</f>
        <v>12178.428029196926</v>
      </c>
      <c r="I87" s="8">
        <f>$C87/$D87</f>
        <v>12178.428029196926</v>
      </c>
      <c r="J87" s="8">
        <f>$C87/$D87</f>
        <v>12178.428029196926</v>
      </c>
      <c r="K87" s="217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x14ac:dyDescent="0.3">
      <c r="A88" s="183"/>
      <c r="B88" s="13">
        <f>B87+1</f>
        <v>2018</v>
      </c>
      <c r="C88" s="224">
        <v>71618.908435107558</v>
      </c>
      <c r="D88" s="52">
        <v>3</v>
      </c>
      <c r="E88" s="8"/>
      <c r="F88" s="8"/>
      <c r="G88" s="8"/>
      <c r="H88" s="8"/>
      <c r="I88" s="8">
        <f>$C88/$D88</f>
        <v>23872.969478369185</v>
      </c>
      <c r="J88" s="8">
        <f>$C88/$D88</f>
        <v>23872.969478369185</v>
      </c>
      <c r="K88" s="217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x14ac:dyDescent="0.3">
      <c r="A89" s="183"/>
      <c r="B89" s="16"/>
      <c r="C89" s="16"/>
      <c r="D89" s="16"/>
      <c r="E89" s="16"/>
      <c r="F89" s="183"/>
      <c r="G89" s="183"/>
      <c r="H89" s="183"/>
      <c r="I89" s="183"/>
      <c r="J89" s="183"/>
      <c r="K89" s="217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x14ac:dyDescent="0.3">
      <c r="A90" s="183"/>
      <c r="B90" s="71" t="s">
        <v>194</v>
      </c>
      <c r="C90" s="348"/>
      <c r="D90" s="348"/>
      <c r="E90" s="348"/>
      <c r="F90" s="55">
        <f>SUM(F82:F88)</f>
        <v>18936.355081537251</v>
      </c>
      <c r="G90" s="55">
        <f>SUM(G82:G88)</f>
        <v>24067.720327299212</v>
      </c>
      <c r="H90" s="55">
        <f>SUM(H82:H88)</f>
        <v>36246.148356496138</v>
      </c>
      <c r="I90" s="55">
        <f>SUM(I82:I88)</f>
        <v>60119.117834865319</v>
      </c>
      <c r="J90" s="55">
        <f>SUM(J82:J88)</f>
        <v>60119.117834865319</v>
      </c>
      <c r="K90" s="217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x14ac:dyDescent="0.3">
      <c r="A91" s="183"/>
      <c r="B91" s="16"/>
      <c r="C91" s="16"/>
      <c r="D91" s="16"/>
      <c r="E91" s="16"/>
      <c r="F91" s="16"/>
      <c r="G91" s="183"/>
      <c r="H91" s="183"/>
      <c r="I91" s="183"/>
      <c r="J91" s="183"/>
      <c r="K91" s="217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x14ac:dyDescent="0.3">
      <c r="A92" s="183"/>
      <c r="B92" s="223" t="s">
        <v>181</v>
      </c>
      <c r="C92" s="223"/>
      <c r="D92" s="223"/>
      <c r="E92" s="223"/>
      <c r="F92" s="223"/>
      <c r="G92" s="223"/>
      <c r="H92" s="223"/>
      <c r="I92" s="223"/>
      <c r="J92" s="223"/>
      <c r="K92" s="21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x14ac:dyDescent="0.3">
      <c r="A93" s="183"/>
      <c r="B93" s="122" t="s">
        <v>178</v>
      </c>
      <c r="C93" s="13">
        <f>G63</f>
        <v>3</v>
      </c>
      <c r="D93" s="16"/>
      <c r="E93" s="16"/>
      <c r="F93" s="183"/>
      <c r="G93" s="183"/>
      <c r="H93" s="183"/>
      <c r="I93" s="183"/>
      <c r="J93" s="183"/>
      <c r="K93" s="217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x14ac:dyDescent="0.3">
      <c r="A94" s="183"/>
      <c r="B94" s="122" t="s">
        <v>181</v>
      </c>
      <c r="C94" s="8">
        <f>F63</f>
        <v>5792</v>
      </c>
      <c r="D94" s="16"/>
      <c r="E94" s="16"/>
      <c r="F94" s="183"/>
      <c r="G94" s="183"/>
      <c r="H94" s="183"/>
      <c r="I94" s="183"/>
      <c r="J94" s="183"/>
      <c r="K94" s="217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x14ac:dyDescent="0.3">
      <c r="A95" s="183"/>
      <c r="B95" s="122" t="s">
        <v>191</v>
      </c>
      <c r="C95" s="6"/>
      <c r="D95" s="6"/>
      <c r="E95" s="6"/>
      <c r="F95" s="8">
        <f>$C94/$C93</f>
        <v>1930.6666666666667</v>
      </c>
      <c r="G95" s="8">
        <f>$C94/$C93</f>
        <v>1930.6666666666667</v>
      </c>
      <c r="H95" s="8">
        <f>$C94/$C93</f>
        <v>1930.6666666666667</v>
      </c>
      <c r="I95" s="8">
        <f>$C94/$C93</f>
        <v>1930.6666666666667</v>
      </c>
      <c r="J95" s="8">
        <f>$C94/$C93</f>
        <v>1930.6666666666667</v>
      </c>
      <c r="K95" s="217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x14ac:dyDescent="0.3">
      <c r="A96" s="183"/>
      <c r="B96" s="16"/>
      <c r="C96" s="16"/>
      <c r="D96" s="16"/>
      <c r="E96" s="16"/>
      <c r="F96" s="183"/>
      <c r="G96" s="183"/>
      <c r="H96" s="183"/>
      <c r="I96" s="183"/>
      <c r="J96" s="183"/>
      <c r="K96" s="217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x14ac:dyDescent="0.3">
      <c r="A97" s="183"/>
      <c r="B97" s="117" t="s">
        <v>192</v>
      </c>
      <c r="C97" s="117" t="s">
        <v>193</v>
      </c>
      <c r="D97" s="13" t="s">
        <v>178</v>
      </c>
      <c r="E97" s="16"/>
      <c r="F97" s="183"/>
      <c r="G97" s="183"/>
      <c r="H97" s="183"/>
      <c r="I97" s="183"/>
      <c r="J97" s="183"/>
      <c r="K97" s="217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x14ac:dyDescent="0.3">
      <c r="A98" s="183"/>
      <c r="B98" s="13">
        <v>2015</v>
      </c>
      <c r="C98" s="8">
        <f t="array" ref="C98:C101">TRANSPOSE(F73:I73)</f>
        <v>900.11897772517261</v>
      </c>
      <c r="D98" s="52">
        <v>3</v>
      </c>
      <c r="E98" s="8"/>
      <c r="F98" s="8">
        <f>$C98/$D98</f>
        <v>300.03965924172422</v>
      </c>
      <c r="G98" s="8">
        <f>$C98/$D98</f>
        <v>300.03965924172422</v>
      </c>
      <c r="H98" s="8">
        <f>$C98/$D98</f>
        <v>300.03965924172422</v>
      </c>
      <c r="I98" s="8">
        <f>$C98/$D98</f>
        <v>300.03965924172422</v>
      </c>
      <c r="J98" s="8">
        <f>$C98/$D98</f>
        <v>300.03965924172422</v>
      </c>
      <c r="K98" s="217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x14ac:dyDescent="0.3">
      <c r="A99" s="183"/>
      <c r="B99" s="13">
        <f>B98+1</f>
        <v>2016</v>
      </c>
      <c r="C99" s="8">
        <v>1813.4274835331892</v>
      </c>
      <c r="D99" s="52">
        <v>3</v>
      </c>
      <c r="E99" s="8"/>
      <c r="F99" s="8"/>
      <c r="G99" s="8">
        <f>$C99/$D99</f>
        <v>604.47582784439635</v>
      </c>
      <c r="H99" s="8">
        <f>$C99/$D99</f>
        <v>604.47582784439635</v>
      </c>
      <c r="I99" s="8">
        <f>$C99/$D99</f>
        <v>604.47582784439635</v>
      </c>
      <c r="J99" s="8">
        <f>$C99/$D99</f>
        <v>604.47582784439635</v>
      </c>
      <c r="K99" s="217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x14ac:dyDescent="0.3">
      <c r="A100" s="183"/>
      <c r="B100" s="13">
        <f>B99+1</f>
        <v>2017</v>
      </c>
      <c r="C100" s="8">
        <v>4303.8635989937729</v>
      </c>
      <c r="D100" s="52">
        <v>3</v>
      </c>
      <c r="E100" s="8"/>
      <c r="F100" s="8"/>
      <c r="G100" s="8"/>
      <c r="H100" s="8">
        <f>$C100/$D100</f>
        <v>1434.6211996645909</v>
      </c>
      <c r="I100" s="8">
        <f>$C100/$D100</f>
        <v>1434.6211996645909</v>
      </c>
      <c r="J100" s="8">
        <f>$C100/$D100</f>
        <v>1434.6211996645909</v>
      </c>
      <c r="K100" s="217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x14ac:dyDescent="0.3">
      <c r="A101" s="183"/>
      <c r="B101" s="13">
        <f>B100+1</f>
        <v>2018</v>
      </c>
      <c r="C101" s="8">
        <v>8436.7213971717974</v>
      </c>
      <c r="D101" s="52">
        <v>3</v>
      </c>
      <c r="E101" s="8"/>
      <c r="F101" s="8"/>
      <c r="G101" s="8"/>
      <c r="H101" s="8"/>
      <c r="I101" s="8">
        <f>$C101/$D101</f>
        <v>2812.2404657239326</v>
      </c>
      <c r="J101" s="8">
        <f>$C101/$D101</f>
        <v>2812.2404657239326</v>
      </c>
      <c r="K101" s="217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x14ac:dyDescent="0.3">
      <c r="A102" s="183"/>
      <c r="B102" s="16"/>
      <c r="C102" s="8"/>
      <c r="D102" s="8"/>
      <c r="E102" s="8"/>
      <c r="F102" s="183"/>
      <c r="G102" s="183"/>
      <c r="H102" s="183"/>
      <c r="I102" s="183"/>
      <c r="J102" s="183"/>
      <c r="K102" s="217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x14ac:dyDescent="0.3">
      <c r="A103" s="183"/>
      <c r="B103" s="71" t="s">
        <v>195</v>
      </c>
      <c r="C103" s="348"/>
      <c r="D103" s="348"/>
      <c r="E103" s="348"/>
      <c r="F103" s="55">
        <f>SUM(F95:F101)</f>
        <v>2230.7063259083911</v>
      </c>
      <c r="G103" s="55">
        <f>SUM(G95:G101)</f>
        <v>2835.1821537527876</v>
      </c>
      <c r="H103" s="55">
        <f>SUM(H95:H101)</f>
        <v>4269.8033534173783</v>
      </c>
      <c r="I103" s="55">
        <f>SUM(I95:I101)</f>
        <v>7082.0438191413105</v>
      </c>
      <c r="J103" s="55">
        <f>SUM(J95:J101)</f>
        <v>7082.0438191413105</v>
      </c>
      <c r="K103" s="217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x14ac:dyDescent="0.3">
      <c r="A104" s="183"/>
      <c r="B104" s="16"/>
      <c r="C104" s="8"/>
      <c r="D104" s="8"/>
      <c r="E104" s="8"/>
      <c r="F104" s="8"/>
      <c r="G104" s="8"/>
      <c r="H104" s="8"/>
      <c r="I104" s="183"/>
      <c r="J104" s="183"/>
      <c r="K104" s="217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x14ac:dyDescent="0.3">
      <c r="A105" s="183"/>
      <c r="B105" s="223" t="s">
        <v>182</v>
      </c>
      <c r="C105" s="223"/>
      <c r="D105" s="223"/>
      <c r="E105" s="223"/>
      <c r="F105" s="223"/>
      <c r="G105" s="223"/>
      <c r="H105" s="223"/>
      <c r="I105" s="223"/>
      <c r="J105" s="223"/>
      <c r="K105" s="217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x14ac:dyDescent="0.3">
      <c r="A106" s="183"/>
      <c r="B106" s="122" t="s">
        <v>178</v>
      </c>
      <c r="C106" s="13">
        <f>G64</f>
        <v>3</v>
      </c>
      <c r="D106" s="16"/>
      <c r="E106" s="16"/>
      <c r="F106" s="183"/>
      <c r="G106" s="183"/>
      <c r="H106" s="183"/>
      <c r="I106" s="183"/>
      <c r="J106" s="183"/>
      <c r="K106" s="217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x14ac:dyDescent="0.3">
      <c r="A107" s="183"/>
      <c r="B107" s="122" t="s">
        <v>182</v>
      </c>
      <c r="C107" s="8">
        <f>F64</f>
        <v>4388</v>
      </c>
      <c r="D107" s="16"/>
      <c r="E107" s="16"/>
      <c r="F107" s="183"/>
      <c r="G107" s="183"/>
      <c r="H107" s="183"/>
      <c r="I107" s="183"/>
      <c r="J107" s="183"/>
      <c r="K107" s="217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x14ac:dyDescent="0.3">
      <c r="A108" s="183"/>
      <c r="B108" s="122" t="s">
        <v>191</v>
      </c>
      <c r="C108" s="6"/>
      <c r="D108" s="6"/>
      <c r="E108" s="6"/>
      <c r="F108" s="8">
        <f>$C107/$C106</f>
        <v>1462.6666666666667</v>
      </c>
      <c r="G108" s="8">
        <f>$C107/$C106</f>
        <v>1462.6666666666667</v>
      </c>
      <c r="H108" s="8">
        <f>$C107/$C106</f>
        <v>1462.6666666666667</v>
      </c>
      <c r="I108" s="8">
        <f>$C107/$C106</f>
        <v>1462.6666666666667</v>
      </c>
      <c r="J108" s="8">
        <f>$C107/$C106</f>
        <v>1462.6666666666667</v>
      </c>
      <c r="K108" s="217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x14ac:dyDescent="0.3">
      <c r="A109" s="183"/>
      <c r="B109" s="16"/>
      <c r="C109" s="16"/>
      <c r="D109" s="16"/>
      <c r="E109" s="16"/>
      <c r="F109" s="183"/>
      <c r="G109" s="183"/>
      <c r="H109" s="183"/>
      <c r="I109" s="183"/>
      <c r="J109" s="183"/>
      <c r="K109" s="217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x14ac:dyDescent="0.3">
      <c r="A110" s="183"/>
      <c r="B110" s="117" t="s">
        <v>192</v>
      </c>
      <c r="C110" s="117" t="s">
        <v>193</v>
      </c>
      <c r="D110" s="13" t="s">
        <v>178</v>
      </c>
      <c r="E110" s="16"/>
      <c r="F110" s="183"/>
      <c r="G110" s="183"/>
      <c r="H110" s="183"/>
      <c r="I110" s="183"/>
      <c r="J110" s="183"/>
      <c r="K110" s="217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x14ac:dyDescent="0.3">
      <c r="A111" s="183"/>
      <c r="B111" s="13">
        <v>2015</v>
      </c>
      <c r="C111" s="8">
        <f t="array" ref="C111:C114">TRANSPOSE(F74:I74)</f>
        <v>681.92715370477504</v>
      </c>
      <c r="D111" s="52">
        <v>3</v>
      </c>
      <c r="E111" s="8"/>
      <c r="F111" s="8">
        <f>$C111/$D111</f>
        <v>227.30905123492502</v>
      </c>
      <c r="G111" s="8">
        <f>$C111/$D111</f>
        <v>227.30905123492502</v>
      </c>
      <c r="H111" s="8">
        <f>$C111/$D111</f>
        <v>227.30905123492502</v>
      </c>
      <c r="I111" s="8">
        <f>$C111/$D111</f>
        <v>227.30905123492502</v>
      </c>
      <c r="J111" s="8">
        <f>$C111/$D111</f>
        <v>227.30905123492502</v>
      </c>
      <c r="K111" s="217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x14ac:dyDescent="0.3">
      <c r="A112" s="183"/>
      <c r="B112" s="13">
        <f>B111+1</f>
        <v>2016</v>
      </c>
      <c r="C112" s="8">
        <v>1373.8466501629202</v>
      </c>
      <c r="D112" s="52">
        <v>3</v>
      </c>
      <c r="E112" s="8"/>
      <c r="F112" s="8"/>
      <c r="G112" s="8">
        <f>$C112/$D112</f>
        <v>457.94888338764008</v>
      </c>
      <c r="H112" s="8">
        <f>$C112/$D112</f>
        <v>457.94888338764008</v>
      </c>
      <c r="I112" s="8">
        <f>$C112/$D112</f>
        <v>457.94888338764008</v>
      </c>
      <c r="J112" s="8">
        <f>$C112/$D112</f>
        <v>457.94888338764008</v>
      </c>
      <c r="K112" s="217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x14ac:dyDescent="0.3">
      <c r="A113" s="183"/>
      <c r="B113" s="13">
        <f>B112+1</f>
        <v>2017</v>
      </c>
      <c r="C113" s="8">
        <v>3260.5927956465248</v>
      </c>
      <c r="D113" s="52">
        <v>3</v>
      </c>
      <c r="E113" s="8"/>
      <c r="F113" s="8"/>
      <c r="G113" s="8"/>
      <c r="H113" s="8">
        <f>$C113/$D113</f>
        <v>1086.8642652155083</v>
      </c>
      <c r="I113" s="8">
        <f>$C113/$D113</f>
        <v>1086.8642652155083</v>
      </c>
      <c r="J113" s="8">
        <f>$C113/$D113</f>
        <v>1086.8642652155083</v>
      </c>
      <c r="K113" s="217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x14ac:dyDescent="0.3">
      <c r="A114" s="183"/>
      <c r="B114" s="13">
        <f>B113+1</f>
        <v>2018</v>
      </c>
      <c r="C114" s="8">
        <v>6391.6321634650976</v>
      </c>
      <c r="D114" s="52">
        <v>3</v>
      </c>
      <c r="E114" s="8"/>
      <c r="F114" s="8"/>
      <c r="G114" s="8"/>
      <c r="H114" s="8"/>
      <c r="I114" s="8">
        <f>$C114/$D114</f>
        <v>2130.5440544883659</v>
      </c>
      <c r="J114" s="8">
        <f>$C114/$D114</f>
        <v>2130.5440544883659</v>
      </c>
      <c r="K114" s="217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x14ac:dyDescent="0.3">
      <c r="A115" s="183"/>
      <c r="B115" s="16"/>
      <c r="C115" s="16"/>
      <c r="D115" s="16"/>
      <c r="E115" s="16"/>
      <c r="F115" s="183"/>
      <c r="G115" s="183"/>
      <c r="H115" s="183"/>
      <c r="I115" s="183"/>
      <c r="J115" s="183"/>
      <c r="K115" s="217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x14ac:dyDescent="0.3">
      <c r="A116" s="183"/>
      <c r="B116" s="71" t="s">
        <v>196</v>
      </c>
      <c r="C116" s="348"/>
      <c r="D116" s="348"/>
      <c r="E116" s="348"/>
      <c r="F116" s="55">
        <f>SUM(F108:F114)</f>
        <v>1689.9757179015917</v>
      </c>
      <c r="G116" s="55">
        <f>SUM(G108:G114)</f>
        <v>2147.9246012892318</v>
      </c>
      <c r="H116" s="55">
        <f>SUM(H108:H114)</f>
        <v>3234.7888665047403</v>
      </c>
      <c r="I116" s="55">
        <f>SUM(I108:I114)</f>
        <v>5365.3329209931062</v>
      </c>
      <c r="J116" s="55">
        <f>SUM(J108:J114)</f>
        <v>5365.3329209931062</v>
      </c>
      <c r="K116" s="217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x14ac:dyDescent="0.3">
      <c r="A117" s="183"/>
      <c r="B117" s="16"/>
      <c r="C117" s="16"/>
      <c r="D117" s="16"/>
      <c r="E117" s="16"/>
      <c r="F117" s="16"/>
      <c r="G117" s="183"/>
      <c r="H117" s="183"/>
      <c r="I117" s="183"/>
      <c r="J117" s="183"/>
      <c r="K117" s="217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x14ac:dyDescent="0.3">
      <c r="A118" s="183"/>
      <c r="B118" s="223" t="s">
        <v>184</v>
      </c>
      <c r="C118" s="223"/>
      <c r="D118" s="223"/>
      <c r="E118" s="223"/>
      <c r="F118" s="223"/>
      <c r="G118" s="223"/>
      <c r="H118" s="223"/>
      <c r="I118" s="223"/>
      <c r="J118" s="223"/>
      <c r="K118" s="217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x14ac:dyDescent="0.3">
      <c r="A119" s="183"/>
      <c r="B119" s="122" t="s">
        <v>178</v>
      </c>
      <c r="C119" s="13">
        <f>G65</f>
        <v>3</v>
      </c>
      <c r="D119" s="16"/>
      <c r="E119" s="16"/>
      <c r="F119" s="183"/>
      <c r="G119" s="183"/>
      <c r="H119" s="183"/>
      <c r="I119" s="183"/>
      <c r="J119" s="183"/>
      <c r="K119" s="217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x14ac:dyDescent="0.3">
      <c r="A120" s="183"/>
      <c r="B120" s="122" t="s">
        <v>184</v>
      </c>
      <c r="C120" s="8">
        <f>F65</f>
        <v>9486</v>
      </c>
      <c r="D120" s="16"/>
      <c r="E120" s="16"/>
      <c r="F120" s="183"/>
      <c r="G120" s="183"/>
      <c r="H120" s="183"/>
      <c r="I120" s="183"/>
      <c r="J120" s="183"/>
      <c r="K120" s="217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x14ac:dyDescent="0.3">
      <c r="A121" s="183"/>
      <c r="B121" s="122" t="s">
        <v>191</v>
      </c>
      <c r="C121" s="6"/>
      <c r="D121" s="6"/>
      <c r="E121" s="6"/>
      <c r="F121" s="8">
        <f>$C120/$C119</f>
        <v>3162</v>
      </c>
      <c r="G121" s="8">
        <f>$C120/$C119</f>
        <v>3162</v>
      </c>
      <c r="H121" s="8">
        <f>$C120/$C119</f>
        <v>3162</v>
      </c>
      <c r="I121" s="8">
        <f>$C120/$C119</f>
        <v>3162</v>
      </c>
      <c r="J121" s="8">
        <f>$C120/$C119</f>
        <v>3162</v>
      </c>
      <c r="K121" s="217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x14ac:dyDescent="0.3">
      <c r="A122" s="183"/>
      <c r="B122" s="16"/>
      <c r="C122" s="16"/>
      <c r="D122" s="16"/>
      <c r="E122" s="16"/>
      <c r="F122" s="183"/>
      <c r="G122" s="183"/>
      <c r="H122" s="183"/>
      <c r="I122" s="183"/>
      <c r="J122" s="183"/>
      <c r="K122" s="217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x14ac:dyDescent="0.3">
      <c r="A123" s="183"/>
      <c r="B123" s="117" t="s">
        <v>192</v>
      </c>
      <c r="C123" s="117" t="s">
        <v>193</v>
      </c>
      <c r="D123" s="13" t="s">
        <v>178</v>
      </c>
      <c r="E123" s="16"/>
      <c r="F123" s="183"/>
      <c r="G123" s="183"/>
      <c r="H123" s="183"/>
      <c r="I123" s="183"/>
      <c r="J123" s="183"/>
      <c r="K123" s="217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x14ac:dyDescent="0.3">
      <c r="A124" s="183"/>
      <c r="B124" s="13">
        <v>2015</v>
      </c>
      <c r="C124" s="8">
        <f t="array" ref="C124:C127">TRANSPOSE(F75:I75)</f>
        <v>1474.1934776762751</v>
      </c>
      <c r="D124" s="52">
        <v>3</v>
      </c>
      <c r="E124" s="8"/>
      <c r="F124" s="8">
        <f>$C124/$D124</f>
        <v>491.3978258920917</v>
      </c>
      <c r="G124" s="8">
        <f>$C124/$D124</f>
        <v>491.3978258920917</v>
      </c>
      <c r="H124" s="8">
        <f>$C124/$D124</f>
        <v>491.3978258920917</v>
      </c>
      <c r="I124" s="8">
        <f>$C124/$D124</f>
        <v>491.3978258920917</v>
      </c>
      <c r="J124" s="8">
        <f>$C124/$D124</f>
        <v>491.3978258920917</v>
      </c>
      <c r="K124" s="217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x14ac:dyDescent="0.3">
      <c r="A125" s="183"/>
      <c r="B125" s="13">
        <f>B124+1</f>
        <v>2016</v>
      </c>
      <c r="C125" s="8">
        <v>2969.9884511042524</v>
      </c>
      <c r="D125" s="52">
        <v>3</v>
      </c>
      <c r="E125" s="8"/>
      <c r="F125" s="8"/>
      <c r="G125" s="8">
        <f>$C125/$D125</f>
        <v>989.99615036808416</v>
      </c>
      <c r="H125" s="8">
        <f>$C125/$D125</f>
        <v>989.99615036808416</v>
      </c>
      <c r="I125" s="8">
        <f>$C125/$D125</f>
        <v>989.99615036808416</v>
      </c>
      <c r="J125" s="8">
        <f>$C125/$D125</f>
        <v>989.99615036808416</v>
      </c>
      <c r="K125" s="217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x14ac:dyDescent="0.3">
      <c r="A126" s="183"/>
      <c r="B126" s="13">
        <f>B125+1</f>
        <v>2017</v>
      </c>
      <c r="C126" s="8">
        <v>7048.7655559487084</v>
      </c>
      <c r="D126" s="52">
        <v>3</v>
      </c>
      <c r="E126" s="8"/>
      <c r="F126" s="8"/>
      <c r="G126" s="8"/>
      <c r="H126" s="8">
        <f>$C126/$D126</f>
        <v>2349.5885186495693</v>
      </c>
      <c r="I126" s="8">
        <f>$C126/$D126</f>
        <v>2349.5885186495693</v>
      </c>
      <c r="J126" s="8">
        <f>$C126/$D126</f>
        <v>2349.5885186495693</v>
      </c>
      <c r="K126" s="217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x14ac:dyDescent="0.3">
      <c r="A127" s="183"/>
      <c r="B127" s="13">
        <f>B126+1</f>
        <v>2018</v>
      </c>
      <c r="C127" s="8">
        <v>13817.461873890135</v>
      </c>
      <c r="D127" s="52">
        <v>3</v>
      </c>
      <c r="E127" s="8"/>
      <c r="F127" s="8"/>
      <c r="G127" s="8"/>
      <c r="H127" s="8"/>
      <c r="I127" s="8">
        <f>$C127/$D127</f>
        <v>4605.8206246300451</v>
      </c>
      <c r="J127" s="8">
        <f>$C127/$D127</f>
        <v>4605.8206246300451</v>
      </c>
      <c r="K127" s="217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x14ac:dyDescent="0.3">
      <c r="A128" s="183"/>
      <c r="B128" s="16"/>
      <c r="C128" s="16"/>
      <c r="D128" s="16"/>
      <c r="E128" s="16"/>
      <c r="F128" s="183"/>
      <c r="G128" s="183"/>
      <c r="H128" s="183"/>
      <c r="I128" s="183"/>
      <c r="J128" s="183"/>
      <c r="K128" s="217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x14ac:dyDescent="0.3">
      <c r="A129" s="183"/>
      <c r="B129" s="71" t="s">
        <v>197</v>
      </c>
      <c r="C129" s="348"/>
      <c r="D129" s="348"/>
      <c r="E129" s="348"/>
      <c r="F129" s="55">
        <f>SUM(F121:F127)</f>
        <v>3653.3978258920915</v>
      </c>
      <c r="G129" s="55">
        <f>SUM(G121:G127)</f>
        <v>4643.3939762601758</v>
      </c>
      <c r="H129" s="55">
        <f>SUM(H121:H127)</f>
        <v>6992.9824949097456</v>
      </c>
      <c r="I129" s="55">
        <f>SUM(I121:I127)</f>
        <v>11598.803119539791</v>
      </c>
      <c r="J129" s="55">
        <f>SUM(J121:J127)</f>
        <v>11598.803119539791</v>
      </c>
      <c r="K129" s="217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x14ac:dyDescent="0.3">
      <c r="A130" s="183"/>
      <c r="B130" s="16"/>
      <c r="C130" s="16"/>
      <c r="D130" s="16"/>
      <c r="E130" s="16"/>
      <c r="F130" s="183"/>
      <c r="G130" s="183"/>
      <c r="H130" s="183"/>
      <c r="I130" s="183"/>
      <c r="J130" s="183"/>
      <c r="K130" s="217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x14ac:dyDescent="0.3">
      <c r="A131" s="183"/>
      <c r="B131" s="72" t="s">
        <v>198</v>
      </c>
      <c r="C131" s="352"/>
      <c r="D131" s="352"/>
      <c r="E131" s="352"/>
      <c r="F131" s="68">
        <f>F129+F116+F103+F90</f>
        <v>26510.434951239324</v>
      </c>
      <c r="G131" s="68">
        <f>G129+G116+G103+G90</f>
        <v>33694.221058601412</v>
      </c>
      <c r="H131" s="68">
        <f>H129+H116+H103+H90</f>
        <v>50743.723071328001</v>
      </c>
      <c r="I131" s="68">
        <f>I129+I116+I103+I90</f>
        <v>84165.297694539535</v>
      </c>
      <c r="J131" s="68">
        <f>J129+J116+J103+J90</f>
        <v>84165.297694539535</v>
      </c>
      <c r="K131" s="217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x14ac:dyDescent="0.3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217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x14ac:dyDescent="0.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x14ac:dyDescent="0.3">
      <c r="A134" s="317" t="s">
        <v>199</v>
      </c>
      <c r="B134" s="225">
        <f>SUM(D50:J51,D52:E52,F54:J56,E58:J58)</f>
        <v>7406231.902035648</v>
      </c>
      <c r="C134" s="334"/>
      <c r="D134" s="334"/>
      <c r="E134" s="334"/>
      <c r="F134" s="334"/>
      <c r="G134" s="334"/>
      <c r="H134" s="334"/>
      <c r="I134" s="334"/>
      <c r="J134" s="33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6" spans="1:26" x14ac:dyDescent="0.3">
      <c r="A136" s="306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x14ac:dyDescent="0.3">
      <c r="A137" s="316" t="s">
        <v>200</v>
      </c>
      <c r="B137" s="198"/>
      <c r="C137" s="198"/>
      <c r="D137" s="198"/>
      <c r="E137" s="198"/>
      <c r="F137" s="198"/>
      <c r="G137" s="198"/>
      <c r="H137" s="198"/>
      <c r="I137" s="198"/>
      <c r="J137" s="198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x14ac:dyDescent="0.3">
      <c r="A138" s="226"/>
      <c r="B138" s="324"/>
      <c r="C138" s="324"/>
      <c r="D138" s="324"/>
      <c r="E138" s="324"/>
      <c r="F138" s="324"/>
      <c r="G138" s="324"/>
      <c r="H138" s="324"/>
      <c r="I138" s="324"/>
      <c r="J138" s="32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x14ac:dyDescent="0.3">
      <c r="A139" s="16"/>
      <c r="B139" s="16"/>
      <c r="C139" s="168">
        <f>'BS-CF-WC'!C4</f>
        <v>40908</v>
      </c>
      <c r="D139" s="168">
        <f>'BS-CF-WC'!D4</f>
        <v>41305</v>
      </c>
      <c r="E139" s="168">
        <f>'BS-CF-WC'!E4</f>
        <v>41670</v>
      </c>
      <c r="F139" s="168">
        <f>'BS-CF-WC'!F4</f>
        <v>42035</v>
      </c>
      <c r="G139" s="168">
        <f>'BS-CF-WC'!G4</f>
        <v>42400</v>
      </c>
      <c r="H139" s="168">
        <f>'BS-CF-WC'!H4</f>
        <v>42766</v>
      </c>
      <c r="I139" s="168">
        <f>'BS-CF-WC'!I4</f>
        <v>43131</v>
      </c>
      <c r="J139" s="168">
        <f>'BS-CF-WC'!J4</f>
        <v>43496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x14ac:dyDescent="0.3">
      <c r="A140" s="183"/>
      <c r="B140" s="13" t="s">
        <v>155</v>
      </c>
      <c r="C140" s="60"/>
      <c r="D140" s="60">
        <f>'P&amp;L'!D70</f>
        <v>66258</v>
      </c>
      <c r="E140" s="60">
        <f>'P&amp;L'!E70</f>
        <v>130322</v>
      </c>
      <c r="F140" s="60">
        <f>'P&amp;L'!F70</f>
        <v>260644</v>
      </c>
      <c r="G140" s="60">
        <f>'P&amp;L'!G70</f>
        <v>461881.49823199998</v>
      </c>
      <c r="H140" s="60">
        <f>'P&amp;L'!H70</f>
        <v>892804.92716350197</v>
      </c>
      <c r="I140" s="60">
        <f>'P&amp;L'!I70</f>
        <v>1737509.0960711432</v>
      </c>
      <c r="J140" s="60">
        <f>'P&amp;L'!J70</f>
        <v>3070555.6122315573</v>
      </c>
      <c r="K140" s="217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x14ac:dyDescent="0.3">
      <c r="A141" s="183"/>
      <c r="B141" s="13" t="s">
        <v>201</v>
      </c>
      <c r="C141" s="9"/>
      <c r="D141" s="227">
        <f>'BS-CF-WC'!D80</f>
        <v>-53</v>
      </c>
      <c r="E141" s="227">
        <f>'BS-CF-WC'!E80</f>
        <v>-8768</v>
      </c>
      <c r="F141" s="228">
        <f>F142*F140</f>
        <v>2606.44</v>
      </c>
      <c r="G141" s="228">
        <f>G142*G140</f>
        <v>2309.4074911600001</v>
      </c>
      <c r="H141" s="228">
        <f>H142*H140</f>
        <v>4464.02463581751</v>
      </c>
      <c r="I141" s="228">
        <f>I142*I140</f>
        <v>8687.5454803557168</v>
      </c>
      <c r="J141" s="228">
        <f>J142*J140</f>
        <v>15352.778061157787</v>
      </c>
      <c r="K141" s="217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x14ac:dyDescent="0.3">
      <c r="A142" s="183"/>
      <c r="B142" s="229" t="s">
        <v>202</v>
      </c>
      <c r="C142" s="10"/>
      <c r="D142" s="10">
        <f>D141/D140</f>
        <v>-7.9990340789036799E-4</v>
      </c>
      <c r="E142" s="10">
        <f>E141/E140</f>
        <v>-6.727950768097482E-2</v>
      </c>
      <c r="F142" s="33">
        <v>0.01</v>
      </c>
      <c r="G142" s="33">
        <v>5.0000000000000001E-3</v>
      </c>
      <c r="H142" s="33">
        <v>5.0000000000000001E-3</v>
      </c>
      <c r="I142" s="33">
        <v>5.0000000000000001E-3</v>
      </c>
      <c r="J142" s="33">
        <v>5.0000000000000001E-3</v>
      </c>
      <c r="K142" s="217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x14ac:dyDescent="0.3">
      <c r="A143" s="183"/>
      <c r="B143" s="16"/>
      <c r="C143" s="16"/>
      <c r="D143" s="16"/>
      <c r="E143" s="183"/>
      <c r="F143" s="183"/>
      <c r="G143" s="183"/>
      <c r="H143" s="183"/>
      <c r="I143" s="183"/>
      <c r="J143" s="183"/>
      <c r="K143" s="217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x14ac:dyDescent="0.3">
      <c r="A144" s="183"/>
      <c r="B144" s="13" t="s">
        <v>203</v>
      </c>
      <c r="C144" s="355"/>
      <c r="D144" s="355"/>
      <c r="E144" s="355"/>
      <c r="F144" s="8">
        <f>E148</f>
        <v>7419</v>
      </c>
      <c r="G144" s="8">
        <f>F148</f>
        <v>7242.4400000000005</v>
      </c>
      <c r="H144" s="8">
        <f>G148</f>
        <v>6864.8474911600006</v>
      </c>
      <c r="I144" s="8">
        <f>H148</f>
        <v>10409.872126977511</v>
      </c>
      <c r="J144" s="8">
        <f>I148</f>
        <v>18943.417607333227</v>
      </c>
      <c r="K144" s="217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x14ac:dyDescent="0.3">
      <c r="A145" s="183"/>
      <c r="B145" s="13" t="s">
        <v>201</v>
      </c>
      <c r="C145" s="355"/>
      <c r="D145" s="355"/>
      <c r="E145" s="355"/>
      <c r="F145" s="8">
        <f>F141</f>
        <v>2606.44</v>
      </c>
      <c r="G145" s="8">
        <f>G141</f>
        <v>2309.4074911600001</v>
      </c>
      <c r="H145" s="8">
        <f>H141</f>
        <v>4464.02463581751</v>
      </c>
      <c r="I145" s="8">
        <f>I141</f>
        <v>8687.5454803557168</v>
      </c>
      <c r="J145" s="8">
        <f>J141</f>
        <v>15352.778061157787</v>
      </c>
      <c r="K145" s="21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x14ac:dyDescent="0.3">
      <c r="A146" s="183"/>
      <c r="B146" s="13" t="s">
        <v>204</v>
      </c>
      <c r="C146" s="355"/>
      <c r="D146" s="356"/>
      <c r="E146" s="356"/>
      <c r="F146" s="52">
        <v>-2783</v>
      </c>
      <c r="G146" s="52">
        <v>-2687</v>
      </c>
      <c r="H146" s="52">
        <v>-919</v>
      </c>
      <c r="I146" s="52">
        <v>-154</v>
      </c>
      <c r="J146" s="52">
        <v>-154</v>
      </c>
      <c r="K146" s="217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x14ac:dyDescent="0.3">
      <c r="A147" s="183"/>
      <c r="B147" s="13" t="s">
        <v>205</v>
      </c>
      <c r="C147" s="355"/>
      <c r="D147" s="357"/>
      <c r="E147" s="357"/>
      <c r="F147" s="46"/>
      <c r="G147" s="46"/>
      <c r="H147" s="46"/>
      <c r="I147" s="46"/>
      <c r="J147" s="46"/>
      <c r="K147" s="217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x14ac:dyDescent="0.3">
      <c r="A148" s="183"/>
      <c r="B148" s="71" t="s">
        <v>206</v>
      </c>
      <c r="C148" s="358"/>
      <c r="D148" s="348"/>
      <c r="E148" s="201">
        <f>'BS-CF-WC'!E15</f>
        <v>7419</v>
      </c>
      <c r="F148" s="55">
        <f>SUM(F144:F147)</f>
        <v>7242.4400000000005</v>
      </c>
      <c r="G148" s="55">
        <f>SUM(G144:G147)</f>
        <v>6864.8474911600006</v>
      </c>
      <c r="H148" s="55">
        <f>SUM(H144:H147)</f>
        <v>10409.872126977511</v>
      </c>
      <c r="I148" s="55">
        <f>SUM(I144:I147)</f>
        <v>18943.417607333227</v>
      </c>
      <c r="J148" s="55">
        <f>SUM(J144:J147)</f>
        <v>34142.195668491011</v>
      </c>
      <c r="K148" s="217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x14ac:dyDescent="0.3">
      <c r="A149" s="183"/>
      <c r="B149" s="16"/>
      <c r="C149" s="16"/>
      <c r="D149" s="16"/>
      <c r="E149" s="16"/>
      <c r="F149" s="16"/>
      <c r="G149" s="183"/>
      <c r="H149" s="183"/>
      <c r="I149" s="183"/>
      <c r="J149" s="183"/>
      <c r="K149" s="217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x14ac:dyDescent="0.3">
      <c r="A150" s="44"/>
      <c r="B150" s="44"/>
      <c r="C150" s="325"/>
      <c r="D150" s="325"/>
      <c r="E150" s="325"/>
      <c r="F150" s="325"/>
      <c r="G150" s="325"/>
      <c r="H150" s="325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x14ac:dyDescent="0.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x14ac:dyDescent="0.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x14ac:dyDescent="0.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x14ac:dyDescent="0.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x14ac:dyDescent="0.3">
      <c r="A155" s="317" t="s">
        <v>199</v>
      </c>
      <c r="B155" s="225">
        <f>SUM(D140:J141,D142:E142,F144:J145,E148:J148)</f>
        <v>6813895.807075209</v>
      </c>
      <c r="C155" s="334"/>
      <c r="D155" s="334"/>
      <c r="E155" s="334"/>
      <c r="F155" s="334"/>
      <c r="G155" s="334"/>
      <c r="H155" s="334"/>
      <c r="I155" s="334"/>
      <c r="J155" s="33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showGridLines="0" workbookViewId="0">
      <pane xSplit="2" ySplit="1" topLeftCell="C37" activePane="bottomRight" state="frozen"/>
      <selection pane="topRight" activeCell="C37" sqref="C37"/>
      <selection pane="bottomLeft" activeCell="C37" sqref="C37"/>
      <selection pane="bottomRight" activeCell="C37" sqref="C37"/>
    </sheetView>
  </sheetViews>
  <sheetFormatPr defaultRowHeight="14.4" x14ac:dyDescent="0.3"/>
  <cols>
    <col min="1" max="1" width="44.33203125" customWidth="1"/>
    <col min="2" max="2" width="43.33203125" customWidth="1"/>
    <col min="3" max="3" width="22.109375" customWidth="1"/>
    <col min="4" max="4" width="18.44140625" customWidth="1"/>
    <col min="5" max="5" width="14.77734375" customWidth="1"/>
    <col min="6" max="6" width="26.109375" customWidth="1"/>
    <col min="7" max="7" width="23.33203125" customWidth="1"/>
    <col min="8" max="8" width="11.44140625" customWidth="1"/>
    <col min="9" max="10" width="13" customWidth="1"/>
    <col min="11" max="11" width="12.77734375" style="311" customWidth="1"/>
    <col min="12" max="26" width="13.44140625" style="311" customWidth="1"/>
  </cols>
  <sheetData>
    <row r="1" spans="1:26" x14ac:dyDescent="0.3">
      <c r="A1" s="306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3">
      <c r="A2" s="319" t="s">
        <v>207</v>
      </c>
      <c r="B2" s="98"/>
      <c r="C2" s="98"/>
      <c r="D2" s="98"/>
      <c r="E2" s="98"/>
      <c r="F2" s="98"/>
      <c r="G2" s="98"/>
      <c r="H2" s="98"/>
      <c r="I2" s="98"/>
      <c r="J2" s="98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3">
      <c r="A3" s="49"/>
      <c r="B3" s="16"/>
      <c r="C3" s="16"/>
      <c r="D3" s="16"/>
      <c r="E3" s="16"/>
      <c r="F3" s="16"/>
      <c r="G3" s="16"/>
      <c r="H3" s="16"/>
      <c r="I3" s="16"/>
      <c r="J3" s="16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3">
      <c r="A4" s="16"/>
      <c r="B4" s="16"/>
      <c r="C4" s="168">
        <f>'BS-CF-WC'!C4</f>
        <v>40908</v>
      </c>
      <c r="D4" s="168">
        <f>'BS-CF-WC'!D4</f>
        <v>41305</v>
      </c>
      <c r="E4" s="168">
        <f>'BS-CF-WC'!E4</f>
        <v>41670</v>
      </c>
      <c r="F4" s="168">
        <f>'BS-CF-WC'!F4</f>
        <v>42035</v>
      </c>
      <c r="G4" s="168">
        <f>'BS-CF-WC'!G4</f>
        <v>42400</v>
      </c>
      <c r="H4" s="168">
        <f>'BS-CF-WC'!H4</f>
        <v>42766</v>
      </c>
      <c r="I4" s="168">
        <f>'BS-CF-WC'!I4</f>
        <v>43131</v>
      </c>
      <c r="J4" s="168">
        <f>'BS-CF-WC'!J4</f>
        <v>43496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3">
      <c r="A5" s="183"/>
      <c r="B5" s="13" t="s">
        <v>208</v>
      </c>
      <c r="C5" s="343"/>
      <c r="D5" s="359"/>
      <c r="E5" s="359"/>
      <c r="F5" s="230">
        <f>E8</f>
        <v>16507</v>
      </c>
      <c r="G5" s="230">
        <f>F8</f>
        <v>16137.300651112397</v>
      </c>
      <c r="H5" s="230">
        <f>G8</f>
        <v>-374212.61319270812</v>
      </c>
      <c r="I5" s="230">
        <f>H8</f>
        <v>-939672.66587004904</v>
      </c>
      <c r="J5" s="230">
        <f>I8</f>
        <v>-1686208.1284501366</v>
      </c>
      <c r="K5" s="217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3">
      <c r="A6" s="183"/>
      <c r="B6" s="129" t="s">
        <v>209</v>
      </c>
      <c r="C6" s="360"/>
      <c r="D6" s="342"/>
      <c r="E6" s="342"/>
      <c r="F6" s="54">
        <f>'P&amp;L'!F92</f>
        <v>-250369.6993488876</v>
      </c>
      <c r="G6" s="54">
        <f>'P&amp;L'!G92</f>
        <v>-390349.91384382051</v>
      </c>
      <c r="H6" s="54">
        <f>'P&amp;L'!H92</f>
        <v>-565460.05267734092</v>
      </c>
      <c r="I6" s="54">
        <f>'P&amp;L'!I92</f>
        <v>-746535.46258008759</v>
      </c>
      <c r="J6" s="54">
        <f>'P&amp;L'!J92</f>
        <v>-844606.2214996604</v>
      </c>
      <c r="K6" s="217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3">
      <c r="A7" s="183"/>
      <c r="B7" s="13" t="s">
        <v>210</v>
      </c>
      <c r="C7" s="325"/>
      <c r="D7" s="345"/>
      <c r="E7" s="344"/>
      <c r="F7" s="61">
        <f>250000</f>
        <v>250000</v>
      </c>
      <c r="G7" s="45">
        <f>'BS-CF-WC'!G90</f>
        <v>0</v>
      </c>
      <c r="H7" s="45">
        <f>'BS-CF-WC'!H90</f>
        <v>0</v>
      </c>
      <c r="I7" s="45">
        <f>'BS-CF-WC'!I90</f>
        <v>0</v>
      </c>
      <c r="J7" s="45">
        <f>'BS-CF-WC'!J90</f>
        <v>0</v>
      </c>
      <c r="K7" s="217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3">
      <c r="A8" s="183"/>
      <c r="B8" s="129" t="s">
        <v>211</v>
      </c>
      <c r="C8" s="361"/>
      <c r="D8" s="361"/>
      <c r="E8" s="196">
        <f>'BS-CF-WC'!E46</f>
        <v>16507</v>
      </c>
      <c r="F8" s="197">
        <f>SUM(F5:F7)</f>
        <v>16137.300651112397</v>
      </c>
      <c r="G8" s="197">
        <f>SUM(G5:G7)</f>
        <v>-374212.61319270812</v>
      </c>
      <c r="H8" s="197">
        <f>SUM(H5:H7)</f>
        <v>-939672.66587004904</v>
      </c>
      <c r="I8" s="197">
        <f>SUM(I5:I7)</f>
        <v>-1686208.1284501366</v>
      </c>
      <c r="J8" s="197">
        <f>SUM(J5:J7)</f>
        <v>-2530814.3499497971</v>
      </c>
      <c r="K8" s="217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3">
      <c r="A9" s="183"/>
      <c r="B9" s="16"/>
      <c r="C9" s="13"/>
      <c r="D9" s="13"/>
      <c r="E9" s="13"/>
      <c r="F9" s="13"/>
      <c r="G9" s="13"/>
      <c r="H9" s="13"/>
      <c r="I9" s="183"/>
      <c r="J9" s="183"/>
      <c r="K9" s="217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3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217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3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3">
      <c r="A14" s="317" t="s">
        <v>199</v>
      </c>
      <c r="B14" s="231">
        <f>SUM(F5:J8,E8)</f>
        <v>-11013033.913623156</v>
      </c>
      <c r="C14" s="334"/>
      <c r="D14" s="334"/>
      <c r="E14" s="334"/>
      <c r="F14" s="334"/>
      <c r="G14" s="334"/>
      <c r="H14" s="334"/>
      <c r="I14" s="334"/>
      <c r="J14" s="33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6" spans="1:26" x14ac:dyDescent="0.3">
      <c r="A16" s="306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3">
      <c r="A17" s="319" t="s">
        <v>212</v>
      </c>
      <c r="B17" s="98"/>
      <c r="C17" s="98"/>
      <c r="D17" s="98"/>
      <c r="E17" s="98"/>
      <c r="F17" s="98"/>
      <c r="G17" s="98"/>
      <c r="H17" s="98"/>
      <c r="I17" s="98"/>
      <c r="J17" s="98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3">
      <c r="A18" s="16"/>
      <c r="B18" s="16"/>
      <c r="C18" s="16"/>
      <c r="D18" s="16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3">
      <c r="A19" s="329" t="s">
        <v>0</v>
      </c>
      <c r="B19" s="83"/>
      <c r="C19" s="327"/>
      <c r="D19" s="327"/>
      <c r="E19" s="328"/>
      <c r="F19" s="328"/>
      <c r="G19" s="328"/>
      <c r="H19" s="328"/>
      <c r="I19" s="328"/>
      <c r="J19" s="328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3">
      <c r="A20" s="62"/>
      <c r="B20" s="62"/>
      <c r="C20" s="62"/>
      <c r="D20" s="62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 spans="1:26" x14ac:dyDescent="0.3">
      <c r="A21" s="319" t="s">
        <v>213</v>
      </c>
      <c r="B21" s="98"/>
      <c r="C21" s="98"/>
      <c r="D21" s="98"/>
      <c r="E21" s="98"/>
      <c r="F21" s="98"/>
      <c r="G21" s="98"/>
      <c r="H21" s="98"/>
      <c r="I21" s="98"/>
      <c r="J21" s="9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</row>
    <row r="22" spans="1:26" x14ac:dyDescent="0.3">
      <c r="A22" s="13" t="s">
        <v>214</v>
      </c>
      <c r="B22" s="75">
        <v>17</v>
      </c>
      <c r="C22" s="16"/>
      <c r="D22" s="16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3">
      <c r="A23" s="13" t="s">
        <v>215</v>
      </c>
      <c r="B23" s="232">
        <f>E78</f>
        <v>3.65</v>
      </c>
      <c r="C23" s="16"/>
      <c r="D23" s="16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3">
      <c r="A24" s="13" t="s">
        <v>216</v>
      </c>
      <c r="B24" s="232">
        <f>F78/2</f>
        <v>4.2249999999999996</v>
      </c>
      <c r="C24" s="16"/>
      <c r="D24" s="16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3">
      <c r="A25" s="13" t="s">
        <v>217</v>
      </c>
      <c r="B25" s="76">
        <v>0.45059199999999999</v>
      </c>
      <c r="C25" s="16"/>
      <c r="D25" s="16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3">
      <c r="A26" s="13" t="s">
        <v>218</v>
      </c>
      <c r="B26" s="76">
        <v>0</v>
      </c>
      <c r="C26" s="16"/>
      <c r="D26" s="16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3">
      <c r="A27" s="13" t="s">
        <v>219</v>
      </c>
      <c r="B27" s="76">
        <v>2.3241999999999999E-2</v>
      </c>
      <c r="C27" s="16"/>
      <c r="D27" s="16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3">
      <c r="A28" s="13" t="s">
        <v>220</v>
      </c>
      <c r="B28" s="233">
        <f>D78/10^3</f>
        <v>18427.075000000001</v>
      </c>
      <c r="C28" s="16"/>
      <c r="D28" s="16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3">
      <c r="A29" s="13" t="s">
        <v>221</v>
      </c>
      <c r="B29" s="233">
        <f>C67/10^3</f>
        <v>91460.679000000004</v>
      </c>
      <c r="C29" s="16"/>
      <c r="D29" s="16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3">
      <c r="A30" s="16"/>
      <c r="B30" s="16"/>
      <c r="C30" s="16"/>
      <c r="D30" s="16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3">
      <c r="A31" s="319" t="s">
        <v>222</v>
      </c>
      <c r="B31" s="98"/>
      <c r="C31" s="98"/>
      <c r="D31" s="98"/>
      <c r="E31" s="98"/>
      <c r="F31" s="98"/>
      <c r="G31" s="98"/>
      <c r="H31" s="98"/>
      <c r="I31" s="98"/>
      <c r="J31" s="98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3">
      <c r="A32" s="73"/>
      <c r="B32" s="73"/>
      <c r="C32" s="73"/>
      <c r="D32" s="73"/>
      <c r="E32" s="306"/>
      <c r="F32" s="306"/>
      <c r="G32" s="326"/>
      <c r="H32" s="306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3">
      <c r="A33" s="13" t="s">
        <v>223</v>
      </c>
      <c r="B33" s="234">
        <f>B22</f>
        <v>17</v>
      </c>
      <c r="C33" s="16"/>
      <c r="D33" s="16"/>
      <c r="E33" s="44"/>
      <c r="F33" s="44"/>
      <c r="G33" s="362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3">
      <c r="A34" s="13" t="s">
        <v>224</v>
      </c>
      <c r="B34" s="234">
        <f>B23</f>
        <v>3.65</v>
      </c>
      <c r="C34" s="16"/>
      <c r="D34" s="16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3">
      <c r="A35" s="13" t="s">
        <v>225</v>
      </c>
      <c r="B35" s="235">
        <v>19.357063625549081</v>
      </c>
      <c r="C35" s="16"/>
      <c r="D35" s="16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3">
      <c r="A36" s="13" t="s">
        <v>226</v>
      </c>
      <c r="B36" s="234">
        <f>B34</f>
        <v>3.65</v>
      </c>
      <c r="C36" s="16"/>
      <c r="D36" s="16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3">
      <c r="A37" s="13" t="s">
        <v>227</v>
      </c>
      <c r="B37" s="234">
        <f>B24</f>
        <v>4.2249999999999996</v>
      </c>
      <c r="C37" s="16"/>
      <c r="D37" s="16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x14ac:dyDescent="0.3">
      <c r="A38" s="16"/>
      <c r="B38" s="16"/>
      <c r="C38" s="16"/>
      <c r="D38" s="16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x14ac:dyDescent="0.3">
      <c r="A39" s="13" t="s">
        <v>228</v>
      </c>
      <c r="B39" s="236">
        <f>B28</f>
        <v>18427.075000000001</v>
      </c>
      <c r="C39" s="16"/>
      <c r="D39" s="16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3">
      <c r="A40" s="13" t="s">
        <v>229</v>
      </c>
      <c r="B40" s="237">
        <f>B29</f>
        <v>91460.679000000004</v>
      </c>
      <c r="C40" s="16"/>
      <c r="D40" s="16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3">
      <c r="A41" s="13" t="s">
        <v>230</v>
      </c>
      <c r="B41" s="238">
        <f>B27</f>
        <v>2.3241999999999999E-2</v>
      </c>
      <c r="C41" s="16"/>
      <c r="D41" s="16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3">
      <c r="A42" s="13" t="s">
        <v>231</v>
      </c>
      <c r="B42" s="239">
        <f>B25^2</f>
        <v>0.203033150464</v>
      </c>
      <c r="C42" s="16"/>
      <c r="D42" s="16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3">
      <c r="A43" s="13" t="s">
        <v>232</v>
      </c>
      <c r="B43" s="238">
        <f>B26</f>
        <v>0</v>
      </c>
      <c r="C43" s="16"/>
      <c r="D43" s="16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x14ac:dyDescent="0.3">
      <c r="A44" s="13" t="s">
        <v>233</v>
      </c>
      <c r="B44" s="238">
        <f>B41-B43</f>
        <v>2.3241999999999999E-2</v>
      </c>
      <c r="C44" s="16"/>
      <c r="D44" s="16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x14ac:dyDescent="0.3">
      <c r="A45" s="16"/>
      <c r="B45" s="16"/>
      <c r="C45" s="16"/>
      <c r="D45" s="16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3">
      <c r="A46" s="13" t="s">
        <v>234</v>
      </c>
      <c r="B46" s="240">
        <f>(LN(B35/B36)+(B44+(B42/2))*B37)/(((B42)^(0.5))*(B37^0.5))</f>
        <v>2.3704117529099991</v>
      </c>
      <c r="C46" s="16"/>
      <c r="D46" s="16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3">
      <c r="A47" s="13" t="s">
        <v>235</v>
      </c>
      <c r="B47" s="240">
        <f>NORMSDIST(B46)</f>
        <v>0.99111585749074405</v>
      </c>
      <c r="C47" s="16"/>
      <c r="D47" s="16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3">
      <c r="A48" s="16"/>
      <c r="B48" s="74"/>
      <c r="C48" s="16"/>
      <c r="D48" s="16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x14ac:dyDescent="0.3">
      <c r="A49" s="13" t="s">
        <v>236</v>
      </c>
      <c r="B49" s="240">
        <f>B46-((B42^0.5)*(B37^(0.5)))</f>
        <v>1.4442286928671153</v>
      </c>
      <c r="C49" s="16"/>
      <c r="D49" s="16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x14ac:dyDescent="0.3">
      <c r="A50" s="13" t="s">
        <v>237</v>
      </c>
      <c r="B50" s="240">
        <f>NORMSDIST(B49)</f>
        <v>0.9256626718413562</v>
      </c>
      <c r="C50" s="16"/>
      <c r="D50" s="16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x14ac:dyDescent="0.3">
      <c r="A51" s="16"/>
      <c r="B51" s="16"/>
      <c r="C51" s="16"/>
      <c r="D51" s="16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x14ac:dyDescent="0.3">
      <c r="A52" s="13" t="s">
        <v>238</v>
      </c>
      <c r="B52" s="241">
        <f>((EXP((0-B43)*B37))*B35*B47-B36*(EXP((0-B41)*B37))*B50)</f>
        <v>16.122431175616079</v>
      </c>
      <c r="C52" s="16"/>
      <c r="D52" s="16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x14ac:dyDescent="0.3">
      <c r="A53" s="16"/>
      <c r="B53" s="16"/>
      <c r="C53" s="16"/>
      <c r="D53" s="16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x14ac:dyDescent="0.3">
      <c r="A54" s="13" t="s">
        <v>239</v>
      </c>
      <c r="B54" s="310">
        <f>B52*B28</f>
        <v>297089.24845541565</v>
      </c>
      <c r="C54" s="16"/>
      <c r="D54" s="16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6" spans="1:26" x14ac:dyDescent="0.3">
      <c r="A56" s="306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x14ac:dyDescent="0.3">
      <c r="A57" s="319" t="s">
        <v>240</v>
      </c>
      <c r="B57" s="98"/>
      <c r="C57" s="98"/>
      <c r="D57" s="98"/>
      <c r="E57" s="98"/>
      <c r="F57" s="98"/>
      <c r="G57" s="98"/>
      <c r="H57" s="98"/>
      <c r="I57" s="98"/>
      <c r="J57" s="98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x14ac:dyDescent="0.3">
      <c r="A58" s="73"/>
      <c r="B58" s="183"/>
      <c r="C58" s="183"/>
      <c r="D58" s="183"/>
      <c r="E58" s="183"/>
      <c r="F58" s="183"/>
      <c r="G58" s="183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x14ac:dyDescent="0.3">
      <c r="A59" s="16"/>
      <c r="B59" s="98" t="s">
        <v>241</v>
      </c>
      <c r="C59" s="98"/>
      <c r="D59" s="98"/>
      <c r="E59" s="98"/>
      <c r="F59" s="98"/>
      <c r="G59" s="98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x14ac:dyDescent="0.3">
      <c r="A60" s="16"/>
      <c r="B60" s="16"/>
      <c r="C60" s="16"/>
      <c r="D60" s="16"/>
      <c r="E60" s="16"/>
      <c r="F60" s="16"/>
      <c r="G60" s="16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x14ac:dyDescent="0.3">
      <c r="A61" s="49"/>
      <c r="B61" s="80" t="s">
        <v>242</v>
      </c>
      <c r="C61" s="80"/>
      <c r="D61" s="80"/>
      <c r="E61" s="80"/>
      <c r="F61" s="80"/>
      <c r="G61" s="80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x14ac:dyDescent="0.3">
      <c r="A62" s="16"/>
      <c r="B62" s="13" t="s">
        <v>243</v>
      </c>
      <c r="C62" s="22">
        <v>0</v>
      </c>
      <c r="D62" s="16"/>
      <c r="E62" s="16"/>
      <c r="F62" s="16"/>
      <c r="G62" s="16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x14ac:dyDescent="0.3">
      <c r="A63" s="16"/>
      <c r="B63" s="13" t="s">
        <v>244</v>
      </c>
      <c r="C63" s="22">
        <v>90193539</v>
      </c>
      <c r="D63" s="16"/>
      <c r="E63" s="79"/>
      <c r="F63" s="79"/>
      <c r="G63" s="16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x14ac:dyDescent="0.3">
      <c r="A64" s="16"/>
      <c r="B64" s="13" t="s">
        <v>244</v>
      </c>
      <c r="C64" s="22">
        <v>225300</v>
      </c>
      <c r="D64" s="13" t="s">
        <v>245</v>
      </c>
      <c r="E64" s="11"/>
      <c r="F64" s="11"/>
      <c r="G64" s="16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x14ac:dyDescent="0.3">
      <c r="A65" s="16"/>
      <c r="B65" s="13" t="s">
        <v>244</v>
      </c>
      <c r="C65" s="22">
        <v>41840</v>
      </c>
      <c r="D65" s="13" t="s">
        <v>246</v>
      </c>
      <c r="E65" s="11"/>
      <c r="F65" s="11"/>
      <c r="G65" s="16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x14ac:dyDescent="0.3">
      <c r="A66" s="16"/>
      <c r="B66" s="81" t="s">
        <v>247</v>
      </c>
      <c r="C66" s="242">
        <v>1000000</v>
      </c>
      <c r="D66" s="81" t="s">
        <v>248</v>
      </c>
      <c r="E66" s="82"/>
      <c r="F66" s="82"/>
      <c r="G66" s="81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x14ac:dyDescent="0.3">
      <c r="A67" s="16"/>
      <c r="B67" s="83"/>
      <c r="C67" s="84">
        <f>SUM(C62:C66)</f>
        <v>91460679</v>
      </c>
      <c r="D67" s="85">
        <f>1.2*10^9/C67</f>
        <v>13.120392425689296</v>
      </c>
      <c r="E67" s="86"/>
      <c r="F67" s="86"/>
      <c r="G67" s="83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x14ac:dyDescent="0.3">
      <c r="A68" s="16"/>
      <c r="B68" s="16"/>
      <c r="C68" s="77"/>
      <c r="D68" s="77"/>
      <c r="E68" s="77"/>
      <c r="F68" s="77"/>
      <c r="G68" s="16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x14ac:dyDescent="0.3">
      <c r="A69" s="16"/>
      <c r="B69" s="16"/>
      <c r="C69" s="8"/>
      <c r="D69" s="8"/>
      <c r="E69" s="8"/>
      <c r="F69" s="8"/>
      <c r="G69" s="16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x14ac:dyDescent="0.3">
      <c r="A70" s="16"/>
      <c r="B70" s="98" t="s">
        <v>249</v>
      </c>
      <c r="C70" s="199"/>
      <c r="D70" s="199"/>
      <c r="E70" s="199"/>
      <c r="F70" s="199"/>
      <c r="G70" s="98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x14ac:dyDescent="0.3">
      <c r="A71" s="16"/>
      <c r="B71" s="73"/>
      <c r="C71" s="78"/>
      <c r="D71" s="78"/>
      <c r="E71" s="78"/>
      <c r="F71" s="78"/>
      <c r="G71" s="73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28.8" x14ac:dyDescent="0.3">
      <c r="A72" s="16"/>
      <c r="B72" s="243" t="s">
        <v>250</v>
      </c>
      <c r="C72" s="44"/>
      <c r="D72" s="244" t="s">
        <v>251</v>
      </c>
      <c r="E72" s="244" t="s">
        <v>252</v>
      </c>
      <c r="F72" s="244" t="s">
        <v>253</v>
      </c>
      <c r="G72" s="244" t="s">
        <v>254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x14ac:dyDescent="0.3">
      <c r="A73" s="16"/>
      <c r="B73" s="13" t="s">
        <v>255</v>
      </c>
      <c r="C73" s="16"/>
      <c r="D73" s="22">
        <v>13992407</v>
      </c>
      <c r="E73" s="41">
        <v>1.84</v>
      </c>
      <c r="F73" s="41">
        <v>8.69</v>
      </c>
      <c r="G73" s="22">
        <v>38954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x14ac:dyDescent="0.3">
      <c r="A74" s="16"/>
      <c r="B74" s="13" t="s">
        <v>256</v>
      </c>
      <c r="C74" s="16"/>
      <c r="D74" s="22">
        <v>7847410</v>
      </c>
      <c r="E74" s="41">
        <v>6.16</v>
      </c>
      <c r="F74" s="16"/>
      <c r="G74" s="1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x14ac:dyDescent="0.3">
      <c r="A75" s="16"/>
      <c r="B75" s="13" t="s">
        <v>257</v>
      </c>
      <c r="C75" s="16"/>
      <c r="D75" s="22">
        <v>-2267540</v>
      </c>
      <c r="E75" s="41">
        <v>1.32</v>
      </c>
      <c r="F75" s="16"/>
      <c r="G75" s="1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x14ac:dyDescent="0.3">
      <c r="A76" s="16"/>
      <c r="B76" s="13" t="s">
        <v>258</v>
      </c>
      <c r="C76" s="16"/>
      <c r="D76" s="22">
        <v>-189936</v>
      </c>
      <c r="E76" s="41">
        <v>0.73</v>
      </c>
      <c r="F76" s="16"/>
      <c r="G76" s="1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x14ac:dyDescent="0.3">
      <c r="A77" s="16"/>
      <c r="B77" s="13" t="s">
        <v>259</v>
      </c>
      <c r="C77" s="16"/>
      <c r="D77" s="22">
        <v>-955266</v>
      </c>
      <c r="E77" s="41">
        <v>3.77</v>
      </c>
      <c r="F77" s="16"/>
      <c r="G77" s="1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x14ac:dyDescent="0.3">
      <c r="A78" s="16"/>
      <c r="B78" s="71" t="s">
        <v>260</v>
      </c>
      <c r="C78" s="363"/>
      <c r="D78" s="245">
        <f>SUM(D73:D77)</f>
        <v>18427075</v>
      </c>
      <c r="E78" s="246">
        <v>3.65</v>
      </c>
      <c r="F78" s="246">
        <v>8.4499999999999993</v>
      </c>
      <c r="G78" s="247">
        <v>191809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x14ac:dyDescent="0.3">
      <c r="A79" s="16"/>
      <c r="B79" s="13" t="s">
        <v>261</v>
      </c>
      <c r="C79" s="16"/>
      <c r="D79" s="22">
        <v>17863613</v>
      </c>
      <c r="E79" s="41">
        <v>3.62</v>
      </c>
      <c r="F79" s="41">
        <v>8.44</v>
      </c>
      <c r="G79" s="22">
        <v>186436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x14ac:dyDescent="0.3">
      <c r="A80" s="16"/>
      <c r="B80" s="13" t="s">
        <v>262</v>
      </c>
      <c r="C80" s="16"/>
      <c r="D80" s="22">
        <v>5438985</v>
      </c>
      <c r="E80" s="41">
        <v>1.57</v>
      </c>
      <c r="F80" s="41">
        <v>7.49</v>
      </c>
      <c r="G80" s="22">
        <v>67947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11"/>
  <sheetViews>
    <sheetView showGridLines="0" workbookViewId="0">
      <pane xSplit="2" ySplit="1" topLeftCell="C34" activePane="bottomRight" state="frozen"/>
      <selection pane="topRight" activeCell="C34" sqref="C34"/>
      <selection pane="bottomLeft" activeCell="C34" sqref="C34"/>
      <selection pane="bottomRight" activeCell="C34" sqref="C34"/>
    </sheetView>
  </sheetViews>
  <sheetFormatPr defaultRowHeight="14.4" x14ac:dyDescent="0.3"/>
  <cols>
    <col min="1" max="1" width="12" customWidth="1"/>
    <col min="2" max="2" width="48.77734375" customWidth="1"/>
    <col min="3" max="3" width="13.6640625" customWidth="1"/>
    <col min="4" max="4" width="20.6640625" customWidth="1"/>
    <col min="5" max="7" width="13.77734375" customWidth="1"/>
    <col min="8" max="8" width="14.6640625" customWidth="1"/>
    <col min="9" max="10" width="15.44140625" customWidth="1"/>
    <col min="11" max="22" width="9.109375" customWidth="1"/>
    <col min="23" max="23" width="13.6640625" customWidth="1"/>
    <col min="24" max="34" width="9.109375" customWidth="1"/>
    <col min="35" max="35" width="2.6640625" customWidth="1"/>
    <col min="36" max="36" width="9.109375" customWidth="1"/>
    <col min="37" max="37" width="2.6640625" customWidth="1"/>
    <col min="38" max="39" width="9.109375" customWidth="1"/>
    <col min="40" max="40" width="2.6640625" customWidth="1"/>
    <col min="41" max="42" width="9.109375" customWidth="1"/>
    <col min="43" max="43" width="2.6640625" customWidth="1"/>
    <col min="44" max="44" width="9.109375" customWidth="1"/>
    <col min="45" max="45" width="2.6640625" customWidth="1"/>
    <col min="46" max="47" width="9.109375" customWidth="1"/>
  </cols>
  <sheetData>
    <row r="1" spans="1:26" x14ac:dyDescent="0.3">
      <c r="A1" s="306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3">
      <c r="A2" s="381" t="s">
        <v>263</v>
      </c>
      <c r="B2" s="381"/>
      <c r="C2" s="381"/>
      <c r="D2" s="381"/>
      <c r="E2" s="381"/>
      <c r="F2" s="381"/>
      <c r="G2" s="381"/>
      <c r="H2" s="381"/>
      <c r="I2" s="381"/>
      <c r="J2" s="381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3">
      <c r="A3" s="3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3">
      <c r="A4" s="16"/>
      <c r="B4" s="248" t="s">
        <v>264</v>
      </c>
      <c r="C4" s="388" t="s">
        <v>46</v>
      </c>
      <c r="D4" s="389"/>
      <c r="E4" s="389"/>
      <c r="F4" s="388" t="s">
        <v>47</v>
      </c>
      <c r="G4" s="389"/>
      <c r="H4" s="389"/>
      <c r="I4" s="389"/>
      <c r="J4" s="389"/>
      <c r="K4" s="16"/>
      <c r="L4" s="16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3">
      <c r="A5" s="16"/>
      <c r="B5" s="116" t="s">
        <v>18</v>
      </c>
      <c r="C5" s="135">
        <v>40908</v>
      </c>
      <c r="D5" s="135">
        <f>EOMONTH(C5,13)</f>
        <v>41305</v>
      </c>
      <c r="E5" s="135">
        <f t="shared" ref="E5:J5" si="0">EOMONTH(D5,12)</f>
        <v>41670</v>
      </c>
      <c r="F5" s="135">
        <f t="shared" si="0"/>
        <v>42035</v>
      </c>
      <c r="G5" s="135">
        <f t="shared" si="0"/>
        <v>42400</v>
      </c>
      <c r="H5" s="135">
        <f t="shared" si="0"/>
        <v>42766</v>
      </c>
      <c r="I5" s="135">
        <f t="shared" si="0"/>
        <v>43131</v>
      </c>
      <c r="J5" s="135">
        <f t="shared" si="0"/>
        <v>43496</v>
      </c>
      <c r="K5" s="16"/>
      <c r="L5" s="16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3">
      <c r="A7" s="16"/>
      <c r="B7" s="13" t="s">
        <v>265</v>
      </c>
      <c r="C7" s="56">
        <f>'P&amp;L'!C84</f>
        <v>-46882</v>
      </c>
      <c r="D7" s="56">
        <f>'P&amp;L'!D84</f>
        <v>-99289</v>
      </c>
      <c r="E7" s="56">
        <f>'P&amp;L'!E84</f>
        <v>-162355</v>
      </c>
      <c r="F7" s="56">
        <f>'P&amp;L'!F84</f>
        <v>-254959.61500400002</v>
      </c>
      <c r="G7" s="56">
        <f>'P&amp;L'!G84</f>
        <v>-501887.36420136457</v>
      </c>
      <c r="H7" s="56">
        <f>'P&amp;L'!H84</f>
        <v>-685231.3528176964</v>
      </c>
      <c r="I7" s="56">
        <f>'P&amp;L'!I84</f>
        <v>-665856.92334186379</v>
      </c>
      <c r="J7" s="56">
        <f>'P&amp;L'!J84</f>
        <v>-1076370.9876453239</v>
      </c>
      <c r="K7" s="16"/>
      <c r="L7" s="16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3">
      <c r="A8" s="16"/>
      <c r="B8" s="16"/>
      <c r="C8" s="1"/>
      <c r="D8" s="1"/>
      <c r="E8" s="1"/>
      <c r="F8" s="1"/>
      <c r="G8" s="1"/>
      <c r="H8" s="1"/>
      <c r="I8" s="1"/>
      <c r="J8" s="1"/>
      <c r="K8" s="16"/>
      <c r="L8" s="16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3">
      <c r="A9" s="16"/>
      <c r="B9" s="129" t="s">
        <v>266</v>
      </c>
      <c r="C9" s="333"/>
      <c r="D9" s="333"/>
      <c r="E9" s="333"/>
      <c r="F9" s="333"/>
      <c r="G9" s="333"/>
      <c r="H9" s="333"/>
      <c r="I9" s="333"/>
      <c r="J9" s="333"/>
      <c r="K9" s="16"/>
      <c r="L9" s="16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3">
      <c r="A10" s="16"/>
      <c r="B10" s="13" t="s">
        <v>267</v>
      </c>
      <c r="C10" s="56">
        <f>C7*(1-'P&amp;L'!C119)</f>
        <v>-46882</v>
      </c>
      <c r="D10" s="56">
        <f>D7*(1-'P&amp;L'!D119)</f>
        <v>-99289</v>
      </c>
      <c r="E10" s="56">
        <f>E7*(1-'P&amp;L'!E119)</f>
        <v>-159947.762415</v>
      </c>
      <c r="F10" s="56">
        <f>IF(F7&gt;0,IF(F7&lt;E16,F7,F7-(F7-E16)*'P&amp;L'!F119),F7)</f>
        <v>-254959.61500400002</v>
      </c>
      <c r="G10" s="56">
        <f>IF(G7&gt;0,IF(G7&lt;F16,G7,G7-(G7-F16)*'P&amp;L'!G119),G7)</f>
        <v>-501887.36420136457</v>
      </c>
      <c r="H10" s="56">
        <f>IF(H7&gt;0,IF(H7&lt;G16,H7,H7-(H7-G16)*'P&amp;L'!H119),H7)</f>
        <v>-685231.3528176964</v>
      </c>
      <c r="I10" s="56">
        <f>IF(I7&gt;0,IF(I7&lt;H16,I7,I7-(I7-H16)*'P&amp;L'!I119),I7)</f>
        <v>-665856.92334186379</v>
      </c>
      <c r="J10" s="56">
        <f>IF(J7&gt;0,IF(J7&lt;I16,J7,J7-(J7-I16)*'P&amp;L'!J119),J7)</f>
        <v>-1076370.9876453239</v>
      </c>
      <c r="K10" s="16"/>
      <c r="L10" s="16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3">
      <c r="A11" s="16"/>
      <c r="B11" s="13" t="s">
        <v>268</v>
      </c>
      <c r="C11" s="56">
        <f>'BS-CF-WC'!C59</f>
        <v>3338</v>
      </c>
      <c r="D11" s="56">
        <f>'BS-CF-WC'!D59</f>
        <v>8616</v>
      </c>
      <c r="E11" s="56">
        <f>'BS-CF-WC'!E59</f>
        <v>15964</v>
      </c>
      <c r="F11" s="56">
        <f>'BS-CF-WC'!F59</f>
        <v>29293.434951239324</v>
      </c>
      <c r="G11" s="56">
        <f>'BS-CF-WC'!G59</f>
        <v>36381.221058601412</v>
      </c>
      <c r="H11" s="56">
        <f>'BS-CF-WC'!H59</f>
        <v>51662.723071328001</v>
      </c>
      <c r="I11" s="56">
        <f>'BS-CF-WC'!I59</f>
        <v>84319.297694539535</v>
      </c>
      <c r="J11" s="56">
        <f>'BS-CF-WC'!J59</f>
        <v>84319.297694539535</v>
      </c>
      <c r="K11" s="16"/>
      <c r="L11" s="16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3">
      <c r="A12" s="16"/>
      <c r="B12" s="13" t="s">
        <v>269</v>
      </c>
      <c r="C12" s="56">
        <f>'BS-CF-WC'!C78+'BS-CF-WC'!C80</f>
        <v>-15866</v>
      </c>
      <c r="D12" s="56">
        <f>'BS-CF-WC'!D78+'BS-CF-WC'!D80</f>
        <v>-18533</v>
      </c>
      <c r="E12" s="56">
        <f>'BS-CF-WC'!E78+'BS-CF-WC'!E80</f>
        <v>-32721</v>
      </c>
      <c r="F12" s="56">
        <f>'BS-CF-WC'!F78+'BS-CF-WC'!F80</f>
        <v>-13577.727892000001</v>
      </c>
      <c r="G12" s="56">
        <f>'BS-CF-WC'!G78+'BS-CF-WC'!G80</f>
        <v>-24412.74658905236</v>
      </c>
      <c r="H12" s="56">
        <f>'BS-CF-WC'!H78+'BS-CF-WC'!H80</f>
        <v>-56922.563741163394</v>
      </c>
      <c r="I12" s="56">
        <f>'BS-CF-WC'!I78+'BS-CF-WC'!I80</f>
        <v>-111520.28382223027</v>
      </c>
      <c r="J12" s="56">
        <f>'BS-CF-WC'!J78+'BS-CF-WC'!J80</f>
        <v>-179071.73274973218</v>
      </c>
      <c r="K12" s="16"/>
      <c r="L12" s="16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3">
      <c r="A13" s="16"/>
      <c r="B13" s="13" t="s">
        <v>270</v>
      </c>
      <c r="C13" s="1"/>
      <c r="D13" s="1"/>
      <c r="E13" s="56">
        <f>'BS-CF-WC'!E124</f>
        <v>0</v>
      </c>
      <c r="F13" s="56">
        <f>'BS-CF-WC'!F124</f>
        <v>0</v>
      </c>
      <c r="G13" s="56">
        <f>'BS-CF-WC'!G124</f>
        <v>0</v>
      </c>
      <c r="H13" s="56">
        <f>'BS-CF-WC'!H124</f>
        <v>0</v>
      </c>
      <c r="I13" s="56">
        <f>'BS-CF-WC'!I124</f>
        <v>0</v>
      </c>
      <c r="J13" s="56">
        <f>'BS-CF-WC'!J124</f>
        <v>0</v>
      </c>
      <c r="K13" s="16"/>
      <c r="L13" s="16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3">
      <c r="A14" s="16"/>
      <c r="B14" s="71" t="s">
        <v>271</v>
      </c>
      <c r="C14" s="249">
        <f t="shared" ref="C14:J14" si="1">SUM(C10:C13)</f>
        <v>-59410</v>
      </c>
      <c r="D14" s="249">
        <f t="shared" si="1"/>
        <v>-109206</v>
      </c>
      <c r="E14" s="249">
        <f t="shared" si="1"/>
        <v>-176704.762415</v>
      </c>
      <c r="F14" s="249">
        <f t="shared" si="1"/>
        <v>-239243.90794476069</v>
      </c>
      <c r="G14" s="249">
        <f t="shared" si="1"/>
        <v>-489918.88973181555</v>
      </c>
      <c r="H14" s="249">
        <f t="shared" si="1"/>
        <v>-690491.19348753174</v>
      </c>
      <c r="I14" s="249">
        <f t="shared" si="1"/>
        <v>-693057.90946955455</v>
      </c>
      <c r="J14" s="249">
        <f t="shared" si="1"/>
        <v>-1171123.4227005164</v>
      </c>
      <c r="K14" s="16"/>
      <c r="L14" s="16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3">
      <c r="A15" s="16"/>
      <c r="B15" s="16"/>
      <c r="C15" s="1"/>
      <c r="D15" s="1"/>
      <c r="E15" s="1"/>
      <c r="F15" s="1"/>
      <c r="G15" s="1"/>
      <c r="H15" s="1"/>
      <c r="I15" s="1"/>
      <c r="J15" s="1"/>
      <c r="K15" s="16"/>
      <c r="L15" s="16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3">
      <c r="A16" s="16"/>
      <c r="B16" s="123" t="s">
        <v>272</v>
      </c>
      <c r="C16" s="18"/>
      <c r="D16" s="18"/>
      <c r="E16" s="250">
        <v>251543</v>
      </c>
      <c r="F16" s="124">
        <f>IF(F7&lt;0,E16-F7,IF(E16&gt;0,E16-F7,0))</f>
        <v>506502.61500400002</v>
      </c>
      <c r="G16" s="124">
        <f>IF(G7&lt;0,F16-G7,IF(F16&gt;0,F16-G7,0))</f>
        <v>1008389.9792053646</v>
      </c>
      <c r="H16" s="124">
        <f>IF(H7&lt;0,G16-H7,IF(G16&gt;0,G16-H7,0))</f>
        <v>1693621.3320230609</v>
      </c>
      <c r="I16" s="124">
        <f>IF(I7&lt;0,H16-I7,IF(H16&gt;0,H16-I7,0))</f>
        <v>2359478.2553649247</v>
      </c>
      <c r="J16" s="124">
        <f>IF(J7&lt;0,I16-J7,IF(I16&gt;0,I16-J7,0))</f>
        <v>3435849.2430102485</v>
      </c>
      <c r="K16" s="16"/>
      <c r="L16" s="16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3">
      <c r="A17" s="16"/>
      <c r="B17" s="16"/>
      <c r="C17" s="1"/>
      <c r="D17" s="1"/>
      <c r="E17" s="1"/>
      <c r="F17" s="1"/>
      <c r="G17" s="1"/>
      <c r="H17" s="1"/>
      <c r="I17" s="1"/>
      <c r="J17" s="1"/>
      <c r="K17" s="16"/>
      <c r="L17" s="16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3">
      <c r="A18" s="16"/>
      <c r="B18" s="251" t="s">
        <v>273</v>
      </c>
      <c r="C18" s="252">
        <v>0.137179</v>
      </c>
      <c r="D18" s="1"/>
      <c r="E18" s="1"/>
      <c r="F18" s="1"/>
      <c r="G18" s="1"/>
      <c r="H18" s="1"/>
      <c r="I18" s="1"/>
      <c r="J18" s="1"/>
      <c r="K18" s="16"/>
      <c r="L18" s="16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3">
      <c r="A19" s="16"/>
      <c r="B19" s="251" t="s">
        <v>274</v>
      </c>
      <c r="C19" s="253">
        <v>4.2337E-2</v>
      </c>
      <c r="D19" s="16"/>
      <c r="E19" s="16"/>
      <c r="F19" s="1"/>
      <c r="G19" s="1"/>
      <c r="H19" s="1"/>
      <c r="I19" s="1"/>
      <c r="J19" s="1"/>
      <c r="K19" s="16"/>
      <c r="L19" s="16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3">
      <c r="A21" s="16"/>
      <c r="B21" s="381" t="s">
        <v>275</v>
      </c>
      <c r="C21" s="390"/>
      <c r="D21" s="390"/>
      <c r="E21" s="390"/>
      <c r="F21" s="390"/>
      <c r="G21" s="390"/>
      <c r="H21" s="390"/>
      <c r="I21" s="390"/>
      <c r="J21" s="390"/>
      <c r="K21" s="391"/>
      <c r="L21" s="391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x14ac:dyDescent="0.3">
      <c r="A22" s="16"/>
      <c r="B22" s="16"/>
      <c r="C22" s="254">
        <f t="shared" ref="C22:J22" si="2">C5</f>
        <v>40908</v>
      </c>
      <c r="D22" s="254">
        <f t="shared" si="2"/>
        <v>41305</v>
      </c>
      <c r="E22" s="254">
        <f t="shared" si="2"/>
        <v>41670</v>
      </c>
      <c r="F22" s="254">
        <f t="shared" si="2"/>
        <v>42035</v>
      </c>
      <c r="G22" s="254">
        <f t="shared" si="2"/>
        <v>42400</v>
      </c>
      <c r="H22" s="254">
        <f t="shared" si="2"/>
        <v>42766</v>
      </c>
      <c r="I22" s="254">
        <f t="shared" si="2"/>
        <v>43131</v>
      </c>
      <c r="J22" s="254">
        <f t="shared" si="2"/>
        <v>43496</v>
      </c>
      <c r="K22" s="16"/>
      <c r="L22" s="16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3">
      <c r="A23" s="16"/>
      <c r="B23" s="129" t="s">
        <v>276</v>
      </c>
      <c r="C23" s="334"/>
      <c r="D23" s="334"/>
      <c r="E23" s="334"/>
      <c r="F23" s="130">
        <f>F14</f>
        <v>-239243.90794476069</v>
      </c>
      <c r="G23" s="130">
        <f>G14</f>
        <v>-489918.88973181555</v>
      </c>
      <c r="H23" s="130">
        <f>H14</f>
        <v>-690491.19348753174</v>
      </c>
      <c r="I23" s="130">
        <f>I14</f>
        <v>-693057.90946955455</v>
      </c>
      <c r="J23" s="130">
        <f>J14</f>
        <v>-1171123.4227005164</v>
      </c>
      <c r="K23" s="16"/>
      <c r="L23" s="16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3">
      <c r="A24" s="16"/>
      <c r="B24" s="13" t="s">
        <v>277</v>
      </c>
      <c r="C24" s="61">
        <f t="array" ref="C24">NPV(C18,F23:J23)</f>
        <v>-2089031.5643792052</v>
      </c>
      <c r="D24" s="16"/>
      <c r="E24" s="16"/>
      <c r="F24" s="16"/>
      <c r="G24" s="16"/>
      <c r="H24" s="16"/>
      <c r="I24" s="16"/>
      <c r="J24" s="16"/>
      <c r="K24" s="16"/>
      <c r="L24" s="16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3">
      <c r="A27" s="16"/>
      <c r="B27" s="13" t="s">
        <v>278</v>
      </c>
      <c r="C27" s="254">
        <f t="shared" ref="C27:J27" si="3">C5</f>
        <v>40908</v>
      </c>
      <c r="D27" s="254">
        <f t="shared" si="3"/>
        <v>41305</v>
      </c>
      <c r="E27" s="254">
        <f t="shared" si="3"/>
        <v>41670</v>
      </c>
      <c r="F27" s="254">
        <f t="shared" si="3"/>
        <v>42035</v>
      </c>
      <c r="G27" s="254">
        <f t="shared" si="3"/>
        <v>42400</v>
      </c>
      <c r="H27" s="254">
        <f t="shared" si="3"/>
        <v>42766</v>
      </c>
      <c r="I27" s="254">
        <f t="shared" si="3"/>
        <v>43131</v>
      </c>
      <c r="J27" s="254">
        <f t="shared" si="3"/>
        <v>43496</v>
      </c>
      <c r="K27" s="16"/>
      <c r="L27" s="16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3">
      <c r="A28" s="16"/>
      <c r="B28" s="13" t="s">
        <v>279</v>
      </c>
      <c r="C28" s="87"/>
      <c r="D28" s="16"/>
      <c r="E28" s="16"/>
      <c r="F28" s="41">
        <v>0</v>
      </c>
      <c r="G28" s="41">
        <v>0</v>
      </c>
      <c r="H28" s="41">
        <v>0</v>
      </c>
      <c r="I28" s="41">
        <v>0</v>
      </c>
      <c r="J28" s="61">
        <f>J14*(1+C19)/(C18-C19)</f>
        <v>-12870935.609196223</v>
      </c>
      <c r="K28" s="16"/>
      <c r="L28" s="16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3">
      <c r="A29" s="16"/>
      <c r="B29" s="13" t="s">
        <v>280</v>
      </c>
      <c r="C29" s="61">
        <f t="array" ref="C29">NPV(C18,F28:J28)</f>
        <v>-6768087.4599887459</v>
      </c>
      <c r="D29" s="16"/>
      <c r="E29" s="16"/>
      <c r="F29" s="16"/>
      <c r="G29" s="16"/>
      <c r="H29" s="16"/>
      <c r="I29" s="16"/>
      <c r="J29" s="16"/>
      <c r="K29" s="16"/>
      <c r="L29" s="16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3">
      <c r="A31" s="16"/>
      <c r="B31" s="381" t="s">
        <v>281</v>
      </c>
      <c r="C31" s="390"/>
      <c r="D31" s="390"/>
      <c r="E31" s="83"/>
      <c r="F31" s="83"/>
      <c r="G31" s="83"/>
      <c r="H31" s="83"/>
      <c r="I31" s="83"/>
      <c r="J31" s="83"/>
      <c r="K31" s="16"/>
      <c r="L31" s="16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3">
      <c r="A33" s="16"/>
      <c r="B33" s="81" t="s">
        <v>282</v>
      </c>
      <c r="C33" s="255">
        <v>2014</v>
      </c>
      <c r="D33" s="81"/>
      <c r="E33" s="81"/>
      <c r="F33" s="81"/>
      <c r="G33" s="81"/>
      <c r="H33" s="81"/>
      <c r="I33" s="81"/>
      <c r="J33" s="81"/>
      <c r="K33" s="16"/>
      <c r="L33" s="16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3">
      <c r="A34" s="16"/>
      <c r="B34" s="13" t="s">
        <v>277</v>
      </c>
      <c r="C34" s="61">
        <f>C24</f>
        <v>-2089031.5643792052</v>
      </c>
      <c r="D34" s="10">
        <f>C34/$C$36</f>
        <v>0.23585903707873901</v>
      </c>
      <c r="E34" s="16"/>
      <c r="F34" s="16"/>
      <c r="G34" s="16"/>
      <c r="H34" s="16"/>
      <c r="I34" s="16"/>
      <c r="J34" s="16"/>
      <c r="K34" s="16"/>
      <c r="L34" s="16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3">
      <c r="A35" s="16"/>
      <c r="B35" s="13" t="s">
        <v>280</v>
      </c>
      <c r="C35" s="61">
        <f>C29</f>
        <v>-6768087.4599887459</v>
      </c>
      <c r="D35" s="10">
        <f>C35/$C$36</f>
        <v>0.76414096292126099</v>
      </c>
      <c r="E35" s="16"/>
      <c r="F35" s="16"/>
      <c r="G35" s="16"/>
      <c r="H35" s="16"/>
      <c r="I35" s="16"/>
      <c r="J35" s="16"/>
      <c r="K35" s="16"/>
      <c r="L35" s="16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3">
      <c r="A36" s="16"/>
      <c r="B36" s="129" t="s">
        <v>283</v>
      </c>
      <c r="C36" s="256">
        <f>SUM(C34:C35)</f>
        <v>-8857119.0243679509</v>
      </c>
      <c r="D36" s="334"/>
      <c r="E36" s="334"/>
      <c r="F36" s="334"/>
      <c r="G36" s="334"/>
      <c r="H36" s="334"/>
      <c r="I36" s="334"/>
      <c r="J36" s="334"/>
      <c r="K36" s="16"/>
      <c r="L36" s="16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3">
      <c r="A37" s="16"/>
      <c r="B37" s="13" t="s">
        <v>284</v>
      </c>
      <c r="C37" s="257">
        <f>'Debt-Capex-Amort'!E23-'BS-CF-WC'!E8</f>
        <v>-72984</v>
      </c>
      <c r="D37" s="16"/>
      <c r="E37" s="16"/>
      <c r="F37" s="16"/>
      <c r="G37" s="16"/>
      <c r="H37" s="16"/>
      <c r="I37" s="16"/>
      <c r="J37" s="16"/>
      <c r="K37" s="16"/>
      <c r="L37" s="16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x14ac:dyDescent="0.3">
      <c r="A38" s="16"/>
      <c r="B38" s="129" t="s">
        <v>285</v>
      </c>
      <c r="C38" s="256">
        <f>C36-C37</f>
        <v>-8784135.0243679509</v>
      </c>
      <c r="D38" s="334"/>
      <c r="E38" s="334"/>
      <c r="F38" s="334"/>
      <c r="G38" s="334"/>
      <c r="H38" s="334"/>
      <c r="I38" s="334"/>
      <c r="J38" s="334"/>
      <c r="K38" s="16"/>
      <c r="L38" s="16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x14ac:dyDescent="0.3">
      <c r="A39" s="16"/>
      <c r="B39" s="13" t="s">
        <v>286</v>
      </c>
      <c r="C39" s="257">
        <f>'Equity-Shares'!B54</f>
        <v>297089.24845541565</v>
      </c>
      <c r="D39" s="16"/>
      <c r="E39" s="16"/>
      <c r="F39" s="16"/>
      <c r="G39" s="16"/>
      <c r="H39" s="16"/>
      <c r="I39" s="16"/>
      <c r="J39" s="16"/>
      <c r="K39" s="16"/>
      <c r="L39" s="16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3">
      <c r="A40" s="16"/>
      <c r="B40" s="129" t="s">
        <v>287</v>
      </c>
      <c r="C40" s="256">
        <f>C38-C39</f>
        <v>-9081224.2728233673</v>
      </c>
      <c r="D40" s="334"/>
      <c r="E40" s="334"/>
      <c r="F40" s="334"/>
      <c r="G40" s="334"/>
      <c r="H40" s="334"/>
      <c r="I40" s="334"/>
      <c r="J40" s="334"/>
      <c r="K40" s="16"/>
      <c r="L40" s="16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3">
      <c r="A41" s="16"/>
      <c r="B41" s="89" t="s">
        <v>288</v>
      </c>
      <c r="C41" s="90">
        <f>C40/('Equity-Shares'!C67/10^3)</f>
        <v>-99.291021804281229</v>
      </c>
      <c r="D41" s="81" t="s">
        <v>289</v>
      </c>
      <c r="E41" s="81"/>
      <c r="F41" s="81"/>
      <c r="G41" s="81"/>
      <c r="H41" s="81"/>
      <c r="I41" s="81"/>
      <c r="J41" s="81"/>
      <c r="K41" s="16"/>
      <c r="L41" s="16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3">
      <c r="A42" s="16"/>
      <c r="B42" s="16"/>
      <c r="C42" s="87"/>
      <c r="D42" s="16"/>
      <c r="E42" s="88"/>
      <c r="F42" s="16"/>
      <c r="G42" s="16"/>
      <c r="H42" s="16"/>
      <c r="I42" s="16"/>
      <c r="J42" s="16"/>
      <c r="K42" s="16"/>
      <c r="L42" s="16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3">
      <c r="A43" s="16"/>
      <c r="B43" s="81"/>
      <c r="C43" s="81"/>
      <c r="D43" s="145" t="s">
        <v>290</v>
      </c>
      <c r="E43" s="81"/>
      <c r="F43" s="81"/>
      <c r="G43" s="81"/>
      <c r="H43" s="81"/>
      <c r="I43" s="81"/>
      <c r="J43" s="81"/>
      <c r="K43" s="16"/>
      <c r="L43" s="16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x14ac:dyDescent="0.3">
      <c r="A44" s="16"/>
      <c r="B44" s="83"/>
      <c r="C44" s="83"/>
      <c r="D44" s="83"/>
      <c r="E44" s="392" t="s">
        <v>291</v>
      </c>
      <c r="F44" s="390"/>
      <c r="G44" s="390"/>
      <c r="H44" s="390"/>
      <c r="I44" s="390"/>
      <c r="J44" s="83"/>
      <c r="K44" s="16"/>
      <c r="L44" s="16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x14ac:dyDescent="0.3">
      <c r="A45" s="16"/>
      <c r="B45" s="16"/>
      <c r="C45" s="16"/>
      <c r="D45" s="259">
        <f>C41</f>
        <v>-99.291021804281229</v>
      </c>
      <c r="E45" s="260">
        <v>0.12</v>
      </c>
      <c r="F45" s="260">
        <v>0.14000000000000001</v>
      </c>
      <c r="G45" s="260">
        <v>0.15</v>
      </c>
      <c r="H45" s="260">
        <v>0.2</v>
      </c>
      <c r="I45" s="260">
        <v>0.25</v>
      </c>
      <c r="J45" s="16"/>
      <c r="K45" s="16"/>
      <c r="L45" s="16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3">
      <c r="A46" s="16"/>
      <c r="B46" s="16"/>
      <c r="C46" s="386" t="s">
        <v>292</v>
      </c>
      <c r="D46" s="261">
        <v>0.1</v>
      </c>
      <c r="E46" s="262">
        <v>-118.65163997020265</v>
      </c>
      <c r="F46" s="262">
        <v>-61.186401009094325</v>
      </c>
      <c r="G46" s="262">
        <v>-49.663981619911908</v>
      </c>
      <c r="H46" s="262">
        <v>-26.494770550678176</v>
      </c>
      <c r="I46" s="262">
        <v>-18.661350468538622</v>
      </c>
      <c r="J46" s="16"/>
      <c r="K46" s="16"/>
      <c r="L46" s="16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3">
      <c r="A47" s="16"/>
      <c r="B47" s="16"/>
      <c r="C47" s="387"/>
      <c r="D47" s="261">
        <v>0.08</v>
      </c>
      <c r="E47" s="262">
        <v>-65.283808200405645</v>
      </c>
      <c r="F47" s="262">
        <v>-44.613024782347686</v>
      </c>
      <c r="G47" s="262">
        <v>-38.689545104842026</v>
      </c>
      <c r="H47" s="262">
        <v>-23.794946846620864</v>
      </c>
      <c r="I47" s="262">
        <v>-17.582251185880956</v>
      </c>
      <c r="J47" s="16"/>
      <c r="K47" s="16"/>
      <c r="L47" s="16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3">
      <c r="A48" s="16"/>
      <c r="B48" s="16"/>
      <c r="C48" s="387"/>
      <c r="D48" s="261">
        <v>0.06</v>
      </c>
      <c r="E48" s="262">
        <v>-47.494530943806645</v>
      </c>
      <c r="F48" s="262">
        <v>-36.326336668974363</v>
      </c>
      <c r="G48" s="262">
        <v>-32.592635929803215</v>
      </c>
      <c r="H48" s="262">
        <v>-21.866501343722781</v>
      </c>
      <c r="I48" s="262">
        <v>-16.730330699572274</v>
      </c>
      <c r="J48" s="16"/>
      <c r="K48" s="16"/>
      <c r="L48" s="16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47" x14ac:dyDescent="0.3">
      <c r="A49" s="16"/>
      <c r="B49" s="16"/>
      <c r="C49" s="387"/>
      <c r="D49" s="261">
        <v>0.05</v>
      </c>
      <c r="E49" s="262">
        <v>-42.41188029906408</v>
      </c>
      <c r="F49" s="262">
        <v>-33.56410729784993</v>
      </c>
      <c r="G49" s="262">
        <v>-30.458717718539631</v>
      </c>
      <c r="H49" s="262">
        <v>-21.095123142563551</v>
      </c>
      <c r="I49" s="262">
        <v>-16.368264492891086</v>
      </c>
      <c r="J49" s="16"/>
      <c r="K49" s="16"/>
      <c r="L49" s="16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47" x14ac:dyDescent="0.3">
      <c r="A50" s="16"/>
      <c r="B50" s="16"/>
      <c r="C50" s="387"/>
      <c r="D50" s="261">
        <v>0.03</v>
      </c>
      <c r="E50" s="262">
        <v>-35.635012772740652</v>
      </c>
      <c r="F50" s="262">
        <v>-29.54631912166893</v>
      </c>
      <c r="G50" s="262">
        <v>-27.257840401644255</v>
      </c>
      <c r="H50" s="262">
        <v>-19.824617870065993</v>
      </c>
      <c r="I50" s="262">
        <v>-15.742877408623574</v>
      </c>
      <c r="J50" s="16"/>
      <c r="K50" s="16"/>
      <c r="L50" s="16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47" x14ac:dyDescent="0.3">
      <c r="A51" s="16"/>
      <c r="B51" s="16"/>
      <c r="C51" s="387"/>
      <c r="D51" s="261">
        <v>0.01</v>
      </c>
      <c r="E51" s="262">
        <v>-31.322460710534834</v>
      </c>
      <c r="F51" s="262">
        <v>-26.764773461235926</v>
      </c>
      <c r="G51" s="262">
        <v>-24.971499461004701</v>
      </c>
      <c r="H51" s="262">
        <v>-18.821587391778444</v>
      </c>
      <c r="I51" s="262">
        <v>-15.221721505067318</v>
      </c>
      <c r="J51" s="16"/>
      <c r="K51" s="16"/>
      <c r="L51" s="16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3" spans="1:47" x14ac:dyDescent="0.3">
      <c r="A53" s="306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</row>
    <row r="54" spans="1:47" x14ac:dyDescent="0.3">
      <c r="A54" s="381" t="s">
        <v>293</v>
      </c>
      <c r="B54" s="381"/>
      <c r="C54" s="381"/>
      <c r="D54" s="381"/>
      <c r="E54" s="381"/>
      <c r="F54" s="381"/>
      <c r="G54" s="381"/>
      <c r="H54" s="381"/>
      <c r="I54" s="381"/>
      <c r="J54" s="381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</row>
    <row r="55" spans="1:47" x14ac:dyDescent="0.3">
      <c r="A55" s="183"/>
      <c r="B55" s="81"/>
      <c r="C55" s="81"/>
      <c r="D55" s="81"/>
      <c r="E55" s="81"/>
      <c r="F55" s="81"/>
      <c r="G55" s="81"/>
      <c r="H55" s="81"/>
      <c r="I55" s="384" t="s">
        <v>294</v>
      </c>
      <c r="J55" s="380"/>
      <c r="K55" s="380"/>
      <c r="L55" s="380"/>
      <c r="M55" s="380"/>
      <c r="N55" s="380"/>
      <c r="O55" s="81"/>
      <c r="P55" s="384" t="s">
        <v>295</v>
      </c>
      <c r="Q55" s="380"/>
      <c r="R55" s="380"/>
      <c r="S55" s="380"/>
      <c r="T55" s="380"/>
      <c r="U55" s="380"/>
      <c r="V55" s="380"/>
      <c r="W55" s="380"/>
      <c r="X55" s="380"/>
      <c r="Y55" s="380"/>
      <c r="Z55" s="96"/>
      <c r="AA55" s="96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</row>
    <row r="56" spans="1:47" x14ac:dyDescent="0.3">
      <c r="A56" s="183"/>
      <c r="B56" s="334"/>
      <c r="C56" s="334"/>
      <c r="D56" s="334"/>
      <c r="E56" s="334"/>
      <c r="F56" s="364"/>
      <c r="G56" s="364"/>
      <c r="H56" s="334"/>
      <c r="I56" s="385" t="s">
        <v>296</v>
      </c>
      <c r="J56" s="383"/>
      <c r="K56" s="334"/>
      <c r="L56" s="263" t="s">
        <v>297</v>
      </c>
      <c r="M56" s="334"/>
      <c r="N56" s="263" t="s">
        <v>298</v>
      </c>
      <c r="O56" s="334"/>
      <c r="P56" s="129" t="s">
        <v>19</v>
      </c>
      <c r="Q56" s="385" t="s">
        <v>299</v>
      </c>
      <c r="R56" s="383"/>
      <c r="S56" s="334"/>
      <c r="T56" s="385" t="s">
        <v>300</v>
      </c>
      <c r="U56" s="383"/>
      <c r="V56" s="383"/>
      <c r="W56" s="383"/>
      <c r="X56" s="383"/>
      <c r="Y56" s="264" t="s">
        <v>301</v>
      </c>
      <c r="Z56" s="365"/>
      <c r="AA56" s="366"/>
      <c r="AB56" s="334"/>
      <c r="AC56" s="334"/>
      <c r="AD56" s="334"/>
      <c r="AE56" s="382" t="s">
        <v>302</v>
      </c>
      <c r="AF56" s="383"/>
      <c r="AG56" s="383"/>
      <c r="AH56" s="383"/>
      <c r="AI56" s="334"/>
      <c r="AJ56" s="265" t="s">
        <v>303</v>
      </c>
      <c r="AK56" s="334"/>
      <c r="AL56" s="382" t="s">
        <v>304</v>
      </c>
      <c r="AM56" s="383"/>
      <c r="AN56" s="334"/>
      <c r="AO56" s="382" t="s">
        <v>40</v>
      </c>
      <c r="AP56" s="383"/>
      <c r="AQ56" s="334"/>
      <c r="AR56" s="266" t="s">
        <v>305</v>
      </c>
      <c r="AS56" s="334"/>
      <c r="AT56" s="334"/>
      <c r="AU56" s="334"/>
    </row>
    <row r="57" spans="1:47" ht="28.8" x14ac:dyDescent="0.3">
      <c r="A57" s="16"/>
      <c r="B57" s="267" t="s">
        <v>306</v>
      </c>
      <c r="C57" s="267" t="s">
        <v>307</v>
      </c>
      <c r="D57" s="268"/>
      <c r="E57" s="267" t="s">
        <v>308</v>
      </c>
      <c r="F57" s="269" t="s">
        <v>309</v>
      </c>
      <c r="G57" s="269" t="s">
        <v>310</v>
      </c>
      <c r="H57" s="268"/>
      <c r="I57" s="270">
        <v>2014</v>
      </c>
      <c r="J57" s="270">
        <v>2015</v>
      </c>
      <c r="K57" s="16"/>
      <c r="L57" s="270">
        <v>2014</v>
      </c>
      <c r="M57" s="16"/>
      <c r="N57" s="270">
        <v>2014</v>
      </c>
      <c r="O57" s="16"/>
      <c r="P57" s="270">
        <v>2013</v>
      </c>
      <c r="Q57" s="270" t="s">
        <v>311</v>
      </c>
      <c r="R57" s="271" t="s">
        <v>312</v>
      </c>
      <c r="S57" s="272"/>
      <c r="T57" s="270" t="s">
        <v>305</v>
      </c>
      <c r="U57" s="270" t="s">
        <v>313</v>
      </c>
      <c r="V57" s="270" t="s">
        <v>314</v>
      </c>
      <c r="W57" s="270" t="s">
        <v>304</v>
      </c>
      <c r="X57" s="272"/>
      <c r="Y57" s="270" t="s">
        <v>315</v>
      </c>
      <c r="Z57" s="91"/>
      <c r="AA57" s="16"/>
      <c r="AB57" s="44"/>
      <c r="AC57" s="44"/>
      <c r="AD57" s="44"/>
      <c r="AE57" s="273">
        <v>2012</v>
      </c>
      <c r="AF57" s="273">
        <v>2013</v>
      </c>
      <c r="AG57" s="273">
        <v>2014</v>
      </c>
      <c r="AH57" s="273">
        <v>2015</v>
      </c>
      <c r="AI57" s="44"/>
      <c r="AJ57" s="273">
        <v>2013</v>
      </c>
      <c r="AK57" s="44"/>
      <c r="AL57" s="273">
        <v>2013</v>
      </c>
      <c r="AM57" s="273">
        <v>2014</v>
      </c>
      <c r="AN57" s="44"/>
      <c r="AO57" s="273">
        <v>2013</v>
      </c>
      <c r="AP57" s="273">
        <v>2014</v>
      </c>
      <c r="AQ57" s="44"/>
      <c r="AR57" s="317" t="s">
        <v>315</v>
      </c>
      <c r="AS57" s="44"/>
      <c r="AT57" s="317" t="s">
        <v>313</v>
      </c>
      <c r="AU57" s="317" t="s">
        <v>314</v>
      </c>
    </row>
    <row r="58" spans="1:47" x14ac:dyDescent="0.3">
      <c r="A58" s="183"/>
      <c r="B58" s="13" t="s">
        <v>316</v>
      </c>
      <c r="C58" s="274" t="s">
        <v>317</v>
      </c>
      <c r="D58" s="91"/>
      <c r="E58" s="275">
        <v>191.51</v>
      </c>
      <c r="F58" s="276">
        <v>7022.52</v>
      </c>
      <c r="G58" s="276">
        <v>6342.87</v>
      </c>
      <c r="H58" s="92"/>
      <c r="I58" s="277">
        <f t="shared" ref="I58:I94" si="4">$G58/AG58</f>
        <v>7.7348300082922785</v>
      </c>
      <c r="J58" s="277">
        <f t="shared" ref="J58:J94" si="5">$G58/AH58</f>
        <v>6.543291003435221</v>
      </c>
      <c r="K58" s="16"/>
      <c r="L58" s="278" t="str">
        <f t="shared" ref="L58:L64" si="6">IF(($F58/AM58)&lt;0,"NM",IF(($F58/AM58)&gt;75,"NM",($F58/AM58)))</f>
        <v>NM</v>
      </c>
      <c r="M58" s="16"/>
      <c r="N58" s="278">
        <f t="shared" ref="N58:N64" si="7">IF(($F58/AP58)&lt;0,"NM",IF(($F58/AP58)&gt;75,"NM",($F58/AP58)))</f>
        <v>46.779376498800964</v>
      </c>
      <c r="O58" s="16"/>
      <c r="P58" s="276">
        <f t="shared" ref="P58:P94" si="8">AF58</f>
        <v>515.59</v>
      </c>
      <c r="Q58" s="279">
        <f t="shared" ref="Q58:Q94" si="9">AG58/AF58-1</f>
        <v>0.59048856649663484</v>
      </c>
      <c r="R58" s="279">
        <f t="shared" ref="R58:R94" si="10">AH58/AG58-1</f>
        <v>0.18210087312814016</v>
      </c>
      <c r="S58" s="14"/>
      <c r="T58" s="279">
        <f t="shared" ref="T58:T94" si="11">AJ58</f>
        <v>0.72568900000000003</v>
      </c>
      <c r="U58" s="279">
        <f t="shared" ref="U58:U94" si="12">AT58</f>
        <v>0.24699778104582124</v>
      </c>
      <c r="V58" s="279">
        <f t="shared" ref="V58:V94" si="13">AU58</f>
        <v>8.0024439281882964E-2</v>
      </c>
      <c r="W58" s="279">
        <f t="shared" ref="W58:W64" si="14">AL58/AF58</f>
        <v>0.10452934114315637</v>
      </c>
      <c r="X58" s="14"/>
      <c r="Y58" s="280" t="str">
        <f t="shared" ref="Y58:Y94" si="15">IF(ISNUMBER(AR58),AR58,"NA")</f>
        <v>NA</v>
      </c>
      <c r="Z58" s="14"/>
      <c r="AA58" s="183"/>
      <c r="AB58" s="44"/>
      <c r="AC58" s="44"/>
      <c r="AD58" s="44"/>
      <c r="AE58" s="320">
        <v>458.38</v>
      </c>
      <c r="AF58" s="320">
        <v>515.59</v>
      </c>
      <c r="AG58" s="320">
        <v>820.04</v>
      </c>
      <c r="AH58" s="320">
        <v>969.37</v>
      </c>
      <c r="AI58" s="44"/>
      <c r="AJ58" s="281">
        <v>0.72568900000000003</v>
      </c>
      <c r="AK58" s="44"/>
      <c r="AL58" s="320">
        <v>53.894283000000001</v>
      </c>
      <c r="AM58" s="320">
        <v>59.095573999999999</v>
      </c>
      <c r="AN58" s="44"/>
      <c r="AO58" s="320">
        <v>119.91</v>
      </c>
      <c r="AP58" s="320">
        <v>150.12</v>
      </c>
      <c r="AQ58" s="44"/>
      <c r="AR58" s="332"/>
      <c r="AS58" s="44"/>
      <c r="AT58" s="281">
        <v>0.24699778104582124</v>
      </c>
      <c r="AU58" s="281">
        <v>8.0024439281882964E-2</v>
      </c>
    </row>
    <row r="59" spans="1:47" x14ac:dyDescent="0.3">
      <c r="A59" s="183"/>
      <c r="B59" s="13" t="s">
        <v>318</v>
      </c>
      <c r="C59" s="274" t="s">
        <v>319</v>
      </c>
      <c r="D59" s="91"/>
      <c r="E59" s="275">
        <v>6.8619399999999997</v>
      </c>
      <c r="F59" s="276">
        <v>709.21</v>
      </c>
      <c r="G59" s="276">
        <v>636.94000000000005</v>
      </c>
      <c r="H59" s="92"/>
      <c r="I59" s="277">
        <f t="shared" si="4"/>
        <v>3.6715471524095</v>
      </c>
      <c r="J59" s="277">
        <f t="shared" si="5"/>
        <v>3.4455263442605215</v>
      </c>
      <c r="K59" s="16"/>
      <c r="L59" s="278" t="str">
        <f t="shared" si="6"/>
        <v>NM</v>
      </c>
      <c r="M59" s="16"/>
      <c r="N59" s="278" t="str">
        <f t="shared" si="7"/>
        <v>NM</v>
      </c>
      <c r="O59" s="16"/>
      <c r="P59" s="276">
        <f t="shared" si="8"/>
        <v>168.64</v>
      </c>
      <c r="Q59" s="279">
        <f t="shared" si="9"/>
        <v>2.8700189753320782E-2</v>
      </c>
      <c r="R59" s="279">
        <f t="shared" si="10"/>
        <v>6.5598339866267175E-2</v>
      </c>
      <c r="S59" s="14"/>
      <c r="T59" s="279">
        <f t="shared" si="11"/>
        <v>0.67815000000000003</v>
      </c>
      <c r="U59" s="279">
        <f t="shared" si="12"/>
        <v>0.46968604486613613</v>
      </c>
      <c r="V59" s="279">
        <f t="shared" si="13"/>
        <v>0.2133533696772846</v>
      </c>
      <c r="W59" s="279">
        <f t="shared" si="14"/>
        <v>-0.27711069141366224</v>
      </c>
      <c r="X59" s="14"/>
      <c r="Y59" s="280">
        <f t="shared" si="15"/>
        <v>1.0056750000000001</v>
      </c>
      <c r="Z59" s="14"/>
      <c r="AA59" s="183"/>
      <c r="AB59" s="44"/>
      <c r="AC59" s="44"/>
      <c r="AD59" s="44"/>
      <c r="AE59" s="320">
        <v>135.19999999999999</v>
      </c>
      <c r="AF59" s="320">
        <v>168.64</v>
      </c>
      <c r="AG59" s="320">
        <v>173.48</v>
      </c>
      <c r="AH59" s="320">
        <v>184.86</v>
      </c>
      <c r="AI59" s="44"/>
      <c r="AJ59" s="281">
        <v>0.67815000000000003</v>
      </c>
      <c r="AK59" s="44"/>
      <c r="AL59" s="320">
        <v>-46.731946999999998</v>
      </c>
      <c r="AM59" s="320">
        <v>-16.050426000000002</v>
      </c>
      <c r="AN59" s="44"/>
      <c r="AO59" s="320">
        <v>-18.102556</v>
      </c>
      <c r="AP59" s="320">
        <v>-12.798149</v>
      </c>
      <c r="AQ59" s="44"/>
      <c r="AR59" s="282">
        <v>1.0056750000000001</v>
      </c>
      <c r="AS59" s="44"/>
      <c r="AT59" s="281">
        <v>0.46968604486613613</v>
      </c>
      <c r="AU59" s="281">
        <v>0.2133533696772846</v>
      </c>
    </row>
    <row r="60" spans="1:47" x14ac:dyDescent="0.3">
      <c r="A60" s="183"/>
      <c r="B60" s="13" t="s">
        <v>320</v>
      </c>
      <c r="C60" s="274" t="s">
        <v>321</v>
      </c>
      <c r="D60" s="91"/>
      <c r="E60" s="275">
        <v>49.562413999999997</v>
      </c>
      <c r="F60" s="276">
        <v>1488.4</v>
      </c>
      <c r="G60" s="276">
        <v>1698.96</v>
      </c>
      <c r="H60" s="92"/>
      <c r="I60" s="277">
        <f t="shared" si="4"/>
        <v>14.411400458054118</v>
      </c>
      <c r="J60" s="277">
        <f t="shared" si="5"/>
        <v>11.282773276663567</v>
      </c>
      <c r="K60" s="16"/>
      <c r="L60" s="278" t="str">
        <f t="shared" si="6"/>
        <v>NM</v>
      </c>
      <c r="M60" s="16"/>
      <c r="N60" s="278" t="str">
        <f t="shared" si="7"/>
        <v>NM</v>
      </c>
      <c r="O60" s="16"/>
      <c r="P60" s="276">
        <f t="shared" si="8"/>
        <v>100.67</v>
      </c>
      <c r="Q60" s="279">
        <f t="shared" si="9"/>
        <v>0.17105393861130436</v>
      </c>
      <c r="R60" s="279">
        <f t="shared" si="10"/>
        <v>0.27729239121214699</v>
      </c>
      <c r="S60" s="14"/>
      <c r="T60" s="279">
        <f t="shared" si="11"/>
        <v>0.36792599999999998</v>
      </c>
      <c r="U60" s="279">
        <f t="shared" si="12"/>
        <v>0.34583246675393631</v>
      </c>
      <c r="V60" s="279">
        <f t="shared" si="13"/>
        <v>0.13683798431593241</v>
      </c>
      <c r="W60" s="279">
        <f t="shared" si="14"/>
        <v>-8.2747760007946744E-2</v>
      </c>
      <c r="X60" s="14"/>
      <c r="Y60" s="280" t="str">
        <f t="shared" si="15"/>
        <v>NA</v>
      </c>
      <c r="Z60" s="14"/>
      <c r="AA60" s="183"/>
      <c r="AB60" s="44"/>
      <c r="AC60" s="44"/>
      <c r="AD60" s="44"/>
      <c r="AE60" s="320">
        <v>90.705054000000004</v>
      </c>
      <c r="AF60" s="320">
        <v>100.67</v>
      </c>
      <c r="AG60" s="320">
        <v>117.89</v>
      </c>
      <c r="AH60" s="320">
        <v>150.58000000000001</v>
      </c>
      <c r="AI60" s="44"/>
      <c r="AJ60" s="281">
        <v>0.36792599999999998</v>
      </c>
      <c r="AK60" s="44"/>
      <c r="AL60" s="320">
        <v>-8.3302169999999993</v>
      </c>
      <c r="AM60" s="320">
        <v>-21.041456</v>
      </c>
      <c r="AN60" s="44"/>
      <c r="AO60" s="320">
        <v>-17.297502000000001</v>
      </c>
      <c r="AP60" s="320">
        <v>-26.258278000000001</v>
      </c>
      <c r="AQ60" s="44"/>
      <c r="AR60" s="332"/>
      <c r="AS60" s="44"/>
      <c r="AT60" s="281">
        <v>0.34583246675393631</v>
      </c>
      <c r="AU60" s="281">
        <v>0.13683798431593241</v>
      </c>
    </row>
    <row r="61" spans="1:47" x14ac:dyDescent="0.3">
      <c r="A61" s="183"/>
      <c r="B61" s="13" t="s">
        <v>322</v>
      </c>
      <c r="C61" s="274" t="s">
        <v>323</v>
      </c>
      <c r="D61" s="91"/>
      <c r="E61" s="275">
        <v>25.702065000000001</v>
      </c>
      <c r="F61" s="276">
        <v>815.34</v>
      </c>
      <c r="G61" s="276">
        <v>722.42</v>
      </c>
      <c r="H61" s="92"/>
      <c r="I61" s="277">
        <f t="shared" si="4"/>
        <v>3.7809179881718742</v>
      </c>
      <c r="J61" s="277">
        <f t="shared" si="5"/>
        <v>3.0070762570762568</v>
      </c>
      <c r="K61" s="16"/>
      <c r="L61" s="278">
        <f t="shared" si="6"/>
        <v>17.074367609790201</v>
      </c>
      <c r="M61" s="16"/>
      <c r="N61" s="278">
        <f t="shared" si="7"/>
        <v>13.037501309002932</v>
      </c>
      <c r="O61" s="16"/>
      <c r="P61" s="276">
        <f t="shared" si="8"/>
        <v>146.71</v>
      </c>
      <c r="Q61" s="279">
        <f t="shared" si="9"/>
        <v>0.30236521027878105</v>
      </c>
      <c r="R61" s="279">
        <f t="shared" si="10"/>
        <v>0.25734024179620052</v>
      </c>
      <c r="S61" s="14"/>
      <c r="T61" s="279">
        <f t="shared" si="11"/>
        <v>0.960067</v>
      </c>
      <c r="U61" s="279">
        <f t="shared" si="12"/>
        <v>1.1529343249899904</v>
      </c>
      <c r="V61" s="279">
        <f t="shared" si="13"/>
        <v>0.21947076594557208</v>
      </c>
      <c r="W61" s="279">
        <f t="shared" si="14"/>
        <v>0.20898300729329969</v>
      </c>
      <c r="X61" s="14"/>
      <c r="Y61" s="280" t="str">
        <f t="shared" si="15"/>
        <v>NA</v>
      </c>
      <c r="Z61" s="14"/>
      <c r="AA61" s="183"/>
      <c r="AB61" s="44"/>
      <c r="AC61" s="44"/>
      <c r="AD61" s="44"/>
      <c r="AE61" s="320">
        <v>134.6</v>
      </c>
      <c r="AF61" s="320">
        <v>146.71</v>
      </c>
      <c r="AG61" s="320">
        <v>191.07</v>
      </c>
      <c r="AH61" s="320">
        <v>240.24</v>
      </c>
      <c r="AI61" s="44"/>
      <c r="AJ61" s="281">
        <v>0.960067</v>
      </c>
      <c r="AK61" s="44"/>
      <c r="AL61" s="320">
        <v>30.659897000000001</v>
      </c>
      <c r="AM61" s="320">
        <v>47.752281000000004</v>
      </c>
      <c r="AN61" s="44"/>
      <c r="AO61" s="320">
        <v>40.668678999999997</v>
      </c>
      <c r="AP61" s="320">
        <v>62.538057000000002</v>
      </c>
      <c r="AQ61" s="44"/>
      <c r="AR61" s="332"/>
      <c r="AS61" s="44"/>
      <c r="AT61" s="281">
        <v>1.1529343249899904</v>
      </c>
      <c r="AU61" s="281">
        <v>0.21947076594557208</v>
      </c>
    </row>
    <row r="62" spans="1:47" x14ac:dyDescent="0.3">
      <c r="A62" s="183"/>
      <c r="B62" s="13" t="s">
        <v>324</v>
      </c>
      <c r="C62" s="274" t="s">
        <v>325</v>
      </c>
      <c r="D62" s="91"/>
      <c r="E62" s="275">
        <v>107.37</v>
      </c>
      <c r="F62" s="276">
        <v>7112.48</v>
      </c>
      <c r="G62" s="276">
        <v>6470.44</v>
      </c>
      <c r="H62" s="92"/>
      <c r="I62" s="277">
        <f t="shared" si="4"/>
        <v>8.5382280752685329</v>
      </c>
      <c r="J62" s="277">
        <f t="shared" si="5"/>
        <v>8.3450784151877837</v>
      </c>
      <c r="K62" s="16"/>
      <c r="L62" s="278" t="str">
        <f t="shared" si="6"/>
        <v>NM</v>
      </c>
      <c r="M62" s="16"/>
      <c r="N62" s="278">
        <f t="shared" si="7"/>
        <v>52.42099056603773</v>
      </c>
      <c r="O62" s="16"/>
      <c r="P62" s="276">
        <f t="shared" si="8"/>
        <v>661.13</v>
      </c>
      <c r="Q62" s="279">
        <f t="shared" si="9"/>
        <v>0.14624960295252087</v>
      </c>
      <c r="R62" s="279">
        <f t="shared" si="10"/>
        <v>2.3145337943047073E-2</v>
      </c>
      <c r="S62" s="14"/>
      <c r="T62" s="279">
        <f t="shared" si="11"/>
        <v>0.69103000000000003</v>
      </c>
      <c r="U62" s="279">
        <f t="shared" si="12"/>
        <v>0.41125822083766006</v>
      </c>
      <c r="V62" s="279">
        <f t="shared" si="13"/>
        <v>0.10448684665974385</v>
      </c>
      <c r="W62" s="279">
        <f t="shared" si="14"/>
        <v>4.2784912195786E-2</v>
      </c>
      <c r="X62" s="14"/>
      <c r="Y62" s="280">
        <f t="shared" si="15"/>
        <v>1.027998</v>
      </c>
      <c r="Z62" s="14"/>
      <c r="AA62" s="183"/>
      <c r="AB62" s="44"/>
      <c r="AC62" s="44"/>
      <c r="AD62" s="44"/>
      <c r="AE62" s="320">
        <v>385.1</v>
      </c>
      <c r="AF62" s="320">
        <v>661.13</v>
      </c>
      <c r="AG62" s="320">
        <v>757.82</v>
      </c>
      <c r="AH62" s="320">
        <v>775.36</v>
      </c>
      <c r="AI62" s="44"/>
      <c r="AJ62" s="281">
        <v>0.69103000000000003</v>
      </c>
      <c r="AK62" s="44"/>
      <c r="AL62" s="320">
        <v>28.286389</v>
      </c>
      <c r="AM62" s="320">
        <v>22.199736999999999</v>
      </c>
      <c r="AN62" s="44"/>
      <c r="AO62" s="320">
        <v>91.47</v>
      </c>
      <c r="AP62" s="320">
        <v>135.68</v>
      </c>
      <c r="AQ62" s="44"/>
      <c r="AR62" s="282">
        <v>1.027998</v>
      </c>
      <c r="AS62" s="44"/>
      <c r="AT62" s="281">
        <v>0.41125822083766006</v>
      </c>
      <c r="AU62" s="281">
        <v>0.10448684665974385</v>
      </c>
    </row>
    <row r="63" spans="1:47" x14ac:dyDescent="0.3">
      <c r="A63" s="183"/>
      <c r="B63" s="13" t="s">
        <v>326</v>
      </c>
      <c r="C63" s="274" t="s">
        <v>327</v>
      </c>
      <c r="D63" s="91"/>
      <c r="E63" s="275">
        <v>23.385083999999999</v>
      </c>
      <c r="F63" s="276">
        <v>904.14</v>
      </c>
      <c r="G63" s="276">
        <v>798.32</v>
      </c>
      <c r="H63" s="92"/>
      <c r="I63" s="277">
        <f t="shared" si="4"/>
        <v>2.53258042002411</v>
      </c>
      <c r="J63" s="277">
        <f t="shared" si="5"/>
        <v>1.8980504041844983</v>
      </c>
      <c r="K63" s="16"/>
      <c r="L63" s="278">
        <f t="shared" si="6"/>
        <v>26.579321256313449</v>
      </c>
      <c r="M63" s="16"/>
      <c r="N63" s="278">
        <f t="shared" si="7"/>
        <v>15.767548931954954</v>
      </c>
      <c r="O63" s="16"/>
      <c r="P63" s="276">
        <f t="shared" si="8"/>
        <v>237.82</v>
      </c>
      <c r="Q63" s="279">
        <f t="shared" si="9"/>
        <v>0.32545622739887325</v>
      </c>
      <c r="R63" s="279">
        <f t="shared" si="10"/>
        <v>0.33430619884525092</v>
      </c>
      <c r="S63" s="14"/>
      <c r="T63" s="279">
        <f t="shared" si="11"/>
        <v>0.74609499999999995</v>
      </c>
      <c r="U63" s="279">
        <f t="shared" si="12"/>
        <v>0.41442927734638357</v>
      </c>
      <c r="V63" s="279">
        <f t="shared" si="13"/>
        <v>0.1538226639275998</v>
      </c>
      <c r="W63" s="279">
        <f t="shared" si="14"/>
        <v>0.1019078126314019</v>
      </c>
      <c r="X63" s="14"/>
      <c r="Y63" s="280">
        <f t="shared" si="15"/>
        <v>0.67206600000000005</v>
      </c>
      <c r="Z63" s="14"/>
      <c r="AA63" s="183"/>
      <c r="AB63" s="44"/>
      <c r="AC63" s="44"/>
      <c r="AD63" s="44"/>
      <c r="AE63" s="320">
        <v>220.22</v>
      </c>
      <c r="AF63" s="320">
        <v>237.82</v>
      </c>
      <c r="AG63" s="320">
        <v>315.22000000000003</v>
      </c>
      <c r="AH63" s="320">
        <v>420.6</v>
      </c>
      <c r="AI63" s="44"/>
      <c r="AJ63" s="281">
        <v>0.74609499999999995</v>
      </c>
      <c r="AK63" s="44"/>
      <c r="AL63" s="320">
        <v>24.235716</v>
      </c>
      <c r="AM63" s="320">
        <v>34.016669999999998</v>
      </c>
      <c r="AN63" s="44"/>
      <c r="AO63" s="320">
        <v>51.588766</v>
      </c>
      <c r="AP63" s="320">
        <v>57.341822999999998</v>
      </c>
      <c r="AQ63" s="44"/>
      <c r="AR63" s="282">
        <v>0.67206600000000005</v>
      </c>
      <c r="AS63" s="44"/>
      <c r="AT63" s="281">
        <v>0.41442927734638357</v>
      </c>
      <c r="AU63" s="281">
        <v>0.1538226639275998</v>
      </c>
    </row>
    <row r="64" spans="1:47" x14ac:dyDescent="0.3">
      <c r="A64" s="183"/>
      <c r="B64" s="13" t="s">
        <v>328</v>
      </c>
      <c r="C64" s="274" t="s">
        <v>329</v>
      </c>
      <c r="D64" s="91"/>
      <c r="E64" s="275">
        <v>65.734049999999996</v>
      </c>
      <c r="F64" s="276">
        <v>3278.42</v>
      </c>
      <c r="G64" s="276">
        <v>3580.31</v>
      </c>
      <c r="H64" s="92"/>
      <c r="I64" s="277">
        <f t="shared" si="4"/>
        <v>12.302202522076763</v>
      </c>
      <c r="J64" s="277">
        <f t="shared" si="5"/>
        <v>10.028317741303008</v>
      </c>
      <c r="K64" s="16"/>
      <c r="L64" s="278" t="str">
        <f t="shared" si="6"/>
        <v>NM</v>
      </c>
      <c r="M64" s="16"/>
      <c r="N64" s="278" t="str">
        <f t="shared" si="7"/>
        <v>NM</v>
      </c>
      <c r="O64" s="16"/>
      <c r="P64" s="276">
        <f t="shared" si="8"/>
        <v>168.55</v>
      </c>
      <c r="Q64" s="279">
        <f t="shared" si="9"/>
        <v>0.72666864431919276</v>
      </c>
      <c r="R64" s="279">
        <f t="shared" si="10"/>
        <v>0.22674638353434351</v>
      </c>
      <c r="S64" s="14"/>
      <c r="T64" s="279">
        <f t="shared" si="11"/>
        <v>0.62514999999999998</v>
      </c>
      <c r="U64" s="279">
        <f t="shared" si="12"/>
        <v>0.62333565140695757</v>
      </c>
      <c r="V64" s="279">
        <f t="shared" si="13"/>
        <v>0.1262445511135234</v>
      </c>
      <c r="W64" s="279">
        <f t="shared" si="14"/>
        <v>5.1493657668347674E-2</v>
      </c>
      <c r="X64" s="14"/>
      <c r="Y64" s="280">
        <f t="shared" si="15"/>
        <v>1.099656</v>
      </c>
      <c r="Z64" s="14"/>
      <c r="AA64" s="183"/>
      <c r="AB64" s="44"/>
      <c r="AC64" s="44"/>
      <c r="AD64" s="44"/>
      <c r="AE64" s="320">
        <v>112.35</v>
      </c>
      <c r="AF64" s="320">
        <v>168.55</v>
      </c>
      <c r="AG64" s="320">
        <v>291.02999999999997</v>
      </c>
      <c r="AH64" s="320">
        <v>357.02</v>
      </c>
      <c r="AI64" s="44"/>
      <c r="AJ64" s="281">
        <v>0.62514999999999998</v>
      </c>
      <c r="AK64" s="44"/>
      <c r="AL64" s="320">
        <v>8.6792560000000005</v>
      </c>
      <c r="AM64" s="320">
        <v>26.063124999999999</v>
      </c>
      <c r="AN64" s="44"/>
      <c r="AO64" s="320">
        <v>1.13798</v>
      </c>
      <c r="AP64" s="320">
        <v>13.106854999999999</v>
      </c>
      <c r="AQ64" s="44"/>
      <c r="AR64" s="282">
        <v>1.099656</v>
      </c>
      <c r="AS64" s="44"/>
      <c r="AT64" s="281">
        <v>0.62333565140695757</v>
      </c>
      <c r="AU64" s="281">
        <v>0.1262445511135234</v>
      </c>
    </row>
    <row r="65" spans="1:47" x14ac:dyDescent="0.3">
      <c r="A65" s="183"/>
      <c r="B65" s="13" t="s">
        <v>330</v>
      </c>
      <c r="C65" s="274" t="s">
        <v>331</v>
      </c>
      <c r="D65" s="91"/>
      <c r="E65" s="275">
        <v>43.535358000000002</v>
      </c>
      <c r="F65" s="276">
        <v>1916.99</v>
      </c>
      <c r="G65" s="276">
        <v>1883.75</v>
      </c>
      <c r="H65" s="92"/>
      <c r="I65" s="277">
        <f t="shared" si="4"/>
        <v>13.008424832539189</v>
      </c>
      <c r="J65" s="277">
        <f t="shared" si="5"/>
        <v>13.067984738120014</v>
      </c>
      <c r="K65" s="16"/>
      <c r="L65" s="278" t="s">
        <v>186</v>
      </c>
      <c r="M65" s="16"/>
      <c r="N65" s="278" t="s">
        <v>186</v>
      </c>
      <c r="O65" s="16"/>
      <c r="P65" s="276">
        <f t="shared" si="8"/>
        <v>124.11</v>
      </c>
      <c r="Q65" s="279">
        <f t="shared" si="9"/>
        <v>0.16678752719361856</v>
      </c>
      <c r="R65" s="279">
        <f t="shared" si="10"/>
        <v>-4.557696291692559E-3</v>
      </c>
      <c r="S65" s="14"/>
      <c r="T65" s="279">
        <f t="shared" si="11"/>
        <v>0.67364400000000002</v>
      </c>
      <c r="U65" s="279">
        <f t="shared" si="12"/>
        <v>0.42987037880058454</v>
      </c>
      <c r="V65" s="279">
        <f t="shared" si="13"/>
        <v>9.110621271294056E-2</v>
      </c>
      <c r="W65" s="280" t="s">
        <v>186</v>
      </c>
      <c r="X65" s="14"/>
      <c r="Y65" s="280" t="str">
        <f t="shared" si="15"/>
        <v>NA</v>
      </c>
      <c r="Z65" s="14"/>
      <c r="AA65" s="183"/>
      <c r="AB65" s="44"/>
      <c r="AC65" s="44"/>
      <c r="AD65" s="44"/>
      <c r="AE65" s="320">
        <v>69.116685000000004</v>
      </c>
      <c r="AF65" s="320">
        <v>124.11</v>
      </c>
      <c r="AG65" s="320">
        <v>144.81</v>
      </c>
      <c r="AH65" s="320">
        <v>144.15</v>
      </c>
      <c r="AI65" s="44"/>
      <c r="AJ65" s="281">
        <v>0.67364400000000002</v>
      </c>
      <c r="AK65" s="44"/>
      <c r="AL65" s="320">
        <v>18.416844000000001</v>
      </c>
      <c r="AM65" s="320">
        <v>16.755659000000001</v>
      </c>
      <c r="AN65" s="44"/>
      <c r="AO65" s="320">
        <v>11.075544000000001</v>
      </c>
      <c r="AP65" s="320">
        <v>12.404667999999999</v>
      </c>
      <c r="AQ65" s="44"/>
      <c r="AR65" s="332"/>
      <c r="AS65" s="44"/>
      <c r="AT65" s="281">
        <v>0.42987037880058454</v>
      </c>
      <c r="AU65" s="281">
        <v>9.110621271294056E-2</v>
      </c>
    </row>
    <row r="66" spans="1:47" x14ac:dyDescent="0.3">
      <c r="A66" s="183"/>
      <c r="B66" s="13" t="s">
        <v>332</v>
      </c>
      <c r="C66" s="274" t="s">
        <v>333</v>
      </c>
      <c r="D66" s="91"/>
      <c r="E66" s="275">
        <v>54.165939000000002</v>
      </c>
      <c r="F66" s="276">
        <v>2692.68</v>
      </c>
      <c r="G66" s="276">
        <v>3244.47</v>
      </c>
      <c r="H66" s="92"/>
      <c r="I66" s="277">
        <f t="shared" si="4"/>
        <v>6.6349079754601226</v>
      </c>
      <c r="J66" s="277">
        <f t="shared" si="5"/>
        <v>4.4993343502981551</v>
      </c>
      <c r="K66" s="16"/>
      <c r="L66" s="278">
        <f t="shared" ref="L66:L77" si="16">IF(($F66/AM66)&lt;0,"NM",IF(($F66/AM66)&gt;75,"NM",($F66/AM66)))</f>
        <v>38.15706916502311</v>
      </c>
      <c r="M66" s="16"/>
      <c r="N66" s="278">
        <f t="shared" ref="N66:N94" si="17">IF(($F66/AP66)&lt;0,"NM",IF(($F66/AP66)&gt;75,"NM",($F66/AP66)))</f>
        <v>23.862814604750085</v>
      </c>
      <c r="O66" s="16"/>
      <c r="P66" s="276">
        <f t="shared" si="8"/>
        <v>569.61</v>
      </c>
      <c r="Q66" s="279">
        <f t="shared" si="9"/>
        <v>-0.14151788065518511</v>
      </c>
      <c r="R66" s="279">
        <f t="shared" si="10"/>
        <v>0.47464212678936613</v>
      </c>
      <c r="S66" s="14"/>
      <c r="T66" s="279">
        <f t="shared" si="11"/>
        <v>0.37551699999999999</v>
      </c>
      <c r="U66" s="279">
        <f t="shared" si="12"/>
        <v>0.35332963031537362</v>
      </c>
      <c r="V66" s="279">
        <f t="shared" si="13"/>
        <v>3.0169310210043404E-2</v>
      </c>
      <c r="W66" s="279">
        <f t="shared" ref="W66:W94" si="18">AL66/AF66</f>
        <v>0.1081446463369674</v>
      </c>
      <c r="X66" s="14"/>
      <c r="Y66" s="280">
        <f t="shared" si="15"/>
        <v>0.70475900000000002</v>
      </c>
      <c r="Z66" s="14"/>
      <c r="AA66" s="183"/>
      <c r="AB66" s="44"/>
      <c r="AC66" s="44"/>
      <c r="AD66" s="44"/>
      <c r="AE66" s="320">
        <v>368.09</v>
      </c>
      <c r="AF66" s="320">
        <v>569.61</v>
      </c>
      <c r="AG66" s="320">
        <v>489</v>
      </c>
      <c r="AH66" s="320">
        <v>721.1</v>
      </c>
      <c r="AI66" s="44"/>
      <c r="AJ66" s="281">
        <v>0.37551699999999999</v>
      </c>
      <c r="AK66" s="44"/>
      <c r="AL66" s="320">
        <v>61.600271999999997</v>
      </c>
      <c r="AM66" s="320">
        <v>70.568313000000003</v>
      </c>
      <c r="AN66" s="44"/>
      <c r="AO66" s="320">
        <v>128.43</v>
      </c>
      <c r="AP66" s="320">
        <v>112.84</v>
      </c>
      <c r="AQ66" s="44"/>
      <c r="AR66" s="282">
        <v>0.70475900000000002</v>
      </c>
      <c r="AS66" s="44"/>
      <c r="AT66" s="281">
        <v>0.35332963031537362</v>
      </c>
      <c r="AU66" s="281">
        <v>3.0169310210043404E-2</v>
      </c>
    </row>
    <row r="67" spans="1:47" x14ac:dyDescent="0.3">
      <c r="A67" s="183"/>
      <c r="B67" s="13" t="s">
        <v>334</v>
      </c>
      <c r="C67" s="274" t="s">
        <v>335</v>
      </c>
      <c r="D67" s="91"/>
      <c r="E67" s="275">
        <v>79.876519999999999</v>
      </c>
      <c r="F67" s="276">
        <v>3208.45</v>
      </c>
      <c r="G67" s="276">
        <v>2895.58</v>
      </c>
      <c r="H67" s="92"/>
      <c r="I67" s="277">
        <f t="shared" si="4"/>
        <v>17.636618345718112</v>
      </c>
      <c r="J67" s="277">
        <f t="shared" si="5"/>
        <v>15.568471423194794</v>
      </c>
      <c r="K67" s="16"/>
      <c r="L67" s="278" t="str">
        <f t="shared" si="16"/>
        <v>NM</v>
      </c>
      <c r="M67" s="16"/>
      <c r="N67" s="278" t="str">
        <f t="shared" si="17"/>
        <v>NM</v>
      </c>
      <c r="O67" s="16"/>
      <c r="P67" s="276">
        <f t="shared" si="8"/>
        <v>113.47</v>
      </c>
      <c r="Q67" s="279">
        <f t="shared" si="9"/>
        <v>0.44690226491583696</v>
      </c>
      <c r="R67" s="279">
        <f t="shared" si="10"/>
        <v>0.13284200267998547</v>
      </c>
      <c r="S67" s="14"/>
      <c r="T67" s="279">
        <f t="shared" si="11"/>
        <v>0.81664700000000001</v>
      </c>
      <c r="U67" s="279">
        <f t="shared" si="12"/>
        <v>0.42144070462409566</v>
      </c>
      <c r="V67" s="279">
        <f t="shared" si="13"/>
        <v>0.18980811575967288</v>
      </c>
      <c r="W67" s="279">
        <f t="shared" si="18"/>
        <v>1.4656755089450958E-2</v>
      </c>
      <c r="X67" s="14"/>
      <c r="Y67" s="280">
        <f t="shared" si="15"/>
        <v>0.99263100000000004</v>
      </c>
      <c r="Z67" s="14"/>
      <c r="AA67" s="183"/>
      <c r="AB67" s="44"/>
      <c r="AC67" s="44"/>
      <c r="AD67" s="44"/>
      <c r="AE67" s="320">
        <v>74.643735000000007</v>
      </c>
      <c r="AF67" s="320">
        <v>113.47</v>
      </c>
      <c r="AG67" s="320">
        <v>164.18</v>
      </c>
      <c r="AH67" s="320">
        <v>185.99</v>
      </c>
      <c r="AI67" s="44"/>
      <c r="AJ67" s="281">
        <v>0.81664700000000001</v>
      </c>
      <c r="AK67" s="44"/>
      <c r="AL67" s="320">
        <v>1.6631020000000001</v>
      </c>
      <c r="AM67" s="320">
        <v>-0.51925600000000005</v>
      </c>
      <c r="AN67" s="44"/>
      <c r="AO67" s="320">
        <v>-2.2638539999999998</v>
      </c>
      <c r="AP67" s="320">
        <v>5.6186870000000004</v>
      </c>
      <c r="AQ67" s="44"/>
      <c r="AR67" s="282">
        <v>0.99263100000000004</v>
      </c>
      <c r="AS67" s="44"/>
      <c r="AT67" s="281">
        <v>0.42144070462409566</v>
      </c>
      <c r="AU67" s="281">
        <v>0.18980811575967288</v>
      </c>
    </row>
    <row r="68" spans="1:47" x14ac:dyDescent="0.3">
      <c r="A68" s="183"/>
      <c r="B68" s="13" t="s">
        <v>336</v>
      </c>
      <c r="C68" s="274" t="s">
        <v>337</v>
      </c>
      <c r="D68" s="91"/>
      <c r="E68" s="275">
        <v>22.050899999999999</v>
      </c>
      <c r="F68" s="276">
        <v>869.35</v>
      </c>
      <c r="G68" s="276">
        <v>821.82</v>
      </c>
      <c r="H68" s="92"/>
      <c r="I68" s="277">
        <f t="shared" si="4"/>
        <v>4.2849992178945726</v>
      </c>
      <c r="J68" s="277">
        <f t="shared" si="5"/>
        <v>2.63167670039708</v>
      </c>
      <c r="K68" s="16"/>
      <c r="L68" s="278">
        <f t="shared" si="16"/>
        <v>36.336638232120464</v>
      </c>
      <c r="M68" s="16"/>
      <c r="N68" s="278">
        <f t="shared" si="17"/>
        <v>11.68179073473754</v>
      </c>
      <c r="O68" s="16"/>
      <c r="P68" s="276">
        <f t="shared" si="8"/>
        <v>173.29</v>
      </c>
      <c r="Q68" s="279">
        <f t="shared" si="9"/>
        <v>0.10675745859541808</v>
      </c>
      <c r="R68" s="279">
        <f t="shared" si="10"/>
        <v>0.6282392199801865</v>
      </c>
      <c r="S68" s="14"/>
      <c r="T68" s="279">
        <f t="shared" si="11"/>
        <v>0.83294199999999996</v>
      </c>
      <c r="U68" s="279">
        <f t="shared" si="12"/>
        <v>0.32277502726538043</v>
      </c>
      <c r="V68" s="279">
        <f t="shared" si="13"/>
        <v>5.7896760323575332E-2</v>
      </c>
      <c r="W68" s="279">
        <f t="shared" si="18"/>
        <v>0.11075351145478678</v>
      </c>
      <c r="X68" s="14"/>
      <c r="Y68" s="280">
        <f t="shared" si="15"/>
        <v>0.98264099999999999</v>
      </c>
      <c r="Z68" s="14"/>
      <c r="AA68" s="183"/>
      <c r="AB68" s="44"/>
      <c r="AC68" s="44"/>
      <c r="AD68" s="44"/>
      <c r="AE68" s="320">
        <v>129.97</v>
      </c>
      <c r="AF68" s="320">
        <v>173.29</v>
      </c>
      <c r="AG68" s="320">
        <v>191.79</v>
      </c>
      <c r="AH68" s="320">
        <v>312.27999999999997</v>
      </c>
      <c r="AI68" s="44"/>
      <c r="AJ68" s="281">
        <v>0.83294199999999996</v>
      </c>
      <c r="AK68" s="44"/>
      <c r="AL68" s="320">
        <v>19.192475999999999</v>
      </c>
      <c r="AM68" s="320">
        <v>23.924887999999999</v>
      </c>
      <c r="AN68" s="44"/>
      <c r="AO68" s="320">
        <v>58.485442999999997</v>
      </c>
      <c r="AP68" s="320">
        <v>74.419241</v>
      </c>
      <c r="AQ68" s="44"/>
      <c r="AR68" s="282">
        <v>0.98264099999999999</v>
      </c>
      <c r="AS68" s="44"/>
      <c r="AT68" s="281">
        <v>0.32277502726538043</v>
      </c>
      <c r="AU68" s="281">
        <v>5.7896760323575332E-2</v>
      </c>
    </row>
    <row r="69" spans="1:47" x14ac:dyDescent="0.3">
      <c r="A69" s="183"/>
      <c r="B69" s="13" t="s">
        <v>338</v>
      </c>
      <c r="C69" s="274" t="s">
        <v>339</v>
      </c>
      <c r="D69" s="91"/>
      <c r="E69" s="275">
        <v>35.843139000000001</v>
      </c>
      <c r="F69" s="276">
        <v>1240.3</v>
      </c>
      <c r="G69" s="276">
        <v>1496.37</v>
      </c>
      <c r="H69" s="92"/>
      <c r="I69" s="277">
        <f t="shared" si="4"/>
        <v>8.035495650306089</v>
      </c>
      <c r="J69" s="277">
        <f t="shared" si="5"/>
        <v>6.0347233424745923</v>
      </c>
      <c r="K69" s="16"/>
      <c r="L69" s="278">
        <f t="shared" si="16"/>
        <v>44.152713067277197</v>
      </c>
      <c r="M69" s="16"/>
      <c r="N69" s="278">
        <f t="shared" si="17"/>
        <v>16.612138902286254</v>
      </c>
      <c r="O69" s="16"/>
      <c r="P69" s="276">
        <f t="shared" si="8"/>
        <v>208.56</v>
      </c>
      <c r="Q69" s="279">
        <f t="shared" si="9"/>
        <v>-0.10711545838128123</v>
      </c>
      <c r="R69" s="279">
        <f t="shared" si="10"/>
        <v>0.33154333583932982</v>
      </c>
      <c r="S69" s="14"/>
      <c r="T69" s="279">
        <f t="shared" si="11"/>
        <v>0.711538</v>
      </c>
      <c r="U69" s="279">
        <f t="shared" si="12"/>
        <v>0.32277502726538043</v>
      </c>
      <c r="V69" s="279">
        <f t="shared" si="13"/>
        <v>5.7896760323575332E-2</v>
      </c>
      <c r="W69" s="279">
        <f t="shared" si="18"/>
        <v>8.7826313770617573E-2</v>
      </c>
      <c r="X69" s="14"/>
      <c r="Y69" s="280" t="str">
        <f t="shared" si="15"/>
        <v>NA</v>
      </c>
      <c r="Z69" s="14"/>
      <c r="AA69" s="183"/>
      <c r="AB69" s="44"/>
      <c r="AC69" s="44"/>
      <c r="AD69" s="44"/>
      <c r="AE69" s="320">
        <v>149.31</v>
      </c>
      <c r="AF69" s="320">
        <v>208.56</v>
      </c>
      <c r="AG69" s="320">
        <v>186.22</v>
      </c>
      <c r="AH69" s="320">
        <v>247.96</v>
      </c>
      <c r="AI69" s="44"/>
      <c r="AJ69" s="281">
        <v>0.711538</v>
      </c>
      <c r="AK69" s="44"/>
      <c r="AL69" s="320">
        <v>18.317056000000001</v>
      </c>
      <c r="AM69" s="320">
        <v>28.091138999999998</v>
      </c>
      <c r="AN69" s="44"/>
      <c r="AO69" s="320">
        <v>44.906148999999999</v>
      </c>
      <c r="AP69" s="320">
        <v>74.662270000000007</v>
      </c>
      <c r="AQ69" s="44"/>
      <c r="AR69" s="332"/>
      <c r="AS69" s="44"/>
      <c r="AT69" s="281">
        <v>0.32277502726538043</v>
      </c>
      <c r="AU69" s="281">
        <v>5.7896760323575332E-2</v>
      </c>
    </row>
    <row r="70" spans="1:47" x14ac:dyDescent="0.3">
      <c r="A70" s="183"/>
      <c r="B70" s="13" t="s">
        <v>340</v>
      </c>
      <c r="C70" s="274" t="s">
        <v>341</v>
      </c>
      <c r="D70" s="91"/>
      <c r="E70" s="275">
        <v>10.998462</v>
      </c>
      <c r="F70" s="276">
        <v>685.94</v>
      </c>
      <c r="G70" s="276">
        <v>644.72</v>
      </c>
      <c r="H70" s="92"/>
      <c r="I70" s="277">
        <f t="shared" si="4"/>
        <v>2.4469409442841963</v>
      </c>
      <c r="J70" s="277">
        <f t="shared" si="5"/>
        <v>3.0106000466962408</v>
      </c>
      <c r="K70" s="16"/>
      <c r="L70" s="278">
        <f t="shared" si="16"/>
        <v>16.427918120500937</v>
      </c>
      <c r="M70" s="16"/>
      <c r="N70" s="278">
        <f t="shared" si="17"/>
        <v>15.649731833446829</v>
      </c>
      <c r="O70" s="16"/>
      <c r="P70" s="276">
        <f t="shared" si="8"/>
        <v>246.08</v>
      </c>
      <c r="Q70" s="279">
        <f t="shared" si="9"/>
        <v>7.0708712613784197E-2</v>
      </c>
      <c r="R70" s="279">
        <f t="shared" si="10"/>
        <v>-0.1872248367997571</v>
      </c>
      <c r="S70" s="14"/>
      <c r="T70" s="279">
        <f t="shared" si="11"/>
        <v>0.61229299999999998</v>
      </c>
      <c r="U70" s="279">
        <f t="shared" si="12"/>
        <v>0.62399904000147688</v>
      </c>
      <c r="V70" s="279">
        <f t="shared" si="13"/>
        <v>9.7347542542242232E-2</v>
      </c>
      <c r="W70" s="279">
        <f t="shared" si="18"/>
        <v>0.11145638003901169</v>
      </c>
      <c r="X70" s="14"/>
      <c r="Y70" s="280">
        <f t="shared" si="15"/>
        <v>0.71855000000000002</v>
      </c>
      <c r="Z70" s="14"/>
      <c r="AA70" s="183"/>
      <c r="AB70" s="44"/>
      <c r="AC70" s="44"/>
      <c r="AD70" s="44"/>
      <c r="AE70" s="320">
        <v>216.24</v>
      </c>
      <c r="AF70" s="320">
        <v>246.08</v>
      </c>
      <c r="AG70" s="320">
        <v>263.48</v>
      </c>
      <c r="AH70" s="320">
        <v>214.15</v>
      </c>
      <c r="AI70" s="44"/>
      <c r="AJ70" s="281">
        <v>0.61229299999999998</v>
      </c>
      <c r="AK70" s="44"/>
      <c r="AL70" s="320">
        <v>27.427185999999999</v>
      </c>
      <c r="AM70" s="320">
        <v>41.754530000000003</v>
      </c>
      <c r="AN70" s="44"/>
      <c r="AO70" s="320">
        <v>40.309789000000002</v>
      </c>
      <c r="AP70" s="320">
        <v>43.830782999999997</v>
      </c>
      <c r="AQ70" s="44"/>
      <c r="AR70" s="282">
        <v>0.71855000000000002</v>
      </c>
      <c r="AS70" s="44"/>
      <c r="AT70" s="281">
        <v>0.62399904000147688</v>
      </c>
      <c r="AU70" s="281">
        <v>9.7347542542242232E-2</v>
      </c>
    </row>
    <row r="71" spans="1:47" x14ac:dyDescent="0.3">
      <c r="A71" s="183"/>
      <c r="B71" s="13" t="s">
        <v>342</v>
      </c>
      <c r="C71" s="274" t="s">
        <v>343</v>
      </c>
      <c r="D71" s="91"/>
      <c r="E71" s="275">
        <v>8.6144219999999994</v>
      </c>
      <c r="F71" s="276">
        <v>815.13</v>
      </c>
      <c r="G71" s="276">
        <v>577.75</v>
      </c>
      <c r="H71" s="92"/>
      <c r="I71" s="277">
        <f t="shared" si="4"/>
        <v>3.1409698814830924</v>
      </c>
      <c r="J71" s="277">
        <f t="shared" si="5"/>
        <v>2.3495323302155349</v>
      </c>
      <c r="K71" s="16"/>
      <c r="L71" s="278" t="str">
        <f t="shared" si="16"/>
        <v>NM</v>
      </c>
      <c r="M71" s="16"/>
      <c r="N71" s="278" t="str">
        <f t="shared" si="17"/>
        <v>NM</v>
      </c>
      <c r="O71" s="16"/>
      <c r="P71" s="276">
        <f t="shared" si="8"/>
        <v>131.08000000000001</v>
      </c>
      <c r="Q71" s="279">
        <f t="shared" si="9"/>
        <v>0.40326518156850755</v>
      </c>
      <c r="R71" s="279">
        <f t="shared" si="10"/>
        <v>0.33684897249102974</v>
      </c>
      <c r="S71" s="14"/>
      <c r="T71" s="279">
        <f t="shared" si="11"/>
        <v>0.78996599999999995</v>
      </c>
      <c r="U71" s="279">
        <f t="shared" si="12"/>
        <v>0.53048404975982266</v>
      </c>
      <c r="V71" s="279">
        <f t="shared" si="13"/>
        <v>0.34478208083331868</v>
      </c>
      <c r="W71" s="279">
        <f t="shared" si="18"/>
        <v>-7.7956232834909975E-2</v>
      </c>
      <c r="X71" s="14"/>
      <c r="Y71" s="280">
        <f t="shared" si="15"/>
        <v>0.88244900000000004</v>
      </c>
      <c r="Z71" s="14"/>
      <c r="AA71" s="183"/>
      <c r="AB71" s="44"/>
      <c r="AC71" s="44"/>
      <c r="AD71" s="44"/>
      <c r="AE71" s="320">
        <v>126.14</v>
      </c>
      <c r="AF71" s="320">
        <v>131.08000000000001</v>
      </c>
      <c r="AG71" s="320">
        <v>183.94</v>
      </c>
      <c r="AH71" s="320">
        <v>245.9</v>
      </c>
      <c r="AI71" s="44"/>
      <c r="AJ71" s="281">
        <v>0.78996599999999995</v>
      </c>
      <c r="AK71" s="44"/>
      <c r="AL71" s="320">
        <v>-10.218503</v>
      </c>
      <c r="AM71" s="320">
        <v>10.289377</v>
      </c>
      <c r="AN71" s="44"/>
      <c r="AO71" s="320">
        <v>-22.115521000000001</v>
      </c>
      <c r="AP71" s="320">
        <v>-11.197760000000001</v>
      </c>
      <c r="AQ71" s="44"/>
      <c r="AR71" s="282">
        <v>0.88244900000000004</v>
      </c>
      <c r="AS71" s="44"/>
      <c r="AT71" s="281">
        <v>0.53048404975982266</v>
      </c>
      <c r="AU71" s="281">
        <v>0.34478208083331868</v>
      </c>
    </row>
    <row r="72" spans="1:47" x14ac:dyDescent="0.3">
      <c r="A72" s="183"/>
      <c r="B72" s="13" t="s">
        <v>344</v>
      </c>
      <c r="C72" s="274" t="s">
        <v>345</v>
      </c>
      <c r="D72" s="91"/>
      <c r="E72" s="275">
        <v>18.884288999999999</v>
      </c>
      <c r="F72" s="276">
        <v>1899.57</v>
      </c>
      <c r="G72" s="276">
        <v>1879.85</v>
      </c>
      <c r="H72" s="92"/>
      <c r="I72" s="277">
        <f t="shared" si="4"/>
        <v>5.1191383911551656</v>
      </c>
      <c r="J72" s="277">
        <f t="shared" si="5"/>
        <v>3.856023466185309</v>
      </c>
      <c r="K72" s="16"/>
      <c r="L72" s="278">
        <f t="shared" si="16"/>
        <v>31.776412305762232</v>
      </c>
      <c r="M72" s="16"/>
      <c r="N72" s="278">
        <f t="shared" si="17"/>
        <v>37.564084497823181</v>
      </c>
      <c r="O72" s="16"/>
      <c r="P72" s="276">
        <f t="shared" si="8"/>
        <v>357.28</v>
      </c>
      <c r="Q72" s="279">
        <f t="shared" si="9"/>
        <v>2.7821316614420111E-2</v>
      </c>
      <c r="R72" s="279">
        <f t="shared" si="10"/>
        <v>0.32756930450411192</v>
      </c>
      <c r="S72" s="14"/>
      <c r="T72" s="279">
        <f t="shared" si="11"/>
        <v>0.82731100000000002</v>
      </c>
      <c r="U72" s="279">
        <f t="shared" si="12"/>
        <v>0.44481022182991592</v>
      </c>
      <c r="V72" s="279">
        <f t="shared" si="13"/>
        <v>0.10687412273720462</v>
      </c>
      <c r="W72" s="279">
        <f t="shared" si="18"/>
        <v>0.1629003218763995</v>
      </c>
      <c r="X72" s="14"/>
      <c r="Y72" s="280" t="str">
        <f t="shared" si="15"/>
        <v>NA</v>
      </c>
      <c r="Z72" s="14"/>
      <c r="AA72" s="183"/>
      <c r="AB72" s="44"/>
      <c r="AC72" s="44"/>
      <c r="AD72" s="44"/>
      <c r="AE72" s="320">
        <v>304.55</v>
      </c>
      <c r="AF72" s="320">
        <v>357.28</v>
      </c>
      <c r="AG72" s="320">
        <v>367.22</v>
      </c>
      <c r="AH72" s="320">
        <v>487.51</v>
      </c>
      <c r="AI72" s="44"/>
      <c r="AJ72" s="281">
        <v>0.82731100000000002</v>
      </c>
      <c r="AK72" s="44"/>
      <c r="AL72" s="320">
        <v>58.201027000000003</v>
      </c>
      <c r="AM72" s="320">
        <v>59.779246999999998</v>
      </c>
      <c r="AN72" s="44"/>
      <c r="AO72" s="320">
        <v>35.795048999999999</v>
      </c>
      <c r="AP72" s="320">
        <v>50.568781999999999</v>
      </c>
      <c r="AQ72" s="44"/>
      <c r="AR72" s="332"/>
      <c r="AS72" s="44"/>
      <c r="AT72" s="281">
        <v>0.44481022182991592</v>
      </c>
      <c r="AU72" s="281">
        <v>0.10687412273720462</v>
      </c>
    </row>
    <row r="73" spans="1:47" x14ac:dyDescent="0.3">
      <c r="A73" s="183"/>
      <c r="B73" s="13" t="s">
        <v>346</v>
      </c>
      <c r="C73" s="274" t="s">
        <v>347</v>
      </c>
      <c r="D73" s="91"/>
      <c r="E73" s="275">
        <v>225.74</v>
      </c>
      <c r="F73" s="276">
        <v>27680.19</v>
      </c>
      <c r="G73" s="276">
        <v>21158.83</v>
      </c>
      <c r="H73" s="92"/>
      <c r="I73" s="277">
        <f t="shared" si="4"/>
        <v>11.655574162415858</v>
      </c>
      <c r="J73" s="277">
        <f t="shared" si="5"/>
        <v>7.7743227404165891</v>
      </c>
      <c r="K73" s="16"/>
      <c r="L73" s="278" t="str">
        <f t="shared" si="16"/>
        <v>NM</v>
      </c>
      <c r="M73" s="16"/>
      <c r="N73" s="278">
        <f t="shared" si="17"/>
        <v>40.501272972023877</v>
      </c>
      <c r="O73" s="16"/>
      <c r="P73" s="276">
        <f t="shared" si="8"/>
        <v>1596.95</v>
      </c>
      <c r="Q73" s="279">
        <f t="shared" si="9"/>
        <v>0.13675443814771904</v>
      </c>
      <c r="R73" s="279">
        <f t="shared" si="10"/>
        <v>0.49923981182588406</v>
      </c>
      <c r="S73" s="14"/>
      <c r="T73" s="279">
        <f t="shared" si="11"/>
        <v>0.70489100000000005</v>
      </c>
      <c r="U73" s="279">
        <f t="shared" si="12"/>
        <v>0.33415714551649733</v>
      </c>
      <c r="V73" s="279">
        <f t="shared" si="13"/>
        <v>0.26450336261414836</v>
      </c>
      <c r="W73" s="279">
        <f t="shared" si="18"/>
        <v>0.128795516453239</v>
      </c>
      <c r="X73" s="14"/>
      <c r="Y73" s="280" t="str">
        <f t="shared" si="15"/>
        <v>NA</v>
      </c>
      <c r="Z73" s="14"/>
      <c r="AA73" s="183"/>
      <c r="AB73" s="44"/>
      <c r="AC73" s="44"/>
      <c r="AD73" s="44"/>
      <c r="AE73" s="320">
        <v>788.51</v>
      </c>
      <c r="AF73" s="320">
        <v>1596.95</v>
      </c>
      <c r="AG73" s="320">
        <v>1815.34</v>
      </c>
      <c r="AH73" s="320">
        <v>2721.63</v>
      </c>
      <c r="AI73" s="44"/>
      <c r="AJ73" s="281">
        <v>0.70489100000000005</v>
      </c>
      <c r="AK73" s="44"/>
      <c r="AL73" s="320">
        <v>205.68</v>
      </c>
      <c r="AM73" s="320">
        <v>279.23</v>
      </c>
      <c r="AN73" s="44"/>
      <c r="AO73" s="320">
        <v>302.27</v>
      </c>
      <c r="AP73" s="320">
        <v>683.44</v>
      </c>
      <c r="AQ73" s="44"/>
      <c r="AR73" s="332"/>
      <c r="AS73" s="44"/>
      <c r="AT73" s="281">
        <v>0.33415714551649733</v>
      </c>
      <c r="AU73" s="281">
        <v>0.26450336261414836</v>
      </c>
    </row>
    <row r="74" spans="1:47" x14ac:dyDescent="0.3">
      <c r="A74" s="183"/>
      <c r="B74" s="13" t="s">
        <v>348</v>
      </c>
      <c r="C74" s="274" t="s">
        <v>349</v>
      </c>
      <c r="D74" s="91"/>
      <c r="E74" s="275">
        <v>11.32423</v>
      </c>
      <c r="F74" s="276">
        <v>663.73</v>
      </c>
      <c r="G74" s="276">
        <v>604.21</v>
      </c>
      <c r="H74" s="92"/>
      <c r="I74" s="277">
        <f t="shared" si="4"/>
        <v>3.6070085368037734</v>
      </c>
      <c r="J74" s="277">
        <f t="shared" si="5"/>
        <v>3.1402214022140225</v>
      </c>
      <c r="K74" s="16"/>
      <c r="L74" s="278" t="str">
        <f t="shared" si="16"/>
        <v>NM</v>
      </c>
      <c r="M74" s="16"/>
      <c r="N74" s="278">
        <f t="shared" si="17"/>
        <v>26.070321562901107</v>
      </c>
      <c r="O74" s="16"/>
      <c r="P74" s="276">
        <f t="shared" si="8"/>
        <v>154.62</v>
      </c>
      <c r="Q74" s="279">
        <f t="shared" si="9"/>
        <v>8.3365670676497139E-2</v>
      </c>
      <c r="R74" s="279">
        <f t="shared" si="10"/>
        <v>0.14864784191988534</v>
      </c>
      <c r="S74" s="14"/>
      <c r="T74" s="279">
        <f t="shared" si="11"/>
        <v>0.83272000000000002</v>
      </c>
      <c r="U74" s="279">
        <f t="shared" si="12"/>
        <v>0.31507092987059193</v>
      </c>
      <c r="V74" s="279">
        <f t="shared" si="13"/>
        <v>0.19091030373104459</v>
      </c>
      <c r="W74" s="279">
        <f t="shared" si="18"/>
        <v>4.1714280170741171E-2</v>
      </c>
      <c r="X74" s="14"/>
      <c r="Y74" s="280">
        <f t="shared" si="15"/>
        <v>0.83909100000000003</v>
      </c>
      <c r="Z74" s="14"/>
      <c r="AA74" s="183"/>
      <c r="AB74" s="44"/>
      <c r="AC74" s="44"/>
      <c r="AD74" s="44"/>
      <c r="AE74" s="320">
        <v>156.80000000000001</v>
      </c>
      <c r="AF74" s="320">
        <v>154.62</v>
      </c>
      <c r="AG74" s="320">
        <v>167.51</v>
      </c>
      <c r="AH74" s="320">
        <v>192.41</v>
      </c>
      <c r="AI74" s="44"/>
      <c r="AJ74" s="281">
        <v>0.83272000000000002</v>
      </c>
      <c r="AK74" s="44"/>
      <c r="AL74" s="320">
        <v>6.4498620000000004</v>
      </c>
      <c r="AM74" s="320">
        <v>7.5346840000000004</v>
      </c>
      <c r="AN74" s="44"/>
      <c r="AO74" s="320">
        <v>20.271028000000001</v>
      </c>
      <c r="AP74" s="320">
        <v>25.459218</v>
      </c>
      <c r="AQ74" s="44"/>
      <c r="AR74" s="282">
        <v>0.83909100000000003</v>
      </c>
      <c r="AS74" s="44"/>
      <c r="AT74" s="281">
        <v>0.31507092987059193</v>
      </c>
      <c r="AU74" s="281">
        <v>0.19091030373104459</v>
      </c>
    </row>
    <row r="75" spans="1:47" x14ac:dyDescent="0.3">
      <c r="A75" s="183"/>
      <c r="B75" s="13" t="s">
        <v>350</v>
      </c>
      <c r="C75" s="274" t="s">
        <v>351</v>
      </c>
      <c r="D75" s="91"/>
      <c r="E75" s="275">
        <v>52.443235999999999</v>
      </c>
      <c r="F75" s="276">
        <v>1359.2</v>
      </c>
      <c r="G75" s="276">
        <v>915.66</v>
      </c>
      <c r="H75" s="92"/>
      <c r="I75" s="277">
        <f t="shared" si="4"/>
        <v>5.0041534593944696</v>
      </c>
      <c r="J75" s="277">
        <f t="shared" si="5"/>
        <v>3.4298235756826605</v>
      </c>
      <c r="K75" s="16"/>
      <c r="L75" s="278">
        <f t="shared" si="16"/>
        <v>40.768565444405553</v>
      </c>
      <c r="M75" s="16"/>
      <c r="N75" s="278">
        <f t="shared" si="17"/>
        <v>36.944903303538126</v>
      </c>
      <c r="O75" s="16"/>
      <c r="P75" s="276">
        <f t="shared" si="8"/>
        <v>178.2</v>
      </c>
      <c r="Q75" s="279">
        <f t="shared" si="9"/>
        <v>2.6823793490460268E-2</v>
      </c>
      <c r="R75" s="279">
        <f t="shared" si="10"/>
        <v>0.45901191387036855</v>
      </c>
      <c r="S75" s="14"/>
      <c r="T75" s="279">
        <f t="shared" si="11"/>
        <v>1.034575</v>
      </c>
      <c r="U75" s="279">
        <f t="shared" si="12"/>
        <v>0.5041878926768365</v>
      </c>
      <c r="V75" s="279">
        <f t="shared" si="13"/>
        <v>0.17906823628520699</v>
      </c>
      <c r="W75" s="279">
        <f t="shared" si="18"/>
        <v>0.10295849607182941</v>
      </c>
      <c r="X75" s="14"/>
      <c r="Y75" s="280">
        <f t="shared" si="15"/>
        <v>0.80162999999999995</v>
      </c>
      <c r="Z75" s="14"/>
      <c r="AA75" s="183"/>
      <c r="AB75" s="44"/>
      <c r="AC75" s="44"/>
      <c r="AD75" s="44"/>
      <c r="AE75" s="320">
        <v>122.64</v>
      </c>
      <c r="AF75" s="320">
        <v>178.2</v>
      </c>
      <c r="AG75" s="320">
        <v>182.98</v>
      </c>
      <c r="AH75" s="320">
        <v>266.97000000000003</v>
      </c>
      <c r="AI75" s="44"/>
      <c r="AJ75" s="281">
        <v>1.034575</v>
      </c>
      <c r="AK75" s="44"/>
      <c r="AL75" s="320">
        <v>18.347204000000001</v>
      </c>
      <c r="AM75" s="320">
        <v>33.339412000000003</v>
      </c>
      <c r="AN75" s="44"/>
      <c r="AO75" s="320">
        <v>26.474208999999998</v>
      </c>
      <c r="AP75" s="320">
        <v>36.789918999999998</v>
      </c>
      <c r="AQ75" s="44"/>
      <c r="AR75" s="282">
        <v>0.80162999999999995</v>
      </c>
      <c r="AS75" s="44"/>
      <c r="AT75" s="281">
        <v>0.5041878926768365</v>
      </c>
      <c r="AU75" s="281">
        <v>0.17906823628520699</v>
      </c>
    </row>
    <row r="76" spans="1:47" x14ac:dyDescent="0.3">
      <c r="A76" s="183"/>
      <c r="B76" s="13" t="s">
        <v>352</v>
      </c>
      <c r="C76" s="274" t="s">
        <v>353</v>
      </c>
      <c r="D76" s="91"/>
      <c r="E76" s="275">
        <v>10.914718000000001</v>
      </c>
      <c r="F76" s="276">
        <v>431.59</v>
      </c>
      <c r="G76" s="276">
        <v>221.28</v>
      </c>
      <c r="H76" s="92"/>
      <c r="I76" s="277">
        <f t="shared" si="4"/>
        <v>2.5400743564065937</v>
      </c>
      <c r="J76" s="277">
        <f t="shared" si="5"/>
        <v>1.935788644912956</v>
      </c>
      <c r="K76" s="16"/>
      <c r="L76" s="278" t="str">
        <f t="shared" si="16"/>
        <v>NM</v>
      </c>
      <c r="M76" s="16"/>
      <c r="N76" s="278" t="str">
        <f t="shared" si="17"/>
        <v>NM</v>
      </c>
      <c r="O76" s="16"/>
      <c r="P76" s="276">
        <f t="shared" si="8"/>
        <v>88.506950000000003</v>
      </c>
      <c r="Q76" s="279">
        <f t="shared" si="9"/>
        <v>-1.572068634158108E-2</v>
      </c>
      <c r="R76" s="279">
        <f t="shared" si="10"/>
        <v>0.31216512870949797</v>
      </c>
      <c r="S76" s="14"/>
      <c r="T76" s="279">
        <f t="shared" si="11"/>
        <v>0.65947500000000003</v>
      </c>
      <c r="U76" s="279">
        <f t="shared" si="12"/>
        <v>0.5479196749387153</v>
      </c>
      <c r="V76" s="279">
        <f t="shared" si="13"/>
        <v>0.2353000436549246</v>
      </c>
      <c r="W76" s="279">
        <f t="shared" si="18"/>
        <v>-0.29701025738656683</v>
      </c>
      <c r="X76" s="14"/>
      <c r="Y76" s="280">
        <f t="shared" si="15"/>
        <v>0.70723800000000003</v>
      </c>
      <c r="Z76" s="14"/>
      <c r="AA76" s="183"/>
      <c r="AB76" s="44"/>
      <c r="AC76" s="44"/>
      <c r="AD76" s="44"/>
      <c r="AE76" s="320">
        <v>62.997250999999999</v>
      </c>
      <c r="AF76" s="320">
        <v>88.506950000000003</v>
      </c>
      <c r="AG76" s="320">
        <v>87.115560000000002</v>
      </c>
      <c r="AH76" s="320">
        <v>114.31</v>
      </c>
      <c r="AI76" s="44"/>
      <c r="AJ76" s="281">
        <v>0.65947500000000003</v>
      </c>
      <c r="AK76" s="44"/>
      <c r="AL76" s="320">
        <v>-26.287472000000001</v>
      </c>
      <c r="AM76" s="320">
        <v>-29.663128</v>
      </c>
      <c r="AN76" s="44"/>
      <c r="AO76" s="320">
        <v>-28.703171000000001</v>
      </c>
      <c r="AP76" s="320">
        <v>-26.380951</v>
      </c>
      <c r="AQ76" s="44"/>
      <c r="AR76" s="282">
        <v>0.70723800000000003</v>
      </c>
      <c r="AS76" s="44"/>
      <c r="AT76" s="281">
        <v>0.5479196749387153</v>
      </c>
      <c r="AU76" s="281">
        <v>0.2353000436549246</v>
      </c>
    </row>
    <row r="77" spans="1:47" x14ac:dyDescent="0.3">
      <c r="A77" s="183"/>
      <c r="B77" s="13" t="s">
        <v>354</v>
      </c>
      <c r="C77" s="274" t="s">
        <v>355</v>
      </c>
      <c r="D77" s="91"/>
      <c r="E77" s="275">
        <v>30.024370000000001</v>
      </c>
      <c r="F77" s="276">
        <v>1949.21</v>
      </c>
      <c r="G77" s="276">
        <v>1399.07</v>
      </c>
      <c r="H77" s="92"/>
      <c r="I77" s="277">
        <f t="shared" si="4"/>
        <v>11.218587122123326</v>
      </c>
      <c r="J77" s="277">
        <f t="shared" si="5"/>
        <v>7.9542327591108082</v>
      </c>
      <c r="K77" s="16"/>
      <c r="L77" s="278" t="str">
        <f t="shared" si="16"/>
        <v>NM</v>
      </c>
      <c r="M77" s="16"/>
      <c r="N77" s="278" t="str">
        <f t="shared" si="17"/>
        <v>NM</v>
      </c>
      <c r="O77" s="16"/>
      <c r="P77" s="276">
        <f t="shared" si="8"/>
        <v>111.07913600000001</v>
      </c>
      <c r="Q77" s="279">
        <f t="shared" si="9"/>
        <v>0.12271308988215379</v>
      </c>
      <c r="R77" s="279">
        <f t="shared" si="10"/>
        <v>0.41039210969449114</v>
      </c>
      <c r="S77" s="14"/>
      <c r="T77" s="279">
        <f t="shared" si="11"/>
        <v>0.58337600000000001</v>
      </c>
      <c r="U77" s="279">
        <f t="shared" si="12"/>
        <v>0.64670535668429974</v>
      </c>
      <c r="V77" s="279">
        <f t="shared" si="13"/>
        <v>0.32182904490438774</v>
      </c>
      <c r="W77" s="279">
        <f t="shared" si="18"/>
        <v>-0.23637374168988856</v>
      </c>
      <c r="X77" s="14"/>
      <c r="Y77" s="280">
        <f t="shared" si="15"/>
        <v>0.81281499999999995</v>
      </c>
      <c r="Z77" s="14"/>
      <c r="AA77" s="183"/>
      <c r="AB77" s="44"/>
      <c r="AC77" s="44"/>
      <c r="AD77" s="44"/>
      <c r="AE77" s="320">
        <v>62.905684000000001</v>
      </c>
      <c r="AF77" s="320">
        <v>111.07913600000001</v>
      </c>
      <c r="AG77" s="320">
        <v>124.71</v>
      </c>
      <c r="AH77" s="320">
        <v>175.89</v>
      </c>
      <c r="AI77" s="44"/>
      <c r="AJ77" s="281">
        <v>0.58337600000000001</v>
      </c>
      <c r="AK77" s="44"/>
      <c r="AL77" s="320">
        <v>-26.256191000000001</v>
      </c>
      <c r="AM77" s="320">
        <v>-16.095707000000001</v>
      </c>
      <c r="AN77" s="44"/>
      <c r="AO77" s="320">
        <v>-31.357564</v>
      </c>
      <c r="AP77" s="320">
        <v>-28.174704999999999</v>
      </c>
      <c r="AQ77" s="44"/>
      <c r="AR77" s="282">
        <v>0.81281499999999995</v>
      </c>
      <c r="AS77" s="44"/>
      <c r="AT77" s="281">
        <v>0.64670535668429974</v>
      </c>
      <c r="AU77" s="281">
        <v>0.32182904490438774</v>
      </c>
    </row>
    <row r="78" spans="1:47" x14ac:dyDescent="0.3">
      <c r="A78" s="183"/>
      <c r="B78" s="13" t="s">
        <v>356</v>
      </c>
      <c r="C78" s="274" t="s">
        <v>357</v>
      </c>
      <c r="D78" s="91"/>
      <c r="E78" s="275">
        <v>63.195284999999998</v>
      </c>
      <c r="F78" s="276">
        <v>3786.32</v>
      </c>
      <c r="G78" s="276">
        <v>3742.7</v>
      </c>
      <c r="H78" s="92"/>
      <c r="I78" s="277">
        <f t="shared" si="4"/>
        <v>10.23714442013129</v>
      </c>
      <c r="J78" s="277">
        <f t="shared" si="5"/>
        <v>8.0560936760084374</v>
      </c>
      <c r="K78" s="16"/>
      <c r="L78" s="278" t="s">
        <v>358</v>
      </c>
      <c r="M78" s="16"/>
      <c r="N78" s="278">
        <f t="shared" si="17"/>
        <v>39.624510274177396</v>
      </c>
      <c r="O78" s="16"/>
      <c r="P78" s="276">
        <f t="shared" si="8"/>
        <v>298.42</v>
      </c>
      <c r="Q78" s="279">
        <f t="shared" si="9"/>
        <v>0.22511895985523767</v>
      </c>
      <c r="R78" s="279">
        <f t="shared" si="10"/>
        <v>0.27073304157549227</v>
      </c>
      <c r="S78" s="14"/>
      <c r="T78" s="279">
        <f t="shared" si="11"/>
        <v>0.600325</v>
      </c>
      <c r="U78" s="279">
        <f t="shared" si="12"/>
        <v>0.21867028170755723</v>
      </c>
      <c r="V78" s="279">
        <f t="shared" si="13"/>
        <v>0.19361841472518515</v>
      </c>
      <c r="W78" s="279">
        <f t="shared" si="18"/>
        <v>0.12448648884123048</v>
      </c>
      <c r="X78" s="14"/>
      <c r="Y78" s="280" t="str">
        <f t="shared" si="15"/>
        <v>NA</v>
      </c>
      <c r="Z78" s="14"/>
      <c r="AA78" s="183"/>
      <c r="AB78" s="44"/>
      <c r="AC78" s="44"/>
      <c r="AD78" s="44"/>
      <c r="AE78" s="320">
        <v>222.12</v>
      </c>
      <c r="AF78" s="320">
        <v>298.42</v>
      </c>
      <c r="AG78" s="320">
        <v>365.6</v>
      </c>
      <c r="AH78" s="320">
        <v>464.58</v>
      </c>
      <c r="AI78" s="44"/>
      <c r="AJ78" s="281">
        <v>0.600325</v>
      </c>
      <c r="AK78" s="44"/>
      <c r="AL78" s="320">
        <v>37.149258000000003</v>
      </c>
      <c r="AM78" s="320">
        <v>56.188284000000003</v>
      </c>
      <c r="AN78" s="44"/>
      <c r="AO78" s="320">
        <v>67.601476000000005</v>
      </c>
      <c r="AP78" s="320">
        <v>95.554997999999998</v>
      </c>
      <c r="AQ78" s="44"/>
      <c r="AR78" s="332"/>
      <c r="AS78" s="44"/>
      <c r="AT78" s="281">
        <v>0.21867028170755723</v>
      </c>
      <c r="AU78" s="281">
        <v>0.19361841472518515</v>
      </c>
    </row>
    <row r="79" spans="1:47" x14ac:dyDescent="0.3">
      <c r="A79" s="183"/>
      <c r="B79" s="13" t="s">
        <v>359</v>
      </c>
      <c r="C79" s="274" t="s">
        <v>360</v>
      </c>
      <c r="D79" s="91"/>
      <c r="E79" s="275">
        <v>101.58</v>
      </c>
      <c r="F79" s="276">
        <v>8812.91</v>
      </c>
      <c r="G79" s="276">
        <v>9602.67</v>
      </c>
      <c r="H79" s="92"/>
      <c r="I79" s="277">
        <f t="shared" si="4"/>
        <v>16.134331367508445</v>
      </c>
      <c r="J79" s="277">
        <f t="shared" si="5"/>
        <v>12.004387883939845</v>
      </c>
      <c r="K79" s="16"/>
      <c r="L79" s="278" t="str">
        <f t="shared" ref="L79:L94" si="19">IF(($F79/AM79)&lt;0,"NM",IF(($F79/AM79)&gt;75,"NM",($F79/AM79)))</f>
        <v>NM</v>
      </c>
      <c r="M79" s="16"/>
      <c r="N79" s="278" t="str">
        <f t="shared" si="17"/>
        <v>NM</v>
      </c>
      <c r="O79" s="16"/>
      <c r="P79" s="276">
        <f t="shared" si="8"/>
        <v>378.95</v>
      </c>
      <c r="Q79" s="279">
        <f t="shared" si="9"/>
        <v>0.57057659321810261</v>
      </c>
      <c r="R79" s="279">
        <f t="shared" si="10"/>
        <v>0.34403615773644503</v>
      </c>
      <c r="S79" s="14"/>
      <c r="T79" s="279">
        <f t="shared" si="11"/>
        <v>0.802956</v>
      </c>
      <c r="U79" s="279">
        <f t="shared" si="12"/>
        <v>0.49995952400226668</v>
      </c>
      <c r="V79" s="279">
        <f t="shared" si="13"/>
        <v>0.17077309155670686</v>
      </c>
      <c r="W79" s="279">
        <f t="shared" si="18"/>
        <v>0.10440882174429345</v>
      </c>
      <c r="X79" s="14"/>
      <c r="Y79" s="280">
        <f t="shared" si="15"/>
        <v>0.76081900000000002</v>
      </c>
      <c r="Z79" s="14"/>
      <c r="AA79" s="183"/>
      <c r="AB79" s="44"/>
      <c r="AC79" s="44"/>
      <c r="AD79" s="44"/>
      <c r="AE79" s="320">
        <v>280.60000000000002</v>
      </c>
      <c r="AF79" s="320">
        <v>378.95</v>
      </c>
      <c r="AG79" s="320">
        <v>595.16999999999996</v>
      </c>
      <c r="AH79" s="320">
        <v>799.93</v>
      </c>
      <c r="AI79" s="44"/>
      <c r="AJ79" s="281">
        <v>0.802956</v>
      </c>
      <c r="AK79" s="44"/>
      <c r="AL79" s="320">
        <v>39.565722999999998</v>
      </c>
      <c r="AM79" s="320">
        <v>56.606478000000003</v>
      </c>
      <c r="AN79" s="44"/>
      <c r="AO79" s="320">
        <v>48.428538000000003</v>
      </c>
      <c r="AP79" s="320">
        <v>47.329383999999997</v>
      </c>
      <c r="AQ79" s="44"/>
      <c r="AR79" s="282">
        <v>0.76081900000000002</v>
      </c>
      <c r="AS79" s="44"/>
      <c r="AT79" s="281">
        <v>0.49995952400226668</v>
      </c>
      <c r="AU79" s="281">
        <v>0.17077309155670686</v>
      </c>
    </row>
    <row r="80" spans="1:47" x14ac:dyDescent="0.3">
      <c r="A80" s="183"/>
      <c r="B80" s="13" t="s">
        <v>361</v>
      </c>
      <c r="C80" s="274" t="s">
        <v>362</v>
      </c>
      <c r="D80" s="91"/>
      <c r="E80" s="275">
        <v>50.271372</v>
      </c>
      <c r="F80" s="276">
        <v>1590.13</v>
      </c>
      <c r="G80" s="276">
        <v>1637.77</v>
      </c>
      <c r="H80" s="92"/>
      <c r="I80" s="277">
        <f t="shared" si="4"/>
        <v>9.1296616310831151</v>
      </c>
      <c r="J80" s="277">
        <f t="shared" si="5"/>
        <v>7.8175178997613362</v>
      </c>
      <c r="K80" s="16"/>
      <c r="L80" s="278" t="str">
        <f t="shared" si="19"/>
        <v>NM</v>
      </c>
      <c r="M80" s="16"/>
      <c r="N80" s="278" t="str">
        <f t="shared" si="17"/>
        <v>NM</v>
      </c>
      <c r="O80" s="16"/>
      <c r="P80" s="276">
        <f t="shared" si="8"/>
        <v>143.63</v>
      </c>
      <c r="Q80" s="279">
        <f t="shared" si="9"/>
        <v>0.24897305576829343</v>
      </c>
      <c r="R80" s="279">
        <f t="shared" si="10"/>
        <v>0.16784659122582091</v>
      </c>
      <c r="S80" s="14"/>
      <c r="T80" s="279">
        <f t="shared" si="11"/>
        <v>0.71946699999999997</v>
      </c>
      <c r="U80" s="279">
        <f t="shared" si="12"/>
        <v>0.51978926572275264</v>
      </c>
      <c r="V80" s="279">
        <f t="shared" si="13"/>
        <v>0.21926713391975161</v>
      </c>
      <c r="W80" s="279">
        <f t="shared" si="18"/>
        <v>3.9435828169602449E-2</v>
      </c>
      <c r="X80" s="14"/>
      <c r="Y80" s="280">
        <f t="shared" si="15"/>
        <v>0.75536800000000004</v>
      </c>
      <c r="Z80" s="14"/>
      <c r="AA80" s="183"/>
      <c r="AB80" s="44"/>
      <c r="AC80" s="44"/>
      <c r="AD80" s="44"/>
      <c r="AE80" s="320">
        <v>119.98</v>
      </c>
      <c r="AF80" s="320">
        <v>143.63</v>
      </c>
      <c r="AG80" s="320">
        <v>179.39</v>
      </c>
      <c r="AH80" s="320">
        <v>209.5</v>
      </c>
      <c r="AI80" s="44"/>
      <c r="AJ80" s="281">
        <v>0.71946699999999997</v>
      </c>
      <c r="AK80" s="44"/>
      <c r="AL80" s="320">
        <v>5.6641680000000001</v>
      </c>
      <c r="AM80" s="320">
        <v>12.645133</v>
      </c>
      <c r="AN80" s="44"/>
      <c r="AO80" s="320">
        <v>-6.6072309999999996</v>
      </c>
      <c r="AP80" s="320">
        <v>-2.8182680000000002</v>
      </c>
      <c r="AQ80" s="44"/>
      <c r="AR80" s="282">
        <v>0.75536800000000004</v>
      </c>
      <c r="AS80" s="44"/>
      <c r="AT80" s="281">
        <v>0.51978926572275264</v>
      </c>
      <c r="AU80" s="281">
        <v>0.21926713391975161</v>
      </c>
    </row>
    <row r="81" spans="1:47" x14ac:dyDescent="0.3">
      <c r="A81" s="183"/>
      <c r="B81" s="13" t="s">
        <v>363</v>
      </c>
      <c r="C81" s="274" t="s">
        <v>364</v>
      </c>
      <c r="D81" s="91"/>
      <c r="E81" s="275">
        <v>27.278102000000001</v>
      </c>
      <c r="F81" s="276">
        <v>1023.44</v>
      </c>
      <c r="G81" s="276">
        <v>1068.07</v>
      </c>
      <c r="H81" s="92"/>
      <c r="I81" s="277">
        <f t="shared" si="4"/>
        <v>7.1596058452875715</v>
      </c>
      <c r="J81" s="277">
        <f t="shared" si="5"/>
        <v>6.4136792169579051</v>
      </c>
      <c r="K81" s="16"/>
      <c r="L81" s="278">
        <f t="shared" si="19"/>
        <v>50.917645991215487</v>
      </c>
      <c r="M81" s="16"/>
      <c r="N81" s="278">
        <f t="shared" si="17"/>
        <v>50.128654763380595</v>
      </c>
      <c r="O81" s="16"/>
      <c r="P81" s="276">
        <f t="shared" si="8"/>
        <v>120.69</v>
      </c>
      <c r="Q81" s="279">
        <f t="shared" si="9"/>
        <v>0.23605932554478426</v>
      </c>
      <c r="R81" s="279">
        <f t="shared" si="10"/>
        <v>0.11630245341198542</v>
      </c>
      <c r="S81" s="14"/>
      <c r="T81" s="279">
        <f t="shared" si="11"/>
        <v>0.68376300000000001</v>
      </c>
      <c r="U81" s="279">
        <f t="shared" si="12"/>
        <v>0.41250273463137166</v>
      </c>
      <c r="V81" s="279">
        <f t="shared" si="13"/>
        <v>0.22090352220520673</v>
      </c>
      <c r="W81" s="279">
        <f t="shared" si="18"/>
        <v>0.10086144668158091</v>
      </c>
      <c r="X81" s="14"/>
      <c r="Y81" s="280" t="str">
        <f t="shared" si="15"/>
        <v>NA</v>
      </c>
      <c r="Z81" s="14"/>
      <c r="AA81" s="183"/>
      <c r="AB81" s="44"/>
      <c r="AC81" s="44"/>
      <c r="AD81" s="44"/>
      <c r="AE81" s="320">
        <v>86.667174000000003</v>
      </c>
      <c r="AF81" s="320">
        <v>120.69</v>
      </c>
      <c r="AG81" s="320">
        <v>149.18</v>
      </c>
      <c r="AH81" s="320">
        <v>166.53</v>
      </c>
      <c r="AI81" s="44"/>
      <c r="AJ81" s="281">
        <v>0.68376300000000001</v>
      </c>
      <c r="AK81" s="44"/>
      <c r="AL81" s="320">
        <v>12.172967999999999</v>
      </c>
      <c r="AM81" s="320">
        <v>20.099907999999999</v>
      </c>
      <c r="AN81" s="44"/>
      <c r="AO81" s="320">
        <v>20.999361</v>
      </c>
      <c r="AP81" s="320">
        <v>20.416267000000001</v>
      </c>
      <c r="AQ81" s="44"/>
      <c r="AR81" s="332"/>
      <c r="AS81" s="44"/>
      <c r="AT81" s="281">
        <v>0.41250273463137166</v>
      </c>
      <c r="AU81" s="281">
        <v>0.22090352220520673</v>
      </c>
    </row>
    <row r="82" spans="1:47" x14ac:dyDescent="0.3">
      <c r="A82" s="183"/>
      <c r="B82" s="13" t="s">
        <v>365</v>
      </c>
      <c r="C82" s="274" t="s">
        <v>366</v>
      </c>
      <c r="D82" s="91"/>
      <c r="E82" s="275">
        <v>21.232344999999999</v>
      </c>
      <c r="F82" s="276">
        <v>426.29</v>
      </c>
      <c r="G82" s="276">
        <v>295.35000000000002</v>
      </c>
      <c r="H82" s="92"/>
      <c r="I82" s="277">
        <f t="shared" si="4"/>
        <v>2.9578389130583438</v>
      </c>
      <c r="J82" s="277">
        <f t="shared" si="5"/>
        <v>2.931222707423581</v>
      </c>
      <c r="K82" s="16"/>
      <c r="L82" s="278" t="str">
        <f t="shared" si="19"/>
        <v>NM</v>
      </c>
      <c r="M82" s="16"/>
      <c r="N82" s="278" t="str">
        <f t="shared" si="17"/>
        <v>NM</v>
      </c>
      <c r="O82" s="16"/>
      <c r="P82" s="276">
        <f t="shared" si="8"/>
        <v>66.784632999999999</v>
      </c>
      <c r="Q82" s="279">
        <f t="shared" si="9"/>
        <v>0.49515395255672057</v>
      </c>
      <c r="R82" s="279">
        <f t="shared" si="10"/>
        <v>9.080239985639782E-3</v>
      </c>
      <c r="S82" s="14"/>
      <c r="T82" s="279">
        <f t="shared" si="11"/>
        <v>0.70534699999999995</v>
      </c>
      <c r="U82" s="279">
        <f t="shared" si="12"/>
        <v>0.51796080638919195</v>
      </c>
      <c r="V82" s="279">
        <f t="shared" si="13"/>
        <v>0.2659993667100588</v>
      </c>
      <c r="W82" s="279">
        <f t="shared" si="18"/>
        <v>-0.28905980512013896</v>
      </c>
      <c r="X82" s="14"/>
      <c r="Y82" s="280">
        <f t="shared" si="15"/>
        <v>1.0127839999999999</v>
      </c>
      <c r="Z82" s="14"/>
      <c r="AA82" s="183"/>
      <c r="AB82" s="44"/>
      <c r="AC82" s="44"/>
      <c r="AD82" s="44"/>
      <c r="AE82" s="320">
        <v>46.746828000000001</v>
      </c>
      <c r="AF82" s="320">
        <v>66.784632999999999</v>
      </c>
      <c r="AG82" s="320">
        <v>99.853307999999998</v>
      </c>
      <c r="AH82" s="320">
        <v>100.76</v>
      </c>
      <c r="AI82" s="44"/>
      <c r="AJ82" s="281">
        <v>0.70534699999999995</v>
      </c>
      <c r="AK82" s="44"/>
      <c r="AL82" s="320">
        <v>-19.304753000000002</v>
      </c>
      <c r="AM82" s="320">
        <v>-16.982423000000001</v>
      </c>
      <c r="AN82" s="44"/>
      <c r="AO82" s="320">
        <v>-14.356285</v>
      </c>
      <c r="AP82" s="320">
        <v>-11.781056</v>
      </c>
      <c r="AQ82" s="44"/>
      <c r="AR82" s="282">
        <v>1.0127839999999999</v>
      </c>
      <c r="AS82" s="44"/>
      <c r="AT82" s="281">
        <v>0.51796080638919195</v>
      </c>
      <c r="AU82" s="281">
        <v>0.2659993667100588</v>
      </c>
    </row>
    <row r="83" spans="1:47" x14ac:dyDescent="0.3">
      <c r="A83" s="183"/>
      <c r="B83" s="13" t="s">
        <v>367</v>
      </c>
      <c r="C83" s="274" t="s">
        <v>368</v>
      </c>
      <c r="D83" s="91"/>
      <c r="E83" s="275">
        <v>18.516262000000001</v>
      </c>
      <c r="F83" s="276">
        <v>1778.63</v>
      </c>
      <c r="G83" s="276">
        <v>1405.89</v>
      </c>
      <c r="H83" s="92"/>
      <c r="I83" s="277">
        <f t="shared" si="4"/>
        <v>2.6997926028344281</v>
      </c>
      <c r="J83" s="277">
        <f t="shared" si="5"/>
        <v>2.3431109481508643</v>
      </c>
      <c r="K83" s="16"/>
      <c r="L83" s="278">
        <f t="shared" si="19"/>
        <v>28.382790221222933</v>
      </c>
      <c r="M83" s="16"/>
      <c r="N83" s="278">
        <f t="shared" si="17"/>
        <v>14.584911849118491</v>
      </c>
      <c r="O83" s="16"/>
      <c r="P83" s="276">
        <f t="shared" si="8"/>
        <v>332.51</v>
      </c>
      <c r="Q83" s="279">
        <f t="shared" si="9"/>
        <v>0.566088237947731</v>
      </c>
      <c r="R83" s="279">
        <f t="shared" si="10"/>
        <v>0.15222567884164828</v>
      </c>
      <c r="S83" s="14"/>
      <c r="T83" s="279">
        <f t="shared" si="11"/>
        <v>0.54798100000000005</v>
      </c>
      <c r="U83" s="279">
        <f t="shared" si="12"/>
        <v>0.23900276870739851</v>
      </c>
      <c r="V83" s="279">
        <f t="shared" si="13"/>
        <v>0.14953813490930309</v>
      </c>
      <c r="W83" s="279">
        <f t="shared" si="18"/>
        <v>0.16499535653063066</v>
      </c>
      <c r="X83" s="14"/>
      <c r="Y83" s="280" t="str">
        <f t="shared" si="15"/>
        <v>NA</v>
      </c>
      <c r="Z83" s="14"/>
      <c r="AA83" s="183"/>
      <c r="AB83" s="44"/>
      <c r="AC83" s="44"/>
      <c r="AD83" s="44"/>
      <c r="AE83" s="320">
        <v>345.58</v>
      </c>
      <c r="AF83" s="320">
        <v>332.51</v>
      </c>
      <c r="AG83" s="320">
        <v>520.74</v>
      </c>
      <c r="AH83" s="320">
        <v>600.01</v>
      </c>
      <c r="AI83" s="44"/>
      <c r="AJ83" s="281">
        <v>0.54798100000000005</v>
      </c>
      <c r="AK83" s="44"/>
      <c r="AL83" s="320">
        <v>54.862606</v>
      </c>
      <c r="AM83" s="320">
        <v>62.665790999999999</v>
      </c>
      <c r="AN83" s="44"/>
      <c r="AO83" s="320">
        <v>75</v>
      </c>
      <c r="AP83" s="320">
        <v>121.95</v>
      </c>
      <c r="AQ83" s="44"/>
      <c r="AR83" s="321" t="s">
        <v>186</v>
      </c>
      <c r="AS83" s="44"/>
      <c r="AT83" s="281">
        <v>0.23900276870739851</v>
      </c>
      <c r="AU83" s="281">
        <v>0.14953813490930309</v>
      </c>
    </row>
    <row r="84" spans="1:47" x14ac:dyDescent="0.3">
      <c r="A84" s="183"/>
      <c r="B84" s="13" t="s">
        <v>369</v>
      </c>
      <c r="C84" s="274" t="s">
        <v>370</v>
      </c>
      <c r="D84" s="91"/>
      <c r="E84" s="275">
        <v>22.643345</v>
      </c>
      <c r="F84" s="276">
        <v>1759.36</v>
      </c>
      <c r="G84" s="276">
        <v>1378.82</v>
      </c>
      <c r="H84" s="92"/>
      <c r="I84" s="277">
        <f t="shared" si="4"/>
        <v>7.5427789934354479</v>
      </c>
      <c r="J84" s="277">
        <f t="shared" si="5"/>
        <v>5.0356816770753436</v>
      </c>
      <c r="K84" s="16"/>
      <c r="L84" s="278" t="str">
        <f t="shared" si="19"/>
        <v>NM</v>
      </c>
      <c r="M84" s="16"/>
      <c r="N84" s="278" t="str">
        <f t="shared" si="17"/>
        <v>NM</v>
      </c>
      <c r="O84" s="16"/>
      <c r="P84" s="276">
        <f t="shared" si="8"/>
        <v>128.69</v>
      </c>
      <c r="Q84" s="279">
        <f t="shared" si="9"/>
        <v>0.4204677908151373</v>
      </c>
      <c r="R84" s="279">
        <f t="shared" si="10"/>
        <v>0.49786652078774618</v>
      </c>
      <c r="S84" s="14"/>
      <c r="T84" s="279">
        <f t="shared" si="11"/>
        <v>0.57652999999999999</v>
      </c>
      <c r="U84" s="280" t="str">
        <f t="shared" si="12"/>
        <v>NA</v>
      </c>
      <c r="V84" s="280" t="str">
        <f t="shared" si="13"/>
        <v>NA</v>
      </c>
      <c r="W84" s="279">
        <f t="shared" si="18"/>
        <v>-0.28462505245162795</v>
      </c>
      <c r="X84" s="14"/>
      <c r="Y84" s="280" t="str">
        <f t="shared" si="15"/>
        <v>NA</v>
      </c>
      <c r="Z84" s="14"/>
      <c r="AA84" s="183"/>
      <c r="AB84" s="44"/>
      <c r="AC84" s="44"/>
      <c r="AD84" s="44"/>
      <c r="AE84" s="320">
        <v>114.91</v>
      </c>
      <c r="AF84" s="320">
        <v>128.69</v>
      </c>
      <c r="AG84" s="320">
        <v>182.8</v>
      </c>
      <c r="AH84" s="320">
        <v>273.81</v>
      </c>
      <c r="AI84" s="44"/>
      <c r="AJ84" s="281">
        <v>0.57652999999999999</v>
      </c>
      <c r="AK84" s="44"/>
      <c r="AL84" s="320">
        <v>-36.628397999999997</v>
      </c>
      <c r="AM84" s="320">
        <v>-27.562926000000001</v>
      </c>
      <c r="AN84" s="44"/>
      <c r="AO84" s="320">
        <v>-25.260328000000001</v>
      </c>
      <c r="AP84" s="320">
        <v>-19.032978</v>
      </c>
      <c r="AQ84" s="44"/>
      <c r="AR84" s="367"/>
      <c r="AS84" s="44"/>
      <c r="AT84" s="322" t="s">
        <v>186</v>
      </c>
      <c r="AU84" s="322" t="s">
        <v>186</v>
      </c>
    </row>
    <row r="85" spans="1:47" x14ac:dyDescent="0.3">
      <c r="A85" s="183"/>
      <c r="B85" s="13" t="s">
        <v>371</v>
      </c>
      <c r="C85" s="274" t="s">
        <v>372</v>
      </c>
      <c r="D85" s="91"/>
      <c r="E85" s="275">
        <v>65.602642000000003</v>
      </c>
      <c r="F85" s="276">
        <v>40969.58</v>
      </c>
      <c r="G85" s="276">
        <v>40040.33</v>
      </c>
      <c r="H85" s="92"/>
      <c r="I85" s="277">
        <f t="shared" si="4"/>
        <v>9.1523264638115798</v>
      </c>
      <c r="J85" s="277">
        <f t="shared" si="5"/>
        <v>5.5131238528762605</v>
      </c>
      <c r="K85" s="16"/>
      <c r="L85" s="278">
        <f t="shared" si="19"/>
        <v>53.266739475258085</v>
      </c>
      <c r="M85" s="16"/>
      <c r="N85" s="278">
        <f t="shared" si="17"/>
        <v>48.719949579032495</v>
      </c>
      <c r="O85" s="16"/>
      <c r="P85" s="276">
        <f t="shared" si="8"/>
        <v>4277.26</v>
      </c>
      <c r="Q85" s="279">
        <f t="shared" si="9"/>
        <v>2.2823022215156419E-2</v>
      </c>
      <c r="R85" s="279">
        <f t="shared" si="10"/>
        <v>0.66009810554803772</v>
      </c>
      <c r="S85" s="14"/>
      <c r="T85" s="279">
        <f t="shared" si="11"/>
        <v>0.69597600000000004</v>
      </c>
      <c r="U85" s="280">
        <f t="shared" si="12"/>
        <v>0.52917928198033237</v>
      </c>
      <c r="V85" s="280">
        <f t="shared" si="13"/>
        <v>0.14080378467606169</v>
      </c>
      <c r="W85" s="279">
        <f t="shared" si="18"/>
        <v>0.10529638132823349</v>
      </c>
      <c r="X85" s="14"/>
      <c r="Y85" s="280">
        <f t="shared" si="15"/>
        <v>0.78630299999999997</v>
      </c>
      <c r="Z85" s="14"/>
      <c r="AA85" s="183"/>
      <c r="AB85" s="44"/>
      <c r="AC85" s="44"/>
      <c r="AD85" s="44"/>
      <c r="AE85" s="320">
        <v>3443.55</v>
      </c>
      <c r="AF85" s="320">
        <v>4277.26</v>
      </c>
      <c r="AG85" s="320">
        <v>4374.88</v>
      </c>
      <c r="AH85" s="320">
        <v>7262.73</v>
      </c>
      <c r="AI85" s="44"/>
      <c r="AJ85" s="281">
        <v>0.69597600000000004</v>
      </c>
      <c r="AK85" s="44"/>
      <c r="AL85" s="320">
        <v>450.38</v>
      </c>
      <c r="AM85" s="320">
        <v>769.14</v>
      </c>
      <c r="AN85" s="44"/>
      <c r="AO85" s="320">
        <v>759.97</v>
      </c>
      <c r="AP85" s="320">
        <v>840.92</v>
      </c>
      <c r="AQ85" s="44"/>
      <c r="AR85" s="282">
        <v>0.78630299999999997</v>
      </c>
      <c r="AS85" s="44"/>
      <c r="AT85" s="281">
        <v>0.52917928198033237</v>
      </c>
      <c r="AU85" s="281">
        <v>0.14080378467606169</v>
      </c>
    </row>
    <row r="86" spans="1:47" x14ac:dyDescent="0.3">
      <c r="A86" s="183"/>
      <c r="B86" s="13" t="s">
        <v>373</v>
      </c>
      <c r="C86" s="274" t="s">
        <v>374</v>
      </c>
      <c r="D86" s="91"/>
      <c r="E86" s="275">
        <v>79.061201999999994</v>
      </c>
      <c r="F86" s="276">
        <v>11763.9</v>
      </c>
      <c r="G86" s="276">
        <v>9124.42</v>
      </c>
      <c r="H86" s="92"/>
      <c r="I86" s="277">
        <f t="shared" si="4"/>
        <v>12.594613993678136</v>
      </c>
      <c r="J86" s="277">
        <f t="shared" si="5"/>
        <v>8.8000501514187075</v>
      </c>
      <c r="K86" s="16"/>
      <c r="L86" s="278" t="str">
        <f t="shared" si="19"/>
        <v>NM</v>
      </c>
      <c r="M86" s="16"/>
      <c r="N86" s="278" t="str">
        <f t="shared" si="17"/>
        <v>NM</v>
      </c>
      <c r="O86" s="16"/>
      <c r="P86" s="276">
        <f t="shared" si="8"/>
        <v>358.89</v>
      </c>
      <c r="Q86" s="279">
        <f t="shared" si="9"/>
        <v>1.0186408091615817</v>
      </c>
      <c r="R86" s="279">
        <f t="shared" si="10"/>
        <v>0.43119797921238945</v>
      </c>
      <c r="S86" s="14"/>
      <c r="T86" s="279">
        <f t="shared" si="11"/>
        <v>0.77428300000000005</v>
      </c>
      <c r="U86" s="280">
        <f t="shared" si="12"/>
        <v>0.39760044642857145</v>
      </c>
      <c r="V86" s="280">
        <f t="shared" si="13"/>
        <v>0.16139131433823528</v>
      </c>
      <c r="W86" s="279">
        <f t="shared" si="18"/>
        <v>2.7547808520716654E-2</v>
      </c>
      <c r="X86" s="14"/>
      <c r="Y86" s="280">
        <f t="shared" si="15"/>
        <v>1.144914</v>
      </c>
      <c r="Z86" s="14"/>
      <c r="AA86" s="183"/>
      <c r="AB86" s="44"/>
      <c r="AC86" s="44"/>
      <c r="AD86" s="44"/>
      <c r="AE86" s="320">
        <v>256.37</v>
      </c>
      <c r="AF86" s="320">
        <v>358.89</v>
      </c>
      <c r="AG86" s="320">
        <v>724.47</v>
      </c>
      <c r="AH86" s="320">
        <v>1036.8599999999999</v>
      </c>
      <c r="AI86" s="44"/>
      <c r="AJ86" s="281">
        <v>0.77428300000000005</v>
      </c>
      <c r="AK86" s="44"/>
      <c r="AL86" s="320">
        <v>9.8866329999999998</v>
      </c>
      <c r="AM86" s="320">
        <v>53.513736999999999</v>
      </c>
      <c r="AN86" s="44"/>
      <c r="AO86" s="320">
        <v>25.33</v>
      </c>
      <c r="AP86" s="320">
        <v>63.638719999999999</v>
      </c>
      <c r="AQ86" s="44"/>
      <c r="AR86" s="282">
        <v>1.144914</v>
      </c>
      <c r="AS86" s="44"/>
      <c r="AT86" s="281">
        <v>0.39760044642857145</v>
      </c>
      <c r="AU86" s="281">
        <v>0.16139131433823528</v>
      </c>
    </row>
    <row r="87" spans="1:47" x14ac:dyDescent="0.3">
      <c r="A87" s="183"/>
      <c r="B87" s="13" t="s">
        <v>375</v>
      </c>
      <c r="C87" s="274" t="s">
        <v>376</v>
      </c>
      <c r="D87" s="91"/>
      <c r="E87" s="275">
        <v>69.635857000000001</v>
      </c>
      <c r="F87" s="276">
        <v>1273.3599999999999</v>
      </c>
      <c r="G87" s="276">
        <v>814.36</v>
      </c>
      <c r="H87" s="92"/>
      <c r="I87" s="277">
        <f t="shared" si="4"/>
        <v>5.9594584705451883</v>
      </c>
      <c r="J87" s="277">
        <f t="shared" si="5"/>
        <v>5.1830448065173114</v>
      </c>
      <c r="K87" s="16"/>
      <c r="L87" s="278" t="str">
        <f t="shared" si="19"/>
        <v>NM</v>
      </c>
      <c r="M87" s="16"/>
      <c r="N87" s="278">
        <f t="shared" si="17"/>
        <v>70.813771670298209</v>
      </c>
      <c r="O87" s="16"/>
      <c r="P87" s="276">
        <f t="shared" si="8"/>
        <v>97.98</v>
      </c>
      <c r="Q87" s="279">
        <f t="shared" si="9"/>
        <v>0.39467238211879985</v>
      </c>
      <c r="R87" s="279">
        <f t="shared" si="10"/>
        <v>0.14979875594584713</v>
      </c>
      <c r="S87" s="14"/>
      <c r="T87" s="279">
        <f t="shared" si="11"/>
        <v>0.60262000000000004</v>
      </c>
      <c r="U87" s="280" t="str">
        <f t="shared" si="12"/>
        <v>NA</v>
      </c>
      <c r="V87" s="280" t="str">
        <f t="shared" si="13"/>
        <v>NA</v>
      </c>
      <c r="W87" s="279">
        <f t="shared" si="18"/>
        <v>0.11631396203306797</v>
      </c>
      <c r="X87" s="14"/>
      <c r="Y87" s="280" t="str">
        <f t="shared" si="15"/>
        <v>NA</v>
      </c>
      <c r="Z87" s="14"/>
      <c r="AA87" s="183"/>
      <c r="AB87" s="44"/>
      <c r="AC87" s="44"/>
      <c r="AD87" s="44"/>
      <c r="AE87" s="320">
        <v>79.540182000000001</v>
      </c>
      <c r="AF87" s="320">
        <v>97.98</v>
      </c>
      <c r="AG87" s="320">
        <v>136.65</v>
      </c>
      <c r="AH87" s="320">
        <v>157.12</v>
      </c>
      <c r="AI87" s="44"/>
      <c r="AJ87" s="281">
        <v>0.60262000000000004</v>
      </c>
      <c r="AK87" s="44"/>
      <c r="AL87" s="320">
        <v>11.396442</v>
      </c>
      <c r="AM87" s="320">
        <v>13.244282999999999</v>
      </c>
      <c r="AN87" s="44"/>
      <c r="AO87" s="320">
        <v>13.822858</v>
      </c>
      <c r="AP87" s="320">
        <v>17.981812999999999</v>
      </c>
      <c r="AQ87" s="44"/>
      <c r="AR87" s="332"/>
      <c r="AS87" s="44"/>
      <c r="AT87" s="322" t="s">
        <v>186</v>
      </c>
      <c r="AU87" s="322" t="s">
        <v>186</v>
      </c>
    </row>
    <row r="88" spans="1:47" x14ac:dyDescent="0.3">
      <c r="A88" s="183"/>
      <c r="B88" s="13" t="s">
        <v>377</v>
      </c>
      <c r="C88" s="274" t="s">
        <v>378</v>
      </c>
      <c r="D88" s="91"/>
      <c r="E88" s="275">
        <v>26.679441000000001</v>
      </c>
      <c r="F88" s="276">
        <v>878.92</v>
      </c>
      <c r="G88" s="276">
        <v>783.23</v>
      </c>
      <c r="H88" s="92"/>
      <c r="I88" s="277">
        <f t="shared" si="4"/>
        <v>14.054758666229368</v>
      </c>
      <c r="J88" s="277">
        <f t="shared" si="5"/>
        <v>7.2387245841035117</v>
      </c>
      <c r="K88" s="16"/>
      <c r="L88" s="278" t="str">
        <f t="shared" si="19"/>
        <v>NM</v>
      </c>
      <c r="M88" s="16"/>
      <c r="N88" s="278" t="str">
        <f t="shared" si="17"/>
        <v>NM</v>
      </c>
      <c r="O88" s="16"/>
      <c r="P88" s="276">
        <f t="shared" si="8"/>
        <v>43.631211</v>
      </c>
      <c r="Q88" s="279">
        <f t="shared" si="9"/>
        <v>0.2772286563396098</v>
      </c>
      <c r="R88" s="279">
        <f t="shared" si="10"/>
        <v>0.94160704733733103</v>
      </c>
      <c r="S88" s="14"/>
      <c r="T88" s="279">
        <f t="shared" si="11"/>
        <v>0</v>
      </c>
      <c r="U88" s="280" t="str">
        <f t="shared" si="12"/>
        <v>NA</v>
      </c>
      <c r="V88" s="280" t="str">
        <f t="shared" si="13"/>
        <v>NA</v>
      </c>
      <c r="W88" s="279">
        <f t="shared" si="18"/>
        <v>-0.23131161773162795</v>
      </c>
      <c r="X88" s="14"/>
      <c r="Y88" s="280" t="str">
        <f t="shared" si="15"/>
        <v>NA</v>
      </c>
      <c r="Z88" s="14"/>
      <c r="AA88" s="183"/>
      <c r="AB88" s="44"/>
      <c r="AC88" s="44"/>
      <c r="AD88" s="44"/>
      <c r="AE88" s="320">
        <v>21.728974000000001</v>
      </c>
      <c r="AF88" s="320">
        <v>43.631211</v>
      </c>
      <c r="AG88" s="320">
        <v>55.727032999999999</v>
      </c>
      <c r="AH88" s="320">
        <v>108.2</v>
      </c>
      <c r="AI88" s="44"/>
      <c r="AJ88" s="281">
        <v>0</v>
      </c>
      <c r="AK88" s="44"/>
      <c r="AL88" s="320">
        <v>-10.092406</v>
      </c>
      <c r="AM88" s="320">
        <v>-4.510688</v>
      </c>
      <c r="AN88" s="44"/>
      <c r="AO88" s="320">
        <v>-12.990874</v>
      </c>
      <c r="AP88" s="320">
        <v>-5.5648939999999998</v>
      </c>
      <c r="AQ88" s="44"/>
      <c r="AR88" s="332"/>
      <c r="AS88" s="44"/>
      <c r="AT88" s="322" t="s">
        <v>186</v>
      </c>
      <c r="AU88" s="322" t="s">
        <v>186</v>
      </c>
    </row>
    <row r="89" spans="1:47" x14ac:dyDescent="0.3">
      <c r="A89" s="183"/>
      <c r="B89" s="13" t="s">
        <v>379</v>
      </c>
      <c r="C89" s="274" t="s">
        <v>380</v>
      </c>
      <c r="D89" s="91"/>
      <c r="E89" s="275">
        <v>131.1</v>
      </c>
      <c r="F89" s="276">
        <v>4520.66</v>
      </c>
      <c r="G89" s="276">
        <v>3708.82</v>
      </c>
      <c r="H89" s="92"/>
      <c r="I89" s="277">
        <f t="shared" si="4"/>
        <v>6.2505393016044222</v>
      </c>
      <c r="J89" s="277">
        <f t="shared" si="5"/>
        <v>7.4918089081910919</v>
      </c>
      <c r="K89" s="16"/>
      <c r="L89" s="278" t="str">
        <f t="shared" si="19"/>
        <v>NM</v>
      </c>
      <c r="M89" s="16"/>
      <c r="N89" s="278">
        <f t="shared" si="17"/>
        <v>46.356234618539787</v>
      </c>
      <c r="O89" s="16"/>
      <c r="P89" s="276">
        <f t="shared" si="8"/>
        <v>356.95</v>
      </c>
      <c r="Q89" s="279">
        <f t="shared" si="9"/>
        <v>0.66230564504832623</v>
      </c>
      <c r="R89" s="279">
        <f t="shared" si="10"/>
        <v>-0.16568356478360524</v>
      </c>
      <c r="S89" s="14"/>
      <c r="T89" s="279">
        <f t="shared" si="11"/>
        <v>0.52366500000000005</v>
      </c>
      <c r="U89" s="280">
        <f t="shared" si="12"/>
        <v>0.21819735875859247</v>
      </c>
      <c r="V89" s="280">
        <f t="shared" si="13"/>
        <v>0.18266279027772764</v>
      </c>
      <c r="W89" s="279">
        <f t="shared" si="18"/>
        <v>0.11502132511556241</v>
      </c>
      <c r="X89" s="14"/>
      <c r="Y89" s="280">
        <f t="shared" si="15"/>
        <v>1.1085799999999999</v>
      </c>
      <c r="Z89" s="14"/>
      <c r="AA89" s="183"/>
      <c r="AB89" s="44"/>
      <c r="AC89" s="44"/>
      <c r="AD89" s="44"/>
      <c r="AE89" s="320">
        <v>293.54000000000002</v>
      </c>
      <c r="AF89" s="320">
        <v>356.95</v>
      </c>
      <c r="AG89" s="320">
        <v>593.36</v>
      </c>
      <c r="AH89" s="320">
        <v>495.05</v>
      </c>
      <c r="AI89" s="44"/>
      <c r="AJ89" s="281">
        <v>0.52366500000000005</v>
      </c>
      <c r="AK89" s="44"/>
      <c r="AL89" s="320">
        <v>41.056862000000002</v>
      </c>
      <c r="AM89" s="320">
        <v>45.558433999999998</v>
      </c>
      <c r="AN89" s="44"/>
      <c r="AO89" s="320">
        <v>84.807796999999994</v>
      </c>
      <c r="AP89" s="320">
        <v>97.52</v>
      </c>
      <c r="AQ89" s="44"/>
      <c r="AR89" s="282">
        <v>1.1085799999999999</v>
      </c>
      <c r="AS89" s="44"/>
      <c r="AT89" s="281">
        <v>0.21819735875859247</v>
      </c>
      <c r="AU89" s="281">
        <v>0.18266279027772764</v>
      </c>
    </row>
    <row r="90" spans="1:47" x14ac:dyDescent="0.3">
      <c r="A90" s="183"/>
      <c r="B90" s="13" t="s">
        <v>381</v>
      </c>
      <c r="C90" s="274" t="s">
        <v>382</v>
      </c>
      <c r="D90" s="91"/>
      <c r="E90" s="275">
        <v>38.641983000000003</v>
      </c>
      <c r="F90" s="276">
        <v>4748.63</v>
      </c>
      <c r="G90" s="276">
        <v>5060.59</v>
      </c>
      <c r="H90" s="92"/>
      <c r="I90" s="277">
        <f t="shared" si="4"/>
        <v>23.295999631726744</v>
      </c>
      <c r="J90" s="277">
        <f t="shared" si="5"/>
        <v>17.785787087477598</v>
      </c>
      <c r="K90" s="16"/>
      <c r="L90" s="278" t="str">
        <f t="shared" si="19"/>
        <v>NM</v>
      </c>
      <c r="M90" s="16"/>
      <c r="N90" s="278" t="str">
        <f t="shared" si="17"/>
        <v>NM</v>
      </c>
      <c r="O90" s="16"/>
      <c r="P90" s="276">
        <f t="shared" si="8"/>
        <v>205.78</v>
      </c>
      <c r="Q90" s="279">
        <f t="shared" si="9"/>
        <v>5.5641947711147832E-2</v>
      </c>
      <c r="R90" s="279">
        <f t="shared" si="10"/>
        <v>0.3098098789301662</v>
      </c>
      <c r="S90" s="14"/>
      <c r="T90" s="279">
        <f t="shared" si="11"/>
        <v>0.59021000000000001</v>
      </c>
      <c r="U90" s="280" t="str">
        <f t="shared" si="12"/>
        <v>NA</v>
      </c>
      <c r="V90" s="280" t="str">
        <f t="shared" si="13"/>
        <v>NA</v>
      </c>
      <c r="W90" s="279">
        <f t="shared" si="18"/>
        <v>0.14257839926134708</v>
      </c>
      <c r="X90" s="14"/>
      <c r="Y90" s="280" t="str">
        <f t="shared" si="15"/>
        <v>NA</v>
      </c>
      <c r="Z90" s="14"/>
      <c r="AA90" s="183"/>
      <c r="AB90" s="44"/>
      <c r="AC90" s="44"/>
      <c r="AD90" s="44"/>
      <c r="AE90" s="320">
        <v>141.97</v>
      </c>
      <c r="AF90" s="320">
        <v>205.78</v>
      </c>
      <c r="AG90" s="320">
        <v>217.23</v>
      </c>
      <c r="AH90" s="320">
        <v>284.52999999999997</v>
      </c>
      <c r="AI90" s="44"/>
      <c r="AJ90" s="281">
        <v>0.59021000000000001</v>
      </c>
      <c r="AK90" s="44"/>
      <c r="AL90" s="320">
        <v>29.339783000000001</v>
      </c>
      <c r="AM90" s="320">
        <v>48.121009999999998</v>
      </c>
      <c r="AN90" s="44"/>
      <c r="AO90" s="320">
        <v>37.098177999999997</v>
      </c>
      <c r="AP90" s="320">
        <v>55.728830000000002</v>
      </c>
      <c r="AQ90" s="44"/>
      <c r="AR90" s="332"/>
      <c r="AS90" s="44"/>
      <c r="AT90" s="322" t="s">
        <v>186</v>
      </c>
      <c r="AU90" s="322" t="s">
        <v>186</v>
      </c>
    </row>
    <row r="91" spans="1:47" x14ac:dyDescent="0.3">
      <c r="A91" s="183"/>
      <c r="B91" s="13" t="s">
        <v>383</v>
      </c>
      <c r="C91" s="274" t="s">
        <v>384</v>
      </c>
      <c r="D91" s="91"/>
      <c r="E91" s="275">
        <v>16.077815999999999</v>
      </c>
      <c r="F91" s="276">
        <v>268.02999999999997</v>
      </c>
      <c r="G91" s="276">
        <v>421.55</v>
      </c>
      <c r="H91" s="92"/>
      <c r="I91" s="277">
        <f t="shared" si="4"/>
        <v>2.3281051527033747</v>
      </c>
      <c r="J91" s="277">
        <f t="shared" si="5"/>
        <v>2.590168970814132</v>
      </c>
      <c r="K91" s="16"/>
      <c r="L91" s="278">
        <f t="shared" si="19"/>
        <v>46.814817816424011</v>
      </c>
      <c r="M91" s="16"/>
      <c r="N91" s="278">
        <f t="shared" si="17"/>
        <v>11.983782034753458</v>
      </c>
      <c r="O91" s="16"/>
      <c r="P91" s="276">
        <f t="shared" si="8"/>
        <v>207.54</v>
      </c>
      <c r="Q91" s="279">
        <f t="shared" si="9"/>
        <v>-0.1275416787125373</v>
      </c>
      <c r="R91" s="279">
        <f t="shared" si="10"/>
        <v>-0.10117634064174075</v>
      </c>
      <c r="S91" s="14"/>
      <c r="T91" s="279">
        <f t="shared" si="11"/>
        <v>0.77505100000000005</v>
      </c>
      <c r="U91" s="280">
        <f t="shared" si="12"/>
        <v>0.57258612210486881</v>
      </c>
      <c r="V91" s="280">
        <f t="shared" si="13"/>
        <v>7.3973677431441884E-2</v>
      </c>
      <c r="W91" s="279">
        <f t="shared" si="18"/>
        <v>1.3746728341524527E-2</v>
      </c>
      <c r="X91" s="14"/>
      <c r="Y91" s="280">
        <f t="shared" si="15"/>
        <v>0.80569599999999997</v>
      </c>
      <c r="Z91" s="14"/>
      <c r="AA91" s="183"/>
      <c r="AB91" s="44"/>
      <c r="AC91" s="44"/>
      <c r="AD91" s="44"/>
      <c r="AE91" s="320">
        <v>163.07</v>
      </c>
      <c r="AF91" s="320">
        <v>207.54</v>
      </c>
      <c r="AG91" s="320">
        <v>181.07</v>
      </c>
      <c r="AH91" s="320">
        <v>162.75</v>
      </c>
      <c r="AI91" s="44"/>
      <c r="AJ91" s="281">
        <v>0.77505100000000005</v>
      </c>
      <c r="AK91" s="44"/>
      <c r="AL91" s="320">
        <v>2.8529960000000001</v>
      </c>
      <c r="AM91" s="320">
        <v>5.7253239999999996</v>
      </c>
      <c r="AN91" s="44"/>
      <c r="AO91" s="320">
        <v>25.067197</v>
      </c>
      <c r="AP91" s="320">
        <v>22.366060999999998</v>
      </c>
      <c r="AQ91" s="44"/>
      <c r="AR91" s="282">
        <v>0.80569599999999997</v>
      </c>
      <c r="AS91" s="44"/>
      <c r="AT91" s="281">
        <v>0.57258612210486881</v>
      </c>
      <c r="AU91" s="281">
        <v>7.3973677431441884E-2</v>
      </c>
    </row>
    <row r="92" spans="1:47" x14ac:dyDescent="0.3">
      <c r="A92" s="183"/>
      <c r="B92" s="13" t="s">
        <v>385</v>
      </c>
      <c r="C92" s="274" t="s">
        <v>386</v>
      </c>
      <c r="D92" s="91"/>
      <c r="E92" s="275">
        <v>28.846240000000002</v>
      </c>
      <c r="F92" s="276">
        <v>1067.8399999999999</v>
      </c>
      <c r="G92" s="276">
        <v>937.16</v>
      </c>
      <c r="H92" s="92"/>
      <c r="I92" s="277">
        <f t="shared" si="4"/>
        <v>6.994775339602926</v>
      </c>
      <c r="J92" s="277">
        <f t="shared" si="5"/>
        <v>5.2696806117858745</v>
      </c>
      <c r="K92" s="16"/>
      <c r="L92" s="278" t="str">
        <f t="shared" si="19"/>
        <v>NM</v>
      </c>
      <c r="M92" s="16"/>
      <c r="N92" s="278" t="str">
        <f t="shared" si="17"/>
        <v>NM</v>
      </c>
      <c r="O92" s="16"/>
      <c r="P92" s="276">
        <f t="shared" si="8"/>
        <v>73.900165000000001</v>
      </c>
      <c r="Q92" s="279">
        <f t="shared" si="9"/>
        <v>0.81298647980014649</v>
      </c>
      <c r="R92" s="279">
        <f t="shared" si="10"/>
        <v>0.32736229287953433</v>
      </c>
      <c r="S92" s="14"/>
      <c r="T92" s="279">
        <f t="shared" si="11"/>
        <v>0.72996700000000003</v>
      </c>
      <c r="U92" s="280" t="str">
        <f t="shared" si="12"/>
        <v>NA</v>
      </c>
      <c r="V92" s="280" t="str">
        <f t="shared" si="13"/>
        <v>NA</v>
      </c>
      <c r="W92" s="279">
        <f t="shared" si="18"/>
        <v>-5.6575962990069097E-2</v>
      </c>
      <c r="X92" s="14"/>
      <c r="Y92" s="280" t="str">
        <f t="shared" si="15"/>
        <v>NA</v>
      </c>
      <c r="Z92" s="14"/>
      <c r="AA92" s="183"/>
      <c r="AB92" s="44"/>
      <c r="AC92" s="44"/>
      <c r="AD92" s="44"/>
      <c r="AE92" s="320">
        <v>46.547504000000004</v>
      </c>
      <c r="AF92" s="320">
        <v>73.900165000000001</v>
      </c>
      <c r="AG92" s="320">
        <v>133.97999999999999</v>
      </c>
      <c r="AH92" s="320">
        <v>177.84</v>
      </c>
      <c r="AI92" s="44"/>
      <c r="AJ92" s="281">
        <v>0.72996700000000003</v>
      </c>
      <c r="AK92" s="44"/>
      <c r="AL92" s="320">
        <v>-4.1809729999999998</v>
      </c>
      <c r="AM92" s="320">
        <v>-8.8497839999999997</v>
      </c>
      <c r="AN92" s="44"/>
      <c r="AO92" s="320">
        <v>-19.765259</v>
      </c>
      <c r="AP92" s="320">
        <v>-25.030570000000001</v>
      </c>
      <c r="AQ92" s="44"/>
      <c r="AR92" s="332"/>
      <c r="AS92" s="44"/>
      <c r="AT92" s="322" t="s">
        <v>186</v>
      </c>
      <c r="AU92" s="322" t="s">
        <v>186</v>
      </c>
    </row>
    <row r="93" spans="1:47" x14ac:dyDescent="0.3">
      <c r="A93" s="183"/>
      <c r="B93" s="13" t="s">
        <v>387</v>
      </c>
      <c r="C93" s="274" t="s">
        <v>388</v>
      </c>
      <c r="D93" s="91"/>
      <c r="E93" s="275">
        <v>112.44</v>
      </c>
      <c r="F93" s="276">
        <v>22301.919999999998</v>
      </c>
      <c r="G93" s="276">
        <v>22433.3</v>
      </c>
      <c r="H93" s="92"/>
      <c r="I93" s="277">
        <f t="shared" si="4"/>
        <v>32.726410690319192</v>
      </c>
      <c r="J93" s="277">
        <f t="shared" si="5"/>
        <v>22.205911466582197</v>
      </c>
      <c r="K93" s="16"/>
      <c r="L93" s="278" t="str">
        <f t="shared" si="19"/>
        <v>NM</v>
      </c>
      <c r="M93" s="16"/>
      <c r="N93" s="278" t="str">
        <f t="shared" si="17"/>
        <v>NM</v>
      </c>
      <c r="O93" s="16"/>
      <c r="P93" s="276">
        <f t="shared" si="8"/>
        <v>383.62</v>
      </c>
      <c r="Q93" s="279">
        <f t="shared" si="9"/>
        <v>0.78687242583806905</v>
      </c>
      <c r="R93" s="279">
        <f t="shared" si="10"/>
        <v>0.47377020481998011</v>
      </c>
      <c r="S93" s="14"/>
      <c r="T93" s="279">
        <f t="shared" si="11"/>
        <v>0.55812399999999995</v>
      </c>
      <c r="U93" s="280">
        <f t="shared" si="12"/>
        <v>0.45107561655649225</v>
      </c>
      <c r="V93" s="280">
        <f t="shared" si="13"/>
        <v>0.37515941488798027</v>
      </c>
      <c r="W93" s="279">
        <f t="shared" si="18"/>
        <v>-0.14562997758198215</v>
      </c>
      <c r="X93" s="14"/>
      <c r="Y93" s="280">
        <f t="shared" si="15"/>
        <v>0.91217499999999996</v>
      </c>
      <c r="Z93" s="14"/>
      <c r="AA93" s="183"/>
      <c r="AB93" s="44"/>
      <c r="AC93" s="44"/>
      <c r="AD93" s="44"/>
      <c r="AE93" s="320">
        <v>253.41</v>
      </c>
      <c r="AF93" s="320">
        <v>383.62</v>
      </c>
      <c r="AG93" s="320">
        <v>685.48</v>
      </c>
      <c r="AH93" s="320">
        <v>1010.24</v>
      </c>
      <c r="AI93" s="44"/>
      <c r="AJ93" s="281">
        <v>0.55812399999999995</v>
      </c>
      <c r="AK93" s="44"/>
      <c r="AL93" s="320">
        <v>-55.866571999999998</v>
      </c>
      <c r="AM93" s="320">
        <v>-38.705407000000001</v>
      </c>
      <c r="AN93" s="44"/>
      <c r="AO93" s="320">
        <v>-70.356556999999995</v>
      </c>
      <c r="AP93" s="320">
        <v>-55.266914999999997</v>
      </c>
      <c r="AQ93" s="44"/>
      <c r="AR93" s="282">
        <v>0.91217499999999996</v>
      </c>
      <c r="AS93" s="44"/>
      <c r="AT93" s="281">
        <v>0.45107561655649225</v>
      </c>
      <c r="AU93" s="281">
        <v>0.37515941488798027</v>
      </c>
    </row>
    <row r="94" spans="1:47" x14ac:dyDescent="0.3">
      <c r="A94" s="183"/>
      <c r="B94" s="13" t="s">
        <v>389</v>
      </c>
      <c r="C94" s="274" t="s">
        <v>390</v>
      </c>
      <c r="D94" s="91"/>
      <c r="E94" s="275">
        <v>42.666069999999998</v>
      </c>
      <c r="F94" s="276">
        <v>4300.8</v>
      </c>
      <c r="G94" s="276">
        <v>5105.97</v>
      </c>
      <c r="H94" s="92"/>
      <c r="I94" s="277">
        <f t="shared" si="4"/>
        <v>46.878167462357695</v>
      </c>
      <c r="J94" s="277">
        <f t="shared" si="5"/>
        <v>28.798477157360406</v>
      </c>
      <c r="K94" s="16"/>
      <c r="L94" s="278" t="str">
        <f t="shared" si="19"/>
        <v>NM</v>
      </c>
      <c r="M94" s="16"/>
      <c r="N94" s="278" t="str">
        <f t="shared" si="17"/>
        <v>NM</v>
      </c>
      <c r="O94" s="16"/>
      <c r="P94" s="276">
        <f t="shared" si="8"/>
        <v>61.306303999999997</v>
      </c>
      <c r="Q94" s="279">
        <f t="shared" si="9"/>
        <v>0.77665252826202025</v>
      </c>
      <c r="R94" s="279">
        <f t="shared" si="10"/>
        <v>0.62780022034520755</v>
      </c>
      <c r="S94" s="14"/>
      <c r="T94" s="280" t="str">
        <f t="shared" si="11"/>
        <v>NA</v>
      </c>
      <c r="U94" s="280" t="str">
        <f t="shared" si="12"/>
        <v>NA</v>
      </c>
      <c r="V94" s="280" t="str">
        <f t="shared" si="13"/>
        <v>NA</v>
      </c>
      <c r="W94" s="279">
        <f t="shared" si="18"/>
        <v>-0.32088946350443837</v>
      </c>
      <c r="X94" s="14"/>
      <c r="Y94" s="280" t="str">
        <f t="shared" si="15"/>
        <v>NA</v>
      </c>
      <c r="Z94" s="14"/>
      <c r="AA94" s="183"/>
      <c r="AB94" s="44"/>
      <c r="AC94" s="44"/>
      <c r="AD94" s="44"/>
      <c r="AE94" s="320">
        <v>23.063749000000001</v>
      </c>
      <c r="AF94" s="320">
        <v>61.306303999999997</v>
      </c>
      <c r="AG94" s="320">
        <v>108.92</v>
      </c>
      <c r="AH94" s="320">
        <v>177.3</v>
      </c>
      <c r="AI94" s="44"/>
      <c r="AJ94" s="322" t="s">
        <v>186</v>
      </c>
      <c r="AK94" s="44"/>
      <c r="AL94" s="320">
        <v>-19.672547000000002</v>
      </c>
      <c r="AM94" s="320">
        <v>-51.452503999999998</v>
      </c>
      <c r="AN94" s="44"/>
      <c r="AO94" s="320">
        <v>-25.514945999999998</v>
      </c>
      <c r="AP94" s="320">
        <v>-33.908535000000001</v>
      </c>
      <c r="AQ94" s="44"/>
      <c r="AR94" s="332"/>
      <c r="AS94" s="44"/>
      <c r="AT94" s="322" t="s">
        <v>186</v>
      </c>
      <c r="AU94" s="322" t="s">
        <v>186</v>
      </c>
    </row>
    <row r="95" spans="1:47" x14ac:dyDescent="0.3">
      <c r="A95" s="183"/>
      <c r="B95" s="16"/>
      <c r="C95" s="91"/>
      <c r="D95" s="91"/>
      <c r="E95" s="87"/>
      <c r="F95" s="92"/>
      <c r="G95" s="92"/>
      <c r="H95" s="92"/>
      <c r="I95" s="93"/>
      <c r="J95" s="93"/>
      <c r="K95" s="16"/>
      <c r="L95" s="94"/>
      <c r="M95" s="16"/>
      <c r="N95" s="94"/>
      <c r="O95" s="16"/>
      <c r="P95" s="92"/>
      <c r="Q95" s="14"/>
      <c r="R95" s="14"/>
      <c r="S95" s="14"/>
      <c r="T95" s="14"/>
      <c r="U95" s="14"/>
      <c r="V95" s="14"/>
      <c r="W95" s="14"/>
      <c r="X95" s="14"/>
      <c r="Y95" s="95"/>
      <c r="Z95" s="14"/>
      <c r="AA95" s="183"/>
      <c r="AB95" s="44"/>
      <c r="AC95" s="44"/>
      <c r="AD95" s="44"/>
      <c r="AE95" s="330"/>
      <c r="AF95" s="330"/>
      <c r="AG95" s="330"/>
      <c r="AH95" s="330"/>
      <c r="AI95" s="44"/>
      <c r="AJ95" s="331"/>
      <c r="AK95" s="44"/>
      <c r="AL95" s="330"/>
      <c r="AM95" s="330"/>
      <c r="AN95" s="44"/>
      <c r="AO95" s="330"/>
      <c r="AP95" s="330"/>
      <c r="AQ95" s="44"/>
      <c r="AR95" s="332"/>
      <c r="AS95" s="44"/>
      <c r="AT95" s="331"/>
      <c r="AU95" s="331"/>
    </row>
    <row r="96" spans="1:47" x14ac:dyDescent="0.3">
      <c r="A96" s="183"/>
      <c r="B96" s="283" t="s">
        <v>391</v>
      </c>
      <c r="C96" s="368"/>
      <c r="D96" s="368"/>
      <c r="E96" s="369"/>
      <c r="F96" s="284">
        <f>MEDIAN(F58:F94)</f>
        <v>1759.36</v>
      </c>
      <c r="G96" s="284">
        <f>MEDIAN(G58:G94)</f>
        <v>1496.37</v>
      </c>
      <c r="H96" s="370"/>
      <c r="I96" s="285">
        <f>MEDIAN(I58:I94)</f>
        <v>7.5427789934354479</v>
      </c>
      <c r="J96" s="285">
        <f>MEDIAN(J58:J94)</f>
        <v>6.0347233424745923</v>
      </c>
      <c r="K96" s="368"/>
      <c r="L96" s="286">
        <f>MEDIAN(L58:L94)</f>
        <v>37.246853698571783</v>
      </c>
      <c r="M96" s="368"/>
      <c r="N96" s="286">
        <f>MEDIAN(N58:N94)</f>
        <v>36.944903303538126</v>
      </c>
      <c r="O96" s="368"/>
      <c r="P96" s="284">
        <f>MEDIAN(P58:P94)</f>
        <v>173.29</v>
      </c>
      <c r="Q96" s="287">
        <f>MEDIAN(Q58:Q94)</f>
        <v>0.23605932554478426</v>
      </c>
      <c r="R96" s="287">
        <f>MEDIAN(R58:R94)</f>
        <v>0.3098098789301662</v>
      </c>
      <c r="S96" s="371"/>
      <c r="T96" s="287">
        <f>MEDIAN(T58:T94)</f>
        <v>0.69350299999999998</v>
      </c>
      <c r="U96" s="287">
        <f>MEDIAN(U58:U94)</f>
        <v>0.42987037880058454</v>
      </c>
      <c r="V96" s="287">
        <f>MEDIAN(V58:V94)</f>
        <v>0.17077309155670686</v>
      </c>
      <c r="W96" s="287">
        <f>MEDIAN(W58:W94)</f>
        <v>6.965998571948262E-2</v>
      </c>
      <c r="X96" s="371"/>
      <c r="Y96" s="288">
        <f>MEDIAN(Y58:Y94)</f>
        <v>0.83909100000000003</v>
      </c>
      <c r="Z96" s="183"/>
      <c r="AA96" s="183"/>
      <c r="AB96" s="44"/>
      <c r="AC96" s="44"/>
      <c r="AD96" s="44"/>
      <c r="AE96" s="372"/>
      <c r="AF96" s="372"/>
      <c r="AG96" s="372"/>
      <c r="AH96" s="372"/>
      <c r="AI96" s="44"/>
      <c r="AJ96" s="373"/>
      <c r="AK96" s="44"/>
      <c r="AL96" s="372"/>
      <c r="AM96" s="372"/>
      <c r="AN96" s="44"/>
      <c r="AO96" s="372"/>
      <c r="AP96" s="372"/>
      <c r="AQ96" s="44"/>
      <c r="AR96" s="44"/>
      <c r="AS96" s="44"/>
      <c r="AT96" s="44"/>
      <c r="AU96" s="44"/>
    </row>
    <row r="97" spans="1:47" x14ac:dyDescent="0.3">
      <c r="A97" s="183"/>
      <c r="B97" s="289" t="s">
        <v>392</v>
      </c>
      <c r="C97" s="44"/>
      <c r="D97" s="44"/>
      <c r="E97" s="374"/>
      <c r="F97" s="290">
        <f>AVERAGE(F58:F94)</f>
        <v>4811.1772972972976</v>
      </c>
      <c r="G97" s="290">
        <f>AVERAGE(G58:G94)</f>
        <v>4474.4491891891894</v>
      </c>
      <c r="H97" s="372"/>
      <c r="I97" s="291">
        <f>AVERAGE(I58:I94)</f>
        <v>9.821646174221593</v>
      </c>
      <c r="J97" s="291">
        <f>AVERAGE(J58:J94)</f>
        <v>7.4400356910398369</v>
      </c>
      <c r="K97" s="44"/>
      <c r="L97" s="292">
        <f>AVERAGE(L58:L94)</f>
        <v>35.887916558776134</v>
      </c>
      <c r="M97" s="44"/>
      <c r="N97" s="292">
        <f>AVERAGE(N58:N94)</f>
        <v>32.58443634245284</v>
      </c>
      <c r="O97" s="44"/>
      <c r="P97" s="290">
        <f>AVERAGE(P58:P94)</f>
        <v>367.25617294594593</v>
      </c>
      <c r="Q97" s="293">
        <f>AVERAGE(Q58:Q94)</f>
        <v>0.29895264707079255</v>
      </c>
      <c r="R97" s="293">
        <f>AVERAGE(R58:R94)</f>
        <v>0.28239362877556778</v>
      </c>
      <c r="S97" s="375"/>
      <c r="T97" s="293">
        <f>AVERAGE(T58:T94)</f>
        <v>0.67042408333333336</v>
      </c>
      <c r="U97" s="293">
        <f>AVERAGE(U58:U94)</f>
        <v>0.45285558238016954</v>
      </c>
      <c r="V97" s="293">
        <f>AVERAGE(V58:V94)</f>
        <v>0.17276848913520915</v>
      </c>
      <c r="W97" s="293">
        <f>AVERAGE(W58:W94)</f>
        <v>3.7307482236101858E-3</v>
      </c>
      <c r="X97" s="375"/>
      <c r="Y97" s="294">
        <f>AVERAGE(Y58:Y94)</f>
        <v>0.88256371428571445</v>
      </c>
      <c r="Z97" s="183"/>
      <c r="AA97" s="183"/>
      <c r="AB97" s="44"/>
      <c r="AC97" s="44"/>
      <c r="AD97" s="44"/>
      <c r="AE97" s="372"/>
      <c r="AF97" s="372"/>
      <c r="AG97" s="372"/>
      <c r="AH97" s="372"/>
      <c r="AI97" s="44"/>
      <c r="AJ97" s="373"/>
      <c r="AK97" s="44"/>
      <c r="AL97" s="372"/>
      <c r="AM97" s="372"/>
      <c r="AN97" s="44"/>
      <c r="AO97" s="372"/>
      <c r="AP97" s="372"/>
      <c r="AQ97" s="44"/>
      <c r="AR97" s="44"/>
      <c r="AS97" s="44"/>
      <c r="AT97" s="44"/>
      <c r="AU97" s="44"/>
    </row>
    <row r="98" spans="1:47" x14ac:dyDescent="0.3">
      <c r="A98" s="183"/>
      <c r="B98" s="289" t="s">
        <v>393</v>
      </c>
      <c r="C98" s="44"/>
      <c r="D98" s="44"/>
      <c r="E98" s="374"/>
      <c r="F98" s="290">
        <f>MIN(F58:F94)</f>
        <v>268.02999999999997</v>
      </c>
      <c r="G98" s="290">
        <f>MIN(G58:G94)</f>
        <v>221.28</v>
      </c>
      <c r="H98" s="372"/>
      <c r="I98" s="291">
        <f>MIN(I58:I94)</f>
        <v>2.3281051527033747</v>
      </c>
      <c r="J98" s="291">
        <f>MIN(J58:J94)</f>
        <v>1.8980504041844983</v>
      </c>
      <c r="K98" s="44"/>
      <c r="L98" s="292">
        <f>MIN(L58:L94)</f>
        <v>16.427918120500937</v>
      </c>
      <c r="M98" s="44"/>
      <c r="N98" s="292">
        <f>MIN(N58:N94)</f>
        <v>11.68179073473754</v>
      </c>
      <c r="O98" s="44"/>
      <c r="P98" s="290">
        <f>MIN(P58:P94)</f>
        <v>43.631211</v>
      </c>
      <c r="Q98" s="293">
        <f>MIN(Q58:Q94)</f>
        <v>-0.14151788065518511</v>
      </c>
      <c r="R98" s="293">
        <f>MIN(R58:R94)</f>
        <v>-0.1872248367997571</v>
      </c>
      <c r="S98" s="375"/>
      <c r="T98" s="293">
        <f>MIN(T58:T94)</f>
        <v>0</v>
      </c>
      <c r="U98" s="293">
        <f>MIN(U58:U94)</f>
        <v>0.21819735875859247</v>
      </c>
      <c r="V98" s="293">
        <f>MIN(V58:V94)</f>
        <v>3.0169310210043404E-2</v>
      </c>
      <c r="W98" s="293">
        <f>MIN(W58:W94)</f>
        <v>-0.32088946350443837</v>
      </c>
      <c r="X98" s="375"/>
      <c r="Y98" s="294">
        <f>MIN(Y58:Y94)</f>
        <v>0.67206600000000005</v>
      </c>
      <c r="Z98" s="183"/>
      <c r="AA98" s="183"/>
      <c r="AB98" s="44"/>
      <c r="AC98" s="44"/>
      <c r="AD98" s="44"/>
      <c r="AE98" s="372"/>
      <c r="AF98" s="372"/>
      <c r="AG98" s="372"/>
      <c r="AH98" s="372"/>
      <c r="AI98" s="44"/>
      <c r="AJ98" s="373"/>
      <c r="AK98" s="44"/>
      <c r="AL98" s="372"/>
      <c r="AM98" s="372"/>
      <c r="AN98" s="44"/>
      <c r="AO98" s="372"/>
      <c r="AP98" s="372"/>
      <c r="AQ98" s="44"/>
      <c r="AR98" s="44"/>
      <c r="AS98" s="44"/>
      <c r="AT98" s="44"/>
      <c r="AU98" s="44"/>
    </row>
    <row r="99" spans="1:47" x14ac:dyDescent="0.3">
      <c r="A99" s="183"/>
      <c r="B99" s="295" t="s">
        <v>394</v>
      </c>
      <c r="C99" s="214"/>
      <c r="D99" s="214"/>
      <c r="E99" s="376"/>
      <c r="F99" s="296">
        <f>MAX(F58:F94)</f>
        <v>40969.58</v>
      </c>
      <c r="G99" s="296">
        <f>MAX(G58:G94)</f>
        <v>40040.33</v>
      </c>
      <c r="H99" s="377"/>
      <c r="I99" s="297">
        <f>MAX(I58:I94)</f>
        <v>46.878167462357695</v>
      </c>
      <c r="J99" s="297">
        <f>MAX(J58:J94)</f>
        <v>28.798477157360406</v>
      </c>
      <c r="K99" s="214"/>
      <c r="L99" s="298">
        <f>MAX(L58:L94)</f>
        <v>53.266739475258085</v>
      </c>
      <c r="M99" s="214"/>
      <c r="N99" s="298">
        <f>MAX(N58:N94)</f>
        <v>70.813771670298209</v>
      </c>
      <c r="O99" s="214"/>
      <c r="P99" s="296">
        <f>MAX(P58:P94)</f>
        <v>4277.26</v>
      </c>
      <c r="Q99" s="299">
        <f>MAX(Q58:Q94)</f>
        <v>1.0186408091615817</v>
      </c>
      <c r="R99" s="299">
        <f>MAX(R58:R94)</f>
        <v>0.94160704733733103</v>
      </c>
      <c r="S99" s="378"/>
      <c r="T99" s="299">
        <f>MAX(T58:T94)</f>
        <v>1.034575</v>
      </c>
      <c r="U99" s="299">
        <f>MAX(U58:U94)</f>
        <v>1.1529343249899904</v>
      </c>
      <c r="V99" s="299">
        <f>MAX(V58:V94)</f>
        <v>0.37515941488798027</v>
      </c>
      <c r="W99" s="299">
        <f>MAX(W58:W94)</f>
        <v>0.20898300729329969</v>
      </c>
      <c r="X99" s="378"/>
      <c r="Y99" s="300">
        <f>MAX(Y58:Y94)</f>
        <v>1.144914</v>
      </c>
      <c r="Z99" s="183"/>
      <c r="AA99" s="183"/>
      <c r="AB99" s="44"/>
      <c r="AC99" s="44"/>
      <c r="AD99" s="44"/>
      <c r="AE99" s="372"/>
      <c r="AF99" s="372"/>
      <c r="AG99" s="372"/>
      <c r="AH99" s="372"/>
      <c r="AI99" s="44"/>
      <c r="AJ99" s="373"/>
      <c r="AK99" s="44"/>
      <c r="AL99" s="372"/>
      <c r="AM99" s="372"/>
      <c r="AN99" s="44"/>
      <c r="AO99" s="372"/>
      <c r="AP99" s="372"/>
      <c r="AQ99" s="44"/>
      <c r="AR99" s="44"/>
      <c r="AS99" s="44"/>
      <c r="AT99" s="44"/>
      <c r="AU99" s="44"/>
    </row>
    <row r="100" spans="1:47" x14ac:dyDescent="0.3">
      <c r="A100" s="183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83"/>
      <c r="AA100" s="183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</row>
    <row r="101" spans="1:47" x14ac:dyDescent="0.3">
      <c r="A101" s="183"/>
      <c r="B101" s="98" t="s">
        <v>395</v>
      </c>
      <c r="C101" s="98"/>
      <c r="D101" s="301">
        <v>2015</v>
      </c>
      <c r="E101" s="98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96"/>
      <c r="AA101" s="96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</row>
    <row r="102" spans="1:47" x14ac:dyDescent="0.3">
      <c r="A102" s="183"/>
      <c r="B102" s="83"/>
      <c r="C102" s="258" t="s">
        <v>396</v>
      </c>
      <c r="D102" s="258" t="s">
        <v>397</v>
      </c>
      <c r="E102" s="258" t="s">
        <v>398</v>
      </c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180"/>
      <c r="AA102" s="180"/>
      <c r="AB102" s="208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</row>
    <row r="103" spans="1:47" x14ac:dyDescent="0.3">
      <c r="A103" s="183"/>
      <c r="B103" s="13" t="s">
        <v>399</v>
      </c>
      <c r="C103" s="302">
        <v>5</v>
      </c>
      <c r="D103" s="303">
        <f>J97</f>
        <v>7.4400356910398369</v>
      </c>
      <c r="E103" s="302">
        <v>10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83"/>
      <c r="AA103" s="183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</row>
    <row r="104" spans="1:47" x14ac:dyDescent="0.3">
      <c r="A104" s="183"/>
      <c r="B104" s="13" t="s">
        <v>400</v>
      </c>
      <c r="C104" s="56">
        <f>'P&amp;L'!F70</f>
        <v>260644</v>
      </c>
      <c r="D104" s="56">
        <f>'P&amp;L'!F70</f>
        <v>260644</v>
      </c>
      <c r="E104" s="56">
        <f>'P&amp;L'!F70</f>
        <v>260644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83"/>
      <c r="AA104" s="183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</row>
    <row r="105" spans="1:47" x14ac:dyDescent="0.3">
      <c r="A105" s="183"/>
      <c r="B105" s="124" t="s">
        <v>310</v>
      </c>
      <c r="C105" s="124">
        <f>C104*C103</f>
        <v>1303220</v>
      </c>
      <c r="D105" s="124">
        <f>D104*D103</f>
        <v>1939200.6626553873</v>
      </c>
      <c r="E105" s="124">
        <f>E104*E103</f>
        <v>2606440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83"/>
      <c r="AA105" s="183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</row>
    <row r="106" spans="1:47" x14ac:dyDescent="0.3">
      <c r="A106" s="18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83"/>
      <c r="AA106" s="183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</row>
    <row r="107" spans="1:47" x14ac:dyDescent="0.3">
      <c r="A107" s="183"/>
      <c r="B107" s="13" t="s">
        <v>77</v>
      </c>
      <c r="C107" s="169">
        <f>'BS-CF-WC'!F31+'BS-CF-WC'!F28</f>
        <v>27091</v>
      </c>
      <c r="D107" s="169">
        <f>'BS-CF-WC'!F31+'BS-CF-WC'!F28</f>
        <v>27091</v>
      </c>
      <c r="E107" s="169">
        <f>'BS-CF-WC'!F31+'BS-CF-WC'!F28</f>
        <v>27091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83"/>
      <c r="AA107" s="183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</row>
    <row r="108" spans="1:47" x14ac:dyDescent="0.3">
      <c r="A108" s="183"/>
      <c r="B108" s="13" t="s">
        <v>401</v>
      </c>
      <c r="C108" s="169">
        <f>'BS-CF-WC'!F8</f>
        <v>206118.43488876079</v>
      </c>
      <c r="D108" s="169">
        <f>'BS-CF-WC'!F8</f>
        <v>206118.43488876079</v>
      </c>
      <c r="E108" s="169">
        <f>'BS-CF-WC'!F8</f>
        <v>206118.43488876079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83"/>
      <c r="AA108" s="183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</row>
    <row r="109" spans="1:47" x14ac:dyDescent="0.3">
      <c r="A109" s="183"/>
      <c r="B109" s="127" t="s">
        <v>402</v>
      </c>
      <c r="C109" s="128">
        <f>C105+C107-C108</f>
        <v>1124192.5651112392</v>
      </c>
      <c r="D109" s="128">
        <f>D105+D107-D108</f>
        <v>1760173.2277666265</v>
      </c>
      <c r="E109" s="128">
        <f>E105+E107-E108</f>
        <v>2427412.5651112394</v>
      </c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  <c r="Z109" s="366"/>
      <c r="AA109" s="366"/>
      <c r="AB109" s="334"/>
      <c r="AC109" s="334"/>
      <c r="AD109" s="334"/>
      <c r="AE109" s="334"/>
      <c r="AF109" s="334"/>
      <c r="AG109" s="334"/>
      <c r="AH109" s="334"/>
      <c r="AI109" s="334"/>
      <c r="AJ109" s="334"/>
      <c r="AK109" s="334"/>
      <c r="AL109" s="334"/>
      <c r="AM109" s="334"/>
      <c r="AN109" s="334"/>
      <c r="AO109" s="334"/>
      <c r="AP109" s="334"/>
      <c r="AQ109" s="334"/>
      <c r="AR109" s="334"/>
      <c r="AS109" s="334"/>
      <c r="AT109" s="334"/>
      <c r="AU109" s="334"/>
    </row>
    <row r="110" spans="1:47" x14ac:dyDescent="0.3">
      <c r="A110" s="183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83"/>
      <c r="AA110" s="183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</row>
    <row r="111" spans="1:47" x14ac:dyDescent="0.3">
      <c r="A111" s="183"/>
      <c r="B111" s="304" t="s">
        <v>403</v>
      </c>
      <c r="C111" s="305">
        <f>C109/('Equity-Shares'!C67/10^3)</f>
        <v>12.291539680251436</v>
      </c>
      <c r="D111" s="305">
        <f>D109/('Equity-Shares'!C67/10^3)</f>
        <v>19.245136237908604</v>
      </c>
      <c r="E111" s="305">
        <f>E109/('Equity-Shares'!C67/10^3)</f>
        <v>26.540504527757108</v>
      </c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96"/>
      <c r="AA111" s="96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</row>
  </sheetData>
  <mergeCells count="16">
    <mergeCell ref="A54:J54"/>
    <mergeCell ref="A2:J2"/>
    <mergeCell ref="AE56:AH56"/>
    <mergeCell ref="AL56:AM56"/>
    <mergeCell ref="AO56:AP56"/>
    <mergeCell ref="I55:N55"/>
    <mergeCell ref="P55:Y55"/>
    <mergeCell ref="I56:J56"/>
    <mergeCell ref="Q56:R56"/>
    <mergeCell ref="T56:X56"/>
    <mergeCell ref="C46:C51"/>
    <mergeCell ref="C4:E4"/>
    <mergeCell ref="F4:J4"/>
    <mergeCell ref="B21:L21"/>
    <mergeCell ref="B31:D31"/>
    <mergeCell ref="E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Drivers</vt:lpstr>
      <vt:lpstr>P&amp;L</vt:lpstr>
      <vt:lpstr>BS-CF-WC</vt:lpstr>
      <vt:lpstr>Debt-Capex-Amort</vt:lpstr>
      <vt:lpstr>Equity-Shares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2013-06-17T08:47:06Z</dcterms:created>
  <dcterms:modified xsi:type="dcterms:W3CDTF">2026-08-17T21:14:56Z</dcterms:modified>
</cp:coreProperties>
</file>