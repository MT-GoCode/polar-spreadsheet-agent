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EBEB095B-5C6A-4995-921D-6DBDF0AAB815}" xr6:coauthVersionLast="47" xr6:coauthVersionMax="47" xr10:uidLastSave="{00000000-0000-0000-0000-000000000000}"/>
  <bookViews>
    <workbookView xWindow="7448" yWindow="-16695" windowWidth="28994" windowHeight="15675" xr2:uid="{D55446B6-16B0-4BF3-B0BD-8A9B6B0D3CE3}"/>
  </bookViews>
  <sheets>
    <sheet name="Returns-Summary" sheetId="1" r:id="rId1"/>
    <sheet name="Model-Build" sheetId="2" r:id="rId2"/>
  </sheets>
  <definedNames>
    <definedName name="Company_Name">'Returns-Summary'!$D$7</definedName>
    <definedName name="Hist_Yr">'Returns-Summary'!$D$8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3" i="2" l="1"/>
  <c r="L155" i="2"/>
  <c r="K155" i="2"/>
  <c r="J155" i="2"/>
  <c r="I155" i="2"/>
  <c r="H155" i="2"/>
  <c r="L150" i="2"/>
  <c r="K150" i="2"/>
  <c r="J150" i="2"/>
  <c r="I150" i="2"/>
  <c r="H150" i="2"/>
  <c r="L149" i="2"/>
  <c r="K149" i="2"/>
  <c r="J149" i="2"/>
  <c r="I149" i="2"/>
  <c r="H149" i="2"/>
  <c r="L148" i="2"/>
  <c r="K148" i="2"/>
  <c r="J148" i="2"/>
  <c r="I148" i="2"/>
  <c r="H148" i="2"/>
  <c r="L147" i="2"/>
  <c r="K147" i="2"/>
  <c r="J147" i="2"/>
  <c r="I147" i="2"/>
  <c r="H147" i="2"/>
  <c r="L146" i="2"/>
  <c r="K146" i="2"/>
  <c r="J146" i="2"/>
  <c r="I146" i="2"/>
  <c r="H146" i="2"/>
  <c r="H144" i="2"/>
  <c r="D137" i="2"/>
  <c r="F132" i="2"/>
  <c r="E132" i="2"/>
  <c r="G126" i="2"/>
  <c r="F126" i="2"/>
  <c r="E126" i="2"/>
  <c r="G121" i="2"/>
  <c r="G128" i="2" s="1"/>
  <c r="G132" i="2" s="1"/>
  <c r="F121" i="2"/>
  <c r="F128" i="2" s="1"/>
  <c r="E121" i="2"/>
  <c r="E128" i="2" s="1"/>
  <c r="G112" i="2"/>
  <c r="F112" i="2"/>
  <c r="E112" i="2"/>
  <c r="G107" i="2"/>
  <c r="G114" i="2" s="1"/>
  <c r="F107" i="2"/>
  <c r="F114" i="2" s="1"/>
  <c r="E107" i="2"/>
  <c r="E114" i="2" s="1"/>
  <c r="G101" i="2"/>
  <c r="H96" i="2"/>
  <c r="G93" i="2"/>
  <c r="F93" i="2"/>
  <c r="F98" i="2" s="1"/>
  <c r="G91" i="2"/>
  <c r="F91" i="2"/>
  <c r="E91" i="2"/>
  <c r="E93" i="2" s="1"/>
  <c r="H86" i="2"/>
  <c r="H93" i="2" s="1"/>
  <c r="H21" i="1" s="1"/>
  <c r="G84" i="2"/>
  <c r="G19" i="1" s="1"/>
  <c r="F84" i="2"/>
  <c r="E84" i="2"/>
  <c r="E19" i="1" s="1"/>
  <c r="D81" i="2"/>
  <c r="H80" i="2"/>
  <c r="E80" i="2"/>
  <c r="L77" i="2"/>
  <c r="L76" i="2"/>
  <c r="K76" i="2"/>
  <c r="L75" i="2"/>
  <c r="K75" i="2"/>
  <c r="J75" i="2"/>
  <c r="L74" i="2"/>
  <c r="K74" i="2"/>
  <c r="J74" i="2"/>
  <c r="I74" i="2"/>
  <c r="L73" i="2"/>
  <c r="K73" i="2"/>
  <c r="J73" i="2"/>
  <c r="I73" i="2"/>
  <c r="H73" i="2"/>
  <c r="H78" i="2" s="1"/>
  <c r="H143" i="2" s="1"/>
  <c r="L72" i="2"/>
  <c r="L78" i="2" s="1"/>
  <c r="L143" i="2" s="1"/>
  <c r="K72" i="2"/>
  <c r="K78" i="2" s="1"/>
  <c r="K143" i="2" s="1"/>
  <c r="J72" i="2"/>
  <c r="J78" i="2" s="1"/>
  <c r="J143" i="2" s="1"/>
  <c r="I72" i="2"/>
  <c r="I78" i="2" s="1"/>
  <c r="I143" i="2" s="1"/>
  <c r="H72" i="2"/>
  <c r="E62" i="2"/>
  <c r="F61" i="2"/>
  <c r="E61" i="2"/>
  <c r="F60" i="2"/>
  <c r="E60" i="2"/>
  <c r="G58" i="2"/>
  <c r="E58" i="2"/>
  <c r="G57" i="2"/>
  <c r="F57" i="2"/>
  <c r="E57" i="2"/>
  <c r="L54" i="2"/>
  <c r="L96" i="2" s="1"/>
  <c r="K54" i="2"/>
  <c r="K96" i="2" s="1"/>
  <c r="J54" i="2"/>
  <c r="J96" i="2" s="1"/>
  <c r="H54" i="2"/>
  <c r="L50" i="2"/>
  <c r="K50" i="2"/>
  <c r="J50" i="2"/>
  <c r="I50" i="2"/>
  <c r="H50" i="2"/>
  <c r="H49" i="2"/>
  <c r="H51" i="2" s="1"/>
  <c r="H45" i="2"/>
  <c r="I43" i="2" s="1"/>
  <c r="I47" i="2" s="1"/>
  <c r="L44" i="2"/>
  <c r="K44" i="2"/>
  <c r="J44" i="2"/>
  <c r="I44" i="2"/>
  <c r="H44" i="2"/>
  <c r="H159" i="2" s="1"/>
  <c r="H160" i="2" s="1"/>
  <c r="H43" i="2"/>
  <c r="H47" i="2" s="1"/>
  <c r="L38" i="2"/>
  <c r="L159" i="2" s="1"/>
  <c r="L160" i="2" s="1"/>
  <c r="K38" i="2"/>
  <c r="J38" i="2"/>
  <c r="I38" i="2"/>
  <c r="I159" i="2" s="1"/>
  <c r="I160" i="2" s="1"/>
  <c r="H38" i="2"/>
  <c r="H37" i="2"/>
  <c r="H39" i="2" s="1"/>
  <c r="I37" i="2" s="1"/>
  <c r="L35" i="2"/>
  <c r="K35" i="2"/>
  <c r="J35" i="2"/>
  <c r="I35" i="2"/>
  <c r="I54" i="2" s="1"/>
  <c r="I96" i="2" s="1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D29" i="2"/>
  <c r="H20" i="2"/>
  <c r="H90" i="2" s="1"/>
  <c r="G20" i="2"/>
  <c r="F20" i="2"/>
  <c r="G21" i="2" s="1"/>
  <c r="E20" i="2"/>
  <c r="G18" i="2"/>
  <c r="F18" i="2"/>
  <c r="H17" i="2"/>
  <c r="H89" i="2" s="1"/>
  <c r="H91" i="2" s="1"/>
  <c r="G17" i="2"/>
  <c r="F17" i="2"/>
  <c r="E17" i="2"/>
  <c r="G15" i="2"/>
  <c r="F15" i="2"/>
  <c r="E15" i="2"/>
  <c r="G13" i="2"/>
  <c r="F13" i="2"/>
  <c r="E13" i="2"/>
  <c r="H12" i="2"/>
  <c r="I9" i="2"/>
  <c r="J9" i="2" s="1"/>
  <c r="K9" i="2" s="1"/>
  <c r="L9" i="2" s="1"/>
  <c r="G9" i="2"/>
  <c r="H9" i="2" s="1"/>
  <c r="H83" i="2" s="1"/>
  <c r="F9" i="2"/>
  <c r="E9" i="2"/>
  <c r="F10" i="2" s="1"/>
  <c r="G7" i="2"/>
  <c r="F7" i="2"/>
  <c r="I6" i="2"/>
  <c r="I12" i="2" s="1"/>
  <c r="H6" i="2"/>
  <c r="H3" i="2"/>
  <c r="H101" i="2" s="1"/>
  <c r="D3" i="2"/>
  <c r="D101" i="2" s="1"/>
  <c r="H2" i="2"/>
  <c r="H136" i="2" s="1"/>
  <c r="E2" i="2"/>
  <c r="J41" i="1"/>
  <c r="L29" i="1"/>
  <c r="K29" i="1"/>
  <c r="K41" i="1" s="1"/>
  <c r="J29" i="1"/>
  <c r="I29" i="1"/>
  <c r="H29" i="1"/>
  <c r="G29" i="1"/>
  <c r="F29" i="1"/>
  <c r="E29" i="1"/>
  <c r="L28" i="1"/>
  <c r="K28" i="1"/>
  <c r="J28" i="1"/>
  <c r="I28" i="1"/>
  <c r="H28" i="1"/>
  <c r="H33" i="1" s="1"/>
  <c r="G28" i="1"/>
  <c r="F28" i="1"/>
  <c r="E28" i="1"/>
  <c r="G25" i="1"/>
  <c r="G26" i="1" s="1"/>
  <c r="F25" i="1"/>
  <c r="F26" i="1" s="1"/>
  <c r="E25" i="1"/>
  <c r="E26" i="1" s="1"/>
  <c r="F19" i="1"/>
  <c r="H18" i="1"/>
  <c r="G18" i="1"/>
  <c r="F18" i="1"/>
  <c r="E18" i="1"/>
  <c r="I15" i="1"/>
  <c r="J15" i="1" s="1"/>
  <c r="H15" i="1"/>
  <c r="G15" i="1"/>
  <c r="G3" i="2" s="1"/>
  <c r="F15" i="1"/>
  <c r="B2" i="1"/>
  <c r="K15" i="1" l="1"/>
  <c r="J3" i="2"/>
  <c r="H23" i="1"/>
  <c r="H34" i="1"/>
  <c r="L41" i="1"/>
  <c r="F33" i="1"/>
  <c r="I3" i="2"/>
  <c r="H52" i="2"/>
  <c r="I49" i="2" s="1"/>
  <c r="E134" i="2"/>
  <c r="J159" i="2"/>
  <c r="J160" i="2" s="1"/>
  <c r="I45" i="2"/>
  <c r="J43" i="2" s="1"/>
  <c r="F3" i="2"/>
  <c r="E15" i="1"/>
  <c r="E3" i="2" s="1"/>
  <c r="H94" i="2"/>
  <c r="H142" i="2"/>
  <c r="H154" i="2"/>
  <c r="H156" i="2" s="1"/>
  <c r="H84" i="2"/>
  <c r="H19" i="1" s="1"/>
  <c r="H41" i="2"/>
  <c r="H26" i="1" s="1"/>
  <c r="H32" i="1" s="1"/>
  <c r="H95" i="2"/>
  <c r="H25" i="1" s="1"/>
  <c r="H31" i="1" s="1"/>
  <c r="E21" i="1"/>
  <c r="E98" i="2"/>
  <c r="F134" i="2"/>
  <c r="G21" i="1"/>
  <c r="G34" i="1" s="1"/>
  <c r="G98" i="2"/>
  <c r="F21" i="1"/>
  <c r="E33" i="1"/>
  <c r="E34" i="1"/>
  <c r="H81" i="2"/>
  <c r="H137" i="2"/>
  <c r="K159" i="2"/>
  <c r="K160" i="2" s="1"/>
  <c r="G81" i="2"/>
  <c r="G137" i="2"/>
  <c r="I39" i="2"/>
  <c r="J37" i="2" s="1"/>
  <c r="I41" i="2"/>
  <c r="I26" i="1" s="1"/>
  <c r="F58" i="2"/>
  <c r="F62" i="2"/>
  <c r="G134" i="2"/>
  <c r="E136" i="2"/>
  <c r="E100" i="2"/>
  <c r="H60" i="2"/>
  <c r="I60" i="2" s="1"/>
  <c r="J60" i="2" s="1"/>
  <c r="K60" i="2" s="1"/>
  <c r="L60" i="2" s="1"/>
  <c r="G62" i="2"/>
  <c r="G61" i="2"/>
  <c r="G60" i="2"/>
  <c r="F21" i="2"/>
  <c r="I83" i="2"/>
  <c r="H100" i="2"/>
  <c r="G10" i="2"/>
  <c r="I17" i="2"/>
  <c r="J6" i="2"/>
  <c r="I20" i="2"/>
  <c r="E32" i="1" l="1"/>
  <c r="E31" i="1"/>
  <c r="E23" i="1"/>
  <c r="E22" i="1"/>
  <c r="E101" i="2"/>
  <c r="E81" i="2"/>
  <c r="E137" i="2"/>
  <c r="J137" i="2"/>
  <c r="J101" i="2"/>
  <c r="J81" i="2"/>
  <c r="J47" i="2"/>
  <c r="J45" i="2"/>
  <c r="K43" i="2" s="1"/>
  <c r="G32" i="1"/>
  <c r="G31" i="1"/>
  <c r="G23" i="1"/>
  <c r="G22" i="1"/>
  <c r="F137" i="2"/>
  <c r="F101" i="2"/>
  <c r="F81" i="2"/>
  <c r="G33" i="1"/>
  <c r="H22" i="1"/>
  <c r="K3" i="2"/>
  <c r="L15" i="1"/>
  <c r="L3" i="2" s="1"/>
  <c r="I142" i="2"/>
  <c r="I154" i="2"/>
  <c r="I156" i="2" s="1"/>
  <c r="I84" i="2"/>
  <c r="I19" i="1" s="1"/>
  <c r="I94" i="2"/>
  <c r="I18" i="1"/>
  <c r="I86" i="2"/>
  <c r="I51" i="2"/>
  <c r="I52" i="2"/>
  <c r="J49" i="2" s="1"/>
  <c r="H97" i="2"/>
  <c r="H98" i="2" s="1"/>
  <c r="H140" i="2" s="1"/>
  <c r="H151" i="2" s="1"/>
  <c r="H162" i="2" s="1"/>
  <c r="H164" i="2" s="1"/>
  <c r="I163" i="2" s="1"/>
  <c r="I101" i="2"/>
  <c r="I81" i="2"/>
  <c r="I137" i="2"/>
  <c r="I89" i="2"/>
  <c r="J17" i="2"/>
  <c r="I90" i="2"/>
  <c r="J20" i="2"/>
  <c r="J83" i="2"/>
  <c r="K6" i="2"/>
  <c r="J12" i="2"/>
  <c r="J39" i="2"/>
  <c r="K37" i="2" s="1"/>
  <c r="J41" i="2"/>
  <c r="J26" i="1" s="1"/>
  <c r="F32" i="1"/>
  <c r="F31" i="1"/>
  <c r="F23" i="1"/>
  <c r="F22" i="1"/>
  <c r="F34" i="1"/>
  <c r="K45" i="2" l="1"/>
  <c r="L43" i="2" s="1"/>
  <c r="K47" i="2"/>
  <c r="J90" i="2"/>
  <c r="K20" i="2"/>
  <c r="J51" i="2"/>
  <c r="J52" i="2"/>
  <c r="K49" i="2" s="1"/>
  <c r="I95" i="2"/>
  <c r="I25" i="1" s="1"/>
  <c r="I144" i="2"/>
  <c r="K83" i="2"/>
  <c r="L6" i="2"/>
  <c r="K12" i="2"/>
  <c r="L81" i="2"/>
  <c r="L101" i="2"/>
  <c r="L137" i="2"/>
  <c r="K137" i="2"/>
  <c r="K101" i="2"/>
  <c r="K81" i="2"/>
  <c r="J89" i="2"/>
  <c r="J91" i="2" s="1"/>
  <c r="K17" i="2"/>
  <c r="I91" i="2"/>
  <c r="I93" i="2" s="1"/>
  <c r="K39" i="2"/>
  <c r="L37" i="2" s="1"/>
  <c r="K41" i="2"/>
  <c r="K26" i="1" s="1"/>
  <c r="J86" i="2"/>
  <c r="J93" i="2" s="1"/>
  <c r="J154" i="2"/>
  <c r="J156" i="2" s="1"/>
  <c r="J84" i="2"/>
  <c r="J19" i="1" s="1"/>
  <c r="J142" i="2"/>
  <c r="J18" i="1"/>
  <c r="J94" i="2"/>
  <c r="I98" i="2" l="1"/>
  <c r="I140" i="2" s="1"/>
  <c r="I151" i="2" s="1"/>
  <c r="I162" i="2" s="1"/>
  <c r="I164" i="2" s="1"/>
  <c r="J163" i="2" s="1"/>
  <c r="I97" i="2"/>
  <c r="I21" i="1"/>
  <c r="J21" i="1"/>
  <c r="K51" i="2"/>
  <c r="K52" i="2"/>
  <c r="L49" i="2" s="1"/>
  <c r="L17" i="2"/>
  <c r="L89" i="2" s="1"/>
  <c r="L91" i="2" s="1"/>
  <c r="K89" i="2"/>
  <c r="L83" i="2"/>
  <c r="L12" i="2"/>
  <c r="J144" i="2"/>
  <c r="J95" i="2"/>
  <c r="J25" i="1" s="1"/>
  <c r="K94" i="2"/>
  <c r="K154" i="2"/>
  <c r="K156" i="2" s="1"/>
  <c r="K84" i="2"/>
  <c r="K19" i="1" s="1"/>
  <c r="K86" i="2"/>
  <c r="K142" i="2"/>
  <c r="K18" i="1"/>
  <c r="L41" i="2"/>
  <c r="L26" i="1" s="1"/>
  <c r="L39" i="2"/>
  <c r="K90" i="2"/>
  <c r="L20" i="2"/>
  <c r="L90" i="2" s="1"/>
  <c r="L45" i="2"/>
  <c r="L47" i="2"/>
  <c r="K95" i="2" l="1"/>
  <c r="K25" i="1" s="1"/>
  <c r="K144" i="2"/>
  <c r="J38" i="1"/>
  <c r="J40" i="1" s="1"/>
  <c r="J42" i="1" s="1"/>
  <c r="J44" i="1" s="1"/>
  <c r="J31" i="1"/>
  <c r="J23" i="1"/>
  <c r="J22" i="1"/>
  <c r="J32" i="1"/>
  <c r="J33" i="1"/>
  <c r="J34" i="1"/>
  <c r="J97" i="2"/>
  <c r="L142" i="2"/>
  <c r="L154" i="2"/>
  <c r="L156" i="2" s="1"/>
  <c r="L84" i="2"/>
  <c r="L19" i="1" s="1"/>
  <c r="L86" i="2"/>
  <c r="L93" i="2" s="1"/>
  <c r="L94" i="2"/>
  <c r="L18" i="1"/>
  <c r="I23" i="1"/>
  <c r="I22" i="1"/>
  <c r="I32" i="1"/>
  <c r="I31" i="1"/>
  <c r="I33" i="1"/>
  <c r="I34" i="1"/>
  <c r="L51" i="2"/>
  <c r="J98" i="2"/>
  <c r="J140" i="2" s="1"/>
  <c r="J151" i="2" s="1"/>
  <c r="J162" i="2" s="1"/>
  <c r="J164" i="2" s="1"/>
  <c r="K163" i="2" s="1"/>
  <c r="K93" i="2"/>
  <c r="K91" i="2"/>
  <c r="L144" i="2" l="1"/>
  <c r="L95" i="2"/>
  <c r="L25" i="1" s="1"/>
  <c r="L98" i="2"/>
  <c r="L140" i="2" s="1"/>
  <c r="L97" i="2"/>
  <c r="L21" i="1"/>
  <c r="J46" i="1"/>
  <c r="J45" i="1"/>
  <c r="K97" i="2"/>
  <c r="K98" i="2"/>
  <c r="K140" i="2" s="1"/>
  <c r="K151" i="2" s="1"/>
  <c r="K162" i="2" s="1"/>
  <c r="K164" i="2" s="1"/>
  <c r="L163" i="2" s="1"/>
  <c r="K21" i="1"/>
  <c r="L52" i="2"/>
  <c r="L38" i="1" l="1"/>
  <c r="L40" i="1" s="1"/>
  <c r="L42" i="1" s="1"/>
  <c r="L44" i="1" s="1"/>
  <c r="L31" i="1"/>
  <c r="L22" i="1"/>
  <c r="L32" i="1"/>
  <c r="L23" i="1"/>
  <c r="L33" i="1"/>
  <c r="L34" i="1"/>
  <c r="L151" i="2"/>
  <c r="L162" i="2" s="1"/>
  <c r="L164" i="2" s="1"/>
  <c r="K38" i="1"/>
  <c r="K40" i="1" s="1"/>
  <c r="K42" i="1" s="1"/>
  <c r="K44" i="1" s="1"/>
  <c r="K31" i="1"/>
  <c r="K23" i="1"/>
  <c r="K22" i="1"/>
  <c r="K32" i="1"/>
  <c r="K33" i="1"/>
  <c r="K34" i="1"/>
  <c r="K45" i="1" l="1"/>
  <c r="K46" i="1"/>
  <c r="L45" i="1"/>
  <c r="L46" i="1"/>
</calcChain>
</file>

<file path=xl/sharedStrings.xml><?xml version="1.0" encoding="utf-8"?>
<sst xmlns="http://schemas.openxmlformats.org/spreadsheetml/2006/main" count="285" uniqueCount="151">
  <si>
    <t>BRIEF &amp; INPUTS:</t>
  </si>
  <si>
    <t>Entity Name:</t>
  </si>
  <si>
    <t>Beacon Staffing Group Limited</t>
  </si>
  <si>
    <t>Equity Invested at Entry:</t>
  </si>
  <si>
    <t>Final Actual Year:</t>
  </si>
  <si>
    <t>Ownership Acquired (%):</t>
  </si>
  <si>
    <t>Prepare a fully integrated three-statement projection spanning five forecast years for Beacon Staffing Group, a specialist IT recruitment</t>
  </si>
  <si>
    <t xml:space="preserve">business based in the United Kingdom. Its purpose is to help a private-equity or growth-equity sponsor gauge the internal rate of return and cash-on-cash returns achievable </t>
  </si>
  <si>
    <t>on a minority growth-equity position.</t>
  </si>
  <si>
    <t>Actuals</t>
  </si>
  <si>
    <t>Forecast</t>
  </si>
  <si>
    <t>Reporting Units:</t>
  </si>
  <si>
    <t>Revenue (Turnover):</t>
  </si>
  <si>
    <t>£ M</t>
  </si>
  <si>
    <t>Rate of Growth:</t>
  </si>
  <si>
    <t>%</t>
  </si>
  <si>
    <t>EBITDA —</t>
  </si>
  <si>
    <t>Margin (%):</t>
  </si>
  <si>
    <t>Interest Cost:</t>
  </si>
  <si>
    <t>Interest Paid in Cash:</t>
  </si>
  <si>
    <t>Debt — Total</t>
  </si>
  <si>
    <t>Debt, Net:</t>
  </si>
  <si>
    <t>EBITDA-to-Interest:</t>
  </si>
  <si>
    <t>x</t>
  </si>
  <si>
    <t>EBITDA-to-Cash-Interest:</t>
  </si>
  <si>
    <t>Total-Debt-to-EBITDA:</t>
  </si>
  <si>
    <t>Net-Debt-to-EBITDA:</t>
  </si>
  <si>
    <t>EBITDA in Exit Year:</t>
  </si>
  <si>
    <t>Times: Assumed Exit Multiple</t>
  </si>
  <si>
    <t>Enterprise Value at Exit:</t>
  </si>
  <si>
    <t>Less: Net Debt</t>
  </si>
  <si>
    <t>Equity Value at Exit:</t>
  </si>
  <si>
    <t>Money-on-Money Multiple:</t>
  </si>
  <si>
    <t>IRR (Internal Rate of Return):</t>
  </si>
  <si>
    <t>Selling Staff:</t>
  </si>
  <si>
    <t>Headcount (#)</t>
  </si>
  <si>
    <t>Growth (%):</t>
  </si>
  <si>
    <t>Productivity per Sales Rep:</t>
  </si>
  <si>
    <t>Non-Selling Staff:</t>
  </si>
  <si>
    <t>Other Staff as % of Sales Reps:</t>
  </si>
  <si>
    <t>NFI Margin (%):</t>
  </si>
  <si>
    <t>Payroll Cost per Head:</t>
  </si>
  <si>
    <t>Sundry SG&amp;A:</t>
  </si>
  <si>
    <t>UK Corporation Tax Rate:</t>
  </si>
  <si>
    <t>PIK Flag?</t>
  </si>
  <si>
    <t>Bank Facility A:</t>
  </si>
  <si>
    <t>Bank Facility B:</t>
  </si>
  <si>
    <t>Shareholder PIK Loan:</t>
  </si>
  <si>
    <t>Cash Balance:</t>
  </si>
  <si>
    <t>Benchmark Rate (LIBOR):</t>
  </si>
  <si>
    <t>Bank Facility A — Interest</t>
  </si>
  <si>
    <t>Bank Facility B — Interest</t>
  </si>
  <si>
    <t>Shareholder PIK Loan — Interest</t>
  </si>
  <si>
    <t>Cash — Interest</t>
  </si>
  <si>
    <t>Bank Facility A — Opening</t>
  </si>
  <si>
    <t>Less: Amortisation</t>
  </si>
  <si>
    <t>Bank Facility A — Closing</t>
  </si>
  <si>
    <t>Bank Facility B — Opening</t>
  </si>
  <si>
    <t>Bank Facility B — Closing</t>
  </si>
  <si>
    <t>Shareholder Loan — Opening</t>
  </si>
  <si>
    <t>Add: PIK Interest</t>
  </si>
  <si>
    <t>Shareholder Loan — Closing</t>
  </si>
  <si>
    <t>Cash — Interest Income</t>
  </si>
  <si>
    <t>Balance-Sheet Assumptions:</t>
  </si>
  <si>
    <t>Receivables as % of Turnover:</t>
  </si>
  <si>
    <t>Prepayments as % of OpEx:</t>
  </si>
  <si>
    <t>Payables as % of OpEx:</t>
  </si>
  <si>
    <t>Accruals as % of OpEx:</t>
  </si>
  <si>
    <t>Other Current Liabilities as % of OpEx:</t>
  </si>
  <si>
    <t>Cash-Flow Assumptions:</t>
  </si>
  <si>
    <t>CapEx as % of Turnover:</t>
  </si>
  <si>
    <t>Depreciation as % of Turnover:</t>
  </si>
  <si>
    <t>Intangible Asset Additions:</t>
  </si>
  <si>
    <t>Existing-Intangible Amortisation:</t>
  </si>
  <si>
    <t>New-Intangible Amortisation:</t>
  </si>
  <si>
    <t>Amortisation — Existing Intangibles</t>
  </si>
  <si>
    <t>Amortisation — Yr 1 Additions</t>
  </si>
  <si>
    <t>Amortisation — Yr 2 Additions</t>
  </si>
  <si>
    <t>Amortisation — Yr 3 Additions</t>
  </si>
  <si>
    <t>Amortisation — Yr 4 Additions</t>
  </si>
  <si>
    <t>Amortisation — Yr 5 Additions</t>
  </si>
  <si>
    <t>Amortisation — Total</t>
  </si>
  <si>
    <t>Consolidated Income Statement:</t>
  </si>
  <si>
    <t>Growth Rate (%):</t>
  </si>
  <si>
    <t>NFI (Net Fee Income):</t>
  </si>
  <si>
    <t>Operating Costs:</t>
  </si>
  <si>
    <t>Add: Payroll Costs</t>
  </si>
  <si>
    <t>Add: Other SG&amp;A</t>
  </si>
  <si>
    <t>Operating Costs — Total</t>
  </si>
  <si>
    <t>Less: Depreciation &amp; Amortisation</t>
  </si>
  <si>
    <t>Less: Interest Expense</t>
  </si>
  <si>
    <t>Add: Interest &amp; Other Income</t>
  </si>
  <si>
    <t>-</t>
  </si>
  <si>
    <t>Less: Income Tax Provision</t>
  </si>
  <si>
    <t>Net Profit for the Period:</t>
  </si>
  <si>
    <t>Balance Sheet:</t>
  </si>
  <si>
    <t>Assets —</t>
  </si>
  <si>
    <t>Assets, Current:</t>
  </si>
  <si>
    <t>Cash and Cash Equivalents:</t>
  </si>
  <si>
    <t>Trade Receivables:</t>
  </si>
  <si>
    <t>Prepayments:</t>
  </si>
  <si>
    <t>Current Assets — Total</t>
  </si>
  <si>
    <t>Assets, Non-Current:</t>
  </si>
  <si>
    <t>Property, Plant &amp; Equipment, Net:</t>
  </si>
  <si>
    <t>Sundry Intangible Assets:</t>
  </si>
  <si>
    <t>Non-Current Assets — Total</t>
  </si>
  <si>
    <t>Assets — Total</t>
  </si>
  <si>
    <t>Liabilities &amp; Equity —</t>
  </si>
  <si>
    <t>Liabilities, Current:</t>
  </si>
  <si>
    <t>Trade Payables:</t>
  </si>
  <si>
    <t>Accruals:</t>
  </si>
  <si>
    <t>Sundry Current Liabilities:</t>
  </si>
  <si>
    <t>Current Liabilities — Total</t>
  </si>
  <si>
    <t>Liabilities, Non-Current:</t>
  </si>
  <si>
    <t>Debt, Long-Term:</t>
  </si>
  <si>
    <t>Sundry Long-Term Liabilities:</t>
  </si>
  <si>
    <t>Non-Current Liabilities — Total</t>
  </si>
  <si>
    <t>Liabilities — Total</t>
  </si>
  <si>
    <t>Shareholders' Equity:</t>
  </si>
  <si>
    <t>Liabilities &amp; Equity — Total</t>
  </si>
  <si>
    <t>Balance Tie-Out:</t>
  </si>
  <si>
    <t>Statement of Cash Flows:</t>
  </si>
  <si>
    <t>Operating Cash Flows —</t>
  </si>
  <si>
    <t/>
  </si>
  <si>
    <t>Non-Cash Charge Adjustments:</t>
  </si>
  <si>
    <t>Add: Depreciation</t>
  </si>
  <si>
    <t>Add: Amortisation</t>
  </si>
  <si>
    <t>Working-Capital Movements:</t>
  </si>
  <si>
    <t>Sundry Liabilities:</t>
  </si>
  <si>
    <t>Investing Cash Flows —</t>
  </si>
  <si>
    <t>Less: Capital Expenditure</t>
  </si>
  <si>
    <t>Less: Intangible Asset Purchases</t>
  </si>
  <si>
    <t>Investing — Net Cash Flow</t>
  </si>
  <si>
    <t>Financing Cash Flows —</t>
  </si>
  <si>
    <t>Less: Debt Repayments</t>
  </si>
  <si>
    <t>Financing — Net Cash Flow</t>
  </si>
  <si>
    <t>Net Movement in Cash:</t>
  </si>
  <si>
    <t>Opening Cash:</t>
  </si>
  <si>
    <t>Closing Cash:</t>
  </si>
  <si>
    <t>(all figures £m unless noted)</t>
  </si>
  <si>
    <t>Investment Summary &amp; Returns:</t>
  </si>
  <si>
    <t>Leverage &amp; Coverage Metrics:</t>
  </si>
  <si>
    <t>Returns — Money Multiple &amp; IRR:</t>
  </si>
  <si>
    <t>Investor Exit Proceeds:</t>
  </si>
  <si>
    <t>Operating &amp; Financing Drivers:</t>
  </si>
  <si>
    <t>Revenue &amp; Cost Drivers:</t>
  </si>
  <si>
    <t>Debt &amp; Interest Schedule:</t>
  </si>
  <si>
    <t>Cash Flow from Operations:</t>
  </si>
  <si>
    <t>Opening Balance:</t>
  </si>
  <si>
    <t>Spread (bps) / PIK %:</t>
  </si>
  <si>
    <t>Amortisation (% of Balance):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</si>
</sst>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[$£-809]* #,##0.0_-;\-[$£-809]* #,##0.0_-;_-[$£-809]* &quot;-&quot;?_-;_-@"/>
    <numFmt numFmtId="165" formatCode="yyyy\-mm\-dd"/>
    <numFmt numFmtId="166" formatCode="0.0%;\(0.0%\)"/>
    <numFmt numFmtId="167" formatCode="&quot;FY&quot;yy"/>
    <numFmt numFmtId="168" formatCode="0.0%;\(0.0%\);\-_)_%;@_)_%"/>
    <numFmt numFmtId="169" formatCode="_(* #,##0.0_);_(* \(#,##0.0\);_(* &quot;-&quot;?_);_(@_)"/>
    <numFmt numFmtId="170" formatCode="0.0\ \x;\ \(0.0\ \x\)"/>
    <numFmt numFmtId="171" formatCode="0.0\ \x;\(0.0\ \x\)"/>
    <numFmt numFmtId="172" formatCode="_(#,##0.0%_);\(#,##0.0%\);_(&quot;–&quot;_)_%;_(@_)_%"/>
    <numFmt numFmtId="173" formatCode="#,##0.0_);\(#,##0.0\)"/>
    <numFmt numFmtId="174" formatCode="0;\(0\)"/>
    <numFmt numFmtId="175" formatCode="_(* #,##0.000_);_(* \(#,##0.000\);_(* &quot;-&quot;???_);_(@_)"/>
    <numFmt numFmtId="176" formatCode="&quot;L + &quot;\ ##"/>
    <numFmt numFmtId="177" formatCode="0.0%;\(0.0%\);&quot;–&quot;"/>
    <numFmt numFmtId="178" formatCode="&quot;Yes&quot;;&quot;ERROR&quot;;&quot;No&quot;;&quot;ERROR&quot;"/>
    <numFmt numFmtId="179" formatCode="_(&quot;$&quot;* #,##0.0_);_(&quot;$&quot;* \(#,##0.0\);_(&quot;$&quot;* &quot;-&quot;?_);_(@_)"/>
    <numFmt numFmtId="180" formatCode="&quot;$&quot;#,##0.000\);\(&quot;$&quot;#,##0.000\);&quot;OK!&quot;;&quot;ERROR&quot;"/>
  </numFmts>
  <fonts count="13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FFFF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  <xf numFmtId="0" fontId="6" fillId="2" borderId="2" xfId="0" applyFont="1" applyFill="1" applyBorder="1"/>
    <xf numFmtId="164" fontId="8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8" fillId="3" borderId="1" xfId="0" applyNumberFormat="1" applyFont="1" applyFill="1" applyBorder="1"/>
    <xf numFmtId="0" fontId="5" fillId="2" borderId="2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1" fillId="0" borderId="0" xfId="0" applyNumberFormat="1" applyFont="1"/>
    <xf numFmtId="0" fontId="9" fillId="0" borderId="0" xfId="0" applyFont="1" applyAlignment="1">
      <alignment horizontal="left"/>
    </xf>
    <xf numFmtId="168" fontId="9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horizontal="left"/>
    </xf>
    <xf numFmtId="0" fontId="9" fillId="0" borderId="7" xfId="0" applyFont="1" applyBorder="1" applyAlignment="1">
      <alignment horizontal="center"/>
    </xf>
    <xf numFmtId="171" fontId="8" fillId="3" borderId="9" xfId="0" applyNumberFormat="1" applyFont="1" applyFill="1" applyBorder="1"/>
    <xf numFmtId="0" fontId="1" fillId="0" borderId="10" xfId="0" applyFont="1" applyBorder="1"/>
    <xf numFmtId="0" fontId="10" fillId="4" borderId="11" xfId="0" applyFont="1" applyFill="1" applyBorder="1"/>
    <xf numFmtId="0" fontId="11" fillId="4" borderId="11" xfId="0" applyFont="1" applyFill="1" applyBorder="1" applyAlignment="1">
      <alignment horizontal="center"/>
    </xf>
    <xf numFmtId="169" fontId="10" fillId="4" borderId="11" xfId="0" applyNumberFormat="1" applyFont="1" applyFill="1" applyBorder="1"/>
    <xf numFmtId="168" fontId="1" fillId="0" borderId="0" xfId="0" applyNumberFormat="1" applyFont="1"/>
    <xf numFmtId="0" fontId="1" fillId="0" borderId="0" xfId="0" applyFont="1" applyAlignment="1">
      <alignment vertical="center"/>
    </xf>
    <xf numFmtId="172" fontId="1" fillId="0" borderId="0" xfId="0" applyNumberFormat="1" applyFont="1"/>
    <xf numFmtId="173" fontId="8" fillId="3" borderId="0" xfId="0" applyNumberFormat="1" applyFont="1" applyFill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9" fontId="8" fillId="3" borderId="0" xfId="0" applyNumberFormat="1" applyFont="1" applyFill="1"/>
    <xf numFmtId="176" fontId="8" fillId="3" borderId="14" xfId="0" applyNumberFormat="1" applyFont="1" applyFill="1" applyBorder="1" applyAlignment="1">
      <alignment horizontal="center"/>
    </xf>
    <xf numFmtId="177" fontId="8" fillId="3" borderId="1" xfId="0" applyNumberFormat="1" applyFont="1" applyFill="1" applyBorder="1" applyAlignment="1">
      <alignment horizontal="center"/>
    </xf>
    <xf numFmtId="178" fontId="8" fillId="3" borderId="1" xfId="0" applyNumberFormat="1" applyFont="1" applyFill="1" applyBorder="1" applyAlignment="1">
      <alignment horizontal="center"/>
    </xf>
    <xf numFmtId="176" fontId="8" fillId="3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169" fontId="5" fillId="2" borderId="2" xfId="0" applyNumberFormat="1" applyFont="1" applyFill="1" applyBorder="1"/>
    <xf numFmtId="176" fontId="8" fillId="3" borderId="15" xfId="0" applyNumberFormat="1" applyFont="1" applyFill="1" applyBorder="1" applyAlignment="1">
      <alignment horizontal="center"/>
    </xf>
    <xf numFmtId="172" fontId="8" fillId="3" borderId="0" xfId="0" applyNumberFormat="1" applyFont="1" applyFill="1"/>
    <xf numFmtId="0" fontId="10" fillId="4" borderId="11" xfId="0" applyFont="1" applyFill="1" applyBorder="1" applyAlignment="1">
      <alignment horizontal="left"/>
    </xf>
    <xf numFmtId="172" fontId="10" fillId="4" borderId="11" xfId="0" applyNumberFormat="1" applyFont="1" applyFill="1" applyBorder="1"/>
    <xf numFmtId="0" fontId="1" fillId="0" borderId="0" xfId="0" applyFont="1" applyAlignment="1">
      <alignment horizontal="center"/>
    </xf>
    <xf numFmtId="166" fontId="8" fillId="3" borderId="16" xfId="0" applyNumberFormat="1" applyFont="1" applyFill="1" applyBorder="1"/>
    <xf numFmtId="166" fontId="1" fillId="0" borderId="1" xfId="0" applyNumberFormat="1" applyFont="1" applyBorder="1"/>
    <xf numFmtId="172" fontId="9" fillId="0" borderId="0" xfId="0" applyNumberFormat="1" applyFont="1"/>
    <xf numFmtId="169" fontId="8" fillId="3" borderId="1" xfId="0" applyNumberFormat="1" applyFont="1" applyFill="1" applyBorder="1"/>
    <xf numFmtId="179" fontId="1" fillId="0" borderId="0" xfId="0" applyNumberFormat="1" applyFont="1"/>
    <xf numFmtId="164" fontId="8" fillId="3" borderId="0" xfId="0" applyNumberFormat="1" applyFont="1" applyFill="1"/>
    <xf numFmtId="166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0" fillId="4" borderId="11" xfId="0" applyNumberFormat="1" applyFont="1" applyFill="1" applyBorder="1" applyAlignment="1">
      <alignment horizontal="left"/>
    </xf>
    <xf numFmtId="169" fontId="1" fillId="3" borderId="0" xfId="0" applyNumberFormat="1" applyFont="1" applyFill="1"/>
    <xf numFmtId="164" fontId="10" fillId="4" borderId="11" xfId="0" applyNumberFormat="1" applyFont="1" applyFill="1" applyBorder="1"/>
    <xf numFmtId="49" fontId="5" fillId="2" borderId="2" xfId="0" applyNumberFormat="1" applyFont="1" applyFill="1" applyBorder="1"/>
    <xf numFmtId="0" fontId="5" fillId="2" borderId="17" xfId="0" applyFont="1" applyFill="1" applyBorder="1"/>
    <xf numFmtId="169" fontId="5" fillId="2" borderId="17" xfId="0" applyNumberFormat="1" applyFont="1" applyFill="1" applyBorder="1"/>
    <xf numFmtId="0" fontId="9" fillId="0" borderId="0" xfId="0" applyFont="1"/>
    <xf numFmtId="180" fontId="9" fillId="0" borderId="0" xfId="0" applyNumberFormat="1" applyFont="1"/>
    <xf numFmtId="0" fontId="5" fillId="2" borderId="18" xfId="0" applyFont="1" applyFill="1" applyBorder="1"/>
    <xf numFmtId="43" fontId="5" fillId="2" borderId="2" xfId="0" applyNumberFormat="1" applyFont="1" applyFill="1" applyBorder="1"/>
    <xf numFmtId="0" fontId="1" fillId="0" borderId="7" xfId="0" applyFont="1" applyBorder="1" applyAlignment="1">
      <alignment horizontal="center" wrapText="1"/>
    </xf>
    <xf numFmtId="0" fontId="5" fillId="0" borderId="0" xfId="0" applyFont="1"/>
    <xf numFmtId="0" fontId="7" fillId="0" borderId="0" xfId="0" applyFont="1"/>
    <xf numFmtId="0" fontId="10" fillId="0" borderId="0" xfId="0" applyFont="1"/>
    <xf numFmtId="0" fontId="12" fillId="0" borderId="0" xfId="0" applyFont="1"/>
    <xf numFmtId="169" fontId="10" fillId="0" borderId="0" xfId="0" applyNumberFormat="1" applyFont="1"/>
    <xf numFmtId="169" fontId="5" fillId="0" borderId="0" xfId="0" applyNumberFormat="1" applyFont="1"/>
    <xf numFmtId="39" fontId="1" fillId="3" borderId="3" xfId="0" applyNumberFormat="1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BDC6-4163-4026-9F63-5AAB19225EE7}">
  <sheetPr>
    <tabColor rgb="FF1F3864"/>
  </sheetPr>
  <dimension ref="A1:Q46"/>
  <sheetViews>
    <sheetView showGridLines="0" tabSelected="1" workbookViewId="0"/>
  </sheetViews>
  <sheetFormatPr defaultColWidth="14.44140625" defaultRowHeight="15" customHeight="1" x14ac:dyDescent="0.3"/>
  <cols>
    <col min="1" max="2" width="2.6640625" customWidth="1"/>
    <col min="3" max="3" width="42.44140625" customWidth="1"/>
    <col min="4" max="12" width="11.6640625" customWidth="1"/>
    <col min="13" max="13" width="2.6640625" customWidth="1"/>
    <col min="14" max="17" width="8.6640625" customWidth="1"/>
  </cols>
  <sheetData>
    <row r="1" spans="1:17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17" ht="18" x14ac:dyDescent="0.35">
      <c r="A2" s="1"/>
      <c r="B2" s="3" t="str">
        <f>Company_Name&amp;" - Operating Model"</f>
        <v>Beacon Staffing Group Limited - Operating Model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</row>
    <row r="3" spans="1:17" ht="14.4" x14ac:dyDescent="0.3">
      <c r="A3" s="1"/>
      <c r="B3" s="4" t="s">
        <v>139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</row>
    <row r="4" spans="1:17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</row>
    <row r="5" spans="1:17" ht="14.4" x14ac:dyDescent="0.3">
      <c r="A5" s="1"/>
      <c r="B5" s="5" t="s">
        <v>0</v>
      </c>
      <c r="C5" s="5"/>
      <c r="D5" s="6"/>
      <c r="E5" s="5"/>
      <c r="F5" s="5"/>
      <c r="G5" s="5"/>
      <c r="H5" s="5"/>
      <c r="I5" s="6"/>
      <c r="J5" s="5"/>
      <c r="K5" s="5"/>
      <c r="L5" s="5"/>
      <c r="M5" s="68"/>
      <c r="N5" s="69"/>
      <c r="O5" s="68"/>
      <c r="P5" s="68"/>
      <c r="Q5" s="69"/>
    </row>
    <row r="6" spans="1:17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1"/>
      <c r="P6" s="1"/>
      <c r="Q6" s="2"/>
    </row>
    <row r="7" spans="1:17" ht="14.4" x14ac:dyDescent="0.3">
      <c r="A7" s="1"/>
      <c r="B7" s="1"/>
      <c r="C7" s="1" t="s">
        <v>1</v>
      </c>
      <c r="D7" s="74" t="s">
        <v>2</v>
      </c>
      <c r="E7" s="75"/>
      <c r="F7" s="76"/>
      <c r="G7" s="1"/>
      <c r="H7" s="1" t="s">
        <v>3</v>
      </c>
      <c r="I7" s="1"/>
      <c r="J7" s="1"/>
      <c r="K7" s="7">
        <v>28.616599999999998</v>
      </c>
      <c r="L7" s="1"/>
      <c r="M7" s="1"/>
      <c r="N7" s="2"/>
      <c r="O7" s="1"/>
      <c r="P7" s="1"/>
      <c r="Q7" s="2"/>
    </row>
    <row r="8" spans="1:17" ht="14.4" x14ac:dyDescent="0.3">
      <c r="A8" s="1"/>
      <c r="B8" s="1"/>
      <c r="C8" s="1" t="s">
        <v>4</v>
      </c>
      <c r="D8" s="8">
        <v>42338</v>
      </c>
      <c r="E8" s="1"/>
      <c r="F8" s="1"/>
      <c r="G8" s="1"/>
      <c r="H8" s="1" t="s">
        <v>5</v>
      </c>
      <c r="I8" s="1"/>
      <c r="J8" s="1"/>
      <c r="K8" s="9">
        <v>0.239925</v>
      </c>
      <c r="L8" s="1"/>
      <c r="M8" s="1"/>
      <c r="N8" s="2"/>
      <c r="O8" s="1"/>
      <c r="P8" s="1"/>
      <c r="Q8" s="2"/>
    </row>
    <row r="9" spans="1:17" ht="14.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1"/>
      <c r="Q9" s="2"/>
    </row>
    <row r="10" spans="1:17" ht="14.4" x14ac:dyDescent="0.3">
      <c r="A10" s="1"/>
      <c r="B10" s="1"/>
      <c r="C10" s="1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1"/>
      <c r="Q10" s="2"/>
    </row>
    <row r="11" spans="1:17" ht="14.4" x14ac:dyDescent="0.3">
      <c r="A11" s="1"/>
      <c r="B11" s="1"/>
      <c r="C11" s="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2"/>
    </row>
    <row r="12" spans="1:17" ht="14.4" x14ac:dyDescent="0.3">
      <c r="A12" s="1"/>
      <c r="B12" s="1"/>
      <c r="C12" s="1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1"/>
      <c r="Q12" s="2"/>
    </row>
    <row r="13" spans="1:17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</row>
    <row r="14" spans="1:17" ht="15.75" customHeight="1" x14ac:dyDescent="0.3">
      <c r="A14" s="1"/>
      <c r="B14" s="10"/>
      <c r="C14" s="10"/>
      <c r="D14" s="10"/>
      <c r="E14" s="77" t="s">
        <v>9</v>
      </c>
      <c r="F14" s="78"/>
      <c r="G14" s="78"/>
      <c r="H14" s="79" t="s">
        <v>10</v>
      </c>
      <c r="I14" s="78"/>
      <c r="J14" s="78"/>
      <c r="K14" s="78"/>
      <c r="L14" s="78"/>
      <c r="M14" s="68"/>
      <c r="N14" s="68"/>
      <c r="O14" s="68"/>
      <c r="P14" s="68"/>
      <c r="Q14" s="69"/>
    </row>
    <row r="15" spans="1:17" ht="15.75" customHeight="1" x14ac:dyDescent="0.3">
      <c r="A15" s="1"/>
      <c r="B15" s="11" t="s">
        <v>140</v>
      </c>
      <c r="C15" s="11"/>
      <c r="D15" s="12" t="s">
        <v>11</v>
      </c>
      <c r="E15" s="13">
        <f>EOMONTH(F15,-12)</f>
        <v>41608</v>
      </c>
      <c r="F15" s="13">
        <f>EOMONTH(G15,-12)</f>
        <v>41973</v>
      </c>
      <c r="G15" s="13">
        <f>Hist_Yr</f>
        <v>42338</v>
      </c>
      <c r="H15" s="14">
        <f>EOMONTH(G15,12)</f>
        <v>42704</v>
      </c>
      <c r="I15" s="13">
        <f>EOMONTH(H15,12)</f>
        <v>43069</v>
      </c>
      <c r="J15" s="13">
        <f>EOMONTH(I15,12)</f>
        <v>43434</v>
      </c>
      <c r="K15" s="13">
        <f>EOMONTH(J15,12)</f>
        <v>43799</v>
      </c>
      <c r="L15" s="13">
        <f>EOMONTH(K15,12)</f>
        <v>44165</v>
      </c>
      <c r="M15" s="1"/>
      <c r="N15" s="1"/>
      <c r="O15" s="1"/>
      <c r="P15" s="1"/>
      <c r="Q15" s="2"/>
    </row>
    <row r="16" spans="1:17" ht="15.75" customHeight="1" x14ac:dyDescent="0.3">
      <c r="A16" s="1"/>
      <c r="B16" s="5" t="s">
        <v>141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68"/>
      <c r="N16" s="68"/>
      <c r="O16" s="68"/>
      <c r="P16" s="68"/>
      <c r="Q16" s="69"/>
    </row>
    <row r="17" spans="1:17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</row>
    <row r="18" spans="1:17" ht="15.75" customHeight="1" x14ac:dyDescent="0.3">
      <c r="A18" s="1"/>
      <c r="B18" s="1"/>
      <c r="C18" s="1" t="s">
        <v>12</v>
      </c>
      <c r="D18" s="15" t="s">
        <v>13</v>
      </c>
      <c r="E18" s="16">
        <f>'Model-Build'!E83</f>
        <v>39.4</v>
      </c>
      <c r="F18" s="16">
        <f>'Model-Build'!F83</f>
        <v>62.472000000000001</v>
      </c>
      <c r="G18" s="16">
        <f>'Model-Build'!G83</f>
        <v>94.983000000000004</v>
      </c>
      <c r="H18" s="16">
        <f>'Model-Build'!H83</f>
        <v>146.60761448912385</v>
      </c>
      <c r="I18" s="16">
        <f>'Model-Build'!I83</f>
        <v>202.1582480236103</v>
      </c>
      <c r="J18" s="16">
        <f>'Model-Build'!J83</f>
        <v>279.17750658420221</v>
      </c>
      <c r="K18" s="16">
        <f>'Model-Build'!K83</f>
        <v>353.96797620652239</v>
      </c>
      <c r="L18" s="16">
        <f>'Model-Build'!L83</f>
        <v>423.07609376691204</v>
      </c>
      <c r="M18" s="1"/>
      <c r="N18" s="1"/>
      <c r="O18" s="1"/>
      <c r="P18" s="1"/>
      <c r="Q18" s="2"/>
    </row>
    <row r="19" spans="1:17" ht="15.75" customHeight="1" x14ac:dyDescent="0.3">
      <c r="A19" s="1"/>
      <c r="B19" s="1"/>
      <c r="C19" s="17" t="s">
        <v>14</v>
      </c>
      <c r="D19" s="15" t="s">
        <v>15</v>
      </c>
      <c r="E19" s="18" t="str">
        <f>'Model-Build'!E84</f>
        <v>N/A</v>
      </c>
      <c r="F19" s="18">
        <f>'Model-Build'!F84</f>
        <v>0.58558375634517779</v>
      </c>
      <c r="G19" s="18">
        <f>'Model-Build'!G84</f>
        <v>0.52040914329619681</v>
      </c>
      <c r="H19" s="18">
        <f>'Model-Build'!H84</f>
        <v>0.54351425506799989</v>
      </c>
      <c r="I19" s="18">
        <f>'Model-Build'!I84</f>
        <v>0.37890687825500025</v>
      </c>
      <c r="J19" s="18">
        <f>'Model-Build'!J84</f>
        <v>0.38098499226999993</v>
      </c>
      <c r="K19" s="18">
        <f>'Model-Build'!K84</f>
        <v>0.2678957575680001</v>
      </c>
      <c r="L19" s="18">
        <f>'Model-Build'!L84</f>
        <v>0.19523833286000025</v>
      </c>
      <c r="M19" s="1"/>
      <c r="N19" s="1"/>
      <c r="O19" s="1"/>
      <c r="P19" s="1"/>
      <c r="Q19" s="2"/>
    </row>
    <row r="20" spans="1:17" ht="15.75" customHeight="1" x14ac:dyDescent="0.3">
      <c r="A20" s="1"/>
      <c r="B20" s="1"/>
      <c r="C20" s="1"/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</row>
    <row r="21" spans="1:17" ht="15.75" customHeight="1" x14ac:dyDescent="0.3">
      <c r="A21" s="1"/>
      <c r="B21" s="1"/>
      <c r="C21" s="1" t="s">
        <v>16</v>
      </c>
      <c r="D21" s="15" t="s">
        <v>13</v>
      </c>
      <c r="E21" s="19">
        <f>'Model-Build'!E93</f>
        <v>5.2999999999999989</v>
      </c>
      <c r="F21" s="19">
        <f>'Model-Build'!F93</f>
        <v>8.3589999999999982</v>
      </c>
      <c r="G21" s="19">
        <f>'Model-Build'!G93</f>
        <v>14.775000000000006</v>
      </c>
      <c r="H21" s="19">
        <f>'Model-Build'!H93</f>
        <v>25.772060309604555</v>
      </c>
      <c r="I21" s="19">
        <f>'Model-Build'!I93</f>
        <v>51.89581218337522</v>
      </c>
      <c r="J21" s="19">
        <f>'Model-Build'!J93</f>
        <v>28.002142999960398</v>
      </c>
      <c r="K21" s="19">
        <f>'Model-Build'!K93</f>
        <v>72.544352899716898</v>
      </c>
      <c r="L21" s="19">
        <f>'Model-Build'!L93</f>
        <v>81.307159129776679</v>
      </c>
      <c r="M21" s="1"/>
      <c r="N21" s="1"/>
      <c r="O21" s="1"/>
      <c r="P21" s="1"/>
      <c r="Q21" s="2"/>
    </row>
    <row r="22" spans="1:17" ht="15.75" customHeight="1" x14ac:dyDescent="0.3">
      <c r="A22" s="1"/>
      <c r="B22" s="1"/>
      <c r="C22" s="17" t="s">
        <v>14</v>
      </c>
      <c r="D22" s="15" t="s">
        <v>15</v>
      </c>
      <c r="E22" s="18" t="str">
        <f t="shared" ref="E22:L22" si="0">IFERROR(E21/D21-1,"N/A")</f>
        <v>N/A</v>
      </c>
      <c r="F22" s="18">
        <f t="shared" si="0"/>
        <v>0.57716981132075462</v>
      </c>
      <c r="G22" s="18">
        <f t="shared" si="0"/>
        <v>0.7675559277425541</v>
      </c>
      <c r="H22" s="18">
        <f t="shared" si="0"/>
        <v>0.74430188220673732</v>
      </c>
      <c r="I22" s="18">
        <f t="shared" si="0"/>
        <v>1.0136462339425401</v>
      </c>
      <c r="J22" s="18">
        <f t="shared" si="0"/>
        <v>-0.4604161333670993</v>
      </c>
      <c r="K22" s="18">
        <f t="shared" si="0"/>
        <v>1.5906714675308775</v>
      </c>
      <c r="L22" s="18">
        <f t="shared" si="0"/>
        <v>0.12079239637264694</v>
      </c>
      <c r="M22" s="1"/>
      <c r="N22" s="1"/>
      <c r="O22" s="1"/>
      <c r="P22" s="1"/>
      <c r="Q22" s="2"/>
    </row>
    <row r="23" spans="1:17" ht="15.75" customHeight="1" x14ac:dyDescent="0.3">
      <c r="A23" s="1"/>
      <c r="B23" s="1"/>
      <c r="C23" s="17" t="s">
        <v>17</v>
      </c>
      <c r="D23" s="15" t="s">
        <v>15</v>
      </c>
      <c r="E23" s="18">
        <f t="shared" ref="E23:L23" si="1">E21/E18</f>
        <v>0.13451776649746192</v>
      </c>
      <c r="F23" s="18">
        <f t="shared" si="1"/>
        <v>0.13380394416698677</v>
      </c>
      <c r="G23" s="18">
        <f t="shared" si="1"/>
        <v>0.15555415179558452</v>
      </c>
      <c r="H23" s="18">
        <f t="shared" si="1"/>
        <v>0.17578937082777829</v>
      </c>
      <c r="I23" s="18">
        <f t="shared" si="1"/>
        <v>0.2567088540325807</v>
      </c>
      <c r="J23" s="18">
        <f t="shared" si="1"/>
        <v>0.10030228918716531</v>
      </c>
      <c r="K23" s="18">
        <f t="shared" si="1"/>
        <v>0.20494609053953214</v>
      </c>
      <c r="L23" s="18">
        <f t="shared" si="1"/>
        <v>0.1921809346537357</v>
      </c>
      <c r="M23" s="1"/>
      <c r="N23" s="1"/>
      <c r="O23" s="1"/>
      <c r="P23" s="1"/>
      <c r="Q23" s="2"/>
    </row>
    <row r="24" spans="1:17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</row>
    <row r="25" spans="1:17" ht="15.75" customHeight="1" x14ac:dyDescent="0.3">
      <c r="A25" s="1"/>
      <c r="B25" s="1"/>
      <c r="C25" s="1" t="s">
        <v>18</v>
      </c>
      <c r="D25" s="15" t="s">
        <v>13</v>
      </c>
      <c r="E25" s="19">
        <f>-'Model-Build'!E95</f>
        <v>1.1805920000000001</v>
      </c>
      <c r="F25" s="19">
        <f>-'Model-Build'!F95</f>
        <v>3.101</v>
      </c>
      <c r="G25" s="19">
        <f>-'Model-Build'!G95</f>
        <v>3.36</v>
      </c>
      <c r="H25" s="19">
        <f>-'Model-Build'!H95</f>
        <v>2.1648982749799996</v>
      </c>
      <c r="I25" s="19">
        <f>-'Model-Build'!I95</f>
        <v>2.1211705551723981</v>
      </c>
      <c r="J25" s="19">
        <f>-'Model-Build'!J95</f>
        <v>2.1235510018005948</v>
      </c>
      <c r="K25" s="19">
        <f>-'Model-Build'!K95</f>
        <v>2.2003244647018056</v>
      </c>
      <c r="L25" s="19">
        <f>-'Model-Build'!L95</f>
        <v>2.375587286831077</v>
      </c>
      <c r="M25" s="1"/>
      <c r="N25" s="1"/>
      <c r="O25" s="1"/>
      <c r="P25" s="1"/>
      <c r="Q25" s="2"/>
    </row>
    <row r="26" spans="1:17" ht="15.75" customHeight="1" x14ac:dyDescent="0.3">
      <c r="A26" s="1"/>
      <c r="B26" s="1"/>
      <c r="C26" s="1" t="s">
        <v>19</v>
      </c>
      <c r="D26" s="15" t="s">
        <v>13</v>
      </c>
      <c r="E26" s="19">
        <f>E25</f>
        <v>1.1805920000000001</v>
      </c>
      <c r="F26" s="19">
        <f>F25</f>
        <v>3.101</v>
      </c>
      <c r="G26" s="19">
        <f>G25</f>
        <v>3.36</v>
      </c>
      <c r="H26" s="19">
        <f>'Model-Build'!H41+'Model-Build'!H47</f>
        <v>1.6079954649799999</v>
      </c>
      <c r="I26" s="19">
        <f>'Model-Build'!I41+'Model-Build'!I47</f>
        <v>1.5040754618563579</v>
      </c>
      <c r="J26" s="19">
        <f>'Model-Build'!J41+'Model-Build'!J47</f>
        <v>1.4397578024185838</v>
      </c>
      <c r="K26" s="19">
        <f>'Model-Build'!K41+'Model-Build'!K47</f>
        <v>1.4426241611577895</v>
      </c>
      <c r="L26" s="19">
        <f>'Model-Build'!L41+'Model-Build'!L47</f>
        <v>1.5359917036788096</v>
      </c>
      <c r="M26" s="1"/>
      <c r="N26" s="1"/>
      <c r="O26" s="1"/>
      <c r="P26" s="1"/>
      <c r="Q26" s="2"/>
    </row>
    <row r="27" spans="1:17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</row>
    <row r="28" spans="1:17" ht="15.75" customHeight="1" x14ac:dyDescent="0.3">
      <c r="A28" s="1"/>
      <c r="B28" s="1"/>
      <c r="C28" s="1" t="s">
        <v>20</v>
      </c>
      <c r="D28" s="15" t="s">
        <v>13</v>
      </c>
      <c r="E28" s="19">
        <f>'Model-Build'!E124</f>
        <v>32.826582999999999</v>
      </c>
      <c r="F28" s="19">
        <f>'Model-Build'!F124</f>
        <v>34.557000000000002</v>
      </c>
      <c r="G28" s="19">
        <f>'Model-Build'!G124</f>
        <v>33.953000000000003</v>
      </c>
      <c r="H28" s="19">
        <f>'Model-Build'!H124</f>
        <v>0</v>
      </c>
      <c r="I28" s="19">
        <f>'Model-Build'!I124</f>
        <v>0</v>
      </c>
      <c r="J28" s="19">
        <f>'Model-Build'!J124</f>
        <v>0</v>
      </c>
      <c r="K28" s="19">
        <f>'Model-Build'!K124</f>
        <v>0</v>
      </c>
      <c r="L28" s="19">
        <f>'Model-Build'!L124</f>
        <v>0</v>
      </c>
      <c r="M28" s="1"/>
      <c r="N28" s="1"/>
      <c r="O28" s="1"/>
      <c r="P28" s="1"/>
      <c r="Q28" s="2"/>
    </row>
    <row r="29" spans="1:17" ht="15.75" customHeight="1" x14ac:dyDescent="0.3">
      <c r="A29" s="1"/>
      <c r="B29" s="1"/>
      <c r="C29" s="1" t="s">
        <v>21</v>
      </c>
      <c r="D29" s="15" t="s">
        <v>13</v>
      </c>
      <c r="E29" s="19">
        <f>'Model-Build'!E124-'Model-Build'!E104</f>
        <v>30.002970999999999</v>
      </c>
      <c r="F29" s="19">
        <f>'Model-Build'!F124-'Model-Build'!F104</f>
        <v>32.152000000000001</v>
      </c>
      <c r="G29" s="19">
        <f>'Model-Build'!G124-'Model-Build'!G104</f>
        <v>21.804000000000002</v>
      </c>
      <c r="H29" s="19">
        <f>'Model-Build'!H124-'Model-Build'!H104</f>
        <v>0</v>
      </c>
      <c r="I29" s="19">
        <f>'Model-Build'!I124-'Model-Build'!I104</f>
        <v>0</v>
      </c>
      <c r="J29" s="19">
        <f>'Model-Build'!J124-'Model-Build'!J104</f>
        <v>0</v>
      </c>
      <c r="K29" s="19">
        <f>'Model-Build'!K124-'Model-Build'!K104</f>
        <v>0</v>
      </c>
      <c r="L29" s="19">
        <f>'Model-Build'!L124-'Model-Build'!L104</f>
        <v>0</v>
      </c>
      <c r="M29" s="1"/>
      <c r="N29" s="1"/>
      <c r="O29" s="1"/>
      <c r="P29" s="1"/>
      <c r="Q29" s="2"/>
    </row>
    <row r="30" spans="1:17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</row>
    <row r="31" spans="1:17" ht="15.75" customHeight="1" x14ac:dyDescent="0.3">
      <c r="A31" s="1"/>
      <c r="B31" s="1"/>
      <c r="C31" s="1" t="s">
        <v>22</v>
      </c>
      <c r="D31" s="15" t="s">
        <v>23</v>
      </c>
      <c r="E31" s="20">
        <f t="shared" ref="E31:L31" si="2">E21/E25</f>
        <v>4.4892731782021214</v>
      </c>
      <c r="F31" s="20">
        <f t="shared" si="2"/>
        <v>2.6955820702999027</v>
      </c>
      <c r="G31" s="20">
        <f t="shared" si="2"/>
        <v>4.3973214285714306</v>
      </c>
      <c r="H31" s="20">
        <f t="shared" si="2"/>
        <v>11.904513300904473</v>
      </c>
      <c r="I31" s="20">
        <f t="shared" si="2"/>
        <v>24.465648015351313</v>
      </c>
      <c r="J31" s="20">
        <f t="shared" si="2"/>
        <v>13.186470669278444</v>
      </c>
      <c r="K31" s="20">
        <f t="shared" si="2"/>
        <v>32.969843340604008</v>
      </c>
      <c r="L31" s="20">
        <f t="shared" si="2"/>
        <v>34.226129926059947</v>
      </c>
      <c r="M31" s="1"/>
      <c r="N31" s="1"/>
      <c r="O31" s="1"/>
      <c r="P31" s="1"/>
      <c r="Q31" s="2"/>
    </row>
    <row r="32" spans="1:17" ht="15.75" customHeight="1" x14ac:dyDescent="0.3">
      <c r="A32" s="1"/>
      <c r="B32" s="1"/>
      <c r="C32" s="1" t="s">
        <v>24</v>
      </c>
      <c r="D32" s="15" t="s">
        <v>23</v>
      </c>
      <c r="E32" s="20">
        <f t="shared" ref="E32:L32" si="3">E21/E26</f>
        <v>4.4892731782021214</v>
      </c>
      <c r="F32" s="20">
        <f t="shared" si="3"/>
        <v>2.6955820702999027</v>
      </c>
      <c r="G32" s="20">
        <f t="shared" si="3"/>
        <v>4.3973214285714306</v>
      </c>
      <c r="H32" s="20">
        <f t="shared" si="3"/>
        <v>16.027445892034965</v>
      </c>
      <c r="I32" s="20">
        <f t="shared" si="3"/>
        <v>34.503463090425292</v>
      </c>
      <c r="J32" s="20">
        <f t="shared" si="3"/>
        <v>19.449203854232199</v>
      </c>
      <c r="K32" s="20">
        <f t="shared" si="3"/>
        <v>50.286384252358459</v>
      </c>
      <c r="L32" s="20">
        <f t="shared" si="3"/>
        <v>52.93463430501626</v>
      </c>
      <c r="M32" s="1"/>
      <c r="N32" s="1"/>
      <c r="O32" s="1"/>
      <c r="P32" s="1"/>
      <c r="Q32" s="2"/>
    </row>
    <row r="33" spans="1:17" ht="15.75" customHeight="1" x14ac:dyDescent="0.3">
      <c r="A33" s="1"/>
      <c r="B33" s="1"/>
      <c r="C33" s="1" t="s">
        <v>25</v>
      </c>
      <c r="D33" s="15" t="s">
        <v>23</v>
      </c>
      <c r="E33" s="20">
        <f t="shared" ref="E33:L33" si="4">E28/E21</f>
        <v>6.1936949056603785</v>
      </c>
      <c r="F33" s="20">
        <f t="shared" si="4"/>
        <v>4.1341069505921775</v>
      </c>
      <c r="G33" s="20">
        <f t="shared" si="4"/>
        <v>2.2980033840947538</v>
      </c>
      <c r="H33" s="20">
        <f t="shared" si="4"/>
        <v>0</v>
      </c>
      <c r="I33" s="20">
        <f t="shared" si="4"/>
        <v>0</v>
      </c>
      <c r="J33" s="20">
        <f t="shared" si="4"/>
        <v>0</v>
      </c>
      <c r="K33" s="20">
        <f t="shared" si="4"/>
        <v>0</v>
      </c>
      <c r="L33" s="20">
        <f t="shared" si="4"/>
        <v>0</v>
      </c>
      <c r="M33" s="1"/>
      <c r="N33" s="1"/>
      <c r="O33" s="1"/>
      <c r="P33" s="1"/>
      <c r="Q33" s="2"/>
    </row>
    <row r="34" spans="1:17" ht="15.75" customHeight="1" x14ac:dyDescent="0.3">
      <c r="A34" s="1"/>
      <c r="B34" s="1"/>
      <c r="C34" s="1" t="s">
        <v>26</v>
      </c>
      <c r="D34" s="15" t="s">
        <v>23</v>
      </c>
      <c r="E34" s="20">
        <f t="shared" ref="E34:L34" si="5">E29/E21</f>
        <v>5.6609379245283025</v>
      </c>
      <c r="F34" s="20">
        <f t="shared" si="5"/>
        <v>3.8463931092235923</v>
      </c>
      <c r="G34" s="20">
        <f t="shared" si="5"/>
        <v>1.4757360406091367</v>
      </c>
      <c r="H34" s="20">
        <f t="shared" si="5"/>
        <v>0</v>
      </c>
      <c r="I34" s="20">
        <f t="shared" si="5"/>
        <v>0</v>
      </c>
      <c r="J34" s="20">
        <f t="shared" si="5"/>
        <v>0</v>
      </c>
      <c r="K34" s="20">
        <f t="shared" si="5"/>
        <v>0</v>
      </c>
      <c r="L34" s="20">
        <f t="shared" si="5"/>
        <v>0</v>
      </c>
      <c r="M34" s="1"/>
      <c r="N34" s="1"/>
      <c r="O34" s="1"/>
      <c r="P34" s="1"/>
      <c r="Q34" s="2"/>
    </row>
    <row r="35" spans="1:17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</row>
    <row r="36" spans="1:17" ht="15.75" customHeight="1" x14ac:dyDescent="0.3">
      <c r="A36" s="1"/>
      <c r="B36" s="5" t="s">
        <v>142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8"/>
      <c r="O36" s="68"/>
      <c r="P36" s="68"/>
      <c r="Q36" s="69"/>
    </row>
    <row r="37" spans="1:17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5.75" customHeight="1" x14ac:dyDescent="0.3">
      <c r="A38" s="1"/>
      <c r="B38" s="1"/>
      <c r="C38" s="21" t="s">
        <v>27</v>
      </c>
      <c r="D38" s="15" t="s">
        <v>13</v>
      </c>
      <c r="E38" s="1"/>
      <c r="F38" s="1"/>
      <c r="G38" s="1"/>
      <c r="H38" s="1"/>
      <c r="I38" s="1"/>
      <c r="J38" s="19">
        <f>J21</f>
        <v>28.002142999960398</v>
      </c>
      <c r="K38" s="19">
        <f>K21</f>
        <v>72.544352899716898</v>
      </c>
      <c r="L38" s="19">
        <f>L21</f>
        <v>81.307159129776679</v>
      </c>
      <c r="M38" s="1"/>
      <c r="N38" s="1"/>
      <c r="O38" s="1"/>
      <c r="P38" s="1"/>
      <c r="Q38" s="2"/>
    </row>
    <row r="39" spans="1:17" ht="15.75" customHeight="1" x14ac:dyDescent="0.3">
      <c r="A39" s="1"/>
      <c r="B39" s="1"/>
      <c r="C39" s="21" t="s">
        <v>28</v>
      </c>
      <c r="D39" s="22" t="s">
        <v>23</v>
      </c>
      <c r="E39" s="1"/>
      <c r="F39" s="1"/>
      <c r="G39" s="1"/>
      <c r="H39" s="1"/>
      <c r="I39" s="1"/>
      <c r="J39" s="23">
        <v>8.8895999999999997</v>
      </c>
      <c r="K39" s="23">
        <v>7.7413999999999996</v>
      </c>
      <c r="L39" s="23">
        <v>8.1905000000000001</v>
      </c>
      <c r="M39" s="1"/>
      <c r="N39" s="1"/>
      <c r="O39" s="1"/>
      <c r="P39" s="1"/>
      <c r="Q39" s="2"/>
    </row>
    <row r="40" spans="1:17" ht="15.75" customHeight="1" x14ac:dyDescent="0.3">
      <c r="A40" s="1"/>
      <c r="B40" s="1"/>
      <c r="C40" s="24" t="s">
        <v>29</v>
      </c>
      <c r="D40" s="15" t="s">
        <v>13</v>
      </c>
      <c r="E40" s="24"/>
      <c r="F40" s="24"/>
      <c r="G40" s="24"/>
      <c r="H40" s="24"/>
      <c r="I40" s="24"/>
      <c r="J40" s="19">
        <f>J38*J39</f>
        <v>248.92785041244795</v>
      </c>
      <c r="K40" s="19">
        <f>K38*K39</f>
        <v>561.5948535378684</v>
      </c>
      <c r="L40" s="19">
        <f>L38*L39</f>
        <v>665.94628685243595</v>
      </c>
      <c r="M40" s="1"/>
      <c r="N40" s="1"/>
      <c r="O40" s="1"/>
      <c r="P40" s="1"/>
      <c r="Q40" s="2"/>
    </row>
    <row r="41" spans="1:17" ht="15.75" customHeight="1" x14ac:dyDescent="0.3">
      <c r="A41" s="1"/>
      <c r="B41" s="1"/>
      <c r="C41" s="21" t="s">
        <v>30</v>
      </c>
      <c r="D41" s="15" t="s">
        <v>13</v>
      </c>
      <c r="E41" s="1"/>
      <c r="F41" s="1"/>
      <c r="G41" s="1"/>
      <c r="H41" s="1"/>
      <c r="I41" s="1"/>
      <c r="J41" s="19">
        <f>-J29</f>
        <v>0</v>
      </c>
      <c r="K41" s="19">
        <f>-K29</f>
        <v>0</v>
      </c>
      <c r="L41" s="19">
        <f>-L29</f>
        <v>0</v>
      </c>
      <c r="M41" s="1"/>
      <c r="N41" s="1"/>
      <c r="O41" s="1"/>
      <c r="P41" s="1"/>
      <c r="Q41" s="2"/>
    </row>
    <row r="42" spans="1:17" ht="15.75" customHeight="1" x14ac:dyDescent="0.3">
      <c r="A42" s="1"/>
      <c r="B42" s="25"/>
      <c r="C42" s="25" t="s">
        <v>31</v>
      </c>
      <c r="D42" s="26" t="s">
        <v>13</v>
      </c>
      <c r="E42" s="25"/>
      <c r="F42" s="25"/>
      <c r="G42" s="25"/>
      <c r="H42" s="25"/>
      <c r="I42" s="25"/>
      <c r="J42" s="27">
        <f>J40+J41</f>
        <v>248.92785041244795</v>
      </c>
      <c r="K42" s="27">
        <f>K40+K41</f>
        <v>561.5948535378684</v>
      </c>
      <c r="L42" s="27">
        <f>L40+L41</f>
        <v>665.94628685243595</v>
      </c>
      <c r="M42" s="70"/>
      <c r="N42" s="70"/>
      <c r="O42" s="70"/>
      <c r="P42" s="70"/>
      <c r="Q42" s="71"/>
    </row>
    <row r="43" spans="1:17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5.75" customHeight="1" x14ac:dyDescent="0.3">
      <c r="A44" s="1"/>
      <c r="B44" s="1"/>
      <c r="C44" s="1" t="s">
        <v>143</v>
      </c>
      <c r="D44" s="15" t="s">
        <v>23</v>
      </c>
      <c r="E44" s="1"/>
      <c r="F44" s="1"/>
      <c r="G44" s="1"/>
      <c r="H44" s="1"/>
      <c r="I44" s="1"/>
      <c r="J44" s="19">
        <f>J42*$K$8</f>
        <v>59.724014510206572</v>
      </c>
      <c r="K44" s="19">
        <f>K42*$K$8</f>
        <v>134.74064523507309</v>
      </c>
      <c r="L44" s="19">
        <f>L42*$K$8</f>
        <v>159.77716287307069</v>
      </c>
      <c r="M44" s="1"/>
      <c r="N44" s="1"/>
      <c r="O44" s="1"/>
      <c r="P44" s="1"/>
      <c r="Q44" s="2"/>
    </row>
    <row r="45" spans="1:17" ht="15.75" customHeight="1" x14ac:dyDescent="0.3">
      <c r="A45" s="1"/>
      <c r="B45" s="1"/>
      <c r="C45" s="1" t="s">
        <v>32</v>
      </c>
      <c r="D45" s="15" t="s">
        <v>23</v>
      </c>
      <c r="E45" s="1"/>
      <c r="F45" s="1"/>
      <c r="G45" s="1"/>
      <c r="H45" s="1"/>
      <c r="I45" s="1"/>
      <c r="J45" s="20">
        <f>J44/$K$7</f>
        <v>2.0870408962003375</v>
      </c>
      <c r="K45" s="20">
        <f>K44/$K$7</f>
        <v>4.7084784787526504</v>
      </c>
      <c r="L45" s="20">
        <f>L44/$K$7</f>
        <v>5.5833733872322604</v>
      </c>
      <c r="M45" s="1"/>
      <c r="N45" s="1"/>
      <c r="O45" s="1"/>
      <c r="P45" s="1"/>
      <c r="Q45" s="2"/>
    </row>
    <row r="46" spans="1:17" ht="15.75" customHeight="1" x14ac:dyDescent="0.3">
      <c r="A46" s="1"/>
      <c r="B46" s="1"/>
      <c r="C46" s="1" t="s">
        <v>33</v>
      </c>
      <c r="D46" s="15" t="s">
        <v>15</v>
      </c>
      <c r="E46" s="1"/>
      <c r="F46" s="1"/>
      <c r="G46" s="1"/>
      <c r="H46" s="1"/>
      <c r="I46" s="1"/>
      <c r="J46" s="28">
        <f>POWER(J44/$K$7,1/3)-1</f>
        <v>0.27793957576724493</v>
      </c>
      <c r="K46" s="28">
        <f>POWER(K44/$K$7,1/4)-1</f>
        <v>0.4730590188838264</v>
      </c>
      <c r="L46" s="28">
        <f>POWER(L44/$K$7,1/5)-1</f>
        <v>0.41052027921749712</v>
      </c>
      <c r="M46" s="1"/>
      <c r="N46" s="1"/>
      <c r="O46" s="1"/>
      <c r="P46" s="1"/>
      <c r="Q46" s="2"/>
    </row>
  </sheetData>
  <mergeCells count="3">
    <mergeCell ref="D7:F7"/>
    <mergeCell ref="E14:G14"/>
    <mergeCell ref="H14:L14"/>
  </mergeCells>
  <pageMargins left="0.7" right="0.7" top="0.75" bottom="0.75" header="0" footer="0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  <rowBreaks count="1" manualBreakCount="1">
    <brk id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3799-2864-446F-9CB7-639955EEBCAC}">
  <sheetPr>
    <tabColor rgb="FF1F3864"/>
  </sheetPr>
  <dimension ref="A1:Q164"/>
  <sheetViews>
    <sheetView showGridLines="0" workbookViewId="0"/>
  </sheetViews>
  <sheetFormatPr defaultColWidth="14.44140625" defaultRowHeight="15" customHeight="1" x14ac:dyDescent="0.3"/>
  <cols>
    <col min="1" max="2" width="2.6640625" customWidth="1"/>
    <col min="3" max="3" width="42.44140625" customWidth="1"/>
    <col min="4" max="4" width="13.5546875" customWidth="1"/>
    <col min="5" max="12" width="11.6640625" customWidth="1"/>
    <col min="13" max="13" width="2.6640625" customWidth="1"/>
    <col min="14" max="17" width="8.6640625" customWidth="1"/>
  </cols>
  <sheetData>
    <row r="1" spans="1:17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15.75" customHeight="1" x14ac:dyDescent="0.3">
      <c r="A2" s="1"/>
      <c r="B2" s="29"/>
      <c r="C2" s="29"/>
      <c r="D2" s="29"/>
      <c r="E2" s="80" t="str">
        <f>'Returns-Summary'!$E$14</f>
        <v>Actuals</v>
      </c>
      <c r="F2" s="81"/>
      <c r="G2" s="81"/>
      <c r="H2" s="82" t="str">
        <f>'Returns-Summary'!$H$14</f>
        <v>Forecast</v>
      </c>
      <c r="I2" s="81"/>
      <c r="J2" s="81"/>
      <c r="K2" s="81"/>
      <c r="L2" s="81"/>
      <c r="M2" s="2"/>
      <c r="N2" s="1"/>
      <c r="O2" s="1"/>
      <c r="P2" s="1"/>
      <c r="Q2" s="2"/>
    </row>
    <row r="3" spans="1:17" ht="15.75" customHeight="1" x14ac:dyDescent="0.3">
      <c r="A3" s="1"/>
      <c r="B3" s="11" t="s">
        <v>144</v>
      </c>
      <c r="C3" s="11"/>
      <c r="D3" s="12" t="str">
        <f>'Returns-Summary'!$D$15</f>
        <v>Reporting Units:</v>
      </c>
      <c r="E3" s="13">
        <f>'Returns-Summary'!$E$15</f>
        <v>41608</v>
      </c>
      <c r="F3" s="13">
        <f>'Returns-Summary'!$F$15</f>
        <v>41973</v>
      </c>
      <c r="G3" s="13">
        <f>'Returns-Summary'!$G$15</f>
        <v>42338</v>
      </c>
      <c r="H3" s="14">
        <f>'Returns-Summary'!$H$15</f>
        <v>42704</v>
      </c>
      <c r="I3" s="13">
        <f>'Returns-Summary'!$I$15</f>
        <v>43069</v>
      </c>
      <c r="J3" s="13">
        <f>'Returns-Summary'!$J$15</f>
        <v>43434</v>
      </c>
      <c r="K3" s="13">
        <f>'Returns-Summary'!$K$15</f>
        <v>43799</v>
      </c>
      <c r="L3" s="13">
        <f>'Returns-Summary'!$L$15</f>
        <v>44165</v>
      </c>
      <c r="M3" s="2"/>
      <c r="N3" s="1"/>
      <c r="O3" s="1"/>
      <c r="P3" s="1"/>
      <c r="Q3" s="2"/>
    </row>
    <row r="4" spans="1:17" ht="15.75" customHeight="1" x14ac:dyDescent="0.3">
      <c r="A4" s="1"/>
      <c r="B4" s="5" t="s">
        <v>145</v>
      </c>
      <c r="C4" s="5"/>
      <c r="D4" s="5"/>
      <c r="E4" s="5"/>
      <c r="F4" s="5"/>
      <c r="G4" s="5"/>
      <c r="H4" s="5"/>
      <c r="I4" s="5"/>
      <c r="J4" s="5"/>
      <c r="K4" s="5"/>
      <c r="L4" s="5"/>
      <c r="M4" s="69"/>
      <c r="N4" s="68"/>
      <c r="O4" s="68"/>
      <c r="P4" s="68"/>
      <c r="Q4" s="69"/>
    </row>
    <row r="5" spans="1:17" ht="15.75" customHeight="1" x14ac:dyDescent="0.3">
      <c r="A5" s="1"/>
      <c r="B5" s="1"/>
      <c r="C5" s="21"/>
      <c r="D5" s="15"/>
      <c r="E5" s="30"/>
      <c r="F5" s="30"/>
      <c r="G5" s="30"/>
      <c r="H5" s="30"/>
      <c r="I5" s="30"/>
      <c r="J5" s="30"/>
      <c r="K5" s="30"/>
      <c r="L5" s="30"/>
      <c r="M5" s="2"/>
      <c r="N5" s="1"/>
      <c r="O5" s="1"/>
      <c r="P5" s="1"/>
      <c r="Q5" s="2"/>
    </row>
    <row r="6" spans="1:17" ht="15.75" customHeight="1" x14ac:dyDescent="0.3">
      <c r="A6" s="1"/>
      <c r="B6" s="1"/>
      <c r="C6" s="21" t="s">
        <v>34</v>
      </c>
      <c r="D6" s="17" t="s">
        <v>35</v>
      </c>
      <c r="E6" s="31">
        <v>192</v>
      </c>
      <c r="F6" s="31">
        <v>271</v>
      </c>
      <c r="G6" s="31">
        <v>417</v>
      </c>
      <c r="H6" s="32">
        <f>G6*(1+H7)</f>
        <v>627.32312400000001</v>
      </c>
      <c r="I6" s="32">
        <f>H6*(1+I7)</f>
        <v>839.60613254598002</v>
      </c>
      <c r="J6" s="32">
        <f>I6*(1+J7)</f>
        <v>1133.7285568381621</v>
      </c>
      <c r="K6" s="32">
        <f>J6*(1+K7)</f>
        <v>1411.079376068823</v>
      </c>
      <c r="L6" s="32">
        <f>K6*(1+L7)</f>
        <v>1651.1604211131726</v>
      </c>
      <c r="M6" s="2"/>
      <c r="N6" s="1"/>
      <c r="O6" s="1"/>
      <c r="P6" s="1"/>
      <c r="Q6" s="2"/>
    </row>
    <row r="7" spans="1:17" ht="15.75" customHeight="1" x14ac:dyDescent="0.3">
      <c r="A7" s="1"/>
      <c r="B7" s="1"/>
      <c r="C7" s="21" t="s">
        <v>36</v>
      </c>
      <c r="D7" s="15" t="s">
        <v>15</v>
      </c>
      <c r="E7" s="28"/>
      <c r="F7" s="28">
        <f>F6/E6-1</f>
        <v>0.41145833333333326</v>
      </c>
      <c r="G7" s="28">
        <f>G6/F6-1</f>
        <v>0.53874538745387457</v>
      </c>
      <c r="H7" s="9">
        <v>0.50437200000000004</v>
      </c>
      <c r="I7" s="9">
        <v>0.338395</v>
      </c>
      <c r="J7" s="9">
        <v>0.35031000000000001</v>
      </c>
      <c r="K7" s="9">
        <v>0.24463599999999999</v>
      </c>
      <c r="L7" s="9">
        <v>0.17014000000000001</v>
      </c>
      <c r="M7" s="2"/>
      <c r="N7" s="1"/>
      <c r="O7" s="1"/>
      <c r="P7" s="1"/>
      <c r="Q7" s="2"/>
    </row>
    <row r="8" spans="1:17" ht="15.75" customHeight="1" x14ac:dyDescent="0.3">
      <c r="A8" s="1"/>
      <c r="B8" s="1"/>
      <c r="C8" s="21"/>
      <c r="D8" s="17"/>
      <c r="E8" s="33"/>
      <c r="F8" s="33"/>
      <c r="G8" s="33"/>
      <c r="H8" s="30"/>
      <c r="I8" s="30"/>
      <c r="J8" s="30"/>
      <c r="K8" s="30"/>
      <c r="L8" s="30"/>
      <c r="M8" s="2"/>
      <c r="N8" s="1"/>
      <c r="O8" s="1"/>
      <c r="P8" s="1"/>
      <c r="Q8" s="2"/>
    </row>
    <row r="9" spans="1:17" ht="15.75" customHeight="1" x14ac:dyDescent="0.3">
      <c r="A9" s="1"/>
      <c r="B9" s="1"/>
      <c r="C9" s="21" t="s">
        <v>37</v>
      </c>
      <c r="D9" s="15" t="s">
        <v>13</v>
      </c>
      <c r="E9" s="34">
        <f>E83/E6</f>
        <v>0.20520833333333333</v>
      </c>
      <c r="F9" s="34">
        <f>F83/F6</f>
        <v>0.2305239852398524</v>
      </c>
      <c r="G9" s="34">
        <f>G83/G6</f>
        <v>0.22777697841726618</v>
      </c>
      <c r="H9" s="34">
        <f>G9*(1+H10)</f>
        <v>0.23370350761870504</v>
      </c>
      <c r="I9" s="34">
        <f>H9*(1+I10)</f>
        <v>0.24077747909081565</v>
      </c>
      <c r="J9" s="34">
        <f>I9*(1+J10)</f>
        <v>0.24624722108332173</v>
      </c>
      <c r="K9" s="34">
        <f>J9*(1+K10)</f>
        <v>0.25084908915092685</v>
      </c>
      <c r="L9" s="34">
        <f>K9*(1+L10)</f>
        <v>0.25622955126412511</v>
      </c>
      <c r="M9" s="2"/>
      <c r="N9" s="1"/>
      <c r="O9" s="1"/>
      <c r="P9" s="1"/>
      <c r="Q9" s="2"/>
    </row>
    <row r="10" spans="1:17" ht="15.75" customHeight="1" x14ac:dyDescent="0.3">
      <c r="A10" s="1"/>
      <c r="B10" s="1"/>
      <c r="C10" s="21" t="s">
        <v>36</v>
      </c>
      <c r="D10" s="15" t="s">
        <v>15</v>
      </c>
      <c r="E10" s="28"/>
      <c r="F10" s="28">
        <f>F9/E9-1</f>
        <v>0.12336561335156504</v>
      </c>
      <c r="G10" s="28">
        <f>G9/F9-1</f>
        <v>-1.1916360112064095E-2</v>
      </c>
      <c r="H10" s="9">
        <v>2.6019E-2</v>
      </c>
      <c r="I10" s="9">
        <v>3.0269000000000001E-2</v>
      </c>
      <c r="J10" s="9">
        <v>2.2717000000000001E-2</v>
      </c>
      <c r="K10" s="9">
        <v>1.8688E-2</v>
      </c>
      <c r="L10" s="9">
        <v>2.1448999999999999E-2</v>
      </c>
      <c r="M10" s="2"/>
      <c r="N10" s="1"/>
      <c r="O10" s="1"/>
      <c r="P10" s="1"/>
      <c r="Q10" s="2"/>
    </row>
    <row r="11" spans="1:17" ht="15.75" customHeight="1" x14ac:dyDescent="0.3">
      <c r="A11" s="1"/>
      <c r="B11" s="1"/>
      <c r="C11" s="21"/>
      <c r="D11" s="15"/>
      <c r="E11" s="30"/>
      <c r="F11" s="30"/>
      <c r="G11" s="30"/>
      <c r="H11" s="30"/>
      <c r="I11" s="30"/>
      <c r="J11" s="30"/>
      <c r="K11" s="30"/>
      <c r="L11" s="30"/>
      <c r="M11" s="2"/>
      <c r="N11" s="1"/>
      <c r="O11" s="1"/>
      <c r="P11" s="1"/>
      <c r="Q11" s="2"/>
    </row>
    <row r="12" spans="1:17" ht="15.75" customHeight="1" x14ac:dyDescent="0.3">
      <c r="A12" s="1"/>
      <c r="B12" s="1"/>
      <c r="C12" s="21" t="s">
        <v>38</v>
      </c>
      <c r="D12" s="17" t="s">
        <v>35</v>
      </c>
      <c r="E12" s="31">
        <v>53</v>
      </c>
      <c r="F12" s="31">
        <v>66</v>
      </c>
      <c r="G12" s="31">
        <v>88</v>
      </c>
      <c r="H12" s="32">
        <f>H13*H6</f>
        <v>135.88759850526</v>
      </c>
      <c r="I12" s="32">
        <f>I13*I6</f>
        <v>139.65336723863794</v>
      </c>
      <c r="J12" s="32">
        <f>J13*J6</f>
        <v>183.68443332180536</v>
      </c>
      <c r="K12" s="32">
        <f>K13*K6</f>
        <v>235.31724107074118</v>
      </c>
      <c r="L12" s="32">
        <f>L13*L6</f>
        <v>277.12085811710824</v>
      </c>
      <c r="M12" s="2"/>
      <c r="N12" s="1"/>
      <c r="O12" s="1"/>
      <c r="P12" s="1"/>
      <c r="Q12" s="2"/>
    </row>
    <row r="13" spans="1:17" ht="15.75" customHeight="1" x14ac:dyDescent="0.3">
      <c r="A13" s="1"/>
      <c r="B13" s="1"/>
      <c r="C13" s="21" t="s">
        <v>39</v>
      </c>
      <c r="D13" s="15" t="s">
        <v>15</v>
      </c>
      <c r="E13" s="30">
        <f>E12/E6</f>
        <v>0.27604166666666669</v>
      </c>
      <c r="F13" s="30">
        <f>F12/F6</f>
        <v>0.24354243542435425</v>
      </c>
      <c r="G13" s="30">
        <f>G12/G6</f>
        <v>0.21103117505995203</v>
      </c>
      <c r="H13" s="9">
        <v>0.216615</v>
      </c>
      <c r="I13" s="9">
        <v>0.16633200000000001</v>
      </c>
      <c r="J13" s="9">
        <v>0.162018</v>
      </c>
      <c r="K13" s="9">
        <v>0.166764</v>
      </c>
      <c r="L13" s="9">
        <v>0.16783400000000001</v>
      </c>
      <c r="M13" s="2"/>
      <c r="N13" s="1"/>
      <c r="O13" s="1"/>
      <c r="P13" s="1"/>
      <c r="Q13" s="2"/>
    </row>
    <row r="14" spans="1:17" ht="15.75" customHeight="1" x14ac:dyDescent="0.3">
      <c r="A14" s="1"/>
      <c r="B14" s="1"/>
      <c r="C14" s="21"/>
      <c r="D14" s="15"/>
      <c r="E14" s="30"/>
      <c r="F14" s="30"/>
      <c r="G14" s="30"/>
      <c r="H14" s="30"/>
      <c r="I14" s="30"/>
      <c r="J14" s="30"/>
      <c r="K14" s="30"/>
      <c r="L14" s="30"/>
      <c r="M14" s="2"/>
      <c r="N14" s="1"/>
      <c r="O14" s="1"/>
      <c r="P14" s="1"/>
      <c r="Q14" s="2"/>
    </row>
    <row r="15" spans="1:17" ht="15.75" customHeight="1" x14ac:dyDescent="0.3">
      <c r="A15" s="1"/>
      <c r="B15" s="1"/>
      <c r="C15" s="21" t="s">
        <v>40</v>
      </c>
      <c r="D15" s="15" t="s">
        <v>15</v>
      </c>
      <c r="E15" s="30">
        <f>E86/E83</f>
        <v>0.51269035532994922</v>
      </c>
      <c r="F15" s="30">
        <f>F86/F83</f>
        <v>0.47949481367652702</v>
      </c>
      <c r="G15" s="30">
        <f>G86/G83</f>
        <v>0.48428666182369479</v>
      </c>
      <c r="H15" s="9">
        <v>0.49380200000000002</v>
      </c>
      <c r="I15" s="9">
        <v>0.55666800000000005</v>
      </c>
      <c r="J15" s="9">
        <v>0.39428000000000002</v>
      </c>
      <c r="K15" s="9">
        <v>0.50131099999999995</v>
      </c>
      <c r="L15" s="9">
        <v>0.48970200000000003</v>
      </c>
      <c r="M15" s="2"/>
      <c r="N15" s="1"/>
      <c r="O15" s="1"/>
      <c r="P15" s="1"/>
      <c r="Q15" s="2"/>
    </row>
    <row r="16" spans="1:17" ht="15.75" customHeight="1" x14ac:dyDescent="0.3">
      <c r="A16" s="1"/>
      <c r="B16" s="1"/>
      <c r="C16" s="21"/>
      <c r="D16" s="15"/>
      <c r="E16" s="30"/>
      <c r="F16" s="30"/>
      <c r="G16" s="30"/>
      <c r="H16" s="30"/>
      <c r="I16" s="30"/>
      <c r="J16" s="30"/>
      <c r="K16" s="30"/>
      <c r="L16" s="30"/>
      <c r="M16" s="2"/>
      <c r="N16" s="1"/>
      <c r="O16" s="1"/>
      <c r="P16" s="1"/>
      <c r="Q16" s="2"/>
    </row>
    <row r="17" spans="1:17" ht="15.75" customHeight="1" x14ac:dyDescent="0.3">
      <c r="A17" s="1"/>
      <c r="B17" s="1"/>
      <c r="C17" s="21" t="s">
        <v>41</v>
      </c>
      <c r="D17" s="15" t="s">
        <v>13</v>
      </c>
      <c r="E17" s="34">
        <f>E89/(E6+E12)</f>
        <v>4.0816326530612242E-2</v>
      </c>
      <c r="F17" s="34">
        <f>F89/(F6+F12)</f>
        <v>4.8652818991097926E-2</v>
      </c>
      <c r="G17" s="34">
        <f>G89/(G6+G12)</f>
        <v>5.0740594059405938E-2</v>
      </c>
      <c r="H17" s="34">
        <f>G17*(1+H18)</f>
        <v>5.3366470542574262E-2</v>
      </c>
      <c r="I17" s="34">
        <f>H17*(1+I18)</f>
        <v>5.5603059323013557E-2</v>
      </c>
      <c r="J17" s="34">
        <f>I17*(1+J18)</f>
        <v>5.7404209223663932E-2</v>
      </c>
      <c r="K17" s="34">
        <f>J17*(1+K18)</f>
        <v>5.9606866135785135E-2</v>
      </c>
      <c r="L17" s="34">
        <f>K17*(1+L18)</f>
        <v>6.1626167939867124E-2</v>
      </c>
      <c r="M17" s="2"/>
      <c r="N17" s="1"/>
      <c r="O17" s="1"/>
      <c r="P17" s="1"/>
      <c r="Q17" s="2"/>
    </row>
    <row r="18" spans="1:17" ht="15.75" customHeight="1" x14ac:dyDescent="0.3">
      <c r="A18" s="1"/>
      <c r="B18" s="1"/>
      <c r="C18" s="21" t="s">
        <v>36</v>
      </c>
      <c r="D18" s="15" t="s">
        <v>15</v>
      </c>
      <c r="E18" s="28"/>
      <c r="F18" s="28">
        <f>F17/E17-1</f>
        <v>0.19199406528189922</v>
      </c>
      <c r="G18" s="28">
        <f>G17/F17-1</f>
        <v>4.2911697854342457E-2</v>
      </c>
      <c r="H18" s="9">
        <v>5.1750999999999998E-2</v>
      </c>
      <c r="I18" s="9">
        <v>4.1910000000000003E-2</v>
      </c>
      <c r="J18" s="9">
        <v>3.2392999999999998E-2</v>
      </c>
      <c r="K18" s="9">
        <v>3.8371000000000002E-2</v>
      </c>
      <c r="L18" s="9">
        <v>3.3876999999999997E-2</v>
      </c>
      <c r="M18" s="2"/>
      <c r="N18" s="1"/>
      <c r="O18" s="1"/>
      <c r="P18" s="1"/>
      <c r="Q18" s="2"/>
    </row>
    <row r="19" spans="1:17" ht="15.75" customHeight="1" x14ac:dyDescent="0.3">
      <c r="A19" s="1"/>
      <c r="B19" s="1"/>
      <c r="C19" s="21"/>
      <c r="D19" s="15"/>
      <c r="E19" s="30"/>
      <c r="F19" s="30"/>
      <c r="G19" s="30"/>
      <c r="H19" s="30"/>
      <c r="I19" s="30"/>
      <c r="J19" s="30"/>
      <c r="K19" s="30"/>
      <c r="L19" s="30"/>
      <c r="M19" s="2"/>
      <c r="N19" s="1"/>
      <c r="O19" s="1"/>
      <c r="P19" s="1"/>
      <c r="Q19" s="2"/>
    </row>
    <row r="20" spans="1:17" ht="15.75" customHeight="1" x14ac:dyDescent="0.3">
      <c r="A20" s="1"/>
      <c r="B20" s="1"/>
      <c r="C20" s="21" t="s">
        <v>42</v>
      </c>
      <c r="D20" s="15" t="s">
        <v>13</v>
      </c>
      <c r="E20" s="19">
        <f>E90</f>
        <v>4.9000000000000004</v>
      </c>
      <c r="F20" s="19">
        <f>F90</f>
        <v>5.2</v>
      </c>
      <c r="G20" s="19">
        <f>G90</f>
        <v>5.6</v>
      </c>
      <c r="H20" s="19">
        <f>G20*(1+H21)</f>
        <v>5.8932104000000001</v>
      </c>
      <c r="I20" s="19">
        <f>H20*(1+I21)</f>
        <v>6.1893913682831991</v>
      </c>
      <c r="J20" s="19">
        <f>I20*(1+J21)</f>
        <v>6.4469133749433576</v>
      </c>
      <c r="K20" s="19">
        <f>J20*(1+K21)</f>
        <v>6.7671444561035434</v>
      </c>
      <c r="L20" s="19">
        <f>K20*(1+L21)</f>
        <v>7.041464190920613</v>
      </c>
      <c r="M20" s="2"/>
      <c r="N20" s="1"/>
      <c r="O20" s="1"/>
      <c r="P20" s="1"/>
      <c r="Q20" s="2"/>
    </row>
    <row r="21" spans="1:17" ht="15.75" customHeight="1" x14ac:dyDescent="0.3">
      <c r="A21" s="1"/>
      <c r="B21" s="1"/>
      <c r="C21" s="21" t="s">
        <v>36</v>
      </c>
      <c r="D21" s="15" t="s">
        <v>15</v>
      </c>
      <c r="E21" s="28"/>
      <c r="F21" s="28">
        <f>F20/E20-1</f>
        <v>6.1224489795918435E-2</v>
      </c>
      <c r="G21" s="28">
        <f>G20/F20-1</f>
        <v>7.6923076923076872E-2</v>
      </c>
      <c r="H21" s="9">
        <v>5.2359000000000003E-2</v>
      </c>
      <c r="I21" s="9">
        <v>5.0257999999999997E-2</v>
      </c>
      <c r="J21" s="9">
        <v>4.1606999999999998E-2</v>
      </c>
      <c r="K21" s="9">
        <v>4.9672000000000001E-2</v>
      </c>
      <c r="L21" s="9">
        <v>4.0536999999999997E-2</v>
      </c>
      <c r="M21" s="2"/>
      <c r="N21" s="1"/>
      <c r="O21" s="1"/>
      <c r="P21" s="1"/>
      <c r="Q21" s="2"/>
    </row>
    <row r="22" spans="1:17" ht="15.75" customHeight="1" x14ac:dyDescent="0.3">
      <c r="A22" s="1"/>
      <c r="B22" s="1"/>
      <c r="C22" s="21"/>
      <c r="D22" s="15"/>
      <c r="E22" s="30"/>
      <c r="F22" s="30"/>
      <c r="G22" s="30"/>
      <c r="H22" s="30"/>
      <c r="I22" s="30"/>
      <c r="J22" s="30"/>
      <c r="K22" s="30"/>
      <c r="L22" s="30"/>
      <c r="M22" s="2"/>
      <c r="N22" s="1"/>
      <c r="O22" s="1"/>
      <c r="P22" s="1"/>
      <c r="Q22" s="2"/>
    </row>
    <row r="23" spans="1:17" ht="15.75" customHeight="1" x14ac:dyDescent="0.3">
      <c r="A23" s="1"/>
      <c r="B23" s="1"/>
      <c r="C23" s="21" t="s">
        <v>43</v>
      </c>
      <c r="D23" s="15" t="s">
        <v>15</v>
      </c>
      <c r="E23" s="30"/>
      <c r="F23" s="30"/>
      <c r="G23" s="30"/>
      <c r="H23" s="9">
        <v>0.232767</v>
      </c>
      <c r="I23" s="9">
        <v>0.162604</v>
      </c>
      <c r="J23" s="9">
        <v>0.166824</v>
      </c>
      <c r="K23" s="9">
        <v>0.209089</v>
      </c>
      <c r="L23" s="9">
        <v>0.168549</v>
      </c>
      <c r="M23" s="2"/>
      <c r="N23" s="1"/>
      <c r="O23" s="1"/>
      <c r="P23" s="1"/>
      <c r="Q23" s="2"/>
    </row>
    <row r="24" spans="1:17" ht="15.75" customHeight="1" x14ac:dyDescent="0.3">
      <c r="A24" s="1"/>
      <c r="B24" s="1"/>
      <c r="C24" s="21"/>
      <c r="D24" s="15"/>
      <c r="E24" s="30"/>
      <c r="F24" s="30"/>
      <c r="G24" s="30"/>
      <c r="H24" s="30"/>
      <c r="I24" s="30"/>
      <c r="J24" s="30"/>
      <c r="K24" s="30"/>
      <c r="L24" s="30"/>
      <c r="M24" s="2"/>
      <c r="N24" s="1"/>
      <c r="O24" s="1"/>
      <c r="P24" s="1"/>
      <c r="Q24" s="2"/>
    </row>
    <row r="25" spans="1:17" ht="30" customHeight="1" x14ac:dyDescent="0.3">
      <c r="A25" s="1"/>
      <c r="B25" s="35" t="s">
        <v>146</v>
      </c>
      <c r="C25" s="35"/>
      <c r="D25" s="36" t="s">
        <v>148</v>
      </c>
      <c r="E25" s="67" t="s">
        <v>149</v>
      </c>
      <c r="F25" s="67" t="s">
        <v>150</v>
      </c>
      <c r="G25" s="36" t="s">
        <v>44</v>
      </c>
      <c r="H25" s="35"/>
      <c r="I25" s="35"/>
      <c r="J25" s="35"/>
      <c r="K25" s="35"/>
      <c r="L25" s="35"/>
      <c r="M25" s="2"/>
      <c r="N25" s="1"/>
      <c r="O25" s="1"/>
      <c r="P25" s="1"/>
      <c r="Q25" s="2"/>
    </row>
    <row r="26" spans="1:17" ht="15.75" customHeight="1" x14ac:dyDescent="0.3">
      <c r="A26" s="1"/>
      <c r="B26" s="1"/>
      <c r="C26" s="21" t="s">
        <v>45</v>
      </c>
      <c r="D26" s="37">
        <v>11.498699999999999</v>
      </c>
      <c r="E26" s="38">
        <v>378.07600000000002</v>
      </c>
      <c r="F26" s="39">
        <v>9.6761E-2</v>
      </c>
      <c r="G26" s="40">
        <v>0</v>
      </c>
      <c r="H26" s="2"/>
      <c r="I26" s="2"/>
      <c r="J26" s="2"/>
      <c r="K26" s="30"/>
      <c r="L26" s="30"/>
      <c r="M26" s="2"/>
      <c r="N26" s="1"/>
      <c r="O26" s="1"/>
      <c r="P26" s="1"/>
      <c r="Q26" s="2"/>
    </row>
    <row r="27" spans="1:17" ht="15.75" customHeight="1" x14ac:dyDescent="0.3">
      <c r="A27" s="1"/>
      <c r="B27" s="1"/>
      <c r="C27" s="21" t="s">
        <v>46</v>
      </c>
      <c r="D27" s="37">
        <v>19.939599999999999</v>
      </c>
      <c r="E27" s="41">
        <v>403.76100000000002</v>
      </c>
      <c r="F27" s="39">
        <v>0</v>
      </c>
      <c r="G27" s="40">
        <v>0</v>
      </c>
      <c r="H27" s="2"/>
      <c r="I27" s="2"/>
      <c r="J27" s="2"/>
      <c r="K27" s="30"/>
      <c r="L27" s="30"/>
      <c r="M27" s="2"/>
      <c r="N27" s="1"/>
      <c r="O27" s="1"/>
      <c r="P27" s="1"/>
      <c r="Q27" s="2"/>
    </row>
    <row r="28" spans="1:17" ht="15.75" customHeight="1" x14ac:dyDescent="0.3">
      <c r="A28" s="1"/>
      <c r="B28" s="1"/>
      <c r="C28" s="21" t="s">
        <v>47</v>
      </c>
      <c r="D28" s="37">
        <v>5.1524999999999999</v>
      </c>
      <c r="E28" s="39">
        <v>0.108084</v>
      </c>
      <c r="F28" s="39">
        <v>0</v>
      </c>
      <c r="G28" s="40">
        <v>1</v>
      </c>
      <c r="H28" s="2"/>
      <c r="I28" s="2"/>
      <c r="J28" s="2"/>
      <c r="K28" s="30"/>
      <c r="L28" s="30"/>
      <c r="M28" s="2"/>
      <c r="N28" s="1"/>
      <c r="O28" s="1"/>
      <c r="P28" s="1"/>
      <c r="Q28" s="2"/>
    </row>
    <row r="29" spans="1:17" ht="15.75" customHeight="1" x14ac:dyDescent="0.3">
      <c r="A29" s="1"/>
      <c r="B29" s="1"/>
      <c r="C29" s="21" t="s">
        <v>48</v>
      </c>
      <c r="D29" s="1">
        <f>G104</f>
        <v>12.148999999999999</v>
      </c>
      <c r="E29" s="44">
        <v>51.3748</v>
      </c>
      <c r="F29" s="1"/>
      <c r="G29" s="1"/>
      <c r="H29" s="2"/>
      <c r="I29" s="2"/>
      <c r="J29" s="2"/>
      <c r="K29" s="30"/>
      <c r="L29" s="30"/>
      <c r="M29" s="2"/>
      <c r="N29" s="1"/>
      <c r="O29" s="1"/>
      <c r="P29" s="1"/>
      <c r="Q29" s="2"/>
    </row>
    <row r="30" spans="1:17" ht="15.75" customHeight="1" x14ac:dyDescent="0.3">
      <c r="A30" s="1"/>
      <c r="B30" s="1"/>
      <c r="C30" s="21"/>
      <c r="D30" s="15"/>
      <c r="E30" s="30"/>
      <c r="F30" s="30"/>
      <c r="G30" s="30"/>
      <c r="H30" s="30"/>
      <c r="I30" s="30"/>
      <c r="J30" s="30"/>
      <c r="K30" s="30"/>
      <c r="L30" s="30"/>
      <c r="M30" s="2"/>
      <c r="N30" s="1"/>
      <c r="O30" s="1"/>
      <c r="P30" s="1"/>
      <c r="Q30" s="2"/>
    </row>
    <row r="31" spans="1:17" ht="15.75" customHeight="1" x14ac:dyDescent="0.3">
      <c r="A31" s="1"/>
      <c r="B31" s="1"/>
      <c r="C31" s="21" t="s">
        <v>49</v>
      </c>
      <c r="D31" s="15" t="s">
        <v>15</v>
      </c>
      <c r="E31" s="30"/>
      <c r="F31" s="30"/>
      <c r="G31" s="30"/>
      <c r="H31" s="45">
        <v>1.1710999999999999E-2</v>
      </c>
      <c r="I31" s="45">
        <v>1.0101000000000001E-2</v>
      </c>
      <c r="J31" s="45">
        <v>9.724E-3</v>
      </c>
      <c r="K31" s="45">
        <v>1.1708E-2</v>
      </c>
      <c r="L31" s="45">
        <v>1.7208999999999999E-2</v>
      </c>
      <c r="M31" s="2"/>
      <c r="N31" s="1"/>
      <c r="O31" s="1"/>
      <c r="P31" s="1"/>
      <c r="Q31" s="2"/>
    </row>
    <row r="32" spans="1:17" ht="15.75" customHeight="1" x14ac:dyDescent="0.3">
      <c r="A32" s="1"/>
      <c r="B32" s="1"/>
      <c r="C32" s="21" t="s">
        <v>50</v>
      </c>
      <c r="D32" s="15" t="s">
        <v>15</v>
      </c>
      <c r="E32" s="30"/>
      <c r="F32" s="30"/>
      <c r="G32" s="30"/>
      <c r="H32" s="30">
        <f>H31+$E$26/10000</f>
        <v>4.9518600000000003E-2</v>
      </c>
      <c r="I32" s="30">
        <f>I31+$E$26/10000</f>
        <v>4.7908600000000003E-2</v>
      </c>
      <c r="J32" s="30">
        <f>J31+$E$26/10000</f>
        <v>4.7531600000000007E-2</v>
      </c>
      <c r="K32" s="30">
        <f>K31+$E$26/10000</f>
        <v>4.9515600000000007E-2</v>
      </c>
      <c r="L32" s="30">
        <f>L31+$E$26/10000</f>
        <v>5.5016599999999999E-2</v>
      </c>
      <c r="M32" s="2"/>
      <c r="N32" s="1"/>
      <c r="O32" s="1"/>
      <c r="P32" s="1"/>
      <c r="Q32" s="2"/>
    </row>
    <row r="33" spans="1:17" ht="15.75" customHeight="1" x14ac:dyDescent="0.3">
      <c r="A33" s="1"/>
      <c r="B33" s="1"/>
      <c r="C33" s="21" t="s">
        <v>51</v>
      </c>
      <c r="D33" s="15" t="s">
        <v>15</v>
      </c>
      <c r="E33" s="30"/>
      <c r="F33" s="30"/>
      <c r="G33" s="30"/>
      <c r="H33" s="30">
        <f>H31+$E$27/10000</f>
        <v>5.2087100000000004E-2</v>
      </c>
      <c r="I33" s="30">
        <f>I31+$E$27/10000</f>
        <v>5.0477100000000004E-2</v>
      </c>
      <c r="J33" s="30">
        <f>J31+$E$27/10000</f>
        <v>5.0100100000000009E-2</v>
      </c>
      <c r="K33" s="30">
        <f>K31+$E$27/10000</f>
        <v>5.2084100000000008E-2</v>
      </c>
      <c r="L33" s="30">
        <f>L31+$E$27/10000</f>
        <v>5.75851E-2</v>
      </c>
      <c r="M33" s="2"/>
      <c r="N33" s="1"/>
      <c r="O33" s="1"/>
      <c r="P33" s="1"/>
      <c r="Q33" s="2"/>
    </row>
    <row r="34" spans="1:17" ht="15.75" customHeight="1" x14ac:dyDescent="0.3">
      <c r="A34" s="1"/>
      <c r="B34" s="1"/>
      <c r="C34" s="21" t="s">
        <v>52</v>
      </c>
      <c r="D34" s="15" t="s">
        <v>15</v>
      </c>
      <c r="E34" s="30"/>
      <c r="F34" s="30"/>
      <c r="G34" s="30"/>
      <c r="H34" s="30">
        <f>$E$28</f>
        <v>0.108084</v>
      </c>
      <c r="I34" s="30">
        <f>$E$28</f>
        <v>0.108084</v>
      </c>
      <c r="J34" s="30">
        <f>$E$28</f>
        <v>0.108084</v>
      </c>
      <c r="K34" s="30">
        <f>$E$28</f>
        <v>0.108084</v>
      </c>
      <c r="L34" s="30">
        <f>$E$28</f>
        <v>0.108084</v>
      </c>
      <c r="M34" s="2"/>
      <c r="N34" s="1"/>
      <c r="O34" s="1"/>
      <c r="P34" s="1"/>
      <c r="Q34" s="2"/>
    </row>
    <row r="35" spans="1:17" ht="15.75" customHeight="1" x14ac:dyDescent="0.3">
      <c r="A35" s="1"/>
      <c r="B35" s="1"/>
      <c r="C35" s="21" t="s">
        <v>53</v>
      </c>
      <c r="D35" s="15" t="s">
        <v>15</v>
      </c>
      <c r="E35" s="30"/>
      <c r="F35" s="30"/>
      <c r="G35" s="30"/>
      <c r="H35" s="30">
        <f>H31+$E$29/10000</f>
        <v>1.6848479999999999E-2</v>
      </c>
      <c r="I35" s="30">
        <f>I31+$E$29/10000</f>
        <v>1.523848E-2</v>
      </c>
      <c r="J35" s="30">
        <f>J31+$E$29/10000</f>
        <v>1.486148E-2</v>
      </c>
      <c r="K35" s="30">
        <f>K31+$E$29/10000</f>
        <v>1.6845479999999999E-2</v>
      </c>
      <c r="L35" s="30">
        <f>L31+$E$29/10000</f>
        <v>2.2346479999999998E-2</v>
      </c>
      <c r="M35" s="2"/>
      <c r="N35" s="1"/>
      <c r="O35" s="1"/>
      <c r="P35" s="1"/>
      <c r="Q35" s="2"/>
    </row>
    <row r="36" spans="1:17" ht="15.75" customHeight="1" x14ac:dyDescent="0.3">
      <c r="A36" s="1"/>
      <c r="B36" s="1"/>
      <c r="C36" s="21"/>
      <c r="D36" s="15"/>
      <c r="E36" s="30"/>
      <c r="F36" s="30"/>
      <c r="G36" s="30"/>
      <c r="H36" s="30"/>
      <c r="I36" s="30"/>
      <c r="J36" s="30"/>
      <c r="K36" s="30"/>
      <c r="L36" s="30"/>
      <c r="M36" s="2"/>
      <c r="N36" s="1"/>
      <c r="O36" s="1"/>
      <c r="P36" s="1"/>
      <c r="Q36" s="2"/>
    </row>
    <row r="37" spans="1:17" ht="15.75" customHeight="1" x14ac:dyDescent="0.3">
      <c r="A37" s="1"/>
      <c r="B37" s="1"/>
      <c r="C37" s="21" t="s">
        <v>54</v>
      </c>
      <c r="D37" s="15" t="s">
        <v>13</v>
      </c>
      <c r="E37" s="30"/>
      <c r="F37" s="30"/>
      <c r="G37" s="30"/>
      <c r="H37" s="19">
        <f>D26</f>
        <v>11.498699999999999</v>
      </c>
      <c r="I37" s="19">
        <f>H39</f>
        <v>10.3860742893</v>
      </c>
      <c r="J37" s="19">
        <f>I39</f>
        <v>9.2734485786</v>
      </c>
      <c r="K37" s="19">
        <f>J39</f>
        <v>8.1608228679000003</v>
      </c>
      <c r="L37" s="19">
        <f>K39</f>
        <v>7.0481971572000006</v>
      </c>
      <c r="M37" s="2"/>
      <c r="N37" s="1"/>
      <c r="O37" s="1"/>
      <c r="P37" s="1"/>
      <c r="Q37" s="2"/>
    </row>
    <row r="38" spans="1:17" ht="15.75" customHeight="1" x14ac:dyDescent="0.3">
      <c r="A38" s="1"/>
      <c r="B38" s="1"/>
      <c r="C38" s="21" t="s">
        <v>55</v>
      </c>
      <c r="D38" s="15" t="s">
        <v>13</v>
      </c>
      <c r="E38" s="30"/>
      <c r="F38" s="30"/>
      <c r="G38" s="30"/>
      <c r="H38" s="19">
        <f>-$D$26*$F$26</f>
        <v>-1.1126257106999999</v>
      </c>
      <c r="I38" s="19">
        <f>-$D$26*$F$26</f>
        <v>-1.1126257106999999</v>
      </c>
      <c r="J38" s="19">
        <f>-$D$26*$F$26</f>
        <v>-1.1126257106999999</v>
      </c>
      <c r="K38" s="19">
        <f>-$D$26*$F$26</f>
        <v>-1.1126257106999999</v>
      </c>
      <c r="L38" s="19">
        <f>-$D$26*$F$26</f>
        <v>-1.1126257106999999</v>
      </c>
      <c r="M38" s="2"/>
      <c r="N38" s="1"/>
      <c r="O38" s="1"/>
      <c r="P38" s="1"/>
      <c r="Q38" s="2"/>
    </row>
    <row r="39" spans="1:17" ht="15.75" customHeight="1" x14ac:dyDescent="0.3">
      <c r="A39" s="1"/>
      <c r="B39" s="25"/>
      <c r="C39" s="46" t="s">
        <v>56</v>
      </c>
      <c r="D39" s="26" t="s">
        <v>13</v>
      </c>
      <c r="E39" s="47"/>
      <c r="F39" s="47"/>
      <c r="G39" s="47"/>
      <c r="H39" s="27">
        <f>SUM(H37:H38)</f>
        <v>10.3860742893</v>
      </c>
      <c r="I39" s="27">
        <f>SUM(I37:I38)</f>
        <v>9.2734485786</v>
      </c>
      <c r="J39" s="27">
        <f>SUM(J37:J38)</f>
        <v>8.1608228679000003</v>
      </c>
      <c r="K39" s="27">
        <f>SUM(K37:K38)</f>
        <v>7.0481971572000006</v>
      </c>
      <c r="L39" s="27">
        <f>SUM(L37:L38)</f>
        <v>5.9355714465000009</v>
      </c>
      <c r="M39" s="71"/>
      <c r="N39" s="70"/>
      <c r="O39" s="70"/>
      <c r="P39" s="70"/>
      <c r="Q39" s="71"/>
    </row>
    <row r="40" spans="1:17" ht="15.75" customHeight="1" x14ac:dyDescent="0.3">
      <c r="A40" s="1"/>
      <c r="B40" s="1"/>
      <c r="C40" s="21"/>
      <c r="D40" s="15"/>
      <c r="E40" s="30"/>
      <c r="F40" s="30"/>
      <c r="G40" s="30"/>
      <c r="H40" s="30"/>
      <c r="I40" s="30"/>
      <c r="J40" s="30"/>
      <c r="K40" s="30"/>
      <c r="L40" s="30"/>
      <c r="M40" s="2"/>
      <c r="N40" s="1"/>
      <c r="O40" s="1"/>
      <c r="P40" s="1"/>
      <c r="Q40" s="2"/>
    </row>
    <row r="41" spans="1:17" ht="15.75" customHeight="1" x14ac:dyDescent="0.3">
      <c r="A41" s="1"/>
      <c r="B41" s="1"/>
      <c r="C41" s="21" t="s">
        <v>50</v>
      </c>
      <c r="D41" s="15" t="s">
        <v>13</v>
      </c>
      <c r="E41" s="30"/>
      <c r="F41" s="30"/>
      <c r="G41" s="30"/>
      <c r="H41" s="19">
        <f>H37*H32</f>
        <v>0.56939952581999997</v>
      </c>
      <c r="I41" s="19">
        <f>I37*I32</f>
        <v>0.49758227869635802</v>
      </c>
      <c r="J41" s="19">
        <f>J37*J32</f>
        <v>0.44078184845858381</v>
      </c>
      <c r="K41" s="19">
        <f>K37*K32</f>
        <v>0.40408804079778932</v>
      </c>
      <c r="L41" s="19">
        <f>L37*L32</f>
        <v>0.38776784371880957</v>
      </c>
      <c r="M41" s="2"/>
      <c r="N41" s="1"/>
      <c r="O41" s="1"/>
      <c r="P41" s="1"/>
      <c r="Q41" s="2"/>
    </row>
    <row r="42" spans="1:17" ht="15.75" customHeight="1" x14ac:dyDescent="0.3">
      <c r="A42" s="1"/>
      <c r="B42" s="1"/>
      <c r="C42" s="21"/>
      <c r="D42" s="15"/>
      <c r="E42" s="30"/>
      <c r="F42" s="30"/>
      <c r="G42" s="30"/>
      <c r="H42" s="30"/>
      <c r="I42" s="30"/>
      <c r="J42" s="30"/>
      <c r="K42" s="30"/>
      <c r="L42" s="30"/>
      <c r="M42" s="2"/>
      <c r="N42" s="1"/>
      <c r="O42" s="1"/>
      <c r="P42" s="1"/>
      <c r="Q42" s="2"/>
    </row>
    <row r="43" spans="1:17" ht="15.75" customHeight="1" x14ac:dyDescent="0.3">
      <c r="A43" s="1"/>
      <c r="B43" s="1"/>
      <c r="C43" s="21" t="s">
        <v>57</v>
      </c>
      <c r="D43" s="15" t="s">
        <v>13</v>
      </c>
      <c r="E43" s="30"/>
      <c r="F43" s="30"/>
      <c r="G43" s="30"/>
      <c r="H43" s="19">
        <f>D27</f>
        <v>19.939599999999999</v>
      </c>
      <c r="I43" s="19">
        <f>H45</f>
        <v>19.939599999999999</v>
      </c>
      <c r="J43" s="19">
        <f>I45</f>
        <v>19.939599999999999</v>
      </c>
      <c r="K43" s="19">
        <f>J45</f>
        <v>19.939599999999999</v>
      </c>
      <c r="L43" s="19">
        <f>K45</f>
        <v>19.939599999999999</v>
      </c>
      <c r="M43" s="2"/>
      <c r="N43" s="1"/>
      <c r="O43" s="1"/>
      <c r="P43" s="1"/>
      <c r="Q43" s="2"/>
    </row>
    <row r="44" spans="1:17" ht="15.75" customHeight="1" x14ac:dyDescent="0.3">
      <c r="A44" s="1"/>
      <c r="B44" s="1"/>
      <c r="C44" s="21" t="s">
        <v>55</v>
      </c>
      <c r="D44" s="15" t="s">
        <v>13</v>
      </c>
      <c r="E44" s="30"/>
      <c r="F44" s="30"/>
      <c r="G44" s="30"/>
      <c r="H44" s="19">
        <f>-$D$27*$F$27</f>
        <v>0</v>
      </c>
      <c r="I44" s="19">
        <f>-$D$27*$F$27</f>
        <v>0</v>
      </c>
      <c r="J44" s="19">
        <f>-$D$27*$F$27</f>
        <v>0</v>
      </c>
      <c r="K44" s="19">
        <f>-$D$27*$F$27</f>
        <v>0</v>
      </c>
      <c r="L44" s="19">
        <f>-$D$27*$F$27</f>
        <v>0</v>
      </c>
      <c r="M44" s="2"/>
      <c r="N44" s="1"/>
      <c r="O44" s="1"/>
      <c r="P44" s="1"/>
      <c r="Q44" s="2"/>
    </row>
    <row r="45" spans="1:17" ht="15.75" customHeight="1" x14ac:dyDescent="0.3">
      <c r="A45" s="1"/>
      <c r="B45" s="25"/>
      <c r="C45" s="46" t="s">
        <v>58</v>
      </c>
      <c r="D45" s="26" t="s">
        <v>13</v>
      </c>
      <c r="E45" s="47"/>
      <c r="F45" s="47"/>
      <c r="G45" s="47"/>
      <c r="H45" s="27">
        <f>SUM(H43:H44)</f>
        <v>19.939599999999999</v>
      </c>
      <c r="I45" s="27">
        <f>SUM(I43:I44)</f>
        <v>19.939599999999999</v>
      </c>
      <c r="J45" s="27">
        <f>SUM(J43:J44)</f>
        <v>19.939599999999999</v>
      </c>
      <c r="K45" s="27">
        <f>SUM(K43:K44)</f>
        <v>19.939599999999999</v>
      </c>
      <c r="L45" s="27">
        <f>SUM(L43:L44)</f>
        <v>19.939599999999999</v>
      </c>
      <c r="M45" s="71"/>
      <c r="N45" s="70"/>
      <c r="O45" s="70"/>
      <c r="P45" s="70"/>
      <c r="Q45" s="71"/>
    </row>
    <row r="46" spans="1:17" ht="15.75" customHeight="1" x14ac:dyDescent="0.3">
      <c r="A46" s="1"/>
      <c r="B46" s="1"/>
      <c r="C46" s="21"/>
      <c r="D46" s="15"/>
      <c r="E46" s="30"/>
      <c r="F46" s="30"/>
      <c r="G46" s="30"/>
      <c r="H46" s="30"/>
      <c r="I46" s="30"/>
      <c r="J46" s="30"/>
      <c r="K46" s="30"/>
      <c r="L46" s="30"/>
      <c r="M46" s="2"/>
      <c r="N46" s="1"/>
      <c r="O46" s="1"/>
      <c r="P46" s="1"/>
      <c r="Q46" s="2"/>
    </row>
    <row r="47" spans="1:17" ht="15.75" customHeight="1" x14ac:dyDescent="0.3">
      <c r="A47" s="1"/>
      <c r="B47" s="1"/>
      <c r="C47" s="21" t="s">
        <v>51</v>
      </c>
      <c r="D47" s="15" t="s">
        <v>13</v>
      </c>
      <c r="E47" s="30"/>
      <c r="F47" s="30"/>
      <c r="G47" s="30"/>
      <c r="H47" s="19">
        <f>H43*H33</f>
        <v>1.0385959391599999</v>
      </c>
      <c r="I47" s="19">
        <f>I43*I33</f>
        <v>1.0064931831599999</v>
      </c>
      <c r="J47" s="19">
        <f>J43*J33</f>
        <v>0.99897595396000005</v>
      </c>
      <c r="K47" s="19">
        <f>K43*K33</f>
        <v>1.0385361203600001</v>
      </c>
      <c r="L47" s="19">
        <f>L43*L33</f>
        <v>1.1482238599599999</v>
      </c>
      <c r="M47" s="2"/>
      <c r="N47" s="1"/>
      <c r="O47" s="1"/>
      <c r="P47" s="1"/>
      <c r="Q47" s="2"/>
    </row>
    <row r="48" spans="1:17" ht="15.75" customHeight="1" x14ac:dyDescent="0.3">
      <c r="A48" s="1"/>
      <c r="B48" s="1"/>
      <c r="C48" s="21"/>
      <c r="D48" s="15"/>
      <c r="E48" s="30"/>
      <c r="F48" s="30"/>
      <c r="G48" s="30"/>
      <c r="H48" s="30"/>
      <c r="I48" s="30"/>
      <c r="J48" s="30"/>
      <c r="K48" s="30"/>
      <c r="L48" s="30"/>
      <c r="M48" s="2"/>
      <c r="N48" s="1"/>
      <c r="O48" s="1"/>
      <c r="P48" s="1"/>
      <c r="Q48" s="2"/>
    </row>
    <row r="49" spans="1:17" ht="15.75" customHeight="1" x14ac:dyDescent="0.3">
      <c r="A49" s="1"/>
      <c r="B49" s="1"/>
      <c r="C49" s="21" t="s">
        <v>59</v>
      </c>
      <c r="D49" s="15" t="s">
        <v>13</v>
      </c>
      <c r="E49" s="30"/>
      <c r="F49" s="30"/>
      <c r="G49" s="30"/>
      <c r="H49" s="19">
        <f>D28</f>
        <v>5.1524999999999999</v>
      </c>
      <c r="I49" s="19">
        <f>H52</f>
        <v>5.7094028100000003</v>
      </c>
      <c r="J49" s="19">
        <f>I52</f>
        <v>6.3264979033160404</v>
      </c>
      <c r="K49" s="19">
        <f>J52</f>
        <v>7.0102911026980514</v>
      </c>
      <c r="L49" s="19">
        <f>K52</f>
        <v>7.7679914062420679</v>
      </c>
      <c r="M49" s="2"/>
      <c r="N49" s="1"/>
      <c r="O49" s="1"/>
      <c r="P49" s="1"/>
      <c r="Q49" s="2"/>
    </row>
    <row r="50" spans="1:17" ht="15.75" customHeight="1" x14ac:dyDescent="0.3">
      <c r="A50" s="1"/>
      <c r="B50" s="1"/>
      <c r="C50" s="21" t="s">
        <v>55</v>
      </c>
      <c r="D50" s="15" t="s">
        <v>13</v>
      </c>
      <c r="E50" s="30"/>
      <c r="F50" s="30"/>
      <c r="G50" s="30"/>
      <c r="H50" s="19">
        <f>-$D$28*$F$28</f>
        <v>0</v>
      </c>
      <c r="I50" s="19">
        <f>-$D$28*$F$28</f>
        <v>0</v>
      </c>
      <c r="J50" s="19">
        <f>-$D$28*$F$28</f>
        <v>0</v>
      </c>
      <c r="K50" s="19">
        <f>-$D$28*$F$28</f>
        <v>0</v>
      </c>
      <c r="L50" s="19">
        <f>-$D$28*$F$28</f>
        <v>0</v>
      </c>
      <c r="M50" s="2"/>
      <c r="N50" s="1"/>
      <c r="O50" s="1"/>
      <c r="P50" s="1"/>
      <c r="Q50" s="2"/>
    </row>
    <row r="51" spans="1:17" ht="15.75" customHeight="1" x14ac:dyDescent="0.3">
      <c r="A51" s="1"/>
      <c r="B51" s="1"/>
      <c r="C51" s="21" t="s">
        <v>60</v>
      </c>
      <c r="D51" s="15" t="s">
        <v>13</v>
      </c>
      <c r="E51" s="30"/>
      <c r="F51" s="30"/>
      <c r="G51" s="30"/>
      <c r="H51" s="19">
        <f>H49*H34</f>
        <v>0.55690280999999997</v>
      </c>
      <c r="I51" s="19">
        <f>I49*I34</f>
        <v>0.61709509331604007</v>
      </c>
      <c r="J51" s="19">
        <f>J49*J34</f>
        <v>0.68379319938201089</v>
      </c>
      <c r="K51" s="19">
        <f>K49*K34</f>
        <v>0.75770030354401618</v>
      </c>
      <c r="L51" s="19">
        <f>L49*L34</f>
        <v>0.83959558315226768</v>
      </c>
      <c r="M51" s="2"/>
      <c r="N51" s="1"/>
      <c r="O51" s="1"/>
      <c r="P51" s="1"/>
      <c r="Q51" s="2"/>
    </row>
    <row r="52" spans="1:17" ht="15.75" customHeight="1" x14ac:dyDescent="0.3">
      <c r="A52" s="1"/>
      <c r="B52" s="25"/>
      <c r="C52" s="46" t="s">
        <v>61</v>
      </c>
      <c r="D52" s="26" t="s">
        <v>13</v>
      </c>
      <c r="E52" s="47"/>
      <c r="F52" s="47"/>
      <c r="G52" s="47"/>
      <c r="H52" s="27">
        <f>SUM(H49:H51)</f>
        <v>5.7094028100000003</v>
      </c>
      <c r="I52" s="27">
        <f>SUM(I49:I51)</f>
        <v>6.3264979033160404</v>
      </c>
      <c r="J52" s="27">
        <f>SUM(J49:J51)</f>
        <v>7.0102911026980514</v>
      </c>
      <c r="K52" s="27">
        <f>SUM(K49:K51)</f>
        <v>7.7679914062420679</v>
      </c>
      <c r="L52" s="27">
        <f>SUM(L49:L51)</f>
        <v>8.6075869893943349</v>
      </c>
      <c r="M52" s="71"/>
      <c r="N52" s="70"/>
      <c r="O52" s="70"/>
      <c r="P52" s="70"/>
      <c r="Q52" s="71"/>
    </row>
    <row r="53" spans="1:17" ht="15.75" customHeight="1" x14ac:dyDescent="0.3">
      <c r="A53" s="1"/>
      <c r="B53" s="1"/>
      <c r="C53" s="21"/>
      <c r="D53" s="15"/>
      <c r="E53" s="30"/>
      <c r="F53" s="30"/>
      <c r="G53" s="30"/>
      <c r="H53" s="30"/>
      <c r="I53" s="30"/>
      <c r="J53" s="30"/>
      <c r="K53" s="30"/>
      <c r="L53" s="30"/>
      <c r="M53" s="2"/>
      <c r="N53" s="1"/>
      <c r="O53" s="1"/>
      <c r="P53" s="1"/>
      <c r="Q53" s="2"/>
    </row>
    <row r="54" spans="1:17" ht="15.75" customHeight="1" x14ac:dyDescent="0.3">
      <c r="A54" s="1"/>
      <c r="B54" s="1"/>
      <c r="C54" s="21" t="s">
        <v>62</v>
      </c>
      <c r="D54" s="15" t="s">
        <v>13</v>
      </c>
      <c r="E54" s="30"/>
      <c r="F54" s="30"/>
      <c r="G54" s="30"/>
      <c r="H54" s="19">
        <f>H35*G104</f>
        <v>0.20469218351999996</v>
      </c>
      <c r="I54" s="19">
        <f>I35*H104</f>
        <v>0</v>
      </c>
      <c r="J54" s="19">
        <f>J35*I104</f>
        <v>0</v>
      </c>
      <c r="K54" s="19">
        <f>K35*J104</f>
        <v>0</v>
      </c>
      <c r="L54" s="19">
        <f>L35*K104</f>
        <v>0</v>
      </c>
      <c r="M54" s="2"/>
      <c r="N54" s="1"/>
      <c r="O54" s="1"/>
      <c r="P54" s="1"/>
      <c r="Q54" s="2"/>
    </row>
    <row r="55" spans="1:17" ht="15.75" customHeight="1" x14ac:dyDescent="0.3">
      <c r="A55" s="1"/>
      <c r="B55" s="1"/>
      <c r="C55" s="21"/>
      <c r="D55" s="15"/>
      <c r="E55" s="30"/>
      <c r="F55" s="30"/>
      <c r="G55" s="30"/>
      <c r="H55" s="30"/>
      <c r="I55" s="30"/>
      <c r="J55" s="30"/>
      <c r="K55" s="30"/>
      <c r="L55" s="30"/>
      <c r="M55" s="2"/>
      <c r="N55" s="1"/>
      <c r="O55" s="1"/>
      <c r="P55" s="1"/>
      <c r="Q55" s="2"/>
    </row>
    <row r="56" spans="1:17" ht="15.75" customHeight="1" x14ac:dyDescent="0.3">
      <c r="A56" s="1"/>
      <c r="B56" s="5" t="s">
        <v>63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69"/>
      <c r="N56" s="69"/>
      <c r="O56" s="69"/>
      <c r="P56" s="69"/>
      <c r="Q56" s="69"/>
    </row>
    <row r="57" spans="1:17" ht="15.75" customHeight="1" x14ac:dyDescent="0.3">
      <c r="A57" s="1"/>
      <c r="B57" s="1"/>
      <c r="C57" s="21" t="s">
        <v>64</v>
      </c>
      <c r="D57" s="48" t="s">
        <v>15</v>
      </c>
      <c r="E57" s="30">
        <f>E105/E83</f>
        <v>0.1337940609137056</v>
      </c>
      <c r="F57" s="30">
        <f>F105/F83</f>
        <v>0.19536752465104368</v>
      </c>
      <c r="G57" s="30">
        <f>G105/G83</f>
        <v>0.13209732267879515</v>
      </c>
      <c r="H57" s="49">
        <v>0.15321399999999999</v>
      </c>
      <c r="I57" s="49">
        <v>0.116453</v>
      </c>
      <c r="J57" s="49">
        <v>9.7186999999999996E-2</v>
      </c>
      <c r="K57" s="49">
        <v>0.13717099999999999</v>
      </c>
      <c r="L57" s="49">
        <v>0.130161</v>
      </c>
      <c r="M57" s="2"/>
      <c r="N57" s="2"/>
      <c r="O57" s="2"/>
      <c r="P57" s="2"/>
      <c r="Q57" s="2"/>
    </row>
    <row r="58" spans="1:17" ht="14.25" customHeight="1" x14ac:dyDescent="0.3">
      <c r="A58" s="1"/>
      <c r="B58" s="1"/>
      <c r="C58" s="21" t="s">
        <v>65</v>
      </c>
      <c r="D58" s="48" t="s">
        <v>15</v>
      </c>
      <c r="E58" s="30">
        <f>E106/E91</f>
        <v>0.13585208053691275</v>
      </c>
      <c r="F58" s="30">
        <f>F106/F91</f>
        <v>0.18072791257640303</v>
      </c>
      <c r="G58" s="30">
        <f>G106/G91</f>
        <v>0.11869075070458622</v>
      </c>
      <c r="H58" s="9">
        <v>0.117565</v>
      </c>
      <c r="I58" s="9">
        <v>0.116913</v>
      </c>
      <c r="J58" s="9">
        <v>0.116106</v>
      </c>
      <c r="K58" s="9">
        <v>0.116061</v>
      </c>
      <c r="L58" s="9">
        <v>9.4074000000000005E-2</v>
      </c>
      <c r="M58" s="2"/>
      <c r="N58" s="2"/>
      <c r="O58" s="2"/>
      <c r="P58" s="2"/>
      <c r="Q58" s="2"/>
    </row>
    <row r="59" spans="1:17" ht="14.25" customHeight="1" x14ac:dyDescent="0.3">
      <c r="A59" s="1"/>
      <c r="B59" s="1"/>
      <c r="C59" s="21"/>
      <c r="D59" s="48"/>
      <c r="E59" s="30"/>
      <c r="F59" s="30"/>
      <c r="G59" s="30"/>
      <c r="H59" s="30"/>
      <c r="I59" s="30"/>
      <c r="J59" s="30"/>
      <c r="K59" s="30"/>
      <c r="L59" s="30"/>
      <c r="M59" s="2"/>
      <c r="N59" s="2"/>
      <c r="O59" s="2"/>
      <c r="P59" s="2"/>
      <c r="Q59" s="2"/>
    </row>
    <row r="60" spans="1:17" ht="15.75" customHeight="1" x14ac:dyDescent="0.3">
      <c r="A60" s="1"/>
      <c r="B60" s="1"/>
      <c r="C60" s="21" t="s">
        <v>66</v>
      </c>
      <c r="D60" s="48" t="s">
        <v>15</v>
      </c>
      <c r="E60" s="30">
        <f t="shared" ref="E60:G62" si="0">E118/E$91</f>
        <v>4.8680201342281876E-2</v>
      </c>
      <c r="F60" s="30">
        <f t="shared" si="0"/>
        <v>3.1718836821633636E-2</v>
      </c>
      <c r="G60" s="30">
        <f t="shared" si="0"/>
        <v>4.4196771714066108E-2</v>
      </c>
      <c r="H60" s="50">
        <f>AVERAGE(E60:G60)</f>
        <v>4.1531936625993873E-2</v>
      </c>
      <c r="I60" s="50">
        <f>H60</f>
        <v>4.1531936625993873E-2</v>
      </c>
      <c r="J60" s="50">
        <f>I60</f>
        <v>4.1531936625993873E-2</v>
      </c>
      <c r="K60" s="50">
        <f>J60</f>
        <v>4.1531936625993873E-2</v>
      </c>
      <c r="L60" s="50">
        <f>K60</f>
        <v>4.1531936625993873E-2</v>
      </c>
      <c r="M60" s="2"/>
      <c r="N60" s="2"/>
      <c r="O60" s="2"/>
      <c r="P60" s="2"/>
      <c r="Q60" s="2"/>
    </row>
    <row r="61" spans="1:17" ht="15.75" customHeight="1" x14ac:dyDescent="0.3">
      <c r="A61" s="1"/>
      <c r="B61" s="1"/>
      <c r="C61" s="21" t="s">
        <v>67</v>
      </c>
      <c r="D61" s="48" t="s">
        <v>15</v>
      </c>
      <c r="E61" s="30">
        <f t="shared" si="0"/>
        <v>0.12765402684563759</v>
      </c>
      <c r="F61" s="30">
        <f t="shared" si="0"/>
        <v>0.24476754954621224</v>
      </c>
      <c r="G61" s="30">
        <f t="shared" si="0"/>
        <v>0.20019856520625162</v>
      </c>
      <c r="H61" s="9">
        <v>0.19573699999999999</v>
      </c>
      <c r="I61" s="9">
        <v>0.18640399999999999</v>
      </c>
      <c r="J61" s="9">
        <v>0.15241499999999999</v>
      </c>
      <c r="K61" s="9">
        <v>0.18871599999999999</v>
      </c>
      <c r="L61" s="9">
        <v>0.17624400000000001</v>
      </c>
      <c r="M61" s="2"/>
      <c r="N61" s="2"/>
      <c r="O61" s="2"/>
      <c r="P61" s="2"/>
      <c r="Q61" s="2"/>
    </row>
    <row r="62" spans="1:17" ht="15.75" customHeight="1" x14ac:dyDescent="0.3">
      <c r="A62" s="1"/>
      <c r="B62" s="1"/>
      <c r="C62" s="21" t="s">
        <v>68</v>
      </c>
      <c r="D62" s="48" t="s">
        <v>15</v>
      </c>
      <c r="E62" s="30">
        <f t="shared" si="0"/>
        <v>0.15758583892617448</v>
      </c>
      <c r="F62" s="30">
        <f t="shared" si="0"/>
        <v>0.10358399703648824</v>
      </c>
      <c r="G62" s="30">
        <f t="shared" si="0"/>
        <v>8.3941839610555985E-2</v>
      </c>
      <c r="H62" s="9">
        <v>9.4913999999999998E-2</v>
      </c>
      <c r="I62" s="9">
        <v>6.6014000000000003E-2</v>
      </c>
      <c r="J62" s="9">
        <v>6.2217000000000001E-2</v>
      </c>
      <c r="K62" s="9">
        <v>7.2203000000000003E-2</v>
      </c>
      <c r="L62" s="9">
        <v>5.9049999999999998E-2</v>
      </c>
      <c r="M62" s="2"/>
      <c r="N62" s="2"/>
      <c r="O62" s="2"/>
      <c r="P62" s="2"/>
      <c r="Q62" s="2"/>
    </row>
    <row r="63" spans="1:17" ht="15.75" customHeight="1" x14ac:dyDescent="0.3">
      <c r="A63" s="1"/>
      <c r="B63" s="1"/>
      <c r="C63" s="21"/>
      <c r="D63" s="48"/>
      <c r="E63" s="51"/>
      <c r="F63" s="51"/>
      <c r="G63" s="51"/>
      <c r="H63" s="30"/>
      <c r="I63" s="1"/>
      <c r="J63" s="1"/>
      <c r="K63" s="1"/>
      <c r="L63" s="1"/>
      <c r="M63" s="2"/>
      <c r="N63" s="2"/>
      <c r="O63" s="2"/>
      <c r="P63" s="2"/>
      <c r="Q63" s="2"/>
    </row>
    <row r="64" spans="1:17" ht="15.75" customHeight="1" x14ac:dyDescent="0.3">
      <c r="A64" s="1"/>
      <c r="B64" s="5" t="s">
        <v>69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69"/>
      <c r="N64" s="69"/>
      <c r="O64" s="69"/>
      <c r="P64" s="69"/>
      <c r="Q64" s="69"/>
    </row>
    <row r="65" spans="1:17" ht="15.75" customHeight="1" x14ac:dyDescent="0.3">
      <c r="A65" s="1"/>
      <c r="B65" s="1"/>
      <c r="C65" s="21" t="s">
        <v>70</v>
      </c>
      <c r="D65" s="15" t="s">
        <v>13</v>
      </c>
      <c r="E65" s="45">
        <v>8.9999999999999993E-3</v>
      </c>
      <c r="F65" s="45">
        <v>1.19733640671021E-2</v>
      </c>
      <c r="G65" s="45">
        <v>6.5695966646663103E-3</v>
      </c>
      <c r="H65" s="49">
        <v>1.1577E-2</v>
      </c>
      <c r="I65" s="49">
        <v>1.3395000000000001E-2</v>
      </c>
      <c r="J65" s="49">
        <v>1.5239000000000001E-2</v>
      </c>
      <c r="K65" s="49">
        <v>1.3972999999999999E-2</v>
      </c>
      <c r="L65" s="49">
        <v>1.8638999999999999E-2</v>
      </c>
      <c r="M65" s="2"/>
      <c r="N65" s="2"/>
      <c r="O65" s="2"/>
      <c r="P65" s="2"/>
      <c r="Q65" s="2"/>
    </row>
    <row r="66" spans="1:17" ht="15.75" customHeight="1" x14ac:dyDescent="0.3">
      <c r="A66" s="1"/>
      <c r="B66" s="1"/>
      <c r="C66" s="21" t="s">
        <v>71</v>
      </c>
      <c r="D66" s="15" t="s">
        <v>15</v>
      </c>
      <c r="E66" s="45">
        <v>5.0000000000000001E-3</v>
      </c>
      <c r="F66" s="45">
        <v>5.602509924446151E-3</v>
      </c>
      <c r="G66" s="45">
        <v>6.2326942716064973E-3</v>
      </c>
      <c r="H66" s="9">
        <v>7.417E-3</v>
      </c>
      <c r="I66" s="9">
        <v>1.1478E-2</v>
      </c>
      <c r="J66" s="9">
        <v>9.9290000000000003E-3</v>
      </c>
      <c r="K66" s="9">
        <v>1.5188E-2</v>
      </c>
      <c r="L66" s="9">
        <v>1.4607999999999999E-2</v>
      </c>
      <c r="M66" s="2"/>
      <c r="N66" s="2"/>
      <c r="O66" s="2"/>
      <c r="P66" s="2"/>
      <c r="Q66" s="2"/>
    </row>
    <row r="67" spans="1:17" ht="15.75" customHeight="1" x14ac:dyDescent="0.3">
      <c r="A67" s="1"/>
      <c r="B67" s="1"/>
      <c r="C67" s="21"/>
      <c r="D67" s="15"/>
      <c r="E67" s="30"/>
      <c r="F67" s="30"/>
      <c r="G67" s="30"/>
      <c r="H67" s="30"/>
      <c r="I67" s="30"/>
      <c r="J67" s="30"/>
      <c r="K67" s="30"/>
      <c r="L67" s="30"/>
      <c r="M67" s="2"/>
      <c r="N67" s="2"/>
      <c r="O67" s="2"/>
      <c r="P67" s="2"/>
      <c r="Q67" s="2"/>
    </row>
    <row r="68" spans="1:17" ht="15.75" customHeight="1" x14ac:dyDescent="0.3">
      <c r="A68" s="1"/>
      <c r="B68" s="1"/>
      <c r="C68" s="21" t="s">
        <v>72</v>
      </c>
      <c r="D68" s="15" t="s">
        <v>13</v>
      </c>
      <c r="E68" s="30"/>
      <c r="F68" s="30"/>
      <c r="G68" s="30"/>
      <c r="H68" s="52">
        <v>5.2530999999999999</v>
      </c>
      <c r="I68" s="52">
        <v>5.5022000000000002</v>
      </c>
      <c r="J68" s="52">
        <v>11.1065</v>
      </c>
      <c r="K68" s="52">
        <v>8.8491</v>
      </c>
      <c r="L68" s="52">
        <v>14.942</v>
      </c>
      <c r="M68" s="2"/>
      <c r="N68" s="2"/>
      <c r="O68" s="2"/>
      <c r="P68" s="2"/>
      <c r="Q68" s="2"/>
    </row>
    <row r="69" spans="1:17" ht="15.75" customHeight="1" x14ac:dyDescent="0.3">
      <c r="A69" s="1"/>
      <c r="B69" s="1"/>
      <c r="C69" s="21" t="s">
        <v>73</v>
      </c>
      <c r="D69" s="15"/>
      <c r="E69" s="30"/>
      <c r="F69" s="30"/>
      <c r="G69" s="30"/>
      <c r="H69" s="9">
        <v>8.3629999999999996E-2</v>
      </c>
      <c r="I69" s="50"/>
      <c r="J69" s="50"/>
      <c r="K69" s="50"/>
      <c r="L69" s="50"/>
      <c r="M69" s="2"/>
      <c r="N69" s="2"/>
      <c r="O69" s="2"/>
      <c r="P69" s="2"/>
      <c r="Q69" s="2"/>
    </row>
    <row r="70" spans="1:17" ht="15.75" customHeight="1" x14ac:dyDescent="0.3">
      <c r="A70" s="1"/>
      <c r="B70" s="1"/>
      <c r="C70" s="21" t="s">
        <v>74</v>
      </c>
      <c r="D70" s="15" t="s">
        <v>15</v>
      </c>
      <c r="E70" s="53"/>
      <c r="F70" s="53"/>
      <c r="G70" s="53"/>
      <c r="H70" s="9">
        <v>0.20202899999999999</v>
      </c>
      <c r="I70" s="50"/>
      <c r="J70" s="50"/>
      <c r="K70" s="50"/>
      <c r="L70" s="50"/>
      <c r="M70" s="2"/>
      <c r="N70" s="1"/>
      <c r="O70" s="1"/>
      <c r="P70" s="1"/>
      <c r="Q70" s="2"/>
    </row>
    <row r="71" spans="1:1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</row>
    <row r="72" spans="1:17" ht="15.75" customHeight="1" x14ac:dyDescent="0.3">
      <c r="A72" s="1"/>
      <c r="B72" s="1"/>
      <c r="C72" s="21" t="s">
        <v>75</v>
      </c>
      <c r="D72" s="15" t="s">
        <v>13</v>
      </c>
      <c r="E72" s="1"/>
      <c r="F72" s="1"/>
      <c r="G72" s="1"/>
      <c r="H72" s="19">
        <f>$G$111*$H$69</f>
        <v>1.94515017</v>
      </c>
      <c r="I72" s="19">
        <f>$G$111*$H$69</f>
        <v>1.94515017</v>
      </c>
      <c r="J72" s="19">
        <f>$G$111*$H$69</f>
        <v>1.94515017</v>
      </c>
      <c r="K72" s="19">
        <f>$G$111*$H$69</f>
        <v>1.94515017</v>
      </c>
      <c r="L72" s="19">
        <f>$G$111*$H$69</f>
        <v>1.94515017</v>
      </c>
      <c r="M72" s="2"/>
      <c r="N72" s="2"/>
      <c r="O72" s="2"/>
      <c r="P72" s="2"/>
      <c r="Q72" s="2"/>
    </row>
    <row r="73" spans="1:17" ht="15.75" customHeight="1" x14ac:dyDescent="0.3">
      <c r="A73" s="1"/>
      <c r="B73" s="1"/>
      <c r="C73" s="21" t="s">
        <v>76</v>
      </c>
      <c r="D73" s="15" t="s">
        <v>13</v>
      </c>
      <c r="E73" s="1"/>
      <c r="F73" s="1"/>
      <c r="G73" s="1"/>
      <c r="H73" s="19">
        <f>$H68*$H$70/2</f>
        <v>0.53063926994999999</v>
      </c>
      <c r="I73" s="19">
        <f>$H68*$H$70</f>
        <v>1.0612785399</v>
      </c>
      <c r="J73" s="19">
        <f>$H68*$H$70</f>
        <v>1.0612785399</v>
      </c>
      <c r="K73" s="19">
        <f>$H68*$H$70</f>
        <v>1.0612785399</v>
      </c>
      <c r="L73" s="19">
        <f>$H68*$H$70</f>
        <v>1.0612785399</v>
      </c>
      <c r="M73" s="2"/>
      <c r="N73" s="2"/>
      <c r="O73" s="2"/>
      <c r="P73" s="2"/>
      <c r="Q73" s="2"/>
    </row>
    <row r="74" spans="1:17" ht="15.75" customHeight="1" x14ac:dyDescent="0.3">
      <c r="A74" s="1"/>
      <c r="B74" s="1"/>
      <c r="C74" s="21" t="s">
        <v>77</v>
      </c>
      <c r="D74" s="15" t="s">
        <v>13</v>
      </c>
      <c r="E74" s="1"/>
      <c r="F74" s="1"/>
      <c r="G74" s="1"/>
      <c r="H74" s="19"/>
      <c r="I74" s="19">
        <f>$I68*$H$70/2</f>
        <v>0.55580198189999996</v>
      </c>
      <c r="J74" s="19">
        <f>$I68*$H$70</f>
        <v>1.1116039637999999</v>
      </c>
      <c r="K74" s="19">
        <f>$I68*$H$70</f>
        <v>1.1116039637999999</v>
      </c>
      <c r="L74" s="19">
        <f>$I68*$H$70</f>
        <v>1.1116039637999999</v>
      </c>
      <c r="M74" s="2"/>
      <c r="N74" s="2"/>
      <c r="O74" s="2"/>
      <c r="P74" s="2"/>
      <c r="Q74" s="2"/>
    </row>
    <row r="75" spans="1:17" ht="15.75" customHeight="1" x14ac:dyDescent="0.3">
      <c r="A75" s="1"/>
      <c r="B75" s="1"/>
      <c r="C75" s="21" t="s">
        <v>78</v>
      </c>
      <c r="D75" s="15" t="s">
        <v>13</v>
      </c>
      <c r="E75" s="1"/>
      <c r="F75" s="1"/>
      <c r="G75" s="1"/>
      <c r="H75" s="19"/>
      <c r="I75" s="19"/>
      <c r="J75" s="19">
        <f>$J68*$H$70/2</f>
        <v>1.12191754425</v>
      </c>
      <c r="K75" s="19">
        <f>$J68*$H$70</f>
        <v>2.2438350885</v>
      </c>
      <c r="L75" s="19">
        <f>$J68*$H$70</f>
        <v>2.2438350885</v>
      </c>
      <c r="M75" s="2"/>
      <c r="N75" s="2"/>
      <c r="O75" s="2"/>
      <c r="P75" s="2"/>
      <c r="Q75" s="2"/>
    </row>
    <row r="76" spans="1:17" ht="15.75" customHeight="1" x14ac:dyDescent="0.3">
      <c r="A76" s="1"/>
      <c r="B76" s="1"/>
      <c r="C76" s="21" t="s">
        <v>79</v>
      </c>
      <c r="D76" s="15" t="s">
        <v>13</v>
      </c>
      <c r="E76" s="1"/>
      <c r="F76" s="1"/>
      <c r="G76" s="1"/>
      <c r="H76" s="19"/>
      <c r="I76" s="19"/>
      <c r="J76" s="19"/>
      <c r="K76" s="19">
        <f>$K68*$H$70/2</f>
        <v>0.89388741194999999</v>
      </c>
      <c r="L76" s="19">
        <f>$K68*$H$70</f>
        <v>1.7877748239</v>
      </c>
      <c r="M76" s="2"/>
      <c r="N76" s="2"/>
      <c r="O76" s="2"/>
      <c r="P76" s="2"/>
      <c r="Q76" s="2"/>
    </row>
    <row r="77" spans="1:17" ht="15.75" customHeight="1" x14ac:dyDescent="0.3">
      <c r="A77" s="1"/>
      <c r="B77" s="1"/>
      <c r="C77" s="21" t="s">
        <v>80</v>
      </c>
      <c r="D77" s="15" t="s">
        <v>13</v>
      </c>
      <c r="E77" s="1"/>
      <c r="F77" s="1"/>
      <c r="G77" s="1"/>
      <c r="H77" s="19"/>
      <c r="I77" s="19"/>
      <c r="J77" s="19"/>
      <c r="K77" s="19"/>
      <c r="L77" s="19">
        <f>$L68*$H$70/2</f>
        <v>1.5093586589999999</v>
      </c>
      <c r="M77" s="2"/>
      <c r="N77" s="2"/>
      <c r="O77" s="2"/>
      <c r="P77" s="2"/>
      <c r="Q77" s="2"/>
    </row>
    <row r="78" spans="1:17" ht="15.75" customHeight="1" x14ac:dyDescent="0.3">
      <c r="A78" s="1"/>
      <c r="B78" s="25"/>
      <c r="C78" s="25" t="s">
        <v>81</v>
      </c>
      <c r="D78" s="26" t="s">
        <v>13</v>
      </c>
      <c r="E78" s="25"/>
      <c r="F78" s="25"/>
      <c r="G78" s="25"/>
      <c r="H78" s="27">
        <f>SUM(H72:H77)</f>
        <v>2.4757894399499998</v>
      </c>
      <c r="I78" s="27">
        <f>SUM(I72:I77)</f>
        <v>3.5622306918</v>
      </c>
      <c r="J78" s="27">
        <f>SUM(J72:J77)</f>
        <v>5.2399502179499997</v>
      </c>
      <c r="K78" s="27">
        <f>SUM(K72:K77)</f>
        <v>7.2557551741499999</v>
      </c>
      <c r="L78" s="27">
        <f>SUM(L72:L77)</f>
        <v>9.6590012451000007</v>
      </c>
      <c r="M78" s="71"/>
      <c r="N78" s="71"/>
      <c r="O78" s="71"/>
      <c r="P78" s="71"/>
      <c r="Q78" s="71"/>
    </row>
    <row r="79" spans="1:17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</row>
    <row r="80" spans="1:17" ht="15.75" customHeight="1" x14ac:dyDescent="0.3">
      <c r="A80" s="1"/>
      <c r="B80" s="29"/>
      <c r="C80" s="29"/>
      <c r="D80" s="29"/>
      <c r="E80" s="80" t="str">
        <f>$E$2</f>
        <v>Actuals</v>
      </c>
      <c r="F80" s="81"/>
      <c r="G80" s="81"/>
      <c r="H80" s="82" t="str">
        <f>$H$2</f>
        <v>Forecast</v>
      </c>
      <c r="I80" s="81"/>
      <c r="J80" s="81"/>
      <c r="K80" s="81"/>
      <c r="L80" s="81"/>
      <c r="M80" s="2"/>
      <c r="N80" s="2"/>
      <c r="O80" s="2"/>
      <c r="P80" s="2"/>
      <c r="Q80" s="2"/>
    </row>
    <row r="81" spans="1:17" ht="15.75" customHeight="1" x14ac:dyDescent="0.3">
      <c r="A81" s="1"/>
      <c r="B81" s="11" t="s">
        <v>82</v>
      </c>
      <c r="C81" s="11"/>
      <c r="D81" s="12" t="str">
        <f>$D$3</f>
        <v>Reporting Units:</v>
      </c>
      <c r="E81" s="13">
        <f>$E$3</f>
        <v>41608</v>
      </c>
      <c r="F81" s="13">
        <f>$F$3</f>
        <v>41973</v>
      </c>
      <c r="G81" s="13">
        <f>$G$3</f>
        <v>42338</v>
      </c>
      <c r="H81" s="14">
        <f>$H$3</f>
        <v>42704</v>
      </c>
      <c r="I81" s="13">
        <f>$I$3</f>
        <v>43069</v>
      </c>
      <c r="J81" s="13">
        <f>$J$3</f>
        <v>43434</v>
      </c>
      <c r="K81" s="13">
        <f>$K$3</f>
        <v>43799</v>
      </c>
      <c r="L81" s="13">
        <f>$L$3</f>
        <v>44165</v>
      </c>
      <c r="M81" s="2"/>
      <c r="N81" s="2"/>
      <c r="O81" s="2"/>
      <c r="P81" s="2"/>
      <c r="Q81" s="2"/>
    </row>
    <row r="82" spans="1:1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</row>
    <row r="83" spans="1:17" ht="15.75" customHeight="1" x14ac:dyDescent="0.3">
      <c r="A83" s="1"/>
      <c r="B83" s="1"/>
      <c r="C83" s="1" t="s">
        <v>12</v>
      </c>
      <c r="D83" s="15" t="s">
        <v>13</v>
      </c>
      <c r="E83" s="54">
        <v>39.4</v>
      </c>
      <c r="F83" s="54">
        <v>62.472000000000001</v>
      </c>
      <c r="G83" s="54">
        <v>94.983000000000004</v>
      </c>
      <c r="H83" s="16">
        <f>H6*H9</f>
        <v>146.60761448912385</v>
      </c>
      <c r="I83" s="16">
        <f>I6*I9</f>
        <v>202.1582480236103</v>
      </c>
      <c r="J83" s="16">
        <f>J6*J9</f>
        <v>279.17750658420221</v>
      </c>
      <c r="K83" s="16">
        <f>K6*K9</f>
        <v>353.96797620652239</v>
      </c>
      <c r="L83" s="16">
        <f>L6*L9</f>
        <v>423.07609376691204</v>
      </c>
      <c r="M83" s="2"/>
      <c r="N83" s="2"/>
      <c r="O83" s="2"/>
      <c r="P83" s="2"/>
      <c r="Q83" s="2"/>
    </row>
    <row r="84" spans="1:17" ht="15.75" customHeight="1" x14ac:dyDescent="0.3">
      <c r="A84" s="1"/>
      <c r="B84" s="1"/>
      <c r="C84" s="17" t="s">
        <v>83</v>
      </c>
      <c r="D84" s="15" t="s">
        <v>15</v>
      </c>
      <c r="E84" s="18" t="str">
        <f t="shared" ref="E84:L84" si="1">IFERROR(+E83/D83-1,"N/A")</f>
        <v>N/A</v>
      </c>
      <c r="F84" s="18">
        <f t="shared" si="1"/>
        <v>0.58558375634517779</v>
      </c>
      <c r="G84" s="18">
        <f t="shared" si="1"/>
        <v>0.52040914329619681</v>
      </c>
      <c r="H84" s="18">
        <f t="shared" si="1"/>
        <v>0.54351425506799989</v>
      </c>
      <c r="I84" s="18">
        <f t="shared" si="1"/>
        <v>0.37890687825500025</v>
      </c>
      <c r="J84" s="18">
        <f t="shared" si="1"/>
        <v>0.38098499226999993</v>
      </c>
      <c r="K84" s="18">
        <f t="shared" si="1"/>
        <v>0.2678957575680001</v>
      </c>
      <c r="L84" s="18">
        <f t="shared" si="1"/>
        <v>0.19523833286000025</v>
      </c>
      <c r="M84" s="2"/>
      <c r="N84" s="2"/>
      <c r="O84" s="2"/>
      <c r="P84" s="2"/>
      <c r="Q84" s="2"/>
    </row>
    <row r="85" spans="1:17" ht="15.75" customHeight="1" x14ac:dyDescent="0.3">
      <c r="A85" s="1"/>
      <c r="B85" s="1"/>
      <c r="C85" s="1"/>
      <c r="D85" s="1"/>
      <c r="E85" s="19"/>
      <c r="F85" s="19"/>
      <c r="G85" s="19"/>
      <c r="H85" s="19"/>
      <c r="I85" s="19"/>
      <c r="J85" s="19"/>
      <c r="K85" s="19"/>
      <c r="L85" s="19"/>
      <c r="M85" s="2"/>
      <c r="N85" s="2"/>
      <c r="O85" s="2"/>
      <c r="P85" s="2"/>
      <c r="Q85" s="2"/>
    </row>
    <row r="86" spans="1:17" ht="15.75" customHeight="1" x14ac:dyDescent="0.3">
      <c r="A86" s="1"/>
      <c r="B86" s="1"/>
      <c r="C86" s="21" t="s">
        <v>84</v>
      </c>
      <c r="D86" s="15" t="s">
        <v>13</v>
      </c>
      <c r="E86" s="37">
        <v>20.2</v>
      </c>
      <c r="F86" s="37">
        <v>29.954999999999998</v>
      </c>
      <c r="G86" s="37">
        <v>45.999000000000002</v>
      </c>
      <c r="H86" s="19">
        <f>H83*H15</f>
        <v>72.395133249958334</v>
      </c>
      <c r="I86" s="19">
        <f>I83*I15</f>
        <v>112.53502761080711</v>
      </c>
      <c r="J86" s="19">
        <f>J83*J15</f>
        <v>110.07410729601925</v>
      </c>
      <c r="K86" s="19">
        <f>K83*K15</f>
        <v>177.44804012006793</v>
      </c>
      <c r="L86" s="19">
        <f>L83*L15</f>
        <v>207.18120926984437</v>
      </c>
      <c r="M86" s="2"/>
      <c r="N86" s="2"/>
      <c r="O86" s="2"/>
      <c r="P86" s="2"/>
      <c r="Q86" s="2"/>
    </row>
    <row r="87" spans="1:17" ht="15.75" customHeight="1" x14ac:dyDescent="0.3">
      <c r="A87" s="1"/>
      <c r="B87" s="1"/>
      <c r="C87" s="17"/>
      <c r="D87" s="1"/>
      <c r="E87" s="55"/>
      <c r="F87" s="55"/>
      <c r="G87" s="55"/>
      <c r="H87" s="19"/>
      <c r="I87" s="19"/>
      <c r="J87" s="19"/>
      <c r="K87" s="19"/>
      <c r="L87" s="19"/>
      <c r="M87" s="2"/>
      <c r="N87" s="2"/>
      <c r="O87" s="2"/>
      <c r="P87" s="2"/>
      <c r="Q87" s="2"/>
    </row>
    <row r="88" spans="1:17" ht="15.75" customHeight="1" x14ac:dyDescent="0.3">
      <c r="A88" s="1"/>
      <c r="B88" s="5"/>
      <c r="C88" s="5" t="s">
        <v>85</v>
      </c>
      <c r="D88" s="5"/>
      <c r="E88" s="43"/>
      <c r="F88" s="43"/>
      <c r="G88" s="43"/>
      <c r="H88" s="43"/>
      <c r="I88" s="43"/>
      <c r="J88" s="43"/>
      <c r="K88" s="43"/>
      <c r="L88" s="43"/>
      <c r="M88" s="69"/>
      <c r="N88" s="69"/>
      <c r="O88" s="69"/>
      <c r="P88" s="69"/>
      <c r="Q88" s="69"/>
    </row>
    <row r="89" spans="1:17" ht="15.75" customHeight="1" x14ac:dyDescent="0.3">
      <c r="A89" s="1"/>
      <c r="B89" s="1"/>
      <c r="C89" s="21" t="s">
        <v>86</v>
      </c>
      <c r="D89" s="15" t="s">
        <v>13</v>
      </c>
      <c r="E89" s="37">
        <v>10</v>
      </c>
      <c r="F89" s="37">
        <v>16.396000000000001</v>
      </c>
      <c r="G89" s="37">
        <v>25.623999999999999</v>
      </c>
      <c r="H89" s="19">
        <f>H17*(H12+H6)</f>
        <v>40.729862540353778</v>
      </c>
      <c r="I89" s="19">
        <f>I17*(I12+I6)</f>
        <v>54.449824059148689</v>
      </c>
      <c r="J89" s="19">
        <f>J17*(J12+J6)</f>
        <v>75.625050921115488</v>
      </c>
      <c r="K89" s="19">
        <f>K17*(K12+K6)</f>
        <v>98.136542764247494</v>
      </c>
      <c r="L89" s="19">
        <f>L17*(L12+L6)</f>
        <v>118.83258594914709</v>
      </c>
      <c r="M89" s="2"/>
      <c r="N89" s="2"/>
      <c r="O89" s="2"/>
      <c r="P89" s="2"/>
      <c r="Q89" s="2"/>
    </row>
    <row r="90" spans="1:17" ht="15.75" customHeight="1" x14ac:dyDescent="0.3">
      <c r="A90" s="1"/>
      <c r="B90" s="1"/>
      <c r="C90" s="56" t="s">
        <v>87</v>
      </c>
      <c r="D90" s="15" t="s">
        <v>13</v>
      </c>
      <c r="E90" s="37">
        <v>4.9000000000000004</v>
      </c>
      <c r="F90" s="37">
        <v>5.2</v>
      </c>
      <c r="G90" s="37">
        <v>5.6</v>
      </c>
      <c r="H90" s="19">
        <f>H20</f>
        <v>5.8932104000000001</v>
      </c>
      <c r="I90" s="19">
        <f>I20</f>
        <v>6.1893913682831991</v>
      </c>
      <c r="J90" s="19">
        <f>J20</f>
        <v>6.4469133749433576</v>
      </c>
      <c r="K90" s="19">
        <f>K20</f>
        <v>6.7671444561035434</v>
      </c>
      <c r="L90" s="19">
        <f>L20</f>
        <v>7.041464190920613</v>
      </c>
      <c r="M90" s="2"/>
      <c r="N90" s="2"/>
      <c r="O90" s="2"/>
      <c r="P90" s="2"/>
      <c r="Q90" s="2"/>
    </row>
    <row r="91" spans="1:17" ht="15.75" customHeight="1" x14ac:dyDescent="0.3">
      <c r="A91" s="1"/>
      <c r="B91" s="25"/>
      <c r="C91" s="57" t="s">
        <v>88</v>
      </c>
      <c r="D91" s="26" t="s">
        <v>13</v>
      </c>
      <c r="E91" s="27">
        <f t="shared" ref="E91:L91" si="2">SUM(E89:E90)</f>
        <v>14.9</v>
      </c>
      <c r="F91" s="27">
        <f t="shared" si="2"/>
        <v>21.596</v>
      </c>
      <c r="G91" s="27">
        <f t="shared" si="2"/>
        <v>31.223999999999997</v>
      </c>
      <c r="H91" s="27">
        <f t="shared" si="2"/>
        <v>46.623072940353779</v>
      </c>
      <c r="I91" s="27">
        <f t="shared" si="2"/>
        <v>60.639215427431886</v>
      </c>
      <c r="J91" s="27">
        <f t="shared" si="2"/>
        <v>82.071964296058852</v>
      </c>
      <c r="K91" s="27">
        <f t="shared" si="2"/>
        <v>104.90368722035103</v>
      </c>
      <c r="L91" s="27">
        <f t="shared" si="2"/>
        <v>125.87405014006769</v>
      </c>
      <c r="M91" s="71"/>
      <c r="N91" s="71"/>
      <c r="O91" s="71"/>
      <c r="P91" s="71"/>
      <c r="Q91" s="71"/>
    </row>
    <row r="92" spans="1:17" ht="15.75" customHeight="1" x14ac:dyDescent="0.3">
      <c r="A92" s="1"/>
      <c r="B92" s="1"/>
      <c r="C92" s="56"/>
      <c r="D92" s="1"/>
      <c r="E92" s="19"/>
      <c r="F92" s="19"/>
      <c r="G92" s="19"/>
      <c r="H92" s="19"/>
      <c r="I92" s="19"/>
      <c r="J92" s="19"/>
      <c r="K92" s="19"/>
      <c r="L92" s="19"/>
      <c r="M92" s="2"/>
      <c r="N92" s="2"/>
      <c r="O92" s="2"/>
      <c r="P92" s="2"/>
      <c r="Q92" s="2"/>
    </row>
    <row r="93" spans="1:17" ht="15.75" customHeight="1" x14ac:dyDescent="0.3">
      <c r="A93" s="1"/>
      <c r="B93" s="1"/>
      <c r="C93" s="56" t="s">
        <v>16</v>
      </c>
      <c r="D93" s="15" t="s">
        <v>13</v>
      </c>
      <c r="E93" s="19">
        <f t="shared" ref="E93:L93" si="3">E86-E91</f>
        <v>5.2999999999999989</v>
      </c>
      <c r="F93" s="19">
        <f t="shared" si="3"/>
        <v>8.3589999999999982</v>
      </c>
      <c r="G93" s="19">
        <f t="shared" si="3"/>
        <v>14.775000000000006</v>
      </c>
      <c r="H93" s="19">
        <f t="shared" si="3"/>
        <v>25.772060309604555</v>
      </c>
      <c r="I93" s="19">
        <f t="shared" si="3"/>
        <v>51.89581218337522</v>
      </c>
      <c r="J93" s="19">
        <f t="shared" si="3"/>
        <v>28.002142999960398</v>
      </c>
      <c r="K93" s="19">
        <f t="shared" si="3"/>
        <v>72.544352899716898</v>
      </c>
      <c r="L93" s="19">
        <f t="shared" si="3"/>
        <v>81.307159129776679</v>
      </c>
      <c r="M93" s="2"/>
      <c r="N93" s="2"/>
      <c r="O93" s="2"/>
      <c r="P93" s="2"/>
      <c r="Q93" s="2"/>
    </row>
    <row r="94" spans="1:17" ht="15.75" customHeight="1" x14ac:dyDescent="0.3">
      <c r="A94" s="1"/>
      <c r="B94" s="1"/>
      <c r="C94" s="56" t="s">
        <v>89</v>
      </c>
      <c r="D94" s="15" t="s">
        <v>13</v>
      </c>
      <c r="E94" s="37">
        <v>-0.71020799999999995</v>
      </c>
      <c r="F94" s="37">
        <v>-1.982</v>
      </c>
      <c r="G94" s="37">
        <v>-1.9330000000000001</v>
      </c>
      <c r="H94" s="19">
        <f>-H66*H83-H78</f>
        <v>-3.5631781166158314</v>
      </c>
      <c r="I94" s="19">
        <f>-I66*I83-I78</f>
        <v>-5.882603062614999</v>
      </c>
      <c r="J94" s="19">
        <f>-J66*J83-J78</f>
        <v>-8.0119036808245436</v>
      </c>
      <c r="K94" s="19">
        <f>-K66*K83-K78</f>
        <v>-12.631820796774662</v>
      </c>
      <c r="L94" s="19">
        <f>-L66*L83-L78</f>
        <v>-15.839296822847052</v>
      </c>
      <c r="M94" s="2"/>
      <c r="N94" s="2"/>
      <c r="O94" s="2"/>
      <c r="P94" s="2"/>
      <c r="Q94" s="2"/>
    </row>
    <row r="95" spans="1:17" ht="15.75" customHeight="1" x14ac:dyDescent="0.3">
      <c r="A95" s="1"/>
      <c r="B95" s="1"/>
      <c r="C95" s="56" t="s">
        <v>90</v>
      </c>
      <c r="D95" s="15" t="s">
        <v>13</v>
      </c>
      <c r="E95" s="37">
        <v>-1.1805920000000001</v>
      </c>
      <c r="F95" s="37">
        <v>-3.101</v>
      </c>
      <c r="G95" s="37">
        <v>-3.36</v>
      </c>
      <c r="H95" s="19">
        <f>-H51-H47-H41</f>
        <v>-2.1648982749799996</v>
      </c>
      <c r="I95" s="19">
        <f>-I51-I47-I41</f>
        <v>-2.1211705551723981</v>
      </c>
      <c r="J95" s="19">
        <f>-J51-J47-J41</f>
        <v>-2.1235510018005948</v>
      </c>
      <c r="K95" s="19">
        <f>-K51-K47-K41</f>
        <v>-2.2003244647018056</v>
      </c>
      <c r="L95" s="19">
        <f>-L51-L47-L41</f>
        <v>-2.375587286831077</v>
      </c>
      <c r="M95" s="2"/>
      <c r="N95" s="2"/>
      <c r="O95" s="2"/>
      <c r="P95" s="2"/>
      <c r="Q95" s="2"/>
    </row>
    <row r="96" spans="1:17" ht="14.25" customHeight="1" x14ac:dyDescent="0.3">
      <c r="A96" s="1"/>
      <c r="B96" s="1"/>
      <c r="C96" s="56" t="s">
        <v>91</v>
      </c>
      <c r="D96" s="15" t="s">
        <v>13</v>
      </c>
      <c r="E96" s="37">
        <v>3.59E-4</v>
      </c>
      <c r="F96" s="37">
        <v>1E-3</v>
      </c>
      <c r="G96" s="58" t="s">
        <v>92</v>
      </c>
      <c r="H96" s="19">
        <f>H54</f>
        <v>0.20469218351999996</v>
      </c>
      <c r="I96" s="19">
        <f>I54</f>
        <v>0</v>
      </c>
      <c r="J96" s="19">
        <f>J54</f>
        <v>0</v>
      </c>
      <c r="K96" s="19">
        <f>K54</f>
        <v>0</v>
      </c>
      <c r="L96" s="19">
        <f>L54</f>
        <v>0</v>
      </c>
      <c r="M96" s="2"/>
      <c r="N96" s="2"/>
      <c r="O96" s="2"/>
      <c r="P96" s="2"/>
      <c r="Q96" s="2"/>
    </row>
    <row r="97" spans="1:17" ht="15.75" customHeight="1" x14ac:dyDescent="0.3">
      <c r="A97" s="1"/>
      <c r="B97" s="1"/>
      <c r="C97" s="21" t="s">
        <v>93</v>
      </c>
      <c r="D97" s="15" t="s">
        <v>13</v>
      </c>
      <c r="E97" s="37">
        <v>-0.60538599999999998</v>
      </c>
      <c r="F97" s="37">
        <v>-1.1639999999999999</v>
      </c>
      <c r="G97" s="37">
        <v>-2.8220000000000001</v>
      </c>
      <c r="H97" s="19">
        <f>-SUM(H93:H96)*H23</f>
        <v>-4.7132235901245361</v>
      </c>
      <c r="I97" s="19">
        <f>-SUM(I93:I96)*I23</f>
        <v>-7.1370210389188422</v>
      </c>
      <c r="J97" s="19">
        <f>-SUM(J93:J96)*J23</f>
        <v>-2.9805924118511369</v>
      </c>
      <c r="K97" s="19">
        <f>-SUM(K93:K96)*K23</f>
        <v>-12.066987782872053</v>
      </c>
      <c r="L97" s="19">
        <f>-SUM(L93:L96)*L23</f>
        <v>-10.634139862362591</v>
      </c>
      <c r="M97" s="2"/>
      <c r="N97" s="2"/>
      <c r="O97" s="2"/>
      <c r="P97" s="2"/>
      <c r="Q97" s="2"/>
    </row>
    <row r="98" spans="1:17" ht="15.75" customHeight="1" x14ac:dyDescent="0.3">
      <c r="A98" s="1"/>
      <c r="B98" s="25"/>
      <c r="C98" s="46" t="s">
        <v>94</v>
      </c>
      <c r="D98" s="26" t="s">
        <v>13</v>
      </c>
      <c r="E98" s="59">
        <f t="shared" ref="E98:L98" si="4">SUM(E93:E97)</f>
        <v>2.8041729999999996</v>
      </c>
      <c r="F98" s="59">
        <f t="shared" si="4"/>
        <v>2.1129999999999978</v>
      </c>
      <c r="G98" s="59">
        <f t="shared" si="4"/>
        <v>6.6600000000000064</v>
      </c>
      <c r="H98" s="59">
        <f t="shared" si="4"/>
        <v>15.535452511404188</v>
      </c>
      <c r="I98" s="59">
        <f t="shared" si="4"/>
        <v>36.755017526668979</v>
      </c>
      <c r="J98" s="59">
        <f t="shared" si="4"/>
        <v>14.886095905484119</v>
      </c>
      <c r="K98" s="59">
        <f t="shared" si="4"/>
        <v>45.645219855368374</v>
      </c>
      <c r="L98" s="59">
        <f t="shared" si="4"/>
        <v>52.458135157735967</v>
      </c>
      <c r="M98" s="71"/>
      <c r="N98" s="71"/>
      <c r="O98" s="71"/>
      <c r="P98" s="71"/>
      <c r="Q98" s="71"/>
    </row>
    <row r="99" spans="1:17" ht="15.75" customHeight="1" x14ac:dyDescent="0.3">
      <c r="A99" s="1"/>
      <c r="B99" s="1"/>
      <c r="C99" s="21"/>
      <c r="D99" s="1"/>
      <c r="E99" s="34"/>
      <c r="F99" s="34"/>
      <c r="G99" s="34"/>
      <c r="H99" s="53"/>
      <c r="I99" s="53"/>
      <c r="J99" s="53"/>
      <c r="K99" s="53"/>
      <c r="L99" s="53"/>
      <c r="M99" s="2"/>
      <c r="N99" s="2"/>
      <c r="O99" s="2"/>
      <c r="P99" s="2"/>
      <c r="Q99" s="2"/>
    </row>
    <row r="100" spans="1:17" ht="15.75" customHeight="1" x14ac:dyDescent="0.3">
      <c r="A100" s="1"/>
      <c r="B100" s="29"/>
      <c r="C100" s="29"/>
      <c r="D100" s="29"/>
      <c r="E100" s="80" t="str">
        <f>$E$2</f>
        <v>Actuals</v>
      </c>
      <c r="F100" s="81"/>
      <c r="G100" s="81"/>
      <c r="H100" s="82" t="str">
        <f>$H$2</f>
        <v>Forecast</v>
      </c>
      <c r="I100" s="81"/>
      <c r="J100" s="81"/>
      <c r="K100" s="81"/>
      <c r="L100" s="81"/>
      <c r="M100" s="2"/>
      <c r="N100" s="2"/>
      <c r="O100" s="2"/>
      <c r="P100" s="2"/>
      <c r="Q100" s="2"/>
    </row>
    <row r="101" spans="1:17" ht="15.75" customHeight="1" x14ac:dyDescent="0.3">
      <c r="A101" s="1"/>
      <c r="B101" s="11" t="s">
        <v>95</v>
      </c>
      <c r="C101" s="11"/>
      <c r="D101" s="12" t="str">
        <f>$D$3</f>
        <v>Reporting Units:</v>
      </c>
      <c r="E101" s="13">
        <f>$E$3</f>
        <v>41608</v>
      </c>
      <c r="F101" s="13">
        <f>$F$3</f>
        <v>41973</v>
      </c>
      <c r="G101" s="13">
        <f>$G$3</f>
        <v>42338</v>
      </c>
      <c r="H101" s="14">
        <f>$H$3</f>
        <v>42704</v>
      </c>
      <c r="I101" s="13">
        <f>$I$3</f>
        <v>43069</v>
      </c>
      <c r="J101" s="13">
        <f>$J$3</f>
        <v>43434</v>
      </c>
      <c r="K101" s="13">
        <f>$K$3</f>
        <v>43799</v>
      </c>
      <c r="L101" s="13">
        <f>$L$3</f>
        <v>44165</v>
      </c>
      <c r="M101" s="2"/>
      <c r="N101" s="2"/>
      <c r="O101" s="2"/>
      <c r="P101" s="2"/>
      <c r="Q101" s="2"/>
    </row>
    <row r="102" spans="1:17" ht="15.75" customHeight="1" x14ac:dyDescent="0.3">
      <c r="A102" s="1"/>
      <c r="B102" s="60" t="s">
        <v>96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9"/>
      <c r="N102" s="69"/>
      <c r="O102" s="69"/>
      <c r="P102" s="69"/>
      <c r="Q102" s="69"/>
    </row>
    <row r="103" spans="1:17" ht="15.75" customHeight="1" x14ac:dyDescent="0.3">
      <c r="A103" s="1"/>
      <c r="B103" s="61"/>
      <c r="C103" s="61" t="s">
        <v>97</v>
      </c>
      <c r="D103" s="61"/>
      <c r="E103" s="61"/>
      <c r="F103" s="61"/>
      <c r="G103" s="61"/>
      <c r="H103" s="61"/>
      <c r="I103" s="61"/>
      <c r="J103" s="61"/>
      <c r="K103" s="61"/>
      <c r="L103" s="61"/>
      <c r="M103" s="69"/>
      <c r="N103" s="69"/>
      <c r="O103" s="69"/>
      <c r="P103" s="69"/>
      <c r="Q103" s="69"/>
    </row>
    <row r="104" spans="1:17" ht="15.75" customHeight="1" x14ac:dyDescent="0.3">
      <c r="A104" s="1"/>
      <c r="B104" s="1"/>
      <c r="C104" s="21" t="s">
        <v>98</v>
      </c>
      <c r="D104" s="15" t="s">
        <v>13</v>
      </c>
      <c r="E104" s="54">
        <v>2.8236119999999998</v>
      </c>
      <c r="F104" s="54">
        <v>2.4049999999999998</v>
      </c>
      <c r="G104" s="54">
        <v>12.148999999999999</v>
      </c>
      <c r="H104" s="16"/>
      <c r="I104" s="16"/>
      <c r="J104" s="16"/>
      <c r="K104" s="16"/>
      <c r="L104" s="16"/>
      <c r="M104" s="2"/>
      <c r="N104" s="2"/>
      <c r="O104" s="2"/>
      <c r="P104" s="2"/>
      <c r="Q104" s="2"/>
    </row>
    <row r="105" spans="1:17" ht="15.75" customHeight="1" x14ac:dyDescent="0.3">
      <c r="A105" s="1"/>
      <c r="B105" s="1"/>
      <c r="C105" s="21" t="s">
        <v>99</v>
      </c>
      <c r="D105" s="15" t="s">
        <v>13</v>
      </c>
      <c r="E105" s="37">
        <v>5.2714860000000003</v>
      </c>
      <c r="F105" s="37">
        <v>12.205</v>
      </c>
      <c r="G105" s="37">
        <v>12.547000000000001</v>
      </c>
      <c r="H105" s="19"/>
      <c r="I105" s="19"/>
      <c r="J105" s="19"/>
      <c r="K105" s="19"/>
      <c r="L105" s="19"/>
      <c r="M105" s="2"/>
      <c r="N105" s="2"/>
      <c r="O105" s="2"/>
      <c r="P105" s="2"/>
      <c r="Q105" s="2"/>
    </row>
    <row r="106" spans="1:17" ht="15.75" customHeight="1" x14ac:dyDescent="0.3">
      <c r="A106" s="1"/>
      <c r="B106" s="1"/>
      <c r="C106" s="21" t="s">
        <v>100</v>
      </c>
      <c r="D106" s="15" t="s">
        <v>13</v>
      </c>
      <c r="E106" s="37">
        <v>2.0241959999999999</v>
      </c>
      <c r="F106" s="37">
        <v>3.903</v>
      </c>
      <c r="G106" s="37">
        <v>3.706</v>
      </c>
      <c r="H106" s="19"/>
      <c r="I106" s="19"/>
      <c r="J106" s="19"/>
      <c r="K106" s="19"/>
      <c r="L106" s="19"/>
      <c r="M106" s="2"/>
      <c r="N106" s="2"/>
      <c r="O106" s="2"/>
      <c r="P106" s="2"/>
      <c r="Q106" s="2"/>
    </row>
    <row r="107" spans="1:17" ht="15.75" customHeight="1" x14ac:dyDescent="0.3">
      <c r="A107" s="1"/>
      <c r="B107" s="25"/>
      <c r="C107" s="46" t="s">
        <v>101</v>
      </c>
      <c r="D107" s="26" t="s">
        <v>13</v>
      </c>
      <c r="E107" s="27">
        <f>SUM(E104:E106)</f>
        <v>10.119294</v>
      </c>
      <c r="F107" s="27">
        <f>SUM(F104:F106)</f>
        <v>18.512999999999998</v>
      </c>
      <c r="G107" s="27">
        <f>SUM(G104:G106)</f>
        <v>28.401999999999997</v>
      </c>
      <c r="H107" s="27"/>
      <c r="I107" s="27"/>
      <c r="J107" s="27"/>
      <c r="K107" s="27"/>
      <c r="L107" s="27"/>
      <c r="M107" s="71"/>
      <c r="N107" s="71"/>
      <c r="O107" s="71"/>
      <c r="P107" s="71"/>
      <c r="Q107" s="71"/>
    </row>
    <row r="108" spans="1:17" ht="15.75" customHeight="1" x14ac:dyDescent="0.3">
      <c r="A108" s="1"/>
      <c r="B108" s="1"/>
      <c r="C108" s="1"/>
      <c r="D108" s="1"/>
      <c r="E108" s="19"/>
      <c r="F108" s="19"/>
      <c r="G108" s="19"/>
      <c r="H108" s="19"/>
      <c r="I108" s="19"/>
      <c r="J108" s="19"/>
      <c r="K108" s="19"/>
      <c r="L108" s="19"/>
      <c r="M108" s="2"/>
      <c r="N108" s="2"/>
      <c r="O108" s="2"/>
      <c r="P108" s="2"/>
      <c r="Q108" s="2"/>
    </row>
    <row r="109" spans="1:17" ht="15.75" customHeight="1" x14ac:dyDescent="0.3">
      <c r="A109" s="1"/>
      <c r="B109" s="5"/>
      <c r="C109" s="42" t="s">
        <v>102</v>
      </c>
      <c r="D109" s="5"/>
      <c r="E109" s="43"/>
      <c r="F109" s="43"/>
      <c r="G109" s="43"/>
      <c r="H109" s="43"/>
      <c r="I109" s="43"/>
      <c r="J109" s="43"/>
      <c r="K109" s="43"/>
      <c r="L109" s="43"/>
      <c r="M109" s="69"/>
      <c r="N109" s="69"/>
      <c r="O109" s="69"/>
      <c r="P109" s="69"/>
      <c r="Q109" s="69"/>
    </row>
    <row r="110" spans="1:17" ht="15.75" customHeight="1" x14ac:dyDescent="0.3">
      <c r="A110" s="1"/>
      <c r="B110" s="1"/>
      <c r="C110" s="21" t="s">
        <v>103</v>
      </c>
      <c r="D110" s="15" t="s">
        <v>13</v>
      </c>
      <c r="E110" s="37">
        <v>0.46652199999999999</v>
      </c>
      <c r="F110" s="37">
        <v>0.86299999999999999</v>
      </c>
      <c r="G110" s="37">
        <v>0.86099999999999999</v>
      </c>
      <c r="H110" s="19"/>
      <c r="I110" s="19"/>
      <c r="J110" s="19"/>
      <c r="K110" s="19"/>
      <c r="L110" s="19"/>
      <c r="M110" s="2"/>
      <c r="N110" s="2"/>
      <c r="O110" s="2"/>
      <c r="P110" s="2"/>
      <c r="Q110" s="2"/>
    </row>
    <row r="111" spans="1:17" ht="15.75" customHeight="1" x14ac:dyDescent="0.3">
      <c r="A111" s="1"/>
      <c r="B111" s="1"/>
      <c r="C111" s="21" t="s">
        <v>104</v>
      </c>
      <c r="D111" s="15" t="s">
        <v>13</v>
      </c>
      <c r="E111" s="37">
        <v>26.198046999999999</v>
      </c>
      <c r="F111" s="37">
        <v>24.565999999999999</v>
      </c>
      <c r="G111" s="37">
        <v>23.259</v>
      </c>
      <c r="H111" s="19"/>
      <c r="I111" s="19"/>
      <c r="J111" s="19"/>
      <c r="K111" s="19"/>
      <c r="L111" s="19"/>
      <c r="M111" s="2"/>
      <c r="N111" s="2"/>
      <c r="O111" s="2"/>
      <c r="P111" s="2"/>
      <c r="Q111" s="2"/>
    </row>
    <row r="112" spans="1:17" ht="15.75" customHeight="1" x14ac:dyDescent="0.3">
      <c r="A112" s="1"/>
      <c r="B112" s="25"/>
      <c r="C112" s="46" t="s">
        <v>105</v>
      </c>
      <c r="D112" s="26" t="s">
        <v>13</v>
      </c>
      <c r="E112" s="27">
        <f>SUM(E110:E111)</f>
        <v>26.664569</v>
      </c>
      <c r="F112" s="27">
        <f>SUM(F110:F111)</f>
        <v>25.428999999999998</v>
      </c>
      <c r="G112" s="27">
        <f>SUM(G110:G111)</f>
        <v>24.12</v>
      </c>
      <c r="H112" s="27"/>
      <c r="I112" s="27"/>
      <c r="J112" s="27"/>
      <c r="K112" s="27"/>
      <c r="L112" s="27"/>
      <c r="M112" s="71"/>
      <c r="N112" s="71"/>
      <c r="O112" s="71"/>
      <c r="P112" s="71"/>
      <c r="Q112" s="71"/>
    </row>
    <row r="113" spans="1:17" ht="15.75" customHeight="1" x14ac:dyDescent="0.3">
      <c r="A113" s="1"/>
      <c r="B113" s="1"/>
      <c r="C113" s="21"/>
      <c r="D113" s="1"/>
      <c r="E113" s="19"/>
      <c r="F113" s="19"/>
      <c r="G113" s="19"/>
      <c r="H113" s="19"/>
      <c r="I113" s="19"/>
      <c r="J113" s="19"/>
      <c r="K113" s="19"/>
      <c r="L113" s="19"/>
      <c r="M113" s="2"/>
      <c r="N113" s="2"/>
      <c r="O113" s="2"/>
      <c r="P113" s="2"/>
      <c r="Q113" s="2"/>
    </row>
    <row r="114" spans="1:17" ht="15.75" customHeight="1" x14ac:dyDescent="0.3">
      <c r="A114" s="1"/>
      <c r="B114" s="1"/>
      <c r="C114" s="21" t="s">
        <v>106</v>
      </c>
      <c r="D114" s="15" t="s">
        <v>13</v>
      </c>
      <c r="E114" s="16">
        <f>E107+E112</f>
        <v>36.783862999999997</v>
      </c>
      <c r="F114" s="16">
        <f>F107+F112</f>
        <v>43.941999999999993</v>
      </c>
      <c r="G114" s="16">
        <f>G107+G112</f>
        <v>52.521999999999998</v>
      </c>
      <c r="H114" s="16"/>
      <c r="I114" s="16"/>
      <c r="J114" s="16"/>
      <c r="K114" s="16"/>
      <c r="L114" s="16"/>
      <c r="M114" s="2"/>
      <c r="N114" s="2"/>
      <c r="O114" s="2"/>
      <c r="P114" s="2"/>
      <c r="Q114" s="2"/>
    </row>
    <row r="115" spans="1:17" ht="15.75" customHeight="1" x14ac:dyDescent="0.3">
      <c r="A115" s="1"/>
      <c r="B115" s="1"/>
      <c r="C115" s="21"/>
      <c r="D115" s="1"/>
      <c r="E115" s="19"/>
      <c r="F115" s="19"/>
      <c r="G115" s="19"/>
      <c r="H115" s="19"/>
      <c r="I115" s="19"/>
      <c r="J115" s="19"/>
      <c r="K115" s="19"/>
      <c r="L115" s="19"/>
      <c r="M115" s="2"/>
      <c r="N115" s="2"/>
      <c r="O115" s="2"/>
      <c r="P115" s="2"/>
      <c r="Q115" s="2"/>
    </row>
    <row r="116" spans="1:17" ht="15.75" customHeight="1" x14ac:dyDescent="0.3">
      <c r="A116" s="1"/>
      <c r="B116" s="5" t="s">
        <v>107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69"/>
      <c r="N116" s="69"/>
      <c r="O116" s="69"/>
      <c r="P116" s="69"/>
      <c r="Q116" s="69"/>
    </row>
    <row r="117" spans="1:17" ht="15.75" customHeight="1" x14ac:dyDescent="0.3">
      <c r="A117" s="1"/>
      <c r="B117" s="61"/>
      <c r="C117" s="61" t="s">
        <v>108</v>
      </c>
      <c r="D117" s="61"/>
      <c r="E117" s="61"/>
      <c r="F117" s="62"/>
      <c r="G117" s="62"/>
      <c r="H117" s="62"/>
      <c r="I117" s="62"/>
      <c r="J117" s="62"/>
      <c r="K117" s="62"/>
      <c r="L117" s="62"/>
      <c r="M117" s="68"/>
      <c r="N117" s="68"/>
      <c r="O117" s="68"/>
      <c r="P117" s="68"/>
      <c r="Q117" s="68"/>
    </row>
    <row r="118" spans="1:17" ht="15.75" customHeight="1" x14ac:dyDescent="0.3">
      <c r="A118" s="1"/>
      <c r="B118" s="1"/>
      <c r="C118" s="21" t="s">
        <v>109</v>
      </c>
      <c r="D118" s="15" t="s">
        <v>13</v>
      </c>
      <c r="E118" s="54">
        <v>0.72533499999999995</v>
      </c>
      <c r="F118" s="54">
        <v>0.68500000000000005</v>
      </c>
      <c r="G118" s="54">
        <v>1.38</v>
      </c>
      <c r="H118" s="16"/>
      <c r="I118" s="16"/>
      <c r="J118" s="16"/>
      <c r="K118" s="16"/>
      <c r="L118" s="16"/>
      <c r="M118" s="2"/>
      <c r="N118" s="2"/>
      <c r="O118" s="2"/>
      <c r="P118" s="2"/>
      <c r="Q118" s="2"/>
    </row>
    <row r="119" spans="1:17" ht="15.75" customHeight="1" x14ac:dyDescent="0.3">
      <c r="A119" s="1"/>
      <c r="B119" s="1"/>
      <c r="C119" s="21" t="s">
        <v>110</v>
      </c>
      <c r="D119" s="15" t="s">
        <v>13</v>
      </c>
      <c r="E119" s="37">
        <v>1.902045</v>
      </c>
      <c r="F119" s="37">
        <v>5.2859999999999996</v>
      </c>
      <c r="G119" s="37">
        <v>6.2510000000000003</v>
      </c>
      <c r="H119" s="19"/>
      <c r="I119" s="19"/>
      <c r="J119" s="19"/>
      <c r="K119" s="19"/>
      <c r="L119" s="19"/>
      <c r="M119" s="19"/>
      <c r="N119" s="2"/>
      <c r="O119" s="2"/>
      <c r="P119" s="2"/>
      <c r="Q119" s="2"/>
    </row>
    <row r="120" spans="1:17" ht="15.75" customHeight="1" x14ac:dyDescent="0.3">
      <c r="A120" s="1"/>
      <c r="B120" s="1"/>
      <c r="C120" s="21" t="s">
        <v>111</v>
      </c>
      <c r="D120" s="15" t="s">
        <v>13</v>
      </c>
      <c r="E120" s="37">
        <v>2.3480289999999999</v>
      </c>
      <c r="F120" s="37">
        <v>2.2370000000000001</v>
      </c>
      <c r="G120" s="37">
        <v>2.621</v>
      </c>
      <c r="H120" s="19"/>
      <c r="I120" s="19"/>
      <c r="J120" s="19"/>
      <c r="K120" s="19"/>
      <c r="L120" s="19"/>
      <c r="M120" s="19"/>
      <c r="N120" s="2"/>
      <c r="O120" s="2"/>
      <c r="P120" s="2"/>
      <c r="Q120" s="2"/>
    </row>
    <row r="121" spans="1:17" ht="15.75" customHeight="1" x14ac:dyDescent="0.3">
      <c r="A121" s="1"/>
      <c r="B121" s="25"/>
      <c r="C121" s="46" t="s">
        <v>112</v>
      </c>
      <c r="D121" s="26" t="s">
        <v>13</v>
      </c>
      <c r="E121" s="27">
        <f>SUM(E118:E120)</f>
        <v>4.975409</v>
      </c>
      <c r="F121" s="27">
        <f>SUM(F118:F120)</f>
        <v>8.2080000000000002</v>
      </c>
      <c r="G121" s="27">
        <f>SUM(G118:G120)</f>
        <v>10.252000000000001</v>
      </c>
      <c r="H121" s="27"/>
      <c r="I121" s="27"/>
      <c r="J121" s="27"/>
      <c r="K121" s="27"/>
      <c r="L121" s="27"/>
      <c r="M121" s="72"/>
      <c r="N121" s="71"/>
      <c r="O121" s="71"/>
      <c r="P121" s="71"/>
      <c r="Q121" s="71"/>
    </row>
    <row r="122" spans="1:17" ht="15.75" customHeight="1" x14ac:dyDescent="0.3">
      <c r="A122" s="1"/>
      <c r="B122" s="1"/>
      <c r="C122" s="1"/>
      <c r="D122" s="1"/>
      <c r="E122" s="19"/>
      <c r="F122" s="19"/>
      <c r="G122" s="19"/>
      <c r="H122" s="19"/>
      <c r="I122" s="19"/>
      <c r="J122" s="19"/>
      <c r="K122" s="19"/>
      <c r="L122" s="19"/>
      <c r="M122" s="19"/>
      <c r="N122" s="2"/>
      <c r="O122" s="2"/>
      <c r="P122" s="2"/>
      <c r="Q122" s="2"/>
    </row>
    <row r="123" spans="1:17" ht="15.75" customHeight="1" x14ac:dyDescent="0.3">
      <c r="A123" s="1"/>
      <c r="B123" s="5"/>
      <c r="C123" s="42" t="s">
        <v>113</v>
      </c>
      <c r="D123" s="5"/>
      <c r="E123" s="43"/>
      <c r="F123" s="43"/>
      <c r="G123" s="43"/>
      <c r="H123" s="43"/>
      <c r="I123" s="43"/>
      <c r="J123" s="43"/>
      <c r="K123" s="43"/>
      <c r="L123" s="43"/>
      <c r="M123" s="73"/>
      <c r="N123" s="69"/>
      <c r="O123" s="69"/>
      <c r="P123" s="69"/>
      <c r="Q123" s="69"/>
    </row>
    <row r="124" spans="1:17" ht="15.75" customHeight="1" x14ac:dyDescent="0.3">
      <c r="A124" s="1"/>
      <c r="B124" s="1"/>
      <c r="C124" s="21" t="s">
        <v>114</v>
      </c>
      <c r="D124" s="15" t="s">
        <v>13</v>
      </c>
      <c r="E124" s="37">
        <v>32.826582999999999</v>
      </c>
      <c r="F124" s="37">
        <v>34.557000000000002</v>
      </c>
      <c r="G124" s="37">
        <v>33.953000000000003</v>
      </c>
      <c r="H124" s="19"/>
      <c r="I124" s="19"/>
      <c r="J124" s="19"/>
      <c r="K124" s="19"/>
      <c r="L124" s="19"/>
      <c r="M124" s="19"/>
      <c r="N124" s="2"/>
      <c r="O124" s="2"/>
      <c r="P124" s="2"/>
      <c r="Q124" s="2"/>
    </row>
    <row r="125" spans="1:17" ht="15.75" customHeight="1" x14ac:dyDescent="0.3">
      <c r="A125" s="1"/>
      <c r="B125" s="1"/>
      <c r="C125" s="21" t="s">
        <v>115</v>
      </c>
      <c r="D125" s="15" t="s">
        <v>13</v>
      </c>
      <c r="E125" s="37">
        <v>5.5376000000000002E-2</v>
      </c>
      <c r="F125" s="37">
        <v>4.2999999999999997E-2</v>
      </c>
      <c r="G125" s="37">
        <v>3.6999999999999998E-2</v>
      </c>
      <c r="H125" s="19"/>
      <c r="I125" s="19"/>
      <c r="J125" s="19"/>
      <c r="K125" s="19"/>
      <c r="L125" s="19"/>
      <c r="M125" s="19"/>
      <c r="N125" s="2"/>
      <c r="O125" s="2"/>
      <c r="P125" s="2"/>
      <c r="Q125" s="2"/>
    </row>
    <row r="126" spans="1:17" ht="15.75" customHeight="1" x14ac:dyDescent="0.3">
      <c r="A126" s="1"/>
      <c r="B126" s="25"/>
      <c r="C126" s="46" t="s">
        <v>116</v>
      </c>
      <c r="D126" s="26" t="s">
        <v>13</v>
      </c>
      <c r="E126" s="27">
        <f>SUM(E124:E125)</f>
        <v>32.881959000000002</v>
      </c>
      <c r="F126" s="27">
        <f>SUM(F124:F125)</f>
        <v>34.6</v>
      </c>
      <c r="G126" s="27">
        <f>SUM(G124:G125)</f>
        <v>33.99</v>
      </c>
      <c r="H126" s="27"/>
      <c r="I126" s="27"/>
      <c r="J126" s="27"/>
      <c r="K126" s="27"/>
      <c r="L126" s="27"/>
      <c r="M126" s="72"/>
      <c r="N126" s="71"/>
      <c r="O126" s="71"/>
      <c r="P126" s="71"/>
      <c r="Q126" s="71"/>
    </row>
    <row r="127" spans="1:17" ht="15.75" customHeight="1" x14ac:dyDescent="0.3">
      <c r="A127" s="1"/>
      <c r="B127" s="1"/>
      <c r="C127" s="21"/>
      <c r="D127" s="1"/>
      <c r="E127" s="19"/>
      <c r="F127" s="19"/>
      <c r="G127" s="19"/>
      <c r="H127" s="19"/>
      <c r="I127" s="19"/>
      <c r="J127" s="19"/>
      <c r="K127" s="19"/>
      <c r="L127" s="19"/>
      <c r="M127" s="19"/>
      <c r="N127" s="2"/>
      <c r="O127" s="2"/>
      <c r="P127" s="2"/>
      <c r="Q127" s="2"/>
    </row>
    <row r="128" spans="1:17" ht="15.75" customHeight="1" x14ac:dyDescent="0.3">
      <c r="A128" s="1"/>
      <c r="B128" s="1"/>
      <c r="C128" s="21" t="s">
        <v>117</v>
      </c>
      <c r="D128" s="15" t="s">
        <v>13</v>
      </c>
      <c r="E128" s="16">
        <f>E121+E126</f>
        <v>37.857368000000001</v>
      </c>
      <c r="F128" s="16">
        <f>F121+F126</f>
        <v>42.808</v>
      </c>
      <c r="G128" s="16">
        <f>G121+G126</f>
        <v>44.242000000000004</v>
      </c>
      <c r="H128" s="16"/>
      <c r="I128" s="16"/>
      <c r="J128" s="16"/>
      <c r="K128" s="16"/>
      <c r="L128" s="16"/>
      <c r="M128" s="19"/>
      <c r="N128" s="2"/>
      <c r="O128" s="2"/>
      <c r="P128" s="2"/>
      <c r="Q128" s="2"/>
    </row>
    <row r="129" spans="1:17" ht="15.75" customHeight="1" x14ac:dyDescent="0.3">
      <c r="A129" s="1"/>
      <c r="B129" s="1"/>
      <c r="C129" s="1"/>
      <c r="D129" s="1"/>
      <c r="E129" s="19"/>
      <c r="F129" s="19"/>
      <c r="G129" s="19"/>
      <c r="H129" s="19"/>
      <c r="I129" s="19"/>
      <c r="J129" s="19"/>
      <c r="K129" s="19"/>
      <c r="L129" s="19"/>
      <c r="M129" s="19"/>
      <c r="N129" s="2"/>
      <c r="O129" s="2"/>
      <c r="P129" s="2"/>
      <c r="Q129" s="2"/>
    </row>
    <row r="130" spans="1:17" ht="15.75" customHeight="1" x14ac:dyDescent="0.3">
      <c r="A130" s="1"/>
      <c r="B130" s="1"/>
      <c r="C130" s="21" t="s">
        <v>118</v>
      </c>
      <c r="D130" s="15" t="s">
        <v>13</v>
      </c>
      <c r="E130" s="54">
        <v>-1.0735049999999999</v>
      </c>
      <c r="F130" s="54">
        <v>1.1339999999999999</v>
      </c>
      <c r="G130" s="54">
        <v>8.2799999999999994</v>
      </c>
      <c r="H130" s="16"/>
      <c r="I130" s="16"/>
      <c r="J130" s="16"/>
      <c r="K130" s="16"/>
      <c r="L130" s="16"/>
      <c r="M130" s="19"/>
      <c r="N130" s="2"/>
      <c r="O130" s="2"/>
      <c r="P130" s="2"/>
      <c r="Q130" s="2"/>
    </row>
    <row r="131" spans="1:17" ht="15.75" customHeight="1" x14ac:dyDescent="0.3">
      <c r="A131" s="1"/>
      <c r="B131" s="1"/>
      <c r="C131" s="21"/>
      <c r="D131" s="1"/>
      <c r="E131" s="19"/>
      <c r="F131" s="19"/>
      <c r="G131" s="19"/>
      <c r="H131" s="19"/>
      <c r="I131" s="19"/>
      <c r="J131" s="19"/>
      <c r="K131" s="19"/>
      <c r="L131" s="19"/>
      <c r="M131" s="2"/>
      <c r="N131" s="2"/>
      <c r="O131" s="2"/>
      <c r="P131" s="2"/>
      <c r="Q131" s="2"/>
    </row>
    <row r="132" spans="1:17" ht="15.75" customHeight="1" x14ac:dyDescent="0.3">
      <c r="A132" s="1"/>
      <c r="B132" s="1"/>
      <c r="C132" s="21" t="s">
        <v>119</v>
      </c>
      <c r="D132" s="15" t="s">
        <v>13</v>
      </c>
      <c r="E132" s="16">
        <f>E128+E130</f>
        <v>36.783863000000004</v>
      </c>
      <c r="F132" s="16">
        <f>F128+F130</f>
        <v>43.942</v>
      </c>
      <c r="G132" s="16">
        <f>G128+G130</f>
        <v>52.522000000000006</v>
      </c>
      <c r="H132" s="16"/>
      <c r="I132" s="16"/>
      <c r="J132" s="16"/>
      <c r="K132" s="16"/>
      <c r="L132" s="16"/>
      <c r="M132" s="2"/>
      <c r="N132" s="2"/>
      <c r="O132" s="2"/>
      <c r="P132" s="2"/>
      <c r="Q132" s="2"/>
    </row>
    <row r="133" spans="1:17" ht="15.75" customHeight="1" x14ac:dyDescent="0.3">
      <c r="A133" s="1"/>
      <c r="B133" s="1"/>
      <c r="C133" s="21"/>
      <c r="D133" s="1"/>
      <c r="E133" s="19"/>
      <c r="F133" s="19"/>
      <c r="G133" s="19"/>
      <c r="H133" s="19"/>
      <c r="I133" s="19"/>
      <c r="J133" s="19"/>
      <c r="K133" s="19"/>
      <c r="L133" s="19"/>
      <c r="M133" s="2"/>
      <c r="N133" s="2"/>
      <c r="O133" s="2"/>
      <c r="P133" s="2"/>
      <c r="Q133" s="2"/>
    </row>
    <row r="134" spans="1:17" ht="15.75" customHeight="1" x14ac:dyDescent="0.3">
      <c r="A134" s="1"/>
      <c r="B134" s="1"/>
      <c r="C134" s="63" t="s">
        <v>120</v>
      </c>
      <c r="D134" s="1"/>
      <c r="E134" s="64">
        <f>E114-E132</f>
        <v>0</v>
      </c>
      <c r="F134" s="64">
        <f>F114-F132</f>
        <v>0</v>
      </c>
      <c r="G134" s="64">
        <f>G114-G132</f>
        <v>0</v>
      </c>
      <c r="H134" s="64"/>
      <c r="I134" s="64"/>
      <c r="J134" s="64"/>
      <c r="K134" s="64"/>
      <c r="L134" s="64"/>
      <c r="M134" s="2"/>
      <c r="N134" s="2"/>
      <c r="O134" s="2"/>
      <c r="P134" s="2"/>
      <c r="Q134" s="2"/>
    </row>
    <row r="135" spans="1:1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2"/>
      <c r="P135" s="2"/>
      <c r="Q135" s="2"/>
    </row>
    <row r="136" spans="1:17" ht="15.75" customHeight="1" x14ac:dyDescent="0.3">
      <c r="A136" s="1"/>
      <c r="B136" s="29"/>
      <c r="C136" s="29"/>
      <c r="D136" s="29"/>
      <c r="E136" s="80" t="str">
        <f>$E$2</f>
        <v>Actuals</v>
      </c>
      <c r="F136" s="81"/>
      <c r="G136" s="81"/>
      <c r="H136" s="82" t="str">
        <f>$H$2</f>
        <v>Forecast</v>
      </c>
      <c r="I136" s="81"/>
      <c r="J136" s="81"/>
      <c r="K136" s="81"/>
      <c r="L136" s="81"/>
      <c r="M136" s="2"/>
      <c r="N136" s="2"/>
      <c r="O136" s="2"/>
      <c r="P136" s="2"/>
      <c r="Q136" s="2"/>
    </row>
    <row r="137" spans="1:17" ht="15.75" customHeight="1" x14ac:dyDescent="0.3">
      <c r="A137" s="1"/>
      <c r="B137" s="11" t="s">
        <v>121</v>
      </c>
      <c r="C137" s="11"/>
      <c r="D137" s="12" t="str">
        <f>$D$3</f>
        <v>Reporting Units:</v>
      </c>
      <c r="E137" s="13">
        <f>$E$3</f>
        <v>41608</v>
      </c>
      <c r="F137" s="13">
        <f>$F$3</f>
        <v>41973</v>
      </c>
      <c r="G137" s="13">
        <f>$G$3</f>
        <v>42338</v>
      </c>
      <c r="H137" s="14">
        <f>$H$3</f>
        <v>42704</v>
      </c>
      <c r="I137" s="13">
        <f>$I$3</f>
        <v>43069</v>
      </c>
      <c r="J137" s="13">
        <f>$J$3</f>
        <v>43434</v>
      </c>
      <c r="K137" s="13">
        <f>$K$3</f>
        <v>43799</v>
      </c>
      <c r="L137" s="13">
        <f>$L$3</f>
        <v>44165</v>
      </c>
      <c r="M137" s="2"/>
      <c r="N137" s="2"/>
      <c r="O137" s="2"/>
      <c r="P137" s="2"/>
      <c r="Q137" s="2"/>
    </row>
    <row r="138" spans="1:17" ht="15.75" customHeight="1" x14ac:dyDescent="0.3">
      <c r="A138" s="1"/>
      <c r="B138" s="5" t="s">
        <v>122</v>
      </c>
      <c r="C138" s="65"/>
      <c r="D138" s="5"/>
      <c r="E138" s="5" t="s">
        <v>123</v>
      </c>
      <c r="F138" s="5" t="s">
        <v>123</v>
      </c>
      <c r="G138" s="5" t="s">
        <v>123</v>
      </c>
      <c r="H138" s="5" t="s">
        <v>123</v>
      </c>
      <c r="I138" s="5" t="s">
        <v>123</v>
      </c>
      <c r="J138" s="5" t="s">
        <v>123</v>
      </c>
      <c r="K138" s="5" t="s">
        <v>123</v>
      </c>
      <c r="L138" s="5" t="s">
        <v>123</v>
      </c>
      <c r="M138" s="69"/>
      <c r="N138" s="69"/>
      <c r="O138" s="69"/>
      <c r="P138" s="69"/>
      <c r="Q138" s="69"/>
    </row>
    <row r="139" spans="1:1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2"/>
      <c r="P139" s="2"/>
      <c r="Q139" s="2"/>
    </row>
    <row r="140" spans="1:17" ht="14.25" customHeight="1" x14ac:dyDescent="0.3">
      <c r="A140" s="1"/>
      <c r="B140" s="1"/>
      <c r="C140" s="1" t="s">
        <v>94</v>
      </c>
      <c r="D140" s="15" t="s">
        <v>13</v>
      </c>
      <c r="E140" s="16"/>
      <c r="F140" s="16"/>
      <c r="G140" s="16"/>
      <c r="H140" s="16">
        <f>H98</f>
        <v>15.535452511404188</v>
      </c>
      <c r="I140" s="16">
        <f>I98</f>
        <v>36.755017526668979</v>
      </c>
      <c r="J140" s="16">
        <f>J98</f>
        <v>14.886095905484119</v>
      </c>
      <c r="K140" s="16">
        <f>K98</f>
        <v>45.645219855368374</v>
      </c>
      <c r="L140" s="16">
        <f>L98</f>
        <v>52.458135157735967</v>
      </c>
      <c r="M140" s="2"/>
      <c r="N140" s="2"/>
      <c r="O140" s="2"/>
      <c r="P140" s="2"/>
      <c r="Q140" s="2"/>
    </row>
    <row r="141" spans="1:17" ht="15.75" customHeight="1" x14ac:dyDescent="0.3">
      <c r="A141" s="1"/>
      <c r="B141" s="5"/>
      <c r="C141" s="5" t="s">
        <v>124</v>
      </c>
      <c r="D141" s="5"/>
      <c r="E141" s="66"/>
      <c r="F141" s="66"/>
      <c r="G141" s="66"/>
      <c r="H141" s="66"/>
      <c r="I141" s="66"/>
      <c r="J141" s="66"/>
      <c r="K141" s="66"/>
      <c r="L141" s="66"/>
      <c r="M141" s="69"/>
      <c r="N141" s="69"/>
      <c r="O141" s="69"/>
      <c r="P141" s="69"/>
      <c r="Q141" s="69"/>
    </row>
    <row r="142" spans="1:17" ht="15.75" customHeight="1" x14ac:dyDescent="0.3">
      <c r="A142" s="1"/>
      <c r="B142" s="1"/>
      <c r="C142" s="21" t="s">
        <v>125</v>
      </c>
      <c r="D142" s="15" t="s">
        <v>13</v>
      </c>
      <c r="E142" s="19"/>
      <c r="F142" s="19"/>
      <c r="G142" s="19"/>
      <c r="H142" s="19">
        <f>H83*H66</f>
        <v>1.0873886766658316</v>
      </c>
      <c r="I142" s="19">
        <f>I83*I66</f>
        <v>2.320372370814999</v>
      </c>
      <c r="J142" s="19">
        <f>J83*J66</f>
        <v>2.7719534628745439</v>
      </c>
      <c r="K142" s="19">
        <f>K83*K66</f>
        <v>5.3760656226246626</v>
      </c>
      <c r="L142" s="19">
        <f>L83*L66</f>
        <v>6.1802955777470512</v>
      </c>
      <c r="M142" s="2"/>
      <c r="N142" s="2"/>
      <c r="O142" s="2"/>
      <c r="P142" s="2"/>
      <c r="Q142" s="2"/>
    </row>
    <row r="143" spans="1:17" ht="15.75" customHeight="1" x14ac:dyDescent="0.3">
      <c r="A143" s="1"/>
      <c r="B143" s="1"/>
      <c r="C143" s="21" t="s">
        <v>126</v>
      </c>
      <c r="D143" s="15" t="s">
        <v>13</v>
      </c>
      <c r="E143" s="19"/>
      <c r="F143" s="19"/>
      <c r="G143" s="19"/>
      <c r="H143" s="19">
        <f>H78</f>
        <v>2.4757894399499998</v>
      </c>
      <c r="I143" s="19">
        <f>I78</f>
        <v>3.5622306918</v>
      </c>
      <c r="J143" s="19">
        <f>J78</f>
        <v>5.2399502179499997</v>
      </c>
      <c r="K143" s="19">
        <f>K78</f>
        <v>7.2557551741499999</v>
      </c>
      <c r="L143" s="19">
        <f>L78</f>
        <v>9.6590012451000007</v>
      </c>
      <c r="M143" s="2"/>
      <c r="N143" s="2"/>
      <c r="O143" s="2"/>
      <c r="P143" s="2"/>
      <c r="Q143" s="2"/>
    </row>
    <row r="144" spans="1:17" ht="15.75" customHeight="1" x14ac:dyDescent="0.3">
      <c r="A144" s="1"/>
      <c r="B144" s="1"/>
      <c r="C144" s="56" t="s">
        <v>60</v>
      </c>
      <c r="D144" s="15" t="s">
        <v>13</v>
      </c>
      <c r="E144" s="19"/>
      <c r="F144" s="19"/>
      <c r="G144" s="19"/>
      <c r="H144" s="19">
        <f>H51</f>
        <v>0.55690280999999997</v>
      </c>
      <c r="I144" s="19">
        <f>I51</f>
        <v>0.61709509331604007</v>
      </c>
      <c r="J144" s="19">
        <f>J51</f>
        <v>0.68379319938201089</v>
      </c>
      <c r="K144" s="19">
        <f>K51</f>
        <v>0.75770030354401618</v>
      </c>
      <c r="L144" s="19">
        <f>L51</f>
        <v>0.83959558315226768</v>
      </c>
      <c r="M144" s="2"/>
      <c r="N144" s="2"/>
      <c r="O144" s="2"/>
      <c r="P144" s="2"/>
      <c r="Q144" s="2"/>
    </row>
    <row r="145" spans="1:17" ht="15.75" customHeight="1" x14ac:dyDescent="0.3">
      <c r="A145" s="1"/>
      <c r="B145" s="5"/>
      <c r="C145" s="5" t="s">
        <v>127</v>
      </c>
      <c r="D145" s="5"/>
      <c r="E145" s="43"/>
      <c r="F145" s="43"/>
      <c r="G145" s="43"/>
      <c r="H145" s="43"/>
      <c r="I145" s="43"/>
      <c r="J145" s="43"/>
      <c r="K145" s="43"/>
      <c r="L145" s="43"/>
      <c r="M145" s="69"/>
      <c r="N145" s="69"/>
      <c r="O145" s="69"/>
      <c r="P145" s="69"/>
      <c r="Q145" s="69"/>
    </row>
    <row r="146" spans="1:17" ht="15.75" customHeight="1" x14ac:dyDescent="0.3">
      <c r="A146" s="1"/>
      <c r="B146" s="1"/>
      <c r="C146" s="21" t="s">
        <v>99</v>
      </c>
      <c r="D146" s="15" t="s">
        <v>13</v>
      </c>
      <c r="E146" s="19"/>
      <c r="F146" s="19"/>
      <c r="G146" s="19"/>
      <c r="H146" s="19">
        <f t="shared" ref="H146:L147" si="5">G105-H105</f>
        <v>12.547000000000001</v>
      </c>
      <c r="I146" s="19">
        <f t="shared" si="5"/>
        <v>0</v>
      </c>
      <c r="J146" s="19">
        <f t="shared" si="5"/>
        <v>0</v>
      </c>
      <c r="K146" s="19">
        <f t="shared" si="5"/>
        <v>0</v>
      </c>
      <c r="L146" s="19">
        <f t="shared" si="5"/>
        <v>0</v>
      </c>
      <c r="M146" s="2"/>
      <c r="N146" s="2"/>
      <c r="O146" s="2"/>
      <c r="P146" s="2"/>
      <c r="Q146" s="2"/>
    </row>
    <row r="147" spans="1:17" ht="15.75" customHeight="1" x14ac:dyDescent="0.3">
      <c r="A147" s="1"/>
      <c r="B147" s="1"/>
      <c r="C147" s="21" t="s">
        <v>100</v>
      </c>
      <c r="D147" s="15" t="s">
        <v>13</v>
      </c>
      <c r="E147" s="19"/>
      <c r="F147" s="19"/>
      <c r="G147" s="19"/>
      <c r="H147" s="19">
        <f t="shared" si="5"/>
        <v>3.706</v>
      </c>
      <c r="I147" s="19">
        <f t="shared" si="5"/>
        <v>0</v>
      </c>
      <c r="J147" s="19">
        <f t="shared" si="5"/>
        <v>0</v>
      </c>
      <c r="K147" s="19">
        <f t="shared" si="5"/>
        <v>0</v>
      </c>
      <c r="L147" s="19">
        <f t="shared" si="5"/>
        <v>0</v>
      </c>
      <c r="M147" s="2"/>
      <c r="N147" s="2"/>
      <c r="O147" s="2"/>
      <c r="P147" s="2"/>
      <c r="Q147" s="2"/>
    </row>
    <row r="148" spans="1:17" ht="15.75" customHeight="1" x14ac:dyDescent="0.3">
      <c r="A148" s="1"/>
      <c r="B148" s="1"/>
      <c r="C148" s="21" t="s">
        <v>109</v>
      </c>
      <c r="D148" s="15" t="s">
        <v>13</v>
      </c>
      <c r="E148" s="19"/>
      <c r="F148" s="19"/>
      <c r="G148" s="19"/>
      <c r="H148" s="19">
        <f t="shared" ref="H148:L149" si="6">H118-G118</f>
        <v>-1.38</v>
      </c>
      <c r="I148" s="19">
        <f t="shared" si="6"/>
        <v>0</v>
      </c>
      <c r="J148" s="19">
        <f t="shared" si="6"/>
        <v>0</v>
      </c>
      <c r="K148" s="19">
        <f t="shared" si="6"/>
        <v>0</v>
      </c>
      <c r="L148" s="19">
        <f t="shared" si="6"/>
        <v>0</v>
      </c>
      <c r="M148" s="2"/>
      <c r="N148" s="2"/>
      <c r="O148" s="2"/>
      <c r="P148" s="2"/>
      <c r="Q148" s="2"/>
    </row>
    <row r="149" spans="1:17" ht="15.75" customHeight="1" x14ac:dyDescent="0.3">
      <c r="A149" s="1"/>
      <c r="B149" s="1"/>
      <c r="C149" s="21" t="s">
        <v>110</v>
      </c>
      <c r="D149" s="15" t="s">
        <v>13</v>
      </c>
      <c r="E149" s="19"/>
      <c r="F149" s="19"/>
      <c r="G149" s="19"/>
      <c r="H149" s="19">
        <f t="shared" si="6"/>
        <v>-6.2510000000000003</v>
      </c>
      <c r="I149" s="19">
        <f t="shared" si="6"/>
        <v>0</v>
      </c>
      <c r="J149" s="19">
        <f t="shared" si="6"/>
        <v>0</v>
      </c>
      <c r="K149" s="19">
        <f t="shared" si="6"/>
        <v>0</v>
      </c>
      <c r="L149" s="19">
        <f t="shared" si="6"/>
        <v>0</v>
      </c>
      <c r="M149" s="2"/>
      <c r="N149" s="2"/>
      <c r="O149" s="2"/>
      <c r="P149" s="2"/>
      <c r="Q149" s="2"/>
    </row>
    <row r="150" spans="1:17" ht="14.25" customHeight="1" x14ac:dyDescent="0.3">
      <c r="A150" s="1"/>
      <c r="B150" s="1"/>
      <c r="C150" s="21" t="s">
        <v>128</v>
      </c>
      <c r="D150" s="15" t="s">
        <v>13</v>
      </c>
      <c r="E150" s="19"/>
      <c r="F150" s="19"/>
      <c r="G150" s="19"/>
      <c r="H150" s="19">
        <f>H120-G120+H125-G125</f>
        <v>-2.6579999999999999</v>
      </c>
      <c r="I150" s="19">
        <f>I120-H120+I125-H125</f>
        <v>0</v>
      </c>
      <c r="J150" s="19">
        <f>J120-I120+J125-I125</f>
        <v>0</v>
      </c>
      <c r="K150" s="19">
        <f>K120-J120+K125-J125</f>
        <v>0</v>
      </c>
      <c r="L150" s="19">
        <f>L120-K120+L125-K125</f>
        <v>0</v>
      </c>
      <c r="M150" s="2"/>
      <c r="N150" s="2"/>
      <c r="O150" s="2"/>
      <c r="P150" s="2"/>
      <c r="Q150" s="2"/>
    </row>
    <row r="151" spans="1:17" ht="15.75" customHeight="1" x14ac:dyDescent="0.3">
      <c r="A151" s="1"/>
      <c r="B151" s="25"/>
      <c r="C151" s="25" t="s">
        <v>147</v>
      </c>
      <c r="D151" s="26" t="s">
        <v>13</v>
      </c>
      <c r="E151" s="27"/>
      <c r="F151" s="27"/>
      <c r="G151" s="27"/>
      <c r="H151" s="27">
        <f>SUM(H140:H150)</f>
        <v>25.619533438020017</v>
      </c>
      <c r="I151" s="27">
        <f>SUM(I140:I150)</f>
        <v>43.254715682600022</v>
      </c>
      <c r="J151" s="27">
        <f>SUM(J140:J150)</f>
        <v>23.58179278569067</v>
      </c>
      <c r="K151" s="27">
        <f>SUM(K140:K150)</f>
        <v>59.034740955687056</v>
      </c>
      <c r="L151" s="27">
        <f>SUM(L140:L150)</f>
        <v>69.137027563735288</v>
      </c>
      <c r="M151" s="71"/>
      <c r="N151" s="71"/>
      <c r="O151" s="71"/>
      <c r="P151" s="71"/>
      <c r="Q151" s="71"/>
    </row>
    <row r="152" spans="1:17" ht="15.75" customHeight="1" x14ac:dyDescent="0.3">
      <c r="A152" s="1"/>
      <c r="B152" s="1"/>
      <c r="C152" s="1"/>
      <c r="D152" s="1"/>
      <c r="E152" s="19"/>
      <c r="F152" s="19"/>
      <c r="G152" s="19"/>
      <c r="H152" s="19"/>
      <c r="I152" s="19"/>
      <c r="J152" s="19"/>
      <c r="K152" s="19"/>
      <c r="L152" s="19"/>
      <c r="M152" s="2"/>
      <c r="N152" s="2"/>
      <c r="O152" s="2"/>
      <c r="P152" s="2"/>
      <c r="Q152" s="2"/>
    </row>
    <row r="153" spans="1:17" ht="15.75" customHeight="1" x14ac:dyDescent="0.3">
      <c r="A153" s="1"/>
      <c r="B153" s="5" t="s">
        <v>129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9"/>
      <c r="N153" s="69"/>
      <c r="O153" s="69"/>
      <c r="P153" s="69"/>
      <c r="Q153" s="69"/>
    </row>
    <row r="154" spans="1:17" ht="15.75" customHeight="1" x14ac:dyDescent="0.3">
      <c r="A154" s="1"/>
      <c r="B154" s="1"/>
      <c r="C154" s="21" t="s">
        <v>130</v>
      </c>
      <c r="D154" s="15" t="s">
        <v>13</v>
      </c>
      <c r="E154" s="19"/>
      <c r="F154" s="19"/>
      <c r="G154" s="19"/>
      <c r="H154" s="19">
        <f>-H65*H83</f>
        <v>-1.6972763529405868</v>
      </c>
      <c r="I154" s="19">
        <f>-I65*I83</f>
        <v>-2.70790973227626</v>
      </c>
      <c r="J154" s="19">
        <f>-J65*J83</f>
        <v>-4.2543860228366572</v>
      </c>
      <c r="K154" s="19">
        <f>-K65*K83</f>
        <v>-4.9459945315337368</v>
      </c>
      <c r="L154" s="19">
        <f>-L65*L83</f>
        <v>-7.8857153117214729</v>
      </c>
      <c r="M154" s="2"/>
      <c r="N154" s="2"/>
      <c r="O154" s="2"/>
      <c r="P154" s="2"/>
      <c r="Q154" s="2"/>
    </row>
    <row r="155" spans="1:17" ht="15.75" customHeight="1" x14ac:dyDescent="0.3">
      <c r="A155" s="1"/>
      <c r="B155" s="1"/>
      <c r="C155" s="21" t="s">
        <v>131</v>
      </c>
      <c r="D155" s="15" t="s">
        <v>13</v>
      </c>
      <c r="E155" s="19"/>
      <c r="F155" s="19"/>
      <c r="G155" s="19"/>
      <c r="H155" s="19">
        <f>-H68</f>
        <v>-5.2530999999999999</v>
      </c>
      <c r="I155" s="19">
        <f>-I68</f>
        <v>-5.5022000000000002</v>
      </c>
      <c r="J155" s="19">
        <f>-J68</f>
        <v>-11.1065</v>
      </c>
      <c r="K155" s="19">
        <f>-K68</f>
        <v>-8.8491</v>
      </c>
      <c r="L155" s="19">
        <f>-L68</f>
        <v>-14.942</v>
      </c>
      <c r="M155" s="2"/>
      <c r="N155" s="2"/>
      <c r="O155" s="2"/>
      <c r="P155" s="2"/>
      <c r="Q155" s="2"/>
    </row>
    <row r="156" spans="1:17" ht="15.75" customHeight="1" x14ac:dyDescent="0.3">
      <c r="A156" s="1"/>
      <c r="B156" s="25"/>
      <c r="C156" s="25" t="s">
        <v>132</v>
      </c>
      <c r="D156" s="26" t="s">
        <v>13</v>
      </c>
      <c r="E156" s="27"/>
      <c r="F156" s="27"/>
      <c r="G156" s="27"/>
      <c r="H156" s="27">
        <f>SUM(H154:H155)</f>
        <v>-6.9503763529405864</v>
      </c>
      <c r="I156" s="27">
        <f>SUM(I154:I155)</f>
        <v>-8.2101097322762602</v>
      </c>
      <c r="J156" s="27">
        <f>SUM(J154:J155)</f>
        <v>-15.360886022836658</v>
      </c>
      <c r="K156" s="27">
        <f>SUM(K154:K155)</f>
        <v>-13.795094531533737</v>
      </c>
      <c r="L156" s="27">
        <f>SUM(L154:L155)</f>
        <v>-22.827715311721473</v>
      </c>
      <c r="M156" s="71"/>
      <c r="N156" s="71"/>
      <c r="O156" s="71"/>
      <c r="P156" s="71"/>
      <c r="Q156" s="71"/>
    </row>
    <row r="157" spans="1:17" ht="15.75" customHeight="1" x14ac:dyDescent="0.3">
      <c r="A157" s="1"/>
      <c r="B157" s="1"/>
      <c r="C157" s="1"/>
      <c r="D157" s="1"/>
      <c r="E157" s="19"/>
      <c r="F157" s="19"/>
      <c r="G157" s="19"/>
      <c r="H157" s="19"/>
      <c r="I157" s="19"/>
      <c r="J157" s="19"/>
      <c r="K157" s="19"/>
      <c r="L157" s="19"/>
      <c r="M157" s="2"/>
      <c r="N157" s="2"/>
      <c r="O157" s="2"/>
      <c r="P157" s="2"/>
      <c r="Q157" s="2"/>
    </row>
    <row r="158" spans="1:17" ht="15.75" customHeight="1" x14ac:dyDescent="0.3">
      <c r="A158" s="1"/>
      <c r="B158" s="5" t="s">
        <v>133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69"/>
      <c r="N158" s="69"/>
      <c r="O158" s="69"/>
      <c r="P158" s="69"/>
      <c r="Q158" s="69"/>
    </row>
    <row r="159" spans="1:17" ht="15.75" customHeight="1" x14ac:dyDescent="0.3">
      <c r="A159" s="1"/>
      <c r="B159" s="1"/>
      <c r="C159" s="56" t="s">
        <v>134</v>
      </c>
      <c r="D159" s="15" t="s">
        <v>13</v>
      </c>
      <c r="E159" s="19"/>
      <c r="F159" s="19"/>
      <c r="G159" s="19"/>
      <c r="H159" s="19">
        <f>H38+H44+H50</f>
        <v>-1.1126257106999999</v>
      </c>
      <c r="I159" s="19">
        <f>I38+I44+I50</f>
        <v>-1.1126257106999999</v>
      </c>
      <c r="J159" s="19">
        <f>J38+J44+J50</f>
        <v>-1.1126257106999999</v>
      </c>
      <c r="K159" s="19">
        <f>K38+K44+K50</f>
        <v>-1.1126257106999999</v>
      </c>
      <c r="L159" s="19">
        <f>L38+L44+L50</f>
        <v>-1.1126257106999999</v>
      </c>
      <c r="M159" s="2"/>
      <c r="N159" s="2"/>
      <c r="O159" s="2"/>
      <c r="P159" s="2"/>
      <c r="Q159" s="2"/>
    </row>
    <row r="160" spans="1:17" ht="14.25" customHeight="1" x14ac:dyDescent="0.3">
      <c r="A160" s="1"/>
      <c r="B160" s="25"/>
      <c r="C160" s="25" t="s">
        <v>135</v>
      </c>
      <c r="D160" s="26" t="s">
        <v>13</v>
      </c>
      <c r="E160" s="27"/>
      <c r="F160" s="27"/>
      <c r="G160" s="27"/>
      <c r="H160" s="27">
        <f>SUM(H159)</f>
        <v>-1.1126257106999999</v>
      </c>
      <c r="I160" s="27">
        <f>SUM(I159)</f>
        <v>-1.1126257106999999</v>
      </c>
      <c r="J160" s="27">
        <f>SUM(J159)</f>
        <v>-1.1126257106999999</v>
      </c>
      <c r="K160" s="27">
        <f>SUM(K159)</f>
        <v>-1.1126257106999999</v>
      </c>
      <c r="L160" s="27">
        <f>SUM(L159)</f>
        <v>-1.1126257106999999</v>
      </c>
      <c r="M160" s="71"/>
      <c r="N160" s="71"/>
      <c r="O160" s="71"/>
      <c r="P160" s="71"/>
      <c r="Q160" s="71"/>
    </row>
    <row r="161" spans="1:17" ht="15.75" customHeight="1" x14ac:dyDescent="0.3">
      <c r="A161" s="1"/>
      <c r="B161" s="1"/>
      <c r="C161" s="1"/>
      <c r="D161" s="1"/>
      <c r="E161" s="19"/>
      <c r="F161" s="19"/>
      <c r="G161" s="19"/>
      <c r="H161" s="19"/>
      <c r="I161" s="19"/>
      <c r="J161" s="19"/>
      <c r="K161" s="19"/>
      <c r="L161" s="19"/>
      <c r="M161" s="2"/>
      <c r="N161" s="2"/>
      <c r="O161" s="2"/>
      <c r="P161" s="2"/>
      <c r="Q161" s="2"/>
    </row>
    <row r="162" spans="1:17" ht="14.25" customHeight="1" x14ac:dyDescent="0.3">
      <c r="A162" s="1"/>
      <c r="B162" s="1"/>
      <c r="C162" s="21" t="s">
        <v>136</v>
      </c>
      <c r="D162" s="15" t="s">
        <v>13</v>
      </c>
      <c r="E162" s="19"/>
      <c r="F162" s="19"/>
      <c r="G162" s="19"/>
      <c r="H162" s="19">
        <f>H151+H156+H160</f>
        <v>17.556531374379428</v>
      </c>
      <c r="I162" s="19">
        <f>I151+I156+I160</f>
        <v>33.931980239623762</v>
      </c>
      <c r="J162" s="19">
        <f>J151+J156+J160</f>
        <v>7.1082810521540125</v>
      </c>
      <c r="K162" s="19">
        <f>K151+K156+K160</f>
        <v>44.127020713453319</v>
      </c>
      <c r="L162" s="19">
        <f>L151+L156+L160</f>
        <v>45.196686541313809</v>
      </c>
      <c r="M162" s="2"/>
      <c r="N162" s="2"/>
      <c r="O162" s="2"/>
      <c r="P162" s="2"/>
      <c r="Q162" s="2"/>
    </row>
    <row r="163" spans="1:17" ht="14.25" customHeight="1" x14ac:dyDescent="0.3">
      <c r="A163" s="1"/>
      <c r="B163" s="1"/>
      <c r="C163" s="21" t="s">
        <v>137</v>
      </c>
      <c r="D163" s="15" t="s">
        <v>13</v>
      </c>
      <c r="E163" s="19"/>
      <c r="F163" s="19"/>
      <c r="G163" s="19"/>
      <c r="H163" s="19">
        <f>G104</f>
        <v>12.148999999999999</v>
      </c>
      <c r="I163" s="19">
        <f>H164</f>
        <v>29.705531374379426</v>
      </c>
      <c r="J163" s="19">
        <f>I164</f>
        <v>63.637511614003188</v>
      </c>
      <c r="K163" s="19">
        <f>J164</f>
        <v>70.7457926661572</v>
      </c>
      <c r="L163" s="19">
        <f>K164</f>
        <v>114.87281337961052</v>
      </c>
      <c r="M163" s="2"/>
      <c r="N163" s="2"/>
      <c r="O163" s="2"/>
      <c r="P163" s="2"/>
      <c r="Q163" s="2"/>
    </row>
    <row r="164" spans="1:17" ht="14.25" customHeight="1" x14ac:dyDescent="0.3">
      <c r="A164" s="1"/>
      <c r="B164" s="25"/>
      <c r="C164" s="25" t="s">
        <v>138</v>
      </c>
      <c r="D164" s="26" t="s">
        <v>13</v>
      </c>
      <c r="E164" s="59"/>
      <c r="F164" s="59"/>
      <c r="G164" s="59"/>
      <c r="H164" s="59">
        <f>SUM(H162:H163)</f>
        <v>29.705531374379426</v>
      </c>
      <c r="I164" s="59">
        <f>SUM(I162:I163)</f>
        <v>63.637511614003188</v>
      </c>
      <c r="J164" s="59">
        <f>SUM(J162:J163)</f>
        <v>70.7457926661572</v>
      </c>
      <c r="K164" s="59">
        <f>SUM(K162:K163)</f>
        <v>114.87281337961052</v>
      </c>
      <c r="L164" s="59">
        <f>SUM(L162:L163)</f>
        <v>160.06949992092433</v>
      </c>
      <c r="M164" s="71"/>
      <c r="N164" s="71"/>
      <c r="O164" s="71"/>
      <c r="P164" s="71"/>
      <c r="Q164" s="71"/>
    </row>
  </sheetData>
  <mergeCells count="8">
    <mergeCell ref="E100:G100"/>
    <mergeCell ref="H100:L100"/>
    <mergeCell ref="E136:G136"/>
    <mergeCell ref="H136:L136"/>
    <mergeCell ref="E2:G2"/>
    <mergeCell ref="H2:L2"/>
    <mergeCell ref="E80:G80"/>
    <mergeCell ref="H80:L80"/>
  </mergeCells>
  <pageMargins left="0.7" right="0.7" top="0.75" bottom="0.75" header="0" footer="0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  <rowBreaks count="4" manualBreakCount="4">
    <brk id="99" man="1"/>
    <brk id="55" man="1"/>
    <brk id="135" man="1"/>
    <brk id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Returns-Summary</vt:lpstr>
      <vt:lpstr>Model-Build</vt:lpstr>
      <vt:lpstr>Company_Name</vt:lpstr>
      <vt:lpstr>Hist_Yr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2026-07-09T18:24:44Z</dcterms:created>
  <dcterms:modified xsi:type="dcterms:W3CDTF">2026-08-17T20:26:39Z</dcterms:modified>
</cp:coreProperties>
</file>