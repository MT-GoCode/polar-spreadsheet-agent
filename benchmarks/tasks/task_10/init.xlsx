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1_{4EFAA231-E232-412F-AD7E-DFC5132F57D8}" xr6:coauthVersionLast="47" xr6:coauthVersionMax="47" xr10:uidLastSave="{00000000-0000-0000-0000-000000000000}"/>
  <bookViews>
    <workbookView xWindow="7448" yWindow="-16695" windowWidth="28994" windowHeight="15675" xr2:uid="{CFCDA08E-4028-4807-A7C9-A5A2C0C6D042}"/>
  </bookViews>
  <sheets>
    <sheet name="Drivers" sheetId="1" r:id="rId1"/>
    <sheet name="Operating Valuation" sheetId="2" r:id="rId2"/>
    <sheet name="D&amp;A Schedule" sheetId="8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0" i="8" l="1"/>
  <c r="N50" i="8"/>
  <c r="M50" i="8"/>
  <c r="L50" i="8"/>
  <c r="K50" i="8"/>
  <c r="J50" i="8"/>
  <c r="I50" i="8"/>
  <c r="H50" i="8"/>
  <c r="G50" i="8"/>
  <c r="F50" i="8"/>
  <c r="E50" i="8"/>
  <c r="D43" i="8"/>
  <c r="O39" i="8"/>
  <c r="O49" i="8" s="1"/>
  <c r="O51" i="8" s="1"/>
  <c r="N39" i="8"/>
  <c r="N49" i="8" s="1"/>
  <c r="M39" i="8"/>
  <c r="M49" i="8" s="1"/>
  <c r="M51" i="8" s="1"/>
  <c r="L39" i="8"/>
  <c r="L49" i="8" s="1"/>
  <c r="L51" i="8" s="1"/>
  <c r="K39" i="8"/>
  <c r="K49" i="8" s="1"/>
  <c r="K51" i="8" s="1"/>
  <c r="J39" i="8"/>
  <c r="J49" i="8" s="1"/>
  <c r="J51" i="8" s="1"/>
  <c r="I39" i="8"/>
  <c r="I49" i="8" s="1"/>
  <c r="I51" i="8" s="1"/>
  <c r="H39" i="8"/>
  <c r="H49" i="8" s="1"/>
  <c r="H51" i="8" s="1"/>
  <c r="G39" i="8"/>
  <c r="G49" i="8" s="1"/>
  <c r="G51" i="8" s="1"/>
  <c r="F39" i="8"/>
  <c r="F49" i="8" s="1"/>
  <c r="F51" i="8" s="1"/>
  <c r="E39" i="8"/>
  <c r="E49" i="8" s="1"/>
  <c r="E51" i="8" s="1"/>
  <c r="O22" i="8"/>
  <c r="N22" i="8"/>
  <c r="M22" i="8"/>
  <c r="L22" i="8"/>
  <c r="K22" i="8"/>
  <c r="J22" i="8"/>
  <c r="I22" i="8"/>
  <c r="H22" i="8"/>
  <c r="G22" i="8"/>
  <c r="F22" i="8"/>
  <c r="E22" i="8"/>
  <c r="D10" i="8"/>
  <c r="D22" i="8" s="1"/>
  <c r="C6" i="8"/>
  <c r="C112" i="2"/>
  <c r="C113" i="2" s="1"/>
  <c r="C110" i="2"/>
  <c r="C109" i="2" s="1"/>
  <c r="G108" i="2"/>
  <c r="H108" i="2" s="1"/>
  <c r="E108" i="2"/>
  <c r="D108" i="2"/>
  <c r="C103" i="2"/>
  <c r="C102" i="2"/>
  <c r="C100" i="2"/>
  <c r="C99" i="2"/>
  <c r="G98" i="2"/>
  <c r="H98" i="2" s="1"/>
  <c r="E98" i="2"/>
  <c r="D98" i="2" s="1"/>
  <c r="C98" i="2"/>
  <c r="C91" i="2"/>
  <c r="C92" i="2" s="1"/>
  <c r="E66" i="2" s="1"/>
  <c r="C81" i="2"/>
  <c r="C108" i="2" s="1"/>
  <c r="C75" i="2"/>
  <c r="H54" i="2"/>
  <c r="H61" i="2" s="1"/>
  <c r="H64" i="2" s="1"/>
  <c r="O50" i="2"/>
  <c r="O54" i="2" s="1"/>
  <c r="O61" i="2" s="1"/>
  <c r="O64" i="2" s="1"/>
  <c r="N50" i="2"/>
  <c r="N54" i="2" s="1"/>
  <c r="N61" i="2" s="1"/>
  <c r="N64" i="2" s="1"/>
  <c r="M50" i="2"/>
  <c r="M54" i="2" s="1"/>
  <c r="M61" i="2" s="1"/>
  <c r="M64" i="2" s="1"/>
  <c r="L50" i="2"/>
  <c r="L54" i="2" s="1"/>
  <c r="L61" i="2" s="1"/>
  <c r="L64" i="2" s="1"/>
  <c r="K50" i="2"/>
  <c r="K54" i="2" s="1"/>
  <c r="K61" i="2" s="1"/>
  <c r="K64" i="2" s="1"/>
  <c r="J50" i="2"/>
  <c r="J54" i="2" s="1"/>
  <c r="J61" i="2" s="1"/>
  <c r="J64" i="2" s="1"/>
  <c r="I50" i="2"/>
  <c r="I54" i="2" s="1"/>
  <c r="I61" i="2" s="1"/>
  <c r="I64" i="2" s="1"/>
  <c r="H50" i="2"/>
  <c r="G50" i="2"/>
  <c r="G54" i="2" s="1"/>
  <c r="G61" i="2" s="1"/>
  <c r="G64" i="2" s="1"/>
  <c r="F50" i="2"/>
  <c r="F54" i="2" s="1"/>
  <c r="F61" i="2" s="1"/>
  <c r="F64" i="2" s="1"/>
  <c r="E50" i="2"/>
  <c r="E54" i="2" s="1"/>
  <c r="E61" i="2" s="1"/>
  <c r="E64" i="2" s="1"/>
  <c r="P45" i="2"/>
  <c r="P64" i="2" s="1"/>
  <c r="D45" i="2"/>
  <c r="C45" i="2"/>
  <c r="D36" i="2"/>
  <c r="C36" i="2"/>
  <c r="D35" i="2"/>
  <c r="C35" i="2"/>
  <c r="D34" i="2"/>
  <c r="C34" i="2"/>
  <c r="P30" i="2"/>
  <c r="D30" i="2"/>
  <c r="C30" i="2"/>
  <c r="C38" i="2" s="1"/>
  <c r="D23" i="2"/>
  <c r="C23" i="2"/>
  <c r="D22" i="2"/>
  <c r="C22" i="2"/>
  <c r="D21" i="2"/>
  <c r="C21" i="2"/>
  <c r="P17" i="2"/>
  <c r="D17" i="2"/>
  <c r="C17" i="2"/>
  <c r="D10" i="2"/>
  <c r="D9" i="2"/>
  <c r="D8" i="2"/>
  <c r="D24" i="2" l="1"/>
  <c r="C24" i="2"/>
  <c r="D31" i="2"/>
  <c r="N51" i="8"/>
  <c r="D46" i="2"/>
  <c r="F66" i="2"/>
  <c r="E67" i="2"/>
  <c r="E69" i="2" s="1"/>
  <c r="D18" i="2"/>
  <c r="D11" i="2"/>
  <c r="D38" i="2"/>
  <c r="G66" i="2" l="1"/>
  <c r="F67" i="2"/>
  <c r="F69" i="2" s="1"/>
  <c r="H66" i="2" l="1"/>
  <c r="G67" i="2"/>
  <c r="G69" i="2" s="1"/>
  <c r="H67" i="2" l="1"/>
  <c r="H69" i="2" s="1"/>
  <c r="I66" i="2"/>
  <c r="I67" i="2" l="1"/>
  <c r="I69" i="2" s="1"/>
  <c r="J66" i="2"/>
  <c r="J67" i="2" l="1"/>
  <c r="J69" i="2" s="1"/>
  <c r="K66" i="2"/>
  <c r="K67" i="2" l="1"/>
  <c r="K69" i="2" s="1"/>
  <c r="L66" i="2"/>
  <c r="L67" i="2" l="1"/>
  <c r="L69" i="2" s="1"/>
  <c r="M66" i="2"/>
  <c r="N66" i="2" l="1"/>
  <c r="M67" i="2"/>
  <c r="M69" i="2" s="1"/>
  <c r="N67" i="2" l="1"/>
  <c r="N69" i="2" s="1"/>
  <c r="O66" i="2"/>
  <c r="O67" i="2" l="1"/>
  <c r="O69" i="2" s="1"/>
  <c r="P66" i="2"/>
  <c r="P67" i="2" s="1"/>
  <c r="P69" i="2" s="1"/>
</calcChain>
</file>

<file path=xl/sharedStrings.xml><?xml version="1.0" encoding="utf-8"?>
<sst xmlns="http://schemas.openxmlformats.org/spreadsheetml/2006/main" count="205" uniqueCount="111">
  <si>
    <t>FY2025P</t>
  </si>
  <si>
    <t>FY2026P</t>
  </si>
  <si>
    <t>FY2027P</t>
  </si>
  <si>
    <t>($ in millions)</t>
  </si>
  <si>
    <t>Actuals</t>
  </si>
  <si>
    <t>Forecast</t>
  </si>
  <si>
    <t>Terminal Year</t>
  </si>
  <si>
    <t>FY2023A</t>
  </si>
  <si>
    <t>FY2024A</t>
  </si>
  <si>
    <t>FY2028P</t>
  </si>
  <si>
    <t>FY2029P</t>
  </si>
  <si>
    <t>FY2030P</t>
  </si>
  <si>
    <t>FY2031P</t>
  </si>
  <si>
    <t>FY2032P</t>
  </si>
  <si>
    <t>FY2033P</t>
  </si>
  <si>
    <t>Value</t>
  </si>
  <si>
    <t>Aggregate Cash Flow</t>
  </si>
  <si>
    <t>Forecast Horizon</t>
  </si>
  <si>
    <t>Discount Factor</t>
  </si>
  <si>
    <t>Discounted Cash Flow</t>
  </si>
  <si>
    <t>NPV — Exit Multiple Method</t>
  </si>
  <si>
    <t>PV of Unlevered FCF</t>
  </si>
  <si>
    <t>PV of Terminal Value</t>
  </si>
  <si>
    <t>Implied Enterprise Value</t>
  </si>
  <si>
    <t>NPV — PGR Method</t>
  </si>
  <si>
    <t>DCF Assumptions</t>
  </si>
  <si>
    <t>WACC</t>
  </si>
  <si>
    <t>Discounting Convention</t>
  </si>
  <si>
    <t>Mid-Period</t>
  </si>
  <si>
    <t>PGR</t>
  </si>
  <si>
    <t>As-of Date</t>
  </si>
  <si>
    <t>EV Sensitivity — Exit Multiple Approach</t>
  </si>
  <si>
    <t>Exit</t>
  </si>
  <si>
    <t>Multiple</t>
  </si>
  <si>
    <t>EV Sensitivity — Perpetuity Growth Approach</t>
  </si>
  <si>
    <t>Mobility Segment</t>
  </si>
  <si>
    <t>Delivery Segment</t>
  </si>
  <si>
    <t>Freight Segment</t>
  </si>
  <si>
    <t>Aggregate Gross Bookings</t>
  </si>
  <si>
    <t>Consolidated Revenue</t>
  </si>
  <si>
    <t>FY2034P</t>
  </si>
  <si>
    <t>FY2035P</t>
  </si>
  <si>
    <t>Less: SBC</t>
  </si>
  <si>
    <t>Less: D&amp;A</t>
  </si>
  <si>
    <t>EBIT</t>
  </si>
  <si>
    <t>Less: Taxes</t>
  </si>
  <si>
    <t>EBT</t>
  </si>
  <si>
    <t>Less: CapEx</t>
  </si>
  <si>
    <t>Add: D&amp;A</t>
  </si>
  <si>
    <t>Less: Δ NWC</t>
  </si>
  <si>
    <t>Adjusted EBITDA</t>
  </si>
  <si>
    <t>FY2025P Gross Bookings Growth (%)</t>
  </si>
  <si>
    <t>FY2025P - FY2035P Forecast Assumptions</t>
  </si>
  <si>
    <t>Blended Take Rate</t>
  </si>
  <si>
    <t>Depreciation and Amortization (D&amp;A)</t>
  </si>
  <si>
    <t>Unlevered FCF (After SBC)</t>
  </si>
  <si>
    <t>Intangible Amortization</t>
  </si>
  <si>
    <t>PP&amp;E Depreciation</t>
  </si>
  <si>
    <t>Total PP&amp;E Depreciation</t>
  </si>
  <si>
    <t>Net PP&amp;E (Total)</t>
  </si>
  <si>
    <t>Capital Expenditures (CapEx)</t>
  </si>
  <si>
    <t>Effective Tax Rate (% of EBIT)</t>
  </si>
  <si>
    <t>Stock-Based Compensation (SBC)</t>
  </si>
  <si>
    <t>Revenue ($ mm)</t>
  </si>
  <si>
    <t>Gross Bookings ($ mm)</t>
  </si>
  <si>
    <t>Perpetuity Growth Rate (PGR)</t>
  </si>
  <si>
    <t>Adjusted EBITDA ($ mm)</t>
  </si>
  <si>
    <t>Adj. EBITDA Margin (%)</t>
  </si>
  <si>
    <t>N/A</t>
  </si>
  <si>
    <t>Year 1 (FY2025P) Fiscal Year End</t>
  </si>
  <si>
    <t>Total Days in FY2025P</t>
  </si>
  <si>
    <t>% Year-to-Go (FY2025P Stub)</t>
  </si>
  <si>
    <t>FY2025P Intangible Amortization</t>
  </si>
  <si>
    <t>FY2026P Intangible Amortization</t>
  </si>
  <si>
    <t>FY2027P Intangible Amortization</t>
  </si>
  <si>
    <t>FY2028P Intangible Amortization</t>
  </si>
  <si>
    <t>FY2029P Intangible Amortization</t>
  </si>
  <si>
    <t>Gross Bookings Growth (%)</t>
  </si>
  <si>
    <t>FY2030P - FY2035P Intangible Amortization (Spread Evenly Across FY2030P - FY2035P)</t>
  </si>
  <si>
    <t>Change in Net Working Capital (NWC)</t>
  </si>
  <si>
    <t>Footnotes:</t>
  </si>
  <si>
    <t>• Take Rate = Revenue ÷ Gross Bookings</t>
  </si>
  <si>
    <t>• CapEx occurs on December 31st of each year (e.g., FY2025P CapEx occurs on 12/31/2025)</t>
  </si>
  <si>
    <t>CapEx (% of Aggregate Gross Bookings)</t>
  </si>
  <si>
    <t>Δ NWC (% of Y/Y change in Aggregate Gross Bookings)</t>
  </si>
  <si>
    <t>SBC (% of Aggregate Gross Bookings)</t>
  </si>
  <si>
    <t xml:space="preserve">FY2026P - FY2035P Annual Change in Gross Bookings Growth Rate (Percentage Points) </t>
  </si>
  <si>
    <t xml:space="preserve">FY2025P - FY2035P Annual Change in Take Rate (Percentage Points) </t>
  </si>
  <si>
    <t xml:space="preserve">FY2025P - FY2035P Annual Change in Adjusted EBITDA Margin (Percentage Points) </t>
  </si>
  <si>
    <t>• Fiscal year-end: December 31</t>
  </si>
  <si>
    <t>FY2025P - FY2035P Corporate Overhead Annual Growth Rate (%)</t>
  </si>
  <si>
    <t>Corporate Overhead Annual Growth (%)</t>
  </si>
  <si>
    <t>Corporate Overhead</t>
  </si>
  <si>
    <t>Take Rate (% of Bookings)</t>
  </si>
  <si>
    <t>Adj. EBITDA Margin</t>
  </si>
  <si>
    <t>Pre-FY2025P</t>
  </si>
  <si>
    <t>Net Property &amp; Equipment (Net PP&amp;E) Balance, 12/31/2024</t>
  </si>
  <si>
    <t>CapEx (Additions)</t>
  </si>
  <si>
    <t>• D&amp;A computed on a straight-line basis</t>
  </si>
  <si>
    <t>Total D&amp;A</t>
  </si>
  <si>
    <t>Ending Net PP&amp;E</t>
  </si>
  <si>
    <t>Net Carrying Value of Intangibles, 12/31/2024</t>
  </si>
  <si>
    <t>Intangibles — Net Carrying Value</t>
  </si>
  <si>
    <t>Exit Multiple (x FY2035P Adjusted EBITDA)</t>
  </si>
  <si>
    <t>Annual Growth (%)</t>
  </si>
  <si>
    <t>Aggregate Gross Bookings Annual Growth</t>
  </si>
  <si>
    <t>Weighted-Avg Useful Life of CapEx (Years)</t>
  </si>
  <si>
    <t>Vintage</t>
  </si>
  <si>
    <t>Enterprise Value / FY2025P EBITDA</t>
  </si>
  <si>
    <t>Conversion (% of Adjusted EBITDA)</t>
  </si>
  <si>
    <t>Uber Technologies (FYE 12/31)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</si>
</sst>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(\$* #,##0_);_(\$* \(#,##0\);_(\$* \-_);_(@_)"/>
    <numFmt numFmtId="165" formatCode="_(* #,##0_);_(* \(#,##0\);_(* &quot;-&quot;??_);_(@_)"/>
    <numFmt numFmtId="167" formatCode="_(* #,##0.00000_);_(* \(#,##0.00000\);_(* &quot;-&quot;??_);_(@_)"/>
    <numFmt numFmtId="168" formatCode="_(* #,##0.000_);_(* \(#,##0.000\);_(* &quot;-&quot;??_);_(@_)"/>
    <numFmt numFmtId="170" formatCode="_(* #,##0.0_);_(* \(#,##0.0\);_(* &quot;-&quot;??_);_(@_)"/>
    <numFmt numFmtId="171" formatCode="_(* #,##0.00_)%;_(* \(#,##0.00\)%;_(* &quot;-&quot;?_)%;_(@_)"/>
    <numFmt numFmtId="174" formatCode="0%;\(0%\)"/>
    <numFmt numFmtId="175" formatCode="0.0;\(0.0\)"/>
    <numFmt numFmtId="176" formatCode="0.0%;\(0.0%\)"/>
    <numFmt numFmtId="177" formatCode="0.00000;\(0.00000\)"/>
    <numFmt numFmtId="178" formatCode="0.0\x;\(0.0\x\)"/>
    <numFmt numFmtId="179" formatCode="0.00;\(0.00\)"/>
  </numFmts>
  <fonts count="28" x14ac:knownFonts="1">
    <font>
      <sz val="11"/>
      <color indexed="8"/>
      <name val="Calibri"/>
      <family val="2"/>
      <charset val="1"/>
    </font>
    <font>
      <sz val="10"/>
      <color indexed="8"/>
      <name val="Calibri"/>
      <family val="2"/>
    </font>
    <font>
      <sz val="10"/>
      <name val="Calibri"/>
      <family val="2"/>
    </font>
    <font>
      <b/>
      <sz val="10"/>
      <color indexed="8"/>
      <name val="Calibri"/>
      <family val="2"/>
    </font>
    <font>
      <b/>
      <sz val="10"/>
      <color rgb="FF000000"/>
      <name val="Calibri"/>
      <family val="2"/>
    </font>
    <font>
      <sz val="10"/>
      <color theme="0" tint="-0.499984740745262"/>
      <name val="Calibri"/>
      <family val="2"/>
    </font>
    <font>
      <sz val="11"/>
      <color theme="0" tint="-0.499984740745262"/>
      <name val="Calibri"/>
      <family val="2"/>
    </font>
    <font>
      <sz val="11"/>
      <color indexed="8"/>
      <name val="Calibri"/>
      <family val="2"/>
    </font>
    <font>
      <u val="singleAccounting"/>
      <sz val="11"/>
      <color theme="0"/>
      <name val="Calibri"/>
      <family val="2"/>
    </font>
    <font>
      <u val="singleAccounting"/>
      <sz val="11"/>
      <color indexed="8"/>
      <name val="Calibri"/>
      <family val="2"/>
    </font>
    <font>
      <sz val="11"/>
      <color rgb="FF0000FF"/>
      <name val="Calibri"/>
      <family val="2"/>
    </font>
    <font>
      <u val="singleAccounting"/>
      <sz val="11"/>
      <color rgb="FF002060"/>
      <name val="Calibri"/>
      <family val="2"/>
    </font>
    <font>
      <u val="singleAccounting"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i/>
      <sz val="11"/>
      <color theme="0"/>
      <name val="Calibri"/>
      <family val="2"/>
    </font>
    <font>
      <sz val="11"/>
      <color rgb="FF008000"/>
      <name val="Calibri"/>
      <family val="2"/>
    </font>
    <font>
      <i/>
      <sz val="11"/>
      <color indexed="8"/>
      <name val="Calibri"/>
      <family val="2"/>
    </font>
    <font>
      <sz val="11"/>
      <color rgb="FF7030A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i/>
      <sz val="9"/>
      <color rgb="FF000000"/>
      <name val="Calibri"/>
      <family val="2"/>
    </font>
    <font>
      <u val="singleAccounting"/>
      <sz val="11"/>
      <color rgb="FFFFFFFF"/>
      <name val="Calibri"/>
      <family val="2"/>
    </font>
    <font>
      <u val="singleAccounting"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u/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2" fillId="0" borderId="0" applyFill="0" applyBorder="0" applyAlignment="0" applyProtection="0"/>
    <xf numFmtId="9" fontId="2" fillId="0" borderId="0" applyFill="0" applyBorder="0" applyAlignment="0" applyProtection="0"/>
  </cellStyleXfs>
  <cellXfs count="14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centerContinuous"/>
    </xf>
    <xf numFmtId="0" fontId="9" fillId="0" borderId="0" xfId="0" applyFont="1" applyAlignment="1">
      <alignment horizontal="centerContinuous"/>
    </xf>
    <xf numFmtId="171" fontId="10" fillId="0" borderId="0" xfId="2" applyNumberFormat="1" applyFont="1" applyFill="1"/>
    <xf numFmtId="0" fontId="7" fillId="0" borderId="0" xfId="0" applyFont="1" applyAlignment="1">
      <alignment vertical="center"/>
    </xf>
    <xf numFmtId="0" fontId="11" fillId="0" borderId="0" xfId="0" applyFont="1" applyAlignment="1">
      <alignment horizontal="centerContinuous"/>
    </xf>
    <xf numFmtId="0" fontId="12" fillId="0" borderId="0" xfId="0" applyFont="1" applyAlignment="1">
      <alignment horizontal="left"/>
    </xf>
    <xf numFmtId="0" fontId="13" fillId="0" borderId="0" xfId="0" applyFont="1"/>
    <xf numFmtId="171" fontId="10" fillId="5" borderId="0" xfId="2" applyNumberFormat="1" applyFont="1" applyFill="1"/>
    <xf numFmtId="171" fontId="10" fillId="5" borderId="0" xfId="2" applyNumberFormat="1" applyFont="1" applyFill="1" applyBorder="1"/>
    <xf numFmtId="170" fontId="10" fillId="5" borderId="0" xfId="1" applyNumberFormat="1" applyFont="1" applyFill="1"/>
    <xf numFmtId="164" fontId="10" fillId="5" borderId="0" xfId="0" applyNumberFormat="1" applyFont="1" applyFill="1" applyAlignment="1">
      <alignment vertical="center"/>
    </xf>
    <xf numFmtId="14" fontId="14" fillId="0" borderId="0" xfId="0" applyNumberFormat="1" applyFont="1"/>
    <xf numFmtId="0" fontId="15" fillId="2" borderId="0" xfId="0" applyFont="1" applyFill="1" applyAlignment="1">
      <alignment horizontal="left"/>
    </xf>
    <xf numFmtId="0" fontId="7" fillId="0" borderId="5" xfId="0" applyFont="1" applyBorder="1"/>
    <xf numFmtId="0" fontId="7" fillId="0" borderId="1" xfId="0" applyFont="1" applyBorder="1"/>
    <xf numFmtId="176" fontId="14" fillId="0" borderId="0" xfId="2" applyNumberFormat="1" applyFont="1" applyFill="1" applyBorder="1" applyAlignment="1">
      <alignment horizontal="right" vertical="center"/>
    </xf>
    <xf numFmtId="174" fontId="14" fillId="0" borderId="1" xfId="2" applyNumberFormat="1" applyFont="1" applyBorder="1"/>
    <xf numFmtId="0" fontId="17" fillId="0" borderId="0" xfId="0" applyFont="1" applyAlignment="1">
      <alignment horizontal="left" indent="1"/>
    </xf>
    <xf numFmtId="176" fontId="14" fillId="0" borderId="0" xfId="2" applyNumberFormat="1" applyFont="1"/>
    <xf numFmtId="176" fontId="14" fillId="0" borderId="0" xfId="2" applyNumberFormat="1" applyFont="1" applyBorder="1"/>
    <xf numFmtId="164" fontId="16" fillId="0" borderId="0" xfId="0" applyNumberFormat="1" applyFont="1" applyAlignment="1">
      <alignment vertical="center"/>
    </xf>
    <xf numFmtId="164" fontId="18" fillId="0" borderId="0" xfId="0" applyNumberFormat="1" applyFont="1" applyAlignment="1">
      <alignment vertical="center"/>
    </xf>
    <xf numFmtId="0" fontId="7" fillId="0" borderId="1" xfId="0" applyFont="1" applyBorder="1" applyAlignment="1">
      <alignment vertical="center"/>
    </xf>
    <xf numFmtId="167" fontId="14" fillId="0" borderId="0" xfId="1" applyNumberFormat="1" applyFont="1"/>
    <xf numFmtId="165" fontId="7" fillId="0" borderId="0" xfId="0" applyNumberFormat="1" applyFont="1"/>
    <xf numFmtId="165" fontId="7" fillId="0" borderId="5" xfId="0" applyNumberFormat="1" applyFont="1" applyBorder="1"/>
    <xf numFmtId="179" fontId="14" fillId="0" borderId="0" xfId="0" applyNumberFormat="1" applyFont="1"/>
    <xf numFmtId="177" fontId="14" fillId="0" borderId="0" xfId="0" applyNumberFormat="1" applyFont="1"/>
    <xf numFmtId="168" fontId="14" fillId="0" borderId="0" xfId="1" applyNumberFormat="1" applyFont="1"/>
    <xf numFmtId="0" fontId="7" fillId="0" borderId="4" xfId="0" applyFont="1" applyBorder="1"/>
    <xf numFmtId="43" fontId="7" fillId="0" borderId="0" xfId="0" applyNumberFormat="1" applyFont="1"/>
    <xf numFmtId="0" fontId="20" fillId="0" borderId="0" xfId="0" applyFont="1"/>
    <xf numFmtId="0" fontId="20" fillId="0" borderId="0" xfId="0" applyFont="1" applyAlignment="1">
      <alignment vertical="center"/>
    </xf>
    <xf numFmtId="175" fontId="16" fillId="4" borderId="8" xfId="0" applyNumberFormat="1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164" fontId="16" fillId="4" borderId="8" xfId="0" applyNumberFormat="1" applyFont="1" applyFill="1" applyBorder="1" applyAlignment="1">
      <alignment vertical="center"/>
    </xf>
    <xf numFmtId="164" fontId="7" fillId="0" borderId="0" xfId="0" applyNumberFormat="1" applyFont="1" applyAlignment="1">
      <alignment vertical="center"/>
    </xf>
    <xf numFmtId="0" fontId="8" fillId="0" borderId="0" xfId="0" applyFont="1" applyAlignment="1">
      <alignment horizontal="center"/>
    </xf>
    <xf numFmtId="0" fontId="21" fillId="0" borderId="0" xfId="0" applyFont="1"/>
    <xf numFmtId="0" fontId="22" fillId="2" borderId="0" xfId="0" applyFont="1" applyFill="1" applyAlignment="1">
      <alignment horizontal="centerContinuous"/>
    </xf>
    <xf numFmtId="0" fontId="23" fillId="0" borderId="0" xfId="0" applyFont="1" applyAlignment="1">
      <alignment horizontal="left"/>
    </xf>
    <xf numFmtId="0" fontId="24" fillId="0" borderId="0" xfId="0" applyFont="1"/>
    <xf numFmtId="0" fontId="24" fillId="0" borderId="0" xfId="0" applyFont="1" applyAlignment="1">
      <alignment vertical="center"/>
    </xf>
    <xf numFmtId="0" fontId="22" fillId="2" borderId="5" xfId="0" applyFont="1" applyFill="1" applyBorder="1" applyAlignment="1">
      <alignment horizontal="centerContinuous"/>
    </xf>
    <xf numFmtId="0" fontId="25" fillId="2" borderId="0" xfId="0" applyFont="1" applyFill="1" applyAlignment="1">
      <alignment horizontal="center"/>
    </xf>
    <xf numFmtId="0" fontId="22" fillId="2" borderId="0" xfId="0" applyFont="1" applyFill="1" applyAlignment="1">
      <alignment horizontal="left"/>
    </xf>
    <xf numFmtId="0" fontId="22" fillId="2" borderId="0" xfId="0" applyFont="1" applyFill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26" fillId="0" borderId="0" xfId="0" applyFont="1"/>
    <xf numFmtId="176" fontId="24" fillId="4" borderId="0" xfId="2" applyNumberFormat="1" applyFont="1" applyFill="1" applyBorder="1" applyAlignment="1">
      <alignment horizontal="right" vertical="center"/>
    </xf>
    <xf numFmtId="164" fontId="24" fillId="4" borderId="5" xfId="0" applyNumberFormat="1" applyFont="1" applyFill="1" applyBorder="1"/>
    <xf numFmtId="164" fontId="24" fillId="4" borderId="0" xfId="0" applyNumberFormat="1" applyFont="1" applyFill="1"/>
    <xf numFmtId="0" fontId="27" fillId="0" borderId="0" xfId="0" applyFont="1" applyAlignment="1">
      <alignment horizontal="left" indent="1"/>
    </xf>
    <xf numFmtId="176" fontId="24" fillId="4" borderId="0" xfId="2" applyNumberFormat="1" applyFont="1" applyFill="1"/>
    <xf numFmtId="176" fontId="24" fillId="4" borderId="0" xfId="2" applyNumberFormat="1" applyFont="1" applyFill="1" applyBorder="1" applyAlignment="1">
      <alignment vertical="center"/>
    </xf>
    <xf numFmtId="176" fontId="24" fillId="4" borderId="5" xfId="2" applyNumberFormat="1" applyFont="1" applyFill="1" applyBorder="1" applyAlignment="1">
      <alignment horizontal="right" vertical="center"/>
    </xf>
    <xf numFmtId="176" fontId="24" fillId="4" borderId="0" xfId="2" applyNumberFormat="1" applyFont="1" applyFill="1" applyBorder="1"/>
    <xf numFmtId="179" fontId="24" fillId="4" borderId="5" xfId="0" applyNumberFormat="1" applyFont="1" applyFill="1" applyBorder="1"/>
    <xf numFmtId="179" fontId="24" fillId="4" borderId="0" xfId="0" applyNumberFormat="1" applyFont="1" applyFill="1"/>
    <xf numFmtId="179" fontId="24" fillId="4" borderId="1" xfId="0" applyNumberFormat="1" applyFont="1" applyFill="1" applyBorder="1"/>
    <xf numFmtId="168" fontId="24" fillId="4" borderId="5" xfId="1" applyNumberFormat="1" applyFont="1" applyFill="1" applyBorder="1"/>
    <xf numFmtId="168" fontId="24" fillId="4" borderId="0" xfId="1" applyNumberFormat="1" applyFont="1" applyFill="1"/>
    <xf numFmtId="168" fontId="24" fillId="4" borderId="1" xfId="1" applyNumberFormat="1" applyFont="1" applyFill="1" applyBorder="1"/>
    <xf numFmtId="0" fontId="24" fillId="0" borderId="4" xfId="0" applyFont="1" applyBorder="1"/>
    <xf numFmtId="0" fontId="24" fillId="3" borderId="0" xfId="0" applyFont="1" applyFill="1" applyAlignment="1">
      <alignment horizontal="right"/>
    </xf>
    <xf numFmtId="14" fontId="24" fillId="3" borderId="0" xfId="0" applyNumberFormat="1" applyFont="1" applyFill="1"/>
    <xf numFmtId="165" fontId="24" fillId="3" borderId="0" xfId="1" applyNumberFormat="1" applyFont="1" applyFill="1"/>
    <xf numFmtId="174" fontId="24" fillId="3" borderId="0" xfId="2" applyNumberFormat="1" applyFont="1" applyFill="1" applyBorder="1"/>
    <xf numFmtId="0" fontId="23" fillId="0" borderId="0" xfId="0" applyFont="1" applyAlignment="1">
      <alignment horizontal="centerContinuous"/>
    </xf>
    <xf numFmtId="164" fontId="24" fillId="0" borderId="0" xfId="0" applyNumberFormat="1" applyFont="1"/>
    <xf numFmtId="176" fontId="24" fillId="3" borderId="4" xfId="0" applyNumberFormat="1" applyFont="1" applyFill="1" applyBorder="1" applyAlignment="1">
      <alignment horizontal="center"/>
    </xf>
    <xf numFmtId="178" fontId="24" fillId="3" borderId="1" xfId="0" applyNumberFormat="1" applyFont="1" applyFill="1" applyBorder="1"/>
    <xf numFmtId="176" fontId="24" fillId="3" borderId="1" xfId="0" applyNumberFormat="1" applyFont="1" applyFill="1" applyBorder="1" applyAlignment="1">
      <alignment horizontal="center"/>
    </xf>
    <xf numFmtId="0" fontId="25" fillId="2" borderId="0" xfId="0" applyFont="1" applyFill="1" applyAlignment="1">
      <alignment vertical="center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left" vertical="center"/>
    </xf>
    <xf numFmtId="164" fontId="24" fillId="4" borderId="15" xfId="0" applyNumberFormat="1" applyFont="1" applyFill="1" applyBorder="1"/>
    <xf numFmtId="164" fontId="24" fillId="4" borderId="21" xfId="0" applyNumberFormat="1" applyFont="1" applyFill="1" applyBorder="1"/>
    <xf numFmtId="164" fontId="24" fillId="4" borderId="4" xfId="0" applyNumberFormat="1" applyFont="1" applyFill="1" applyBorder="1"/>
    <xf numFmtId="164" fontId="24" fillId="4" borderId="16" xfId="0" applyNumberFormat="1" applyFont="1" applyFill="1" applyBorder="1"/>
    <xf numFmtId="164" fontId="10" fillId="0" borderId="0" xfId="0" applyNumberFormat="1" applyFont="1" applyAlignment="1">
      <alignment vertical="center"/>
    </xf>
    <xf numFmtId="0" fontId="7" fillId="0" borderId="2" xfId="0" applyFont="1" applyBorder="1" applyAlignment="1">
      <alignment vertical="center"/>
    </xf>
    <xf numFmtId="176" fontId="14" fillId="0" borderId="2" xfId="2" applyNumberFormat="1" applyFont="1" applyBorder="1" applyAlignment="1">
      <alignment horizontal="right" vertical="center"/>
    </xf>
    <xf numFmtId="164" fontId="14" fillId="0" borderId="2" xfId="0" applyNumberFormat="1" applyFont="1" applyBorder="1" applyAlignment="1">
      <alignment vertical="center"/>
    </xf>
    <xf numFmtId="0" fontId="7" fillId="0" borderId="7" xfId="0" applyFont="1" applyBorder="1" applyAlignment="1">
      <alignment vertical="center"/>
    </xf>
    <xf numFmtId="164" fontId="14" fillId="0" borderId="7" xfId="0" applyNumberFormat="1" applyFont="1" applyBorder="1" applyAlignment="1">
      <alignment vertical="center"/>
    </xf>
    <xf numFmtId="164" fontId="7" fillId="0" borderId="2" xfId="0" applyNumberFormat="1" applyFont="1" applyBorder="1" applyAlignment="1">
      <alignment vertical="center"/>
    </xf>
    <xf numFmtId="176" fontId="10" fillId="0" borderId="0" xfId="0" applyNumberFormat="1" applyFont="1"/>
    <xf numFmtId="178" fontId="10" fillId="0" borderId="0" xfId="0" applyNumberFormat="1" applyFont="1"/>
    <xf numFmtId="176" fontId="10" fillId="0" borderId="4" xfId="0" applyNumberFormat="1" applyFont="1" applyBorder="1" applyAlignment="1">
      <alignment horizontal="center"/>
    </xf>
    <xf numFmtId="178" fontId="10" fillId="0" borderId="1" xfId="0" applyNumberFormat="1" applyFont="1" applyBorder="1"/>
    <xf numFmtId="176" fontId="10" fillId="0" borderId="1" xfId="0" applyNumberFormat="1" applyFont="1" applyBorder="1" applyAlignment="1">
      <alignment horizontal="center"/>
    </xf>
    <xf numFmtId="164" fontId="7" fillId="0" borderId="7" xfId="0" applyNumberFormat="1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176" fontId="24" fillId="0" borderId="2" xfId="2" applyNumberFormat="1" applyFont="1" applyBorder="1" applyAlignment="1">
      <alignment horizontal="right" vertical="center"/>
    </xf>
    <xf numFmtId="164" fontId="24" fillId="0" borderId="2" xfId="0" applyNumberFormat="1" applyFont="1" applyBorder="1" applyAlignment="1">
      <alignment vertical="center"/>
    </xf>
    <xf numFmtId="164" fontId="24" fillId="0" borderId="6" xfId="0" applyNumberFormat="1" applyFont="1" applyBorder="1" applyAlignment="1">
      <alignment vertical="center"/>
    </xf>
    <xf numFmtId="164" fontId="24" fillId="0" borderId="3" xfId="0" applyNumberFormat="1" applyFont="1" applyBorder="1" applyAlignment="1">
      <alignment vertical="center"/>
    </xf>
    <xf numFmtId="176" fontId="24" fillId="0" borderId="2" xfId="2" applyNumberFormat="1" applyFont="1" applyBorder="1" applyAlignment="1">
      <alignment vertical="center"/>
    </xf>
    <xf numFmtId="0" fontId="24" fillId="0" borderId="7" xfId="0" applyFont="1" applyBorder="1" applyAlignment="1">
      <alignment vertical="center"/>
    </xf>
    <xf numFmtId="164" fontId="24" fillId="0" borderId="22" xfId="0" applyNumberFormat="1" applyFont="1" applyBorder="1" applyAlignment="1">
      <alignment vertical="center"/>
    </xf>
    <xf numFmtId="164" fontId="24" fillId="0" borderId="7" xfId="0" applyNumberFormat="1" applyFont="1" applyBorder="1" applyAlignment="1">
      <alignment vertical="center"/>
    </xf>
    <xf numFmtId="164" fontId="24" fillId="0" borderId="23" xfId="0" applyNumberFormat="1" applyFont="1" applyBorder="1" applyAlignment="1">
      <alignment vertical="center"/>
    </xf>
    <xf numFmtId="176" fontId="16" fillId="0" borderId="5" xfId="2" applyNumberFormat="1" applyFont="1" applyBorder="1" applyAlignment="1">
      <alignment horizontal="right" vertical="center"/>
    </xf>
    <xf numFmtId="176" fontId="16" fillId="0" borderId="0" xfId="2" applyNumberFormat="1" applyFont="1" applyBorder="1" applyAlignment="1">
      <alignment horizontal="right" vertical="center"/>
    </xf>
    <xf numFmtId="176" fontId="24" fillId="0" borderId="6" xfId="2" applyNumberFormat="1" applyFont="1" applyBorder="1" applyAlignment="1">
      <alignment horizontal="right" vertical="center"/>
    </xf>
    <xf numFmtId="164" fontId="24" fillId="0" borderId="5" xfId="0" applyNumberFormat="1" applyFont="1" applyBorder="1"/>
    <xf numFmtId="176" fontId="24" fillId="0" borderId="5" xfId="2" applyNumberFormat="1" applyFont="1" applyBorder="1"/>
    <xf numFmtId="176" fontId="24" fillId="0" borderId="0" xfId="2" applyNumberFormat="1" applyFont="1"/>
    <xf numFmtId="176" fontId="24" fillId="0" borderId="0" xfId="0" applyNumberFormat="1" applyFont="1"/>
    <xf numFmtId="176" fontId="16" fillId="0" borderId="5" xfId="2" applyNumberFormat="1" applyFont="1" applyBorder="1"/>
    <xf numFmtId="176" fontId="16" fillId="0" borderId="0" xfId="2" applyNumberFormat="1" applyFont="1"/>
    <xf numFmtId="176" fontId="24" fillId="0" borderId="6" xfId="2" applyNumberFormat="1" applyFont="1" applyBorder="1" applyAlignment="1">
      <alignment vertical="center"/>
    </xf>
    <xf numFmtId="176" fontId="16" fillId="0" borderId="5" xfId="0" applyNumberFormat="1" applyFont="1" applyBorder="1"/>
    <xf numFmtId="176" fontId="16" fillId="0" borderId="0" xfId="0" applyNumberFormat="1" applyFont="1"/>
    <xf numFmtId="164" fontId="24" fillId="0" borderId="5" xfId="0" applyNumberFormat="1" applyFont="1" applyBorder="1" applyAlignment="1">
      <alignment vertical="center"/>
    </xf>
    <xf numFmtId="164" fontId="24" fillId="0" borderId="0" xfId="0" applyNumberFormat="1" applyFont="1" applyAlignment="1">
      <alignment vertical="center"/>
    </xf>
    <xf numFmtId="164" fontId="16" fillId="0" borderId="5" xfId="0" applyNumberFormat="1" applyFont="1" applyBorder="1" applyAlignment="1">
      <alignment vertical="center"/>
    </xf>
    <xf numFmtId="176" fontId="24" fillId="0" borderId="0" xfId="2" applyNumberFormat="1" applyFont="1" applyBorder="1"/>
    <xf numFmtId="178" fontId="27" fillId="0" borderId="0" xfId="0" applyNumberFormat="1" applyFont="1"/>
    <xf numFmtId="164" fontId="24" fillId="0" borderId="12" xfId="0" applyNumberFormat="1" applyFont="1" applyBorder="1" applyAlignment="1">
      <alignment vertical="center"/>
    </xf>
    <xf numFmtId="164" fontId="24" fillId="0" borderId="13" xfId="0" applyNumberFormat="1" applyFont="1" applyBorder="1" applyAlignment="1">
      <alignment vertical="center"/>
    </xf>
    <xf numFmtId="164" fontId="24" fillId="0" borderId="14" xfId="0" applyNumberFormat="1" applyFont="1" applyBorder="1" applyAlignment="1">
      <alignment vertical="center"/>
    </xf>
    <xf numFmtId="164" fontId="16" fillId="0" borderId="11" xfId="0" applyNumberFormat="1" applyFont="1" applyBorder="1" applyAlignment="1">
      <alignment vertical="center"/>
    </xf>
    <xf numFmtId="164" fontId="24" fillId="0" borderId="17" xfId="0" applyNumberFormat="1" applyFont="1" applyBorder="1" applyAlignment="1">
      <alignment vertical="center"/>
    </xf>
    <xf numFmtId="164" fontId="24" fillId="0" borderId="15" xfId="0" applyNumberFormat="1" applyFont="1" applyBorder="1" applyAlignment="1">
      <alignment vertical="center"/>
    </xf>
    <xf numFmtId="164" fontId="10" fillId="0" borderId="9" xfId="0" applyNumberFormat="1" applyFont="1" applyBorder="1" applyAlignment="1">
      <alignment vertical="center"/>
    </xf>
    <xf numFmtId="164" fontId="10" fillId="0" borderId="10" xfId="0" applyNumberFormat="1" applyFont="1" applyBorder="1" applyAlignment="1">
      <alignment vertical="center"/>
    </xf>
    <xf numFmtId="164" fontId="24" fillId="0" borderId="10" xfId="0" applyNumberFormat="1" applyFont="1" applyBorder="1" applyAlignment="1">
      <alignment vertical="center"/>
    </xf>
    <xf numFmtId="164" fontId="24" fillId="0" borderId="18" xfId="0" applyNumberFormat="1" applyFont="1" applyBorder="1" applyAlignment="1">
      <alignment vertical="center"/>
    </xf>
    <xf numFmtId="164" fontId="24" fillId="0" borderId="19" xfId="0" applyNumberFormat="1" applyFont="1" applyBorder="1" applyAlignment="1">
      <alignment vertical="center"/>
    </xf>
    <xf numFmtId="164" fontId="24" fillId="0" borderId="20" xfId="0" applyNumberFormat="1" applyFont="1" applyBorder="1" applyAlignment="1">
      <alignment vertical="center"/>
    </xf>
    <xf numFmtId="164" fontId="16" fillId="0" borderId="2" xfId="0" applyNumberFormat="1" applyFont="1" applyBorder="1" applyAlignment="1">
      <alignment vertical="center"/>
    </xf>
    <xf numFmtId="164" fontId="10" fillId="0" borderId="2" xfId="0" applyNumberFormat="1" applyFont="1" applyBorder="1" applyAlignment="1">
      <alignment vertical="center"/>
    </xf>
    <xf numFmtId="0" fontId="24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CC"/>
      <color rgb="FFF2F2F2"/>
      <color rgb="FF008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A5D1-5CD1-483D-A313-11F39602D2CB}">
  <sheetPr>
    <tabColor rgb="FF1F3864"/>
  </sheetPr>
  <dimension ref="A1:D56"/>
  <sheetViews>
    <sheetView showGridLines="0" tabSelected="1" workbookViewId="0"/>
  </sheetViews>
  <sheetFormatPr defaultColWidth="9.109375" defaultRowHeight="13.8" x14ac:dyDescent="0.3"/>
  <cols>
    <col min="1" max="1" width="2.6640625" style="5" customWidth="1"/>
    <col min="2" max="2" width="82.33203125" style="1" bestFit="1" customWidth="1"/>
    <col min="3" max="3" width="10.6640625" style="1" customWidth="1"/>
    <col min="4" max="16384" width="9.109375" style="1"/>
  </cols>
  <sheetData>
    <row r="1" spans="1:4" ht="14.4" x14ac:dyDescent="0.3">
      <c r="A1" s="6"/>
      <c r="B1" s="46" t="s">
        <v>3</v>
      </c>
      <c r="C1" s="7"/>
      <c r="D1" s="7"/>
    </row>
    <row r="2" spans="1:4" ht="8.1" customHeight="1" x14ac:dyDescent="0.3">
      <c r="A2" s="6"/>
      <c r="B2" s="7"/>
      <c r="C2" s="7"/>
      <c r="D2" s="7"/>
    </row>
    <row r="3" spans="1:4" ht="16.2" x14ac:dyDescent="0.45">
      <c r="A3" s="6"/>
      <c r="B3" s="47" t="s">
        <v>52</v>
      </c>
      <c r="C3" s="8"/>
      <c r="D3" s="7"/>
    </row>
    <row r="4" spans="1:4" ht="8.1" customHeight="1" x14ac:dyDescent="0.45">
      <c r="A4" s="6"/>
      <c r="B4" s="12"/>
      <c r="C4" s="9"/>
      <c r="D4" s="7"/>
    </row>
    <row r="5" spans="1:4" ht="16.2" x14ac:dyDescent="0.45">
      <c r="A5" s="6"/>
      <c r="B5" s="48" t="s">
        <v>51</v>
      </c>
      <c r="C5" s="13"/>
      <c r="D5" s="7"/>
    </row>
    <row r="6" spans="1:4" ht="14.4" x14ac:dyDescent="0.3">
      <c r="A6" s="6"/>
      <c r="B6" s="49" t="s">
        <v>35</v>
      </c>
      <c r="C6" s="15">
        <v>0.168179</v>
      </c>
      <c r="D6" s="7"/>
    </row>
    <row r="7" spans="1:4" ht="14.4" x14ac:dyDescent="0.3">
      <c r="A7" s="6"/>
      <c r="B7" s="49" t="s">
        <v>36</v>
      </c>
      <c r="C7" s="15">
        <v>0.158327</v>
      </c>
      <c r="D7" s="7"/>
    </row>
    <row r="8" spans="1:4" ht="14.4" x14ac:dyDescent="0.3">
      <c r="A8" s="6"/>
      <c r="B8" s="49" t="s">
        <v>37</v>
      </c>
      <c r="C8" s="15">
        <v>1.7205000000000002E-2</v>
      </c>
      <c r="D8" s="7"/>
    </row>
    <row r="9" spans="1:4" ht="14.4" x14ac:dyDescent="0.3">
      <c r="A9" s="6"/>
      <c r="B9" s="7"/>
      <c r="C9" s="10"/>
      <c r="D9" s="7"/>
    </row>
    <row r="10" spans="1:4" ht="16.2" x14ac:dyDescent="0.45">
      <c r="A10" s="6"/>
      <c r="B10" s="48" t="s">
        <v>86</v>
      </c>
      <c r="C10" s="10"/>
      <c r="D10" s="7"/>
    </row>
    <row r="11" spans="1:4" ht="14.4" x14ac:dyDescent="0.3">
      <c r="A11" s="6"/>
      <c r="B11" s="49" t="s">
        <v>35</v>
      </c>
      <c r="C11" s="15">
        <v>-9.1070000000000005E-3</v>
      </c>
      <c r="D11" s="7"/>
    </row>
    <row r="12" spans="1:4" ht="14.4" x14ac:dyDescent="0.3">
      <c r="A12" s="6"/>
      <c r="B12" s="49" t="s">
        <v>36</v>
      </c>
      <c r="C12" s="15">
        <v>-1.0721E-2</v>
      </c>
      <c r="D12" s="7"/>
    </row>
    <row r="13" spans="1:4" ht="14.4" x14ac:dyDescent="0.3">
      <c r="A13" s="6"/>
      <c r="B13" s="49" t="s">
        <v>37</v>
      </c>
      <c r="C13" s="15">
        <v>-9.3400000000000004E-4</v>
      </c>
      <c r="D13" s="7"/>
    </row>
    <row r="14" spans="1:4" ht="14.4" x14ac:dyDescent="0.3">
      <c r="A14" s="6"/>
      <c r="B14" s="7"/>
      <c r="C14" s="7"/>
      <c r="D14" s="7"/>
    </row>
    <row r="15" spans="1:4" ht="16.2" x14ac:dyDescent="0.45">
      <c r="A15" s="6"/>
      <c r="B15" s="48" t="s">
        <v>87</v>
      </c>
      <c r="C15" s="10"/>
      <c r="D15" s="7"/>
    </row>
    <row r="16" spans="1:4" ht="14.4" x14ac:dyDescent="0.3">
      <c r="A16" s="6"/>
      <c r="B16" s="49" t="s">
        <v>35</v>
      </c>
      <c r="C16" s="16">
        <v>5.3629999999999997E-3</v>
      </c>
      <c r="D16" s="7"/>
    </row>
    <row r="17" spans="1:4" ht="14.4" x14ac:dyDescent="0.3">
      <c r="A17" s="6"/>
      <c r="B17" s="49" t="s">
        <v>36</v>
      </c>
      <c r="C17" s="16">
        <v>-2.5730000000000002E-3</v>
      </c>
      <c r="D17" s="7"/>
    </row>
    <row r="18" spans="1:4" ht="14.4" x14ac:dyDescent="0.3">
      <c r="A18" s="6"/>
      <c r="B18" s="49" t="s">
        <v>37</v>
      </c>
      <c r="C18" s="16">
        <v>0</v>
      </c>
      <c r="D18" s="7"/>
    </row>
    <row r="19" spans="1:4" ht="14.4" x14ac:dyDescent="0.3">
      <c r="A19" s="6"/>
      <c r="B19" s="7"/>
      <c r="C19" s="7"/>
      <c r="D19" s="7"/>
    </row>
    <row r="20" spans="1:4" ht="16.2" x14ac:dyDescent="0.45">
      <c r="A20" s="6"/>
      <c r="B20" s="48" t="s">
        <v>88</v>
      </c>
      <c r="C20" s="10"/>
      <c r="D20" s="7"/>
    </row>
    <row r="21" spans="1:4" ht="14.4" x14ac:dyDescent="0.3">
      <c r="A21" s="6"/>
      <c r="B21" s="49" t="s">
        <v>35</v>
      </c>
      <c r="C21" s="15">
        <v>2.8050000000000002E-3</v>
      </c>
      <c r="D21" s="7"/>
    </row>
    <row r="22" spans="1:4" ht="14.4" x14ac:dyDescent="0.3">
      <c r="A22" s="6"/>
      <c r="B22" s="49" t="s">
        <v>36</v>
      </c>
      <c r="C22" s="15">
        <v>1.1659999999999999E-3</v>
      </c>
      <c r="D22" s="7"/>
    </row>
    <row r="23" spans="1:4" ht="14.4" x14ac:dyDescent="0.3">
      <c r="A23" s="6"/>
      <c r="B23" s="49" t="s">
        <v>37</v>
      </c>
      <c r="C23" s="15">
        <v>9.9059999999999999E-3</v>
      </c>
      <c r="D23" s="7"/>
    </row>
    <row r="24" spans="1:4" ht="14.4" x14ac:dyDescent="0.3">
      <c r="A24" s="6"/>
      <c r="B24" s="7"/>
      <c r="C24" s="7"/>
      <c r="D24" s="7"/>
    </row>
    <row r="25" spans="1:4" ht="16.2" x14ac:dyDescent="0.45">
      <c r="A25" s="6"/>
      <c r="B25" s="48" t="s">
        <v>90</v>
      </c>
      <c r="C25" s="10"/>
      <c r="D25" s="7"/>
    </row>
    <row r="26" spans="1:4" ht="14.4" x14ac:dyDescent="0.3">
      <c r="A26" s="6"/>
      <c r="B26" s="49" t="s">
        <v>91</v>
      </c>
      <c r="C26" s="15">
        <v>4.4103999999999997E-2</v>
      </c>
      <c r="D26" s="7"/>
    </row>
    <row r="27" spans="1:4" ht="14.4" x14ac:dyDescent="0.3">
      <c r="A27" s="6"/>
      <c r="B27" s="7"/>
      <c r="C27" s="7"/>
      <c r="D27" s="7"/>
    </row>
    <row r="28" spans="1:4" ht="16.2" x14ac:dyDescent="0.45">
      <c r="A28" s="6"/>
      <c r="B28" s="48" t="s">
        <v>61</v>
      </c>
      <c r="C28" s="10"/>
      <c r="D28" s="7"/>
    </row>
    <row r="29" spans="1:4" ht="14.4" x14ac:dyDescent="0.3">
      <c r="A29" s="6"/>
      <c r="B29" s="49" t="s">
        <v>61</v>
      </c>
      <c r="C29" s="15">
        <v>0.23688500000000001</v>
      </c>
      <c r="D29" s="7"/>
    </row>
    <row r="30" spans="1:4" ht="14.4" x14ac:dyDescent="0.3">
      <c r="A30" s="6"/>
      <c r="B30" s="7"/>
      <c r="C30" s="7"/>
      <c r="D30" s="7"/>
    </row>
    <row r="31" spans="1:4" ht="16.2" x14ac:dyDescent="0.45">
      <c r="A31" s="6"/>
      <c r="B31" s="48" t="s">
        <v>60</v>
      </c>
      <c r="C31" s="10"/>
      <c r="D31" s="14"/>
    </row>
    <row r="32" spans="1:4" ht="14.4" x14ac:dyDescent="0.3">
      <c r="A32" s="6"/>
      <c r="B32" s="49" t="s">
        <v>83</v>
      </c>
      <c r="C32" s="15">
        <v>2.006E-3</v>
      </c>
      <c r="D32" s="7"/>
    </row>
    <row r="33" spans="1:4" ht="14.4" x14ac:dyDescent="0.3">
      <c r="A33" s="6"/>
      <c r="B33" s="7"/>
      <c r="C33" s="7"/>
      <c r="D33" s="7"/>
    </row>
    <row r="34" spans="1:4" ht="16.2" x14ac:dyDescent="0.45">
      <c r="A34" s="6"/>
      <c r="B34" s="48" t="s">
        <v>54</v>
      </c>
      <c r="C34" s="10"/>
      <c r="D34" s="7"/>
    </row>
    <row r="35" spans="1:4" ht="14.4" x14ac:dyDescent="0.3">
      <c r="A35" s="6"/>
      <c r="B35" s="50" t="s">
        <v>106</v>
      </c>
      <c r="C35" s="17">
        <v>5</v>
      </c>
      <c r="D35" s="7"/>
    </row>
    <row r="36" spans="1:4" ht="14.4" x14ac:dyDescent="0.3">
      <c r="A36" s="6"/>
      <c r="B36" s="49" t="s">
        <v>96</v>
      </c>
      <c r="C36" s="18">
        <v>1653</v>
      </c>
      <c r="D36" s="7"/>
    </row>
    <row r="37" spans="1:4" ht="14.4" x14ac:dyDescent="0.3">
      <c r="A37" s="6"/>
      <c r="B37" s="49" t="s">
        <v>101</v>
      </c>
      <c r="C37" s="18">
        <v>914</v>
      </c>
      <c r="D37" s="7"/>
    </row>
    <row r="38" spans="1:4" ht="14.4" x14ac:dyDescent="0.3">
      <c r="A38" s="6"/>
      <c r="B38" s="49" t="s">
        <v>72</v>
      </c>
      <c r="C38" s="18">
        <v>246</v>
      </c>
      <c r="D38" s="7"/>
    </row>
    <row r="39" spans="1:4" ht="14.4" x14ac:dyDescent="0.3">
      <c r="A39" s="6"/>
      <c r="B39" s="49" t="s">
        <v>73</v>
      </c>
      <c r="C39" s="18">
        <v>185</v>
      </c>
      <c r="D39" s="7"/>
    </row>
    <row r="40" spans="1:4" ht="14.4" x14ac:dyDescent="0.3">
      <c r="A40" s="6"/>
      <c r="B40" s="49" t="s">
        <v>74</v>
      </c>
      <c r="C40" s="18">
        <v>170</v>
      </c>
      <c r="D40" s="7"/>
    </row>
    <row r="41" spans="1:4" ht="14.4" x14ac:dyDescent="0.3">
      <c r="A41" s="6"/>
      <c r="B41" s="49" t="s">
        <v>75</v>
      </c>
      <c r="C41" s="18">
        <v>127</v>
      </c>
      <c r="D41" s="7"/>
    </row>
    <row r="42" spans="1:4" ht="14.4" x14ac:dyDescent="0.3">
      <c r="A42" s="6"/>
      <c r="B42" s="49" t="s">
        <v>76</v>
      </c>
      <c r="C42" s="18">
        <v>84</v>
      </c>
      <c r="D42" s="7"/>
    </row>
    <row r="43" spans="1:4" ht="14.4" x14ac:dyDescent="0.3">
      <c r="A43" s="6"/>
      <c r="B43" s="49" t="s">
        <v>78</v>
      </c>
      <c r="C43" s="18">
        <v>102</v>
      </c>
      <c r="D43" s="7"/>
    </row>
    <row r="44" spans="1:4" ht="14.4" x14ac:dyDescent="0.3">
      <c r="A44" s="6"/>
      <c r="B44" s="7"/>
      <c r="C44" s="7"/>
      <c r="D44" s="7"/>
    </row>
    <row r="45" spans="1:4" ht="16.2" x14ac:dyDescent="0.45">
      <c r="A45" s="6"/>
      <c r="B45" s="48" t="s">
        <v>79</v>
      </c>
      <c r="C45" s="10"/>
      <c r="D45" s="7"/>
    </row>
    <row r="46" spans="1:4" ht="14.4" x14ac:dyDescent="0.3">
      <c r="A46" s="6"/>
      <c r="B46" s="49" t="s">
        <v>84</v>
      </c>
      <c r="C46" s="15">
        <v>2.5000000000000001E-2</v>
      </c>
      <c r="D46" s="7"/>
    </row>
    <row r="47" spans="1:4" ht="14.4" x14ac:dyDescent="0.3">
      <c r="A47" s="6"/>
      <c r="B47" s="7"/>
      <c r="C47" s="7"/>
      <c r="D47" s="7"/>
    </row>
    <row r="48" spans="1:4" ht="16.2" x14ac:dyDescent="0.45">
      <c r="A48" s="6"/>
      <c r="B48" s="48" t="s">
        <v>62</v>
      </c>
      <c r="C48" s="10"/>
      <c r="D48" s="7"/>
    </row>
    <row r="49" spans="1:4" ht="14.4" x14ac:dyDescent="0.3">
      <c r="A49" s="6"/>
      <c r="B49" s="49" t="s">
        <v>85</v>
      </c>
      <c r="C49" s="15">
        <v>1.2500000000000001E-2</v>
      </c>
      <c r="D49" s="7"/>
    </row>
    <row r="50" spans="1:4" ht="14.4" x14ac:dyDescent="0.3">
      <c r="A50" s="6"/>
      <c r="B50" s="7"/>
      <c r="C50" s="7"/>
      <c r="D50" s="7"/>
    </row>
    <row r="51" spans="1:4" ht="14.4" x14ac:dyDescent="0.3">
      <c r="A51" s="6"/>
      <c r="B51" s="7"/>
      <c r="C51" s="7"/>
      <c r="D51" s="7"/>
    </row>
    <row r="52" spans="1:4" ht="16.2" x14ac:dyDescent="0.45">
      <c r="A52" s="6"/>
      <c r="B52" s="48" t="s">
        <v>80</v>
      </c>
      <c r="C52" s="7"/>
      <c r="D52" s="7"/>
    </row>
    <row r="53" spans="1:4" ht="14.4" x14ac:dyDescent="0.3">
      <c r="A53" s="6"/>
      <c r="B53" s="49" t="s">
        <v>89</v>
      </c>
      <c r="C53" s="7"/>
      <c r="D53" s="7"/>
    </row>
    <row r="54" spans="1:4" ht="14.4" x14ac:dyDescent="0.3">
      <c r="A54" s="6"/>
      <c r="B54" s="49" t="s">
        <v>81</v>
      </c>
      <c r="C54" s="7"/>
      <c r="D54" s="7"/>
    </row>
    <row r="55" spans="1:4" ht="14.4" x14ac:dyDescent="0.3">
      <c r="A55" s="6"/>
      <c r="B55" s="49" t="s">
        <v>82</v>
      </c>
      <c r="C55" s="7"/>
      <c r="D55" s="7"/>
    </row>
    <row r="56" spans="1:4" ht="14.4" x14ac:dyDescent="0.3">
      <c r="A56" s="6"/>
      <c r="B56" s="49" t="s">
        <v>98</v>
      </c>
      <c r="C56" s="7"/>
      <c r="D56" s="7"/>
    </row>
  </sheetData>
  <pageMargins left="0.7" right="0.7" top="0.75" bottom="0.75" header="0.3" footer="0.3"/>
  <pageSetup orientation="portrait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DB0AC-5027-4515-AEB0-ECEF902E1937}">
  <sheetPr>
    <tabColor rgb="FF1F3864"/>
  </sheetPr>
  <dimension ref="B1:X113"/>
  <sheetViews>
    <sheetView showGridLines="0" zoomScale="85" zoomScaleNormal="85" workbookViewId="0">
      <pane xSplit="2" ySplit="5" topLeftCell="C6" activePane="bottomRight" state="frozen"/>
      <selection pane="topRight" activeCell="C6" sqref="C6"/>
      <selection pane="bottomLeft" activeCell="C6" sqref="C6"/>
      <selection pane="bottomRight" activeCell="C6" sqref="C6"/>
    </sheetView>
  </sheetViews>
  <sheetFormatPr defaultColWidth="8.6640625" defaultRowHeight="13.8" x14ac:dyDescent="0.3"/>
  <cols>
    <col min="1" max="1" width="2.6640625" style="1" customWidth="1"/>
    <col min="2" max="2" width="42.33203125" style="1" bestFit="1" customWidth="1"/>
    <col min="3" max="15" width="12.33203125" style="1" customWidth="1"/>
    <col min="16" max="16" width="12.6640625" style="1" customWidth="1"/>
    <col min="17" max="17" width="11.5546875" style="4" bestFit="1" customWidth="1"/>
    <col min="18" max="16384" width="8.6640625" style="1"/>
  </cols>
  <sheetData>
    <row r="1" spans="2:24" ht="14.4" x14ac:dyDescent="0.3">
      <c r="B1" s="46" t="s">
        <v>3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7"/>
      <c r="O1" s="7"/>
      <c r="P1" s="7"/>
      <c r="Q1" s="39"/>
      <c r="R1" s="7"/>
      <c r="S1" s="7"/>
      <c r="T1" s="7"/>
      <c r="U1" s="7"/>
      <c r="V1" s="7"/>
      <c r="W1" s="7"/>
      <c r="X1" s="7"/>
    </row>
    <row r="2" spans="2:24" ht="14.4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7"/>
      <c r="O2" s="7"/>
      <c r="P2" s="7"/>
      <c r="Q2" s="39"/>
      <c r="R2" s="7"/>
      <c r="S2" s="7"/>
      <c r="T2" s="7"/>
      <c r="U2" s="7"/>
      <c r="V2" s="7"/>
      <c r="W2" s="7"/>
      <c r="X2" s="7"/>
    </row>
    <row r="3" spans="2:24" ht="8.1" customHeight="1" x14ac:dyDescent="0.3">
      <c r="B3" s="7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7"/>
      <c r="O3" s="7"/>
      <c r="P3" s="7"/>
      <c r="Q3" s="39"/>
      <c r="R3" s="7"/>
      <c r="S3" s="7"/>
      <c r="T3" s="7"/>
      <c r="U3" s="7"/>
      <c r="V3" s="7"/>
      <c r="W3" s="7"/>
      <c r="X3" s="7"/>
    </row>
    <row r="4" spans="2:24" ht="16.2" x14ac:dyDescent="0.45">
      <c r="B4" s="20"/>
      <c r="C4" s="47" t="s">
        <v>4</v>
      </c>
      <c r="D4" s="8"/>
      <c r="E4" s="51" t="s">
        <v>5</v>
      </c>
      <c r="F4" s="8"/>
      <c r="G4" s="8"/>
      <c r="H4" s="8"/>
      <c r="I4" s="8"/>
      <c r="J4" s="8"/>
      <c r="K4" s="8"/>
      <c r="L4" s="8"/>
      <c r="M4" s="8"/>
      <c r="N4" s="8"/>
      <c r="O4" s="8"/>
      <c r="P4" s="52" t="s">
        <v>6</v>
      </c>
      <c r="Q4" s="39"/>
      <c r="R4" s="7"/>
      <c r="S4" s="7"/>
      <c r="T4" s="7"/>
      <c r="U4" s="7"/>
      <c r="V4" s="7"/>
      <c r="W4" s="7"/>
      <c r="X4" s="7"/>
    </row>
    <row r="5" spans="2:24" ht="16.2" x14ac:dyDescent="0.45">
      <c r="B5" s="53" t="s">
        <v>110</v>
      </c>
      <c r="C5" s="54" t="s">
        <v>7</v>
      </c>
      <c r="D5" s="54" t="s">
        <v>8</v>
      </c>
      <c r="E5" s="55" t="s">
        <v>0</v>
      </c>
      <c r="F5" s="54" t="s">
        <v>1</v>
      </c>
      <c r="G5" s="54" t="s">
        <v>2</v>
      </c>
      <c r="H5" s="54" t="s">
        <v>9</v>
      </c>
      <c r="I5" s="54" t="s">
        <v>10</v>
      </c>
      <c r="J5" s="54" t="s">
        <v>11</v>
      </c>
      <c r="K5" s="54" t="s">
        <v>12</v>
      </c>
      <c r="L5" s="54" t="s">
        <v>13</v>
      </c>
      <c r="M5" s="54" t="s">
        <v>14</v>
      </c>
      <c r="N5" s="54" t="s">
        <v>40</v>
      </c>
      <c r="O5" s="54" t="s">
        <v>41</v>
      </c>
      <c r="P5" s="54" t="s">
        <v>15</v>
      </c>
      <c r="Q5" s="39"/>
      <c r="R5" s="7"/>
      <c r="S5" s="7"/>
      <c r="T5" s="7"/>
      <c r="U5" s="7"/>
      <c r="V5" s="7"/>
      <c r="W5" s="7"/>
      <c r="X5" s="7"/>
    </row>
    <row r="6" spans="2:24" ht="8.1" customHeight="1" x14ac:dyDescent="0.3">
      <c r="B6" s="7"/>
      <c r="C6" s="7"/>
      <c r="D6" s="7"/>
      <c r="E6" s="21"/>
      <c r="F6" s="7"/>
      <c r="G6" s="7"/>
      <c r="H6" s="7"/>
      <c r="I6" s="7"/>
      <c r="J6" s="7"/>
      <c r="K6" s="7"/>
      <c r="L6" s="7"/>
      <c r="M6" s="7"/>
      <c r="N6" s="7"/>
      <c r="O6" s="7"/>
      <c r="P6" s="22"/>
      <c r="Q6" s="39"/>
      <c r="R6" s="7"/>
      <c r="S6" s="7"/>
      <c r="T6" s="7"/>
      <c r="U6" s="7"/>
      <c r="V6" s="7"/>
      <c r="W6" s="7"/>
      <c r="X6" s="7"/>
    </row>
    <row r="7" spans="2:24" ht="14.4" x14ac:dyDescent="0.3">
      <c r="B7" s="56" t="s">
        <v>77</v>
      </c>
      <c r="C7" s="7"/>
      <c r="D7" s="7"/>
      <c r="E7" s="21"/>
      <c r="F7" s="7"/>
      <c r="G7" s="7"/>
      <c r="H7" s="7"/>
      <c r="I7" s="7"/>
      <c r="J7" s="7"/>
      <c r="K7" s="7"/>
      <c r="L7" s="7"/>
      <c r="M7" s="7"/>
      <c r="N7" s="7"/>
      <c r="O7" s="7"/>
      <c r="P7" s="22"/>
      <c r="Q7" s="39"/>
      <c r="R7" s="7"/>
      <c r="S7" s="7"/>
      <c r="T7" s="7"/>
      <c r="U7" s="7"/>
      <c r="V7" s="7"/>
      <c r="W7" s="7"/>
      <c r="X7" s="7"/>
    </row>
    <row r="8" spans="2:24" ht="14.4" x14ac:dyDescent="0.3">
      <c r="B8" s="49" t="s">
        <v>35</v>
      </c>
      <c r="C8" s="23"/>
      <c r="D8" s="57">
        <f t="shared" ref="D8:D11" si="0">IFERROR(D14/C14-1,"n/m")</f>
        <v>0.20504521241853779</v>
      </c>
      <c r="E8" s="111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24"/>
      <c r="Q8" s="39"/>
      <c r="R8" s="7"/>
      <c r="S8" s="7"/>
      <c r="T8" s="7"/>
      <c r="U8" s="7"/>
      <c r="V8" s="7"/>
      <c r="W8" s="7"/>
      <c r="X8" s="7"/>
    </row>
    <row r="9" spans="2:24" ht="14.4" x14ac:dyDescent="0.3">
      <c r="B9" s="49" t="s">
        <v>36</v>
      </c>
      <c r="C9" s="23"/>
      <c r="D9" s="57">
        <f t="shared" si="0"/>
        <v>0.17085647930201175</v>
      </c>
      <c r="E9" s="111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24"/>
      <c r="Q9" s="39"/>
      <c r="R9" s="7"/>
      <c r="S9" s="7"/>
      <c r="T9" s="7"/>
      <c r="U9" s="7"/>
      <c r="V9" s="7"/>
      <c r="W9" s="7"/>
      <c r="X9" s="7"/>
    </row>
    <row r="10" spans="2:24" ht="14.4" x14ac:dyDescent="0.3">
      <c r="B10" s="49" t="s">
        <v>37</v>
      </c>
      <c r="C10" s="23"/>
      <c r="D10" s="57">
        <f t="shared" si="0"/>
        <v>-2.022514787254337E-2</v>
      </c>
      <c r="E10" s="111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24"/>
      <c r="Q10" s="39"/>
      <c r="R10" s="7"/>
      <c r="S10" s="7"/>
      <c r="T10" s="7"/>
      <c r="U10" s="7"/>
      <c r="V10" s="7"/>
      <c r="W10" s="7"/>
      <c r="X10" s="7"/>
    </row>
    <row r="11" spans="2:24" s="2" customFormat="1" ht="15" customHeight="1" x14ac:dyDescent="0.3">
      <c r="B11" s="101" t="s">
        <v>105</v>
      </c>
      <c r="C11" s="90"/>
      <c r="D11" s="102">
        <f t="shared" si="0"/>
        <v>0.18067805953693505</v>
      </c>
      <c r="E11" s="113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22"/>
      <c r="Q11" s="40"/>
      <c r="R11" s="11"/>
      <c r="S11" s="11"/>
      <c r="T11" s="11"/>
      <c r="U11" s="11"/>
      <c r="V11" s="11"/>
      <c r="W11" s="11"/>
      <c r="X11" s="11"/>
    </row>
    <row r="12" spans="2:24" ht="8.1" customHeight="1" x14ac:dyDescent="0.3">
      <c r="B12" s="7"/>
      <c r="C12" s="7"/>
      <c r="D12" s="7"/>
      <c r="E12" s="21"/>
      <c r="F12" s="7"/>
      <c r="G12" s="7"/>
      <c r="H12" s="7"/>
      <c r="I12" s="7"/>
      <c r="J12" s="7"/>
      <c r="K12" s="7"/>
      <c r="L12" s="7"/>
      <c r="M12" s="7"/>
      <c r="N12" s="7"/>
      <c r="O12" s="7"/>
      <c r="P12" s="22"/>
      <c r="Q12" s="39"/>
      <c r="R12" s="7"/>
      <c r="S12" s="7"/>
      <c r="T12" s="7"/>
      <c r="U12" s="7"/>
      <c r="V12" s="7"/>
      <c r="W12" s="7"/>
      <c r="X12" s="7"/>
    </row>
    <row r="13" spans="2:24" ht="14.4" x14ac:dyDescent="0.3">
      <c r="B13" s="56" t="s">
        <v>64</v>
      </c>
      <c r="C13" s="7"/>
      <c r="D13" s="7"/>
      <c r="E13" s="21"/>
      <c r="F13" s="7"/>
      <c r="G13" s="7"/>
      <c r="H13" s="7"/>
      <c r="I13" s="7"/>
      <c r="J13" s="7"/>
      <c r="K13" s="7"/>
      <c r="L13" s="7"/>
      <c r="M13" s="7"/>
      <c r="N13" s="7"/>
      <c r="O13" s="7"/>
      <c r="P13" s="22"/>
      <c r="Q13" s="39"/>
      <c r="R13" s="7"/>
      <c r="S13" s="7"/>
      <c r="T13" s="7"/>
      <c r="U13" s="7"/>
      <c r="V13" s="7"/>
      <c r="W13" s="7"/>
      <c r="X13" s="7"/>
    </row>
    <row r="14" spans="2:24" ht="14.4" x14ac:dyDescent="0.3">
      <c r="B14" s="49" t="s">
        <v>35</v>
      </c>
      <c r="C14" s="88">
        <v>68897</v>
      </c>
      <c r="D14" s="88">
        <v>83024</v>
      </c>
      <c r="E14" s="114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22"/>
      <c r="Q14" s="39"/>
      <c r="R14" s="7"/>
      <c r="S14" s="7"/>
      <c r="T14" s="7"/>
      <c r="U14" s="7"/>
      <c r="V14" s="7"/>
      <c r="W14" s="7"/>
      <c r="X14" s="7"/>
    </row>
    <row r="15" spans="2:24" ht="14.4" x14ac:dyDescent="0.3">
      <c r="B15" s="49" t="s">
        <v>36</v>
      </c>
      <c r="C15" s="88">
        <v>63726</v>
      </c>
      <c r="D15" s="88">
        <v>74614</v>
      </c>
      <c r="E15" s="114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22"/>
      <c r="Q15" s="39"/>
      <c r="R15" s="7"/>
      <c r="S15" s="7"/>
      <c r="T15" s="7"/>
      <c r="U15" s="7"/>
      <c r="V15" s="7"/>
      <c r="W15" s="7"/>
      <c r="X15" s="7"/>
    </row>
    <row r="16" spans="2:24" ht="14.4" x14ac:dyDescent="0.3">
      <c r="B16" s="49" t="s">
        <v>37</v>
      </c>
      <c r="C16" s="88">
        <v>5241</v>
      </c>
      <c r="D16" s="88">
        <v>5135</v>
      </c>
      <c r="E16" s="114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22"/>
      <c r="Q16" s="39"/>
      <c r="R16" s="7"/>
      <c r="S16" s="7"/>
      <c r="T16" s="7"/>
      <c r="U16" s="7"/>
      <c r="V16" s="7"/>
      <c r="W16" s="7"/>
      <c r="X16" s="7"/>
    </row>
    <row r="17" spans="2:24" s="2" customFormat="1" ht="15" customHeight="1" x14ac:dyDescent="0.3">
      <c r="B17" s="101" t="s">
        <v>38</v>
      </c>
      <c r="C17" s="103">
        <f t="shared" ref="C17:D17" si="1">SUM(C14:C16)</f>
        <v>137864</v>
      </c>
      <c r="D17" s="103">
        <f t="shared" si="1"/>
        <v>162773</v>
      </c>
      <c r="E17" s="104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5">
        <f>O17</f>
        <v>0</v>
      </c>
      <c r="Q17" s="40"/>
      <c r="R17" s="11"/>
      <c r="S17" s="11"/>
      <c r="T17" s="11"/>
      <c r="U17" s="11"/>
      <c r="V17" s="11"/>
      <c r="W17" s="11"/>
      <c r="X17" s="11"/>
    </row>
    <row r="18" spans="2:24" ht="14.4" x14ac:dyDescent="0.3">
      <c r="B18" s="60" t="s">
        <v>104</v>
      </c>
      <c r="C18" s="26"/>
      <c r="D18" s="61">
        <f t="shared" ref="D18" si="2">D17/C17-1</f>
        <v>0.18067805953693505</v>
      </c>
      <c r="E18" s="115"/>
      <c r="F18" s="116"/>
      <c r="G18" s="116"/>
      <c r="H18" s="116"/>
      <c r="I18" s="116"/>
      <c r="J18" s="117"/>
      <c r="K18" s="117"/>
      <c r="L18" s="117"/>
      <c r="M18" s="117"/>
      <c r="N18" s="117"/>
      <c r="O18" s="117"/>
      <c r="P18" s="22"/>
      <c r="Q18" s="39"/>
      <c r="R18" s="7"/>
      <c r="S18" s="7"/>
      <c r="T18" s="7"/>
      <c r="U18" s="7"/>
      <c r="V18" s="7"/>
      <c r="W18" s="7"/>
      <c r="X18" s="7"/>
    </row>
    <row r="19" spans="2:24" ht="8.1" customHeight="1" x14ac:dyDescent="0.3">
      <c r="B19" s="7"/>
      <c r="C19" s="7"/>
      <c r="D19" s="7"/>
      <c r="E19" s="21"/>
      <c r="F19" s="7"/>
      <c r="G19" s="7"/>
      <c r="H19" s="7"/>
      <c r="I19" s="7"/>
      <c r="J19" s="7"/>
      <c r="K19" s="7"/>
      <c r="L19" s="7"/>
      <c r="M19" s="7"/>
      <c r="N19" s="7"/>
      <c r="O19" s="7"/>
      <c r="P19" s="22"/>
      <c r="Q19" s="39"/>
      <c r="R19" s="7"/>
      <c r="S19" s="7"/>
      <c r="T19" s="7"/>
      <c r="U19" s="7"/>
      <c r="V19" s="7"/>
      <c r="W19" s="7"/>
      <c r="X19" s="7"/>
    </row>
    <row r="20" spans="2:24" ht="14.4" x14ac:dyDescent="0.3">
      <c r="B20" s="56" t="s">
        <v>93</v>
      </c>
      <c r="C20" s="7"/>
      <c r="D20" s="7"/>
      <c r="E20" s="21"/>
      <c r="F20" s="7"/>
      <c r="G20" s="7"/>
      <c r="H20" s="7"/>
      <c r="I20" s="7"/>
      <c r="J20" s="7"/>
      <c r="K20" s="7"/>
      <c r="L20" s="7"/>
      <c r="M20" s="7"/>
      <c r="N20" s="7"/>
      <c r="O20" s="7"/>
      <c r="P20" s="22"/>
      <c r="Q20" s="39"/>
      <c r="R20" s="7"/>
      <c r="S20" s="7"/>
      <c r="T20" s="7"/>
      <c r="U20" s="7"/>
      <c r="V20" s="7"/>
      <c r="W20" s="7"/>
      <c r="X20" s="7"/>
    </row>
    <row r="21" spans="2:24" ht="14.4" x14ac:dyDescent="0.3">
      <c r="B21" s="49" t="s">
        <v>35</v>
      </c>
      <c r="C21" s="61">
        <f t="shared" ref="C21:D24" si="3">C27/C14</f>
        <v>0.28784997895409087</v>
      </c>
      <c r="D21" s="61">
        <f t="shared" si="3"/>
        <v>0.30216563885141645</v>
      </c>
      <c r="E21" s="118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22"/>
      <c r="Q21" s="39"/>
      <c r="R21" s="7"/>
      <c r="S21" s="7"/>
      <c r="T21" s="7"/>
      <c r="U21" s="7"/>
      <c r="V21" s="7"/>
      <c r="W21" s="7"/>
      <c r="X21" s="7"/>
    </row>
    <row r="22" spans="2:24" ht="14.4" x14ac:dyDescent="0.3">
      <c r="B22" s="49" t="s">
        <v>36</v>
      </c>
      <c r="C22" s="61">
        <f t="shared" si="3"/>
        <v>0.19150739101779493</v>
      </c>
      <c r="D22" s="61">
        <f t="shared" si="3"/>
        <v>0.18428177017717853</v>
      </c>
      <c r="E22" s="118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22"/>
      <c r="Q22" s="39"/>
      <c r="R22" s="7"/>
      <c r="S22" s="7"/>
      <c r="T22" s="7"/>
      <c r="U22" s="7"/>
      <c r="V22" s="7"/>
      <c r="W22" s="7"/>
      <c r="X22" s="7"/>
    </row>
    <row r="23" spans="2:24" ht="14.4" x14ac:dyDescent="0.3">
      <c r="B23" s="49" t="s">
        <v>37</v>
      </c>
      <c r="C23" s="61">
        <f t="shared" si="3"/>
        <v>1.0007632131272657</v>
      </c>
      <c r="D23" s="61">
        <f t="shared" si="3"/>
        <v>1.0011684518013633</v>
      </c>
      <c r="E23" s="118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22"/>
      <c r="Q23" s="39"/>
      <c r="R23" s="7"/>
      <c r="S23" s="7"/>
      <c r="T23" s="7"/>
      <c r="U23" s="7"/>
      <c r="V23" s="7"/>
      <c r="W23" s="7"/>
      <c r="X23" s="7"/>
    </row>
    <row r="24" spans="2:24" s="2" customFormat="1" ht="15" customHeight="1" x14ac:dyDescent="0.3">
      <c r="B24" s="101" t="s">
        <v>53</v>
      </c>
      <c r="C24" s="106">
        <f t="shared" si="3"/>
        <v>0.27041867347530901</v>
      </c>
      <c r="D24" s="106">
        <f t="shared" si="3"/>
        <v>0.27017994384818123</v>
      </c>
      <c r="E24" s="120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22"/>
      <c r="Q24" s="40"/>
      <c r="R24" s="11"/>
      <c r="S24" s="11"/>
      <c r="T24" s="11"/>
      <c r="U24" s="11"/>
      <c r="V24" s="11"/>
      <c r="W24" s="11"/>
      <c r="X24" s="11"/>
    </row>
    <row r="25" spans="2:24" ht="8.1" customHeight="1" x14ac:dyDescent="0.3">
      <c r="B25" s="7"/>
      <c r="C25" s="7"/>
      <c r="D25" s="7"/>
      <c r="E25" s="21"/>
      <c r="F25" s="7"/>
      <c r="G25" s="7"/>
      <c r="H25" s="7"/>
      <c r="I25" s="7"/>
      <c r="J25" s="7"/>
      <c r="K25" s="7"/>
      <c r="L25" s="7"/>
      <c r="M25" s="7"/>
      <c r="N25" s="7"/>
      <c r="O25" s="7"/>
      <c r="P25" s="22"/>
      <c r="Q25" s="39"/>
      <c r="R25" s="7"/>
      <c r="S25" s="7"/>
      <c r="T25" s="7"/>
      <c r="U25" s="7"/>
      <c r="V25" s="7"/>
      <c r="W25" s="7"/>
      <c r="X25" s="7"/>
    </row>
    <row r="26" spans="2:24" ht="14.4" x14ac:dyDescent="0.3">
      <c r="B26" s="56" t="s">
        <v>63</v>
      </c>
      <c r="C26" s="7"/>
      <c r="D26" s="7"/>
      <c r="E26" s="21"/>
      <c r="F26" s="7"/>
      <c r="G26" s="7"/>
      <c r="H26" s="7"/>
      <c r="I26" s="7"/>
      <c r="J26" s="7"/>
      <c r="K26" s="7"/>
      <c r="L26" s="7"/>
      <c r="M26" s="7"/>
      <c r="N26" s="7"/>
      <c r="O26" s="7"/>
      <c r="P26" s="22"/>
      <c r="Q26" s="39"/>
      <c r="R26" s="7"/>
      <c r="S26" s="7"/>
      <c r="T26" s="7"/>
      <c r="U26" s="7"/>
      <c r="V26" s="7"/>
      <c r="W26" s="7"/>
      <c r="X26" s="7"/>
    </row>
    <row r="27" spans="2:24" ht="14.4" x14ac:dyDescent="0.3">
      <c r="B27" s="49" t="s">
        <v>35</v>
      </c>
      <c r="C27" s="88">
        <v>19832</v>
      </c>
      <c r="D27" s="88">
        <v>25087</v>
      </c>
      <c r="E27" s="114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22"/>
      <c r="Q27" s="39"/>
      <c r="R27" s="7"/>
      <c r="S27" s="7"/>
      <c r="T27" s="7"/>
      <c r="U27" s="7"/>
      <c r="V27" s="7"/>
      <c r="W27" s="7"/>
      <c r="X27" s="7"/>
    </row>
    <row r="28" spans="2:24" ht="14.4" x14ac:dyDescent="0.3">
      <c r="B28" s="49" t="s">
        <v>36</v>
      </c>
      <c r="C28" s="88">
        <v>12204</v>
      </c>
      <c r="D28" s="88">
        <v>13750</v>
      </c>
      <c r="E28" s="114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22"/>
      <c r="Q28" s="39"/>
      <c r="R28" s="7"/>
      <c r="S28" s="7"/>
      <c r="T28" s="7"/>
      <c r="U28" s="7"/>
      <c r="V28" s="7"/>
      <c r="W28" s="7"/>
      <c r="X28" s="7"/>
    </row>
    <row r="29" spans="2:24" ht="14.4" x14ac:dyDescent="0.3">
      <c r="B29" s="49" t="s">
        <v>37</v>
      </c>
      <c r="C29" s="88">
        <v>5245</v>
      </c>
      <c r="D29" s="88">
        <v>5141</v>
      </c>
      <c r="E29" s="114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22"/>
      <c r="Q29" s="39"/>
      <c r="R29" s="7"/>
      <c r="S29" s="7"/>
      <c r="T29" s="7"/>
      <c r="U29" s="7"/>
      <c r="V29" s="7"/>
      <c r="W29" s="7"/>
      <c r="X29" s="7"/>
    </row>
    <row r="30" spans="2:24" s="2" customFormat="1" ht="15" customHeight="1" x14ac:dyDescent="0.3">
      <c r="B30" s="101" t="s">
        <v>39</v>
      </c>
      <c r="C30" s="103">
        <f t="shared" ref="C30:D30" si="4">SUM(C27:C29)</f>
        <v>37281</v>
      </c>
      <c r="D30" s="103">
        <f t="shared" si="4"/>
        <v>43978</v>
      </c>
      <c r="E30" s="104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5">
        <f>O30</f>
        <v>0</v>
      </c>
      <c r="Q30" s="40"/>
      <c r="R30" s="11"/>
      <c r="S30" s="11"/>
      <c r="T30" s="11"/>
      <c r="U30" s="11"/>
      <c r="V30" s="11"/>
      <c r="W30" s="11"/>
      <c r="X30" s="11"/>
    </row>
    <row r="31" spans="2:24" ht="14.4" x14ac:dyDescent="0.3">
      <c r="B31" s="60" t="s">
        <v>104</v>
      </c>
      <c r="C31" s="26"/>
      <c r="D31" s="61">
        <f t="shared" ref="D31" si="5">D30/C30-1</f>
        <v>0.17963573938467325</v>
      </c>
      <c r="E31" s="115"/>
      <c r="F31" s="116"/>
      <c r="G31" s="116"/>
      <c r="H31" s="116"/>
      <c r="I31" s="116"/>
      <c r="J31" s="117"/>
      <c r="K31" s="117"/>
      <c r="L31" s="117"/>
      <c r="M31" s="117"/>
      <c r="N31" s="117"/>
      <c r="O31" s="117"/>
      <c r="P31" s="22"/>
      <c r="Q31" s="39"/>
      <c r="R31" s="7"/>
      <c r="S31" s="7"/>
      <c r="T31" s="7"/>
      <c r="U31" s="7"/>
      <c r="V31" s="7"/>
      <c r="W31" s="7"/>
      <c r="X31" s="7"/>
    </row>
    <row r="32" spans="2:24" ht="8.1" customHeight="1" x14ac:dyDescent="0.3">
      <c r="B32" s="7"/>
      <c r="C32" s="7"/>
      <c r="D32" s="7"/>
      <c r="E32" s="21"/>
      <c r="F32" s="7"/>
      <c r="G32" s="7"/>
      <c r="H32" s="7"/>
      <c r="I32" s="7"/>
      <c r="J32" s="7"/>
      <c r="K32" s="7"/>
      <c r="L32" s="7"/>
      <c r="M32" s="7"/>
      <c r="N32" s="7"/>
      <c r="O32" s="7"/>
      <c r="P32" s="22"/>
      <c r="Q32" s="39"/>
      <c r="R32" s="7"/>
      <c r="S32" s="7"/>
      <c r="T32" s="7"/>
      <c r="U32" s="7"/>
      <c r="V32" s="7"/>
      <c r="W32" s="7"/>
      <c r="X32" s="7"/>
    </row>
    <row r="33" spans="2:24" ht="14.4" x14ac:dyDescent="0.3">
      <c r="B33" s="56" t="s">
        <v>67</v>
      </c>
      <c r="C33" s="7"/>
      <c r="D33" s="7"/>
      <c r="E33" s="21"/>
      <c r="F33" s="7"/>
      <c r="G33" s="7"/>
      <c r="H33" s="7"/>
      <c r="I33" s="7"/>
      <c r="J33" s="7"/>
      <c r="K33" s="7"/>
      <c r="L33" s="7"/>
      <c r="M33" s="7"/>
      <c r="N33" s="7"/>
      <c r="O33" s="7"/>
      <c r="P33" s="22"/>
      <c r="Q33" s="39"/>
      <c r="R33" s="7"/>
      <c r="S33" s="7"/>
      <c r="T33" s="7"/>
      <c r="U33" s="7"/>
      <c r="V33" s="7"/>
      <c r="W33" s="7"/>
      <c r="X33" s="7"/>
    </row>
    <row r="34" spans="2:24" ht="14.4" x14ac:dyDescent="0.3">
      <c r="B34" s="49" t="s">
        <v>35</v>
      </c>
      <c r="C34" s="62">
        <f t="shared" ref="C34:D36" si="6">IFERROR(C41/C27,"n/m")</f>
        <v>0.25025211778943124</v>
      </c>
      <c r="D34" s="62">
        <f t="shared" si="6"/>
        <v>0.25897875393630165</v>
      </c>
      <c r="E34" s="121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22"/>
      <c r="Q34" s="39"/>
      <c r="R34" s="7"/>
      <c r="S34" s="7"/>
      <c r="T34" s="7"/>
      <c r="U34" s="7"/>
      <c r="V34" s="7"/>
      <c r="W34" s="7"/>
      <c r="X34" s="7"/>
    </row>
    <row r="35" spans="2:24" ht="14.4" x14ac:dyDescent="0.3">
      <c r="B35" s="49" t="s">
        <v>36</v>
      </c>
      <c r="C35" s="62">
        <f t="shared" si="6"/>
        <v>0.12340216322517207</v>
      </c>
      <c r="D35" s="62">
        <f t="shared" si="6"/>
        <v>0.1797090909090909</v>
      </c>
      <c r="E35" s="121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22"/>
      <c r="Q35" s="39"/>
      <c r="R35" s="7"/>
      <c r="S35" s="7"/>
      <c r="T35" s="7"/>
      <c r="U35" s="7"/>
      <c r="V35" s="7"/>
      <c r="W35" s="7"/>
      <c r="X35" s="7"/>
    </row>
    <row r="36" spans="2:24" ht="14.4" x14ac:dyDescent="0.3">
      <c r="B36" s="49" t="s">
        <v>37</v>
      </c>
      <c r="C36" s="62">
        <f t="shared" si="6"/>
        <v>-1.2202097235462344E-2</v>
      </c>
      <c r="D36" s="62">
        <f t="shared" si="6"/>
        <v>-1.4394086753549893E-2</v>
      </c>
      <c r="E36" s="121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22"/>
      <c r="Q36" s="39"/>
      <c r="R36" s="7"/>
      <c r="S36" s="7"/>
      <c r="T36" s="7"/>
      <c r="U36" s="7"/>
      <c r="V36" s="7"/>
      <c r="W36" s="7"/>
      <c r="X36" s="7"/>
    </row>
    <row r="37" spans="2:24" ht="14.4" x14ac:dyDescent="0.3">
      <c r="B37" s="49" t="s">
        <v>92</v>
      </c>
      <c r="C37" s="57" t="s">
        <v>68</v>
      </c>
      <c r="D37" s="57" t="s">
        <v>68</v>
      </c>
      <c r="E37" s="63" t="s">
        <v>68</v>
      </c>
      <c r="F37" s="57" t="s">
        <v>68</v>
      </c>
      <c r="G37" s="57" t="s">
        <v>68</v>
      </c>
      <c r="H37" s="57" t="s">
        <v>68</v>
      </c>
      <c r="I37" s="57" t="s">
        <v>68</v>
      </c>
      <c r="J37" s="57" t="s">
        <v>68</v>
      </c>
      <c r="K37" s="57" t="s">
        <v>68</v>
      </c>
      <c r="L37" s="57" t="s">
        <v>68</v>
      </c>
      <c r="M37" s="57" t="s">
        <v>68</v>
      </c>
      <c r="N37" s="57" t="s">
        <v>68</v>
      </c>
      <c r="O37" s="57" t="s">
        <v>68</v>
      </c>
      <c r="P37" s="22"/>
      <c r="Q37" s="39"/>
      <c r="R37" s="7"/>
      <c r="S37" s="7"/>
      <c r="T37" s="7"/>
      <c r="U37" s="7"/>
      <c r="V37" s="7"/>
      <c r="W37" s="7"/>
      <c r="X37" s="7"/>
    </row>
    <row r="38" spans="2:24" ht="15" customHeight="1" x14ac:dyDescent="0.3">
      <c r="B38" s="101" t="s">
        <v>94</v>
      </c>
      <c r="C38" s="102">
        <f t="shared" ref="C38:D38" si="7">IFERROR(C45/C30,"n/m")</f>
        <v>0.10868807167189722</v>
      </c>
      <c r="D38" s="102">
        <f t="shared" si="7"/>
        <v>0.14743735504115693</v>
      </c>
      <c r="E38" s="113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22"/>
      <c r="Q38" s="39"/>
      <c r="R38" s="7"/>
      <c r="S38" s="7"/>
      <c r="T38" s="7"/>
      <c r="U38" s="7"/>
      <c r="V38" s="7"/>
      <c r="W38" s="7"/>
      <c r="X38" s="7"/>
    </row>
    <row r="39" spans="2:24" ht="8.1" customHeight="1" x14ac:dyDescent="0.3">
      <c r="B39" s="7"/>
      <c r="C39" s="7"/>
      <c r="D39" s="7"/>
      <c r="E39" s="21"/>
      <c r="F39" s="7"/>
      <c r="G39" s="7"/>
      <c r="H39" s="7"/>
      <c r="I39" s="7"/>
      <c r="J39" s="7"/>
      <c r="K39" s="7"/>
      <c r="L39" s="7"/>
      <c r="M39" s="7"/>
      <c r="N39" s="7"/>
      <c r="O39" s="7"/>
      <c r="P39" s="22"/>
      <c r="Q39" s="39"/>
      <c r="R39" s="7"/>
      <c r="S39" s="7"/>
      <c r="T39" s="7"/>
      <c r="U39" s="7"/>
      <c r="V39" s="7"/>
      <c r="W39" s="7"/>
      <c r="X39" s="7"/>
    </row>
    <row r="40" spans="2:24" ht="14.4" x14ac:dyDescent="0.3">
      <c r="B40" s="56" t="s">
        <v>66</v>
      </c>
      <c r="C40" s="7"/>
      <c r="D40" s="7"/>
      <c r="E40" s="21"/>
      <c r="F40" s="7"/>
      <c r="G40" s="7"/>
      <c r="H40" s="7"/>
      <c r="I40" s="7"/>
      <c r="J40" s="7"/>
      <c r="K40" s="7"/>
      <c r="L40" s="7"/>
      <c r="M40" s="7"/>
      <c r="N40" s="7"/>
      <c r="O40" s="7"/>
      <c r="P40" s="22"/>
      <c r="Q40" s="39"/>
      <c r="R40" s="7"/>
      <c r="S40" s="7"/>
      <c r="T40" s="7"/>
      <c r="U40" s="7"/>
      <c r="V40" s="7"/>
      <c r="W40" s="7"/>
      <c r="X40" s="7"/>
    </row>
    <row r="41" spans="2:24" ht="14.4" x14ac:dyDescent="0.3">
      <c r="B41" s="49" t="s">
        <v>35</v>
      </c>
      <c r="C41" s="88">
        <v>4963</v>
      </c>
      <c r="D41" s="88">
        <v>6497</v>
      </c>
      <c r="E41" s="123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22"/>
      <c r="Q41" s="39"/>
      <c r="R41" s="7"/>
      <c r="S41" s="7"/>
      <c r="T41" s="7"/>
      <c r="U41" s="7"/>
      <c r="V41" s="7"/>
      <c r="W41" s="7"/>
      <c r="X41" s="7"/>
    </row>
    <row r="42" spans="2:24" ht="14.4" x14ac:dyDescent="0.3">
      <c r="B42" s="49" t="s">
        <v>36</v>
      </c>
      <c r="C42" s="88">
        <v>1506</v>
      </c>
      <c r="D42" s="88">
        <v>2471</v>
      </c>
      <c r="E42" s="123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22"/>
      <c r="Q42" s="39"/>
      <c r="R42" s="7"/>
      <c r="S42" s="7"/>
      <c r="T42" s="7"/>
      <c r="U42" s="7"/>
      <c r="V42" s="7"/>
      <c r="W42" s="7"/>
      <c r="X42" s="7"/>
    </row>
    <row r="43" spans="2:24" ht="14.4" x14ac:dyDescent="0.3">
      <c r="B43" s="49" t="s">
        <v>37</v>
      </c>
      <c r="C43" s="88">
        <v>-64</v>
      </c>
      <c r="D43" s="88">
        <v>-74</v>
      </c>
      <c r="E43" s="123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22"/>
      <c r="Q43" s="39"/>
      <c r="R43" s="7"/>
      <c r="S43" s="7"/>
      <c r="T43" s="7"/>
      <c r="U43" s="7"/>
      <c r="V43" s="7"/>
      <c r="W43" s="7"/>
      <c r="X43" s="7"/>
    </row>
    <row r="44" spans="2:24" ht="14.4" x14ac:dyDescent="0.3">
      <c r="B44" s="49" t="s">
        <v>92</v>
      </c>
      <c r="C44" s="88">
        <v>-2353</v>
      </c>
      <c r="D44" s="88">
        <v>-2410</v>
      </c>
      <c r="E44" s="125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2"/>
      <c r="Q44" s="39"/>
      <c r="R44" s="7"/>
      <c r="S44" s="7"/>
      <c r="T44" s="7"/>
      <c r="U44" s="7"/>
      <c r="V44" s="7"/>
      <c r="W44" s="7"/>
      <c r="X44" s="7"/>
    </row>
    <row r="45" spans="2:24" s="2" customFormat="1" ht="15" customHeight="1" x14ac:dyDescent="0.3">
      <c r="B45" s="101" t="s">
        <v>50</v>
      </c>
      <c r="C45" s="103">
        <f t="shared" ref="C45:D45" si="8">SUM(C41:C44)</f>
        <v>4052</v>
      </c>
      <c r="D45" s="103">
        <f t="shared" si="8"/>
        <v>6484</v>
      </c>
      <c r="E45" s="104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5">
        <f>O45</f>
        <v>0</v>
      </c>
      <c r="Q45" s="40"/>
      <c r="R45" s="11"/>
      <c r="S45" s="11"/>
      <c r="T45" s="11"/>
      <c r="U45" s="11"/>
      <c r="V45" s="11"/>
      <c r="W45" s="11"/>
      <c r="X45" s="11"/>
    </row>
    <row r="46" spans="2:24" ht="14.4" x14ac:dyDescent="0.3">
      <c r="B46" s="60" t="s">
        <v>104</v>
      </c>
      <c r="C46" s="27"/>
      <c r="D46" s="64">
        <f>D45/C45-1</f>
        <v>0.60019743336623899</v>
      </c>
      <c r="E46" s="115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22"/>
      <c r="Q46" s="39"/>
      <c r="R46" s="7"/>
      <c r="S46" s="7"/>
      <c r="T46" s="7"/>
      <c r="U46" s="7"/>
      <c r="V46" s="7"/>
      <c r="W46" s="7"/>
      <c r="X46" s="7"/>
    </row>
    <row r="47" spans="2:24" ht="8.1" customHeight="1" x14ac:dyDescent="0.3">
      <c r="B47" s="7"/>
      <c r="C47" s="7"/>
      <c r="D47" s="7"/>
      <c r="E47" s="21"/>
      <c r="F47" s="7"/>
      <c r="G47" s="7"/>
      <c r="H47" s="7"/>
      <c r="I47" s="7"/>
      <c r="J47" s="7"/>
      <c r="K47" s="7"/>
      <c r="L47" s="7"/>
      <c r="M47" s="7"/>
      <c r="N47" s="7"/>
      <c r="O47" s="7"/>
      <c r="P47" s="22"/>
      <c r="Q47" s="39"/>
      <c r="R47" s="7"/>
      <c r="S47" s="7"/>
      <c r="T47" s="7"/>
      <c r="U47" s="7"/>
      <c r="V47" s="7"/>
      <c r="W47" s="7"/>
      <c r="X47" s="7"/>
    </row>
    <row r="48" spans="2:24" ht="14.4" x14ac:dyDescent="0.3">
      <c r="B48" s="49" t="s">
        <v>43</v>
      </c>
      <c r="C48" s="28"/>
      <c r="D48" s="28"/>
      <c r="E48" s="125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2"/>
      <c r="Q48" s="39"/>
      <c r="R48" s="7"/>
      <c r="S48" s="7"/>
      <c r="T48" s="7"/>
      <c r="U48" s="7"/>
      <c r="V48" s="7"/>
      <c r="W48" s="7"/>
      <c r="X48" s="7"/>
    </row>
    <row r="49" spans="2:24" ht="8.1" customHeight="1" x14ac:dyDescent="0.3">
      <c r="B49" s="7"/>
      <c r="C49" s="7"/>
      <c r="D49" s="7"/>
      <c r="E49" s="21"/>
      <c r="F49" s="7"/>
      <c r="G49" s="7"/>
      <c r="H49" s="7"/>
      <c r="I49" s="7"/>
      <c r="J49" s="7"/>
      <c r="K49" s="7"/>
      <c r="L49" s="7"/>
      <c r="M49" s="7"/>
      <c r="N49" s="7"/>
      <c r="O49" s="7"/>
      <c r="P49" s="22"/>
      <c r="Q49" s="39"/>
      <c r="R49" s="7"/>
      <c r="S49" s="7"/>
      <c r="T49" s="7"/>
      <c r="U49" s="7"/>
      <c r="V49" s="7"/>
      <c r="W49" s="7"/>
      <c r="X49" s="7"/>
    </row>
    <row r="50" spans="2:24" s="2" customFormat="1" ht="15" customHeight="1" x14ac:dyDescent="0.3">
      <c r="B50" s="101" t="s">
        <v>44</v>
      </c>
      <c r="C50" s="91"/>
      <c r="D50" s="91"/>
      <c r="E50" s="104">
        <f t="shared" ref="E50:O50" si="9">SUM(E45,E48)</f>
        <v>0</v>
      </c>
      <c r="F50" s="103">
        <f t="shared" si="9"/>
        <v>0</v>
      </c>
      <c r="G50" s="103">
        <f t="shared" si="9"/>
        <v>0</v>
      </c>
      <c r="H50" s="103">
        <f t="shared" si="9"/>
        <v>0</v>
      </c>
      <c r="I50" s="103">
        <f t="shared" si="9"/>
        <v>0</v>
      </c>
      <c r="J50" s="103">
        <f t="shared" si="9"/>
        <v>0</v>
      </c>
      <c r="K50" s="103">
        <f t="shared" si="9"/>
        <v>0</v>
      </c>
      <c r="L50" s="103">
        <f t="shared" si="9"/>
        <v>0</v>
      </c>
      <c r="M50" s="103">
        <f t="shared" si="9"/>
        <v>0</v>
      </c>
      <c r="N50" s="103">
        <f t="shared" si="9"/>
        <v>0</v>
      </c>
      <c r="O50" s="103">
        <f t="shared" si="9"/>
        <v>0</v>
      </c>
      <c r="P50" s="22"/>
      <c r="Q50" s="40"/>
      <c r="R50" s="11"/>
      <c r="S50" s="11"/>
      <c r="T50" s="11"/>
      <c r="U50" s="11"/>
      <c r="V50" s="11"/>
      <c r="W50" s="11"/>
      <c r="X50" s="11"/>
    </row>
    <row r="51" spans="2:24" ht="8.1" customHeight="1" x14ac:dyDescent="0.3">
      <c r="B51" s="7"/>
      <c r="C51" s="7"/>
      <c r="D51" s="7"/>
      <c r="E51" s="21"/>
      <c r="F51" s="7"/>
      <c r="G51" s="7"/>
      <c r="H51" s="7"/>
      <c r="I51" s="7"/>
      <c r="J51" s="7"/>
      <c r="K51" s="7"/>
      <c r="L51" s="7"/>
      <c r="M51" s="7"/>
      <c r="N51" s="7"/>
      <c r="O51" s="7"/>
      <c r="P51" s="22"/>
      <c r="Q51" s="39"/>
      <c r="R51" s="7"/>
      <c r="S51" s="7"/>
      <c r="T51" s="7"/>
      <c r="U51" s="7"/>
      <c r="V51" s="7"/>
      <c r="W51" s="7"/>
      <c r="X51" s="7"/>
    </row>
    <row r="52" spans="2:24" ht="14.4" x14ac:dyDescent="0.3">
      <c r="B52" s="49" t="s">
        <v>45</v>
      </c>
      <c r="C52" s="28"/>
      <c r="D52" s="28"/>
      <c r="E52" s="125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2"/>
      <c r="Q52" s="39"/>
      <c r="R52" s="7"/>
      <c r="S52" s="7"/>
      <c r="T52" s="7"/>
      <c r="U52" s="7"/>
      <c r="V52" s="7"/>
      <c r="W52" s="7"/>
      <c r="X52" s="7"/>
    </row>
    <row r="53" spans="2:24" ht="8.1" customHeight="1" x14ac:dyDescent="0.3">
      <c r="B53" s="7"/>
      <c r="C53" s="7"/>
      <c r="D53" s="7"/>
      <c r="E53" s="21"/>
      <c r="F53" s="7"/>
      <c r="G53" s="7"/>
      <c r="H53" s="7"/>
      <c r="I53" s="7"/>
      <c r="J53" s="7"/>
      <c r="K53" s="7"/>
      <c r="L53" s="7"/>
      <c r="M53" s="7"/>
      <c r="N53" s="7"/>
      <c r="O53" s="7"/>
      <c r="P53" s="22"/>
      <c r="Q53" s="39"/>
      <c r="R53" s="7"/>
      <c r="S53" s="7"/>
      <c r="T53" s="7"/>
      <c r="U53" s="7"/>
      <c r="V53" s="7"/>
      <c r="W53" s="7"/>
      <c r="X53" s="7"/>
    </row>
    <row r="54" spans="2:24" s="2" customFormat="1" ht="15" customHeight="1" x14ac:dyDescent="0.3">
      <c r="B54" s="101" t="s">
        <v>46</v>
      </c>
      <c r="C54" s="91"/>
      <c r="D54" s="91"/>
      <c r="E54" s="104">
        <f t="shared" ref="E54:O54" si="10">SUM(E50,E52)</f>
        <v>0</v>
      </c>
      <c r="F54" s="103">
        <f t="shared" si="10"/>
        <v>0</v>
      </c>
      <c r="G54" s="103">
        <f t="shared" si="10"/>
        <v>0</v>
      </c>
      <c r="H54" s="103">
        <f t="shared" si="10"/>
        <v>0</v>
      </c>
      <c r="I54" s="103">
        <f t="shared" si="10"/>
        <v>0</v>
      </c>
      <c r="J54" s="103">
        <f t="shared" si="10"/>
        <v>0</v>
      </c>
      <c r="K54" s="103">
        <f t="shared" si="10"/>
        <v>0</v>
      </c>
      <c r="L54" s="103">
        <f t="shared" si="10"/>
        <v>0</v>
      </c>
      <c r="M54" s="103">
        <f t="shared" si="10"/>
        <v>0</v>
      </c>
      <c r="N54" s="103">
        <f t="shared" si="10"/>
        <v>0</v>
      </c>
      <c r="O54" s="103">
        <f t="shared" si="10"/>
        <v>0</v>
      </c>
      <c r="P54" s="22"/>
      <c r="Q54" s="40"/>
      <c r="R54" s="11"/>
      <c r="S54" s="11"/>
      <c r="T54" s="11"/>
      <c r="U54" s="11"/>
      <c r="V54" s="11"/>
      <c r="W54" s="11"/>
      <c r="X54" s="11"/>
    </row>
    <row r="55" spans="2:24" ht="8.1" customHeight="1" x14ac:dyDescent="0.3">
      <c r="B55" s="7"/>
      <c r="C55" s="7"/>
      <c r="D55" s="7"/>
      <c r="E55" s="21"/>
      <c r="F55" s="7"/>
      <c r="G55" s="7"/>
      <c r="H55" s="7"/>
      <c r="I55" s="7"/>
      <c r="J55" s="7"/>
      <c r="K55" s="7"/>
      <c r="L55" s="7"/>
      <c r="M55" s="7"/>
      <c r="N55" s="7"/>
      <c r="O55" s="7"/>
      <c r="P55" s="22"/>
      <c r="Q55" s="39"/>
      <c r="R55" s="7"/>
      <c r="S55" s="7"/>
      <c r="T55" s="7"/>
      <c r="U55" s="7"/>
      <c r="V55" s="7"/>
      <c r="W55" s="7"/>
      <c r="X55" s="7"/>
    </row>
    <row r="56" spans="2:24" ht="14.4" x14ac:dyDescent="0.3">
      <c r="B56" s="49" t="s">
        <v>42</v>
      </c>
      <c r="C56" s="28"/>
      <c r="D56" s="28"/>
      <c r="E56" s="125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2"/>
      <c r="Q56" s="39"/>
      <c r="R56" s="7"/>
      <c r="S56" s="7"/>
      <c r="T56" s="7"/>
      <c r="U56" s="7"/>
      <c r="V56" s="7"/>
      <c r="W56" s="7"/>
      <c r="X56" s="7"/>
    </row>
    <row r="57" spans="2:24" ht="14.4" x14ac:dyDescent="0.3">
      <c r="B57" s="49" t="s">
        <v>47</v>
      </c>
      <c r="C57" s="28"/>
      <c r="D57" s="28"/>
      <c r="E57" s="125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2"/>
      <c r="Q57" s="39"/>
      <c r="R57" s="7"/>
      <c r="S57" s="7"/>
      <c r="T57" s="7"/>
      <c r="U57" s="7"/>
      <c r="V57" s="7"/>
      <c r="W57" s="7"/>
      <c r="X57" s="7"/>
    </row>
    <row r="58" spans="2:24" ht="14.4" x14ac:dyDescent="0.3">
      <c r="B58" s="49" t="s">
        <v>49</v>
      </c>
      <c r="C58" s="28"/>
      <c r="D58" s="28"/>
      <c r="E58" s="125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2"/>
      <c r="Q58" s="39"/>
      <c r="R58" s="7"/>
      <c r="S58" s="7"/>
      <c r="T58" s="7"/>
      <c r="U58" s="7"/>
      <c r="V58" s="7"/>
      <c r="W58" s="7"/>
      <c r="X58" s="7"/>
    </row>
    <row r="59" spans="2:24" ht="14.4" x14ac:dyDescent="0.3">
      <c r="B59" s="49" t="s">
        <v>48</v>
      </c>
      <c r="C59" s="29"/>
      <c r="D59" s="29"/>
      <c r="E59" s="123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22"/>
      <c r="Q59" s="39"/>
      <c r="R59" s="7"/>
      <c r="S59" s="7"/>
      <c r="T59" s="7"/>
      <c r="U59" s="7"/>
      <c r="V59" s="7"/>
      <c r="W59" s="7"/>
      <c r="X59" s="7"/>
    </row>
    <row r="60" spans="2:24" ht="14.4" x14ac:dyDescent="0.3">
      <c r="B60" s="7"/>
      <c r="C60" s="7"/>
      <c r="D60" s="7"/>
      <c r="E60" s="21"/>
      <c r="F60" s="7"/>
      <c r="G60" s="7"/>
      <c r="H60" s="7"/>
      <c r="I60" s="7"/>
      <c r="J60" s="7"/>
      <c r="K60" s="7"/>
      <c r="L60" s="7"/>
      <c r="M60" s="7"/>
      <c r="N60" s="7"/>
      <c r="O60" s="7"/>
      <c r="P60" s="22"/>
      <c r="Q60" s="39"/>
      <c r="R60" s="7"/>
      <c r="S60" s="7"/>
      <c r="T60" s="7"/>
      <c r="U60" s="7"/>
      <c r="V60" s="7"/>
      <c r="W60" s="7"/>
      <c r="X60" s="7"/>
    </row>
    <row r="61" spans="2:24" s="2" customFormat="1" ht="15" customHeight="1" x14ac:dyDescent="0.3">
      <c r="B61" s="101" t="s">
        <v>55</v>
      </c>
      <c r="C61" s="91"/>
      <c r="D61" s="91"/>
      <c r="E61" s="104">
        <f>SUM(E54,E56:E59)</f>
        <v>0</v>
      </c>
      <c r="F61" s="103">
        <f t="shared" ref="F61:O61" si="11">SUM(F54,F56:F59)</f>
        <v>0</v>
      </c>
      <c r="G61" s="103">
        <f t="shared" si="11"/>
        <v>0</v>
      </c>
      <c r="H61" s="103">
        <f t="shared" si="11"/>
        <v>0</v>
      </c>
      <c r="I61" s="103">
        <f t="shared" si="11"/>
        <v>0</v>
      </c>
      <c r="J61" s="103">
        <f t="shared" si="11"/>
        <v>0</v>
      </c>
      <c r="K61" s="103">
        <f t="shared" si="11"/>
        <v>0</v>
      </c>
      <c r="L61" s="103">
        <f t="shared" si="11"/>
        <v>0</v>
      </c>
      <c r="M61" s="103">
        <f t="shared" si="11"/>
        <v>0</v>
      </c>
      <c r="N61" s="103">
        <f t="shared" si="11"/>
        <v>0</v>
      </c>
      <c r="O61" s="103">
        <f t="shared" si="11"/>
        <v>0</v>
      </c>
      <c r="P61" s="30"/>
      <c r="Q61" s="40"/>
      <c r="R61" s="11"/>
      <c r="S61" s="11"/>
      <c r="T61" s="11"/>
      <c r="U61" s="11"/>
      <c r="V61" s="11"/>
      <c r="W61" s="11"/>
      <c r="X61" s="11"/>
    </row>
    <row r="62" spans="2:24" ht="14.4" x14ac:dyDescent="0.3">
      <c r="B62" s="60" t="s">
        <v>109</v>
      </c>
      <c r="C62" s="26"/>
      <c r="D62" s="26"/>
      <c r="E62" s="115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22"/>
      <c r="Q62" s="39"/>
      <c r="R62" s="7"/>
      <c r="S62" s="7"/>
      <c r="T62" s="7"/>
      <c r="U62" s="7"/>
      <c r="V62" s="7"/>
      <c r="W62" s="7"/>
      <c r="X62" s="7"/>
    </row>
    <row r="63" spans="2:24" ht="14.4" x14ac:dyDescent="0.3">
      <c r="B63" s="7"/>
      <c r="C63" s="7"/>
      <c r="D63" s="7"/>
      <c r="E63" s="21"/>
      <c r="F63" s="7"/>
      <c r="G63" s="7"/>
      <c r="H63" s="7"/>
      <c r="I63" s="7"/>
      <c r="J63" s="7"/>
      <c r="K63" s="7"/>
      <c r="L63" s="7"/>
      <c r="M63" s="7"/>
      <c r="N63" s="7"/>
      <c r="O63" s="31"/>
      <c r="P63" s="22"/>
      <c r="Q63" s="39"/>
      <c r="R63" s="7"/>
      <c r="S63" s="7"/>
      <c r="T63" s="7"/>
      <c r="U63" s="7"/>
      <c r="V63" s="7"/>
      <c r="W63" s="7"/>
      <c r="X63" s="7"/>
    </row>
    <row r="64" spans="2:24" ht="15" customHeight="1" x14ac:dyDescent="0.3">
      <c r="B64" s="101" t="s">
        <v>16</v>
      </c>
      <c r="C64" s="91"/>
      <c r="D64" s="91"/>
      <c r="E64" s="104">
        <f>E61*$C$92</f>
        <v>0</v>
      </c>
      <c r="F64" s="103">
        <f>F61</f>
        <v>0</v>
      </c>
      <c r="G64" s="103">
        <f t="shared" ref="G64:O64" si="12">G61</f>
        <v>0</v>
      </c>
      <c r="H64" s="103">
        <f t="shared" si="12"/>
        <v>0</v>
      </c>
      <c r="I64" s="103">
        <f t="shared" si="12"/>
        <v>0</v>
      </c>
      <c r="J64" s="103">
        <f t="shared" si="12"/>
        <v>0</v>
      </c>
      <c r="K64" s="103">
        <f t="shared" si="12"/>
        <v>0</v>
      </c>
      <c r="L64" s="103">
        <f t="shared" si="12"/>
        <v>0</v>
      </c>
      <c r="M64" s="103">
        <f t="shared" si="12"/>
        <v>0</v>
      </c>
      <c r="N64" s="103">
        <f t="shared" si="12"/>
        <v>0</v>
      </c>
      <c r="O64" s="103">
        <f t="shared" si="12"/>
        <v>0</v>
      </c>
      <c r="P64" s="105">
        <f>P45*$C$87</f>
        <v>0</v>
      </c>
      <c r="Q64" s="39"/>
      <c r="R64" s="7"/>
      <c r="S64" s="7"/>
      <c r="T64" s="7"/>
      <c r="U64" s="7"/>
      <c r="V64" s="7"/>
      <c r="W64" s="7"/>
      <c r="X64" s="7"/>
    </row>
    <row r="65" spans="2:24" ht="9.9" customHeight="1" x14ac:dyDescent="0.3">
      <c r="B65" s="25"/>
      <c r="C65" s="32"/>
      <c r="D65" s="32"/>
      <c r="E65" s="33"/>
      <c r="F65" s="32"/>
      <c r="G65" s="7"/>
      <c r="H65" s="7"/>
      <c r="I65" s="7"/>
      <c r="J65" s="7"/>
      <c r="K65" s="7"/>
      <c r="L65" s="7"/>
      <c r="M65" s="7"/>
      <c r="N65" s="7"/>
      <c r="O65" s="7"/>
      <c r="P65" s="22"/>
      <c r="Q65" s="39"/>
      <c r="R65" s="7"/>
      <c r="S65" s="7"/>
      <c r="T65" s="7"/>
      <c r="U65" s="7"/>
      <c r="V65" s="7"/>
      <c r="W65" s="7"/>
      <c r="X65" s="7"/>
    </row>
    <row r="66" spans="2:24" ht="14.4" x14ac:dyDescent="0.3">
      <c r="B66" s="49" t="s">
        <v>17</v>
      </c>
      <c r="C66" s="34"/>
      <c r="D66" s="35"/>
      <c r="E66" s="65">
        <f>IF($C$86="Mid-Period",$C$92/2,$C$92)</f>
        <v>0.12602739726027398</v>
      </c>
      <c r="F66" s="66">
        <f>IF($C$86="Mid-Period",E66*2+0.5,E66+1)</f>
        <v>0.75205479452054802</v>
      </c>
      <c r="G66" s="66">
        <f>F66+1</f>
        <v>1.752054794520548</v>
      </c>
      <c r="H66" s="66">
        <f t="shared" ref="H66:O66" si="13">G66+1</f>
        <v>2.7520547945205482</v>
      </c>
      <c r="I66" s="66">
        <f t="shared" si="13"/>
        <v>3.7520547945205482</v>
      </c>
      <c r="J66" s="66">
        <f t="shared" si="13"/>
        <v>4.7520547945205482</v>
      </c>
      <c r="K66" s="66">
        <f t="shared" si="13"/>
        <v>5.7520547945205482</v>
      </c>
      <c r="L66" s="66">
        <f t="shared" si="13"/>
        <v>6.7520547945205482</v>
      </c>
      <c r="M66" s="66">
        <f t="shared" si="13"/>
        <v>7.7520547945205482</v>
      </c>
      <c r="N66" s="66">
        <f t="shared" si="13"/>
        <v>8.7520547945205482</v>
      </c>
      <c r="O66" s="66">
        <f t="shared" si="13"/>
        <v>9.7520547945205482</v>
      </c>
      <c r="P66" s="67">
        <f>IF($C$86="Mid-Period",O66+0.5,O66)</f>
        <v>10.252054794520548</v>
      </c>
      <c r="Q66" s="39"/>
      <c r="R66" s="7"/>
      <c r="S66" s="7"/>
      <c r="T66" s="7"/>
      <c r="U66" s="7"/>
      <c r="V66" s="7"/>
      <c r="W66" s="7"/>
      <c r="X66" s="7"/>
    </row>
    <row r="67" spans="2:24" ht="14.4" x14ac:dyDescent="0.3">
      <c r="B67" s="49" t="s">
        <v>18</v>
      </c>
      <c r="C67" s="36"/>
      <c r="D67" s="36"/>
      <c r="E67" s="68">
        <f t="shared" ref="E67:P67" si="14">1/(1+$C$85)^E66</f>
        <v>0.98772829476063495</v>
      </c>
      <c r="F67" s="69">
        <f t="shared" si="14"/>
        <v>0.92896603075508211</v>
      </c>
      <c r="G67" s="69">
        <f t="shared" si="14"/>
        <v>0.84226648758865619</v>
      </c>
      <c r="H67" s="69">
        <f t="shared" si="14"/>
        <v>0.76365853285109575</v>
      </c>
      <c r="I67" s="69">
        <f t="shared" si="14"/>
        <v>0.69238698605458149</v>
      </c>
      <c r="J67" s="69">
        <f t="shared" si="14"/>
        <v>0.62776714700996383</v>
      </c>
      <c r="K67" s="69">
        <f t="shared" si="14"/>
        <v>0.5691782179654703</v>
      </c>
      <c r="L67" s="69">
        <f t="shared" si="14"/>
        <v>0.51605733965114042</v>
      </c>
      <c r="M67" s="69">
        <f t="shared" si="14"/>
        <v>0.46789418393373733</v>
      </c>
      <c r="N67" s="69">
        <f t="shared" si="14"/>
        <v>0.42422605113418854</v>
      </c>
      <c r="O67" s="69">
        <f t="shared" si="14"/>
        <v>0.38463342490787189</v>
      </c>
      <c r="P67" s="70">
        <f t="shared" si="14"/>
        <v>0.36624513615024495</v>
      </c>
      <c r="Q67" s="39"/>
      <c r="R67" s="7"/>
      <c r="S67" s="7"/>
      <c r="T67" s="7"/>
      <c r="U67" s="7"/>
      <c r="V67" s="7"/>
      <c r="W67" s="7"/>
      <c r="X67" s="7"/>
    </row>
    <row r="68" spans="2:24" ht="9.9" customHeight="1" x14ac:dyDescent="0.3">
      <c r="B68" s="7"/>
      <c r="C68" s="7"/>
      <c r="D68" s="7"/>
      <c r="E68" s="21"/>
      <c r="F68" s="7"/>
      <c r="G68" s="7"/>
      <c r="H68" s="7"/>
      <c r="I68" s="7"/>
      <c r="J68" s="7"/>
      <c r="K68" s="7"/>
      <c r="L68" s="7"/>
      <c r="M68" s="7"/>
      <c r="N68" s="7"/>
      <c r="O68" s="7"/>
      <c r="P68" s="22"/>
      <c r="Q68" s="39"/>
      <c r="R68" s="7"/>
      <c r="S68" s="7"/>
      <c r="T68" s="7"/>
      <c r="U68" s="7"/>
      <c r="V68" s="7"/>
      <c r="W68" s="7"/>
      <c r="X68" s="7"/>
    </row>
    <row r="69" spans="2:24" s="2" customFormat="1" ht="15" customHeight="1" thickBot="1" x14ac:dyDescent="0.35">
      <c r="B69" s="107" t="s">
        <v>19</v>
      </c>
      <c r="C69" s="93"/>
      <c r="D69" s="93"/>
      <c r="E69" s="108">
        <f t="shared" ref="E69:P69" si="15">E64*E67</f>
        <v>0</v>
      </c>
      <c r="F69" s="109">
        <f t="shared" si="15"/>
        <v>0</v>
      </c>
      <c r="G69" s="109">
        <f t="shared" si="15"/>
        <v>0</v>
      </c>
      <c r="H69" s="109">
        <f t="shared" si="15"/>
        <v>0</v>
      </c>
      <c r="I69" s="109">
        <f t="shared" si="15"/>
        <v>0</v>
      </c>
      <c r="J69" s="109">
        <f t="shared" si="15"/>
        <v>0</v>
      </c>
      <c r="K69" s="109">
        <f t="shared" si="15"/>
        <v>0</v>
      </c>
      <c r="L69" s="109">
        <f t="shared" si="15"/>
        <v>0</v>
      </c>
      <c r="M69" s="109">
        <f t="shared" si="15"/>
        <v>0</v>
      </c>
      <c r="N69" s="109">
        <f t="shared" si="15"/>
        <v>0</v>
      </c>
      <c r="O69" s="109">
        <f t="shared" si="15"/>
        <v>0</v>
      </c>
      <c r="P69" s="110">
        <f t="shared" si="15"/>
        <v>0</v>
      </c>
      <c r="Q69" s="40"/>
      <c r="R69" s="11"/>
      <c r="S69" s="11"/>
      <c r="T69" s="11"/>
      <c r="U69" s="11"/>
      <c r="V69" s="11"/>
      <c r="W69" s="11"/>
      <c r="X69" s="11"/>
    </row>
    <row r="70" spans="2:24" ht="15" thickTop="1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39"/>
      <c r="R70" s="7"/>
      <c r="S70" s="7"/>
      <c r="T70" s="7"/>
      <c r="U70" s="7"/>
      <c r="V70" s="7"/>
      <c r="W70" s="7"/>
      <c r="X70" s="7"/>
    </row>
    <row r="71" spans="2:24" ht="14.4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39"/>
      <c r="R71" s="7"/>
      <c r="S71" s="7"/>
      <c r="T71" s="7"/>
      <c r="U71" s="7"/>
      <c r="V71" s="7"/>
      <c r="W71" s="7"/>
      <c r="X71" s="7"/>
    </row>
    <row r="72" spans="2:24" ht="14.4" x14ac:dyDescent="0.3">
      <c r="B72" s="71" t="s">
        <v>20</v>
      </c>
      <c r="C72" s="3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39"/>
      <c r="R72" s="7"/>
      <c r="S72" s="7"/>
      <c r="T72" s="7"/>
      <c r="U72" s="7"/>
      <c r="V72" s="7"/>
      <c r="W72" s="7"/>
      <c r="X72" s="7"/>
    </row>
    <row r="73" spans="2:24" ht="14.4" x14ac:dyDescent="0.3">
      <c r="B73" s="49" t="s">
        <v>21</v>
      </c>
      <c r="C73" s="7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39"/>
      <c r="R73" s="7"/>
      <c r="S73" s="7"/>
      <c r="T73" s="7"/>
      <c r="U73" s="7"/>
      <c r="V73" s="7"/>
      <c r="W73" s="7"/>
      <c r="X73" s="7"/>
    </row>
    <row r="74" spans="2:24" ht="14.4" x14ac:dyDescent="0.3">
      <c r="B74" s="49" t="s">
        <v>22</v>
      </c>
      <c r="C74" s="7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39"/>
      <c r="R74" s="7"/>
      <c r="S74" s="7"/>
      <c r="T74" s="7"/>
      <c r="U74" s="7"/>
      <c r="V74" s="7"/>
      <c r="W74" s="7"/>
      <c r="X74" s="7"/>
    </row>
    <row r="75" spans="2:24" ht="15" customHeight="1" x14ac:dyDescent="0.3">
      <c r="B75" s="101" t="s">
        <v>23</v>
      </c>
      <c r="C75" s="103">
        <f>SUM(C73:C74)</f>
        <v>0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39"/>
      <c r="R75" s="7"/>
      <c r="S75" s="7"/>
      <c r="T75" s="7"/>
      <c r="U75" s="7"/>
      <c r="V75" s="7"/>
      <c r="W75" s="7"/>
      <c r="X75" s="7"/>
    </row>
    <row r="76" spans="2:24" ht="14.4" x14ac:dyDescent="0.3">
      <c r="B76" s="60" t="s">
        <v>108</v>
      </c>
      <c r="C76" s="12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39"/>
      <c r="R76" s="7"/>
      <c r="S76" s="7"/>
      <c r="T76" s="7"/>
      <c r="U76" s="7"/>
      <c r="V76" s="7"/>
      <c r="W76" s="7"/>
      <c r="X76" s="7"/>
    </row>
    <row r="77" spans="2:24" ht="14.4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39"/>
      <c r="R77" s="7"/>
      <c r="S77" s="7"/>
      <c r="T77" s="7"/>
      <c r="U77" s="7"/>
      <c r="V77" s="7"/>
      <c r="W77" s="7"/>
      <c r="X77" s="7"/>
    </row>
    <row r="78" spans="2:24" ht="14.4" x14ac:dyDescent="0.3">
      <c r="B78" s="71" t="s">
        <v>24</v>
      </c>
      <c r="C78" s="3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39"/>
      <c r="R78" s="7"/>
      <c r="S78" s="7"/>
      <c r="T78" s="7"/>
      <c r="U78" s="7"/>
      <c r="V78" s="7"/>
      <c r="W78" s="7"/>
      <c r="X78" s="7"/>
    </row>
    <row r="79" spans="2:24" ht="14.4" x14ac:dyDescent="0.3">
      <c r="B79" s="49" t="s">
        <v>21</v>
      </c>
      <c r="C79" s="7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39"/>
      <c r="R79" s="7"/>
      <c r="S79" s="7"/>
      <c r="T79" s="7"/>
      <c r="U79" s="7"/>
      <c r="V79" s="7"/>
      <c r="W79" s="7"/>
      <c r="X79" s="7"/>
    </row>
    <row r="80" spans="2:24" ht="14.4" x14ac:dyDescent="0.3">
      <c r="B80" s="49" t="s">
        <v>22</v>
      </c>
      <c r="C80" s="7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39"/>
      <c r="R80" s="7"/>
      <c r="S80" s="7"/>
      <c r="T80" s="7"/>
      <c r="U80" s="7"/>
      <c r="V80" s="7"/>
      <c r="W80" s="7"/>
      <c r="X80" s="7"/>
    </row>
    <row r="81" spans="2:24" ht="15" customHeight="1" x14ac:dyDescent="0.3">
      <c r="B81" s="101" t="s">
        <v>23</v>
      </c>
      <c r="C81" s="103">
        <f>SUM(C79:C80)</f>
        <v>0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39"/>
      <c r="R81" s="7"/>
      <c r="S81" s="7"/>
      <c r="T81" s="7"/>
      <c r="U81" s="7"/>
      <c r="V81" s="7"/>
      <c r="W81" s="7"/>
      <c r="X81" s="7"/>
    </row>
    <row r="82" spans="2:24" ht="14.4" x14ac:dyDescent="0.3">
      <c r="B82" s="60" t="s">
        <v>108</v>
      </c>
      <c r="C82" s="12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39"/>
      <c r="R82" s="7"/>
      <c r="S82" s="7"/>
      <c r="T82" s="7"/>
      <c r="U82" s="7"/>
      <c r="V82" s="7"/>
      <c r="W82" s="7"/>
      <c r="X82" s="7"/>
    </row>
    <row r="83" spans="2:24" ht="14.4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39"/>
      <c r="R83" s="7"/>
      <c r="S83" s="7"/>
      <c r="T83" s="7"/>
      <c r="U83" s="7"/>
      <c r="V83" s="7"/>
      <c r="W83" s="7"/>
      <c r="X83" s="7"/>
    </row>
    <row r="84" spans="2:24" ht="14.4" x14ac:dyDescent="0.3">
      <c r="B84" s="71" t="s">
        <v>25</v>
      </c>
      <c r="C84" s="3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39"/>
      <c r="R84" s="7"/>
      <c r="S84" s="7"/>
      <c r="T84" s="7"/>
      <c r="U84" s="7"/>
      <c r="V84" s="7"/>
      <c r="W84" s="7"/>
      <c r="X84" s="7"/>
    </row>
    <row r="85" spans="2:24" ht="14.4" x14ac:dyDescent="0.3">
      <c r="B85" s="49" t="s">
        <v>26</v>
      </c>
      <c r="C85" s="95">
        <v>0.102936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39"/>
      <c r="R85" s="7"/>
      <c r="S85" s="7"/>
      <c r="T85" s="7"/>
      <c r="U85" s="7"/>
      <c r="V85" s="7"/>
      <c r="W85" s="7"/>
      <c r="X85" s="7"/>
    </row>
    <row r="86" spans="2:24" ht="14.4" x14ac:dyDescent="0.3">
      <c r="B86" s="49" t="s">
        <v>27</v>
      </c>
      <c r="C86" s="72" t="s">
        <v>28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39"/>
      <c r="R86" s="7"/>
      <c r="S86" s="7"/>
      <c r="T86" s="7"/>
      <c r="U86" s="7"/>
      <c r="V86" s="7"/>
      <c r="W86" s="7"/>
      <c r="X86" s="7"/>
    </row>
    <row r="87" spans="2:24" ht="14.4" x14ac:dyDescent="0.3">
      <c r="B87" s="49" t="s">
        <v>103</v>
      </c>
      <c r="C87" s="96">
        <v>7.32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39"/>
      <c r="R87" s="7"/>
      <c r="S87" s="7"/>
      <c r="T87" s="7"/>
      <c r="U87" s="7"/>
      <c r="V87" s="7"/>
      <c r="W87" s="7"/>
      <c r="X87" s="7"/>
    </row>
    <row r="88" spans="2:24" ht="14.4" x14ac:dyDescent="0.3">
      <c r="B88" s="49" t="s">
        <v>65</v>
      </c>
      <c r="C88" s="95">
        <v>1.7321E-2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39"/>
      <c r="R88" s="7"/>
      <c r="S88" s="7"/>
      <c r="T88" s="7"/>
      <c r="U88" s="7"/>
      <c r="V88" s="7"/>
      <c r="W88" s="7"/>
      <c r="X88" s="7"/>
    </row>
    <row r="89" spans="2:24" ht="14.4" x14ac:dyDescent="0.3">
      <c r="B89" s="49" t="s">
        <v>30</v>
      </c>
      <c r="C89" s="73">
        <v>45930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39"/>
      <c r="R89" s="7"/>
      <c r="S89" s="7"/>
      <c r="T89" s="7"/>
      <c r="U89" s="7"/>
      <c r="V89" s="7"/>
      <c r="W89" s="7"/>
      <c r="X89" s="7"/>
    </row>
    <row r="90" spans="2:24" ht="14.4" x14ac:dyDescent="0.3">
      <c r="B90" s="49" t="s">
        <v>69</v>
      </c>
      <c r="C90" s="73">
        <v>46022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39"/>
      <c r="R90" s="7"/>
      <c r="S90" s="7"/>
      <c r="T90" s="7"/>
      <c r="U90" s="7"/>
      <c r="V90" s="7"/>
      <c r="W90" s="7"/>
      <c r="X90" s="7"/>
    </row>
    <row r="91" spans="2:24" ht="14.4" x14ac:dyDescent="0.3">
      <c r="B91" s="49" t="s">
        <v>70</v>
      </c>
      <c r="C91" s="74">
        <f>C90-EOMONTH(C90,-12)</f>
        <v>365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39"/>
      <c r="R91" s="7"/>
      <c r="S91" s="7"/>
      <c r="T91" s="7"/>
      <c r="U91" s="7"/>
      <c r="V91" s="7"/>
      <c r="W91" s="7"/>
      <c r="X91" s="7"/>
    </row>
    <row r="92" spans="2:24" ht="14.4" x14ac:dyDescent="0.3">
      <c r="B92" s="49" t="s">
        <v>71</v>
      </c>
      <c r="C92" s="75">
        <f>(C90-C89)/C91</f>
        <v>0.25205479452054796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39"/>
      <c r="R92" s="7"/>
      <c r="S92" s="7"/>
      <c r="T92" s="7"/>
      <c r="U92" s="7"/>
      <c r="V92" s="7"/>
      <c r="W92" s="7"/>
      <c r="X92" s="7"/>
    </row>
    <row r="93" spans="2:24" ht="14.4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39"/>
      <c r="R93" s="7"/>
      <c r="S93" s="7"/>
      <c r="T93" s="7"/>
      <c r="U93" s="7"/>
      <c r="V93" s="7"/>
      <c r="W93" s="7"/>
      <c r="X93" s="7"/>
    </row>
    <row r="94" spans="2:24" ht="14.4" x14ac:dyDescent="0.3">
      <c r="B94" s="7"/>
      <c r="C94" s="38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39"/>
      <c r="R94" s="7"/>
      <c r="S94" s="7"/>
      <c r="T94" s="7"/>
      <c r="U94" s="7"/>
      <c r="V94" s="7"/>
      <c r="W94" s="7"/>
      <c r="X94" s="7"/>
    </row>
    <row r="95" spans="2:24" ht="14.4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39"/>
      <c r="R95" s="7"/>
      <c r="S95" s="7"/>
      <c r="T95" s="7"/>
      <c r="U95" s="7"/>
      <c r="V95" s="7"/>
      <c r="W95" s="7"/>
      <c r="X95" s="7"/>
    </row>
    <row r="96" spans="2:24" ht="14.4" x14ac:dyDescent="0.3">
      <c r="B96" s="71" t="s">
        <v>31</v>
      </c>
      <c r="C96" s="37"/>
      <c r="D96" s="37"/>
      <c r="E96" s="37"/>
      <c r="F96" s="37"/>
      <c r="G96" s="37"/>
      <c r="H96" s="37"/>
      <c r="I96" s="7"/>
      <c r="J96" s="7"/>
      <c r="K96" s="7"/>
      <c r="L96" s="7"/>
      <c r="M96" s="7"/>
      <c r="N96" s="7"/>
      <c r="O96" s="7"/>
      <c r="P96" s="7"/>
      <c r="Q96" s="39"/>
      <c r="R96" s="7"/>
      <c r="S96" s="7"/>
      <c r="T96" s="7"/>
      <c r="U96" s="7"/>
      <c r="V96" s="7"/>
      <c r="W96" s="7"/>
      <c r="X96" s="7"/>
    </row>
    <row r="97" spans="2:24" ht="16.2" x14ac:dyDescent="0.45">
      <c r="B97" s="7"/>
      <c r="C97" s="7"/>
      <c r="D97" s="76" t="s">
        <v>26</v>
      </c>
      <c r="E97" s="9"/>
      <c r="F97" s="9"/>
      <c r="G97" s="9"/>
      <c r="H97" s="9"/>
      <c r="I97" s="7"/>
      <c r="J97" s="7"/>
      <c r="K97" s="7"/>
      <c r="L97" s="7"/>
      <c r="M97" s="7"/>
      <c r="N97" s="7"/>
      <c r="O97" s="7"/>
      <c r="P97" s="7"/>
      <c r="Q97" s="39"/>
      <c r="R97" s="7"/>
      <c r="S97" s="7"/>
      <c r="T97" s="7"/>
      <c r="U97" s="7"/>
      <c r="V97" s="7"/>
      <c r="W97" s="7"/>
      <c r="X97" s="7"/>
    </row>
    <row r="98" spans="2:24" ht="14.4" x14ac:dyDescent="0.3">
      <c r="B98" s="7"/>
      <c r="C98" s="77">
        <f>$C$75</f>
        <v>0</v>
      </c>
      <c r="D98" s="78">
        <f>E98-1%</f>
        <v>8.293600000000001E-2</v>
      </c>
      <c r="E98" s="78">
        <f>F98-1%</f>
        <v>9.2936000000000005E-2</v>
      </c>
      <c r="F98" s="97">
        <v>0.102936</v>
      </c>
      <c r="G98" s="78">
        <f>F98+1%</f>
        <v>0.11293599999999999</v>
      </c>
      <c r="H98" s="78">
        <f>G98+1%</f>
        <v>0.12293599999999999</v>
      </c>
      <c r="I98" s="7"/>
      <c r="J98" s="7"/>
      <c r="K98" s="7"/>
      <c r="L98" s="7"/>
      <c r="M98" s="7"/>
      <c r="N98" s="7"/>
      <c r="O98" s="7"/>
      <c r="P98" s="7"/>
      <c r="Q98" s="39"/>
      <c r="R98" s="7"/>
      <c r="S98" s="7"/>
      <c r="T98" s="7"/>
      <c r="U98" s="7"/>
      <c r="V98" s="7"/>
      <c r="W98" s="7"/>
      <c r="X98" s="7"/>
    </row>
    <row r="99" spans="2:24" ht="14.4" x14ac:dyDescent="0.3">
      <c r="B99" s="7"/>
      <c r="C99" s="79">
        <f>C100-2</f>
        <v>3.3200000000000003</v>
      </c>
      <c r="D99" s="77"/>
      <c r="E99" s="77"/>
      <c r="F99" s="77"/>
      <c r="G99" s="77"/>
      <c r="H99" s="77"/>
      <c r="I99" s="7"/>
      <c r="J99" s="7"/>
      <c r="K99" s="7"/>
      <c r="L99" s="7"/>
      <c r="M99" s="7"/>
      <c r="N99" s="7"/>
      <c r="O99" s="7"/>
      <c r="P99" s="7"/>
      <c r="Q99" s="39"/>
      <c r="R99" s="7"/>
      <c r="S99" s="7"/>
      <c r="T99" s="7"/>
      <c r="U99" s="7"/>
      <c r="V99" s="7"/>
      <c r="W99" s="7"/>
      <c r="X99" s="7"/>
    </row>
    <row r="100" spans="2:24" ht="14.4" x14ac:dyDescent="0.3">
      <c r="B100" s="142" t="s">
        <v>32</v>
      </c>
      <c r="C100" s="79">
        <f>C101-2</f>
        <v>5.32</v>
      </c>
      <c r="D100" s="77"/>
      <c r="E100" s="77"/>
      <c r="F100" s="77"/>
      <c r="G100" s="77"/>
      <c r="H100" s="77"/>
      <c r="I100" s="7"/>
      <c r="J100" s="7"/>
      <c r="K100" s="7"/>
      <c r="L100" s="7"/>
      <c r="M100" s="7"/>
      <c r="N100" s="7"/>
      <c r="O100" s="7"/>
      <c r="P100" s="7"/>
      <c r="Q100" s="39"/>
      <c r="R100" s="7"/>
      <c r="S100" s="7"/>
      <c r="T100" s="7"/>
      <c r="U100" s="7"/>
      <c r="V100" s="7"/>
      <c r="W100" s="7"/>
      <c r="X100" s="7"/>
    </row>
    <row r="101" spans="2:24" ht="14.4" x14ac:dyDescent="0.3">
      <c r="B101" s="142" t="s">
        <v>33</v>
      </c>
      <c r="C101" s="98">
        <v>7.32</v>
      </c>
      <c r="D101" s="77"/>
      <c r="E101" s="77"/>
      <c r="F101" s="77"/>
      <c r="G101" s="77"/>
      <c r="H101" s="77"/>
      <c r="I101" s="7"/>
      <c r="J101" s="7"/>
      <c r="K101" s="7"/>
      <c r="L101" s="7"/>
      <c r="M101" s="7"/>
      <c r="N101" s="7"/>
      <c r="O101" s="7"/>
      <c r="P101" s="7"/>
      <c r="Q101" s="39"/>
      <c r="R101" s="7"/>
      <c r="S101" s="7"/>
      <c r="T101" s="7"/>
      <c r="U101" s="7"/>
      <c r="V101" s="7"/>
      <c r="W101" s="7"/>
      <c r="X101" s="7"/>
    </row>
    <row r="102" spans="2:24" ht="14.4" x14ac:dyDescent="0.3">
      <c r="B102" s="7"/>
      <c r="C102" s="79">
        <f>C101+2</f>
        <v>9.32</v>
      </c>
      <c r="D102" s="77"/>
      <c r="E102" s="77"/>
      <c r="F102" s="77"/>
      <c r="G102" s="77"/>
      <c r="H102" s="77"/>
      <c r="I102" s="7"/>
      <c r="J102" s="7"/>
      <c r="K102" s="7"/>
      <c r="L102" s="7"/>
      <c r="M102" s="7"/>
      <c r="N102" s="7"/>
      <c r="O102" s="7"/>
      <c r="P102" s="7"/>
      <c r="Q102" s="39"/>
      <c r="R102" s="7"/>
      <c r="S102" s="7"/>
      <c r="T102" s="7"/>
      <c r="U102" s="7"/>
      <c r="V102" s="7"/>
      <c r="W102" s="7"/>
      <c r="X102" s="7"/>
    </row>
    <row r="103" spans="2:24" ht="14.4" x14ac:dyDescent="0.3">
      <c r="B103" s="7"/>
      <c r="C103" s="79">
        <f>C102+2</f>
        <v>11.32</v>
      </c>
      <c r="D103" s="77"/>
      <c r="E103" s="77"/>
      <c r="F103" s="77"/>
      <c r="G103" s="77"/>
      <c r="H103" s="77"/>
      <c r="I103" s="7"/>
      <c r="J103" s="7"/>
      <c r="K103" s="7"/>
      <c r="L103" s="7"/>
      <c r="M103" s="7"/>
      <c r="N103" s="7"/>
      <c r="O103" s="7"/>
      <c r="P103" s="7"/>
      <c r="Q103" s="39"/>
      <c r="R103" s="7"/>
      <c r="S103" s="7"/>
      <c r="T103" s="7"/>
      <c r="U103" s="7"/>
      <c r="V103" s="7"/>
      <c r="W103" s="7"/>
      <c r="X103" s="7"/>
    </row>
    <row r="104" spans="2:24" ht="14.4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39"/>
      <c r="R104" s="7"/>
      <c r="S104" s="7"/>
      <c r="T104" s="7"/>
      <c r="U104" s="7"/>
      <c r="V104" s="7"/>
      <c r="W104" s="7"/>
      <c r="X104" s="7"/>
    </row>
    <row r="105" spans="2:24" ht="14.4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39"/>
      <c r="R105" s="7"/>
      <c r="S105" s="7"/>
      <c r="T105" s="7"/>
      <c r="U105" s="7"/>
      <c r="V105" s="7"/>
      <c r="W105" s="7"/>
      <c r="X105" s="7"/>
    </row>
    <row r="106" spans="2:24" ht="14.4" x14ac:dyDescent="0.3">
      <c r="B106" s="71" t="s">
        <v>34</v>
      </c>
      <c r="C106" s="37"/>
      <c r="D106" s="37"/>
      <c r="E106" s="37"/>
      <c r="F106" s="37"/>
      <c r="G106" s="37"/>
      <c r="H106" s="37"/>
      <c r="I106" s="7"/>
      <c r="J106" s="7"/>
      <c r="K106" s="7"/>
      <c r="L106" s="7"/>
      <c r="M106" s="7"/>
      <c r="N106" s="7"/>
      <c r="O106" s="7"/>
      <c r="P106" s="7"/>
      <c r="Q106" s="39"/>
      <c r="R106" s="7"/>
      <c r="S106" s="7"/>
      <c r="T106" s="7"/>
      <c r="U106" s="7"/>
      <c r="V106" s="7"/>
      <c r="W106" s="7"/>
      <c r="X106" s="7"/>
    </row>
    <row r="107" spans="2:24" ht="16.2" x14ac:dyDescent="0.45">
      <c r="B107" s="7"/>
      <c r="C107" s="7"/>
      <c r="D107" s="76" t="s">
        <v>26</v>
      </c>
      <c r="E107" s="9"/>
      <c r="F107" s="9"/>
      <c r="G107" s="9"/>
      <c r="H107" s="9"/>
      <c r="I107" s="7"/>
      <c r="J107" s="7"/>
      <c r="K107" s="7"/>
      <c r="L107" s="7"/>
      <c r="M107" s="7"/>
      <c r="N107" s="7"/>
      <c r="O107" s="7"/>
      <c r="P107" s="7"/>
      <c r="Q107" s="39"/>
      <c r="R107" s="7"/>
      <c r="S107" s="7"/>
      <c r="T107" s="7"/>
      <c r="U107" s="7"/>
      <c r="V107" s="7"/>
      <c r="W107" s="7"/>
      <c r="X107" s="7"/>
    </row>
    <row r="108" spans="2:24" ht="14.4" x14ac:dyDescent="0.3">
      <c r="B108" s="7"/>
      <c r="C108" s="77">
        <f>$C$81</f>
        <v>0</v>
      </c>
      <c r="D108" s="78">
        <f>E108-1%</f>
        <v>8.293600000000001E-2</v>
      </c>
      <c r="E108" s="78">
        <f>F108-1%</f>
        <v>9.2936000000000005E-2</v>
      </c>
      <c r="F108" s="97">
        <v>0.102936</v>
      </c>
      <c r="G108" s="78">
        <f>F108+1%</f>
        <v>0.11293599999999999</v>
      </c>
      <c r="H108" s="78">
        <f>G108+1%</f>
        <v>0.12293599999999999</v>
      </c>
      <c r="I108" s="7"/>
      <c r="J108" s="7"/>
      <c r="K108" s="7"/>
      <c r="L108" s="7"/>
      <c r="M108" s="7"/>
      <c r="N108" s="7"/>
      <c r="O108" s="7"/>
      <c r="P108" s="7"/>
      <c r="Q108" s="39"/>
      <c r="R108" s="7"/>
      <c r="S108" s="7"/>
      <c r="T108" s="7"/>
      <c r="U108" s="7"/>
      <c r="V108" s="7"/>
      <c r="W108" s="7"/>
      <c r="X108" s="7"/>
    </row>
    <row r="109" spans="2:24" ht="14.4" x14ac:dyDescent="0.3">
      <c r="B109" s="7"/>
      <c r="C109" s="80">
        <f>C110-0.5%</f>
        <v>7.3209999999999985E-3</v>
      </c>
      <c r="D109" s="77"/>
      <c r="E109" s="77"/>
      <c r="F109" s="77"/>
      <c r="G109" s="77"/>
      <c r="H109" s="77"/>
      <c r="I109" s="7"/>
      <c r="J109" s="7"/>
      <c r="K109" s="7"/>
      <c r="L109" s="7"/>
      <c r="M109" s="7"/>
      <c r="N109" s="7"/>
      <c r="O109" s="7"/>
      <c r="P109" s="7"/>
      <c r="Q109" s="39"/>
      <c r="R109" s="7"/>
      <c r="S109" s="7"/>
      <c r="T109" s="7"/>
      <c r="U109" s="7"/>
      <c r="V109" s="7"/>
      <c r="W109" s="7"/>
      <c r="X109" s="7"/>
    </row>
    <row r="110" spans="2:24" ht="14.4" x14ac:dyDescent="0.3">
      <c r="B110" s="7"/>
      <c r="C110" s="80">
        <f>C111-0.5%</f>
        <v>1.2320999999999999E-2</v>
      </c>
      <c r="D110" s="77"/>
      <c r="E110" s="77"/>
      <c r="F110" s="77"/>
      <c r="G110" s="77"/>
      <c r="H110" s="77"/>
      <c r="I110" s="7"/>
      <c r="J110" s="7"/>
      <c r="K110" s="7"/>
      <c r="L110" s="7"/>
      <c r="M110" s="7"/>
      <c r="N110" s="7"/>
      <c r="O110" s="7"/>
      <c r="P110" s="7"/>
      <c r="Q110" s="39"/>
      <c r="R110" s="7"/>
      <c r="S110" s="7"/>
      <c r="T110" s="7"/>
      <c r="U110" s="7"/>
      <c r="V110" s="7"/>
      <c r="W110" s="7"/>
      <c r="X110" s="7"/>
    </row>
    <row r="111" spans="2:24" ht="14.4" x14ac:dyDescent="0.3">
      <c r="B111" s="142" t="s">
        <v>29</v>
      </c>
      <c r="C111" s="99">
        <v>1.7321E-2</v>
      </c>
      <c r="D111" s="77"/>
      <c r="E111" s="77"/>
      <c r="F111" s="77"/>
      <c r="G111" s="77"/>
      <c r="H111" s="77"/>
      <c r="I111" s="7"/>
      <c r="J111" s="7"/>
      <c r="K111" s="7"/>
      <c r="L111" s="7"/>
      <c r="M111" s="7"/>
      <c r="N111" s="7"/>
      <c r="O111" s="7"/>
      <c r="P111" s="7"/>
      <c r="Q111" s="39"/>
      <c r="R111" s="7"/>
      <c r="S111" s="7"/>
      <c r="T111" s="7"/>
      <c r="U111" s="7"/>
      <c r="V111" s="7"/>
      <c r="W111" s="7"/>
      <c r="X111" s="7"/>
    </row>
    <row r="112" spans="2:24" ht="14.4" x14ac:dyDescent="0.3">
      <c r="B112" s="7"/>
      <c r="C112" s="80">
        <f>C111+0.5%</f>
        <v>2.2321000000000001E-2</v>
      </c>
      <c r="D112" s="77"/>
      <c r="E112" s="77"/>
      <c r="F112" s="77"/>
      <c r="G112" s="77"/>
      <c r="H112" s="77"/>
      <c r="I112" s="7"/>
      <c r="J112" s="7"/>
      <c r="K112" s="7"/>
      <c r="L112" s="7"/>
      <c r="M112" s="7"/>
      <c r="N112" s="7"/>
      <c r="O112" s="7"/>
      <c r="P112" s="7"/>
      <c r="Q112" s="39"/>
      <c r="R112" s="7"/>
      <c r="S112" s="7"/>
      <c r="T112" s="7"/>
      <c r="U112" s="7"/>
      <c r="V112" s="7"/>
      <c r="W112" s="7"/>
      <c r="X112" s="7"/>
    </row>
    <row r="113" spans="2:24" ht="14.4" x14ac:dyDescent="0.3">
      <c r="B113" s="7"/>
      <c r="C113" s="80">
        <f>C112+0.5%</f>
        <v>2.7321000000000002E-2</v>
      </c>
      <c r="D113" s="77"/>
      <c r="E113" s="77"/>
      <c r="F113" s="77"/>
      <c r="G113" s="77"/>
      <c r="H113" s="77"/>
      <c r="I113" s="7"/>
      <c r="J113" s="7"/>
      <c r="K113" s="7"/>
      <c r="L113" s="7"/>
      <c r="M113" s="7"/>
      <c r="N113" s="7"/>
      <c r="O113" s="7"/>
      <c r="P113" s="7"/>
      <c r="Q113" s="39"/>
      <c r="R113" s="7"/>
      <c r="S113" s="7"/>
      <c r="T113" s="7"/>
      <c r="U113" s="7"/>
      <c r="V113" s="7"/>
      <c r="W113" s="7"/>
      <c r="X113" s="7"/>
    </row>
  </sheetData>
  <sheetProtection selectLockedCells="1" selectUnlockedCells="1"/>
  <dataValidations disablePrompts="1" count="1">
    <dataValidation type="list" allowBlank="1" showInputMessage="1" showErrorMessage="1" sqref="C86" xr:uid="{A0D0A029-68FE-4505-9820-A14C734104E5}">
      <formula1>"Mid-Period,Year-End"</formula1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C163-85A9-41F0-BAB8-B685EB9CCA4D}">
  <sheetPr>
    <tabColor rgb="FF1F3864"/>
  </sheetPr>
  <dimension ref="B1:Q61"/>
  <sheetViews>
    <sheetView showGridLines="0" zoomScale="85" zoomScaleNormal="85" workbookViewId="0">
      <pane xSplit="2" ySplit="4" topLeftCell="C5" activePane="bottomRight" state="frozen"/>
      <selection pane="topRight" activeCell="C5" sqref="C5"/>
      <selection pane="bottomLeft" activeCell="C5" sqref="C5"/>
      <selection pane="bottomRight" activeCell="C5" sqref="C5"/>
    </sheetView>
  </sheetViews>
  <sheetFormatPr defaultColWidth="9.109375" defaultRowHeight="13.8" x14ac:dyDescent="0.3"/>
  <cols>
    <col min="1" max="1" width="2.6640625" style="1" customWidth="1"/>
    <col min="2" max="2" width="52.88671875" style="1" bestFit="1" customWidth="1"/>
    <col min="3" max="3" width="15.6640625" style="1" customWidth="1"/>
    <col min="4" max="4" width="10.44140625" style="1" bestFit="1" customWidth="1"/>
    <col min="5" max="15" width="11" style="1" bestFit="1" customWidth="1"/>
    <col min="16" max="16384" width="9.109375" style="1"/>
  </cols>
  <sheetData>
    <row r="1" spans="2:17" ht="14.4" x14ac:dyDescent="0.3">
      <c r="B1" s="46" t="s">
        <v>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2:17" ht="8.1" customHeight="1" x14ac:dyDescent="0.3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2:17" ht="16.2" x14ac:dyDescent="0.45">
      <c r="B3" s="7"/>
      <c r="C3" s="7"/>
      <c r="D3" s="47" t="s">
        <v>4</v>
      </c>
      <c r="E3" s="47" t="s">
        <v>5</v>
      </c>
      <c r="F3" s="8"/>
      <c r="G3" s="8"/>
      <c r="H3" s="8"/>
      <c r="I3" s="8"/>
      <c r="J3" s="8"/>
      <c r="K3" s="8"/>
      <c r="L3" s="8"/>
      <c r="M3" s="8"/>
      <c r="N3" s="8"/>
      <c r="O3" s="8"/>
      <c r="P3" s="7"/>
      <c r="Q3" s="7"/>
    </row>
    <row r="4" spans="2:17" ht="16.2" x14ac:dyDescent="0.45">
      <c r="B4" s="13"/>
      <c r="C4" s="13"/>
      <c r="D4" s="54" t="s">
        <v>8</v>
      </c>
      <c r="E4" s="54" t="s">
        <v>0</v>
      </c>
      <c r="F4" s="54" t="s">
        <v>1</v>
      </c>
      <c r="G4" s="54" t="s">
        <v>2</v>
      </c>
      <c r="H4" s="54" t="s">
        <v>9</v>
      </c>
      <c r="I4" s="54" t="s">
        <v>10</v>
      </c>
      <c r="J4" s="54" t="s">
        <v>11</v>
      </c>
      <c r="K4" s="54" t="s">
        <v>12</v>
      </c>
      <c r="L4" s="54" t="s">
        <v>13</v>
      </c>
      <c r="M4" s="54" t="s">
        <v>14</v>
      </c>
      <c r="N4" s="54" t="s">
        <v>40</v>
      </c>
      <c r="O4" s="54" t="s">
        <v>41</v>
      </c>
      <c r="P4" s="7"/>
      <c r="Q4" s="7"/>
    </row>
    <row r="5" spans="2:17" ht="8.1" customHeight="1" x14ac:dyDescent="0.45">
      <c r="B5" s="13"/>
      <c r="C5" s="13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7"/>
      <c r="Q5" s="7"/>
    </row>
    <row r="6" spans="2:17" s="2" customFormat="1" ht="12.75" customHeight="1" x14ac:dyDescent="0.3">
      <c r="B6" s="50" t="s">
        <v>106</v>
      </c>
      <c r="C6" s="41">
        <f>Drivers!$C$35</f>
        <v>5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2:17" s="2" customFormat="1" ht="8.1" customHeight="1" x14ac:dyDescent="0.3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spans="2:17" ht="14.4" x14ac:dyDescent="0.3">
      <c r="B8" s="81" t="s">
        <v>100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11"/>
      <c r="Q8" s="11"/>
    </row>
    <row r="9" spans="2:17" ht="16.2" x14ac:dyDescent="0.45">
      <c r="B9" s="48" t="s">
        <v>107</v>
      </c>
      <c r="C9" s="82" t="s">
        <v>97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spans="2:17" ht="14.4" x14ac:dyDescent="0.3">
      <c r="B10" s="50" t="s">
        <v>95</v>
      </c>
      <c r="C10" s="28"/>
      <c r="D10" s="43">
        <f>Drivers!$C$36</f>
        <v>1653</v>
      </c>
      <c r="E10" s="128"/>
      <c r="F10" s="129"/>
      <c r="G10" s="129"/>
      <c r="H10" s="129"/>
      <c r="I10" s="129"/>
      <c r="J10" s="129"/>
      <c r="K10" s="129"/>
      <c r="L10" s="129"/>
      <c r="M10" s="129"/>
      <c r="N10" s="129"/>
      <c r="O10" s="130"/>
      <c r="P10" s="11"/>
      <c r="Q10" s="11"/>
    </row>
    <row r="11" spans="2:17" ht="14.4" x14ac:dyDescent="0.3">
      <c r="B11" s="50" t="s">
        <v>0</v>
      </c>
      <c r="C11" s="131"/>
      <c r="D11" s="7"/>
      <c r="E11" s="132"/>
      <c r="F11" s="124"/>
      <c r="G11" s="124"/>
      <c r="H11" s="124"/>
      <c r="I11" s="124"/>
      <c r="J11" s="124"/>
      <c r="K11" s="124"/>
      <c r="L11" s="124"/>
      <c r="M11" s="124"/>
      <c r="N11" s="124"/>
      <c r="O11" s="133"/>
      <c r="P11" s="11"/>
      <c r="Q11" s="11"/>
    </row>
    <row r="12" spans="2:17" ht="14.4" x14ac:dyDescent="0.3">
      <c r="B12" s="50" t="s">
        <v>1</v>
      </c>
      <c r="C12" s="134"/>
      <c r="D12" s="7"/>
      <c r="E12" s="44"/>
      <c r="F12" s="132"/>
      <c r="G12" s="124"/>
      <c r="H12" s="124"/>
      <c r="I12" s="124"/>
      <c r="J12" s="124"/>
      <c r="K12" s="124"/>
      <c r="L12" s="124"/>
      <c r="M12" s="124"/>
      <c r="N12" s="124"/>
      <c r="O12" s="133"/>
      <c r="P12" s="11"/>
      <c r="Q12" s="11"/>
    </row>
    <row r="13" spans="2:17" ht="14.4" x14ac:dyDescent="0.3">
      <c r="B13" s="50" t="s">
        <v>2</v>
      </c>
      <c r="C13" s="134"/>
      <c r="D13" s="7"/>
      <c r="E13" s="11"/>
      <c r="F13" s="11"/>
      <c r="G13" s="132"/>
      <c r="H13" s="124"/>
      <c r="I13" s="124"/>
      <c r="J13" s="124"/>
      <c r="K13" s="124"/>
      <c r="L13" s="124"/>
      <c r="M13" s="124"/>
      <c r="N13" s="124"/>
      <c r="O13" s="133"/>
      <c r="P13" s="11"/>
      <c r="Q13" s="11"/>
    </row>
    <row r="14" spans="2:17" ht="14.4" x14ac:dyDescent="0.3">
      <c r="B14" s="50" t="s">
        <v>9</v>
      </c>
      <c r="C14" s="134"/>
      <c r="D14" s="7"/>
      <c r="E14" s="11"/>
      <c r="F14" s="11"/>
      <c r="G14" s="11"/>
      <c r="H14" s="132"/>
      <c r="I14" s="124"/>
      <c r="J14" s="124"/>
      <c r="K14" s="124"/>
      <c r="L14" s="124"/>
      <c r="M14" s="124"/>
      <c r="N14" s="124"/>
      <c r="O14" s="133"/>
      <c r="P14" s="11"/>
      <c r="Q14" s="11"/>
    </row>
    <row r="15" spans="2:17" ht="14.4" x14ac:dyDescent="0.3">
      <c r="B15" s="50" t="s">
        <v>10</v>
      </c>
      <c r="C15" s="134"/>
      <c r="D15" s="7"/>
      <c r="E15" s="11"/>
      <c r="F15" s="11"/>
      <c r="G15" s="11"/>
      <c r="H15" s="11"/>
      <c r="I15" s="132"/>
      <c r="J15" s="124"/>
      <c r="K15" s="124"/>
      <c r="L15" s="124"/>
      <c r="M15" s="124"/>
      <c r="N15" s="124"/>
      <c r="O15" s="133"/>
      <c r="P15" s="11"/>
      <c r="Q15" s="11"/>
    </row>
    <row r="16" spans="2:17" ht="14.4" x14ac:dyDescent="0.3">
      <c r="B16" s="50" t="s">
        <v>11</v>
      </c>
      <c r="C16" s="134"/>
      <c r="D16" s="7"/>
      <c r="E16" s="11"/>
      <c r="F16" s="11"/>
      <c r="G16" s="11"/>
      <c r="H16" s="11"/>
      <c r="I16" s="11"/>
      <c r="J16" s="132"/>
      <c r="K16" s="124"/>
      <c r="L16" s="124"/>
      <c r="M16" s="124"/>
      <c r="N16" s="124"/>
      <c r="O16" s="133"/>
      <c r="P16" s="11"/>
      <c r="Q16" s="11"/>
    </row>
    <row r="17" spans="2:17" ht="14.4" x14ac:dyDescent="0.3">
      <c r="B17" s="50" t="s">
        <v>12</v>
      </c>
      <c r="C17" s="134"/>
      <c r="D17" s="7"/>
      <c r="E17" s="11"/>
      <c r="F17" s="11"/>
      <c r="G17" s="11"/>
      <c r="H17" s="11"/>
      <c r="I17" s="11"/>
      <c r="J17" s="11"/>
      <c r="K17" s="132"/>
      <c r="L17" s="124"/>
      <c r="M17" s="124"/>
      <c r="N17" s="124"/>
      <c r="O17" s="133"/>
      <c r="P17" s="11"/>
      <c r="Q17" s="11"/>
    </row>
    <row r="18" spans="2:17" ht="14.4" x14ac:dyDescent="0.3">
      <c r="B18" s="50" t="s">
        <v>13</v>
      </c>
      <c r="C18" s="134"/>
      <c r="D18" s="7"/>
      <c r="E18" s="11"/>
      <c r="F18" s="11"/>
      <c r="G18" s="11"/>
      <c r="H18" s="11"/>
      <c r="I18" s="11"/>
      <c r="J18" s="11"/>
      <c r="K18" s="11"/>
      <c r="L18" s="132"/>
      <c r="M18" s="124"/>
      <c r="N18" s="124"/>
      <c r="O18" s="133"/>
      <c r="P18" s="11"/>
      <c r="Q18" s="11"/>
    </row>
    <row r="19" spans="2:17" ht="14.4" x14ac:dyDescent="0.3">
      <c r="B19" s="50" t="s">
        <v>14</v>
      </c>
      <c r="C19" s="134"/>
      <c r="D19" s="7"/>
      <c r="E19" s="11"/>
      <c r="F19" s="11"/>
      <c r="G19" s="11"/>
      <c r="H19" s="11"/>
      <c r="I19" s="11"/>
      <c r="J19" s="11"/>
      <c r="K19" s="11"/>
      <c r="L19" s="11"/>
      <c r="M19" s="132"/>
      <c r="N19" s="124"/>
      <c r="O19" s="133"/>
      <c r="P19" s="11"/>
      <c r="Q19" s="11"/>
    </row>
    <row r="20" spans="2:17" ht="14.4" x14ac:dyDescent="0.3">
      <c r="B20" s="50" t="s">
        <v>40</v>
      </c>
      <c r="C20" s="134"/>
      <c r="D20" s="7"/>
      <c r="E20" s="11"/>
      <c r="F20" s="11"/>
      <c r="G20" s="11"/>
      <c r="H20" s="11"/>
      <c r="I20" s="11"/>
      <c r="J20" s="11"/>
      <c r="K20" s="11"/>
      <c r="L20" s="11"/>
      <c r="M20" s="11"/>
      <c r="N20" s="132"/>
      <c r="O20" s="133"/>
      <c r="P20" s="11"/>
      <c r="Q20" s="11"/>
    </row>
    <row r="21" spans="2:17" ht="14.4" x14ac:dyDescent="0.3">
      <c r="B21" s="50" t="s">
        <v>41</v>
      </c>
      <c r="C21" s="135"/>
      <c r="D21" s="7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36"/>
      <c r="P21" s="11"/>
      <c r="Q21" s="11"/>
    </row>
    <row r="22" spans="2:17" s="3" customFormat="1" ht="14.4" x14ac:dyDescent="0.3">
      <c r="B22" s="101" t="s">
        <v>59</v>
      </c>
      <c r="C22" s="89"/>
      <c r="D22" s="103">
        <f>SUM(D10:D21)</f>
        <v>1653</v>
      </c>
      <c r="E22" s="103">
        <f t="shared" ref="E22:N22" si="0">SUM(E10:E21)</f>
        <v>0</v>
      </c>
      <c r="F22" s="103">
        <f t="shared" si="0"/>
        <v>0</v>
      </c>
      <c r="G22" s="103">
        <f t="shared" si="0"/>
        <v>0</v>
      </c>
      <c r="H22" s="103">
        <f t="shared" si="0"/>
        <v>0</v>
      </c>
      <c r="I22" s="103">
        <f t="shared" si="0"/>
        <v>0</v>
      </c>
      <c r="J22" s="103">
        <f t="shared" si="0"/>
        <v>0</v>
      </c>
      <c r="K22" s="103">
        <f t="shared" si="0"/>
        <v>0</v>
      </c>
      <c r="L22" s="103">
        <f t="shared" si="0"/>
        <v>0</v>
      </c>
      <c r="M22" s="103">
        <f t="shared" si="0"/>
        <v>0</v>
      </c>
      <c r="N22" s="103">
        <f t="shared" si="0"/>
        <v>0</v>
      </c>
      <c r="O22" s="103">
        <f>SUM(O10:O21)</f>
        <v>0</v>
      </c>
      <c r="P22" s="11"/>
      <c r="Q22" s="11"/>
    </row>
    <row r="23" spans="2:17" s="2" customFormat="1" ht="12.75" customHeight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2:17" s="2" customFormat="1" ht="12.75" customHeight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spans="2:17" s="2" customFormat="1" ht="12.75" customHeight="1" x14ac:dyDescent="0.3">
      <c r="B25" s="81" t="s">
        <v>57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11"/>
      <c r="Q25" s="11"/>
    </row>
    <row r="26" spans="2:17" s="2" customFormat="1" ht="16.2" x14ac:dyDescent="0.3">
      <c r="B26" s="83" t="s">
        <v>107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spans="2:17" s="2" customFormat="1" ht="12.75" customHeight="1" x14ac:dyDescent="0.3">
      <c r="B27" s="50" t="s">
        <v>95</v>
      </c>
      <c r="C27" s="11"/>
      <c r="D27" s="11"/>
      <c r="E27" s="128"/>
      <c r="F27" s="129"/>
      <c r="G27" s="129"/>
      <c r="H27" s="129"/>
      <c r="I27" s="129"/>
      <c r="J27" s="129"/>
      <c r="K27" s="129"/>
      <c r="L27" s="129"/>
      <c r="M27" s="129"/>
      <c r="N27" s="129"/>
      <c r="O27" s="130"/>
      <c r="P27" s="11"/>
      <c r="Q27" s="11"/>
    </row>
    <row r="28" spans="2:17" s="2" customFormat="1" ht="12.75" customHeight="1" x14ac:dyDescent="0.3">
      <c r="B28" s="50" t="s">
        <v>0</v>
      </c>
      <c r="C28" s="11"/>
      <c r="D28" s="11"/>
      <c r="E28" s="132"/>
      <c r="F28" s="124"/>
      <c r="G28" s="124"/>
      <c r="H28" s="124"/>
      <c r="I28" s="124"/>
      <c r="J28" s="124"/>
      <c r="K28" s="124"/>
      <c r="L28" s="124"/>
      <c r="M28" s="124"/>
      <c r="N28" s="124"/>
      <c r="O28" s="133"/>
      <c r="P28" s="11"/>
      <c r="Q28" s="11"/>
    </row>
    <row r="29" spans="2:17" s="2" customFormat="1" ht="12.75" customHeight="1" x14ac:dyDescent="0.3">
      <c r="B29" s="50" t="s">
        <v>1</v>
      </c>
      <c r="C29" s="11"/>
      <c r="D29" s="11"/>
      <c r="E29" s="44"/>
      <c r="F29" s="132"/>
      <c r="G29" s="124"/>
      <c r="H29" s="124"/>
      <c r="I29" s="124"/>
      <c r="J29" s="124"/>
      <c r="K29" s="124"/>
      <c r="L29" s="124"/>
      <c r="M29" s="124"/>
      <c r="N29" s="124"/>
      <c r="O29" s="133"/>
      <c r="P29" s="11"/>
      <c r="Q29" s="11"/>
    </row>
    <row r="30" spans="2:17" ht="14.4" x14ac:dyDescent="0.3">
      <c r="B30" s="50" t="s">
        <v>2</v>
      </c>
      <c r="C30" s="11"/>
      <c r="D30" s="11"/>
      <c r="E30" s="11"/>
      <c r="F30" s="11"/>
      <c r="G30" s="132"/>
      <c r="H30" s="124"/>
      <c r="I30" s="124"/>
      <c r="J30" s="124"/>
      <c r="K30" s="124"/>
      <c r="L30" s="124"/>
      <c r="M30" s="124"/>
      <c r="N30" s="124"/>
      <c r="O30" s="133"/>
      <c r="P30" s="11"/>
      <c r="Q30" s="11"/>
    </row>
    <row r="31" spans="2:17" ht="14.4" x14ac:dyDescent="0.3">
      <c r="B31" s="50" t="s">
        <v>9</v>
      </c>
      <c r="C31" s="11"/>
      <c r="D31" s="11"/>
      <c r="E31" s="11"/>
      <c r="F31" s="11"/>
      <c r="G31" s="11"/>
      <c r="H31" s="132"/>
      <c r="I31" s="124"/>
      <c r="J31" s="124"/>
      <c r="K31" s="124"/>
      <c r="L31" s="124"/>
      <c r="M31" s="124"/>
      <c r="N31" s="124"/>
      <c r="O31" s="133"/>
      <c r="P31" s="11"/>
      <c r="Q31" s="11"/>
    </row>
    <row r="32" spans="2:17" ht="14.4" x14ac:dyDescent="0.3">
      <c r="B32" s="50" t="s">
        <v>10</v>
      </c>
      <c r="C32" s="11"/>
      <c r="D32" s="11"/>
      <c r="E32" s="11"/>
      <c r="F32" s="11"/>
      <c r="G32" s="11"/>
      <c r="H32" s="11"/>
      <c r="I32" s="132"/>
      <c r="J32" s="124"/>
      <c r="K32" s="124"/>
      <c r="L32" s="124"/>
      <c r="M32" s="124"/>
      <c r="N32" s="124"/>
      <c r="O32" s="133"/>
      <c r="P32" s="11"/>
      <c r="Q32" s="11"/>
    </row>
    <row r="33" spans="2:17" ht="14.4" x14ac:dyDescent="0.3">
      <c r="B33" s="50" t="s">
        <v>11</v>
      </c>
      <c r="C33" s="11"/>
      <c r="D33" s="11"/>
      <c r="E33" s="11"/>
      <c r="F33" s="11"/>
      <c r="G33" s="11"/>
      <c r="H33" s="11"/>
      <c r="I33" s="11"/>
      <c r="J33" s="132"/>
      <c r="K33" s="124"/>
      <c r="L33" s="124"/>
      <c r="M33" s="124"/>
      <c r="N33" s="124"/>
      <c r="O33" s="133"/>
      <c r="P33" s="11"/>
      <c r="Q33" s="11"/>
    </row>
    <row r="34" spans="2:17" ht="14.4" x14ac:dyDescent="0.3">
      <c r="B34" s="50" t="s">
        <v>12</v>
      </c>
      <c r="C34" s="11"/>
      <c r="D34" s="11"/>
      <c r="E34" s="11"/>
      <c r="F34" s="11"/>
      <c r="G34" s="11"/>
      <c r="H34" s="11"/>
      <c r="I34" s="11"/>
      <c r="J34" s="11"/>
      <c r="K34" s="132"/>
      <c r="L34" s="124"/>
      <c r="M34" s="124"/>
      <c r="N34" s="124"/>
      <c r="O34" s="133"/>
      <c r="P34" s="11"/>
      <c r="Q34" s="11"/>
    </row>
    <row r="35" spans="2:17" ht="14.4" x14ac:dyDescent="0.3">
      <c r="B35" s="50" t="s">
        <v>13</v>
      </c>
      <c r="C35" s="11"/>
      <c r="D35" s="11"/>
      <c r="E35" s="11"/>
      <c r="F35" s="11"/>
      <c r="G35" s="11"/>
      <c r="H35" s="11"/>
      <c r="I35" s="11"/>
      <c r="J35" s="11"/>
      <c r="K35" s="11"/>
      <c r="L35" s="132"/>
      <c r="M35" s="124"/>
      <c r="N35" s="124"/>
      <c r="O35" s="133"/>
      <c r="P35" s="11"/>
      <c r="Q35" s="11"/>
    </row>
    <row r="36" spans="2:17" ht="14.4" x14ac:dyDescent="0.3">
      <c r="B36" s="50" t="s">
        <v>14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32"/>
      <c r="N36" s="124"/>
      <c r="O36" s="133"/>
      <c r="P36" s="11"/>
      <c r="Q36" s="11"/>
    </row>
    <row r="37" spans="2:17" ht="14.4" x14ac:dyDescent="0.3">
      <c r="B37" s="50" t="s">
        <v>40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32"/>
      <c r="O37" s="133"/>
      <c r="P37" s="11"/>
      <c r="Q37" s="11"/>
    </row>
    <row r="38" spans="2:17" ht="14.4" x14ac:dyDescent="0.3">
      <c r="B38" s="50" t="s">
        <v>41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36"/>
      <c r="P38" s="11"/>
      <c r="Q38" s="11"/>
    </row>
    <row r="39" spans="2:17" ht="14.4" x14ac:dyDescent="0.3">
      <c r="B39" s="101" t="s">
        <v>58</v>
      </c>
      <c r="C39" s="89"/>
      <c r="D39" s="94"/>
      <c r="E39" s="103">
        <f>SUM(E27:E38)</f>
        <v>0</v>
      </c>
      <c r="F39" s="103">
        <f t="shared" ref="F39:O39" si="1">SUM(F27:F38)</f>
        <v>0</v>
      </c>
      <c r="G39" s="103">
        <f t="shared" si="1"/>
        <v>0</v>
      </c>
      <c r="H39" s="103">
        <f t="shared" si="1"/>
        <v>0</v>
      </c>
      <c r="I39" s="103">
        <f t="shared" si="1"/>
        <v>0</v>
      </c>
      <c r="J39" s="103">
        <f t="shared" si="1"/>
        <v>0</v>
      </c>
      <c r="K39" s="103">
        <f t="shared" si="1"/>
        <v>0</v>
      </c>
      <c r="L39" s="103">
        <f t="shared" si="1"/>
        <v>0</v>
      </c>
      <c r="M39" s="103">
        <f t="shared" si="1"/>
        <v>0</v>
      </c>
      <c r="N39" s="103">
        <f t="shared" si="1"/>
        <v>0</v>
      </c>
      <c r="O39" s="103">
        <f t="shared" si="1"/>
        <v>0</v>
      </c>
      <c r="P39" s="11"/>
      <c r="Q39" s="11"/>
    </row>
    <row r="40" spans="2:17" ht="14.4" x14ac:dyDescent="0.3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spans="2:17" ht="14.4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spans="2:17" ht="14.4" x14ac:dyDescent="0.3">
      <c r="B42" s="81" t="s">
        <v>56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7"/>
      <c r="Q42" s="7"/>
    </row>
    <row r="43" spans="2:17" ht="14.4" x14ac:dyDescent="0.3">
      <c r="B43" s="50" t="s">
        <v>102</v>
      </c>
      <c r="C43" s="44"/>
      <c r="D43" s="43">
        <f>Drivers!$C$37</f>
        <v>914</v>
      </c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9"/>
      <c r="P43" s="7"/>
      <c r="Q43" s="7"/>
    </row>
    <row r="44" spans="2:17" ht="14.4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7"/>
      <c r="Q44" s="7"/>
    </row>
    <row r="45" spans="2:17" ht="14.4" x14ac:dyDescent="0.3">
      <c r="B45" s="101" t="s">
        <v>56</v>
      </c>
      <c r="C45" s="89"/>
      <c r="D45" s="94"/>
      <c r="E45" s="140"/>
      <c r="F45" s="141"/>
      <c r="G45" s="141"/>
      <c r="H45" s="141"/>
      <c r="I45" s="141"/>
      <c r="J45" s="140"/>
      <c r="K45" s="140"/>
      <c r="L45" s="140"/>
      <c r="M45" s="140"/>
      <c r="N45" s="140"/>
      <c r="O45" s="140"/>
      <c r="P45" s="7"/>
      <c r="Q45" s="7"/>
    </row>
    <row r="46" spans="2:17" ht="14.4" x14ac:dyDescent="0.3">
      <c r="B46" s="7"/>
      <c r="C46" s="7"/>
      <c r="D46" s="7"/>
      <c r="E46" s="7"/>
      <c r="F46" s="7"/>
      <c r="G46" s="7"/>
      <c r="H46" s="7"/>
      <c r="I46" s="7"/>
      <c r="J46" s="7"/>
      <c r="K46" s="11"/>
      <c r="L46" s="11"/>
      <c r="M46" s="11"/>
      <c r="N46" s="11"/>
      <c r="O46" s="11"/>
      <c r="P46" s="7"/>
      <c r="Q46" s="7"/>
    </row>
    <row r="47" spans="2:17" ht="14.4" x14ac:dyDescent="0.3">
      <c r="B47" s="7"/>
      <c r="C47" s="7"/>
      <c r="D47" s="7"/>
      <c r="E47" s="7"/>
      <c r="F47" s="7"/>
      <c r="G47" s="7"/>
      <c r="H47" s="7"/>
      <c r="I47" s="7"/>
      <c r="J47" s="7"/>
      <c r="K47" s="11"/>
      <c r="L47" s="11"/>
      <c r="M47" s="11"/>
      <c r="N47" s="11"/>
      <c r="O47" s="11"/>
      <c r="P47" s="7"/>
      <c r="Q47" s="7"/>
    </row>
    <row r="48" spans="2:17" ht="14.4" x14ac:dyDescent="0.3">
      <c r="B48" s="81" t="s">
        <v>99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7"/>
      <c r="Q48" s="7"/>
    </row>
    <row r="49" spans="2:17" ht="14.4" x14ac:dyDescent="0.3">
      <c r="B49" s="49" t="s">
        <v>57</v>
      </c>
      <c r="C49" s="7"/>
      <c r="D49" s="7"/>
      <c r="E49" s="58">
        <f t="shared" ref="E49:O49" si="2">E39</f>
        <v>0</v>
      </c>
      <c r="F49" s="59">
        <f t="shared" si="2"/>
        <v>0</v>
      </c>
      <c r="G49" s="59">
        <f t="shared" si="2"/>
        <v>0</v>
      </c>
      <c r="H49" s="59">
        <f t="shared" si="2"/>
        <v>0</v>
      </c>
      <c r="I49" s="59">
        <f t="shared" si="2"/>
        <v>0</v>
      </c>
      <c r="J49" s="59">
        <f t="shared" si="2"/>
        <v>0</v>
      </c>
      <c r="K49" s="59">
        <f t="shared" si="2"/>
        <v>0</v>
      </c>
      <c r="L49" s="59">
        <f t="shared" si="2"/>
        <v>0</v>
      </c>
      <c r="M49" s="59">
        <f t="shared" si="2"/>
        <v>0</v>
      </c>
      <c r="N49" s="59">
        <f t="shared" si="2"/>
        <v>0</v>
      </c>
      <c r="O49" s="84">
        <f t="shared" si="2"/>
        <v>0</v>
      </c>
      <c r="P49" s="7"/>
      <c r="Q49" s="7"/>
    </row>
    <row r="50" spans="2:17" ht="14.4" x14ac:dyDescent="0.3">
      <c r="B50" s="49" t="s">
        <v>56</v>
      </c>
      <c r="C50" s="7"/>
      <c r="D50" s="7"/>
      <c r="E50" s="85">
        <f t="shared" ref="E50:O50" si="3">E45</f>
        <v>0</v>
      </c>
      <c r="F50" s="86">
        <f t="shared" si="3"/>
        <v>0</v>
      </c>
      <c r="G50" s="86">
        <f t="shared" si="3"/>
        <v>0</v>
      </c>
      <c r="H50" s="86">
        <f t="shared" si="3"/>
        <v>0</v>
      </c>
      <c r="I50" s="86">
        <f t="shared" si="3"/>
        <v>0</v>
      </c>
      <c r="J50" s="86">
        <f t="shared" si="3"/>
        <v>0</v>
      </c>
      <c r="K50" s="86">
        <f t="shared" si="3"/>
        <v>0</v>
      </c>
      <c r="L50" s="86">
        <f t="shared" si="3"/>
        <v>0</v>
      </c>
      <c r="M50" s="86">
        <f t="shared" si="3"/>
        <v>0</v>
      </c>
      <c r="N50" s="86">
        <f t="shared" si="3"/>
        <v>0</v>
      </c>
      <c r="O50" s="87">
        <f t="shared" si="3"/>
        <v>0</v>
      </c>
      <c r="P50" s="7"/>
      <c r="Q50" s="7"/>
    </row>
    <row r="51" spans="2:17" ht="15" thickBot="1" x14ac:dyDescent="0.35">
      <c r="B51" s="107" t="s">
        <v>99</v>
      </c>
      <c r="C51" s="92"/>
      <c r="D51" s="100"/>
      <c r="E51" s="109">
        <f>SUM(E49:E50)</f>
        <v>0</v>
      </c>
      <c r="F51" s="109">
        <f t="shared" ref="F51:O51" si="4">SUM(F49:F50)</f>
        <v>0</v>
      </c>
      <c r="G51" s="109">
        <f t="shared" si="4"/>
        <v>0</v>
      </c>
      <c r="H51" s="109">
        <f t="shared" si="4"/>
        <v>0</v>
      </c>
      <c r="I51" s="109">
        <f t="shared" si="4"/>
        <v>0</v>
      </c>
      <c r="J51" s="109">
        <f t="shared" si="4"/>
        <v>0</v>
      </c>
      <c r="K51" s="109">
        <f t="shared" si="4"/>
        <v>0</v>
      </c>
      <c r="L51" s="109">
        <f t="shared" si="4"/>
        <v>0</v>
      </c>
      <c r="M51" s="109">
        <f t="shared" si="4"/>
        <v>0</v>
      </c>
      <c r="N51" s="109">
        <f t="shared" si="4"/>
        <v>0</v>
      </c>
      <c r="O51" s="109">
        <f t="shared" si="4"/>
        <v>0</v>
      </c>
      <c r="P51" s="7"/>
      <c r="Q51" s="7"/>
    </row>
    <row r="52" spans="2:17" ht="15" thickTop="1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11"/>
      <c r="Q52" s="11"/>
    </row>
    <row r="53" spans="2:17" ht="14.4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11"/>
      <c r="Q53" s="11"/>
    </row>
    <row r="54" spans="2:17" ht="14.4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11"/>
      <c r="Q54" s="11"/>
    </row>
    <row r="55" spans="2:17" ht="14.4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11"/>
      <c r="Q55" s="11"/>
    </row>
    <row r="56" spans="2:17" ht="14.4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11"/>
      <c r="Q56" s="11"/>
    </row>
    <row r="57" spans="2:17" ht="14.4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11"/>
      <c r="Q57" s="11"/>
    </row>
    <row r="58" spans="2:17" ht="14.4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11"/>
      <c r="Q58" s="11"/>
    </row>
    <row r="59" spans="2:17" ht="14.4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11"/>
      <c r="Q59" s="11"/>
    </row>
    <row r="60" spans="2:17" ht="14.4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11"/>
      <c r="Q60" s="11"/>
    </row>
    <row r="61" spans="2:17" ht="14.4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11"/>
      <c r="Q61" s="11"/>
    </row>
  </sheetData>
  <pageMargins left="0.7" right="0.7" top="0.75" bottom="0.75" header="0.3" footer="0.3"/>
  <pageSetup orientation="portrait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Drivers</vt:lpstr>
      <vt:lpstr>Operating Valuation</vt:lpstr>
      <vt:lpstr>D&amp;A Schedule</vt:lpstr>
    </vt:vector>
  </TitlesOfParts>
  <Company>shortcut.ai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2025-09-29T13:31:11Z</dcterms:created>
  <dcterms:modified xsi:type="dcterms:W3CDTF">2026-08-15T00:36:40Z</dcterms:modified>
</cp:coreProperties>
</file>