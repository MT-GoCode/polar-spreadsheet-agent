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xr:revisionPtr revIDLastSave="0" documentId="13_ncr:1_{A9E45CA1-7590-4BF8-B9A4-926D0A417CD8}" xr6:coauthVersionLast="47" xr6:coauthVersionMax="47" xr10:uidLastSave="{00000000-0000-0000-0000-000000000000}"/>
  <bookViews>
    <workbookView xWindow="7448" yWindow="-16695" windowWidth="28994" windowHeight="15675" xr2:uid="{CFCDA08E-4028-4807-A7C9-A5A2C0C6D042}"/>
  </bookViews>
  <sheets>
    <sheet name="Drivers" sheetId="1" r:id="rId1"/>
    <sheet name="Operating Valuation" sheetId="2" r:id="rId2"/>
    <sheet name="D&amp;A Schedule" sheetId="8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8" l="1"/>
  <c r="O50" i="8" s="1"/>
  <c r="N45" i="8"/>
  <c r="N50" i="8" s="1"/>
  <c r="M45" i="8"/>
  <c r="M50" i="8" s="1"/>
  <c r="L45" i="8"/>
  <c r="L50" i="8" s="1"/>
  <c r="K45" i="8"/>
  <c r="K50" i="8" s="1"/>
  <c r="J45" i="8"/>
  <c r="J50" i="8" s="1"/>
  <c r="E45" i="8" a="1"/>
  <c r="D43" i="8"/>
  <c r="D10" i="8"/>
  <c r="D22" i="8" s="1"/>
  <c r="C6" i="8"/>
  <c r="E10" i="8" s="1"/>
  <c r="C112" i="2"/>
  <c r="C113" i="2" s="1"/>
  <c r="C110" i="2"/>
  <c r="C109" i="2" s="1"/>
  <c r="G108" i="2"/>
  <c r="H108" i="2" s="1"/>
  <c r="E108" i="2"/>
  <c r="D108" i="2" s="1"/>
  <c r="C102" i="2"/>
  <c r="C103" i="2" s="1"/>
  <c r="C100" i="2"/>
  <c r="C99" i="2" s="1"/>
  <c r="G98" i="2"/>
  <c r="H98" i="2" s="1"/>
  <c r="E98" i="2"/>
  <c r="D98" i="2"/>
  <c r="C91" i="2"/>
  <c r="C92" i="2" s="1"/>
  <c r="E66" i="2" s="1"/>
  <c r="D45" i="2"/>
  <c r="D38" i="2" s="1"/>
  <c r="C45" i="2"/>
  <c r="E44" i="2"/>
  <c r="F44" i="2" s="1"/>
  <c r="G44" i="2" s="1"/>
  <c r="H44" i="2" s="1"/>
  <c r="I44" i="2" s="1"/>
  <c r="J44" i="2" s="1"/>
  <c r="K44" i="2" s="1"/>
  <c r="L44" i="2" s="1"/>
  <c r="M44" i="2" s="1"/>
  <c r="N44" i="2" s="1"/>
  <c r="O44" i="2" s="1"/>
  <c r="C38" i="2"/>
  <c r="D36" i="2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C36" i="2"/>
  <c r="D35" i="2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C35" i="2"/>
  <c r="D34" i="2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C34" i="2"/>
  <c r="D30" i="2"/>
  <c r="C30" i="2"/>
  <c r="D23" i="2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C23" i="2"/>
  <c r="F22" i="2"/>
  <c r="G22" i="2" s="1"/>
  <c r="H22" i="2" s="1"/>
  <c r="I22" i="2" s="1"/>
  <c r="J22" i="2" s="1"/>
  <c r="K22" i="2" s="1"/>
  <c r="L22" i="2" s="1"/>
  <c r="M22" i="2" s="1"/>
  <c r="N22" i="2" s="1"/>
  <c r="O22" i="2" s="1"/>
  <c r="D22" i="2"/>
  <c r="E22" i="2" s="1"/>
  <c r="C22" i="2"/>
  <c r="D21" i="2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C21" i="2"/>
  <c r="D17" i="2"/>
  <c r="D11" i="2" s="1"/>
  <c r="C17" i="2"/>
  <c r="E10" i="2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D10" i="2"/>
  <c r="F9" i="2"/>
  <c r="F15" i="2" s="1"/>
  <c r="F28" i="2" s="1"/>
  <c r="F42" i="2" s="1"/>
  <c r="E9" i="2"/>
  <c r="E15" i="2" s="1"/>
  <c r="E28" i="2" s="1"/>
  <c r="D9" i="2"/>
  <c r="E8" i="2"/>
  <c r="F8" i="2" s="1"/>
  <c r="G8" i="2" s="1"/>
  <c r="H8" i="2" s="1"/>
  <c r="I8" i="2" s="1"/>
  <c r="J8" i="2" s="1"/>
  <c r="K8" i="2" s="1"/>
  <c r="L8" i="2" s="1"/>
  <c r="M8" i="2" s="1"/>
  <c r="N8" i="2" s="1"/>
  <c r="O8" i="2" s="1"/>
  <c r="D8" i="2"/>
  <c r="E27" i="8" l="1"/>
  <c r="G9" i="2"/>
  <c r="H9" i="2" s="1"/>
  <c r="I9" i="2" s="1"/>
  <c r="J9" i="2" s="1"/>
  <c r="K9" i="2" s="1"/>
  <c r="L9" i="2" s="1"/>
  <c r="M9" i="2" s="1"/>
  <c r="N9" i="2" s="1"/>
  <c r="O9" i="2" s="1"/>
  <c r="D18" i="2"/>
  <c r="D46" i="2"/>
  <c r="D24" i="2"/>
  <c r="D31" i="2"/>
  <c r="E14" i="2"/>
  <c r="F14" i="2" s="1"/>
  <c r="E67" i="2"/>
  <c r="F66" i="2"/>
  <c r="G15" i="2"/>
  <c r="E45" i="8"/>
  <c r="I50" i="8"/>
  <c r="H50" i="8"/>
  <c r="G50" i="8"/>
  <c r="F50" i="8"/>
  <c r="G14" i="2"/>
  <c r="E16" i="2"/>
  <c r="E42" i="2"/>
  <c r="E27" i="2"/>
  <c r="F27" i="2"/>
  <c r="F10" i="8"/>
  <c r="C24" i="2"/>
  <c r="E17" i="2" l="1"/>
  <c r="E56" i="2" s="1"/>
  <c r="F41" i="2"/>
  <c r="E43" i="8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E50" i="8"/>
  <c r="G28" i="2"/>
  <c r="G42" i="2" s="1"/>
  <c r="H15" i="2"/>
  <c r="E30" i="2"/>
  <c r="E41" i="2"/>
  <c r="E45" i="2" s="1"/>
  <c r="E57" i="2"/>
  <c r="E11" i="2"/>
  <c r="E18" i="2"/>
  <c r="E58" i="2"/>
  <c r="E29" i="2"/>
  <c r="E43" i="2" s="1"/>
  <c r="F16" i="2"/>
  <c r="F67" i="2"/>
  <c r="G66" i="2"/>
  <c r="G10" i="8"/>
  <c r="G27" i="8" s="1"/>
  <c r="F27" i="8"/>
  <c r="G27" i="2"/>
  <c r="H14" i="2"/>
  <c r="E38" i="2" l="1"/>
  <c r="E46" i="2"/>
  <c r="G41" i="2"/>
  <c r="G16" i="2"/>
  <c r="F29" i="2"/>
  <c r="F17" i="2"/>
  <c r="E24" i="2"/>
  <c r="E31" i="2"/>
  <c r="I15" i="2"/>
  <c r="H28" i="2"/>
  <c r="H42" i="2" s="1"/>
  <c r="H27" i="2"/>
  <c r="I14" i="2"/>
  <c r="H10" i="8"/>
  <c r="H27" i="8"/>
  <c r="G67" i="2"/>
  <c r="H66" i="2"/>
  <c r="H41" i="2" l="1"/>
  <c r="H67" i="2"/>
  <c r="I66" i="2"/>
  <c r="I27" i="2"/>
  <c r="J14" i="2"/>
  <c r="G29" i="2"/>
  <c r="H16" i="2"/>
  <c r="G17" i="2"/>
  <c r="I10" i="8"/>
  <c r="I28" i="2"/>
  <c r="I42" i="2" s="1"/>
  <c r="J15" i="2"/>
  <c r="F43" i="2"/>
  <c r="F45" i="2" s="1"/>
  <c r="F30" i="2"/>
  <c r="F57" i="2"/>
  <c r="F11" i="2"/>
  <c r="F58" i="2"/>
  <c r="F56" i="2"/>
  <c r="F18" i="2"/>
  <c r="J10" i="8" l="1"/>
  <c r="J27" i="8" s="1"/>
  <c r="I27" i="8"/>
  <c r="G57" i="2"/>
  <c r="G56" i="2"/>
  <c r="G18" i="2"/>
  <c r="G11" i="2"/>
  <c r="G58" i="2"/>
  <c r="F24" i="2"/>
  <c r="F31" i="2"/>
  <c r="I16" i="2"/>
  <c r="H29" i="2"/>
  <c r="H17" i="2"/>
  <c r="I41" i="2"/>
  <c r="J66" i="2"/>
  <c r="I67" i="2"/>
  <c r="F38" i="2"/>
  <c r="F46" i="2"/>
  <c r="G43" i="2"/>
  <c r="G45" i="2" s="1"/>
  <c r="G30" i="2"/>
  <c r="J28" i="2"/>
  <c r="J42" i="2" s="1"/>
  <c r="K15" i="2"/>
  <c r="K14" i="2"/>
  <c r="J27" i="2"/>
  <c r="I29" i="2" l="1"/>
  <c r="J16" i="2"/>
  <c r="I17" i="2"/>
  <c r="L15" i="2"/>
  <c r="K28" i="2"/>
  <c r="K42" i="2" s="1"/>
  <c r="K10" i="8"/>
  <c r="K27" i="8" s="1"/>
  <c r="G31" i="2"/>
  <c r="G24" i="2"/>
  <c r="H56" i="2"/>
  <c r="H11" i="2"/>
  <c r="H18" i="2"/>
  <c r="H57" i="2"/>
  <c r="H58" i="2"/>
  <c r="H43" i="2"/>
  <c r="H45" i="2" s="1"/>
  <c r="H30" i="2"/>
  <c r="J41" i="2"/>
  <c r="K66" i="2"/>
  <c r="J67" i="2"/>
  <c r="G38" i="2"/>
  <c r="G46" i="2"/>
  <c r="K27" i="2"/>
  <c r="L14" i="2"/>
  <c r="L66" i="2" l="1"/>
  <c r="K67" i="2"/>
  <c r="L27" i="2"/>
  <c r="M14" i="2"/>
  <c r="H31" i="2"/>
  <c r="H24" i="2"/>
  <c r="I56" i="2"/>
  <c r="I58" i="2"/>
  <c r="I57" i="2"/>
  <c r="I18" i="2"/>
  <c r="I11" i="2"/>
  <c r="J29" i="2"/>
  <c r="K16" i="2"/>
  <c r="J17" i="2"/>
  <c r="M15" i="2"/>
  <c r="L28" i="2"/>
  <c r="L42" i="2" s="1"/>
  <c r="K41" i="2"/>
  <c r="H46" i="2"/>
  <c r="H38" i="2"/>
  <c r="L10" i="8"/>
  <c r="L27" i="8" s="1"/>
  <c r="I43" i="2"/>
  <c r="I45" i="2" s="1"/>
  <c r="I30" i="2"/>
  <c r="L16" i="2" l="1"/>
  <c r="K29" i="2"/>
  <c r="K17" i="2"/>
  <c r="J43" i="2"/>
  <c r="J45" i="2" s="1"/>
  <c r="J30" i="2"/>
  <c r="J56" i="2"/>
  <c r="J58" i="2"/>
  <c r="J11" i="2"/>
  <c r="J57" i="2"/>
  <c r="J18" i="2"/>
  <c r="M27" i="2"/>
  <c r="N14" i="2"/>
  <c r="L41" i="2"/>
  <c r="I31" i="2"/>
  <c r="I24" i="2"/>
  <c r="I46" i="2"/>
  <c r="I38" i="2"/>
  <c r="M10" i="8"/>
  <c r="M28" i="2"/>
  <c r="M42" i="2" s="1"/>
  <c r="N15" i="2"/>
  <c r="M66" i="2"/>
  <c r="L67" i="2"/>
  <c r="J31" i="2" l="1"/>
  <c r="J24" i="2"/>
  <c r="O14" i="2"/>
  <c r="N27" i="2"/>
  <c r="J38" i="2"/>
  <c r="J46" i="2"/>
  <c r="N10" i="8"/>
  <c r="N27" i="8"/>
  <c r="M67" i="2"/>
  <c r="N66" i="2"/>
  <c r="M41" i="2"/>
  <c r="K58" i="2"/>
  <c r="K18" i="2"/>
  <c r="K11" i="2"/>
  <c r="K57" i="2"/>
  <c r="K56" i="2"/>
  <c r="N28" i="2"/>
  <c r="N42" i="2" s="1"/>
  <c r="O15" i="2"/>
  <c r="O28" i="2" s="1"/>
  <c r="O42" i="2" s="1"/>
  <c r="K43" i="2"/>
  <c r="K45" i="2" s="1"/>
  <c r="K30" i="2"/>
  <c r="M16" i="2"/>
  <c r="L29" i="2"/>
  <c r="L17" i="2"/>
  <c r="M27" i="8"/>
  <c r="K38" i="2" l="1"/>
  <c r="K46" i="2"/>
  <c r="N67" i="2"/>
  <c r="O66" i="2"/>
  <c r="N41" i="2"/>
  <c r="L58" i="2"/>
  <c r="L57" i="2"/>
  <c r="L18" i="2"/>
  <c r="L56" i="2"/>
  <c r="L11" i="2"/>
  <c r="L43" i="2"/>
  <c r="L45" i="2" s="1"/>
  <c r="L30" i="2"/>
  <c r="O27" i="2"/>
  <c r="N16" i="2"/>
  <c r="M29" i="2"/>
  <c r="M17" i="2"/>
  <c r="K24" i="2"/>
  <c r="K31" i="2"/>
  <c r="O10" i="8"/>
  <c r="O27" i="8" s="1"/>
  <c r="L24" i="2" l="1"/>
  <c r="L31" i="2"/>
  <c r="M43" i="2"/>
  <c r="M45" i="2" s="1"/>
  <c r="M30" i="2"/>
  <c r="O67" i="2"/>
  <c r="P66" i="2"/>
  <c r="P67" i="2" s="1"/>
  <c r="M57" i="2"/>
  <c r="M56" i="2"/>
  <c r="M11" i="2"/>
  <c r="M58" i="2"/>
  <c r="M18" i="2"/>
  <c r="L38" i="2"/>
  <c r="L46" i="2"/>
  <c r="N29" i="2"/>
  <c r="O16" i="2"/>
  <c r="N17" i="2"/>
  <c r="O41" i="2"/>
  <c r="N43" i="2" l="1"/>
  <c r="N45" i="2" s="1"/>
  <c r="N30" i="2"/>
  <c r="M24" i="2"/>
  <c r="M31" i="2"/>
  <c r="M38" i="2"/>
  <c r="M46" i="2"/>
  <c r="N57" i="2"/>
  <c r="N58" i="2"/>
  <c r="N56" i="2"/>
  <c r="N11" i="2"/>
  <c r="N18" i="2"/>
  <c r="O29" i="2"/>
  <c r="O17" i="2"/>
  <c r="O57" i="2" l="1"/>
  <c r="C11" i="8" s="1" a="1"/>
  <c r="O56" i="2"/>
  <c r="O18" i="2"/>
  <c r="O58" i="2"/>
  <c r="P17" i="2"/>
  <c r="O11" i="2"/>
  <c r="O43" i="2"/>
  <c r="O45" i="2" s="1"/>
  <c r="O30" i="2"/>
  <c r="N24" i="2"/>
  <c r="N31" i="2"/>
  <c r="N38" i="2"/>
  <c r="N46" i="2"/>
  <c r="O38" i="2" l="1"/>
  <c r="O46" i="2"/>
  <c r="P45" i="2"/>
  <c r="P64" i="2" s="1"/>
  <c r="P69" i="2" s="1"/>
  <c r="C74" i="2" s="1"/>
  <c r="O24" i="2"/>
  <c r="O31" i="2"/>
  <c r="P30" i="2"/>
  <c r="J16" i="8"/>
  <c r="G13" i="8"/>
  <c r="M19" i="8"/>
  <c r="K17" i="8"/>
  <c r="F12" i="8"/>
  <c r="I15" i="8"/>
  <c r="O21" i="8"/>
  <c r="O38" i="8" s="1"/>
  <c r="N20" i="8"/>
  <c r="C11" i="8"/>
  <c r="E11" i="8" s="1"/>
  <c r="H14" i="8"/>
  <c r="L18" i="8"/>
  <c r="O20" i="8" l="1"/>
  <c r="O37" i="8" s="1"/>
  <c r="N37" i="8"/>
  <c r="J15" i="8"/>
  <c r="J32" i="8"/>
  <c r="I32" i="8"/>
  <c r="K33" i="8"/>
  <c r="J33" i="8"/>
  <c r="K16" i="8"/>
  <c r="F11" i="8"/>
  <c r="E28" i="8"/>
  <c r="E39" i="8" s="1"/>
  <c r="E49" i="8" s="1"/>
  <c r="E51" i="8" s="1"/>
  <c r="E48" i="2" s="1"/>
  <c r="E22" i="8"/>
  <c r="F29" i="8"/>
  <c r="G12" i="8"/>
  <c r="G29" i="8" s="1"/>
  <c r="K34" i="8"/>
  <c r="L17" i="8"/>
  <c r="L35" i="8"/>
  <c r="M18" i="8"/>
  <c r="M35" i="8" s="1"/>
  <c r="M36" i="8"/>
  <c r="N19" i="8"/>
  <c r="H31" i="8"/>
  <c r="I14" i="8"/>
  <c r="I31" i="8" s="1"/>
  <c r="H13" i="8"/>
  <c r="H30" i="8" s="1"/>
  <c r="G30" i="8"/>
  <c r="N18" i="8" l="1"/>
  <c r="H12" i="8"/>
  <c r="H29" i="8"/>
  <c r="I13" i="8"/>
  <c r="I30" i="8"/>
  <c r="E59" i="2"/>
  <c r="E50" i="2"/>
  <c r="K15" i="8"/>
  <c r="O19" i="8"/>
  <c r="O36" i="8" s="1"/>
  <c r="J14" i="8"/>
  <c r="G11" i="8"/>
  <c r="G28" i="8" s="1"/>
  <c r="G39" i="8" s="1"/>
  <c r="G49" i="8" s="1"/>
  <c r="G51" i="8" s="1"/>
  <c r="G48" i="2" s="1"/>
  <c r="F22" i="8"/>
  <c r="M17" i="8"/>
  <c r="M34" i="8"/>
  <c r="F28" i="8"/>
  <c r="F39" i="8" s="1"/>
  <c r="F49" i="8" s="1"/>
  <c r="F51" i="8" s="1"/>
  <c r="F48" i="2" s="1"/>
  <c r="N36" i="8"/>
  <c r="L34" i="8"/>
  <c r="L16" i="8"/>
  <c r="L33" i="8"/>
  <c r="G59" i="2" l="1"/>
  <c r="G50" i="2"/>
  <c r="M16" i="8"/>
  <c r="M33" i="8"/>
  <c r="J13" i="8"/>
  <c r="K14" i="8"/>
  <c r="E52" i="2"/>
  <c r="E54" i="2" s="1"/>
  <c r="E61" i="2" s="1"/>
  <c r="H11" i="8"/>
  <c r="H28" i="8" s="1"/>
  <c r="H39" i="8" s="1"/>
  <c r="H49" i="8" s="1"/>
  <c r="H51" i="8" s="1"/>
  <c r="H48" i="2" s="1"/>
  <c r="G22" i="8"/>
  <c r="J31" i="8"/>
  <c r="F59" i="2"/>
  <c r="F50" i="2"/>
  <c r="I12" i="8"/>
  <c r="N17" i="8"/>
  <c r="N34" i="8"/>
  <c r="L15" i="8"/>
  <c r="O18" i="8"/>
  <c r="O35" i="8" s="1"/>
  <c r="K32" i="8"/>
  <c r="N35" i="8"/>
  <c r="H59" i="2" l="1"/>
  <c r="H50" i="2"/>
  <c r="E62" i="2"/>
  <c r="E64" i="2"/>
  <c r="E69" i="2" s="1"/>
  <c r="K13" i="8"/>
  <c r="F52" i="2"/>
  <c r="F54" i="2" s="1"/>
  <c r="F61" i="2" s="1"/>
  <c r="L14" i="8"/>
  <c r="K31" i="8"/>
  <c r="M15" i="8"/>
  <c r="M32" i="8" s="1"/>
  <c r="L32" i="8"/>
  <c r="J30" i="8"/>
  <c r="O17" i="8"/>
  <c r="O34" i="8" s="1"/>
  <c r="N16" i="8"/>
  <c r="J12" i="8"/>
  <c r="J29" i="8" s="1"/>
  <c r="G54" i="2"/>
  <c r="G61" i="2" s="1"/>
  <c r="G52" i="2"/>
  <c r="I11" i="8"/>
  <c r="I28" i="8" s="1"/>
  <c r="I39" i="8" s="1"/>
  <c r="I49" i="8" s="1"/>
  <c r="I51" i="8" s="1"/>
  <c r="I48" i="2" s="1"/>
  <c r="H22" i="8"/>
  <c r="I29" i="8"/>
  <c r="F62" i="2" l="1"/>
  <c r="F64" i="2"/>
  <c r="F69" i="2" s="1"/>
  <c r="G62" i="2"/>
  <c r="G64" i="2"/>
  <c r="G69" i="2" s="1"/>
  <c r="L13" i="8"/>
  <c r="L30" i="8" s="1"/>
  <c r="N15" i="8"/>
  <c r="K30" i="8"/>
  <c r="I59" i="2"/>
  <c r="I50" i="2"/>
  <c r="K12" i="8"/>
  <c r="K29" i="8"/>
  <c r="O16" i="8"/>
  <c r="O33" i="8" s="1"/>
  <c r="N33" i="8"/>
  <c r="M14" i="8"/>
  <c r="M31" i="8" s="1"/>
  <c r="H52" i="2"/>
  <c r="H54" i="2" s="1"/>
  <c r="H61" i="2" s="1"/>
  <c r="J11" i="8"/>
  <c r="J28" i="8" s="1"/>
  <c r="J39" i="8" s="1"/>
  <c r="J49" i="8" s="1"/>
  <c r="J51" i="8" s="1"/>
  <c r="J48" i="2" s="1"/>
  <c r="I22" i="8"/>
  <c r="L31" i="8"/>
  <c r="H64" i="2" l="1"/>
  <c r="H69" i="2" s="1"/>
  <c r="H62" i="2"/>
  <c r="O15" i="8"/>
  <c r="O32" i="8" s="1"/>
  <c r="L12" i="8"/>
  <c r="J59" i="2"/>
  <c r="J50" i="2"/>
  <c r="J52" i="2" s="1"/>
  <c r="J54" i="2" s="1"/>
  <c r="K11" i="8"/>
  <c r="K28" i="8"/>
  <c r="K39" i="8" s="1"/>
  <c r="K49" i="8" s="1"/>
  <c r="K51" i="8" s="1"/>
  <c r="K48" i="2" s="1"/>
  <c r="J22" i="8"/>
  <c r="N32" i="8"/>
  <c r="M13" i="8"/>
  <c r="N14" i="8"/>
  <c r="I52" i="2"/>
  <c r="I54" i="2"/>
  <c r="I61" i="2" s="1"/>
  <c r="N13" i="8" l="1"/>
  <c r="N30" i="8" s="1"/>
  <c r="M12" i="8"/>
  <c r="O14" i="8"/>
  <c r="O31" i="8"/>
  <c r="J61" i="2"/>
  <c r="N31" i="8"/>
  <c r="M30" i="8"/>
  <c r="L29" i="8"/>
  <c r="I64" i="2"/>
  <c r="I69" i="2" s="1"/>
  <c r="I62" i="2"/>
  <c r="K59" i="2"/>
  <c r="K50" i="2"/>
  <c r="L11" i="8"/>
  <c r="L28" i="8"/>
  <c r="L39" i="8" s="1"/>
  <c r="L49" i="8" s="1"/>
  <c r="L51" i="8" s="1"/>
  <c r="L48" i="2" s="1"/>
  <c r="K22" i="8"/>
  <c r="L59" i="2" l="1"/>
  <c r="L50" i="2"/>
  <c r="L52" i="2" s="1"/>
  <c r="L54" i="2" s="1"/>
  <c r="L61" i="2" s="1"/>
  <c r="M11" i="8"/>
  <c r="M28" i="8" s="1"/>
  <c r="M39" i="8" s="1"/>
  <c r="M49" i="8" s="1"/>
  <c r="M51" i="8" s="1"/>
  <c r="M48" i="2" s="1"/>
  <c r="L22" i="8"/>
  <c r="J62" i="2"/>
  <c r="J64" i="2"/>
  <c r="J69" i="2" s="1"/>
  <c r="K52" i="2"/>
  <c r="K54" i="2" s="1"/>
  <c r="K61" i="2" s="1"/>
  <c r="N12" i="8"/>
  <c r="N29" i="8" s="1"/>
  <c r="M29" i="8"/>
  <c r="O13" i="8"/>
  <c r="O30" i="8"/>
  <c r="K62" i="2" l="1"/>
  <c r="K64" i="2"/>
  <c r="K69" i="2" s="1"/>
  <c r="N11" i="8"/>
  <c r="M22" i="8"/>
  <c r="O12" i="8"/>
  <c r="O29" i="8" s="1"/>
  <c r="M59" i="2"/>
  <c r="M50" i="2"/>
  <c r="L64" i="2"/>
  <c r="L69" i="2" s="1"/>
  <c r="L62" i="2"/>
  <c r="O11" i="8" l="1"/>
  <c r="O22" i="8" s="1"/>
  <c r="N22" i="8"/>
  <c r="N28" i="8"/>
  <c r="N39" i="8" s="1"/>
  <c r="N49" i="8" s="1"/>
  <c r="N51" i="8" s="1"/>
  <c r="N48" i="2" s="1"/>
  <c r="M52" i="2"/>
  <c r="M54" i="2"/>
  <c r="M61" i="2" s="1"/>
  <c r="M64" i="2" l="1"/>
  <c r="M69" i="2" s="1"/>
  <c r="M62" i="2"/>
  <c r="N59" i="2"/>
  <c r="N50" i="2"/>
  <c r="O28" i="8"/>
  <c r="O39" i="8" s="1"/>
  <c r="O49" i="8" s="1"/>
  <c r="O51" i="8" s="1"/>
  <c r="O48" i="2" s="1"/>
  <c r="N52" i="2" l="1"/>
  <c r="N54" i="2" s="1"/>
  <c r="N61" i="2" s="1"/>
  <c r="O59" i="2"/>
  <c r="O50" i="2"/>
  <c r="O52" i="2" l="1"/>
  <c r="O54" i="2" s="1"/>
  <c r="O61" i="2" s="1"/>
  <c r="N64" i="2"/>
  <c r="N69" i="2" s="1"/>
  <c r="N62" i="2"/>
  <c r="O64" i="2" l="1"/>
  <c r="O69" i="2" s="1"/>
  <c r="O62" i="2"/>
  <c r="C80" i="2"/>
  <c r="C73" i="2" l="1"/>
  <c r="C75" i="2" s="1"/>
  <c r="C79" i="2"/>
  <c r="C81" i="2" s="1"/>
  <c r="C76" i="2" l="1"/>
  <c r="C98" i="2"/>
  <c r="C82" i="2"/>
  <c r="C10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<sst xmlns="http://schemas.openxmlformats.org/spreadsheetml/2006/main" count="205" uniqueCount="111">
  <si>
    <t>FY2025P</t>
  </si>
  <si>
    <t>FY2026P</t>
  </si>
  <si>
    <t>FY2027P</t>
  </si>
  <si>
    <t>($ in millions)</t>
  </si>
  <si>
    <t>Actuals</t>
  </si>
  <si>
    <t>Forecast</t>
  </si>
  <si>
    <t>Terminal Year</t>
  </si>
  <si>
    <t>FY2023A</t>
  </si>
  <si>
    <t>FY2024A</t>
  </si>
  <si>
    <t>FY2028P</t>
  </si>
  <si>
    <t>FY2029P</t>
  </si>
  <si>
    <t>FY2030P</t>
  </si>
  <si>
    <t>FY2031P</t>
  </si>
  <si>
    <t>FY2032P</t>
  </si>
  <si>
    <t>FY2033P</t>
  </si>
  <si>
    <t>Value</t>
  </si>
  <si>
    <t>Aggregate Cash Flow</t>
  </si>
  <si>
    <t>Forecast Horizon</t>
  </si>
  <si>
    <t>Discount Factor</t>
  </si>
  <si>
    <t>Discounted Cash Flow</t>
  </si>
  <si>
    <t>NPV — Exit Multiple Method</t>
  </si>
  <si>
    <t>PV of Unlevered FCF</t>
  </si>
  <si>
    <t>PV of Terminal Value</t>
  </si>
  <si>
    <t>Implied Enterprise Value</t>
  </si>
  <si>
    <t>NPV — PGR Method</t>
  </si>
  <si>
    <t>DCF Assumptions</t>
  </si>
  <si>
    <t>WACC</t>
  </si>
  <si>
    <t>Discounting Convention</t>
  </si>
  <si>
    <t>Mid-Period</t>
  </si>
  <si>
    <t>PGR</t>
  </si>
  <si>
    <t>As-of Date</t>
  </si>
  <si>
    <t>EV Sensitivity — Exit Multiple Approach</t>
  </si>
  <si>
    <t>Exit</t>
  </si>
  <si>
    <t>Multiple</t>
  </si>
  <si>
    <t>EV Sensitivity — Perpetuity Growth Approach</t>
  </si>
  <si>
    <t>Mobility Segment</t>
  </si>
  <si>
    <t>Delivery Segment</t>
  </si>
  <si>
    <t>Freight Segment</t>
  </si>
  <si>
    <t>Aggregate Gross Bookings</t>
  </si>
  <si>
    <t>Consolidated Revenue</t>
  </si>
  <si>
    <t>FY2034P</t>
  </si>
  <si>
    <t>FY2035P</t>
  </si>
  <si>
    <t>Less: SBC</t>
  </si>
  <si>
    <t>Less: D&amp;A</t>
  </si>
  <si>
    <t>EBIT</t>
  </si>
  <si>
    <t>Less: Taxes</t>
  </si>
  <si>
    <t>EBT</t>
  </si>
  <si>
    <t>Less: CapEx</t>
  </si>
  <si>
    <t>Add: D&amp;A</t>
  </si>
  <si>
    <t>Less: Δ NWC</t>
  </si>
  <si>
    <t>Adjusted EBITDA</t>
  </si>
  <si>
    <t>FY2025P Gross Bookings Growth (%)</t>
  </si>
  <si>
    <t>FY2025P - FY2035P Forecast Assumptions</t>
  </si>
  <si>
    <t>Blended Take Rate</t>
  </si>
  <si>
    <t>Depreciation and Amortization (D&amp;A)</t>
  </si>
  <si>
    <t>Unlevered FCF (After SBC)</t>
  </si>
  <si>
    <t>Intangible Amortization</t>
  </si>
  <si>
    <t>PP&amp;E Depreciation</t>
  </si>
  <si>
    <t>Total PP&amp;E Depreciation</t>
  </si>
  <si>
    <t>Net PP&amp;E (Total)</t>
  </si>
  <si>
    <t>Capital Expenditures (CapEx)</t>
  </si>
  <si>
    <t>Effective Tax Rate (% of EBIT)</t>
  </si>
  <si>
    <t>Stock-Based Compensation (SBC)</t>
  </si>
  <si>
    <t>Revenue ($ mm)</t>
  </si>
  <si>
    <t>Gross Bookings ($ mm)</t>
  </si>
  <si>
    <t>Perpetuity Growth Rate (PGR)</t>
  </si>
  <si>
    <t>Adjusted EBITDA ($ mm)</t>
  </si>
  <si>
    <t>Adj. EBITDA Margin (%)</t>
  </si>
  <si>
    <t>N/A</t>
  </si>
  <si>
    <t>Year 1 (FY2025P) Fiscal Year End</t>
  </si>
  <si>
    <t>Total Days in FY2025P</t>
  </si>
  <si>
    <t>% Year-to-Go (FY2025P Stub)</t>
  </si>
  <si>
    <t>FY2025P Intangible Amortization</t>
  </si>
  <si>
    <t>FY2026P Intangible Amortization</t>
  </si>
  <si>
    <t>FY2027P Intangible Amortization</t>
  </si>
  <si>
    <t>FY2028P Intangible Amortization</t>
  </si>
  <si>
    <t>FY2029P Intangible Amortization</t>
  </si>
  <si>
    <t>Gross Bookings Growth (%)</t>
  </si>
  <si>
    <t>FY2030P - FY2035P Intangible Amortization (Spread Evenly Across FY2030P - FY2035P)</t>
  </si>
  <si>
    <t>Change in Net Working Capital (NWC)</t>
  </si>
  <si>
    <t>Footnotes:</t>
  </si>
  <si>
    <t>• Take Rate = Revenue ÷ Gross Bookings</t>
  </si>
  <si>
    <t>• CapEx occurs on December 31st of each year (e.g., FY2025P CapEx occurs on 12/31/2025)</t>
  </si>
  <si>
    <t>CapEx (% of Aggregate Gross Bookings)</t>
  </si>
  <si>
    <t>Δ NWC (% of Y/Y change in Aggregate Gross Bookings)</t>
  </si>
  <si>
    <t>SBC (% of Aggregate Gross Bookings)</t>
  </si>
  <si>
    <t xml:space="preserve">FY2026P - FY2035P Annual Change in Gross Bookings Growth Rate (Percentage Points) </t>
  </si>
  <si>
    <t xml:space="preserve">FY2025P - FY2035P Annual Change in Take Rate (Percentage Points) </t>
  </si>
  <si>
    <t xml:space="preserve">FY2025P - FY2035P Annual Change in Adjusted EBITDA Margin (Percentage Points) </t>
  </si>
  <si>
    <t>• Fiscal year-end: December 31</t>
  </si>
  <si>
    <t>FY2025P - FY2035P Corporate Overhead Annual Growth Rate (%)</t>
  </si>
  <si>
    <t>Corporate Overhead Annual Growth (%)</t>
  </si>
  <si>
    <t>Corporate Overhead</t>
  </si>
  <si>
    <t>Take Rate (% of Bookings)</t>
  </si>
  <si>
    <t>Adj. EBITDA Margin</t>
  </si>
  <si>
    <t>Pre-FY2025P</t>
  </si>
  <si>
    <t>Net Property &amp; Equipment (Net PP&amp;E) Balance, 12/31/2024</t>
  </si>
  <si>
    <t>CapEx (Additions)</t>
  </si>
  <si>
    <t>• D&amp;A computed on a straight-line basis</t>
  </si>
  <si>
    <t>Total D&amp;A</t>
  </si>
  <si>
    <t>Ending Net PP&amp;E</t>
  </si>
  <si>
    <t>Net Carrying Value of Intangibles, 12/31/2024</t>
  </si>
  <si>
    <t>Intangibles — Net Carrying Value</t>
  </si>
  <si>
    <t>Exit Multiple (x FY2035P Adjusted EBITDA)</t>
  </si>
  <si>
    <t>Annual Growth (%)</t>
  </si>
  <si>
    <t>Aggregate Gross Bookings Annual Growth</t>
  </si>
  <si>
    <t>Weighted-Avg Useful Life of CapEx (Years)</t>
  </si>
  <si>
    <t>Vintage</t>
  </si>
  <si>
    <t>Enterprise Value / FY2025P EBITDA</t>
  </si>
  <si>
    <t>Conversion (% of Adjusted EBITDA)</t>
  </si>
  <si>
    <t>Uber Technologies (FYE 12/31)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</si>
</sst>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(\$* #,##0_);_(\$* \(#,##0\);_(\$* \-_);_(@_)"/>
    <numFmt numFmtId="165" formatCode="_(* #,##0_);_(* \(#,##0\);_(* &quot;-&quot;??_);_(@_)"/>
    <numFmt numFmtId="167" formatCode="_(* #,##0.00000_);_(* \(#,##0.00000\);_(* &quot;-&quot;??_);_(@_)"/>
    <numFmt numFmtId="168" formatCode="_(* #,##0.000_);_(* \(#,##0.000\);_(* &quot;-&quot;??_);_(@_)"/>
    <numFmt numFmtId="170" formatCode="_(* #,##0.0_);_(* \(#,##0.0\);_(* &quot;-&quot;??_);_(@_)"/>
    <numFmt numFmtId="171" formatCode="_(* #,##0.00_)%;_(* \(#,##0.00\)%;_(* &quot;-&quot;?_)%;_(@_)"/>
    <numFmt numFmtId="174" formatCode="0%;\(0%\)"/>
    <numFmt numFmtId="175" formatCode="0.0;\(0.0\)"/>
    <numFmt numFmtId="176" formatCode="0.0%;\(0.0%\)"/>
    <numFmt numFmtId="177" formatCode="0.00000;\(0.00000\)"/>
    <numFmt numFmtId="178" formatCode="0.0\x;\(0.0\x\)"/>
    <numFmt numFmtId="179" formatCode="0.00;\(0.00\)"/>
  </numFmts>
  <fonts count="28" x14ac:knownFonts="1">
    <font>
      <sz val="11"/>
      <color indexed="8"/>
      <name val="Calibri"/>
      <family val="2"/>
      <charset val="1"/>
    </font>
    <font>
      <sz val="10"/>
      <color indexed="8"/>
      <name val="Calibri"/>
      <family val="2"/>
    </font>
    <font>
      <sz val="10"/>
      <name val="Calibri"/>
      <family val="2"/>
    </font>
    <font>
      <b/>
      <sz val="10"/>
      <color indexed="8"/>
      <name val="Calibri"/>
      <family val="2"/>
    </font>
    <font>
      <b/>
      <sz val="10"/>
      <color rgb="FF000000"/>
      <name val="Calibri"/>
      <family val="2"/>
    </font>
    <font>
      <sz val="10"/>
      <color theme="0" tint="-0.499984740745262"/>
      <name val="Calibri"/>
      <family val="2"/>
    </font>
    <font>
      <sz val="11"/>
      <color theme="0" tint="-0.499984740745262"/>
      <name val="Calibri"/>
      <family val="2"/>
    </font>
    <font>
      <sz val="11"/>
      <color indexed="8"/>
      <name val="Calibri"/>
      <family val="2"/>
    </font>
    <font>
      <u val="singleAccounting"/>
      <sz val="11"/>
      <color theme="0"/>
      <name val="Calibri"/>
      <family val="2"/>
    </font>
    <font>
      <u val="singleAccounting"/>
      <sz val="11"/>
      <color indexed="8"/>
      <name val="Calibri"/>
      <family val="2"/>
    </font>
    <font>
      <sz val="11"/>
      <color rgb="FF0000FF"/>
      <name val="Calibri"/>
      <family val="2"/>
    </font>
    <font>
      <u val="singleAccounting"/>
      <sz val="11"/>
      <color rgb="FF002060"/>
      <name val="Calibri"/>
      <family val="2"/>
    </font>
    <font>
      <u val="singleAccounting"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i/>
      <sz val="11"/>
      <color theme="0"/>
      <name val="Calibri"/>
      <family val="2"/>
    </font>
    <font>
      <sz val="11"/>
      <color rgb="FF008000"/>
      <name val="Calibri"/>
      <family val="2"/>
    </font>
    <font>
      <i/>
      <sz val="11"/>
      <color indexed="8"/>
      <name val="Calibri"/>
      <family val="2"/>
    </font>
    <font>
      <sz val="11"/>
      <color rgb="FF7030A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i/>
      <sz val="9"/>
      <color rgb="FF000000"/>
      <name val="Calibri"/>
      <family val="2"/>
    </font>
    <font>
      <u val="singleAccounting"/>
      <sz val="11"/>
      <color rgb="FFFFFFFF"/>
      <name val="Calibri"/>
      <family val="2"/>
    </font>
    <font>
      <u val="singleAccounting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u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ill="0" applyBorder="0" applyAlignment="0" applyProtection="0"/>
    <xf numFmtId="9" fontId="2" fillId="0" borderId="0" applyFill="0" applyBorder="0" applyAlignment="0" applyProtection="0"/>
  </cellStyleXfs>
  <cellXfs count="1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centerContinuous"/>
    </xf>
    <xf numFmtId="0" fontId="9" fillId="0" borderId="0" xfId="0" applyFont="1" applyAlignment="1">
      <alignment horizontal="centerContinuous"/>
    </xf>
    <xf numFmtId="171" fontId="10" fillId="0" borderId="0" xfId="2" applyNumberFormat="1" applyFont="1" applyFill="1"/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Continuous"/>
    </xf>
    <xf numFmtId="0" fontId="12" fillId="0" borderId="0" xfId="0" applyFont="1" applyAlignment="1">
      <alignment horizontal="left"/>
    </xf>
    <xf numFmtId="0" fontId="13" fillId="0" borderId="0" xfId="0" applyFont="1"/>
    <xf numFmtId="171" fontId="10" fillId="5" borderId="0" xfId="2" applyNumberFormat="1" applyFont="1" applyFill="1"/>
    <xf numFmtId="171" fontId="10" fillId="5" borderId="0" xfId="2" applyNumberFormat="1" applyFont="1" applyFill="1" applyBorder="1"/>
    <xf numFmtId="170" fontId="10" fillId="5" borderId="0" xfId="1" applyNumberFormat="1" applyFont="1" applyFill="1"/>
    <xf numFmtId="164" fontId="10" fillId="5" borderId="0" xfId="0" applyNumberFormat="1" applyFont="1" applyFill="1" applyAlignment="1">
      <alignment vertical="center"/>
    </xf>
    <xf numFmtId="14" fontId="14" fillId="0" borderId="0" xfId="0" applyNumberFormat="1" applyFont="1"/>
    <xf numFmtId="0" fontId="15" fillId="2" borderId="0" xfId="0" applyFont="1" applyFill="1" applyAlignment="1">
      <alignment horizontal="left"/>
    </xf>
    <xf numFmtId="0" fontId="7" fillId="0" borderId="5" xfId="0" applyFont="1" applyBorder="1"/>
    <xf numFmtId="0" fontId="7" fillId="0" borderId="1" xfId="0" applyFont="1" applyBorder="1"/>
    <xf numFmtId="176" fontId="14" fillId="0" borderId="0" xfId="2" applyNumberFormat="1" applyFont="1" applyFill="1" applyBorder="1" applyAlignment="1">
      <alignment horizontal="right" vertical="center"/>
    </xf>
    <xf numFmtId="174" fontId="14" fillId="0" borderId="1" xfId="2" applyNumberFormat="1" applyFont="1" applyBorder="1"/>
    <xf numFmtId="0" fontId="17" fillId="0" borderId="0" xfId="0" applyFont="1" applyAlignment="1">
      <alignment horizontal="left" indent="1"/>
    </xf>
    <xf numFmtId="176" fontId="14" fillId="0" borderId="0" xfId="2" applyNumberFormat="1" applyFont="1"/>
    <xf numFmtId="176" fontId="14" fillId="0" borderId="0" xfId="2" applyNumberFormat="1" applyFont="1" applyBorder="1"/>
    <xf numFmtId="164" fontId="16" fillId="0" borderId="0" xfId="0" applyNumberFormat="1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7" fillId="0" borderId="1" xfId="0" applyFont="1" applyBorder="1" applyAlignment="1">
      <alignment vertical="center"/>
    </xf>
    <xf numFmtId="167" fontId="14" fillId="0" borderId="0" xfId="1" applyNumberFormat="1" applyFont="1"/>
    <xf numFmtId="165" fontId="7" fillId="0" borderId="0" xfId="0" applyNumberFormat="1" applyFont="1"/>
    <xf numFmtId="165" fontId="7" fillId="0" borderId="5" xfId="0" applyNumberFormat="1" applyFont="1" applyBorder="1"/>
    <xf numFmtId="179" fontId="14" fillId="0" borderId="0" xfId="0" applyNumberFormat="1" applyFont="1"/>
    <xf numFmtId="177" fontId="14" fillId="0" borderId="0" xfId="0" applyNumberFormat="1" applyFont="1"/>
    <xf numFmtId="168" fontId="14" fillId="0" borderId="0" xfId="1" applyNumberFormat="1" applyFont="1"/>
    <xf numFmtId="0" fontId="7" fillId="0" borderId="4" xfId="0" applyFont="1" applyBorder="1"/>
    <xf numFmtId="43" fontId="7" fillId="0" borderId="0" xfId="0" applyNumberFormat="1" applyFont="1"/>
    <xf numFmtId="0" fontId="20" fillId="0" borderId="0" xfId="0" applyFont="1"/>
    <xf numFmtId="0" fontId="20" fillId="0" borderId="0" xfId="0" applyFont="1" applyAlignment="1">
      <alignment vertical="center"/>
    </xf>
    <xf numFmtId="175" fontId="16" fillId="4" borderId="8" xfId="0" applyNumberFormat="1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164" fontId="16" fillId="4" borderId="8" xfId="0" applyNumberFormat="1" applyFont="1" applyFill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horizontal="center"/>
    </xf>
    <xf numFmtId="0" fontId="21" fillId="0" borderId="0" xfId="0" applyFont="1"/>
    <xf numFmtId="0" fontId="22" fillId="2" borderId="0" xfId="0" applyFont="1" applyFill="1" applyAlignment="1">
      <alignment horizontal="centerContinuous"/>
    </xf>
    <xf numFmtId="0" fontId="23" fillId="0" borderId="0" xfId="0" applyFont="1" applyAlignment="1">
      <alignment horizontal="left"/>
    </xf>
    <xf numFmtId="0" fontId="24" fillId="0" borderId="0" xfId="0" applyFont="1"/>
    <xf numFmtId="0" fontId="24" fillId="0" borderId="0" xfId="0" applyFont="1" applyAlignment="1">
      <alignment vertical="center"/>
    </xf>
    <xf numFmtId="0" fontId="22" fillId="2" borderId="5" xfId="0" applyFont="1" applyFill="1" applyBorder="1" applyAlignment="1">
      <alignment horizontal="centerContinuous"/>
    </xf>
    <xf numFmtId="0" fontId="25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22" fillId="2" borderId="0" xfId="0" applyFont="1" applyFill="1" applyAlignment="1">
      <alignment horizontal="center"/>
    </xf>
    <xf numFmtId="0" fontId="22" fillId="2" borderId="5" xfId="0" applyFont="1" applyFill="1" applyBorder="1" applyAlignment="1">
      <alignment horizontal="center"/>
    </xf>
    <xf numFmtId="0" fontId="26" fillId="0" borderId="0" xfId="0" applyFont="1"/>
    <xf numFmtId="176" fontId="24" fillId="4" borderId="0" xfId="2" applyNumberFormat="1" applyFont="1" applyFill="1" applyBorder="1" applyAlignment="1">
      <alignment horizontal="right" vertical="center"/>
    </xf>
    <xf numFmtId="164" fontId="24" fillId="4" borderId="5" xfId="0" applyNumberFormat="1" applyFont="1" applyFill="1" applyBorder="1"/>
    <xf numFmtId="164" fontId="24" fillId="4" borderId="0" xfId="0" applyNumberFormat="1" applyFont="1" applyFill="1"/>
    <xf numFmtId="0" fontId="27" fillId="0" borderId="0" xfId="0" applyFont="1" applyAlignment="1">
      <alignment horizontal="left" indent="1"/>
    </xf>
    <xf numFmtId="176" fontId="24" fillId="4" borderId="0" xfId="2" applyNumberFormat="1" applyFont="1" applyFill="1"/>
    <xf numFmtId="176" fontId="24" fillId="4" borderId="0" xfId="2" applyNumberFormat="1" applyFont="1" applyFill="1" applyBorder="1" applyAlignment="1">
      <alignment vertical="center"/>
    </xf>
    <xf numFmtId="176" fontId="24" fillId="4" borderId="5" xfId="2" applyNumberFormat="1" applyFont="1" applyFill="1" applyBorder="1" applyAlignment="1">
      <alignment horizontal="right" vertical="center"/>
    </xf>
    <xf numFmtId="176" fontId="24" fillId="4" borderId="0" xfId="2" applyNumberFormat="1" applyFont="1" applyFill="1" applyBorder="1"/>
    <xf numFmtId="179" fontId="24" fillId="4" borderId="5" xfId="0" applyNumberFormat="1" applyFont="1" applyFill="1" applyBorder="1"/>
    <xf numFmtId="179" fontId="24" fillId="4" borderId="0" xfId="0" applyNumberFormat="1" applyFont="1" applyFill="1"/>
    <xf numFmtId="179" fontId="24" fillId="4" borderId="1" xfId="0" applyNumberFormat="1" applyFont="1" applyFill="1" applyBorder="1"/>
    <xf numFmtId="168" fontId="24" fillId="4" borderId="5" xfId="1" applyNumberFormat="1" applyFont="1" applyFill="1" applyBorder="1"/>
    <xf numFmtId="168" fontId="24" fillId="4" borderId="0" xfId="1" applyNumberFormat="1" applyFont="1" applyFill="1"/>
    <xf numFmtId="168" fontId="24" fillId="4" borderId="1" xfId="1" applyNumberFormat="1" applyFont="1" applyFill="1" applyBorder="1"/>
    <xf numFmtId="0" fontId="24" fillId="0" borderId="4" xfId="0" applyFont="1" applyBorder="1"/>
    <xf numFmtId="0" fontId="24" fillId="3" borderId="0" xfId="0" applyFont="1" applyFill="1" applyAlignment="1">
      <alignment horizontal="right"/>
    </xf>
    <xf numFmtId="14" fontId="24" fillId="3" borderId="0" xfId="0" applyNumberFormat="1" applyFont="1" applyFill="1"/>
    <xf numFmtId="165" fontId="24" fillId="3" borderId="0" xfId="1" applyNumberFormat="1" applyFont="1" applyFill="1"/>
    <xf numFmtId="174" fontId="24" fillId="3" borderId="0" xfId="2" applyNumberFormat="1" applyFont="1" applyFill="1" applyBorder="1"/>
    <xf numFmtId="0" fontId="23" fillId="0" borderId="0" xfId="0" applyFont="1" applyAlignment="1">
      <alignment horizontal="centerContinuous"/>
    </xf>
    <xf numFmtId="164" fontId="24" fillId="0" borderId="0" xfId="0" applyNumberFormat="1" applyFont="1"/>
    <xf numFmtId="176" fontId="24" fillId="3" borderId="4" xfId="0" applyNumberFormat="1" applyFont="1" applyFill="1" applyBorder="1" applyAlignment="1">
      <alignment horizontal="center"/>
    </xf>
    <xf numFmtId="178" fontId="24" fillId="3" borderId="1" xfId="0" applyNumberFormat="1" applyFont="1" applyFill="1" applyBorder="1"/>
    <xf numFmtId="176" fontId="24" fillId="3" borderId="1" xfId="0" applyNumberFormat="1" applyFont="1" applyFill="1" applyBorder="1" applyAlignment="1">
      <alignment horizontal="center"/>
    </xf>
    <xf numFmtId="0" fontId="25" fillId="2" borderId="0" xfId="0" applyFont="1" applyFill="1" applyAlignment="1">
      <alignment vertic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left" vertical="center"/>
    </xf>
    <xf numFmtId="164" fontId="24" fillId="4" borderId="15" xfId="0" applyNumberFormat="1" applyFont="1" applyFill="1" applyBorder="1"/>
    <xf numFmtId="164" fontId="24" fillId="4" borderId="21" xfId="0" applyNumberFormat="1" applyFont="1" applyFill="1" applyBorder="1"/>
    <xf numFmtId="164" fontId="24" fillId="4" borderId="4" xfId="0" applyNumberFormat="1" applyFont="1" applyFill="1" applyBorder="1"/>
    <xf numFmtId="164" fontId="24" fillId="4" borderId="16" xfId="0" applyNumberFormat="1" applyFont="1" applyFill="1" applyBorder="1"/>
    <xf numFmtId="164" fontId="10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/>
    </xf>
    <xf numFmtId="176" fontId="14" fillId="0" borderId="2" xfId="2" applyNumberFormat="1" applyFont="1" applyBorder="1" applyAlignment="1">
      <alignment horizontal="right" vertical="center"/>
    </xf>
    <xf numFmtId="164" fontId="14" fillId="0" borderId="2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164" fontId="14" fillId="0" borderId="7" xfId="0" applyNumberFormat="1" applyFont="1" applyBorder="1" applyAlignment="1">
      <alignment vertical="center"/>
    </xf>
    <xf numFmtId="164" fontId="7" fillId="0" borderId="2" xfId="0" applyNumberFormat="1" applyFont="1" applyBorder="1" applyAlignment="1">
      <alignment vertical="center"/>
    </xf>
    <xf numFmtId="176" fontId="10" fillId="0" borderId="0" xfId="0" applyNumberFormat="1" applyFont="1"/>
    <xf numFmtId="178" fontId="10" fillId="0" borderId="0" xfId="0" applyNumberFormat="1" applyFont="1"/>
    <xf numFmtId="176" fontId="10" fillId="0" borderId="4" xfId="0" applyNumberFormat="1" applyFont="1" applyBorder="1" applyAlignment="1">
      <alignment horizontal="center"/>
    </xf>
    <xf numFmtId="178" fontId="10" fillId="0" borderId="1" xfId="0" applyNumberFormat="1" applyFont="1" applyBorder="1"/>
    <xf numFmtId="176" fontId="10" fillId="0" borderId="1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176" fontId="24" fillId="0" borderId="2" xfId="2" applyNumberFormat="1" applyFont="1" applyBorder="1" applyAlignment="1">
      <alignment horizontal="right" vertical="center"/>
    </xf>
    <xf numFmtId="164" fontId="24" fillId="0" borderId="2" xfId="0" applyNumberFormat="1" applyFont="1" applyBorder="1" applyAlignment="1">
      <alignment vertical="center"/>
    </xf>
    <xf numFmtId="164" fontId="24" fillId="0" borderId="6" xfId="0" applyNumberFormat="1" applyFont="1" applyBorder="1" applyAlignment="1">
      <alignment vertical="center"/>
    </xf>
    <xf numFmtId="164" fontId="24" fillId="0" borderId="3" xfId="0" applyNumberFormat="1" applyFont="1" applyBorder="1" applyAlignment="1">
      <alignment vertical="center"/>
    </xf>
    <xf numFmtId="176" fontId="24" fillId="0" borderId="2" xfId="2" applyNumberFormat="1" applyFont="1" applyBorder="1" applyAlignment="1">
      <alignment vertical="center"/>
    </xf>
    <xf numFmtId="0" fontId="24" fillId="0" borderId="7" xfId="0" applyFont="1" applyBorder="1" applyAlignment="1">
      <alignment vertical="center"/>
    </xf>
    <xf numFmtId="164" fontId="24" fillId="0" borderId="22" xfId="0" applyNumberFormat="1" applyFont="1" applyBorder="1" applyAlignment="1">
      <alignment vertical="center"/>
    </xf>
    <xf numFmtId="164" fontId="24" fillId="0" borderId="7" xfId="0" applyNumberFormat="1" applyFont="1" applyBorder="1" applyAlignment="1">
      <alignment vertical="center"/>
    </xf>
    <xf numFmtId="164" fontId="24" fillId="0" borderId="23" xfId="0" applyNumberFormat="1" applyFont="1" applyBorder="1" applyAlignment="1">
      <alignment vertical="center"/>
    </xf>
    <xf numFmtId="176" fontId="16" fillId="0" borderId="5" xfId="2" applyNumberFormat="1" applyFont="1" applyBorder="1" applyAlignment="1">
      <alignment horizontal="right" vertical="center"/>
    </xf>
    <xf numFmtId="176" fontId="16" fillId="0" borderId="0" xfId="2" applyNumberFormat="1" applyFont="1" applyBorder="1" applyAlignment="1">
      <alignment horizontal="right" vertical="center"/>
    </xf>
    <xf numFmtId="176" fontId="24" fillId="0" borderId="6" xfId="2" applyNumberFormat="1" applyFont="1" applyBorder="1" applyAlignment="1">
      <alignment horizontal="right" vertical="center"/>
    </xf>
    <xf numFmtId="164" fontId="24" fillId="0" borderId="5" xfId="0" applyNumberFormat="1" applyFont="1" applyBorder="1"/>
    <xf numFmtId="176" fontId="24" fillId="0" borderId="5" xfId="2" applyNumberFormat="1" applyFont="1" applyBorder="1"/>
    <xf numFmtId="176" fontId="24" fillId="0" borderId="0" xfId="2" applyNumberFormat="1" applyFont="1"/>
    <xf numFmtId="176" fontId="24" fillId="0" borderId="0" xfId="0" applyNumberFormat="1" applyFont="1"/>
    <xf numFmtId="176" fontId="16" fillId="0" borderId="5" xfId="2" applyNumberFormat="1" applyFont="1" applyBorder="1"/>
    <xf numFmtId="176" fontId="16" fillId="0" borderId="0" xfId="2" applyNumberFormat="1" applyFont="1"/>
    <xf numFmtId="176" fontId="24" fillId="0" borderId="6" xfId="2" applyNumberFormat="1" applyFont="1" applyBorder="1" applyAlignment="1">
      <alignment vertical="center"/>
    </xf>
    <xf numFmtId="176" fontId="16" fillId="0" borderId="5" xfId="0" applyNumberFormat="1" applyFont="1" applyBorder="1"/>
    <xf numFmtId="176" fontId="16" fillId="0" borderId="0" xfId="0" applyNumberFormat="1" applyFont="1"/>
    <xf numFmtId="164" fontId="24" fillId="0" borderId="5" xfId="0" applyNumberFormat="1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164" fontId="16" fillId="0" borderId="5" xfId="0" applyNumberFormat="1" applyFont="1" applyBorder="1" applyAlignment="1">
      <alignment vertical="center"/>
    </xf>
    <xf numFmtId="176" fontId="24" fillId="0" borderId="0" xfId="2" applyNumberFormat="1" applyFont="1" applyBorder="1"/>
    <xf numFmtId="178" fontId="27" fillId="0" borderId="0" xfId="0" applyNumberFormat="1" applyFont="1"/>
    <xf numFmtId="164" fontId="24" fillId="0" borderId="12" xfId="0" applyNumberFormat="1" applyFont="1" applyBorder="1" applyAlignment="1">
      <alignment vertical="center"/>
    </xf>
    <xf numFmtId="164" fontId="24" fillId="0" borderId="13" xfId="0" applyNumberFormat="1" applyFont="1" applyBorder="1" applyAlignment="1">
      <alignment vertical="center"/>
    </xf>
    <xf numFmtId="164" fontId="24" fillId="0" borderId="14" xfId="0" applyNumberFormat="1" applyFont="1" applyBorder="1" applyAlignment="1">
      <alignment vertical="center"/>
    </xf>
    <xf numFmtId="164" fontId="16" fillId="0" borderId="11" xfId="0" applyNumberFormat="1" applyFont="1" applyBorder="1" applyAlignment="1">
      <alignment vertical="center"/>
    </xf>
    <xf numFmtId="164" fontId="24" fillId="0" borderId="17" xfId="0" applyNumberFormat="1" applyFont="1" applyBorder="1" applyAlignment="1">
      <alignment vertical="center"/>
    </xf>
    <xf numFmtId="164" fontId="24" fillId="0" borderId="15" xfId="0" applyNumberFormat="1" applyFont="1" applyBorder="1" applyAlignment="1">
      <alignment vertical="center"/>
    </xf>
    <xf numFmtId="164" fontId="10" fillId="0" borderId="9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164" fontId="24" fillId="0" borderId="10" xfId="0" applyNumberFormat="1" applyFont="1" applyBorder="1" applyAlignment="1">
      <alignment vertical="center"/>
    </xf>
    <xf numFmtId="164" fontId="24" fillId="0" borderId="18" xfId="0" applyNumberFormat="1" applyFont="1" applyBorder="1" applyAlignment="1">
      <alignment vertical="center"/>
    </xf>
    <xf numFmtId="164" fontId="24" fillId="0" borderId="19" xfId="0" applyNumberFormat="1" applyFont="1" applyBorder="1" applyAlignment="1">
      <alignment vertical="center"/>
    </xf>
    <xf numFmtId="164" fontId="24" fillId="0" borderId="20" xfId="0" applyNumberFormat="1" applyFont="1" applyBorder="1" applyAlignment="1">
      <alignment vertical="center"/>
    </xf>
    <xf numFmtId="164" fontId="16" fillId="0" borderId="2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0" fontId="24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CC"/>
      <color rgb="FFF2F2F2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A5D1-5CD1-483D-A313-11F39602D2CB}">
  <sheetPr>
    <tabColor rgb="FF1F3864"/>
  </sheetPr>
  <dimension ref="A1:D56"/>
  <sheetViews>
    <sheetView showGridLines="0" tabSelected="1" workbookViewId="0"/>
  </sheetViews>
  <sheetFormatPr defaultColWidth="9.109375" defaultRowHeight="13.8" x14ac:dyDescent="0.3"/>
  <cols>
    <col min="1" max="1" width="2.6640625" style="5" customWidth="1"/>
    <col min="2" max="2" width="82.33203125" style="1" bestFit="1" customWidth="1"/>
    <col min="3" max="3" width="10.6640625" style="1" customWidth="1"/>
    <col min="4" max="16384" width="9.109375" style="1"/>
  </cols>
  <sheetData>
    <row r="1" spans="1:4" ht="14.4" x14ac:dyDescent="0.3">
      <c r="A1" s="6"/>
      <c r="B1" s="46" t="s">
        <v>3</v>
      </c>
      <c r="C1" s="7"/>
      <c r="D1" s="7"/>
    </row>
    <row r="2" spans="1:4" ht="8.1" customHeight="1" x14ac:dyDescent="0.3">
      <c r="A2" s="6"/>
      <c r="B2" s="7"/>
      <c r="C2" s="7"/>
      <c r="D2" s="7"/>
    </row>
    <row r="3" spans="1:4" ht="16.2" x14ac:dyDescent="0.45">
      <c r="A3" s="6"/>
      <c r="B3" s="47" t="s">
        <v>52</v>
      </c>
      <c r="C3" s="8"/>
      <c r="D3" s="7"/>
    </row>
    <row r="4" spans="1:4" ht="8.1" customHeight="1" x14ac:dyDescent="0.45">
      <c r="A4" s="6"/>
      <c r="B4" s="12"/>
      <c r="C4" s="9"/>
      <c r="D4" s="7"/>
    </row>
    <row r="5" spans="1:4" ht="16.2" x14ac:dyDescent="0.45">
      <c r="A5" s="6"/>
      <c r="B5" s="48" t="s">
        <v>51</v>
      </c>
      <c r="C5" s="13"/>
      <c r="D5" s="7"/>
    </row>
    <row r="6" spans="1:4" ht="14.4" x14ac:dyDescent="0.3">
      <c r="A6" s="6"/>
      <c r="B6" s="49" t="s">
        <v>35</v>
      </c>
      <c r="C6" s="15">
        <v>0.168179</v>
      </c>
      <c r="D6" s="7"/>
    </row>
    <row r="7" spans="1:4" ht="14.4" x14ac:dyDescent="0.3">
      <c r="A7" s="6"/>
      <c r="B7" s="49" t="s">
        <v>36</v>
      </c>
      <c r="C7" s="15">
        <v>0.158327</v>
      </c>
      <c r="D7" s="7"/>
    </row>
    <row r="8" spans="1:4" ht="14.4" x14ac:dyDescent="0.3">
      <c r="A8" s="6"/>
      <c r="B8" s="49" t="s">
        <v>37</v>
      </c>
      <c r="C8" s="15">
        <v>1.7205000000000002E-2</v>
      </c>
      <c r="D8" s="7"/>
    </row>
    <row r="9" spans="1:4" ht="14.4" x14ac:dyDescent="0.3">
      <c r="A9" s="6"/>
      <c r="B9" s="7"/>
      <c r="C9" s="10"/>
      <c r="D9" s="7"/>
    </row>
    <row r="10" spans="1:4" ht="16.2" x14ac:dyDescent="0.45">
      <c r="A10" s="6"/>
      <c r="B10" s="48" t="s">
        <v>86</v>
      </c>
      <c r="C10" s="10"/>
      <c r="D10" s="7"/>
    </row>
    <row r="11" spans="1:4" ht="14.4" x14ac:dyDescent="0.3">
      <c r="A11" s="6"/>
      <c r="B11" s="49" t="s">
        <v>35</v>
      </c>
      <c r="C11" s="15">
        <v>-9.1070000000000005E-3</v>
      </c>
      <c r="D11" s="7"/>
    </row>
    <row r="12" spans="1:4" ht="14.4" x14ac:dyDescent="0.3">
      <c r="A12" s="6"/>
      <c r="B12" s="49" t="s">
        <v>36</v>
      </c>
      <c r="C12" s="15">
        <v>-1.0721E-2</v>
      </c>
      <c r="D12" s="7"/>
    </row>
    <row r="13" spans="1:4" ht="14.4" x14ac:dyDescent="0.3">
      <c r="A13" s="6"/>
      <c r="B13" s="49" t="s">
        <v>37</v>
      </c>
      <c r="C13" s="15">
        <v>-9.3400000000000004E-4</v>
      </c>
      <c r="D13" s="7"/>
    </row>
    <row r="14" spans="1:4" ht="14.4" x14ac:dyDescent="0.3">
      <c r="A14" s="6"/>
      <c r="B14" s="7"/>
      <c r="C14" s="7"/>
      <c r="D14" s="7"/>
    </row>
    <row r="15" spans="1:4" ht="16.2" x14ac:dyDescent="0.45">
      <c r="A15" s="6"/>
      <c r="B15" s="48" t="s">
        <v>87</v>
      </c>
      <c r="C15" s="10"/>
      <c r="D15" s="7"/>
    </row>
    <row r="16" spans="1:4" ht="14.4" x14ac:dyDescent="0.3">
      <c r="A16" s="6"/>
      <c r="B16" s="49" t="s">
        <v>35</v>
      </c>
      <c r="C16" s="16">
        <v>5.3629999999999997E-3</v>
      </c>
      <c r="D16" s="7"/>
    </row>
    <row r="17" spans="1:4" ht="14.4" x14ac:dyDescent="0.3">
      <c r="A17" s="6"/>
      <c r="B17" s="49" t="s">
        <v>36</v>
      </c>
      <c r="C17" s="16">
        <v>-2.5730000000000002E-3</v>
      </c>
      <c r="D17" s="7"/>
    </row>
    <row r="18" spans="1:4" ht="14.4" x14ac:dyDescent="0.3">
      <c r="A18" s="6"/>
      <c r="B18" s="49" t="s">
        <v>37</v>
      </c>
      <c r="C18" s="16">
        <v>0</v>
      </c>
      <c r="D18" s="7"/>
    </row>
    <row r="19" spans="1:4" ht="14.4" x14ac:dyDescent="0.3">
      <c r="A19" s="6"/>
      <c r="B19" s="7"/>
      <c r="C19" s="7"/>
      <c r="D19" s="7"/>
    </row>
    <row r="20" spans="1:4" ht="16.2" x14ac:dyDescent="0.45">
      <c r="A20" s="6"/>
      <c r="B20" s="48" t="s">
        <v>88</v>
      </c>
      <c r="C20" s="10"/>
      <c r="D20" s="7"/>
    </row>
    <row r="21" spans="1:4" ht="14.4" x14ac:dyDescent="0.3">
      <c r="A21" s="6"/>
      <c r="B21" s="49" t="s">
        <v>35</v>
      </c>
      <c r="C21" s="15">
        <v>2.8050000000000002E-3</v>
      </c>
      <c r="D21" s="7"/>
    </row>
    <row r="22" spans="1:4" ht="14.4" x14ac:dyDescent="0.3">
      <c r="A22" s="6"/>
      <c r="B22" s="49" t="s">
        <v>36</v>
      </c>
      <c r="C22" s="15">
        <v>1.1659999999999999E-3</v>
      </c>
      <c r="D22" s="7"/>
    </row>
    <row r="23" spans="1:4" ht="14.4" x14ac:dyDescent="0.3">
      <c r="A23" s="6"/>
      <c r="B23" s="49" t="s">
        <v>37</v>
      </c>
      <c r="C23" s="15">
        <v>9.9059999999999999E-3</v>
      </c>
      <c r="D23" s="7"/>
    </row>
    <row r="24" spans="1:4" ht="14.4" x14ac:dyDescent="0.3">
      <c r="A24" s="6"/>
      <c r="B24" s="7"/>
      <c r="C24" s="7"/>
      <c r="D24" s="7"/>
    </row>
    <row r="25" spans="1:4" ht="16.2" x14ac:dyDescent="0.45">
      <c r="A25" s="6"/>
      <c r="B25" s="48" t="s">
        <v>90</v>
      </c>
      <c r="C25" s="10"/>
      <c r="D25" s="7"/>
    </row>
    <row r="26" spans="1:4" ht="14.4" x14ac:dyDescent="0.3">
      <c r="A26" s="6"/>
      <c r="B26" s="49" t="s">
        <v>91</v>
      </c>
      <c r="C26" s="15">
        <v>4.4103999999999997E-2</v>
      </c>
      <c r="D26" s="7"/>
    </row>
    <row r="27" spans="1:4" ht="14.4" x14ac:dyDescent="0.3">
      <c r="A27" s="6"/>
      <c r="B27" s="7"/>
      <c r="C27" s="7"/>
      <c r="D27" s="7"/>
    </row>
    <row r="28" spans="1:4" ht="16.2" x14ac:dyDescent="0.45">
      <c r="A28" s="6"/>
      <c r="B28" s="48" t="s">
        <v>61</v>
      </c>
      <c r="C28" s="10"/>
      <c r="D28" s="7"/>
    </row>
    <row r="29" spans="1:4" ht="14.4" x14ac:dyDescent="0.3">
      <c r="A29" s="6"/>
      <c r="B29" s="49" t="s">
        <v>61</v>
      </c>
      <c r="C29" s="15">
        <v>0.23688500000000001</v>
      </c>
      <c r="D29" s="7"/>
    </row>
    <row r="30" spans="1:4" ht="14.4" x14ac:dyDescent="0.3">
      <c r="A30" s="6"/>
      <c r="B30" s="7"/>
      <c r="C30" s="7"/>
      <c r="D30" s="7"/>
    </row>
    <row r="31" spans="1:4" ht="16.2" x14ac:dyDescent="0.45">
      <c r="A31" s="6"/>
      <c r="B31" s="48" t="s">
        <v>60</v>
      </c>
      <c r="C31" s="10"/>
      <c r="D31" s="14"/>
    </row>
    <row r="32" spans="1:4" ht="14.4" x14ac:dyDescent="0.3">
      <c r="A32" s="6"/>
      <c r="B32" s="49" t="s">
        <v>83</v>
      </c>
      <c r="C32" s="15">
        <v>2.006E-3</v>
      </c>
      <c r="D32" s="7"/>
    </row>
    <row r="33" spans="1:4" ht="14.4" x14ac:dyDescent="0.3">
      <c r="A33" s="6"/>
      <c r="B33" s="7"/>
      <c r="C33" s="7"/>
      <c r="D33" s="7"/>
    </row>
    <row r="34" spans="1:4" ht="16.2" x14ac:dyDescent="0.45">
      <c r="A34" s="6"/>
      <c r="B34" s="48" t="s">
        <v>54</v>
      </c>
      <c r="C34" s="10"/>
      <c r="D34" s="7"/>
    </row>
    <row r="35" spans="1:4" ht="14.4" x14ac:dyDescent="0.3">
      <c r="A35" s="6"/>
      <c r="B35" s="50" t="s">
        <v>106</v>
      </c>
      <c r="C35" s="17">
        <v>5</v>
      </c>
      <c r="D35" s="7"/>
    </row>
    <row r="36" spans="1:4" ht="14.4" x14ac:dyDescent="0.3">
      <c r="A36" s="6"/>
      <c r="B36" s="49" t="s">
        <v>96</v>
      </c>
      <c r="C36" s="18">
        <v>1653</v>
      </c>
      <c r="D36" s="7"/>
    </row>
    <row r="37" spans="1:4" ht="14.4" x14ac:dyDescent="0.3">
      <c r="A37" s="6"/>
      <c r="B37" s="49" t="s">
        <v>101</v>
      </c>
      <c r="C37" s="18">
        <v>914</v>
      </c>
      <c r="D37" s="7"/>
    </row>
    <row r="38" spans="1:4" ht="14.4" x14ac:dyDescent="0.3">
      <c r="A38" s="6"/>
      <c r="B38" s="49" t="s">
        <v>72</v>
      </c>
      <c r="C38" s="18">
        <v>246</v>
      </c>
      <c r="D38" s="7"/>
    </row>
    <row r="39" spans="1:4" ht="14.4" x14ac:dyDescent="0.3">
      <c r="A39" s="6"/>
      <c r="B39" s="49" t="s">
        <v>73</v>
      </c>
      <c r="C39" s="18">
        <v>185</v>
      </c>
      <c r="D39" s="7"/>
    </row>
    <row r="40" spans="1:4" ht="14.4" x14ac:dyDescent="0.3">
      <c r="A40" s="6"/>
      <c r="B40" s="49" t="s">
        <v>74</v>
      </c>
      <c r="C40" s="18">
        <v>170</v>
      </c>
      <c r="D40" s="7"/>
    </row>
    <row r="41" spans="1:4" ht="14.4" x14ac:dyDescent="0.3">
      <c r="A41" s="6"/>
      <c r="B41" s="49" t="s">
        <v>75</v>
      </c>
      <c r="C41" s="18">
        <v>127</v>
      </c>
      <c r="D41" s="7"/>
    </row>
    <row r="42" spans="1:4" ht="14.4" x14ac:dyDescent="0.3">
      <c r="A42" s="6"/>
      <c r="B42" s="49" t="s">
        <v>76</v>
      </c>
      <c r="C42" s="18">
        <v>84</v>
      </c>
      <c r="D42" s="7"/>
    </row>
    <row r="43" spans="1:4" ht="14.4" x14ac:dyDescent="0.3">
      <c r="A43" s="6"/>
      <c r="B43" s="49" t="s">
        <v>78</v>
      </c>
      <c r="C43" s="18">
        <v>102</v>
      </c>
      <c r="D43" s="7"/>
    </row>
    <row r="44" spans="1:4" ht="14.4" x14ac:dyDescent="0.3">
      <c r="A44" s="6"/>
      <c r="B44" s="7"/>
      <c r="C44" s="7"/>
      <c r="D44" s="7"/>
    </row>
    <row r="45" spans="1:4" ht="16.2" x14ac:dyDescent="0.45">
      <c r="A45" s="6"/>
      <c r="B45" s="48" t="s">
        <v>79</v>
      </c>
      <c r="C45" s="10"/>
      <c r="D45" s="7"/>
    </row>
    <row r="46" spans="1:4" ht="14.4" x14ac:dyDescent="0.3">
      <c r="A46" s="6"/>
      <c r="B46" s="49" t="s">
        <v>84</v>
      </c>
      <c r="C46" s="15">
        <v>2.5000000000000001E-2</v>
      </c>
      <c r="D46" s="7"/>
    </row>
    <row r="47" spans="1:4" ht="14.4" x14ac:dyDescent="0.3">
      <c r="A47" s="6"/>
      <c r="B47" s="7"/>
      <c r="C47" s="7"/>
      <c r="D47" s="7"/>
    </row>
    <row r="48" spans="1:4" ht="16.2" x14ac:dyDescent="0.45">
      <c r="A48" s="6"/>
      <c r="B48" s="48" t="s">
        <v>62</v>
      </c>
      <c r="C48" s="10"/>
      <c r="D48" s="7"/>
    </row>
    <row r="49" spans="1:4" ht="14.4" x14ac:dyDescent="0.3">
      <c r="A49" s="6"/>
      <c r="B49" s="49" t="s">
        <v>85</v>
      </c>
      <c r="C49" s="15">
        <v>1.2500000000000001E-2</v>
      </c>
      <c r="D49" s="7"/>
    </row>
    <row r="50" spans="1:4" ht="14.4" x14ac:dyDescent="0.3">
      <c r="A50" s="6"/>
      <c r="B50" s="7"/>
      <c r="C50" s="7"/>
      <c r="D50" s="7"/>
    </row>
    <row r="51" spans="1:4" ht="14.4" x14ac:dyDescent="0.3">
      <c r="A51" s="6"/>
      <c r="B51" s="7"/>
      <c r="C51" s="7"/>
      <c r="D51" s="7"/>
    </row>
    <row r="52" spans="1:4" ht="16.2" x14ac:dyDescent="0.45">
      <c r="A52" s="6"/>
      <c r="B52" s="48" t="s">
        <v>80</v>
      </c>
      <c r="C52" s="7"/>
      <c r="D52" s="7"/>
    </row>
    <row r="53" spans="1:4" ht="14.4" x14ac:dyDescent="0.3">
      <c r="A53" s="6"/>
      <c r="B53" s="49" t="s">
        <v>89</v>
      </c>
      <c r="C53" s="7"/>
      <c r="D53" s="7"/>
    </row>
    <row r="54" spans="1:4" ht="14.4" x14ac:dyDescent="0.3">
      <c r="A54" s="6"/>
      <c r="B54" s="49" t="s">
        <v>81</v>
      </c>
      <c r="C54" s="7"/>
      <c r="D54" s="7"/>
    </row>
    <row r="55" spans="1:4" ht="14.4" x14ac:dyDescent="0.3">
      <c r="A55" s="6"/>
      <c r="B55" s="49" t="s">
        <v>82</v>
      </c>
      <c r="C55" s="7"/>
      <c r="D55" s="7"/>
    </row>
    <row r="56" spans="1:4" ht="14.4" x14ac:dyDescent="0.3">
      <c r="A56" s="6"/>
      <c r="B56" s="49" t="s">
        <v>98</v>
      </c>
      <c r="C56" s="7"/>
      <c r="D56" s="7"/>
    </row>
  </sheetData>
  <pageMargins left="0.7" right="0.7" top="0.75" bottom="0.75" header="0.3" footer="0.3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B0AC-5027-4515-AEB0-ECEF902E1937}">
  <sheetPr>
    <tabColor rgb="FF1F3864"/>
  </sheetPr>
  <dimension ref="B1:X113"/>
  <sheetViews>
    <sheetView showGridLines="0" zoomScaleNormal="100" workbookViewId="0">
      <pane xSplit="2" ySplit="5" topLeftCell="C6" activePane="bottomRight" state="frozen"/>
      <selection pane="topRight" activeCell="C6" sqref="C6"/>
      <selection pane="bottomLeft" activeCell="C6" sqref="C6"/>
      <selection pane="bottomRight" activeCell="C6" sqref="C6"/>
    </sheetView>
  </sheetViews>
  <sheetFormatPr defaultColWidth="8.6640625" defaultRowHeight="13.8" x14ac:dyDescent="0.3"/>
  <cols>
    <col min="1" max="1" width="2.6640625" style="1" customWidth="1"/>
    <col min="2" max="2" width="42.33203125" style="1" bestFit="1" customWidth="1"/>
    <col min="3" max="15" width="12.33203125" style="1" customWidth="1"/>
    <col min="16" max="16" width="12.6640625" style="1" customWidth="1"/>
    <col min="17" max="17" width="11.5546875" style="4" bestFit="1" customWidth="1"/>
    <col min="18" max="16384" width="8.6640625" style="1"/>
  </cols>
  <sheetData>
    <row r="1" spans="2:24" ht="14.4" x14ac:dyDescent="0.3">
      <c r="B1" s="46" t="s">
        <v>3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7"/>
      <c r="O1" s="7"/>
      <c r="P1" s="7"/>
      <c r="Q1" s="39"/>
      <c r="R1" s="7"/>
      <c r="S1" s="7"/>
      <c r="T1" s="7"/>
      <c r="U1" s="7"/>
      <c r="V1" s="7"/>
      <c r="W1" s="7"/>
      <c r="X1" s="7"/>
    </row>
    <row r="2" spans="2:24" ht="14.4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7"/>
      <c r="O2" s="7"/>
      <c r="P2" s="7"/>
      <c r="Q2" s="39"/>
      <c r="R2" s="7"/>
      <c r="S2" s="7"/>
      <c r="T2" s="7"/>
      <c r="U2" s="7"/>
      <c r="V2" s="7"/>
      <c r="W2" s="7"/>
      <c r="X2" s="7"/>
    </row>
    <row r="3" spans="2:24" ht="8.1" customHeight="1" x14ac:dyDescent="0.3">
      <c r="B3" s="7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7"/>
      <c r="O3" s="7"/>
      <c r="P3" s="7"/>
      <c r="Q3" s="39"/>
      <c r="R3" s="7"/>
      <c r="S3" s="7"/>
      <c r="T3" s="7"/>
      <c r="U3" s="7"/>
      <c r="V3" s="7"/>
      <c r="W3" s="7"/>
      <c r="X3" s="7"/>
    </row>
    <row r="4" spans="2:24" ht="16.2" x14ac:dyDescent="0.45">
      <c r="B4" s="20"/>
      <c r="C4" s="47" t="s">
        <v>4</v>
      </c>
      <c r="D4" s="8"/>
      <c r="E4" s="51" t="s">
        <v>5</v>
      </c>
      <c r="F4" s="8"/>
      <c r="G4" s="8"/>
      <c r="H4" s="8"/>
      <c r="I4" s="8"/>
      <c r="J4" s="8"/>
      <c r="K4" s="8"/>
      <c r="L4" s="8"/>
      <c r="M4" s="8"/>
      <c r="N4" s="8"/>
      <c r="O4" s="8"/>
      <c r="P4" s="52" t="s">
        <v>6</v>
      </c>
      <c r="Q4" s="39"/>
      <c r="R4" s="7"/>
      <c r="S4" s="7"/>
      <c r="T4" s="7"/>
      <c r="U4" s="7"/>
      <c r="V4" s="7"/>
      <c r="W4" s="7"/>
      <c r="X4" s="7"/>
    </row>
    <row r="5" spans="2:24" ht="16.2" x14ac:dyDescent="0.45">
      <c r="B5" s="53" t="s">
        <v>110</v>
      </c>
      <c r="C5" s="54" t="s">
        <v>7</v>
      </c>
      <c r="D5" s="54" t="s">
        <v>8</v>
      </c>
      <c r="E5" s="55" t="s">
        <v>0</v>
      </c>
      <c r="F5" s="54" t="s">
        <v>1</v>
      </c>
      <c r="G5" s="54" t="s">
        <v>2</v>
      </c>
      <c r="H5" s="54" t="s">
        <v>9</v>
      </c>
      <c r="I5" s="54" t="s">
        <v>10</v>
      </c>
      <c r="J5" s="54" t="s">
        <v>11</v>
      </c>
      <c r="K5" s="54" t="s">
        <v>12</v>
      </c>
      <c r="L5" s="54" t="s">
        <v>13</v>
      </c>
      <c r="M5" s="54" t="s">
        <v>14</v>
      </c>
      <c r="N5" s="54" t="s">
        <v>40</v>
      </c>
      <c r="O5" s="54" t="s">
        <v>41</v>
      </c>
      <c r="P5" s="54" t="s">
        <v>15</v>
      </c>
      <c r="Q5" s="39"/>
      <c r="R5" s="7"/>
      <c r="S5" s="7"/>
      <c r="T5" s="7"/>
      <c r="U5" s="7"/>
      <c r="V5" s="7"/>
      <c r="W5" s="7"/>
      <c r="X5" s="7"/>
    </row>
    <row r="6" spans="2:24" ht="8.1" customHeight="1" x14ac:dyDescent="0.3">
      <c r="B6" s="7"/>
      <c r="C6" s="7"/>
      <c r="D6" s="7"/>
      <c r="E6" s="21"/>
      <c r="F6" s="7"/>
      <c r="G6" s="7"/>
      <c r="H6" s="7"/>
      <c r="I6" s="7"/>
      <c r="J6" s="7"/>
      <c r="K6" s="7"/>
      <c r="L6" s="7"/>
      <c r="M6" s="7"/>
      <c r="N6" s="7"/>
      <c r="O6" s="7"/>
      <c r="P6" s="22"/>
      <c r="Q6" s="39"/>
      <c r="R6" s="7"/>
      <c r="S6" s="7"/>
      <c r="T6" s="7"/>
      <c r="U6" s="7"/>
      <c r="V6" s="7"/>
      <c r="W6" s="7"/>
      <c r="X6" s="7"/>
    </row>
    <row r="7" spans="2:24" ht="14.4" x14ac:dyDescent="0.3">
      <c r="B7" s="56" t="s">
        <v>77</v>
      </c>
      <c r="C7" s="7"/>
      <c r="D7" s="7"/>
      <c r="E7" s="21"/>
      <c r="F7" s="7"/>
      <c r="G7" s="7"/>
      <c r="H7" s="7"/>
      <c r="I7" s="7"/>
      <c r="J7" s="7"/>
      <c r="K7" s="7"/>
      <c r="L7" s="7"/>
      <c r="M7" s="7"/>
      <c r="N7" s="7"/>
      <c r="O7" s="7"/>
      <c r="P7" s="22"/>
      <c r="Q7" s="39"/>
      <c r="R7" s="7"/>
      <c r="S7" s="7"/>
      <c r="T7" s="7"/>
      <c r="U7" s="7"/>
      <c r="V7" s="7"/>
      <c r="W7" s="7"/>
      <c r="X7" s="7"/>
    </row>
    <row r="8" spans="2:24" ht="14.4" x14ac:dyDescent="0.3">
      <c r="B8" s="49" t="s">
        <v>35</v>
      </c>
      <c r="C8" s="23"/>
      <c r="D8" s="57">
        <f t="shared" ref="D8:D11" si="0">IFERROR(D14/C14-1,"n/m")</f>
        <v>0.20504521241853779</v>
      </c>
      <c r="E8" s="111">
        <f>Drivers!C6</f>
        <v>0.168179</v>
      </c>
      <c r="F8" s="112">
        <f>E8+Drivers!$C$11</f>
        <v>0.15907199999999999</v>
      </c>
      <c r="G8" s="112">
        <f>F8+Drivers!$C$11</f>
        <v>0.14996499999999999</v>
      </c>
      <c r="H8" s="112">
        <f>G8+Drivers!$C$11</f>
        <v>0.14085799999999998</v>
      </c>
      <c r="I8" s="112">
        <f>H8+Drivers!$C$11</f>
        <v>0.13175099999999998</v>
      </c>
      <c r="J8" s="112">
        <f>I8+Drivers!$C$11</f>
        <v>0.12264399999999998</v>
      </c>
      <c r="K8" s="112">
        <f>J8+Drivers!$C$11</f>
        <v>0.11353699999999997</v>
      </c>
      <c r="L8" s="112">
        <f>K8+Drivers!$C$11</f>
        <v>0.10442999999999997</v>
      </c>
      <c r="M8" s="112">
        <f>L8+Drivers!$C$11</f>
        <v>9.5322999999999963E-2</v>
      </c>
      <c r="N8" s="112">
        <f>M8+Drivers!$C$11</f>
        <v>8.6215999999999959E-2</v>
      </c>
      <c r="O8" s="112">
        <f>N8+Drivers!$C$11</f>
        <v>7.7108999999999955E-2</v>
      </c>
      <c r="P8" s="24"/>
      <c r="Q8" s="39"/>
      <c r="R8" s="7"/>
      <c r="S8" s="7"/>
      <c r="T8" s="7"/>
      <c r="U8" s="7"/>
      <c r="V8" s="7"/>
      <c r="W8" s="7"/>
      <c r="X8" s="7"/>
    </row>
    <row r="9" spans="2:24" ht="14.4" x14ac:dyDescent="0.3">
      <c r="B9" s="49" t="s">
        <v>36</v>
      </c>
      <c r="C9" s="23"/>
      <c r="D9" s="57">
        <f t="shared" si="0"/>
        <v>0.17085647930201175</v>
      </c>
      <c r="E9" s="111">
        <f>Drivers!C7</f>
        <v>0.158327</v>
      </c>
      <c r="F9" s="112">
        <f>E9+Drivers!$C$12</f>
        <v>0.14760599999999999</v>
      </c>
      <c r="G9" s="112">
        <f>F9+Drivers!$C$12</f>
        <v>0.13688499999999998</v>
      </c>
      <c r="H9" s="112">
        <f>G9+Drivers!$C$12</f>
        <v>0.12616399999999997</v>
      </c>
      <c r="I9" s="112">
        <f>H9+Drivers!$C$12</f>
        <v>0.11544299999999998</v>
      </c>
      <c r="J9" s="112">
        <f>I9+Drivers!$C$12</f>
        <v>0.10472199999999998</v>
      </c>
      <c r="K9" s="112">
        <f>J9+Drivers!$C$12</f>
        <v>9.4000999999999987E-2</v>
      </c>
      <c r="L9" s="112">
        <f>K9+Drivers!$C$12</f>
        <v>8.3279999999999993E-2</v>
      </c>
      <c r="M9" s="112">
        <f>L9+Drivers!$C$12</f>
        <v>7.2558999999999998E-2</v>
      </c>
      <c r="N9" s="112">
        <f>M9+Drivers!$C$12</f>
        <v>6.1837999999999997E-2</v>
      </c>
      <c r="O9" s="112">
        <f>N9+Drivers!$C$12</f>
        <v>5.1116999999999996E-2</v>
      </c>
      <c r="P9" s="24"/>
      <c r="Q9" s="39"/>
      <c r="R9" s="7"/>
      <c r="S9" s="7"/>
      <c r="T9" s="7"/>
      <c r="U9" s="7"/>
      <c r="V9" s="7"/>
      <c r="W9" s="7"/>
      <c r="X9" s="7"/>
    </row>
    <row r="10" spans="2:24" ht="14.4" x14ac:dyDescent="0.3">
      <c r="B10" s="49" t="s">
        <v>37</v>
      </c>
      <c r="C10" s="23"/>
      <c r="D10" s="57">
        <f t="shared" si="0"/>
        <v>-2.022514787254337E-2</v>
      </c>
      <c r="E10" s="111">
        <f>Drivers!C8</f>
        <v>1.7205000000000002E-2</v>
      </c>
      <c r="F10" s="112">
        <f>E10+Drivers!$C$13</f>
        <v>1.6271000000000001E-2</v>
      </c>
      <c r="G10" s="112">
        <f>F10+Drivers!$C$13</f>
        <v>1.5337E-2</v>
      </c>
      <c r="H10" s="112">
        <f>G10+Drivers!$C$13</f>
        <v>1.4402999999999999E-2</v>
      </c>
      <c r="I10" s="112">
        <f>H10+Drivers!$C$13</f>
        <v>1.3468999999999998E-2</v>
      </c>
      <c r="J10" s="112">
        <f>I10+Drivers!$C$13</f>
        <v>1.2534999999999998E-2</v>
      </c>
      <c r="K10" s="112">
        <f>J10+Drivers!$C$13</f>
        <v>1.1600999999999997E-2</v>
      </c>
      <c r="L10" s="112">
        <f>K10+Drivers!$C$13</f>
        <v>1.0666999999999996E-2</v>
      </c>
      <c r="M10" s="112">
        <f>L10+Drivers!$C$13</f>
        <v>9.7329999999999951E-3</v>
      </c>
      <c r="N10" s="112">
        <f>M10+Drivers!$C$13</f>
        <v>8.7989999999999943E-3</v>
      </c>
      <c r="O10" s="112">
        <f>N10+Drivers!$C$13</f>
        <v>7.8649999999999935E-3</v>
      </c>
      <c r="P10" s="24"/>
      <c r="Q10" s="39"/>
      <c r="R10" s="7"/>
      <c r="S10" s="7"/>
      <c r="T10" s="7"/>
      <c r="U10" s="7"/>
      <c r="V10" s="7"/>
      <c r="W10" s="7"/>
      <c r="X10" s="7"/>
    </row>
    <row r="11" spans="2:24" s="2" customFormat="1" ht="15" customHeight="1" x14ac:dyDescent="0.3">
      <c r="B11" s="101" t="s">
        <v>105</v>
      </c>
      <c r="C11" s="90"/>
      <c r="D11" s="102">
        <f t="shared" si="0"/>
        <v>0.18067805953693505</v>
      </c>
      <c r="E11" s="113">
        <f t="shared" ref="E11:O11" si="1">E17/D17-1</f>
        <v>0.15890013545858328</v>
      </c>
      <c r="F11" s="102">
        <f t="shared" si="1"/>
        <v>0.14986452764644631</v>
      </c>
      <c r="G11" s="102">
        <f t="shared" si="1"/>
        <v>0.1406892337762915</v>
      </c>
      <c r="H11" s="102">
        <f t="shared" si="1"/>
        <v>0.13140671265273873</v>
      </c>
      <c r="I11" s="102">
        <f t="shared" si="1"/>
        <v>0.12204307773905398</v>
      </c>
      <c r="J11" s="102">
        <f t="shared" si="1"/>
        <v>0.11261945910979931</v>
      </c>
      <c r="K11" s="102">
        <f t="shared" si="1"/>
        <v>0.1031530784170871</v>
      </c>
      <c r="L11" s="102">
        <f t="shared" si="1"/>
        <v>9.3658093510452955E-2</v>
      </c>
      <c r="M11" s="102">
        <f t="shared" si="1"/>
        <v>8.4146260182085708E-2</v>
      </c>
      <c r="N11" s="102">
        <f t="shared" si="1"/>
        <v>7.4627449802685764E-2</v>
      </c>
      <c r="O11" s="102">
        <f t="shared" si="1"/>
        <v>6.5110053968982617E-2</v>
      </c>
      <c r="P11" s="22"/>
      <c r="Q11" s="40"/>
      <c r="R11" s="11"/>
      <c r="S11" s="11"/>
      <c r="T11" s="11"/>
      <c r="U11" s="11"/>
      <c r="V11" s="11"/>
      <c r="W11" s="11"/>
      <c r="X11" s="11"/>
    </row>
    <row r="12" spans="2:24" ht="8.1" customHeight="1" x14ac:dyDescent="0.3">
      <c r="B12" s="7"/>
      <c r="C12" s="7"/>
      <c r="D12" s="7"/>
      <c r="E12" s="21"/>
      <c r="F12" s="7"/>
      <c r="G12" s="7"/>
      <c r="H12" s="7"/>
      <c r="I12" s="7"/>
      <c r="J12" s="7"/>
      <c r="K12" s="7"/>
      <c r="L12" s="7"/>
      <c r="M12" s="7"/>
      <c r="N12" s="7"/>
      <c r="O12" s="7"/>
      <c r="P12" s="22"/>
      <c r="Q12" s="39"/>
      <c r="R12" s="7"/>
      <c r="S12" s="7"/>
      <c r="T12" s="7"/>
      <c r="U12" s="7"/>
      <c r="V12" s="7"/>
      <c r="W12" s="7"/>
      <c r="X12" s="7"/>
    </row>
    <row r="13" spans="2:24" ht="14.4" x14ac:dyDescent="0.3">
      <c r="B13" s="56" t="s">
        <v>64</v>
      </c>
      <c r="C13" s="7"/>
      <c r="D13" s="7"/>
      <c r="E13" s="21"/>
      <c r="F13" s="7"/>
      <c r="G13" s="7"/>
      <c r="H13" s="7"/>
      <c r="I13" s="7"/>
      <c r="J13" s="7"/>
      <c r="K13" s="7"/>
      <c r="L13" s="7"/>
      <c r="M13" s="7"/>
      <c r="N13" s="7"/>
      <c r="O13" s="7"/>
      <c r="P13" s="22"/>
      <c r="Q13" s="39"/>
      <c r="R13" s="7"/>
      <c r="S13" s="7"/>
      <c r="T13" s="7"/>
      <c r="U13" s="7"/>
      <c r="V13" s="7"/>
      <c r="W13" s="7"/>
      <c r="X13" s="7"/>
    </row>
    <row r="14" spans="2:24" ht="14.4" x14ac:dyDescent="0.3">
      <c r="B14" s="49" t="s">
        <v>35</v>
      </c>
      <c r="C14" s="88">
        <v>68897</v>
      </c>
      <c r="D14" s="88">
        <v>83024</v>
      </c>
      <c r="E14" s="114">
        <f t="shared" ref="E14:O14" si="2">D14*(1+E8)</f>
        <v>96986.893296000009</v>
      </c>
      <c r="F14" s="77">
        <f t="shared" si="2"/>
        <v>112414.79238638133</v>
      </c>
      <c r="G14" s="77">
        <f t="shared" si="2"/>
        <v>129273.076726605</v>
      </c>
      <c r="H14" s="77">
        <f t="shared" si="2"/>
        <v>147482.22376816112</v>
      </c>
      <c r="I14" s="77">
        <f t="shared" si="2"/>
        <v>166913.1542318401</v>
      </c>
      <c r="J14" s="77">
        <f t="shared" si="2"/>
        <v>187384.0511194499</v>
      </c>
      <c r="K14" s="77">
        <f t="shared" si="2"/>
        <v>208659.07413139887</v>
      </c>
      <c r="L14" s="77">
        <f t="shared" si="2"/>
        <v>230449.34124294086</v>
      </c>
      <c r="M14" s="77">
        <f t="shared" si="2"/>
        <v>252416.46379824172</v>
      </c>
      <c r="N14" s="77">
        <f t="shared" si="2"/>
        <v>274178.80164107087</v>
      </c>
      <c r="O14" s="77">
        <f t="shared" si="2"/>
        <v>295320.45485681214</v>
      </c>
      <c r="P14" s="22"/>
      <c r="Q14" s="39"/>
      <c r="R14" s="7"/>
      <c r="S14" s="7"/>
      <c r="T14" s="7"/>
      <c r="U14" s="7"/>
      <c r="V14" s="7"/>
      <c r="W14" s="7"/>
      <c r="X14" s="7"/>
    </row>
    <row r="15" spans="2:24" ht="14.4" x14ac:dyDescent="0.3">
      <c r="B15" s="49" t="s">
        <v>36</v>
      </c>
      <c r="C15" s="88">
        <v>63726</v>
      </c>
      <c r="D15" s="88">
        <v>74614</v>
      </c>
      <c r="E15" s="114">
        <f t="shared" ref="E15:O15" si="3">D15*(1+E9)</f>
        <v>86427.41077799999</v>
      </c>
      <c r="F15" s="77">
        <f t="shared" si="3"/>
        <v>99184.615173297454</v>
      </c>
      <c r="G15" s="77">
        <f t="shared" si="3"/>
        <v>112761.50122129427</v>
      </c>
      <c r="H15" s="77">
        <f t="shared" si="3"/>
        <v>126987.94326137763</v>
      </c>
      <c r="I15" s="77">
        <f t="shared" si="3"/>
        <v>141647.81239530083</v>
      </c>
      <c r="J15" s="77">
        <f t="shared" si="3"/>
        <v>156481.45460496153</v>
      </c>
      <c r="K15" s="77">
        <f t="shared" si="3"/>
        <v>171190.86781928252</v>
      </c>
      <c r="L15" s="77">
        <f t="shared" si="3"/>
        <v>185447.64329127237</v>
      </c>
      <c r="M15" s="77">
        <f t="shared" si="3"/>
        <v>198903.5388408438</v>
      </c>
      <c r="N15" s="77">
        <f t="shared" si="3"/>
        <v>211203.3358756839</v>
      </c>
      <c r="O15" s="77">
        <f t="shared" si="3"/>
        <v>221999.41679564124</v>
      </c>
      <c r="P15" s="22"/>
      <c r="Q15" s="39"/>
      <c r="R15" s="7"/>
      <c r="S15" s="7"/>
      <c r="T15" s="7"/>
      <c r="U15" s="7"/>
      <c r="V15" s="7"/>
      <c r="W15" s="7"/>
      <c r="X15" s="7"/>
    </row>
    <row r="16" spans="2:24" ht="14.4" x14ac:dyDescent="0.3">
      <c r="B16" s="49" t="s">
        <v>37</v>
      </c>
      <c r="C16" s="88">
        <v>5241</v>
      </c>
      <c r="D16" s="88">
        <v>5135</v>
      </c>
      <c r="E16" s="114">
        <f t="shared" ref="E16:O16" si="4">D16*(1+E10)</f>
        <v>5223.347675</v>
      </c>
      <c r="F16" s="77">
        <f t="shared" si="4"/>
        <v>5308.3367650199243</v>
      </c>
      <c r="G16" s="77">
        <f t="shared" si="4"/>
        <v>5389.7507259850345</v>
      </c>
      <c r="H16" s="77">
        <f t="shared" si="4"/>
        <v>5467.3793056913964</v>
      </c>
      <c r="I16" s="77">
        <f t="shared" si="4"/>
        <v>5541.0194375597539</v>
      </c>
      <c r="J16" s="77">
        <f t="shared" si="4"/>
        <v>5610.4761162095656</v>
      </c>
      <c r="K16" s="77">
        <f t="shared" si="4"/>
        <v>5675.563249633713</v>
      </c>
      <c r="L16" s="77">
        <f t="shared" si="4"/>
        <v>5736.1044828175554</v>
      </c>
      <c r="M16" s="77">
        <f t="shared" si="4"/>
        <v>5791.9339877488183</v>
      </c>
      <c r="N16" s="77">
        <f t="shared" si="4"/>
        <v>5842.8972149070205</v>
      </c>
      <c r="O16" s="77">
        <f t="shared" si="4"/>
        <v>5888.8516015022642</v>
      </c>
      <c r="P16" s="22"/>
      <c r="Q16" s="39"/>
      <c r="R16" s="7"/>
      <c r="S16" s="7"/>
      <c r="T16" s="7"/>
      <c r="U16" s="7"/>
      <c r="V16" s="7"/>
      <c r="W16" s="7"/>
      <c r="X16" s="7"/>
    </row>
    <row r="17" spans="2:24" s="2" customFormat="1" ht="15" customHeight="1" x14ac:dyDescent="0.3">
      <c r="B17" s="101" t="s">
        <v>38</v>
      </c>
      <c r="C17" s="103">
        <f t="shared" ref="C17:O17" si="5">SUM(C14:C16)</f>
        <v>137864</v>
      </c>
      <c r="D17" s="103">
        <f t="shared" si="5"/>
        <v>162773</v>
      </c>
      <c r="E17" s="104">
        <f t="shared" si="5"/>
        <v>188637.65174899998</v>
      </c>
      <c r="F17" s="103">
        <f t="shared" si="5"/>
        <v>216907.74432469869</v>
      </c>
      <c r="G17" s="103">
        <f t="shared" si="5"/>
        <v>247424.3286738843</v>
      </c>
      <c r="H17" s="103">
        <f t="shared" si="5"/>
        <v>279937.54633523017</v>
      </c>
      <c r="I17" s="103">
        <f t="shared" si="5"/>
        <v>314101.9860647007</v>
      </c>
      <c r="J17" s="103">
        <f t="shared" si="5"/>
        <v>349475.98184062104</v>
      </c>
      <c r="K17" s="103">
        <f t="shared" si="5"/>
        <v>385525.50520031509</v>
      </c>
      <c r="L17" s="103">
        <f t="shared" si="5"/>
        <v>421633.08901703078</v>
      </c>
      <c r="M17" s="103">
        <f t="shared" si="5"/>
        <v>457111.93662683433</v>
      </c>
      <c r="N17" s="103">
        <f t="shared" si="5"/>
        <v>491225.03473166184</v>
      </c>
      <c r="O17" s="103">
        <f t="shared" si="5"/>
        <v>523208.72325395566</v>
      </c>
      <c r="P17" s="105">
        <f>O17</f>
        <v>523208.72325395566</v>
      </c>
      <c r="Q17" s="40"/>
      <c r="R17" s="11"/>
      <c r="S17" s="11"/>
      <c r="T17" s="11"/>
      <c r="U17" s="11"/>
      <c r="V17" s="11"/>
      <c r="W17" s="11"/>
      <c r="X17" s="11"/>
    </row>
    <row r="18" spans="2:24" ht="14.4" x14ac:dyDescent="0.3">
      <c r="B18" s="60" t="s">
        <v>104</v>
      </c>
      <c r="C18" s="26"/>
      <c r="D18" s="61">
        <f t="shared" ref="D18" si="6">D17/C17-1</f>
        <v>0.18067805953693505</v>
      </c>
      <c r="E18" s="115">
        <f t="shared" ref="E18" si="7">E17/D17-1</f>
        <v>0.15890013545858328</v>
      </c>
      <c r="F18" s="116">
        <f>F17/E17-1</f>
        <v>0.14986452764644631</v>
      </c>
      <c r="G18" s="116">
        <f t="shared" ref="G18" si="8">G17/F17-1</f>
        <v>0.1406892337762915</v>
      </c>
      <c r="H18" s="116">
        <f t="shared" ref="H18" si="9">H17/G17-1</f>
        <v>0.13140671265273873</v>
      </c>
      <c r="I18" s="116">
        <f t="shared" ref="I18" si="10">I17/H17-1</f>
        <v>0.12204307773905398</v>
      </c>
      <c r="J18" s="117">
        <f t="shared" ref="J18" si="11">J17/I17-1</f>
        <v>0.11261945910979931</v>
      </c>
      <c r="K18" s="117">
        <f t="shared" ref="K18" si="12">K17/J17-1</f>
        <v>0.1031530784170871</v>
      </c>
      <c r="L18" s="117">
        <f t="shared" ref="L18" si="13">L17/K17-1</f>
        <v>9.3658093510452955E-2</v>
      </c>
      <c r="M18" s="117">
        <f t="shared" ref="M18" si="14">M17/L17-1</f>
        <v>8.4146260182085708E-2</v>
      </c>
      <c r="N18" s="117">
        <f t="shared" ref="N18" si="15">N17/M17-1</f>
        <v>7.4627449802685764E-2</v>
      </c>
      <c r="O18" s="117">
        <f t="shared" ref="O18" si="16">O17/N17-1</f>
        <v>6.5110053968982617E-2</v>
      </c>
      <c r="P18" s="22"/>
      <c r="Q18" s="39"/>
      <c r="R18" s="7"/>
      <c r="S18" s="7"/>
      <c r="T18" s="7"/>
      <c r="U18" s="7"/>
      <c r="V18" s="7"/>
      <c r="W18" s="7"/>
      <c r="X18" s="7"/>
    </row>
    <row r="19" spans="2:24" ht="8.1" customHeight="1" x14ac:dyDescent="0.3">
      <c r="B19" s="7"/>
      <c r="C19" s="7"/>
      <c r="D19" s="7"/>
      <c r="E19" s="21"/>
      <c r="F19" s="7"/>
      <c r="G19" s="7"/>
      <c r="H19" s="7"/>
      <c r="I19" s="7"/>
      <c r="J19" s="7"/>
      <c r="K19" s="7"/>
      <c r="L19" s="7"/>
      <c r="M19" s="7"/>
      <c r="N19" s="7"/>
      <c r="O19" s="7"/>
      <c r="P19" s="22"/>
      <c r="Q19" s="39"/>
      <c r="R19" s="7"/>
      <c r="S19" s="7"/>
      <c r="T19" s="7"/>
      <c r="U19" s="7"/>
      <c r="V19" s="7"/>
      <c r="W19" s="7"/>
      <c r="X19" s="7"/>
    </row>
    <row r="20" spans="2:24" ht="14.4" x14ac:dyDescent="0.3">
      <c r="B20" s="56" t="s">
        <v>93</v>
      </c>
      <c r="C20" s="7"/>
      <c r="D20" s="7"/>
      <c r="E20" s="21"/>
      <c r="F20" s="7"/>
      <c r="G20" s="7"/>
      <c r="H20" s="7"/>
      <c r="I20" s="7"/>
      <c r="J20" s="7"/>
      <c r="K20" s="7"/>
      <c r="L20" s="7"/>
      <c r="M20" s="7"/>
      <c r="N20" s="7"/>
      <c r="O20" s="7"/>
      <c r="P20" s="22"/>
      <c r="Q20" s="39"/>
      <c r="R20" s="7"/>
      <c r="S20" s="7"/>
      <c r="T20" s="7"/>
      <c r="U20" s="7"/>
      <c r="V20" s="7"/>
      <c r="W20" s="7"/>
      <c r="X20" s="7"/>
    </row>
    <row r="21" spans="2:24" ht="14.4" x14ac:dyDescent="0.3">
      <c r="B21" s="49" t="s">
        <v>35</v>
      </c>
      <c r="C21" s="61">
        <f t="shared" ref="C21:D24" si="17">C27/C14</f>
        <v>0.28784997895409087</v>
      </c>
      <c r="D21" s="61">
        <f t="shared" si="17"/>
        <v>0.30216563885141645</v>
      </c>
      <c r="E21" s="118">
        <f>D21+Drivers!$C$16</f>
        <v>0.30752863885141646</v>
      </c>
      <c r="F21" s="119">
        <f>E21+Drivers!$C$16</f>
        <v>0.31289163885141646</v>
      </c>
      <c r="G21" s="119">
        <f>F21+Drivers!$C$16</f>
        <v>0.31825463885141647</v>
      </c>
      <c r="H21" s="119">
        <f>G21+Drivers!$C$16</f>
        <v>0.32361763885141648</v>
      </c>
      <c r="I21" s="119">
        <f>H21+Drivers!$C$16</f>
        <v>0.32898063885141648</v>
      </c>
      <c r="J21" s="119">
        <f>I21+Drivers!$C$16</f>
        <v>0.33434363885141649</v>
      </c>
      <c r="K21" s="119">
        <f>J21+Drivers!$C$16</f>
        <v>0.3397066388514165</v>
      </c>
      <c r="L21" s="119">
        <f>K21+Drivers!$C$16</f>
        <v>0.3450696388514165</v>
      </c>
      <c r="M21" s="119">
        <f>L21+Drivers!$C$16</f>
        <v>0.35043263885141651</v>
      </c>
      <c r="N21" s="119">
        <f>M21+Drivers!$C$16</f>
        <v>0.35579563885141652</v>
      </c>
      <c r="O21" s="119">
        <f>N21+Drivers!$C$16</f>
        <v>0.36115863885141652</v>
      </c>
      <c r="P21" s="22"/>
      <c r="Q21" s="39"/>
      <c r="R21" s="7"/>
      <c r="S21" s="7"/>
      <c r="T21" s="7"/>
      <c r="U21" s="7"/>
      <c r="V21" s="7"/>
      <c r="W21" s="7"/>
      <c r="X21" s="7"/>
    </row>
    <row r="22" spans="2:24" ht="14.4" x14ac:dyDescent="0.3">
      <c r="B22" s="49" t="s">
        <v>36</v>
      </c>
      <c r="C22" s="61">
        <f t="shared" si="17"/>
        <v>0.19150739101779493</v>
      </c>
      <c r="D22" s="61">
        <f t="shared" si="17"/>
        <v>0.18428177017717853</v>
      </c>
      <c r="E22" s="118">
        <f>D22+Drivers!$C$17</f>
        <v>0.18170877017717854</v>
      </c>
      <c r="F22" s="119">
        <f>E22+Drivers!$C$17</f>
        <v>0.17913577017717855</v>
      </c>
      <c r="G22" s="119">
        <f>F22+Drivers!$C$17</f>
        <v>0.17656277017717856</v>
      </c>
      <c r="H22" s="119">
        <f>G22+Drivers!$C$17</f>
        <v>0.17398977017717857</v>
      </c>
      <c r="I22" s="119">
        <f>H22+Drivers!$C$17</f>
        <v>0.17141677017717857</v>
      </c>
      <c r="J22" s="119">
        <f>I22+Drivers!$C$17</f>
        <v>0.16884377017717858</v>
      </c>
      <c r="K22" s="119">
        <f>J22+Drivers!$C$17</f>
        <v>0.16627077017717859</v>
      </c>
      <c r="L22" s="119">
        <f>K22+Drivers!$C$17</f>
        <v>0.1636977701771786</v>
      </c>
      <c r="M22" s="119">
        <f>L22+Drivers!$C$17</f>
        <v>0.16112477017717861</v>
      </c>
      <c r="N22" s="119">
        <f>M22+Drivers!$C$17</f>
        <v>0.15855177017717861</v>
      </c>
      <c r="O22" s="119">
        <f>N22+Drivers!$C$17</f>
        <v>0.15597877017717862</v>
      </c>
      <c r="P22" s="22"/>
      <c r="Q22" s="39"/>
      <c r="R22" s="7"/>
      <c r="S22" s="7"/>
      <c r="T22" s="7"/>
      <c r="U22" s="7"/>
      <c r="V22" s="7"/>
      <c r="W22" s="7"/>
      <c r="X22" s="7"/>
    </row>
    <row r="23" spans="2:24" ht="14.4" x14ac:dyDescent="0.3">
      <c r="B23" s="49" t="s">
        <v>37</v>
      </c>
      <c r="C23" s="61">
        <f t="shared" si="17"/>
        <v>1.0007632131272657</v>
      </c>
      <c r="D23" s="61">
        <f t="shared" si="17"/>
        <v>1.0011684518013633</v>
      </c>
      <c r="E23" s="118">
        <f>D23+Drivers!$C$18</f>
        <v>1.0011684518013633</v>
      </c>
      <c r="F23" s="119">
        <f>E23+Drivers!$C$18</f>
        <v>1.0011684518013633</v>
      </c>
      <c r="G23" s="119">
        <f>F23+Drivers!$C$18</f>
        <v>1.0011684518013633</v>
      </c>
      <c r="H23" s="119">
        <f>G23+Drivers!$C$18</f>
        <v>1.0011684518013633</v>
      </c>
      <c r="I23" s="119">
        <f>H23+Drivers!$C$18</f>
        <v>1.0011684518013633</v>
      </c>
      <c r="J23" s="119">
        <f>I23+Drivers!$C$18</f>
        <v>1.0011684518013633</v>
      </c>
      <c r="K23" s="119">
        <f>J23+Drivers!$C$18</f>
        <v>1.0011684518013633</v>
      </c>
      <c r="L23" s="119">
        <f>K23+Drivers!$C$18</f>
        <v>1.0011684518013633</v>
      </c>
      <c r="M23" s="119">
        <f>L23+Drivers!$C$18</f>
        <v>1.0011684518013633</v>
      </c>
      <c r="N23" s="119">
        <f>M23+Drivers!$C$18</f>
        <v>1.0011684518013633</v>
      </c>
      <c r="O23" s="119">
        <f>N23+Drivers!$C$18</f>
        <v>1.0011684518013633</v>
      </c>
      <c r="P23" s="22"/>
      <c r="Q23" s="39"/>
      <c r="R23" s="7"/>
      <c r="S23" s="7"/>
      <c r="T23" s="7"/>
      <c r="U23" s="7"/>
      <c r="V23" s="7"/>
      <c r="W23" s="7"/>
      <c r="X23" s="7"/>
    </row>
    <row r="24" spans="2:24" s="2" customFormat="1" ht="15" customHeight="1" x14ac:dyDescent="0.3">
      <c r="B24" s="101" t="s">
        <v>53</v>
      </c>
      <c r="C24" s="106">
        <f t="shared" si="17"/>
        <v>0.27041867347530901</v>
      </c>
      <c r="D24" s="106">
        <f t="shared" si="17"/>
        <v>0.27017994384818123</v>
      </c>
      <c r="E24" s="120">
        <f>E30/E17</f>
        <v>0.26908899807741454</v>
      </c>
      <c r="F24" s="106">
        <f t="shared" ref="F24:O24" si="18">F30/F17</f>
        <v>0.26857363037800092</v>
      </c>
      <c r="G24" s="106">
        <f t="shared" si="18"/>
        <v>0.2685559989911751</v>
      </c>
      <c r="H24" s="106">
        <f t="shared" si="18"/>
        <v>0.26897506516131836</v>
      </c>
      <c r="I24" s="106">
        <f t="shared" si="18"/>
        <v>0.26978339592417905</v>
      </c>
      <c r="J24" s="106">
        <f t="shared" si="18"/>
        <v>0.2709445595108862</v>
      </c>
      <c r="K24" s="106">
        <f t="shared" si="18"/>
        <v>0.27243101593447677</v>
      </c>
      <c r="L24" s="106">
        <f t="shared" si="18"/>
        <v>0.27422241399892983</v>
      </c>
      <c r="M24" s="106">
        <f t="shared" si="18"/>
        <v>0.27630421773053981</v>
      </c>
      <c r="N24" s="106">
        <f t="shared" si="18"/>
        <v>0.27866659746540678</v>
      </c>
      <c r="O24" s="106">
        <f t="shared" si="18"/>
        <v>0.28130353224678151</v>
      </c>
      <c r="P24" s="22"/>
      <c r="Q24" s="40"/>
      <c r="R24" s="11"/>
      <c r="S24" s="11"/>
      <c r="T24" s="11"/>
      <c r="U24" s="11"/>
      <c r="V24" s="11"/>
      <c r="W24" s="11"/>
      <c r="X24" s="11"/>
    </row>
    <row r="25" spans="2:24" ht="8.1" customHeight="1" x14ac:dyDescent="0.3">
      <c r="B25" s="7"/>
      <c r="C25" s="7"/>
      <c r="D25" s="7"/>
      <c r="E25" s="21"/>
      <c r="F25" s="7"/>
      <c r="G25" s="7"/>
      <c r="H25" s="7"/>
      <c r="I25" s="7"/>
      <c r="J25" s="7"/>
      <c r="K25" s="7"/>
      <c r="L25" s="7"/>
      <c r="M25" s="7"/>
      <c r="N25" s="7"/>
      <c r="O25" s="7"/>
      <c r="P25" s="22"/>
      <c r="Q25" s="39"/>
      <c r="R25" s="7"/>
      <c r="S25" s="7"/>
      <c r="T25" s="7"/>
      <c r="U25" s="7"/>
      <c r="V25" s="7"/>
      <c r="W25" s="7"/>
      <c r="X25" s="7"/>
    </row>
    <row r="26" spans="2:24" ht="14.4" x14ac:dyDescent="0.3">
      <c r="B26" s="56" t="s">
        <v>63</v>
      </c>
      <c r="C26" s="7"/>
      <c r="D26" s="7"/>
      <c r="E26" s="21"/>
      <c r="F26" s="7"/>
      <c r="G26" s="7"/>
      <c r="H26" s="7"/>
      <c r="I26" s="7"/>
      <c r="J26" s="7"/>
      <c r="K26" s="7"/>
      <c r="L26" s="7"/>
      <c r="M26" s="7"/>
      <c r="N26" s="7"/>
      <c r="O26" s="7"/>
      <c r="P26" s="22"/>
      <c r="Q26" s="39"/>
      <c r="R26" s="7"/>
      <c r="S26" s="7"/>
      <c r="T26" s="7"/>
      <c r="U26" s="7"/>
      <c r="V26" s="7"/>
      <c r="W26" s="7"/>
      <c r="X26" s="7"/>
    </row>
    <row r="27" spans="2:24" ht="14.4" x14ac:dyDescent="0.3">
      <c r="B27" s="49" t="s">
        <v>35</v>
      </c>
      <c r="C27" s="88">
        <v>19832</v>
      </c>
      <c r="D27" s="88">
        <v>25087</v>
      </c>
      <c r="E27" s="114">
        <f>E14*E21</f>
        <v>29826.247281746451</v>
      </c>
      <c r="F27" s="77">
        <f t="shared" ref="F27:O27" si="19">F14*F21</f>
        <v>35173.648620916589</v>
      </c>
      <c r="G27" s="77">
        <f t="shared" si="19"/>
        <v>41141.756346837123</v>
      </c>
      <c r="H27" s="77">
        <f t="shared" si="19"/>
        <v>47727.849028408556</v>
      </c>
      <c r="I27" s="77">
        <f t="shared" si="19"/>
        <v>54911.19611189577</v>
      </c>
      <c r="J27" s="77">
        <f t="shared" si="19"/>
        <v>62650.665513996726</v>
      </c>
      <c r="K27" s="77">
        <f t="shared" si="19"/>
        <v>70882.872739026061</v>
      </c>
      <c r="L27" s="77">
        <f t="shared" si="19"/>
        <v>79521.070956248441</v>
      </c>
      <c r="M27" s="77">
        <f t="shared" si="19"/>
        <v>88454.967498360886</v>
      </c>
      <c r="N27" s="77">
        <f t="shared" si="19"/>
        <v>97551.621889400616</v>
      </c>
      <c r="O27" s="77">
        <f t="shared" si="19"/>
        <v>106657.53350106748</v>
      </c>
      <c r="P27" s="22"/>
      <c r="Q27" s="39"/>
      <c r="R27" s="7"/>
      <c r="S27" s="7"/>
      <c r="T27" s="7"/>
      <c r="U27" s="7"/>
      <c r="V27" s="7"/>
      <c r="W27" s="7"/>
      <c r="X27" s="7"/>
    </row>
    <row r="28" spans="2:24" ht="14.4" x14ac:dyDescent="0.3">
      <c r="B28" s="49" t="s">
        <v>36</v>
      </c>
      <c r="C28" s="88">
        <v>12204</v>
      </c>
      <c r="D28" s="88">
        <v>13750</v>
      </c>
      <c r="E28" s="114">
        <f t="shared" ref="E28:O28" si="20">E15*E22</f>
        <v>15704.618522068204</v>
      </c>
      <c r="F28" s="77">
        <f t="shared" si="20"/>
        <v>17767.512428795708</v>
      </c>
      <c r="G28" s="77">
        <f t="shared" si="20"/>
        <v>19909.48302496902</v>
      </c>
      <c r="H28" s="77">
        <f t="shared" si="20"/>
        <v>22094.603063319686</v>
      </c>
      <c r="I28" s="77">
        <f t="shared" si="20"/>
        <v>24280.810503465389</v>
      </c>
      <c r="J28" s="77">
        <f t="shared" si="20"/>
        <v>26420.918758310727</v>
      </c>
      <c r="K28" s="77">
        <f t="shared" si="20"/>
        <v>28464.037439611682</v>
      </c>
      <c r="L28" s="77">
        <f t="shared" si="20"/>
        <v>30357.365691394101</v>
      </c>
      <c r="M28" s="77">
        <f t="shared" si="20"/>
        <v>32048.286983158476</v>
      </c>
      <c r="N28" s="77">
        <f t="shared" si="20"/>
        <v>33486.6627704149</v>
      </c>
      <c r="O28" s="77">
        <f t="shared" si="20"/>
        <v>34627.196011835011</v>
      </c>
      <c r="P28" s="22"/>
      <c r="Q28" s="39"/>
      <c r="R28" s="7"/>
      <c r="S28" s="7"/>
      <c r="T28" s="7"/>
      <c r="U28" s="7"/>
      <c r="V28" s="7"/>
      <c r="W28" s="7"/>
      <c r="X28" s="7"/>
    </row>
    <row r="29" spans="2:24" ht="14.4" x14ac:dyDescent="0.3">
      <c r="B29" s="49" t="s">
        <v>37</v>
      </c>
      <c r="C29" s="88">
        <v>5245</v>
      </c>
      <c r="D29" s="88">
        <v>5141</v>
      </c>
      <c r="E29" s="114">
        <f t="shared" ref="E29:O29" si="21">E16*E23</f>
        <v>5229.4509050000006</v>
      </c>
      <c r="F29" s="77">
        <f t="shared" si="21"/>
        <v>5314.5393006752547</v>
      </c>
      <c r="G29" s="77">
        <f t="shared" si="21"/>
        <v>5396.0483899297105</v>
      </c>
      <c r="H29" s="77">
        <f t="shared" si="21"/>
        <v>5473.7676748898675</v>
      </c>
      <c r="I29" s="77">
        <f t="shared" si="21"/>
        <v>5547.4938517029595</v>
      </c>
      <c r="J29" s="77">
        <f t="shared" si="21"/>
        <v>5617.0316871340565</v>
      </c>
      <c r="K29" s="77">
        <f t="shared" si="21"/>
        <v>5682.1948717364985</v>
      </c>
      <c r="L29" s="77">
        <f t="shared" si="21"/>
        <v>5742.8068444333112</v>
      </c>
      <c r="M29" s="77">
        <f t="shared" si="21"/>
        <v>5798.7015834501808</v>
      </c>
      <c r="N29" s="77">
        <f t="shared" si="21"/>
        <v>5849.7243586829591</v>
      </c>
      <c r="O29" s="77">
        <f t="shared" si="21"/>
        <v>5895.7324407640008</v>
      </c>
      <c r="P29" s="22"/>
      <c r="Q29" s="39"/>
      <c r="R29" s="7"/>
      <c r="S29" s="7"/>
      <c r="T29" s="7"/>
      <c r="U29" s="7"/>
      <c r="V29" s="7"/>
      <c r="W29" s="7"/>
      <c r="X29" s="7"/>
    </row>
    <row r="30" spans="2:24" s="2" customFormat="1" ht="15" customHeight="1" x14ac:dyDescent="0.3">
      <c r="B30" s="101" t="s">
        <v>39</v>
      </c>
      <c r="C30" s="103">
        <f t="shared" ref="C30:O30" si="22">SUM(C27:C29)</f>
        <v>37281</v>
      </c>
      <c r="D30" s="103">
        <f t="shared" si="22"/>
        <v>43978</v>
      </c>
      <c r="E30" s="104">
        <f t="shared" si="22"/>
        <v>50760.316708814651</v>
      </c>
      <c r="F30" s="103">
        <f t="shared" si="22"/>
        <v>58255.700350387553</v>
      </c>
      <c r="G30" s="103">
        <f t="shared" si="22"/>
        <v>66447.287761735846</v>
      </c>
      <c r="H30" s="103">
        <f t="shared" si="22"/>
        <v>75296.219766618116</v>
      </c>
      <c r="I30" s="103">
        <f t="shared" si="22"/>
        <v>84739.500467064121</v>
      </c>
      <c r="J30" s="103">
        <f t="shared" si="22"/>
        <v>94688.615959441522</v>
      </c>
      <c r="K30" s="103">
        <f t="shared" si="22"/>
        <v>105029.10505037424</v>
      </c>
      <c r="L30" s="103">
        <f t="shared" si="22"/>
        <v>115621.24349207585</v>
      </c>
      <c r="M30" s="103">
        <f t="shared" si="22"/>
        <v>126301.95606496955</v>
      </c>
      <c r="N30" s="103">
        <f t="shared" si="22"/>
        <v>136888.00901849847</v>
      </c>
      <c r="O30" s="103">
        <f t="shared" si="22"/>
        <v>147180.4619536665</v>
      </c>
      <c r="P30" s="105">
        <f>O30</f>
        <v>147180.4619536665</v>
      </c>
      <c r="Q30" s="40"/>
      <c r="R30" s="11"/>
      <c r="S30" s="11"/>
      <c r="T30" s="11"/>
      <c r="U30" s="11"/>
      <c r="V30" s="11"/>
      <c r="W30" s="11"/>
      <c r="X30" s="11"/>
    </row>
    <row r="31" spans="2:24" ht="14.4" x14ac:dyDescent="0.3">
      <c r="B31" s="60" t="s">
        <v>104</v>
      </c>
      <c r="C31" s="26"/>
      <c r="D31" s="61">
        <f t="shared" ref="D31:E31" si="23">D30/C30-1</f>
        <v>0.17963573938467325</v>
      </c>
      <c r="E31" s="115">
        <f t="shared" si="23"/>
        <v>0.15422067189991928</v>
      </c>
      <c r="F31" s="116">
        <f>F30/E30-1</f>
        <v>0.14766227099350049</v>
      </c>
      <c r="G31" s="116">
        <f t="shared" ref="G31:H31" si="24">G30/F30-1</f>
        <v>0.14061434953281449</v>
      </c>
      <c r="H31" s="116">
        <f t="shared" si="24"/>
        <v>0.13317220766952054</v>
      </c>
      <c r="I31" s="116">
        <f t="shared" ref="I31" si="25">I30/H30-1</f>
        <v>0.12541507036761756</v>
      </c>
      <c r="J31" s="117">
        <f t="shared" ref="J31" si="26">J30/I30-1</f>
        <v>0.1174082386318096</v>
      </c>
      <c r="K31" s="117">
        <f t="shared" ref="K31" si="27">K30/J30-1</f>
        <v>0.10920519838796583</v>
      </c>
      <c r="L31" s="117">
        <f t="shared" ref="L31" si="28">L30/K30-1</f>
        <v>0.10084955438420029</v>
      </c>
      <c r="M31" s="117">
        <f t="shared" ref="M31" si="29">M30/L30-1</f>
        <v>9.237673156166748E-2</v>
      </c>
      <c r="N31" s="117">
        <f t="shared" ref="N31" si="30">N30/M30-1</f>
        <v>8.3815431552647368E-2</v>
      </c>
      <c r="O31" s="117">
        <f t="shared" ref="O31" si="31">O30/N30-1</f>
        <v>7.5188857000448861E-2</v>
      </c>
      <c r="P31" s="22"/>
      <c r="Q31" s="39"/>
      <c r="R31" s="7"/>
      <c r="S31" s="7"/>
      <c r="T31" s="7"/>
      <c r="U31" s="7"/>
      <c r="V31" s="7"/>
      <c r="W31" s="7"/>
      <c r="X31" s="7"/>
    </row>
    <row r="32" spans="2:24" ht="8.1" customHeight="1" x14ac:dyDescent="0.3">
      <c r="B32" s="7"/>
      <c r="C32" s="7"/>
      <c r="D32" s="7"/>
      <c r="E32" s="21"/>
      <c r="F32" s="7"/>
      <c r="G32" s="7"/>
      <c r="H32" s="7"/>
      <c r="I32" s="7"/>
      <c r="J32" s="7"/>
      <c r="K32" s="7"/>
      <c r="L32" s="7"/>
      <c r="M32" s="7"/>
      <c r="N32" s="7"/>
      <c r="O32" s="7"/>
      <c r="P32" s="22"/>
      <c r="Q32" s="39"/>
      <c r="R32" s="7"/>
      <c r="S32" s="7"/>
      <c r="T32" s="7"/>
      <c r="U32" s="7"/>
      <c r="V32" s="7"/>
      <c r="W32" s="7"/>
      <c r="X32" s="7"/>
    </row>
    <row r="33" spans="2:24" ht="14.4" x14ac:dyDescent="0.3">
      <c r="B33" s="56" t="s">
        <v>67</v>
      </c>
      <c r="C33" s="7"/>
      <c r="D33" s="7"/>
      <c r="E33" s="21"/>
      <c r="F33" s="7"/>
      <c r="G33" s="7"/>
      <c r="H33" s="7"/>
      <c r="I33" s="7"/>
      <c r="J33" s="7"/>
      <c r="K33" s="7"/>
      <c r="L33" s="7"/>
      <c r="M33" s="7"/>
      <c r="N33" s="7"/>
      <c r="O33" s="7"/>
      <c r="P33" s="22"/>
      <c r="Q33" s="39"/>
      <c r="R33" s="7"/>
      <c r="S33" s="7"/>
      <c r="T33" s="7"/>
      <c r="U33" s="7"/>
      <c r="V33" s="7"/>
      <c r="W33" s="7"/>
      <c r="X33" s="7"/>
    </row>
    <row r="34" spans="2:24" ht="14.4" x14ac:dyDescent="0.3">
      <c r="B34" s="49" t="s">
        <v>35</v>
      </c>
      <c r="C34" s="62">
        <f t="shared" ref="C34:D36" si="32">IFERROR(C41/C27,"n/m")</f>
        <v>0.25025211778943124</v>
      </c>
      <c r="D34" s="62">
        <f t="shared" si="32"/>
        <v>0.25897875393630165</v>
      </c>
      <c r="E34" s="121">
        <f>D34+Drivers!$C$21</f>
        <v>0.26178375393630166</v>
      </c>
      <c r="F34" s="122">
        <f>E34+Drivers!$C$21</f>
        <v>0.26458875393630166</v>
      </c>
      <c r="G34" s="122">
        <f>F34+Drivers!$C$21</f>
        <v>0.26739375393630166</v>
      </c>
      <c r="H34" s="122">
        <f>G34+Drivers!$C$21</f>
        <v>0.27019875393630166</v>
      </c>
      <c r="I34" s="122">
        <f>H34+Drivers!$C$21</f>
        <v>0.27300375393630166</v>
      </c>
      <c r="J34" s="122">
        <f>I34+Drivers!$C$21</f>
        <v>0.27580875393630166</v>
      </c>
      <c r="K34" s="122">
        <f>J34+Drivers!$C$21</f>
        <v>0.27861375393630167</v>
      </c>
      <c r="L34" s="122">
        <f>K34+Drivers!$C$21</f>
        <v>0.28141875393630167</v>
      </c>
      <c r="M34" s="122">
        <f>L34+Drivers!$C$21</f>
        <v>0.28422375393630167</v>
      </c>
      <c r="N34" s="122">
        <f>M34+Drivers!$C$21</f>
        <v>0.28702875393630167</v>
      </c>
      <c r="O34" s="122">
        <f>N34+Drivers!$C$21</f>
        <v>0.28983375393630167</v>
      </c>
      <c r="P34" s="22"/>
      <c r="Q34" s="39"/>
      <c r="R34" s="7"/>
      <c r="S34" s="7"/>
      <c r="T34" s="7"/>
      <c r="U34" s="7"/>
      <c r="V34" s="7"/>
      <c r="W34" s="7"/>
      <c r="X34" s="7"/>
    </row>
    <row r="35" spans="2:24" ht="14.4" x14ac:dyDescent="0.3">
      <c r="B35" s="49" t="s">
        <v>36</v>
      </c>
      <c r="C35" s="62">
        <f t="shared" si="32"/>
        <v>0.12340216322517207</v>
      </c>
      <c r="D35" s="62">
        <f t="shared" si="32"/>
        <v>0.1797090909090909</v>
      </c>
      <c r="E35" s="121">
        <f>D35+Drivers!$C$22</f>
        <v>0.1808750909090909</v>
      </c>
      <c r="F35" s="122">
        <f>E35+Drivers!$C$22</f>
        <v>0.1820410909090909</v>
      </c>
      <c r="G35" s="122">
        <f>F35+Drivers!$C$22</f>
        <v>0.1832070909090909</v>
      </c>
      <c r="H35" s="122">
        <f>G35+Drivers!$C$22</f>
        <v>0.1843730909090909</v>
      </c>
      <c r="I35" s="122">
        <f>H35+Drivers!$C$22</f>
        <v>0.1855390909090909</v>
      </c>
      <c r="J35" s="122">
        <f>I35+Drivers!$C$22</f>
        <v>0.1867050909090909</v>
      </c>
      <c r="K35" s="122">
        <f>J35+Drivers!$C$22</f>
        <v>0.1878710909090909</v>
      </c>
      <c r="L35" s="122">
        <f>K35+Drivers!$C$22</f>
        <v>0.1890370909090909</v>
      </c>
      <c r="M35" s="122">
        <f>L35+Drivers!$C$22</f>
        <v>0.1902030909090909</v>
      </c>
      <c r="N35" s="122">
        <f>M35+Drivers!$C$22</f>
        <v>0.19136909090909091</v>
      </c>
      <c r="O35" s="122">
        <f>N35+Drivers!$C$22</f>
        <v>0.19253509090909091</v>
      </c>
      <c r="P35" s="22"/>
      <c r="Q35" s="39"/>
      <c r="R35" s="7"/>
      <c r="S35" s="7"/>
      <c r="T35" s="7"/>
      <c r="U35" s="7"/>
      <c r="V35" s="7"/>
      <c r="W35" s="7"/>
      <c r="X35" s="7"/>
    </row>
    <row r="36" spans="2:24" ht="14.4" x14ac:dyDescent="0.3">
      <c r="B36" s="49" t="s">
        <v>37</v>
      </c>
      <c r="C36" s="62">
        <f t="shared" si="32"/>
        <v>-1.2202097235462344E-2</v>
      </c>
      <c r="D36" s="62">
        <f t="shared" si="32"/>
        <v>-1.4394086753549893E-2</v>
      </c>
      <c r="E36" s="121">
        <f>D36+Drivers!$C$23</f>
        <v>-4.4880867535498931E-3</v>
      </c>
      <c r="F36" s="122">
        <f>E36+Drivers!$C$23</f>
        <v>5.4179132464501067E-3</v>
      </c>
      <c r="G36" s="122">
        <f>F36+Drivers!$C$23</f>
        <v>1.5323913246450107E-2</v>
      </c>
      <c r="H36" s="122">
        <f>G36+Drivers!$C$23</f>
        <v>2.5229913246450106E-2</v>
      </c>
      <c r="I36" s="122">
        <f>H36+Drivers!$C$23</f>
        <v>3.5135913246450108E-2</v>
      </c>
      <c r="J36" s="122">
        <f>I36+Drivers!$C$23</f>
        <v>4.5041913246450106E-2</v>
      </c>
      <c r="K36" s="122">
        <f>J36+Drivers!$C$23</f>
        <v>5.4947913246450104E-2</v>
      </c>
      <c r="L36" s="122">
        <f>K36+Drivers!$C$23</f>
        <v>6.4853913246450109E-2</v>
      </c>
      <c r="M36" s="122">
        <f>L36+Drivers!$C$23</f>
        <v>7.4759913246450108E-2</v>
      </c>
      <c r="N36" s="122">
        <f>M36+Drivers!$C$23</f>
        <v>8.4665913246450106E-2</v>
      </c>
      <c r="O36" s="122">
        <f>N36+Drivers!$C$23</f>
        <v>9.4571913246450104E-2</v>
      </c>
      <c r="P36" s="22"/>
      <c r="Q36" s="39"/>
      <c r="R36" s="7"/>
      <c r="S36" s="7"/>
      <c r="T36" s="7"/>
      <c r="U36" s="7"/>
      <c r="V36" s="7"/>
      <c r="W36" s="7"/>
      <c r="X36" s="7"/>
    </row>
    <row r="37" spans="2:24" ht="14.4" x14ac:dyDescent="0.3">
      <c r="B37" s="49" t="s">
        <v>92</v>
      </c>
      <c r="C37" s="57" t="s">
        <v>68</v>
      </c>
      <c r="D37" s="57" t="s">
        <v>68</v>
      </c>
      <c r="E37" s="63" t="s">
        <v>68</v>
      </c>
      <c r="F37" s="57" t="s">
        <v>68</v>
      </c>
      <c r="G37" s="57" t="s">
        <v>68</v>
      </c>
      <c r="H37" s="57" t="s">
        <v>68</v>
      </c>
      <c r="I37" s="57" t="s">
        <v>68</v>
      </c>
      <c r="J37" s="57" t="s">
        <v>68</v>
      </c>
      <c r="K37" s="57" t="s">
        <v>68</v>
      </c>
      <c r="L37" s="57" t="s">
        <v>68</v>
      </c>
      <c r="M37" s="57" t="s">
        <v>68</v>
      </c>
      <c r="N37" s="57" t="s">
        <v>68</v>
      </c>
      <c r="O37" s="57" t="s">
        <v>68</v>
      </c>
      <c r="P37" s="22"/>
      <c r="Q37" s="39"/>
      <c r="R37" s="7"/>
      <c r="S37" s="7"/>
      <c r="T37" s="7"/>
      <c r="U37" s="7"/>
      <c r="V37" s="7"/>
      <c r="W37" s="7"/>
      <c r="X37" s="7"/>
    </row>
    <row r="38" spans="2:24" ht="15" customHeight="1" x14ac:dyDescent="0.3">
      <c r="B38" s="101" t="s">
        <v>94</v>
      </c>
      <c r="C38" s="102">
        <f t="shared" ref="C38:O38" si="33">IFERROR(C45/C30,"n/m")</f>
        <v>0.10868807167189722</v>
      </c>
      <c r="D38" s="102">
        <f t="shared" si="33"/>
        <v>0.14743735504115693</v>
      </c>
      <c r="E38" s="113">
        <f t="shared" si="33"/>
        <v>0.15974763237394243</v>
      </c>
      <c r="F38" s="102">
        <f t="shared" si="33"/>
        <v>0.17066988699765309</v>
      </c>
      <c r="G38" s="102">
        <f t="shared" si="33"/>
        <v>0.18041599470920835</v>
      </c>
      <c r="H38" s="102">
        <f t="shared" si="33"/>
        <v>0.18916796326705621</v>
      </c>
      <c r="I38" s="102">
        <f t="shared" si="33"/>
        <v>0.19708014803681559</v>
      </c>
      <c r="J38" s="102">
        <f t="shared" si="33"/>
        <v>0.20428208763558417</v>
      </c>
      <c r="K38" s="102">
        <f t="shared" si="33"/>
        <v>0.21088149362142578</v>
      </c>
      <c r="L38" s="102">
        <f t="shared" si="33"/>
        <v>0.21696711916795741</v>
      </c>
      <c r="M38" s="102">
        <f t="shared" si="33"/>
        <v>0.22261135948300098</v>
      </c>
      <c r="N38" s="102">
        <f t="shared" si="33"/>
        <v>0.22787251761953359</v>
      </c>
      <c r="O38" s="102">
        <f t="shared" si="33"/>
        <v>0.23279671731297652</v>
      </c>
      <c r="P38" s="22"/>
      <c r="Q38" s="39"/>
      <c r="R38" s="7"/>
      <c r="S38" s="7"/>
      <c r="T38" s="7"/>
      <c r="U38" s="7"/>
      <c r="V38" s="7"/>
      <c r="W38" s="7"/>
      <c r="X38" s="7"/>
    </row>
    <row r="39" spans="2:24" ht="8.1" customHeight="1" x14ac:dyDescent="0.3">
      <c r="B39" s="7"/>
      <c r="C39" s="7"/>
      <c r="D39" s="7"/>
      <c r="E39" s="21"/>
      <c r="F39" s="7"/>
      <c r="G39" s="7"/>
      <c r="H39" s="7"/>
      <c r="I39" s="7"/>
      <c r="J39" s="7"/>
      <c r="K39" s="7"/>
      <c r="L39" s="7"/>
      <c r="M39" s="7"/>
      <c r="N39" s="7"/>
      <c r="O39" s="7"/>
      <c r="P39" s="22"/>
      <c r="Q39" s="39"/>
      <c r="R39" s="7"/>
      <c r="S39" s="7"/>
      <c r="T39" s="7"/>
      <c r="U39" s="7"/>
      <c r="V39" s="7"/>
      <c r="W39" s="7"/>
      <c r="X39" s="7"/>
    </row>
    <row r="40" spans="2:24" ht="14.4" x14ac:dyDescent="0.3">
      <c r="B40" s="56" t="s">
        <v>66</v>
      </c>
      <c r="C40" s="7"/>
      <c r="D40" s="7"/>
      <c r="E40" s="21"/>
      <c r="F40" s="7"/>
      <c r="G40" s="7"/>
      <c r="H40" s="7"/>
      <c r="I40" s="7"/>
      <c r="J40" s="7"/>
      <c r="K40" s="7"/>
      <c r="L40" s="7"/>
      <c r="M40" s="7"/>
      <c r="N40" s="7"/>
      <c r="O40" s="7"/>
      <c r="P40" s="22"/>
      <c r="Q40" s="39"/>
      <c r="R40" s="7"/>
      <c r="S40" s="7"/>
      <c r="T40" s="7"/>
      <c r="U40" s="7"/>
      <c r="V40" s="7"/>
      <c r="W40" s="7"/>
      <c r="X40" s="7"/>
    </row>
    <row r="41" spans="2:24" ht="14.4" x14ac:dyDescent="0.3">
      <c r="B41" s="49" t="s">
        <v>35</v>
      </c>
      <c r="C41" s="88">
        <v>4963</v>
      </c>
      <c r="D41" s="88">
        <v>6497</v>
      </c>
      <c r="E41" s="123">
        <f>E27*E34</f>
        <v>7808.0269792479994</v>
      </c>
      <c r="F41" s="124">
        <f t="shared" ref="F41:O41" si="34">F27*F34</f>
        <v>9306.5518600016349</v>
      </c>
      <c r="G41" s="124">
        <f t="shared" si="34"/>
        <v>11001.048673113442</v>
      </c>
      <c r="H41" s="124">
        <f t="shared" si="34"/>
        <v>12896.005335535918</v>
      </c>
      <c r="I41" s="124">
        <f t="shared" si="34"/>
        <v>14990.962671679998</v>
      </c>
      <c r="J41" s="124">
        <f t="shared" si="34"/>
        <v>17279.601988695464</v>
      </c>
      <c r="K41" s="124">
        <f t="shared" si="34"/>
        <v>19748.943263609191</v>
      </c>
      <c r="L41" s="124">
        <f t="shared" si="34"/>
        <v>22378.720700187667</v>
      </c>
      <c r="M41" s="124">
        <f t="shared" si="34"/>
        <v>25141.002916697686</v>
      </c>
      <c r="N41" s="124">
        <f t="shared" si="34"/>
        <v>28000.12047537991</v>
      </c>
      <c r="O41" s="124">
        <f t="shared" si="34"/>
        <v>30912.953320201243</v>
      </c>
      <c r="P41" s="22"/>
      <c r="Q41" s="39"/>
      <c r="R41" s="7"/>
      <c r="S41" s="7"/>
      <c r="T41" s="7"/>
      <c r="U41" s="7"/>
      <c r="V41" s="7"/>
      <c r="W41" s="7"/>
      <c r="X41" s="7"/>
    </row>
    <row r="42" spans="2:24" ht="14.4" x14ac:dyDescent="0.3">
      <c r="B42" s="49" t="s">
        <v>36</v>
      </c>
      <c r="C42" s="88">
        <v>1506</v>
      </c>
      <c r="D42" s="88">
        <v>2471</v>
      </c>
      <c r="E42" s="123">
        <f t="shared" ref="E42:O42" si="35">E28*E35</f>
        <v>2840.5743028716793</v>
      </c>
      <c r="F42" s="124">
        <f t="shared" si="35"/>
        <v>3234.4173452788018</v>
      </c>
      <c r="G42" s="124">
        <f t="shared" si="35"/>
        <v>3647.5584665085016</v>
      </c>
      <c r="H42" s="124">
        <f t="shared" si="35"/>
        <v>4073.6502591937187</v>
      </c>
      <c r="I42" s="124">
        <f t="shared" si="35"/>
        <v>4505.0395073488744</v>
      </c>
      <c r="J42" s="124">
        <f t="shared" si="35"/>
        <v>4932.9200386721095</v>
      </c>
      <c r="K42" s="124">
        <f t="shared" si="35"/>
        <v>5347.5697654570531</v>
      </c>
      <c r="L42" s="124">
        <f t="shared" si="35"/>
        <v>5738.6680979645844</v>
      </c>
      <c r="M42" s="124">
        <f t="shared" si="35"/>
        <v>6095.6832425383263</v>
      </c>
      <c r="N42" s="124">
        <f t="shared" si="35"/>
        <v>6408.3122119535992</v>
      </c>
      <c r="O42" s="124">
        <f t="shared" si="35"/>
        <v>6666.950332065564</v>
      </c>
      <c r="P42" s="22"/>
      <c r="Q42" s="39"/>
      <c r="R42" s="7"/>
      <c r="S42" s="7"/>
      <c r="T42" s="7"/>
      <c r="U42" s="7"/>
      <c r="V42" s="7"/>
      <c r="W42" s="7"/>
      <c r="X42" s="7"/>
    </row>
    <row r="43" spans="2:24" ht="14.4" x14ac:dyDescent="0.3">
      <c r="B43" s="49" t="s">
        <v>37</v>
      </c>
      <c r="C43" s="88">
        <v>-64</v>
      </c>
      <c r="D43" s="88">
        <v>-74</v>
      </c>
      <c r="E43" s="123">
        <f t="shared" ref="E43:O43" si="36">E29*E36</f>
        <v>-23.470229335070002</v>
      </c>
      <c r="F43" s="124">
        <f t="shared" si="36"/>
        <v>28.793712875908149</v>
      </c>
      <c r="G43" s="124">
        <f t="shared" si="36"/>
        <v>82.68857740092966</v>
      </c>
      <c r="H43" s="124">
        <f t="shared" si="36"/>
        <v>138.10268356869426</v>
      </c>
      <c r="I43" s="124">
        <f t="shared" si="36"/>
        <v>194.91626270865055</v>
      </c>
      <c r="J43" s="124">
        <f t="shared" si="36"/>
        <v>253.00185395445345</v>
      </c>
      <c r="K43" s="124">
        <f t="shared" si="36"/>
        <v>312.2247508616008</v>
      </c>
      <c r="L43" s="124">
        <f t="shared" si="36"/>
        <v>372.44349687999789</v>
      </c>
      <c r="M43" s="124">
        <f t="shared" si="36"/>
        <v>433.51042732078838</v>
      </c>
      <c r="N43" s="124">
        <f t="shared" si="36"/>
        <v>495.27225506789739</v>
      </c>
      <c r="O43" s="124">
        <f t="shared" si="36"/>
        <v>557.57069691221466</v>
      </c>
      <c r="P43" s="22"/>
      <c r="Q43" s="39"/>
      <c r="R43" s="7"/>
      <c r="S43" s="7"/>
      <c r="T43" s="7"/>
      <c r="U43" s="7"/>
      <c r="V43" s="7"/>
      <c r="W43" s="7"/>
      <c r="X43" s="7"/>
    </row>
    <row r="44" spans="2:24" ht="14.4" x14ac:dyDescent="0.3">
      <c r="B44" s="49" t="s">
        <v>92</v>
      </c>
      <c r="C44" s="88">
        <v>-2353</v>
      </c>
      <c r="D44" s="88">
        <v>-2410</v>
      </c>
      <c r="E44" s="125">
        <f>D44*(1+Drivers!$C$26)</f>
        <v>-2516.2906399999997</v>
      </c>
      <c r="F44" s="28">
        <f>E44*(1+Drivers!$C$26)</f>
        <v>-2627.2691223865595</v>
      </c>
      <c r="G44" s="28">
        <f>F44*(1+Drivers!$C$26)</f>
        <v>-2743.1421997602961</v>
      </c>
      <c r="H44" s="28">
        <f>G44*(1+Drivers!$C$26)</f>
        <v>-2864.125743338524</v>
      </c>
      <c r="I44" s="28">
        <f>H44*(1+Drivers!$C$26)</f>
        <v>-2990.445145122726</v>
      </c>
      <c r="J44" s="28">
        <f>I44*(1+Drivers!$C$26)</f>
        <v>-3122.3357378032183</v>
      </c>
      <c r="K44" s="28">
        <f>J44*(1+Drivers!$C$26)</f>
        <v>-3260.0432331832912</v>
      </c>
      <c r="L44" s="28">
        <f>K44*(1+Drivers!$C$26)</f>
        <v>-3403.8241799396069</v>
      </c>
      <c r="M44" s="28">
        <f>L44*(1+Drivers!$C$26)</f>
        <v>-3553.9464415716629</v>
      </c>
      <c r="N44" s="28">
        <f>M44*(1+Drivers!$C$26)</f>
        <v>-3710.6896954307394</v>
      </c>
      <c r="O44" s="28">
        <f>N44*(1+Drivers!$C$26)</f>
        <v>-3874.3459537580165</v>
      </c>
      <c r="P44" s="22"/>
      <c r="Q44" s="39"/>
      <c r="R44" s="7"/>
      <c r="S44" s="7"/>
      <c r="T44" s="7"/>
      <c r="U44" s="7"/>
      <c r="V44" s="7"/>
      <c r="W44" s="7"/>
      <c r="X44" s="7"/>
    </row>
    <row r="45" spans="2:24" s="2" customFormat="1" ht="15" customHeight="1" x14ac:dyDescent="0.3">
      <c r="B45" s="101" t="s">
        <v>50</v>
      </c>
      <c r="C45" s="103">
        <f t="shared" ref="C45:O45" si="37">SUM(C41:C44)</f>
        <v>4052</v>
      </c>
      <c r="D45" s="103">
        <f t="shared" si="37"/>
        <v>6484</v>
      </c>
      <c r="E45" s="104">
        <f t="shared" si="37"/>
        <v>8108.8404127846097</v>
      </c>
      <c r="F45" s="103">
        <f t="shared" si="37"/>
        <v>9942.4937957697839</v>
      </c>
      <c r="G45" s="103">
        <f t="shared" si="37"/>
        <v>11988.153517262579</v>
      </c>
      <c r="H45" s="103">
        <f t="shared" si="37"/>
        <v>14243.632534959806</v>
      </c>
      <c r="I45" s="103">
        <f t="shared" si="37"/>
        <v>16700.4732966148</v>
      </c>
      <c r="J45" s="103">
        <f t="shared" si="37"/>
        <v>19343.188143518808</v>
      </c>
      <c r="K45" s="103">
        <f t="shared" si="37"/>
        <v>22148.694546744555</v>
      </c>
      <c r="L45" s="103">
        <f t="shared" si="37"/>
        <v>25086.008115092642</v>
      </c>
      <c r="M45" s="103">
        <f t="shared" si="37"/>
        <v>28116.250144985133</v>
      </c>
      <c r="N45" s="103">
        <f t="shared" si="37"/>
        <v>31193.015246970666</v>
      </c>
      <c r="O45" s="103">
        <f t="shared" si="37"/>
        <v>34263.128395420994</v>
      </c>
      <c r="P45" s="105">
        <f>O45</f>
        <v>34263.128395420994</v>
      </c>
      <c r="Q45" s="40"/>
      <c r="R45" s="11"/>
      <c r="S45" s="11"/>
      <c r="T45" s="11"/>
      <c r="U45" s="11"/>
      <c r="V45" s="11"/>
      <c r="W45" s="11"/>
      <c r="X45" s="11"/>
    </row>
    <row r="46" spans="2:24" ht="14.4" x14ac:dyDescent="0.3">
      <c r="B46" s="60" t="s">
        <v>104</v>
      </c>
      <c r="C46" s="27"/>
      <c r="D46" s="64">
        <f t="shared" ref="D46:O46" si="38">D45/C45-1</f>
        <v>0.60019743336623899</v>
      </c>
      <c r="E46" s="115">
        <f t="shared" si="38"/>
        <v>0.25059229068238897</v>
      </c>
      <c r="F46" s="126">
        <f t="shared" si="38"/>
        <v>0.22613016037338562</v>
      </c>
      <c r="G46" s="126">
        <f t="shared" si="38"/>
        <v>0.20574915745616651</v>
      </c>
      <c r="H46" s="126">
        <f t="shared" si="38"/>
        <v>0.18814232020380839</v>
      </c>
      <c r="I46" s="126">
        <f t="shared" si="38"/>
        <v>0.17248695202048236</v>
      </c>
      <c r="J46" s="126">
        <f t="shared" si="38"/>
        <v>0.15824191326599646</v>
      </c>
      <c r="K46" s="126">
        <f t="shared" si="38"/>
        <v>0.14503846948134913</v>
      </c>
      <c r="L46" s="126">
        <f t="shared" si="38"/>
        <v>0.13261790947312591</v>
      </c>
      <c r="M46" s="126">
        <f t="shared" si="38"/>
        <v>0.12079411024623687</v>
      </c>
      <c r="N46" s="126">
        <f t="shared" si="38"/>
        <v>0.10943013688240044</v>
      </c>
      <c r="O46" s="126">
        <f t="shared" si="38"/>
        <v>9.8423096457418646E-2</v>
      </c>
      <c r="P46" s="22"/>
      <c r="Q46" s="39"/>
      <c r="R46" s="7"/>
      <c r="S46" s="7"/>
      <c r="T46" s="7"/>
      <c r="U46" s="7"/>
      <c r="V46" s="7"/>
      <c r="W46" s="7"/>
      <c r="X46" s="7"/>
    </row>
    <row r="47" spans="2:24" ht="8.1" customHeight="1" x14ac:dyDescent="0.3">
      <c r="B47" s="7"/>
      <c r="C47" s="7"/>
      <c r="D47" s="7"/>
      <c r="E47" s="21"/>
      <c r="F47" s="7"/>
      <c r="G47" s="7"/>
      <c r="H47" s="7"/>
      <c r="I47" s="7"/>
      <c r="J47" s="7"/>
      <c r="K47" s="7"/>
      <c r="L47" s="7"/>
      <c r="M47" s="7"/>
      <c r="N47" s="7"/>
      <c r="O47" s="7"/>
      <c r="P47" s="22"/>
      <c r="Q47" s="39"/>
      <c r="R47" s="7"/>
      <c r="S47" s="7"/>
      <c r="T47" s="7"/>
      <c r="U47" s="7"/>
      <c r="V47" s="7"/>
      <c r="W47" s="7"/>
      <c r="X47" s="7"/>
    </row>
    <row r="48" spans="2:24" ht="14.4" x14ac:dyDescent="0.3">
      <c r="B48" s="49" t="s">
        <v>43</v>
      </c>
      <c r="C48" s="28"/>
      <c r="D48" s="28"/>
      <c r="E48" s="125">
        <f>-'D&amp;A Schedule'!E51</f>
        <v>-576.59999999999991</v>
      </c>
      <c r="F48" s="28">
        <f>-'D&amp;A Schedule'!F51</f>
        <v>-591.28142588169885</v>
      </c>
      <c r="G48" s="28">
        <f>-'D&amp;A Schedule'!G51</f>
        <v>-663.30481290476791</v>
      </c>
      <c r="H48" s="28">
        <f>-'D&amp;A Schedule'!H51</f>
        <v>-719.57145356873036</v>
      </c>
      <c r="I48" s="28">
        <f>-'D&amp;A Schedule'!I51</f>
        <v>-788.88239715842474</v>
      </c>
      <c r="J48" s="28">
        <f>-'D&amp;A Schedule'!J51</f>
        <v>-517.30011396758266</v>
      </c>
      <c r="K48" s="28">
        <f>-'D&amp;A Schedule'!K51</f>
        <v>-581.82845200034103</v>
      </c>
      <c r="L48" s="28">
        <f>-'D&amp;A Schedule'!L51</f>
        <v>-649.47789766363826</v>
      </c>
      <c r="M48" s="28">
        <f>-'D&amp;A Schedule'!M51</f>
        <v>-719.37045231330853</v>
      </c>
      <c r="N48" s="28">
        <f>-'D&amp;A Schedule'!N51</f>
        <v>-790.45281769830012</v>
      </c>
      <c r="O48" s="28">
        <f>-'D&amp;A Schedule'!O51</f>
        <v>-861.51458482348494</v>
      </c>
      <c r="P48" s="22"/>
      <c r="Q48" s="39"/>
      <c r="R48" s="7"/>
      <c r="S48" s="7"/>
      <c r="T48" s="7"/>
      <c r="U48" s="7"/>
      <c r="V48" s="7"/>
      <c r="W48" s="7"/>
      <c r="X48" s="7"/>
    </row>
    <row r="49" spans="2:24" ht="8.1" customHeight="1" x14ac:dyDescent="0.3">
      <c r="B49" s="7"/>
      <c r="C49" s="7"/>
      <c r="D49" s="7"/>
      <c r="E49" s="21"/>
      <c r="F49" s="7"/>
      <c r="G49" s="7"/>
      <c r="H49" s="7"/>
      <c r="I49" s="7"/>
      <c r="J49" s="7"/>
      <c r="K49" s="7"/>
      <c r="L49" s="7"/>
      <c r="M49" s="7"/>
      <c r="N49" s="7"/>
      <c r="O49" s="7"/>
      <c r="P49" s="22"/>
      <c r="Q49" s="39"/>
      <c r="R49" s="7"/>
      <c r="S49" s="7"/>
      <c r="T49" s="7"/>
      <c r="U49" s="7"/>
      <c r="V49" s="7"/>
      <c r="W49" s="7"/>
      <c r="X49" s="7"/>
    </row>
    <row r="50" spans="2:24" s="2" customFormat="1" ht="15" customHeight="1" x14ac:dyDescent="0.3">
      <c r="B50" s="101" t="s">
        <v>44</v>
      </c>
      <c r="C50" s="91"/>
      <c r="D50" s="91"/>
      <c r="E50" s="104">
        <f t="shared" ref="E50:O50" si="39">SUM(E45,E48)</f>
        <v>7532.2404127846094</v>
      </c>
      <c r="F50" s="103">
        <f t="shared" si="39"/>
        <v>9351.212369888086</v>
      </c>
      <c r="G50" s="103">
        <f t="shared" si="39"/>
        <v>11324.848704357812</v>
      </c>
      <c r="H50" s="103">
        <f t="shared" si="39"/>
        <v>13524.061081391075</v>
      </c>
      <c r="I50" s="103">
        <f t="shared" si="39"/>
        <v>15911.590899456376</v>
      </c>
      <c r="J50" s="103">
        <f t="shared" si="39"/>
        <v>18825.888029551224</v>
      </c>
      <c r="K50" s="103">
        <f t="shared" si="39"/>
        <v>21566.866094744215</v>
      </c>
      <c r="L50" s="103">
        <f t="shared" si="39"/>
        <v>24436.530217429005</v>
      </c>
      <c r="M50" s="103">
        <f t="shared" si="39"/>
        <v>27396.879692671824</v>
      </c>
      <c r="N50" s="103">
        <f t="shared" si="39"/>
        <v>30402.562429272366</v>
      </c>
      <c r="O50" s="103">
        <f t="shared" si="39"/>
        <v>33401.613810597511</v>
      </c>
      <c r="P50" s="22"/>
      <c r="Q50" s="40"/>
      <c r="R50" s="11"/>
      <c r="S50" s="11"/>
      <c r="T50" s="11"/>
      <c r="U50" s="11"/>
      <c r="V50" s="11"/>
      <c r="W50" s="11"/>
      <c r="X50" s="11"/>
    </row>
    <row r="51" spans="2:24" ht="8.1" customHeight="1" x14ac:dyDescent="0.3">
      <c r="B51" s="7"/>
      <c r="C51" s="7"/>
      <c r="D51" s="7"/>
      <c r="E51" s="21"/>
      <c r="F51" s="7"/>
      <c r="G51" s="7"/>
      <c r="H51" s="7"/>
      <c r="I51" s="7"/>
      <c r="J51" s="7"/>
      <c r="K51" s="7"/>
      <c r="L51" s="7"/>
      <c r="M51" s="7"/>
      <c r="N51" s="7"/>
      <c r="O51" s="7"/>
      <c r="P51" s="22"/>
      <c r="Q51" s="39"/>
      <c r="R51" s="7"/>
      <c r="S51" s="7"/>
      <c r="T51" s="7"/>
      <c r="U51" s="7"/>
      <c r="V51" s="7"/>
      <c r="W51" s="7"/>
      <c r="X51" s="7"/>
    </row>
    <row r="52" spans="2:24" ht="14.4" x14ac:dyDescent="0.3">
      <c r="B52" s="49" t="s">
        <v>45</v>
      </c>
      <c r="C52" s="28"/>
      <c r="D52" s="28"/>
      <c r="E52" s="125">
        <f>E50*-Drivers!$C$29</f>
        <v>-1784.2747701824824</v>
      </c>
      <c r="F52" s="28">
        <f>F50*-Drivers!$C$29</f>
        <v>-2215.1619422409394</v>
      </c>
      <c r="G52" s="28">
        <f>G50*-Drivers!$C$29</f>
        <v>-2682.6867853318004</v>
      </c>
      <c r="H52" s="28">
        <f>H50*-Drivers!$C$29</f>
        <v>-3203.6472092653248</v>
      </c>
      <c r="I52" s="28">
        <f>I50*-Drivers!$C$29</f>
        <v>-3769.2172102177237</v>
      </c>
      <c r="J52" s="28">
        <f>J50*-Drivers!$C$29</f>
        <v>-4459.5704858802419</v>
      </c>
      <c r="K52" s="28">
        <f>K50*-Drivers!$C$29</f>
        <v>-5108.8670748534832</v>
      </c>
      <c r="L52" s="28">
        <f>L50*-Drivers!$C$29</f>
        <v>-5788.6474605556705</v>
      </c>
      <c r="M52" s="28">
        <f>M50*-Drivers!$C$29</f>
        <v>-6489.9098459985653</v>
      </c>
      <c r="N52" s="28">
        <f>N50*-Drivers!$C$29</f>
        <v>-7201.9110010581844</v>
      </c>
      <c r="O52" s="28">
        <f>O50*-Drivers!$C$29</f>
        <v>-7912.3412875233917</v>
      </c>
      <c r="P52" s="22"/>
      <c r="Q52" s="39"/>
      <c r="R52" s="7"/>
      <c r="S52" s="7"/>
      <c r="T52" s="7"/>
      <c r="U52" s="7"/>
      <c r="V52" s="7"/>
      <c r="W52" s="7"/>
      <c r="X52" s="7"/>
    </row>
    <row r="53" spans="2:24" ht="8.1" customHeight="1" x14ac:dyDescent="0.3">
      <c r="B53" s="7"/>
      <c r="C53" s="7"/>
      <c r="D53" s="7"/>
      <c r="E53" s="21"/>
      <c r="F53" s="7"/>
      <c r="G53" s="7"/>
      <c r="H53" s="7"/>
      <c r="I53" s="7"/>
      <c r="J53" s="7"/>
      <c r="K53" s="7"/>
      <c r="L53" s="7"/>
      <c r="M53" s="7"/>
      <c r="N53" s="7"/>
      <c r="O53" s="7"/>
      <c r="P53" s="22"/>
      <c r="Q53" s="39"/>
      <c r="R53" s="7"/>
      <c r="S53" s="7"/>
      <c r="T53" s="7"/>
      <c r="U53" s="7"/>
      <c r="V53" s="7"/>
      <c r="W53" s="7"/>
      <c r="X53" s="7"/>
    </row>
    <row r="54" spans="2:24" s="2" customFormat="1" ht="15" customHeight="1" x14ac:dyDescent="0.3">
      <c r="B54" s="101" t="s">
        <v>46</v>
      </c>
      <c r="C54" s="91"/>
      <c r="D54" s="91"/>
      <c r="E54" s="104">
        <f t="shared" ref="E54:O54" si="40">SUM(E50,E52)</f>
        <v>5747.9656426021265</v>
      </c>
      <c r="F54" s="103">
        <f t="shared" si="40"/>
        <v>7136.0504276471465</v>
      </c>
      <c r="G54" s="103">
        <f t="shared" si="40"/>
        <v>8642.1619190260117</v>
      </c>
      <c r="H54" s="103">
        <f t="shared" si="40"/>
        <v>10320.413872125751</v>
      </c>
      <c r="I54" s="103">
        <f t="shared" si="40"/>
        <v>12142.373689238651</v>
      </c>
      <c r="J54" s="103">
        <f t="shared" si="40"/>
        <v>14366.317543670983</v>
      </c>
      <c r="K54" s="103">
        <f t="shared" si="40"/>
        <v>16457.999019890733</v>
      </c>
      <c r="L54" s="103">
        <f t="shared" si="40"/>
        <v>18647.882756873332</v>
      </c>
      <c r="M54" s="103">
        <f t="shared" si="40"/>
        <v>20906.969846673259</v>
      </c>
      <c r="N54" s="103">
        <f t="shared" si="40"/>
        <v>23200.65142821418</v>
      </c>
      <c r="O54" s="103">
        <f t="shared" si="40"/>
        <v>25489.27252307412</v>
      </c>
      <c r="P54" s="22"/>
      <c r="Q54" s="40"/>
      <c r="R54" s="11"/>
      <c r="S54" s="11"/>
      <c r="T54" s="11"/>
      <c r="U54" s="11"/>
      <c r="V54" s="11"/>
      <c r="W54" s="11"/>
      <c r="X54" s="11"/>
    </row>
    <row r="55" spans="2:24" ht="8.1" customHeight="1" x14ac:dyDescent="0.3">
      <c r="B55" s="7"/>
      <c r="C55" s="7"/>
      <c r="D55" s="7"/>
      <c r="E55" s="21"/>
      <c r="F55" s="7"/>
      <c r="G55" s="7"/>
      <c r="H55" s="7"/>
      <c r="I55" s="7"/>
      <c r="J55" s="7"/>
      <c r="K55" s="7"/>
      <c r="L55" s="7"/>
      <c r="M55" s="7"/>
      <c r="N55" s="7"/>
      <c r="O55" s="7"/>
      <c r="P55" s="22"/>
      <c r="Q55" s="39"/>
      <c r="R55" s="7"/>
      <c r="S55" s="7"/>
      <c r="T55" s="7"/>
      <c r="U55" s="7"/>
      <c r="V55" s="7"/>
      <c r="W55" s="7"/>
      <c r="X55" s="7"/>
    </row>
    <row r="56" spans="2:24" ht="14.4" x14ac:dyDescent="0.3">
      <c r="B56" s="49" t="s">
        <v>42</v>
      </c>
      <c r="C56" s="28"/>
      <c r="D56" s="28"/>
      <c r="E56" s="125">
        <f>-Drivers!$C$49*'Operating Valuation'!E17</f>
        <v>-2357.9706468625</v>
      </c>
      <c r="F56" s="28">
        <f>-Drivers!$C$49*'Operating Valuation'!F17</f>
        <v>-2711.3468040587341</v>
      </c>
      <c r="G56" s="28">
        <f>-Drivers!$C$49*'Operating Valuation'!G17</f>
        <v>-3092.8041084235538</v>
      </c>
      <c r="H56" s="28">
        <f>-Drivers!$C$49*'Operating Valuation'!H17</f>
        <v>-3499.2193291903773</v>
      </c>
      <c r="I56" s="28">
        <f>-Drivers!$C$49*'Operating Valuation'!I17</f>
        <v>-3926.274825808759</v>
      </c>
      <c r="J56" s="28">
        <f>-Drivers!$C$49*'Operating Valuation'!J17</f>
        <v>-4368.4497730077628</v>
      </c>
      <c r="K56" s="28">
        <f>-Drivers!$C$49*'Operating Valuation'!K17</f>
        <v>-4819.0688150039387</v>
      </c>
      <c r="L56" s="28">
        <f>-Drivers!$C$49*'Operating Valuation'!L17</f>
        <v>-5270.413612712885</v>
      </c>
      <c r="M56" s="28">
        <f>-Drivers!$C$49*'Operating Valuation'!M17</f>
        <v>-5713.8992078354295</v>
      </c>
      <c r="N56" s="28">
        <f>-Drivers!$C$49*'Operating Valuation'!N17</f>
        <v>-6140.3129341457734</v>
      </c>
      <c r="O56" s="28">
        <f>-Drivers!$C$49*'Operating Valuation'!O17</f>
        <v>-6540.1090406744461</v>
      </c>
      <c r="P56" s="22"/>
      <c r="Q56" s="39"/>
      <c r="R56" s="7"/>
      <c r="S56" s="7"/>
      <c r="T56" s="7"/>
      <c r="U56" s="7"/>
      <c r="V56" s="7"/>
      <c r="W56" s="7"/>
      <c r="X56" s="7"/>
    </row>
    <row r="57" spans="2:24" ht="14.4" x14ac:dyDescent="0.3">
      <c r="B57" s="49" t="s">
        <v>47</v>
      </c>
      <c r="C57" s="28"/>
      <c r="D57" s="28"/>
      <c r="E57" s="125">
        <f>-E17*Drivers!$C$32</f>
        <v>-378.40712940849397</v>
      </c>
      <c r="F57" s="28">
        <f>-F17*Drivers!$C$32</f>
        <v>-435.1169351153456</v>
      </c>
      <c r="G57" s="28">
        <f>-G17*Drivers!$C$32</f>
        <v>-496.3332033198119</v>
      </c>
      <c r="H57" s="28">
        <f>-H17*Drivers!$C$32</f>
        <v>-561.55471794847176</v>
      </c>
      <c r="I57" s="28">
        <f>-I17*Drivers!$C$32</f>
        <v>-630.08858404578962</v>
      </c>
      <c r="J57" s="28">
        <f>-J17*Drivers!$C$32</f>
        <v>-701.04881957228577</v>
      </c>
      <c r="K57" s="28">
        <f>-K17*Drivers!$C$32</f>
        <v>-773.36416343183203</v>
      </c>
      <c r="L57" s="28">
        <f>-L17*Drivers!$C$32</f>
        <v>-845.79597656816372</v>
      </c>
      <c r="M57" s="28">
        <f>-M17*Drivers!$C$32</f>
        <v>-916.9665448734296</v>
      </c>
      <c r="N57" s="28">
        <f>-N17*Drivers!$C$32</f>
        <v>-985.39741967171369</v>
      </c>
      <c r="O57" s="28">
        <f>-O17*Drivers!$C$32</f>
        <v>-1049.556698847435</v>
      </c>
      <c r="P57" s="22"/>
      <c r="Q57" s="39"/>
      <c r="R57" s="7"/>
      <c r="S57" s="7"/>
      <c r="T57" s="7"/>
      <c r="U57" s="7"/>
      <c r="V57" s="7"/>
      <c r="W57" s="7"/>
      <c r="X57" s="7"/>
    </row>
    <row r="58" spans="2:24" ht="14.4" x14ac:dyDescent="0.3">
      <c r="B58" s="49" t="s">
        <v>49</v>
      </c>
      <c r="C58" s="28"/>
      <c r="D58" s="28"/>
      <c r="E58" s="125">
        <f>-Drivers!$C$46*(E17-D17)</f>
        <v>-646.61629372499965</v>
      </c>
      <c r="F58" s="28">
        <f>-Drivers!$C$46*(F17-E17)</f>
        <v>-706.75231439246784</v>
      </c>
      <c r="G58" s="28">
        <f>-Drivers!$C$46*(G17-F17)</f>
        <v>-762.91460872964024</v>
      </c>
      <c r="H58" s="28">
        <f>-Drivers!$C$46*(H17-G17)</f>
        <v>-812.83044153364688</v>
      </c>
      <c r="I58" s="28">
        <f>-Drivers!$C$46*(I17-H17)</f>
        <v>-854.11099323676319</v>
      </c>
      <c r="J58" s="28">
        <f>-Drivers!$C$46*(J17-I17)</f>
        <v>-884.34989439800847</v>
      </c>
      <c r="K58" s="28">
        <f>-Drivers!$C$46*(K17-J17)</f>
        <v>-901.23808399235133</v>
      </c>
      <c r="L58" s="28">
        <f>-Drivers!$C$46*(L17-K17)</f>
        <v>-902.68959541789229</v>
      </c>
      <c r="M58" s="28">
        <f>-Drivers!$C$46*(M17-L17)</f>
        <v>-886.97119024508868</v>
      </c>
      <c r="N58" s="28">
        <f>-Drivers!$C$46*(N17-M17)</f>
        <v>-852.82745262068784</v>
      </c>
      <c r="O58" s="28">
        <f>-Drivers!$C$46*(O17-N17)</f>
        <v>-799.59221305734536</v>
      </c>
      <c r="P58" s="22"/>
      <c r="Q58" s="39"/>
      <c r="R58" s="7"/>
      <c r="S58" s="7"/>
      <c r="T58" s="7"/>
      <c r="U58" s="7"/>
      <c r="V58" s="7"/>
      <c r="W58" s="7"/>
      <c r="X58" s="7"/>
    </row>
    <row r="59" spans="2:24" ht="14.4" x14ac:dyDescent="0.3">
      <c r="B59" s="49" t="s">
        <v>48</v>
      </c>
      <c r="C59" s="29"/>
      <c r="D59" s="29"/>
      <c r="E59" s="123">
        <f>-E48</f>
        <v>576.59999999999991</v>
      </c>
      <c r="F59" s="124">
        <f t="shared" ref="F59:O59" si="41">-F48</f>
        <v>591.28142588169885</v>
      </c>
      <c r="G59" s="124">
        <f t="shared" si="41"/>
        <v>663.30481290476791</v>
      </c>
      <c r="H59" s="124">
        <f t="shared" si="41"/>
        <v>719.57145356873036</v>
      </c>
      <c r="I59" s="124">
        <f t="shared" si="41"/>
        <v>788.88239715842474</v>
      </c>
      <c r="J59" s="124">
        <f t="shared" si="41"/>
        <v>517.30011396758266</v>
      </c>
      <c r="K59" s="124">
        <f t="shared" si="41"/>
        <v>581.82845200034103</v>
      </c>
      <c r="L59" s="124">
        <f t="shared" si="41"/>
        <v>649.47789766363826</v>
      </c>
      <c r="M59" s="124">
        <f t="shared" si="41"/>
        <v>719.37045231330853</v>
      </c>
      <c r="N59" s="124">
        <f t="shared" si="41"/>
        <v>790.45281769830012</v>
      </c>
      <c r="O59" s="124">
        <f t="shared" si="41"/>
        <v>861.51458482348494</v>
      </c>
      <c r="P59" s="22"/>
      <c r="Q59" s="39"/>
      <c r="R59" s="7"/>
      <c r="S59" s="7"/>
      <c r="T59" s="7"/>
      <c r="U59" s="7"/>
      <c r="V59" s="7"/>
      <c r="W59" s="7"/>
      <c r="X59" s="7"/>
    </row>
    <row r="60" spans="2:24" ht="14.4" x14ac:dyDescent="0.3">
      <c r="B60" s="7"/>
      <c r="C60" s="7"/>
      <c r="D60" s="7"/>
      <c r="E60" s="21"/>
      <c r="F60" s="7"/>
      <c r="G60" s="7"/>
      <c r="H60" s="7"/>
      <c r="I60" s="7"/>
      <c r="J60" s="7"/>
      <c r="K60" s="7"/>
      <c r="L60" s="7"/>
      <c r="M60" s="7"/>
      <c r="N60" s="7"/>
      <c r="O60" s="7"/>
      <c r="P60" s="22"/>
      <c r="Q60" s="39"/>
      <c r="R60" s="7"/>
      <c r="S60" s="7"/>
      <c r="T60" s="7"/>
      <c r="U60" s="7"/>
      <c r="V60" s="7"/>
      <c r="W60" s="7"/>
      <c r="X60" s="7"/>
    </row>
    <row r="61" spans="2:24" s="2" customFormat="1" ht="15" customHeight="1" x14ac:dyDescent="0.3">
      <c r="B61" s="101" t="s">
        <v>55</v>
      </c>
      <c r="C61" s="91"/>
      <c r="D61" s="91"/>
      <c r="E61" s="104">
        <f>SUM(E54,E56:E59)</f>
        <v>2941.571572606133</v>
      </c>
      <c r="F61" s="103">
        <f t="shared" ref="F61:O61" si="42">SUM(F54,F56:F59)</f>
        <v>3874.1157999622978</v>
      </c>
      <c r="G61" s="103">
        <f t="shared" si="42"/>
        <v>4953.4148114577729</v>
      </c>
      <c r="H61" s="103">
        <f t="shared" si="42"/>
        <v>6166.3808370219858</v>
      </c>
      <c r="I61" s="103">
        <f t="shared" si="42"/>
        <v>7520.7816833057641</v>
      </c>
      <c r="J61" s="103">
        <f t="shared" si="42"/>
        <v>8929.7691706605074</v>
      </c>
      <c r="K61" s="103">
        <f t="shared" si="42"/>
        <v>10546.156409462952</v>
      </c>
      <c r="L61" s="103">
        <f t="shared" si="42"/>
        <v>12278.46146983803</v>
      </c>
      <c r="M61" s="103">
        <f t="shared" si="42"/>
        <v>14108.503356032619</v>
      </c>
      <c r="N61" s="103">
        <f t="shared" si="42"/>
        <v>16012.566439474303</v>
      </c>
      <c r="O61" s="103">
        <f t="shared" si="42"/>
        <v>17961.529155318378</v>
      </c>
      <c r="P61" s="30"/>
      <c r="Q61" s="40"/>
      <c r="R61" s="11"/>
      <c r="S61" s="11"/>
      <c r="T61" s="11"/>
      <c r="U61" s="11"/>
      <c r="V61" s="11"/>
      <c r="W61" s="11"/>
      <c r="X61" s="11"/>
    </row>
    <row r="62" spans="2:24" ht="14.4" x14ac:dyDescent="0.3">
      <c r="B62" s="60" t="s">
        <v>109</v>
      </c>
      <c r="C62" s="26"/>
      <c r="D62" s="26"/>
      <c r="E62" s="115">
        <f t="shared" ref="E62:O62" si="43">E61/E45</f>
        <v>0.36276106358788052</v>
      </c>
      <c r="F62" s="116">
        <f t="shared" si="43"/>
        <v>0.38965232260045374</v>
      </c>
      <c r="G62" s="116">
        <f t="shared" si="43"/>
        <v>0.41319247408076692</v>
      </c>
      <c r="H62" s="116">
        <f t="shared" si="43"/>
        <v>0.43292192647396083</v>
      </c>
      <c r="I62" s="116">
        <f t="shared" si="43"/>
        <v>0.45033344562936622</v>
      </c>
      <c r="J62" s="116">
        <f t="shared" si="43"/>
        <v>0.46164929505959157</v>
      </c>
      <c r="K62" s="116">
        <f t="shared" si="43"/>
        <v>0.47615250583755242</v>
      </c>
      <c r="L62" s="116">
        <f t="shared" si="43"/>
        <v>0.48945457617271787</v>
      </c>
      <c r="M62" s="116">
        <f t="shared" si="43"/>
        <v>0.50179178529427892</v>
      </c>
      <c r="N62" s="116">
        <f t="shared" si="43"/>
        <v>0.51333820448888401</v>
      </c>
      <c r="O62" s="116">
        <f t="shared" si="43"/>
        <v>0.52422326846601663</v>
      </c>
      <c r="P62" s="22"/>
      <c r="Q62" s="39"/>
      <c r="R62" s="7"/>
      <c r="S62" s="7"/>
      <c r="T62" s="7"/>
      <c r="U62" s="7"/>
      <c r="V62" s="7"/>
      <c r="W62" s="7"/>
      <c r="X62" s="7"/>
    </row>
    <row r="63" spans="2:24" ht="14.4" x14ac:dyDescent="0.3">
      <c r="B63" s="7"/>
      <c r="C63" s="7"/>
      <c r="D63" s="7"/>
      <c r="E63" s="21"/>
      <c r="F63" s="7"/>
      <c r="G63" s="7"/>
      <c r="H63" s="7"/>
      <c r="I63" s="7"/>
      <c r="J63" s="7"/>
      <c r="K63" s="7"/>
      <c r="L63" s="7"/>
      <c r="M63" s="7"/>
      <c r="N63" s="7"/>
      <c r="O63" s="31"/>
      <c r="P63" s="22"/>
      <c r="Q63" s="39"/>
      <c r="R63" s="7"/>
      <c r="S63" s="7"/>
      <c r="T63" s="7"/>
      <c r="U63" s="7"/>
      <c r="V63" s="7"/>
      <c r="W63" s="7"/>
      <c r="X63" s="7"/>
    </row>
    <row r="64" spans="2:24" ht="15" customHeight="1" x14ac:dyDescent="0.3">
      <c r="B64" s="101" t="s">
        <v>16</v>
      </c>
      <c r="C64" s="91"/>
      <c r="D64" s="91"/>
      <c r="E64" s="104">
        <f>E61*$C$92</f>
        <v>741.437218300724</v>
      </c>
      <c r="F64" s="103">
        <f>F61</f>
        <v>3874.1157999622978</v>
      </c>
      <c r="G64" s="103">
        <f t="shared" ref="G64:O64" si="44">G61</f>
        <v>4953.4148114577729</v>
      </c>
      <c r="H64" s="103">
        <f t="shared" si="44"/>
        <v>6166.3808370219858</v>
      </c>
      <c r="I64" s="103">
        <f t="shared" si="44"/>
        <v>7520.7816833057641</v>
      </c>
      <c r="J64" s="103">
        <f t="shared" si="44"/>
        <v>8929.7691706605074</v>
      </c>
      <c r="K64" s="103">
        <f t="shared" si="44"/>
        <v>10546.156409462952</v>
      </c>
      <c r="L64" s="103">
        <f t="shared" si="44"/>
        <v>12278.46146983803</v>
      </c>
      <c r="M64" s="103">
        <f t="shared" si="44"/>
        <v>14108.503356032619</v>
      </c>
      <c r="N64" s="103">
        <f t="shared" si="44"/>
        <v>16012.566439474303</v>
      </c>
      <c r="O64" s="103">
        <f t="shared" si="44"/>
        <v>17961.529155318378</v>
      </c>
      <c r="P64" s="105">
        <f>P45*$C$87</f>
        <v>250806.0998544817</v>
      </c>
      <c r="Q64" s="39"/>
      <c r="R64" s="7"/>
      <c r="S64" s="7"/>
      <c r="T64" s="7"/>
      <c r="U64" s="7"/>
      <c r="V64" s="7"/>
      <c r="W64" s="7"/>
      <c r="X64" s="7"/>
    </row>
    <row r="65" spans="2:24" ht="9.9" customHeight="1" x14ac:dyDescent="0.3">
      <c r="B65" s="25"/>
      <c r="C65" s="32"/>
      <c r="D65" s="32"/>
      <c r="E65" s="33"/>
      <c r="F65" s="32"/>
      <c r="G65" s="7"/>
      <c r="H65" s="7"/>
      <c r="I65" s="7"/>
      <c r="J65" s="7"/>
      <c r="K65" s="7"/>
      <c r="L65" s="7"/>
      <c r="M65" s="7"/>
      <c r="N65" s="7"/>
      <c r="O65" s="7"/>
      <c r="P65" s="22"/>
      <c r="Q65" s="39"/>
      <c r="R65" s="7"/>
      <c r="S65" s="7"/>
      <c r="T65" s="7"/>
      <c r="U65" s="7"/>
      <c r="V65" s="7"/>
      <c r="W65" s="7"/>
      <c r="X65" s="7"/>
    </row>
    <row r="66" spans="2:24" ht="14.4" x14ac:dyDescent="0.3">
      <c r="B66" s="49" t="s">
        <v>17</v>
      </c>
      <c r="C66" s="34"/>
      <c r="D66" s="35"/>
      <c r="E66" s="65">
        <f>IF($C$86="Mid-Period",$C$92/2,$C$92)</f>
        <v>0.12602739726027398</v>
      </c>
      <c r="F66" s="66">
        <f>IF($C$86="Mid-Period",E66*2+0.5,E66+1)</f>
        <v>0.75205479452054802</v>
      </c>
      <c r="G66" s="66">
        <f>F66+1</f>
        <v>1.752054794520548</v>
      </c>
      <c r="H66" s="66">
        <f t="shared" ref="H66:O66" si="45">G66+1</f>
        <v>2.7520547945205482</v>
      </c>
      <c r="I66" s="66">
        <f t="shared" si="45"/>
        <v>3.7520547945205482</v>
      </c>
      <c r="J66" s="66">
        <f t="shared" si="45"/>
        <v>4.7520547945205482</v>
      </c>
      <c r="K66" s="66">
        <f t="shared" si="45"/>
        <v>5.7520547945205482</v>
      </c>
      <c r="L66" s="66">
        <f t="shared" si="45"/>
        <v>6.7520547945205482</v>
      </c>
      <c r="M66" s="66">
        <f t="shared" si="45"/>
        <v>7.7520547945205482</v>
      </c>
      <c r="N66" s="66">
        <f t="shared" si="45"/>
        <v>8.7520547945205482</v>
      </c>
      <c r="O66" s="66">
        <f t="shared" si="45"/>
        <v>9.7520547945205482</v>
      </c>
      <c r="P66" s="67">
        <f>IF($C$86="Mid-Period",O66+0.5,O66)</f>
        <v>10.252054794520548</v>
      </c>
      <c r="Q66" s="39"/>
      <c r="R66" s="7"/>
      <c r="S66" s="7"/>
      <c r="T66" s="7"/>
      <c r="U66" s="7"/>
      <c r="V66" s="7"/>
      <c r="W66" s="7"/>
      <c r="X66" s="7"/>
    </row>
    <row r="67" spans="2:24" ht="14.4" x14ac:dyDescent="0.3">
      <c r="B67" s="49" t="s">
        <v>18</v>
      </c>
      <c r="C67" s="36"/>
      <c r="D67" s="36"/>
      <c r="E67" s="68">
        <f t="shared" ref="E67:P67" si="46">1/(1+$C$85)^E66</f>
        <v>0.98772829476063495</v>
      </c>
      <c r="F67" s="69">
        <f t="shared" si="46"/>
        <v>0.92896603075508211</v>
      </c>
      <c r="G67" s="69">
        <f t="shared" si="46"/>
        <v>0.84226648758865619</v>
      </c>
      <c r="H67" s="69">
        <f t="shared" si="46"/>
        <v>0.76365853285109575</v>
      </c>
      <c r="I67" s="69">
        <f t="shared" si="46"/>
        <v>0.69238698605458149</v>
      </c>
      <c r="J67" s="69">
        <f t="shared" si="46"/>
        <v>0.62776714700996383</v>
      </c>
      <c r="K67" s="69">
        <f t="shared" si="46"/>
        <v>0.5691782179654703</v>
      </c>
      <c r="L67" s="69">
        <f t="shared" si="46"/>
        <v>0.51605733965114042</v>
      </c>
      <c r="M67" s="69">
        <f t="shared" si="46"/>
        <v>0.46789418393373733</v>
      </c>
      <c r="N67" s="69">
        <f t="shared" si="46"/>
        <v>0.42422605113418854</v>
      </c>
      <c r="O67" s="69">
        <f t="shared" si="46"/>
        <v>0.38463342490787189</v>
      </c>
      <c r="P67" s="70">
        <f t="shared" si="46"/>
        <v>0.36624513615024495</v>
      </c>
      <c r="Q67" s="39"/>
      <c r="R67" s="7"/>
      <c r="S67" s="7"/>
      <c r="T67" s="7"/>
      <c r="U67" s="7"/>
      <c r="V67" s="7"/>
      <c r="W67" s="7"/>
      <c r="X67" s="7"/>
    </row>
    <row r="68" spans="2:24" ht="9.9" customHeight="1" x14ac:dyDescent="0.3">
      <c r="B68" s="7"/>
      <c r="C68" s="7"/>
      <c r="D68" s="7"/>
      <c r="E68" s="21"/>
      <c r="F68" s="7"/>
      <c r="G68" s="7"/>
      <c r="H68" s="7"/>
      <c r="I68" s="7"/>
      <c r="J68" s="7"/>
      <c r="K68" s="7"/>
      <c r="L68" s="7"/>
      <c r="M68" s="7"/>
      <c r="N68" s="7"/>
      <c r="O68" s="7"/>
      <c r="P68" s="22"/>
      <c r="Q68" s="39"/>
      <c r="R68" s="7"/>
      <c r="S68" s="7"/>
      <c r="T68" s="7"/>
      <c r="U68" s="7"/>
      <c r="V68" s="7"/>
      <c r="W68" s="7"/>
      <c r="X68" s="7"/>
    </row>
    <row r="69" spans="2:24" s="2" customFormat="1" ht="15" customHeight="1" thickBot="1" x14ac:dyDescent="0.35">
      <c r="B69" s="107" t="s">
        <v>19</v>
      </c>
      <c r="C69" s="93"/>
      <c r="D69" s="93"/>
      <c r="E69" s="108">
        <f t="shared" ref="E69:P69" si="47">E64*E67</f>
        <v>732.33851930424271</v>
      </c>
      <c r="F69" s="109">
        <f t="shared" si="47"/>
        <v>3598.9219773765253</v>
      </c>
      <c r="G69" s="109">
        <f t="shared" si="47"/>
        <v>4172.0952948161639</v>
      </c>
      <c r="H69" s="109">
        <f t="shared" si="47"/>
        <v>4709.0093430013212</v>
      </c>
      <c r="I69" s="109">
        <f t="shared" si="47"/>
        <v>5207.2913624785797</v>
      </c>
      <c r="J69" s="109">
        <f t="shared" si="47"/>
        <v>5605.8157157230771</v>
      </c>
      <c r="K69" s="109">
        <f t="shared" si="47"/>
        <v>6002.642511523246</v>
      </c>
      <c r="L69" s="109">
        <f t="shared" si="47"/>
        <v>6336.3901611336451</v>
      </c>
      <c r="M69" s="109">
        <f t="shared" si="47"/>
        <v>6601.2866642972767</v>
      </c>
      <c r="N69" s="109">
        <f t="shared" si="47"/>
        <v>6792.9478291420173</v>
      </c>
      <c r="O69" s="109">
        <f t="shared" si="47"/>
        <v>6908.6044755927032</v>
      </c>
      <c r="P69" s="110">
        <f t="shared" si="47"/>
        <v>91856.514188516579</v>
      </c>
      <c r="Q69" s="40"/>
      <c r="R69" s="11"/>
      <c r="S69" s="11"/>
      <c r="T69" s="11"/>
      <c r="U69" s="11"/>
      <c r="V69" s="11"/>
      <c r="W69" s="11"/>
      <c r="X69" s="11"/>
    </row>
    <row r="70" spans="2:24" ht="15" thickTop="1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39"/>
      <c r="R70" s="7"/>
      <c r="S70" s="7"/>
      <c r="T70" s="7"/>
      <c r="U70" s="7"/>
      <c r="V70" s="7"/>
      <c r="W70" s="7"/>
      <c r="X70" s="7"/>
    </row>
    <row r="71" spans="2:24" ht="14.4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39"/>
      <c r="R71" s="7"/>
      <c r="S71" s="7"/>
      <c r="T71" s="7"/>
      <c r="U71" s="7"/>
      <c r="V71" s="7"/>
      <c r="W71" s="7"/>
      <c r="X71" s="7"/>
    </row>
    <row r="72" spans="2:24" ht="14.4" x14ac:dyDescent="0.3">
      <c r="B72" s="71" t="s">
        <v>20</v>
      </c>
      <c r="C72" s="3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39"/>
      <c r="R72" s="7"/>
      <c r="S72" s="7"/>
      <c r="T72" s="7"/>
      <c r="U72" s="7"/>
      <c r="V72" s="7"/>
      <c r="W72" s="7"/>
      <c r="X72" s="7"/>
    </row>
    <row r="73" spans="2:24" ht="14.4" x14ac:dyDescent="0.3">
      <c r="B73" s="49" t="s">
        <v>21</v>
      </c>
      <c r="C73" s="77">
        <f>SUM(E69:O69)</f>
        <v>56667.343854388804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39"/>
      <c r="R73" s="7"/>
      <c r="S73" s="7"/>
      <c r="T73" s="7"/>
      <c r="U73" s="7"/>
      <c r="V73" s="7"/>
      <c r="W73" s="7"/>
      <c r="X73" s="7"/>
    </row>
    <row r="74" spans="2:24" ht="14.4" x14ac:dyDescent="0.3">
      <c r="B74" s="49" t="s">
        <v>22</v>
      </c>
      <c r="C74" s="77">
        <f>P69</f>
        <v>91856.514188516579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39"/>
      <c r="R74" s="7"/>
      <c r="S74" s="7"/>
      <c r="T74" s="7"/>
      <c r="U74" s="7"/>
      <c r="V74" s="7"/>
      <c r="W74" s="7"/>
      <c r="X74" s="7"/>
    </row>
    <row r="75" spans="2:24" ht="15" customHeight="1" x14ac:dyDescent="0.3">
      <c r="B75" s="101" t="s">
        <v>23</v>
      </c>
      <c r="C75" s="103">
        <f>SUM(C73:C74)</f>
        <v>148523.8580429054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39"/>
      <c r="R75" s="7"/>
      <c r="S75" s="7"/>
      <c r="T75" s="7"/>
      <c r="U75" s="7"/>
      <c r="V75" s="7"/>
      <c r="W75" s="7"/>
      <c r="X75" s="7"/>
    </row>
    <row r="76" spans="2:24" ht="14.4" x14ac:dyDescent="0.3">
      <c r="B76" s="60" t="s">
        <v>108</v>
      </c>
      <c r="C76" s="127">
        <f>C75/$E$45</f>
        <v>18.316288209191885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39"/>
      <c r="R76" s="7"/>
      <c r="S76" s="7"/>
      <c r="T76" s="7"/>
      <c r="U76" s="7"/>
      <c r="V76" s="7"/>
      <c r="W76" s="7"/>
      <c r="X76" s="7"/>
    </row>
    <row r="77" spans="2:24" ht="14.4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39"/>
      <c r="R77" s="7"/>
      <c r="S77" s="7"/>
      <c r="T77" s="7"/>
      <c r="U77" s="7"/>
      <c r="V77" s="7"/>
      <c r="W77" s="7"/>
      <c r="X77" s="7"/>
    </row>
    <row r="78" spans="2:24" ht="14.4" x14ac:dyDescent="0.3">
      <c r="B78" s="71" t="s">
        <v>24</v>
      </c>
      <c r="C78" s="3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39"/>
      <c r="R78" s="7"/>
      <c r="S78" s="7"/>
      <c r="T78" s="7"/>
      <c r="U78" s="7"/>
      <c r="V78" s="7"/>
      <c r="W78" s="7"/>
      <c r="X78" s="7"/>
    </row>
    <row r="79" spans="2:24" ht="14.4" x14ac:dyDescent="0.3">
      <c r="B79" s="49" t="s">
        <v>21</v>
      </c>
      <c r="C79" s="77">
        <f>SUM(E69:O69)</f>
        <v>56667.343854388804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39"/>
      <c r="R79" s="7"/>
      <c r="S79" s="7"/>
      <c r="T79" s="7"/>
      <c r="U79" s="7"/>
      <c r="V79" s="7"/>
      <c r="W79" s="7"/>
      <c r="X79" s="7"/>
    </row>
    <row r="80" spans="2:24" ht="14.4" x14ac:dyDescent="0.3">
      <c r="B80" s="49" t="s">
        <v>22</v>
      </c>
      <c r="C80" s="77">
        <f>O61*(1+$C$88)/($C$85-$C$88)*P67</f>
        <v>78166.977962812874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39"/>
      <c r="R80" s="7"/>
      <c r="S80" s="7"/>
      <c r="T80" s="7"/>
      <c r="U80" s="7"/>
      <c r="V80" s="7"/>
      <c r="W80" s="7"/>
      <c r="X80" s="7"/>
    </row>
    <row r="81" spans="2:24" ht="15" customHeight="1" x14ac:dyDescent="0.3">
      <c r="B81" s="101" t="s">
        <v>23</v>
      </c>
      <c r="C81" s="103">
        <f>SUM(C79:C80)</f>
        <v>134834.32181720168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39"/>
      <c r="R81" s="7"/>
      <c r="S81" s="7"/>
      <c r="T81" s="7"/>
      <c r="U81" s="7"/>
      <c r="V81" s="7"/>
      <c r="W81" s="7"/>
      <c r="X81" s="7"/>
    </row>
    <row r="82" spans="2:24" ht="14.4" x14ac:dyDescent="0.3">
      <c r="B82" s="60" t="s">
        <v>108</v>
      </c>
      <c r="C82" s="127">
        <f>C81/$E$45</f>
        <v>16.628064550958282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39"/>
      <c r="R82" s="7"/>
      <c r="S82" s="7"/>
      <c r="T82" s="7"/>
      <c r="U82" s="7"/>
      <c r="V82" s="7"/>
      <c r="W82" s="7"/>
      <c r="X82" s="7"/>
    </row>
    <row r="83" spans="2:24" ht="14.4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39"/>
      <c r="R83" s="7"/>
      <c r="S83" s="7"/>
      <c r="T83" s="7"/>
      <c r="U83" s="7"/>
      <c r="V83" s="7"/>
      <c r="W83" s="7"/>
      <c r="X83" s="7"/>
    </row>
    <row r="84" spans="2:24" ht="14.4" x14ac:dyDescent="0.3">
      <c r="B84" s="71" t="s">
        <v>25</v>
      </c>
      <c r="C84" s="3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39"/>
      <c r="R84" s="7"/>
      <c r="S84" s="7"/>
      <c r="T84" s="7"/>
      <c r="U84" s="7"/>
      <c r="V84" s="7"/>
      <c r="W84" s="7"/>
      <c r="X84" s="7"/>
    </row>
    <row r="85" spans="2:24" ht="14.4" x14ac:dyDescent="0.3">
      <c r="B85" s="49" t="s">
        <v>26</v>
      </c>
      <c r="C85" s="95">
        <v>0.102936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39"/>
      <c r="R85" s="7"/>
      <c r="S85" s="7"/>
      <c r="T85" s="7"/>
      <c r="U85" s="7"/>
      <c r="V85" s="7"/>
      <c r="W85" s="7"/>
      <c r="X85" s="7"/>
    </row>
    <row r="86" spans="2:24" ht="14.4" x14ac:dyDescent="0.3">
      <c r="B86" s="49" t="s">
        <v>27</v>
      </c>
      <c r="C86" s="72" t="s">
        <v>28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39"/>
      <c r="R86" s="7"/>
      <c r="S86" s="7"/>
      <c r="T86" s="7"/>
      <c r="U86" s="7"/>
      <c r="V86" s="7"/>
      <c r="W86" s="7"/>
      <c r="X86" s="7"/>
    </row>
    <row r="87" spans="2:24" ht="14.4" x14ac:dyDescent="0.3">
      <c r="B87" s="49" t="s">
        <v>103</v>
      </c>
      <c r="C87" s="96">
        <v>7.32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39"/>
      <c r="R87" s="7"/>
      <c r="S87" s="7"/>
      <c r="T87" s="7"/>
      <c r="U87" s="7"/>
      <c r="V87" s="7"/>
      <c r="W87" s="7"/>
      <c r="X87" s="7"/>
    </row>
    <row r="88" spans="2:24" ht="14.4" x14ac:dyDescent="0.3">
      <c r="B88" s="49" t="s">
        <v>65</v>
      </c>
      <c r="C88" s="95">
        <v>1.7321E-2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39"/>
      <c r="R88" s="7"/>
      <c r="S88" s="7"/>
      <c r="T88" s="7"/>
      <c r="U88" s="7"/>
      <c r="V88" s="7"/>
      <c r="W88" s="7"/>
      <c r="X88" s="7"/>
    </row>
    <row r="89" spans="2:24" ht="14.4" x14ac:dyDescent="0.3">
      <c r="B89" s="49" t="s">
        <v>30</v>
      </c>
      <c r="C89" s="73">
        <v>45930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39"/>
      <c r="R89" s="7"/>
      <c r="S89" s="7"/>
      <c r="T89" s="7"/>
      <c r="U89" s="7"/>
      <c r="V89" s="7"/>
      <c r="W89" s="7"/>
      <c r="X89" s="7"/>
    </row>
    <row r="90" spans="2:24" ht="14.4" x14ac:dyDescent="0.3">
      <c r="B90" s="49" t="s">
        <v>69</v>
      </c>
      <c r="C90" s="73">
        <v>46022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39"/>
      <c r="R90" s="7"/>
      <c r="S90" s="7"/>
      <c r="T90" s="7"/>
      <c r="U90" s="7"/>
      <c r="V90" s="7"/>
      <c r="W90" s="7"/>
      <c r="X90" s="7"/>
    </row>
    <row r="91" spans="2:24" ht="14.4" x14ac:dyDescent="0.3">
      <c r="B91" s="49" t="s">
        <v>70</v>
      </c>
      <c r="C91" s="74">
        <f>C90-EOMONTH(C90,-12)</f>
        <v>365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39"/>
      <c r="R91" s="7"/>
      <c r="S91" s="7"/>
      <c r="T91" s="7"/>
      <c r="U91" s="7"/>
      <c r="V91" s="7"/>
      <c r="W91" s="7"/>
      <c r="X91" s="7"/>
    </row>
    <row r="92" spans="2:24" ht="14.4" x14ac:dyDescent="0.3">
      <c r="B92" s="49" t="s">
        <v>71</v>
      </c>
      <c r="C92" s="75">
        <f>(C90-C89)/C91</f>
        <v>0.25205479452054796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39"/>
      <c r="R92" s="7"/>
      <c r="S92" s="7"/>
      <c r="T92" s="7"/>
      <c r="U92" s="7"/>
      <c r="V92" s="7"/>
      <c r="W92" s="7"/>
      <c r="X92" s="7"/>
    </row>
    <row r="93" spans="2:24" ht="14.4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39"/>
      <c r="R93" s="7"/>
      <c r="S93" s="7"/>
      <c r="T93" s="7"/>
      <c r="U93" s="7"/>
      <c r="V93" s="7"/>
      <c r="W93" s="7"/>
      <c r="X93" s="7"/>
    </row>
    <row r="94" spans="2:24" ht="14.4" x14ac:dyDescent="0.3">
      <c r="B94" s="7"/>
      <c r="C94" s="38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39"/>
      <c r="R94" s="7"/>
      <c r="S94" s="7"/>
      <c r="T94" s="7"/>
      <c r="U94" s="7"/>
      <c r="V94" s="7"/>
      <c r="W94" s="7"/>
      <c r="X94" s="7"/>
    </row>
    <row r="95" spans="2:24" ht="14.4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39"/>
      <c r="R95" s="7"/>
      <c r="S95" s="7"/>
      <c r="T95" s="7"/>
      <c r="U95" s="7"/>
      <c r="V95" s="7"/>
      <c r="W95" s="7"/>
      <c r="X95" s="7"/>
    </row>
    <row r="96" spans="2:24" ht="14.4" x14ac:dyDescent="0.3">
      <c r="B96" s="71" t="s">
        <v>31</v>
      </c>
      <c r="C96" s="37"/>
      <c r="D96" s="37"/>
      <c r="E96" s="37"/>
      <c r="F96" s="37"/>
      <c r="G96" s="37"/>
      <c r="H96" s="37"/>
      <c r="I96" s="7"/>
      <c r="J96" s="7"/>
      <c r="K96" s="7"/>
      <c r="L96" s="7"/>
      <c r="M96" s="7"/>
      <c r="N96" s="7"/>
      <c r="O96" s="7"/>
      <c r="P96" s="7"/>
      <c r="Q96" s="39"/>
      <c r="R96" s="7"/>
      <c r="S96" s="7"/>
      <c r="T96" s="7"/>
      <c r="U96" s="7"/>
      <c r="V96" s="7"/>
      <c r="W96" s="7"/>
      <c r="X96" s="7"/>
    </row>
    <row r="97" spans="2:24" ht="16.2" x14ac:dyDescent="0.45">
      <c r="B97" s="7"/>
      <c r="C97" s="7"/>
      <c r="D97" s="76" t="s">
        <v>26</v>
      </c>
      <c r="E97" s="9"/>
      <c r="F97" s="9"/>
      <c r="G97" s="9"/>
      <c r="H97" s="9"/>
      <c r="I97" s="7"/>
      <c r="J97" s="7"/>
      <c r="K97" s="7"/>
      <c r="L97" s="7"/>
      <c r="M97" s="7"/>
      <c r="N97" s="7"/>
      <c r="O97" s="7"/>
      <c r="P97" s="7"/>
      <c r="Q97" s="39"/>
      <c r="R97" s="7"/>
      <c r="S97" s="7"/>
      <c r="T97" s="7"/>
      <c r="U97" s="7"/>
      <c r="V97" s="7"/>
      <c r="W97" s="7"/>
      <c r="X97" s="7"/>
    </row>
    <row r="98" spans="2:24" ht="14.4" x14ac:dyDescent="0.3">
      <c r="B98" s="7"/>
      <c r="C98" s="77">
        <f>$C$75</f>
        <v>148523.8580429054</v>
      </c>
      <c r="D98" s="78">
        <f>E98-1%</f>
        <v>8.293600000000001E-2</v>
      </c>
      <c r="E98" s="78">
        <f>F98-1%</f>
        <v>9.2936000000000005E-2</v>
      </c>
      <c r="F98" s="97">
        <v>0.102936</v>
      </c>
      <c r="G98" s="78">
        <f>F98+1%</f>
        <v>0.11293599999999999</v>
      </c>
      <c r="H98" s="78">
        <f>G98+1%</f>
        <v>0.12293599999999999</v>
      </c>
      <c r="I98" s="7"/>
      <c r="J98" s="7"/>
      <c r="K98" s="7"/>
      <c r="L98" s="7"/>
      <c r="M98" s="7"/>
      <c r="N98" s="7"/>
      <c r="O98" s="7"/>
      <c r="P98" s="7"/>
      <c r="Q98" s="39"/>
      <c r="R98" s="7"/>
      <c r="S98" s="7"/>
      <c r="T98" s="7"/>
      <c r="U98" s="7"/>
      <c r="V98" s="7"/>
      <c r="W98" s="7"/>
      <c r="X98" s="7"/>
    </row>
    <row r="99" spans="2:24" ht="14.4" x14ac:dyDescent="0.3">
      <c r="B99" s="7"/>
      <c r="C99" s="79">
        <f>C100-2</f>
        <v>3.3200000000000003</v>
      </c>
      <c r="D99" s="77">
        <f t="dataTable" ref="D99:H103" dt2D="1" dtr="1" r1="C85" r2="C87" ca="1"/>
        <v>113272.1928032212</v>
      </c>
      <c r="E99" s="77">
        <v>105460.96640972863</v>
      </c>
      <c r="F99" s="77">
        <v>98329.041546448236</v>
      </c>
      <c r="G99" s="77">
        <v>91809.527154906391</v>
      </c>
      <c r="H99" s="77">
        <v>85842.760062668909</v>
      </c>
      <c r="I99" s="7"/>
      <c r="J99" s="7"/>
      <c r="K99" s="7"/>
      <c r="L99" s="7"/>
      <c r="M99" s="7"/>
      <c r="N99" s="7"/>
      <c r="O99" s="7"/>
      <c r="P99" s="7"/>
      <c r="Q99" s="39"/>
      <c r="R99" s="7"/>
      <c r="S99" s="7"/>
      <c r="T99" s="7"/>
      <c r="U99" s="7"/>
      <c r="V99" s="7"/>
      <c r="W99" s="7"/>
      <c r="X99" s="7"/>
    </row>
    <row r="100" spans="2:24" ht="14.4" x14ac:dyDescent="0.3">
      <c r="B100" s="142" t="s">
        <v>32</v>
      </c>
      <c r="C100" s="79">
        <f>C101-2</f>
        <v>5.32</v>
      </c>
      <c r="D100" s="77">
        <v>143548.80638865885</v>
      </c>
      <c r="E100" s="77">
        <v>133014.77955461986</v>
      </c>
      <c r="F100" s="77">
        <v>123426.44979467681</v>
      </c>
      <c r="G100" s="77">
        <v>114688.79212046959</v>
      </c>
      <c r="H100" s="77">
        <v>106717.1955066384</v>
      </c>
      <c r="I100" s="7"/>
      <c r="J100" s="7"/>
      <c r="K100" s="7"/>
      <c r="L100" s="7"/>
      <c r="M100" s="7"/>
      <c r="N100" s="7"/>
      <c r="O100" s="7"/>
      <c r="P100" s="7"/>
      <c r="Q100" s="39"/>
      <c r="R100" s="7"/>
      <c r="S100" s="7"/>
      <c r="T100" s="7"/>
      <c r="U100" s="7"/>
      <c r="V100" s="7"/>
      <c r="W100" s="7"/>
      <c r="X100" s="7"/>
    </row>
    <row r="101" spans="2:24" ht="14.4" x14ac:dyDescent="0.3">
      <c r="B101" s="142" t="s">
        <v>33</v>
      </c>
      <c r="C101" s="98">
        <v>7.32</v>
      </c>
      <c r="D101" s="77">
        <v>173825.4199740965</v>
      </c>
      <c r="E101" s="77">
        <v>160568.59269951109</v>
      </c>
      <c r="F101" s="77">
        <v>148523.8580429054</v>
      </c>
      <c r="G101" s="77">
        <v>137568.05708603276</v>
      </c>
      <c r="H101" s="77">
        <v>127591.63095060788</v>
      </c>
      <c r="I101" s="7"/>
      <c r="J101" s="7"/>
      <c r="K101" s="7"/>
      <c r="L101" s="7"/>
      <c r="M101" s="7"/>
      <c r="N101" s="7"/>
      <c r="O101" s="7"/>
      <c r="P101" s="7"/>
      <c r="Q101" s="39"/>
      <c r="R101" s="7"/>
      <c r="S101" s="7"/>
      <c r="T101" s="7"/>
      <c r="U101" s="7"/>
      <c r="V101" s="7"/>
      <c r="W101" s="7"/>
      <c r="X101" s="7"/>
    </row>
    <row r="102" spans="2:24" ht="14.4" x14ac:dyDescent="0.3">
      <c r="B102" s="7"/>
      <c r="C102" s="79">
        <f>C101+2</f>
        <v>9.32</v>
      </c>
      <c r="D102" s="77">
        <v>204102.03355953415</v>
      </c>
      <c r="E102" s="77">
        <v>188122.40584440232</v>
      </c>
      <c r="F102" s="77">
        <v>173621.26629113394</v>
      </c>
      <c r="G102" s="77">
        <v>160447.32205159595</v>
      </c>
      <c r="H102" s="77">
        <v>148466.06639457738</v>
      </c>
      <c r="I102" s="7"/>
      <c r="J102" s="7"/>
      <c r="K102" s="7"/>
      <c r="L102" s="7"/>
      <c r="M102" s="7"/>
      <c r="N102" s="7"/>
      <c r="O102" s="7"/>
      <c r="P102" s="7"/>
      <c r="Q102" s="39"/>
      <c r="R102" s="7"/>
      <c r="S102" s="7"/>
      <c r="T102" s="7"/>
      <c r="U102" s="7"/>
      <c r="V102" s="7"/>
      <c r="W102" s="7"/>
      <c r="X102" s="7"/>
    </row>
    <row r="103" spans="2:24" ht="14.4" x14ac:dyDescent="0.3">
      <c r="B103" s="7"/>
      <c r="C103" s="79">
        <f>C102+2</f>
        <v>11.32</v>
      </c>
      <c r="D103" s="77">
        <v>234378.64714497179</v>
      </c>
      <c r="E103" s="77">
        <v>215676.21898929356</v>
      </c>
      <c r="F103" s="77">
        <v>198718.67453936252</v>
      </c>
      <c r="G103" s="77">
        <v>183326.58701715912</v>
      </c>
      <c r="H103" s="77">
        <v>169340.50183854689</v>
      </c>
      <c r="I103" s="7"/>
      <c r="J103" s="7"/>
      <c r="K103" s="7"/>
      <c r="L103" s="7"/>
      <c r="M103" s="7"/>
      <c r="N103" s="7"/>
      <c r="O103" s="7"/>
      <c r="P103" s="7"/>
      <c r="Q103" s="39"/>
      <c r="R103" s="7"/>
      <c r="S103" s="7"/>
      <c r="T103" s="7"/>
      <c r="U103" s="7"/>
      <c r="V103" s="7"/>
      <c r="W103" s="7"/>
      <c r="X103" s="7"/>
    </row>
    <row r="104" spans="2:24" ht="14.4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39"/>
      <c r="R104" s="7"/>
      <c r="S104" s="7"/>
      <c r="T104" s="7"/>
      <c r="U104" s="7"/>
      <c r="V104" s="7"/>
      <c r="W104" s="7"/>
      <c r="X104" s="7"/>
    </row>
    <row r="105" spans="2:24" ht="14.4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39"/>
      <c r="R105" s="7"/>
      <c r="S105" s="7"/>
      <c r="T105" s="7"/>
      <c r="U105" s="7"/>
      <c r="V105" s="7"/>
      <c r="W105" s="7"/>
      <c r="X105" s="7"/>
    </row>
    <row r="106" spans="2:24" ht="14.4" x14ac:dyDescent="0.3">
      <c r="B106" s="71" t="s">
        <v>34</v>
      </c>
      <c r="C106" s="37"/>
      <c r="D106" s="37"/>
      <c r="E106" s="37"/>
      <c r="F106" s="37"/>
      <c r="G106" s="37"/>
      <c r="H106" s="37"/>
      <c r="I106" s="7"/>
      <c r="J106" s="7"/>
      <c r="K106" s="7"/>
      <c r="L106" s="7"/>
      <c r="M106" s="7"/>
      <c r="N106" s="7"/>
      <c r="O106" s="7"/>
      <c r="P106" s="7"/>
      <c r="Q106" s="39"/>
      <c r="R106" s="7"/>
      <c r="S106" s="7"/>
      <c r="T106" s="7"/>
      <c r="U106" s="7"/>
      <c r="V106" s="7"/>
      <c r="W106" s="7"/>
      <c r="X106" s="7"/>
    </row>
    <row r="107" spans="2:24" ht="16.2" x14ac:dyDescent="0.45">
      <c r="B107" s="7"/>
      <c r="C107" s="7"/>
      <c r="D107" s="76" t="s">
        <v>26</v>
      </c>
      <c r="E107" s="9"/>
      <c r="F107" s="9"/>
      <c r="G107" s="9"/>
      <c r="H107" s="9"/>
      <c r="I107" s="7"/>
      <c r="J107" s="7"/>
      <c r="K107" s="7"/>
      <c r="L107" s="7"/>
      <c r="M107" s="7"/>
      <c r="N107" s="7"/>
      <c r="O107" s="7"/>
      <c r="P107" s="7"/>
      <c r="Q107" s="39"/>
      <c r="R107" s="7"/>
      <c r="S107" s="7"/>
      <c r="T107" s="7"/>
      <c r="U107" s="7"/>
      <c r="V107" s="7"/>
      <c r="W107" s="7"/>
      <c r="X107" s="7"/>
    </row>
    <row r="108" spans="2:24" ht="14.4" x14ac:dyDescent="0.3">
      <c r="B108" s="7"/>
      <c r="C108" s="77">
        <f>$C$81</f>
        <v>134834.32181720168</v>
      </c>
      <c r="D108" s="78">
        <f>E108-1%</f>
        <v>8.293600000000001E-2</v>
      </c>
      <c r="E108" s="78">
        <f>F108-1%</f>
        <v>9.2936000000000005E-2</v>
      </c>
      <c r="F108" s="97">
        <v>0.102936</v>
      </c>
      <c r="G108" s="78">
        <f>F108+1%</f>
        <v>0.11293599999999999</v>
      </c>
      <c r="H108" s="78">
        <f>G108+1%</f>
        <v>0.12293599999999999</v>
      </c>
      <c r="I108" s="7"/>
      <c r="J108" s="7"/>
      <c r="K108" s="7"/>
      <c r="L108" s="7"/>
      <c r="M108" s="7"/>
      <c r="N108" s="7"/>
      <c r="O108" s="7"/>
      <c r="P108" s="7"/>
      <c r="Q108" s="39"/>
      <c r="R108" s="7"/>
      <c r="S108" s="7"/>
      <c r="T108" s="7"/>
      <c r="U108" s="7"/>
      <c r="V108" s="7"/>
      <c r="W108" s="7"/>
      <c r="X108" s="7"/>
    </row>
    <row r="109" spans="2:24" ht="14.4" x14ac:dyDescent="0.3">
      <c r="B109" s="7"/>
      <c r="C109" s="80">
        <f>C110-0.5%</f>
        <v>7.3209999999999985E-3</v>
      </c>
      <c r="D109" s="77">
        <f t="dataTable" ref="D109:H113" dt2D="1" dtr="1" r1="C85" r2="C88"/>
        <v>168732.13140126661</v>
      </c>
      <c r="E109" s="77">
        <v>144695.63105139887</v>
      </c>
      <c r="F109" s="77">
        <v>125971.14128551011</v>
      </c>
      <c r="G109" s="77">
        <v>111026.6049146486</v>
      </c>
      <c r="H109" s="77">
        <v>98862.249809013592</v>
      </c>
      <c r="I109" s="7"/>
      <c r="J109" s="7"/>
      <c r="K109" s="7"/>
      <c r="L109" s="7"/>
      <c r="M109" s="7"/>
      <c r="N109" s="7"/>
      <c r="O109" s="7"/>
      <c r="P109" s="7"/>
      <c r="Q109" s="39"/>
      <c r="R109" s="7"/>
      <c r="S109" s="7"/>
      <c r="T109" s="7"/>
      <c r="U109" s="7"/>
      <c r="V109" s="7"/>
      <c r="W109" s="7"/>
      <c r="X109" s="7"/>
    </row>
    <row r="110" spans="2:24" ht="14.4" x14ac:dyDescent="0.3">
      <c r="B110" s="7"/>
      <c r="C110" s="80">
        <f>C111-0.5%</f>
        <v>1.2320999999999999E-2</v>
      </c>
      <c r="D110" s="77">
        <v>176779.64041605045</v>
      </c>
      <c r="E110" s="77">
        <v>150413.93220223606</v>
      </c>
      <c r="F110" s="77">
        <v>130158.20303699041</v>
      </c>
      <c r="G110" s="77">
        <v>114166.9706221848</v>
      </c>
      <c r="H110" s="77">
        <v>101264.38717606348</v>
      </c>
      <c r="I110" s="7"/>
      <c r="J110" s="7"/>
      <c r="K110" s="7"/>
      <c r="L110" s="7"/>
      <c r="M110" s="7"/>
      <c r="N110" s="7"/>
      <c r="O110" s="7"/>
      <c r="P110" s="7"/>
      <c r="Q110" s="39"/>
      <c r="R110" s="7"/>
      <c r="S110" s="7"/>
      <c r="T110" s="7"/>
      <c r="U110" s="7"/>
      <c r="V110" s="7"/>
      <c r="W110" s="7"/>
      <c r="X110" s="7"/>
    </row>
    <row r="111" spans="2:24" ht="14.4" x14ac:dyDescent="0.3">
      <c r="B111" s="142" t="s">
        <v>29</v>
      </c>
      <c r="C111" s="99">
        <v>1.7321E-2</v>
      </c>
      <c r="D111" s="77">
        <v>186053.62341007439</v>
      </c>
      <c r="E111" s="77">
        <v>156888.47234676991</v>
      </c>
      <c r="F111" s="77">
        <v>134834.32181720168</v>
      </c>
      <c r="G111" s="77">
        <v>117635.77493323888</v>
      </c>
      <c r="H111" s="77">
        <v>103893.96736534976</v>
      </c>
      <c r="I111" s="7"/>
      <c r="J111" s="7"/>
      <c r="K111" s="7"/>
      <c r="L111" s="7"/>
      <c r="M111" s="7"/>
      <c r="N111" s="7"/>
      <c r="O111" s="7"/>
      <c r="P111" s="7"/>
      <c r="Q111" s="39"/>
      <c r="R111" s="7"/>
      <c r="S111" s="7"/>
      <c r="T111" s="7"/>
      <c r="U111" s="7"/>
      <c r="V111" s="7"/>
      <c r="W111" s="7"/>
      <c r="X111" s="7"/>
    </row>
    <row r="112" spans="2:24" ht="14.4" x14ac:dyDescent="0.3">
      <c r="B112" s="7"/>
      <c r="C112" s="80">
        <f>C111+0.5%</f>
        <v>2.2321000000000001E-2</v>
      </c>
      <c r="D112" s="77">
        <v>196857.58792583784</v>
      </c>
      <c r="E112" s="77">
        <v>164279.8913618743</v>
      </c>
      <c r="F112" s="77">
        <v>140090.49626697961</v>
      </c>
      <c r="G112" s="77">
        <v>121487.38609868288</v>
      </c>
      <c r="H112" s="77">
        <v>106784.89826668557</v>
      </c>
      <c r="I112" s="7"/>
      <c r="J112" s="7"/>
      <c r="K112" s="7"/>
      <c r="L112" s="7"/>
      <c r="M112" s="7"/>
      <c r="N112" s="7"/>
      <c r="O112" s="7"/>
      <c r="P112" s="7"/>
      <c r="Q112" s="39"/>
      <c r="R112" s="7"/>
      <c r="S112" s="7"/>
      <c r="T112" s="7"/>
      <c r="U112" s="7"/>
      <c r="V112" s="7"/>
      <c r="W112" s="7"/>
      <c r="X112" s="7"/>
    </row>
    <row r="113" spans="2:24" ht="14.4" x14ac:dyDescent="0.3">
      <c r="B113" s="7"/>
      <c r="C113" s="80">
        <f>C112+0.5%</f>
        <v>2.7321000000000002E-2</v>
      </c>
      <c r="D113" s="77">
        <v>209604.18743499572</v>
      </c>
      <c r="E113" s="77">
        <v>172797.79350051814</v>
      </c>
      <c r="F113" s="77">
        <v>146041.79396608338</v>
      </c>
      <c r="G113" s="77">
        <v>125788.87300616316</v>
      </c>
      <c r="H113" s="77">
        <v>109978.18035782798</v>
      </c>
      <c r="I113" s="7"/>
      <c r="J113" s="7"/>
      <c r="K113" s="7"/>
      <c r="L113" s="7"/>
      <c r="M113" s="7"/>
      <c r="N113" s="7"/>
      <c r="O113" s="7"/>
      <c r="P113" s="7"/>
      <c r="Q113" s="39"/>
      <c r="R113" s="7"/>
      <c r="S113" s="7"/>
      <c r="T113" s="7"/>
      <c r="U113" s="7"/>
      <c r="V113" s="7"/>
      <c r="W113" s="7"/>
      <c r="X113" s="7"/>
    </row>
  </sheetData>
  <sheetProtection selectLockedCells="1" selectUnlockedCells="1"/>
  <dataValidations disablePrompts="1" count="1">
    <dataValidation type="list" allowBlank="1" showInputMessage="1" showErrorMessage="1" sqref="C86" xr:uid="{A0D0A029-68FE-4505-9820-A14C734104E5}">
      <formula1>"Mid-Period,Year-End"</formula1>
    </dataValidation>
  </dataValidations>
  <pageMargins left="0.7" right="0.7" top="0.75" bottom="0.75" header="0.51180555555555551" footer="0.51180555555555551"/>
  <pageSetup firstPageNumber="0" orientation="portrait" horizontalDpi="300" verticalDpi="300"/>
  <headerFooter alignWithMargins="0"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6C163-85A9-41F0-BAB8-B685EB9CCA4D}">
  <sheetPr>
    <tabColor rgb="FF1F3864"/>
  </sheetPr>
  <dimension ref="B1:Q61"/>
  <sheetViews>
    <sheetView showGridLines="0" zoomScale="85" zoomScaleNormal="85" workbookViewId="0">
      <pane xSplit="2" ySplit="4" topLeftCell="C5" activePane="bottomRight" state="frozen"/>
      <selection pane="topRight" activeCell="C5" sqref="C5"/>
      <selection pane="bottomLeft" activeCell="C5" sqref="C5"/>
      <selection pane="bottomRight" activeCell="C5" sqref="C5"/>
    </sheetView>
  </sheetViews>
  <sheetFormatPr defaultColWidth="9.109375" defaultRowHeight="13.8" x14ac:dyDescent="0.3"/>
  <cols>
    <col min="1" max="1" width="2.6640625" style="1" customWidth="1"/>
    <col min="2" max="2" width="52.88671875" style="1" bestFit="1" customWidth="1"/>
    <col min="3" max="3" width="15.6640625" style="1" customWidth="1"/>
    <col min="4" max="4" width="10.44140625" style="1" bestFit="1" customWidth="1"/>
    <col min="5" max="15" width="11" style="1" bestFit="1" customWidth="1"/>
    <col min="16" max="16384" width="9.109375" style="1"/>
  </cols>
  <sheetData>
    <row r="1" spans="2:17" ht="14.4" x14ac:dyDescent="0.3">
      <c r="B1" s="46" t="s">
        <v>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2:17" ht="8.1" customHeight="1" x14ac:dyDescent="0.3"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2:17" ht="16.2" x14ac:dyDescent="0.45">
      <c r="B3" s="7"/>
      <c r="C3" s="7"/>
      <c r="D3" s="47" t="s">
        <v>4</v>
      </c>
      <c r="E3" s="47" t="s">
        <v>5</v>
      </c>
      <c r="F3" s="8"/>
      <c r="G3" s="8"/>
      <c r="H3" s="8"/>
      <c r="I3" s="8"/>
      <c r="J3" s="8"/>
      <c r="K3" s="8"/>
      <c r="L3" s="8"/>
      <c r="M3" s="8"/>
      <c r="N3" s="8"/>
      <c r="O3" s="8"/>
      <c r="P3" s="7"/>
      <c r="Q3" s="7"/>
    </row>
    <row r="4" spans="2:17" ht="16.2" x14ac:dyDescent="0.45">
      <c r="B4" s="13"/>
      <c r="C4" s="13"/>
      <c r="D4" s="54" t="s">
        <v>8</v>
      </c>
      <c r="E4" s="54" t="s">
        <v>0</v>
      </c>
      <c r="F4" s="54" t="s">
        <v>1</v>
      </c>
      <c r="G4" s="54" t="s">
        <v>2</v>
      </c>
      <c r="H4" s="54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4" t="s">
        <v>40</v>
      </c>
      <c r="O4" s="54" t="s">
        <v>41</v>
      </c>
      <c r="P4" s="7"/>
      <c r="Q4" s="7"/>
    </row>
    <row r="5" spans="2:17" ht="8.1" customHeight="1" x14ac:dyDescent="0.45">
      <c r="B5" s="13"/>
      <c r="C5" s="13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7"/>
      <c r="Q5" s="7"/>
    </row>
    <row r="6" spans="2:17" s="2" customFormat="1" ht="12.75" customHeight="1" x14ac:dyDescent="0.3">
      <c r="B6" s="50" t="s">
        <v>106</v>
      </c>
      <c r="C6" s="41">
        <f>Drivers!$C$35</f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2:17" s="2" customFormat="1" ht="8.1" customHeight="1" x14ac:dyDescent="0.3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2:17" ht="14.4" x14ac:dyDescent="0.3">
      <c r="B8" s="81" t="s">
        <v>100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11"/>
      <c r="Q8" s="11"/>
    </row>
    <row r="9" spans="2:17" ht="16.2" x14ac:dyDescent="0.45">
      <c r="B9" s="48" t="s">
        <v>107</v>
      </c>
      <c r="C9" s="82" t="s">
        <v>97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2:17" ht="14.4" x14ac:dyDescent="0.3">
      <c r="B10" s="50" t="s">
        <v>95</v>
      </c>
      <c r="C10" s="28"/>
      <c r="D10" s="43">
        <f>Drivers!$C$36</f>
        <v>1653</v>
      </c>
      <c r="E10" s="128">
        <f t="shared" ref="E10:O10" si="0">IF(D10+-$D10/$C$6&lt;0,0,D10+-$D10/$C$6)</f>
        <v>1322.4</v>
      </c>
      <c r="F10" s="129">
        <f t="shared" si="0"/>
        <v>991.80000000000007</v>
      </c>
      <c r="G10" s="129">
        <f t="shared" si="0"/>
        <v>661.2</v>
      </c>
      <c r="H10" s="129">
        <f t="shared" si="0"/>
        <v>330.6</v>
      </c>
      <c r="I10" s="129">
        <f t="shared" si="0"/>
        <v>0</v>
      </c>
      <c r="J10" s="129">
        <f t="shared" si="0"/>
        <v>0</v>
      </c>
      <c r="K10" s="129">
        <f t="shared" si="0"/>
        <v>0</v>
      </c>
      <c r="L10" s="129">
        <f t="shared" si="0"/>
        <v>0</v>
      </c>
      <c r="M10" s="129">
        <f t="shared" si="0"/>
        <v>0</v>
      </c>
      <c r="N10" s="129">
        <f t="shared" si="0"/>
        <v>0</v>
      </c>
      <c r="O10" s="130">
        <f t="shared" si="0"/>
        <v>0</v>
      </c>
      <c r="P10" s="11"/>
      <c r="Q10" s="11"/>
    </row>
    <row r="11" spans="2:17" ht="14.4" x14ac:dyDescent="0.3">
      <c r="B11" s="50" t="s">
        <v>0</v>
      </c>
      <c r="C11" s="131" cm="1">
        <f t="array" ref="C11:C21">TRANSPOSE('Operating Valuation'!E57:O57)</f>
        <v>-378.40712940849397</v>
      </c>
      <c r="D11" s="7"/>
      <c r="E11" s="132">
        <f>-$C11</f>
        <v>378.40712940849397</v>
      </c>
      <c r="F11" s="124">
        <f t="shared" ref="F11:O11" si="1">IF(E11+$C11/$C$6&lt;0,0,E11+$C11/$C$6)</f>
        <v>302.7257035267952</v>
      </c>
      <c r="G11" s="124">
        <f t="shared" si="1"/>
        <v>227.0442776450964</v>
      </c>
      <c r="H11" s="124">
        <f t="shared" si="1"/>
        <v>151.3628517633976</v>
      </c>
      <c r="I11" s="124">
        <f t="shared" si="1"/>
        <v>75.6814258816988</v>
      </c>
      <c r="J11" s="124">
        <f t="shared" si="1"/>
        <v>0</v>
      </c>
      <c r="K11" s="124">
        <f t="shared" si="1"/>
        <v>0</v>
      </c>
      <c r="L11" s="124">
        <f t="shared" si="1"/>
        <v>0</v>
      </c>
      <c r="M11" s="124">
        <f t="shared" si="1"/>
        <v>0</v>
      </c>
      <c r="N11" s="124">
        <f t="shared" si="1"/>
        <v>0</v>
      </c>
      <c r="O11" s="133">
        <f t="shared" si="1"/>
        <v>0</v>
      </c>
      <c r="P11" s="11"/>
      <c r="Q11" s="11"/>
    </row>
    <row r="12" spans="2:17" ht="14.4" x14ac:dyDescent="0.3">
      <c r="B12" s="50" t="s">
        <v>1</v>
      </c>
      <c r="C12" s="134">
        <v>-435.1169351153456</v>
      </c>
      <c r="D12" s="7"/>
      <c r="E12" s="44"/>
      <c r="F12" s="132">
        <f>-$C12</f>
        <v>435.1169351153456</v>
      </c>
      <c r="G12" s="124">
        <f t="shared" ref="G12:O12" si="2">IF(F12+$C12/$C$6&lt;0,0,F12+$C12/$C$6)</f>
        <v>348.09354809227648</v>
      </c>
      <c r="H12" s="124">
        <f t="shared" si="2"/>
        <v>261.07016106920736</v>
      </c>
      <c r="I12" s="124">
        <f t="shared" si="2"/>
        <v>174.04677404613824</v>
      </c>
      <c r="J12" s="124">
        <f t="shared" si="2"/>
        <v>87.02338702306912</v>
      </c>
      <c r="K12" s="124">
        <f t="shared" si="2"/>
        <v>0</v>
      </c>
      <c r="L12" s="124">
        <f t="shared" si="2"/>
        <v>0</v>
      </c>
      <c r="M12" s="124">
        <f t="shared" si="2"/>
        <v>0</v>
      </c>
      <c r="N12" s="124">
        <f t="shared" si="2"/>
        <v>0</v>
      </c>
      <c r="O12" s="133">
        <f t="shared" si="2"/>
        <v>0</v>
      </c>
      <c r="P12" s="11"/>
      <c r="Q12" s="11"/>
    </row>
    <row r="13" spans="2:17" ht="14.4" x14ac:dyDescent="0.3">
      <c r="B13" s="50" t="s">
        <v>2</v>
      </c>
      <c r="C13" s="134">
        <v>-496.3332033198119</v>
      </c>
      <c r="D13" s="7"/>
      <c r="E13" s="11"/>
      <c r="F13" s="11"/>
      <c r="G13" s="132">
        <f>-$C13</f>
        <v>496.3332033198119</v>
      </c>
      <c r="H13" s="124">
        <f t="shared" ref="H13:O13" si="3">IF(G13+$C13/$C$6&lt;0,0,G13+$C13/$C$6)</f>
        <v>397.06656265584951</v>
      </c>
      <c r="I13" s="124">
        <f t="shared" si="3"/>
        <v>297.79992199188712</v>
      </c>
      <c r="J13" s="124">
        <f t="shared" si="3"/>
        <v>198.53328132792473</v>
      </c>
      <c r="K13" s="124">
        <f t="shared" si="3"/>
        <v>99.266640663962349</v>
      </c>
      <c r="L13" s="124">
        <f t="shared" si="3"/>
        <v>0</v>
      </c>
      <c r="M13" s="124">
        <f t="shared" si="3"/>
        <v>0</v>
      </c>
      <c r="N13" s="124">
        <f t="shared" si="3"/>
        <v>0</v>
      </c>
      <c r="O13" s="133">
        <f t="shared" si="3"/>
        <v>0</v>
      </c>
      <c r="P13" s="11"/>
      <c r="Q13" s="11"/>
    </row>
    <row r="14" spans="2:17" ht="14.4" x14ac:dyDescent="0.3">
      <c r="B14" s="50" t="s">
        <v>9</v>
      </c>
      <c r="C14" s="134">
        <v>-561.55471794847176</v>
      </c>
      <c r="D14" s="7"/>
      <c r="E14" s="11"/>
      <c r="F14" s="11"/>
      <c r="G14" s="11"/>
      <c r="H14" s="132">
        <f>-$C14</f>
        <v>561.55471794847176</v>
      </c>
      <c r="I14" s="124">
        <f t="shared" ref="I14:O14" si="4">IF(H14+$C14/$C$6&lt;0,0,H14+$C14/$C$6)</f>
        <v>449.24377435877739</v>
      </c>
      <c r="J14" s="124">
        <f t="shared" si="4"/>
        <v>336.93283076908301</v>
      </c>
      <c r="K14" s="124">
        <f t="shared" si="4"/>
        <v>224.62188717938866</v>
      </c>
      <c r="L14" s="124">
        <f t="shared" si="4"/>
        <v>112.31094358969432</v>
      </c>
      <c r="M14" s="124">
        <f t="shared" si="4"/>
        <v>0</v>
      </c>
      <c r="N14" s="124">
        <f t="shared" si="4"/>
        <v>0</v>
      </c>
      <c r="O14" s="133">
        <f t="shared" si="4"/>
        <v>0</v>
      </c>
      <c r="P14" s="11"/>
      <c r="Q14" s="11"/>
    </row>
    <row r="15" spans="2:17" ht="14.4" x14ac:dyDescent="0.3">
      <c r="B15" s="50" t="s">
        <v>10</v>
      </c>
      <c r="C15" s="134">
        <v>-630.08858404578962</v>
      </c>
      <c r="D15" s="7"/>
      <c r="E15" s="11"/>
      <c r="F15" s="11"/>
      <c r="G15" s="11"/>
      <c r="H15" s="11"/>
      <c r="I15" s="132">
        <f>-$C15</f>
        <v>630.08858404578962</v>
      </c>
      <c r="J15" s="124">
        <f t="shared" ref="J15:O15" si="5">IF(I15+$C15/$C$6&lt;0,0,I15+$C15/$C$6)</f>
        <v>504.07086723663167</v>
      </c>
      <c r="K15" s="124">
        <f t="shared" si="5"/>
        <v>378.05315042747372</v>
      </c>
      <c r="L15" s="124">
        <f t="shared" si="5"/>
        <v>252.03543361831581</v>
      </c>
      <c r="M15" s="124">
        <f t="shared" si="5"/>
        <v>126.01771680915789</v>
      </c>
      <c r="N15" s="124">
        <f t="shared" si="5"/>
        <v>0</v>
      </c>
      <c r="O15" s="133">
        <f t="shared" si="5"/>
        <v>0</v>
      </c>
      <c r="P15" s="11"/>
      <c r="Q15" s="11"/>
    </row>
    <row r="16" spans="2:17" ht="14.4" x14ac:dyDescent="0.3">
      <c r="B16" s="50" t="s">
        <v>11</v>
      </c>
      <c r="C16" s="134">
        <v>-701.04881957228577</v>
      </c>
      <c r="D16" s="7"/>
      <c r="E16" s="11"/>
      <c r="F16" s="11"/>
      <c r="G16" s="11"/>
      <c r="H16" s="11"/>
      <c r="I16" s="11"/>
      <c r="J16" s="132">
        <f>-$C16</f>
        <v>701.04881957228577</v>
      </c>
      <c r="K16" s="124">
        <f>IF(J16+$C16/$C$6&lt;0,0,J16+$C16/$C$6)</f>
        <v>560.83905565782857</v>
      </c>
      <c r="L16" s="124">
        <f>IF(K16+$C16/$C$6&lt;0,0,K16+$C16/$C$6)</f>
        <v>420.62929174337143</v>
      </c>
      <c r="M16" s="124">
        <f>IF(L16+$C16/$C$6&lt;0,0,L16+$C16/$C$6)</f>
        <v>280.41952782891428</v>
      </c>
      <c r="N16" s="124">
        <f>IF(M16+$C16/$C$6&lt;0,0,M16+$C16/$C$6)</f>
        <v>140.20976391445714</v>
      </c>
      <c r="O16" s="133">
        <f>IF(N16+$C16/$C$6&lt;0,0,N16+$C16/$C$6)</f>
        <v>0</v>
      </c>
      <c r="P16" s="11"/>
      <c r="Q16" s="11"/>
    </row>
    <row r="17" spans="2:17" ht="14.4" x14ac:dyDescent="0.3">
      <c r="B17" s="50" t="s">
        <v>12</v>
      </c>
      <c r="C17" s="134">
        <v>-773.36416343183203</v>
      </c>
      <c r="D17" s="7"/>
      <c r="E17" s="11"/>
      <c r="F17" s="11"/>
      <c r="G17" s="11"/>
      <c r="H17" s="11"/>
      <c r="I17" s="11"/>
      <c r="J17" s="11"/>
      <c r="K17" s="132">
        <f>-$C17</f>
        <v>773.36416343183203</v>
      </c>
      <c r="L17" s="124">
        <f>IF(K17+$C17/$C$6&lt;0,0,K17+$C17/$C$6)</f>
        <v>618.69133074546562</v>
      </c>
      <c r="M17" s="124">
        <f>IF(L17+$C17/$C$6&lt;0,0,L17+$C17/$C$6)</f>
        <v>464.01849805909922</v>
      </c>
      <c r="N17" s="124">
        <f>IF(M17+$C17/$C$6&lt;0,0,M17+$C17/$C$6)</f>
        <v>309.34566537273281</v>
      </c>
      <c r="O17" s="133">
        <f>IF(N17+$C17/$C$6&lt;0,0,N17+$C17/$C$6)</f>
        <v>154.67283268636641</v>
      </c>
      <c r="P17" s="11"/>
      <c r="Q17" s="11"/>
    </row>
    <row r="18" spans="2:17" ht="14.4" x14ac:dyDescent="0.3">
      <c r="B18" s="50" t="s">
        <v>13</v>
      </c>
      <c r="C18" s="134">
        <v>-845.79597656816372</v>
      </c>
      <c r="D18" s="7"/>
      <c r="E18" s="11"/>
      <c r="F18" s="11"/>
      <c r="G18" s="11"/>
      <c r="H18" s="11"/>
      <c r="I18" s="11"/>
      <c r="J18" s="11"/>
      <c r="K18" s="11"/>
      <c r="L18" s="132">
        <f>-$C18</f>
        <v>845.79597656816372</v>
      </c>
      <c r="M18" s="124">
        <f>IF(L18+$C18/$C$6&lt;0,0,L18+$C18/$C$6)</f>
        <v>676.636781254531</v>
      </c>
      <c r="N18" s="124">
        <f>IF(M18+$C18/$C$6&lt;0,0,M18+$C18/$C$6)</f>
        <v>507.47758594089828</v>
      </c>
      <c r="O18" s="133">
        <f>IF(N18+$C18/$C$6&lt;0,0,N18+$C18/$C$6)</f>
        <v>338.31839062726556</v>
      </c>
      <c r="P18" s="11"/>
      <c r="Q18" s="11"/>
    </row>
    <row r="19" spans="2:17" ht="14.4" x14ac:dyDescent="0.3">
      <c r="B19" s="50" t="s">
        <v>14</v>
      </c>
      <c r="C19" s="134">
        <v>-916.9665448734296</v>
      </c>
      <c r="D19" s="7"/>
      <c r="E19" s="11"/>
      <c r="F19" s="11"/>
      <c r="G19" s="11"/>
      <c r="H19" s="11"/>
      <c r="I19" s="11"/>
      <c r="J19" s="11"/>
      <c r="K19" s="11"/>
      <c r="L19" s="11"/>
      <c r="M19" s="132">
        <f>-$C19</f>
        <v>916.9665448734296</v>
      </c>
      <c r="N19" s="124">
        <f>IF(M19+$C19/$C$6&lt;0,0,M19+$C19/$C$6)</f>
        <v>733.57323589874363</v>
      </c>
      <c r="O19" s="133">
        <f>IF(N19+$C19/$C$6&lt;0,0,N19+$C19/$C$6)</f>
        <v>550.17992692405778</v>
      </c>
      <c r="P19" s="11"/>
      <c r="Q19" s="11"/>
    </row>
    <row r="20" spans="2:17" ht="14.4" x14ac:dyDescent="0.3">
      <c r="B20" s="50" t="s">
        <v>40</v>
      </c>
      <c r="C20" s="134">
        <v>-985.39741967171369</v>
      </c>
      <c r="D20" s="7"/>
      <c r="E20" s="11"/>
      <c r="F20" s="11"/>
      <c r="G20" s="11"/>
      <c r="H20" s="11"/>
      <c r="I20" s="11"/>
      <c r="J20" s="11"/>
      <c r="K20" s="11"/>
      <c r="L20" s="11"/>
      <c r="M20" s="11"/>
      <c r="N20" s="132">
        <f>-$C20</f>
        <v>985.39741967171369</v>
      </c>
      <c r="O20" s="133">
        <f>IF(N20+$C20/$C$6&lt;0,0,N20+$C20/$C$6)</f>
        <v>788.31793573737093</v>
      </c>
      <c r="P20" s="11"/>
      <c r="Q20" s="11"/>
    </row>
    <row r="21" spans="2:17" ht="14.4" x14ac:dyDescent="0.3">
      <c r="B21" s="50" t="s">
        <v>41</v>
      </c>
      <c r="C21" s="135">
        <v>-1049.556698847435</v>
      </c>
      <c r="D21" s="7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36">
        <f>-$C21</f>
        <v>1049.556698847435</v>
      </c>
      <c r="P21" s="11"/>
      <c r="Q21" s="11"/>
    </row>
    <row r="22" spans="2:17" s="3" customFormat="1" ht="14.4" x14ac:dyDescent="0.3">
      <c r="B22" s="101" t="s">
        <v>59</v>
      </c>
      <c r="C22" s="89"/>
      <c r="D22" s="103">
        <f>SUM(D10:D21)</f>
        <v>1653</v>
      </c>
      <c r="E22" s="103">
        <f t="shared" ref="E22:N22" si="6">SUM(E10:E21)</f>
        <v>1700.8071294084941</v>
      </c>
      <c r="F22" s="103">
        <f t="shared" si="6"/>
        <v>1729.6426386421408</v>
      </c>
      <c r="G22" s="103">
        <f t="shared" si="6"/>
        <v>1732.6710290571848</v>
      </c>
      <c r="H22" s="103">
        <f t="shared" si="6"/>
        <v>1701.6542934369263</v>
      </c>
      <c r="I22" s="103">
        <f t="shared" si="6"/>
        <v>1626.8604803242911</v>
      </c>
      <c r="J22" s="103">
        <f t="shared" si="6"/>
        <v>1827.6091859289943</v>
      </c>
      <c r="K22" s="103">
        <f t="shared" si="6"/>
        <v>2036.1448973604852</v>
      </c>
      <c r="L22" s="103">
        <f t="shared" si="6"/>
        <v>2249.4629762650111</v>
      </c>
      <c r="M22" s="103">
        <f t="shared" si="6"/>
        <v>2464.0590688251318</v>
      </c>
      <c r="N22" s="103">
        <f t="shared" si="6"/>
        <v>2676.0036707985455</v>
      </c>
      <c r="O22" s="103">
        <f>SUM(O10:O21)</f>
        <v>2881.045784822496</v>
      </c>
      <c r="P22" s="11"/>
      <c r="Q22" s="11"/>
    </row>
    <row r="23" spans="2:17" s="2" customFormat="1" ht="12.75" customHeight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2:17" s="2" customFormat="1" ht="12.75" customHeight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2:17" s="2" customFormat="1" ht="12.75" customHeight="1" x14ac:dyDescent="0.3">
      <c r="B25" s="81" t="s">
        <v>57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11"/>
      <c r="Q25" s="11"/>
    </row>
    <row r="26" spans="2:17" s="2" customFormat="1" ht="16.2" x14ac:dyDescent="0.3">
      <c r="B26" s="83" t="s">
        <v>107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2:17" s="2" customFormat="1" ht="12.75" customHeight="1" x14ac:dyDescent="0.3">
      <c r="B27" s="50" t="s">
        <v>95</v>
      </c>
      <c r="C27" s="11"/>
      <c r="D27" s="11"/>
      <c r="E27" s="128">
        <f>IF(D10-E10&lt;0,0,D10-E10)</f>
        <v>330.59999999999991</v>
      </c>
      <c r="F27" s="129">
        <f t="shared" ref="F27:O27" si="7">IF(E10-F10&lt;0,0,E10-F10)</f>
        <v>330.6</v>
      </c>
      <c r="G27" s="129">
        <f t="shared" si="7"/>
        <v>330.6</v>
      </c>
      <c r="H27" s="129">
        <f t="shared" si="7"/>
        <v>330.6</v>
      </c>
      <c r="I27" s="129">
        <f t="shared" si="7"/>
        <v>330.6</v>
      </c>
      <c r="J27" s="129">
        <f t="shared" si="7"/>
        <v>0</v>
      </c>
      <c r="K27" s="129">
        <f t="shared" si="7"/>
        <v>0</v>
      </c>
      <c r="L27" s="129">
        <f t="shared" si="7"/>
        <v>0</v>
      </c>
      <c r="M27" s="129">
        <f t="shared" si="7"/>
        <v>0</v>
      </c>
      <c r="N27" s="129">
        <f t="shared" si="7"/>
        <v>0</v>
      </c>
      <c r="O27" s="130">
        <f t="shared" si="7"/>
        <v>0</v>
      </c>
      <c r="P27" s="11"/>
      <c r="Q27" s="11"/>
    </row>
    <row r="28" spans="2:17" s="2" customFormat="1" ht="12.75" customHeight="1" x14ac:dyDescent="0.3">
      <c r="B28" s="50" t="s">
        <v>0</v>
      </c>
      <c r="C28" s="11"/>
      <c r="D28" s="11"/>
      <c r="E28" s="132">
        <f t="shared" ref="E28:O28" si="8">IF(D11-E11&lt;0,0,D11-E11)</f>
        <v>0</v>
      </c>
      <c r="F28" s="124">
        <f t="shared" si="8"/>
        <v>75.681425881698772</v>
      </c>
      <c r="G28" s="124">
        <f t="shared" si="8"/>
        <v>75.6814258816988</v>
      </c>
      <c r="H28" s="124">
        <f t="shared" si="8"/>
        <v>75.6814258816988</v>
      </c>
      <c r="I28" s="124">
        <f t="shared" si="8"/>
        <v>75.6814258816988</v>
      </c>
      <c r="J28" s="124">
        <f t="shared" si="8"/>
        <v>75.6814258816988</v>
      </c>
      <c r="K28" s="124">
        <f t="shared" si="8"/>
        <v>0</v>
      </c>
      <c r="L28" s="124">
        <f t="shared" si="8"/>
        <v>0</v>
      </c>
      <c r="M28" s="124">
        <f t="shared" si="8"/>
        <v>0</v>
      </c>
      <c r="N28" s="124">
        <f t="shared" si="8"/>
        <v>0</v>
      </c>
      <c r="O28" s="133">
        <f t="shared" si="8"/>
        <v>0</v>
      </c>
      <c r="P28" s="11"/>
      <c r="Q28" s="11"/>
    </row>
    <row r="29" spans="2:17" s="2" customFormat="1" ht="12.75" customHeight="1" x14ac:dyDescent="0.3">
      <c r="B29" s="50" t="s">
        <v>1</v>
      </c>
      <c r="C29" s="11"/>
      <c r="D29" s="11"/>
      <c r="E29" s="44"/>
      <c r="F29" s="132">
        <f t="shared" ref="F29:O29" si="9">IF(E12-F12&lt;0,0,E12-F12)</f>
        <v>0</v>
      </c>
      <c r="G29" s="124">
        <f t="shared" si="9"/>
        <v>87.02338702306912</v>
      </c>
      <c r="H29" s="124">
        <f t="shared" si="9"/>
        <v>87.02338702306912</v>
      </c>
      <c r="I29" s="124">
        <f t="shared" si="9"/>
        <v>87.02338702306912</v>
      </c>
      <c r="J29" s="124">
        <f t="shared" si="9"/>
        <v>87.02338702306912</v>
      </c>
      <c r="K29" s="124">
        <f t="shared" si="9"/>
        <v>87.02338702306912</v>
      </c>
      <c r="L29" s="124">
        <f t="shared" si="9"/>
        <v>0</v>
      </c>
      <c r="M29" s="124">
        <f t="shared" si="9"/>
        <v>0</v>
      </c>
      <c r="N29" s="124">
        <f t="shared" si="9"/>
        <v>0</v>
      </c>
      <c r="O29" s="133">
        <f t="shared" si="9"/>
        <v>0</v>
      </c>
      <c r="P29" s="11"/>
      <c r="Q29" s="11"/>
    </row>
    <row r="30" spans="2:17" ht="14.4" x14ac:dyDescent="0.3">
      <c r="B30" s="50" t="s">
        <v>2</v>
      </c>
      <c r="C30" s="11"/>
      <c r="D30" s="11"/>
      <c r="E30" s="11"/>
      <c r="F30" s="11"/>
      <c r="G30" s="132">
        <f t="shared" ref="G30:O30" si="10">IF(F13-G13&lt;0,0,F13-G13)</f>
        <v>0</v>
      </c>
      <c r="H30" s="124">
        <f t="shared" si="10"/>
        <v>99.266640663962391</v>
      </c>
      <c r="I30" s="124">
        <f t="shared" si="10"/>
        <v>99.266640663962391</v>
      </c>
      <c r="J30" s="124">
        <f t="shared" si="10"/>
        <v>99.266640663962391</v>
      </c>
      <c r="K30" s="124">
        <f t="shared" si="10"/>
        <v>99.266640663962377</v>
      </c>
      <c r="L30" s="124">
        <f t="shared" si="10"/>
        <v>99.266640663962349</v>
      </c>
      <c r="M30" s="124">
        <f t="shared" si="10"/>
        <v>0</v>
      </c>
      <c r="N30" s="124">
        <f t="shared" si="10"/>
        <v>0</v>
      </c>
      <c r="O30" s="133">
        <f t="shared" si="10"/>
        <v>0</v>
      </c>
      <c r="P30" s="11"/>
      <c r="Q30" s="11"/>
    </row>
    <row r="31" spans="2:17" ht="14.4" x14ac:dyDescent="0.3">
      <c r="B31" s="50" t="s">
        <v>9</v>
      </c>
      <c r="C31" s="11"/>
      <c r="D31" s="11"/>
      <c r="E31" s="11"/>
      <c r="F31" s="11"/>
      <c r="G31" s="11"/>
      <c r="H31" s="132">
        <f t="shared" ref="H31:O31" si="11">IF(G14-H14&lt;0,0,G14-H14)</f>
        <v>0</v>
      </c>
      <c r="I31" s="124">
        <f t="shared" si="11"/>
        <v>112.31094358969438</v>
      </c>
      <c r="J31" s="124">
        <f t="shared" si="11"/>
        <v>112.31094358969438</v>
      </c>
      <c r="K31" s="124">
        <f t="shared" si="11"/>
        <v>112.31094358969435</v>
      </c>
      <c r="L31" s="124">
        <f t="shared" si="11"/>
        <v>112.31094358969435</v>
      </c>
      <c r="M31" s="124">
        <f t="shared" si="11"/>
        <v>112.31094358969432</v>
      </c>
      <c r="N31" s="124">
        <f t="shared" si="11"/>
        <v>0</v>
      </c>
      <c r="O31" s="133">
        <f t="shared" si="11"/>
        <v>0</v>
      </c>
      <c r="P31" s="11"/>
      <c r="Q31" s="11"/>
    </row>
    <row r="32" spans="2:17" ht="14.4" x14ac:dyDescent="0.3">
      <c r="B32" s="50" t="s">
        <v>10</v>
      </c>
      <c r="C32" s="11"/>
      <c r="D32" s="11"/>
      <c r="E32" s="11"/>
      <c r="F32" s="11"/>
      <c r="G32" s="11"/>
      <c r="H32" s="11"/>
      <c r="I32" s="132">
        <f t="shared" ref="I32:O32" si="12">IF(H15-I15&lt;0,0,H15-I15)</f>
        <v>0</v>
      </c>
      <c r="J32" s="124">
        <f t="shared" si="12"/>
        <v>126.01771680915795</v>
      </c>
      <c r="K32" s="124">
        <f t="shared" si="12"/>
        <v>126.01771680915795</v>
      </c>
      <c r="L32" s="124">
        <f t="shared" si="12"/>
        <v>126.01771680915792</v>
      </c>
      <c r="M32" s="124">
        <f t="shared" si="12"/>
        <v>126.01771680915792</v>
      </c>
      <c r="N32" s="124">
        <f t="shared" si="12"/>
        <v>126.01771680915789</v>
      </c>
      <c r="O32" s="133">
        <f t="shared" si="12"/>
        <v>0</v>
      </c>
      <c r="P32" s="11"/>
      <c r="Q32" s="11"/>
    </row>
    <row r="33" spans="2:17" ht="14.4" x14ac:dyDescent="0.3">
      <c r="B33" s="50" t="s">
        <v>11</v>
      </c>
      <c r="C33" s="11"/>
      <c r="D33" s="11"/>
      <c r="E33" s="11"/>
      <c r="F33" s="11"/>
      <c r="G33" s="11"/>
      <c r="H33" s="11"/>
      <c r="I33" s="11"/>
      <c r="J33" s="132">
        <f t="shared" ref="J33:O33" si="13">IF(I16-J16&lt;0,0,I16-J16)</f>
        <v>0</v>
      </c>
      <c r="K33" s="124">
        <f t="shared" si="13"/>
        <v>140.2097639144572</v>
      </c>
      <c r="L33" s="124">
        <f t="shared" si="13"/>
        <v>140.20976391445714</v>
      </c>
      <c r="M33" s="124">
        <f t="shared" si="13"/>
        <v>140.20976391445714</v>
      </c>
      <c r="N33" s="124">
        <f t="shared" si="13"/>
        <v>140.20976391445714</v>
      </c>
      <c r="O33" s="133">
        <f t="shared" si="13"/>
        <v>140.20976391445714</v>
      </c>
      <c r="P33" s="11"/>
      <c r="Q33" s="11"/>
    </row>
    <row r="34" spans="2:17" ht="14.4" x14ac:dyDescent="0.3">
      <c r="B34" s="50" t="s">
        <v>12</v>
      </c>
      <c r="C34" s="11"/>
      <c r="D34" s="11"/>
      <c r="E34" s="11"/>
      <c r="F34" s="11"/>
      <c r="G34" s="11"/>
      <c r="H34" s="11"/>
      <c r="I34" s="11"/>
      <c r="J34" s="11"/>
      <c r="K34" s="132">
        <f t="shared" ref="K34:O34" si="14">IF(J17-K17&lt;0,0,J17-K17)</f>
        <v>0</v>
      </c>
      <c r="L34" s="124">
        <f t="shared" si="14"/>
        <v>154.67283268636641</v>
      </c>
      <c r="M34" s="124">
        <f t="shared" si="14"/>
        <v>154.67283268636641</v>
      </c>
      <c r="N34" s="124">
        <f t="shared" si="14"/>
        <v>154.67283268636641</v>
      </c>
      <c r="O34" s="133">
        <f t="shared" si="14"/>
        <v>154.67283268636641</v>
      </c>
      <c r="P34" s="11"/>
      <c r="Q34" s="11"/>
    </row>
    <row r="35" spans="2:17" ht="14.4" x14ac:dyDescent="0.3">
      <c r="B35" s="50" t="s">
        <v>13</v>
      </c>
      <c r="C35" s="11"/>
      <c r="D35" s="11"/>
      <c r="E35" s="11"/>
      <c r="F35" s="11"/>
      <c r="G35" s="11"/>
      <c r="H35" s="11"/>
      <c r="I35" s="11"/>
      <c r="J35" s="11"/>
      <c r="K35" s="11"/>
      <c r="L35" s="132">
        <f t="shared" ref="L35:O35" si="15">IF(K18-L18&lt;0,0,K18-L18)</f>
        <v>0</v>
      </c>
      <c r="M35" s="124">
        <f t="shared" si="15"/>
        <v>169.15919531363272</v>
      </c>
      <c r="N35" s="124">
        <f t="shared" si="15"/>
        <v>169.15919531363272</v>
      </c>
      <c r="O35" s="133">
        <f t="shared" si="15"/>
        <v>169.15919531363272</v>
      </c>
      <c r="P35" s="11"/>
      <c r="Q35" s="11"/>
    </row>
    <row r="36" spans="2:17" ht="14.4" x14ac:dyDescent="0.3">
      <c r="B36" s="50" t="s">
        <v>14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32">
        <f t="shared" ref="M36:O36" si="16">IF(L19-M19&lt;0,0,L19-M19)</f>
        <v>0</v>
      </c>
      <c r="N36" s="124">
        <f t="shared" si="16"/>
        <v>183.39330897468597</v>
      </c>
      <c r="O36" s="133">
        <f t="shared" si="16"/>
        <v>183.39330897468585</v>
      </c>
      <c r="P36" s="11"/>
      <c r="Q36" s="11"/>
    </row>
    <row r="37" spans="2:17" ht="14.4" x14ac:dyDescent="0.3">
      <c r="B37" s="50" t="s">
        <v>40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32">
        <f t="shared" ref="N37:O37" si="17">IF(M20-N20&lt;0,0,M20-N20)</f>
        <v>0</v>
      </c>
      <c r="O37" s="133">
        <f t="shared" si="17"/>
        <v>197.07948393434276</v>
      </c>
      <c r="P37" s="11"/>
      <c r="Q37" s="11"/>
    </row>
    <row r="38" spans="2:17" ht="14.4" x14ac:dyDescent="0.3">
      <c r="B38" s="50" t="s">
        <v>41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36">
        <f t="shared" ref="O38" si="18">IF(N21-O21&lt;0,0,N21-O21)</f>
        <v>0</v>
      </c>
      <c r="P38" s="11"/>
      <c r="Q38" s="11"/>
    </row>
    <row r="39" spans="2:17" ht="14.4" x14ac:dyDescent="0.3">
      <c r="B39" s="101" t="s">
        <v>58</v>
      </c>
      <c r="C39" s="89"/>
      <c r="D39" s="94"/>
      <c r="E39" s="103">
        <f>SUM(E27:E38)</f>
        <v>330.59999999999991</v>
      </c>
      <c r="F39" s="103">
        <f t="shared" ref="F39:O39" si="19">SUM(F27:F38)</f>
        <v>406.28142588169879</v>
      </c>
      <c r="G39" s="103">
        <f t="shared" si="19"/>
        <v>493.30481290476797</v>
      </c>
      <c r="H39" s="103">
        <f t="shared" si="19"/>
        <v>592.57145356873036</v>
      </c>
      <c r="I39" s="103">
        <f t="shared" si="19"/>
        <v>704.88239715842474</v>
      </c>
      <c r="J39" s="103">
        <f t="shared" si="19"/>
        <v>500.30011396758266</v>
      </c>
      <c r="K39" s="103">
        <f t="shared" si="19"/>
        <v>564.82845200034103</v>
      </c>
      <c r="L39" s="103">
        <f t="shared" si="19"/>
        <v>632.47789766363826</v>
      </c>
      <c r="M39" s="103">
        <f t="shared" si="19"/>
        <v>702.37045231330853</v>
      </c>
      <c r="N39" s="103">
        <f t="shared" si="19"/>
        <v>773.45281769830012</v>
      </c>
      <c r="O39" s="103">
        <f t="shared" si="19"/>
        <v>844.51458482348494</v>
      </c>
      <c r="P39" s="11"/>
      <c r="Q39" s="11"/>
    </row>
    <row r="40" spans="2:17" ht="14.4" x14ac:dyDescent="0.3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2:17" ht="14.4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2:17" ht="14.4" x14ac:dyDescent="0.3">
      <c r="B42" s="81" t="s">
        <v>56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7"/>
      <c r="Q42" s="7"/>
    </row>
    <row r="43" spans="2:17" ht="14.4" x14ac:dyDescent="0.3">
      <c r="B43" s="50" t="s">
        <v>102</v>
      </c>
      <c r="C43" s="44"/>
      <c r="D43" s="43">
        <f>Drivers!$C$37</f>
        <v>914</v>
      </c>
      <c r="E43" s="137">
        <f t="shared" ref="E43:O43" si="20">D43-E45</f>
        <v>668</v>
      </c>
      <c r="F43" s="138">
        <f t="shared" si="20"/>
        <v>483</v>
      </c>
      <c r="G43" s="138">
        <f t="shared" si="20"/>
        <v>313</v>
      </c>
      <c r="H43" s="138">
        <f t="shared" si="20"/>
        <v>186</v>
      </c>
      <c r="I43" s="138">
        <f t="shared" si="20"/>
        <v>102</v>
      </c>
      <c r="J43" s="138">
        <f t="shared" si="20"/>
        <v>85</v>
      </c>
      <c r="K43" s="138">
        <f t="shared" si="20"/>
        <v>68</v>
      </c>
      <c r="L43" s="138">
        <f t="shared" si="20"/>
        <v>51</v>
      </c>
      <c r="M43" s="138">
        <f t="shared" si="20"/>
        <v>34</v>
      </c>
      <c r="N43" s="138">
        <f t="shared" si="20"/>
        <v>17</v>
      </c>
      <c r="O43" s="139">
        <f t="shared" si="20"/>
        <v>0</v>
      </c>
      <c r="P43" s="7"/>
      <c r="Q43" s="7"/>
    </row>
    <row r="44" spans="2:17" ht="14.4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7"/>
      <c r="Q44" s="7"/>
    </row>
    <row r="45" spans="2:17" ht="14.4" x14ac:dyDescent="0.3">
      <c r="B45" s="101" t="s">
        <v>56</v>
      </c>
      <c r="C45" s="89"/>
      <c r="D45" s="94"/>
      <c r="E45" s="140" cm="1">
        <f t="array" ref="E45:I45">TRANSPOSE(Drivers!$C$38:$C$42)</f>
        <v>246</v>
      </c>
      <c r="F45" s="141">
        <v>185</v>
      </c>
      <c r="G45" s="141">
        <v>170</v>
      </c>
      <c r="H45" s="141">
        <v>127</v>
      </c>
      <c r="I45" s="141">
        <v>84</v>
      </c>
      <c r="J45" s="140">
        <f>Drivers!$C$43/COUNTA($J$4:$O$4)</f>
        <v>17</v>
      </c>
      <c r="K45" s="140">
        <f>Drivers!$C$43/COUNTA($J$4:$O$4)</f>
        <v>17</v>
      </c>
      <c r="L45" s="140">
        <f>Drivers!$C$43/COUNTA($J$4:$O$4)</f>
        <v>17</v>
      </c>
      <c r="M45" s="140">
        <f>Drivers!$C$43/COUNTA($J$4:$O$4)</f>
        <v>17</v>
      </c>
      <c r="N45" s="140">
        <f>Drivers!$C$43/COUNTA($J$4:$O$4)</f>
        <v>17</v>
      </c>
      <c r="O45" s="140">
        <f>Drivers!$C$43/COUNTA($J$4:$O$4)</f>
        <v>17</v>
      </c>
      <c r="P45" s="7"/>
      <c r="Q45" s="7"/>
    </row>
    <row r="46" spans="2:17" ht="14.4" x14ac:dyDescent="0.3">
      <c r="B46" s="7"/>
      <c r="C46" s="7"/>
      <c r="D46" s="7"/>
      <c r="E46" s="7"/>
      <c r="F46" s="7"/>
      <c r="G46" s="7"/>
      <c r="H46" s="7"/>
      <c r="I46" s="7"/>
      <c r="J46" s="7"/>
      <c r="K46" s="11"/>
      <c r="L46" s="11"/>
      <c r="M46" s="11"/>
      <c r="N46" s="11"/>
      <c r="O46" s="11"/>
      <c r="P46" s="7"/>
      <c r="Q46" s="7"/>
    </row>
    <row r="47" spans="2:17" ht="14.4" x14ac:dyDescent="0.3">
      <c r="B47" s="7"/>
      <c r="C47" s="7"/>
      <c r="D47" s="7"/>
      <c r="E47" s="7"/>
      <c r="F47" s="7"/>
      <c r="G47" s="7"/>
      <c r="H47" s="7"/>
      <c r="I47" s="7"/>
      <c r="J47" s="7"/>
      <c r="K47" s="11"/>
      <c r="L47" s="11"/>
      <c r="M47" s="11"/>
      <c r="N47" s="11"/>
      <c r="O47" s="11"/>
      <c r="P47" s="7"/>
      <c r="Q47" s="7"/>
    </row>
    <row r="48" spans="2:17" ht="14.4" x14ac:dyDescent="0.3">
      <c r="B48" s="81" t="s">
        <v>99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7"/>
      <c r="Q48" s="7"/>
    </row>
    <row r="49" spans="2:17" ht="14.4" x14ac:dyDescent="0.3">
      <c r="B49" s="49" t="s">
        <v>57</v>
      </c>
      <c r="C49" s="7"/>
      <c r="D49" s="7"/>
      <c r="E49" s="58">
        <f t="shared" ref="E49:O49" si="21">E39</f>
        <v>330.59999999999991</v>
      </c>
      <c r="F49" s="59">
        <f t="shared" si="21"/>
        <v>406.28142588169879</v>
      </c>
      <c r="G49" s="59">
        <f t="shared" si="21"/>
        <v>493.30481290476797</v>
      </c>
      <c r="H49" s="59">
        <f t="shared" si="21"/>
        <v>592.57145356873036</v>
      </c>
      <c r="I49" s="59">
        <f t="shared" si="21"/>
        <v>704.88239715842474</v>
      </c>
      <c r="J49" s="59">
        <f t="shared" si="21"/>
        <v>500.30011396758266</v>
      </c>
      <c r="K49" s="59">
        <f t="shared" si="21"/>
        <v>564.82845200034103</v>
      </c>
      <c r="L49" s="59">
        <f t="shared" si="21"/>
        <v>632.47789766363826</v>
      </c>
      <c r="M49" s="59">
        <f t="shared" si="21"/>
        <v>702.37045231330853</v>
      </c>
      <c r="N49" s="59">
        <f t="shared" si="21"/>
        <v>773.45281769830012</v>
      </c>
      <c r="O49" s="84">
        <f t="shared" si="21"/>
        <v>844.51458482348494</v>
      </c>
      <c r="P49" s="7"/>
      <c r="Q49" s="7"/>
    </row>
    <row r="50" spans="2:17" ht="14.4" x14ac:dyDescent="0.3">
      <c r="B50" s="49" t="s">
        <v>56</v>
      </c>
      <c r="C50" s="7"/>
      <c r="D50" s="7"/>
      <c r="E50" s="85">
        <f t="shared" ref="E50:O50" si="22">E45</f>
        <v>246</v>
      </c>
      <c r="F50" s="86">
        <f t="shared" si="22"/>
        <v>185</v>
      </c>
      <c r="G50" s="86">
        <f t="shared" si="22"/>
        <v>170</v>
      </c>
      <c r="H50" s="86">
        <f t="shared" si="22"/>
        <v>127</v>
      </c>
      <c r="I50" s="86">
        <f t="shared" si="22"/>
        <v>84</v>
      </c>
      <c r="J50" s="86">
        <f t="shared" si="22"/>
        <v>17</v>
      </c>
      <c r="K50" s="86">
        <f t="shared" si="22"/>
        <v>17</v>
      </c>
      <c r="L50" s="86">
        <f t="shared" si="22"/>
        <v>17</v>
      </c>
      <c r="M50" s="86">
        <f t="shared" si="22"/>
        <v>17</v>
      </c>
      <c r="N50" s="86">
        <f t="shared" si="22"/>
        <v>17</v>
      </c>
      <c r="O50" s="87">
        <f t="shared" si="22"/>
        <v>17</v>
      </c>
      <c r="P50" s="7"/>
      <c r="Q50" s="7"/>
    </row>
    <row r="51" spans="2:17" ht="15" thickBot="1" x14ac:dyDescent="0.35">
      <c r="B51" s="107" t="s">
        <v>99</v>
      </c>
      <c r="C51" s="92"/>
      <c r="D51" s="100"/>
      <c r="E51" s="109">
        <f>SUM(E49:E50)</f>
        <v>576.59999999999991</v>
      </c>
      <c r="F51" s="109">
        <f t="shared" ref="F51:O51" si="23">SUM(F49:F50)</f>
        <v>591.28142588169885</v>
      </c>
      <c r="G51" s="109">
        <f t="shared" si="23"/>
        <v>663.30481290476791</v>
      </c>
      <c r="H51" s="109">
        <f t="shared" si="23"/>
        <v>719.57145356873036</v>
      </c>
      <c r="I51" s="109">
        <f t="shared" si="23"/>
        <v>788.88239715842474</v>
      </c>
      <c r="J51" s="109">
        <f t="shared" si="23"/>
        <v>517.30011396758266</v>
      </c>
      <c r="K51" s="109">
        <f t="shared" si="23"/>
        <v>581.82845200034103</v>
      </c>
      <c r="L51" s="109">
        <f t="shared" si="23"/>
        <v>649.47789766363826</v>
      </c>
      <c r="M51" s="109">
        <f t="shared" si="23"/>
        <v>719.37045231330853</v>
      </c>
      <c r="N51" s="109">
        <f t="shared" si="23"/>
        <v>790.45281769830012</v>
      </c>
      <c r="O51" s="109">
        <f t="shared" si="23"/>
        <v>861.51458482348494</v>
      </c>
      <c r="P51" s="7"/>
      <c r="Q51" s="7"/>
    </row>
    <row r="52" spans="2:17" ht="15" thickTop="1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11"/>
      <c r="Q52" s="11"/>
    </row>
    <row r="53" spans="2:17" ht="14.4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11"/>
      <c r="Q53" s="11"/>
    </row>
    <row r="54" spans="2:17" ht="14.4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1"/>
      <c r="Q54" s="11"/>
    </row>
    <row r="55" spans="2:17" ht="14.4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11"/>
      <c r="Q55" s="11"/>
    </row>
    <row r="56" spans="2:17" ht="14.4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1"/>
      <c r="Q56" s="11"/>
    </row>
    <row r="57" spans="2:17" ht="14.4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1"/>
      <c r="Q57" s="11"/>
    </row>
    <row r="58" spans="2:17" ht="14.4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11"/>
      <c r="Q58" s="11"/>
    </row>
    <row r="59" spans="2:17" ht="14.4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11"/>
      <c r="Q59" s="11"/>
    </row>
    <row r="60" spans="2:17" ht="14.4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1"/>
      <c r="Q60" s="11"/>
    </row>
    <row r="61" spans="2:17" ht="14.4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11"/>
      <c r="Q61" s="11"/>
    </row>
  </sheetData>
  <pageMargins left="0.7" right="0.7" top="0.75" bottom="0.75" header="0.3" footer="0.3"/>
  <pageSetup orientation="portrait"/>
  <headerFooter>
    <oddFooter>&amp;R&amp;"Calibri"&amp;8&amp;K808080shortcut.ai&amp;L&amp;"Calibri"&amp;8&amp;K808080© shortcut.ai</oddFooter>
    <evenFooter>&amp;R&amp;"Calibri"&amp;8&amp;K808080shortcut.ai&amp;L&amp;"Calibri"&amp;8&amp;K808080© shortcut.ai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Drivers</vt:lpstr>
      <vt:lpstr>Operating Valuation</vt:lpstr>
      <vt:lpstr>D&amp;A Schedule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shortcut.ai</dc:creator>
  <cp:lastModifiedBy>shortcut.ai</cp:lastModifiedBy>
  <dcterms:created xsi:type="dcterms:W3CDTF">2025-09-29T13:31:11Z</dcterms:created>
  <dcterms:modified xsi:type="dcterms:W3CDTF">2026-08-15T00:37:43Z</dcterms:modified>
</cp:coreProperties>
</file>