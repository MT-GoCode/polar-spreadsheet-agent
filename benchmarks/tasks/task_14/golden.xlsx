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ABAF0596-2ABF-4A14-98F7-B97614CF2280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Google Drivers" sheetId="1" r:id="rId1"/>
    <sheet name="Google Model" sheetId="3" r:id="rId2"/>
    <sheet name="Meta Drivers" sheetId="2" r:id="rId3"/>
    <sheet name="Meta Model" sheetId="4" r:id="rId4"/>
    <sheet name="Deal Inputs" sheetId="5" r:id="rId5"/>
    <sheet name="Pro Forma" sheetId="6" r:id="rId6"/>
    <sheet name="Synergy Case" sheetId="7" r:id="rId7"/>
    <sheet name="Valuation" sheetId="8" r:id="rId8"/>
    <sheet name="Board Summary" sheetId="9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1" l="1"/>
  <c r="E110" i="1"/>
  <c r="F110" i="1" s="1"/>
  <c r="G110" i="1" s="1"/>
  <c r="H110" i="1" s="1"/>
  <c r="E109" i="1"/>
  <c r="D76" i="8"/>
  <c r="D75" i="8"/>
  <c r="D20" i="7"/>
  <c r="D15" i="7"/>
  <c r="H37" i="7" s="1" a="1"/>
  <c r="H37" i="7" s="1"/>
  <c r="D10" i="7"/>
  <c r="G30" i="7" s="1" a="1"/>
  <c r="G30" i="7" s="1"/>
  <c r="H33" i="6"/>
  <c r="G33" i="6"/>
  <c r="F33" i="6"/>
  <c r="E33" i="6"/>
  <c r="D33" i="6"/>
  <c r="H31" i="6"/>
  <c r="G31" i="6"/>
  <c r="F31" i="6"/>
  <c r="E31" i="6"/>
  <c r="D31" i="6"/>
  <c r="H29" i="6"/>
  <c r="G29" i="6"/>
  <c r="F29" i="6"/>
  <c r="E29" i="6"/>
  <c r="D29" i="6"/>
  <c r="H25" i="6"/>
  <c r="G25" i="6"/>
  <c r="F25" i="6"/>
  <c r="E25" i="6"/>
  <c r="D25" i="6"/>
  <c r="D10" i="6"/>
  <c r="D89" i="5"/>
  <c r="D91" i="5" s="1"/>
  <c r="D82" i="5" a="1"/>
  <c r="D82" i="5" s="1"/>
  <c r="D80" i="5" a="1"/>
  <c r="D80" i="5" s="1"/>
  <c r="D74" i="5"/>
  <c r="H60" i="5"/>
  <c r="G60" i="5"/>
  <c r="G35" i="6" s="1"/>
  <c r="F60" i="5"/>
  <c r="F35" i="6" s="1"/>
  <c r="E60" i="5"/>
  <c r="E35" i="6" s="1"/>
  <c r="D60" i="5"/>
  <c r="D35" i="6" s="1"/>
  <c r="H54" i="5"/>
  <c r="G54" i="5"/>
  <c r="F54" i="5"/>
  <c r="E54" i="5"/>
  <c r="D54" i="5"/>
  <c r="H47" i="5"/>
  <c r="H20" i="6" s="1"/>
  <c r="G47" i="5"/>
  <c r="F47" i="5"/>
  <c r="E47" i="5"/>
  <c r="E20" i="6" s="1"/>
  <c r="D47" i="5"/>
  <c r="D20" i="6" s="1"/>
  <c r="H36" i="5"/>
  <c r="D19" i="5"/>
  <c r="D21" i="5" s="1"/>
  <c r="D7" i="9" s="1"/>
  <c r="C106" i="4"/>
  <c r="C108" i="4" s="1"/>
  <c r="J101" i="4"/>
  <c r="I101" i="4"/>
  <c r="H101" i="4"/>
  <c r="G101" i="4"/>
  <c r="F101" i="4"/>
  <c r="E101" i="4"/>
  <c r="D101" i="4"/>
  <c r="C78" i="4"/>
  <c r="D68" i="4"/>
  <c r="E68" i="4" s="1"/>
  <c r="F68" i="4" s="1"/>
  <c r="G68" i="4" s="1"/>
  <c r="H68" i="4" s="1"/>
  <c r="I68" i="4" s="1"/>
  <c r="J68" i="4" s="1"/>
  <c r="D59" i="4"/>
  <c r="C57" i="4"/>
  <c r="C60" i="4" s="1"/>
  <c r="D51" i="4"/>
  <c r="E51" i="4" s="1"/>
  <c r="F51" i="4" s="1"/>
  <c r="G51" i="4" s="1"/>
  <c r="H51" i="4" s="1"/>
  <c r="I51" i="4" s="1"/>
  <c r="J51" i="4" s="1"/>
  <c r="E14" i="4"/>
  <c r="E17" i="4" s="1"/>
  <c r="E18" i="4" s="1"/>
  <c r="D14" i="4"/>
  <c r="C14" i="4"/>
  <c r="D5" i="4"/>
  <c r="C30" i="4" s="1"/>
  <c r="K120" i="2"/>
  <c r="J120" i="2"/>
  <c r="I120" i="2"/>
  <c r="H120" i="2"/>
  <c r="G120" i="2"/>
  <c r="F120" i="2"/>
  <c r="E120" i="2"/>
  <c r="D120" i="2"/>
  <c r="B74" i="2"/>
  <c r="B73" i="2"/>
  <c r="B72" i="2"/>
  <c r="K21" i="2"/>
  <c r="G21" i="2"/>
  <c r="K20" i="2"/>
  <c r="G20" i="2"/>
  <c r="H19" i="2"/>
  <c r="H21" i="2" s="1"/>
  <c r="D6" i="2"/>
  <c r="D5" i="8" s="1"/>
  <c r="C121" i="3"/>
  <c r="D120" i="3" s="1"/>
  <c r="J116" i="3"/>
  <c r="I116" i="3"/>
  <c r="H116" i="3"/>
  <c r="G116" i="3"/>
  <c r="F116" i="3"/>
  <c r="E116" i="3"/>
  <c r="D116" i="3"/>
  <c r="C93" i="3"/>
  <c r="D83" i="3"/>
  <c r="E83" i="3" s="1"/>
  <c r="F83" i="3" s="1"/>
  <c r="G83" i="3" s="1"/>
  <c r="H83" i="3" s="1"/>
  <c r="I83" i="3" s="1"/>
  <c r="J83" i="3" s="1"/>
  <c r="D74" i="3"/>
  <c r="E74" i="3" s="1"/>
  <c r="E111" i="3" s="1"/>
  <c r="C72" i="3"/>
  <c r="C75" i="3" s="1"/>
  <c r="D66" i="3"/>
  <c r="E66" i="3" s="1"/>
  <c r="F66" i="3" s="1"/>
  <c r="G66" i="3" s="1"/>
  <c r="H66" i="3" s="1"/>
  <c r="I66" i="3" s="1"/>
  <c r="J66" i="3" s="1"/>
  <c r="F22" i="3"/>
  <c r="F23" i="3" s="1"/>
  <c r="E16" i="3"/>
  <c r="D16" i="3"/>
  <c r="C16" i="3"/>
  <c r="C32" i="3" s="1"/>
  <c r="C33" i="3" s="1"/>
  <c r="D5" i="3"/>
  <c r="F15" i="3" s="1"/>
  <c r="G15" i="3" s="1"/>
  <c r="H15" i="3" s="1"/>
  <c r="I15" i="3" s="1"/>
  <c r="J15" i="3" s="1"/>
  <c r="K105" i="1"/>
  <c r="J105" i="1"/>
  <c r="I105" i="1"/>
  <c r="H105" i="1"/>
  <c r="G105" i="1"/>
  <c r="F105" i="1"/>
  <c r="E105" i="1"/>
  <c r="D105" i="1"/>
  <c r="B65" i="1"/>
  <c r="B64" i="1"/>
  <c r="B63" i="1"/>
  <c r="B18" i="9"/>
  <c r="B19" i="9" s="1"/>
  <c r="D9" i="9"/>
  <c r="D8" i="9"/>
  <c r="F108" i="1" l="1"/>
  <c r="G108" i="1" s="1"/>
  <c r="H108" i="1" s="1"/>
  <c r="F109" i="1"/>
  <c r="C45" i="3"/>
  <c r="C24" i="4"/>
  <c r="D24" i="4"/>
  <c r="D88" i="4" s="1" a="1"/>
  <c r="D88" i="4" s="1"/>
  <c r="D75" i="4" s="1"/>
  <c r="D105" i="4"/>
  <c r="D62" i="5"/>
  <c r="D21" i="8" s="1"/>
  <c r="E30" i="7" a="1"/>
  <c r="E30" i="7" s="1"/>
  <c r="H30" i="7" a="1"/>
  <c r="H30" i="7" s="1"/>
  <c r="E37" i="7" a="1"/>
  <c r="E37" i="7" s="1"/>
  <c r="E15" i="4"/>
  <c r="C37" i="3"/>
  <c r="C22" i="4"/>
  <c r="D15" i="4"/>
  <c r="D36" i="3"/>
  <c r="D65" i="3"/>
  <c r="E17" i="3"/>
  <c r="D37" i="3"/>
  <c r="C123" i="3"/>
  <c r="F37" i="7" a="1"/>
  <c r="F37" i="7" s="1"/>
  <c r="C38" i="3"/>
  <c r="D32" i="3"/>
  <c r="D33" i="3" s="1"/>
  <c r="E65" i="3"/>
  <c r="E24" i="4"/>
  <c r="E88" i="4" s="1" a="1"/>
  <c r="E88" i="4" s="1"/>
  <c r="D39" i="3"/>
  <c r="D103" i="3" s="1" a="1"/>
  <c r="D103" i="3" s="1"/>
  <c r="D90" i="3" s="1"/>
  <c r="C110" i="3"/>
  <c r="D102" i="3" s="1"/>
  <c r="D71" i="3" s="1"/>
  <c r="C36" i="3"/>
  <c r="D111" i="3"/>
  <c r="E50" i="4"/>
  <c r="E22" i="4"/>
  <c r="D38" i="3"/>
  <c r="H20" i="2"/>
  <c r="F12" i="4"/>
  <c r="F14" i="4" s="1"/>
  <c r="D42" i="7" s="1"/>
  <c r="E21" i="4"/>
  <c r="D27" i="5"/>
  <c r="D29" i="5" s="1"/>
  <c r="F12" i="3"/>
  <c r="G12" i="3" s="1"/>
  <c r="C39" i="3"/>
  <c r="F14" i="3"/>
  <c r="G14" i="3" s="1"/>
  <c r="H14" i="3" s="1"/>
  <c r="I14" i="3" s="1"/>
  <c r="J14" i="3" s="1"/>
  <c r="D110" i="3"/>
  <c r="D22" i="4"/>
  <c r="C65" i="3"/>
  <c r="C67" i="3" s="1"/>
  <c r="C77" i="3" s="1"/>
  <c r="E23" i="4"/>
  <c r="D30" i="7" a="1"/>
  <c r="D30" i="7" s="1"/>
  <c r="G36" i="6"/>
  <c r="F36" i="6"/>
  <c r="E36" i="6"/>
  <c r="D36" i="6"/>
  <c r="H35" i="6"/>
  <c r="H62" i="5"/>
  <c r="H21" i="8" s="1"/>
  <c r="E44" i="7" a="1"/>
  <c r="E44" i="7" s="1"/>
  <c r="H44" i="7" a="1"/>
  <c r="H44" i="7" s="1"/>
  <c r="D44" i="7" a="1"/>
  <c r="D44" i="7" s="1"/>
  <c r="G44" i="7" a="1"/>
  <c r="G44" i="7" s="1"/>
  <c r="F44" i="7" a="1"/>
  <c r="F44" i="7" s="1"/>
  <c r="D40" i="8"/>
  <c r="D39" i="8"/>
  <c r="D96" i="4"/>
  <c r="E59" i="4"/>
  <c r="F74" i="3"/>
  <c r="E41" i="6"/>
  <c r="D41" i="6"/>
  <c r="H34" i="5" a="1"/>
  <c r="H34" i="5" s="1"/>
  <c r="H35" i="5"/>
  <c r="D7" i="6"/>
  <c r="D67" i="5" a="1"/>
  <c r="D67" i="5" s="1"/>
  <c r="D69" i="5" s="1"/>
  <c r="D75" i="5" s="1"/>
  <c r="D11" i="6" s="1"/>
  <c r="D26" i="5"/>
  <c r="D8" i="6" s="1"/>
  <c r="H36" i="6"/>
  <c r="D17" i="3"/>
  <c r="E32" i="3"/>
  <c r="E33" i="3" s="1"/>
  <c r="E36" i="3"/>
  <c r="E37" i="3"/>
  <c r="E38" i="3"/>
  <c r="E39" i="3"/>
  <c r="E103" i="3" s="1" a="1"/>
  <c r="E103" i="3" s="1"/>
  <c r="C95" i="4"/>
  <c r="D87" i="4" s="1"/>
  <c r="D56" i="4" s="1"/>
  <c r="C50" i="4"/>
  <c r="C52" i="4" s="1"/>
  <c r="C62" i="4" s="1"/>
  <c r="C17" i="4"/>
  <c r="C21" i="4"/>
  <c r="C23" i="4"/>
  <c r="F13" i="3"/>
  <c r="G13" i="3" s="1"/>
  <c r="H13" i="3" s="1"/>
  <c r="I13" i="3" s="1"/>
  <c r="J13" i="3" s="1"/>
  <c r="D95" i="4"/>
  <c r="D50" i="4"/>
  <c r="D17" i="4"/>
  <c r="D21" i="4"/>
  <c r="D23" i="4"/>
  <c r="E62" i="5"/>
  <c r="E21" i="8" s="1"/>
  <c r="E110" i="3"/>
  <c r="F62" i="5"/>
  <c r="F21" i="8" s="1"/>
  <c r="E95" i="4"/>
  <c r="G62" i="5"/>
  <c r="G21" i="8" s="1"/>
  <c r="G20" i="6"/>
  <c r="I19" i="2"/>
  <c r="D77" i="8"/>
  <c r="H41" i="6"/>
  <c r="G41" i="6"/>
  <c r="F41" i="6"/>
  <c r="F20" i="6"/>
  <c r="F30" i="7" a="1"/>
  <c r="F30" i="7" s="1"/>
  <c r="G37" i="7" a="1"/>
  <c r="G37" i="7" s="1"/>
  <c r="D37" i="7" a="1"/>
  <c r="D37" i="7" s="1"/>
  <c r="G109" i="1" l="1"/>
  <c r="H109" i="1" s="1"/>
  <c r="I109" i="1" s="1"/>
  <c r="J109" i="1" s="1"/>
  <c r="E75" i="4"/>
  <c r="E105" i="3"/>
  <c r="E90" i="3"/>
  <c r="F15" i="4"/>
  <c r="G12" i="4"/>
  <c r="H12" i="4" s="1"/>
  <c r="F50" i="4"/>
  <c r="F90" i="4" s="1"/>
  <c r="F95" i="4"/>
  <c r="D17" i="8" s="1"/>
  <c r="C82" i="3"/>
  <c r="C84" i="3" s="1"/>
  <c r="C87" i="3" s="1"/>
  <c r="C95" i="3" s="1"/>
  <c r="C97" i="3" s="1"/>
  <c r="E25" i="4"/>
  <c r="E27" i="4" s="1"/>
  <c r="E28" i="4" s="1"/>
  <c r="D112" i="3"/>
  <c r="D34" i="5"/>
  <c r="D90" i="4"/>
  <c r="D9" i="6"/>
  <c r="D82" i="3"/>
  <c r="D84" i="3" s="1"/>
  <c r="D87" i="3" s="1"/>
  <c r="D40" i="3"/>
  <c r="D42" i="3" s="1"/>
  <c r="D43" i="3" s="1"/>
  <c r="C40" i="3"/>
  <c r="C42" i="3" s="1"/>
  <c r="C43" i="3" s="1"/>
  <c r="F22" i="4"/>
  <c r="E67" i="4"/>
  <c r="E69" i="4" s="1"/>
  <c r="E72" i="4" s="1"/>
  <c r="F17" i="4"/>
  <c r="F18" i="4" s="1"/>
  <c r="F23" i="4"/>
  <c r="D35" i="7" s="1"/>
  <c r="F21" i="4"/>
  <c r="F24" i="4"/>
  <c r="F88" i="4" s="1" a="1"/>
  <c r="F88" i="4" s="1"/>
  <c r="D25" i="4"/>
  <c r="D19" i="6"/>
  <c r="E102" i="3"/>
  <c r="E71" i="3" s="1"/>
  <c r="D70" i="3"/>
  <c r="D72" i="3" s="1"/>
  <c r="D75" i="3" s="1"/>
  <c r="F13" i="4"/>
  <c r="D105" i="3"/>
  <c r="F111" i="3"/>
  <c r="G74" i="3"/>
  <c r="D97" i="4"/>
  <c r="E87" i="4"/>
  <c r="E56" i="4" s="1"/>
  <c r="D55" i="4"/>
  <c r="E40" i="3"/>
  <c r="E42" i="3" s="1"/>
  <c r="H38" i="5"/>
  <c r="D37" i="5" s="1"/>
  <c r="E96" i="4"/>
  <c r="E97" i="4" s="1"/>
  <c r="F59" i="4"/>
  <c r="F87" i="4"/>
  <c r="C17" i="8"/>
  <c r="C67" i="4"/>
  <c r="C69" i="4" s="1"/>
  <c r="C72" i="4" s="1"/>
  <c r="C80" i="4" s="1"/>
  <c r="C82" i="4" s="1"/>
  <c r="C18" i="4"/>
  <c r="E82" i="3"/>
  <c r="E90" i="4"/>
  <c r="H46" i="8"/>
  <c r="G46" i="8"/>
  <c r="E46" i="8"/>
  <c r="D46" i="8"/>
  <c r="F46" i="8"/>
  <c r="C12" i="8"/>
  <c r="E112" i="3"/>
  <c r="F102" i="3"/>
  <c r="H12" i="3"/>
  <c r="G16" i="3"/>
  <c r="C25" i="4"/>
  <c r="D49" i="6"/>
  <c r="G49" i="6"/>
  <c r="F49" i="6"/>
  <c r="E49" i="6"/>
  <c r="H49" i="6"/>
  <c r="I21" i="2"/>
  <c r="J19" i="2"/>
  <c r="I20" i="2"/>
  <c r="D67" i="4"/>
  <c r="D18" i="4"/>
  <c r="F16" i="3"/>
  <c r="I108" i="1" l="1"/>
  <c r="J108" i="1" s="1"/>
  <c r="G14" i="4"/>
  <c r="G24" i="4" s="1"/>
  <c r="G88" i="4" s="1" a="1"/>
  <c r="G88" i="4" s="1"/>
  <c r="F75" i="4"/>
  <c r="D28" i="7"/>
  <c r="G87" i="4"/>
  <c r="D27" i="4"/>
  <c r="D28" i="4" s="1"/>
  <c r="D38" i="5"/>
  <c r="D106" i="3"/>
  <c r="F71" i="3"/>
  <c r="C47" i="3"/>
  <c r="C48" i="3" s="1"/>
  <c r="F25" i="4"/>
  <c r="F27" i="4" s="1"/>
  <c r="F28" i="4" s="1"/>
  <c r="F67" i="4"/>
  <c r="F56" i="4"/>
  <c r="E70" i="3"/>
  <c r="E72" i="3" s="1"/>
  <c r="E75" i="3" s="1"/>
  <c r="C27" i="4"/>
  <c r="C32" i="4" s="1"/>
  <c r="D41" i="7"/>
  <c r="D43" i="7" s="1"/>
  <c r="D45" i="7" s="1"/>
  <c r="D55" i="7" s="1" a="1"/>
  <c r="D55" i="7" s="1"/>
  <c r="D18" i="6"/>
  <c r="D21" i="6" s="1"/>
  <c r="F110" i="3"/>
  <c r="F28" i="3"/>
  <c r="F27" i="3"/>
  <c r="F17" i="3"/>
  <c r="F39" i="3"/>
  <c r="F38" i="3"/>
  <c r="F37" i="3"/>
  <c r="D30" i="6" s="1"/>
  <c r="F36" i="3"/>
  <c r="F32" i="3"/>
  <c r="F26" i="3"/>
  <c r="F65" i="3"/>
  <c r="F105" i="3" s="1"/>
  <c r="F29" i="3"/>
  <c r="E43" i="3"/>
  <c r="D91" i="4"/>
  <c r="D69" i="4"/>
  <c r="D72" i="4" s="1"/>
  <c r="E91" i="4"/>
  <c r="H14" i="4"/>
  <c r="I12" i="4"/>
  <c r="G111" i="3"/>
  <c r="H74" i="3"/>
  <c r="E41" i="7"/>
  <c r="G110" i="3"/>
  <c r="G17" i="3"/>
  <c r="G39" i="3"/>
  <c r="G38" i="3"/>
  <c r="G37" i="3"/>
  <c r="G36" i="3"/>
  <c r="G32" i="3"/>
  <c r="G33" i="3" s="1"/>
  <c r="E18" i="6"/>
  <c r="G65" i="3"/>
  <c r="E55" i="4"/>
  <c r="D57" i="4"/>
  <c r="D60" i="4" s="1"/>
  <c r="E106" i="3"/>
  <c r="E84" i="3"/>
  <c r="E87" i="3" s="1"/>
  <c r="J20" i="2"/>
  <c r="J21" i="2"/>
  <c r="I12" i="3"/>
  <c r="H16" i="3"/>
  <c r="G59" i="4"/>
  <c r="F96" i="4"/>
  <c r="F97" i="4" s="1"/>
  <c r="I110" i="1" l="1"/>
  <c r="J110" i="1" s="1"/>
  <c r="G95" i="4"/>
  <c r="E28" i="7" s="1"/>
  <c r="E19" i="6"/>
  <c r="E21" i="6" s="1"/>
  <c r="G13" i="4"/>
  <c r="G50" i="4"/>
  <c r="G90" i="4" s="1"/>
  <c r="E42" i="7"/>
  <c r="E43" i="7" s="1"/>
  <c r="E45" i="7" s="1"/>
  <c r="E55" i="7" s="1" a="1"/>
  <c r="E55" i="7" s="1"/>
  <c r="G15" i="4"/>
  <c r="G22" i="4"/>
  <c r="E30" i="6" s="1"/>
  <c r="G75" i="4"/>
  <c r="G17" i="4"/>
  <c r="E24" i="6" s="1"/>
  <c r="G21" i="4"/>
  <c r="E28" i="6" s="1"/>
  <c r="G23" i="4"/>
  <c r="E35" i="7" s="1"/>
  <c r="C50" i="3"/>
  <c r="C51" i="3" s="1"/>
  <c r="G56" i="4"/>
  <c r="C28" i="4"/>
  <c r="F91" i="4"/>
  <c r="F69" i="4"/>
  <c r="F72" i="4" s="1"/>
  <c r="F103" i="3" a="1"/>
  <c r="F103" i="3" s="1"/>
  <c r="F90" i="3" s="1"/>
  <c r="D34" i="6"/>
  <c r="D24" i="6"/>
  <c r="D26" i="6" s="1"/>
  <c r="F82" i="3"/>
  <c r="F55" i="4"/>
  <c r="E57" i="4"/>
  <c r="E60" i="4" s="1"/>
  <c r="E34" i="7"/>
  <c r="H111" i="3"/>
  <c r="I74" i="3"/>
  <c r="F33" i="3"/>
  <c r="G102" i="3"/>
  <c r="G71" i="3" s="1"/>
  <c r="D12" i="8"/>
  <c r="F112" i="3"/>
  <c r="D27" i="7"/>
  <c r="D29" i="7" s="1"/>
  <c r="D31" i="7" s="1"/>
  <c r="D53" i="7" s="1" a="1"/>
  <c r="D53" i="7" s="1"/>
  <c r="G103" i="3" a="1"/>
  <c r="G103" i="3" s="1"/>
  <c r="E34" i="6"/>
  <c r="F70" i="3"/>
  <c r="F40" i="3"/>
  <c r="D28" i="6"/>
  <c r="F30" i="3"/>
  <c r="H59" i="4"/>
  <c r="G96" i="4"/>
  <c r="C33" i="4"/>
  <c r="C35" i="4" s="1"/>
  <c r="G105" i="3"/>
  <c r="J12" i="4"/>
  <c r="J14" i="4" s="1"/>
  <c r="I14" i="4"/>
  <c r="J12" i="3"/>
  <c r="J16" i="3" s="1"/>
  <c r="I16" i="3"/>
  <c r="G82" i="3"/>
  <c r="G40" i="3"/>
  <c r="G42" i="3" s="1"/>
  <c r="F41" i="7"/>
  <c r="H110" i="3"/>
  <c r="H39" i="3"/>
  <c r="H38" i="3"/>
  <c r="H37" i="3"/>
  <c r="H36" i="3"/>
  <c r="H32" i="3"/>
  <c r="H33" i="3" s="1"/>
  <c r="F18" i="6"/>
  <c r="H65" i="3"/>
  <c r="H105" i="3" s="1"/>
  <c r="H17" i="3"/>
  <c r="E12" i="8"/>
  <c r="G112" i="3"/>
  <c r="H102" i="3"/>
  <c r="E27" i="7"/>
  <c r="H13" i="4"/>
  <c r="H24" i="4"/>
  <c r="H88" i="4" s="1" a="1"/>
  <c r="H88" i="4" s="1"/>
  <c r="H23" i="4"/>
  <c r="F35" i="7" s="1"/>
  <c r="H22" i="4"/>
  <c r="H21" i="4"/>
  <c r="H17" i="4"/>
  <c r="H18" i="4" s="1"/>
  <c r="H15" i="4"/>
  <c r="F42" i="7"/>
  <c r="H95" i="4"/>
  <c r="H50" i="4"/>
  <c r="F19" i="6"/>
  <c r="D34" i="7"/>
  <c r="D36" i="7" s="1"/>
  <c r="D38" i="7" s="1"/>
  <c r="D54" i="7" s="1" a="1"/>
  <c r="D54" i="7" s="1"/>
  <c r="D32" i="6"/>
  <c r="E17" i="8" l="1"/>
  <c r="H87" i="4"/>
  <c r="H56" i="4" s="1"/>
  <c r="G97" i="4"/>
  <c r="H90" i="4"/>
  <c r="H75" i="4"/>
  <c r="G18" i="4"/>
  <c r="G25" i="4"/>
  <c r="G67" i="4"/>
  <c r="G91" i="4" s="1"/>
  <c r="E32" i="6"/>
  <c r="E36" i="7"/>
  <c r="E38" i="7" s="1"/>
  <c r="E54" i="7" s="1" a="1"/>
  <c r="E54" i="7" s="1"/>
  <c r="C56" i="3"/>
  <c r="F30" i="6"/>
  <c r="D38" i="6"/>
  <c r="F42" i="3"/>
  <c r="H25" i="4"/>
  <c r="H27" i="4" s="1"/>
  <c r="H28" i="4" s="1"/>
  <c r="E26" i="6"/>
  <c r="G43" i="3"/>
  <c r="F72" i="3"/>
  <c r="F75" i="3" s="1"/>
  <c r="G70" i="3"/>
  <c r="D56" i="7"/>
  <c r="D59" i="7" s="1"/>
  <c r="D64" i="7" s="1"/>
  <c r="F34" i="6"/>
  <c r="H103" i="3" a="1"/>
  <c r="H103" i="3" s="1"/>
  <c r="G90" i="3"/>
  <c r="F12" i="8"/>
  <c r="H112" i="3"/>
  <c r="I102" i="3"/>
  <c r="F27" i="7"/>
  <c r="H18" i="6"/>
  <c r="J65" i="3"/>
  <c r="J17" i="3"/>
  <c r="H41" i="7"/>
  <c r="J36" i="3"/>
  <c r="J110" i="3"/>
  <c r="J39" i="3"/>
  <c r="J37" i="3"/>
  <c r="J38" i="3"/>
  <c r="J32" i="3"/>
  <c r="J33" i="3" s="1"/>
  <c r="G42" i="7"/>
  <c r="I24" i="4"/>
  <c r="I88" i="4" s="1" a="1"/>
  <c r="I88" i="4" s="1"/>
  <c r="I23" i="4"/>
  <c r="G35" i="7" s="1"/>
  <c r="I22" i="4"/>
  <c r="I21" i="4"/>
  <c r="I17" i="4"/>
  <c r="I18" i="4" s="1"/>
  <c r="I15" i="4"/>
  <c r="G19" i="6"/>
  <c r="I95" i="4"/>
  <c r="I50" i="4"/>
  <c r="I90" i="4" s="1"/>
  <c r="I13" i="4"/>
  <c r="E29" i="7"/>
  <c r="E31" i="7" s="1"/>
  <c r="E53" i="7" s="1" a="1"/>
  <c r="E53" i="7" s="1"/>
  <c r="F21" i="6"/>
  <c r="G106" i="3"/>
  <c r="G84" i="3"/>
  <c r="G87" i="3" s="1"/>
  <c r="H71" i="3"/>
  <c r="F57" i="4"/>
  <c r="F60" i="4" s="1"/>
  <c r="G55" i="4"/>
  <c r="G41" i="7"/>
  <c r="G18" i="6"/>
  <c r="I65" i="3"/>
  <c r="I105" i="3" s="1"/>
  <c r="I38" i="3"/>
  <c r="I36" i="3"/>
  <c r="I32" i="3"/>
  <c r="I33" i="3" s="1"/>
  <c r="I110" i="3"/>
  <c r="I39" i="3"/>
  <c r="I37" i="3"/>
  <c r="I17" i="3"/>
  <c r="I111" i="3"/>
  <c r="J74" i="3"/>
  <c r="J111" i="3" s="1"/>
  <c r="F28" i="6"/>
  <c r="H40" i="3"/>
  <c r="H42" i="3" s="1"/>
  <c r="I59" i="4"/>
  <c r="H96" i="4"/>
  <c r="H97" i="4" s="1"/>
  <c r="F34" i="7"/>
  <c r="F36" i="7" s="1"/>
  <c r="F38" i="7" s="1"/>
  <c r="F54" i="7" s="1" a="1"/>
  <c r="F54" i="7" s="1"/>
  <c r="F32" i="6"/>
  <c r="F28" i="7"/>
  <c r="I87" i="4"/>
  <c r="F17" i="8"/>
  <c r="H42" i="7"/>
  <c r="J95" i="4"/>
  <c r="J50" i="4"/>
  <c r="H19" i="6"/>
  <c r="J23" i="4"/>
  <c r="H35" i="7" s="1"/>
  <c r="J21" i="4"/>
  <c r="J17" i="4"/>
  <c r="J13" i="4"/>
  <c r="J15" i="4"/>
  <c r="J24" i="4"/>
  <c r="J88" i="4" s="1" a="1"/>
  <c r="J88" i="4" s="1"/>
  <c r="J22" i="4"/>
  <c r="H67" i="4"/>
  <c r="F24" i="6"/>
  <c r="H82" i="3"/>
  <c r="F43" i="7"/>
  <c r="F45" i="7" s="1"/>
  <c r="F55" i="7" s="1" a="1"/>
  <c r="F55" i="7" s="1"/>
  <c r="C41" i="4"/>
  <c r="C36" i="4"/>
  <c r="F106" i="3"/>
  <c r="F84" i="3"/>
  <c r="F87" i="3" s="1"/>
  <c r="I75" i="4" l="1"/>
  <c r="J75" i="4" s="1"/>
  <c r="G27" i="4"/>
  <c r="G28" i="4" s="1"/>
  <c r="G69" i="4"/>
  <c r="G72" i="4" s="1"/>
  <c r="I56" i="4"/>
  <c r="E38" i="6"/>
  <c r="E56" i="7"/>
  <c r="E59" i="7" s="1"/>
  <c r="E64" i="7" s="1"/>
  <c r="I71" i="3"/>
  <c r="F43" i="3"/>
  <c r="J25" i="4"/>
  <c r="G21" i="6"/>
  <c r="I25" i="4"/>
  <c r="I27" i="4" s="1"/>
  <c r="J105" i="3"/>
  <c r="G43" i="7"/>
  <c r="G45" i="7" s="1"/>
  <c r="G55" i="7" s="1" a="1"/>
  <c r="G55" i="7" s="1"/>
  <c r="H21" i="6"/>
  <c r="D12" i="9" s="1"/>
  <c r="H30" i="6"/>
  <c r="J67" i="4"/>
  <c r="J69" i="4" s="1"/>
  <c r="J72" i="4" s="1"/>
  <c r="H34" i="7"/>
  <c r="H36" i="7" s="1"/>
  <c r="H38" i="7" s="1"/>
  <c r="H54" i="7" s="1" a="1"/>
  <c r="H54" i="7" s="1"/>
  <c r="H32" i="6"/>
  <c r="H106" i="3"/>
  <c r="H84" i="3"/>
  <c r="H87" i="3" s="1"/>
  <c r="J59" i="4"/>
  <c r="J96" i="4" s="1"/>
  <c r="J97" i="4" s="1"/>
  <c r="I96" i="4"/>
  <c r="I97" i="4" s="1"/>
  <c r="J18" i="4"/>
  <c r="J90" i="4"/>
  <c r="G34" i="7"/>
  <c r="G36" i="7" s="1"/>
  <c r="G38" i="7" s="1"/>
  <c r="G54" i="7" s="1" a="1"/>
  <c r="G54" i="7" s="1"/>
  <c r="G32" i="6"/>
  <c r="H27" i="7"/>
  <c r="H12" i="8"/>
  <c r="J112" i="3"/>
  <c r="F29" i="7"/>
  <c r="F31" i="7" s="1"/>
  <c r="F53" i="7" s="1" a="1"/>
  <c r="F53" i="7" s="1"/>
  <c r="F56" i="7" s="1"/>
  <c r="F59" i="7" s="1"/>
  <c r="F64" i="7" s="1"/>
  <c r="G12" i="8"/>
  <c r="I112" i="3"/>
  <c r="J102" i="3"/>
  <c r="G27" i="7"/>
  <c r="H90" i="3"/>
  <c r="G17" i="8"/>
  <c r="G28" i="7"/>
  <c r="J87" i="4"/>
  <c r="J56" i="4" s="1"/>
  <c r="G28" i="6"/>
  <c r="I40" i="3"/>
  <c r="I42" i="3" s="1"/>
  <c r="H34" i="6"/>
  <c r="J103" i="3" a="1"/>
  <c r="J103" i="3" s="1"/>
  <c r="H17" i="8"/>
  <c r="H28" i="7"/>
  <c r="I67" i="4"/>
  <c r="H28" i="6"/>
  <c r="J40" i="3"/>
  <c r="J42" i="3" s="1"/>
  <c r="G34" i="6"/>
  <c r="I103" i="3" a="1"/>
  <c r="I103" i="3" s="1"/>
  <c r="H43" i="3"/>
  <c r="G57" i="4"/>
  <c r="G60" i="4" s="1"/>
  <c r="H55" i="4"/>
  <c r="H69" i="4"/>
  <c r="H72" i="4" s="1"/>
  <c r="H91" i="4"/>
  <c r="G24" i="6"/>
  <c r="I82" i="3"/>
  <c r="G30" i="6"/>
  <c r="F26" i="6"/>
  <c r="F38" i="6" s="1"/>
  <c r="H24" i="6"/>
  <c r="J82" i="3"/>
  <c r="H43" i="7"/>
  <c r="H45" i="7" s="1"/>
  <c r="H55" i="7" s="1" a="1"/>
  <c r="H55" i="7" s="1"/>
  <c r="H70" i="3"/>
  <c r="G72" i="3"/>
  <c r="G75" i="3" s="1"/>
  <c r="J71" i="3" l="1"/>
  <c r="J27" i="4"/>
  <c r="J28" i="4" s="1"/>
  <c r="G26" i="6"/>
  <c r="G38" i="6" s="1"/>
  <c r="H29" i="7"/>
  <c r="H31" i="7" s="1"/>
  <c r="H53" i="7" s="1" a="1"/>
  <c r="H53" i="7" s="1"/>
  <c r="H56" i="7" s="1"/>
  <c r="H59" i="7" s="1"/>
  <c r="H64" i="7" s="1"/>
  <c r="H26" i="6"/>
  <c r="H38" i="6" s="1"/>
  <c r="D13" i="9" s="1"/>
  <c r="G29" i="7"/>
  <c r="G31" i="7" s="1"/>
  <c r="G53" i="7" s="1" a="1"/>
  <c r="G53" i="7" s="1"/>
  <c r="G56" i="7" s="1"/>
  <c r="G59" i="7" s="1"/>
  <c r="G64" i="7" s="1"/>
  <c r="J43" i="3"/>
  <c r="I43" i="3"/>
  <c r="I69" i="4"/>
  <c r="I72" i="4" s="1"/>
  <c r="I91" i="4"/>
  <c r="I70" i="3"/>
  <c r="H72" i="3"/>
  <c r="H75" i="3" s="1"/>
  <c r="H57" i="4"/>
  <c r="H60" i="4" s="1"/>
  <c r="I55" i="4"/>
  <c r="J91" i="4"/>
  <c r="I106" i="3"/>
  <c r="I84" i="3"/>
  <c r="I87" i="3" s="1"/>
  <c r="I90" i="3"/>
  <c r="I28" i="4"/>
  <c r="J106" i="3"/>
  <c r="J84" i="3"/>
  <c r="J87" i="3" s="1"/>
  <c r="J55" i="4" l="1"/>
  <c r="J57" i="4" s="1"/>
  <c r="J60" i="4" s="1"/>
  <c r="I57" i="4"/>
  <c r="I60" i="4" s="1"/>
  <c r="J90" i="3"/>
  <c r="J70" i="3"/>
  <c r="J72" i="3" s="1"/>
  <c r="J75" i="3" s="1"/>
  <c r="I72" i="3"/>
  <c r="I75" i="3" s="1"/>
  <c r="D14" i="9"/>
  <c r="D17" i="9"/>
  <c r="D18" i="9"/>
  <c r="D19" i="9"/>
  <c r="D22" i="9"/>
  <c r="D23" i="9"/>
  <c r="D24" i="9"/>
  <c r="D25" i="9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  <c r="C11" i="8"/>
  <c r="D11" i="8"/>
  <c r="E11" i="8"/>
  <c r="F11" i="8"/>
  <c r="G11" i="8"/>
  <c r="H11" i="8"/>
  <c r="C13" i="8"/>
  <c r="D13" i="8"/>
  <c r="E13" i="8"/>
  <c r="F13" i="8"/>
  <c r="G13" i="8"/>
  <c r="H13" i="8"/>
  <c r="C16" i="8"/>
  <c r="D16" i="8"/>
  <c r="E16" i="8"/>
  <c r="F16" i="8"/>
  <c r="G16" i="8"/>
  <c r="H16" i="8"/>
  <c r="C18" i="8"/>
  <c r="D18" i="8"/>
  <c r="E18" i="8"/>
  <c r="F18" i="8"/>
  <c r="G18" i="8"/>
  <c r="H18" i="8"/>
  <c r="C23" i="8"/>
  <c r="D23" i="8"/>
  <c r="E23" i="8"/>
  <c r="F23" i="8"/>
  <c r="G23" i="8"/>
  <c r="H23" i="8"/>
  <c r="D48" i="8"/>
  <c r="E48" i="8"/>
  <c r="F48" i="8"/>
  <c r="G48" i="8"/>
  <c r="H48" i="8"/>
  <c r="D51" i="8"/>
  <c r="D52" i="8"/>
  <c r="D53" i="8"/>
  <c r="D54" i="8"/>
  <c r="D60" i="8"/>
  <c r="D61" i="8" a="1"/>
  <c r="D61" i="8"/>
  <c r="D62" i="8"/>
  <c r="D65" i="8" a="1"/>
  <c r="D65" i="8"/>
  <c r="D66" i="8"/>
  <c r="D67" i="8"/>
  <c r="D68" i="8"/>
  <c r="D71" i="8"/>
  <c r="D72" i="8"/>
  <c r="D79" i="8"/>
  <c r="C8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<sst xmlns="http://schemas.openxmlformats.org/spreadsheetml/2006/main" count="655" uniqueCount="376">
  <si>
    <t>Google (Alphabet) — Operating Model Assumptions</t>
  </si>
  <si>
    <t>Case selector</t>
  </si>
  <si>
    <t>Chosen case:</t>
  </si>
  <si>
    <t>Base</t>
  </si>
  <si>
    <t>Actuals</t>
  </si>
  <si>
    <t>Forecast</t>
  </si>
  <si>
    <t>Revenue Assumptions — 1</t>
  </si>
  <si>
    <t>Growth rates — Revenue (%)</t>
  </si>
  <si>
    <t>Case</t>
  </si>
  <si>
    <t xml:space="preserve">  Google Search</t>
  </si>
  <si>
    <t>Bull</t>
  </si>
  <si>
    <t>Bear</t>
  </si>
  <si>
    <t xml:space="preserve">  YouTube Ads</t>
  </si>
  <si>
    <t xml:space="preserve">  Google Cloud</t>
  </si>
  <si>
    <t xml:space="preserve">  Other Revenues</t>
  </si>
  <si>
    <t>Operating Expense Assumptions — 2</t>
  </si>
  <si>
    <t>Expenses — Operating (% of Revenue)</t>
  </si>
  <si>
    <t xml:space="preserve">  R&amp;D</t>
  </si>
  <si>
    <t xml:space="preserve">  S&amp;M</t>
  </si>
  <si>
    <t xml:space="preserve">  G&amp;A</t>
  </si>
  <si>
    <t xml:space="preserve">  SBC</t>
  </si>
  <si>
    <t>Balance Sheet &amp; Cash Flow Assumptions — 3</t>
  </si>
  <si>
    <t>Working Capital Metrics</t>
  </si>
  <si>
    <t xml:space="preserve">  Days Sales Outstanding — DSO</t>
  </si>
  <si>
    <t xml:space="preserve">  Days Payable Outstanding — DPO</t>
  </si>
  <si>
    <t>Capital Expenditure</t>
  </si>
  <si>
    <t xml:space="preserve">  CapEx — % of Revenue</t>
  </si>
  <si>
    <t xml:space="preserve">  D&amp;A — % of Prior Year CapEx</t>
  </si>
  <si>
    <t>Other Financial Assumptions — 4</t>
  </si>
  <si>
    <t>Tax Rate</t>
  </si>
  <si>
    <t xml:space="preserve">  Effective Tax Rate</t>
  </si>
  <si>
    <t>Interest Rates</t>
  </si>
  <si>
    <t>Share Buyback</t>
  </si>
  <si>
    <t xml:space="preserve">  Buyback — % of FCF</t>
  </si>
  <si>
    <t>Meta Platforms — Operating Model Assumptions</t>
  </si>
  <si>
    <t xml:space="preserve">  Family of Apps — FoA</t>
  </si>
  <si>
    <t xml:space="preserve">  Reality Labs</t>
  </si>
  <si>
    <t>User Growth Metrics</t>
  </si>
  <si>
    <t xml:space="preserve">  DAU Growth — %</t>
  </si>
  <si>
    <t xml:space="preserve">  ARPU Growth — %</t>
  </si>
  <si>
    <t>Share Buyback &amp; Dividends</t>
  </si>
  <si>
    <t xml:space="preserve">  Dividend Payout Ratio</t>
  </si>
  <si>
    <t>Google (Alphabet) — Income Statement</t>
  </si>
  <si>
    <t>Figures in $mm</t>
  </si>
  <si>
    <t>Revenue — Total</t>
  </si>
  <si>
    <t xml:space="preserve">  YoY Growth %</t>
  </si>
  <si>
    <t>Operating expense build</t>
  </si>
  <si>
    <t xml:space="preserve">  Cost of sales</t>
  </si>
  <si>
    <t>Profit — Gross</t>
  </si>
  <si>
    <t xml:space="preserve">  Gross Margin (%)</t>
  </si>
  <si>
    <t>Operating Expenses — Total</t>
  </si>
  <si>
    <t>EBIT / Operating Income</t>
  </si>
  <si>
    <t xml:space="preserve">  Operating Margin (%)</t>
  </si>
  <si>
    <t>Pre-tax Income</t>
  </si>
  <si>
    <t>Tax Expense / Provision</t>
  </si>
  <si>
    <t>Net income</t>
  </si>
  <si>
    <t xml:space="preserve">  Net Margin (%)</t>
  </si>
  <si>
    <t>EPS calculation</t>
  </si>
  <si>
    <t>Basic Shares — Outstanding</t>
  </si>
  <si>
    <t>EPS — Basic</t>
  </si>
  <si>
    <t>Meta Platforms — Income Statement</t>
  </si>
  <si>
    <t xml:space="preserve">  Family of Apps</t>
  </si>
  <si>
    <t>Balance sheet schedule</t>
  </si>
  <si>
    <t>Assets section</t>
  </si>
  <si>
    <t>Assets — Current</t>
  </si>
  <si>
    <t xml:space="preserve">  Cash and equivalents</t>
  </si>
  <si>
    <t xml:space="preserve">  Receivables</t>
  </si>
  <si>
    <t xml:space="preserve">  Other current assets</t>
  </si>
  <si>
    <t>Current Assets — Total</t>
  </si>
  <si>
    <t>Assets — Non-current</t>
  </si>
  <si>
    <t xml:space="preserve">  PP&amp;E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</si>
  <si>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</si>
  <si>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</si>
  <si>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</si>
  <si>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</si>
  <si>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and equity</t>
  </si>
  <si>
    <t>Liabilities — Current</t>
  </si>
  <si>
    <t xml:space="preserve">  Payables</t>
  </si>
  <si>
    <t xml:space="preserve">  Accrued Expenses</t>
  </si>
  <si>
    <t>Current Liabilities — Total</t>
  </si>
  <si>
    <t>Long-term Debt</t>
  </si>
  <si>
    <t>Liabilities — Total</t>
  </si>
  <si>
    <t>Shareholders' Equity</t>
  </si>
  <si>
    <t xml:space="preserve">  Retained earnings</t>
  </si>
  <si>
    <t>Total Shareholders' Equity</t>
  </si>
  <si>
    <t>Total Liabilities &amp; Equity</t>
  </si>
  <si>
    <t>Balance Check (Assets — L&amp;E)</t>
  </si>
  <si>
    <t>Cash-flow statement</t>
  </si>
  <si>
    <t>Cash Flow from Operating Activities</t>
  </si>
  <si>
    <t xml:space="preserve">  Net Income</t>
  </si>
  <si>
    <t xml:space="preserve">  Add — Depreciation &amp; Amortization</t>
  </si>
  <si>
    <t xml:space="preserve">  Add: SBC</t>
  </si>
  <si>
    <t xml:space="preserve">  Changes in Working Capital —</t>
  </si>
  <si>
    <t>Net Cash from Operating Activities</t>
  </si>
  <si>
    <t>Cash Flow from Investing Activities</t>
  </si>
  <si>
    <t xml:space="preserve">  CapEx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</si>
  <si>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</si>
  <si>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</si>
  <si>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</si>
  <si>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</si>
  <si>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</si>
  <si>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</si>
  <si>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</si>
  <si>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Cash — Ending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</si>
  <si>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</si>
  <si>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</si>
  <si>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</si>
  <si>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</si>
  <si>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Deal input deck — Google / Meta combination</t>
  </si>
  <si>
    <t>Merger model inputs — pro forma</t>
  </si>
  <si>
    <t>Transaction Overview — 1</t>
  </si>
  <si>
    <t>Deal structure</t>
  </si>
  <si>
    <t xml:space="preserve">  Buyer</t>
  </si>
  <si>
    <t>Google (Alphabet)</t>
  </si>
  <si>
    <t xml:space="preserve">  Seller / Target</t>
  </si>
  <si>
    <t>Meta Platforms</t>
  </si>
  <si>
    <t xml:space="preserve">  Consideration type</t>
  </si>
  <si>
    <t>Stock &amp; Cash Combination</t>
  </si>
  <si>
    <t xml:space="preserve">  Announcement timing</t>
  </si>
  <si>
    <t>Q1 2024</t>
  </si>
  <si>
    <t xml:space="preserve">  Expected close timing</t>
  </si>
  <si>
    <t>Purchase price Calculation — 2</t>
  </si>
  <si>
    <t>Stock Prices &amp; Premium</t>
  </si>
  <si>
    <t xml:space="preserve">  Meta Current Stock Price</t>
  </si>
  <si>
    <t xml:space="preserve">  Premium Offered</t>
  </si>
  <si>
    <t xml:space="preserve">  Offer Price per Share</t>
  </si>
  <si>
    <t xml:space="preserve">  Meta Shares Outstanding (mm)</t>
  </si>
  <si>
    <t xml:space="preserve">  Total Purchase price ($mm)</t>
  </si>
  <si>
    <t>Consideration split</t>
  </si>
  <si>
    <t xml:space="preserve">  % Cash Consideration</t>
  </si>
  <si>
    <t xml:space="preserve">  % Stock Consideration</t>
  </si>
  <si>
    <t xml:space="preserve">  Cash Required — $mm</t>
  </si>
  <si>
    <t xml:space="preserve">  Stock Value Required — $mm</t>
  </si>
  <si>
    <t xml:space="preserve">  Google Stock Price</t>
  </si>
  <si>
    <t xml:space="preserve">  New Google Shares Issued (mm)</t>
  </si>
  <si>
    <t>Sources &amp; Uses Of Funds — 3</t>
  </si>
  <si>
    <t>Funding Sources ($mm)</t>
  </si>
  <si>
    <t>Funding Uses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</si>
  <si>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</si>
  <si>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</si>
  <si>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</si>
  <si>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</si>
  <si>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</si>
  <si>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</si>
  <si>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</si>
  <si>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</si>
  <si>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Sources — Total</t>
  </si>
  <si>
    <t>Uses — Total</t>
  </si>
  <si>
    <t>Synergy Assumptions — 4</t>
  </si>
  <si>
    <t>Revenue Synergies — $mm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</si>
  <si>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</si>
  <si>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</si>
  <si>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</si>
  <si>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</si>
  <si>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</si>
  <si>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</si>
  <si>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</si>
  <si>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</si>
  <si>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</si>
  <si>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— $mm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</si>
  <si>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</si>
  <si>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</si>
  <si>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</si>
  <si>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</si>
  <si>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</si>
  <si>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</si>
  <si>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</si>
  <si>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</si>
  <si>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</si>
  <si>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Purchase Accounting — 5</t>
  </si>
  <si>
    <t>Purchase price Allocation ($mm)</t>
  </si>
  <si>
    <t xml:space="preserve">  Less — Book Value of Equity</t>
  </si>
  <si>
    <t xml:space="preserve">  Premium Over Book</t>
  </si>
  <si>
    <t>Allocation —</t>
  </si>
  <si>
    <t xml:space="preserve">  PP&amp;E Fair Value Adjustment</t>
  </si>
  <si>
    <t xml:space="preserve">  Deferred Tax Liability</t>
  </si>
  <si>
    <t xml:space="preserve">  Goodwill</t>
  </si>
  <si>
    <t>Financing Assumptions — 6</t>
  </si>
  <si>
    <t>Debt Financing</t>
  </si>
  <si>
    <t xml:space="preserve">  Term Loan Amount — $mm</t>
  </si>
  <si>
    <t xml:space="preserve">  Term Loan Interest Rate</t>
  </si>
  <si>
    <t xml:space="preserve">  Bridge Loan Amount — $mm</t>
  </si>
  <si>
    <t xml:space="preserve">  Bridge Loan Interest Rate</t>
  </si>
  <si>
    <t xml:space="preserve">  Mandatory Amortization % p.a.</t>
  </si>
  <si>
    <t>Pro Forma Adjustments — 7</t>
  </si>
  <si>
    <t>Amortization of Intangibles</t>
  </si>
  <si>
    <t xml:space="preserve">  Intangible Asset Value — $mm</t>
  </si>
  <si>
    <t xml:space="preserve">  Amortization Period — years</t>
  </si>
  <si>
    <t xml:space="preserve">  Annual Amortization — $mm</t>
  </si>
  <si>
    <t>Other Adjustments</t>
  </si>
  <si>
    <t xml:space="preserve">  Stock-Based Comp Adjustment %</t>
  </si>
  <si>
    <t xml:space="preserve">  Combined Tax Rate</t>
  </si>
  <si>
    <t>Pro forma company — Google / Meta</t>
  </si>
  <si>
    <t>Transaction snapshot</t>
  </si>
  <si>
    <t>Purchase price ($mm):</t>
  </si>
  <si>
    <t>Cash Consideration —</t>
  </si>
  <si>
    <t>Stock Consideration —</t>
  </si>
  <si>
    <t>Total Debt Raised —</t>
  </si>
  <si>
    <t>Goodwill Created —</t>
  </si>
  <si>
    <t>Pro Forma Income Statement</t>
  </si>
  <si>
    <t>For the Year Ending</t>
  </si>
  <si>
    <t>Revenue — Combined</t>
  </si>
  <si>
    <t xml:space="preserve">  Google Revenue</t>
  </si>
  <si>
    <t xml:space="preserve">  Meta Revenue</t>
  </si>
  <si>
    <t xml:space="preserve">  Revenue synergy contribution</t>
  </si>
  <si>
    <t>Combined Revenue — Total</t>
  </si>
  <si>
    <t xml:space="preserve">  Cost of sales (Combined)</t>
  </si>
  <si>
    <t xml:space="preserve">  Infrastructure synergy value</t>
  </si>
  <si>
    <t xml:space="preserve">  R&amp;D — Combined</t>
  </si>
  <si>
    <t xml:space="preserve">  R&amp;D synergy value</t>
  </si>
  <si>
    <t xml:space="preserve">  S&amp;M — Combined</t>
  </si>
  <si>
    <t xml:space="preserve">  S&amp;M synergy value</t>
  </si>
  <si>
    <t xml:space="preserve">  G&amp;A — Combined</t>
  </si>
  <si>
    <t xml:space="preserve">  G&amp;A synergy value</t>
  </si>
  <si>
    <t xml:space="preserve">  Dis-synergies &amp; Integration</t>
  </si>
  <si>
    <t>EBIT</t>
  </si>
  <si>
    <t>EBT</t>
  </si>
  <si>
    <t xml:space="preserve">  Taxes</t>
  </si>
  <si>
    <t>Accretion / dilution workup</t>
  </si>
  <si>
    <t>Shares — Pro forma (mm)</t>
  </si>
  <si>
    <t>EPS — Pro forma</t>
  </si>
  <si>
    <t>% Accretion — Dilution</t>
  </si>
  <si>
    <t xml:space="preserve">  SBC (Combined)</t>
  </si>
  <si>
    <t>Reality Labs Operating Margin</t>
  </si>
  <si>
    <t xml:space="preserve">  Operating Margin — %</t>
  </si>
  <si>
    <t>Q4 2023</t>
  </si>
  <si>
    <t>Synergy case — Google / Meta combination</t>
  </si>
  <si>
    <t>Revenue and cost synergy workup</t>
  </si>
  <si>
    <t>Synergy case inputs</t>
  </si>
  <si>
    <t>Infrastructure Cost Savings — 1</t>
  </si>
  <si>
    <t xml:space="preserve">  % of Combined CapEx Savings</t>
  </si>
  <si>
    <t>Conservative</t>
  </si>
  <si>
    <t>Aggressive</t>
  </si>
  <si>
    <t xml:space="preserve">  Chosen case:</t>
  </si>
  <si>
    <t>R&amp;D Efficiency Gains — 2</t>
  </si>
  <si>
    <t xml:space="preserve">  % Reduction in Combined R&amp;D</t>
  </si>
  <si>
    <t>Revenue Synergies — Cross-Platform Advertising — 3</t>
  </si>
  <si>
    <t xml:space="preserve">  % Revenue Uplift</t>
  </si>
  <si>
    <t>Synergy calculations</t>
  </si>
  <si>
    <t>Infrastructure Cost Savings</t>
  </si>
  <si>
    <t xml:space="preserve">  Google CapEx</t>
  </si>
  <si>
    <t xml:space="preserve">  Meta CapEx</t>
  </si>
  <si>
    <t xml:space="preserve">  Combined CapEx</t>
  </si>
  <si>
    <t xml:space="preserve">  Savings %</t>
  </si>
  <si>
    <t>R&amp;D Efficiency Gains</t>
  </si>
  <si>
    <t xml:space="preserve">  Google R&amp;D Expense</t>
  </si>
  <si>
    <t xml:space="preserve">  Meta R&amp;D Expense</t>
  </si>
  <si>
    <t xml:space="preserve">  Combined R&amp;D</t>
  </si>
  <si>
    <t xml:space="preserve">  Efficiency %</t>
  </si>
  <si>
    <t>Revenue synergy contribution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</si>
  <si>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</si>
  <si>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</si>
  <si>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</si>
  <si>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</si>
  <si>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</si>
  <si>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</si>
  <si>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</si>
  <si>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</si>
  <si>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</si>
  <si>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</si>
  <si>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</si>
  <si>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</si>
  <si>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</si>
  <si>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</si>
  <si>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P&amp;L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</si>
  <si>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</si>
  <si>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</si>
  <si>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</si>
  <si>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</si>
  <si>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</si>
  <si>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— on cash</t>
  </si>
  <si>
    <t xml:space="preserve">  Interest Expense Rate — on LT debt</t>
  </si>
  <si>
    <t>New interest expense</t>
  </si>
  <si>
    <t>Existing interest expense / — income</t>
  </si>
  <si>
    <t>Quarterly Seasonality</t>
  </si>
  <si>
    <t xml:space="preserve">  Seasonality Factors — % of Annual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</si>
  <si>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</si>
  <si>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</si>
  <si>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</si>
  <si>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</si>
  <si>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— $mm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</si>
  <si>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</si>
  <si>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</si>
  <si>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</si>
  <si>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</si>
  <si>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</si>
  <si>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</si>
  <si>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</si>
  <si>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</si>
  <si>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</si>
  <si>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2024P</t>
  </si>
  <si>
    <t>2025P</t>
  </si>
  <si>
    <t>2026P</t>
  </si>
  <si>
    <t>2027P</t>
  </si>
  <si>
    <t>2028P</t>
  </si>
  <si>
    <t>Market Capitalization ($B)</t>
  </si>
  <si>
    <t>Net Debt Position ($B)</t>
  </si>
  <si>
    <t>Enterprise Value / TEV ($B)</t>
  </si>
  <si>
    <t>Revenue Multiple (EV / Sales)</t>
  </si>
  <si>
    <t>EBITDA Multiple (EV / EBITDA)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</si>
  <si>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</si>
  <si>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</si>
  <si>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</si>
  <si>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</si>
  <si>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</si>
  <si>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</si>
  <si>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</si>
  <si>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</si>
  <si>
    <t>Combined valuation — DCF</t>
  </si>
  <si>
    <t>Case selection</t>
  </si>
  <si>
    <t>Free cash flow build</t>
  </si>
  <si>
    <t>2023A</t>
  </si>
  <si>
    <t>Google FCF</t>
  </si>
  <si>
    <t xml:space="preserve">  Cash flow from operations</t>
  </si>
  <si>
    <t xml:space="preserve">  Less — CapEx</t>
  </si>
  <si>
    <t xml:space="preserve">  Google FCF</t>
  </si>
  <si>
    <t>Meta FCF</t>
  </si>
  <si>
    <t xml:space="preserve">  Meta FCF</t>
  </si>
  <si>
    <t>Benefits from synergies</t>
  </si>
  <si>
    <t xml:space="preserve">  Synergies — Annual</t>
  </si>
  <si>
    <t>Free cash flow — Combined</t>
  </si>
  <si>
    <t>DCF case inputs</t>
  </si>
  <si>
    <t>WACC</t>
  </si>
  <si>
    <t>Perpetual growth rate</t>
  </si>
  <si>
    <t>Selected case outputs</t>
  </si>
  <si>
    <t xml:space="preserve">  WACC</t>
  </si>
  <si>
    <t xml:space="preserve">  Terminal growth selected</t>
  </si>
  <si>
    <t>DCF value output</t>
  </si>
  <si>
    <t>Period discount index</t>
  </si>
  <si>
    <t>Discount factor</t>
  </si>
  <si>
    <t>Present value of FCF</t>
  </si>
  <si>
    <t>Terminal value workup</t>
  </si>
  <si>
    <t xml:space="preserve">  2028 Fcf</t>
  </si>
  <si>
    <t xml:space="preserve">  Terminal FCF — 2029P</t>
  </si>
  <si>
    <t xml:space="preserve">  Terminal Value — 2028P</t>
  </si>
  <si>
    <t xml:space="preserve">  PV of Terminal Value</t>
  </si>
  <si>
    <t>Valuation Summary</t>
  </si>
  <si>
    <t>Enterprise value Calculation</t>
  </si>
  <si>
    <t xml:space="preserve">  Sum of PV of FCF — 2025-2028</t>
  </si>
  <si>
    <t>Combined Enterprise value</t>
  </si>
  <si>
    <t>Equity Value Calculation</t>
  </si>
  <si>
    <t xml:space="preserve">  Combined Enterprise value</t>
  </si>
  <si>
    <t xml:space="preserve">  Less: Google Net debt</t>
  </si>
  <si>
    <t xml:space="preserve">  Less: Meta Net debt</t>
  </si>
  <si>
    <t>Combined Equity Value</t>
  </si>
  <si>
    <t>Implied Valuation — $B</t>
  </si>
  <si>
    <t xml:space="preserve">  Enterprise value</t>
  </si>
  <si>
    <t xml:space="preserve">  Equity Value</t>
  </si>
  <si>
    <t>Current Market capitalization ($B)</t>
  </si>
  <si>
    <t xml:space="preserve">  Google</t>
  </si>
  <si>
    <t xml:space="preserve">  Meta</t>
  </si>
  <si>
    <t xml:space="preserve">  Combined</t>
  </si>
  <si>
    <t>Implied Premium/ — Discount</t>
  </si>
  <si>
    <t>Sensitivity Analysis</t>
  </si>
  <si>
    <t>Terminal Growth →</t>
  </si>
  <si>
    <t>Wacc ↓</t>
  </si>
  <si>
    <t>Implied Valuation Sensitivity</t>
  </si>
  <si>
    <t>Board Summary: Google-Meta Combination Analysis</t>
  </si>
  <si>
    <t>Summary Metrics</t>
  </si>
  <si>
    <t>Print?</t>
  </si>
  <si>
    <t>Deal Size —</t>
  </si>
  <si>
    <t>Premium —</t>
  </si>
  <si>
    <t>Structure —</t>
  </si>
  <si>
    <t>Combined 2028P —</t>
  </si>
  <si>
    <t>Revenue —</t>
  </si>
  <si>
    <t>EBITDA —</t>
  </si>
  <si>
    <t>Fcf:</t>
  </si>
  <si>
    <t>Accretion / (Dilution) —</t>
  </si>
  <si>
    <t>Valuation Multiples —</t>
  </si>
  <si>
    <t>EV/Revenue —</t>
  </si>
  <si>
    <t>Ev/EBITDA:</t>
  </si>
  <si>
    <t>Valuation Premium/Discount — base case</t>
  </si>
  <si>
    <t>2025 P/E —</t>
  </si>
  <si>
    <t>Figures in $mm</t>
  </si>
  <si>
    <t>$ in millions unless otherwise noted</t>
  </si>
  <si>
    <t>3-Year Historical (2021-2023) | 5-Year Projections (2024-2028)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</si>
</sst>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164" formatCode="_([$$-409]* #,##0_);_([$$-409]* \(#,##0\);_([$$-409]* &quot;-&quot;_);_(@_)"/>
    <numFmt numFmtId="165" formatCode="_([$$-409]* #,##0.00_);_([$$-409]* \(#,##0.00\);_([$$-409]* &quot;-&quot;??_);_(@_)"/>
    <numFmt numFmtId="166" formatCode="0.00%;\(0.00%\)"/>
    <numFmt numFmtId="167" formatCode="_([$$-409]* #,##0.0_);_([$$-409]* \(#,##0.0\);_([$$-409]* &quot;-&quot;??_);_(@_)"/>
    <numFmt numFmtId="168" formatCode=";;;"/>
    <numFmt numFmtId="169" formatCode="0.0%;\(0.0%\)"/>
    <numFmt numFmtId="170" formatCode="&quot;yes&quot;;;&quot;no&quot;"/>
    <numFmt numFmtId="171" formatCode="&quot;$&quot;0.0&quot;T&quot;"/>
    <numFmt numFmtId="172" formatCode="&quot;$&quot;0.0,&quot;B&quot;"/>
    <numFmt numFmtId="173" formatCode="&quot;Year&quot;\ #"/>
    <numFmt numFmtId="174" formatCode="0%;\(0%\)"/>
    <numFmt numFmtId="175" formatCode="#,##0.0_);\(#,##0.0\)"/>
    <numFmt numFmtId="176" formatCode="#,##0.0;\(#,##0.0\)"/>
    <numFmt numFmtId="177" formatCode="&quot;$&quot;#,##0.00;\(&quot;$&quot;#,##0.00\)"/>
    <numFmt numFmtId="178" formatCode="0.0\x;\(0.0\x\)"/>
    <numFmt numFmtId="179" formatCode="#,##0.0\x;\(#,##0.0\x\)"/>
    <numFmt numFmtId="180" formatCode="0&quot;A&quot;"/>
    <numFmt numFmtId="181" formatCode="0&quot;P&quot;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4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i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205">
    <xf numFmtId="0" fontId="0" fillId="0" borderId="1" xfId="0"/>
    <xf numFmtId="0" fontId="2" fillId="0" borderId="1" xfId="1"/>
    <xf numFmtId="164" fontId="4" fillId="0" borderId="1" xfId="0" applyNumberFormat="1" applyFont="1" applyAlignment="1">
      <alignment vertical="top"/>
    </xf>
    <xf numFmtId="164" fontId="5" fillId="0" borderId="1" xfId="0" applyNumberFormat="1" applyFont="1" applyAlignment="1">
      <alignment vertical="top"/>
    </xf>
    <xf numFmtId="164" fontId="6" fillId="0" borderId="1" xfId="0" applyNumberFormat="1" applyFont="1" applyAlignment="1">
      <alignment vertical="top"/>
    </xf>
    <xf numFmtId="164" fontId="7" fillId="0" borderId="1" xfId="0" applyNumberFormat="1" applyFont="1" applyAlignment="1">
      <alignment vertical="top"/>
    </xf>
    <xf numFmtId="164" fontId="8" fillId="0" borderId="1" xfId="0" applyNumberFormat="1" applyFont="1" applyAlignment="1">
      <alignment vertical="top"/>
    </xf>
    <xf numFmtId="0" fontId="7" fillId="0" borderId="6" xfId="0" applyFont="1" applyBorder="1" applyAlignment="1">
      <alignment vertical="top"/>
    </xf>
    <xf numFmtId="0" fontId="11" fillId="0" borderId="1" xfId="0" applyFont="1" applyAlignment="1">
      <alignment vertical="top"/>
    </xf>
    <xf numFmtId="0" fontId="11" fillId="0" borderId="1" xfId="0" applyFont="1" applyAlignment="1">
      <alignment horizontal="left" vertical="top" indent="2"/>
    </xf>
    <xf numFmtId="0" fontId="10" fillId="0" borderId="1" xfId="0" applyFont="1" applyAlignment="1">
      <alignment horizontal="left" vertical="top" indent="1"/>
    </xf>
    <xf numFmtId="0" fontId="1" fillId="0" borderId="1" xfId="0" applyFont="1"/>
    <xf numFmtId="0" fontId="7" fillId="0" borderId="1" xfId="0" applyFont="1" applyAlignment="1">
      <alignment horizontal="left" vertical="top" indent="3"/>
    </xf>
    <xf numFmtId="0" fontId="12" fillId="4" borderId="12" xfId="0" applyFont="1" applyFill="1" applyBorder="1" applyAlignment="1">
      <alignment horizontal="left" vertical="top" indent="1"/>
    </xf>
    <xf numFmtId="0" fontId="13" fillId="4" borderId="12" xfId="0" applyFont="1" applyFill="1" applyBorder="1"/>
    <xf numFmtId="0" fontId="12" fillId="4" borderId="2" xfId="0" applyFont="1" applyFill="1" applyBorder="1" applyAlignment="1">
      <alignment vertical="top"/>
    </xf>
    <xf numFmtId="0" fontId="13" fillId="4" borderId="2" xfId="0" applyFont="1" applyFill="1" applyBorder="1" applyAlignment="1">
      <alignment vertical="top"/>
    </xf>
    <xf numFmtId="0" fontId="12" fillId="4" borderId="13" xfId="0" applyFont="1" applyFill="1" applyBorder="1" applyAlignment="1">
      <alignment vertical="top"/>
    </xf>
    <xf numFmtId="0" fontId="13" fillId="4" borderId="13" xfId="0" applyFont="1" applyFill="1" applyBorder="1"/>
    <xf numFmtId="0" fontId="12" fillId="4" borderId="14" xfId="0" applyFont="1" applyFill="1" applyBorder="1" applyAlignment="1">
      <alignment vertical="top"/>
    </xf>
    <xf numFmtId="0" fontId="12" fillId="4" borderId="4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vertical="top"/>
    </xf>
    <xf numFmtId="0" fontId="14" fillId="4" borderId="12" xfId="0" applyFont="1" applyFill="1" applyBorder="1" applyAlignment="1">
      <alignment horizontal="left" vertical="top" indent="2"/>
    </xf>
    <xf numFmtId="169" fontId="3" fillId="0" borderId="1" xfId="0" applyNumberFormat="1" applyFont="1" applyAlignment="1">
      <alignment vertical="top"/>
    </xf>
    <xf numFmtId="169" fontId="3" fillId="5" borderId="1" xfId="0" applyNumberFormat="1" applyFont="1" applyFill="1" applyAlignment="1">
      <alignment vertical="top"/>
    </xf>
    <xf numFmtId="37" fontId="3" fillId="5" borderId="1" xfId="0" applyNumberFormat="1" applyFont="1" applyFill="1" applyAlignment="1">
      <alignment vertical="top"/>
    </xf>
    <xf numFmtId="169" fontId="3" fillId="5" borderId="6" xfId="0" applyNumberFormat="1" applyFont="1" applyFill="1" applyBorder="1" applyAlignment="1">
      <alignment vertical="top"/>
    </xf>
    <xf numFmtId="166" fontId="3" fillId="5" borderId="1" xfId="0" applyNumberFormat="1" applyFont="1" applyFill="1" applyAlignment="1">
      <alignment vertical="top"/>
    </xf>
    <xf numFmtId="0" fontId="15" fillId="0" borderId="3" xfId="0" applyFont="1" applyBorder="1" applyAlignment="1">
      <alignment vertical="top"/>
    </xf>
    <xf numFmtId="169" fontId="3" fillId="5" borderId="16" xfId="0" applyNumberFormat="1" applyFont="1" applyFill="1" applyBorder="1"/>
    <xf numFmtId="169" fontId="3" fillId="5" borderId="11" xfId="0" applyNumberFormat="1" applyFont="1" applyFill="1" applyBorder="1"/>
    <xf numFmtId="0" fontId="10" fillId="0" borderId="1" xfId="0" applyFont="1" applyAlignment="1">
      <alignment horizontal="left" vertical="top" indent="2"/>
    </xf>
    <xf numFmtId="0" fontId="12" fillId="4" borderId="10" xfId="0" applyFont="1" applyFill="1" applyBorder="1" applyAlignment="1">
      <alignment horizontal="left" vertical="top" indent="1"/>
    </xf>
    <xf numFmtId="0" fontId="13" fillId="4" borderId="10" xfId="0" applyFont="1" applyFill="1" applyBorder="1" applyAlignment="1">
      <alignment vertical="top"/>
    </xf>
    <xf numFmtId="0" fontId="14" fillId="4" borderId="17" xfId="0" applyFont="1" applyFill="1" applyBorder="1" applyAlignment="1">
      <alignment horizontal="left" vertical="top" indent="2"/>
    </xf>
    <xf numFmtId="0" fontId="13" fillId="4" borderId="17" xfId="0" applyFont="1" applyFill="1" applyBorder="1"/>
    <xf numFmtId="0" fontId="12" fillId="4" borderId="12" xfId="0" applyFont="1" applyFill="1" applyBorder="1" applyAlignment="1">
      <alignment horizontal="left" vertical="top" indent="2"/>
    </xf>
    <xf numFmtId="0" fontId="12" fillId="4" borderId="8" xfId="0" applyFont="1" applyFill="1" applyBorder="1" applyAlignment="1">
      <alignment vertical="top"/>
    </xf>
    <xf numFmtId="0" fontId="12" fillId="4" borderId="18" xfId="0" applyFont="1" applyFill="1" applyBorder="1" applyAlignment="1">
      <alignment horizontal="left" vertical="top" indent="1"/>
    </xf>
    <xf numFmtId="0" fontId="13" fillId="4" borderId="18" xfId="0" applyFont="1" applyFill="1" applyBorder="1"/>
    <xf numFmtId="0" fontId="12" fillId="4" borderId="19" xfId="0" applyFont="1" applyFill="1" applyBorder="1" applyAlignment="1">
      <alignment vertical="top"/>
    </xf>
    <xf numFmtId="0" fontId="13" fillId="4" borderId="19" xfId="0" applyFont="1" applyFill="1" applyBorder="1" applyAlignment="1">
      <alignment vertical="top"/>
    </xf>
    <xf numFmtId="169" fontId="5" fillId="0" borderId="1" xfId="0" applyNumberFormat="1" applyFont="1" applyAlignment="1">
      <alignment vertical="top"/>
    </xf>
    <xf numFmtId="169" fontId="1" fillId="0" borderId="1" xfId="0" applyNumberFormat="1" applyFont="1"/>
    <xf numFmtId="164" fontId="3" fillId="5" borderId="1" xfId="0" applyNumberFormat="1" applyFont="1" applyFill="1" applyAlignment="1">
      <alignment vertical="top"/>
    </xf>
    <xf numFmtId="41" fontId="3" fillId="5" borderId="1" xfId="0" applyNumberFormat="1" applyFont="1" applyFill="1" applyAlignment="1">
      <alignment vertical="top"/>
    </xf>
    <xf numFmtId="164" fontId="3" fillId="5" borderId="9" xfId="0" applyNumberFormat="1" applyFont="1" applyFill="1" applyBorder="1" applyAlignment="1">
      <alignment vertical="top"/>
    </xf>
    <xf numFmtId="0" fontId="1" fillId="0" borderId="1" xfId="1" applyFont="1"/>
    <xf numFmtId="0" fontId="7" fillId="0" borderId="1" xfId="1" applyFont="1" applyAlignment="1">
      <alignment horizontal="left" vertical="top" indent="2"/>
    </xf>
    <xf numFmtId="164" fontId="7" fillId="0" borderId="1" xfId="1" applyNumberFormat="1" applyFont="1" applyAlignment="1">
      <alignment vertical="top"/>
    </xf>
    <xf numFmtId="0" fontId="12" fillId="4" borderId="5" xfId="1" applyFont="1" applyFill="1" applyBorder="1" applyAlignment="1">
      <alignment vertical="top"/>
    </xf>
    <xf numFmtId="0" fontId="12" fillId="4" borderId="12" xfId="1" applyFont="1" applyFill="1" applyBorder="1" applyAlignment="1">
      <alignment horizontal="left" vertical="top" indent="1"/>
    </xf>
    <xf numFmtId="0" fontId="13" fillId="4" borderId="12" xfId="1" applyFont="1" applyFill="1" applyBorder="1"/>
    <xf numFmtId="0" fontId="13" fillId="4" borderId="22" xfId="1" applyFont="1" applyFill="1" applyBorder="1" applyAlignment="1">
      <alignment horizontal="left" vertical="top" indent="2"/>
    </xf>
    <xf numFmtId="0" fontId="13" fillId="4" borderId="22" xfId="1" applyFont="1" applyFill="1" applyBorder="1"/>
    <xf numFmtId="49" fontId="13" fillId="4" borderId="22" xfId="1" applyNumberFormat="1" applyFont="1" applyFill="1" applyBorder="1" applyAlignment="1">
      <alignment vertical="top"/>
    </xf>
    <xf numFmtId="169" fontId="3" fillId="0" borderId="1" xfId="1" applyNumberFormat="1" applyFont="1" applyAlignment="1">
      <alignment vertical="top"/>
    </xf>
    <xf numFmtId="169" fontId="3" fillId="5" borderId="1" xfId="1" applyNumberFormat="1" applyFont="1" applyFill="1" applyAlignment="1">
      <alignment vertical="top"/>
    </xf>
    <xf numFmtId="37" fontId="3" fillId="5" borderId="1" xfId="1" applyNumberFormat="1" applyFont="1" applyFill="1" applyAlignment="1">
      <alignment vertical="top"/>
    </xf>
    <xf numFmtId="164" fontId="3" fillId="5" borderId="1" xfId="1" applyNumberFormat="1" applyFont="1" applyFill="1" applyAlignment="1">
      <alignment vertical="top"/>
    </xf>
    <xf numFmtId="169" fontId="3" fillId="5" borderId="1" xfId="1" applyNumberFormat="1" applyFont="1" applyFill="1"/>
    <xf numFmtId="166" fontId="3" fillId="5" borderId="1" xfId="1" applyNumberFormat="1" applyFont="1" applyFill="1" applyAlignment="1">
      <alignment vertical="top"/>
    </xf>
    <xf numFmtId="164" fontId="19" fillId="0" borderId="1" xfId="1" applyNumberFormat="1" applyFont="1" applyAlignment="1">
      <alignment vertical="top"/>
    </xf>
    <xf numFmtId="165" fontId="7" fillId="0" borderId="1" xfId="1" applyNumberFormat="1" applyFont="1" applyAlignment="1">
      <alignment vertical="top"/>
    </xf>
    <xf numFmtId="0" fontId="12" fillId="4" borderId="8" xfId="1" applyFont="1" applyFill="1" applyBorder="1" applyAlignment="1">
      <alignment vertical="top"/>
    </xf>
    <xf numFmtId="0" fontId="12" fillId="4" borderId="12" xfId="1" applyFont="1" applyFill="1" applyBorder="1" applyAlignment="1">
      <alignment vertical="top"/>
    </xf>
    <xf numFmtId="164" fontId="4" fillId="0" borderId="1" xfId="1" applyNumberFormat="1" applyFont="1" applyAlignment="1">
      <alignment vertical="top"/>
    </xf>
    <xf numFmtId="164" fontId="4" fillId="0" borderId="1" xfId="1" applyNumberFormat="1" applyFont="1"/>
    <xf numFmtId="41" fontId="4" fillId="0" borderId="1" xfId="1" applyNumberFormat="1" applyFont="1" applyAlignment="1">
      <alignment vertical="top"/>
    </xf>
    <xf numFmtId="166" fontId="4" fillId="0" borderId="1" xfId="1" applyNumberFormat="1" applyFont="1"/>
    <xf numFmtId="165" fontId="3" fillId="0" borderId="1" xfId="1" applyNumberFormat="1" applyFont="1" applyAlignment="1">
      <alignment vertical="top"/>
    </xf>
    <xf numFmtId="165" fontId="13" fillId="4" borderId="12" xfId="1" applyNumberFormat="1" applyFont="1" applyFill="1" applyBorder="1" applyAlignment="1">
      <alignment vertical="top"/>
    </xf>
    <xf numFmtId="49" fontId="14" fillId="4" borderId="22" xfId="1" applyNumberFormat="1" applyFont="1" applyFill="1" applyBorder="1" applyAlignment="1">
      <alignment horizontal="center" vertical="top"/>
    </xf>
    <xf numFmtId="169" fontId="7" fillId="0" borderId="1" xfId="1" applyNumberFormat="1" applyFont="1" applyAlignment="1">
      <alignment vertical="top"/>
    </xf>
    <xf numFmtId="167" fontId="7" fillId="0" borderId="1" xfId="1" applyNumberFormat="1" applyFont="1" applyAlignment="1">
      <alignment vertical="top"/>
    </xf>
    <xf numFmtId="0" fontId="12" fillId="4" borderId="23" xfId="1" applyFont="1" applyFill="1" applyBorder="1" applyAlignment="1">
      <alignment vertical="top"/>
    </xf>
    <xf numFmtId="0" fontId="13" fillId="4" borderId="23" xfId="1" applyFont="1" applyFill="1" applyBorder="1"/>
    <xf numFmtId="0" fontId="12" fillId="4" borderId="19" xfId="1" applyFont="1" applyFill="1" applyBorder="1" applyAlignment="1">
      <alignment vertical="top"/>
    </xf>
    <xf numFmtId="167" fontId="13" fillId="4" borderId="12" xfId="1" applyNumberFormat="1" applyFont="1" applyFill="1" applyBorder="1" applyAlignment="1">
      <alignment vertical="top"/>
    </xf>
    <xf numFmtId="0" fontId="12" fillId="4" borderId="18" xfId="1" applyFont="1" applyFill="1" applyBorder="1" applyAlignment="1">
      <alignment vertical="top"/>
    </xf>
    <xf numFmtId="0" fontId="14" fillId="4" borderId="23" xfId="1" applyFont="1" applyFill="1" applyBorder="1" applyAlignment="1">
      <alignment vertical="top"/>
    </xf>
    <xf numFmtId="0" fontId="15" fillId="0" borderId="24" xfId="0" applyFont="1" applyBorder="1" applyAlignment="1">
      <alignment vertical="top"/>
    </xf>
    <xf numFmtId="169" fontId="3" fillId="5" borderId="24" xfId="1" applyNumberFormat="1" applyFont="1" applyFill="1" applyBorder="1" applyAlignment="1">
      <alignment vertical="top"/>
    </xf>
    <xf numFmtId="0" fontId="1" fillId="0" borderId="1" xfId="1" applyFont="1" applyAlignment="1">
      <alignment horizontal="right"/>
    </xf>
    <xf numFmtId="0" fontId="7" fillId="0" borderId="1" xfId="1" applyFont="1" applyAlignment="1">
      <alignment vertical="top"/>
    </xf>
    <xf numFmtId="0" fontId="7" fillId="0" borderId="1" xfId="1" applyFont="1" applyAlignment="1">
      <alignment horizontal="right" vertical="top"/>
    </xf>
    <xf numFmtId="171" fontId="4" fillId="0" borderId="1" xfId="1" applyNumberFormat="1" applyFont="1" applyAlignment="1">
      <alignment horizontal="right" vertical="top"/>
    </xf>
    <xf numFmtId="0" fontId="4" fillId="0" borderId="1" xfId="1" applyFont="1" applyAlignment="1">
      <alignment horizontal="right" vertical="top"/>
    </xf>
    <xf numFmtId="172" fontId="4" fillId="0" borderId="1" xfId="1" applyNumberFormat="1" applyFont="1" applyAlignment="1">
      <alignment horizontal="right" vertical="top"/>
    </xf>
    <xf numFmtId="0" fontId="4" fillId="0" borderId="1" xfId="1" applyFont="1" applyAlignment="1">
      <alignment horizontal="right"/>
    </xf>
    <xf numFmtId="174" fontId="4" fillId="0" borderId="1" xfId="1" applyNumberFormat="1" applyFont="1" applyAlignment="1">
      <alignment horizontal="right" vertical="top"/>
    </xf>
    <xf numFmtId="178" fontId="4" fillId="0" borderId="1" xfId="1" applyNumberFormat="1" applyFont="1" applyAlignment="1">
      <alignment horizontal="right" vertical="top"/>
    </xf>
    <xf numFmtId="0" fontId="1" fillId="0" borderId="1" xfId="0" applyFont="1" applyAlignment="1">
      <alignment horizontal="right"/>
    </xf>
    <xf numFmtId="0" fontId="7" fillId="2" borderId="1" xfId="1" applyFont="1" applyFill="1" applyAlignment="1">
      <alignment vertical="top"/>
    </xf>
    <xf numFmtId="0" fontId="7" fillId="2" borderId="1" xfId="1" applyFont="1" applyFill="1" applyAlignment="1">
      <alignment horizontal="right" vertical="top"/>
    </xf>
    <xf numFmtId="0" fontId="13" fillId="4" borderId="12" xfId="1" applyFont="1" applyFill="1" applyBorder="1" applyAlignment="1">
      <alignment vertical="top"/>
    </xf>
    <xf numFmtId="0" fontId="13" fillId="4" borderId="12" xfId="1" applyFont="1" applyFill="1" applyBorder="1" applyAlignment="1">
      <alignment horizontal="right"/>
    </xf>
    <xf numFmtId="0" fontId="13" fillId="4" borderId="12" xfId="1" applyFont="1" applyFill="1" applyBorder="1" applyAlignment="1">
      <alignment horizontal="right" vertical="top"/>
    </xf>
    <xf numFmtId="169" fontId="4" fillId="0" borderId="1" xfId="1" applyNumberFormat="1" applyFont="1" applyAlignment="1">
      <alignment horizontal="right" vertical="top"/>
    </xf>
    <xf numFmtId="170" fontId="3" fillId="5" borderId="1" xfId="0" applyNumberFormat="1" applyFont="1" applyFill="1"/>
    <xf numFmtId="0" fontId="20" fillId="0" borderId="1" xfId="0" applyFont="1" applyAlignment="1">
      <alignment vertical="top"/>
    </xf>
    <xf numFmtId="0" fontId="21" fillId="0" borderId="1" xfId="0" applyFont="1" applyAlignment="1">
      <alignment vertical="top"/>
    </xf>
    <xf numFmtId="0" fontId="23" fillId="0" borderId="1" xfId="0" applyFont="1" applyAlignment="1">
      <alignment horizontal="center" vertical="top"/>
    </xf>
    <xf numFmtId="0" fontId="23" fillId="5" borderId="1" xfId="0" applyFont="1" applyFill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0" fontId="23" fillId="0" borderId="1" xfId="0" applyFont="1" applyAlignment="1">
      <alignment horizontal="left" vertical="top" indent="1"/>
    </xf>
    <xf numFmtId="0" fontId="15" fillId="0" borderId="1" xfId="0" applyFont="1" applyAlignment="1">
      <alignment horizontal="left" vertical="top" indent="2"/>
    </xf>
    <xf numFmtId="0" fontId="23" fillId="0" borderId="6" xfId="0" applyFont="1" applyBorder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166" fontId="5" fillId="0" borderId="1" xfId="0" applyNumberFormat="1" applyFont="1" applyAlignment="1">
      <alignment vertical="top"/>
    </xf>
    <xf numFmtId="0" fontId="22" fillId="0" borderId="1" xfId="0" applyFont="1" applyAlignment="1">
      <alignment vertical="top"/>
    </xf>
    <xf numFmtId="49" fontId="23" fillId="5" borderId="1" xfId="0" applyNumberFormat="1" applyFont="1" applyFill="1" applyAlignment="1">
      <alignment horizontal="center" vertical="top"/>
    </xf>
    <xf numFmtId="0" fontId="5" fillId="0" borderId="1" xfId="0" applyFont="1"/>
    <xf numFmtId="0" fontId="25" fillId="0" borderId="1" xfId="0" applyFont="1" applyAlignment="1">
      <alignment vertical="top"/>
    </xf>
    <xf numFmtId="0" fontId="23" fillId="0" borderId="1" xfId="0" applyFont="1" applyAlignment="1">
      <alignment horizontal="left" vertical="top" indent="2"/>
    </xf>
    <xf numFmtId="0" fontId="22" fillId="0" borderId="1" xfId="0" applyFont="1" applyAlignment="1">
      <alignment horizontal="left" vertical="top" indent="1"/>
    </xf>
    <xf numFmtId="0" fontId="23" fillId="0" borderId="1" xfId="0" applyFont="1" applyAlignment="1">
      <alignment vertical="top"/>
    </xf>
    <xf numFmtId="0" fontId="22" fillId="0" borderId="1" xfId="0" applyFont="1" applyAlignment="1">
      <alignment horizontal="left" vertical="top" indent="3"/>
    </xf>
    <xf numFmtId="0" fontId="22" fillId="0" borderId="4" xfId="0" applyFont="1" applyBorder="1" applyAlignment="1">
      <alignment horizontal="center" vertical="top"/>
    </xf>
    <xf numFmtId="179" fontId="5" fillId="0" borderId="1" xfId="0" applyNumberFormat="1" applyFont="1" applyAlignment="1">
      <alignment vertical="top"/>
    </xf>
    <xf numFmtId="0" fontId="20" fillId="0" borderId="1" xfId="1" applyFont="1" applyAlignment="1">
      <alignment vertical="top"/>
    </xf>
    <xf numFmtId="0" fontId="21" fillId="0" borderId="1" xfId="1" applyFont="1" applyAlignment="1">
      <alignment vertical="top"/>
    </xf>
    <xf numFmtId="0" fontId="5" fillId="0" borderId="1" xfId="1" applyFont="1" applyAlignment="1">
      <alignment horizontal="left" vertical="top" indent="2"/>
    </xf>
    <xf numFmtId="177" fontId="5" fillId="5" borderId="1" xfId="1" applyNumberFormat="1" applyFont="1" applyFill="1" applyAlignment="1">
      <alignment vertical="top"/>
    </xf>
    <xf numFmtId="177" fontId="5" fillId="0" borderId="1" xfId="1" applyNumberFormat="1" applyFont="1" applyAlignment="1">
      <alignment vertical="top"/>
    </xf>
    <xf numFmtId="164" fontId="5" fillId="0" borderId="1" xfId="1" applyNumberFormat="1" applyFont="1" applyAlignment="1">
      <alignment vertical="top"/>
    </xf>
    <xf numFmtId="176" fontId="5" fillId="0" borderId="1" xfId="1" applyNumberFormat="1" applyFont="1" applyAlignment="1">
      <alignment vertical="top"/>
    </xf>
    <xf numFmtId="49" fontId="22" fillId="0" borderId="4" xfId="1" applyNumberFormat="1" applyFont="1" applyBorder="1" applyAlignment="1">
      <alignment horizontal="center" vertical="top"/>
    </xf>
    <xf numFmtId="0" fontId="25" fillId="0" borderId="1" xfId="1" applyFont="1" applyAlignment="1">
      <alignment vertical="top"/>
    </xf>
    <xf numFmtId="0" fontId="5" fillId="0" borderId="1" xfId="1" applyFont="1"/>
    <xf numFmtId="49" fontId="22" fillId="5" borderId="4" xfId="1" applyNumberFormat="1" applyFont="1" applyFill="1" applyBorder="1" applyAlignment="1">
      <alignment horizontal="center" vertical="top"/>
    </xf>
    <xf numFmtId="0" fontId="5" fillId="0" borderId="1" xfId="1" applyFont="1" applyAlignment="1">
      <alignment horizontal="left" vertical="top" indent="1"/>
    </xf>
    <xf numFmtId="0" fontId="23" fillId="0" borderId="1" xfId="1" applyFont="1" applyAlignment="1">
      <alignment vertical="top"/>
    </xf>
    <xf numFmtId="169" fontId="5" fillId="0" borderId="1" xfId="1" applyNumberFormat="1" applyFont="1" applyAlignment="1">
      <alignment vertical="top"/>
    </xf>
    <xf numFmtId="0" fontId="22" fillId="0" borderId="1" xfId="1" applyFont="1" applyAlignment="1">
      <alignment horizontal="center" vertical="top"/>
    </xf>
    <xf numFmtId="169" fontId="5" fillId="3" borderId="1" xfId="1" applyNumberFormat="1" applyFont="1" applyFill="1" applyAlignment="1">
      <alignment vertical="top"/>
    </xf>
    <xf numFmtId="175" fontId="3" fillId="5" borderId="1" xfId="1" applyNumberFormat="1" applyFont="1" applyFill="1" applyAlignment="1">
      <alignment vertical="top"/>
    </xf>
    <xf numFmtId="175" fontId="5" fillId="0" borderId="1" xfId="1" applyNumberFormat="1" applyFont="1" applyAlignment="1">
      <alignment vertical="top"/>
    </xf>
    <xf numFmtId="168" fontId="23" fillId="0" borderId="24" xfId="1" applyNumberFormat="1" applyFont="1" applyBorder="1" applyAlignment="1">
      <alignment vertical="top"/>
    </xf>
    <xf numFmtId="169" fontId="3" fillId="5" borderId="3" xfId="1" applyNumberFormat="1" applyFont="1" applyFill="1" applyBorder="1" applyAlignment="1">
      <alignment vertical="top"/>
    </xf>
    <xf numFmtId="169" fontId="5" fillId="0" borderId="3" xfId="1" applyNumberFormat="1" applyFont="1" applyBorder="1" applyAlignment="1">
      <alignment horizontal="center" vertical="top"/>
    </xf>
    <xf numFmtId="169" fontId="22" fillId="3" borderId="3" xfId="1" applyNumberFormat="1" applyFont="1" applyFill="1" applyBorder="1" applyAlignment="1">
      <alignment horizontal="center" vertical="top"/>
    </xf>
    <xf numFmtId="0" fontId="5" fillId="2" borderId="1" xfId="1" applyFont="1" applyFill="1" applyAlignment="1">
      <alignment vertical="top"/>
    </xf>
    <xf numFmtId="0" fontId="5" fillId="0" borderId="1" xfId="1" applyFont="1" applyAlignment="1">
      <alignment vertical="top"/>
    </xf>
    <xf numFmtId="173" fontId="3" fillId="5" borderId="1" xfId="1" applyNumberFormat="1" applyFont="1" applyFill="1" applyAlignment="1">
      <alignment horizontal="left" vertical="top"/>
    </xf>
    <xf numFmtId="173" fontId="5" fillId="0" borderId="1" xfId="1" applyNumberFormat="1" applyFont="1" applyAlignment="1">
      <alignment horizontal="left" vertical="top"/>
    </xf>
    <xf numFmtId="174" fontId="4" fillId="0" borderId="1" xfId="0" applyNumberFormat="1" applyFont="1" applyAlignment="1">
      <alignment horizontal="right"/>
    </xf>
    <xf numFmtId="180" fontId="22" fillId="5" borderId="1" xfId="0" applyNumberFormat="1" applyFont="1" applyFill="1" applyAlignment="1">
      <alignment horizontal="center" vertical="top"/>
    </xf>
    <xf numFmtId="181" fontId="22" fillId="5" borderId="1" xfId="0" applyNumberFormat="1" applyFont="1" applyFill="1" applyAlignment="1">
      <alignment horizontal="center" vertical="top"/>
    </xf>
    <xf numFmtId="0" fontId="24" fillId="0" borderId="15" xfId="0" applyFont="1" applyBorder="1" applyAlignment="1">
      <alignment horizontal="left" vertical="top" indent="3"/>
    </xf>
    <xf numFmtId="0" fontId="17" fillId="0" borderId="15" xfId="0" applyFont="1" applyBorder="1"/>
    <xf numFmtId="0" fontId="9" fillId="0" borderId="15" xfId="0" applyFont="1" applyBorder="1"/>
    <xf numFmtId="169" fontId="17" fillId="0" borderId="15" xfId="0" applyNumberFormat="1" applyFont="1" applyBorder="1" applyAlignment="1">
      <alignment vertical="top"/>
    </xf>
    <xf numFmtId="0" fontId="26" fillId="0" borderId="7" xfId="0" applyFont="1" applyBorder="1" applyAlignment="1">
      <alignment vertical="top"/>
    </xf>
    <xf numFmtId="164" fontId="17" fillId="0" borderId="7" xfId="0" applyNumberFormat="1" applyFont="1" applyBorder="1" applyAlignment="1">
      <alignment vertical="top"/>
    </xf>
    <xf numFmtId="164" fontId="24" fillId="0" borderId="15" xfId="0" applyNumberFormat="1" applyFont="1" applyBorder="1" applyAlignment="1">
      <alignment vertical="top"/>
    </xf>
    <xf numFmtId="0" fontId="26" fillId="0" borderId="9" xfId="0" applyFont="1" applyBorder="1" applyAlignment="1">
      <alignment vertical="top"/>
    </xf>
    <xf numFmtId="164" fontId="17" fillId="0" borderId="9" xfId="0" applyNumberFormat="1" applyFont="1" applyBorder="1" applyAlignment="1">
      <alignment vertical="top"/>
    </xf>
    <xf numFmtId="0" fontId="26" fillId="0" borderId="15" xfId="0" applyFont="1" applyBorder="1" applyAlignment="1">
      <alignment vertical="top"/>
    </xf>
    <xf numFmtId="164" fontId="17" fillId="0" borderId="15" xfId="0" applyNumberFormat="1" applyFont="1" applyBorder="1" applyAlignment="1">
      <alignment vertical="top"/>
    </xf>
    <xf numFmtId="0" fontId="21" fillId="0" borderId="15" xfId="0" applyFont="1" applyBorder="1" applyAlignment="1">
      <alignment horizontal="left" vertical="top" indent="2"/>
    </xf>
    <xf numFmtId="177" fontId="17" fillId="0" borderId="9" xfId="0" applyNumberFormat="1" applyFont="1" applyBorder="1" applyAlignment="1">
      <alignment vertical="top"/>
    </xf>
    <xf numFmtId="0" fontId="26" fillId="0" borderId="7" xfId="0" applyFont="1" applyBorder="1" applyAlignment="1">
      <alignment horizontal="left" vertical="top" indent="1"/>
    </xf>
    <xf numFmtId="0" fontId="26" fillId="0" borderId="9" xfId="0" applyFont="1" applyBorder="1" applyAlignment="1">
      <alignment horizontal="left" vertical="top" indent="2"/>
    </xf>
    <xf numFmtId="0" fontId="26" fillId="0" borderId="21" xfId="0" applyFont="1" applyBorder="1" applyAlignment="1">
      <alignment vertical="top"/>
    </xf>
    <xf numFmtId="164" fontId="17" fillId="0" borderId="21" xfId="0" applyNumberFormat="1" applyFont="1" applyBorder="1" applyAlignment="1">
      <alignment vertical="top"/>
    </xf>
    <xf numFmtId="164" fontId="16" fillId="0" borderId="9" xfId="0" applyNumberFormat="1" applyFont="1" applyBorder="1" applyAlignment="1">
      <alignment vertical="top"/>
    </xf>
    <xf numFmtId="164" fontId="16" fillId="0" borderId="7" xfId="0" applyNumberFormat="1" applyFont="1" applyBorder="1" applyAlignment="1">
      <alignment vertical="top"/>
    </xf>
    <xf numFmtId="0" fontId="9" fillId="0" borderId="9" xfId="0" applyFont="1" applyBorder="1"/>
    <xf numFmtId="179" fontId="17" fillId="0" borderId="9" xfId="0" applyNumberFormat="1" applyFont="1" applyBorder="1" applyAlignment="1">
      <alignment vertical="top"/>
    </xf>
    <xf numFmtId="164" fontId="18" fillId="0" borderId="7" xfId="0" applyNumberFormat="1" applyFont="1" applyBorder="1" applyAlignment="1">
      <alignment vertical="top"/>
    </xf>
    <xf numFmtId="0" fontId="21" fillId="0" borderId="7" xfId="0" applyFont="1" applyBorder="1" applyAlignment="1">
      <alignment horizontal="left" vertical="top" indent="2"/>
    </xf>
    <xf numFmtId="169" fontId="17" fillId="0" borderId="7" xfId="0" applyNumberFormat="1" applyFont="1" applyBorder="1" applyAlignment="1">
      <alignment vertical="top"/>
    </xf>
    <xf numFmtId="0" fontId="26" fillId="0" borderId="9" xfId="1" applyFont="1" applyBorder="1" applyAlignment="1">
      <alignment horizontal="left" vertical="top" indent="2"/>
    </xf>
    <xf numFmtId="0" fontId="9" fillId="0" borderId="9" xfId="1" applyFont="1" applyBorder="1"/>
    <xf numFmtId="164" fontId="17" fillId="0" borderId="9" xfId="1" applyNumberFormat="1" applyFont="1" applyBorder="1" applyAlignment="1">
      <alignment vertical="top"/>
    </xf>
    <xf numFmtId="0" fontId="26" fillId="0" borderId="15" xfId="1" applyFont="1" applyBorder="1" applyAlignment="1">
      <alignment horizontal="left" vertical="top" indent="1"/>
    </xf>
    <xf numFmtId="0" fontId="16" fillId="0" borderId="15" xfId="1" applyFont="1" applyBorder="1" applyAlignment="1">
      <alignment vertical="top"/>
    </xf>
    <xf numFmtId="164" fontId="17" fillId="0" borderId="15" xfId="1" applyNumberFormat="1" applyFont="1" applyBorder="1" applyAlignment="1">
      <alignment vertical="top"/>
    </xf>
    <xf numFmtId="0" fontId="9" fillId="0" borderId="15" xfId="1" applyFont="1" applyBorder="1"/>
    <xf numFmtId="0" fontId="26" fillId="0" borderId="20" xfId="1" applyFont="1" applyBorder="1" applyAlignment="1">
      <alignment vertical="top"/>
    </xf>
    <xf numFmtId="0" fontId="16" fillId="0" borderId="20" xfId="1" applyFont="1" applyBorder="1" applyAlignment="1">
      <alignment vertical="top"/>
    </xf>
    <xf numFmtId="164" fontId="17" fillId="0" borderId="20" xfId="1" applyNumberFormat="1" applyFont="1" applyBorder="1" applyAlignment="1">
      <alignment vertical="top"/>
    </xf>
    <xf numFmtId="0" fontId="17" fillId="0" borderId="9" xfId="1" applyFont="1" applyBorder="1"/>
    <xf numFmtId="164" fontId="18" fillId="0" borderId="9" xfId="1" applyNumberFormat="1" applyFont="1" applyBorder="1" applyAlignment="1">
      <alignment vertical="top"/>
    </xf>
    <xf numFmtId="0" fontId="26" fillId="0" borderId="7" xfId="1" applyFont="1" applyBorder="1" applyAlignment="1">
      <alignment vertical="top"/>
    </xf>
    <xf numFmtId="0" fontId="16" fillId="0" borderId="7" xfId="1" applyFont="1" applyBorder="1" applyAlignment="1">
      <alignment vertical="top"/>
    </xf>
    <xf numFmtId="164" fontId="17" fillId="0" borderId="7" xfId="1" applyNumberFormat="1" applyFont="1" applyBorder="1" applyAlignment="1">
      <alignment vertical="top"/>
    </xf>
    <xf numFmtId="0" fontId="26" fillId="0" borderId="9" xfId="1" applyFont="1" applyBorder="1" applyAlignment="1">
      <alignment vertical="top"/>
    </xf>
    <xf numFmtId="0" fontId="26" fillId="0" borderId="21" xfId="1" applyFont="1" applyBorder="1" applyAlignment="1">
      <alignment vertical="top"/>
    </xf>
    <xf numFmtId="0" fontId="16" fillId="0" borderId="21" xfId="1" applyFont="1" applyBorder="1" applyAlignment="1">
      <alignment vertical="top"/>
    </xf>
    <xf numFmtId="164" fontId="17" fillId="0" borderId="21" xfId="1" applyNumberFormat="1" applyFont="1" applyBorder="1" applyAlignment="1">
      <alignment vertical="top"/>
    </xf>
    <xf numFmtId="0" fontId="26" fillId="0" borderId="9" xfId="1" applyFont="1" applyBorder="1" applyAlignment="1">
      <alignment horizontal="left" vertical="top" indent="1"/>
    </xf>
    <xf numFmtId="165" fontId="17" fillId="0" borderId="9" xfId="1" applyNumberFormat="1" applyFont="1" applyBorder="1" applyAlignment="1">
      <alignment vertical="top"/>
    </xf>
    <xf numFmtId="0" fontId="26" fillId="0" borderId="7" xfId="1" applyFont="1" applyBorder="1" applyAlignment="1">
      <alignment horizontal="left" vertical="top" indent="2"/>
    </xf>
    <xf numFmtId="0" fontId="26" fillId="0" borderId="7" xfId="1" applyFont="1" applyBorder="1" applyAlignment="1">
      <alignment horizontal="left" vertical="top" indent="1"/>
    </xf>
    <xf numFmtId="0" fontId="26" fillId="0" borderId="15" xfId="1" applyFont="1" applyBorder="1" applyAlignment="1">
      <alignment vertical="top"/>
    </xf>
    <xf numFmtId="167" fontId="16" fillId="0" borderId="9" xfId="1" applyNumberFormat="1" applyFont="1" applyBorder="1" applyAlignment="1">
      <alignment vertical="top"/>
    </xf>
    <xf numFmtId="169" fontId="17" fillId="0" borderId="9" xfId="1" applyNumberFormat="1" applyFont="1" applyBorder="1" applyAlignment="1">
      <alignment vertical="top"/>
    </xf>
    <xf numFmtId="0" fontId="17" fillId="0" borderId="9" xfId="1" applyFont="1" applyBorder="1" applyAlignment="1">
      <alignment vertical="top"/>
    </xf>
    <xf numFmtId="0" fontId="16" fillId="0" borderId="9" xfId="1" applyFont="1" applyBorder="1" applyAlignment="1">
      <alignment vertical="top"/>
    </xf>
    <xf numFmtId="172" fontId="18" fillId="0" borderId="9" xfId="1" applyNumberFormat="1" applyFont="1" applyBorder="1" applyAlignment="1">
      <alignment horizontal="right" vertical="top"/>
    </xf>
    <xf numFmtId="178" fontId="18" fillId="0" borderId="9" xfId="1" applyNumberFormat="1" applyFont="1" applyBorder="1" applyAlignment="1">
      <alignment horizontal="right" vertical="top"/>
    </xf>
    <xf numFmtId="170" fontId="3" fillId="0" borderId="1" xfId="0" applyNumberFormat="1" applyFont="1"/>
  </cellXfs>
  <cellStyles count="2">
    <cellStyle name="Normal" xfId="0" builtinId="0"/>
    <cellStyle name="Normal 2" xfId="1" xr:uid="{618FEBE6-9A9E-49A3-830B-C50D0B2C9999}"/>
  </cellStyles>
  <dxfs count="1">
    <dxf>
      <font>
        <color theme="1"/>
      </font>
    </dxf>
  </dxfs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sheetPr>
    <tabColor rgb="FF1F3864"/>
  </sheetPr>
  <dimension ref="B2:M110"/>
  <sheetViews>
    <sheetView showGridLines="0" tabSelected="1" zoomScaleNormal="100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3" ht="15" customHeight="1" x14ac:dyDescent="0.3">
      <c r="B2" s="10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15" customHeight="1" x14ac:dyDescent="0.3">
      <c r="B3" s="101" t="s">
        <v>375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13" ht="15" customHeight="1" x14ac:dyDescent="0.3">
      <c r="B4" s="129" t="s">
        <v>373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13" ht="15" customHeight="1" x14ac:dyDescent="0.3">
      <c r="B5" s="15" t="s">
        <v>1</v>
      </c>
      <c r="C5" s="16"/>
      <c r="D5" s="16"/>
      <c r="E5" s="16"/>
      <c r="F5" s="16"/>
      <c r="G5" s="16"/>
      <c r="H5" s="16"/>
      <c r="I5" s="16"/>
      <c r="J5" s="16"/>
      <c r="K5" s="16"/>
    </row>
    <row r="6" spans="2:13" ht="15" customHeight="1" x14ac:dyDescent="0.3">
      <c r="B6" s="17" t="s">
        <v>2</v>
      </c>
      <c r="C6" s="18"/>
      <c r="D6" s="19" t="s">
        <v>3</v>
      </c>
      <c r="E6" s="18"/>
      <c r="F6" s="18"/>
      <c r="G6" s="18"/>
      <c r="H6" s="18"/>
      <c r="I6" s="18"/>
      <c r="J6" s="18"/>
      <c r="K6" s="18"/>
      <c r="L6" s="11"/>
      <c r="M6" s="11"/>
    </row>
    <row r="7" spans="2:13" ht="15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2:13" ht="15" customHeight="1" x14ac:dyDescent="0.3">
      <c r="B8" s="20" t="s">
        <v>4</v>
      </c>
      <c r="C8" s="20"/>
      <c r="D8" s="20"/>
      <c r="E8" s="20"/>
      <c r="F8" s="20"/>
      <c r="G8" s="20" t="s">
        <v>5</v>
      </c>
      <c r="H8" s="20"/>
      <c r="I8" s="20"/>
      <c r="J8" s="20"/>
      <c r="K8" s="20"/>
      <c r="L8" s="133"/>
      <c r="M8" s="133"/>
    </row>
    <row r="9" spans="2:13" ht="15" customHeight="1" x14ac:dyDescent="0.3">
      <c r="B9" s="11"/>
      <c r="C9" s="11"/>
      <c r="D9" s="148">
        <v>2021</v>
      </c>
      <c r="E9" s="148">
        <v>2022</v>
      </c>
      <c r="F9" s="148">
        <v>2023</v>
      </c>
      <c r="G9" s="149">
        <v>2024</v>
      </c>
      <c r="H9" s="149">
        <v>2025</v>
      </c>
      <c r="I9" s="149">
        <v>2026</v>
      </c>
      <c r="J9" s="149">
        <v>2027</v>
      </c>
      <c r="K9" s="149">
        <v>2028</v>
      </c>
      <c r="L9" s="11"/>
      <c r="M9" s="11"/>
    </row>
    <row r="10" spans="2:13" ht="15" customHeight="1" thickBot="1" x14ac:dyDescent="0.3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2:13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</row>
    <row r="12" spans="2:13" ht="15" customHeight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2:13" ht="15" customHeight="1" x14ac:dyDescent="0.3">
      <c r="B13" s="13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1"/>
      <c r="M13" s="11"/>
    </row>
    <row r="14" spans="2:13" ht="15" customHeight="1" x14ac:dyDescent="0.3">
      <c r="B14" s="11"/>
      <c r="C14" s="102" t="s">
        <v>8</v>
      </c>
      <c r="D14" s="103">
        <v>2021</v>
      </c>
      <c r="E14" s="103">
        <v>2022</v>
      </c>
      <c r="F14" s="103">
        <v>2023</v>
      </c>
      <c r="G14" s="103">
        <v>2024</v>
      </c>
      <c r="H14" s="103">
        <v>2025</v>
      </c>
      <c r="I14" s="103">
        <v>2026</v>
      </c>
      <c r="J14" s="103">
        <v>2027</v>
      </c>
      <c r="K14" s="103">
        <v>2028</v>
      </c>
      <c r="L14" s="11"/>
      <c r="M14" s="11"/>
    </row>
    <row r="15" spans="2:13" ht="15.75" customHeight="1" x14ac:dyDescent="0.3">
      <c r="B15" s="104" t="s">
        <v>9</v>
      </c>
      <c r="C15" s="105" t="s">
        <v>3</v>
      </c>
      <c r="D15" s="11"/>
      <c r="E15" s="11"/>
      <c r="F15" s="11"/>
      <c r="G15" s="24">
        <v>8.5000000000000006E-2</v>
      </c>
      <c r="H15" s="24">
        <v>7.4999999999999997E-2</v>
      </c>
      <c r="I15" s="24">
        <v>6.5000000000000002E-2</v>
      </c>
      <c r="J15" s="24">
        <v>5.5E-2</v>
      </c>
      <c r="K15" s="24">
        <v>0.05</v>
      </c>
      <c r="L15" s="11"/>
      <c r="M15" s="11"/>
    </row>
    <row r="16" spans="2:13" ht="15.75" customHeight="1" x14ac:dyDescent="0.3">
      <c r="B16" s="11"/>
      <c r="C16" s="105" t="s">
        <v>10</v>
      </c>
      <c r="D16" s="11"/>
      <c r="E16" s="11"/>
      <c r="F16" s="11"/>
      <c r="G16" s="24">
        <v>0.105</v>
      </c>
      <c r="H16" s="24">
        <v>9.5000000000000001E-2</v>
      </c>
      <c r="I16" s="24">
        <v>8.5000000000000006E-2</v>
      </c>
      <c r="J16" s="24">
        <v>7.4999999999999997E-2</v>
      </c>
      <c r="K16" s="24">
        <v>7.0000000000000007E-2</v>
      </c>
      <c r="L16" s="11"/>
      <c r="M16" s="11"/>
    </row>
    <row r="17" spans="2:13" ht="15.75" customHeight="1" x14ac:dyDescent="0.3">
      <c r="B17" s="11"/>
      <c r="C17" s="105" t="s">
        <v>11</v>
      </c>
      <c r="D17" s="11"/>
      <c r="E17" s="11"/>
      <c r="F17" s="11"/>
      <c r="G17" s="24">
        <v>0.06</v>
      </c>
      <c r="H17" s="24">
        <v>0.05</v>
      </c>
      <c r="I17" s="24">
        <v>0.04</v>
      </c>
      <c r="J17" s="24">
        <v>3.5000000000000003E-2</v>
      </c>
      <c r="K17" s="24">
        <v>0.03</v>
      </c>
      <c r="L17" s="11"/>
      <c r="M17" s="11"/>
    </row>
    <row r="18" spans="2:13" ht="15" customHeigh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2:13" ht="15.75" customHeight="1" x14ac:dyDescent="0.3">
      <c r="B19" s="104" t="s">
        <v>12</v>
      </c>
      <c r="C19" s="105" t="s">
        <v>3</v>
      </c>
      <c r="D19" s="11"/>
      <c r="E19" s="11"/>
      <c r="F19" s="11"/>
      <c r="G19" s="24">
        <v>0.15</v>
      </c>
      <c r="H19" s="24">
        <v>0.13</v>
      </c>
      <c r="I19" s="24">
        <v>0.11</v>
      </c>
      <c r="J19" s="24">
        <v>0.1</v>
      </c>
      <c r="K19" s="24">
        <v>0.09</v>
      </c>
      <c r="L19" s="11"/>
      <c r="M19" s="11"/>
    </row>
    <row r="20" spans="2:13" ht="15.75" customHeight="1" x14ac:dyDescent="0.3">
      <c r="B20" s="11"/>
      <c r="C20" s="105" t="s">
        <v>10</v>
      </c>
      <c r="D20" s="11"/>
      <c r="E20" s="11"/>
      <c r="F20" s="11"/>
      <c r="G20" s="24">
        <v>0.18</v>
      </c>
      <c r="H20" s="24">
        <v>0.16</v>
      </c>
      <c r="I20" s="24">
        <v>0.14000000000000001</v>
      </c>
      <c r="J20" s="24">
        <v>0.12</v>
      </c>
      <c r="K20" s="24">
        <v>0.11</v>
      </c>
      <c r="L20" s="11"/>
      <c r="M20" s="11"/>
    </row>
    <row r="21" spans="2:13" ht="15.75" customHeight="1" x14ac:dyDescent="0.3">
      <c r="B21" s="11"/>
      <c r="C21" s="105" t="s">
        <v>11</v>
      </c>
      <c r="D21" s="11"/>
      <c r="E21" s="11"/>
      <c r="F21" s="11"/>
      <c r="G21" s="24">
        <v>0.12</v>
      </c>
      <c r="H21" s="24">
        <v>0.1</v>
      </c>
      <c r="I21" s="24">
        <v>0.08</v>
      </c>
      <c r="J21" s="24">
        <v>7.0000000000000007E-2</v>
      </c>
      <c r="K21" s="24">
        <v>0.06</v>
      </c>
      <c r="L21" s="11"/>
      <c r="M21" s="11"/>
    </row>
    <row r="22" spans="2:13" ht="15" customHeight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2:13" ht="15.75" customHeight="1" x14ac:dyDescent="0.3">
      <c r="B23" s="104" t="s">
        <v>13</v>
      </c>
      <c r="C23" s="105" t="s">
        <v>3</v>
      </c>
      <c r="D23" s="11"/>
      <c r="E23" s="11"/>
      <c r="F23" s="11"/>
      <c r="G23" s="24">
        <v>0.28000000000000003</v>
      </c>
      <c r="H23" s="24">
        <v>0.25</v>
      </c>
      <c r="I23" s="24">
        <v>0.22</v>
      </c>
      <c r="J23" s="24">
        <v>0.2</v>
      </c>
      <c r="K23" s="24">
        <v>0.18</v>
      </c>
      <c r="L23" s="11"/>
      <c r="M23" s="11"/>
    </row>
    <row r="24" spans="2:13" ht="15.75" customHeight="1" x14ac:dyDescent="0.3">
      <c r="B24" s="11"/>
      <c r="C24" s="105" t="s">
        <v>10</v>
      </c>
      <c r="D24" s="11"/>
      <c r="E24" s="11"/>
      <c r="F24" s="11"/>
      <c r="G24" s="24">
        <v>0.32</v>
      </c>
      <c r="H24" s="24">
        <v>0.3</v>
      </c>
      <c r="I24" s="24">
        <v>0.27</v>
      </c>
      <c r="J24" s="24">
        <v>0.24</v>
      </c>
      <c r="K24" s="24">
        <v>0.22</v>
      </c>
      <c r="L24" s="11"/>
      <c r="M24" s="11"/>
    </row>
    <row r="25" spans="2:13" ht="15.75" customHeight="1" x14ac:dyDescent="0.3">
      <c r="B25" s="11"/>
      <c r="C25" s="105" t="s">
        <v>11</v>
      </c>
      <c r="D25" s="11"/>
      <c r="E25" s="11"/>
      <c r="F25" s="11"/>
      <c r="G25" s="24">
        <v>0.24</v>
      </c>
      <c r="H25" s="24">
        <v>0.2</v>
      </c>
      <c r="I25" s="24">
        <v>0.17</v>
      </c>
      <c r="J25" s="24">
        <v>0.15</v>
      </c>
      <c r="K25" s="24">
        <v>0.14000000000000001</v>
      </c>
      <c r="L25" s="11"/>
      <c r="M25" s="11"/>
    </row>
    <row r="26" spans="2:13" ht="15" customHeight="1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2:13" ht="15.75" customHeight="1" x14ac:dyDescent="0.3">
      <c r="B27" s="104" t="s">
        <v>14</v>
      </c>
      <c r="C27" s="105" t="s">
        <v>3</v>
      </c>
      <c r="D27" s="11"/>
      <c r="E27" s="11"/>
      <c r="F27" s="11"/>
      <c r="G27" s="24">
        <v>0.05</v>
      </c>
      <c r="H27" s="24">
        <v>4.4999999999999998E-2</v>
      </c>
      <c r="I27" s="24">
        <v>0.04</v>
      </c>
      <c r="J27" s="24">
        <v>3.5000000000000003E-2</v>
      </c>
      <c r="K27" s="24">
        <v>0.03</v>
      </c>
      <c r="L27" s="11"/>
      <c r="M27" s="11"/>
    </row>
    <row r="28" spans="2:13" ht="15.75" customHeight="1" x14ac:dyDescent="0.3">
      <c r="B28" s="11"/>
      <c r="C28" s="105" t="s">
        <v>10</v>
      </c>
      <c r="D28" s="11"/>
      <c r="E28" s="11"/>
      <c r="F28" s="11"/>
      <c r="G28" s="24">
        <v>7.0000000000000007E-2</v>
      </c>
      <c r="H28" s="24">
        <v>0.06</v>
      </c>
      <c r="I28" s="24">
        <v>5.5E-2</v>
      </c>
      <c r="J28" s="24">
        <v>0.05</v>
      </c>
      <c r="K28" s="24">
        <v>4.4999999999999998E-2</v>
      </c>
      <c r="L28" s="11"/>
      <c r="M28" s="11"/>
    </row>
    <row r="29" spans="2:13" ht="15.75" customHeight="1" x14ac:dyDescent="0.3">
      <c r="B29" s="11"/>
      <c r="C29" s="105" t="s">
        <v>11</v>
      </c>
      <c r="D29" s="11"/>
      <c r="E29" s="11"/>
      <c r="F29" s="11"/>
      <c r="G29" s="24">
        <v>0.03</v>
      </c>
      <c r="H29" s="24">
        <v>2.5000000000000001E-2</v>
      </c>
      <c r="I29" s="24">
        <v>0.02</v>
      </c>
      <c r="J29" s="24">
        <v>1.4999999999999999E-2</v>
      </c>
      <c r="K29" s="24">
        <v>0.01</v>
      </c>
      <c r="L29" s="11"/>
      <c r="M29" s="11"/>
    </row>
    <row r="30" spans="2:13" ht="15" customHeight="1" thickBot="1" x14ac:dyDescent="0.3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2:13" ht="15" customHeight="1" x14ac:dyDescent="0.3">
      <c r="B31" s="21" t="s">
        <v>15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2:13" ht="15" customHeight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2:13" ht="15" customHeight="1" x14ac:dyDescent="0.3">
      <c r="B33" s="13" t="s">
        <v>16</v>
      </c>
      <c r="C33" s="14"/>
      <c r="D33" s="14"/>
      <c r="E33" s="14"/>
      <c r="F33" s="14"/>
      <c r="G33" s="14"/>
      <c r="H33" s="14"/>
      <c r="I33" s="14"/>
      <c r="J33" s="14"/>
      <c r="K33" s="14"/>
      <c r="L33" s="11"/>
      <c r="M33" s="11"/>
    </row>
    <row r="34" spans="2:13" ht="15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ht="15" customHeight="1" x14ac:dyDescent="0.3">
      <c r="B35" s="104" t="s">
        <v>17</v>
      </c>
      <c r="C35" s="105" t="s">
        <v>3</v>
      </c>
      <c r="D35" s="24">
        <v>0.151</v>
      </c>
      <c r="E35" s="24">
        <v>0.14800000000000002</v>
      </c>
      <c r="F35" s="24">
        <v>0.14499999999999999</v>
      </c>
      <c r="G35" s="24">
        <v>0.14300000000000002</v>
      </c>
      <c r="H35" s="24">
        <v>0.14000000000000001</v>
      </c>
      <c r="I35" s="24">
        <v>0.13800000000000001</v>
      </c>
      <c r="J35" s="24">
        <v>0.13500000000000001</v>
      </c>
      <c r="K35" s="24">
        <v>0.13300000000000001</v>
      </c>
      <c r="L35" s="11"/>
      <c r="M35" s="11"/>
    </row>
    <row r="36" spans="2:13" ht="15" customHeight="1" x14ac:dyDescent="0.3">
      <c r="B36" s="11"/>
      <c r="C36" s="105" t="s">
        <v>10</v>
      </c>
      <c r="D36" s="24">
        <v>0.151</v>
      </c>
      <c r="E36" s="24">
        <v>0.14800000000000002</v>
      </c>
      <c r="F36" s="24">
        <v>0.14499999999999999</v>
      </c>
      <c r="G36" s="24">
        <v>0.13800000000000001</v>
      </c>
      <c r="H36" s="24">
        <v>0.13500000000000001</v>
      </c>
      <c r="I36" s="24">
        <v>0.13200000000000001</v>
      </c>
      <c r="J36" s="24">
        <v>0.13</v>
      </c>
      <c r="K36" s="24">
        <v>0.128</v>
      </c>
      <c r="L36" s="11"/>
      <c r="M36" s="11"/>
    </row>
    <row r="37" spans="2:13" ht="15.75" customHeight="1" x14ac:dyDescent="0.3">
      <c r="B37" s="11"/>
      <c r="C37" s="105" t="s">
        <v>11</v>
      </c>
      <c r="D37" s="24">
        <v>0.151</v>
      </c>
      <c r="E37" s="24">
        <v>0.14800000000000002</v>
      </c>
      <c r="F37" s="24">
        <v>0.14499999999999999</v>
      </c>
      <c r="G37" s="24">
        <v>0.14800000000000002</v>
      </c>
      <c r="H37" s="24">
        <v>0.14499999999999999</v>
      </c>
      <c r="I37" s="24">
        <v>0.14300000000000002</v>
      </c>
      <c r="J37" s="24">
        <v>0.14000000000000001</v>
      </c>
      <c r="K37" s="24">
        <v>0.13800000000000001</v>
      </c>
      <c r="L37" s="11"/>
      <c r="M37" s="11"/>
    </row>
    <row r="38" spans="2:13" ht="15.75" customHeight="1" x14ac:dyDescent="0.3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ht="15.75" customHeight="1" x14ac:dyDescent="0.3">
      <c r="B39" s="104" t="s">
        <v>18</v>
      </c>
      <c r="C39" s="105" t="s">
        <v>3</v>
      </c>
      <c r="D39" s="24">
        <v>0.115</v>
      </c>
      <c r="E39" s="24">
        <v>0.11199999999999999</v>
      </c>
      <c r="F39" s="24">
        <v>0.10800000000000001</v>
      </c>
      <c r="G39" s="24">
        <v>0.105</v>
      </c>
      <c r="H39" s="24">
        <v>0.10300000000000001</v>
      </c>
      <c r="I39" s="24">
        <v>0.1</v>
      </c>
      <c r="J39" s="24">
        <v>9.8000000000000004E-2</v>
      </c>
      <c r="K39" s="24">
        <v>9.5000000000000001E-2</v>
      </c>
      <c r="L39" s="11"/>
      <c r="M39" s="11"/>
    </row>
    <row r="40" spans="2:13" ht="15" customHeight="1" x14ac:dyDescent="0.3">
      <c r="B40" s="11"/>
      <c r="C40" s="105" t="s">
        <v>10</v>
      </c>
      <c r="D40" s="24">
        <v>0.115</v>
      </c>
      <c r="E40" s="24">
        <v>0.11199999999999999</v>
      </c>
      <c r="F40" s="24">
        <v>0.10800000000000001</v>
      </c>
      <c r="G40" s="24">
        <v>0.10199999999999999</v>
      </c>
      <c r="H40" s="24">
        <v>0.1</v>
      </c>
      <c r="I40" s="24">
        <v>9.6999999999999989E-2</v>
      </c>
      <c r="J40" s="24">
        <v>9.5000000000000001E-2</v>
      </c>
      <c r="K40" s="24">
        <v>9.1999999999999998E-2</v>
      </c>
      <c r="L40" s="11"/>
      <c r="M40" s="11"/>
    </row>
    <row r="41" spans="2:13" ht="15.75" customHeight="1" x14ac:dyDescent="0.3">
      <c r="B41" s="11"/>
      <c r="C41" s="105" t="s">
        <v>11</v>
      </c>
      <c r="D41" s="24">
        <v>0.115</v>
      </c>
      <c r="E41" s="24">
        <v>0.11199999999999999</v>
      </c>
      <c r="F41" s="24">
        <v>0.10800000000000001</v>
      </c>
      <c r="G41" s="24">
        <v>0.10800000000000001</v>
      </c>
      <c r="H41" s="24">
        <v>0.106</v>
      </c>
      <c r="I41" s="24">
        <v>0.10300000000000001</v>
      </c>
      <c r="J41" s="24">
        <v>0.10099999999999999</v>
      </c>
      <c r="K41" s="24">
        <v>9.8000000000000004E-2</v>
      </c>
      <c r="L41" s="11"/>
      <c r="M41" s="11"/>
    </row>
    <row r="42" spans="2:13" ht="15.75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ht="15.75" customHeight="1" x14ac:dyDescent="0.3">
      <c r="B43" s="104" t="s">
        <v>19</v>
      </c>
      <c r="C43" s="105" t="s">
        <v>3</v>
      </c>
      <c r="D43" s="24">
        <v>6.8000000000000005E-2</v>
      </c>
      <c r="E43" s="24">
        <v>6.5000000000000002E-2</v>
      </c>
      <c r="F43" s="24">
        <v>6.3E-2</v>
      </c>
      <c r="G43" s="24">
        <v>6.2E-2</v>
      </c>
      <c r="H43" s="24">
        <v>0.06</v>
      </c>
      <c r="I43" s="24">
        <v>5.7999999999999996E-2</v>
      </c>
      <c r="J43" s="24">
        <v>5.7000000000000002E-2</v>
      </c>
      <c r="K43" s="24">
        <v>5.5E-2</v>
      </c>
      <c r="L43" s="11"/>
      <c r="M43" s="11"/>
    </row>
    <row r="44" spans="2:13" ht="15" customHeight="1" x14ac:dyDescent="0.3">
      <c r="B44" s="11"/>
      <c r="C44" s="105" t="s">
        <v>10</v>
      </c>
      <c r="D44" s="24">
        <v>6.8000000000000005E-2</v>
      </c>
      <c r="E44" s="24">
        <v>6.5000000000000002E-2</v>
      </c>
      <c r="F44" s="24">
        <v>6.3E-2</v>
      </c>
      <c r="G44" s="24">
        <v>0.06</v>
      </c>
      <c r="H44" s="24">
        <v>5.7999999999999996E-2</v>
      </c>
      <c r="I44" s="24">
        <v>5.5999999999999994E-2</v>
      </c>
      <c r="J44" s="24">
        <v>5.5E-2</v>
      </c>
      <c r="K44" s="24">
        <v>5.2999999999999999E-2</v>
      </c>
      <c r="L44" s="11"/>
      <c r="M44" s="11"/>
    </row>
    <row r="45" spans="2:13" ht="15.75" customHeight="1" x14ac:dyDescent="0.3">
      <c r="B45" s="11"/>
      <c r="C45" s="105" t="s">
        <v>11</v>
      </c>
      <c r="D45" s="24">
        <v>6.8000000000000005E-2</v>
      </c>
      <c r="E45" s="24">
        <v>6.5000000000000002E-2</v>
      </c>
      <c r="F45" s="24">
        <v>6.3E-2</v>
      </c>
      <c r="G45" s="24">
        <v>6.4000000000000001E-2</v>
      </c>
      <c r="H45" s="24">
        <v>6.2E-2</v>
      </c>
      <c r="I45" s="24">
        <v>0.06</v>
      </c>
      <c r="J45" s="24">
        <v>5.9000000000000004E-2</v>
      </c>
      <c r="K45" s="24">
        <v>5.7000000000000002E-2</v>
      </c>
      <c r="L45" s="11"/>
      <c r="M45" s="11"/>
    </row>
    <row r="46" spans="2:13" ht="15.75" customHeight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2:13" ht="15.75" customHeight="1" x14ac:dyDescent="0.3">
      <c r="B47" s="104" t="s">
        <v>20</v>
      </c>
      <c r="C47" s="105" t="s">
        <v>3</v>
      </c>
      <c r="D47" s="24">
        <v>9.1999999999999998E-2</v>
      </c>
      <c r="E47" s="24">
        <v>9.5000000000000001E-2</v>
      </c>
      <c r="F47" s="24">
        <v>9.8000000000000004E-2</v>
      </c>
      <c r="G47" s="24">
        <v>9.5000000000000001E-2</v>
      </c>
      <c r="H47" s="24">
        <v>9.3000000000000013E-2</v>
      </c>
      <c r="I47" s="24">
        <v>0.09</v>
      </c>
      <c r="J47" s="24">
        <v>8.8000000000000009E-2</v>
      </c>
      <c r="K47" s="24">
        <v>8.5000000000000006E-2</v>
      </c>
      <c r="L47" s="11"/>
      <c r="M47" s="11"/>
    </row>
    <row r="48" spans="2:13" ht="15" customHeight="1" x14ac:dyDescent="0.3">
      <c r="B48" s="11"/>
      <c r="C48" s="105" t="s">
        <v>10</v>
      </c>
      <c r="D48" s="24">
        <v>9.1999999999999998E-2</v>
      </c>
      <c r="E48" s="24">
        <v>9.5000000000000001E-2</v>
      </c>
      <c r="F48" s="24">
        <v>9.8000000000000004E-2</v>
      </c>
      <c r="G48" s="24">
        <v>9.1999999999999998E-2</v>
      </c>
      <c r="H48" s="24">
        <v>0.09</v>
      </c>
      <c r="I48" s="24">
        <v>8.6999999999999994E-2</v>
      </c>
      <c r="J48" s="24">
        <v>8.5000000000000006E-2</v>
      </c>
      <c r="K48" s="24">
        <v>8.199999999999999E-2</v>
      </c>
      <c r="L48" s="11"/>
      <c r="M48" s="11"/>
    </row>
    <row r="49" spans="2:13" ht="15.75" customHeight="1" x14ac:dyDescent="0.3">
      <c r="B49" s="11"/>
      <c r="C49" s="105" t="s">
        <v>11</v>
      </c>
      <c r="D49" s="24">
        <v>9.1999999999999998E-2</v>
      </c>
      <c r="E49" s="24">
        <v>9.5000000000000001E-2</v>
      </c>
      <c r="F49" s="24">
        <v>9.8000000000000004E-2</v>
      </c>
      <c r="G49" s="24">
        <v>9.8000000000000004E-2</v>
      </c>
      <c r="H49" s="24">
        <v>9.6000000000000002E-2</v>
      </c>
      <c r="I49" s="24">
        <v>9.3000000000000013E-2</v>
      </c>
      <c r="J49" s="24">
        <v>9.0999999999999998E-2</v>
      </c>
      <c r="K49" s="24">
        <v>8.8000000000000009E-2</v>
      </c>
      <c r="L49" s="11"/>
      <c r="M49" s="11"/>
    </row>
    <row r="50" spans="2:13" ht="15.75" customHeight="1" thickBot="1" x14ac:dyDescent="0.3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2:13" ht="15.75" customHeight="1" x14ac:dyDescent="0.3">
      <c r="B51" s="21" t="s">
        <v>21</v>
      </c>
      <c r="C51" s="21"/>
      <c r="D51" s="21"/>
      <c r="E51" s="21"/>
      <c r="F51" s="21"/>
      <c r="G51" s="21"/>
      <c r="H51" s="21"/>
      <c r="I51" s="21"/>
      <c r="J51" s="21"/>
      <c r="K51" s="21"/>
    </row>
    <row r="52" spans="2:13" ht="15" customHeight="1" x14ac:dyDescent="0.3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2:13" ht="15" customHeight="1" x14ac:dyDescent="0.3">
      <c r="B53" s="13" t="s">
        <v>22</v>
      </c>
      <c r="C53" s="14"/>
      <c r="D53" s="14"/>
      <c r="E53" s="14"/>
      <c r="F53" s="14"/>
      <c r="G53" s="14"/>
      <c r="H53" s="14"/>
      <c r="I53" s="14"/>
      <c r="J53" s="14"/>
      <c r="K53" s="14"/>
      <c r="L53" s="11"/>
      <c r="M53" s="11"/>
    </row>
    <row r="54" spans="2:13" ht="15" customHeight="1" x14ac:dyDescent="0.3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2:13" ht="15" customHeight="1" x14ac:dyDescent="0.3">
      <c r="B55" s="104" t="s">
        <v>23</v>
      </c>
      <c r="C55" s="105" t="s">
        <v>3</v>
      </c>
      <c r="D55" s="25">
        <v>48</v>
      </c>
      <c r="E55" s="25">
        <v>47</v>
      </c>
      <c r="F55" s="25">
        <v>46</v>
      </c>
      <c r="G55" s="25">
        <v>46</v>
      </c>
      <c r="H55" s="25">
        <v>45</v>
      </c>
      <c r="I55" s="25">
        <v>45</v>
      </c>
      <c r="J55" s="25">
        <v>44</v>
      </c>
      <c r="K55" s="25">
        <v>44</v>
      </c>
      <c r="L55" s="11"/>
      <c r="M55" s="11"/>
    </row>
    <row r="56" spans="2:13" ht="15" customHeight="1" x14ac:dyDescent="0.3">
      <c r="B56" s="11"/>
      <c r="C56" s="105" t="s">
        <v>10</v>
      </c>
      <c r="D56" s="25">
        <v>48</v>
      </c>
      <c r="E56" s="25">
        <v>47</v>
      </c>
      <c r="F56" s="25">
        <v>46</v>
      </c>
      <c r="G56" s="25">
        <v>45</v>
      </c>
      <c r="H56" s="25">
        <v>44</v>
      </c>
      <c r="I56" s="25">
        <v>43</v>
      </c>
      <c r="J56" s="25">
        <v>42</v>
      </c>
      <c r="K56" s="25">
        <v>42</v>
      </c>
      <c r="L56" s="11"/>
      <c r="M56" s="11"/>
    </row>
    <row r="57" spans="2:13" ht="15" customHeight="1" x14ac:dyDescent="0.3">
      <c r="B57" s="11"/>
      <c r="C57" s="105" t="s">
        <v>11</v>
      </c>
      <c r="D57" s="25">
        <v>48</v>
      </c>
      <c r="E57" s="25">
        <v>47</v>
      </c>
      <c r="F57" s="25">
        <v>46</v>
      </c>
      <c r="G57" s="25">
        <v>47</v>
      </c>
      <c r="H57" s="25">
        <v>47</v>
      </c>
      <c r="I57" s="25">
        <v>46</v>
      </c>
      <c r="J57" s="25">
        <v>46</v>
      </c>
      <c r="K57" s="25">
        <v>45</v>
      </c>
      <c r="L57" s="11"/>
      <c r="M57" s="11"/>
    </row>
    <row r="58" spans="2:13" ht="15" customHeight="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2:13" ht="15.75" customHeight="1" x14ac:dyDescent="0.3">
      <c r="B59" s="104" t="s">
        <v>24</v>
      </c>
      <c r="C59" s="105" t="s">
        <v>3</v>
      </c>
      <c r="D59" s="25">
        <v>32</v>
      </c>
      <c r="E59" s="25">
        <v>33</v>
      </c>
      <c r="F59" s="25">
        <v>34</v>
      </c>
      <c r="G59" s="25">
        <v>34</v>
      </c>
      <c r="H59" s="25">
        <v>35</v>
      </c>
      <c r="I59" s="25">
        <v>35</v>
      </c>
      <c r="J59" s="25">
        <v>36</v>
      </c>
      <c r="K59" s="25">
        <v>36</v>
      </c>
      <c r="L59" s="11"/>
      <c r="M59" s="11"/>
    </row>
    <row r="60" spans="2:13" ht="15.75" customHeight="1" x14ac:dyDescent="0.3">
      <c r="B60" s="11"/>
      <c r="C60" s="105" t="s">
        <v>10</v>
      </c>
      <c r="D60" s="25">
        <v>32</v>
      </c>
      <c r="E60" s="25">
        <v>33</v>
      </c>
      <c r="F60" s="25">
        <v>34</v>
      </c>
      <c r="G60" s="25">
        <v>35</v>
      </c>
      <c r="H60" s="25">
        <v>36</v>
      </c>
      <c r="I60" s="25">
        <v>37</v>
      </c>
      <c r="J60" s="25">
        <v>38</v>
      </c>
      <c r="K60" s="25">
        <v>38</v>
      </c>
      <c r="L60" s="11"/>
      <c r="M60" s="11"/>
    </row>
    <row r="61" spans="2:13" ht="15.75" customHeight="1" x14ac:dyDescent="0.3">
      <c r="B61" s="11"/>
      <c r="C61" s="105" t="s">
        <v>11</v>
      </c>
      <c r="D61" s="25">
        <v>32</v>
      </c>
      <c r="E61" s="25">
        <v>33</v>
      </c>
      <c r="F61" s="25">
        <v>34</v>
      </c>
      <c r="G61" s="25">
        <v>33</v>
      </c>
      <c r="H61" s="25">
        <v>33</v>
      </c>
      <c r="I61" s="25">
        <v>34</v>
      </c>
      <c r="J61" s="25">
        <v>34</v>
      </c>
      <c r="K61" s="25">
        <v>34</v>
      </c>
      <c r="L61" s="11"/>
      <c r="M61" s="11"/>
    </row>
    <row r="62" spans="2:13" ht="15" customHeight="1" x14ac:dyDescent="0.3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2:13" ht="15.75" customHeight="1" x14ac:dyDescent="0.3">
      <c r="B63" s="106" t="str">
        <f>'Google Model'!$B$66</f>
        <v xml:space="preserve">  Other current assets</v>
      </c>
      <c r="C63" s="105" t="s">
        <v>107</v>
      </c>
      <c r="D63" s="11"/>
      <c r="E63" s="24">
        <v>5.8823529411764719E-2</v>
      </c>
      <c r="F63" s="24">
        <v>5.555555555555558E-2</v>
      </c>
      <c r="G63" s="24">
        <v>5.0000000000000044E-2</v>
      </c>
      <c r="H63" s="24">
        <v>5.0000000000000044E-2</v>
      </c>
      <c r="I63" s="24">
        <v>5.0000000000000044E-2</v>
      </c>
      <c r="J63" s="24">
        <v>5.0000000000000044E-2</v>
      </c>
      <c r="K63" s="24">
        <v>5.0000000000000044E-2</v>
      </c>
      <c r="L63" s="11"/>
      <c r="M63" s="11"/>
    </row>
    <row r="64" spans="2:13" ht="15.75" customHeight="1" x14ac:dyDescent="0.3">
      <c r="B64" s="106" t="str">
        <f>'Google Model'!$B$74</f>
        <v xml:space="preserve">  Other Long-term Assets</v>
      </c>
      <c r="C64" s="105" t="s">
        <v>107</v>
      </c>
      <c r="D64" s="11"/>
      <c r="E64" s="24">
        <v>8.5714285714285632E-2</v>
      </c>
      <c r="F64" s="24">
        <v>0.10526315789473695</v>
      </c>
      <c r="G64" s="24">
        <v>0.08</v>
      </c>
      <c r="H64" s="24">
        <v>0.08</v>
      </c>
      <c r="I64" s="24">
        <v>0.08</v>
      </c>
      <c r="J64" s="24">
        <v>0.08</v>
      </c>
      <c r="K64" s="24">
        <v>0.08</v>
      </c>
      <c r="L64" s="11"/>
      <c r="M64" s="11"/>
    </row>
    <row r="65" spans="2:13" ht="15.75" customHeight="1" x14ac:dyDescent="0.3">
      <c r="B65" s="106" t="str">
        <f>'Google Model'!$B$83</f>
        <v xml:space="preserve">  Accrued Expenses</v>
      </c>
      <c r="C65" s="105" t="s">
        <v>107</v>
      </c>
      <c r="D65" s="11"/>
      <c r="E65" s="24">
        <v>8.3333333333333259E-2</v>
      </c>
      <c r="F65" s="24">
        <v>7.6923076923076872E-2</v>
      </c>
      <c r="G65" s="24">
        <v>0.06</v>
      </c>
      <c r="H65" s="24">
        <v>0.06</v>
      </c>
      <c r="I65" s="24">
        <v>0.06</v>
      </c>
      <c r="J65" s="24">
        <v>0.06</v>
      </c>
      <c r="K65" s="24">
        <v>0.06</v>
      </c>
      <c r="L65" s="11"/>
      <c r="M65" s="11"/>
    </row>
    <row r="66" spans="2:13" ht="15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2:13" ht="15" customHeight="1" x14ac:dyDescent="0.3">
      <c r="B67" s="13" t="s">
        <v>25</v>
      </c>
      <c r="C67" s="14"/>
      <c r="D67" s="14"/>
      <c r="E67" s="14"/>
      <c r="F67" s="14"/>
      <c r="G67" s="14"/>
      <c r="H67" s="14"/>
      <c r="I67" s="14"/>
      <c r="J67" s="14"/>
      <c r="K67" s="14"/>
      <c r="L67" s="11"/>
      <c r="M67" s="11"/>
    </row>
    <row r="68" spans="2:13" ht="15" customHeight="1" x14ac:dyDescent="0.3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2:13" ht="15" customHeight="1" x14ac:dyDescent="0.3">
      <c r="B69" s="104" t="s">
        <v>26</v>
      </c>
      <c r="C69" s="105" t="s">
        <v>3</v>
      </c>
      <c r="D69" s="24">
        <v>0.125</v>
      </c>
      <c r="E69" s="24">
        <v>0.13200000000000001</v>
      </c>
      <c r="F69" s="24">
        <v>0.14000000000000001</v>
      </c>
      <c r="G69" s="24">
        <v>0.13500000000000001</v>
      </c>
      <c r="H69" s="24">
        <v>0.13</v>
      </c>
      <c r="I69" s="24">
        <v>0.125</v>
      </c>
      <c r="J69" s="24">
        <v>0.12</v>
      </c>
      <c r="K69" s="24">
        <v>0.115</v>
      </c>
      <c r="L69" s="11"/>
      <c r="M69" s="11"/>
    </row>
    <row r="70" spans="2:13" ht="15" customHeight="1" x14ac:dyDescent="0.3">
      <c r="B70" s="11"/>
      <c r="C70" s="105" t="s">
        <v>10</v>
      </c>
      <c r="D70" s="24">
        <v>0.125</v>
      </c>
      <c r="E70" s="24">
        <v>0.13200000000000001</v>
      </c>
      <c r="F70" s="24">
        <v>0.14000000000000001</v>
      </c>
      <c r="G70" s="24">
        <v>0.13</v>
      </c>
      <c r="H70" s="24">
        <v>0.125</v>
      </c>
      <c r="I70" s="24">
        <v>0.12</v>
      </c>
      <c r="J70" s="24">
        <v>0.115</v>
      </c>
      <c r="K70" s="24">
        <v>0.11</v>
      </c>
      <c r="L70" s="11"/>
      <c r="M70" s="11"/>
    </row>
    <row r="71" spans="2:13" ht="15" customHeight="1" x14ac:dyDescent="0.3">
      <c r="B71" s="11"/>
      <c r="C71" s="105" t="s">
        <v>11</v>
      </c>
      <c r="D71" s="24">
        <v>0.125</v>
      </c>
      <c r="E71" s="24">
        <v>0.13200000000000001</v>
      </c>
      <c r="F71" s="24">
        <v>0.14000000000000001</v>
      </c>
      <c r="G71" s="24">
        <v>0.14000000000000001</v>
      </c>
      <c r="H71" s="24">
        <v>0.13500000000000001</v>
      </c>
      <c r="I71" s="24">
        <v>0.13</v>
      </c>
      <c r="J71" s="24">
        <v>0.125</v>
      </c>
      <c r="K71" s="24">
        <v>0.12</v>
      </c>
      <c r="L71" s="11"/>
      <c r="M71" s="11"/>
    </row>
    <row r="72" spans="2:13" ht="15" customHeight="1" x14ac:dyDescent="0.3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2:13" ht="15.75" customHeight="1" x14ac:dyDescent="0.3">
      <c r="B73" s="104" t="s">
        <v>27</v>
      </c>
      <c r="C73" s="105" t="s">
        <v>3</v>
      </c>
      <c r="D73" s="24">
        <v>0.7</v>
      </c>
      <c r="E73" s="24">
        <v>0.7</v>
      </c>
      <c r="F73" s="24">
        <v>0.7</v>
      </c>
      <c r="G73" s="24">
        <v>0.7</v>
      </c>
      <c r="H73" s="24">
        <v>0.7</v>
      </c>
      <c r="I73" s="24">
        <v>0.7</v>
      </c>
      <c r="J73" s="24">
        <v>0.7</v>
      </c>
      <c r="K73" s="24">
        <v>0.7</v>
      </c>
      <c r="L73" s="11"/>
      <c r="M73" s="11"/>
    </row>
    <row r="74" spans="2:13" ht="15.75" customHeight="1" x14ac:dyDescent="0.3">
      <c r="B74" s="11"/>
      <c r="C74" s="105" t="s">
        <v>10</v>
      </c>
      <c r="D74" s="24">
        <v>0.7</v>
      </c>
      <c r="E74" s="24">
        <v>0.7</v>
      </c>
      <c r="F74" s="24">
        <v>0.7</v>
      </c>
      <c r="G74" s="24">
        <v>0.68</v>
      </c>
      <c r="H74" s="24">
        <v>0.68</v>
      </c>
      <c r="I74" s="24">
        <v>0.68</v>
      </c>
      <c r="J74" s="24">
        <v>0.68</v>
      </c>
      <c r="K74" s="24">
        <v>0.68</v>
      </c>
      <c r="L74" s="11"/>
      <c r="M74" s="11"/>
    </row>
    <row r="75" spans="2:13" ht="15.75" customHeight="1" x14ac:dyDescent="0.3">
      <c r="B75" s="11"/>
      <c r="C75" s="105" t="s">
        <v>11</v>
      </c>
      <c r="D75" s="24">
        <v>0.7</v>
      </c>
      <c r="E75" s="24">
        <v>0.7</v>
      </c>
      <c r="F75" s="24">
        <v>0.7</v>
      </c>
      <c r="G75" s="24">
        <v>0.72</v>
      </c>
      <c r="H75" s="24">
        <v>0.72</v>
      </c>
      <c r="I75" s="24">
        <v>0.72</v>
      </c>
      <c r="J75" s="24">
        <v>0.72</v>
      </c>
      <c r="K75" s="24">
        <v>0.72</v>
      </c>
      <c r="L75" s="11"/>
      <c r="M75" s="11"/>
    </row>
    <row r="76" spans="2:13" ht="15" customHeight="1" thickBo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2:13" ht="15.75" customHeight="1" x14ac:dyDescent="0.3">
      <c r="B77" s="21" t="s">
        <v>28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2:13" ht="15.75" customHeight="1" x14ac:dyDescent="0.3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2:13" ht="15.75" customHeight="1" x14ac:dyDescent="0.3">
      <c r="B79" s="13" t="s">
        <v>29</v>
      </c>
      <c r="C79" s="14"/>
      <c r="D79" s="14"/>
      <c r="E79" s="14"/>
      <c r="F79" s="14"/>
      <c r="G79" s="14"/>
      <c r="H79" s="14"/>
      <c r="I79" s="14"/>
      <c r="J79" s="14"/>
      <c r="K79" s="14"/>
      <c r="L79" s="11"/>
      <c r="M79" s="11"/>
    </row>
    <row r="80" spans="2:13" ht="15" customHeight="1" x14ac:dyDescent="0.3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2:13" ht="15" customHeight="1" x14ac:dyDescent="0.3">
      <c r="B81" s="104" t="s">
        <v>30</v>
      </c>
      <c r="C81" s="105" t="s">
        <v>3</v>
      </c>
      <c r="D81" s="24">
        <v>0.16200000000000001</v>
      </c>
      <c r="E81" s="24">
        <v>0.16</v>
      </c>
      <c r="F81" s="24">
        <v>0.158</v>
      </c>
      <c r="G81" s="24">
        <v>0.16500000000000001</v>
      </c>
      <c r="H81" s="24">
        <v>0.17</v>
      </c>
      <c r="I81" s="24">
        <v>0.17499999999999999</v>
      </c>
      <c r="J81" s="24">
        <v>0.18</v>
      </c>
      <c r="K81" s="24">
        <v>0.185</v>
      </c>
      <c r="L81" s="11"/>
      <c r="M81" s="11"/>
    </row>
    <row r="82" spans="2:13" ht="15" customHeight="1" x14ac:dyDescent="0.3">
      <c r="B82" s="11"/>
      <c r="C82" s="105" t="s">
        <v>10</v>
      </c>
      <c r="D82" s="24">
        <v>0.16200000000000001</v>
      </c>
      <c r="E82" s="24">
        <v>0.16</v>
      </c>
      <c r="F82" s="24">
        <v>0.158</v>
      </c>
      <c r="G82" s="24">
        <v>0.16</v>
      </c>
      <c r="H82" s="24">
        <v>0.16500000000000001</v>
      </c>
      <c r="I82" s="24">
        <v>0.17</v>
      </c>
      <c r="J82" s="24">
        <v>0.17499999999999999</v>
      </c>
      <c r="K82" s="24">
        <v>0.18</v>
      </c>
      <c r="L82" s="11"/>
      <c r="M82" s="11"/>
    </row>
    <row r="83" spans="2:13" ht="15" customHeight="1" x14ac:dyDescent="0.3">
      <c r="B83" s="11"/>
      <c r="C83" s="105" t="s">
        <v>11</v>
      </c>
      <c r="D83" s="24">
        <v>0.16200000000000001</v>
      </c>
      <c r="E83" s="24">
        <v>0.16</v>
      </c>
      <c r="F83" s="24">
        <v>0.158</v>
      </c>
      <c r="G83" s="24">
        <v>0.17</v>
      </c>
      <c r="H83" s="24">
        <v>0.17499999999999999</v>
      </c>
      <c r="I83" s="24">
        <v>0.18</v>
      </c>
      <c r="J83" s="24">
        <v>0.185</v>
      </c>
      <c r="K83" s="24">
        <v>0.19</v>
      </c>
      <c r="L83" s="11"/>
      <c r="M83" s="11"/>
    </row>
    <row r="84" spans="2:13" ht="15" customHeight="1" x14ac:dyDescent="0.3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2:13" ht="15" customHeigh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2:13" ht="15" customHeight="1" x14ac:dyDescent="0.3">
      <c r="B86" s="13" t="s">
        <v>31</v>
      </c>
      <c r="C86" s="14"/>
      <c r="D86" s="14"/>
      <c r="E86" s="14"/>
      <c r="F86" s="14"/>
      <c r="G86" s="14"/>
      <c r="H86" s="14"/>
      <c r="I86" s="14"/>
      <c r="J86" s="14"/>
      <c r="K86" s="14"/>
      <c r="L86" s="11"/>
      <c r="M86" s="11"/>
    </row>
    <row r="87" spans="2:13" ht="15.75" customHeight="1" x14ac:dyDescent="0.3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13" ht="15.75" customHeight="1" x14ac:dyDescent="0.3">
      <c r="B88" s="104" t="s">
        <v>270</v>
      </c>
      <c r="C88" s="105" t="s">
        <v>3</v>
      </c>
      <c r="D88" s="24">
        <v>5.0000000000000001E-3</v>
      </c>
      <c r="E88" s="24">
        <v>1.4999999999999999E-2</v>
      </c>
      <c r="F88" s="24">
        <v>2.5000000000000001E-2</v>
      </c>
      <c r="G88" s="24">
        <v>3.5000000000000003E-2</v>
      </c>
      <c r="H88" s="24">
        <v>0.03</v>
      </c>
      <c r="I88" s="24">
        <v>2.5000000000000001E-2</v>
      </c>
      <c r="J88" s="24">
        <v>2.5000000000000001E-2</v>
      </c>
      <c r="K88" s="24">
        <v>0.02</v>
      </c>
      <c r="L88" s="11"/>
      <c r="M88" s="11"/>
    </row>
    <row r="89" spans="2:13" ht="15.75" customHeight="1" x14ac:dyDescent="0.3">
      <c r="B89" s="11"/>
      <c r="C89" s="105" t="s">
        <v>10</v>
      </c>
      <c r="D89" s="24">
        <v>0.01</v>
      </c>
      <c r="E89" s="24">
        <v>0.02</v>
      </c>
      <c r="F89" s="24">
        <v>3.0000000000000002E-2</v>
      </c>
      <c r="G89" s="24">
        <v>0.04</v>
      </c>
      <c r="H89" s="24">
        <v>4.4999999999999998E-2</v>
      </c>
      <c r="I89" s="24">
        <v>0.04</v>
      </c>
      <c r="J89" s="24">
        <v>3.4999999999999996E-2</v>
      </c>
      <c r="K89" s="24">
        <v>3.4999999999999996E-2</v>
      </c>
      <c r="L89" s="11"/>
      <c r="M89" s="11"/>
    </row>
    <row r="90" spans="2:13" ht="15" customHeight="1" x14ac:dyDescent="0.3">
      <c r="B90" s="11"/>
      <c r="C90" s="105" t="s">
        <v>11</v>
      </c>
      <c r="D90" s="24">
        <v>2.5000000000000001E-3</v>
      </c>
      <c r="E90" s="24">
        <v>1.2499999999999999E-2</v>
      </c>
      <c r="F90" s="24">
        <v>2.2500000000000003E-2</v>
      </c>
      <c r="G90" s="24">
        <v>3.2500000000000001E-2</v>
      </c>
      <c r="H90" s="24">
        <v>3.7499999999999999E-2</v>
      </c>
      <c r="I90" s="24">
        <v>3.2500000000000001E-2</v>
      </c>
      <c r="J90" s="24">
        <v>2.75E-2</v>
      </c>
      <c r="K90" s="24">
        <v>2.75E-2</v>
      </c>
      <c r="L90" s="11"/>
      <c r="M90" s="11"/>
    </row>
    <row r="91" spans="2:13" ht="15" customHeight="1" x14ac:dyDescent="0.3">
      <c r="B91" s="11"/>
      <c r="C91" s="10"/>
      <c r="D91" s="23"/>
      <c r="E91" s="23"/>
      <c r="F91" s="23"/>
      <c r="G91" s="23"/>
      <c r="H91" s="23"/>
      <c r="I91" s="23"/>
      <c r="J91" s="23"/>
      <c r="K91" s="23"/>
      <c r="L91" s="11"/>
      <c r="M91" s="11"/>
    </row>
    <row r="92" spans="2:13" ht="15" customHeight="1" x14ac:dyDescent="0.3">
      <c r="B92" s="104" t="s">
        <v>271</v>
      </c>
      <c r="C92" s="105" t="s">
        <v>3</v>
      </c>
      <c r="D92" s="24">
        <v>0.03</v>
      </c>
      <c r="E92" s="24">
        <v>3.5000000000000003E-2</v>
      </c>
      <c r="F92" s="24">
        <v>0.04</v>
      </c>
      <c r="G92" s="24">
        <v>4.4999999999999998E-2</v>
      </c>
      <c r="H92" s="24">
        <v>0.04</v>
      </c>
      <c r="I92" s="24">
        <v>3.5000000000000003E-2</v>
      </c>
      <c r="J92" s="24">
        <v>0.03</v>
      </c>
      <c r="K92" s="24">
        <v>0.03</v>
      </c>
      <c r="L92" s="11"/>
      <c r="M92" s="11"/>
    </row>
    <row r="93" spans="2:13" ht="15" customHeight="1" x14ac:dyDescent="0.3">
      <c r="B93" s="11"/>
      <c r="C93" s="105" t="s">
        <v>10</v>
      </c>
      <c r="D93" s="24">
        <v>2.4999999999999998E-2</v>
      </c>
      <c r="E93" s="24">
        <v>3.0000000000000002E-2</v>
      </c>
      <c r="F93" s="24">
        <v>3.5000000000000003E-2</v>
      </c>
      <c r="G93" s="24">
        <v>0.04</v>
      </c>
      <c r="H93" s="24">
        <v>3.5000000000000003E-2</v>
      </c>
      <c r="I93" s="24">
        <v>3.0000000000000002E-2</v>
      </c>
      <c r="J93" s="24">
        <v>2.4999999999999998E-2</v>
      </c>
      <c r="K93" s="24">
        <v>2.4999999999999998E-2</v>
      </c>
      <c r="L93" s="11"/>
      <c r="M93" s="11"/>
    </row>
    <row r="94" spans="2:13" ht="15.75" customHeight="1" x14ac:dyDescent="0.3">
      <c r="B94" s="11"/>
      <c r="C94" s="105" t="s">
        <v>11</v>
      </c>
      <c r="D94" s="24">
        <v>0.04</v>
      </c>
      <c r="E94" s="24">
        <v>4.5000000000000005E-2</v>
      </c>
      <c r="F94" s="24">
        <v>0.05</v>
      </c>
      <c r="G94" s="24">
        <v>5.5E-2</v>
      </c>
      <c r="H94" s="24">
        <v>0.05</v>
      </c>
      <c r="I94" s="24">
        <v>4.5000000000000005E-2</v>
      </c>
      <c r="J94" s="24">
        <v>0.04</v>
      </c>
      <c r="K94" s="24">
        <v>0.04</v>
      </c>
      <c r="L94" s="11"/>
      <c r="M94" s="11"/>
    </row>
    <row r="95" spans="2:13" ht="15.75" customHeight="1" x14ac:dyDescent="0.3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2:13" ht="15.75" customHeight="1" x14ac:dyDescent="0.3">
      <c r="B96" s="13" t="s">
        <v>32</v>
      </c>
      <c r="C96" s="14"/>
      <c r="D96" s="14"/>
      <c r="E96" s="14"/>
      <c r="F96" s="14"/>
      <c r="G96" s="14"/>
      <c r="H96" s="14"/>
      <c r="I96" s="14"/>
      <c r="J96" s="14"/>
      <c r="K96" s="14"/>
      <c r="L96" s="11"/>
      <c r="M96" s="11"/>
    </row>
    <row r="97" spans="2:13" ht="15" customHeigh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ht="15" customHeight="1" x14ac:dyDescent="0.3">
      <c r="B98" s="104" t="s">
        <v>33</v>
      </c>
      <c r="C98" s="105" t="s">
        <v>3</v>
      </c>
      <c r="D98" s="24">
        <v>0.75</v>
      </c>
      <c r="E98" s="24">
        <v>0.75</v>
      </c>
      <c r="F98" s="24">
        <v>0.75</v>
      </c>
      <c r="G98" s="24">
        <v>0.7</v>
      </c>
      <c r="H98" s="24">
        <v>0.7</v>
      </c>
      <c r="I98" s="24">
        <v>0.65</v>
      </c>
      <c r="J98" s="24">
        <v>0.65</v>
      </c>
      <c r="K98" s="24">
        <v>0.6</v>
      </c>
      <c r="L98" s="11"/>
      <c r="M98" s="11"/>
    </row>
    <row r="99" spans="2:13" ht="15" customHeight="1" x14ac:dyDescent="0.3">
      <c r="B99" s="11"/>
      <c r="C99" s="105" t="s">
        <v>10</v>
      </c>
      <c r="D99" s="24">
        <v>0.75</v>
      </c>
      <c r="E99" s="24">
        <v>0.75</v>
      </c>
      <c r="F99" s="24">
        <v>0.75</v>
      </c>
      <c r="G99" s="24">
        <v>0.75</v>
      </c>
      <c r="H99" s="24">
        <v>0.75</v>
      </c>
      <c r="I99" s="24">
        <v>0.7</v>
      </c>
      <c r="J99" s="24">
        <v>0.7</v>
      </c>
      <c r="K99" s="24">
        <v>0.65</v>
      </c>
      <c r="L99" s="11"/>
      <c r="M99" s="11"/>
    </row>
    <row r="100" spans="2:13" ht="15" customHeight="1" thickBot="1" x14ac:dyDescent="0.35">
      <c r="B100" s="7"/>
      <c r="C100" s="107" t="s">
        <v>11</v>
      </c>
      <c r="D100" s="26">
        <v>0.75</v>
      </c>
      <c r="E100" s="26">
        <v>0.75</v>
      </c>
      <c r="F100" s="26">
        <v>0.75</v>
      </c>
      <c r="G100" s="26">
        <v>0.65</v>
      </c>
      <c r="H100" s="26">
        <v>0.65</v>
      </c>
      <c r="I100" s="26">
        <v>0.6</v>
      </c>
      <c r="J100" s="26">
        <v>0.6</v>
      </c>
      <c r="K100" s="26">
        <v>0.55000000000000004</v>
      </c>
      <c r="L100" s="11"/>
      <c r="M100" s="11"/>
    </row>
    <row r="101" spans="2:13" ht="15.75" customHeight="1" x14ac:dyDescent="0.3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ht="15.75" customHeight="1" x14ac:dyDescent="0.3">
      <c r="B102" s="13" t="s">
        <v>301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1"/>
      <c r="M102" s="11"/>
    </row>
    <row r="103" spans="2:13" ht="15.75" customHeight="1" x14ac:dyDescent="0.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2:13" ht="15" customHeight="1" x14ac:dyDescent="0.3">
      <c r="B104" s="108" t="s">
        <v>302</v>
      </c>
      <c r="C104" s="11"/>
      <c r="D104" s="24">
        <v>0.6</v>
      </c>
      <c r="E104" s="24">
        <v>0.6</v>
      </c>
      <c r="F104" s="24">
        <v>0.6</v>
      </c>
      <c r="G104" s="24">
        <v>0.6</v>
      </c>
      <c r="H104" s="24">
        <v>0.6</v>
      </c>
      <c r="I104" s="24">
        <v>0.6</v>
      </c>
      <c r="J104" s="24">
        <v>0.6</v>
      </c>
      <c r="K104" s="24">
        <v>0.6</v>
      </c>
      <c r="L104" s="11"/>
      <c r="M104" s="11"/>
    </row>
    <row r="105" spans="2:13" ht="15" customHeight="1" x14ac:dyDescent="0.3">
      <c r="B105" s="108" t="s">
        <v>303</v>
      </c>
      <c r="C105" s="11"/>
      <c r="D105" s="42">
        <f t="shared" ref="D105:K105" si="0">1-D104</f>
        <v>0.4</v>
      </c>
      <c r="E105" s="42">
        <f t="shared" si="0"/>
        <v>0.4</v>
      </c>
      <c r="F105" s="42">
        <f t="shared" si="0"/>
        <v>0.4</v>
      </c>
      <c r="G105" s="42">
        <f t="shared" si="0"/>
        <v>0.4</v>
      </c>
      <c r="H105" s="42">
        <f t="shared" si="0"/>
        <v>0.4</v>
      </c>
      <c r="I105" s="42">
        <f t="shared" si="0"/>
        <v>0.4</v>
      </c>
      <c r="J105" s="42">
        <f t="shared" si="0"/>
        <v>0.4</v>
      </c>
      <c r="K105" s="42">
        <f t="shared" si="0"/>
        <v>0.4</v>
      </c>
      <c r="L105" s="11"/>
      <c r="M105" s="11"/>
    </row>
    <row r="106" spans="2:13" ht="15" customHeight="1" x14ac:dyDescent="0.3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2:13" ht="15" customHeight="1" x14ac:dyDescent="0.3">
      <c r="B107" s="22" t="s">
        <v>304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1"/>
      <c r="M107" s="11"/>
    </row>
    <row r="108" spans="2:13" ht="15" customHeight="1" x14ac:dyDescent="0.3">
      <c r="B108" s="109" t="s">
        <v>305</v>
      </c>
      <c r="C108" s="11"/>
      <c r="D108" s="27">
        <v>0</v>
      </c>
      <c r="E108" s="110">
        <f t="shared" ref="E108:J110" si="1">D108</f>
        <v>0</v>
      </c>
      <c r="F108" s="110">
        <f t="shared" si="1"/>
        <v>0</v>
      </c>
      <c r="G108" s="110">
        <f t="shared" si="1"/>
        <v>0</v>
      </c>
      <c r="H108" s="110">
        <f t="shared" si="1"/>
        <v>0</v>
      </c>
      <c r="I108" s="110">
        <f t="shared" si="1"/>
        <v>0</v>
      </c>
      <c r="J108" s="110">
        <f t="shared" si="1"/>
        <v>0</v>
      </c>
      <c r="K108" s="27">
        <v>0.02</v>
      </c>
      <c r="L108" s="11"/>
      <c r="M108" s="11"/>
    </row>
    <row r="109" spans="2:13" ht="15" customHeight="1" x14ac:dyDescent="0.3">
      <c r="B109" s="109" t="s">
        <v>306</v>
      </c>
      <c r="C109" s="11"/>
      <c r="D109" s="27">
        <v>0.01</v>
      </c>
      <c r="E109" s="110">
        <f t="shared" si="1"/>
        <v>0.01</v>
      </c>
      <c r="F109" s="110">
        <f t="shared" si="1"/>
        <v>0.01</v>
      </c>
      <c r="G109" s="110">
        <f t="shared" si="1"/>
        <v>0.01</v>
      </c>
      <c r="H109" s="110">
        <f t="shared" si="1"/>
        <v>0.01</v>
      </c>
      <c r="I109" s="110">
        <f t="shared" si="1"/>
        <v>0.01</v>
      </c>
      <c r="J109" s="110">
        <f t="shared" si="1"/>
        <v>0.01</v>
      </c>
      <c r="K109" s="27">
        <v>0.03</v>
      </c>
      <c r="L109" s="11"/>
      <c r="M109" s="11"/>
    </row>
    <row r="110" spans="2:13" ht="15" customHeight="1" x14ac:dyDescent="0.3">
      <c r="B110" s="109" t="s">
        <v>307</v>
      </c>
      <c r="C110" s="11"/>
      <c r="D110" s="27">
        <v>-0.02</v>
      </c>
      <c r="E110" s="110">
        <f t="shared" si="1"/>
        <v>-0.02</v>
      </c>
      <c r="F110" s="110">
        <f t="shared" si="1"/>
        <v>-0.02</v>
      </c>
      <c r="G110" s="110">
        <f t="shared" si="1"/>
        <v>-0.02</v>
      </c>
      <c r="H110" s="110">
        <f t="shared" si="1"/>
        <v>-0.02</v>
      </c>
      <c r="I110" s="110">
        <f t="shared" si="1"/>
        <v>-0.02</v>
      </c>
      <c r="J110" s="110">
        <f t="shared" si="1"/>
        <v>-0.02</v>
      </c>
      <c r="K110" s="27">
        <v>0.01</v>
      </c>
      <c r="L110" s="11"/>
      <c r="M110" s="11"/>
    </row>
  </sheetData>
  <dataValidations count="1">
    <dataValidation type="list" allowBlank="1" showInputMessage="1" showErrorMessage="1" sqref="D6" xr:uid="{325685FF-866E-4068-9AD3-A743F6F12354}">
      <formula1>$C$15:$C$17</formula1>
    </dataValidation>
  </dataValidations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sheetPr>
    <tabColor rgb="FF1F3864"/>
  </sheetPr>
  <dimension ref="A1:K133"/>
  <sheetViews>
    <sheetView showGridLines="0" zoomScaleNormal="100" workbookViewId="0"/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1" spans="1:11" ht="1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3">
      <c r="A2" s="11"/>
      <c r="B2" s="100" t="s">
        <v>42</v>
      </c>
      <c r="C2" s="11"/>
      <c r="D2" s="11"/>
      <c r="E2" s="11"/>
      <c r="F2" s="11"/>
      <c r="G2" s="11"/>
      <c r="H2" s="11"/>
      <c r="I2" s="11"/>
      <c r="J2" s="11"/>
      <c r="K2" s="11"/>
    </row>
    <row r="3" spans="1:11" ht="13.5" customHeight="1" x14ac:dyDescent="0.3">
      <c r="A3" s="11"/>
      <c r="B3" s="114" t="s">
        <v>43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5.75" customHeight="1" x14ac:dyDescent="0.3">
      <c r="A5" s="11"/>
      <c r="B5" s="113" t="s">
        <v>2</v>
      </c>
      <c r="C5" s="11"/>
      <c r="D5" s="28" t="str">
        <f>'Google Drivers'!$D$6</f>
        <v>Base</v>
      </c>
      <c r="E5" s="11"/>
      <c r="F5" s="11"/>
      <c r="G5" s="11"/>
      <c r="H5" s="11"/>
      <c r="I5" s="11"/>
      <c r="J5" s="11"/>
      <c r="K5" s="11"/>
    </row>
    <row r="6" spans="1:11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3.5" customHeight="1" x14ac:dyDescent="0.3">
      <c r="A7" s="11"/>
      <c r="B7" s="20" t="s">
        <v>4</v>
      </c>
      <c r="C7" s="20"/>
      <c r="D7" s="20"/>
      <c r="E7" s="20"/>
      <c r="F7" s="20" t="s">
        <v>5</v>
      </c>
      <c r="G7" s="20"/>
      <c r="H7" s="20"/>
      <c r="I7" s="20"/>
      <c r="J7" s="20"/>
      <c r="K7" s="11"/>
    </row>
    <row r="8" spans="1:11" ht="13.5" customHeight="1" x14ac:dyDescent="0.3">
      <c r="A8" s="11"/>
      <c r="B8" s="11"/>
      <c r="C8" s="148">
        <v>2021</v>
      </c>
      <c r="D8" s="148">
        <v>2022</v>
      </c>
      <c r="E8" s="148">
        <v>2023</v>
      </c>
      <c r="F8" s="149">
        <v>2024</v>
      </c>
      <c r="G8" s="149">
        <v>2025</v>
      </c>
      <c r="H8" s="149">
        <v>2026</v>
      </c>
      <c r="I8" s="149">
        <v>2027</v>
      </c>
      <c r="J8" s="149">
        <v>2028</v>
      </c>
      <c r="K8" s="11"/>
    </row>
    <row r="9" spans="1:11" ht="15" customHeight="1" thickBo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5" customHeight="1" x14ac:dyDescent="0.3">
      <c r="A10" s="11"/>
      <c r="B10" s="21" t="s">
        <v>264</v>
      </c>
      <c r="C10" s="21"/>
      <c r="D10" s="21"/>
      <c r="E10" s="21"/>
      <c r="F10" s="21"/>
      <c r="G10" s="21"/>
      <c r="H10" s="21"/>
      <c r="I10" s="21"/>
      <c r="J10" s="21"/>
      <c r="K10" s="11"/>
    </row>
    <row r="11" spans="1:11" ht="1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5.75" customHeight="1" x14ac:dyDescent="0.3">
      <c r="A12" s="11"/>
      <c r="B12" s="104" t="s">
        <v>9</v>
      </c>
      <c r="C12" s="44">
        <v>148951</v>
      </c>
      <c r="D12" s="44">
        <v>162450</v>
      </c>
      <c r="E12" s="44">
        <v>175033</v>
      </c>
      <c r="F12" s="2">
        <f>E12*(1+INDEX('Google Drivers'!G$15:G$17,MATCH($D$5,'Google Drivers'!$C$15:$C$17,0)))</f>
        <v>189910.80499999999</v>
      </c>
      <c r="G12" s="2">
        <f>F12*(1+INDEX('Google Drivers'!H$15:H$17,MATCH($D$5,'Google Drivers'!$C$15:$C$17,0)))</f>
        <v>204154.11537499999</v>
      </c>
      <c r="H12" s="2">
        <f>G12*(1+INDEX('Google Drivers'!I$15:I$17,MATCH($D$5,'Google Drivers'!$C$15:$C$17,0)))</f>
        <v>217424.13287437498</v>
      </c>
      <c r="I12" s="2">
        <f>H12*(1+INDEX('Google Drivers'!J$15:J$17,MATCH($D$5,'Google Drivers'!$C$15:$C$17,0)))</f>
        <v>229382.46018246558</v>
      </c>
      <c r="J12" s="2">
        <f>I12*(1+INDEX('Google Drivers'!K$15:K$17,MATCH($D$5,'Google Drivers'!$C$15:$C$17,0)))</f>
        <v>240851.58319158887</v>
      </c>
      <c r="K12" s="11"/>
    </row>
    <row r="13" spans="1:11" ht="15.75" customHeight="1" x14ac:dyDescent="0.3">
      <c r="A13" s="11"/>
      <c r="B13" s="104" t="s">
        <v>12</v>
      </c>
      <c r="C13" s="44">
        <v>28845</v>
      </c>
      <c r="D13" s="44">
        <v>29243</v>
      </c>
      <c r="E13" s="44">
        <v>31865</v>
      </c>
      <c r="F13" s="2">
        <f>E13*(1+INDEX('Google Drivers'!G$19:G$21,MATCH($D$5,'Google Drivers'!$C$19:$C$21,0)))</f>
        <v>36644.75</v>
      </c>
      <c r="G13" s="2">
        <f>F13*(1+INDEX('Google Drivers'!H$19:H$21,MATCH($D$5,'Google Drivers'!$C$19:$C$21,0)))</f>
        <v>41408.567499999997</v>
      </c>
      <c r="H13" s="2">
        <f>G13*(1+INDEX('Google Drivers'!I$19:I$21,MATCH($D$5,'Google Drivers'!$C$19:$C$21,0)))</f>
        <v>45963.509924999998</v>
      </c>
      <c r="I13" s="2">
        <f>H13*(1+INDEX('Google Drivers'!J$19:J$21,MATCH($D$5,'Google Drivers'!$C$19:$C$21,0)))</f>
        <v>50559.860917500002</v>
      </c>
      <c r="J13" s="2">
        <f>I13*(1+INDEX('Google Drivers'!K$19:K$21,MATCH($D$5,'Google Drivers'!$C$19:$C$21,0)))</f>
        <v>55110.248400075005</v>
      </c>
      <c r="K13" s="11"/>
    </row>
    <row r="14" spans="1:11" ht="15.75" customHeight="1" x14ac:dyDescent="0.3">
      <c r="A14" s="11"/>
      <c r="B14" s="104" t="s">
        <v>13</v>
      </c>
      <c r="C14" s="44">
        <v>13059</v>
      </c>
      <c r="D14" s="44">
        <v>19206</v>
      </c>
      <c r="E14" s="44">
        <v>26280</v>
      </c>
      <c r="F14" s="2">
        <f>E14*(1+INDEX('Google Drivers'!G$23:G$25,MATCH($D$5,'Google Drivers'!$C$23:$C$25,0)))</f>
        <v>33638.400000000001</v>
      </c>
      <c r="G14" s="2">
        <f>F14*(1+INDEX('Google Drivers'!H$23:H$25,MATCH($D$5,'Google Drivers'!$C$23:$C$25,0)))</f>
        <v>42048</v>
      </c>
      <c r="H14" s="2">
        <f>G14*(1+INDEX('Google Drivers'!I$23:I$25,MATCH($D$5,'Google Drivers'!$C$23:$C$25,0)))</f>
        <v>51298.559999999998</v>
      </c>
      <c r="I14" s="2">
        <f>H14*(1+INDEX('Google Drivers'!J$23:J$25,MATCH($D$5,'Google Drivers'!$C$23:$C$25,0)))</f>
        <v>61558.271999999997</v>
      </c>
      <c r="J14" s="2">
        <f>I14*(1+INDEX('Google Drivers'!K$23:K$25,MATCH($D$5,'Google Drivers'!$C$23:$C$25,0)))</f>
        <v>72638.76096</v>
      </c>
      <c r="K14" s="11"/>
    </row>
    <row r="15" spans="1:11" ht="15.75" customHeight="1" x14ac:dyDescent="0.3">
      <c r="A15" s="11"/>
      <c r="B15" s="104" t="s">
        <v>14</v>
      </c>
      <c r="C15" s="44">
        <v>28032</v>
      </c>
      <c r="D15" s="44">
        <v>29071</v>
      </c>
      <c r="E15" s="44">
        <v>30300</v>
      </c>
      <c r="F15" s="2">
        <f>E15*(1+INDEX('Google Drivers'!G$27:G$29,MATCH($D$5,'Google Drivers'!$C$27:$C$29,0)))</f>
        <v>31815</v>
      </c>
      <c r="G15" s="2">
        <f>F15*(1+INDEX('Google Drivers'!H$27:H$29,MATCH($D$5,'Google Drivers'!$C$27:$C$29,0)))</f>
        <v>33246.674999999996</v>
      </c>
      <c r="H15" s="2">
        <f>G15*(1+INDEX('Google Drivers'!I$27:I$29,MATCH($D$5,'Google Drivers'!$C$27:$C$29,0)))</f>
        <v>34576.541999999994</v>
      </c>
      <c r="I15" s="2">
        <f>H15*(1+INDEX('Google Drivers'!J$27:J$29,MATCH($D$5,'Google Drivers'!$C$27:$C$29,0)))</f>
        <v>35786.720969999988</v>
      </c>
      <c r="J15" s="2">
        <f>I15*(1+INDEX('Google Drivers'!K$27:K$29,MATCH($D$5,'Google Drivers'!$C$27:$C$29,0)))</f>
        <v>36860.322599099985</v>
      </c>
      <c r="K15" s="11"/>
    </row>
    <row r="16" spans="1:11" ht="15.75" customHeight="1" x14ac:dyDescent="0.3">
      <c r="A16" s="11"/>
      <c r="B16" s="154" t="s">
        <v>44</v>
      </c>
      <c r="C16" s="155">
        <f t="shared" ref="C16:J16" si="0">SUM(C12:C15)</f>
        <v>218887</v>
      </c>
      <c r="D16" s="155">
        <f t="shared" si="0"/>
        <v>239970</v>
      </c>
      <c r="E16" s="155">
        <f t="shared" si="0"/>
        <v>263478</v>
      </c>
      <c r="F16" s="155">
        <f t="shared" si="0"/>
        <v>292008.95499999996</v>
      </c>
      <c r="G16" s="155">
        <f t="shared" si="0"/>
        <v>320857.35787499999</v>
      </c>
      <c r="H16" s="155">
        <f t="shared" si="0"/>
        <v>349262.74479937501</v>
      </c>
      <c r="I16" s="155">
        <f t="shared" si="0"/>
        <v>377287.31406996556</v>
      </c>
      <c r="J16" s="155">
        <f t="shared" si="0"/>
        <v>405460.91515076387</v>
      </c>
      <c r="K16" s="11"/>
    </row>
    <row r="17" spans="1:11" ht="15.75" customHeight="1" x14ac:dyDescent="0.3">
      <c r="A17" s="11"/>
      <c r="B17" s="115" t="s">
        <v>45</v>
      </c>
      <c r="C17" s="11"/>
      <c r="D17" s="42">
        <f t="shared" ref="D17:J17" si="1">D16/C16-1</f>
        <v>9.6319105291771567E-2</v>
      </c>
      <c r="E17" s="42">
        <f t="shared" si="1"/>
        <v>9.796224528066011E-2</v>
      </c>
      <c r="F17" s="42">
        <f t="shared" si="1"/>
        <v>0.10828591001905274</v>
      </c>
      <c r="G17" s="42">
        <f t="shared" si="1"/>
        <v>9.8792870496043683E-2</v>
      </c>
      <c r="H17" s="42">
        <f t="shared" si="1"/>
        <v>8.852964168408195E-2</v>
      </c>
      <c r="I17" s="42">
        <f t="shared" si="1"/>
        <v>8.0239217288086584E-2</v>
      </c>
      <c r="J17" s="42">
        <f t="shared" si="1"/>
        <v>7.4674127727426542E-2</v>
      </c>
      <c r="K17" s="11"/>
    </row>
    <row r="18" spans="1:11" ht="15.75" customHeight="1" x14ac:dyDescent="0.3">
      <c r="A18" s="11"/>
      <c r="B18" s="31"/>
      <c r="C18" s="11"/>
      <c r="D18" s="42"/>
      <c r="E18" s="42"/>
      <c r="F18" s="42"/>
      <c r="G18" s="42"/>
      <c r="H18" s="42"/>
      <c r="I18" s="42"/>
      <c r="J18" s="42"/>
      <c r="K18" s="11"/>
    </row>
    <row r="19" spans="1:11" ht="15" customHeight="1" x14ac:dyDescent="0.3">
      <c r="A19" s="11"/>
      <c r="B19" s="32" t="s">
        <v>274</v>
      </c>
      <c r="C19" s="33"/>
      <c r="D19" s="33"/>
      <c r="E19" s="33"/>
      <c r="F19" s="33"/>
      <c r="G19" s="33"/>
      <c r="H19" s="33"/>
      <c r="I19" s="33"/>
      <c r="J19" s="33"/>
      <c r="K19" s="11"/>
    </row>
    <row r="20" spans="1:11" ht="15" customHeight="1" x14ac:dyDescent="0.3">
      <c r="A20" s="11"/>
      <c r="B20" s="34" t="s">
        <v>275</v>
      </c>
      <c r="C20" s="35"/>
      <c r="D20" s="35"/>
      <c r="E20" s="35"/>
      <c r="F20" s="35"/>
      <c r="G20" s="35"/>
      <c r="H20" s="35"/>
      <c r="I20" s="35"/>
      <c r="J20" s="35"/>
      <c r="K20" s="11"/>
    </row>
    <row r="21" spans="1:11" ht="15" customHeight="1" x14ac:dyDescent="0.3">
      <c r="A21" s="11"/>
      <c r="B21" s="109" t="s">
        <v>276</v>
      </c>
      <c r="C21" s="11"/>
      <c r="D21" s="11"/>
      <c r="E21" s="11"/>
      <c r="F21" s="24">
        <v>0.22</v>
      </c>
      <c r="G21" s="11"/>
      <c r="H21" s="11"/>
      <c r="I21" s="11"/>
      <c r="J21" s="11"/>
      <c r="K21" s="11"/>
    </row>
    <row r="22" spans="1:11" ht="15" customHeight="1" x14ac:dyDescent="0.3">
      <c r="A22" s="11"/>
      <c r="B22" s="109" t="s">
        <v>277</v>
      </c>
      <c r="C22" s="11"/>
      <c r="D22" s="11"/>
      <c r="E22" s="11"/>
      <c r="F22" s="42">
        <f>F21+(($F$24-$F$21)/3)</f>
        <v>0.24000000000000002</v>
      </c>
      <c r="G22" s="43"/>
      <c r="H22" s="11"/>
      <c r="I22" s="11"/>
      <c r="J22" s="11"/>
      <c r="K22" s="11"/>
    </row>
    <row r="23" spans="1:11" ht="15" customHeight="1" x14ac:dyDescent="0.3">
      <c r="A23" s="11"/>
      <c r="B23" s="109" t="s">
        <v>278</v>
      </c>
      <c r="C23" s="11"/>
      <c r="D23" s="11"/>
      <c r="E23" s="11"/>
      <c r="F23" s="42">
        <f>F22+(($F$24-$F$21)/3)</f>
        <v>0.26</v>
      </c>
      <c r="G23" s="43"/>
      <c r="H23" s="11"/>
      <c r="I23" s="11"/>
      <c r="J23" s="11"/>
      <c r="K23" s="11"/>
    </row>
    <row r="24" spans="1:11" ht="15" customHeight="1" x14ac:dyDescent="0.3">
      <c r="A24" s="11"/>
      <c r="B24" s="109" t="s">
        <v>279</v>
      </c>
      <c r="C24" s="11"/>
      <c r="D24" s="11"/>
      <c r="E24" s="11"/>
      <c r="F24" s="24">
        <v>0.28000000000000003</v>
      </c>
      <c r="G24" s="43"/>
      <c r="H24" s="11"/>
      <c r="I24" s="11"/>
      <c r="J24" s="11"/>
      <c r="K24" s="11"/>
    </row>
    <row r="25" spans="1:11" ht="15" customHeight="1" x14ac:dyDescent="0.3">
      <c r="A25" s="11"/>
      <c r="B25" s="36" t="s">
        <v>280</v>
      </c>
      <c r="C25" s="14"/>
      <c r="D25" s="14"/>
      <c r="E25" s="14"/>
      <c r="F25" s="14"/>
      <c r="G25" s="14"/>
      <c r="H25" s="14"/>
      <c r="I25" s="14"/>
      <c r="J25" s="14"/>
      <c r="K25" s="11"/>
    </row>
    <row r="26" spans="1:11" ht="15" customHeight="1" x14ac:dyDescent="0.3">
      <c r="A26" s="11"/>
      <c r="B26" s="109" t="s">
        <v>281</v>
      </c>
      <c r="C26" s="11"/>
      <c r="D26" s="11"/>
      <c r="E26" s="11"/>
      <c r="F26" s="3">
        <f>$F$16*F21</f>
        <v>64241.970099999991</v>
      </c>
      <c r="G26" s="11"/>
      <c r="H26" s="11"/>
      <c r="I26" s="11"/>
      <c r="J26" s="11"/>
      <c r="K26" s="11"/>
    </row>
    <row r="27" spans="1:11" ht="15" customHeight="1" x14ac:dyDescent="0.3">
      <c r="A27" s="11"/>
      <c r="B27" s="109" t="s">
        <v>282</v>
      </c>
      <c r="C27" s="11"/>
      <c r="D27" s="11"/>
      <c r="E27" s="11"/>
      <c r="F27" s="3">
        <f>$F$16*F22</f>
        <v>70082.1492</v>
      </c>
      <c r="G27" s="11"/>
      <c r="H27" s="11"/>
      <c r="I27" s="11"/>
      <c r="J27" s="11"/>
      <c r="K27" s="11"/>
    </row>
    <row r="28" spans="1:11" ht="15" customHeight="1" x14ac:dyDescent="0.3">
      <c r="A28" s="11"/>
      <c r="B28" s="109" t="s">
        <v>283</v>
      </c>
      <c r="C28" s="11"/>
      <c r="D28" s="11"/>
      <c r="E28" s="11"/>
      <c r="F28" s="3">
        <f>$F$16*F23</f>
        <v>75922.328299999994</v>
      </c>
      <c r="G28" s="11"/>
      <c r="H28" s="11"/>
      <c r="I28" s="11"/>
      <c r="J28" s="11"/>
      <c r="K28" s="11"/>
    </row>
    <row r="29" spans="1:11" ht="15" customHeight="1" x14ac:dyDescent="0.3">
      <c r="A29" s="11"/>
      <c r="B29" s="109" t="s">
        <v>284</v>
      </c>
      <c r="C29" s="11"/>
      <c r="D29" s="11"/>
      <c r="E29" s="11"/>
      <c r="F29" s="3">
        <f>$F$16*F24</f>
        <v>81762.507400000002</v>
      </c>
      <c r="G29" s="11"/>
      <c r="H29" s="11"/>
      <c r="I29" s="11"/>
      <c r="J29" s="11"/>
      <c r="K29" s="11"/>
    </row>
    <row r="30" spans="1:11" ht="15" customHeight="1" x14ac:dyDescent="0.3">
      <c r="A30" s="11"/>
      <c r="B30" s="150" t="s">
        <v>285</v>
      </c>
      <c r="C30" s="152"/>
      <c r="D30" s="152"/>
      <c r="E30" s="152"/>
      <c r="F30" s="156">
        <f>SUM(F26:F29)</f>
        <v>292008.95499999996</v>
      </c>
      <c r="G30" s="152"/>
      <c r="H30" s="152"/>
      <c r="I30" s="152"/>
      <c r="J30" s="152"/>
      <c r="K30" s="11"/>
    </row>
    <row r="31" spans="1:11" ht="15" customHeight="1" x14ac:dyDescent="0.3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15" customHeight="1" x14ac:dyDescent="0.3">
      <c r="A32" s="11"/>
      <c r="B32" s="104" t="s">
        <v>47</v>
      </c>
      <c r="C32" s="3">
        <f t="shared" ref="C32:J32" si="2">C16*(1-C34)</f>
        <v>99593.585000000021</v>
      </c>
      <c r="D32" s="3">
        <f t="shared" si="2"/>
        <v>108466.43999999999</v>
      </c>
      <c r="E32" s="3">
        <f t="shared" si="2"/>
        <v>118565.10000000002</v>
      </c>
      <c r="F32" s="3">
        <f t="shared" si="2"/>
        <v>130820.01184000001</v>
      </c>
      <c r="G32" s="3">
        <f t="shared" si="2"/>
        <v>143102.38161225003</v>
      </c>
      <c r="H32" s="3">
        <f t="shared" si="2"/>
        <v>155072.65869092252</v>
      </c>
      <c r="I32" s="3">
        <f t="shared" si="2"/>
        <v>166760.99281892477</v>
      </c>
      <c r="J32" s="3">
        <f t="shared" si="2"/>
        <v>178402.80266633609</v>
      </c>
      <c r="K32" s="11"/>
    </row>
    <row r="33" spans="1:11" ht="15" customHeight="1" x14ac:dyDescent="0.3">
      <c r="A33" s="11"/>
      <c r="B33" s="157" t="s">
        <v>48</v>
      </c>
      <c r="C33" s="158">
        <f t="shared" ref="C33:J33" si="3">C16-C32</f>
        <v>119293.41499999998</v>
      </c>
      <c r="D33" s="158">
        <f t="shared" si="3"/>
        <v>131503.56</v>
      </c>
      <c r="E33" s="158">
        <f t="shared" si="3"/>
        <v>144912.89999999997</v>
      </c>
      <c r="F33" s="158">
        <f t="shared" si="3"/>
        <v>161188.94315999997</v>
      </c>
      <c r="G33" s="158">
        <f t="shared" si="3"/>
        <v>177754.97626274996</v>
      </c>
      <c r="H33" s="158">
        <f t="shared" si="3"/>
        <v>194190.08610845249</v>
      </c>
      <c r="I33" s="158">
        <f t="shared" si="3"/>
        <v>210526.32125104079</v>
      </c>
      <c r="J33" s="158">
        <f t="shared" si="3"/>
        <v>227058.11248442778</v>
      </c>
      <c r="K33" s="11"/>
    </row>
    <row r="34" spans="1:11" ht="15.75" customHeight="1" x14ac:dyDescent="0.3">
      <c r="A34" s="11"/>
      <c r="B34" s="115" t="s">
        <v>49</v>
      </c>
      <c r="C34" s="24">
        <v>0.54499999999999993</v>
      </c>
      <c r="D34" s="24">
        <v>0.54800000000000004</v>
      </c>
      <c r="E34" s="24">
        <v>0.54999999999999993</v>
      </c>
      <c r="F34" s="24">
        <v>0.55199999999999994</v>
      </c>
      <c r="G34" s="24">
        <v>0.55399999999999994</v>
      </c>
      <c r="H34" s="24">
        <v>0.55599999999999994</v>
      </c>
      <c r="I34" s="24">
        <v>0.55800000000000005</v>
      </c>
      <c r="J34" s="24">
        <v>0.56000000000000005</v>
      </c>
      <c r="K34" s="11"/>
    </row>
    <row r="35" spans="1:11" ht="15.7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5.75" customHeight="1" x14ac:dyDescent="0.3">
      <c r="A36" s="11"/>
      <c r="B36" s="104" t="s">
        <v>17</v>
      </c>
      <c r="C36" s="2">
        <f>C16*INDEX('Google Drivers'!D$35:D$37,MATCH($D$5,'Google Drivers'!$C$35:$C$37,0))</f>
        <v>33051.936999999998</v>
      </c>
      <c r="D36" s="2">
        <f>D16*INDEX('Google Drivers'!E$35:E$37,MATCH($D$5,'Google Drivers'!$C$35:$C$37,0))</f>
        <v>35515.560000000005</v>
      </c>
      <c r="E36" s="2">
        <f>E16*INDEX('Google Drivers'!F$35:F$37,MATCH($D$5,'Google Drivers'!$C$35:$C$37,0))</f>
        <v>38204.31</v>
      </c>
      <c r="F36" s="2">
        <f>F16*INDEX('Google Drivers'!G$35:G$37,MATCH($D$5,'Google Drivers'!$C$35:$C$37,0))</f>
        <v>41757.280565000001</v>
      </c>
      <c r="G36" s="2">
        <f>G16*INDEX('Google Drivers'!H$35:H$37,MATCH($D$5,'Google Drivers'!$C$35:$C$37,0))</f>
        <v>44920.030102500001</v>
      </c>
      <c r="H36" s="2">
        <f>H16*INDEX('Google Drivers'!I$35:I$37,MATCH($D$5,'Google Drivers'!$C$35:$C$37,0))</f>
        <v>48198.258782313758</v>
      </c>
      <c r="I36" s="2">
        <f>I16*INDEX('Google Drivers'!J$35:J$37,MATCH($D$5,'Google Drivers'!$C$35:$C$37,0))</f>
        <v>50933.787399445355</v>
      </c>
      <c r="J36" s="2">
        <f>J16*INDEX('Google Drivers'!K$35:K$37,MATCH($D$5,'Google Drivers'!$C$35:$C$37,0))</f>
        <v>53926.301715051595</v>
      </c>
      <c r="K36" s="11"/>
    </row>
    <row r="37" spans="1:11" ht="15" customHeight="1" x14ac:dyDescent="0.3">
      <c r="A37" s="11"/>
      <c r="B37" s="104" t="s">
        <v>18</v>
      </c>
      <c r="C37" s="2">
        <f>C16*INDEX('Google Drivers'!D$39:D$41,MATCH($D$5,'Google Drivers'!$C$39:$C$41,0))</f>
        <v>25172.005000000001</v>
      </c>
      <c r="D37" s="2">
        <f>D16*INDEX('Google Drivers'!E$39:E$41,MATCH($D$5,'Google Drivers'!$C$39:$C$41,0))</f>
        <v>26876.639999999996</v>
      </c>
      <c r="E37" s="2">
        <f>E16*INDEX('Google Drivers'!F$39:F$41,MATCH($D$5,'Google Drivers'!$C$39:$C$41,0))</f>
        <v>28455.624000000003</v>
      </c>
      <c r="F37" s="2">
        <f>F16*INDEX('Google Drivers'!G$39:G$41,MATCH($D$5,'Google Drivers'!$C$39:$C$41,0))</f>
        <v>30660.940274999994</v>
      </c>
      <c r="G37" s="2">
        <f>G16*INDEX('Google Drivers'!H$39:H$41,MATCH($D$5,'Google Drivers'!$C$39:$C$41,0))</f>
        <v>33048.307861125002</v>
      </c>
      <c r="H37" s="2">
        <f>H16*INDEX('Google Drivers'!I$39:I$41,MATCH($D$5,'Google Drivers'!$C$39:$C$41,0))</f>
        <v>34926.2744799375</v>
      </c>
      <c r="I37" s="2">
        <f>I16*INDEX('Google Drivers'!J$39:J$41,MATCH($D$5,'Google Drivers'!$C$39:$C$41,0))</f>
        <v>36974.156778856624</v>
      </c>
      <c r="J37" s="2">
        <f>J16*INDEX('Google Drivers'!K$39:K$41,MATCH($D$5,'Google Drivers'!$C$39:$C$41,0))</f>
        <v>38518.78693932257</v>
      </c>
      <c r="K37" s="11"/>
    </row>
    <row r="38" spans="1:11" ht="15.75" customHeight="1" x14ac:dyDescent="0.3">
      <c r="A38" s="11"/>
      <c r="B38" s="104" t="s">
        <v>19</v>
      </c>
      <c r="C38" s="2">
        <f>C16*INDEX('Google Drivers'!D$43:D$45,MATCH($D$5,'Google Drivers'!$C$43:$C$45,0))</f>
        <v>14884.316000000001</v>
      </c>
      <c r="D38" s="2">
        <f>D16*INDEX('Google Drivers'!E$43:E$45,MATCH($D$5,'Google Drivers'!$C$43:$C$45,0))</f>
        <v>15598.050000000001</v>
      </c>
      <c r="E38" s="2">
        <f>E16*INDEX('Google Drivers'!F$43:F$45,MATCH($D$5,'Google Drivers'!$C$43:$C$45,0))</f>
        <v>16599.114000000001</v>
      </c>
      <c r="F38" s="2">
        <f>F16*INDEX('Google Drivers'!G$43:G$45,MATCH($D$5,'Google Drivers'!$C$43:$C$45,0))</f>
        <v>18104.555209999999</v>
      </c>
      <c r="G38" s="2">
        <f>G16*INDEX('Google Drivers'!H$43:H$45,MATCH($D$5,'Google Drivers'!$C$43:$C$45,0))</f>
        <v>19251.441472499999</v>
      </c>
      <c r="H38" s="2">
        <f>H16*INDEX('Google Drivers'!I$43:I$45,MATCH($D$5,'Google Drivers'!$C$43:$C$45,0))</f>
        <v>20257.23919836375</v>
      </c>
      <c r="I38" s="2">
        <f>I16*INDEX('Google Drivers'!J$43:J$45,MATCH($D$5,'Google Drivers'!$C$43:$C$45,0))</f>
        <v>21505.376901988038</v>
      </c>
      <c r="J38" s="2">
        <f>J16*INDEX('Google Drivers'!K$43:K$45,MATCH($D$5,'Google Drivers'!$C$43:$C$45,0))</f>
        <v>22300.350333292012</v>
      </c>
      <c r="K38" s="11"/>
    </row>
    <row r="39" spans="1:11" ht="15.75" customHeight="1" x14ac:dyDescent="0.3">
      <c r="A39" s="11"/>
      <c r="B39" s="104" t="s">
        <v>20</v>
      </c>
      <c r="C39" s="2">
        <f>C16*INDEX('Google Drivers'!D$47:D$49,MATCH($D$5,'Google Drivers'!$C$47:$C$49,0))</f>
        <v>20137.603999999999</v>
      </c>
      <c r="D39" s="2">
        <f>D16*INDEX('Google Drivers'!E$47:E$49,MATCH($D$5,'Google Drivers'!$C$47:$C$49,0))</f>
        <v>22797.15</v>
      </c>
      <c r="E39" s="2">
        <f>E16*INDEX('Google Drivers'!F$47:F$49,MATCH($D$5,'Google Drivers'!$C$47:$C$49,0))</f>
        <v>25820.844000000001</v>
      </c>
      <c r="F39" s="2">
        <f>F16*INDEX('Google Drivers'!G$47:G$49,MATCH($D$5,'Google Drivers'!$C$47:$C$49,0))</f>
        <v>27740.850724999997</v>
      </c>
      <c r="G39" s="2">
        <f>G16*INDEX('Google Drivers'!H$47:H$49,MATCH($D$5,'Google Drivers'!$C$47:$C$49,0))</f>
        <v>29839.734282375004</v>
      </c>
      <c r="H39" s="2">
        <f>H16*INDEX('Google Drivers'!I$47:I$49,MATCH($D$5,'Google Drivers'!$C$47:$C$49,0))</f>
        <v>31433.64703194375</v>
      </c>
      <c r="I39" s="2">
        <f>I16*INDEX('Google Drivers'!J$47:J$49,MATCH($D$5,'Google Drivers'!$C$47:$C$49,0))</f>
        <v>33201.283638156972</v>
      </c>
      <c r="J39" s="2">
        <f>J16*INDEX('Google Drivers'!K$47:K$49,MATCH($D$5,'Google Drivers'!$C$47:$C$49,0))</f>
        <v>34464.17778781493</v>
      </c>
      <c r="K39" s="11"/>
    </row>
    <row r="40" spans="1:11" ht="15.75" customHeight="1" x14ac:dyDescent="0.3">
      <c r="A40" s="11"/>
      <c r="B40" s="154" t="s">
        <v>50</v>
      </c>
      <c r="C40" s="155">
        <f t="shared" ref="C40:J40" si="4">SUM(C36:C39)</f>
        <v>93245.861999999994</v>
      </c>
      <c r="D40" s="155">
        <f t="shared" si="4"/>
        <v>100787.4</v>
      </c>
      <c r="E40" s="155">
        <f t="shared" si="4"/>
        <v>109079.89200000001</v>
      </c>
      <c r="F40" s="155">
        <f t="shared" si="4"/>
        <v>118263.62677499998</v>
      </c>
      <c r="G40" s="155">
        <f t="shared" si="4"/>
        <v>127059.51371850001</v>
      </c>
      <c r="H40" s="155">
        <f t="shared" si="4"/>
        <v>134815.41949255875</v>
      </c>
      <c r="I40" s="155">
        <f t="shared" si="4"/>
        <v>142614.60471844699</v>
      </c>
      <c r="J40" s="155">
        <f t="shared" si="4"/>
        <v>149209.61677548109</v>
      </c>
      <c r="K40" s="11"/>
    </row>
    <row r="41" spans="1:11" ht="15.7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15.75" customHeight="1" x14ac:dyDescent="0.3">
      <c r="A42" s="11"/>
      <c r="B42" s="157" t="s">
        <v>51</v>
      </c>
      <c r="C42" s="158">
        <f t="shared" ref="C42:J42" si="5">C33-C40</f>
        <v>26047.552999999985</v>
      </c>
      <c r="D42" s="158">
        <f t="shared" si="5"/>
        <v>30716.160000000003</v>
      </c>
      <c r="E42" s="158">
        <f t="shared" si="5"/>
        <v>35833.007999999958</v>
      </c>
      <c r="F42" s="158">
        <f t="shared" si="5"/>
        <v>42925.316384999984</v>
      </c>
      <c r="G42" s="158">
        <f t="shared" si="5"/>
        <v>50695.462544249953</v>
      </c>
      <c r="H42" s="158">
        <f t="shared" si="5"/>
        <v>59374.666615893744</v>
      </c>
      <c r="I42" s="158">
        <f t="shared" si="5"/>
        <v>67911.716532593797</v>
      </c>
      <c r="J42" s="158">
        <f t="shared" si="5"/>
        <v>77848.495708946692</v>
      </c>
      <c r="K42" s="11"/>
    </row>
    <row r="43" spans="1:11" ht="15" customHeight="1" x14ac:dyDescent="0.3">
      <c r="A43" s="11"/>
      <c r="B43" s="115" t="s">
        <v>52</v>
      </c>
      <c r="C43" s="42">
        <f t="shared" ref="C43:J43" si="6">C42/C16</f>
        <v>0.11899999999999994</v>
      </c>
      <c r="D43" s="42">
        <f t="shared" si="6"/>
        <v>0.128</v>
      </c>
      <c r="E43" s="42">
        <f t="shared" si="6"/>
        <v>0.13599999999999984</v>
      </c>
      <c r="F43" s="42">
        <f t="shared" si="6"/>
        <v>0.14699999999999996</v>
      </c>
      <c r="G43" s="42">
        <f t="shared" si="6"/>
        <v>0.15799999999999986</v>
      </c>
      <c r="H43" s="42">
        <f t="shared" si="6"/>
        <v>0.16999999999999998</v>
      </c>
      <c r="I43" s="42">
        <f t="shared" si="6"/>
        <v>0.18</v>
      </c>
      <c r="J43" s="42">
        <f t="shared" si="6"/>
        <v>0.19200000000000006</v>
      </c>
      <c r="K43" s="11"/>
    </row>
    <row r="44" spans="1:11" ht="15.7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5.75" customHeight="1" x14ac:dyDescent="0.3">
      <c r="A45" s="11"/>
      <c r="B45" s="116" t="s">
        <v>265</v>
      </c>
      <c r="C45" s="2">
        <f>(C$64*INDEX('Google Drivers'!D$88:D$90,MATCH($D$5,'Google Drivers'!$C$88:$C$90,0)))-(C86*INDEX('Google Drivers'!D$92:D$94,MATCH($D$5,'Google Drivers'!$C$92:$C$94,0)))</f>
        <v>0</v>
      </c>
      <c r="D45" s="2">
        <f ca="1">(D$64*INDEX('Google Drivers'!E$88:E$90,MATCH($D$5,'Google Drivers'!$C$88:$C$90,0)))-(D86*INDEX('Google Drivers'!E$92:E$94,MATCH($D$5,'Google Drivers'!$C$92:$C$94,0)))</f>
        <v>972.47680703634251</v>
      </c>
      <c r="E45" s="2">
        <f ca="1">(E$64*INDEX('Google Drivers'!F$88:F$90,MATCH($D$5,'Google Drivers'!$C$88:$C$90,0)))-(E86*INDEX('Google Drivers'!F$92:F$94,MATCH($D$5,'Google Drivers'!$C$92:$C$94,0)))</f>
        <v>2137.5582090163412</v>
      </c>
      <c r="F45" s="2">
        <f ca="1">(F$64*INDEX('Google Drivers'!G$88:G$90,MATCH($D$5,'Google Drivers'!$C$88:$C$90,0)))-(F86*INDEX('Google Drivers'!G$92:G$94,MATCH($D$5,'Google Drivers'!$C$92:$C$94,0)))</f>
        <v>3647.2704214324667</v>
      </c>
      <c r="G45" s="2">
        <f ca="1">(G$64*INDEX('Google Drivers'!H$88:H$90,MATCH($D$5,'Google Drivers'!$C$88:$C$90,0)))-(G86*INDEX('Google Drivers'!H$92:H$94,MATCH($D$5,'Google Drivers'!$C$92:$C$94,0)))</f>
        <v>3628.5765606354535</v>
      </c>
      <c r="H45" s="2">
        <f ca="1">(H$64*INDEX('Google Drivers'!I$88:I$90,MATCH($D$5,'Google Drivers'!$C$88:$C$90,0)))-(H86*INDEX('Google Drivers'!I$92:I$94,MATCH($D$5,'Google Drivers'!$C$92:$C$94,0)))</f>
        <v>3565.6400515131058</v>
      </c>
      <c r="I45" s="2">
        <f ca="1">(I$64*INDEX('Google Drivers'!J$88:J$90,MATCH($D$5,'Google Drivers'!$C$88:$C$90,0)))-(I86*INDEX('Google Drivers'!J$92:J$94,MATCH($D$5,'Google Drivers'!$C$92:$C$94,0)))</f>
        <v>4272.5338468056871</v>
      </c>
      <c r="J45" s="2">
        <f ca="1">(J$64*INDEX('Google Drivers'!K$88:K$90,MATCH($D$5,'Google Drivers'!$C$88:$C$90,0)))-(J86*INDEX('Google Drivers'!K$92:K$94,MATCH($D$5,'Google Drivers'!$C$92:$C$94,0)))</f>
        <v>4000.4264523339025</v>
      </c>
      <c r="K45" s="11"/>
    </row>
    <row r="46" spans="1:11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5.75" customHeight="1" x14ac:dyDescent="0.3">
      <c r="A47" s="11"/>
      <c r="B47" s="157" t="s">
        <v>53</v>
      </c>
      <c r="C47" s="158">
        <f t="shared" ref="C47:J47" si="7">C42+C45</f>
        <v>26047.552999999985</v>
      </c>
      <c r="D47" s="158">
        <f t="shared" ca="1" si="7"/>
        <v>31688.636807036346</v>
      </c>
      <c r="E47" s="158">
        <f t="shared" ca="1" si="7"/>
        <v>37970.566209016302</v>
      </c>
      <c r="F47" s="158">
        <f t="shared" ca="1" si="7"/>
        <v>46572.586806432453</v>
      </c>
      <c r="G47" s="158">
        <f t="shared" ca="1" si="7"/>
        <v>54324.039104885407</v>
      </c>
      <c r="H47" s="158">
        <f t="shared" ca="1" si="7"/>
        <v>62940.306667406847</v>
      </c>
      <c r="I47" s="158">
        <f t="shared" ca="1" si="7"/>
        <v>72184.250379399484</v>
      </c>
      <c r="J47" s="158">
        <f t="shared" ca="1" si="7"/>
        <v>81848.9221612806</v>
      </c>
      <c r="K47" s="11"/>
    </row>
    <row r="48" spans="1:11" ht="15" customHeight="1" x14ac:dyDescent="0.3">
      <c r="A48" s="11"/>
      <c r="B48" s="116" t="s">
        <v>54</v>
      </c>
      <c r="C48" s="2">
        <f>C47*INDEX('Google Drivers'!D$81:D$83,MATCH($D$5,'Google Drivers'!$C$81:$C$83,0))</f>
        <v>4219.7035859999978</v>
      </c>
      <c r="D48" s="2">
        <f ca="1">D47*INDEX('Google Drivers'!E$81:E$83,MATCH($D$5,'Google Drivers'!$C$81:$C$83,0))</f>
        <v>5070.1818891258154</v>
      </c>
      <c r="E48" s="2">
        <f ca="1">E47*INDEX('Google Drivers'!F$81:F$83,MATCH($D$5,'Google Drivers'!$C$81:$C$83,0))</f>
        <v>5999.3494610245762</v>
      </c>
      <c r="F48" s="2">
        <f ca="1">F47*INDEX('Google Drivers'!G$81:G$83,MATCH($D$5,'Google Drivers'!$C$81:$C$83,0))</f>
        <v>7684.4768230613554</v>
      </c>
      <c r="G48" s="2">
        <f ca="1">G47*INDEX('Google Drivers'!H$81:H$83,MATCH($D$5,'Google Drivers'!$C$81:$C$83,0))</f>
        <v>9235.0866478305197</v>
      </c>
      <c r="H48" s="2">
        <f ca="1">H47*INDEX('Google Drivers'!I$81:I$83,MATCH($D$5,'Google Drivers'!$C$81:$C$83,0))</f>
        <v>11014.553666796197</v>
      </c>
      <c r="I48" s="2">
        <f ca="1">I47*INDEX('Google Drivers'!J$81:J$83,MATCH($D$5,'Google Drivers'!$C$81:$C$83,0))</f>
        <v>12993.165068291906</v>
      </c>
      <c r="J48" s="2">
        <f ca="1">J47*INDEX('Google Drivers'!K$81:K$83,MATCH($D$5,'Google Drivers'!$C$81:$C$83,0))</f>
        <v>15142.05059983691</v>
      </c>
      <c r="K48" s="11"/>
    </row>
    <row r="49" spans="1:11" ht="15.7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ht="15.75" customHeight="1" x14ac:dyDescent="0.3">
      <c r="A50" s="11"/>
      <c r="B50" s="159" t="s">
        <v>55</v>
      </c>
      <c r="C50" s="160">
        <f t="shared" ref="C50:J50" si="8">C47-C48</f>
        <v>21827.849413999989</v>
      </c>
      <c r="D50" s="160">
        <f t="shared" ca="1" si="8"/>
        <v>26618.454917910531</v>
      </c>
      <c r="E50" s="160">
        <f t="shared" ca="1" si="8"/>
        <v>31971.216747991726</v>
      </c>
      <c r="F50" s="160">
        <f t="shared" ca="1" si="8"/>
        <v>38888.109983371098</v>
      </c>
      <c r="G50" s="160">
        <f t="shared" ca="1" si="8"/>
        <v>45088.952457054889</v>
      </c>
      <c r="H50" s="160">
        <f t="shared" ca="1" si="8"/>
        <v>51925.753000610654</v>
      </c>
      <c r="I50" s="160">
        <f t="shared" ca="1" si="8"/>
        <v>59191.085311107578</v>
      </c>
      <c r="J50" s="160">
        <f t="shared" ca="1" si="8"/>
        <v>66706.871561443695</v>
      </c>
      <c r="K50" s="11"/>
    </row>
    <row r="51" spans="1:11" ht="15" customHeight="1" x14ac:dyDescent="0.3">
      <c r="A51" s="11"/>
      <c r="B51" s="161" t="s">
        <v>56</v>
      </c>
      <c r="C51" s="153">
        <f t="shared" ref="C51:J51" si="9">C50/C16</f>
        <v>9.972199999999995E-2</v>
      </c>
      <c r="D51" s="153">
        <f t="shared" ca="1" si="9"/>
        <v>0.11092409433641927</v>
      </c>
      <c r="E51" s="153">
        <f t="shared" ca="1" si="9"/>
        <v>0.12134302199041941</v>
      </c>
      <c r="F51" s="153">
        <f t="shared" ca="1" si="9"/>
        <v>0.1331743746809789</v>
      </c>
      <c r="G51" s="153">
        <f t="shared" ca="1" si="9"/>
        <v>0.14052647181187816</v>
      </c>
      <c r="H51" s="153">
        <f t="shared" ca="1" si="9"/>
        <v>0.14867246442341872</v>
      </c>
      <c r="I51" s="153">
        <f t="shared" ca="1" si="9"/>
        <v>0.15688596754708525</v>
      </c>
      <c r="J51" s="153">
        <f t="shared" ca="1" si="9"/>
        <v>0.16452108962620937</v>
      </c>
      <c r="K51" s="11"/>
    </row>
    <row r="52" spans="1:11" ht="15.75" customHeight="1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ht="15.75" customHeight="1" x14ac:dyDescent="0.3">
      <c r="A53" s="11"/>
      <c r="B53" s="21" t="s">
        <v>57</v>
      </c>
      <c r="C53" s="21"/>
      <c r="D53" s="21"/>
      <c r="E53" s="21"/>
      <c r="F53" s="21"/>
      <c r="G53" s="21"/>
      <c r="H53" s="21"/>
      <c r="I53" s="21"/>
      <c r="J53" s="21"/>
      <c r="K53" s="11"/>
    </row>
    <row r="54" spans="1:11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x14ac:dyDescent="0.3">
      <c r="A55" s="11"/>
      <c r="B55" s="116" t="s">
        <v>58</v>
      </c>
      <c r="C55" s="45">
        <v>13000</v>
      </c>
      <c r="D55" s="45">
        <v>12800</v>
      </c>
      <c r="E55" s="45">
        <v>12600</v>
      </c>
      <c r="F55" s="45">
        <v>12400</v>
      </c>
      <c r="G55" s="45">
        <v>12200</v>
      </c>
      <c r="H55" s="45">
        <v>12000</v>
      </c>
      <c r="I55" s="45">
        <v>11800</v>
      </c>
      <c r="J55" s="45">
        <v>11600</v>
      </c>
      <c r="K55" s="11"/>
    </row>
    <row r="56" spans="1:11" ht="15" customHeight="1" x14ac:dyDescent="0.3">
      <c r="A56" s="11"/>
      <c r="B56" s="157" t="s">
        <v>59</v>
      </c>
      <c r="C56" s="162">
        <f t="shared" ref="C56:J56" si="10">C50/C55</f>
        <v>1.6790653395384607</v>
      </c>
      <c r="D56" s="162">
        <f t="shared" ca="1" si="10"/>
        <v>2.0795667904617603</v>
      </c>
      <c r="E56" s="162">
        <f t="shared" ca="1" si="10"/>
        <v>2.5373981546025179</v>
      </c>
      <c r="F56" s="162">
        <f t="shared" ca="1" si="10"/>
        <v>3.1361379018847662</v>
      </c>
      <c r="G56" s="162">
        <f t="shared" ca="1" si="10"/>
        <v>3.6958157751684335</v>
      </c>
      <c r="H56" s="162">
        <f t="shared" ca="1" si="10"/>
        <v>4.3271460833842212</v>
      </c>
      <c r="I56" s="162">
        <f t="shared" ca="1" si="10"/>
        <v>5.0161936704328456</v>
      </c>
      <c r="J56" s="162">
        <f t="shared" ca="1" si="10"/>
        <v>5.7505923759865256</v>
      </c>
      <c r="K56" s="11"/>
    </row>
    <row r="57" spans="1:11" ht="15.7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ht="15.75" customHeight="1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15" customHeight="1" x14ac:dyDescent="0.3">
      <c r="A59" s="11"/>
      <c r="B59" s="21" t="s">
        <v>62</v>
      </c>
      <c r="C59" s="21"/>
      <c r="D59" s="21"/>
      <c r="E59" s="21"/>
      <c r="F59" s="21"/>
      <c r="G59" s="21"/>
      <c r="H59" s="21"/>
      <c r="I59" s="21"/>
      <c r="J59" s="21"/>
      <c r="K59" s="11"/>
    </row>
    <row r="60" spans="1:11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5.75" customHeight="1" x14ac:dyDescent="0.3">
      <c r="A61" s="11"/>
      <c r="B61" s="37" t="s">
        <v>63</v>
      </c>
      <c r="C61" s="37"/>
      <c r="D61" s="37"/>
      <c r="E61" s="37"/>
      <c r="F61" s="37"/>
      <c r="G61" s="37"/>
      <c r="H61" s="37"/>
      <c r="I61" s="37"/>
      <c r="J61" s="37"/>
      <c r="K61" s="11"/>
    </row>
    <row r="62" spans="1:11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5" customHeight="1" x14ac:dyDescent="0.3">
      <c r="A63" s="11"/>
      <c r="B63" s="13" t="s">
        <v>64</v>
      </c>
      <c r="C63" s="14"/>
      <c r="D63" s="14"/>
      <c r="E63" s="14"/>
      <c r="F63" s="14"/>
      <c r="G63" s="14"/>
      <c r="H63" s="14"/>
      <c r="I63" s="14"/>
      <c r="J63" s="14"/>
      <c r="K63" s="11"/>
    </row>
    <row r="64" spans="1:11" ht="15" customHeight="1" x14ac:dyDescent="0.3">
      <c r="A64" s="11"/>
      <c r="B64" s="104" t="s">
        <v>65</v>
      </c>
      <c r="C64" s="44">
        <v>90000</v>
      </c>
      <c r="D64" s="3">
        <f t="shared" ref="D64:J64" ca="1" si="11">D$121</f>
        <v>97498.453802422839</v>
      </c>
      <c r="E64" s="3">
        <f t="shared" ca="1" si="11"/>
        <v>106302.32836065364</v>
      </c>
      <c r="F64" s="3">
        <f t="shared" ca="1" si="11"/>
        <v>120279.15489807047</v>
      </c>
      <c r="G64" s="3">
        <f t="shared" ca="1" si="11"/>
        <v>136952.55202118179</v>
      </c>
      <c r="H64" s="3">
        <f t="shared" ca="1" si="11"/>
        <v>158725.60206052422</v>
      </c>
      <c r="I64" s="3">
        <f t="shared" ca="1" si="11"/>
        <v>184101.35387222748</v>
      </c>
      <c r="J64" s="3">
        <f t="shared" ca="1" si="11"/>
        <v>215771.32261669511</v>
      </c>
      <c r="K64" s="11"/>
    </row>
    <row r="65" spans="1:11" ht="15" customHeight="1" x14ac:dyDescent="0.3">
      <c r="A65" s="11"/>
      <c r="B65" s="104" t="s">
        <v>66</v>
      </c>
      <c r="C65" s="2">
        <f>C$16*INDEX('Google Drivers'!D$55:D$57,MATCH($D$5,'Google Drivers'!$C$55:$C$57,0))/365</f>
        <v>28785.139726027399</v>
      </c>
      <c r="D65" s="2">
        <f>D$16*INDEX('Google Drivers'!E$55:E$57,MATCH($D$5,'Google Drivers'!$C$55:$C$57,0))/365</f>
        <v>30900.246575342466</v>
      </c>
      <c r="E65" s="2">
        <f>E$16*INDEX('Google Drivers'!F$55:F$57,MATCH($D$5,'Google Drivers'!$C$55:$C$57,0))/365</f>
        <v>33205.446575342467</v>
      </c>
      <c r="F65" s="2">
        <f>F$16*INDEX('Google Drivers'!G$55:G$57,MATCH($D$5,'Google Drivers'!$C$55:$C$57,0))/365</f>
        <v>36801.12857534246</v>
      </c>
      <c r="G65" s="2">
        <f>G$16*INDEX('Google Drivers'!H$55:H$57,MATCH($D$5,'Google Drivers'!$C$55:$C$57,0))/365</f>
        <v>39557.756450342466</v>
      </c>
      <c r="H65" s="2">
        <f>H$16*INDEX('Google Drivers'!I$55:I$57,MATCH($D$5,'Google Drivers'!$C$55:$C$57,0))/365</f>
        <v>43059.790454717462</v>
      </c>
      <c r="I65" s="2">
        <f>I$16*INDEX('Google Drivers'!J$55:J$57,MATCH($D$5,'Google Drivers'!$C$55:$C$57,0))/365</f>
        <v>45481.210463228723</v>
      </c>
      <c r="J65" s="2">
        <f>J$16*INDEX('Google Drivers'!K$55:K$57,MATCH($D$5,'Google Drivers'!$C$55:$C$57,0))/365</f>
        <v>48877.48018255784</v>
      </c>
      <c r="K65" s="11"/>
    </row>
    <row r="66" spans="1:11" ht="15.75" customHeight="1" x14ac:dyDescent="0.3">
      <c r="A66" s="11"/>
      <c r="B66" s="104" t="s">
        <v>67</v>
      </c>
      <c r="C66" s="44">
        <v>8500</v>
      </c>
      <c r="D66" s="2">
        <f>C66*(1+'Google Drivers'!E$63)</f>
        <v>9000</v>
      </c>
      <c r="E66" s="2">
        <f>D66*(1+'Google Drivers'!F$63)</f>
        <v>9500</v>
      </c>
      <c r="F66" s="2">
        <f>E66*(1+'Google Drivers'!G$63)</f>
        <v>9975</v>
      </c>
      <c r="G66" s="2">
        <f>F66*(1+'Google Drivers'!H$63)</f>
        <v>10473.75</v>
      </c>
      <c r="H66" s="2">
        <f>G66*(1+'Google Drivers'!I$63)</f>
        <v>10997.4375</v>
      </c>
      <c r="I66" s="2">
        <f>H66*(1+'Google Drivers'!J$63)</f>
        <v>11547.309375000001</v>
      </c>
      <c r="J66" s="2">
        <f>I66*(1+'Google Drivers'!K$63)</f>
        <v>12124.674843750001</v>
      </c>
      <c r="K66" s="11"/>
    </row>
    <row r="67" spans="1:11" ht="15.75" customHeight="1" x14ac:dyDescent="0.3">
      <c r="A67" s="11"/>
      <c r="B67" s="163" t="s">
        <v>68</v>
      </c>
      <c r="C67" s="155">
        <f t="shared" ref="C67:J67" si="12">SUM(C64:C66)</f>
        <v>127285.1397260274</v>
      </c>
      <c r="D67" s="155">
        <f t="shared" ca="1" si="12"/>
        <v>137398.70037776529</v>
      </c>
      <c r="E67" s="155">
        <f t="shared" ca="1" si="12"/>
        <v>149007.7749359961</v>
      </c>
      <c r="F67" s="155">
        <f t="shared" ca="1" si="12"/>
        <v>167055.28347341291</v>
      </c>
      <c r="G67" s="155">
        <f t="shared" ca="1" si="12"/>
        <v>186984.05847152427</v>
      </c>
      <c r="H67" s="155">
        <f t="shared" ca="1" si="12"/>
        <v>212782.83001524169</v>
      </c>
      <c r="I67" s="155">
        <f t="shared" ca="1" si="12"/>
        <v>241129.87371045622</v>
      </c>
      <c r="J67" s="155">
        <f t="shared" ca="1" si="12"/>
        <v>276773.47764300299</v>
      </c>
      <c r="K67" s="11"/>
    </row>
    <row r="68" spans="1:11" ht="15.7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ht="15.75" customHeight="1" x14ac:dyDescent="0.3">
      <c r="A69" s="11"/>
      <c r="B69" s="13" t="s">
        <v>69</v>
      </c>
      <c r="C69" s="14"/>
      <c r="D69" s="14"/>
      <c r="E69" s="14"/>
      <c r="F69" s="14"/>
      <c r="G69" s="14"/>
      <c r="H69" s="14"/>
      <c r="I69" s="14"/>
      <c r="J69" s="14"/>
      <c r="K69" s="11"/>
    </row>
    <row r="70" spans="1:11" ht="15" customHeight="1" x14ac:dyDescent="0.3">
      <c r="A70" s="11"/>
      <c r="B70" s="164" t="s">
        <v>70</v>
      </c>
      <c r="C70" s="46">
        <v>80000</v>
      </c>
      <c r="D70" s="158">
        <f t="shared" ref="D70:J70" si="13">C70+D110</f>
        <v>111676.04000000001</v>
      </c>
      <c r="E70" s="158">
        <f t="shared" si="13"/>
        <v>148562.96000000002</v>
      </c>
      <c r="F70" s="158">
        <f t="shared" si="13"/>
        <v>187984.16892500001</v>
      </c>
      <c r="G70" s="158">
        <f t="shared" si="13"/>
        <v>229695.62544875001</v>
      </c>
      <c r="H70" s="158">
        <f t="shared" si="13"/>
        <v>273353.46854867187</v>
      </c>
      <c r="I70" s="158">
        <f t="shared" si="13"/>
        <v>318627.94623706775</v>
      </c>
      <c r="J70" s="158">
        <f t="shared" si="13"/>
        <v>365255.95147940563</v>
      </c>
      <c r="K70" s="11"/>
    </row>
    <row r="71" spans="1:11" ht="15" customHeight="1" x14ac:dyDescent="0.3">
      <c r="A71" s="11"/>
      <c r="B71" s="104" t="s">
        <v>71</v>
      </c>
      <c r="C71" s="44">
        <v>25000</v>
      </c>
      <c r="D71" s="3">
        <f t="shared" ref="D71:J71" si="14">C71+D102</f>
        <v>44152.612500000003</v>
      </c>
      <c r="E71" s="3">
        <f t="shared" si="14"/>
        <v>66325.840500000006</v>
      </c>
      <c r="F71" s="3">
        <f t="shared" si="14"/>
        <v>92146.684500000003</v>
      </c>
      <c r="G71" s="3">
        <f t="shared" si="14"/>
        <v>119741.5307475</v>
      </c>
      <c r="H71" s="3">
        <f t="shared" si="14"/>
        <v>148939.55031412499</v>
      </c>
      <c r="I71" s="3">
        <f t="shared" si="14"/>
        <v>179500.04048407031</v>
      </c>
      <c r="J71" s="3">
        <f t="shared" si="14"/>
        <v>211192.17486594743</v>
      </c>
      <c r="K71" s="11"/>
    </row>
    <row r="72" spans="1:11" ht="15.75" customHeight="1" x14ac:dyDescent="0.3">
      <c r="A72" s="11"/>
      <c r="B72" s="164" t="s">
        <v>266</v>
      </c>
      <c r="C72" s="158">
        <f t="shared" ref="C72:J72" si="15">C70-C71</f>
        <v>55000</v>
      </c>
      <c r="D72" s="158">
        <f t="shared" si="15"/>
        <v>67523.427500000005</v>
      </c>
      <c r="E72" s="158">
        <f t="shared" si="15"/>
        <v>82237.119500000015</v>
      </c>
      <c r="F72" s="158">
        <f t="shared" si="15"/>
        <v>95837.484425000002</v>
      </c>
      <c r="G72" s="158">
        <f t="shared" si="15"/>
        <v>109954.09470125001</v>
      </c>
      <c r="H72" s="158">
        <f t="shared" si="15"/>
        <v>124413.91823454687</v>
      </c>
      <c r="I72" s="158">
        <f t="shared" si="15"/>
        <v>139127.90575299744</v>
      </c>
      <c r="J72" s="158">
        <f t="shared" si="15"/>
        <v>154063.77661345821</v>
      </c>
      <c r="K72" s="11"/>
    </row>
    <row r="73" spans="1:11" ht="15.75" customHeight="1" x14ac:dyDescent="0.3">
      <c r="A73" s="11"/>
      <c r="B73" s="9"/>
      <c r="C73" s="5"/>
      <c r="D73" s="5"/>
      <c r="E73" s="5"/>
      <c r="F73" s="5"/>
      <c r="G73" s="5"/>
      <c r="H73" s="5"/>
      <c r="I73" s="5"/>
      <c r="J73" s="5"/>
      <c r="K73" s="11"/>
    </row>
    <row r="74" spans="1:11" ht="15.75" customHeight="1" x14ac:dyDescent="0.3">
      <c r="A74" s="11"/>
      <c r="B74" s="104" t="s">
        <v>72</v>
      </c>
      <c r="C74" s="44">
        <v>35000</v>
      </c>
      <c r="D74" s="2">
        <f>C74*(1+'Google Drivers'!E$64)</f>
        <v>38000</v>
      </c>
      <c r="E74" s="2">
        <f>D74*(1+'Google Drivers'!F$64)</f>
        <v>42000.000000000007</v>
      </c>
      <c r="F74" s="2">
        <f>E74*(1+'Google Drivers'!G$64)</f>
        <v>45360.000000000007</v>
      </c>
      <c r="G74" s="2">
        <f>F74*(1+'Google Drivers'!H$64)</f>
        <v>48988.80000000001</v>
      </c>
      <c r="H74" s="2">
        <f>G74*(1+'Google Drivers'!I$64)</f>
        <v>52907.904000000017</v>
      </c>
      <c r="I74" s="2">
        <f>H74*(1+'Google Drivers'!J$64)</f>
        <v>57140.536320000021</v>
      </c>
      <c r="J74" s="2">
        <f>I74*(1+'Google Drivers'!K$64)</f>
        <v>61711.779225600025</v>
      </c>
      <c r="K74" s="11"/>
    </row>
    <row r="75" spans="1:11" ht="15.75" customHeight="1" x14ac:dyDescent="0.3">
      <c r="A75" s="11"/>
      <c r="B75" s="163" t="s">
        <v>73</v>
      </c>
      <c r="C75" s="155">
        <f t="shared" ref="C75:J75" si="16">C72+C74</f>
        <v>90000</v>
      </c>
      <c r="D75" s="155">
        <f t="shared" si="16"/>
        <v>105523.42750000001</v>
      </c>
      <c r="E75" s="155">
        <f t="shared" si="16"/>
        <v>124237.11950000003</v>
      </c>
      <c r="F75" s="155">
        <f t="shared" si="16"/>
        <v>141197.484425</v>
      </c>
      <c r="G75" s="155">
        <f t="shared" si="16"/>
        <v>158942.89470125001</v>
      </c>
      <c r="H75" s="155">
        <f t="shared" si="16"/>
        <v>177321.82223454688</v>
      </c>
      <c r="I75" s="155">
        <f t="shared" si="16"/>
        <v>196268.44207299745</v>
      </c>
      <c r="J75" s="155">
        <f t="shared" si="16"/>
        <v>215775.55583905824</v>
      </c>
      <c r="K75" s="11"/>
    </row>
    <row r="76" spans="1:11" ht="15.7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15" customHeight="1" thickBot="1" x14ac:dyDescent="0.35">
      <c r="A77" s="11"/>
      <c r="B77" s="165" t="s">
        <v>74</v>
      </c>
      <c r="C77" s="166">
        <f t="shared" ref="C77:J77" si="17">C67+C75</f>
        <v>217285.13972602738</v>
      </c>
      <c r="D77" s="166">
        <f t="shared" ca="1" si="17"/>
        <v>242922.12787776528</v>
      </c>
      <c r="E77" s="166">
        <f t="shared" ca="1" si="17"/>
        <v>273244.89443599613</v>
      </c>
      <c r="F77" s="166">
        <f t="shared" ca="1" si="17"/>
        <v>308252.76789841289</v>
      </c>
      <c r="G77" s="166">
        <f t="shared" ca="1" si="17"/>
        <v>345926.95317277429</v>
      </c>
      <c r="H77" s="166">
        <f t="shared" ca="1" si="17"/>
        <v>390104.65224978857</v>
      </c>
      <c r="I77" s="166">
        <f t="shared" ca="1" si="17"/>
        <v>437398.31578345364</v>
      </c>
      <c r="J77" s="166">
        <f t="shared" ca="1" si="17"/>
        <v>492549.03348206123</v>
      </c>
      <c r="K77" s="11"/>
    </row>
    <row r="78" spans="1:11" ht="15.75" customHeight="1" thickTop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ht="15" customHeight="1" x14ac:dyDescent="0.3">
      <c r="A79" s="11"/>
      <c r="B79" s="37" t="s">
        <v>75</v>
      </c>
      <c r="C79" s="37"/>
      <c r="D79" s="37"/>
      <c r="E79" s="37"/>
      <c r="F79" s="37"/>
      <c r="G79" s="37"/>
      <c r="H79" s="37"/>
      <c r="I79" s="37"/>
      <c r="J79" s="37"/>
      <c r="K79" s="11"/>
    </row>
    <row r="80" spans="1:11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15" customHeight="1" x14ac:dyDescent="0.3">
      <c r="A81" s="11"/>
      <c r="B81" s="13" t="s">
        <v>76</v>
      </c>
      <c r="C81" s="14"/>
      <c r="D81" s="14"/>
      <c r="E81" s="14"/>
      <c r="F81" s="14"/>
      <c r="G81" s="14"/>
      <c r="H81" s="14"/>
      <c r="I81" s="14"/>
      <c r="J81" s="14"/>
      <c r="K81" s="11"/>
    </row>
    <row r="82" spans="1:11" ht="15" customHeight="1" x14ac:dyDescent="0.3">
      <c r="A82" s="11"/>
      <c r="B82" s="104" t="s">
        <v>77</v>
      </c>
      <c r="C82" s="2">
        <f>(C32+C36+C37+C38)*INDEX('Google Drivers'!D$59:D$61,MATCH($D$5,'Google Drivers'!$C$59:$C$61,0))/365</f>
        <v>15140.983495890412</v>
      </c>
      <c r="D82" s="2">
        <f>(D32+D36+D37+D38)*INDEX('Google Drivers'!E$59:E$61,MATCH($D$5,'Google Drivers'!$C$59:$C$61,0))/365</f>
        <v>16857.728136986301</v>
      </c>
      <c r="E82" s="2">
        <f>(E32+E36+E37+E38)*INDEX('Google Drivers'!F$59:F$61,MATCH($D$5,'Google Drivers'!$C$59:$C$61,0))/365</f>
        <v>18800.057621917811</v>
      </c>
      <c r="F82" s="2">
        <f>(F32+F36+F37+F38)*INDEX('Google Drivers'!G$59:G$61,MATCH($D$5,'Google Drivers'!$C$59:$C$61,0))/365</f>
        <v>20618.232296602739</v>
      </c>
      <c r="G82" s="2">
        <f>(G32+G36+G37+G38)*INDEX('Google Drivers'!H$59:H$61,MATCH($D$5,'Google Drivers'!$C$59:$C$61,0))/365</f>
        <v>23044.590785460619</v>
      </c>
      <c r="H82" s="2">
        <f>(H32+H36+H37+H38)*INDEX('Google Drivers'!I$59:I$61,MATCH($D$5,'Google Drivers'!$C$59:$C$61,0))/365</f>
        <v>24783.301617270718</v>
      </c>
      <c r="I82" s="2">
        <f>(I32+I36+I37+I38)*INDEX('Google Drivers'!J$59:J$61,MATCH($D$5,'Google Drivers'!$C$59:$C$61,0))/365</f>
        <v>27239.110411977348</v>
      </c>
      <c r="J82" s="2">
        <f>(J32+J36+J37+J38)*INDEX('Google Drivers'!K$59:K$61,MATCH($D$5,'Google Drivers'!$C$59:$C$61,0))/365</f>
        <v>28913.251231627626</v>
      </c>
      <c r="K82" s="11"/>
    </row>
    <row r="83" spans="1:11" ht="15.75" customHeight="1" x14ac:dyDescent="0.3">
      <c r="A83" s="11"/>
      <c r="B83" s="104" t="s">
        <v>78</v>
      </c>
      <c r="C83" s="44">
        <v>12000</v>
      </c>
      <c r="D83" s="2">
        <f>C83*(1+'Google Drivers'!E$65)</f>
        <v>13000</v>
      </c>
      <c r="E83" s="2">
        <f>D83*(1+'Google Drivers'!F$65)</f>
        <v>14000</v>
      </c>
      <c r="F83" s="2">
        <f>E83*(1+'Google Drivers'!G$65)</f>
        <v>14840</v>
      </c>
      <c r="G83" s="2">
        <f>F83*(1+'Google Drivers'!H$65)</f>
        <v>15730.400000000001</v>
      </c>
      <c r="H83" s="2">
        <f>G83*(1+'Google Drivers'!I$65)</f>
        <v>16674.224000000002</v>
      </c>
      <c r="I83" s="2">
        <f>H83*(1+'Google Drivers'!J$65)</f>
        <v>17674.677440000003</v>
      </c>
      <c r="J83" s="2">
        <f>I83*(1+'Google Drivers'!K$65)</f>
        <v>18735.158086400003</v>
      </c>
      <c r="K83" s="11"/>
    </row>
    <row r="84" spans="1:11" ht="15.75" customHeight="1" x14ac:dyDescent="0.3">
      <c r="A84" s="11"/>
      <c r="B84" s="163" t="s">
        <v>79</v>
      </c>
      <c r="C84" s="155">
        <f t="shared" ref="C84:J84" si="18">SUM(C82:C83)</f>
        <v>27140.98349589041</v>
      </c>
      <c r="D84" s="155">
        <f t="shared" si="18"/>
        <v>29857.728136986301</v>
      </c>
      <c r="E84" s="155">
        <f t="shared" si="18"/>
        <v>32800.057621917811</v>
      </c>
      <c r="F84" s="155">
        <f t="shared" si="18"/>
        <v>35458.232296602742</v>
      </c>
      <c r="G84" s="155">
        <f t="shared" si="18"/>
        <v>38774.990785460621</v>
      </c>
      <c r="H84" s="155">
        <f t="shared" si="18"/>
        <v>41457.525617270716</v>
      </c>
      <c r="I84" s="155">
        <f t="shared" si="18"/>
        <v>44913.787851977351</v>
      </c>
      <c r="J84" s="155">
        <f t="shared" si="18"/>
        <v>47648.409318027625</v>
      </c>
      <c r="K84" s="11"/>
    </row>
    <row r="85" spans="1:11" ht="15.7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ht="15" customHeight="1" x14ac:dyDescent="0.3">
      <c r="A86" s="11"/>
      <c r="B86" s="116" t="s">
        <v>80</v>
      </c>
      <c r="C86" s="44">
        <v>15000</v>
      </c>
      <c r="D86" s="44">
        <v>14000</v>
      </c>
      <c r="E86" s="44">
        <v>13000</v>
      </c>
      <c r="F86" s="44">
        <v>12500</v>
      </c>
      <c r="G86" s="44">
        <v>12000</v>
      </c>
      <c r="H86" s="44">
        <v>11500</v>
      </c>
      <c r="I86" s="44">
        <v>11000</v>
      </c>
      <c r="J86" s="44">
        <v>10500</v>
      </c>
      <c r="K86" s="11"/>
    </row>
    <row r="87" spans="1:11" ht="15.75" customHeight="1" x14ac:dyDescent="0.3">
      <c r="A87" s="11"/>
      <c r="B87" s="163" t="s">
        <v>81</v>
      </c>
      <c r="C87" s="155">
        <f t="shared" ref="C87:J87" si="19">C84+C86</f>
        <v>42140.98349589041</v>
      </c>
      <c r="D87" s="155">
        <f t="shared" si="19"/>
        <v>43857.728136986305</v>
      </c>
      <c r="E87" s="155">
        <f t="shared" si="19"/>
        <v>45800.057621917811</v>
      </c>
      <c r="F87" s="155">
        <f t="shared" si="19"/>
        <v>47958.232296602742</v>
      </c>
      <c r="G87" s="155">
        <f t="shared" si="19"/>
        <v>50774.990785460621</v>
      </c>
      <c r="H87" s="155">
        <f t="shared" si="19"/>
        <v>52957.525617270716</v>
      </c>
      <c r="I87" s="155">
        <f t="shared" si="19"/>
        <v>55913.787851977351</v>
      </c>
      <c r="J87" s="155">
        <f t="shared" si="19"/>
        <v>58148.409318027625</v>
      </c>
      <c r="K87" s="11"/>
    </row>
    <row r="88" spans="1:11" ht="15.7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ht="15" customHeight="1" x14ac:dyDescent="0.3">
      <c r="A89" s="11"/>
      <c r="B89" s="13" t="s">
        <v>82</v>
      </c>
      <c r="C89" s="14"/>
      <c r="D89" s="14"/>
      <c r="E89" s="14"/>
      <c r="F89" s="14"/>
      <c r="G89" s="14"/>
      <c r="H89" s="14"/>
      <c r="I89" s="14"/>
      <c r="J89" s="14"/>
      <c r="K89" s="11"/>
    </row>
    <row r="90" spans="1:11" ht="15" customHeight="1" x14ac:dyDescent="0.3">
      <c r="A90" s="11"/>
      <c r="B90" s="104" t="s">
        <v>267</v>
      </c>
      <c r="C90" s="44">
        <v>50000</v>
      </c>
      <c r="D90" s="3">
        <f t="shared" ref="D90:J90" si="20">C90+D103</f>
        <v>72797.149999999994</v>
      </c>
      <c r="E90" s="3">
        <f t="shared" si="20"/>
        <v>98617.993999999992</v>
      </c>
      <c r="F90" s="3">
        <f t="shared" si="20"/>
        <v>126358.84472499999</v>
      </c>
      <c r="G90" s="3">
        <f t="shared" si="20"/>
        <v>156198.579007375</v>
      </c>
      <c r="H90" s="3">
        <f t="shared" si="20"/>
        <v>187632.22603931875</v>
      </c>
      <c r="I90" s="3">
        <f t="shared" si="20"/>
        <v>220833.50967747573</v>
      </c>
      <c r="J90" s="3">
        <f t="shared" si="20"/>
        <v>255297.68746529066</v>
      </c>
      <c r="K90" s="11"/>
    </row>
    <row r="91" spans="1:11" ht="15.75" customHeight="1" x14ac:dyDescent="0.3">
      <c r="A91" s="11"/>
      <c r="B91" s="104" t="s">
        <v>268</v>
      </c>
      <c r="C91" s="44">
        <v>24855.843769863</v>
      </c>
      <c r="D91" s="3">
        <f t="shared" ref="D91:J91" ca="1" si="21">C91+D115</f>
        <v>50351.205177131509</v>
      </c>
      <c r="E91" s="3">
        <f t="shared" ca="1" si="21"/>
        <v>79762.828851823928</v>
      </c>
      <c r="F91" s="3">
        <f t="shared" ca="1" si="21"/>
        <v>113542.09077246315</v>
      </c>
      <c r="G91" s="3">
        <f t="shared" ca="1" si="21"/>
        <v>153613.35072638959</v>
      </c>
      <c r="H91" s="3">
        <f t="shared" ca="1" si="21"/>
        <v>194977.58651373978</v>
      </c>
      <c r="I91" s="3">
        <f t="shared" ca="1" si="21"/>
        <v>243032.55416404587</v>
      </c>
      <c r="J91" s="3">
        <f t="shared" ca="1" si="21"/>
        <v>291287.50728074729</v>
      </c>
      <c r="K91" s="11"/>
    </row>
    <row r="92" spans="1:11" ht="15.75" customHeight="1" x14ac:dyDescent="0.3">
      <c r="A92" s="11"/>
      <c r="B92" s="104" t="s">
        <v>83</v>
      </c>
      <c r="C92" s="44">
        <v>150000</v>
      </c>
      <c r="D92" s="3">
        <f t="shared" ref="D92:J92" ca="1" si="22">C92+D101</f>
        <v>176618.45491791054</v>
      </c>
      <c r="E92" s="3">
        <f t="shared" ca="1" si="22"/>
        <v>208589.67166590225</v>
      </c>
      <c r="F92" s="3">
        <f t="shared" ca="1" si="22"/>
        <v>247477.78164927335</v>
      </c>
      <c r="G92" s="3">
        <f t="shared" ca="1" si="22"/>
        <v>292566.73410632822</v>
      </c>
      <c r="H92" s="3">
        <f t="shared" ca="1" si="22"/>
        <v>344492.48710693885</v>
      </c>
      <c r="I92" s="3">
        <f t="shared" ca="1" si="22"/>
        <v>403683.57241804642</v>
      </c>
      <c r="J92" s="3">
        <f t="shared" ca="1" si="22"/>
        <v>470390.44397949008</v>
      </c>
      <c r="K92" s="11"/>
    </row>
    <row r="93" spans="1:11" ht="15.75" customHeight="1" x14ac:dyDescent="0.3">
      <c r="A93" s="11"/>
      <c r="B93" s="163" t="s">
        <v>84</v>
      </c>
      <c r="C93" s="155">
        <f t="shared" ref="C93:J93" si="23">C90-C91+C92</f>
        <v>175144.15623013698</v>
      </c>
      <c r="D93" s="155">
        <f t="shared" ca="1" si="23"/>
        <v>199064.39974077902</v>
      </c>
      <c r="E93" s="155">
        <f t="shared" ca="1" si="23"/>
        <v>227444.83681407833</v>
      </c>
      <c r="F93" s="155">
        <f t="shared" ca="1" si="23"/>
        <v>260294.5356018102</v>
      </c>
      <c r="G93" s="155">
        <f t="shared" ca="1" si="23"/>
        <v>295151.9623873136</v>
      </c>
      <c r="H93" s="155">
        <f t="shared" ca="1" si="23"/>
        <v>337147.12663251779</v>
      </c>
      <c r="I93" s="155">
        <f t="shared" ca="1" si="23"/>
        <v>381484.52793147624</v>
      </c>
      <c r="J93" s="155">
        <f t="shared" ca="1" si="23"/>
        <v>434400.62416403345</v>
      </c>
      <c r="K93" s="11"/>
    </row>
    <row r="94" spans="1:11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ht="15.75" customHeight="1" thickBot="1" x14ac:dyDescent="0.35">
      <c r="A95" s="11"/>
      <c r="B95" s="165" t="s">
        <v>85</v>
      </c>
      <c r="C95" s="166">
        <f t="shared" ref="C95:J95" si="24">C87+C93</f>
        <v>217285.13972602738</v>
      </c>
      <c r="D95" s="166">
        <f t="shared" ca="1" si="24"/>
        <v>242922.12787776534</v>
      </c>
      <c r="E95" s="166">
        <f t="shared" ca="1" si="24"/>
        <v>273244.89443599613</v>
      </c>
      <c r="F95" s="166">
        <f t="shared" ca="1" si="24"/>
        <v>308252.76789841295</v>
      </c>
      <c r="G95" s="166">
        <f t="shared" ca="1" si="24"/>
        <v>345926.95317277423</v>
      </c>
      <c r="H95" s="166">
        <f t="shared" ca="1" si="24"/>
        <v>390104.65224978852</v>
      </c>
      <c r="I95" s="166">
        <f t="shared" ca="1" si="24"/>
        <v>437398.31578345358</v>
      </c>
      <c r="J95" s="166">
        <f t="shared" ca="1" si="24"/>
        <v>492549.03348206106</v>
      </c>
      <c r="K95" s="11"/>
    </row>
    <row r="96" spans="1:11" ht="15" customHeight="1" thickTop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ht="15.75" customHeight="1" x14ac:dyDescent="0.3">
      <c r="A97" s="11"/>
      <c r="B97" s="117" t="s">
        <v>86</v>
      </c>
      <c r="C97" s="3">
        <f t="shared" ref="C97:J97" si="25">C77-C95</f>
        <v>0</v>
      </c>
      <c r="D97" s="3">
        <f t="shared" ca="1" si="25"/>
        <v>0</v>
      </c>
      <c r="E97" s="3">
        <f t="shared" ca="1" si="25"/>
        <v>0</v>
      </c>
      <c r="F97" s="3">
        <f t="shared" ca="1" si="25"/>
        <v>0</v>
      </c>
      <c r="G97" s="3">
        <f t="shared" ca="1" si="25"/>
        <v>0</v>
      </c>
      <c r="H97" s="3">
        <f t="shared" ca="1" si="25"/>
        <v>0</v>
      </c>
      <c r="I97" s="3">
        <f t="shared" ca="1" si="25"/>
        <v>0</v>
      </c>
      <c r="J97" s="3">
        <f t="shared" ca="1" si="25"/>
        <v>0</v>
      </c>
      <c r="K97" s="11"/>
    </row>
    <row r="98" spans="1:11" ht="15" customHeight="1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 ht="15.75" customHeight="1" x14ac:dyDescent="0.3">
      <c r="A99" s="11"/>
      <c r="B99" s="21" t="s">
        <v>87</v>
      </c>
      <c r="C99" s="21"/>
      <c r="D99" s="21"/>
      <c r="E99" s="21"/>
      <c r="F99" s="21"/>
      <c r="G99" s="21"/>
      <c r="H99" s="21"/>
      <c r="I99" s="21"/>
      <c r="J99" s="21"/>
      <c r="K99" s="11"/>
    </row>
    <row r="100" spans="1:11" ht="13.5" customHeight="1" x14ac:dyDescent="0.3">
      <c r="A100" s="11"/>
      <c r="B100" s="38" t="s">
        <v>88</v>
      </c>
      <c r="C100" s="39"/>
      <c r="D100" s="39"/>
      <c r="E100" s="39"/>
      <c r="F100" s="39"/>
      <c r="G100" s="39"/>
      <c r="H100" s="39"/>
      <c r="I100" s="39"/>
      <c r="J100" s="39"/>
      <c r="K100" s="11"/>
    </row>
    <row r="101" spans="1:11" ht="15.75" customHeight="1" x14ac:dyDescent="0.3">
      <c r="A101" s="11"/>
      <c r="B101" s="164" t="s">
        <v>89</v>
      </c>
      <c r="C101" s="167"/>
      <c r="D101" s="158" cm="1">
        <f t="array" aca="1" ref="D101" ca="1">D50</f>
        <v>26618.454917910531</v>
      </c>
      <c r="E101" s="158" cm="1">
        <f t="array" aca="1" ref="E101" ca="1">E50</f>
        <v>31971.216747991726</v>
      </c>
      <c r="F101" s="158" cm="1">
        <f t="array" aca="1" ref="F101" ca="1">F50</f>
        <v>38888.109983371098</v>
      </c>
      <c r="G101" s="158" cm="1">
        <f t="array" aca="1" ref="G101" ca="1">G50</f>
        <v>45088.952457054889</v>
      </c>
      <c r="H101" s="158" cm="1">
        <f t="array" aca="1" ref="H101" ca="1">H50</f>
        <v>51925.753000610654</v>
      </c>
      <c r="I101" s="158" cm="1">
        <f t="array" aca="1" ref="I101" ca="1">I50</f>
        <v>59191.085311107578</v>
      </c>
      <c r="J101" s="158" cm="1">
        <f t="array" aca="1" ref="J101" ca="1">J50</f>
        <v>66706.871561443695</v>
      </c>
      <c r="K101" s="11"/>
    </row>
    <row r="102" spans="1:11" ht="15.75" customHeight="1" x14ac:dyDescent="0.3">
      <c r="A102" s="11"/>
      <c r="B102" s="104" t="s">
        <v>90</v>
      </c>
      <c r="C102" s="4"/>
      <c r="D102" s="2">
        <f>C$110*INDEX('Google Drivers'!E$73:E$75,MATCH($D$5,'Google Drivers'!$C$73:$C$75,0))</f>
        <v>19152.612499999999</v>
      </c>
      <c r="E102" s="2">
        <f>D$110*INDEX('Google Drivers'!F$73:F$75,MATCH($D$5,'Google Drivers'!$C$73:$C$75,0))</f>
        <v>22173.227999999999</v>
      </c>
      <c r="F102" s="2">
        <f>E$110*INDEX('Google Drivers'!G$73:G$75,MATCH($D$5,'Google Drivers'!$C$73:$C$75,0))</f>
        <v>25820.844000000001</v>
      </c>
      <c r="G102" s="2">
        <f>F$110*INDEX('Google Drivers'!H$73:H$75,MATCH($D$5,'Google Drivers'!$C$73:$C$75,0))</f>
        <v>27594.846247499998</v>
      </c>
      <c r="H102" s="2">
        <f>G$110*INDEX('Google Drivers'!I$73:I$75,MATCH($D$5,'Google Drivers'!$C$73:$C$75,0))</f>
        <v>29198.019566624997</v>
      </c>
      <c r="I102" s="2">
        <f>H$110*INDEX('Google Drivers'!J$73:J$75,MATCH($D$5,'Google Drivers'!$C$73:$C$75,0))</f>
        <v>30560.490169945311</v>
      </c>
      <c r="J102" s="2">
        <f>I$110*INDEX('Google Drivers'!K$73:K$75,MATCH($D$5,'Google Drivers'!$C$73:$C$75,0))</f>
        <v>31692.134381877106</v>
      </c>
      <c r="K102" s="11"/>
    </row>
    <row r="103" spans="1:11" ht="15.75" customHeight="1" x14ac:dyDescent="0.3">
      <c r="A103" s="11"/>
      <c r="B103" s="104" t="s">
        <v>91</v>
      </c>
      <c r="C103" s="5"/>
      <c r="D103" s="3" cm="1">
        <f t="array" ref="D103">D39</f>
        <v>22797.15</v>
      </c>
      <c r="E103" s="3" cm="1">
        <f t="array" ref="E103">E39</f>
        <v>25820.844000000001</v>
      </c>
      <c r="F103" s="3" cm="1">
        <f t="array" ref="F103">F39</f>
        <v>27740.850724999997</v>
      </c>
      <c r="G103" s="3" cm="1">
        <f t="array" ref="G103">G39</f>
        <v>29839.734282375004</v>
      </c>
      <c r="H103" s="3" cm="1">
        <f t="array" ref="H103">H39</f>
        <v>31433.64703194375</v>
      </c>
      <c r="I103" s="3" cm="1">
        <f t="array" ref="I103">I39</f>
        <v>33201.283638156972</v>
      </c>
      <c r="J103" s="3" cm="1">
        <f t="array" ref="J103">J39</f>
        <v>34464.17778781493</v>
      </c>
      <c r="K103" s="11"/>
    </row>
    <row r="104" spans="1:11" ht="15" customHeight="1" x14ac:dyDescent="0.3">
      <c r="A104" s="11"/>
      <c r="B104" s="22" t="s">
        <v>92</v>
      </c>
      <c r="C104" s="14"/>
      <c r="D104" s="14"/>
      <c r="E104" s="14"/>
      <c r="F104" s="14"/>
      <c r="G104" s="14"/>
      <c r="H104" s="14"/>
      <c r="I104" s="14"/>
      <c r="J104" s="14"/>
      <c r="K104" s="11"/>
    </row>
    <row r="105" spans="1:11" ht="15.75" customHeight="1" x14ac:dyDescent="0.3">
      <c r="A105" s="11"/>
      <c r="B105" s="118" t="s">
        <v>105</v>
      </c>
      <c r="C105" s="11"/>
      <c r="D105" s="3">
        <f t="shared" ref="D105:J105" si="26">-(SUM(D65:D66)-SUM(C65:C66))</f>
        <v>-2615.1068493150669</v>
      </c>
      <c r="E105" s="3">
        <f t="shared" si="26"/>
        <v>-2805.2000000000044</v>
      </c>
      <c r="F105" s="3">
        <f t="shared" si="26"/>
        <v>-4070.6819999999934</v>
      </c>
      <c r="G105" s="3">
        <f t="shared" si="26"/>
        <v>-3255.3778750000056</v>
      </c>
      <c r="H105" s="3">
        <f t="shared" si="26"/>
        <v>-4025.7215043749966</v>
      </c>
      <c r="I105" s="3">
        <f t="shared" si="26"/>
        <v>-2971.2918835112578</v>
      </c>
      <c r="J105" s="3">
        <f t="shared" si="26"/>
        <v>-3973.635188079119</v>
      </c>
      <c r="K105" s="11"/>
    </row>
    <row r="106" spans="1:11" ht="15.75" customHeight="1" x14ac:dyDescent="0.3">
      <c r="A106" s="11"/>
      <c r="B106" s="118" t="s">
        <v>106</v>
      </c>
      <c r="C106" s="11"/>
      <c r="D106" s="3">
        <f t="shared" ref="D106:J106" si="27">SUM(D82:D83)-SUM(C82:C83)</f>
        <v>2716.744641095891</v>
      </c>
      <c r="E106" s="3">
        <f t="shared" si="27"/>
        <v>2942.3294849315098</v>
      </c>
      <c r="F106" s="3">
        <f t="shared" si="27"/>
        <v>2658.1746746849312</v>
      </c>
      <c r="G106" s="3">
        <f t="shared" si="27"/>
        <v>3316.7584888578785</v>
      </c>
      <c r="H106" s="3">
        <f t="shared" si="27"/>
        <v>2682.5348318100951</v>
      </c>
      <c r="I106" s="3">
        <f t="shared" si="27"/>
        <v>3456.2622347066354</v>
      </c>
      <c r="J106" s="3">
        <f t="shared" si="27"/>
        <v>2734.6214660502737</v>
      </c>
      <c r="K106" s="11"/>
    </row>
    <row r="107" spans="1:11" ht="15.75" customHeight="1" x14ac:dyDescent="0.3">
      <c r="A107" s="11"/>
      <c r="B107" s="154" t="s">
        <v>93</v>
      </c>
      <c r="C107" s="168"/>
      <c r="D107" s="155">
        <f t="shared" ref="D107:J107" ca="1" si="28">SUM(D101:D106)</f>
        <v>68669.855209691348</v>
      </c>
      <c r="E107" s="155">
        <f t="shared" ca="1" si="28"/>
        <v>80102.418232923228</v>
      </c>
      <c r="F107" s="155">
        <f t="shared" ca="1" si="28"/>
        <v>91037.297383056051</v>
      </c>
      <c r="G107" s="155">
        <f t="shared" ca="1" si="28"/>
        <v>102584.91360078775</v>
      </c>
      <c r="H107" s="155">
        <f t="shared" ca="1" si="28"/>
        <v>111214.2329266145</v>
      </c>
      <c r="I107" s="155">
        <f t="shared" ca="1" si="28"/>
        <v>123437.82947040524</v>
      </c>
      <c r="J107" s="155">
        <f t="shared" ca="1" si="28"/>
        <v>131624.17000910689</v>
      </c>
      <c r="K107" s="11"/>
    </row>
    <row r="108" spans="1:11" ht="1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ht="15" customHeight="1" x14ac:dyDescent="0.3">
      <c r="A109" s="11"/>
      <c r="B109" s="13" t="s">
        <v>94</v>
      </c>
      <c r="C109" s="14"/>
      <c r="D109" s="14"/>
      <c r="E109" s="14"/>
      <c r="F109" s="14"/>
      <c r="G109" s="14"/>
      <c r="H109" s="14"/>
      <c r="I109" s="14"/>
      <c r="J109" s="14"/>
      <c r="K109" s="11"/>
    </row>
    <row r="110" spans="1:11" ht="15.75" customHeight="1" x14ac:dyDescent="0.3">
      <c r="A110" s="11"/>
      <c r="B110" s="104" t="s">
        <v>95</v>
      </c>
      <c r="C110" s="2">
        <f>C$16*INDEX('Google Drivers'!D$69:D$71,MATCH($D$5,'Google Drivers'!$C$69:$C$71,0))</f>
        <v>27360.875</v>
      </c>
      <c r="D110" s="2">
        <f>D$16*INDEX('Google Drivers'!E$69:E$71,MATCH($D$5,'Google Drivers'!$C$69:$C$71,0))</f>
        <v>31676.04</v>
      </c>
      <c r="E110" s="2">
        <f>E$16*INDEX('Google Drivers'!F$69:F$71,MATCH($D$5,'Google Drivers'!$C$69:$C$71,0))</f>
        <v>36886.920000000006</v>
      </c>
      <c r="F110" s="2">
        <f>F$16*INDEX('Google Drivers'!G$69:G$71,MATCH($D$5,'Google Drivers'!$C$69:$C$71,0))</f>
        <v>39421.208924999999</v>
      </c>
      <c r="G110" s="2">
        <f>G$16*INDEX('Google Drivers'!H$69:H$71,MATCH($D$5,'Google Drivers'!$C$69:$C$71,0))</f>
        <v>41711.456523749999</v>
      </c>
      <c r="H110" s="2">
        <f>H$16*INDEX('Google Drivers'!I$69:I$71,MATCH($D$5,'Google Drivers'!$C$69:$C$71,0))</f>
        <v>43657.843099921876</v>
      </c>
      <c r="I110" s="2">
        <f>I$16*INDEX('Google Drivers'!J$69:J$71,MATCH($D$5,'Google Drivers'!$C$69:$C$71,0))</f>
        <v>45274.477688395869</v>
      </c>
      <c r="J110" s="2">
        <f>J$16*INDEX('Google Drivers'!K$69:K$71,MATCH($D$5,'Google Drivers'!$C$69:$C$71,0))</f>
        <v>46628.005242337851</v>
      </c>
      <c r="K110" s="11"/>
    </row>
    <row r="111" spans="1:11" ht="15.75" customHeight="1" x14ac:dyDescent="0.3">
      <c r="A111" s="11"/>
      <c r="B111" s="104" t="s">
        <v>269</v>
      </c>
      <c r="C111" s="2"/>
      <c r="D111" s="3">
        <f t="shared" ref="D111:J111" si="29">D74-C74</f>
        <v>3000</v>
      </c>
      <c r="E111" s="3">
        <f t="shared" si="29"/>
        <v>4000.0000000000073</v>
      </c>
      <c r="F111" s="3">
        <f t="shared" si="29"/>
        <v>3360</v>
      </c>
      <c r="G111" s="3">
        <f t="shared" si="29"/>
        <v>3628.8000000000029</v>
      </c>
      <c r="H111" s="3">
        <f t="shared" si="29"/>
        <v>3919.1040000000066</v>
      </c>
      <c r="I111" s="3">
        <f t="shared" si="29"/>
        <v>4232.6323200000043</v>
      </c>
      <c r="J111" s="3">
        <f t="shared" si="29"/>
        <v>4571.2429056000037</v>
      </c>
      <c r="K111" s="11"/>
    </row>
    <row r="112" spans="1:11" ht="15" customHeight="1" x14ac:dyDescent="0.3">
      <c r="A112" s="11"/>
      <c r="B112" s="154" t="s">
        <v>96</v>
      </c>
      <c r="C112" s="168"/>
      <c r="D112" s="155">
        <f t="shared" ref="D112:J112" si="30">-D110-D111</f>
        <v>-34676.04</v>
      </c>
      <c r="E112" s="155">
        <f t="shared" si="30"/>
        <v>-40886.920000000013</v>
      </c>
      <c r="F112" s="155">
        <f t="shared" si="30"/>
        <v>-42781.208924999999</v>
      </c>
      <c r="G112" s="155">
        <f t="shared" si="30"/>
        <v>-45340.256523750002</v>
      </c>
      <c r="H112" s="155">
        <f t="shared" si="30"/>
        <v>-47576.947099921883</v>
      </c>
      <c r="I112" s="155">
        <f t="shared" si="30"/>
        <v>-49507.110008395874</v>
      </c>
      <c r="J112" s="155">
        <f t="shared" si="30"/>
        <v>-51199.248147937855</v>
      </c>
      <c r="K112" s="11"/>
    </row>
    <row r="113" spans="1:11" ht="13.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ht="15.75" customHeight="1" x14ac:dyDescent="0.3">
      <c r="A114" s="11"/>
      <c r="B114" s="13" t="s">
        <v>97</v>
      </c>
      <c r="C114" s="14"/>
      <c r="D114" s="14"/>
      <c r="E114" s="14"/>
      <c r="F114" s="14"/>
      <c r="G114" s="14"/>
      <c r="H114" s="14"/>
      <c r="I114" s="14"/>
      <c r="J114" s="14"/>
      <c r="K114" s="11"/>
    </row>
    <row r="115" spans="1:11" ht="15.75" customHeight="1" x14ac:dyDescent="0.3">
      <c r="A115" s="11"/>
      <c r="B115" s="104" t="s">
        <v>98</v>
      </c>
      <c r="C115" s="6"/>
      <c r="D115" s="2">
        <f ca="1">MAX(D107+D112,0)*INDEX('Google Drivers'!E$98:E$100,MATCH($D$5,'Google Drivers'!$C$98:$C$100,0))</f>
        <v>25495.361407268509</v>
      </c>
      <c r="E115" s="2">
        <f ca="1">MAX(E107+E112,0)*INDEX('Google Drivers'!F$98:F$100,MATCH($D$5,'Google Drivers'!$C$98:$C$100,0))</f>
        <v>29411.623674692411</v>
      </c>
      <c r="F115" s="2">
        <f ca="1">MAX(F107+F112,0)*INDEX('Google Drivers'!G$98:G$100,MATCH($D$5,'Google Drivers'!$C$98:$C$100,0))</f>
        <v>33779.261920639234</v>
      </c>
      <c r="G115" s="2">
        <f ca="1">MAX(G107+G112,0)*INDEX('Google Drivers'!H$98:H$100,MATCH($D$5,'Google Drivers'!$C$98:$C$100,0))</f>
        <v>40071.259953926427</v>
      </c>
      <c r="H115" s="2">
        <f ca="1">MAX(H107+H112,0)*INDEX('Google Drivers'!I$98:I$100,MATCH($D$5,'Google Drivers'!$C$98:$C$100,0))</f>
        <v>41364.235787350197</v>
      </c>
      <c r="I115" s="2">
        <f ca="1">MAX(I107+I112,0)*INDEX('Google Drivers'!J$98:J$100,MATCH($D$5,'Google Drivers'!$C$98:$C$100,0))</f>
        <v>48054.967650306091</v>
      </c>
      <c r="J115" s="2">
        <f ca="1">MAX(J107+J112,0)*INDEX('Google Drivers'!K$98:K$100,MATCH($D$5,'Google Drivers'!$C$98:$C$100,0))</f>
        <v>48254.953116701428</v>
      </c>
      <c r="K115" s="11"/>
    </row>
    <row r="116" spans="1:11" ht="15.75" customHeight="1" x14ac:dyDescent="0.3">
      <c r="A116" s="11"/>
      <c r="B116" s="104" t="s">
        <v>99</v>
      </c>
      <c r="C116" s="4"/>
      <c r="D116" s="3">
        <f t="shared" ref="D116:J116" si="31">-D$86+C$86</f>
        <v>1000</v>
      </c>
      <c r="E116" s="3">
        <f t="shared" si="31"/>
        <v>1000</v>
      </c>
      <c r="F116" s="3">
        <f t="shared" si="31"/>
        <v>500</v>
      </c>
      <c r="G116" s="3">
        <f t="shared" si="31"/>
        <v>500</v>
      </c>
      <c r="H116" s="3">
        <f t="shared" si="31"/>
        <v>500</v>
      </c>
      <c r="I116" s="3">
        <f t="shared" si="31"/>
        <v>500</v>
      </c>
      <c r="J116" s="3">
        <f t="shared" si="31"/>
        <v>500</v>
      </c>
      <c r="K116" s="11"/>
    </row>
    <row r="117" spans="1:11" ht="15" customHeight="1" x14ac:dyDescent="0.3">
      <c r="A117" s="11"/>
      <c r="B117" s="154" t="s">
        <v>100</v>
      </c>
      <c r="C117" s="168"/>
      <c r="D117" s="155">
        <f t="shared" ref="D117:J117" ca="1" si="32">-D115-D116</f>
        <v>-26495.361407268509</v>
      </c>
      <c r="E117" s="155">
        <f t="shared" ca="1" si="32"/>
        <v>-30411.623674692411</v>
      </c>
      <c r="F117" s="155">
        <f t="shared" ca="1" si="32"/>
        <v>-34279.261920639234</v>
      </c>
      <c r="G117" s="155">
        <f t="shared" ca="1" si="32"/>
        <v>-40571.259953926427</v>
      </c>
      <c r="H117" s="155">
        <f t="shared" ca="1" si="32"/>
        <v>-41864.235787350197</v>
      </c>
      <c r="I117" s="155">
        <f t="shared" ca="1" si="32"/>
        <v>-48554.967650306091</v>
      </c>
      <c r="J117" s="155">
        <f t="shared" ca="1" si="32"/>
        <v>-48754.953116701428</v>
      </c>
      <c r="K117" s="11"/>
    </row>
    <row r="118" spans="1:11" ht="15.7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 ht="15.75" customHeight="1" x14ac:dyDescent="0.3">
      <c r="A119" s="11"/>
      <c r="B119" s="157" t="s">
        <v>101</v>
      </c>
      <c r="C119" s="167"/>
      <c r="D119" s="158">
        <f t="shared" ref="D119:J119" ca="1" si="33">D107+D112+D117</f>
        <v>7498.4538024228386</v>
      </c>
      <c r="E119" s="158">
        <f t="shared" ca="1" si="33"/>
        <v>8803.8745582308038</v>
      </c>
      <c r="F119" s="158">
        <f t="shared" ca="1" si="33"/>
        <v>13976.826537416819</v>
      </c>
      <c r="G119" s="158">
        <f t="shared" ca="1" si="33"/>
        <v>16673.397123111325</v>
      </c>
      <c r="H119" s="158">
        <f t="shared" ca="1" si="33"/>
        <v>21773.050039342415</v>
      </c>
      <c r="I119" s="158">
        <f t="shared" ca="1" si="33"/>
        <v>25375.751811703274</v>
      </c>
      <c r="J119" s="158">
        <f t="shared" ca="1" si="33"/>
        <v>31669.968744467616</v>
      </c>
      <c r="K119" s="11"/>
    </row>
    <row r="120" spans="1:11" ht="15.75" customHeight="1" x14ac:dyDescent="0.3">
      <c r="A120" s="11"/>
      <c r="B120" s="116" t="s">
        <v>102</v>
      </c>
      <c r="C120" s="5"/>
      <c r="D120" s="3">
        <f t="shared" ref="D120:J120" si="34">C$121</f>
        <v>90000</v>
      </c>
      <c r="E120" s="3">
        <f t="shared" ca="1" si="34"/>
        <v>97498.453802422839</v>
      </c>
      <c r="F120" s="3">
        <f t="shared" ca="1" si="34"/>
        <v>106302.32836065364</v>
      </c>
      <c r="G120" s="3">
        <f t="shared" ca="1" si="34"/>
        <v>120279.15489807047</v>
      </c>
      <c r="H120" s="3">
        <f t="shared" ca="1" si="34"/>
        <v>136952.55202118179</v>
      </c>
      <c r="I120" s="3">
        <f t="shared" ca="1" si="34"/>
        <v>158725.60206052422</v>
      </c>
      <c r="J120" s="3">
        <f t="shared" ca="1" si="34"/>
        <v>184101.35387222748</v>
      </c>
      <c r="K120" s="11"/>
    </row>
    <row r="121" spans="1:11" ht="15" customHeight="1" thickBot="1" x14ac:dyDescent="0.35">
      <c r="A121" s="11"/>
      <c r="B121" s="165" t="s">
        <v>103</v>
      </c>
      <c r="C121" s="166">
        <f>C64</f>
        <v>90000</v>
      </c>
      <c r="D121" s="166">
        <f t="shared" ref="D121:J121" ca="1" si="35">D119+D120</f>
        <v>97498.453802422839</v>
      </c>
      <c r="E121" s="166">
        <f t="shared" ca="1" si="35"/>
        <v>106302.32836065364</v>
      </c>
      <c r="F121" s="166">
        <f t="shared" ca="1" si="35"/>
        <v>120279.15489807047</v>
      </c>
      <c r="G121" s="166">
        <f t="shared" ca="1" si="35"/>
        <v>136952.55202118179</v>
      </c>
      <c r="H121" s="166">
        <f t="shared" ca="1" si="35"/>
        <v>158725.60206052422</v>
      </c>
      <c r="I121" s="166">
        <f t="shared" ca="1" si="35"/>
        <v>184101.35387222748</v>
      </c>
      <c r="J121" s="166">
        <f t="shared" ca="1" si="35"/>
        <v>215771.32261669511</v>
      </c>
      <c r="K121" s="11"/>
    </row>
    <row r="122" spans="1:11" ht="15.75" customHeight="1" thickTop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ht="15" customHeight="1" x14ac:dyDescent="0.3">
      <c r="A123" s="11"/>
      <c r="B123" s="117" t="s">
        <v>104</v>
      </c>
      <c r="C123" s="3">
        <f t="shared" ref="C123:J123" si="36">C121-C64</f>
        <v>0</v>
      </c>
      <c r="D123" s="3">
        <f t="shared" ca="1" si="36"/>
        <v>0</v>
      </c>
      <c r="E123" s="3">
        <f t="shared" ca="1" si="36"/>
        <v>0</v>
      </c>
      <c r="F123" s="3">
        <f t="shared" ca="1" si="36"/>
        <v>0</v>
      </c>
      <c r="G123" s="3">
        <f t="shared" ca="1" si="36"/>
        <v>0</v>
      </c>
      <c r="H123" s="3">
        <f t="shared" ca="1" si="36"/>
        <v>0</v>
      </c>
      <c r="I123" s="3">
        <f t="shared" ca="1" si="36"/>
        <v>0</v>
      </c>
      <c r="J123" s="3">
        <f t="shared" ca="1" si="36"/>
        <v>0</v>
      </c>
      <c r="K123" s="11"/>
    </row>
    <row r="124" spans="1:11" ht="15" customHeight="1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 ht="15" customHeight="1" x14ac:dyDescent="0.3">
      <c r="A125" s="11"/>
      <c r="B125" s="40" t="s">
        <v>289</v>
      </c>
      <c r="C125" s="41"/>
      <c r="D125" s="41"/>
      <c r="E125" s="41"/>
      <c r="F125" s="41"/>
      <c r="G125" s="41"/>
      <c r="H125" s="41"/>
      <c r="I125" s="41"/>
      <c r="J125" s="41"/>
      <c r="K125" s="11"/>
    </row>
    <row r="126" spans="1:11" ht="15" customHeight="1" x14ac:dyDescent="0.3">
      <c r="A126" s="11"/>
      <c r="B126" s="11"/>
      <c r="C126" s="11"/>
      <c r="D126" s="11"/>
      <c r="E126" s="11"/>
      <c r="F126" s="119" t="s">
        <v>290</v>
      </c>
      <c r="G126" s="119" t="s">
        <v>291</v>
      </c>
      <c r="H126" s="119" t="s">
        <v>292</v>
      </c>
      <c r="I126" s="119" t="s">
        <v>293</v>
      </c>
      <c r="J126" s="119" t="s">
        <v>294</v>
      </c>
      <c r="K126" s="11"/>
    </row>
    <row r="127" spans="1:11" ht="15" customHeight="1" x14ac:dyDescent="0.3">
      <c r="A127" s="11"/>
      <c r="B127" s="111" t="s">
        <v>295</v>
      </c>
      <c r="C127" s="11"/>
      <c r="D127" s="11"/>
      <c r="E127" s="11"/>
      <c r="F127" s="44">
        <v>2980</v>
      </c>
      <c r="G127" s="11"/>
      <c r="H127" s="11"/>
      <c r="I127" s="11"/>
      <c r="J127" s="11"/>
      <c r="K127" s="11"/>
    </row>
    <row r="128" spans="1:11" ht="15" customHeight="1" x14ac:dyDescent="0.3">
      <c r="A128" s="11"/>
      <c r="B128" s="157" t="s">
        <v>296</v>
      </c>
      <c r="C128" s="169"/>
      <c r="D128" s="169"/>
      <c r="E128" s="169"/>
      <c r="F128" s="158">
        <f ca="1">($F$86-$F$64)/1000</f>
        <v>-107.77915489807047</v>
      </c>
      <c r="G128" s="169"/>
      <c r="H128" s="169"/>
      <c r="I128" s="169"/>
      <c r="J128" s="169"/>
      <c r="K128" s="11"/>
    </row>
    <row r="129" spans="1:11" ht="15" customHeight="1" x14ac:dyDescent="0.3">
      <c r="A129" s="11"/>
      <c r="B129" s="157" t="s">
        <v>297</v>
      </c>
      <c r="C129" s="169"/>
      <c r="D129" s="169"/>
      <c r="E129" s="169"/>
      <c r="F129" s="158">
        <f ca="1">F127+F128</f>
        <v>2872.2208451019296</v>
      </c>
      <c r="G129" s="167"/>
      <c r="H129" s="167"/>
      <c r="I129" s="167"/>
      <c r="J129" s="167"/>
      <c r="K129" s="11"/>
    </row>
    <row r="130" spans="1:11" ht="15" customHeight="1" x14ac:dyDescent="0.3">
      <c r="A130" s="11"/>
      <c r="B130" s="8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5" customHeight="1" x14ac:dyDescent="0.3">
      <c r="A131" s="11"/>
      <c r="B131" s="111" t="s">
        <v>298</v>
      </c>
      <c r="C131" s="11"/>
      <c r="D131" s="11"/>
      <c r="E131" s="11"/>
      <c r="F131" s="120">
        <f ca="1">$F$129*1000/F$16</f>
        <v>9.8360711064560675</v>
      </c>
      <c r="G131" s="120">
        <f ca="1">$F$129*1000/G$16</f>
        <v>8.9517063411738658</v>
      </c>
      <c r="H131" s="120">
        <f ca="1">$F$129*1000/H$16</f>
        <v>8.223667963074055</v>
      </c>
      <c r="I131" s="120">
        <f ca="1">$F$129*1000/I$16</f>
        <v>7.6128211524474807</v>
      </c>
      <c r="J131" s="120">
        <f ca="1">$F$129*1000/J$16</f>
        <v>7.0838414697356029</v>
      </c>
      <c r="K131" s="11"/>
    </row>
    <row r="132" spans="1:11" ht="15" customHeight="1" x14ac:dyDescent="0.3">
      <c r="A132" s="11"/>
      <c r="B132" s="157" t="s">
        <v>299</v>
      </c>
      <c r="C132" s="169"/>
      <c r="D132" s="169"/>
      <c r="E132" s="169"/>
      <c r="F132" s="170">
        <f ca="1">$F$129*1000/(F$42+F$102)</f>
        <v>41.780091120967271</v>
      </c>
      <c r="G132" s="170">
        <f ca="1">$F$129*1000/(G$42+G$102)</f>
        <v>36.686799291365134</v>
      </c>
      <c r="H132" s="170">
        <f ca="1">$F$129*1000/(H$42+H$102)</f>
        <v>32.427839426516222</v>
      </c>
      <c r="I132" s="170">
        <f ca="1">$F$129*1000/(I$42+I$102)</f>
        <v>29.167832643156043</v>
      </c>
      <c r="J132" s="170">
        <f ca="1">$F$129*1000/(J$42+J$102)</f>
        <v>26.220598171842497</v>
      </c>
      <c r="K132" s="11"/>
    </row>
    <row r="133" spans="1:11" ht="15" customHeight="1" x14ac:dyDescent="0.3">
      <c r="A133" s="11"/>
      <c r="B133" s="111" t="s">
        <v>300</v>
      </c>
      <c r="C133" s="11"/>
      <c r="D133" s="11"/>
      <c r="E133" s="11"/>
      <c r="F133" s="120">
        <f ca="1">$F$127*1000/F$50</f>
        <v>76.63010625289516</v>
      </c>
      <c r="G133" s="120">
        <f ca="1">$F$127*1000/G$50</f>
        <v>66.091577595161695</v>
      </c>
      <c r="H133" s="120">
        <f ca="1">$F$127*1000/H$50</f>
        <v>57.389634772652308</v>
      </c>
      <c r="I133" s="120">
        <f ca="1">$F$127*1000/I$50</f>
        <v>50.345419151163703</v>
      </c>
      <c r="J133" s="120">
        <f ca="1">$F$127*1000/J$50</f>
        <v>44.673058865534145</v>
      </c>
      <c r="K133" s="11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sheetPr>
    <tabColor rgb="FF1F3864"/>
  </sheetPr>
  <dimension ref="B2:Q125"/>
  <sheetViews>
    <sheetView showGridLines="0" zoomScaleNormal="100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7" ht="18" customHeight="1" x14ac:dyDescent="0.3">
      <c r="B2" s="100" t="s">
        <v>34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2:17" ht="13.5" customHeight="1" x14ac:dyDescent="0.3">
      <c r="B3" s="101" t="s">
        <v>375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2:17" ht="15" customHeight="1" x14ac:dyDescent="0.3">
      <c r="B4" s="129" t="s">
        <v>373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2:17" ht="15" customHeight="1" x14ac:dyDescent="0.3">
      <c r="B5" s="15" t="s">
        <v>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1"/>
      <c r="O5" s="11"/>
      <c r="P5" s="11"/>
      <c r="Q5" s="11"/>
    </row>
    <row r="6" spans="2:17" ht="15.75" customHeight="1" x14ac:dyDescent="0.3">
      <c r="B6" s="111" t="s">
        <v>2</v>
      </c>
      <c r="C6" s="11"/>
      <c r="D6" s="28" t="str">
        <f>'Google Drivers'!$D$6</f>
        <v>Base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2:17" ht="15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2:17" ht="13.5" customHeight="1" x14ac:dyDescent="0.3">
      <c r="B8" s="20" t="s">
        <v>4</v>
      </c>
      <c r="C8" s="20"/>
      <c r="D8" s="20"/>
      <c r="E8" s="20"/>
      <c r="F8" s="20"/>
      <c r="G8" s="20" t="s">
        <v>5</v>
      </c>
      <c r="H8" s="20"/>
      <c r="I8" s="20"/>
      <c r="J8" s="20"/>
      <c r="K8" s="20"/>
      <c r="L8" s="20"/>
      <c r="M8" s="20"/>
      <c r="N8" s="11"/>
      <c r="O8" s="11"/>
      <c r="P8" s="11"/>
      <c r="Q8" s="11"/>
    </row>
    <row r="9" spans="2:17" ht="13.5" customHeight="1" x14ac:dyDescent="0.3">
      <c r="B9" s="11"/>
      <c r="C9" s="11"/>
      <c r="D9" s="148">
        <v>2021</v>
      </c>
      <c r="E9" s="148">
        <v>2022</v>
      </c>
      <c r="F9" s="148">
        <v>2023</v>
      </c>
      <c r="G9" s="149">
        <v>2024</v>
      </c>
      <c r="H9" s="149">
        <v>2025</v>
      </c>
      <c r="I9" s="149">
        <v>2026</v>
      </c>
      <c r="J9" s="149">
        <v>2027</v>
      </c>
      <c r="K9" s="149">
        <v>2028</v>
      </c>
      <c r="L9" s="11"/>
      <c r="M9" s="11"/>
      <c r="N9" s="11"/>
      <c r="O9" s="11"/>
      <c r="P9" s="11"/>
      <c r="Q9" s="11"/>
    </row>
    <row r="10" spans="2:17" ht="15" customHeight="1" thickBot="1" x14ac:dyDescent="0.3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2:17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1"/>
      <c r="O11" s="11"/>
      <c r="P11" s="11"/>
      <c r="Q11" s="11"/>
    </row>
    <row r="12" spans="2:17" ht="15" customHeight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2:17" ht="13.5" customHeight="1" x14ac:dyDescent="0.3">
      <c r="B13" s="13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1"/>
      <c r="O13" s="11"/>
      <c r="P13" s="11"/>
      <c r="Q13" s="11"/>
    </row>
    <row r="14" spans="2:17" ht="12.75" customHeight="1" x14ac:dyDescent="0.3">
      <c r="B14" s="11"/>
      <c r="C14" s="102" t="s">
        <v>8</v>
      </c>
      <c r="D14" s="112">
        <v>2021</v>
      </c>
      <c r="E14" s="112">
        <v>2022</v>
      </c>
      <c r="F14" s="112">
        <v>2023</v>
      </c>
      <c r="G14" s="112">
        <v>2024</v>
      </c>
      <c r="H14" s="112">
        <v>2025</v>
      </c>
      <c r="I14" s="112">
        <v>2026</v>
      </c>
      <c r="J14" s="112">
        <v>2027</v>
      </c>
      <c r="K14" s="112">
        <v>2028</v>
      </c>
      <c r="L14" s="11"/>
      <c r="M14" s="11"/>
      <c r="N14" s="11"/>
      <c r="O14" s="11"/>
      <c r="P14" s="11"/>
      <c r="Q14" s="11"/>
    </row>
    <row r="15" spans="2:17" ht="15.75" customHeight="1" x14ac:dyDescent="0.3">
      <c r="B15" s="108" t="s">
        <v>35</v>
      </c>
      <c r="C15" s="105" t="s">
        <v>3</v>
      </c>
      <c r="D15" s="11"/>
      <c r="E15" s="11"/>
      <c r="F15" s="11"/>
      <c r="G15" s="24">
        <v>0.12</v>
      </c>
      <c r="H15" s="24">
        <v>0.1</v>
      </c>
      <c r="I15" s="24">
        <v>8.5000000000000006E-2</v>
      </c>
      <c r="J15" s="24">
        <v>7.4999999999999997E-2</v>
      </c>
      <c r="K15" s="24">
        <v>7.0000000000000007E-2</v>
      </c>
      <c r="L15" s="11"/>
      <c r="M15" s="11"/>
      <c r="N15" s="11"/>
      <c r="O15" s="11"/>
      <c r="P15" s="11"/>
      <c r="Q15" s="11"/>
    </row>
    <row r="16" spans="2:17" ht="15.75" customHeight="1" x14ac:dyDescent="0.3">
      <c r="B16" s="11"/>
      <c r="C16" s="105" t="s">
        <v>10</v>
      </c>
      <c r="D16" s="11"/>
      <c r="E16" s="11"/>
      <c r="F16" s="11"/>
      <c r="G16" s="24">
        <v>0.14000000000000001</v>
      </c>
      <c r="H16" s="24">
        <v>0.12</v>
      </c>
      <c r="I16" s="24">
        <v>0.105</v>
      </c>
      <c r="J16" s="24">
        <v>9.5000000000000001E-2</v>
      </c>
      <c r="K16" s="24">
        <v>0.09</v>
      </c>
      <c r="L16" s="11"/>
      <c r="M16" s="11"/>
      <c r="N16" s="11"/>
      <c r="O16" s="11"/>
      <c r="P16" s="11"/>
      <c r="Q16" s="11"/>
    </row>
    <row r="17" spans="2:17" ht="15.75" customHeight="1" x14ac:dyDescent="0.3">
      <c r="B17" s="11"/>
      <c r="C17" s="105" t="s">
        <v>11</v>
      </c>
      <c r="D17" s="11"/>
      <c r="E17" s="11"/>
      <c r="F17" s="11"/>
      <c r="G17" s="24">
        <v>0.1</v>
      </c>
      <c r="H17" s="24">
        <v>0.08</v>
      </c>
      <c r="I17" s="24">
        <v>6.5000000000000002E-2</v>
      </c>
      <c r="J17" s="24">
        <v>5.5E-2</v>
      </c>
      <c r="K17" s="24">
        <v>0.05</v>
      </c>
      <c r="L17" s="11"/>
      <c r="M17" s="11"/>
      <c r="N17" s="11"/>
      <c r="O17" s="11"/>
      <c r="P17" s="11"/>
      <c r="Q17" s="11"/>
    </row>
    <row r="18" spans="2:17" ht="15" customHeigh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2:17" ht="15.75" customHeight="1" x14ac:dyDescent="0.3">
      <c r="B19" s="108" t="s">
        <v>36</v>
      </c>
      <c r="C19" s="113" t="s">
        <v>3</v>
      </c>
      <c r="D19" s="11"/>
      <c r="E19" s="11"/>
      <c r="F19" s="11"/>
      <c r="G19" s="24">
        <v>1.4E-2</v>
      </c>
      <c r="H19" s="42">
        <f>G$19+(($K$19-$G$19)/COUNT($H$14:$K$14))</f>
        <v>2.3E-2</v>
      </c>
      <c r="I19" s="42">
        <f>H$19+(($K$19-$G$19)/COUNT($H$14:$K$14))</f>
        <v>3.2000000000000001E-2</v>
      </c>
      <c r="J19" s="42">
        <f>I$19+(($K$19-$G$19)/COUNT($H$14:$K$14))</f>
        <v>4.1000000000000002E-2</v>
      </c>
      <c r="K19" s="24">
        <v>0.05</v>
      </c>
      <c r="L19" s="11"/>
      <c r="M19" s="11"/>
      <c r="N19" s="11"/>
      <c r="O19" s="11"/>
      <c r="P19" s="11"/>
      <c r="Q19" s="11"/>
    </row>
    <row r="20" spans="2:17" ht="15.75" customHeight="1" x14ac:dyDescent="0.3">
      <c r="B20" s="150" t="s">
        <v>286</v>
      </c>
      <c r="C20" s="151" t="s">
        <v>10</v>
      </c>
      <c r="D20" s="152"/>
      <c r="E20" s="152"/>
      <c r="F20" s="152"/>
      <c r="G20" s="153">
        <f>G19+$M$20</f>
        <v>1.9E-2</v>
      </c>
      <c r="H20" s="153">
        <f>H19+$M$20</f>
        <v>2.8000000000000001E-2</v>
      </c>
      <c r="I20" s="153">
        <f>I19+$M$20</f>
        <v>3.6999999999999998E-2</v>
      </c>
      <c r="J20" s="153">
        <f>J19+$M$20</f>
        <v>4.5999999999999999E-2</v>
      </c>
      <c r="K20" s="153">
        <f>K19+$M$20</f>
        <v>5.5E-2</v>
      </c>
      <c r="L20" s="152"/>
      <c r="M20" s="29">
        <v>5.0000000000000001E-3</v>
      </c>
      <c r="N20" s="11"/>
      <c r="O20" s="11"/>
      <c r="P20" s="11"/>
      <c r="Q20" s="11"/>
    </row>
    <row r="21" spans="2:17" ht="15.75" customHeight="1" x14ac:dyDescent="0.3">
      <c r="B21" s="11"/>
      <c r="C21" s="113" t="s">
        <v>11</v>
      </c>
      <c r="D21" s="11"/>
      <c r="E21" s="11"/>
      <c r="F21" s="11"/>
      <c r="G21" s="42">
        <f>G19-$M$21</f>
        <v>9.0000000000000011E-3</v>
      </c>
      <c r="H21" s="42">
        <f>H19-$M$21</f>
        <v>1.7999999999999999E-2</v>
      </c>
      <c r="I21" s="42">
        <f>I19-$M$21</f>
        <v>2.7E-2</v>
      </c>
      <c r="J21" s="42">
        <f>J19-$M$21</f>
        <v>3.6000000000000004E-2</v>
      </c>
      <c r="K21" s="42">
        <f>K19-$M$21</f>
        <v>4.5000000000000005E-2</v>
      </c>
      <c r="L21" s="11"/>
      <c r="M21" s="30">
        <v>5.0000000000000001E-3</v>
      </c>
      <c r="N21" s="11"/>
      <c r="O21" s="11"/>
      <c r="P21" s="11"/>
      <c r="Q21" s="11"/>
    </row>
    <row r="22" spans="2:17" ht="15" customHeight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2:17" ht="15" customHeight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2:17" ht="13.5" customHeight="1" x14ac:dyDescent="0.3">
      <c r="B24" s="13" t="s">
        <v>37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1"/>
      <c r="O24" s="11"/>
      <c r="P24" s="11"/>
      <c r="Q24" s="11"/>
    </row>
    <row r="25" spans="2:17" ht="15" customHeight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2:17" ht="15.75" customHeight="1" x14ac:dyDescent="0.3">
      <c r="B26" s="108" t="s">
        <v>38</v>
      </c>
      <c r="C26" s="105" t="s">
        <v>3</v>
      </c>
      <c r="D26" s="11"/>
      <c r="E26" s="11"/>
      <c r="F26" s="11"/>
      <c r="G26" s="24">
        <v>0.03</v>
      </c>
      <c r="H26" s="24">
        <v>2.5000000000000001E-2</v>
      </c>
      <c r="I26" s="24">
        <v>0.02</v>
      </c>
      <c r="J26" s="24">
        <v>1.4999999999999999E-2</v>
      </c>
      <c r="K26" s="24">
        <v>0.01</v>
      </c>
      <c r="L26" s="11"/>
      <c r="M26" s="11"/>
      <c r="N26" s="11"/>
      <c r="O26" s="11"/>
      <c r="P26" s="11"/>
      <c r="Q26" s="11"/>
    </row>
    <row r="27" spans="2:17" ht="15.75" customHeight="1" x14ac:dyDescent="0.3">
      <c r="B27" s="11"/>
      <c r="C27" s="105" t="s">
        <v>10</v>
      </c>
      <c r="D27" s="11"/>
      <c r="E27" s="11"/>
      <c r="F27" s="11"/>
      <c r="G27" s="24">
        <v>0.04</v>
      </c>
      <c r="H27" s="24">
        <v>3.5000000000000003E-2</v>
      </c>
      <c r="I27" s="24">
        <v>0.03</v>
      </c>
      <c r="J27" s="24">
        <v>2.5000000000000001E-2</v>
      </c>
      <c r="K27" s="24">
        <v>0.02</v>
      </c>
      <c r="L27" s="11"/>
      <c r="M27" s="11"/>
      <c r="N27" s="11"/>
      <c r="O27" s="11"/>
      <c r="P27" s="11"/>
      <c r="Q27" s="11"/>
    </row>
    <row r="28" spans="2:17" ht="15.75" customHeight="1" x14ac:dyDescent="0.3">
      <c r="B28" s="11"/>
      <c r="C28" s="105" t="s">
        <v>11</v>
      </c>
      <c r="D28" s="11"/>
      <c r="E28" s="11"/>
      <c r="F28" s="11"/>
      <c r="G28" s="24">
        <v>0.02</v>
      </c>
      <c r="H28" s="24">
        <v>1.4999999999999999E-2</v>
      </c>
      <c r="I28" s="24">
        <v>0.01</v>
      </c>
      <c r="J28" s="24">
        <v>5.0000000000000001E-3</v>
      </c>
      <c r="K28" s="24">
        <v>0</v>
      </c>
      <c r="L28" s="11"/>
      <c r="M28" s="11"/>
      <c r="N28" s="11"/>
      <c r="O28" s="11"/>
      <c r="P28" s="11"/>
      <c r="Q28" s="11"/>
    </row>
    <row r="29" spans="2:17" ht="15" customHeight="1" x14ac:dyDescent="0.3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2:17" ht="15.75" customHeight="1" x14ac:dyDescent="0.3">
      <c r="B30" s="108" t="s">
        <v>39</v>
      </c>
      <c r="C30" s="105" t="s">
        <v>3</v>
      </c>
      <c r="D30" s="11"/>
      <c r="E30" s="11"/>
      <c r="F30" s="11"/>
      <c r="G30" s="24">
        <v>8.5000000000000006E-2</v>
      </c>
      <c r="H30" s="24">
        <v>7.0000000000000007E-2</v>
      </c>
      <c r="I30" s="24">
        <v>0.06</v>
      </c>
      <c r="J30" s="24">
        <v>5.5E-2</v>
      </c>
      <c r="K30" s="24">
        <v>0.05</v>
      </c>
      <c r="L30" s="11"/>
      <c r="M30" s="11"/>
      <c r="N30" s="11"/>
      <c r="O30" s="11"/>
      <c r="P30" s="11"/>
      <c r="Q30" s="11"/>
    </row>
    <row r="31" spans="2:17" ht="15.75" customHeight="1" x14ac:dyDescent="0.3">
      <c r="B31" s="11"/>
      <c r="C31" s="105" t="s">
        <v>10</v>
      </c>
      <c r="D31" s="11"/>
      <c r="E31" s="11"/>
      <c r="F31" s="11"/>
      <c r="G31" s="24">
        <v>0.1</v>
      </c>
      <c r="H31" s="24">
        <v>8.5000000000000006E-2</v>
      </c>
      <c r="I31" s="24">
        <v>7.4999999999999997E-2</v>
      </c>
      <c r="J31" s="24">
        <v>7.0000000000000007E-2</v>
      </c>
      <c r="K31" s="24">
        <v>6.5000000000000002E-2</v>
      </c>
      <c r="L31" s="11"/>
      <c r="M31" s="11"/>
      <c r="N31" s="11"/>
      <c r="O31" s="11"/>
      <c r="P31" s="11"/>
      <c r="Q31" s="11"/>
    </row>
    <row r="32" spans="2:17" ht="15.75" customHeight="1" x14ac:dyDescent="0.3">
      <c r="B32" s="11"/>
      <c r="C32" s="105" t="s">
        <v>11</v>
      </c>
      <c r="D32" s="11"/>
      <c r="E32" s="11"/>
      <c r="F32" s="11"/>
      <c r="G32" s="24">
        <v>7.0000000000000007E-2</v>
      </c>
      <c r="H32" s="24">
        <v>5.5E-2</v>
      </c>
      <c r="I32" s="24">
        <v>4.4999999999999998E-2</v>
      </c>
      <c r="J32" s="24">
        <v>0.04</v>
      </c>
      <c r="K32" s="24">
        <v>3.5000000000000003E-2</v>
      </c>
      <c r="L32" s="11"/>
      <c r="M32" s="11"/>
      <c r="N32" s="11"/>
      <c r="O32" s="11"/>
      <c r="P32" s="11"/>
      <c r="Q32" s="11"/>
    </row>
    <row r="33" spans="2:17" ht="15" customHeight="1" thickBot="1" x14ac:dyDescent="0.3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2:17" ht="15" customHeight="1" x14ac:dyDescent="0.3">
      <c r="B34" s="21" t="s">
        <v>15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1"/>
      <c r="O34" s="11"/>
      <c r="P34" s="11"/>
      <c r="Q34" s="11"/>
    </row>
    <row r="35" spans="2:17" ht="15" customHeight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2:17" ht="15" customHeight="1" x14ac:dyDescent="0.3">
      <c r="B36" s="13" t="s">
        <v>16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</row>
    <row r="37" spans="2:17" ht="13.5" customHeight="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2:17" ht="15" customHeight="1" x14ac:dyDescent="0.3">
      <c r="B38" s="108" t="s">
        <v>17</v>
      </c>
      <c r="C38" s="105" t="s">
        <v>3</v>
      </c>
      <c r="D38" s="24">
        <v>0.255</v>
      </c>
      <c r="E38" s="24">
        <v>0.27</v>
      </c>
      <c r="F38" s="24">
        <v>0.28999999999999998</v>
      </c>
      <c r="G38" s="24">
        <v>0.28499999999999998</v>
      </c>
      <c r="H38" s="24">
        <v>0.28000000000000003</v>
      </c>
      <c r="I38" s="24">
        <v>0.27500000000000002</v>
      </c>
      <c r="J38" s="24">
        <v>0.27</v>
      </c>
      <c r="K38" s="24">
        <v>0.26500000000000001</v>
      </c>
      <c r="L38" s="11"/>
      <c r="M38" s="11"/>
      <c r="N38" s="11"/>
      <c r="O38" s="11"/>
      <c r="P38" s="11"/>
      <c r="Q38" s="11"/>
    </row>
    <row r="39" spans="2:17" ht="15.75" customHeight="1" x14ac:dyDescent="0.3">
      <c r="B39" s="11"/>
      <c r="C39" s="105" t="s">
        <v>10</v>
      </c>
      <c r="D39" s="24">
        <v>0.255</v>
      </c>
      <c r="E39" s="24">
        <v>0.27</v>
      </c>
      <c r="F39" s="24">
        <v>0.28999999999999998</v>
      </c>
      <c r="G39" s="24">
        <v>0.28000000000000003</v>
      </c>
      <c r="H39" s="24">
        <v>0.27500000000000002</v>
      </c>
      <c r="I39" s="24">
        <v>0.27</v>
      </c>
      <c r="J39" s="24">
        <v>0.26500000000000001</v>
      </c>
      <c r="K39" s="24">
        <v>0.26</v>
      </c>
      <c r="L39" s="11"/>
      <c r="M39" s="11"/>
      <c r="N39" s="11"/>
      <c r="O39" s="11"/>
      <c r="P39" s="11"/>
      <c r="Q39" s="11"/>
    </row>
    <row r="40" spans="2:17" ht="15.75" customHeight="1" x14ac:dyDescent="0.3">
      <c r="B40" s="11"/>
      <c r="C40" s="105" t="s">
        <v>11</v>
      </c>
      <c r="D40" s="24">
        <v>0.255</v>
      </c>
      <c r="E40" s="24">
        <v>0.27</v>
      </c>
      <c r="F40" s="24">
        <v>0.28999999999999998</v>
      </c>
      <c r="G40" s="24">
        <v>0.28999999999999998</v>
      </c>
      <c r="H40" s="24">
        <v>0.28499999999999998</v>
      </c>
      <c r="I40" s="24">
        <v>0.28000000000000003</v>
      </c>
      <c r="J40" s="24">
        <v>0.27500000000000002</v>
      </c>
      <c r="K40" s="24">
        <v>0.27</v>
      </c>
      <c r="L40" s="11"/>
      <c r="M40" s="11"/>
      <c r="N40" s="11"/>
      <c r="O40" s="11"/>
      <c r="P40" s="11"/>
      <c r="Q40" s="11"/>
    </row>
    <row r="41" spans="2:17" ht="15.75" customHeight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2:17" ht="15" customHeight="1" x14ac:dyDescent="0.3">
      <c r="B42" s="108" t="s">
        <v>18</v>
      </c>
      <c r="C42" s="105" t="s">
        <v>3</v>
      </c>
      <c r="D42" s="24">
        <v>0.11800000000000001</v>
      </c>
      <c r="E42" s="24">
        <v>0.125</v>
      </c>
      <c r="F42" s="24">
        <v>0.13</v>
      </c>
      <c r="G42" s="24">
        <v>0.125</v>
      </c>
      <c r="H42" s="24">
        <v>0.12</v>
      </c>
      <c r="I42" s="24">
        <v>0.115</v>
      </c>
      <c r="J42" s="24">
        <v>0.11</v>
      </c>
      <c r="K42" s="24">
        <v>0.105</v>
      </c>
      <c r="L42" s="11"/>
      <c r="M42" s="11"/>
      <c r="N42" s="11"/>
      <c r="O42" s="11"/>
      <c r="P42" s="11"/>
      <c r="Q42" s="11"/>
    </row>
    <row r="43" spans="2:17" ht="15.75" customHeight="1" x14ac:dyDescent="0.3">
      <c r="B43" s="11"/>
      <c r="C43" s="105" t="s">
        <v>10</v>
      </c>
      <c r="D43" s="24">
        <v>0.11800000000000001</v>
      </c>
      <c r="E43" s="24">
        <v>0.125</v>
      </c>
      <c r="F43" s="24">
        <v>0.13</v>
      </c>
      <c r="G43" s="24">
        <v>0.12</v>
      </c>
      <c r="H43" s="24">
        <v>0.115</v>
      </c>
      <c r="I43" s="24">
        <v>0.11</v>
      </c>
      <c r="J43" s="24">
        <v>0.105</v>
      </c>
      <c r="K43" s="24">
        <v>0.1</v>
      </c>
      <c r="L43" s="11"/>
      <c r="M43" s="11"/>
      <c r="N43" s="11"/>
      <c r="O43" s="11"/>
      <c r="P43" s="11"/>
      <c r="Q43" s="11"/>
    </row>
    <row r="44" spans="2:17" ht="15.75" customHeight="1" x14ac:dyDescent="0.3">
      <c r="B44" s="11"/>
      <c r="C44" s="105" t="s">
        <v>11</v>
      </c>
      <c r="D44" s="24">
        <v>0.11800000000000001</v>
      </c>
      <c r="E44" s="24">
        <v>0.125</v>
      </c>
      <c r="F44" s="24">
        <v>0.13</v>
      </c>
      <c r="G44" s="24">
        <v>0.13</v>
      </c>
      <c r="H44" s="24">
        <v>0.125</v>
      </c>
      <c r="I44" s="24">
        <v>0.12</v>
      </c>
      <c r="J44" s="24">
        <v>0.115</v>
      </c>
      <c r="K44" s="24">
        <v>0.11</v>
      </c>
      <c r="L44" s="11"/>
      <c r="M44" s="11"/>
      <c r="N44" s="11"/>
      <c r="O44" s="11"/>
      <c r="P44" s="11"/>
      <c r="Q44" s="11"/>
    </row>
    <row r="45" spans="2:17" ht="15.75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2:17" ht="15" customHeight="1" x14ac:dyDescent="0.3">
      <c r="B46" s="108" t="s">
        <v>19</v>
      </c>
      <c r="C46" s="105" t="s">
        <v>3</v>
      </c>
      <c r="D46" s="24">
        <v>0.10199999999999999</v>
      </c>
      <c r="E46" s="24">
        <v>0.10800000000000001</v>
      </c>
      <c r="F46" s="24">
        <v>0.115</v>
      </c>
      <c r="G46" s="24">
        <v>0.11</v>
      </c>
      <c r="H46" s="24">
        <v>0.105</v>
      </c>
      <c r="I46" s="24">
        <v>0.1</v>
      </c>
      <c r="J46" s="24">
        <v>9.5000000000000001E-2</v>
      </c>
      <c r="K46" s="24">
        <v>0.09</v>
      </c>
      <c r="L46" s="11"/>
      <c r="M46" s="11"/>
      <c r="N46" s="11"/>
      <c r="O46" s="11"/>
      <c r="P46" s="11"/>
      <c r="Q46" s="11"/>
    </row>
    <row r="47" spans="2:17" ht="15.75" customHeight="1" x14ac:dyDescent="0.3">
      <c r="B47" s="11"/>
      <c r="C47" s="105" t="s">
        <v>10</v>
      </c>
      <c r="D47" s="24">
        <v>0.10199999999999999</v>
      </c>
      <c r="E47" s="24">
        <v>0.10800000000000001</v>
      </c>
      <c r="F47" s="24">
        <v>0.115</v>
      </c>
      <c r="G47" s="24">
        <v>0.105</v>
      </c>
      <c r="H47" s="24">
        <v>0.1</v>
      </c>
      <c r="I47" s="24">
        <v>9.5000000000000001E-2</v>
      </c>
      <c r="J47" s="24">
        <v>0.09</v>
      </c>
      <c r="K47" s="24">
        <v>8.5000000000000006E-2</v>
      </c>
      <c r="L47" s="11"/>
      <c r="M47" s="11"/>
      <c r="N47" s="11"/>
      <c r="O47" s="11"/>
      <c r="P47" s="11"/>
      <c r="Q47" s="11"/>
    </row>
    <row r="48" spans="2:17" ht="15.75" customHeight="1" x14ac:dyDescent="0.3">
      <c r="B48" s="11"/>
      <c r="C48" s="105" t="s">
        <v>11</v>
      </c>
      <c r="D48" s="24">
        <v>0.10199999999999999</v>
      </c>
      <c r="E48" s="24">
        <v>0.10800000000000001</v>
      </c>
      <c r="F48" s="24">
        <v>0.115</v>
      </c>
      <c r="G48" s="24">
        <v>0.115</v>
      </c>
      <c r="H48" s="24">
        <v>0.11</v>
      </c>
      <c r="I48" s="24">
        <v>0.105</v>
      </c>
      <c r="J48" s="24">
        <v>0.1</v>
      </c>
      <c r="K48" s="24">
        <v>9.5000000000000001E-2</v>
      </c>
      <c r="L48" s="11"/>
      <c r="M48" s="11"/>
      <c r="N48" s="11"/>
      <c r="O48" s="11"/>
      <c r="P48" s="11"/>
      <c r="Q48" s="11"/>
    </row>
    <row r="49" spans="2:17" ht="15.75" customHeight="1" x14ac:dyDescent="0.3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2:17" ht="15" customHeight="1" x14ac:dyDescent="0.3">
      <c r="B50" s="108" t="s">
        <v>20</v>
      </c>
      <c r="C50" s="105" t="s">
        <v>3</v>
      </c>
      <c r="D50" s="24">
        <v>8.5000000000000006E-2</v>
      </c>
      <c r="E50" s="24">
        <v>0.10199999999999999</v>
      </c>
      <c r="F50" s="24">
        <v>0.11800000000000001</v>
      </c>
      <c r="G50" s="24">
        <v>0.11</v>
      </c>
      <c r="H50" s="24">
        <v>0.105</v>
      </c>
      <c r="I50" s="24">
        <v>0.1</v>
      </c>
      <c r="J50" s="24">
        <v>9.5000000000000001E-2</v>
      </c>
      <c r="K50" s="24">
        <v>0.09</v>
      </c>
      <c r="L50" s="11"/>
      <c r="M50" s="11"/>
      <c r="N50" s="11"/>
      <c r="O50" s="11"/>
      <c r="P50" s="11"/>
      <c r="Q50" s="11"/>
    </row>
    <row r="51" spans="2:17" ht="15.75" customHeight="1" x14ac:dyDescent="0.3">
      <c r="B51" s="11"/>
      <c r="C51" s="105" t="s">
        <v>10</v>
      </c>
      <c r="D51" s="24">
        <v>8.5000000000000006E-2</v>
      </c>
      <c r="E51" s="24">
        <v>0.10199999999999999</v>
      </c>
      <c r="F51" s="24">
        <v>0.11800000000000001</v>
      </c>
      <c r="G51" s="24">
        <v>0.105</v>
      </c>
      <c r="H51" s="24">
        <v>0.1</v>
      </c>
      <c r="I51" s="24">
        <v>9.5000000000000001E-2</v>
      </c>
      <c r="J51" s="24">
        <v>0.09</v>
      </c>
      <c r="K51" s="24">
        <v>8.5000000000000006E-2</v>
      </c>
      <c r="L51" s="11"/>
      <c r="M51" s="11"/>
      <c r="N51" s="11"/>
      <c r="O51" s="11"/>
      <c r="P51" s="11"/>
      <c r="Q51" s="11"/>
    </row>
    <row r="52" spans="2:17" ht="15.75" customHeight="1" x14ac:dyDescent="0.3">
      <c r="B52" s="11"/>
      <c r="C52" s="105" t="s">
        <v>11</v>
      </c>
      <c r="D52" s="24">
        <v>8.5000000000000006E-2</v>
      </c>
      <c r="E52" s="24">
        <v>0.10199999999999999</v>
      </c>
      <c r="F52" s="24">
        <v>0.11800000000000001</v>
      </c>
      <c r="G52" s="24">
        <v>0.115</v>
      </c>
      <c r="H52" s="24">
        <v>0.11</v>
      </c>
      <c r="I52" s="24">
        <v>0.105</v>
      </c>
      <c r="J52" s="24">
        <v>0.1</v>
      </c>
      <c r="K52" s="24">
        <v>9.5000000000000001E-2</v>
      </c>
      <c r="L52" s="11"/>
      <c r="M52" s="11"/>
      <c r="N52" s="11"/>
      <c r="O52" s="11"/>
      <c r="P52" s="11"/>
      <c r="Q52" s="11"/>
    </row>
    <row r="53" spans="2:17" ht="15.75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2:17" ht="15" customHeight="1" x14ac:dyDescent="0.3">
      <c r="B54" s="13" t="s">
        <v>223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1"/>
      <c r="O54" s="11"/>
      <c r="P54" s="11"/>
      <c r="Q54" s="11"/>
    </row>
    <row r="55" spans="2:17" ht="13.5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2:17" ht="15" customHeight="1" x14ac:dyDescent="0.3">
      <c r="B56" s="108" t="s">
        <v>224</v>
      </c>
      <c r="C56" s="105" t="s">
        <v>3</v>
      </c>
      <c r="D56" s="24">
        <v>-3.5</v>
      </c>
      <c r="E56" s="24">
        <v>-3</v>
      </c>
      <c r="F56" s="24">
        <v>-2.5</v>
      </c>
      <c r="G56" s="24">
        <v>-2</v>
      </c>
      <c r="H56" s="24">
        <v>-1.5</v>
      </c>
      <c r="I56" s="24">
        <v>-1</v>
      </c>
      <c r="J56" s="24">
        <v>-0.75</v>
      </c>
      <c r="K56" s="24">
        <v>-0.5</v>
      </c>
      <c r="L56" s="11"/>
      <c r="M56" s="11"/>
      <c r="N56" s="11"/>
      <c r="O56" s="11"/>
      <c r="P56" s="11"/>
      <c r="Q56" s="11"/>
    </row>
    <row r="57" spans="2:17" ht="15.75" customHeight="1" x14ac:dyDescent="0.3">
      <c r="B57" s="11"/>
      <c r="C57" s="105" t="s">
        <v>10</v>
      </c>
      <c r="D57" s="24">
        <v>-3.5</v>
      </c>
      <c r="E57" s="24">
        <v>-3</v>
      </c>
      <c r="F57" s="24">
        <v>-2.5</v>
      </c>
      <c r="G57" s="24">
        <v>-1.75</v>
      </c>
      <c r="H57" s="24">
        <v>-1.25</v>
      </c>
      <c r="I57" s="24">
        <v>-0.75</v>
      </c>
      <c r="J57" s="24">
        <v>-0.5</v>
      </c>
      <c r="K57" s="24">
        <v>-0.25</v>
      </c>
      <c r="L57" s="11"/>
      <c r="M57" s="11"/>
      <c r="N57" s="11"/>
      <c r="O57" s="11"/>
      <c r="P57" s="11"/>
      <c r="Q57" s="11"/>
    </row>
    <row r="58" spans="2:17" ht="15.75" customHeight="1" x14ac:dyDescent="0.3">
      <c r="B58" s="11"/>
      <c r="C58" s="105" t="s">
        <v>11</v>
      </c>
      <c r="D58" s="24">
        <v>-3.5</v>
      </c>
      <c r="E58" s="24">
        <v>-3</v>
      </c>
      <c r="F58" s="24">
        <v>-2.5</v>
      </c>
      <c r="G58" s="24">
        <v>-2.25</v>
      </c>
      <c r="H58" s="24">
        <v>-1.75</v>
      </c>
      <c r="I58" s="24">
        <v>-1.25</v>
      </c>
      <c r="J58" s="24">
        <v>-1</v>
      </c>
      <c r="K58" s="24">
        <v>-0.75</v>
      </c>
      <c r="L58" s="11"/>
      <c r="M58" s="11"/>
      <c r="N58" s="11"/>
      <c r="O58" s="11"/>
      <c r="P58" s="11"/>
      <c r="Q58" s="11"/>
    </row>
    <row r="59" spans="2:17" ht="15.75" customHeight="1" thickBot="1" x14ac:dyDescent="0.3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2:17" ht="15" customHeight="1" x14ac:dyDescent="0.3">
      <c r="B60" s="21" t="s">
        <v>21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1"/>
      <c r="O60" s="11"/>
      <c r="P60" s="11"/>
      <c r="Q60" s="11"/>
    </row>
    <row r="61" spans="2:17" ht="1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2:17" ht="15" customHeight="1" x14ac:dyDescent="0.3">
      <c r="B62" s="13" t="s">
        <v>22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1"/>
      <c r="O62" s="11"/>
      <c r="P62" s="11"/>
      <c r="Q62" s="11"/>
    </row>
    <row r="63" spans="2:17" ht="15" customHeight="1" x14ac:dyDescent="0.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2:17" ht="15" customHeight="1" x14ac:dyDescent="0.3">
      <c r="B64" s="108" t="s">
        <v>23</v>
      </c>
      <c r="C64" s="105" t="s">
        <v>3</v>
      </c>
      <c r="D64" s="25">
        <v>55</v>
      </c>
      <c r="E64" s="25">
        <v>53</v>
      </c>
      <c r="F64" s="25">
        <v>51</v>
      </c>
      <c r="G64" s="25">
        <v>50</v>
      </c>
      <c r="H64" s="25">
        <v>49</v>
      </c>
      <c r="I64" s="25">
        <v>48</v>
      </c>
      <c r="J64" s="25">
        <v>47</v>
      </c>
      <c r="K64" s="25">
        <v>46</v>
      </c>
      <c r="L64" s="11"/>
      <c r="M64" s="11"/>
      <c r="N64" s="11"/>
      <c r="O64" s="11"/>
      <c r="P64" s="11"/>
      <c r="Q64" s="11"/>
    </row>
    <row r="65" spans="2:17" ht="13.5" customHeight="1" x14ac:dyDescent="0.3">
      <c r="B65" s="11"/>
      <c r="C65" s="105" t="s">
        <v>10</v>
      </c>
      <c r="D65" s="25">
        <v>55</v>
      </c>
      <c r="E65" s="25">
        <v>53</v>
      </c>
      <c r="F65" s="25">
        <v>51</v>
      </c>
      <c r="G65" s="25">
        <v>49</v>
      </c>
      <c r="H65" s="25">
        <v>47</v>
      </c>
      <c r="I65" s="25">
        <v>46</v>
      </c>
      <c r="J65" s="25">
        <v>45</v>
      </c>
      <c r="K65" s="25">
        <v>44</v>
      </c>
      <c r="L65" s="11"/>
      <c r="M65" s="11"/>
      <c r="N65" s="11"/>
      <c r="O65" s="11"/>
      <c r="P65" s="11"/>
      <c r="Q65" s="11"/>
    </row>
    <row r="66" spans="2:17" ht="15" customHeight="1" x14ac:dyDescent="0.3">
      <c r="B66" s="11"/>
      <c r="C66" s="105" t="s">
        <v>11</v>
      </c>
      <c r="D66" s="25">
        <v>55</v>
      </c>
      <c r="E66" s="25">
        <v>53</v>
      </c>
      <c r="F66" s="25">
        <v>51</v>
      </c>
      <c r="G66" s="25">
        <v>52</v>
      </c>
      <c r="H66" s="25">
        <v>51</v>
      </c>
      <c r="I66" s="25">
        <v>50</v>
      </c>
      <c r="J66" s="25">
        <v>49</v>
      </c>
      <c r="K66" s="25">
        <v>48</v>
      </c>
      <c r="L66" s="11"/>
      <c r="M66" s="11"/>
      <c r="N66" s="11"/>
      <c r="O66" s="11"/>
      <c r="P66" s="11"/>
      <c r="Q66" s="11"/>
    </row>
    <row r="67" spans="2:17" ht="15.75" customHeight="1" x14ac:dyDescent="0.3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2:17" ht="15.75" customHeight="1" x14ac:dyDescent="0.3">
      <c r="B68" s="108" t="s">
        <v>24</v>
      </c>
      <c r="C68" s="105" t="s">
        <v>3</v>
      </c>
      <c r="D68" s="25">
        <v>28</v>
      </c>
      <c r="E68" s="25">
        <v>30</v>
      </c>
      <c r="F68" s="25">
        <v>32</v>
      </c>
      <c r="G68" s="25">
        <v>33</v>
      </c>
      <c r="H68" s="25">
        <v>34</v>
      </c>
      <c r="I68" s="25">
        <v>35</v>
      </c>
      <c r="J68" s="25">
        <v>36</v>
      </c>
      <c r="K68" s="25">
        <v>37</v>
      </c>
      <c r="L68" s="11"/>
      <c r="M68" s="11"/>
      <c r="N68" s="11"/>
      <c r="O68" s="11"/>
      <c r="P68" s="11"/>
      <c r="Q68" s="11"/>
    </row>
    <row r="69" spans="2:17" ht="15.75" customHeight="1" x14ac:dyDescent="0.3">
      <c r="B69" s="11"/>
      <c r="C69" s="105" t="s">
        <v>10</v>
      </c>
      <c r="D69" s="25">
        <v>28</v>
      </c>
      <c r="E69" s="25">
        <v>30</v>
      </c>
      <c r="F69" s="25">
        <v>32</v>
      </c>
      <c r="G69" s="25">
        <v>34</v>
      </c>
      <c r="H69" s="25">
        <v>36</v>
      </c>
      <c r="I69" s="25">
        <v>37</v>
      </c>
      <c r="J69" s="25">
        <v>38</v>
      </c>
      <c r="K69" s="25">
        <v>39</v>
      </c>
      <c r="L69" s="11"/>
      <c r="M69" s="11"/>
      <c r="N69" s="11"/>
      <c r="O69" s="11"/>
      <c r="P69" s="11"/>
      <c r="Q69" s="11"/>
    </row>
    <row r="70" spans="2:17" ht="15" customHeight="1" x14ac:dyDescent="0.3">
      <c r="B70" s="11"/>
      <c r="C70" s="105" t="s">
        <v>11</v>
      </c>
      <c r="D70" s="25">
        <v>28</v>
      </c>
      <c r="E70" s="25">
        <v>30</v>
      </c>
      <c r="F70" s="25">
        <v>32</v>
      </c>
      <c r="G70" s="25">
        <v>32</v>
      </c>
      <c r="H70" s="25">
        <v>32</v>
      </c>
      <c r="I70" s="25">
        <v>33</v>
      </c>
      <c r="J70" s="25">
        <v>34</v>
      </c>
      <c r="K70" s="25">
        <v>35</v>
      </c>
      <c r="L70" s="11"/>
      <c r="M70" s="11"/>
      <c r="N70" s="11"/>
      <c r="O70" s="11"/>
      <c r="P70" s="11"/>
      <c r="Q70" s="11"/>
    </row>
    <row r="71" spans="2:17" ht="15.75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2:17" ht="15.75" customHeight="1" x14ac:dyDescent="0.3">
      <c r="B72" s="106" t="str">
        <f>'Meta Model'!$B$51</f>
        <v xml:space="preserve">  Other current assets</v>
      </c>
      <c r="C72" s="105" t="s">
        <v>107</v>
      </c>
      <c r="D72" s="11"/>
      <c r="E72" s="24">
        <v>4.0000000000000036E-2</v>
      </c>
      <c r="F72" s="24">
        <v>3.8461538461538547E-2</v>
      </c>
      <c r="G72" s="24">
        <v>4.0000000000000036E-2</v>
      </c>
      <c r="H72" s="24">
        <v>4.0000000000000036E-2</v>
      </c>
      <c r="I72" s="24">
        <v>4.0000000000000036E-2</v>
      </c>
      <c r="J72" s="24">
        <v>4.0000000000000036E-2</v>
      </c>
      <c r="K72" s="24">
        <v>4.0000000000000036E-2</v>
      </c>
      <c r="L72" s="11"/>
      <c r="M72" s="11"/>
      <c r="N72" s="11"/>
      <c r="O72" s="11"/>
      <c r="P72" s="11"/>
      <c r="Q72" s="11"/>
    </row>
    <row r="73" spans="2:17" ht="15.75" customHeight="1" x14ac:dyDescent="0.3">
      <c r="B73" s="106" t="str">
        <f>'Meta Model'!$B$59</f>
        <v xml:space="preserve">  Other Long-term Assets</v>
      </c>
      <c r="C73" s="105" t="s">
        <v>107</v>
      </c>
      <c r="D73" s="11"/>
      <c r="E73" s="24">
        <v>0.12000000000000011</v>
      </c>
      <c r="F73" s="24">
        <v>0.14285714285714279</v>
      </c>
      <c r="G73" s="24">
        <v>0.10000000000000009</v>
      </c>
      <c r="H73" s="24">
        <v>0.10000000000000009</v>
      </c>
      <c r="I73" s="24">
        <v>0.10000000000000009</v>
      </c>
      <c r="J73" s="24">
        <v>0.10000000000000009</v>
      </c>
      <c r="K73" s="24">
        <v>0.10000000000000009</v>
      </c>
      <c r="L73" s="11"/>
      <c r="M73" s="11"/>
      <c r="N73" s="11"/>
      <c r="O73" s="11"/>
      <c r="P73" s="11"/>
      <c r="Q73" s="11"/>
    </row>
    <row r="74" spans="2:17" ht="15" customHeight="1" x14ac:dyDescent="0.3">
      <c r="B74" s="106" t="str">
        <f>'Meta Model'!$B$68</f>
        <v xml:space="preserve">  Accrued Expenses</v>
      </c>
      <c r="C74" s="105" t="s">
        <v>107</v>
      </c>
      <c r="D74" s="11"/>
      <c r="E74" s="24">
        <v>6.25E-2</v>
      </c>
      <c r="F74" s="24">
        <v>5.8823529411764719E-2</v>
      </c>
      <c r="G74" s="24">
        <v>5.0000000000000044E-2</v>
      </c>
      <c r="H74" s="24">
        <v>5.0000000000000044E-2</v>
      </c>
      <c r="I74" s="24">
        <v>5.0000000000000044E-2</v>
      </c>
      <c r="J74" s="24">
        <v>5.0000000000000044E-2</v>
      </c>
      <c r="K74" s="24">
        <v>5.0000000000000044E-2</v>
      </c>
      <c r="L74" s="11"/>
      <c r="M74" s="11"/>
      <c r="N74" s="11"/>
      <c r="O74" s="11"/>
      <c r="P74" s="11"/>
      <c r="Q74" s="11"/>
    </row>
    <row r="75" spans="2:17" ht="15" customHeight="1" x14ac:dyDescent="0.3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2:17" ht="15" customHeight="1" x14ac:dyDescent="0.3">
      <c r="B76" s="13" t="s">
        <v>25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1"/>
      <c r="O76" s="11"/>
      <c r="P76" s="11"/>
      <c r="Q76" s="11"/>
    </row>
    <row r="77" spans="2:17" ht="15" customHeight="1" x14ac:dyDescent="0.3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2:17" ht="15" customHeight="1" x14ac:dyDescent="0.3">
      <c r="B78" s="108" t="s">
        <v>26</v>
      </c>
      <c r="C78" s="105" t="s">
        <v>3</v>
      </c>
      <c r="D78" s="24">
        <v>0.185</v>
      </c>
      <c r="E78" s="24">
        <v>0.22</v>
      </c>
      <c r="F78" s="24">
        <v>0.245</v>
      </c>
      <c r="G78" s="24">
        <v>0.23</v>
      </c>
      <c r="H78" s="24">
        <v>0.215</v>
      </c>
      <c r="I78" s="24">
        <v>0.2</v>
      </c>
      <c r="J78" s="24">
        <v>0.19</v>
      </c>
      <c r="K78" s="24">
        <v>0.18</v>
      </c>
      <c r="L78" s="11"/>
      <c r="M78" s="11"/>
      <c r="N78" s="11"/>
      <c r="O78" s="11"/>
      <c r="P78" s="11"/>
      <c r="Q78" s="11"/>
    </row>
    <row r="79" spans="2:17" ht="13.5" customHeight="1" x14ac:dyDescent="0.3">
      <c r="B79" s="11"/>
      <c r="C79" s="105" t="s">
        <v>10</v>
      </c>
      <c r="D79" s="24">
        <v>0.185</v>
      </c>
      <c r="E79" s="24">
        <v>0.22</v>
      </c>
      <c r="F79" s="24">
        <v>0.245</v>
      </c>
      <c r="G79" s="24">
        <v>0.22</v>
      </c>
      <c r="H79" s="24">
        <v>0.20499999999999999</v>
      </c>
      <c r="I79" s="24">
        <v>0.19</v>
      </c>
      <c r="J79" s="24">
        <v>0.18</v>
      </c>
      <c r="K79" s="24">
        <v>0.17</v>
      </c>
      <c r="L79" s="11"/>
      <c r="M79" s="11"/>
      <c r="N79" s="11"/>
      <c r="O79" s="11"/>
      <c r="P79" s="11"/>
      <c r="Q79" s="11"/>
    </row>
    <row r="80" spans="2:17" ht="15" customHeight="1" x14ac:dyDescent="0.3">
      <c r="B80" s="11"/>
      <c r="C80" s="105" t="s">
        <v>11</v>
      </c>
      <c r="D80" s="24">
        <v>0.185</v>
      </c>
      <c r="E80" s="24">
        <v>0.22</v>
      </c>
      <c r="F80" s="24">
        <v>0.245</v>
      </c>
      <c r="G80" s="24">
        <v>0.24</v>
      </c>
      <c r="H80" s="24">
        <v>0.22500000000000001</v>
      </c>
      <c r="I80" s="24">
        <v>0.21</v>
      </c>
      <c r="J80" s="24">
        <v>0.2</v>
      </c>
      <c r="K80" s="24">
        <v>0.19</v>
      </c>
      <c r="L80" s="11"/>
      <c r="M80" s="11"/>
      <c r="N80" s="11"/>
      <c r="O80" s="11"/>
      <c r="P80" s="11"/>
      <c r="Q80" s="11"/>
    </row>
    <row r="81" spans="2:17" ht="15.75" customHeight="1" x14ac:dyDescent="0.3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2:17" ht="15.75" customHeight="1" x14ac:dyDescent="0.3">
      <c r="B82" s="108" t="s">
        <v>27</v>
      </c>
      <c r="C82" s="105" t="s">
        <v>3</v>
      </c>
      <c r="D82" s="24">
        <v>0.65</v>
      </c>
      <c r="E82" s="24">
        <v>0.65</v>
      </c>
      <c r="F82" s="24">
        <v>0.65</v>
      </c>
      <c r="G82" s="24">
        <v>0.65</v>
      </c>
      <c r="H82" s="24">
        <v>0.65</v>
      </c>
      <c r="I82" s="24">
        <v>0.65</v>
      </c>
      <c r="J82" s="24">
        <v>0.65</v>
      </c>
      <c r="K82" s="24">
        <v>0.65</v>
      </c>
      <c r="L82" s="11"/>
      <c r="M82" s="11"/>
      <c r="N82" s="11"/>
      <c r="O82" s="11"/>
      <c r="P82" s="11"/>
      <c r="Q82" s="11"/>
    </row>
    <row r="83" spans="2:17" ht="15.75" customHeight="1" x14ac:dyDescent="0.3">
      <c r="B83" s="11"/>
      <c r="C83" s="105" t="s">
        <v>10</v>
      </c>
      <c r="D83" s="24">
        <v>0.65</v>
      </c>
      <c r="E83" s="24">
        <v>0.65</v>
      </c>
      <c r="F83" s="24">
        <v>0.65</v>
      </c>
      <c r="G83" s="24">
        <v>0.63</v>
      </c>
      <c r="H83" s="24">
        <v>0.63</v>
      </c>
      <c r="I83" s="24">
        <v>0.63</v>
      </c>
      <c r="J83" s="24">
        <v>0.63</v>
      </c>
      <c r="K83" s="24">
        <v>0.63</v>
      </c>
      <c r="L83" s="11"/>
      <c r="M83" s="11"/>
      <c r="N83" s="11"/>
      <c r="O83" s="11"/>
      <c r="P83" s="11"/>
      <c r="Q83" s="11"/>
    </row>
    <row r="84" spans="2:17" ht="15" customHeight="1" x14ac:dyDescent="0.3">
      <c r="B84" s="11"/>
      <c r="C84" s="105" t="s">
        <v>11</v>
      </c>
      <c r="D84" s="24">
        <v>0.65</v>
      </c>
      <c r="E84" s="24">
        <v>0.65</v>
      </c>
      <c r="F84" s="24">
        <v>0.65</v>
      </c>
      <c r="G84" s="24">
        <v>0.67</v>
      </c>
      <c r="H84" s="24">
        <v>0.67</v>
      </c>
      <c r="I84" s="24">
        <v>0.67</v>
      </c>
      <c r="J84" s="24">
        <v>0.67</v>
      </c>
      <c r="K84" s="24">
        <v>0.67</v>
      </c>
      <c r="L84" s="11"/>
      <c r="M84" s="11"/>
      <c r="N84" s="11"/>
      <c r="O84" s="11"/>
      <c r="P84" s="11"/>
      <c r="Q84" s="11"/>
    </row>
    <row r="85" spans="2:17" ht="15.75" customHeigh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2:17" ht="15.75" customHeight="1" x14ac:dyDescent="0.3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2:17" ht="15.75" customHeight="1" thickBot="1" x14ac:dyDescent="0.3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2:17" ht="15" customHeight="1" x14ac:dyDescent="0.3">
      <c r="B88" s="21" t="s">
        <v>28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1"/>
      <c r="O88" s="11"/>
      <c r="P88" s="11"/>
      <c r="Q88" s="11"/>
    </row>
    <row r="89" spans="2:17" ht="15" customHeight="1" x14ac:dyDescent="0.3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2:17" ht="15" customHeight="1" x14ac:dyDescent="0.3">
      <c r="B90" s="13" t="s">
        <v>29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1"/>
      <c r="O90" s="11"/>
      <c r="P90" s="11"/>
      <c r="Q90" s="11"/>
    </row>
    <row r="91" spans="2:17" ht="15" customHeight="1" x14ac:dyDescent="0.3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2:17" ht="15" customHeight="1" x14ac:dyDescent="0.3">
      <c r="B92" s="108" t="s">
        <v>30</v>
      </c>
      <c r="C92" s="105" t="s">
        <v>3</v>
      </c>
      <c r="D92" s="24">
        <v>0.17499999999999999</v>
      </c>
      <c r="E92" s="24">
        <v>0.19</v>
      </c>
      <c r="F92" s="24">
        <v>0.185</v>
      </c>
      <c r="G92" s="24">
        <v>0.19</v>
      </c>
      <c r="H92" s="24">
        <v>0.19500000000000001</v>
      </c>
      <c r="I92" s="24">
        <v>0.2</v>
      </c>
      <c r="J92" s="24">
        <v>0.20499999999999999</v>
      </c>
      <c r="K92" s="24">
        <v>0.21</v>
      </c>
      <c r="L92" s="11"/>
      <c r="M92" s="11"/>
      <c r="N92" s="11"/>
      <c r="O92" s="11"/>
      <c r="P92" s="11"/>
      <c r="Q92" s="11"/>
    </row>
    <row r="93" spans="2:17" ht="13.5" customHeight="1" x14ac:dyDescent="0.3">
      <c r="B93" s="11"/>
      <c r="C93" s="105" t="s">
        <v>10</v>
      </c>
      <c r="D93" s="24">
        <v>0.17499999999999999</v>
      </c>
      <c r="E93" s="24">
        <v>0.19</v>
      </c>
      <c r="F93" s="24">
        <v>0.185</v>
      </c>
      <c r="G93" s="24">
        <v>0.185</v>
      </c>
      <c r="H93" s="24">
        <v>0.19</v>
      </c>
      <c r="I93" s="24">
        <v>0.19500000000000001</v>
      </c>
      <c r="J93" s="24">
        <v>0.2</v>
      </c>
      <c r="K93" s="24">
        <v>0.20499999999999999</v>
      </c>
      <c r="L93" s="11"/>
      <c r="M93" s="11"/>
      <c r="N93" s="11"/>
      <c r="O93" s="11"/>
      <c r="P93" s="11"/>
      <c r="Q93" s="11"/>
    </row>
    <row r="94" spans="2:17" ht="15" customHeight="1" x14ac:dyDescent="0.3">
      <c r="B94" s="11"/>
      <c r="C94" s="105" t="s">
        <v>11</v>
      </c>
      <c r="D94" s="24">
        <v>0.17499999999999999</v>
      </c>
      <c r="E94" s="24">
        <v>0.19</v>
      </c>
      <c r="F94" s="24">
        <v>0.185</v>
      </c>
      <c r="G94" s="24">
        <v>0.19500000000000001</v>
      </c>
      <c r="H94" s="24">
        <v>0.2</v>
      </c>
      <c r="I94" s="24">
        <v>0.20499999999999999</v>
      </c>
      <c r="J94" s="24">
        <v>0.21</v>
      </c>
      <c r="K94" s="24">
        <v>0.215</v>
      </c>
      <c r="L94" s="11"/>
      <c r="M94" s="11"/>
      <c r="N94" s="11"/>
      <c r="O94" s="11"/>
      <c r="P94" s="11"/>
      <c r="Q94" s="11"/>
    </row>
    <row r="95" spans="2:17" ht="15.75" customHeight="1" x14ac:dyDescent="0.3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2:17" ht="15.75" customHeight="1" x14ac:dyDescent="0.3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2:17" ht="15.75" customHeight="1" x14ac:dyDescent="0.3">
      <c r="B97" s="13" t="s">
        <v>31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1"/>
      <c r="O97" s="11"/>
      <c r="P97" s="11"/>
      <c r="Q97" s="11"/>
    </row>
    <row r="98" spans="2:17" ht="15" customHeight="1" x14ac:dyDescent="0.3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2:17" ht="15" customHeight="1" x14ac:dyDescent="0.3">
      <c r="B99" s="104" t="s">
        <v>270</v>
      </c>
      <c r="C99" s="105" t="s">
        <v>3</v>
      </c>
      <c r="D99" s="24">
        <v>5.0000000000000001E-3</v>
      </c>
      <c r="E99" s="24">
        <v>1.4999999999999999E-2</v>
      </c>
      <c r="F99" s="24">
        <v>2.5000000000000001E-2</v>
      </c>
      <c r="G99" s="24">
        <v>3.5000000000000003E-2</v>
      </c>
      <c r="H99" s="24">
        <v>0.03</v>
      </c>
      <c r="I99" s="24">
        <v>2.5000000000000001E-2</v>
      </c>
      <c r="J99" s="24">
        <v>2.5000000000000001E-2</v>
      </c>
      <c r="K99" s="24">
        <v>0.02</v>
      </c>
      <c r="L99" s="11"/>
      <c r="M99" s="11"/>
      <c r="N99" s="11"/>
      <c r="O99" s="11"/>
      <c r="P99" s="11"/>
      <c r="Q99" s="11"/>
    </row>
    <row r="100" spans="2:17" ht="13.5" customHeight="1" x14ac:dyDescent="0.3">
      <c r="B100" s="11"/>
      <c r="C100" s="105" t="s">
        <v>10</v>
      </c>
      <c r="D100" s="24">
        <v>0.01</v>
      </c>
      <c r="E100" s="24">
        <v>0.02</v>
      </c>
      <c r="F100" s="24">
        <v>3.0000000000000002E-2</v>
      </c>
      <c r="G100" s="24">
        <v>0.04</v>
      </c>
      <c r="H100" s="24">
        <v>4.4999999999999998E-2</v>
      </c>
      <c r="I100" s="24">
        <v>0.04</v>
      </c>
      <c r="J100" s="24">
        <v>3.4999999999999996E-2</v>
      </c>
      <c r="K100" s="24">
        <v>3.4999999999999996E-2</v>
      </c>
      <c r="L100" s="11"/>
      <c r="M100" s="11"/>
      <c r="N100" s="11"/>
      <c r="O100" s="11"/>
      <c r="P100" s="11"/>
      <c r="Q100" s="11"/>
    </row>
    <row r="101" spans="2:17" ht="15" customHeight="1" x14ac:dyDescent="0.3">
      <c r="B101" s="11"/>
      <c r="C101" s="105" t="s">
        <v>11</v>
      </c>
      <c r="D101" s="24">
        <v>2.5000000000000001E-3</v>
      </c>
      <c r="E101" s="24">
        <v>1.2499999999999999E-2</v>
      </c>
      <c r="F101" s="24">
        <v>2.2500000000000003E-2</v>
      </c>
      <c r="G101" s="24">
        <v>3.2500000000000001E-2</v>
      </c>
      <c r="H101" s="24">
        <v>3.7499999999999999E-2</v>
      </c>
      <c r="I101" s="24">
        <v>3.2500000000000001E-2</v>
      </c>
      <c r="J101" s="24">
        <v>2.75E-2</v>
      </c>
      <c r="K101" s="24">
        <v>2.75E-2</v>
      </c>
      <c r="L101" s="11"/>
      <c r="M101" s="11"/>
      <c r="N101" s="11"/>
      <c r="O101" s="11"/>
      <c r="P101" s="11"/>
      <c r="Q101" s="11"/>
    </row>
    <row r="102" spans="2:17" ht="15.75" customHeight="1" x14ac:dyDescent="0.3">
      <c r="B102" s="11"/>
      <c r="C102" s="10"/>
      <c r="D102" s="23"/>
      <c r="E102" s="23"/>
      <c r="F102" s="23"/>
      <c r="G102" s="23"/>
      <c r="H102" s="23"/>
      <c r="I102" s="23"/>
      <c r="J102" s="23"/>
      <c r="K102" s="23"/>
      <c r="L102" s="11"/>
      <c r="M102" s="11"/>
      <c r="N102" s="11"/>
      <c r="O102" s="11"/>
      <c r="P102" s="11"/>
      <c r="Q102" s="11"/>
    </row>
    <row r="103" spans="2:17" ht="15.75" customHeight="1" x14ac:dyDescent="0.3">
      <c r="B103" s="104" t="s">
        <v>271</v>
      </c>
      <c r="C103" s="105" t="s">
        <v>3</v>
      </c>
      <c r="D103" s="24">
        <v>0.03</v>
      </c>
      <c r="E103" s="24">
        <v>3.5000000000000003E-2</v>
      </c>
      <c r="F103" s="24">
        <v>0.04</v>
      </c>
      <c r="G103" s="24">
        <v>4.4999999999999998E-2</v>
      </c>
      <c r="H103" s="24">
        <v>0.04</v>
      </c>
      <c r="I103" s="24">
        <v>3.5000000000000003E-2</v>
      </c>
      <c r="J103" s="24">
        <v>0.03</v>
      </c>
      <c r="K103" s="24">
        <v>0.03</v>
      </c>
      <c r="L103" s="11"/>
      <c r="M103" s="11"/>
      <c r="N103" s="11"/>
      <c r="O103" s="11"/>
      <c r="P103" s="11"/>
      <c r="Q103" s="11"/>
    </row>
    <row r="104" spans="2:17" ht="15.75" customHeight="1" x14ac:dyDescent="0.3">
      <c r="B104" s="11"/>
      <c r="C104" s="105" t="s">
        <v>10</v>
      </c>
      <c r="D104" s="24">
        <v>2.4999999999999998E-2</v>
      </c>
      <c r="E104" s="24">
        <v>3.0000000000000002E-2</v>
      </c>
      <c r="F104" s="24">
        <v>3.5000000000000003E-2</v>
      </c>
      <c r="G104" s="24">
        <v>0.04</v>
      </c>
      <c r="H104" s="24">
        <v>3.5000000000000003E-2</v>
      </c>
      <c r="I104" s="24">
        <v>3.0000000000000002E-2</v>
      </c>
      <c r="J104" s="24">
        <v>2.4999999999999998E-2</v>
      </c>
      <c r="K104" s="24">
        <v>2.4999999999999998E-2</v>
      </c>
      <c r="L104" s="11"/>
      <c r="M104" s="11"/>
      <c r="N104" s="11"/>
      <c r="O104" s="11"/>
      <c r="P104" s="11"/>
      <c r="Q104" s="11"/>
    </row>
    <row r="105" spans="2:17" ht="15" customHeight="1" x14ac:dyDescent="0.3">
      <c r="B105" s="11"/>
      <c r="C105" s="105" t="s">
        <v>11</v>
      </c>
      <c r="D105" s="24">
        <v>0.04</v>
      </c>
      <c r="E105" s="24">
        <v>4.5000000000000005E-2</v>
      </c>
      <c r="F105" s="24">
        <v>0.05</v>
      </c>
      <c r="G105" s="24">
        <v>5.5E-2</v>
      </c>
      <c r="H105" s="24">
        <v>0.05</v>
      </c>
      <c r="I105" s="24">
        <v>4.5000000000000005E-2</v>
      </c>
      <c r="J105" s="24">
        <v>0.04</v>
      </c>
      <c r="K105" s="24">
        <v>0.04</v>
      </c>
      <c r="L105" s="11"/>
      <c r="M105" s="11"/>
      <c r="N105" s="11"/>
      <c r="O105" s="11"/>
      <c r="P105" s="11"/>
      <c r="Q105" s="11"/>
    </row>
    <row r="106" spans="2:17" ht="15" customHeight="1" x14ac:dyDescent="0.3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2:17" ht="13.5" customHeight="1" x14ac:dyDescent="0.3">
      <c r="B107" s="13" t="s">
        <v>40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1"/>
      <c r="O107" s="11"/>
      <c r="P107" s="11"/>
      <c r="Q107" s="11"/>
    </row>
    <row r="108" spans="2:17" ht="15" customHeight="1" x14ac:dyDescent="0.3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2:17" ht="15.75" customHeight="1" x14ac:dyDescent="0.3">
      <c r="B109" s="108" t="s">
        <v>33</v>
      </c>
      <c r="C109" s="105" t="s">
        <v>3</v>
      </c>
      <c r="D109" s="24">
        <v>0.6</v>
      </c>
      <c r="E109" s="24">
        <v>0.65</v>
      </c>
      <c r="F109" s="24">
        <v>0.7</v>
      </c>
      <c r="G109" s="24">
        <v>0.65</v>
      </c>
      <c r="H109" s="24">
        <v>0.65</v>
      </c>
      <c r="I109" s="24">
        <v>0.6</v>
      </c>
      <c r="J109" s="24">
        <v>0.6</v>
      </c>
      <c r="K109" s="24">
        <v>0.55000000000000004</v>
      </c>
      <c r="L109" s="11"/>
      <c r="M109" s="11"/>
      <c r="N109" s="11"/>
      <c r="O109" s="11"/>
      <c r="P109" s="11"/>
      <c r="Q109" s="11"/>
    </row>
    <row r="110" spans="2:17" ht="15.75" customHeight="1" x14ac:dyDescent="0.3">
      <c r="B110" s="11"/>
      <c r="C110" s="105" t="s">
        <v>10</v>
      </c>
      <c r="D110" s="24">
        <v>0.6</v>
      </c>
      <c r="E110" s="24">
        <v>0.65</v>
      </c>
      <c r="F110" s="24">
        <v>0.7</v>
      </c>
      <c r="G110" s="24">
        <v>0.7</v>
      </c>
      <c r="H110" s="24">
        <v>0.7</v>
      </c>
      <c r="I110" s="24">
        <v>0.65</v>
      </c>
      <c r="J110" s="24">
        <v>0.65</v>
      </c>
      <c r="K110" s="24">
        <v>0.6</v>
      </c>
      <c r="L110" s="11"/>
      <c r="M110" s="11"/>
      <c r="N110" s="11"/>
      <c r="O110" s="11"/>
      <c r="P110" s="11"/>
      <c r="Q110" s="11"/>
    </row>
    <row r="111" spans="2:17" ht="15.75" customHeight="1" x14ac:dyDescent="0.3">
      <c r="B111" s="11"/>
      <c r="C111" s="105" t="s">
        <v>11</v>
      </c>
      <c r="D111" s="24">
        <v>0.6</v>
      </c>
      <c r="E111" s="24">
        <v>0.65</v>
      </c>
      <c r="F111" s="24">
        <v>0.7</v>
      </c>
      <c r="G111" s="24">
        <v>0.6</v>
      </c>
      <c r="H111" s="24">
        <v>0.6</v>
      </c>
      <c r="I111" s="24">
        <v>0.55000000000000004</v>
      </c>
      <c r="J111" s="24">
        <v>0.55000000000000004</v>
      </c>
      <c r="K111" s="24">
        <v>0.5</v>
      </c>
      <c r="L111" s="11"/>
      <c r="M111" s="11"/>
      <c r="N111" s="11"/>
      <c r="O111" s="11"/>
      <c r="P111" s="11"/>
      <c r="Q111" s="11"/>
    </row>
    <row r="112" spans="2:17" ht="15" customHeight="1" x14ac:dyDescent="0.3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2:17" ht="15.75" customHeight="1" x14ac:dyDescent="0.3">
      <c r="B113" s="108" t="s">
        <v>41</v>
      </c>
      <c r="C113" s="105" t="s">
        <v>3</v>
      </c>
      <c r="D113" s="24">
        <v>0</v>
      </c>
      <c r="E113" s="24">
        <v>0</v>
      </c>
      <c r="F113" s="24">
        <v>0.02</v>
      </c>
      <c r="G113" s="24">
        <v>0.03</v>
      </c>
      <c r="H113" s="24">
        <v>0.04</v>
      </c>
      <c r="I113" s="24">
        <v>0.05</v>
      </c>
      <c r="J113" s="24">
        <v>0.06</v>
      </c>
      <c r="K113" s="24">
        <v>7.0000000000000007E-2</v>
      </c>
      <c r="L113" s="11"/>
      <c r="M113" s="11"/>
      <c r="N113" s="11"/>
      <c r="O113" s="11"/>
      <c r="P113" s="11"/>
      <c r="Q113" s="11"/>
    </row>
    <row r="114" spans="2:17" ht="15.75" customHeight="1" x14ac:dyDescent="0.3">
      <c r="B114" s="11"/>
      <c r="C114" s="105" t="s">
        <v>10</v>
      </c>
      <c r="D114" s="24">
        <v>0</v>
      </c>
      <c r="E114" s="24">
        <v>0</v>
      </c>
      <c r="F114" s="24">
        <v>0.02</v>
      </c>
      <c r="G114" s="24">
        <v>0.04</v>
      </c>
      <c r="H114" s="24">
        <v>0.05</v>
      </c>
      <c r="I114" s="24">
        <v>0.06</v>
      </c>
      <c r="J114" s="24">
        <v>7.0000000000000007E-2</v>
      </c>
      <c r="K114" s="24">
        <v>0.08</v>
      </c>
      <c r="L114" s="11"/>
      <c r="M114" s="11"/>
      <c r="N114" s="11"/>
      <c r="O114" s="11"/>
      <c r="P114" s="11"/>
      <c r="Q114" s="11"/>
    </row>
    <row r="115" spans="2:17" ht="15.75" customHeight="1" thickBot="1" x14ac:dyDescent="0.35">
      <c r="B115" s="7"/>
      <c r="C115" s="107" t="s">
        <v>11</v>
      </c>
      <c r="D115" s="26">
        <v>0</v>
      </c>
      <c r="E115" s="26">
        <v>0</v>
      </c>
      <c r="F115" s="26">
        <v>0.02</v>
      </c>
      <c r="G115" s="26">
        <v>0.02</v>
      </c>
      <c r="H115" s="26">
        <v>0.03</v>
      </c>
      <c r="I115" s="26">
        <v>0.04</v>
      </c>
      <c r="J115" s="26">
        <v>0.05</v>
      </c>
      <c r="K115" s="26">
        <v>0.06</v>
      </c>
      <c r="L115" s="11"/>
      <c r="M115" s="11"/>
      <c r="N115" s="11"/>
      <c r="O115" s="11"/>
      <c r="P115" s="11"/>
      <c r="Q115" s="11"/>
    </row>
    <row r="116" spans="2:17" ht="15" customHeight="1" x14ac:dyDescent="0.3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2:17" ht="15" customHeight="1" x14ac:dyDescent="0.3">
      <c r="B117" s="13" t="s">
        <v>301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1"/>
      <c r="O117" s="11"/>
      <c r="P117" s="11"/>
      <c r="Q117" s="11"/>
    </row>
    <row r="118" spans="2:17" ht="15" customHeight="1" x14ac:dyDescent="0.3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2:17" ht="15" customHeight="1" x14ac:dyDescent="0.3">
      <c r="B119" s="108" t="s">
        <v>302</v>
      </c>
      <c r="C119" s="11"/>
      <c r="D119" s="24">
        <v>0.45</v>
      </c>
      <c r="E119" s="24">
        <v>0.45</v>
      </c>
      <c r="F119" s="24">
        <v>0.45</v>
      </c>
      <c r="G119" s="24">
        <v>0.45</v>
      </c>
      <c r="H119" s="24">
        <v>0.45</v>
      </c>
      <c r="I119" s="24">
        <v>0.45</v>
      </c>
      <c r="J119" s="24">
        <v>0.45</v>
      </c>
      <c r="K119" s="24">
        <v>0.45</v>
      </c>
      <c r="L119" s="11"/>
      <c r="M119" s="11"/>
      <c r="N119" s="11"/>
      <c r="O119" s="11"/>
      <c r="P119" s="11"/>
      <c r="Q119" s="11"/>
    </row>
    <row r="120" spans="2:17" ht="15" customHeight="1" x14ac:dyDescent="0.3">
      <c r="B120" s="108" t="s">
        <v>303</v>
      </c>
      <c r="C120" s="11"/>
      <c r="D120" s="42">
        <f t="shared" ref="D120:K120" si="0">1-D119</f>
        <v>0.55000000000000004</v>
      </c>
      <c r="E120" s="42">
        <f t="shared" si="0"/>
        <v>0.55000000000000004</v>
      </c>
      <c r="F120" s="42">
        <f t="shared" si="0"/>
        <v>0.55000000000000004</v>
      </c>
      <c r="G120" s="42">
        <f t="shared" si="0"/>
        <v>0.55000000000000004</v>
      </c>
      <c r="H120" s="42">
        <f t="shared" si="0"/>
        <v>0.55000000000000004</v>
      </c>
      <c r="I120" s="42">
        <f t="shared" si="0"/>
        <v>0.55000000000000004</v>
      </c>
      <c r="J120" s="42">
        <f t="shared" si="0"/>
        <v>0.55000000000000004</v>
      </c>
      <c r="K120" s="42">
        <f t="shared" si="0"/>
        <v>0.55000000000000004</v>
      </c>
      <c r="L120" s="11"/>
      <c r="M120" s="11"/>
      <c r="N120" s="11"/>
      <c r="O120" s="11"/>
      <c r="P120" s="11"/>
      <c r="Q120" s="11"/>
    </row>
    <row r="121" spans="2:17" ht="15" customHeight="1" x14ac:dyDescent="0.3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2:17" ht="15" customHeight="1" x14ac:dyDescent="0.3">
      <c r="B122" s="22" t="s">
        <v>304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1"/>
      <c r="O122" s="11"/>
      <c r="P122" s="11"/>
      <c r="Q122" s="11"/>
    </row>
    <row r="123" spans="2:17" ht="15" customHeight="1" x14ac:dyDescent="0.3">
      <c r="B123" s="109" t="s">
        <v>305</v>
      </c>
      <c r="C123" s="11"/>
      <c r="D123" s="27">
        <v>0</v>
      </c>
      <c r="E123" s="110">
        <f t="shared" ref="E123:J123" ca="1" si="1">D123+(($K$123-$D$123)/(COUNTA($E$123:$J$123)+1))</f>
        <v>1.4285714285714286E-3</v>
      </c>
      <c r="F123" s="110">
        <f t="shared" ca="1" si="1"/>
        <v>2.8571428571428571E-3</v>
      </c>
      <c r="G123" s="110">
        <f t="shared" ca="1" si="1"/>
        <v>4.2857142857142859E-3</v>
      </c>
      <c r="H123" s="110">
        <f t="shared" ca="1" si="1"/>
        <v>5.7142857142857143E-3</v>
      </c>
      <c r="I123" s="110">
        <f t="shared" ca="1" si="1"/>
        <v>7.1428571428571426E-3</v>
      </c>
      <c r="J123" s="110">
        <f t="shared" ca="1" si="1"/>
        <v>8.5714285714285719E-3</v>
      </c>
      <c r="K123" s="27">
        <v>0.01</v>
      </c>
      <c r="L123" s="11"/>
      <c r="M123" s="11"/>
      <c r="N123" s="11"/>
      <c r="O123" s="11"/>
      <c r="P123" s="11"/>
      <c r="Q123" s="11"/>
    </row>
    <row r="124" spans="2:17" ht="15" customHeight="1" x14ac:dyDescent="0.3">
      <c r="B124" s="109" t="s">
        <v>306</v>
      </c>
      <c r="C124" s="11"/>
      <c r="D124" s="27">
        <v>0.01</v>
      </c>
      <c r="E124" s="110">
        <f t="shared" ref="E124:J124" ca="1" si="2">D124+(($K$124-$D$124)/(COUNTA($E$124:$J$124)+1))</f>
        <v>1.1428571428571429E-2</v>
      </c>
      <c r="F124" s="110">
        <f t="shared" ca="1" si="2"/>
        <v>1.2857142857142857E-2</v>
      </c>
      <c r="G124" s="110">
        <f t="shared" ca="1" si="2"/>
        <v>1.4285714285714285E-2</v>
      </c>
      <c r="H124" s="110">
        <f t="shared" ca="1" si="2"/>
        <v>1.5714285714285715E-2</v>
      </c>
      <c r="I124" s="110">
        <f t="shared" ca="1" si="2"/>
        <v>1.7142857142857144E-2</v>
      </c>
      <c r="J124" s="110">
        <f t="shared" ca="1" si="2"/>
        <v>1.8571428571428572E-2</v>
      </c>
      <c r="K124" s="27">
        <v>0.02</v>
      </c>
      <c r="L124" s="11"/>
      <c r="M124" s="11"/>
      <c r="N124" s="11"/>
      <c r="O124" s="11"/>
      <c r="P124" s="11"/>
      <c r="Q124" s="11"/>
    </row>
    <row r="125" spans="2:17" ht="15" customHeight="1" x14ac:dyDescent="0.3">
      <c r="B125" s="109" t="s">
        <v>307</v>
      </c>
      <c r="C125" s="11"/>
      <c r="D125" s="27">
        <v>-0.02</v>
      </c>
      <c r="E125" s="110">
        <f t="shared" ref="E125:J125" ca="1" si="3">D125+(($K$125-$D$125)/(COUNTA($E$125:$J$125)+1))</f>
        <v>-1.7142857142857144E-2</v>
      </c>
      <c r="F125" s="110">
        <f t="shared" ca="1" si="3"/>
        <v>-1.4285714285714287E-2</v>
      </c>
      <c r="G125" s="110">
        <f t="shared" ca="1" si="3"/>
        <v>-1.142857142857143E-2</v>
      </c>
      <c r="H125" s="110">
        <f t="shared" ca="1" si="3"/>
        <v>-8.5714285714285736E-3</v>
      </c>
      <c r="I125" s="110">
        <f t="shared" ca="1" si="3"/>
        <v>-5.7142857142857169E-3</v>
      </c>
      <c r="J125" s="110">
        <f t="shared" ca="1" si="3"/>
        <v>-2.8571428571428597E-3</v>
      </c>
      <c r="K125" s="27">
        <v>0</v>
      </c>
      <c r="L125" s="11"/>
      <c r="M125" s="11"/>
      <c r="N125" s="11"/>
      <c r="O125" s="11"/>
      <c r="P125" s="11"/>
      <c r="Q125" s="11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sheetPr>
    <tabColor rgb="FF1F3864"/>
  </sheetPr>
  <dimension ref="B2:J118"/>
  <sheetViews>
    <sheetView showGridLines="0" zoomScaleNormal="100" workbookViewId="0"/>
  </sheetViews>
  <sheetFormatPr defaultColWidth="7.69921875" defaultRowHeight="15" customHeight="1" x14ac:dyDescent="0.3"/>
  <cols>
    <col min="2" max="2" width="39" customWidth="1"/>
    <col min="3" max="10" width="10" customWidth="1"/>
  </cols>
  <sheetData>
    <row r="2" spans="2:10" ht="18" customHeight="1" x14ac:dyDescent="0.3">
      <c r="B2" s="100" t="s">
        <v>60</v>
      </c>
      <c r="C2" s="11"/>
      <c r="D2" s="11"/>
      <c r="E2" s="11"/>
      <c r="F2" s="11"/>
      <c r="G2" s="11"/>
      <c r="H2" s="11"/>
      <c r="I2" s="11"/>
      <c r="J2" s="11"/>
    </row>
    <row r="3" spans="2:10" ht="13.5" customHeight="1" x14ac:dyDescent="0.3">
      <c r="B3" s="114" t="s">
        <v>43</v>
      </c>
      <c r="C3" s="11"/>
      <c r="D3" s="11"/>
      <c r="E3" s="11"/>
      <c r="F3" s="11"/>
      <c r="G3" s="11"/>
      <c r="H3" s="11"/>
      <c r="I3" s="11"/>
      <c r="J3" s="11"/>
    </row>
    <row r="4" spans="2:10" ht="15" customHeight="1" x14ac:dyDescent="0.3">
      <c r="B4" s="11"/>
      <c r="C4" s="11"/>
      <c r="D4" s="11"/>
      <c r="E4" s="11"/>
      <c r="F4" s="11"/>
      <c r="G4" s="11"/>
      <c r="H4" s="11"/>
      <c r="I4" s="11"/>
      <c r="J4" s="11"/>
    </row>
    <row r="5" spans="2:10" ht="15.75" customHeight="1" x14ac:dyDescent="0.3">
      <c r="B5" s="113" t="s">
        <v>2</v>
      </c>
      <c r="C5" s="11"/>
      <c r="D5" s="28" t="str">
        <f>'Google Drivers'!$D$6</f>
        <v>Base</v>
      </c>
      <c r="E5" s="11"/>
      <c r="F5" s="11"/>
      <c r="G5" s="11"/>
      <c r="H5" s="11"/>
      <c r="I5" s="11"/>
      <c r="J5" s="11"/>
    </row>
    <row r="6" spans="2:10" ht="15" customHeight="1" x14ac:dyDescent="0.3">
      <c r="B6" s="11"/>
      <c r="C6" s="11"/>
      <c r="D6" s="11"/>
      <c r="E6" s="11"/>
      <c r="F6" s="11"/>
      <c r="G6" s="11"/>
      <c r="H6" s="11"/>
      <c r="I6" s="11"/>
      <c r="J6" s="11"/>
    </row>
    <row r="7" spans="2:10" ht="13.5" customHeight="1" x14ac:dyDescent="0.3">
      <c r="B7" s="20" t="s">
        <v>4</v>
      </c>
      <c r="C7" s="20"/>
      <c r="D7" s="20"/>
      <c r="E7" s="20"/>
      <c r="F7" s="20" t="s">
        <v>5</v>
      </c>
      <c r="G7" s="20"/>
      <c r="H7" s="20"/>
      <c r="I7" s="20"/>
      <c r="J7" s="20"/>
    </row>
    <row r="8" spans="2:10" ht="13.5" customHeight="1" x14ac:dyDescent="0.3">
      <c r="B8" s="11"/>
      <c r="C8" s="148">
        <v>2021</v>
      </c>
      <c r="D8" s="148">
        <v>2022</v>
      </c>
      <c r="E8" s="148">
        <v>2023</v>
      </c>
      <c r="F8" s="149">
        <v>2024</v>
      </c>
      <c r="G8" s="149">
        <v>2025</v>
      </c>
      <c r="H8" s="149">
        <v>2026</v>
      </c>
      <c r="I8" s="149">
        <v>2027</v>
      </c>
      <c r="J8" s="149">
        <v>2028</v>
      </c>
    </row>
    <row r="9" spans="2:10" ht="15" customHeight="1" thickBot="1" x14ac:dyDescent="0.35">
      <c r="B9" s="11"/>
      <c r="C9" s="11"/>
      <c r="D9" s="11"/>
      <c r="E9" s="11"/>
      <c r="F9" s="11"/>
      <c r="G9" s="11"/>
      <c r="H9" s="11"/>
      <c r="I9" s="11"/>
      <c r="J9" s="11"/>
    </row>
    <row r="10" spans="2:10" ht="15" customHeight="1" x14ac:dyDescent="0.3">
      <c r="B10" s="21" t="s">
        <v>264</v>
      </c>
      <c r="C10" s="21"/>
      <c r="D10" s="21"/>
      <c r="E10" s="21"/>
      <c r="F10" s="21"/>
      <c r="G10" s="21"/>
      <c r="H10" s="21"/>
      <c r="I10" s="21"/>
      <c r="J10" s="21"/>
    </row>
    <row r="11" spans="2:10" ht="15" customHeight="1" x14ac:dyDescent="0.3">
      <c r="B11" s="11"/>
      <c r="C11" s="11"/>
      <c r="D11" s="11"/>
      <c r="E11" s="11"/>
      <c r="F11" s="11"/>
      <c r="G11" s="11"/>
      <c r="H11" s="11"/>
      <c r="I11" s="11"/>
      <c r="J11" s="11"/>
    </row>
    <row r="12" spans="2:10" ht="15.75" customHeight="1" x14ac:dyDescent="0.3">
      <c r="B12" s="104" t="s">
        <v>61</v>
      </c>
      <c r="C12" s="44">
        <v>115655</v>
      </c>
      <c r="D12" s="44">
        <v>114450</v>
      </c>
      <c r="E12" s="44">
        <v>133008</v>
      </c>
      <c r="F12" s="2">
        <f>E12*(1+INDEX('Meta Drivers'!G$15:G$17,MATCH($D$5,'Meta Drivers'!$C$15:$C$17,0)))</f>
        <v>148968.96000000002</v>
      </c>
      <c r="G12" s="2">
        <f>F12*(1+INDEX('Meta Drivers'!H$15:H$17,MATCH($D$5,'Meta Drivers'!$C$15:$C$17,0)))</f>
        <v>163865.85600000003</v>
      </c>
      <c r="H12" s="2">
        <f>G12*(1+INDEX('Meta Drivers'!I$15:I$17,MATCH($D$5,'Meta Drivers'!$C$15:$C$17,0)))</f>
        <v>177794.45376000003</v>
      </c>
      <c r="I12" s="2">
        <f>H12*(1+INDEX('Meta Drivers'!J$15:J$17,MATCH($D$5,'Meta Drivers'!$C$15:$C$17,0)))</f>
        <v>191129.03779200002</v>
      </c>
      <c r="J12" s="2">
        <f>I12*(1+INDEX('Meta Drivers'!K$15:K$17,MATCH($D$5,'Meta Drivers'!$C$15:$C$17,0)))</f>
        <v>204508.07043744004</v>
      </c>
    </row>
    <row r="13" spans="2:10" ht="15.75" customHeight="1" x14ac:dyDescent="0.3">
      <c r="B13" s="104" t="s">
        <v>36</v>
      </c>
      <c r="C13" s="44">
        <v>2274</v>
      </c>
      <c r="D13" s="44">
        <v>2159</v>
      </c>
      <c r="E13" s="44">
        <v>1896</v>
      </c>
      <c r="F13" s="3">
        <f>F14-F12</f>
        <v>2115.1779310344718</v>
      </c>
      <c r="G13" s="3">
        <f>G14-G12</f>
        <v>3857.6404176049109</v>
      </c>
      <c r="H13" s="3">
        <f>H14-H12</f>
        <v>5877.5026036363561</v>
      </c>
      <c r="I13" s="3">
        <f>I14-I12</f>
        <v>8171.3144415766583</v>
      </c>
      <c r="J13" s="3">
        <f>J14-J12</f>
        <v>10763.582654602127</v>
      </c>
    </row>
    <row r="14" spans="2:10" ht="15.75" customHeight="1" x14ac:dyDescent="0.3">
      <c r="B14" s="154" t="s">
        <v>44</v>
      </c>
      <c r="C14" s="155">
        <f>SUM(C12:C13)</f>
        <v>117929</v>
      </c>
      <c r="D14" s="155">
        <f>SUM(D12:D13)</f>
        <v>116609</v>
      </c>
      <c r="E14" s="155">
        <f>SUM(E12:E13)</f>
        <v>134904</v>
      </c>
      <c r="F14" s="171">
        <f>F12/(1-(INDEX('Meta Drivers'!G$19:G$21,MATCH('Meta Model'!$D$5,'Meta Drivers'!$D$6,0))))</f>
        <v>151084.13793103449</v>
      </c>
      <c r="G14" s="171">
        <f>G12/(1-(INDEX('Meta Drivers'!H$19:H$21,MATCH('Meta Model'!$D$5,'Meta Drivers'!$D$6,0))))</f>
        <v>167723.49641760494</v>
      </c>
      <c r="H14" s="171">
        <f>H12/(1-(INDEX('Meta Drivers'!I$19:I$21,MATCH('Meta Model'!$D$5,'Meta Drivers'!$D$6,0))))</f>
        <v>183671.95636363639</v>
      </c>
      <c r="I14" s="171">
        <f>I12/(1-(INDEX('Meta Drivers'!J$19:J$21,MATCH('Meta Model'!$D$5,'Meta Drivers'!$D$6,0))))</f>
        <v>199300.35223357668</v>
      </c>
      <c r="J14" s="171">
        <f>J12/(1-(INDEX('Meta Drivers'!K$19:K$21,MATCH('Meta Model'!$D$5,'Meta Drivers'!$D$6,0))))</f>
        <v>215271.65309204216</v>
      </c>
    </row>
    <row r="15" spans="2:10" ht="15.75" customHeight="1" x14ac:dyDescent="0.3">
      <c r="B15" s="115" t="s">
        <v>45</v>
      </c>
      <c r="C15" s="11"/>
      <c r="D15" s="42">
        <f t="shared" ref="D15:J15" si="0">D14/C14-1</f>
        <v>-1.1193175554782941E-2</v>
      </c>
      <c r="E15" s="42">
        <f t="shared" si="0"/>
        <v>0.15689183510706717</v>
      </c>
      <c r="F15" s="42">
        <f t="shared" si="0"/>
        <v>0.11993816292351966</v>
      </c>
      <c r="G15" s="42">
        <f t="shared" si="0"/>
        <v>0.11013306038894588</v>
      </c>
      <c r="H15" s="42">
        <f t="shared" si="0"/>
        <v>9.5087809917355326E-2</v>
      </c>
      <c r="I15" s="42">
        <f t="shared" si="0"/>
        <v>8.5088633993743557E-2</v>
      </c>
      <c r="J15" s="42">
        <f t="shared" si="0"/>
        <v>8.0136842105263284E-2</v>
      </c>
    </row>
    <row r="16" spans="2:10" ht="15" customHeight="1" x14ac:dyDescent="0.3">
      <c r="B16" s="11"/>
      <c r="C16" s="11"/>
      <c r="D16" s="11"/>
      <c r="E16" s="11"/>
      <c r="F16" s="11"/>
      <c r="G16" s="11"/>
      <c r="H16" s="11"/>
      <c r="I16" s="11"/>
      <c r="J16" s="11"/>
    </row>
    <row r="17" spans="2:10" ht="15" customHeight="1" x14ac:dyDescent="0.3">
      <c r="B17" s="104" t="s">
        <v>47</v>
      </c>
      <c r="C17" s="3">
        <f t="shared" ref="C17:J17" si="1">C14*(1-C19)</f>
        <v>23349.942000000006</v>
      </c>
      <c r="D17" s="3">
        <f t="shared" si="1"/>
        <v>23555.017999999996</v>
      </c>
      <c r="E17" s="3">
        <f t="shared" si="1"/>
        <v>27655.320000000011</v>
      </c>
      <c r="F17" s="3">
        <f t="shared" si="1"/>
        <v>30670.080000000013</v>
      </c>
      <c r="G17" s="3">
        <f t="shared" si="1"/>
        <v>33712.422779938606</v>
      </c>
      <c r="H17" s="3">
        <f t="shared" si="1"/>
        <v>36550.719316363655</v>
      </c>
      <c r="I17" s="3">
        <f t="shared" si="1"/>
        <v>39262.169390014598</v>
      </c>
      <c r="J17" s="3">
        <f t="shared" si="1"/>
        <v>41977.972352948236</v>
      </c>
    </row>
    <row r="18" spans="2:10" ht="15" customHeight="1" x14ac:dyDescent="0.3">
      <c r="B18" s="157" t="s">
        <v>48</v>
      </c>
      <c r="C18" s="158">
        <f t="shared" ref="C18:J18" si="2">C14-C17</f>
        <v>94579.05799999999</v>
      </c>
      <c r="D18" s="158">
        <f t="shared" si="2"/>
        <v>93053.982000000004</v>
      </c>
      <c r="E18" s="158">
        <f t="shared" si="2"/>
        <v>107248.68</v>
      </c>
      <c r="F18" s="158">
        <f t="shared" si="2"/>
        <v>120414.05793103448</v>
      </c>
      <c r="G18" s="158">
        <f t="shared" si="2"/>
        <v>134011.07363766633</v>
      </c>
      <c r="H18" s="158">
        <f t="shared" si="2"/>
        <v>147121.23704727273</v>
      </c>
      <c r="I18" s="158">
        <f t="shared" si="2"/>
        <v>160038.18284356207</v>
      </c>
      <c r="J18" s="158">
        <f t="shared" si="2"/>
        <v>173293.68073909392</v>
      </c>
    </row>
    <row r="19" spans="2:10" ht="15.75" customHeight="1" x14ac:dyDescent="0.3">
      <c r="B19" s="115" t="s">
        <v>49</v>
      </c>
      <c r="C19" s="24">
        <v>0.80199999999999994</v>
      </c>
      <c r="D19" s="24">
        <v>0.79800000000000004</v>
      </c>
      <c r="E19" s="24">
        <v>0.79499999999999993</v>
      </c>
      <c r="F19" s="24">
        <v>0.79699999999999993</v>
      </c>
      <c r="G19" s="24">
        <v>0.79899999999999993</v>
      </c>
      <c r="H19" s="24">
        <v>0.80099999999999993</v>
      </c>
      <c r="I19" s="24">
        <v>0.80300000000000005</v>
      </c>
      <c r="J19" s="24">
        <v>0.80499999999999994</v>
      </c>
    </row>
    <row r="20" spans="2:10" ht="15.75" customHeight="1" x14ac:dyDescent="0.3">
      <c r="B20" s="11"/>
      <c r="C20" s="11"/>
      <c r="D20" s="11"/>
      <c r="E20" s="11"/>
      <c r="F20" s="11"/>
      <c r="G20" s="11"/>
      <c r="H20" s="11"/>
      <c r="I20" s="11"/>
      <c r="J20" s="11"/>
    </row>
    <row r="21" spans="2:10" ht="15.75" customHeight="1" x14ac:dyDescent="0.3">
      <c r="B21" s="104" t="s">
        <v>17</v>
      </c>
      <c r="C21" s="2">
        <f>C14*INDEX('Meta Drivers'!D$38:D$40,MATCH($D$5,'Meta Drivers'!$C$38:$C$40,0))</f>
        <v>30071.895</v>
      </c>
      <c r="D21" s="2">
        <f>D14*INDEX('Meta Drivers'!E$38:E$40,MATCH($D$5,'Meta Drivers'!$C$38:$C$40,0))</f>
        <v>31484.43</v>
      </c>
      <c r="E21" s="2">
        <f>E14*INDEX('Meta Drivers'!F$38:F$40,MATCH($D$5,'Meta Drivers'!$C$38:$C$40,0))</f>
        <v>39122.159999999996</v>
      </c>
      <c r="F21" s="2">
        <f>F14*INDEX('Meta Drivers'!G$38:G$40,MATCH($D$5,'Meta Drivers'!$C$38:$C$40,0))</f>
        <v>43058.979310344825</v>
      </c>
      <c r="G21" s="2">
        <f>G14*INDEX('Meta Drivers'!H$38:H$40,MATCH($D$5,'Meta Drivers'!$C$38:$C$40,0))</f>
        <v>46962.578996929391</v>
      </c>
      <c r="H21" s="2">
        <f>H14*INDEX('Meta Drivers'!I$38:I$40,MATCH($D$5,'Meta Drivers'!$C$38:$C$40,0))</f>
        <v>50509.788000000008</v>
      </c>
      <c r="I21" s="2">
        <f>I14*INDEX('Meta Drivers'!J$38:J$40,MATCH($D$5,'Meta Drivers'!$C$38:$C$40,0))</f>
        <v>53811.095103065709</v>
      </c>
      <c r="J21" s="2">
        <f>J14*INDEX('Meta Drivers'!K$38:K$40,MATCH($D$5,'Meta Drivers'!$C$38:$C$40,0))</f>
        <v>57046.988069391176</v>
      </c>
    </row>
    <row r="22" spans="2:10" ht="15" customHeight="1" x14ac:dyDescent="0.3">
      <c r="B22" s="104" t="s">
        <v>18</v>
      </c>
      <c r="C22" s="2">
        <f>C14*INDEX('Meta Drivers'!D$42:D$44,MATCH($D$5,'Meta Drivers'!$C$42:$C$44,0))</f>
        <v>13915.622000000001</v>
      </c>
      <c r="D22" s="2">
        <f>D14*INDEX('Meta Drivers'!E$42:E$44,MATCH($D$5,'Meta Drivers'!$C$42:$C$44,0))</f>
        <v>14576.125</v>
      </c>
      <c r="E22" s="2">
        <f>E14*INDEX('Meta Drivers'!F$42:F$44,MATCH($D$5,'Meta Drivers'!$C$42:$C$44,0))</f>
        <v>17537.52</v>
      </c>
      <c r="F22" s="2">
        <f>F14*INDEX('Meta Drivers'!G$42:G$44,MATCH($D$5,'Meta Drivers'!$C$42:$C$44,0))</f>
        <v>18885.517241379312</v>
      </c>
      <c r="G22" s="2">
        <f>G14*INDEX('Meta Drivers'!H$42:H$44,MATCH($D$5,'Meta Drivers'!$C$42:$C$44,0))</f>
        <v>20126.819570112591</v>
      </c>
      <c r="H22" s="2">
        <f>H14*INDEX('Meta Drivers'!I$42:I$44,MATCH($D$5,'Meta Drivers'!$C$42:$C$44,0))</f>
        <v>21122.274981818187</v>
      </c>
      <c r="I22" s="2">
        <f>I14*INDEX('Meta Drivers'!J$42:J$44,MATCH($D$5,'Meta Drivers'!$C$42:$C$44,0))</f>
        <v>21923.038745693433</v>
      </c>
      <c r="J22" s="2">
        <f>J14*INDEX('Meta Drivers'!K$42:K$44,MATCH($D$5,'Meta Drivers'!$C$42:$C$44,0))</f>
        <v>22603.523574664425</v>
      </c>
    </row>
    <row r="23" spans="2:10" ht="15.75" customHeight="1" x14ac:dyDescent="0.3">
      <c r="B23" s="104" t="s">
        <v>19</v>
      </c>
      <c r="C23" s="2">
        <f>C14*INDEX('Meta Drivers'!D$46:D$48,MATCH($D$5,'Meta Drivers'!$C$46:$C$48,0))</f>
        <v>12028.758</v>
      </c>
      <c r="D23" s="2">
        <f>D14*INDEX('Meta Drivers'!E$46:E$48,MATCH($D$5,'Meta Drivers'!$C$46:$C$48,0))</f>
        <v>12593.772000000001</v>
      </c>
      <c r="E23" s="2">
        <f>E14*INDEX('Meta Drivers'!F$46:F$48,MATCH($D$5,'Meta Drivers'!$C$46:$C$48,0))</f>
        <v>15513.960000000001</v>
      </c>
      <c r="F23" s="2">
        <f>F14*INDEX('Meta Drivers'!G$46:G$48,MATCH($D$5,'Meta Drivers'!$C$46:$C$48,0))</f>
        <v>16619.255172413796</v>
      </c>
      <c r="G23" s="2">
        <f>G14*INDEX('Meta Drivers'!H$46:H$48,MATCH($D$5,'Meta Drivers'!$C$46:$C$48,0))</f>
        <v>17610.967123848517</v>
      </c>
      <c r="H23" s="2">
        <f>H14*INDEX('Meta Drivers'!I$46:I$48,MATCH($D$5,'Meta Drivers'!$C$46:$C$48,0))</f>
        <v>18367.195636363638</v>
      </c>
      <c r="I23" s="2">
        <f>I14*INDEX('Meta Drivers'!J$46:J$48,MATCH($D$5,'Meta Drivers'!$C$46:$C$48,0))</f>
        <v>18933.533462189785</v>
      </c>
      <c r="J23" s="2">
        <f>J14*INDEX('Meta Drivers'!K$46:K$48,MATCH($D$5,'Meta Drivers'!$C$46:$C$48,0))</f>
        <v>19374.448778283793</v>
      </c>
    </row>
    <row r="24" spans="2:10" ht="15.75" customHeight="1" x14ac:dyDescent="0.3">
      <c r="B24" s="104" t="s">
        <v>20</v>
      </c>
      <c r="C24" s="2">
        <f>C14*INDEX('Meta Drivers'!D$50:D$52,MATCH($D$5,'Meta Drivers'!$C$50:$C$52,0))</f>
        <v>10023.965</v>
      </c>
      <c r="D24" s="2">
        <f>D14*INDEX('Meta Drivers'!E$50:E$52,MATCH($D$5,'Meta Drivers'!$C$50:$C$52,0))</f>
        <v>11894.117999999999</v>
      </c>
      <c r="E24" s="2">
        <f>E14*INDEX('Meta Drivers'!F$50:F$52,MATCH($D$5,'Meta Drivers'!$C$50:$C$52,0))</f>
        <v>15918.672</v>
      </c>
      <c r="F24" s="2">
        <f>F14*INDEX('Meta Drivers'!G$50:G$52,MATCH($D$5,'Meta Drivers'!$C$50:$C$52,0))</f>
        <v>16619.255172413796</v>
      </c>
      <c r="G24" s="2">
        <f>G14*INDEX('Meta Drivers'!H$50:H$52,MATCH($D$5,'Meta Drivers'!$C$50:$C$52,0))</f>
        <v>17610.967123848517</v>
      </c>
      <c r="H24" s="2">
        <f>H14*INDEX('Meta Drivers'!I$50:I$52,MATCH($D$5,'Meta Drivers'!$C$50:$C$52,0))</f>
        <v>18367.195636363638</v>
      </c>
      <c r="I24" s="2">
        <f>I14*INDEX('Meta Drivers'!J$50:J$52,MATCH($D$5,'Meta Drivers'!$C$50:$C$52,0))</f>
        <v>18933.533462189785</v>
      </c>
      <c r="J24" s="2">
        <f>J14*INDEX('Meta Drivers'!K$50:K$52,MATCH($D$5,'Meta Drivers'!$C$50:$C$52,0))</f>
        <v>19374.448778283793</v>
      </c>
    </row>
    <row r="25" spans="2:10" ht="15.75" customHeight="1" x14ac:dyDescent="0.3">
      <c r="B25" s="154" t="s">
        <v>50</v>
      </c>
      <c r="C25" s="155">
        <f t="shared" ref="C25:J25" si="3">SUM(C21:C24)</f>
        <v>66040.240000000005</v>
      </c>
      <c r="D25" s="155">
        <f t="shared" si="3"/>
        <v>70548.445000000007</v>
      </c>
      <c r="E25" s="155">
        <f t="shared" si="3"/>
        <v>88092.312000000005</v>
      </c>
      <c r="F25" s="155">
        <f t="shared" si="3"/>
        <v>95183.006896551728</v>
      </c>
      <c r="G25" s="155">
        <f t="shared" si="3"/>
        <v>102311.33281473901</v>
      </c>
      <c r="H25" s="155">
        <f t="shared" si="3"/>
        <v>108366.45425454548</v>
      </c>
      <c r="I25" s="155">
        <f t="shared" si="3"/>
        <v>113601.2007731387</v>
      </c>
      <c r="J25" s="155">
        <f t="shared" si="3"/>
        <v>118399.40920062319</v>
      </c>
    </row>
    <row r="26" spans="2:10" ht="15.75" customHeight="1" x14ac:dyDescent="0.3">
      <c r="B26" s="11"/>
      <c r="C26" s="11"/>
      <c r="D26" s="11"/>
      <c r="E26" s="11"/>
      <c r="F26" s="11"/>
      <c r="G26" s="11"/>
      <c r="H26" s="11"/>
      <c r="I26" s="11"/>
      <c r="J26" s="11"/>
    </row>
    <row r="27" spans="2:10" ht="15.75" customHeight="1" x14ac:dyDescent="0.3">
      <c r="B27" s="157" t="s">
        <v>51</v>
      </c>
      <c r="C27" s="158">
        <f t="shared" ref="C27:J27" si="4">C18-C25</f>
        <v>28538.817999999985</v>
      </c>
      <c r="D27" s="158">
        <f t="shared" si="4"/>
        <v>22505.536999999997</v>
      </c>
      <c r="E27" s="158">
        <f t="shared" si="4"/>
        <v>19156.367999999988</v>
      </c>
      <c r="F27" s="158">
        <f t="shared" si="4"/>
        <v>25231.051034482749</v>
      </c>
      <c r="G27" s="158">
        <f t="shared" si="4"/>
        <v>31699.740822927313</v>
      </c>
      <c r="H27" s="158">
        <f t="shared" si="4"/>
        <v>38754.782792727259</v>
      </c>
      <c r="I27" s="158">
        <f t="shared" si="4"/>
        <v>46436.982070423372</v>
      </c>
      <c r="J27" s="158">
        <f t="shared" si="4"/>
        <v>54894.271538470726</v>
      </c>
    </row>
    <row r="28" spans="2:10" ht="15" customHeight="1" x14ac:dyDescent="0.3">
      <c r="B28" s="115" t="s">
        <v>52</v>
      </c>
      <c r="C28" s="42">
        <f t="shared" ref="C28:J28" si="5">C27/C14</f>
        <v>0.24199999999999988</v>
      </c>
      <c r="D28" s="42">
        <f t="shared" si="5"/>
        <v>0.19299999999999998</v>
      </c>
      <c r="E28" s="42">
        <f t="shared" si="5"/>
        <v>0.1419999999999999</v>
      </c>
      <c r="F28" s="42">
        <f t="shared" si="5"/>
        <v>0.16699999999999993</v>
      </c>
      <c r="G28" s="42">
        <f t="shared" si="5"/>
        <v>0.18899999999999989</v>
      </c>
      <c r="H28" s="42">
        <f t="shared" si="5"/>
        <v>0.21099999999999991</v>
      </c>
      <c r="I28" s="42">
        <f t="shared" si="5"/>
        <v>0.23300000000000004</v>
      </c>
      <c r="J28" s="42">
        <f t="shared" si="5"/>
        <v>0.25499999999999989</v>
      </c>
    </row>
    <row r="29" spans="2:10" ht="15.75" customHeight="1" x14ac:dyDescent="0.3">
      <c r="B29" s="11"/>
      <c r="C29" s="11"/>
      <c r="D29" s="11"/>
      <c r="E29" s="11"/>
      <c r="F29" s="11"/>
      <c r="G29" s="11"/>
      <c r="H29" s="11"/>
      <c r="I29" s="11"/>
      <c r="J29" s="11"/>
    </row>
    <row r="30" spans="2:10" ht="15.75" customHeight="1" x14ac:dyDescent="0.3">
      <c r="B30" s="116" t="s">
        <v>265</v>
      </c>
      <c r="C30" s="2">
        <f>(C$49*INDEX('Meta Drivers'!D$99:D$101,MATCH($D$5,'Meta Drivers'!$C$99:$C$101,0)))-(C71*INDEX('Meta Drivers'!D$103:D$105,MATCH($D$5,'Meta Drivers'!$C$103:$C$105,0)))</f>
        <v>-125</v>
      </c>
      <c r="D30" s="2">
        <f ca="1">(D$49*INDEX('Meta Drivers'!E$99:E$101,MATCH($D$5,'Meta Drivers'!$C$99:$C$101,0)))-(D71*INDEX('Meta Drivers'!E$103:E$105,MATCH($D$5,'Meta Drivers'!$C$103:$C$105,0)))</f>
        <v>277.83076675019407</v>
      </c>
      <c r="E30" s="2">
        <f ca="1">(E$49*INDEX('Meta Drivers'!F$99:F$101,MATCH($D$5,'Meta Drivers'!$C$99:$C$101,0)))-(E71*INDEX('Meta Drivers'!F$103:F$105,MATCH($D$5,'Meta Drivers'!$C$103:$C$105,0)))</f>
        <v>735.70931935575322</v>
      </c>
      <c r="F30" s="2">
        <f ca="1">(F$49*INDEX('Meta Drivers'!G$99:G$101,MATCH($D$5,'Meta Drivers'!$C$99:$C$101,0)))-(F71*INDEX('Meta Drivers'!G$103:G$105,MATCH($D$5,'Meta Drivers'!$C$103:$C$105,0)))</f>
        <v>1394.0686642465798</v>
      </c>
      <c r="G30" s="2">
        <f ca="1">(G$49*INDEX('Meta Drivers'!H$99:H$101,MATCH($D$5,'Meta Drivers'!$C$99:$C$101,0)))-(G71*INDEX('Meta Drivers'!H$103:H$105,MATCH($D$5,'Meta Drivers'!$C$103:$C$105,0)))</f>
        <v>1470.2403396005529</v>
      </c>
      <c r="H30" s="2">
        <f ca="1">(H$49*INDEX('Meta Drivers'!I$99:I$101,MATCH($D$5,'Meta Drivers'!$C$99:$C$101,0)))-(H71*INDEX('Meta Drivers'!I$103:I$105,MATCH($D$5,'Meta Drivers'!$C$103:$C$105,0)))</f>
        <v>1548.5893683344648</v>
      </c>
      <c r="I30" s="2">
        <f ca="1">(I$49*INDEX('Meta Drivers'!J$99:J$101,MATCH($D$5,'Meta Drivers'!$C$99:$C$101,0)))-(I71*INDEX('Meta Drivers'!J$103:J$105,MATCH($D$5,'Meta Drivers'!$C$103:$C$105,0)))</f>
        <v>1978.7742057505216</v>
      </c>
      <c r="J30" s="2">
        <f ca="1">(J$49*INDEX('Meta Drivers'!K$99:K$101,MATCH($D$5,'Meta Drivers'!$C$99:$C$101,0)))-(J71*INDEX('Meta Drivers'!K$103:K$105,MATCH($D$5,'Meta Drivers'!$C$103:$C$105,0)))</f>
        <v>1954.402485198028</v>
      </c>
    </row>
    <row r="31" spans="2:10" ht="15" customHeight="1" x14ac:dyDescent="0.3">
      <c r="B31" s="11"/>
      <c r="C31" s="11"/>
      <c r="D31" s="11"/>
      <c r="E31" s="11"/>
      <c r="F31" s="11"/>
      <c r="G31" s="11"/>
      <c r="H31" s="11"/>
      <c r="I31" s="11"/>
      <c r="J31" s="11"/>
    </row>
    <row r="32" spans="2:10" ht="15.75" customHeight="1" x14ac:dyDescent="0.3">
      <c r="B32" s="157" t="s">
        <v>53</v>
      </c>
      <c r="C32" s="158">
        <f t="shared" ref="C32:J32" si="6">C27+C30</f>
        <v>28413.817999999985</v>
      </c>
      <c r="D32" s="158">
        <f t="shared" ca="1" si="6"/>
        <v>22783.367766750191</v>
      </c>
      <c r="E32" s="158">
        <f t="shared" ca="1" si="6"/>
        <v>19892.07731935574</v>
      </c>
      <c r="F32" s="158">
        <f t="shared" ca="1" si="6"/>
        <v>26625.11969872933</v>
      </c>
      <c r="G32" s="158">
        <f t="shared" ca="1" si="6"/>
        <v>33169.981162527867</v>
      </c>
      <c r="H32" s="158">
        <f t="shared" ca="1" si="6"/>
        <v>40303.372161061721</v>
      </c>
      <c r="I32" s="158">
        <f t="shared" ca="1" si="6"/>
        <v>48415.756276173895</v>
      </c>
      <c r="J32" s="158">
        <f t="shared" ca="1" si="6"/>
        <v>56848.674023668755</v>
      </c>
    </row>
    <row r="33" spans="2:10" ht="15" customHeight="1" x14ac:dyDescent="0.3">
      <c r="B33" s="116" t="s">
        <v>54</v>
      </c>
      <c r="C33" s="2">
        <f>C32*INDEX('Meta Drivers'!D$92:D$94,MATCH($D$5,'Meta Drivers'!$C$92:$C$94,0))</f>
        <v>4972.4181499999968</v>
      </c>
      <c r="D33" s="2">
        <f ca="1">D32*INDEX('Meta Drivers'!E$92:E$94,MATCH($D$5,'Meta Drivers'!$C$92:$C$94,0))</f>
        <v>4328.8398756825363</v>
      </c>
      <c r="E33" s="2">
        <f ca="1">E32*INDEX('Meta Drivers'!F$92:F$94,MATCH($D$5,'Meta Drivers'!$C$92:$C$94,0))</f>
        <v>3680.034304080812</v>
      </c>
      <c r="F33" s="2">
        <f ca="1">F32*INDEX('Meta Drivers'!G$92:G$94,MATCH($D$5,'Meta Drivers'!$C$92:$C$94,0))</f>
        <v>5058.7727427585723</v>
      </c>
      <c r="G33" s="2">
        <f ca="1">G32*INDEX('Meta Drivers'!H$92:H$94,MATCH($D$5,'Meta Drivers'!$C$92:$C$94,0))</f>
        <v>6468.1463266929341</v>
      </c>
      <c r="H33" s="2">
        <f ca="1">H32*INDEX('Meta Drivers'!I$92:I$94,MATCH($D$5,'Meta Drivers'!$C$92:$C$94,0))</f>
        <v>8060.674432212345</v>
      </c>
      <c r="I33" s="2">
        <f ca="1">I32*INDEX('Meta Drivers'!J$92:J$94,MATCH($D$5,'Meta Drivers'!$C$92:$C$94,0))</f>
        <v>9925.2300366156487</v>
      </c>
      <c r="J33" s="2">
        <f ca="1">J32*INDEX('Meta Drivers'!K$92:K$94,MATCH($D$5,'Meta Drivers'!$C$92:$C$94,0))</f>
        <v>11938.221544970438</v>
      </c>
    </row>
    <row r="34" spans="2:10" ht="15.75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</row>
    <row r="35" spans="2:10" ht="15.75" customHeight="1" x14ac:dyDescent="0.3">
      <c r="B35" s="154" t="s">
        <v>55</v>
      </c>
      <c r="C35" s="155">
        <f t="shared" ref="C35:J35" si="7">C32-C33</f>
        <v>23441.399849999987</v>
      </c>
      <c r="D35" s="155">
        <f t="shared" ca="1" si="7"/>
        <v>18454.527891067653</v>
      </c>
      <c r="E35" s="155">
        <f t="shared" ca="1" si="7"/>
        <v>16212.043015274929</v>
      </c>
      <c r="F35" s="155">
        <f t="shared" ca="1" si="7"/>
        <v>21566.346955970759</v>
      </c>
      <c r="G35" s="155">
        <f t="shared" ca="1" si="7"/>
        <v>26701.834835834932</v>
      </c>
      <c r="H35" s="155">
        <f t="shared" ca="1" si="7"/>
        <v>32242.697728849376</v>
      </c>
      <c r="I35" s="155">
        <f t="shared" ca="1" si="7"/>
        <v>38490.526239558247</v>
      </c>
      <c r="J35" s="155">
        <f t="shared" ca="1" si="7"/>
        <v>44910.452478698317</v>
      </c>
    </row>
    <row r="36" spans="2:10" ht="15" customHeight="1" x14ac:dyDescent="0.3">
      <c r="B36" s="172" t="s">
        <v>56</v>
      </c>
      <c r="C36" s="173">
        <f t="shared" ref="C36:J36" si="8">C35/C14</f>
        <v>0.19877553315978247</v>
      </c>
      <c r="D36" s="173">
        <f t="shared" ca="1" si="8"/>
        <v>0.15825989324209669</v>
      </c>
      <c r="E36" s="173">
        <f t="shared" ca="1" si="8"/>
        <v>0.12017466506015335</v>
      </c>
      <c r="F36" s="173">
        <f t="shared" ca="1" si="8"/>
        <v>0.1427439521534363</v>
      </c>
      <c r="G36" s="173">
        <f t="shared" ca="1" si="8"/>
        <v>0.15920151562635917</v>
      </c>
      <c r="H36" s="173">
        <f t="shared" ca="1" si="8"/>
        <v>0.17554502258915791</v>
      </c>
      <c r="I36" s="173">
        <f t="shared" ca="1" si="8"/>
        <v>0.19312823990620948</v>
      </c>
      <c r="J36" s="173">
        <f t="shared" ca="1" si="8"/>
        <v>0.20862223071932409</v>
      </c>
    </row>
    <row r="37" spans="2:10" ht="15.75" customHeight="1" thickBot="1" x14ac:dyDescent="0.35">
      <c r="B37" s="11"/>
      <c r="C37" s="11"/>
      <c r="D37" s="11"/>
      <c r="E37" s="11"/>
      <c r="F37" s="11"/>
      <c r="G37" s="11"/>
      <c r="H37" s="11"/>
      <c r="I37" s="11"/>
      <c r="J37" s="11"/>
    </row>
    <row r="38" spans="2:10" ht="15.75" customHeight="1" x14ac:dyDescent="0.3">
      <c r="B38" s="21" t="s">
        <v>57</v>
      </c>
      <c r="C38" s="21"/>
      <c r="D38" s="21"/>
      <c r="E38" s="21"/>
      <c r="F38" s="21"/>
      <c r="G38" s="21"/>
      <c r="H38" s="21"/>
      <c r="I38" s="21"/>
      <c r="J38" s="21"/>
    </row>
    <row r="39" spans="2:10" ht="15" customHeight="1" x14ac:dyDescent="0.3">
      <c r="B39" s="11"/>
      <c r="C39" s="11"/>
      <c r="D39" s="11"/>
      <c r="E39" s="11"/>
      <c r="F39" s="11"/>
      <c r="G39" s="11"/>
      <c r="H39" s="11"/>
      <c r="I39" s="11"/>
      <c r="J39" s="11"/>
    </row>
    <row r="40" spans="2:10" ht="15" customHeight="1" x14ac:dyDescent="0.3">
      <c r="B40" s="116" t="s">
        <v>58</v>
      </c>
      <c r="C40" s="45">
        <v>2800</v>
      </c>
      <c r="D40" s="45">
        <v>2750</v>
      </c>
      <c r="E40" s="45">
        <v>2700</v>
      </c>
      <c r="F40" s="45">
        <v>2650</v>
      </c>
      <c r="G40" s="45">
        <v>2600</v>
      </c>
      <c r="H40" s="45">
        <v>2550</v>
      </c>
      <c r="I40" s="45">
        <v>2500</v>
      </c>
      <c r="J40" s="45">
        <v>2450</v>
      </c>
    </row>
    <row r="41" spans="2:10" ht="15" customHeight="1" x14ac:dyDescent="0.3">
      <c r="B41" s="157" t="s">
        <v>59</v>
      </c>
      <c r="C41" s="162">
        <f t="shared" ref="C41:J41" si="9">C35/C40</f>
        <v>8.371928517857139</v>
      </c>
      <c r="D41" s="162">
        <f t="shared" ca="1" si="9"/>
        <v>6.7107374149336918</v>
      </c>
      <c r="E41" s="162">
        <f t="shared" ca="1" si="9"/>
        <v>6.0044603760277511</v>
      </c>
      <c r="F41" s="162">
        <f t="shared" ca="1" si="9"/>
        <v>8.1382441343285876</v>
      </c>
      <c r="G41" s="162">
        <f t="shared" ca="1" si="9"/>
        <v>10.269936475321128</v>
      </c>
      <c r="H41" s="162">
        <f t="shared" ca="1" si="9"/>
        <v>12.644195187784069</v>
      </c>
      <c r="I41" s="162">
        <f t="shared" ca="1" si="9"/>
        <v>15.396210495823299</v>
      </c>
      <c r="J41" s="162">
        <f t="shared" ca="1" si="9"/>
        <v>18.330796930080947</v>
      </c>
    </row>
    <row r="42" spans="2:10" ht="15.75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</row>
    <row r="43" spans="2:10" ht="15.75" customHeight="1" thickBot="1" x14ac:dyDescent="0.35">
      <c r="B43" s="11"/>
      <c r="C43" s="11"/>
      <c r="D43" s="11"/>
      <c r="E43" s="11"/>
      <c r="F43" s="11"/>
      <c r="G43" s="11"/>
      <c r="H43" s="11"/>
      <c r="I43" s="11"/>
      <c r="J43" s="11"/>
    </row>
    <row r="44" spans="2:10" ht="15" customHeight="1" x14ac:dyDescent="0.3">
      <c r="B44" s="21" t="s">
        <v>62</v>
      </c>
      <c r="C44" s="21"/>
      <c r="D44" s="21"/>
      <c r="E44" s="21"/>
      <c r="F44" s="21"/>
      <c r="G44" s="21"/>
      <c r="H44" s="21"/>
      <c r="I44" s="21"/>
      <c r="J44" s="21"/>
    </row>
    <row r="45" spans="2:10" ht="15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</row>
    <row r="46" spans="2:10" ht="15" customHeight="1" x14ac:dyDescent="0.3">
      <c r="B46" s="37" t="s">
        <v>63</v>
      </c>
      <c r="C46" s="37"/>
      <c r="D46" s="37"/>
      <c r="E46" s="37"/>
      <c r="F46" s="37"/>
      <c r="G46" s="37"/>
      <c r="H46" s="37"/>
      <c r="I46" s="37"/>
      <c r="J46" s="37"/>
    </row>
    <row r="47" spans="2:10" ht="15" customHeight="1" x14ac:dyDescent="0.3">
      <c r="B47" s="11"/>
      <c r="C47" s="11"/>
      <c r="D47" s="11"/>
      <c r="E47" s="11"/>
      <c r="F47" s="11"/>
      <c r="G47" s="11"/>
      <c r="H47" s="11"/>
      <c r="I47" s="11"/>
      <c r="J47" s="11"/>
    </row>
    <row r="48" spans="2:10" ht="15" customHeight="1" x14ac:dyDescent="0.3">
      <c r="B48" s="13" t="s">
        <v>64</v>
      </c>
      <c r="C48" s="14"/>
      <c r="D48" s="14"/>
      <c r="E48" s="14"/>
      <c r="F48" s="14"/>
      <c r="G48" s="14"/>
      <c r="H48" s="14"/>
      <c r="I48" s="14"/>
      <c r="J48" s="14"/>
    </row>
    <row r="49" spans="2:10" ht="15" customHeight="1" x14ac:dyDescent="0.3">
      <c r="B49" s="104" t="s">
        <v>65</v>
      </c>
      <c r="C49" s="44">
        <v>35000</v>
      </c>
      <c r="D49" s="3">
        <f t="shared" ref="D49:J49" ca="1" si="10">D$106</f>
        <v>40688.717783346277</v>
      </c>
      <c r="E49" s="3">
        <f t="shared" ca="1" si="10"/>
        <v>43828.372774230127</v>
      </c>
      <c r="F49" s="3">
        <f t="shared" ca="1" si="10"/>
        <v>50759.104692759422</v>
      </c>
      <c r="G49" s="3">
        <f t="shared" ca="1" si="10"/>
        <v>59674.677986685099</v>
      </c>
      <c r="H49" s="3">
        <f t="shared" ca="1" si="10"/>
        <v>72443.574733378584</v>
      </c>
      <c r="I49" s="3">
        <f t="shared" ca="1" si="10"/>
        <v>87550.968230020851</v>
      </c>
      <c r="J49" s="3">
        <f t="shared" ca="1" si="10"/>
        <v>107470.12425990141</v>
      </c>
    </row>
    <row r="50" spans="2:10" ht="15" customHeight="1" x14ac:dyDescent="0.3">
      <c r="B50" s="104" t="s">
        <v>66</v>
      </c>
      <c r="C50" s="2">
        <f>C$14*INDEX('Meta Drivers'!D$64:D$66,MATCH($D$5,'Meta Drivers'!$C$64:$C$66,0))/365</f>
        <v>17770.123287671231</v>
      </c>
      <c r="D50" s="2">
        <f>D$14*INDEX('Meta Drivers'!E$64:E$66,MATCH($D$5,'Meta Drivers'!$C$64:$C$66,0))/365</f>
        <v>16932.265753424657</v>
      </c>
      <c r="E50" s="2">
        <f>E$14*INDEX('Meta Drivers'!F$64:F$66,MATCH($D$5,'Meta Drivers'!$C$64:$C$66,0))/365</f>
        <v>18849.599999999999</v>
      </c>
      <c r="F50" s="2">
        <f>F$14*INDEX('Meta Drivers'!G$64:G$66,MATCH($D$5,'Meta Drivers'!$C$64:$C$66,0))/365</f>
        <v>20696.457250826643</v>
      </c>
      <c r="G50" s="2">
        <f>G$14*INDEX('Meta Drivers'!H$64:H$66,MATCH($D$5,'Meta Drivers'!$C$64:$C$66,0))/365</f>
        <v>22516.304998527787</v>
      </c>
      <c r="H50" s="2">
        <f>H$14*INDEX('Meta Drivers'!I$64:I$66,MATCH($D$5,'Meta Drivers'!$C$64:$C$66,0))/365</f>
        <v>24154.120288916565</v>
      </c>
      <c r="I50" s="2">
        <f>I$14*INDEX('Meta Drivers'!J$64:J$66,MATCH($D$5,'Meta Drivers'!$C$64:$C$66,0))/365</f>
        <v>25663.33302733727</v>
      </c>
      <c r="J50" s="2">
        <f>J$14*INDEX('Meta Drivers'!K$64:K$66,MATCH($D$5,'Meta Drivers'!$C$64:$C$66,0))/365</f>
        <v>27130.126143106685</v>
      </c>
    </row>
    <row r="51" spans="2:10" ht="15" customHeight="1" x14ac:dyDescent="0.3">
      <c r="B51" s="104" t="s">
        <v>67</v>
      </c>
      <c r="C51" s="44">
        <v>5000</v>
      </c>
      <c r="D51" s="2">
        <f>C51*(1+'Meta Drivers'!E$72)</f>
        <v>5200</v>
      </c>
      <c r="E51" s="2">
        <f>D51*(1+'Meta Drivers'!F$72)</f>
        <v>5400</v>
      </c>
      <c r="F51" s="2">
        <f>E51*(1+'Meta Drivers'!G$72)</f>
        <v>5616</v>
      </c>
      <c r="G51" s="2">
        <f>F51*(1+'Meta Drivers'!H$72)</f>
        <v>5840.64</v>
      </c>
      <c r="H51" s="2">
        <f>G51*(1+'Meta Drivers'!I$72)</f>
        <v>6074.2656000000006</v>
      </c>
      <c r="I51" s="2">
        <f>H51*(1+'Meta Drivers'!J$72)</f>
        <v>6317.2362240000011</v>
      </c>
      <c r="J51" s="2">
        <f>I51*(1+'Meta Drivers'!K$72)</f>
        <v>6569.9256729600011</v>
      </c>
    </row>
    <row r="52" spans="2:10" ht="15" customHeight="1" x14ac:dyDescent="0.3">
      <c r="B52" s="163" t="s">
        <v>68</v>
      </c>
      <c r="C52" s="155">
        <f t="shared" ref="C52:J52" si="11">SUM(C49:C51)</f>
        <v>57770.123287671231</v>
      </c>
      <c r="D52" s="155">
        <f t="shared" ca="1" si="11"/>
        <v>62820.983536770931</v>
      </c>
      <c r="E52" s="155">
        <f t="shared" ca="1" si="11"/>
        <v>68077.972774230118</v>
      </c>
      <c r="F52" s="155">
        <f t="shared" ca="1" si="11"/>
        <v>77071.561943586072</v>
      </c>
      <c r="G52" s="155">
        <f t="shared" ca="1" si="11"/>
        <v>88031.622985212889</v>
      </c>
      <c r="H52" s="155">
        <f t="shared" ca="1" si="11"/>
        <v>102671.96062229514</v>
      </c>
      <c r="I52" s="155">
        <f t="shared" ca="1" si="11"/>
        <v>119531.53748135813</v>
      </c>
      <c r="J52" s="155">
        <f t="shared" ca="1" si="11"/>
        <v>141170.17607596811</v>
      </c>
    </row>
    <row r="53" spans="2:10" ht="15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</row>
    <row r="54" spans="2:10" ht="15" customHeight="1" x14ac:dyDescent="0.3">
      <c r="B54" s="13" t="s">
        <v>69</v>
      </c>
      <c r="C54" s="14"/>
      <c r="D54" s="14"/>
      <c r="E54" s="14"/>
      <c r="F54" s="14"/>
      <c r="G54" s="14"/>
      <c r="H54" s="14"/>
      <c r="I54" s="14"/>
      <c r="J54" s="14"/>
    </row>
    <row r="55" spans="2:10" ht="15" customHeight="1" x14ac:dyDescent="0.3">
      <c r="B55" s="164" t="s">
        <v>70</v>
      </c>
      <c r="C55" s="46">
        <v>60000</v>
      </c>
      <c r="D55" s="158">
        <f t="shared" ref="D55:J55" si="12">C55+D95</f>
        <v>85653.98</v>
      </c>
      <c r="E55" s="158">
        <f t="shared" si="12"/>
        <v>118705.45999999999</v>
      </c>
      <c r="F55" s="158">
        <f t="shared" si="12"/>
        <v>153454.81172413792</v>
      </c>
      <c r="G55" s="158">
        <f t="shared" si="12"/>
        <v>189515.36345392297</v>
      </c>
      <c r="H55" s="158">
        <f t="shared" si="12"/>
        <v>226249.75472665025</v>
      </c>
      <c r="I55" s="158">
        <f t="shared" si="12"/>
        <v>264116.82165102981</v>
      </c>
      <c r="J55" s="158">
        <f t="shared" si="12"/>
        <v>302865.71920759737</v>
      </c>
    </row>
    <row r="56" spans="2:10" ht="15" customHeight="1" x14ac:dyDescent="0.3">
      <c r="B56" s="104" t="s">
        <v>71</v>
      </c>
      <c r="C56" s="44">
        <v>15000</v>
      </c>
      <c r="D56" s="3">
        <f t="shared" ref="D56:J56" si="13">C56+D87</f>
        <v>29180.962249999997</v>
      </c>
      <c r="E56" s="3">
        <f t="shared" si="13"/>
        <v>45856.049249999996</v>
      </c>
      <c r="F56" s="3">
        <f t="shared" si="13"/>
        <v>67339.511249999996</v>
      </c>
      <c r="G56" s="3">
        <f t="shared" si="13"/>
        <v>89926.589870689655</v>
      </c>
      <c r="H56" s="3">
        <f t="shared" si="13"/>
        <v>113365.94849504995</v>
      </c>
      <c r="I56" s="3">
        <f t="shared" si="13"/>
        <v>137243.30282232267</v>
      </c>
      <c r="J56" s="3">
        <f t="shared" si="13"/>
        <v>161856.89632316941</v>
      </c>
    </row>
    <row r="57" spans="2:10" ht="15" customHeight="1" x14ac:dyDescent="0.3">
      <c r="B57" s="164" t="s">
        <v>266</v>
      </c>
      <c r="C57" s="158">
        <f t="shared" ref="C57:J57" si="14">C55-C56</f>
        <v>45000</v>
      </c>
      <c r="D57" s="158">
        <f t="shared" si="14"/>
        <v>56473.017749999999</v>
      </c>
      <c r="E57" s="158">
        <f t="shared" si="14"/>
        <v>72849.410749999995</v>
      </c>
      <c r="F57" s="158">
        <f t="shared" si="14"/>
        <v>86115.300474137926</v>
      </c>
      <c r="G57" s="158">
        <f t="shared" si="14"/>
        <v>99588.773583233313</v>
      </c>
      <c r="H57" s="158">
        <f t="shared" si="14"/>
        <v>112883.80623160031</v>
      </c>
      <c r="I57" s="158">
        <f t="shared" si="14"/>
        <v>126873.51882870714</v>
      </c>
      <c r="J57" s="158">
        <f t="shared" si="14"/>
        <v>141008.82288442797</v>
      </c>
    </row>
    <row r="58" spans="2:10" ht="15" customHeight="1" x14ac:dyDescent="0.3">
      <c r="B58" s="9"/>
      <c r="C58" s="5"/>
      <c r="D58" s="5"/>
      <c r="E58" s="5"/>
      <c r="F58" s="5"/>
      <c r="G58" s="5"/>
      <c r="H58" s="5"/>
      <c r="I58" s="5"/>
      <c r="J58" s="5"/>
    </row>
    <row r="59" spans="2:10" ht="15" customHeight="1" x14ac:dyDescent="0.3">
      <c r="B59" s="104" t="s">
        <v>72</v>
      </c>
      <c r="C59" s="44">
        <v>25000</v>
      </c>
      <c r="D59" s="2">
        <f>C59*(1+'Meta Drivers'!E$73)</f>
        <v>28000.000000000004</v>
      </c>
      <c r="E59" s="2">
        <f>D59*(1+'Meta Drivers'!F$73)</f>
        <v>32000.000000000004</v>
      </c>
      <c r="F59" s="2">
        <f>E59*(1+'Meta Drivers'!G$73)</f>
        <v>35200.000000000007</v>
      </c>
      <c r="G59" s="2">
        <f>F59*(1+'Meta Drivers'!H$73)</f>
        <v>38720.000000000015</v>
      </c>
      <c r="H59" s="2">
        <f>G59*(1+'Meta Drivers'!I$73)</f>
        <v>42592.000000000022</v>
      </c>
      <c r="I59" s="2">
        <f>H59*(1+'Meta Drivers'!J$73)</f>
        <v>46851.200000000026</v>
      </c>
      <c r="J59" s="2">
        <f>I59*(1+'Meta Drivers'!K$73)</f>
        <v>51536.320000000036</v>
      </c>
    </row>
    <row r="60" spans="2:10" ht="15" customHeight="1" x14ac:dyDescent="0.3">
      <c r="B60" s="163" t="s">
        <v>73</v>
      </c>
      <c r="C60" s="155">
        <f t="shared" ref="C60:J60" si="15">C57+C59</f>
        <v>70000</v>
      </c>
      <c r="D60" s="155">
        <f t="shared" si="15"/>
        <v>84473.017749999999</v>
      </c>
      <c r="E60" s="155">
        <f t="shared" si="15"/>
        <v>104849.41075</v>
      </c>
      <c r="F60" s="155">
        <f t="shared" si="15"/>
        <v>121315.30047413794</v>
      </c>
      <c r="G60" s="155">
        <f t="shared" si="15"/>
        <v>138308.77358323333</v>
      </c>
      <c r="H60" s="155">
        <f t="shared" si="15"/>
        <v>155475.80623160032</v>
      </c>
      <c r="I60" s="155">
        <f t="shared" si="15"/>
        <v>173724.71882870718</v>
      </c>
      <c r="J60" s="155">
        <f t="shared" si="15"/>
        <v>192545.142884428</v>
      </c>
    </row>
    <row r="61" spans="2:10" ht="1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2:10" ht="15" customHeight="1" thickBot="1" x14ac:dyDescent="0.35">
      <c r="B62" s="165" t="s">
        <v>74</v>
      </c>
      <c r="C62" s="166">
        <f t="shared" ref="C62:J62" si="16">C52+C60</f>
        <v>127770.12328767123</v>
      </c>
      <c r="D62" s="166">
        <f t="shared" ca="1" si="16"/>
        <v>147294.00128677092</v>
      </c>
      <c r="E62" s="166">
        <f t="shared" ca="1" si="16"/>
        <v>172927.3835242301</v>
      </c>
      <c r="F62" s="166">
        <f t="shared" ca="1" si="16"/>
        <v>198386.86241772401</v>
      </c>
      <c r="G62" s="166">
        <f t="shared" ca="1" si="16"/>
        <v>226340.39656844622</v>
      </c>
      <c r="H62" s="166">
        <f t="shared" ca="1" si="16"/>
        <v>258147.76685389545</v>
      </c>
      <c r="I62" s="166">
        <f t="shared" ca="1" si="16"/>
        <v>293256.25631006528</v>
      </c>
      <c r="J62" s="166">
        <f t="shared" ca="1" si="16"/>
        <v>333715.31896039611</v>
      </c>
    </row>
    <row r="63" spans="2:10" ht="15" customHeight="1" thickTop="1" x14ac:dyDescent="0.3">
      <c r="B63" s="11"/>
      <c r="C63" s="11"/>
      <c r="D63" s="11"/>
      <c r="E63" s="11"/>
      <c r="F63" s="11"/>
      <c r="G63" s="11"/>
      <c r="H63" s="11"/>
      <c r="I63" s="11"/>
      <c r="J63" s="11"/>
    </row>
    <row r="64" spans="2:10" ht="15" customHeight="1" x14ac:dyDescent="0.3">
      <c r="B64" s="37" t="s">
        <v>75</v>
      </c>
      <c r="C64" s="37"/>
      <c r="D64" s="37"/>
      <c r="E64" s="37"/>
      <c r="F64" s="37"/>
      <c r="G64" s="37"/>
      <c r="H64" s="37"/>
      <c r="I64" s="37"/>
      <c r="J64" s="37"/>
    </row>
    <row r="65" spans="2:10" ht="15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</row>
    <row r="66" spans="2:10" ht="15" customHeight="1" x14ac:dyDescent="0.3">
      <c r="B66" s="13" t="s">
        <v>76</v>
      </c>
      <c r="C66" s="14"/>
      <c r="D66" s="14"/>
      <c r="E66" s="14"/>
      <c r="F66" s="14"/>
      <c r="G66" s="14"/>
      <c r="H66" s="14"/>
      <c r="I66" s="14"/>
      <c r="J66" s="14"/>
    </row>
    <row r="67" spans="2:10" ht="15" customHeight="1" x14ac:dyDescent="0.3">
      <c r="B67" s="104" t="s">
        <v>77</v>
      </c>
      <c r="C67" s="2">
        <f>(C17+C21+C22+C23)*INDEX('Meta Drivers'!D$68:D$70,MATCH($D$5,'Meta Drivers'!$C$68:$C$70,0))/365</f>
        <v>6088.36733150685</v>
      </c>
      <c r="D67" s="2">
        <f>(D17+D21+D22+D23)*INDEX('Meta Drivers'!E$68:E$70,MATCH($D$5,'Meta Drivers'!$C$68:$C$70,0))/365</f>
        <v>6756.9324657534253</v>
      </c>
      <c r="E67" s="2">
        <f>(E17+E21+E22+E23)*INDEX('Meta Drivers'!F$68:F$70,MATCH($D$5,'Meta Drivers'!$C$68:$C$70,0))/365</f>
        <v>8752.1280000000024</v>
      </c>
      <c r="F67" s="2">
        <f>(F17+F21+F22+F23)*INDEX('Meta Drivers'!G$68:G$70,MATCH($D$5,'Meta Drivers'!$C$68:$C$70,0))/365</f>
        <v>9875.9354709494582</v>
      </c>
      <c r="G67" s="2">
        <f>(G17+G21+G22+G23)*INDEX('Meta Drivers'!H$68:H$70,MATCH($D$5,'Meta Drivers'!$C$68:$C$70,0))/365</f>
        <v>11030.232350707369</v>
      </c>
      <c r="H67" s="2">
        <f>(H17+H21+H22+H23)*INDEX('Meta Drivers'!I$68:I$70,MATCH($D$5,'Meta Drivers'!$C$68:$C$70,0))/365</f>
        <v>12134.929390983814</v>
      </c>
      <c r="I67" s="2">
        <f>(I17+I21+I22+I23)*INDEX('Meta Drivers'!J$68:J$70,MATCH($D$5,'Meta Drivers'!$C$68:$C$70,0))/365</f>
        <v>13209.518140369006</v>
      </c>
      <c r="J67" s="2">
        <f>(J17+J21+J22+J23)*INDEX('Meta Drivers'!K$68:K$70,MATCH($D$5,'Meta Drivers'!$C$68:$C$70,0))/365</f>
        <v>14293.447979960665</v>
      </c>
    </row>
    <row r="68" spans="2:10" ht="15" customHeight="1" x14ac:dyDescent="0.3">
      <c r="B68" s="104" t="s">
        <v>78</v>
      </c>
      <c r="C68" s="44">
        <v>8000</v>
      </c>
      <c r="D68" s="2">
        <f>C68*(1+'Meta Drivers'!E$74)</f>
        <v>8500</v>
      </c>
      <c r="E68" s="2">
        <f>D68*(1+'Meta Drivers'!F$74)</f>
        <v>9000</v>
      </c>
      <c r="F68" s="2">
        <f>E68*(1+'Meta Drivers'!G$74)</f>
        <v>9450</v>
      </c>
      <c r="G68" s="2">
        <f>F68*(1+'Meta Drivers'!H$74)</f>
        <v>9922.5</v>
      </c>
      <c r="H68" s="2">
        <f>G68*(1+'Meta Drivers'!I$74)</f>
        <v>10418.625</v>
      </c>
      <c r="I68" s="2">
        <f>H68*(1+'Meta Drivers'!J$74)</f>
        <v>10939.55625</v>
      </c>
      <c r="J68" s="2">
        <f>I68*(1+'Meta Drivers'!K$74)</f>
        <v>11486.534062500001</v>
      </c>
    </row>
    <row r="69" spans="2:10" ht="15" customHeight="1" x14ac:dyDescent="0.3">
      <c r="B69" s="163" t="s">
        <v>79</v>
      </c>
      <c r="C69" s="155">
        <f t="shared" ref="C69:J69" si="17">SUM(C67:C68)</f>
        <v>14088.36733150685</v>
      </c>
      <c r="D69" s="155">
        <f t="shared" si="17"/>
        <v>15256.932465753425</v>
      </c>
      <c r="E69" s="155">
        <f t="shared" si="17"/>
        <v>17752.128000000004</v>
      </c>
      <c r="F69" s="155">
        <f t="shared" si="17"/>
        <v>19325.935470949458</v>
      </c>
      <c r="G69" s="155">
        <f t="shared" si="17"/>
        <v>20952.732350707367</v>
      </c>
      <c r="H69" s="155">
        <f t="shared" si="17"/>
        <v>22553.554390983816</v>
      </c>
      <c r="I69" s="155">
        <f t="shared" si="17"/>
        <v>24149.074390369005</v>
      </c>
      <c r="J69" s="155">
        <f t="shared" si="17"/>
        <v>25779.982042460666</v>
      </c>
    </row>
    <row r="70" spans="2:10" ht="15" customHeight="1" x14ac:dyDescent="0.3">
      <c r="B70" s="11"/>
      <c r="C70" s="11"/>
      <c r="D70" s="11"/>
      <c r="E70" s="11"/>
      <c r="F70" s="11"/>
      <c r="G70" s="11"/>
      <c r="H70" s="11"/>
      <c r="I70" s="11"/>
      <c r="J70" s="11"/>
    </row>
    <row r="71" spans="2:10" ht="15" customHeight="1" x14ac:dyDescent="0.3">
      <c r="B71" s="116" t="s">
        <v>80</v>
      </c>
      <c r="C71" s="44">
        <v>10000</v>
      </c>
      <c r="D71" s="44">
        <v>9500</v>
      </c>
      <c r="E71" s="44">
        <v>9000</v>
      </c>
      <c r="F71" s="44">
        <v>8500</v>
      </c>
      <c r="G71" s="44">
        <v>8000</v>
      </c>
      <c r="H71" s="44">
        <v>7500</v>
      </c>
      <c r="I71" s="44">
        <v>7000</v>
      </c>
      <c r="J71" s="44">
        <v>6500</v>
      </c>
    </row>
    <row r="72" spans="2:10" ht="15" customHeight="1" x14ac:dyDescent="0.3">
      <c r="B72" s="154" t="s">
        <v>81</v>
      </c>
      <c r="C72" s="155">
        <f t="shared" ref="C72:J72" si="18">C69+C71</f>
        <v>24088.367331506852</v>
      </c>
      <c r="D72" s="155">
        <f t="shared" si="18"/>
        <v>24756.932465753423</v>
      </c>
      <c r="E72" s="155">
        <f t="shared" si="18"/>
        <v>26752.128000000004</v>
      </c>
      <c r="F72" s="155">
        <f t="shared" si="18"/>
        <v>27825.935470949458</v>
      </c>
      <c r="G72" s="155">
        <f t="shared" si="18"/>
        <v>28952.732350707367</v>
      </c>
      <c r="H72" s="155">
        <f t="shared" si="18"/>
        <v>30053.554390983816</v>
      </c>
      <c r="I72" s="155">
        <f t="shared" si="18"/>
        <v>31149.074390369005</v>
      </c>
      <c r="J72" s="155">
        <f t="shared" si="18"/>
        <v>32279.982042460666</v>
      </c>
    </row>
    <row r="73" spans="2:10" ht="15" customHeight="1" x14ac:dyDescent="0.3">
      <c r="B73" s="11"/>
      <c r="C73" s="11"/>
      <c r="D73" s="11"/>
      <c r="E73" s="11"/>
      <c r="F73" s="11"/>
      <c r="G73" s="11"/>
      <c r="H73" s="11"/>
      <c r="I73" s="11"/>
      <c r="J73" s="11"/>
    </row>
    <row r="74" spans="2:10" ht="15" customHeight="1" x14ac:dyDescent="0.3">
      <c r="B74" s="13" t="s">
        <v>82</v>
      </c>
      <c r="C74" s="14"/>
      <c r="D74" s="14"/>
      <c r="E74" s="14"/>
      <c r="F74" s="14"/>
      <c r="G74" s="14"/>
      <c r="H74" s="14"/>
      <c r="I74" s="14"/>
      <c r="J74" s="14"/>
    </row>
    <row r="75" spans="2:10" ht="15" customHeight="1" x14ac:dyDescent="0.3">
      <c r="B75" s="104" t="s">
        <v>267</v>
      </c>
      <c r="C75" s="44">
        <v>40000</v>
      </c>
      <c r="D75" s="3">
        <f t="shared" ref="D75:J75" si="19">C75+D88</f>
        <v>51894.118000000002</v>
      </c>
      <c r="E75" s="3">
        <f t="shared" si="19"/>
        <v>67812.790000000008</v>
      </c>
      <c r="F75" s="3">
        <f t="shared" si="19"/>
        <v>84432.045172413811</v>
      </c>
      <c r="G75" s="3">
        <f t="shared" si="19"/>
        <v>102043.01229626233</v>
      </c>
      <c r="H75" s="3">
        <f t="shared" si="19"/>
        <v>120410.20793262597</v>
      </c>
      <c r="I75" s="3">
        <f t="shared" si="19"/>
        <v>139343.74139481576</v>
      </c>
      <c r="J75" s="3">
        <f t="shared" si="19"/>
        <v>158718.19017309955</v>
      </c>
    </row>
    <row r="76" spans="2:10" ht="15" customHeight="1" x14ac:dyDescent="0.3">
      <c r="B76" s="104" t="s">
        <v>268</v>
      </c>
      <c r="C76" s="44">
        <v>36318.244043835599</v>
      </c>
      <c r="D76" s="3">
        <f t="shared" ref="D76:J76" ca="1" si="20">C76-D100</f>
        <v>47811.577070050116</v>
      </c>
      <c r="E76" s="3">
        <f t="shared" ca="1" si="20"/>
        <v>56304.105382112437</v>
      </c>
      <c r="F76" s="3">
        <f t="shared" ca="1" si="20"/>
        <v>70104.036087952554</v>
      </c>
      <c r="G76" s="3">
        <f t="shared" ca="1" si="20"/>
        <v>87590.100776671679</v>
      </c>
      <c r="H76" s="3">
        <f t="shared" ca="1" si="20"/>
        <v>107493.4458967119</v>
      </c>
      <c r="I76" s="3">
        <f t="shared" ca="1" si="20"/>
        <v>130904.5361416753</v>
      </c>
      <c r="J76" s="3">
        <f t="shared" ca="1" si="20"/>
        <v>155861.28240041822</v>
      </c>
    </row>
    <row r="77" spans="2:10" ht="15" customHeight="1" x14ac:dyDescent="0.3">
      <c r="B77" s="104" t="s">
        <v>83</v>
      </c>
      <c r="C77" s="44">
        <v>100000</v>
      </c>
      <c r="D77" s="3">
        <f t="shared" ref="D77:J77" ca="1" si="21">C77+D86</f>
        <v>118454.52789106766</v>
      </c>
      <c r="E77" s="3">
        <f t="shared" ca="1" si="21"/>
        <v>134666.57090634259</v>
      </c>
      <c r="F77" s="3">
        <f t="shared" ca="1" si="21"/>
        <v>156232.91786231333</v>
      </c>
      <c r="G77" s="3">
        <f t="shared" ca="1" si="21"/>
        <v>182934.75269814825</v>
      </c>
      <c r="H77" s="3">
        <f t="shared" ca="1" si="21"/>
        <v>215177.45042699762</v>
      </c>
      <c r="I77" s="3">
        <f t="shared" ca="1" si="21"/>
        <v>253667.97666655586</v>
      </c>
      <c r="J77" s="3">
        <f t="shared" ca="1" si="21"/>
        <v>298578.42914525419</v>
      </c>
    </row>
    <row r="78" spans="2:10" ht="15" customHeight="1" x14ac:dyDescent="0.3">
      <c r="B78" s="154" t="s">
        <v>84</v>
      </c>
      <c r="C78" s="155">
        <f t="shared" ref="C78:J78" si="22">C75-C76+C77</f>
        <v>103681.7559561644</v>
      </c>
      <c r="D78" s="155">
        <f t="shared" ca="1" si="22"/>
        <v>122537.06882101754</v>
      </c>
      <c r="E78" s="155">
        <f t="shared" ca="1" si="22"/>
        <v>146175.25552423016</v>
      </c>
      <c r="F78" s="155">
        <f t="shared" ca="1" si="22"/>
        <v>170560.92694677459</v>
      </c>
      <c r="G78" s="155">
        <f t="shared" ca="1" si="22"/>
        <v>197387.6642177389</v>
      </c>
      <c r="H78" s="155">
        <f t="shared" ca="1" si="22"/>
        <v>228094.21246291167</v>
      </c>
      <c r="I78" s="155">
        <f t="shared" ca="1" si="22"/>
        <v>262107.18191969633</v>
      </c>
      <c r="J78" s="155">
        <f t="shared" ca="1" si="22"/>
        <v>301435.33691793552</v>
      </c>
    </row>
    <row r="79" spans="2:10" ht="15" customHeight="1" x14ac:dyDescent="0.3">
      <c r="B79" s="11"/>
      <c r="C79" s="11"/>
      <c r="D79" s="11"/>
      <c r="E79" s="11"/>
      <c r="F79" s="11"/>
      <c r="G79" s="11"/>
      <c r="H79" s="11"/>
      <c r="I79" s="11"/>
      <c r="J79" s="11"/>
    </row>
    <row r="80" spans="2:10" ht="15" customHeight="1" thickBot="1" x14ac:dyDescent="0.35">
      <c r="B80" s="165" t="s">
        <v>85</v>
      </c>
      <c r="C80" s="166">
        <f t="shared" ref="C80:J80" si="23">C72+C78</f>
        <v>127770.12328767125</v>
      </c>
      <c r="D80" s="166">
        <f t="shared" ca="1" si="23"/>
        <v>147294.00128677097</v>
      </c>
      <c r="E80" s="166">
        <f t="shared" ca="1" si="23"/>
        <v>172927.38352423016</v>
      </c>
      <c r="F80" s="166">
        <f t="shared" ca="1" si="23"/>
        <v>198386.86241772404</v>
      </c>
      <c r="G80" s="166">
        <f t="shared" ca="1" si="23"/>
        <v>226340.39656844627</v>
      </c>
      <c r="H80" s="166">
        <f t="shared" ca="1" si="23"/>
        <v>258147.7668538955</v>
      </c>
      <c r="I80" s="166">
        <f t="shared" ca="1" si="23"/>
        <v>293256.25631006534</v>
      </c>
      <c r="J80" s="166">
        <f t="shared" ca="1" si="23"/>
        <v>333715.31896039617</v>
      </c>
    </row>
    <row r="81" spans="2:10" ht="15" customHeight="1" thickTop="1" x14ac:dyDescent="0.3">
      <c r="B81" s="11"/>
      <c r="C81" s="11"/>
      <c r="D81" s="11"/>
      <c r="E81" s="11"/>
      <c r="F81" s="11"/>
      <c r="G81" s="11"/>
      <c r="H81" s="11"/>
      <c r="I81" s="11"/>
      <c r="J81" s="11"/>
    </row>
    <row r="82" spans="2:10" ht="15" customHeight="1" x14ac:dyDescent="0.3">
      <c r="B82" s="117" t="s">
        <v>86</v>
      </c>
      <c r="C82" s="3">
        <f t="shared" ref="C82:J82" si="24">C62-C80</f>
        <v>0</v>
      </c>
      <c r="D82" s="3">
        <f t="shared" ca="1" si="24"/>
        <v>0</v>
      </c>
      <c r="E82" s="3">
        <f t="shared" ca="1" si="24"/>
        <v>0</v>
      </c>
      <c r="F82" s="3">
        <f t="shared" ca="1" si="24"/>
        <v>0</v>
      </c>
      <c r="G82" s="3">
        <f t="shared" ca="1" si="24"/>
        <v>0</v>
      </c>
      <c r="H82" s="3">
        <f t="shared" ca="1" si="24"/>
        <v>0</v>
      </c>
      <c r="I82" s="3">
        <f t="shared" ca="1" si="24"/>
        <v>0</v>
      </c>
      <c r="J82" s="3">
        <f t="shared" ca="1" si="24"/>
        <v>0</v>
      </c>
    </row>
    <row r="83" spans="2:10" ht="15" customHeight="1" thickBot="1" x14ac:dyDescent="0.35">
      <c r="B83" s="11"/>
      <c r="C83" s="11"/>
      <c r="D83" s="11"/>
      <c r="E83" s="11"/>
      <c r="F83" s="11"/>
      <c r="G83" s="11"/>
      <c r="H83" s="11"/>
      <c r="I83" s="11"/>
      <c r="J83" s="11"/>
    </row>
    <row r="84" spans="2:10" ht="15" customHeight="1" x14ac:dyDescent="0.3">
      <c r="B84" s="21" t="s">
        <v>87</v>
      </c>
      <c r="C84" s="21"/>
      <c r="D84" s="21"/>
      <c r="E84" s="21"/>
      <c r="F84" s="21"/>
      <c r="G84" s="21"/>
      <c r="H84" s="21"/>
      <c r="I84" s="21"/>
      <c r="J84" s="21"/>
    </row>
    <row r="85" spans="2:10" ht="15" customHeight="1" x14ac:dyDescent="0.3">
      <c r="B85" s="38" t="s">
        <v>88</v>
      </c>
      <c r="C85" s="39"/>
      <c r="D85" s="39"/>
      <c r="E85" s="39"/>
      <c r="F85" s="39"/>
      <c r="G85" s="39"/>
      <c r="H85" s="39"/>
      <c r="I85" s="39"/>
      <c r="J85" s="39"/>
    </row>
    <row r="86" spans="2:10" ht="15" customHeight="1" x14ac:dyDescent="0.3">
      <c r="B86" s="164" t="s">
        <v>89</v>
      </c>
      <c r="C86" s="167"/>
      <c r="D86" s="158" cm="1">
        <f t="array" aca="1" ref="D86" ca="1">D35</f>
        <v>18454.527891067653</v>
      </c>
      <c r="E86" s="158" cm="1">
        <f t="array" aca="1" ref="E86" ca="1">E35</f>
        <v>16212.043015274929</v>
      </c>
      <c r="F86" s="158" cm="1">
        <f t="array" aca="1" ref="F86" ca="1">F35</f>
        <v>21566.346955970759</v>
      </c>
      <c r="G86" s="158" cm="1">
        <f t="array" aca="1" ref="G86" ca="1">G35</f>
        <v>26701.834835834932</v>
      </c>
      <c r="H86" s="158" cm="1">
        <f t="array" aca="1" ref="H86" ca="1">H35</f>
        <v>32242.697728849376</v>
      </c>
      <c r="I86" s="158" cm="1">
        <f t="array" aca="1" ref="I86" ca="1">I35</f>
        <v>38490.526239558247</v>
      </c>
      <c r="J86" s="158" cm="1">
        <f t="array" aca="1" ref="J86" ca="1">J35</f>
        <v>44910.452478698317</v>
      </c>
    </row>
    <row r="87" spans="2:10" ht="15.75" customHeight="1" x14ac:dyDescent="0.3">
      <c r="B87" s="104" t="s">
        <v>90</v>
      </c>
      <c r="C87" s="4"/>
      <c r="D87" s="2">
        <f>C$95*INDEX('Meta Drivers'!E$82:E$84,MATCH($D$5,'Meta Drivers'!$C$82:$C$84,0))</f>
        <v>14180.962249999999</v>
      </c>
      <c r="E87" s="2">
        <f>D$95*INDEX('Meta Drivers'!F$82:F$84,MATCH($D$5,'Meta Drivers'!$C$82:$C$84,0))</f>
        <v>16675.087</v>
      </c>
      <c r="F87" s="2">
        <f>E$95*INDEX('Meta Drivers'!G$82:G$84,MATCH($D$5,'Meta Drivers'!$C$82:$C$84,0))</f>
        <v>21483.462</v>
      </c>
      <c r="G87" s="2">
        <f>F$95*INDEX('Meta Drivers'!H$82:H$84,MATCH($D$5,'Meta Drivers'!$C$82:$C$84,0))</f>
        <v>22587.078620689659</v>
      </c>
      <c r="H87" s="2">
        <f>G$95*INDEX('Meta Drivers'!I$82:I$84,MATCH($D$5,'Meta Drivers'!$C$82:$C$84,0))</f>
        <v>23439.358624360291</v>
      </c>
      <c r="I87" s="2">
        <f>H$95*INDEX('Meta Drivers'!J$82:J$84,MATCH($D$5,'Meta Drivers'!$C$82:$C$84,0))</f>
        <v>23877.354327272729</v>
      </c>
      <c r="J87" s="2">
        <f>I$95*INDEX('Meta Drivers'!K$82:K$84,MATCH($D$5,'Meta Drivers'!$C$82:$C$84,0))</f>
        <v>24613.59350084672</v>
      </c>
    </row>
    <row r="88" spans="2:10" ht="15" customHeight="1" x14ac:dyDescent="0.3">
      <c r="B88" s="104" t="s">
        <v>91</v>
      </c>
      <c r="C88" s="5"/>
      <c r="D88" s="3" cm="1">
        <f t="array" ref="D88">D24</f>
        <v>11894.117999999999</v>
      </c>
      <c r="E88" s="3" cm="1">
        <f t="array" ref="E88">E24</f>
        <v>15918.672</v>
      </c>
      <c r="F88" s="3" cm="1">
        <f t="array" ref="F88">F24</f>
        <v>16619.255172413796</v>
      </c>
      <c r="G88" s="3" cm="1">
        <f t="array" ref="G88">G24</f>
        <v>17610.967123848517</v>
      </c>
      <c r="H88" s="3" cm="1">
        <f t="array" ref="H88">H24</f>
        <v>18367.195636363638</v>
      </c>
      <c r="I88" s="3" cm="1">
        <f t="array" ref="I88">I24</f>
        <v>18933.533462189785</v>
      </c>
      <c r="J88" s="3" cm="1">
        <f t="array" ref="J88">J24</f>
        <v>19374.448778283793</v>
      </c>
    </row>
    <row r="89" spans="2:10" ht="15" customHeight="1" x14ac:dyDescent="0.3">
      <c r="B89" s="22" t="s">
        <v>92</v>
      </c>
      <c r="C89" s="14"/>
      <c r="D89" s="14"/>
      <c r="E89" s="14"/>
      <c r="F89" s="14"/>
      <c r="G89" s="14"/>
      <c r="H89" s="14"/>
      <c r="I89" s="14"/>
      <c r="J89" s="14"/>
    </row>
    <row r="90" spans="2:10" ht="15" customHeight="1" x14ac:dyDescent="0.3">
      <c r="B90" s="118" t="s">
        <v>105</v>
      </c>
      <c r="C90" s="11"/>
      <c r="D90" s="3">
        <f t="shared" ref="D90:J90" si="25">-(SUM(D50:D51)-SUM(C50:C51))</f>
        <v>637.85753424657378</v>
      </c>
      <c r="E90" s="3">
        <f t="shared" si="25"/>
        <v>-2117.3342465753412</v>
      </c>
      <c r="F90" s="3">
        <f t="shared" si="25"/>
        <v>-2062.8572508266443</v>
      </c>
      <c r="G90" s="3">
        <f t="shared" si="25"/>
        <v>-2044.4877477011432</v>
      </c>
      <c r="H90" s="3">
        <f t="shared" si="25"/>
        <v>-1871.4408903887779</v>
      </c>
      <c r="I90" s="3">
        <f t="shared" si="25"/>
        <v>-1752.1833624207065</v>
      </c>
      <c r="J90" s="3">
        <f t="shared" si="25"/>
        <v>-1719.4825647294128</v>
      </c>
    </row>
    <row r="91" spans="2:10" ht="15" customHeight="1" x14ac:dyDescent="0.3">
      <c r="B91" s="118" t="s">
        <v>106</v>
      </c>
      <c r="C91" s="11"/>
      <c r="D91" s="3">
        <f t="shared" ref="D91:J91" si="26">SUM(D67:D68)-SUM(C67:C68)</f>
        <v>1168.5651342465753</v>
      </c>
      <c r="E91" s="3">
        <f t="shared" si="26"/>
        <v>2495.195534246579</v>
      </c>
      <c r="F91" s="3">
        <f t="shared" si="26"/>
        <v>1573.807470949454</v>
      </c>
      <c r="G91" s="3">
        <f t="shared" si="26"/>
        <v>1626.7968797579088</v>
      </c>
      <c r="H91" s="3">
        <f t="shared" si="26"/>
        <v>1600.8220402764491</v>
      </c>
      <c r="I91" s="3">
        <f t="shared" si="26"/>
        <v>1595.5199993851893</v>
      </c>
      <c r="J91" s="3">
        <f t="shared" si="26"/>
        <v>1630.9076520916606</v>
      </c>
    </row>
    <row r="92" spans="2:10" ht="15.75" customHeight="1" x14ac:dyDescent="0.3">
      <c r="B92" s="154" t="s">
        <v>93</v>
      </c>
      <c r="C92" s="168"/>
      <c r="D92" s="155">
        <f t="shared" ref="D92:J92" ca="1" si="27">SUM(D86:D91)</f>
        <v>46336.030809560805</v>
      </c>
      <c r="E92" s="155">
        <f t="shared" ca="1" si="27"/>
        <v>49183.663302946166</v>
      </c>
      <c r="F92" s="155">
        <f t="shared" ca="1" si="27"/>
        <v>59180.014348507364</v>
      </c>
      <c r="G92" s="155">
        <f t="shared" ca="1" si="27"/>
        <v>66482.18971242987</v>
      </c>
      <c r="H92" s="155">
        <f t="shared" ca="1" si="27"/>
        <v>73778.633139460988</v>
      </c>
      <c r="I92" s="155">
        <f t="shared" ca="1" si="27"/>
        <v>81144.750665985237</v>
      </c>
      <c r="J92" s="155">
        <f t="shared" ca="1" si="27"/>
        <v>88809.919845191078</v>
      </c>
    </row>
    <row r="93" spans="2:10" ht="15" customHeight="1" x14ac:dyDescent="0.3">
      <c r="B93" s="11"/>
      <c r="C93" s="11"/>
      <c r="D93" s="11"/>
      <c r="E93" s="11"/>
      <c r="F93" s="11"/>
      <c r="G93" s="11"/>
      <c r="H93" s="11"/>
      <c r="I93" s="11"/>
      <c r="J93" s="11"/>
    </row>
    <row r="94" spans="2:10" ht="15" customHeight="1" x14ac:dyDescent="0.3">
      <c r="B94" s="13" t="s">
        <v>94</v>
      </c>
      <c r="C94" s="14"/>
      <c r="D94" s="14"/>
      <c r="E94" s="14"/>
      <c r="F94" s="14"/>
      <c r="G94" s="14"/>
      <c r="H94" s="14"/>
      <c r="I94" s="14"/>
      <c r="J94" s="14"/>
    </row>
    <row r="95" spans="2:10" ht="15.75" customHeight="1" x14ac:dyDescent="0.3">
      <c r="B95" s="104" t="s">
        <v>95</v>
      </c>
      <c r="C95" s="2">
        <f>C$14*INDEX('Meta Drivers'!D$78:D$80,MATCH($D$5,'Meta Drivers'!$C$78:$C$80,0))</f>
        <v>21816.864999999998</v>
      </c>
      <c r="D95" s="2">
        <f>D$14*INDEX('Meta Drivers'!E$78:E$80,MATCH($D$5,'Meta Drivers'!$C$78:$C$80,0))</f>
        <v>25653.98</v>
      </c>
      <c r="E95" s="2">
        <f>E$14*INDEX('Meta Drivers'!F$78:F$80,MATCH($D$5,'Meta Drivers'!$C$78:$C$80,0))</f>
        <v>33051.479999999996</v>
      </c>
      <c r="F95" s="2">
        <f>F$14*INDEX('Meta Drivers'!G$78:G$80,MATCH($D$5,'Meta Drivers'!$C$78:$C$80,0))</f>
        <v>34749.351724137938</v>
      </c>
      <c r="G95" s="2">
        <f>G$14*INDEX('Meta Drivers'!H$78:H$80,MATCH($D$5,'Meta Drivers'!$C$78:$C$80,0))</f>
        <v>36060.55172978506</v>
      </c>
      <c r="H95" s="2">
        <f>H$14*INDEX('Meta Drivers'!I$78:I$80,MATCH($D$5,'Meta Drivers'!$C$78:$C$80,0))</f>
        <v>36734.391272727276</v>
      </c>
      <c r="I95" s="2">
        <f>I$14*INDEX('Meta Drivers'!J$78:J$80,MATCH($D$5,'Meta Drivers'!$C$78:$C$80,0))</f>
        <v>37867.066924379571</v>
      </c>
      <c r="J95" s="2">
        <f>J$14*INDEX('Meta Drivers'!K$78:K$80,MATCH($D$5,'Meta Drivers'!$C$78:$C$80,0))</f>
        <v>38748.897556567586</v>
      </c>
    </row>
    <row r="96" spans="2:10" ht="15.75" customHeight="1" x14ac:dyDescent="0.3">
      <c r="B96" s="104" t="s">
        <v>269</v>
      </c>
      <c r="C96" s="2"/>
      <c r="D96" s="3">
        <f t="shared" ref="D96:J96" si="28">D59-C59</f>
        <v>3000.0000000000036</v>
      </c>
      <c r="E96" s="3">
        <f t="shared" si="28"/>
        <v>4000</v>
      </c>
      <c r="F96" s="3">
        <f t="shared" si="28"/>
        <v>3200.0000000000036</v>
      </c>
      <c r="G96" s="3">
        <f t="shared" si="28"/>
        <v>3520.0000000000073</v>
      </c>
      <c r="H96" s="3">
        <f t="shared" si="28"/>
        <v>3872.0000000000073</v>
      </c>
      <c r="I96" s="3">
        <f t="shared" si="28"/>
        <v>4259.2000000000044</v>
      </c>
      <c r="J96" s="3">
        <f t="shared" si="28"/>
        <v>4685.1200000000099</v>
      </c>
    </row>
    <row r="97" spans="2:10" ht="15" customHeight="1" x14ac:dyDescent="0.3">
      <c r="B97" s="154" t="s">
        <v>96</v>
      </c>
      <c r="C97" s="168"/>
      <c r="D97" s="155">
        <f t="shared" ref="D97:J97" si="29">-SUM(D95:D96)</f>
        <v>-28653.980000000003</v>
      </c>
      <c r="E97" s="155">
        <f t="shared" si="29"/>
        <v>-37051.479999999996</v>
      </c>
      <c r="F97" s="155">
        <f t="shared" si="29"/>
        <v>-37949.351724137945</v>
      </c>
      <c r="G97" s="155">
        <f t="shared" si="29"/>
        <v>-39580.551729785067</v>
      </c>
      <c r="H97" s="155">
        <f t="shared" si="29"/>
        <v>-40606.391272727284</v>
      </c>
      <c r="I97" s="155">
        <f t="shared" si="29"/>
        <v>-42126.266924379575</v>
      </c>
      <c r="J97" s="155">
        <f t="shared" si="29"/>
        <v>-43434.017556567596</v>
      </c>
    </row>
    <row r="98" spans="2:10" ht="13.5" customHeight="1" x14ac:dyDescent="0.3">
      <c r="B98" s="11"/>
      <c r="C98" s="11"/>
      <c r="D98" s="11"/>
      <c r="E98" s="11"/>
      <c r="F98" s="11"/>
      <c r="G98" s="11"/>
      <c r="H98" s="11"/>
      <c r="I98" s="11"/>
      <c r="J98" s="11"/>
    </row>
    <row r="99" spans="2:10" ht="15.75" customHeight="1" x14ac:dyDescent="0.3">
      <c r="B99" s="13" t="s">
        <v>97</v>
      </c>
      <c r="C99" s="14"/>
      <c r="D99" s="14"/>
      <c r="E99" s="14"/>
      <c r="F99" s="14"/>
      <c r="G99" s="14"/>
      <c r="H99" s="14"/>
      <c r="I99" s="14"/>
      <c r="J99" s="14"/>
    </row>
    <row r="100" spans="2:10" ht="15.75" customHeight="1" x14ac:dyDescent="0.3">
      <c r="B100" s="104" t="s">
        <v>98</v>
      </c>
      <c r="C100" s="6"/>
      <c r="D100" s="2">
        <f ca="1">-MAX(D92+D97,0)*INDEX('Meta Drivers'!E$109:E$111,MATCH($D$5,'Meta Drivers'!$C$109:$C$111,0))</f>
        <v>-11493.333026214521</v>
      </c>
      <c r="E100" s="2">
        <f ca="1">-MAX(E92+E97,0)*INDEX('Meta Drivers'!F$109:F$111,MATCH($D$5,'Meta Drivers'!$C$109:$C$111,0))</f>
        <v>-8492.5283120623189</v>
      </c>
      <c r="F100" s="2">
        <f ca="1">-MAX(F92+F97,0)*INDEX('Meta Drivers'!G$109:G$111,MATCH($D$5,'Meta Drivers'!$C$109:$C$111,0))</f>
        <v>-13799.930705840123</v>
      </c>
      <c r="G100" s="2">
        <f ca="1">-MAX(G92+G97,0)*INDEX('Meta Drivers'!H$109:H$111,MATCH($D$5,'Meta Drivers'!$C$109:$C$111,0))</f>
        <v>-17486.064688719121</v>
      </c>
      <c r="H100" s="2">
        <f ca="1">-MAX(H92+H97,0)*INDEX('Meta Drivers'!I$109:I$111,MATCH($D$5,'Meta Drivers'!$C$109:$C$111,0))</f>
        <v>-19903.345120040223</v>
      </c>
      <c r="I100" s="2">
        <f ca="1">-MAX(I92+I97,0)*INDEX('Meta Drivers'!J$109:J$111,MATCH($D$5,'Meta Drivers'!$C$109:$C$111,0))</f>
        <v>-23411.090244963398</v>
      </c>
      <c r="J100" s="2">
        <f ca="1">-MAX(J92+J97,0)*INDEX('Meta Drivers'!K$109:K$111,MATCH($D$5,'Meta Drivers'!$C$109:$C$111,0))</f>
        <v>-24956.746258742918</v>
      </c>
    </row>
    <row r="101" spans="2:10" ht="15" customHeight="1" x14ac:dyDescent="0.3">
      <c r="B101" s="104" t="s">
        <v>99</v>
      </c>
      <c r="C101" s="4"/>
      <c r="D101" s="3">
        <f t="shared" ref="D101:J101" si="30">D$71-C$71</f>
        <v>-500</v>
      </c>
      <c r="E101" s="3">
        <f t="shared" si="30"/>
        <v>-500</v>
      </c>
      <c r="F101" s="3">
        <f t="shared" si="30"/>
        <v>-500</v>
      </c>
      <c r="G101" s="3">
        <f t="shared" si="30"/>
        <v>-500</v>
      </c>
      <c r="H101" s="3">
        <f t="shared" si="30"/>
        <v>-500</v>
      </c>
      <c r="I101" s="3">
        <f t="shared" si="30"/>
        <v>-500</v>
      </c>
      <c r="J101" s="3">
        <f t="shared" si="30"/>
        <v>-500</v>
      </c>
    </row>
    <row r="102" spans="2:10" ht="15" customHeight="1" x14ac:dyDescent="0.3">
      <c r="B102" s="154" t="s">
        <v>100</v>
      </c>
      <c r="C102" s="168"/>
      <c r="D102" s="155">
        <f t="shared" ref="D102:J102" ca="1" si="31">SUM(D99:D101)</f>
        <v>-11993.333026214521</v>
      </c>
      <c r="E102" s="155">
        <f t="shared" ca="1" si="31"/>
        <v>-8992.5283120623189</v>
      </c>
      <c r="F102" s="155">
        <f t="shared" ca="1" si="31"/>
        <v>-14299.930705840123</v>
      </c>
      <c r="G102" s="155">
        <f t="shared" ca="1" si="31"/>
        <v>-17986.064688719121</v>
      </c>
      <c r="H102" s="155">
        <f t="shared" ca="1" si="31"/>
        <v>-20403.345120040223</v>
      </c>
      <c r="I102" s="155">
        <f t="shared" ca="1" si="31"/>
        <v>-23911.090244963398</v>
      </c>
      <c r="J102" s="155">
        <f t="shared" ca="1" si="31"/>
        <v>-25456.746258742918</v>
      </c>
    </row>
    <row r="103" spans="2:10" ht="15" customHeight="1" x14ac:dyDescent="0.3"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2:10" ht="15" customHeight="1" x14ac:dyDescent="0.3">
      <c r="B104" s="157" t="s">
        <v>101</v>
      </c>
      <c r="C104" s="167"/>
      <c r="D104" s="158">
        <f t="shared" ref="D104:J104" ca="1" si="32">D92+D97+D102</f>
        <v>5688.7177833462811</v>
      </c>
      <c r="E104" s="158">
        <f t="shared" ca="1" si="32"/>
        <v>3139.6549908838515</v>
      </c>
      <c r="F104" s="158">
        <f t="shared" ca="1" si="32"/>
        <v>6930.7319185292963</v>
      </c>
      <c r="G104" s="158">
        <f t="shared" ca="1" si="32"/>
        <v>8915.5732939256814</v>
      </c>
      <c r="H104" s="158">
        <f t="shared" ca="1" si="32"/>
        <v>12768.896746693481</v>
      </c>
      <c r="I104" s="158">
        <f t="shared" ca="1" si="32"/>
        <v>15107.393496642264</v>
      </c>
      <c r="J104" s="158">
        <f t="shared" ca="1" si="32"/>
        <v>19919.156029880563</v>
      </c>
    </row>
    <row r="105" spans="2:10" ht="15" customHeight="1" x14ac:dyDescent="0.3">
      <c r="B105" s="116" t="s">
        <v>102</v>
      </c>
      <c r="C105" s="5"/>
      <c r="D105" s="3">
        <f t="shared" ref="D105:J105" si="33">C$106</f>
        <v>35000</v>
      </c>
      <c r="E105" s="3">
        <f t="shared" ca="1" si="33"/>
        <v>40688.717783346277</v>
      </c>
      <c r="F105" s="3">
        <f t="shared" ca="1" si="33"/>
        <v>43828.372774230127</v>
      </c>
      <c r="G105" s="3">
        <f t="shared" ca="1" si="33"/>
        <v>50759.104692759422</v>
      </c>
      <c r="H105" s="3">
        <f t="shared" ca="1" si="33"/>
        <v>59674.677986685099</v>
      </c>
      <c r="I105" s="3">
        <f t="shared" ca="1" si="33"/>
        <v>72443.574733378584</v>
      </c>
      <c r="J105" s="3">
        <f t="shared" ca="1" si="33"/>
        <v>87550.968230020851</v>
      </c>
    </row>
    <row r="106" spans="2:10" ht="15" customHeight="1" thickBot="1" x14ac:dyDescent="0.35">
      <c r="B106" s="165" t="s">
        <v>103</v>
      </c>
      <c r="C106" s="166">
        <f>C$49</f>
        <v>35000</v>
      </c>
      <c r="D106" s="166">
        <f t="shared" ref="D106:J106" ca="1" si="34">D104+D105</f>
        <v>40688.717783346277</v>
      </c>
      <c r="E106" s="166">
        <f t="shared" ca="1" si="34"/>
        <v>43828.372774230127</v>
      </c>
      <c r="F106" s="166">
        <f t="shared" ca="1" si="34"/>
        <v>50759.104692759422</v>
      </c>
      <c r="G106" s="166">
        <f t="shared" ca="1" si="34"/>
        <v>59674.677986685099</v>
      </c>
      <c r="H106" s="166">
        <f t="shared" ca="1" si="34"/>
        <v>72443.574733378584</v>
      </c>
      <c r="I106" s="166">
        <f t="shared" ca="1" si="34"/>
        <v>87550.968230020851</v>
      </c>
      <c r="J106" s="166">
        <f t="shared" ca="1" si="34"/>
        <v>107470.12425990141</v>
      </c>
    </row>
    <row r="107" spans="2:10" ht="15.75" customHeight="1" thickTop="1" x14ac:dyDescent="0.3"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2:10" ht="15" customHeight="1" x14ac:dyDescent="0.3">
      <c r="B108" s="117" t="s">
        <v>104</v>
      </c>
      <c r="C108" s="3">
        <f t="shared" ref="C108:J108" si="35">C106-C49</f>
        <v>0</v>
      </c>
      <c r="D108" s="3">
        <f t="shared" ca="1" si="35"/>
        <v>0</v>
      </c>
      <c r="E108" s="3">
        <f t="shared" ca="1" si="35"/>
        <v>0</v>
      </c>
      <c r="F108" s="3">
        <f t="shared" ca="1" si="35"/>
        <v>0</v>
      </c>
      <c r="G108" s="3">
        <f t="shared" ca="1" si="35"/>
        <v>0</v>
      </c>
      <c r="H108" s="3">
        <f t="shared" ca="1" si="35"/>
        <v>0</v>
      </c>
      <c r="I108" s="3">
        <f t="shared" ca="1" si="35"/>
        <v>0</v>
      </c>
      <c r="J108" s="3">
        <f t="shared" ca="1" si="35"/>
        <v>0</v>
      </c>
    </row>
    <row r="109" spans="2:10" ht="15" customHeight="1" thickBot="1" x14ac:dyDescent="0.35"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2:10" ht="15" customHeight="1" x14ac:dyDescent="0.3">
      <c r="B110" s="40" t="s">
        <v>289</v>
      </c>
      <c r="C110" s="41"/>
      <c r="D110" s="41"/>
      <c r="E110" s="41"/>
      <c r="F110" s="41"/>
      <c r="G110" s="41"/>
      <c r="H110" s="41"/>
      <c r="I110" s="41"/>
      <c r="J110" s="41"/>
    </row>
    <row r="111" spans="2:10" ht="15" customHeight="1" x14ac:dyDescent="0.3">
      <c r="B111" s="11"/>
      <c r="C111" s="11"/>
      <c r="D111" s="11"/>
      <c r="E111" s="11"/>
      <c r="F111" s="119" t="s">
        <v>290</v>
      </c>
      <c r="G111" s="119" t="s">
        <v>291</v>
      </c>
      <c r="H111" s="119" t="s">
        <v>292</v>
      </c>
      <c r="I111" s="119" t="s">
        <v>293</v>
      </c>
      <c r="J111" s="119" t="s">
        <v>294</v>
      </c>
    </row>
    <row r="112" spans="2:10" ht="15" customHeight="1" x14ac:dyDescent="0.3">
      <c r="B112" s="111" t="s">
        <v>295</v>
      </c>
      <c r="C112" s="11"/>
      <c r="D112" s="11"/>
      <c r="E112" s="11"/>
      <c r="F112" s="44">
        <v>1830</v>
      </c>
      <c r="G112" s="11"/>
      <c r="H112" s="11"/>
      <c r="I112" s="11"/>
      <c r="J112" s="11"/>
    </row>
    <row r="113" spans="2:10" ht="15" customHeight="1" x14ac:dyDescent="0.3">
      <c r="B113" s="157" t="s">
        <v>296</v>
      </c>
      <c r="C113" s="169"/>
      <c r="D113" s="169"/>
      <c r="E113" s="169"/>
      <c r="F113" s="158">
        <f ca="1">($F$71-$F$49)/1000</f>
        <v>-42.259104692759422</v>
      </c>
      <c r="G113" s="169"/>
      <c r="H113" s="169"/>
      <c r="I113" s="169"/>
      <c r="J113" s="169"/>
    </row>
    <row r="114" spans="2:10" ht="15" customHeight="1" x14ac:dyDescent="0.3">
      <c r="B114" s="157" t="s">
        <v>297</v>
      </c>
      <c r="C114" s="169"/>
      <c r="D114" s="169"/>
      <c r="E114" s="169"/>
      <c r="F114" s="158">
        <f ca="1">F112+F113</f>
        <v>1787.7408953072406</v>
      </c>
      <c r="G114" s="167"/>
      <c r="H114" s="167"/>
      <c r="I114" s="167"/>
      <c r="J114" s="167"/>
    </row>
    <row r="115" spans="2:10" ht="15" customHeight="1" x14ac:dyDescent="0.3">
      <c r="B115" s="8"/>
      <c r="C115" s="11"/>
      <c r="D115" s="11"/>
      <c r="E115" s="11"/>
      <c r="F115" s="11"/>
      <c r="G115" s="11"/>
      <c r="H115" s="11"/>
      <c r="I115" s="11"/>
      <c r="J115" s="11"/>
    </row>
    <row r="116" spans="2:10" ht="15" customHeight="1" x14ac:dyDescent="0.3">
      <c r="B116" s="111" t="s">
        <v>298</v>
      </c>
      <c r="C116" s="11"/>
      <c r="D116" s="11"/>
      <c r="E116" s="11"/>
      <c r="F116" s="120">
        <f ca="1">$F$114*1000/F$14</f>
        <v>11.832750411716233</v>
      </c>
      <c r="G116" s="120">
        <f ca="1">$F$114*1000/G$14</f>
        <v>10.658857783742171</v>
      </c>
      <c r="H116" s="120">
        <f ca="1">$F$114*1000/H$14</f>
        <v>9.7333361646556718</v>
      </c>
      <c r="I116" s="120">
        <f ca="1">$F$114*1000/I$14</f>
        <v>8.9700839726165569</v>
      </c>
      <c r="J116" s="120">
        <f ca="1">$F$114*1000/J$14</f>
        <v>8.3045810706106717</v>
      </c>
    </row>
    <row r="117" spans="2:10" ht="15" customHeight="1" x14ac:dyDescent="0.3">
      <c r="B117" s="157" t="s">
        <v>299</v>
      </c>
      <c r="C117" s="169"/>
      <c r="D117" s="169"/>
      <c r="E117" s="169"/>
      <c r="F117" s="170">
        <f ca="1">$F$114*1000/(F$27+F$87)</f>
        <v>38.269496547841634</v>
      </c>
      <c r="G117" s="170">
        <f ca="1">$F$114*1000/(G$27+G$87)</f>
        <v>32.931398701005364</v>
      </c>
      <c r="H117" s="170">
        <f ca="1">$F$114*1000/(H$27+H$87)</f>
        <v>28.744522467450079</v>
      </c>
      <c r="I117" s="170">
        <f ca="1">$F$114*1000/(I$27+I$87)</f>
        <v>25.424984247818589</v>
      </c>
      <c r="J117" s="170">
        <f ca="1">$F$114*1000/(J$27+J$87)</f>
        <v>22.485082380506437</v>
      </c>
    </row>
    <row r="118" spans="2:10" ht="15" customHeight="1" x14ac:dyDescent="0.3">
      <c r="B118" s="111" t="s">
        <v>300</v>
      </c>
      <c r="C118" s="11"/>
      <c r="D118" s="11"/>
      <c r="E118" s="11"/>
      <c r="F118" s="120">
        <f ca="1">$F$112*1000/F$35</f>
        <v>84.854426377173468</v>
      </c>
      <c r="G118" s="120">
        <f ca="1">$F$112*1000/G$35</f>
        <v>68.534616113498942</v>
      </c>
      <c r="H118" s="120">
        <f ca="1">$F$112*1000/H$35</f>
        <v>56.757037372917928</v>
      </c>
      <c r="I118" s="120">
        <f ca="1">$F$112*1000/I$35</f>
        <v>47.544166806408484</v>
      </c>
      <c r="J118" s="120">
        <f ca="1">$F$112*1000/J$35</f>
        <v>40.747752449566072</v>
      </c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tabColor rgb="FF1F3864"/>
    <pageSetUpPr fitToPage="1"/>
  </sheetPr>
  <dimension ref="B2:M95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7.59765625" style="1" customWidth="1"/>
    <col min="3" max="3" width="2.5" style="1" customWidth="1"/>
    <col min="4" max="8" width="12.59765625" style="1" customWidth="1"/>
    <col min="9" max="16384" width="7.69921875" style="1"/>
  </cols>
  <sheetData>
    <row r="2" spans="2:13" ht="15" customHeight="1" x14ac:dyDescent="0.3">
      <c r="B2" s="121" t="s">
        <v>108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 ht="15" customHeight="1" x14ac:dyDescent="0.3">
      <c r="B3" s="122" t="s">
        <v>109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2:13" ht="15" customHeight="1" x14ac:dyDescent="0.3">
      <c r="B4" s="129" t="s">
        <v>373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2:13" ht="15" customHeight="1" x14ac:dyDescent="0.3">
      <c r="B5" s="50" t="s">
        <v>110</v>
      </c>
      <c r="C5" s="50"/>
      <c r="D5" s="50"/>
      <c r="E5" s="50"/>
      <c r="F5" s="50"/>
      <c r="G5" s="50"/>
      <c r="H5" s="50"/>
      <c r="I5" s="50"/>
    </row>
    <row r="6" spans="2:13" ht="15" customHeight="1" x14ac:dyDescent="0.3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2:13" ht="15" customHeight="1" x14ac:dyDescent="0.3">
      <c r="B7" s="51" t="s">
        <v>111</v>
      </c>
      <c r="C7" s="52"/>
      <c r="D7" s="52"/>
      <c r="E7" s="52"/>
      <c r="F7" s="52"/>
      <c r="G7" s="52"/>
      <c r="H7" s="52"/>
      <c r="I7" s="52"/>
      <c r="J7" s="47"/>
      <c r="K7" s="47"/>
      <c r="L7" s="47"/>
      <c r="M7" s="47"/>
    </row>
    <row r="8" spans="2:13" ht="15" customHeight="1" x14ac:dyDescent="0.3">
      <c r="B8" s="53" t="s">
        <v>112</v>
      </c>
      <c r="C8" s="54"/>
      <c r="D8" s="55" t="s">
        <v>113</v>
      </c>
      <c r="E8" s="54"/>
      <c r="F8" s="54"/>
      <c r="G8" s="54"/>
      <c r="H8" s="54"/>
      <c r="I8" s="54"/>
      <c r="J8" s="47"/>
      <c r="K8" s="47"/>
      <c r="L8" s="47"/>
      <c r="M8" s="47"/>
    </row>
    <row r="9" spans="2:13" ht="15" customHeight="1" x14ac:dyDescent="0.3">
      <c r="B9" s="53" t="s">
        <v>114</v>
      </c>
      <c r="C9" s="54"/>
      <c r="D9" s="55" t="s">
        <v>115</v>
      </c>
      <c r="E9" s="54"/>
      <c r="F9" s="54"/>
      <c r="G9" s="54"/>
      <c r="H9" s="54"/>
      <c r="I9" s="54"/>
      <c r="J9" s="47"/>
      <c r="K9" s="47"/>
      <c r="L9" s="47"/>
      <c r="M9" s="47"/>
    </row>
    <row r="10" spans="2:13" ht="15" customHeight="1" x14ac:dyDescent="0.3">
      <c r="B10" s="53" t="s">
        <v>116</v>
      </c>
      <c r="C10" s="54"/>
      <c r="D10" s="55" t="s">
        <v>117</v>
      </c>
      <c r="E10" s="54"/>
      <c r="F10" s="54"/>
      <c r="G10" s="54"/>
      <c r="H10" s="54"/>
      <c r="I10" s="54"/>
      <c r="J10" s="47"/>
      <c r="K10" s="47"/>
      <c r="L10" s="47"/>
      <c r="M10" s="47"/>
    </row>
    <row r="11" spans="2:13" ht="15" customHeight="1" x14ac:dyDescent="0.3">
      <c r="B11" s="53" t="s">
        <v>118</v>
      </c>
      <c r="C11" s="54"/>
      <c r="D11" s="55" t="s">
        <v>225</v>
      </c>
      <c r="E11" s="54"/>
      <c r="F11" s="54"/>
      <c r="G11" s="54"/>
      <c r="H11" s="54"/>
      <c r="I11" s="54"/>
      <c r="J11" s="47"/>
      <c r="K11" s="47"/>
      <c r="L11" s="47"/>
      <c r="M11" s="47"/>
    </row>
    <row r="12" spans="2:13" ht="15" customHeight="1" x14ac:dyDescent="0.3">
      <c r="B12" s="53" t="s">
        <v>120</v>
      </c>
      <c r="C12" s="54"/>
      <c r="D12" s="55" t="s">
        <v>119</v>
      </c>
      <c r="E12" s="54"/>
      <c r="F12" s="54"/>
      <c r="G12" s="54"/>
      <c r="H12" s="54"/>
      <c r="I12" s="54"/>
      <c r="J12" s="47"/>
      <c r="K12" s="47"/>
      <c r="L12" s="47"/>
      <c r="M12" s="47"/>
    </row>
    <row r="13" spans="2:13" ht="15" customHeight="1" x14ac:dyDescent="0.3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2:13" ht="15" customHeight="1" x14ac:dyDescent="0.3">
      <c r="B14" s="50" t="s">
        <v>121</v>
      </c>
      <c r="C14" s="50"/>
      <c r="D14" s="50"/>
      <c r="E14" s="50"/>
      <c r="F14" s="50"/>
      <c r="G14" s="50"/>
      <c r="H14" s="50"/>
      <c r="I14" s="50"/>
    </row>
    <row r="15" spans="2:13" ht="15" customHeight="1" x14ac:dyDescent="0.3"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2:13" ht="15" customHeight="1" x14ac:dyDescent="0.3">
      <c r="B16" s="51" t="s">
        <v>122</v>
      </c>
      <c r="C16" s="52"/>
      <c r="D16" s="52"/>
      <c r="E16" s="52"/>
      <c r="F16" s="52"/>
      <c r="G16" s="52"/>
      <c r="H16" s="52"/>
      <c r="I16" s="52"/>
      <c r="J16" s="47"/>
      <c r="K16" s="47"/>
      <c r="L16" s="47"/>
      <c r="M16" s="47"/>
    </row>
    <row r="17" spans="2:13" ht="15" customHeight="1" x14ac:dyDescent="0.3">
      <c r="B17" s="123" t="s">
        <v>123</v>
      </c>
      <c r="C17" s="47"/>
      <c r="D17" s="124">
        <v>520</v>
      </c>
      <c r="E17" s="47"/>
      <c r="F17" s="47"/>
      <c r="G17" s="47"/>
      <c r="H17" s="47"/>
      <c r="I17" s="47"/>
      <c r="J17" s="47"/>
      <c r="K17" s="47"/>
      <c r="L17" s="47"/>
      <c r="M17" s="47"/>
    </row>
    <row r="18" spans="2:13" ht="15" customHeight="1" x14ac:dyDescent="0.3">
      <c r="B18" s="123" t="s">
        <v>124</v>
      </c>
      <c r="C18" s="47"/>
      <c r="D18" s="57">
        <v>0.3</v>
      </c>
      <c r="E18" s="47"/>
      <c r="F18" s="47"/>
      <c r="G18" s="47"/>
      <c r="H18" s="47"/>
      <c r="I18" s="47"/>
      <c r="J18" s="47"/>
      <c r="K18" s="47"/>
      <c r="L18" s="47"/>
      <c r="M18" s="47"/>
    </row>
    <row r="19" spans="2:13" ht="15" customHeight="1" x14ac:dyDescent="0.3">
      <c r="B19" s="123" t="s">
        <v>125</v>
      </c>
      <c r="C19" s="47"/>
      <c r="D19" s="125">
        <f>D17*(1+D18)</f>
        <v>676</v>
      </c>
      <c r="E19" s="47"/>
      <c r="F19" s="47"/>
      <c r="G19" s="47"/>
      <c r="H19" s="47"/>
      <c r="I19" s="47"/>
      <c r="J19" s="47"/>
      <c r="K19" s="47"/>
      <c r="L19" s="47"/>
      <c r="M19" s="47"/>
    </row>
    <row r="20" spans="2:13" ht="15" customHeight="1" x14ac:dyDescent="0.3">
      <c r="B20" s="123" t="s">
        <v>126</v>
      </c>
      <c r="C20" s="47"/>
      <c r="D20" s="58">
        <v>2700</v>
      </c>
      <c r="E20" s="47"/>
      <c r="F20" s="47"/>
      <c r="G20" s="47"/>
      <c r="H20" s="47"/>
      <c r="I20" s="47"/>
      <c r="J20" s="47"/>
      <c r="K20" s="47"/>
      <c r="L20" s="47"/>
      <c r="M20" s="47"/>
    </row>
    <row r="21" spans="2:13" ht="15" customHeight="1" x14ac:dyDescent="0.3">
      <c r="B21" s="174" t="s">
        <v>127</v>
      </c>
      <c r="C21" s="175"/>
      <c r="D21" s="176">
        <f>D19*D20</f>
        <v>1825200</v>
      </c>
      <c r="E21" s="175"/>
      <c r="F21" s="175"/>
      <c r="G21" s="175"/>
      <c r="H21" s="175"/>
      <c r="I21" s="175"/>
      <c r="J21" s="47"/>
      <c r="K21" s="47"/>
      <c r="L21" s="47"/>
      <c r="M21" s="47"/>
    </row>
    <row r="22" spans="2:13" ht="15" customHeight="1" x14ac:dyDescent="0.3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2:13" ht="15" customHeight="1" x14ac:dyDescent="0.3">
      <c r="B23" s="51" t="s">
        <v>128</v>
      </c>
      <c r="C23" s="52"/>
      <c r="D23" s="52"/>
      <c r="E23" s="52"/>
      <c r="F23" s="52"/>
      <c r="G23" s="52"/>
      <c r="H23" s="52"/>
      <c r="I23" s="52"/>
      <c r="J23" s="47"/>
      <c r="K23" s="47"/>
      <c r="L23" s="47"/>
      <c r="M23" s="47"/>
    </row>
    <row r="24" spans="2:13" ht="15" customHeight="1" x14ac:dyDescent="0.3">
      <c r="B24" s="123" t="s">
        <v>129</v>
      </c>
      <c r="C24" s="47"/>
      <c r="D24" s="57">
        <v>0.5</v>
      </c>
      <c r="E24" s="47"/>
      <c r="F24" s="47"/>
      <c r="G24" s="47"/>
      <c r="H24" s="47"/>
      <c r="I24" s="47"/>
      <c r="J24" s="47"/>
      <c r="K24" s="47"/>
      <c r="L24" s="47"/>
      <c r="M24" s="47"/>
    </row>
    <row r="25" spans="2:13" ht="15" customHeight="1" x14ac:dyDescent="0.3">
      <c r="B25" s="123" t="s">
        <v>130</v>
      </c>
      <c r="C25" s="47"/>
      <c r="D25" s="57">
        <v>0.5</v>
      </c>
      <c r="E25" s="47"/>
      <c r="F25" s="47"/>
      <c r="G25" s="47"/>
      <c r="H25" s="47"/>
      <c r="I25" s="47"/>
      <c r="J25" s="47"/>
      <c r="K25" s="47"/>
      <c r="L25" s="47"/>
      <c r="M25" s="47"/>
    </row>
    <row r="26" spans="2:13" ht="15" customHeight="1" x14ac:dyDescent="0.3">
      <c r="B26" s="123" t="s">
        <v>131</v>
      </c>
      <c r="C26" s="47"/>
      <c r="D26" s="126">
        <f>$D$21*D24</f>
        <v>912600</v>
      </c>
      <c r="E26" s="47"/>
      <c r="F26" s="47"/>
      <c r="G26" s="47"/>
      <c r="H26" s="47"/>
      <c r="I26" s="47"/>
      <c r="J26" s="47"/>
      <c r="K26" s="47"/>
      <c r="L26" s="47"/>
      <c r="M26" s="47"/>
    </row>
    <row r="27" spans="2:13" ht="15" customHeight="1" x14ac:dyDescent="0.3">
      <c r="B27" s="123" t="s">
        <v>132</v>
      </c>
      <c r="C27" s="47"/>
      <c r="D27" s="126">
        <f>$D$21*D25</f>
        <v>912600</v>
      </c>
      <c r="E27" s="47"/>
      <c r="F27" s="47"/>
      <c r="G27" s="47"/>
      <c r="H27" s="47"/>
      <c r="I27" s="47"/>
      <c r="J27" s="47"/>
      <c r="K27" s="47"/>
      <c r="L27" s="47"/>
      <c r="M27" s="47"/>
    </row>
    <row r="28" spans="2:13" ht="15" customHeight="1" x14ac:dyDescent="0.3">
      <c r="B28" s="123" t="s">
        <v>133</v>
      </c>
      <c r="C28" s="47"/>
      <c r="D28" s="124">
        <v>175</v>
      </c>
      <c r="E28" s="47"/>
      <c r="F28" s="47"/>
      <c r="G28" s="47"/>
      <c r="H28" s="47"/>
      <c r="I28" s="47"/>
      <c r="J28" s="47"/>
      <c r="K28" s="47"/>
      <c r="L28" s="47"/>
      <c r="M28" s="47"/>
    </row>
    <row r="29" spans="2:13" ht="15" customHeight="1" x14ac:dyDescent="0.3">
      <c r="B29" s="123" t="s">
        <v>134</v>
      </c>
      <c r="C29" s="47"/>
      <c r="D29" s="127">
        <f>D27/D28</f>
        <v>5214.8571428571431</v>
      </c>
      <c r="E29" s="47"/>
      <c r="F29" s="47"/>
      <c r="G29" s="47"/>
      <c r="H29" s="47"/>
      <c r="I29" s="47"/>
      <c r="J29" s="47"/>
      <c r="K29" s="47"/>
      <c r="L29" s="47"/>
      <c r="M29" s="47"/>
    </row>
    <row r="30" spans="2:13" ht="15" customHeight="1" x14ac:dyDescent="0.3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spans="2:13" ht="15" customHeight="1" x14ac:dyDescent="0.3">
      <c r="B31" s="50" t="s">
        <v>135</v>
      </c>
      <c r="C31" s="50"/>
      <c r="D31" s="50"/>
      <c r="E31" s="50"/>
      <c r="F31" s="50"/>
      <c r="G31" s="50"/>
      <c r="H31" s="50"/>
      <c r="I31" s="50"/>
    </row>
    <row r="32" spans="2:13" ht="15" customHeight="1" x14ac:dyDescent="0.3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spans="2:13" ht="15" customHeight="1" x14ac:dyDescent="0.3">
      <c r="B33" s="51" t="s">
        <v>136</v>
      </c>
      <c r="C33" s="52"/>
      <c r="D33" s="52"/>
      <c r="E33" s="52"/>
      <c r="F33" s="51" t="s">
        <v>137</v>
      </c>
      <c r="G33" s="52"/>
      <c r="H33" s="52"/>
      <c r="I33" s="52"/>
      <c r="J33" s="47"/>
      <c r="K33" s="47"/>
      <c r="L33" s="47"/>
      <c r="M33" s="47"/>
    </row>
    <row r="34" spans="2:13" ht="15" customHeight="1" x14ac:dyDescent="0.3">
      <c r="B34" s="123" t="s">
        <v>138</v>
      </c>
      <c r="C34" s="47"/>
      <c r="D34" s="126">
        <f>$D$27</f>
        <v>912600</v>
      </c>
      <c r="E34" s="47"/>
      <c r="F34" s="123" t="s">
        <v>139</v>
      </c>
      <c r="G34" s="47"/>
      <c r="H34" s="126" cm="1">
        <f t="array" ref="H34">D21</f>
        <v>1825200</v>
      </c>
      <c r="I34" s="47"/>
      <c r="J34" s="47"/>
      <c r="K34" s="47"/>
      <c r="L34" s="47"/>
      <c r="M34" s="47"/>
    </row>
    <row r="35" spans="2:13" ht="15" customHeight="1" x14ac:dyDescent="0.3">
      <c r="B35" s="123" t="s">
        <v>140</v>
      </c>
      <c r="C35" s="47"/>
      <c r="D35" s="59">
        <v>400000</v>
      </c>
      <c r="E35" s="47"/>
      <c r="F35" s="123" t="s">
        <v>141</v>
      </c>
      <c r="G35" s="47"/>
      <c r="H35" s="126">
        <f>$D$21*$I$35</f>
        <v>36504</v>
      </c>
      <c r="I35" s="60">
        <v>0.02</v>
      </c>
      <c r="J35" s="47"/>
      <c r="K35" s="47"/>
      <c r="L35" s="47"/>
      <c r="M35" s="47"/>
    </row>
    <row r="36" spans="2:13" ht="15" customHeight="1" x14ac:dyDescent="0.3">
      <c r="B36" s="123" t="s">
        <v>142</v>
      </c>
      <c r="C36" s="47"/>
      <c r="D36" s="59">
        <v>100000</v>
      </c>
      <c r="E36" s="47"/>
      <c r="F36" s="123" t="s">
        <v>143</v>
      </c>
      <c r="G36" s="47"/>
      <c r="H36" s="126">
        <f>(D35+D36)*$I$36</f>
        <v>12500</v>
      </c>
      <c r="I36" s="60">
        <v>2.5000000000000001E-2</v>
      </c>
      <c r="J36" s="47"/>
      <c r="K36" s="47"/>
      <c r="L36" s="47"/>
      <c r="M36" s="47"/>
    </row>
    <row r="37" spans="2:13" ht="15" customHeight="1" x14ac:dyDescent="0.3">
      <c r="B37" s="123" t="s">
        <v>144</v>
      </c>
      <c r="C37" s="47"/>
      <c r="D37" s="126">
        <f>H38-D26-D35-D36</f>
        <v>466604</v>
      </c>
      <c r="E37" s="47"/>
      <c r="F37" s="123" t="s">
        <v>145</v>
      </c>
      <c r="G37" s="47"/>
      <c r="H37" s="59">
        <v>5000</v>
      </c>
      <c r="I37" s="47"/>
      <c r="J37" s="47"/>
      <c r="K37" s="47"/>
      <c r="L37" s="47"/>
      <c r="M37" s="47"/>
    </row>
    <row r="38" spans="2:13" ht="15" customHeight="1" x14ac:dyDescent="0.3">
      <c r="B38" s="177" t="s">
        <v>146</v>
      </c>
      <c r="C38" s="178"/>
      <c r="D38" s="179">
        <f>SUM(D34:D37)</f>
        <v>1879204</v>
      </c>
      <c r="E38" s="180"/>
      <c r="F38" s="177" t="s">
        <v>147</v>
      </c>
      <c r="G38" s="178"/>
      <c r="H38" s="179">
        <f>SUM(H34:H37)</f>
        <v>1879204</v>
      </c>
      <c r="I38" s="180"/>
      <c r="J38" s="47"/>
      <c r="K38" s="47"/>
      <c r="L38" s="47"/>
      <c r="M38" s="47"/>
    </row>
    <row r="39" spans="2:13" ht="15" customHeight="1" x14ac:dyDescent="0.3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spans="2:13" ht="15" customHeight="1" x14ac:dyDescent="0.3">
      <c r="B40" s="50" t="s">
        <v>148</v>
      </c>
      <c r="C40" s="50"/>
      <c r="D40" s="50"/>
      <c r="E40" s="50"/>
      <c r="F40" s="50"/>
      <c r="G40" s="50"/>
      <c r="H40" s="50"/>
      <c r="I40" s="50"/>
    </row>
    <row r="41" spans="2:13" ht="15" customHeight="1" x14ac:dyDescent="0.3"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spans="2:13" ht="15" customHeight="1" x14ac:dyDescent="0.3">
      <c r="B42" s="51" t="s">
        <v>149</v>
      </c>
      <c r="C42" s="52"/>
      <c r="D42" s="52"/>
      <c r="E42" s="52"/>
      <c r="F42" s="52"/>
      <c r="G42" s="52"/>
      <c r="H42" s="52"/>
      <c r="I42" s="52"/>
      <c r="J42" s="47"/>
      <c r="K42" s="47"/>
      <c r="L42" s="47"/>
      <c r="M42" s="47"/>
    </row>
    <row r="43" spans="2:13" ht="15" customHeight="1" x14ac:dyDescent="0.3">
      <c r="B43" s="47"/>
      <c r="C43" s="47"/>
      <c r="D43" s="128" t="s">
        <v>150</v>
      </c>
      <c r="E43" s="128" t="s">
        <v>151</v>
      </c>
      <c r="F43" s="128" t="s">
        <v>152</v>
      </c>
      <c r="G43" s="128" t="s">
        <v>153</v>
      </c>
      <c r="H43" s="128" t="s">
        <v>154</v>
      </c>
      <c r="I43" s="47"/>
      <c r="J43" s="47"/>
      <c r="K43" s="47"/>
      <c r="L43" s="47"/>
      <c r="M43" s="47"/>
    </row>
    <row r="44" spans="2:13" ht="15" customHeight="1" x14ac:dyDescent="0.3">
      <c r="B44" s="123" t="s">
        <v>155</v>
      </c>
      <c r="C44" s="47"/>
      <c r="D44" s="59">
        <v>2000</v>
      </c>
      <c r="E44" s="59">
        <v>4000</v>
      </c>
      <c r="F44" s="59">
        <v>6000</v>
      </c>
      <c r="G44" s="59">
        <v>7000</v>
      </c>
      <c r="H44" s="59">
        <v>8000</v>
      </c>
      <c r="I44" s="47"/>
      <c r="J44" s="47"/>
      <c r="K44" s="47"/>
      <c r="L44" s="47"/>
      <c r="M44" s="47"/>
    </row>
    <row r="45" spans="2:13" ht="15" customHeight="1" x14ac:dyDescent="0.3">
      <c r="B45" s="123" t="s">
        <v>156</v>
      </c>
      <c r="C45" s="47"/>
      <c r="D45" s="59">
        <v>1000</v>
      </c>
      <c r="E45" s="59">
        <v>2500</v>
      </c>
      <c r="F45" s="59">
        <v>4000</v>
      </c>
      <c r="G45" s="59">
        <v>5000</v>
      </c>
      <c r="H45" s="59">
        <v>6000</v>
      </c>
      <c r="I45" s="47"/>
      <c r="J45" s="47"/>
      <c r="K45" s="47"/>
      <c r="L45" s="47"/>
      <c r="M45" s="47"/>
    </row>
    <row r="46" spans="2:13" ht="15" customHeight="1" x14ac:dyDescent="0.3">
      <c r="B46" s="123" t="s">
        <v>157</v>
      </c>
      <c r="C46" s="47"/>
      <c r="D46" s="59">
        <v>500</v>
      </c>
      <c r="E46" s="59">
        <v>1500</v>
      </c>
      <c r="F46" s="59">
        <v>2500</v>
      </c>
      <c r="G46" s="59">
        <v>3000</v>
      </c>
      <c r="H46" s="59">
        <v>3500</v>
      </c>
      <c r="I46" s="47"/>
      <c r="J46" s="47"/>
      <c r="K46" s="47"/>
      <c r="L46" s="47"/>
      <c r="M46" s="47"/>
    </row>
    <row r="47" spans="2:13" ht="15" customHeight="1" x14ac:dyDescent="0.3">
      <c r="B47" s="177" t="s">
        <v>158</v>
      </c>
      <c r="C47" s="178"/>
      <c r="D47" s="179">
        <f>SUM(D44:D46)</f>
        <v>3500</v>
      </c>
      <c r="E47" s="179">
        <f>SUM(E44:E46)</f>
        <v>8000</v>
      </c>
      <c r="F47" s="179">
        <f>SUM(F44:F46)</f>
        <v>12500</v>
      </c>
      <c r="G47" s="179">
        <f>SUM(G44:G46)</f>
        <v>15000</v>
      </c>
      <c r="H47" s="179">
        <f>SUM(H44:H46)</f>
        <v>17500</v>
      </c>
      <c r="I47" s="180"/>
      <c r="J47" s="47"/>
      <c r="K47" s="47"/>
      <c r="L47" s="47"/>
      <c r="M47" s="47"/>
    </row>
    <row r="48" spans="2:13" ht="15" customHeight="1" x14ac:dyDescent="0.3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pans="2:13" ht="15" customHeight="1" x14ac:dyDescent="0.3">
      <c r="B49" s="51" t="s">
        <v>159</v>
      </c>
      <c r="C49" s="52"/>
      <c r="D49" s="52"/>
      <c r="E49" s="52"/>
      <c r="F49" s="52"/>
      <c r="G49" s="52"/>
      <c r="H49" s="52"/>
      <c r="I49" s="52"/>
      <c r="J49" s="47"/>
      <c r="K49" s="47"/>
      <c r="L49" s="47"/>
      <c r="M49" s="47"/>
    </row>
    <row r="50" spans="2:13" ht="15" customHeight="1" x14ac:dyDescent="0.3">
      <c r="B50" s="123" t="s">
        <v>160</v>
      </c>
      <c r="C50" s="47"/>
      <c r="D50" s="59">
        <v>3000</v>
      </c>
      <c r="E50" s="59">
        <v>5000</v>
      </c>
      <c r="F50" s="59">
        <v>7000</v>
      </c>
      <c r="G50" s="59">
        <v>8000</v>
      </c>
      <c r="H50" s="59">
        <v>8500</v>
      </c>
      <c r="I50" s="47"/>
      <c r="J50" s="47"/>
      <c r="K50" s="47"/>
      <c r="L50" s="47"/>
      <c r="M50" s="47"/>
    </row>
    <row r="51" spans="2:13" ht="15" customHeight="1" x14ac:dyDescent="0.3">
      <c r="B51" s="123" t="s">
        <v>161</v>
      </c>
      <c r="C51" s="47"/>
      <c r="D51" s="59">
        <v>2000</v>
      </c>
      <c r="E51" s="59">
        <v>3500</v>
      </c>
      <c r="F51" s="59">
        <v>4500</v>
      </c>
      <c r="G51" s="59">
        <v>5000</v>
      </c>
      <c r="H51" s="59">
        <v>5500</v>
      </c>
      <c r="I51" s="47"/>
      <c r="J51" s="47"/>
      <c r="K51" s="47"/>
      <c r="L51" s="47"/>
      <c r="M51" s="47"/>
    </row>
    <row r="52" spans="2:13" ht="15" customHeight="1" x14ac:dyDescent="0.3">
      <c r="B52" s="123" t="s">
        <v>162</v>
      </c>
      <c r="C52" s="47"/>
      <c r="D52" s="59">
        <v>1500</v>
      </c>
      <c r="E52" s="59">
        <v>2500</v>
      </c>
      <c r="F52" s="59">
        <v>3000</v>
      </c>
      <c r="G52" s="59">
        <v>3200</v>
      </c>
      <c r="H52" s="59">
        <v>3400</v>
      </c>
      <c r="I52" s="47"/>
      <c r="J52" s="47"/>
      <c r="K52" s="47"/>
      <c r="L52" s="47"/>
      <c r="M52" s="47"/>
    </row>
    <row r="53" spans="2:13" ht="15" customHeight="1" x14ac:dyDescent="0.3">
      <c r="B53" s="123" t="s">
        <v>18</v>
      </c>
      <c r="C53" s="47"/>
      <c r="D53" s="59">
        <v>1000</v>
      </c>
      <c r="E53" s="59">
        <v>2000</v>
      </c>
      <c r="F53" s="59">
        <v>2500</v>
      </c>
      <c r="G53" s="59">
        <v>2800</v>
      </c>
      <c r="H53" s="59">
        <v>3000</v>
      </c>
      <c r="I53" s="47"/>
      <c r="J53" s="47"/>
      <c r="K53" s="47"/>
      <c r="L53" s="47"/>
      <c r="M53" s="47"/>
    </row>
    <row r="54" spans="2:13" ht="15" customHeight="1" x14ac:dyDescent="0.3">
      <c r="B54" s="177" t="s">
        <v>163</v>
      </c>
      <c r="C54" s="178"/>
      <c r="D54" s="179">
        <f>SUM(D50:D53)</f>
        <v>7500</v>
      </c>
      <c r="E54" s="179">
        <f>SUM(E50:E53)</f>
        <v>13000</v>
      </c>
      <c r="F54" s="179">
        <f>SUM(F50:F53)</f>
        <v>17000</v>
      </c>
      <c r="G54" s="179">
        <f>SUM(G50:G53)</f>
        <v>19000</v>
      </c>
      <c r="H54" s="179">
        <f>SUM(H50:H53)</f>
        <v>20400</v>
      </c>
      <c r="I54" s="180"/>
      <c r="J54" s="47"/>
      <c r="K54" s="47"/>
      <c r="L54" s="47"/>
      <c r="M54" s="47"/>
    </row>
    <row r="55" spans="2:13" ht="15" customHeight="1" x14ac:dyDescent="0.3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56" spans="2:13" ht="15" customHeight="1" x14ac:dyDescent="0.3">
      <c r="B56" s="51" t="s">
        <v>164</v>
      </c>
      <c r="C56" s="52"/>
      <c r="D56" s="52"/>
      <c r="E56" s="52"/>
      <c r="F56" s="52"/>
      <c r="G56" s="52"/>
      <c r="H56" s="52"/>
      <c r="I56" s="52"/>
      <c r="J56" s="47"/>
      <c r="K56" s="47"/>
      <c r="L56" s="47"/>
      <c r="M56" s="47"/>
    </row>
    <row r="57" spans="2:13" ht="15" customHeight="1" x14ac:dyDescent="0.3">
      <c r="B57" s="123" t="s">
        <v>165</v>
      </c>
      <c r="C57" s="47"/>
      <c r="D57" s="59">
        <v>-1000</v>
      </c>
      <c r="E57" s="59">
        <v>-800</v>
      </c>
      <c r="F57" s="59">
        <v>-500</v>
      </c>
      <c r="G57" s="59">
        <v>-300</v>
      </c>
      <c r="H57" s="59">
        <v>-200</v>
      </c>
      <c r="I57" s="47"/>
      <c r="J57" s="47"/>
      <c r="K57" s="47"/>
      <c r="L57" s="47"/>
      <c r="M57" s="47"/>
    </row>
    <row r="58" spans="2:13" ht="15" customHeight="1" x14ac:dyDescent="0.3">
      <c r="B58" s="123" t="s">
        <v>145</v>
      </c>
      <c r="C58" s="47"/>
      <c r="D58" s="59">
        <v>-3000</v>
      </c>
      <c r="E58" s="59">
        <v>-2000</v>
      </c>
      <c r="F58" s="59">
        <v>-1000</v>
      </c>
      <c r="G58" s="59">
        <v>-500</v>
      </c>
      <c r="H58" s="59">
        <v>0</v>
      </c>
      <c r="I58" s="47"/>
      <c r="J58" s="47"/>
      <c r="K58" s="47"/>
      <c r="L58" s="47"/>
      <c r="M58" s="47"/>
    </row>
    <row r="59" spans="2:13" ht="15" customHeight="1" x14ac:dyDescent="0.3">
      <c r="B59" s="123" t="s">
        <v>166</v>
      </c>
      <c r="C59" s="47"/>
      <c r="D59" s="59">
        <v>-2000</v>
      </c>
      <c r="E59" s="59">
        <v>-1500</v>
      </c>
      <c r="F59" s="59">
        <v>-1000</v>
      </c>
      <c r="G59" s="59">
        <v>-500</v>
      </c>
      <c r="H59" s="59">
        <v>0</v>
      </c>
      <c r="I59" s="47"/>
      <c r="J59" s="47"/>
      <c r="K59" s="47"/>
      <c r="L59" s="47"/>
      <c r="M59" s="47"/>
    </row>
    <row r="60" spans="2:13" ht="15" customHeight="1" x14ac:dyDescent="0.3">
      <c r="B60" s="177" t="s">
        <v>167</v>
      </c>
      <c r="C60" s="178"/>
      <c r="D60" s="179">
        <f>SUM(D57:D59)</f>
        <v>-6000</v>
      </c>
      <c r="E60" s="179">
        <f>SUM(E57:E59)</f>
        <v>-4300</v>
      </c>
      <c r="F60" s="179">
        <f>SUM(F57:F59)</f>
        <v>-2500</v>
      </c>
      <c r="G60" s="179">
        <f>SUM(G57:G59)</f>
        <v>-1300</v>
      </c>
      <c r="H60" s="179">
        <f>SUM(H57:H59)</f>
        <v>-200</v>
      </c>
      <c r="I60" s="180"/>
      <c r="J60" s="47"/>
      <c r="K60" s="47"/>
      <c r="L60" s="47"/>
      <c r="M60" s="47"/>
    </row>
    <row r="61" spans="2:13" ht="15" customHeight="1" x14ac:dyDescent="0.3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</row>
    <row r="62" spans="2:13" ht="15" customHeight="1" thickBot="1" x14ac:dyDescent="0.35">
      <c r="B62" s="181" t="s">
        <v>168</v>
      </c>
      <c r="C62" s="182"/>
      <c r="D62" s="183">
        <f>D47+D54+D60</f>
        <v>5000</v>
      </c>
      <c r="E62" s="183">
        <f>E47+E54+E60</f>
        <v>16700</v>
      </c>
      <c r="F62" s="183">
        <f>F47+F54+F60</f>
        <v>27000</v>
      </c>
      <c r="G62" s="183">
        <f>G47+G54+G60</f>
        <v>32700</v>
      </c>
      <c r="H62" s="183">
        <f>H47+H54+H60</f>
        <v>37700</v>
      </c>
      <c r="I62" s="180"/>
      <c r="J62" s="47"/>
      <c r="K62" s="47"/>
      <c r="L62" s="47"/>
      <c r="M62" s="47"/>
    </row>
    <row r="63" spans="2:13" ht="15" customHeight="1" thickTop="1" thickBot="1" x14ac:dyDescent="0.35"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</row>
    <row r="64" spans="2:13" ht="15" customHeight="1" x14ac:dyDescent="0.3">
      <c r="B64" s="50" t="s">
        <v>169</v>
      </c>
      <c r="C64" s="50"/>
      <c r="D64" s="50"/>
      <c r="E64" s="50"/>
      <c r="F64" s="50"/>
      <c r="G64" s="50"/>
      <c r="H64" s="50"/>
      <c r="I64" s="50"/>
    </row>
    <row r="65" spans="2:13" ht="15" customHeight="1" x14ac:dyDescent="0.3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</row>
    <row r="66" spans="2:13" ht="15" customHeight="1" x14ac:dyDescent="0.3">
      <c r="B66" s="51" t="s">
        <v>170</v>
      </c>
      <c r="C66" s="52"/>
      <c r="D66" s="52"/>
      <c r="E66" s="52"/>
      <c r="F66" s="52"/>
      <c r="G66" s="52"/>
      <c r="H66" s="52"/>
      <c r="I66" s="52"/>
      <c r="J66" s="47"/>
      <c r="K66" s="47"/>
      <c r="L66" s="47"/>
      <c r="M66" s="47"/>
    </row>
    <row r="67" spans="2:13" ht="15" customHeight="1" x14ac:dyDescent="0.3">
      <c r="B67" s="123" t="s">
        <v>139</v>
      </c>
      <c r="C67" s="47"/>
      <c r="D67" s="126" cm="1">
        <f t="array" ref="D67">D21</f>
        <v>1825200</v>
      </c>
      <c r="E67" s="47"/>
      <c r="F67" s="47"/>
      <c r="G67" s="47"/>
      <c r="H67" s="47"/>
      <c r="I67" s="47"/>
      <c r="J67" s="47"/>
      <c r="K67" s="47"/>
      <c r="L67" s="47"/>
      <c r="M67" s="47"/>
    </row>
    <row r="68" spans="2:13" ht="15" customHeight="1" x14ac:dyDescent="0.3">
      <c r="B68" s="123" t="s">
        <v>171</v>
      </c>
      <c r="C68" s="47"/>
      <c r="D68" s="59">
        <v>-141740</v>
      </c>
      <c r="E68" s="47"/>
      <c r="F68" s="47"/>
      <c r="G68" s="47"/>
      <c r="H68" s="47"/>
      <c r="I68" s="47"/>
      <c r="J68" s="47"/>
      <c r="K68" s="47"/>
      <c r="L68" s="47"/>
      <c r="M68" s="47"/>
    </row>
    <row r="69" spans="2:13" ht="15" customHeight="1" x14ac:dyDescent="0.3">
      <c r="B69" s="123" t="s">
        <v>172</v>
      </c>
      <c r="C69" s="47"/>
      <c r="D69" s="126">
        <f>D67+D68</f>
        <v>1683460</v>
      </c>
      <c r="E69" s="47"/>
      <c r="F69" s="47"/>
      <c r="G69" s="47"/>
      <c r="H69" s="47"/>
      <c r="I69" s="47"/>
      <c r="J69" s="47"/>
      <c r="K69" s="47"/>
      <c r="L69" s="47"/>
      <c r="M69" s="47"/>
    </row>
    <row r="70" spans="2:13" ht="15" customHeight="1" x14ac:dyDescent="0.3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</row>
    <row r="71" spans="2:13" ht="15" customHeight="1" x14ac:dyDescent="0.3">
      <c r="B71" s="51" t="s">
        <v>173</v>
      </c>
      <c r="C71" s="52"/>
      <c r="D71" s="52"/>
      <c r="E71" s="52"/>
      <c r="F71" s="52"/>
      <c r="G71" s="52"/>
      <c r="H71" s="52"/>
      <c r="I71" s="52"/>
      <c r="J71" s="47"/>
      <c r="K71" s="47"/>
      <c r="L71" s="47"/>
      <c r="M71" s="47"/>
    </row>
    <row r="72" spans="2:13" ht="15" customHeight="1" x14ac:dyDescent="0.3">
      <c r="B72" s="123" t="s">
        <v>287</v>
      </c>
      <c r="C72" s="47"/>
      <c r="D72" s="59">
        <v>25000</v>
      </c>
      <c r="E72" s="47"/>
      <c r="F72" s="47"/>
      <c r="G72" s="47"/>
      <c r="H72" s="47"/>
      <c r="I72" s="47"/>
      <c r="J72" s="47"/>
      <c r="K72" s="47"/>
      <c r="L72" s="47"/>
      <c r="M72" s="47"/>
    </row>
    <row r="73" spans="2:13" ht="15" customHeight="1" x14ac:dyDescent="0.3">
      <c r="B73" s="123" t="s">
        <v>174</v>
      </c>
      <c r="C73" s="47"/>
      <c r="D73" s="59">
        <v>0</v>
      </c>
      <c r="E73" s="47"/>
      <c r="F73" s="47"/>
      <c r="G73" s="47"/>
      <c r="H73" s="47"/>
      <c r="I73" s="47"/>
      <c r="J73" s="47"/>
      <c r="K73" s="47"/>
      <c r="L73" s="47"/>
      <c r="M73" s="47"/>
    </row>
    <row r="74" spans="2:13" ht="15" customHeight="1" x14ac:dyDescent="0.3">
      <c r="B74" s="123" t="s">
        <v>175</v>
      </c>
      <c r="C74" s="47"/>
      <c r="D74" s="126">
        <f>-(D72+D73)*0.21</f>
        <v>-5250</v>
      </c>
      <c r="E74" s="47"/>
      <c r="F74" s="47"/>
      <c r="G74" s="47"/>
      <c r="H74" s="47"/>
      <c r="I74" s="47"/>
      <c r="J74" s="47"/>
      <c r="K74" s="47"/>
      <c r="L74" s="47"/>
      <c r="M74" s="47"/>
    </row>
    <row r="75" spans="2:13" ht="15" customHeight="1" x14ac:dyDescent="0.3">
      <c r="B75" s="174" t="s">
        <v>176</v>
      </c>
      <c r="C75" s="175"/>
      <c r="D75" s="176">
        <f>D69-D72-D73-D74</f>
        <v>1663710</v>
      </c>
      <c r="E75" s="175"/>
      <c r="F75" s="175"/>
      <c r="G75" s="175"/>
      <c r="H75" s="175"/>
      <c r="I75" s="175"/>
      <c r="J75" s="47"/>
      <c r="K75" s="47"/>
      <c r="L75" s="47"/>
      <c r="M75" s="47"/>
    </row>
    <row r="76" spans="2:13" ht="15" customHeight="1" x14ac:dyDescent="0.3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</row>
    <row r="77" spans="2:13" ht="15" customHeight="1" x14ac:dyDescent="0.3">
      <c r="B77" s="50" t="s">
        <v>177</v>
      </c>
      <c r="C77" s="50"/>
      <c r="D77" s="50"/>
      <c r="E77" s="50"/>
      <c r="F77" s="50"/>
      <c r="G77" s="50"/>
      <c r="H77" s="50"/>
      <c r="I77" s="50"/>
    </row>
    <row r="78" spans="2:13" ht="15" customHeight="1" x14ac:dyDescent="0.3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</row>
    <row r="79" spans="2:13" ht="15" customHeight="1" x14ac:dyDescent="0.3">
      <c r="B79" s="51" t="s">
        <v>178</v>
      </c>
      <c r="C79" s="52"/>
      <c r="D79" s="52"/>
      <c r="E79" s="52"/>
      <c r="F79" s="52"/>
      <c r="G79" s="52"/>
      <c r="H79" s="52"/>
      <c r="I79" s="52"/>
      <c r="J79" s="47"/>
      <c r="K79" s="47"/>
      <c r="L79" s="47"/>
      <c r="M79" s="47"/>
    </row>
    <row r="80" spans="2:13" ht="15" customHeight="1" x14ac:dyDescent="0.3">
      <c r="B80" s="123" t="s">
        <v>179</v>
      </c>
      <c r="C80" s="47"/>
      <c r="D80" s="126" cm="1">
        <f t="array" ref="D80">D35</f>
        <v>400000</v>
      </c>
      <c r="E80" s="47"/>
      <c r="F80" s="47"/>
      <c r="G80" s="47"/>
      <c r="H80" s="47"/>
      <c r="I80" s="47"/>
      <c r="J80" s="47"/>
      <c r="K80" s="47"/>
      <c r="L80" s="47"/>
      <c r="M80" s="47"/>
    </row>
    <row r="81" spans="2:13" ht="15" customHeight="1" x14ac:dyDescent="0.3">
      <c r="B81" s="123" t="s">
        <v>180</v>
      </c>
      <c r="C81" s="47"/>
      <c r="D81" s="57">
        <v>5.5E-2</v>
      </c>
      <c r="E81" s="47"/>
      <c r="F81" s="47"/>
      <c r="G81" s="47"/>
      <c r="H81" s="47"/>
      <c r="I81" s="47"/>
      <c r="J81" s="47"/>
      <c r="K81" s="47"/>
      <c r="L81" s="47"/>
      <c r="M81" s="47"/>
    </row>
    <row r="82" spans="2:13" ht="15" customHeight="1" x14ac:dyDescent="0.3">
      <c r="B82" s="123" t="s">
        <v>181</v>
      </c>
      <c r="C82" s="47"/>
      <c r="D82" s="126" cm="1">
        <f t="array" ref="D82">D36</f>
        <v>100000</v>
      </c>
      <c r="E82" s="47"/>
      <c r="F82" s="47"/>
      <c r="G82" s="47"/>
      <c r="H82" s="47"/>
      <c r="I82" s="47"/>
      <c r="J82" s="47"/>
      <c r="K82" s="47"/>
      <c r="L82" s="47"/>
      <c r="M82" s="47"/>
    </row>
    <row r="83" spans="2:13" ht="15" customHeight="1" x14ac:dyDescent="0.3">
      <c r="B83" s="123" t="s">
        <v>182</v>
      </c>
      <c r="C83" s="47"/>
      <c r="D83" s="57">
        <v>6.5000000000000002E-2</v>
      </c>
      <c r="E83" s="47"/>
      <c r="F83" s="47"/>
      <c r="G83" s="47"/>
      <c r="H83" s="47"/>
      <c r="I83" s="47"/>
      <c r="J83" s="47"/>
      <c r="K83" s="47"/>
      <c r="L83" s="47"/>
      <c r="M83" s="47"/>
    </row>
    <row r="84" spans="2:13" ht="15" customHeight="1" x14ac:dyDescent="0.3">
      <c r="B84" s="123" t="s">
        <v>183</v>
      </c>
      <c r="C84" s="47"/>
      <c r="D84" s="57">
        <v>0.05</v>
      </c>
      <c r="E84" s="47"/>
      <c r="F84" s="47"/>
      <c r="G84" s="47"/>
      <c r="H84" s="47"/>
      <c r="I84" s="47"/>
      <c r="J84" s="47"/>
      <c r="K84" s="47"/>
      <c r="L84" s="47"/>
      <c r="M84" s="47"/>
    </row>
    <row r="85" spans="2:13" ht="15" customHeight="1" x14ac:dyDescent="0.3"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</row>
    <row r="86" spans="2:13" ht="15" customHeight="1" x14ac:dyDescent="0.3">
      <c r="B86" s="50" t="s">
        <v>184</v>
      </c>
      <c r="C86" s="50"/>
      <c r="D86" s="50"/>
      <c r="E86" s="50"/>
      <c r="F86" s="50"/>
      <c r="G86" s="50"/>
      <c r="H86" s="50"/>
      <c r="I86" s="50"/>
    </row>
    <row r="87" spans="2:13" ht="15" customHeight="1" x14ac:dyDescent="0.3"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</row>
    <row r="88" spans="2:13" ht="15" customHeight="1" x14ac:dyDescent="0.3">
      <c r="B88" s="51" t="s">
        <v>185</v>
      </c>
      <c r="C88" s="52"/>
      <c r="D88" s="52"/>
      <c r="E88" s="52"/>
      <c r="F88" s="52"/>
      <c r="G88" s="52"/>
      <c r="H88" s="52"/>
      <c r="I88" s="52"/>
      <c r="J88" s="47"/>
      <c r="K88" s="47"/>
      <c r="L88" s="47"/>
      <c r="M88" s="47"/>
    </row>
    <row r="89" spans="2:13" ht="15" customHeight="1" x14ac:dyDescent="0.3">
      <c r="B89" s="123" t="s">
        <v>186</v>
      </c>
      <c r="C89" s="47"/>
      <c r="D89" s="126">
        <f>D72</f>
        <v>25000</v>
      </c>
      <c r="E89" s="47"/>
      <c r="F89" s="47"/>
      <c r="G89" s="47"/>
      <c r="H89" s="47"/>
      <c r="I89" s="47"/>
      <c r="J89" s="47"/>
      <c r="K89" s="47"/>
      <c r="L89" s="47"/>
      <c r="M89" s="47"/>
    </row>
    <row r="90" spans="2:13" ht="15" customHeight="1" x14ac:dyDescent="0.3">
      <c r="B90" s="108" t="s">
        <v>187</v>
      </c>
      <c r="C90" s="47"/>
      <c r="D90" s="58">
        <v>10</v>
      </c>
      <c r="E90" s="47"/>
      <c r="F90" s="47"/>
      <c r="G90" s="47"/>
      <c r="H90" s="47"/>
      <c r="I90" s="47"/>
      <c r="J90" s="47"/>
      <c r="K90" s="47"/>
      <c r="L90" s="47"/>
      <c r="M90" s="47"/>
    </row>
    <row r="91" spans="2:13" ht="15" customHeight="1" x14ac:dyDescent="0.3">
      <c r="B91" s="108" t="s">
        <v>188</v>
      </c>
      <c r="C91" s="47"/>
      <c r="D91" s="126">
        <f>D89/D90</f>
        <v>2500</v>
      </c>
      <c r="E91" s="47"/>
      <c r="F91" s="47"/>
      <c r="G91" s="47"/>
      <c r="H91" s="47"/>
      <c r="I91" s="47"/>
      <c r="J91" s="47"/>
      <c r="K91" s="47"/>
      <c r="L91" s="47"/>
      <c r="M91" s="47"/>
    </row>
    <row r="92" spans="2:13" ht="15" customHeight="1" x14ac:dyDescent="0.3"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</row>
    <row r="93" spans="2:13" ht="15" customHeight="1" x14ac:dyDescent="0.3">
      <c r="B93" s="51" t="s">
        <v>189</v>
      </c>
      <c r="C93" s="52"/>
      <c r="D93" s="52"/>
      <c r="E93" s="52"/>
      <c r="F93" s="52"/>
      <c r="G93" s="52"/>
      <c r="H93" s="52"/>
      <c r="I93" s="52"/>
      <c r="J93" s="47"/>
      <c r="K93" s="47"/>
      <c r="L93" s="47"/>
      <c r="M93" s="47"/>
    </row>
    <row r="94" spans="2:13" ht="15" customHeight="1" x14ac:dyDescent="0.3">
      <c r="B94" s="123" t="s">
        <v>190</v>
      </c>
      <c r="C94" s="47"/>
      <c r="D94" s="61">
        <v>0</v>
      </c>
      <c r="E94" s="47"/>
      <c r="F94" s="47"/>
      <c r="G94" s="47"/>
      <c r="H94" s="47"/>
      <c r="I94" s="47"/>
      <c r="J94" s="47"/>
      <c r="K94" s="47"/>
      <c r="L94" s="47"/>
      <c r="M94" s="47"/>
    </row>
    <row r="95" spans="2:13" ht="15" customHeight="1" x14ac:dyDescent="0.3">
      <c r="B95" s="123" t="s">
        <v>191</v>
      </c>
      <c r="C95" s="47"/>
      <c r="D95" s="57">
        <v>0.21</v>
      </c>
      <c r="E95" s="47"/>
      <c r="F95" s="47"/>
      <c r="G95" s="47"/>
      <c r="H95" s="47"/>
      <c r="I95" s="47"/>
      <c r="J95" s="47"/>
      <c r="K95" s="47"/>
      <c r="L95" s="47"/>
      <c r="M95" s="47"/>
    </row>
  </sheetData>
  <pageMargins left="0.7" right="0.7" top="0.75" bottom="0.75" header="0.3" footer="0.3"/>
  <pageSetup scale="58" fitToHeight="0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sheetPr>
    <tabColor rgb="FF1F3864"/>
  </sheetPr>
  <dimension ref="B2:J51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6.69921875" style="1" customWidth="1"/>
    <col min="3" max="3" width="2.5" style="1" customWidth="1"/>
    <col min="4" max="8" width="11.19921875" style="1" customWidth="1"/>
    <col min="9" max="16384" width="7.69921875" style="1"/>
  </cols>
  <sheetData>
    <row r="2" spans="2:10" ht="15" customHeight="1" x14ac:dyDescent="0.3">
      <c r="B2" s="121" t="s">
        <v>192</v>
      </c>
      <c r="C2" s="47"/>
      <c r="D2" s="47"/>
      <c r="E2" s="47"/>
      <c r="F2" s="47"/>
      <c r="G2" s="47"/>
      <c r="H2" s="47"/>
      <c r="I2" s="47"/>
      <c r="J2" s="47"/>
    </row>
    <row r="3" spans="2:10" ht="15" customHeight="1" x14ac:dyDescent="0.3">
      <c r="B3" s="129" t="s">
        <v>43</v>
      </c>
      <c r="C3" s="47"/>
      <c r="D3" s="47"/>
      <c r="E3" s="47"/>
      <c r="F3" s="47"/>
      <c r="G3" s="47"/>
      <c r="H3" s="47"/>
      <c r="I3" s="47"/>
      <c r="J3" s="47"/>
    </row>
    <row r="4" spans="2:10" ht="15" customHeight="1" thickBot="1" x14ac:dyDescent="0.35">
      <c r="B4" s="47"/>
      <c r="C4" s="47"/>
      <c r="D4" s="47"/>
      <c r="E4" s="47"/>
      <c r="F4" s="47"/>
      <c r="G4" s="47"/>
      <c r="H4" s="47"/>
      <c r="I4" s="47"/>
      <c r="J4" s="47"/>
    </row>
    <row r="5" spans="2:10" ht="15" customHeight="1" x14ac:dyDescent="0.3">
      <c r="B5" s="50" t="s">
        <v>193</v>
      </c>
      <c r="C5" s="50"/>
      <c r="D5" s="50"/>
      <c r="E5" s="50"/>
      <c r="F5" s="50"/>
      <c r="G5" s="50"/>
      <c r="H5" s="50"/>
    </row>
    <row r="6" spans="2:10" ht="15" customHeight="1" x14ac:dyDescent="0.3">
      <c r="B6" s="47"/>
      <c r="C6" s="47"/>
      <c r="D6" s="47"/>
      <c r="E6" s="47"/>
      <c r="F6" s="47"/>
      <c r="G6" s="47"/>
      <c r="H6" s="47"/>
      <c r="I6" s="47"/>
      <c r="J6" s="47"/>
    </row>
    <row r="7" spans="2:10" ht="15" customHeight="1" x14ac:dyDescent="0.3">
      <c r="B7" s="130" t="s">
        <v>194</v>
      </c>
      <c r="C7" s="47"/>
      <c r="D7" s="66">
        <f>'Deal Inputs'!$D$21</f>
        <v>1825200</v>
      </c>
      <c r="E7" s="47"/>
      <c r="F7" s="47"/>
      <c r="G7" s="47"/>
      <c r="H7" s="47"/>
      <c r="I7" s="47"/>
      <c r="J7" s="47"/>
    </row>
    <row r="8" spans="2:10" ht="15" customHeight="1" x14ac:dyDescent="0.3">
      <c r="B8" s="130" t="s">
        <v>195</v>
      </c>
      <c r="C8" s="47"/>
      <c r="D8" s="66">
        <f>'Deal Inputs'!$D$26</f>
        <v>912600</v>
      </c>
      <c r="E8" s="47"/>
      <c r="F8" s="47"/>
      <c r="G8" s="47"/>
      <c r="H8" s="47"/>
      <c r="I8" s="47"/>
      <c r="J8" s="47"/>
    </row>
    <row r="9" spans="2:10" ht="15" customHeight="1" x14ac:dyDescent="0.3">
      <c r="B9" s="130" t="s">
        <v>196</v>
      </c>
      <c r="C9" s="47"/>
      <c r="D9" s="66">
        <f>'Deal Inputs'!$D$27</f>
        <v>912600</v>
      </c>
      <c r="E9" s="47"/>
      <c r="F9" s="47"/>
      <c r="G9" s="47"/>
      <c r="H9" s="47"/>
      <c r="I9" s="47"/>
      <c r="J9" s="47"/>
    </row>
    <row r="10" spans="2:10" ht="15" customHeight="1" x14ac:dyDescent="0.3">
      <c r="B10" s="184" t="s">
        <v>197</v>
      </c>
      <c r="C10" s="175"/>
      <c r="D10" s="185">
        <f>'Deal Inputs'!$D$35+'Deal Inputs'!$D$36</f>
        <v>500000</v>
      </c>
      <c r="E10" s="175"/>
      <c r="F10" s="175"/>
      <c r="G10" s="175"/>
      <c r="H10" s="175"/>
      <c r="I10" s="47"/>
      <c r="J10" s="47"/>
    </row>
    <row r="11" spans="2:10" ht="15" customHeight="1" x14ac:dyDescent="0.3">
      <c r="B11" s="130" t="s">
        <v>198</v>
      </c>
      <c r="C11" s="47"/>
      <c r="D11" s="66">
        <f>'Deal Inputs'!$D$75</f>
        <v>1663710</v>
      </c>
      <c r="E11" s="47"/>
      <c r="F11" s="47"/>
      <c r="G11" s="47"/>
      <c r="H11" s="47"/>
      <c r="I11" s="47"/>
      <c r="J11" s="47"/>
    </row>
    <row r="12" spans="2:10" ht="15" customHeight="1" thickBot="1" x14ac:dyDescent="0.35">
      <c r="B12" s="47"/>
      <c r="C12" s="47"/>
      <c r="D12" s="47"/>
      <c r="E12" s="47"/>
      <c r="F12" s="47"/>
      <c r="G12" s="47"/>
      <c r="H12" s="47"/>
      <c r="I12" s="47"/>
      <c r="J12" s="47"/>
    </row>
    <row r="13" spans="2:10" ht="15" customHeight="1" thickBot="1" x14ac:dyDescent="0.35">
      <c r="B13" s="50" t="s">
        <v>199</v>
      </c>
      <c r="C13" s="50"/>
      <c r="D13" s="50"/>
      <c r="E13" s="50"/>
      <c r="F13" s="50"/>
      <c r="G13" s="50"/>
      <c r="H13" s="50"/>
    </row>
    <row r="14" spans="2:10" ht="15" customHeight="1" x14ac:dyDescent="0.3">
      <c r="B14" s="47"/>
      <c r="C14" s="47"/>
      <c r="D14" s="47"/>
      <c r="E14" s="47"/>
      <c r="F14" s="47"/>
      <c r="G14" s="47"/>
      <c r="H14" s="47"/>
      <c r="I14" s="47"/>
      <c r="J14" s="47"/>
    </row>
    <row r="15" spans="2:10" ht="15" customHeight="1" x14ac:dyDescent="0.3">
      <c r="B15" s="130" t="s">
        <v>200</v>
      </c>
      <c r="C15" s="47"/>
      <c r="D15" s="131">
        <v>2024</v>
      </c>
      <c r="E15" s="131">
        <v>2025</v>
      </c>
      <c r="F15" s="131">
        <v>2026</v>
      </c>
      <c r="G15" s="131">
        <v>2027</v>
      </c>
      <c r="H15" s="131">
        <v>2028</v>
      </c>
      <c r="I15" s="47"/>
      <c r="J15" s="47"/>
    </row>
    <row r="16" spans="2:10" ht="15" customHeight="1" x14ac:dyDescent="0.3">
      <c r="B16" s="47"/>
      <c r="C16" s="47"/>
      <c r="D16" s="47"/>
      <c r="E16" s="47"/>
      <c r="F16" s="47"/>
      <c r="G16" s="47"/>
      <c r="H16" s="47"/>
      <c r="I16" s="47"/>
      <c r="J16" s="47"/>
    </row>
    <row r="17" spans="2:10" ht="15" customHeight="1" x14ac:dyDescent="0.3">
      <c r="B17" s="65" t="s">
        <v>201</v>
      </c>
      <c r="C17" s="52"/>
      <c r="D17" s="52"/>
      <c r="E17" s="52"/>
      <c r="F17" s="52"/>
      <c r="G17" s="52"/>
      <c r="H17" s="52"/>
      <c r="I17" s="47"/>
      <c r="J17" s="47"/>
    </row>
    <row r="18" spans="2:10" ht="15" customHeight="1" x14ac:dyDescent="0.3">
      <c r="B18" s="123" t="s">
        <v>202</v>
      </c>
      <c r="C18" s="47"/>
      <c r="D18" s="66">
        <f>'Google Model'!F$16</f>
        <v>292008.95499999996</v>
      </c>
      <c r="E18" s="66">
        <f>'Google Model'!G$16</f>
        <v>320857.35787499999</v>
      </c>
      <c r="F18" s="66">
        <f>'Google Model'!H$16</f>
        <v>349262.74479937501</v>
      </c>
      <c r="G18" s="66">
        <f>'Google Model'!I$16</f>
        <v>377287.31406996556</v>
      </c>
      <c r="H18" s="66">
        <f>'Google Model'!J$16</f>
        <v>405460.91515076387</v>
      </c>
      <c r="I18" s="47"/>
      <c r="J18" s="47"/>
    </row>
    <row r="19" spans="2:10" ht="15" customHeight="1" x14ac:dyDescent="0.3">
      <c r="B19" s="123" t="s">
        <v>203</v>
      </c>
      <c r="C19" s="47"/>
      <c r="D19" s="66">
        <f>'Meta Model'!F$14</f>
        <v>151084.13793103449</v>
      </c>
      <c r="E19" s="66">
        <f>'Meta Model'!G$14</f>
        <v>167723.49641760494</v>
      </c>
      <c r="F19" s="66">
        <f>'Meta Model'!H$14</f>
        <v>183671.95636363639</v>
      </c>
      <c r="G19" s="66">
        <f>'Meta Model'!I$14</f>
        <v>199300.35223357668</v>
      </c>
      <c r="H19" s="66">
        <f>'Meta Model'!J$14</f>
        <v>215271.65309204216</v>
      </c>
      <c r="I19" s="47"/>
      <c r="J19" s="47"/>
    </row>
    <row r="20" spans="2:10" ht="15" customHeight="1" x14ac:dyDescent="0.3">
      <c r="B20" s="123" t="s">
        <v>204</v>
      </c>
      <c r="C20" s="47"/>
      <c r="D20" s="66">
        <f>'Deal Inputs'!D$47</f>
        <v>3500</v>
      </c>
      <c r="E20" s="67">
        <f>'Deal Inputs'!E$47</f>
        <v>8000</v>
      </c>
      <c r="F20" s="66">
        <f>'Deal Inputs'!F$47</f>
        <v>12500</v>
      </c>
      <c r="G20" s="66">
        <f>'Deal Inputs'!G$47</f>
        <v>15000</v>
      </c>
      <c r="H20" s="66">
        <f>'Deal Inputs'!H$47</f>
        <v>17500</v>
      </c>
      <c r="I20" s="47"/>
      <c r="J20" s="47"/>
    </row>
    <row r="21" spans="2:10" ht="15" customHeight="1" x14ac:dyDescent="0.3">
      <c r="B21" s="186" t="s">
        <v>205</v>
      </c>
      <c r="C21" s="187"/>
      <c r="D21" s="188">
        <f>SUM(D18:D20)</f>
        <v>446593.09293103445</v>
      </c>
      <c r="E21" s="188">
        <f>SUM(E18:E20)</f>
        <v>496580.85429260496</v>
      </c>
      <c r="F21" s="188">
        <f>SUM(F18:F20)</f>
        <v>545434.70116301137</v>
      </c>
      <c r="G21" s="188">
        <f>SUM(G18:G20)</f>
        <v>591587.66630354221</v>
      </c>
      <c r="H21" s="188">
        <f>SUM(H18:H20)</f>
        <v>638232.56824280601</v>
      </c>
      <c r="I21" s="47"/>
      <c r="J21" s="47"/>
    </row>
    <row r="22" spans="2:10" ht="15" customHeight="1" x14ac:dyDescent="0.3">
      <c r="B22" s="47"/>
      <c r="C22" s="47"/>
      <c r="D22" s="47"/>
      <c r="E22" s="47"/>
      <c r="F22" s="47"/>
      <c r="G22" s="47"/>
      <c r="H22" s="47"/>
      <c r="I22" s="47"/>
      <c r="J22" s="47"/>
    </row>
    <row r="23" spans="2:10" ht="15" customHeight="1" x14ac:dyDescent="0.3">
      <c r="B23" s="65" t="s">
        <v>46</v>
      </c>
      <c r="C23" s="52"/>
      <c r="D23" s="52"/>
      <c r="E23" s="52"/>
      <c r="F23" s="52"/>
      <c r="G23" s="52"/>
      <c r="H23" s="52"/>
      <c r="I23" s="47"/>
      <c r="J23" s="47"/>
    </row>
    <row r="24" spans="2:10" ht="15" customHeight="1" x14ac:dyDescent="0.3">
      <c r="B24" s="123" t="s">
        <v>206</v>
      </c>
      <c r="C24" s="47"/>
      <c r="D24" s="66">
        <f>'Google Model'!F$32+'Meta Model'!F$17</f>
        <v>161490.09184000001</v>
      </c>
      <c r="E24" s="66">
        <f>'Google Model'!G$32+'Meta Model'!G$17</f>
        <v>176814.80439218864</v>
      </c>
      <c r="F24" s="66">
        <f>'Google Model'!H$32+'Meta Model'!H$17</f>
        <v>191623.37800728617</v>
      </c>
      <c r="G24" s="66">
        <f>'Google Model'!I$32+'Meta Model'!I$17</f>
        <v>206023.16220893938</v>
      </c>
      <c r="H24" s="66">
        <f>'Google Model'!J$32+'Meta Model'!J$17</f>
        <v>220380.77501928434</v>
      </c>
      <c r="I24" s="47"/>
      <c r="J24" s="47"/>
    </row>
    <row r="25" spans="2:10" ht="15" customHeight="1" x14ac:dyDescent="0.3">
      <c r="B25" s="123" t="s">
        <v>207</v>
      </c>
      <c r="C25" s="47"/>
      <c r="D25" s="66">
        <f>-'Deal Inputs'!D$50</f>
        <v>-3000</v>
      </c>
      <c r="E25" s="66">
        <f>-'Deal Inputs'!E$50</f>
        <v>-5000</v>
      </c>
      <c r="F25" s="66">
        <f>-'Deal Inputs'!F$50</f>
        <v>-7000</v>
      </c>
      <c r="G25" s="66">
        <f>-'Deal Inputs'!G$50</f>
        <v>-8000</v>
      </c>
      <c r="H25" s="66">
        <f>-'Deal Inputs'!H$50</f>
        <v>-8500</v>
      </c>
      <c r="I25" s="47"/>
      <c r="J25" s="47"/>
    </row>
    <row r="26" spans="2:10" ht="15" customHeight="1" x14ac:dyDescent="0.3">
      <c r="B26" s="189" t="s">
        <v>48</v>
      </c>
      <c r="C26" s="175"/>
      <c r="D26" s="176">
        <f>D21-D24-D25</f>
        <v>288103.00109103444</v>
      </c>
      <c r="E26" s="176">
        <f>E21-E24-E25</f>
        <v>324766.04990041628</v>
      </c>
      <c r="F26" s="176">
        <f>F21-F24-F25</f>
        <v>360811.3231557252</v>
      </c>
      <c r="G26" s="176">
        <f>G21-G24-G25</f>
        <v>393564.50409460283</v>
      </c>
      <c r="H26" s="176">
        <f>H21-H24-H25</f>
        <v>426351.79322352167</v>
      </c>
      <c r="I26" s="47"/>
      <c r="J26" s="47"/>
    </row>
    <row r="27" spans="2:10" ht="15" customHeight="1" x14ac:dyDescent="0.3">
      <c r="B27" s="47"/>
      <c r="C27" s="47"/>
      <c r="D27" s="63"/>
      <c r="E27" s="63"/>
      <c r="F27" s="63"/>
      <c r="G27" s="63"/>
      <c r="H27" s="63"/>
      <c r="I27" s="47"/>
      <c r="J27" s="47"/>
    </row>
    <row r="28" spans="2:10" ht="15" customHeight="1" x14ac:dyDescent="0.3">
      <c r="B28" s="123" t="s">
        <v>208</v>
      </c>
      <c r="C28" s="47"/>
      <c r="D28" s="66">
        <f>'Google Model'!F$36+'Meta Model'!F$21</f>
        <v>84816.259875344826</v>
      </c>
      <c r="E28" s="66">
        <f>'Google Model'!G$36+'Meta Model'!G$21</f>
        <v>91882.609099429392</v>
      </c>
      <c r="F28" s="66">
        <f>'Google Model'!H$36+'Meta Model'!H$21</f>
        <v>98708.046782313759</v>
      </c>
      <c r="G28" s="66">
        <f>'Google Model'!I$36+'Meta Model'!I$21</f>
        <v>104744.88250251106</v>
      </c>
      <c r="H28" s="66">
        <f>'Google Model'!J$36+'Meta Model'!J$21</f>
        <v>110973.28978444278</v>
      </c>
      <c r="I28" s="47"/>
      <c r="J28" s="47"/>
    </row>
    <row r="29" spans="2:10" ht="15" customHeight="1" x14ac:dyDescent="0.3">
      <c r="B29" s="123" t="s">
        <v>209</v>
      </c>
      <c r="C29" s="47"/>
      <c r="D29" s="66">
        <f>-'Deal Inputs'!D$51</f>
        <v>-2000</v>
      </c>
      <c r="E29" s="66">
        <f>-'Deal Inputs'!E$51</f>
        <v>-3500</v>
      </c>
      <c r="F29" s="66">
        <f>-'Deal Inputs'!F$51</f>
        <v>-4500</v>
      </c>
      <c r="G29" s="66">
        <f>-'Deal Inputs'!G$51</f>
        <v>-5000</v>
      </c>
      <c r="H29" s="66">
        <f>-'Deal Inputs'!H$51</f>
        <v>-5500</v>
      </c>
      <c r="I29" s="47"/>
      <c r="J29" s="47"/>
    </row>
    <row r="30" spans="2:10" ht="15" customHeight="1" x14ac:dyDescent="0.3">
      <c r="B30" s="123" t="s">
        <v>210</v>
      </c>
      <c r="C30" s="47"/>
      <c r="D30" s="66">
        <f>'Google Model'!F$37+'Meta Model'!F$22</f>
        <v>49546.457516379305</v>
      </c>
      <c r="E30" s="66">
        <f>'Google Model'!G$37+'Meta Model'!G$22</f>
        <v>53175.12743123759</v>
      </c>
      <c r="F30" s="66">
        <f>'Google Model'!H$37+'Meta Model'!H$22</f>
        <v>56048.549461755683</v>
      </c>
      <c r="G30" s="66">
        <f>'Google Model'!I$37+'Meta Model'!I$22</f>
        <v>58897.195524550058</v>
      </c>
      <c r="H30" s="66">
        <f>'Google Model'!J$37+'Meta Model'!J$22</f>
        <v>61122.310513986995</v>
      </c>
      <c r="I30" s="47"/>
      <c r="J30" s="47"/>
    </row>
    <row r="31" spans="2:10" ht="15" customHeight="1" x14ac:dyDescent="0.3">
      <c r="B31" s="123" t="s">
        <v>211</v>
      </c>
      <c r="C31" s="47"/>
      <c r="D31" s="66">
        <f>-'Deal Inputs'!D$53</f>
        <v>-1000</v>
      </c>
      <c r="E31" s="66">
        <f>-'Deal Inputs'!E$53</f>
        <v>-2000</v>
      </c>
      <c r="F31" s="66">
        <f>-'Deal Inputs'!F$53</f>
        <v>-2500</v>
      </c>
      <c r="G31" s="66">
        <f>-'Deal Inputs'!G$53</f>
        <v>-2800</v>
      </c>
      <c r="H31" s="66">
        <f>-'Deal Inputs'!H$53</f>
        <v>-3000</v>
      </c>
      <c r="I31" s="47"/>
      <c r="J31" s="47"/>
    </row>
    <row r="32" spans="2:10" ht="15" customHeight="1" x14ac:dyDescent="0.3">
      <c r="B32" s="123" t="s">
        <v>212</v>
      </c>
      <c r="C32" s="47"/>
      <c r="D32" s="66">
        <f>'Google Model'!F$38+'Meta Model'!F$23</f>
        <v>34723.810382413794</v>
      </c>
      <c r="E32" s="66">
        <f>'Google Model'!G$38+'Meta Model'!G$23</f>
        <v>36862.408596348512</v>
      </c>
      <c r="F32" s="66">
        <f>'Google Model'!H$38+'Meta Model'!H$23</f>
        <v>38624.434834727392</v>
      </c>
      <c r="G32" s="66">
        <f>'Google Model'!I$38+'Meta Model'!I$23</f>
        <v>40438.91036417782</v>
      </c>
      <c r="H32" s="66">
        <f>'Google Model'!J$38+'Meta Model'!J$23</f>
        <v>41674.799111575805</v>
      </c>
      <c r="I32" s="47"/>
      <c r="J32" s="47"/>
    </row>
    <row r="33" spans="2:10" ht="15" customHeight="1" x14ac:dyDescent="0.3">
      <c r="B33" s="123" t="s">
        <v>213</v>
      </c>
      <c r="C33" s="47"/>
      <c r="D33" s="66">
        <f>-'Deal Inputs'!D$52</f>
        <v>-1500</v>
      </c>
      <c r="E33" s="66">
        <f>-'Deal Inputs'!E$52</f>
        <v>-2500</v>
      </c>
      <c r="F33" s="66">
        <f>-'Deal Inputs'!F$52</f>
        <v>-3000</v>
      </c>
      <c r="G33" s="66">
        <f>-'Deal Inputs'!G$52</f>
        <v>-3200</v>
      </c>
      <c r="H33" s="66">
        <f>-'Deal Inputs'!H$52</f>
        <v>-3400</v>
      </c>
      <c r="I33" s="47"/>
      <c r="J33" s="47"/>
    </row>
    <row r="34" spans="2:10" ht="15" customHeight="1" x14ac:dyDescent="0.3">
      <c r="B34" s="123" t="s">
        <v>222</v>
      </c>
      <c r="C34" s="47"/>
      <c r="D34" s="66">
        <f>'Google Model'!F$39+'Meta Model'!F$24</f>
        <v>44360.105897413792</v>
      </c>
      <c r="E34" s="66">
        <f>'Google Model'!G$39+'Meta Model'!G$24</f>
        <v>47450.701406223525</v>
      </c>
      <c r="F34" s="66">
        <f>'Google Model'!H$39+'Meta Model'!H$24</f>
        <v>49800.842668307392</v>
      </c>
      <c r="G34" s="66">
        <f>'Google Model'!I$39+'Meta Model'!I$24</f>
        <v>52134.817100346758</v>
      </c>
      <c r="H34" s="66">
        <f>'Google Model'!J$39+'Meta Model'!J$24</f>
        <v>53838.626566098726</v>
      </c>
      <c r="I34" s="47"/>
      <c r="J34" s="47"/>
    </row>
    <row r="35" spans="2:10" ht="15" customHeight="1" x14ac:dyDescent="0.3">
      <c r="B35" s="123" t="s">
        <v>214</v>
      </c>
      <c r="C35" s="47"/>
      <c r="D35" s="66">
        <f>-'Deal Inputs'!D$60</f>
        <v>6000</v>
      </c>
      <c r="E35" s="66">
        <f>-'Deal Inputs'!E$60</f>
        <v>4300</v>
      </c>
      <c r="F35" s="66">
        <f>-'Deal Inputs'!F$60</f>
        <v>2500</v>
      </c>
      <c r="G35" s="66">
        <f>-'Deal Inputs'!G$60</f>
        <v>1300</v>
      </c>
      <c r="H35" s="66">
        <f>-'Deal Inputs'!H$60</f>
        <v>200</v>
      </c>
      <c r="I35" s="47"/>
      <c r="J35" s="47"/>
    </row>
    <row r="36" spans="2:10" ht="15" customHeight="1" x14ac:dyDescent="0.3">
      <c r="B36" s="123" t="s">
        <v>288</v>
      </c>
      <c r="C36" s="47"/>
      <c r="D36" s="66">
        <f>'Deal Inputs'!$D$91</f>
        <v>2500</v>
      </c>
      <c r="E36" s="66">
        <f>'Deal Inputs'!$D$91</f>
        <v>2500</v>
      </c>
      <c r="F36" s="66">
        <f>'Deal Inputs'!$D$91</f>
        <v>2500</v>
      </c>
      <c r="G36" s="66">
        <f>'Deal Inputs'!$D$91</f>
        <v>2500</v>
      </c>
      <c r="H36" s="66">
        <f>'Deal Inputs'!$D$91</f>
        <v>2500</v>
      </c>
      <c r="I36" s="47"/>
      <c r="J36" s="47"/>
    </row>
    <row r="37" spans="2:10" ht="15" customHeight="1" x14ac:dyDescent="0.3">
      <c r="B37" s="48"/>
      <c r="C37" s="47"/>
      <c r="D37" s="62"/>
      <c r="E37" s="62"/>
      <c r="F37" s="62"/>
      <c r="G37" s="62"/>
      <c r="H37" s="62"/>
      <c r="I37" s="47"/>
      <c r="J37" s="47"/>
    </row>
    <row r="38" spans="2:10" ht="15" customHeight="1" x14ac:dyDescent="0.3">
      <c r="B38" s="189" t="s">
        <v>215</v>
      </c>
      <c r="C38" s="175"/>
      <c r="D38" s="176">
        <f>D26-SUM(D28:D36)</f>
        <v>70656.367419482733</v>
      </c>
      <c r="E38" s="176">
        <f>E26-SUM(E28:E36)</f>
        <v>96595.203367177251</v>
      </c>
      <c r="F38" s="176">
        <f>F26-SUM(F28:F36)</f>
        <v>122629.44940862097</v>
      </c>
      <c r="G38" s="176">
        <f>G26-SUM(G28:G36)</f>
        <v>144548.69860301711</v>
      </c>
      <c r="H38" s="176">
        <f>H26-SUM(H28:H36)</f>
        <v>167942.76724741736</v>
      </c>
      <c r="I38" s="47"/>
      <c r="J38" s="47"/>
    </row>
    <row r="39" spans="2:10" ht="15" customHeight="1" x14ac:dyDescent="0.3">
      <c r="B39" s="47"/>
      <c r="C39" s="47"/>
      <c r="D39" s="49"/>
      <c r="E39" s="49"/>
      <c r="F39" s="49"/>
      <c r="G39" s="49"/>
      <c r="H39" s="49"/>
      <c r="I39" s="47"/>
      <c r="J39" s="47"/>
    </row>
    <row r="40" spans="2:10" ht="15" customHeight="1" x14ac:dyDescent="0.3">
      <c r="B40" s="123" t="s">
        <v>273</v>
      </c>
      <c r="C40" s="47"/>
      <c r="D40" s="66">
        <f ca="1">-('Google Model'!F$45+'Meta Model'!F$30)</f>
        <v>-5041.3390856790465</v>
      </c>
      <c r="E40" s="66">
        <f ca="1">-('Google Model'!G$45+'Meta Model'!G$30)</f>
        <v>-5098.8169002360064</v>
      </c>
      <c r="F40" s="66">
        <f ca="1">-('Google Model'!H$45+'Meta Model'!H$30)</f>
        <v>-5114.2294198475702</v>
      </c>
      <c r="G40" s="66">
        <f ca="1">-('Google Model'!I$45+'Meta Model'!I$30)</f>
        <v>-6251.3080525562091</v>
      </c>
      <c r="H40" s="66">
        <f ca="1">-('Google Model'!J$45+'Meta Model'!J$30)</f>
        <v>-5954.8289375319309</v>
      </c>
      <c r="I40" s="47"/>
      <c r="J40" s="47"/>
    </row>
    <row r="41" spans="2:10" ht="15" customHeight="1" x14ac:dyDescent="0.3">
      <c r="B41" s="123" t="s">
        <v>272</v>
      </c>
      <c r="C41" s="47"/>
      <c r="D41" s="66">
        <f>(('Deal Inputs'!$D$80*((1-'Deal Inputs'!$D$84)^(D$15-$D$15)))*'Deal Inputs'!$D$81)+(('Deal Inputs'!$D$82*((1-'Deal Inputs'!$D$84)^(D$15-$D$15)))*'Deal Inputs'!$D$83)</f>
        <v>28500</v>
      </c>
      <c r="E41" s="66">
        <f>(('Deal Inputs'!$D$80*((1-'Deal Inputs'!$D$84)^(E$15-$D$15)))*'Deal Inputs'!$D$81)+(('Deal Inputs'!$D$82*((1-'Deal Inputs'!$D$84)^(E$15-$D$15)))*'Deal Inputs'!$D$83)</f>
        <v>27075</v>
      </c>
      <c r="F41" s="66">
        <f>(('Deal Inputs'!$D$80*((1-'Deal Inputs'!$D$84)^(F$15-$D$15)))*'Deal Inputs'!$D$81)+(('Deal Inputs'!$D$82*((1-'Deal Inputs'!$D$84)^(F$15-$D$15)))*'Deal Inputs'!$D$83)</f>
        <v>25721.25</v>
      </c>
      <c r="G41" s="66">
        <f>(('Deal Inputs'!$D$80*((1-'Deal Inputs'!$D$84)^(G$15-$D$15)))*'Deal Inputs'!$D$81)+(('Deal Inputs'!$D$82*((1-'Deal Inputs'!$D$84)^(G$15-$D$15)))*'Deal Inputs'!$D$83)</f>
        <v>24435.187499999996</v>
      </c>
      <c r="H41" s="66">
        <f>(('Deal Inputs'!$D$80*((1-'Deal Inputs'!$D$84)^(H$15-$D$15)))*'Deal Inputs'!$D$81)+(('Deal Inputs'!$D$82*((1-'Deal Inputs'!$D$84)^(H$15-$D$15)))*'Deal Inputs'!$D$83)</f>
        <v>23213.428125000002</v>
      </c>
      <c r="I41" s="47"/>
      <c r="J41" s="47"/>
    </row>
    <row r="42" spans="2:10" ht="15" customHeight="1" x14ac:dyDescent="0.3">
      <c r="B42" s="189" t="s">
        <v>216</v>
      </c>
      <c r="C42" s="175"/>
      <c r="D42" s="176">
        <f ca="1">D38-D40-D41</f>
        <v>47197.706505161783</v>
      </c>
      <c r="E42" s="176">
        <f ca="1">E38-E40-E41</f>
        <v>74619.02026741326</v>
      </c>
      <c r="F42" s="176">
        <f ca="1">F38-F40-F41</f>
        <v>102022.42882846855</v>
      </c>
      <c r="G42" s="176">
        <f ca="1">G38-G40-G41</f>
        <v>126364.81915557332</v>
      </c>
      <c r="H42" s="176">
        <f ca="1">H38-H40-H41</f>
        <v>150684.1680599493</v>
      </c>
      <c r="I42" s="47"/>
      <c r="J42" s="47"/>
    </row>
    <row r="43" spans="2:10" ht="15" customHeight="1" x14ac:dyDescent="0.3">
      <c r="B43" s="123" t="s">
        <v>217</v>
      </c>
      <c r="C43" s="47"/>
      <c r="D43" s="66">
        <f ca="1">D42*'Deal Inputs'!$D$95</f>
        <v>9911.5183660839739</v>
      </c>
      <c r="E43" s="66">
        <f ca="1">E42*'Deal Inputs'!$D$95</f>
        <v>15669.994256156784</v>
      </c>
      <c r="F43" s="66">
        <f ca="1">F42*'Deal Inputs'!$D$95</f>
        <v>21424.710053978393</v>
      </c>
      <c r="G43" s="66">
        <f ca="1">G42*'Deal Inputs'!$D$95</f>
        <v>26536.612022670397</v>
      </c>
      <c r="H43" s="66">
        <f ca="1">H42*'Deal Inputs'!$D$95</f>
        <v>31643.675292589352</v>
      </c>
      <c r="I43" s="47"/>
      <c r="J43" s="47"/>
    </row>
    <row r="44" spans="2:10" ht="15" customHeight="1" x14ac:dyDescent="0.3">
      <c r="B44" s="47"/>
      <c r="C44" s="47"/>
      <c r="D44" s="63"/>
      <c r="E44" s="63"/>
      <c r="F44" s="63"/>
      <c r="G44" s="63"/>
      <c r="H44" s="63"/>
      <c r="I44" s="47"/>
      <c r="J44" s="47"/>
    </row>
    <row r="45" spans="2:10" ht="15" customHeight="1" thickBot="1" x14ac:dyDescent="0.35">
      <c r="B45" s="190" t="s">
        <v>55</v>
      </c>
      <c r="C45" s="191"/>
      <c r="D45" s="192">
        <f ca="1">D42-D43</f>
        <v>37286.188139077807</v>
      </c>
      <c r="E45" s="192">
        <f ca="1">E42-E43</f>
        <v>58949.026011256472</v>
      </c>
      <c r="F45" s="192">
        <f ca="1">F42-F43</f>
        <v>80597.718774490146</v>
      </c>
      <c r="G45" s="192">
        <f ca="1">G42-G43</f>
        <v>99828.207132902928</v>
      </c>
      <c r="H45" s="192">
        <f ca="1">H42-H43</f>
        <v>119040.49276735994</v>
      </c>
      <c r="I45" s="47"/>
      <c r="J45" s="47"/>
    </row>
    <row r="46" spans="2:10" ht="15" customHeight="1" thickTop="1" x14ac:dyDescent="0.3">
      <c r="B46" s="47"/>
      <c r="C46" s="47"/>
      <c r="D46" s="47"/>
      <c r="E46" s="47"/>
      <c r="F46" s="47"/>
      <c r="G46" s="47"/>
      <c r="H46" s="47"/>
      <c r="I46" s="47"/>
      <c r="J46" s="47"/>
    </row>
    <row r="47" spans="2:10" ht="15" customHeight="1" x14ac:dyDescent="0.3">
      <c r="B47" s="64" t="s">
        <v>218</v>
      </c>
      <c r="C47" s="64"/>
      <c r="D47" s="64"/>
      <c r="E47" s="64"/>
      <c r="F47" s="64"/>
      <c r="G47" s="64"/>
      <c r="H47" s="64"/>
      <c r="I47" s="47"/>
      <c r="J47" s="47"/>
    </row>
    <row r="48" spans="2:10" ht="15" customHeight="1" x14ac:dyDescent="0.3">
      <c r="B48" s="47"/>
      <c r="C48" s="47"/>
      <c r="D48" s="47"/>
      <c r="E48" s="47"/>
      <c r="F48" s="47"/>
      <c r="G48" s="47"/>
      <c r="H48" s="47"/>
      <c r="I48" s="47"/>
      <c r="J48" s="47"/>
    </row>
    <row r="49" spans="2:10" ht="15" customHeight="1" x14ac:dyDescent="0.3">
      <c r="B49" s="132" t="s">
        <v>219</v>
      </c>
      <c r="C49" s="47"/>
      <c r="D49" s="68">
        <f>'Google Model'!F$55+'Deal Inputs'!$D$29</f>
        <v>17614.857142857145</v>
      </c>
      <c r="E49" s="68">
        <f>'Google Model'!G$55+'Deal Inputs'!$D$29</f>
        <v>17414.857142857145</v>
      </c>
      <c r="F49" s="68">
        <f>'Google Model'!H$55+'Deal Inputs'!$D$29</f>
        <v>17214.857142857145</v>
      </c>
      <c r="G49" s="68">
        <f>'Google Model'!I$55+'Deal Inputs'!$D$29</f>
        <v>17014.857142857145</v>
      </c>
      <c r="H49" s="68">
        <f>'Google Model'!J$55+'Deal Inputs'!$D$29</f>
        <v>16814.857142857145</v>
      </c>
      <c r="I49" s="47"/>
      <c r="J49" s="47"/>
    </row>
    <row r="50" spans="2:10" ht="15" customHeight="1" x14ac:dyDescent="0.3">
      <c r="B50" s="193" t="s">
        <v>220</v>
      </c>
      <c r="C50" s="175"/>
      <c r="D50" s="194">
        <f ca="1">D45/D49</f>
        <v>2.1167465530197287</v>
      </c>
      <c r="E50" s="194">
        <f ca="1">E45/E49</f>
        <v>3.3849847591448619</v>
      </c>
      <c r="F50" s="194">
        <f ca="1">F45/F49</f>
        <v>4.6818697422610951</v>
      </c>
      <c r="G50" s="194">
        <f ca="1">G45/G49</f>
        <v>5.8671199114246404</v>
      </c>
      <c r="H50" s="194">
        <f ca="1">H45/H49</f>
        <v>7.0794828499585361</v>
      </c>
      <c r="I50" s="47"/>
      <c r="J50" s="47"/>
    </row>
    <row r="51" spans="2:10" ht="15" customHeight="1" x14ac:dyDescent="0.3">
      <c r="B51" s="132" t="s">
        <v>221</v>
      </c>
      <c r="C51" s="47"/>
      <c r="D51" s="69">
        <f ca="1">D50/'Google Model'!F$56-1</f>
        <v>-0.32504672331290041</v>
      </c>
      <c r="E51" s="69">
        <f ca="1">E50/'Google Model'!G$56-1</f>
        <v>-8.4103492958711112E-2</v>
      </c>
      <c r="F51" s="69">
        <f ca="1">F50/'Google Model'!H$56-1</f>
        <v>8.1976353938910229E-2</v>
      </c>
      <c r="G51" s="69">
        <f ca="1">G50/'Google Model'!I$56-1</f>
        <v>0.16963584281194</v>
      </c>
      <c r="H51" s="69">
        <f ca="1">H50/'Google Model'!J$56-1</f>
        <v>0.23108757969374194</v>
      </c>
      <c r="I51" s="47"/>
      <c r="J51" s="47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sheetPr>
    <tabColor rgb="FF1F3864"/>
  </sheetPr>
  <dimension ref="B2:M65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9.8984375" style="1" customWidth="1"/>
    <col min="3" max="3" width="2.5" style="1" customWidth="1"/>
    <col min="4" max="9" width="11.19921875" style="1" customWidth="1"/>
    <col min="10" max="16384" width="7.69921875" style="1"/>
  </cols>
  <sheetData>
    <row r="2" spans="2:13" ht="15" customHeight="1" x14ac:dyDescent="0.3">
      <c r="B2" s="121" t="s">
        <v>226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 ht="15" customHeight="1" x14ac:dyDescent="0.3">
      <c r="B3" s="122" t="s">
        <v>227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2:13" ht="15" customHeight="1" thickBot="1" x14ac:dyDescent="0.35">
      <c r="B4" s="129" t="s">
        <v>373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2:13" ht="15" customHeight="1" x14ac:dyDescent="0.3">
      <c r="B5" s="50" t="s">
        <v>228</v>
      </c>
      <c r="C5" s="50"/>
      <c r="D5" s="50"/>
      <c r="E5" s="50"/>
      <c r="F5" s="50"/>
      <c r="G5" s="50"/>
      <c r="H5" s="50"/>
    </row>
    <row r="6" spans="2:13" ht="15" customHeight="1" x14ac:dyDescent="0.3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2:13" ht="15" customHeight="1" x14ac:dyDescent="0.3">
      <c r="B7" s="51" t="s">
        <v>229</v>
      </c>
      <c r="C7" s="52"/>
      <c r="D7" s="52"/>
      <c r="E7" s="52"/>
      <c r="F7" s="52"/>
      <c r="G7" s="52"/>
      <c r="H7" s="52"/>
      <c r="I7" s="47"/>
      <c r="J7" s="47"/>
      <c r="K7" s="47"/>
      <c r="L7" s="47"/>
      <c r="M7" s="47"/>
    </row>
    <row r="8" spans="2:13" ht="15" customHeight="1" x14ac:dyDescent="0.3">
      <c r="B8" s="53" t="s">
        <v>230</v>
      </c>
      <c r="C8" s="54"/>
      <c r="D8" s="72" t="s">
        <v>231</v>
      </c>
      <c r="E8" s="72" t="s">
        <v>3</v>
      </c>
      <c r="F8" s="72" t="s">
        <v>232</v>
      </c>
      <c r="G8" s="54"/>
      <c r="H8" s="54"/>
      <c r="I8" s="47"/>
      <c r="J8" s="47"/>
      <c r="K8" s="47"/>
      <c r="L8" s="47"/>
      <c r="M8" s="47"/>
    </row>
    <row r="9" spans="2:13" ht="15" customHeight="1" x14ac:dyDescent="0.3">
      <c r="B9" s="47"/>
      <c r="C9" s="47"/>
      <c r="D9" s="57">
        <v>0.15</v>
      </c>
      <c r="E9" s="57">
        <v>0.2</v>
      </c>
      <c r="F9" s="57">
        <v>0.25</v>
      </c>
      <c r="G9" s="47"/>
      <c r="H9" s="47"/>
      <c r="I9" s="47"/>
      <c r="J9" s="47"/>
      <c r="K9" s="47"/>
      <c r="L9" s="47"/>
      <c r="M9" s="47"/>
    </row>
    <row r="10" spans="2:13" ht="15" customHeight="1" x14ac:dyDescent="0.3">
      <c r="B10" s="123" t="s">
        <v>233</v>
      </c>
      <c r="C10" s="47"/>
      <c r="D10" s="28" t="str">
        <f>'Google Drivers'!$D$6</f>
        <v>Base</v>
      </c>
      <c r="E10" s="47"/>
      <c r="F10" s="47"/>
      <c r="G10" s="47"/>
      <c r="H10" s="47"/>
      <c r="I10" s="47"/>
      <c r="J10" s="47"/>
      <c r="K10" s="47"/>
      <c r="L10" s="47"/>
      <c r="M10" s="47"/>
    </row>
    <row r="11" spans="2:13" ht="15" customHeight="1" x14ac:dyDescent="0.3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2:13" ht="15" customHeight="1" x14ac:dyDescent="0.3">
      <c r="B12" s="51" t="s">
        <v>234</v>
      </c>
      <c r="C12" s="52"/>
      <c r="D12" s="52"/>
      <c r="E12" s="52"/>
      <c r="F12" s="52"/>
      <c r="G12" s="52"/>
      <c r="H12" s="52"/>
      <c r="I12" s="47"/>
      <c r="J12" s="47"/>
      <c r="K12" s="47"/>
      <c r="L12" s="47"/>
      <c r="M12" s="47"/>
    </row>
    <row r="13" spans="2:13" ht="15" customHeight="1" x14ac:dyDescent="0.3">
      <c r="B13" s="53" t="s">
        <v>235</v>
      </c>
      <c r="C13" s="54"/>
      <c r="D13" s="72" t="s">
        <v>231</v>
      </c>
      <c r="E13" s="72" t="s">
        <v>3</v>
      </c>
      <c r="F13" s="72" t="s">
        <v>232</v>
      </c>
      <c r="G13" s="54"/>
      <c r="H13" s="54"/>
      <c r="I13" s="47"/>
      <c r="J13" s="47"/>
      <c r="K13" s="47"/>
      <c r="L13" s="47"/>
      <c r="M13" s="47"/>
    </row>
    <row r="14" spans="2:13" ht="15" customHeight="1" x14ac:dyDescent="0.3">
      <c r="B14" s="47"/>
      <c r="C14" s="47"/>
      <c r="D14" s="57">
        <v>0.1</v>
      </c>
      <c r="E14" s="57">
        <v>0.15</v>
      </c>
      <c r="F14" s="57">
        <v>0.2</v>
      </c>
      <c r="G14" s="47"/>
      <c r="H14" s="47"/>
      <c r="I14" s="47"/>
      <c r="J14" s="47"/>
      <c r="K14" s="47"/>
      <c r="L14" s="47"/>
      <c r="M14" s="47"/>
    </row>
    <row r="15" spans="2:13" ht="15" customHeight="1" x14ac:dyDescent="0.3">
      <c r="B15" s="123" t="s">
        <v>233</v>
      </c>
      <c r="C15" s="47"/>
      <c r="D15" s="28" t="str">
        <f>'Google Drivers'!$D$6</f>
        <v>Base</v>
      </c>
      <c r="E15" s="47"/>
      <c r="F15" s="47"/>
      <c r="G15" s="47"/>
      <c r="H15" s="47"/>
      <c r="I15" s="47"/>
      <c r="J15" s="47"/>
      <c r="K15" s="47"/>
      <c r="L15" s="47"/>
      <c r="M15" s="47"/>
    </row>
    <row r="16" spans="2:13" ht="15" customHeight="1" x14ac:dyDescent="0.3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2:13" ht="15" customHeight="1" x14ac:dyDescent="0.3">
      <c r="B17" s="51" t="s">
        <v>236</v>
      </c>
      <c r="C17" s="52"/>
      <c r="D17" s="52"/>
      <c r="E17" s="52"/>
      <c r="F17" s="52"/>
      <c r="G17" s="52"/>
      <c r="H17" s="52"/>
      <c r="I17" s="47"/>
      <c r="J17" s="47"/>
      <c r="K17" s="47"/>
      <c r="L17" s="47"/>
      <c r="M17" s="47"/>
    </row>
    <row r="18" spans="2:13" ht="15" customHeight="1" x14ac:dyDescent="0.3">
      <c r="B18" s="53" t="s">
        <v>237</v>
      </c>
      <c r="C18" s="54"/>
      <c r="D18" s="72" t="s">
        <v>231</v>
      </c>
      <c r="E18" s="72" t="s">
        <v>3</v>
      </c>
      <c r="F18" s="72" t="s">
        <v>232</v>
      </c>
      <c r="G18" s="54"/>
      <c r="H18" s="54"/>
      <c r="I18" s="47"/>
      <c r="J18" s="47"/>
      <c r="K18" s="47"/>
      <c r="L18" s="47"/>
      <c r="M18" s="47"/>
    </row>
    <row r="19" spans="2:13" ht="15" customHeight="1" x14ac:dyDescent="0.3">
      <c r="B19" s="47"/>
      <c r="C19" s="47"/>
      <c r="D19" s="57">
        <v>0.02</v>
      </c>
      <c r="E19" s="57">
        <v>3.5000000000000003E-2</v>
      </c>
      <c r="F19" s="57">
        <v>0.05</v>
      </c>
      <c r="G19" s="47"/>
      <c r="H19" s="47"/>
      <c r="I19" s="47"/>
      <c r="J19" s="47"/>
      <c r="K19" s="47"/>
      <c r="L19" s="47"/>
      <c r="M19" s="47"/>
    </row>
    <row r="20" spans="2:13" ht="15" customHeight="1" x14ac:dyDescent="0.3">
      <c r="B20" s="123" t="s">
        <v>233</v>
      </c>
      <c r="C20" s="47"/>
      <c r="D20" s="28" t="str">
        <f>'Google Drivers'!$D$6</f>
        <v>Base</v>
      </c>
      <c r="E20" s="47"/>
      <c r="F20" s="47"/>
      <c r="G20" s="47"/>
      <c r="H20" s="47"/>
      <c r="I20" s="47"/>
      <c r="J20" s="47"/>
      <c r="K20" s="47"/>
      <c r="L20" s="47"/>
      <c r="M20" s="47"/>
    </row>
    <row r="21" spans="2:13" ht="15" customHeight="1" thickBot="1" x14ac:dyDescent="0.35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2:13" ht="15" customHeight="1" x14ac:dyDescent="0.3">
      <c r="B22" s="50" t="s">
        <v>238</v>
      </c>
      <c r="C22" s="50"/>
      <c r="D22" s="50"/>
      <c r="E22" s="50"/>
      <c r="F22" s="50"/>
      <c r="G22" s="50"/>
      <c r="H22" s="50"/>
    </row>
    <row r="23" spans="2:13" ht="15" customHeight="1" x14ac:dyDescent="0.3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2:13" ht="15" customHeight="1" x14ac:dyDescent="0.3">
      <c r="B24" s="133" t="s">
        <v>43</v>
      </c>
      <c r="C24" s="47"/>
      <c r="D24" s="131">
        <v>2024</v>
      </c>
      <c r="E24" s="131">
        <v>2025</v>
      </c>
      <c r="F24" s="131">
        <v>2026</v>
      </c>
      <c r="G24" s="131">
        <v>2027</v>
      </c>
      <c r="H24" s="131">
        <v>2028</v>
      </c>
      <c r="J24" s="47"/>
      <c r="K24" s="47"/>
      <c r="L24" s="47"/>
      <c r="M24" s="47"/>
    </row>
    <row r="25" spans="2:13" ht="15" customHeight="1" x14ac:dyDescent="0.3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2:13" ht="15" customHeight="1" x14ac:dyDescent="0.3">
      <c r="B26" s="51" t="s">
        <v>239</v>
      </c>
      <c r="C26" s="52"/>
      <c r="D26" s="52"/>
      <c r="E26" s="52"/>
      <c r="F26" s="52"/>
      <c r="G26" s="52"/>
      <c r="H26" s="52"/>
      <c r="I26" s="47"/>
      <c r="J26" s="47"/>
      <c r="K26" s="47"/>
      <c r="L26" s="47"/>
      <c r="M26" s="47"/>
    </row>
    <row r="27" spans="2:13" ht="15" customHeight="1" x14ac:dyDescent="0.3">
      <c r="B27" s="123" t="s">
        <v>240</v>
      </c>
      <c r="C27" s="47"/>
      <c r="D27" s="66">
        <f>'Google Model'!F$110</f>
        <v>39421.208924999999</v>
      </c>
      <c r="E27" s="66">
        <f>'Google Model'!G$110</f>
        <v>41711.456523749999</v>
      </c>
      <c r="F27" s="66">
        <f>'Google Model'!H$110</f>
        <v>43657.843099921876</v>
      </c>
      <c r="G27" s="66">
        <f>'Google Model'!I$110</f>
        <v>45274.477688395869</v>
      </c>
      <c r="H27" s="66">
        <f>'Google Model'!J$110</f>
        <v>46628.005242337851</v>
      </c>
      <c r="I27" s="49"/>
      <c r="J27" s="47"/>
      <c r="K27" s="47"/>
      <c r="L27" s="47"/>
      <c r="M27" s="47"/>
    </row>
    <row r="28" spans="2:13" ht="15" customHeight="1" x14ac:dyDescent="0.3">
      <c r="B28" s="123" t="s">
        <v>241</v>
      </c>
      <c r="C28" s="47"/>
      <c r="D28" s="66">
        <f>'Meta Model'!F$95</f>
        <v>34749.351724137938</v>
      </c>
      <c r="E28" s="66">
        <f>'Meta Model'!G$95</f>
        <v>36060.55172978506</v>
      </c>
      <c r="F28" s="66">
        <f>'Meta Model'!H$95</f>
        <v>36734.391272727276</v>
      </c>
      <c r="G28" s="66">
        <f>'Meta Model'!I$95</f>
        <v>37867.066924379571</v>
      </c>
      <c r="H28" s="66">
        <f>'Meta Model'!J$95</f>
        <v>38748.897556567586</v>
      </c>
      <c r="I28" s="49"/>
      <c r="J28" s="47"/>
      <c r="K28" s="47"/>
      <c r="L28" s="47"/>
      <c r="M28" s="47"/>
    </row>
    <row r="29" spans="2:13" ht="15" customHeight="1" x14ac:dyDescent="0.3">
      <c r="B29" s="123" t="s">
        <v>242</v>
      </c>
      <c r="C29" s="47"/>
      <c r="D29" s="126">
        <f>D27+D28</f>
        <v>74170.560649137944</v>
      </c>
      <c r="E29" s="126">
        <f>E27+E28</f>
        <v>77772.008253535052</v>
      </c>
      <c r="F29" s="126">
        <f>F27+F28</f>
        <v>80392.234372649153</v>
      </c>
      <c r="G29" s="126">
        <f>G27+G28</f>
        <v>83141.54461277544</v>
      </c>
      <c r="H29" s="126">
        <f>H27+H28</f>
        <v>85376.902798905445</v>
      </c>
      <c r="I29" s="49"/>
      <c r="J29" s="47"/>
      <c r="K29" s="47"/>
      <c r="L29" s="47"/>
      <c r="M29" s="47"/>
    </row>
    <row r="30" spans="2:13" ht="15" customHeight="1" x14ac:dyDescent="0.3">
      <c r="B30" s="123" t="s">
        <v>243</v>
      </c>
      <c r="C30" s="47"/>
      <c r="D30" s="134" cm="1">
        <f t="array" ref="D30">INDEX($D$9:$F$9,MATCH($D$10,$D$8:$F$8,0))</f>
        <v>0.2</v>
      </c>
      <c r="E30" s="134" cm="1">
        <f t="array" ref="E30">INDEX($D$9:$F$9,MATCH($D$10,$D$8:$F$8,0))</f>
        <v>0.2</v>
      </c>
      <c r="F30" s="134" cm="1">
        <f t="array" ref="F30">INDEX($D$9:$F$9,MATCH($D$10,$D$8:$F$8,0))</f>
        <v>0.2</v>
      </c>
      <c r="G30" s="134" cm="1">
        <f t="array" ref="G30">INDEX($D$9:$F$9,MATCH($D$10,$D$8:$F$8,0))</f>
        <v>0.2</v>
      </c>
      <c r="H30" s="134" cm="1">
        <f t="array" ref="H30">INDEX($D$9:$F$9,MATCH($D$10,$D$8:$F$8,0))</f>
        <v>0.2</v>
      </c>
      <c r="I30" s="73"/>
      <c r="J30" s="47"/>
      <c r="K30" s="47"/>
      <c r="L30" s="47"/>
      <c r="M30" s="47"/>
    </row>
    <row r="31" spans="2:13" ht="15" customHeight="1" x14ac:dyDescent="0.3">
      <c r="B31" s="195" t="s">
        <v>207</v>
      </c>
      <c r="C31" s="187"/>
      <c r="D31" s="188">
        <f>D29*D30</f>
        <v>14834.11212982759</v>
      </c>
      <c r="E31" s="188">
        <f>E29*E30</f>
        <v>15554.401650707012</v>
      </c>
      <c r="F31" s="188">
        <f>F29*F30</f>
        <v>16078.446874529831</v>
      </c>
      <c r="G31" s="188">
        <f>G29*G30</f>
        <v>16628.30892255509</v>
      </c>
      <c r="H31" s="188">
        <f>H29*H30</f>
        <v>17075.38055978109</v>
      </c>
      <c r="J31" s="47"/>
      <c r="K31" s="47"/>
      <c r="L31" s="47"/>
      <c r="M31" s="47"/>
    </row>
    <row r="32" spans="2:13" ht="15" customHeight="1" x14ac:dyDescent="0.3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spans="2:13" ht="15" customHeight="1" x14ac:dyDescent="0.3">
      <c r="B33" s="51" t="s">
        <v>244</v>
      </c>
      <c r="C33" s="52"/>
      <c r="D33" s="52"/>
      <c r="E33" s="52"/>
      <c r="F33" s="52"/>
      <c r="G33" s="52"/>
      <c r="H33" s="52"/>
      <c r="I33" s="47"/>
      <c r="J33" s="47"/>
      <c r="K33" s="47"/>
      <c r="L33" s="47"/>
      <c r="M33" s="47"/>
    </row>
    <row r="34" spans="2:13" ht="15" customHeight="1" x14ac:dyDescent="0.3">
      <c r="B34" s="123" t="s">
        <v>245</v>
      </c>
      <c r="C34" s="47"/>
      <c r="D34" s="66">
        <f>'Google Model'!F$38</f>
        <v>18104.555209999999</v>
      </c>
      <c r="E34" s="66">
        <f>'Google Model'!G$38</f>
        <v>19251.441472499999</v>
      </c>
      <c r="F34" s="66">
        <f>'Google Model'!H$38</f>
        <v>20257.23919836375</v>
      </c>
      <c r="G34" s="66">
        <f>'Google Model'!I$38</f>
        <v>21505.376901988038</v>
      </c>
      <c r="H34" s="66">
        <f>'Google Model'!J$38</f>
        <v>22300.350333292012</v>
      </c>
      <c r="I34" s="49"/>
      <c r="J34" s="47"/>
      <c r="K34" s="47"/>
      <c r="L34" s="47"/>
      <c r="M34" s="47"/>
    </row>
    <row r="35" spans="2:13" ht="15" customHeight="1" x14ac:dyDescent="0.3">
      <c r="B35" s="123" t="s">
        <v>246</v>
      </c>
      <c r="C35" s="47"/>
      <c r="D35" s="66">
        <f>'Meta Model'!F$23</f>
        <v>16619.255172413796</v>
      </c>
      <c r="E35" s="66">
        <f>'Meta Model'!G$23</f>
        <v>17610.967123848517</v>
      </c>
      <c r="F35" s="66">
        <f>'Meta Model'!H$23</f>
        <v>18367.195636363638</v>
      </c>
      <c r="G35" s="66">
        <f>'Meta Model'!I$23</f>
        <v>18933.533462189785</v>
      </c>
      <c r="H35" s="66">
        <f>'Meta Model'!J$23</f>
        <v>19374.448778283793</v>
      </c>
      <c r="I35" s="49"/>
      <c r="J35" s="47"/>
      <c r="K35" s="47"/>
      <c r="L35" s="47"/>
      <c r="M35" s="47"/>
    </row>
    <row r="36" spans="2:13" ht="15" customHeight="1" x14ac:dyDescent="0.3">
      <c r="B36" s="123" t="s">
        <v>247</v>
      </c>
      <c r="C36" s="47"/>
      <c r="D36" s="126">
        <f>D34+D35</f>
        <v>34723.810382413794</v>
      </c>
      <c r="E36" s="126">
        <f>E34+E35</f>
        <v>36862.408596348512</v>
      </c>
      <c r="F36" s="126">
        <f>F34+F35</f>
        <v>38624.434834727392</v>
      </c>
      <c r="G36" s="126">
        <f>G34+G35</f>
        <v>40438.91036417782</v>
      </c>
      <c r="H36" s="126">
        <f>H34+H35</f>
        <v>41674.799111575805</v>
      </c>
      <c r="I36" s="49"/>
      <c r="J36" s="47"/>
      <c r="K36" s="47"/>
      <c r="L36" s="47"/>
      <c r="M36" s="47"/>
    </row>
    <row r="37" spans="2:13" ht="15" customHeight="1" x14ac:dyDescent="0.3">
      <c r="B37" s="123" t="s">
        <v>248</v>
      </c>
      <c r="C37" s="47"/>
      <c r="D37" s="134" cm="1">
        <f t="array" ref="D37">INDEX($D$14:$F$14,MATCH($D$15,$D$13:$F$13,0))</f>
        <v>0.15</v>
      </c>
      <c r="E37" s="134" cm="1">
        <f t="array" ref="E37">INDEX($D$14:$F$14,MATCH($D$15,$D$13:$F$13,0))</f>
        <v>0.15</v>
      </c>
      <c r="F37" s="134" cm="1">
        <f t="array" ref="F37">INDEX($D$14:$F$14,MATCH($D$15,$D$13:$F$13,0))</f>
        <v>0.15</v>
      </c>
      <c r="G37" s="134" cm="1">
        <f t="array" ref="G37">INDEX($D$14:$F$14,MATCH($D$15,$D$13:$F$13,0))</f>
        <v>0.15</v>
      </c>
      <c r="H37" s="134" cm="1">
        <f t="array" ref="H37">INDEX($D$14:$F$14,MATCH($D$15,$D$13:$F$13,0))</f>
        <v>0.15</v>
      </c>
      <c r="I37" s="73"/>
      <c r="J37" s="47"/>
      <c r="K37" s="47"/>
      <c r="L37" s="47"/>
      <c r="M37" s="47"/>
    </row>
    <row r="38" spans="2:13" ht="15" customHeight="1" x14ac:dyDescent="0.3">
      <c r="B38" s="195" t="s">
        <v>209</v>
      </c>
      <c r="C38" s="187"/>
      <c r="D38" s="188">
        <f>D36*D37</f>
        <v>5208.5715573620691</v>
      </c>
      <c r="E38" s="188">
        <f>E36*E37</f>
        <v>5529.3612894522767</v>
      </c>
      <c r="F38" s="188">
        <f>F36*F37</f>
        <v>5793.6652252091089</v>
      </c>
      <c r="G38" s="188">
        <f>G36*G37</f>
        <v>6065.8365546266732</v>
      </c>
      <c r="H38" s="188">
        <f>H36*H37</f>
        <v>6251.2198667363709</v>
      </c>
      <c r="J38" s="47"/>
      <c r="K38" s="47"/>
      <c r="L38" s="47"/>
      <c r="M38" s="47"/>
    </row>
    <row r="39" spans="2:13" ht="15" customHeight="1" x14ac:dyDescent="0.3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spans="2:13" ht="15" customHeight="1" x14ac:dyDescent="0.3">
      <c r="B40" s="51" t="s">
        <v>249</v>
      </c>
      <c r="C40" s="52"/>
      <c r="D40" s="52"/>
      <c r="E40" s="52"/>
      <c r="F40" s="52"/>
      <c r="G40" s="52"/>
      <c r="H40" s="52"/>
      <c r="I40" s="47"/>
      <c r="J40" s="47"/>
      <c r="K40" s="47"/>
      <c r="L40" s="47"/>
      <c r="M40" s="47"/>
    </row>
    <row r="41" spans="2:13" ht="15" customHeight="1" x14ac:dyDescent="0.3">
      <c r="B41" s="123" t="s">
        <v>202</v>
      </c>
      <c r="C41" s="47"/>
      <c r="D41" s="66">
        <f>'Google Model'!F$16</f>
        <v>292008.95499999996</v>
      </c>
      <c r="E41" s="66">
        <f>'Google Model'!G$16</f>
        <v>320857.35787499999</v>
      </c>
      <c r="F41" s="66">
        <f>'Google Model'!H$16</f>
        <v>349262.74479937501</v>
      </c>
      <c r="G41" s="66">
        <f>'Google Model'!I$16</f>
        <v>377287.31406996556</v>
      </c>
      <c r="H41" s="66">
        <f>'Google Model'!J$16</f>
        <v>405460.91515076387</v>
      </c>
      <c r="I41" s="49"/>
      <c r="J41" s="47"/>
      <c r="K41" s="47"/>
      <c r="L41" s="47"/>
      <c r="M41" s="47"/>
    </row>
    <row r="42" spans="2:13" ht="15" customHeight="1" x14ac:dyDescent="0.3">
      <c r="B42" s="123" t="s">
        <v>203</v>
      </c>
      <c r="C42" s="47"/>
      <c r="D42" s="66">
        <f>'Meta Model'!F$14</f>
        <v>151084.13793103449</v>
      </c>
      <c r="E42" s="66">
        <f>'Meta Model'!G$14</f>
        <v>167723.49641760494</v>
      </c>
      <c r="F42" s="66">
        <f>'Meta Model'!H$14</f>
        <v>183671.95636363639</v>
      </c>
      <c r="G42" s="66">
        <f>'Meta Model'!I$14</f>
        <v>199300.35223357668</v>
      </c>
      <c r="H42" s="66">
        <f>'Meta Model'!J$14</f>
        <v>215271.65309204216</v>
      </c>
      <c r="I42" s="49"/>
      <c r="J42" s="47"/>
      <c r="K42" s="47"/>
      <c r="L42" s="47"/>
      <c r="M42" s="47"/>
    </row>
    <row r="43" spans="2:13" ht="15" customHeight="1" x14ac:dyDescent="0.3">
      <c r="B43" s="123" t="s">
        <v>250</v>
      </c>
      <c r="C43" s="47"/>
      <c r="D43" s="126">
        <f>D41+D42</f>
        <v>443093.09293103445</v>
      </c>
      <c r="E43" s="126">
        <f>E41+E42</f>
        <v>488580.85429260496</v>
      </c>
      <c r="F43" s="126">
        <f>F41+F42</f>
        <v>532934.70116301137</v>
      </c>
      <c r="G43" s="126">
        <f>G41+G42</f>
        <v>576587.66630354221</v>
      </c>
      <c r="H43" s="126">
        <f>H41+H42</f>
        <v>620732.56824280601</v>
      </c>
      <c r="I43" s="49"/>
      <c r="J43" s="47"/>
      <c r="K43" s="47"/>
      <c r="L43" s="47"/>
      <c r="M43" s="47"/>
    </row>
    <row r="44" spans="2:13" ht="15" customHeight="1" x14ac:dyDescent="0.3">
      <c r="B44" s="123" t="s">
        <v>251</v>
      </c>
      <c r="C44" s="47"/>
      <c r="D44" s="134" cm="1">
        <f t="array" ref="D44">INDEX($D$19:$F$19,MATCH($D$20,$D$18:$F$18,0))</f>
        <v>3.5000000000000003E-2</v>
      </c>
      <c r="E44" s="134" cm="1">
        <f t="array" ref="E44">INDEX($D$19:$F$19,MATCH($D$20,$D$18:$F$18,0))</f>
        <v>3.5000000000000003E-2</v>
      </c>
      <c r="F44" s="134" cm="1">
        <f t="array" ref="F44">INDEX($D$19:$F$19,MATCH($D$20,$D$18:$F$18,0))</f>
        <v>3.5000000000000003E-2</v>
      </c>
      <c r="G44" s="134" cm="1">
        <f t="array" ref="G44">INDEX($D$19:$F$19,MATCH($D$20,$D$18:$F$18,0))</f>
        <v>3.5000000000000003E-2</v>
      </c>
      <c r="H44" s="134" cm="1">
        <f t="array" ref="H44">INDEX($D$19:$F$19,MATCH($D$20,$D$18:$F$18,0))</f>
        <v>3.5000000000000003E-2</v>
      </c>
      <c r="I44" s="73"/>
      <c r="J44" s="47"/>
      <c r="K44" s="47"/>
      <c r="L44" s="47"/>
      <c r="M44" s="47"/>
    </row>
    <row r="45" spans="2:13" ht="15" customHeight="1" x14ac:dyDescent="0.3">
      <c r="B45" s="195" t="s">
        <v>252</v>
      </c>
      <c r="C45" s="187"/>
      <c r="D45" s="188">
        <f>D43*D44</f>
        <v>15508.258252586207</v>
      </c>
      <c r="E45" s="188">
        <f>E43*E44</f>
        <v>17100.329900241177</v>
      </c>
      <c r="F45" s="188">
        <f>F43*F44</f>
        <v>18652.714540705401</v>
      </c>
      <c r="G45" s="188">
        <f>G43*G44</f>
        <v>20180.568320623981</v>
      </c>
      <c r="H45" s="188">
        <f>H43*H44</f>
        <v>21725.639888498212</v>
      </c>
      <c r="J45" s="47"/>
      <c r="K45" s="47"/>
      <c r="L45" s="47"/>
      <c r="M45" s="47"/>
    </row>
    <row r="46" spans="2:13" ht="15" customHeight="1" x14ac:dyDescent="0.3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pans="2:13" ht="15" customHeight="1" x14ac:dyDescent="0.3">
      <c r="B47" s="51" t="s">
        <v>253</v>
      </c>
      <c r="C47" s="52"/>
      <c r="D47" s="52"/>
      <c r="E47" s="52"/>
      <c r="F47" s="52"/>
      <c r="G47" s="52"/>
      <c r="H47" s="52"/>
      <c r="I47" s="47"/>
      <c r="J47" s="47"/>
      <c r="K47" s="47"/>
      <c r="L47" s="47"/>
      <c r="M47" s="47"/>
    </row>
    <row r="48" spans="2:13" ht="15" customHeight="1" x14ac:dyDescent="0.3">
      <c r="B48" s="123" t="s">
        <v>254</v>
      </c>
      <c r="C48" s="47"/>
      <c r="D48" s="57">
        <v>0</v>
      </c>
      <c r="E48" s="57">
        <v>0.3</v>
      </c>
      <c r="F48" s="57">
        <v>0.6</v>
      </c>
      <c r="G48" s="57">
        <v>0.85</v>
      </c>
      <c r="H48" s="57">
        <v>0.95</v>
      </c>
      <c r="I48" s="56"/>
      <c r="J48" s="47"/>
      <c r="K48" s="47"/>
      <c r="L48" s="47"/>
      <c r="M48" s="47"/>
    </row>
    <row r="49" spans="2:13" ht="15" customHeight="1" thickBot="1" x14ac:dyDescent="0.35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2:13" ht="15" customHeight="1" x14ac:dyDescent="0.3">
      <c r="B50" s="50" t="s">
        <v>255</v>
      </c>
      <c r="C50" s="50"/>
      <c r="D50" s="50"/>
      <c r="E50" s="50"/>
      <c r="F50" s="50"/>
      <c r="G50" s="50"/>
      <c r="H50" s="50"/>
      <c r="J50" s="47"/>
      <c r="K50" s="47"/>
      <c r="L50" s="47"/>
      <c r="M50" s="47"/>
    </row>
    <row r="51" spans="2:13" ht="15" customHeight="1" x14ac:dyDescent="0.3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pans="2:13" ht="15" customHeight="1" x14ac:dyDescent="0.3">
      <c r="B52" s="51" t="s">
        <v>256</v>
      </c>
      <c r="C52" s="52"/>
      <c r="D52" s="52"/>
      <c r="E52" s="52"/>
      <c r="F52" s="52"/>
      <c r="G52" s="52"/>
      <c r="H52" s="52"/>
      <c r="I52" s="47"/>
      <c r="J52" s="47"/>
      <c r="K52" s="47"/>
      <c r="L52" s="47"/>
      <c r="M52" s="47"/>
    </row>
    <row r="53" spans="2:13" ht="15" customHeight="1" x14ac:dyDescent="0.3">
      <c r="B53" s="123" t="s">
        <v>257</v>
      </c>
      <c r="C53" s="47"/>
      <c r="D53" s="126" cm="1">
        <f t="array" ref="D53">D31</f>
        <v>14834.11212982759</v>
      </c>
      <c r="E53" s="126" cm="1">
        <f t="array" ref="E53">E31</f>
        <v>15554.401650707012</v>
      </c>
      <c r="F53" s="126" cm="1">
        <f t="array" ref="F53">F31</f>
        <v>16078.446874529831</v>
      </c>
      <c r="G53" s="126" cm="1">
        <f t="array" ref="G53">G31</f>
        <v>16628.30892255509</v>
      </c>
      <c r="H53" s="126" cm="1">
        <f t="array" ref="H53">H31</f>
        <v>17075.38055978109</v>
      </c>
      <c r="I53" s="49"/>
      <c r="J53" s="47"/>
      <c r="K53" s="47"/>
      <c r="L53" s="47"/>
      <c r="M53" s="47"/>
    </row>
    <row r="54" spans="2:13" ht="15" customHeight="1" x14ac:dyDescent="0.3">
      <c r="B54" s="123" t="s">
        <v>161</v>
      </c>
      <c r="C54" s="47"/>
      <c r="D54" s="126" cm="1">
        <f t="array" ref="D54">D38</f>
        <v>5208.5715573620691</v>
      </c>
      <c r="E54" s="126" cm="1">
        <f t="array" ref="E54">E38</f>
        <v>5529.3612894522767</v>
      </c>
      <c r="F54" s="126" cm="1">
        <f t="array" ref="F54">F38</f>
        <v>5793.6652252091089</v>
      </c>
      <c r="G54" s="126" cm="1">
        <f t="array" ref="G54">G38</f>
        <v>6065.8365546266732</v>
      </c>
      <c r="H54" s="126" cm="1">
        <f t="array" ref="H54">H38</f>
        <v>6251.2198667363709</v>
      </c>
      <c r="I54" s="49"/>
      <c r="J54" s="47"/>
      <c r="K54" s="47"/>
      <c r="L54" s="47"/>
      <c r="M54" s="47"/>
    </row>
    <row r="55" spans="2:13" ht="15" customHeight="1" x14ac:dyDescent="0.3">
      <c r="B55" s="123" t="s">
        <v>258</v>
      </c>
      <c r="C55" s="47"/>
      <c r="D55" s="126" cm="1">
        <f t="array" ref="D55">D45</f>
        <v>15508.258252586207</v>
      </c>
      <c r="E55" s="126" cm="1">
        <f t="array" ref="E55">E45</f>
        <v>17100.329900241177</v>
      </c>
      <c r="F55" s="126" cm="1">
        <f t="array" ref="F55">F45</f>
        <v>18652.714540705401</v>
      </c>
      <c r="G55" s="126" cm="1">
        <f t="array" ref="G55">G45</f>
        <v>20180.568320623981</v>
      </c>
      <c r="H55" s="126" cm="1">
        <f t="array" ref="H55">H45</f>
        <v>21725.639888498212</v>
      </c>
      <c r="I55" s="49"/>
      <c r="J55" s="47"/>
      <c r="K55" s="47"/>
      <c r="L55" s="47"/>
      <c r="M55" s="47"/>
    </row>
    <row r="56" spans="2:13" ht="15" customHeight="1" x14ac:dyDescent="0.3">
      <c r="B56" s="196" t="s">
        <v>259</v>
      </c>
      <c r="C56" s="187"/>
      <c r="D56" s="188">
        <f>SUM(D53:D55)</f>
        <v>35550.941939775868</v>
      </c>
      <c r="E56" s="188">
        <f>SUM(E53:E55)</f>
        <v>38184.092840400466</v>
      </c>
      <c r="F56" s="188">
        <f>SUM(F53:F55)</f>
        <v>40524.826640444342</v>
      </c>
      <c r="G56" s="188">
        <f>SUM(G53:G55)</f>
        <v>42874.713797805744</v>
      </c>
      <c r="H56" s="188">
        <f>SUM(H53:H55)</f>
        <v>45052.240315015675</v>
      </c>
      <c r="J56" s="47"/>
      <c r="K56" s="47"/>
      <c r="L56" s="47"/>
      <c r="M56" s="47"/>
    </row>
    <row r="57" spans="2:13" ht="15" customHeight="1" x14ac:dyDescent="0.3">
      <c r="B57" s="47"/>
      <c r="C57" s="47"/>
      <c r="D57" s="63"/>
      <c r="E57" s="63"/>
      <c r="F57" s="63"/>
      <c r="G57" s="63"/>
      <c r="H57" s="63"/>
      <c r="I57" s="63"/>
      <c r="J57" s="47"/>
      <c r="K57" s="47"/>
      <c r="L57" s="47"/>
      <c r="M57" s="47"/>
    </row>
    <row r="58" spans="2:13" ht="15" customHeight="1" x14ac:dyDescent="0.3">
      <c r="B58" s="51" t="s">
        <v>260</v>
      </c>
      <c r="C58" s="52"/>
      <c r="D58" s="71"/>
      <c r="E58" s="71"/>
      <c r="F58" s="71"/>
      <c r="G58" s="71"/>
      <c r="H58" s="71"/>
      <c r="I58" s="63"/>
      <c r="J58" s="47"/>
      <c r="K58" s="47"/>
      <c r="L58" s="47"/>
      <c r="M58" s="47"/>
    </row>
    <row r="59" spans="2:13" ht="15" customHeight="1" x14ac:dyDescent="0.3">
      <c r="B59" s="123" t="s">
        <v>261</v>
      </c>
      <c r="C59" s="47"/>
      <c r="D59" s="126">
        <f>D56*D48</f>
        <v>0</v>
      </c>
      <c r="E59" s="126">
        <f>E56*E48</f>
        <v>11455.227852120139</v>
      </c>
      <c r="F59" s="126">
        <f>F56*F48</f>
        <v>24314.895984266605</v>
      </c>
      <c r="G59" s="126">
        <f>G56*G48</f>
        <v>36443.506728134882</v>
      </c>
      <c r="H59" s="126">
        <f>H56*H48</f>
        <v>42799.628299264892</v>
      </c>
      <c r="I59" s="49"/>
      <c r="J59" s="47"/>
      <c r="K59" s="47"/>
      <c r="L59" s="47"/>
      <c r="M59" s="47"/>
    </row>
    <row r="60" spans="2:13" ht="15" customHeight="1" x14ac:dyDescent="0.3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</row>
    <row r="61" spans="2:13" ht="15" customHeight="1" x14ac:dyDescent="0.3">
      <c r="B61" s="51" t="s">
        <v>262</v>
      </c>
      <c r="C61" s="52"/>
      <c r="D61" s="52"/>
      <c r="E61" s="52"/>
      <c r="F61" s="52"/>
      <c r="G61" s="52"/>
      <c r="H61" s="52"/>
      <c r="I61" s="47"/>
      <c r="J61" s="47"/>
      <c r="K61" s="47"/>
      <c r="L61" s="47"/>
      <c r="M61" s="47"/>
    </row>
    <row r="62" spans="2:13" ht="15" customHeight="1" x14ac:dyDescent="0.3">
      <c r="B62" s="123" t="s">
        <v>263</v>
      </c>
      <c r="C62" s="47"/>
      <c r="D62" s="59">
        <v>3000</v>
      </c>
      <c r="E62" s="59">
        <v>3000</v>
      </c>
      <c r="F62" s="59">
        <v>2000</v>
      </c>
      <c r="G62" s="59">
        <v>1000</v>
      </c>
      <c r="H62" s="59">
        <v>500</v>
      </c>
      <c r="I62" s="70"/>
      <c r="J62" s="47"/>
      <c r="K62" s="47"/>
      <c r="L62" s="47"/>
      <c r="M62" s="47"/>
    </row>
    <row r="63" spans="2:13" ht="15" customHeight="1" thickBot="1" x14ac:dyDescent="0.35">
      <c r="B63" s="47"/>
      <c r="C63" s="47"/>
      <c r="D63" s="63"/>
      <c r="E63" s="63"/>
      <c r="F63" s="63"/>
      <c r="G63" s="63"/>
      <c r="H63" s="63"/>
      <c r="I63" s="63"/>
      <c r="J63" s="47"/>
      <c r="K63" s="47"/>
      <c r="L63" s="47"/>
      <c r="M63" s="47"/>
    </row>
    <row r="64" spans="2:13" ht="15" customHeight="1" thickBot="1" x14ac:dyDescent="0.35">
      <c r="B64" s="190" t="s">
        <v>168</v>
      </c>
      <c r="C64" s="191"/>
      <c r="D64" s="192">
        <f>D59-D62</f>
        <v>-3000</v>
      </c>
      <c r="E64" s="192">
        <f>E59-E62</f>
        <v>8455.2278521201388</v>
      </c>
      <c r="F64" s="192">
        <f>F59-F62</f>
        <v>22314.895984266605</v>
      </c>
      <c r="G64" s="192">
        <f>G59-G62</f>
        <v>35443.506728134882</v>
      </c>
      <c r="H64" s="192">
        <f>H59-H62</f>
        <v>42299.628299264892</v>
      </c>
      <c r="J64" s="47"/>
      <c r="K64" s="47"/>
      <c r="L64" s="47"/>
      <c r="M64" s="47"/>
    </row>
    <row r="65" ht="15" customHeight="1" thickTop="1" x14ac:dyDescent="0.3"/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3F3-11CA-4EAB-B178-18CDD05B6ED8}">
  <sheetPr>
    <tabColor rgb="FF1F3864"/>
  </sheetPr>
  <dimension ref="B2:H88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3" style="1" customWidth="1"/>
    <col min="3" max="8" width="12.59765625" style="1" customWidth="1"/>
    <col min="9" max="16384" width="7.69921875" style="1"/>
  </cols>
  <sheetData>
    <row r="2" spans="2:8" ht="15" customHeight="1" x14ac:dyDescent="0.3">
      <c r="B2" s="121" t="s">
        <v>308</v>
      </c>
      <c r="C2" s="47"/>
      <c r="D2" s="47"/>
      <c r="E2" s="47"/>
      <c r="F2" s="47"/>
      <c r="G2" s="47"/>
      <c r="H2" s="47"/>
    </row>
    <row r="3" spans="2:8" ht="15" customHeight="1" x14ac:dyDescent="0.3">
      <c r="B3" s="129" t="s">
        <v>373</v>
      </c>
      <c r="C3" s="47"/>
      <c r="D3" s="47"/>
      <c r="E3" s="47"/>
      <c r="F3" s="47"/>
      <c r="G3" s="47"/>
      <c r="H3" s="47"/>
    </row>
    <row r="4" spans="2:8" ht="15" customHeight="1" x14ac:dyDescent="0.3">
      <c r="B4" s="75" t="s">
        <v>309</v>
      </c>
      <c r="C4" s="76"/>
      <c r="D4" s="76"/>
      <c r="E4" s="76"/>
      <c r="F4" s="76"/>
      <c r="G4" s="76"/>
      <c r="H4" s="76"/>
    </row>
    <row r="5" spans="2:8" ht="15" customHeight="1" x14ac:dyDescent="0.3">
      <c r="B5" s="113" t="s">
        <v>2</v>
      </c>
      <c r="C5" s="11"/>
      <c r="D5" s="81" t="str">
        <f>'Meta Drivers'!D6</f>
        <v>Base</v>
      </c>
      <c r="E5" s="47"/>
      <c r="F5" s="47"/>
      <c r="G5" s="47"/>
      <c r="H5" s="47"/>
    </row>
    <row r="6" spans="2:8" ht="15" customHeight="1" thickBot="1" x14ac:dyDescent="0.35">
      <c r="B6" s="47"/>
      <c r="C6" s="47"/>
      <c r="D6" s="47"/>
      <c r="E6" s="47"/>
      <c r="F6" s="47"/>
      <c r="G6" s="47"/>
      <c r="H6" s="47"/>
    </row>
    <row r="7" spans="2:8" ht="15" customHeight="1" x14ac:dyDescent="0.3">
      <c r="B7" s="50" t="s">
        <v>310</v>
      </c>
      <c r="C7" s="50"/>
      <c r="D7" s="50"/>
      <c r="E7" s="50"/>
      <c r="F7" s="50"/>
      <c r="G7" s="50"/>
      <c r="H7" s="50"/>
    </row>
    <row r="8" spans="2:8" ht="15" customHeight="1" x14ac:dyDescent="0.3">
      <c r="B8" s="47"/>
      <c r="C8" s="135" t="s">
        <v>311</v>
      </c>
      <c r="D8" s="135" t="s">
        <v>290</v>
      </c>
      <c r="E8" s="135" t="s">
        <v>291</v>
      </c>
      <c r="F8" s="135" t="s">
        <v>292</v>
      </c>
      <c r="G8" s="135" t="s">
        <v>293</v>
      </c>
      <c r="H8" s="135" t="s">
        <v>294</v>
      </c>
    </row>
    <row r="9" spans="2:8" ht="15" customHeight="1" x14ac:dyDescent="0.3">
      <c r="B9" s="47"/>
      <c r="C9" s="47"/>
      <c r="D9" s="47"/>
      <c r="E9" s="47"/>
      <c r="F9" s="47"/>
      <c r="G9" s="47"/>
      <c r="H9" s="47"/>
    </row>
    <row r="10" spans="2:8" ht="15" customHeight="1" x14ac:dyDescent="0.3">
      <c r="B10" s="51" t="s">
        <v>312</v>
      </c>
      <c r="C10" s="52"/>
      <c r="D10" s="52"/>
      <c r="E10" s="52"/>
      <c r="F10" s="52"/>
      <c r="G10" s="52"/>
      <c r="H10" s="52"/>
    </row>
    <row r="11" spans="2:8" ht="15" customHeight="1" x14ac:dyDescent="0.3">
      <c r="B11" s="123" t="s">
        <v>313</v>
      </c>
      <c r="C11" s="66">
        <f ca="1">'Google Model'!E$107</f>
        <v>80102.418232923228</v>
      </c>
      <c r="D11" s="66">
        <f ca="1">'Google Model'!F$107</f>
        <v>91037.297383056051</v>
      </c>
      <c r="E11" s="66">
        <f ca="1">'Google Model'!G$107</f>
        <v>102584.91360078775</v>
      </c>
      <c r="F11" s="66">
        <f ca="1">'Google Model'!H$107</f>
        <v>111214.2329266145</v>
      </c>
      <c r="G11" s="66">
        <f ca="1">'Google Model'!I$107</f>
        <v>123437.82947040524</v>
      </c>
      <c r="H11" s="66">
        <f ca="1">'Google Model'!J$107</f>
        <v>131624.17000910689</v>
      </c>
    </row>
    <row r="12" spans="2:8" ht="15" customHeight="1" x14ac:dyDescent="0.3">
      <c r="B12" s="123" t="s">
        <v>314</v>
      </c>
      <c r="C12" s="66">
        <f>'Google Model'!E$110</f>
        <v>36886.920000000006</v>
      </c>
      <c r="D12" s="66">
        <f>'Google Model'!F$110</f>
        <v>39421.208924999999</v>
      </c>
      <c r="E12" s="66">
        <f>'Google Model'!G$110</f>
        <v>41711.456523749999</v>
      </c>
      <c r="F12" s="66">
        <f>'Google Model'!H$110</f>
        <v>43657.843099921876</v>
      </c>
      <c r="G12" s="66">
        <f>'Google Model'!I$110</f>
        <v>45274.477688395869</v>
      </c>
      <c r="H12" s="66">
        <f>'Google Model'!J$110</f>
        <v>46628.005242337851</v>
      </c>
    </row>
    <row r="13" spans="2:8" ht="15" customHeight="1" x14ac:dyDescent="0.3">
      <c r="B13" s="174" t="s">
        <v>315</v>
      </c>
      <c r="C13" s="176">
        <f t="shared" ref="C13:H13" ca="1" si="0">C11-C12</f>
        <v>43215.498232923223</v>
      </c>
      <c r="D13" s="176">
        <f t="shared" ca="1" si="0"/>
        <v>51616.088458056052</v>
      </c>
      <c r="E13" s="176">
        <f t="shared" ca="1" si="0"/>
        <v>60873.457077037754</v>
      </c>
      <c r="F13" s="176">
        <f t="shared" ca="1" si="0"/>
        <v>67556.389826692612</v>
      </c>
      <c r="G13" s="176">
        <f t="shared" ca="1" si="0"/>
        <v>78163.351782009369</v>
      </c>
      <c r="H13" s="176">
        <f t="shared" ca="1" si="0"/>
        <v>84996.164766769041</v>
      </c>
    </row>
    <row r="14" spans="2:8" ht="15" customHeight="1" x14ac:dyDescent="0.3">
      <c r="B14" s="47"/>
      <c r="C14" s="74"/>
      <c r="D14" s="74"/>
      <c r="E14" s="74"/>
      <c r="F14" s="74"/>
      <c r="G14" s="74"/>
      <c r="H14" s="74"/>
    </row>
    <row r="15" spans="2:8" ht="15" customHeight="1" x14ac:dyDescent="0.3">
      <c r="B15" s="51" t="s">
        <v>316</v>
      </c>
      <c r="C15" s="78"/>
      <c r="D15" s="78"/>
      <c r="E15" s="78"/>
      <c r="F15" s="78"/>
      <c r="G15" s="78"/>
      <c r="H15" s="78"/>
    </row>
    <row r="16" spans="2:8" ht="15" customHeight="1" x14ac:dyDescent="0.3">
      <c r="B16" s="123" t="s">
        <v>313</v>
      </c>
      <c r="C16" s="66">
        <f ca="1">'Meta Model'!E$92</f>
        <v>49183.663302946166</v>
      </c>
      <c r="D16" s="66">
        <f ca="1">'Meta Model'!F$92</f>
        <v>59180.014348507364</v>
      </c>
      <c r="E16" s="66">
        <f ca="1">'Meta Model'!G$92</f>
        <v>66482.18971242987</v>
      </c>
      <c r="F16" s="66">
        <f ca="1">'Meta Model'!H$92</f>
        <v>73778.633139460988</v>
      </c>
      <c r="G16" s="66">
        <f ca="1">'Meta Model'!I$92</f>
        <v>81144.750665985237</v>
      </c>
      <c r="H16" s="66">
        <f ca="1">'Meta Model'!J$92</f>
        <v>88809.919845191078</v>
      </c>
    </row>
    <row r="17" spans="2:8" ht="15" customHeight="1" x14ac:dyDescent="0.3">
      <c r="B17" s="123" t="s">
        <v>314</v>
      </c>
      <c r="C17" s="66">
        <f>'Meta Model'!E$95</f>
        <v>33051.479999999996</v>
      </c>
      <c r="D17" s="66">
        <f>'Meta Model'!F$95</f>
        <v>34749.351724137938</v>
      </c>
      <c r="E17" s="66">
        <f>'Meta Model'!G$95</f>
        <v>36060.55172978506</v>
      </c>
      <c r="F17" s="66">
        <f>'Meta Model'!H$95</f>
        <v>36734.391272727276</v>
      </c>
      <c r="G17" s="66">
        <f>'Meta Model'!I$95</f>
        <v>37867.066924379571</v>
      </c>
      <c r="H17" s="66">
        <f>'Meta Model'!J$95</f>
        <v>38748.897556567586</v>
      </c>
    </row>
    <row r="18" spans="2:8" ht="15" customHeight="1" x14ac:dyDescent="0.3">
      <c r="B18" s="174" t="s">
        <v>317</v>
      </c>
      <c r="C18" s="176">
        <f t="shared" ref="C18:H18" ca="1" si="1">C16-C17</f>
        <v>16132.18330294617</v>
      </c>
      <c r="D18" s="176">
        <f t="shared" ca="1" si="1"/>
        <v>24430.662624369426</v>
      </c>
      <c r="E18" s="176">
        <f t="shared" ca="1" si="1"/>
        <v>30421.63798264481</v>
      </c>
      <c r="F18" s="176">
        <f t="shared" ca="1" si="1"/>
        <v>37044.241866733712</v>
      </c>
      <c r="G18" s="176">
        <f t="shared" ca="1" si="1"/>
        <v>43277.683741605666</v>
      </c>
      <c r="H18" s="176">
        <f t="shared" ca="1" si="1"/>
        <v>50061.022288623491</v>
      </c>
    </row>
    <row r="19" spans="2:8" ht="15" customHeight="1" x14ac:dyDescent="0.3">
      <c r="B19" s="47"/>
      <c r="C19" s="74"/>
      <c r="D19" s="74"/>
      <c r="E19" s="74"/>
      <c r="F19" s="74"/>
      <c r="G19" s="74"/>
      <c r="H19" s="74"/>
    </row>
    <row r="20" spans="2:8" ht="15" customHeight="1" x14ac:dyDescent="0.3">
      <c r="B20" s="51" t="s">
        <v>318</v>
      </c>
      <c r="C20" s="78"/>
      <c r="D20" s="78"/>
      <c r="E20" s="78"/>
      <c r="F20" s="78"/>
      <c r="G20" s="78"/>
      <c r="H20" s="78"/>
    </row>
    <row r="21" spans="2:8" ht="15" customHeight="1" x14ac:dyDescent="0.3">
      <c r="B21" s="123" t="s">
        <v>319</v>
      </c>
      <c r="C21" s="59">
        <v>0</v>
      </c>
      <c r="D21" s="66">
        <f>'Deal Inputs'!D$62</f>
        <v>5000</v>
      </c>
      <c r="E21" s="66">
        <f>'Deal Inputs'!E$62</f>
        <v>16700</v>
      </c>
      <c r="F21" s="66">
        <f>'Deal Inputs'!F$62</f>
        <v>27000</v>
      </c>
      <c r="G21" s="66">
        <f>'Deal Inputs'!G$62</f>
        <v>32700</v>
      </c>
      <c r="H21" s="66">
        <f>'Deal Inputs'!H$62</f>
        <v>37700</v>
      </c>
    </row>
    <row r="22" spans="2:8" ht="15" customHeight="1" x14ac:dyDescent="0.3">
      <c r="B22" s="47"/>
      <c r="C22" s="74"/>
      <c r="D22" s="74"/>
      <c r="E22" s="74"/>
      <c r="F22" s="74"/>
      <c r="G22" s="74"/>
      <c r="H22" s="74"/>
    </row>
    <row r="23" spans="2:8" ht="15" customHeight="1" x14ac:dyDescent="0.3">
      <c r="B23" s="197" t="s">
        <v>320</v>
      </c>
      <c r="C23" s="179">
        <f t="shared" ref="C23:H23" ca="1" si="2">C13+C18+C21</f>
        <v>59347.681535869393</v>
      </c>
      <c r="D23" s="179">
        <f t="shared" ca="1" si="2"/>
        <v>81046.751082425471</v>
      </c>
      <c r="E23" s="179">
        <f t="shared" ca="1" si="2"/>
        <v>107995.09505968256</v>
      </c>
      <c r="F23" s="179">
        <f t="shared" ca="1" si="2"/>
        <v>131600.63169342632</v>
      </c>
      <c r="G23" s="179">
        <f t="shared" ca="1" si="2"/>
        <v>154141.03552361502</v>
      </c>
      <c r="H23" s="179">
        <f t="shared" ca="1" si="2"/>
        <v>172757.18705539254</v>
      </c>
    </row>
    <row r="24" spans="2:8" ht="15" customHeight="1" x14ac:dyDescent="0.3">
      <c r="B24" s="47"/>
      <c r="C24" s="47"/>
      <c r="D24" s="47"/>
      <c r="E24" s="47"/>
      <c r="F24" s="47"/>
      <c r="G24" s="47"/>
      <c r="H24" s="47"/>
    </row>
    <row r="25" spans="2:8" ht="15" customHeight="1" thickBot="1" x14ac:dyDescent="0.35">
      <c r="B25" s="47"/>
      <c r="C25" s="47"/>
      <c r="D25" s="47"/>
      <c r="E25" s="47"/>
      <c r="F25" s="47"/>
      <c r="G25" s="47"/>
      <c r="H25" s="47"/>
    </row>
    <row r="26" spans="2:8" ht="15" customHeight="1" x14ac:dyDescent="0.3">
      <c r="B26" s="50" t="s">
        <v>321</v>
      </c>
      <c r="C26" s="50"/>
      <c r="D26" s="50"/>
      <c r="E26" s="50"/>
      <c r="F26" s="50"/>
      <c r="G26" s="50"/>
      <c r="H26" s="50"/>
    </row>
    <row r="27" spans="2:8" ht="15" customHeight="1" x14ac:dyDescent="0.3">
      <c r="B27" s="47"/>
      <c r="C27" s="47"/>
      <c r="D27" s="47"/>
      <c r="E27" s="47"/>
      <c r="F27" s="47"/>
      <c r="G27" s="47"/>
      <c r="H27" s="47"/>
    </row>
    <row r="28" spans="2:8" ht="15" customHeight="1" x14ac:dyDescent="0.3">
      <c r="B28" s="51" t="s">
        <v>322</v>
      </c>
      <c r="C28" s="52"/>
      <c r="D28" s="52"/>
      <c r="E28" s="52"/>
      <c r="F28" s="52"/>
      <c r="G28" s="52"/>
      <c r="H28" s="52"/>
    </row>
    <row r="29" spans="2:8" ht="15" customHeight="1" x14ac:dyDescent="0.3">
      <c r="B29" s="123" t="s">
        <v>11</v>
      </c>
      <c r="C29" s="47"/>
      <c r="D29" s="57">
        <v>7.0000000000000007E-2</v>
      </c>
      <c r="E29" s="47"/>
      <c r="F29" s="47"/>
      <c r="G29" s="47"/>
      <c r="H29" s="47"/>
    </row>
    <row r="30" spans="2:8" ht="15" customHeight="1" x14ac:dyDescent="0.3">
      <c r="B30" s="123" t="s">
        <v>3</v>
      </c>
      <c r="C30" s="47"/>
      <c r="D30" s="57">
        <v>7.4999999999999997E-2</v>
      </c>
      <c r="E30" s="47"/>
      <c r="F30" s="47"/>
      <c r="G30" s="47"/>
      <c r="H30" s="47"/>
    </row>
    <row r="31" spans="2:8" ht="15" customHeight="1" x14ac:dyDescent="0.3">
      <c r="B31" s="123" t="s">
        <v>10</v>
      </c>
      <c r="C31" s="47"/>
      <c r="D31" s="57">
        <v>0.08</v>
      </c>
      <c r="E31" s="47"/>
      <c r="F31" s="47"/>
      <c r="G31" s="47"/>
      <c r="H31" s="47"/>
    </row>
    <row r="32" spans="2:8" ht="15" customHeight="1" x14ac:dyDescent="0.3">
      <c r="B32" s="47"/>
      <c r="C32" s="47"/>
      <c r="D32" s="47"/>
      <c r="E32" s="47"/>
      <c r="F32" s="47"/>
      <c r="G32" s="47"/>
      <c r="H32" s="47"/>
    </row>
    <row r="33" spans="2:8" ht="15" customHeight="1" x14ac:dyDescent="0.3">
      <c r="B33" s="51" t="s">
        <v>323</v>
      </c>
      <c r="C33" s="52"/>
      <c r="D33" s="52"/>
      <c r="E33" s="52"/>
      <c r="F33" s="52"/>
      <c r="G33" s="52"/>
      <c r="H33" s="52"/>
    </row>
    <row r="34" spans="2:8" ht="15" customHeight="1" x14ac:dyDescent="0.3">
      <c r="B34" s="123" t="s">
        <v>11</v>
      </c>
      <c r="C34" s="47"/>
      <c r="D34" s="57">
        <v>0.02</v>
      </c>
      <c r="E34" s="47"/>
      <c r="F34" s="47"/>
      <c r="G34" s="47"/>
      <c r="H34" s="47"/>
    </row>
    <row r="35" spans="2:8" ht="15" customHeight="1" x14ac:dyDescent="0.3">
      <c r="B35" s="123" t="s">
        <v>3</v>
      </c>
      <c r="C35" s="47"/>
      <c r="D35" s="57">
        <v>2.5000000000000001E-2</v>
      </c>
      <c r="E35" s="47"/>
      <c r="F35" s="47"/>
      <c r="G35" s="47"/>
      <c r="H35" s="47"/>
    </row>
    <row r="36" spans="2:8" ht="15" customHeight="1" x14ac:dyDescent="0.3">
      <c r="B36" s="123" t="s">
        <v>10</v>
      </c>
      <c r="C36" s="47"/>
      <c r="D36" s="57">
        <v>0.03</v>
      </c>
      <c r="E36" s="47"/>
      <c r="F36" s="47"/>
      <c r="G36" s="47"/>
      <c r="H36" s="47"/>
    </row>
    <row r="37" spans="2:8" ht="15" customHeight="1" x14ac:dyDescent="0.3">
      <c r="B37" s="47"/>
      <c r="C37" s="47"/>
      <c r="D37" s="47"/>
      <c r="E37" s="47"/>
      <c r="F37" s="47"/>
      <c r="G37" s="47"/>
      <c r="H37" s="47"/>
    </row>
    <row r="38" spans="2:8" ht="15" customHeight="1" x14ac:dyDescent="0.3">
      <c r="B38" s="65" t="s">
        <v>324</v>
      </c>
      <c r="C38" s="52"/>
      <c r="D38" s="52"/>
      <c r="E38" s="52"/>
      <c r="F38" s="52"/>
      <c r="G38" s="52"/>
      <c r="H38" s="52"/>
    </row>
    <row r="39" spans="2:8" ht="15" customHeight="1" x14ac:dyDescent="0.3">
      <c r="B39" s="130" t="s">
        <v>325</v>
      </c>
      <c r="C39" s="47"/>
      <c r="D39" s="136">
        <f>INDEX($D$29:$D$31,MATCH($D$5,$B$29:$B$31))</f>
        <v>7.4999999999999997E-2</v>
      </c>
      <c r="E39" s="47"/>
      <c r="F39" s="47"/>
      <c r="G39" s="47"/>
      <c r="H39" s="47"/>
    </row>
    <row r="40" spans="2:8" ht="15" customHeight="1" x14ac:dyDescent="0.3">
      <c r="B40" s="130" t="s">
        <v>326</v>
      </c>
      <c r="C40" s="47"/>
      <c r="D40" s="136">
        <f>INDEX($D$34:$D$36,MATCH($D$5,$B$34:$B$36))</f>
        <v>2.5000000000000001E-2</v>
      </c>
      <c r="E40" s="47"/>
      <c r="F40" s="47"/>
      <c r="G40" s="47"/>
      <c r="H40" s="47"/>
    </row>
    <row r="41" spans="2:8" ht="15" customHeight="1" x14ac:dyDescent="0.3">
      <c r="B41" s="47"/>
      <c r="C41" s="47"/>
      <c r="D41" s="47"/>
      <c r="E41" s="47"/>
      <c r="F41" s="47"/>
      <c r="G41" s="47"/>
      <c r="H41" s="47"/>
    </row>
    <row r="42" spans="2:8" ht="15" customHeight="1" thickBot="1" x14ac:dyDescent="0.35">
      <c r="B42" s="47"/>
      <c r="C42" s="47"/>
      <c r="D42" s="47"/>
      <c r="E42" s="47"/>
      <c r="F42" s="47"/>
      <c r="G42" s="47"/>
      <c r="H42" s="47"/>
    </row>
    <row r="43" spans="2:8" ht="15" customHeight="1" x14ac:dyDescent="0.3">
      <c r="B43" s="50" t="s">
        <v>327</v>
      </c>
      <c r="C43" s="50"/>
      <c r="D43" s="50"/>
      <c r="E43" s="50"/>
      <c r="F43" s="50"/>
      <c r="G43" s="50"/>
      <c r="H43" s="50"/>
    </row>
    <row r="44" spans="2:8" ht="15" customHeight="1" x14ac:dyDescent="0.3">
      <c r="B44" s="47"/>
      <c r="C44" s="47"/>
      <c r="D44" s="47"/>
      <c r="E44" s="47"/>
      <c r="F44" s="47"/>
      <c r="G44" s="47"/>
      <c r="H44" s="47"/>
    </row>
    <row r="45" spans="2:8" ht="15" customHeight="1" x14ac:dyDescent="0.3">
      <c r="B45" s="130" t="s">
        <v>328</v>
      </c>
      <c r="C45" s="58">
        <v>0</v>
      </c>
      <c r="D45" s="58">
        <v>1</v>
      </c>
      <c r="E45" s="58">
        <v>2</v>
      </c>
      <c r="F45" s="58">
        <v>3</v>
      </c>
      <c r="G45" s="58">
        <v>4</v>
      </c>
      <c r="H45" s="58">
        <v>5</v>
      </c>
    </row>
    <row r="46" spans="2:8" ht="15" customHeight="1" x14ac:dyDescent="0.3">
      <c r="B46" s="130" t="s">
        <v>329</v>
      </c>
      <c r="C46" s="137">
        <v>1</v>
      </c>
      <c r="D46" s="138">
        <f>1/(1+$D$39)^D45</f>
        <v>0.93023255813953487</v>
      </c>
      <c r="E46" s="138">
        <f>1/(1+$D$39)^E45</f>
        <v>0.86533261222282321</v>
      </c>
      <c r="F46" s="138">
        <f>1/(1+$D$39)^F45</f>
        <v>0.80496056950960304</v>
      </c>
      <c r="G46" s="138">
        <f>1/(1+$D$39)^G45</f>
        <v>0.7488005297763749</v>
      </c>
      <c r="H46" s="138">
        <f>1/(1+$D$39)^H45</f>
        <v>0.69655863235011617</v>
      </c>
    </row>
    <row r="47" spans="2:8" ht="15" customHeight="1" x14ac:dyDescent="0.3">
      <c r="B47" s="47"/>
      <c r="C47" s="47"/>
      <c r="D47" s="47"/>
      <c r="E47" s="47"/>
      <c r="F47" s="47"/>
      <c r="G47" s="47"/>
      <c r="H47" s="47"/>
    </row>
    <row r="48" spans="2:8" ht="15" customHeight="1" x14ac:dyDescent="0.3">
      <c r="B48" s="189" t="s">
        <v>330</v>
      </c>
      <c r="C48" s="198"/>
      <c r="D48" s="176">
        <f ca="1">D$23*D$46</f>
        <v>75392.326588302763</v>
      </c>
      <c r="E48" s="176">
        <f ca="1">E$23*E$46</f>
        <v>93451.67771524722</v>
      </c>
      <c r="F48" s="176">
        <f ca="1">F$23*F$46</f>
        <v>105933.31943576396</v>
      </c>
      <c r="G48" s="176">
        <f ca="1">G$23*G$46</f>
        <v>115420.88906036195</v>
      </c>
      <c r="H48" s="176">
        <f ca="1">H$23*H$46</f>
        <v>120335.50994395743</v>
      </c>
    </row>
    <row r="49" spans="2:8" ht="15" customHeight="1" x14ac:dyDescent="0.3">
      <c r="B49" s="47"/>
      <c r="C49" s="47"/>
      <c r="D49" s="47"/>
      <c r="E49" s="47"/>
      <c r="F49" s="47"/>
      <c r="G49" s="47"/>
      <c r="H49" s="47"/>
    </row>
    <row r="50" spans="2:8" ht="15" customHeight="1" x14ac:dyDescent="0.3">
      <c r="B50" s="79" t="s">
        <v>331</v>
      </c>
      <c r="C50" s="52"/>
      <c r="D50" s="52"/>
      <c r="E50" s="52"/>
      <c r="F50" s="52"/>
      <c r="G50" s="52"/>
      <c r="H50" s="52"/>
    </row>
    <row r="51" spans="2:8" ht="15" customHeight="1" x14ac:dyDescent="0.3">
      <c r="B51" s="184" t="s">
        <v>332</v>
      </c>
      <c r="C51" s="175"/>
      <c r="D51" s="176">
        <f ca="1">$H$23</f>
        <v>172757.18705539254</v>
      </c>
      <c r="E51" s="175"/>
      <c r="F51" s="175"/>
      <c r="G51" s="175"/>
      <c r="H51" s="175"/>
    </row>
    <row r="52" spans="2:8" ht="15" customHeight="1" x14ac:dyDescent="0.3">
      <c r="B52" s="184" t="s">
        <v>333</v>
      </c>
      <c r="C52" s="175"/>
      <c r="D52" s="176">
        <f ca="1">D51*(1+D40)</f>
        <v>177076.11673177735</v>
      </c>
      <c r="E52" s="175"/>
      <c r="F52" s="175"/>
      <c r="G52" s="175"/>
      <c r="H52" s="175"/>
    </row>
    <row r="53" spans="2:8" ht="15" customHeight="1" x14ac:dyDescent="0.3">
      <c r="B53" s="130" t="s">
        <v>334</v>
      </c>
      <c r="C53" s="47"/>
      <c r="D53" s="126">
        <f ca="1">D52/(D39-D40)</f>
        <v>3541522.3346355474</v>
      </c>
      <c r="E53" s="47"/>
      <c r="F53" s="47"/>
      <c r="G53" s="47"/>
      <c r="H53" s="47"/>
    </row>
    <row r="54" spans="2:8" ht="15" customHeight="1" x14ac:dyDescent="0.3">
      <c r="B54" s="189" t="s">
        <v>335</v>
      </c>
      <c r="C54" s="175"/>
      <c r="D54" s="176">
        <f ca="1">D53*H46</f>
        <v>2466877.9538511275</v>
      </c>
      <c r="E54" s="175"/>
      <c r="F54" s="175"/>
      <c r="G54" s="175"/>
      <c r="H54" s="175"/>
    </row>
    <row r="55" spans="2:8" ht="15" customHeight="1" x14ac:dyDescent="0.3">
      <c r="B55" s="47"/>
      <c r="C55" s="47"/>
      <c r="D55" s="47"/>
      <c r="E55" s="47"/>
      <c r="F55" s="47"/>
      <c r="G55" s="47"/>
      <c r="H55" s="47"/>
    </row>
    <row r="56" spans="2:8" ht="15" customHeight="1" thickBot="1" x14ac:dyDescent="0.35">
      <c r="B56" s="47"/>
      <c r="C56" s="47"/>
      <c r="D56" s="47"/>
      <c r="E56" s="47"/>
      <c r="F56" s="47"/>
      <c r="G56" s="47"/>
      <c r="H56" s="47"/>
    </row>
    <row r="57" spans="2:8" ht="15" customHeight="1" x14ac:dyDescent="0.3">
      <c r="B57" s="50" t="s">
        <v>336</v>
      </c>
      <c r="C57" s="50"/>
      <c r="D57" s="50"/>
      <c r="E57" s="50"/>
      <c r="F57" s="50"/>
      <c r="G57" s="50"/>
      <c r="H57" s="50"/>
    </row>
    <row r="58" spans="2:8" ht="15" customHeight="1" x14ac:dyDescent="0.3">
      <c r="B58" s="47"/>
      <c r="C58" s="47"/>
      <c r="D58" s="47"/>
      <c r="E58" s="47"/>
      <c r="F58" s="47"/>
      <c r="G58" s="47"/>
      <c r="H58" s="47"/>
    </row>
    <row r="59" spans="2:8" ht="15" customHeight="1" x14ac:dyDescent="0.3">
      <c r="B59" s="65" t="s">
        <v>337</v>
      </c>
      <c r="C59" s="52"/>
      <c r="D59" s="52"/>
      <c r="E59" s="52"/>
      <c r="F59" s="52"/>
      <c r="G59" s="52"/>
      <c r="H59" s="52"/>
    </row>
    <row r="60" spans="2:8" ht="15" customHeight="1" x14ac:dyDescent="0.3">
      <c r="B60" s="184" t="s">
        <v>338</v>
      </c>
      <c r="C60" s="175"/>
      <c r="D60" s="176">
        <f ca="1">SUM(D48:H48)</f>
        <v>510533.72274363338</v>
      </c>
      <c r="E60" s="175"/>
      <c r="F60" s="175"/>
      <c r="G60" s="175"/>
      <c r="H60" s="175"/>
    </row>
    <row r="61" spans="2:8" ht="15" customHeight="1" x14ac:dyDescent="0.3">
      <c r="B61" s="130" t="s">
        <v>335</v>
      </c>
      <c r="C61" s="47"/>
      <c r="D61" s="126" cm="1">
        <f t="array" aca="1" ref="D61" ca="1">D54</f>
        <v>2466877.9538511275</v>
      </c>
      <c r="E61" s="47"/>
      <c r="F61" s="47"/>
      <c r="G61" s="47"/>
      <c r="H61" s="47"/>
    </row>
    <row r="62" spans="2:8" ht="15" customHeight="1" x14ac:dyDescent="0.3">
      <c r="B62" s="197" t="s">
        <v>339</v>
      </c>
      <c r="C62" s="180"/>
      <c r="D62" s="179">
        <f ca="1">D60+D61</f>
        <v>2977411.6765947607</v>
      </c>
      <c r="E62" s="180"/>
      <c r="F62" s="180"/>
      <c r="G62" s="180"/>
      <c r="H62" s="180"/>
    </row>
    <row r="63" spans="2:8" ht="15" customHeight="1" x14ac:dyDescent="0.3">
      <c r="B63" s="47"/>
      <c r="C63" s="47"/>
      <c r="D63" s="47"/>
      <c r="E63" s="47"/>
      <c r="F63" s="47"/>
      <c r="G63" s="47"/>
      <c r="H63" s="47"/>
    </row>
    <row r="64" spans="2:8" ht="15" customHeight="1" x14ac:dyDescent="0.3">
      <c r="B64" s="65" t="s">
        <v>340</v>
      </c>
      <c r="C64" s="52"/>
      <c r="D64" s="52"/>
      <c r="E64" s="52"/>
      <c r="F64" s="52"/>
      <c r="G64" s="52"/>
      <c r="H64" s="52"/>
    </row>
    <row r="65" spans="2:8" ht="15" customHeight="1" x14ac:dyDescent="0.3">
      <c r="B65" s="184" t="s">
        <v>341</v>
      </c>
      <c r="C65" s="175"/>
      <c r="D65" s="176" cm="1">
        <f t="array" aca="1" ref="D65" ca="1">D62</f>
        <v>2977411.6765947607</v>
      </c>
      <c r="E65" s="175"/>
      <c r="F65" s="175"/>
      <c r="G65" s="175"/>
      <c r="H65" s="175"/>
    </row>
    <row r="66" spans="2:8" ht="15" customHeight="1" x14ac:dyDescent="0.3">
      <c r="B66" s="184" t="s">
        <v>342</v>
      </c>
      <c r="C66" s="175"/>
      <c r="D66" s="185">
        <f ca="1">-'Google Model'!$F$128*1000</f>
        <v>107779.15489807047</v>
      </c>
      <c r="E66" s="175"/>
      <c r="F66" s="175"/>
      <c r="G66" s="175"/>
      <c r="H66" s="175"/>
    </row>
    <row r="67" spans="2:8" ht="15" customHeight="1" x14ac:dyDescent="0.3">
      <c r="B67" s="184" t="s">
        <v>343</v>
      </c>
      <c r="C67" s="175"/>
      <c r="D67" s="185">
        <f ca="1">-'Meta Model'!$F$113*1000</f>
        <v>42259.104692759422</v>
      </c>
      <c r="E67" s="175"/>
      <c r="F67" s="175"/>
      <c r="G67" s="175"/>
      <c r="H67" s="175"/>
    </row>
    <row r="68" spans="2:8" ht="15" customHeight="1" x14ac:dyDescent="0.3">
      <c r="B68" s="197" t="s">
        <v>344</v>
      </c>
      <c r="C68" s="180"/>
      <c r="D68" s="179">
        <f ca="1">D65+D66+D67</f>
        <v>3127449.9361855905</v>
      </c>
      <c r="E68" s="180"/>
      <c r="F68" s="180"/>
      <c r="G68" s="180"/>
      <c r="H68" s="180"/>
    </row>
    <row r="69" spans="2:8" ht="15" customHeight="1" thickBot="1" x14ac:dyDescent="0.35">
      <c r="B69" s="47"/>
      <c r="C69" s="47"/>
      <c r="D69" s="47"/>
      <c r="E69" s="47"/>
      <c r="F69" s="47"/>
      <c r="G69" s="47"/>
      <c r="H69" s="47"/>
    </row>
    <row r="70" spans="2:8" ht="15" customHeight="1" x14ac:dyDescent="0.3">
      <c r="B70" s="77" t="s">
        <v>345</v>
      </c>
      <c r="C70" s="52"/>
      <c r="D70" s="52"/>
      <c r="E70" s="52"/>
      <c r="F70" s="52"/>
      <c r="G70" s="52"/>
      <c r="H70" s="52"/>
    </row>
    <row r="71" spans="2:8" ht="15" customHeight="1" x14ac:dyDescent="0.3">
      <c r="B71" s="184" t="s">
        <v>346</v>
      </c>
      <c r="C71" s="175"/>
      <c r="D71" s="176">
        <f ca="1">D62/1000</f>
        <v>2977.4116765947606</v>
      </c>
      <c r="E71" s="175"/>
      <c r="F71" s="175"/>
      <c r="G71" s="175"/>
      <c r="H71" s="175"/>
    </row>
    <row r="72" spans="2:8" ht="15" customHeight="1" x14ac:dyDescent="0.3">
      <c r="B72" s="184" t="s">
        <v>347</v>
      </c>
      <c r="C72" s="175"/>
      <c r="D72" s="176">
        <f ca="1">D68/1000</f>
        <v>3127.4499361855906</v>
      </c>
      <c r="E72" s="175"/>
      <c r="F72" s="175"/>
      <c r="G72" s="175"/>
      <c r="H72" s="175"/>
    </row>
    <row r="73" spans="2:8" ht="15" customHeight="1" x14ac:dyDescent="0.3">
      <c r="B73" s="47"/>
      <c r="C73" s="47"/>
      <c r="D73" s="63"/>
      <c r="E73" s="47"/>
      <c r="F73" s="47"/>
      <c r="G73" s="47"/>
      <c r="H73" s="47"/>
    </row>
    <row r="74" spans="2:8" ht="15" customHeight="1" x14ac:dyDescent="0.3">
      <c r="B74" s="65" t="s">
        <v>348</v>
      </c>
      <c r="C74" s="52"/>
      <c r="D74" s="71"/>
      <c r="E74" s="52"/>
      <c r="F74" s="52"/>
      <c r="G74" s="52"/>
      <c r="H74" s="52"/>
    </row>
    <row r="75" spans="2:8" ht="15" customHeight="1" x14ac:dyDescent="0.3">
      <c r="B75" s="130" t="s">
        <v>349</v>
      </c>
      <c r="C75" s="47"/>
      <c r="D75" s="66">
        <f>'Google Model'!$F$127</f>
        <v>2980</v>
      </c>
      <c r="E75" s="47"/>
      <c r="F75" s="47"/>
      <c r="G75" s="47"/>
      <c r="H75" s="47"/>
    </row>
    <row r="76" spans="2:8" ht="15" customHeight="1" x14ac:dyDescent="0.3">
      <c r="B76" s="130" t="s">
        <v>350</v>
      </c>
      <c r="C76" s="47"/>
      <c r="D76" s="66">
        <f>'Meta Model'!F112</f>
        <v>1830</v>
      </c>
      <c r="E76" s="47"/>
      <c r="F76" s="47"/>
      <c r="G76" s="47"/>
      <c r="H76" s="47"/>
    </row>
    <row r="77" spans="2:8" ht="15" customHeight="1" x14ac:dyDescent="0.3">
      <c r="B77" s="189" t="s">
        <v>351</v>
      </c>
      <c r="C77" s="175"/>
      <c r="D77" s="176">
        <f>D75+D76</f>
        <v>4810</v>
      </c>
      <c r="E77" s="175"/>
      <c r="F77" s="175"/>
      <c r="G77" s="175"/>
      <c r="H77" s="175"/>
    </row>
    <row r="78" spans="2:8" ht="15" customHeight="1" x14ac:dyDescent="0.3">
      <c r="B78" s="47"/>
      <c r="C78" s="47"/>
      <c r="D78" s="47"/>
      <c r="E78" s="47"/>
      <c r="F78" s="47"/>
      <c r="G78" s="47"/>
      <c r="H78" s="47"/>
    </row>
    <row r="79" spans="2:8" ht="15" customHeight="1" x14ac:dyDescent="0.3">
      <c r="B79" s="189" t="s">
        <v>352</v>
      </c>
      <c r="C79" s="175"/>
      <c r="D79" s="199">
        <f ca="1">(D72-D77)/D77</f>
        <v>-0.34980250806952379</v>
      </c>
      <c r="E79" s="175"/>
      <c r="F79" s="175"/>
      <c r="G79" s="175"/>
      <c r="H79" s="175"/>
    </row>
    <row r="80" spans="2:8" ht="15" customHeight="1" x14ac:dyDescent="0.3">
      <c r="B80" s="47"/>
      <c r="C80" s="47"/>
      <c r="D80" s="47"/>
      <c r="E80" s="47"/>
      <c r="F80" s="47"/>
      <c r="G80" s="47"/>
      <c r="H80" s="47"/>
    </row>
    <row r="81" spans="2:8" ht="15" customHeight="1" thickBot="1" x14ac:dyDescent="0.35">
      <c r="B81" s="47"/>
      <c r="C81" s="47"/>
      <c r="D81" s="47"/>
      <c r="E81" s="47"/>
      <c r="F81" s="47"/>
      <c r="G81" s="47"/>
      <c r="H81" s="47"/>
    </row>
    <row r="82" spans="2:8" ht="15" customHeight="1" x14ac:dyDescent="0.3">
      <c r="B82" s="50" t="s">
        <v>353</v>
      </c>
      <c r="C82" s="50"/>
      <c r="D82" s="50"/>
      <c r="E82" s="50"/>
      <c r="F82" s="50"/>
      <c r="G82" s="50"/>
      <c r="H82" s="50"/>
    </row>
    <row r="83" spans="2:8" ht="15" customHeight="1" x14ac:dyDescent="0.3">
      <c r="B83" s="47"/>
      <c r="C83" s="47"/>
      <c r="D83" s="47"/>
      <c r="E83" s="47"/>
      <c r="F83" s="47"/>
      <c r="G83" s="47"/>
      <c r="H83" s="47"/>
    </row>
    <row r="84" spans="2:8" ht="15" customHeight="1" x14ac:dyDescent="0.3">
      <c r="B84" s="75" t="s">
        <v>356</v>
      </c>
      <c r="C84" s="76"/>
      <c r="D84" s="80" t="s">
        <v>354</v>
      </c>
      <c r="E84" s="76"/>
      <c r="F84" s="76"/>
      <c r="G84" s="76"/>
      <c r="H84" s="76"/>
    </row>
    <row r="85" spans="2:8" ht="15" customHeight="1" x14ac:dyDescent="0.3">
      <c r="B85" s="47"/>
      <c r="C85" s="139">
        <f ca="1">$D$79</f>
        <v>-0.34980250806952379</v>
      </c>
      <c r="D85" s="82">
        <v>0.02</v>
      </c>
      <c r="E85" s="82">
        <v>2.5000000000000001E-2</v>
      </c>
      <c r="F85" s="82">
        <v>0.03</v>
      </c>
      <c r="G85" s="47"/>
      <c r="H85" s="47"/>
    </row>
    <row r="86" spans="2:8" ht="15" customHeight="1" x14ac:dyDescent="0.3">
      <c r="B86" s="133" t="s">
        <v>355</v>
      </c>
      <c r="C86" s="140">
        <v>7.0000000000000007E-2</v>
      </c>
      <c r="D86" s="141">
        <f t="dataTable" ref="D86:F88" dt2D="1" dtr="1" r1="D40" r2="D39" ca="1"/>
        <v>-0.3386608364830882</v>
      </c>
      <c r="E86" s="141">
        <v>-0.27777119414011864</v>
      </c>
      <c r="F86" s="141">
        <v>-0.20165914121140679</v>
      </c>
      <c r="G86" s="47"/>
      <c r="H86" s="47"/>
    </row>
    <row r="87" spans="2:8" ht="15" customHeight="1" x14ac:dyDescent="0.3">
      <c r="B87" s="47"/>
      <c r="C87" s="140">
        <v>7.4999999999999997E-2</v>
      </c>
      <c r="D87" s="141">
        <v>-0.39870089143363424</v>
      </c>
      <c r="E87" s="142">
        <v>-0.34980250806952379</v>
      </c>
      <c r="F87" s="141">
        <v>-0.29003781729116668</v>
      </c>
      <c r="G87" s="47"/>
      <c r="H87" s="47"/>
    </row>
    <row r="88" spans="2:8" ht="15" customHeight="1" x14ac:dyDescent="0.3">
      <c r="B88" s="47"/>
      <c r="C88" s="140">
        <v>0.08</v>
      </c>
      <c r="D88" s="141">
        <v>-0.44869053674936654</v>
      </c>
      <c r="E88" s="141">
        <v>-0.40869126447227511</v>
      </c>
      <c r="F88" s="141">
        <v>-0.36069213773976533</v>
      </c>
      <c r="G88" s="47"/>
      <c r="H88" s="47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F77B-4094-4883-8EB5-8D036F58E1B9}">
  <sheetPr>
    <tabColor rgb="FF1F3864"/>
  </sheetPr>
  <dimension ref="A1:H27"/>
  <sheetViews>
    <sheetView showGridLines="0" zoomScaleNormal="100" workbookViewId="0"/>
  </sheetViews>
  <sheetFormatPr defaultRowHeight="15.6" x14ac:dyDescent="0.3"/>
  <cols>
    <col min="2" max="2" width="50" customWidth="1"/>
    <col min="3" max="7" width="11.59765625" customWidth="1"/>
  </cols>
  <sheetData>
    <row r="1" spans="1:8" x14ac:dyDescent="0.3">
      <c r="A1" s="47"/>
      <c r="B1" s="47"/>
      <c r="C1" s="47"/>
      <c r="D1" s="83"/>
      <c r="E1" s="47"/>
      <c r="F1" s="47"/>
      <c r="G1" s="99">
        <v>0</v>
      </c>
      <c r="H1" s="99">
        <v>1</v>
      </c>
    </row>
    <row r="2" spans="1:8" ht="18" x14ac:dyDescent="0.3">
      <c r="A2" s="47"/>
      <c r="B2" s="121" t="s">
        <v>357</v>
      </c>
      <c r="C2" s="84"/>
      <c r="D2" s="85"/>
      <c r="E2" s="84"/>
      <c r="F2" s="84"/>
      <c r="G2" s="84"/>
      <c r="H2" s="47"/>
    </row>
    <row r="3" spans="1:8" x14ac:dyDescent="0.3">
      <c r="A3" s="47"/>
      <c r="B3" s="129" t="s">
        <v>374</v>
      </c>
      <c r="C3" s="84"/>
      <c r="D3" s="85"/>
      <c r="E3" s="84"/>
      <c r="F3" s="84"/>
      <c r="G3" s="84"/>
      <c r="H3" s="47"/>
    </row>
    <row r="4" spans="1:8" x14ac:dyDescent="0.3">
      <c r="A4" s="47"/>
      <c r="B4" s="84"/>
      <c r="C4" s="84"/>
      <c r="D4" s="85"/>
      <c r="E4" s="84"/>
      <c r="F4" s="84"/>
      <c r="G4" s="84"/>
      <c r="H4" s="47"/>
    </row>
    <row r="5" spans="1:8" x14ac:dyDescent="0.3">
      <c r="A5" s="47"/>
      <c r="B5" s="143" t="s">
        <v>358</v>
      </c>
      <c r="C5" s="93"/>
      <c r="D5" s="94"/>
      <c r="E5" s="11"/>
      <c r="F5" s="113" t="s">
        <v>359</v>
      </c>
      <c r="G5" s="204">
        <v>1</v>
      </c>
      <c r="H5" s="47"/>
    </row>
    <row r="6" spans="1:8" x14ac:dyDescent="0.3">
      <c r="A6" s="47"/>
      <c r="B6" s="47"/>
      <c r="C6" s="47"/>
      <c r="D6" s="83"/>
      <c r="E6" s="11"/>
      <c r="F6" s="11"/>
      <c r="G6" s="11"/>
      <c r="H6" s="47"/>
    </row>
    <row r="7" spans="1:8" x14ac:dyDescent="0.3">
      <c r="A7" s="47"/>
      <c r="B7" s="144" t="s">
        <v>360</v>
      </c>
      <c r="C7" s="84"/>
      <c r="D7" s="86">
        <f>'Deal Inputs'!$D$21/1000000</f>
        <v>1.8251999999999999</v>
      </c>
      <c r="E7" s="11"/>
      <c r="F7" s="11"/>
      <c r="G7" s="11"/>
      <c r="H7" s="47"/>
    </row>
    <row r="8" spans="1:8" x14ac:dyDescent="0.3">
      <c r="A8" s="47"/>
      <c r="B8" s="144" t="s">
        <v>361</v>
      </c>
      <c r="C8" s="84"/>
      <c r="D8" s="98">
        <f>'Deal Inputs'!$D$18</f>
        <v>0.3</v>
      </c>
      <c r="E8" s="11"/>
      <c r="F8" s="11"/>
      <c r="G8" s="11"/>
      <c r="H8" s="47"/>
    </row>
    <row r="9" spans="1:8" x14ac:dyDescent="0.3">
      <c r="A9" s="47"/>
      <c r="B9" s="144" t="s">
        <v>362</v>
      </c>
      <c r="C9" s="84"/>
      <c r="D9" s="87" t="str">
        <f>TEXT('Deal Inputs'!$D$24,"0%")&amp;" Cash / "&amp;TEXT('Deal Inputs'!$D$25,"0%")&amp;" Stock"</f>
        <v>50% Cash / 50% Stock</v>
      </c>
      <c r="E9" s="11"/>
      <c r="F9" s="11"/>
      <c r="G9" s="11"/>
      <c r="H9" s="47"/>
    </row>
    <row r="10" spans="1:8" x14ac:dyDescent="0.3">
      <c r="A10" s="47"/>
      <c r="B10" s="84"/>
      <c r="C10" s="84"/>
      <c r="D10" s="87"/>
      <c r="E10" s="11"/>
      <c r="F10" s="11"/>
      <c r="G10" s="11"/>
      <c r="H10" s="47"/>
    </row>
    <row r="11" spans="1:8" x14ac:dyDescent="0.3">
      <c r="A11" s="47"/>
      <c r="B11" s="95" t="s">
        <v>363</v>
      </c>
      <c r="C11" s="95"/>
      <c r="D11" s="97"/>
      <c r="E11" s="14"/>
      <c r="F11" s="14"/>
      <c r="G11" s="14"/>
      <c r="H11" s="52"/>
    </row>
    <row r="12" spans="1:8" x14ac:dyDescent="0.3">
      <c r="A12" s="47"/>
      <c r="B12" s="144" t="s">
        <v>364</v>
      </c>
      <c r="C12" s="84"/>
      <c r="D12" s="88">
        <f>'Pro Forma'!H$21</f>
        <v>638232.56824280601</v>
      </c>
      <c r="E12" s="11"/>
      <c r="F12" s="11"/>
      <c r="G12" s="11"/>
      <c r="H12" s="47"/>
    </row>
    <row r="13" spans="1:8" x14ac:dyDescent="0.3">
      <c r="A13" s="47"/>
      <c r="B13" s="200" t="s">
        <v>365</v>
      </c>
      <c r="C13" s="201"/>
      <c r="D13" s="202">
        <f>'Pro Forma'!$H$38+'Google Model'!$J$102+'Meta Model'!$J$87+'Pro Forma'!$H$36</f>
        <v>226748.49513014121</v>
      </c>
      <c r="E13" s="169"/>
      <c r="F13" s="169"/>
      <c r="G13" s="169"/>
      <c r="H13" s="175"/>
    </row>
    <row r="14" spans="1:8" x14ac:dyDescent="0.3">
      <c r="A14" s="47"/>
      <c r="B14" s="200" t="s">
        <v>366</v>
      </c>
      <c r="C14" s="201"/>
      <c r="D14" s="202">
        <f ca="1">Valuation!H23</f>
        <v>172757.18705539254</v>
      </c>
      <c r="E14" s="169"/>
      <c r="F14" s="169"/>
      <c r="G14" s="169"/>
      <c r="H14" s="175"/>
    </row>
    <row r="15" spans="1:8" x14ac:dyDescent="0.3">
      <c r="A15" s="47"/>
      <c r="B15" s="47"/>
      <c r="C15" s="84"/>
      <c r="D15" s="87"/>
      <c r="E15" s="11"/>
      <c r="F15" s="11"/>
      <c r="G15" s="11"/>
      <c r="H15" s="47"/>
    </row>
    <row r="16" spans="1:8" x14ac:dyDescent="0.3">
      <c r="A16" s="47"/>
      <c r="B16" s="95" t="s">
        <v>367</v>
      </c>
      <c r="C16" s="52"/>
      <c r="D16" s="96"/>
      <c r="E16" s="14"/>
      <c r="F16" s="14"/>
      <c r="G16" s="14"/>
      <c r="H16" s="52"/>
    </row>
    <row r="17" spans="1:8" x14ac:dyDescent="0.3">
      <c r="A17" s="47"/>
      <c r="B17" s="145">
        <v>1</v>
      </c>
      <c r="C17" s="47"/>
      <c r="D17" s="90">
        <f ca="1">'Pro Forma'!D51</f>
        <v>-0.32504672331290041</v>
      </c>
      <c r="E17" s="11"/>
      <c r="F17" s="11"/>
      <c r="G17" s="11"/>
      <c r="H17" s="47"/>
    </row>
    <row r="18" spans="1:8" x14ac:dyDescent="0.3">
      <c r="A18" s="47"/>
      <c r="B18" s="146">
        <f>B17+1</f>
        <v>2</v>
      </c>
      <c r="C18" s="47"/>
      <c r="D18" s="90">
        <f ca="1">'Pro Forma'!E51</f>
        <v>-8.4103492958711112E-2</v>
      </c>
      <c r="E18" s="11"/>
      <c r="F18" s="11"/>
      <c r="G18" s="11"/>
      <c r="H18" s="47"/>
    </row>
    <row r="19" spans="1:8" x14ac:dyDescent="0.3">
      <c r="A19" s="47"/>
      <c r="B19" s="146">
        <f>B18+1</f>
        <v>3</v>
      </c>
      <c r="C19" s="47"/>
      <c r="D19" s="90">
        <f ca="1">'Pro Forma'!F51</f>
        <v>8.1976353938910229E-2</v>
      </c>
      <c r="E19" s="11"/>
      <c r="F19" s="11"/>
      <c r="G19" s="11"/>
      <c r="H19" s="47"/>
    </row>
    <row r="20" spans="1:8" x14ac:dyDescent="0.3">
      <c r="A20" s="47"/>
      <c r="B20" s="47"/>
      <c r="C20" s="47"/>
      <c r="D20" s="89"/>
      <c r="E20" s="11"/>
      <c r="F20" s="11"/>
      <c r="G20" s="11"/>
      <c r="H20" s="47"/>
    </row>
    <row r="21" spans="1:8" x14ac:dyDescent="0.3">
      <c r="A21" s="47"/>
      <c r="B21" s="95" t="s">
        <v>368</v>
      </c>
      <c r="C21" s="95"/>
      <c r="D21" s="97"/>
      <c r="E21" s="14"/>
      <c r="F21" s="14"/>
      <c r="G21" s="14"/>
      <c r="H21" s="52"/>
    </row>
    <row r="22" spans="1:8" x14ac:dyDescent="0.3">
      <c r="A22" s="47"/>
      <c r="B22" s="144" t="s">
        <v>369</v>
      </c>
      <c r="C22" s="84"/>
      <c r="D22" s="91">
        <f ca="1">Valuation!$D$71*1000/'Pro Forma'!H$21</f>
        <v>4.6650889107590148</v>
      </c>
      <c r="E22" s="11"/>
      <c r="F22" s="11"/>
      <c r="G22" s="11"/>
      <c r="H22" s="47"/>
    </row>
    <row r="23" spans="1:8" x14ac:dyDescent="0.3">
      <c r="A23" s="47"/>
      <c r="B23" s="200" t="s">
        <v>370</v>
      </c>
      <c r="C23" s="201"/>
      <c r="D23" s="203">
        <f ca="1">Valuation!$D$71*1000/D13</f>
        <v>13.130899390912781</v>
      </c>
      <c r="E23" s="169"/>
      <c r="F23" s="169"/>
      <c r="G23" s="169"/>
      <c r="H23" s="175"/>
    </row>
    <row r="24" spans="1:8" x14ac:dyDescent="0.3">
      <c r="A24" s="47"/>
      <c r="B24" s="144" t="s">
        <v>372</v>
      </c>
      <c r="C24" s="47"/>
      <c r="D24" s="91">
        <f ca="1">Valuation!$D$72*1000/'Pro Forma'!E$45</f>
        <v>53.053462420030414</v>
      </c>
      <c r="E24" s="11"/>
      <c r="F24" s="11"/>
      <c r="G24" s="11"/>
      <c r="H24" s="47"/>
    </row>
    <row r="25" spans="1:8" x14ac:dyDescent="0.3">
      <c r="A25" s="47"/>
      <c r="B25" s="11" t="s">
        <v>371</v>
      </c>
      <c r="C25" s="11"/>
      <c r="D25" s="147">
        <f ca="1">Valuation!D79</f>
        <v>-0.34980250806952379</v>
      </c>
      <c r="E25" s="11"/>
      <c r="F25" s="11"/>
      <c r="G25" s="11"/>
      <c r="H25" s="47"/>
    </row>
    <row r="26" spans="1:8" x14ac:dyDescent="0.3">
      <c r="A26" s="47"/>
      <c r="B26" s="11"/>
      <c r="C26" s="11"/>
      <c r="D26" s="92"/>
      <c r="E26" s="11"/>
      <c r="F26" s="11"/>
      <c r="G26" s="11"/>
      <c r="H26" s="47"/>
    </row>
    <row r="27" spans="1:8" x14ac:dyDescent="0.3">
      <c r="A27" s="47"/>
      <c r="B27" s="11"/>
      <c r="C27" s="11"/>
      <c r="D27" s="92"/>
      <c r="E27" s="11"/>
      <c r="F27" s="11"/>
      <c r="G27" s="11"/>
      <c r="H27" s="47"/>
    </row>
  </sheetData>
  <conditionalFormatting sqref="D6:D25">
    <cfRule type="expression" dxfId="0" priority="1">
      <formula>$G$5=1</formula>
    </cfRule>
  </conditionalFormatting>
  <dataValidations disablePrompts="1" count="1">
    <dataValidation type="list" allowBlank="1" showInputMessage="1" showErrorMessage="1" sqref="G5" xr:uid="{91CDEAAD-04FC-4C41-9DB2-17FB5FD341CE}">
      <formula1>$G$1:$H$1</formula1>
    </dataValidation>
  </dataValidations>
  <pageMargins left="0.7" right="0.7" top="0.75" bottom="0.75" header="0.3" footer="0.3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Google Drivers</vt:lpstr>
      <vt:lpstr>Google Model</vt:lpstr>
      <vt:lpstr>Meta Drivers</vt:lpstr>
      <vt:lpstr>Meta Model</vt:lpstr>
      <vt:lpstr>Deal Inputs</vt:lpstr>
      <vt:lpstr>Pro Forma</vt:lpstr>
      <vt:lpstr>Synergy Case</vt:lpstr>
      <vt:lpstr>Valuation</vt:lpstr>
      <vt:lpstr>Board Summary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2025-05-22T23:41:35Z</dcterms:created>
  <dcterms:modified xsi:type="dcterms:W3CDTF">2026-08-17T20:25:27Z</dcterms:modified>
</cp:coreProperties>
</file>