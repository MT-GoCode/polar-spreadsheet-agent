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57776DF8-B6E4-4A4C-9A66-E335458343DC}" xr6:coauthVersionLast="47" xr6:coauthVersionMax="47" xr10:uidLastSave="{00000000-0000-0000-0000-000000000000}"/>
  <bookViews>
    <workbookView xWindow="7448" yWindow="-16695" windowWidth="28994" windowHeight="15675" xr2:uid="{306C3760-1E5E-43EA-837E-A8B74AB62094}"/>
  </bookViews>
  <sheets>
    <sheet name="Cover" sheetId="13" r:id="rId1"/>
    <sheet name="Monthly Cohorts" sheetId="20" r:id="rId2"/>
    <sheet name="Annual Cohorts" sheetId="21" r:id="rId3"/>
    <sheet name="Data Set" sheetId="15" r:id="rId4"/>
  </sheets>
  <definedNames>
    <definedName name="_xlnm._FilterDatabase" localSheetId="3" hidden="1">'Data Set'!$B$4:$C$220</definedName>
    <definedName name="_xlnm.Print_Area" localSheetId="3">'Data Set'!$A$1:$DR$222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220" i="15" l="1"/>
  <c r="DS220" i="15"/>
  <c r="DU219" i="15"/>
  <c r="DS219" i="15"/>
  <c r="DU218" i="15"/>
  <c r="DS218" i="15"/>
  <c r="DU217" i="15"/>
  <c r="DS217" i="15"/>
  <c r="DU216" i="15"/>
  <c r="DS216" i="15"/>
  <c r="DU215" i="15"/>
  <c r="DS215" i="15"/>
  <c r="DU214" i="15"/>
  <c r="DS214" i="15"/>
  <c r="DU213" i="15"/>
  <c r="DS213" i="15"/>
  <c r="DU212" i="15"/>
  <c r="DS212" i="15"/>
  <c r="DU211" i="15"/>
  <c r="DS211" i="15"/>
  <c r="DU210" i="15"/>
  <c r="DS210" i="15"/>
  <c r="DU209" i="15"/>
  <c r="DS209" i="15"/>
  <c r="DU208" i="15"/>
  <c r="DS208" i="15"/>
  <c r="DU207" i="15"/>
  <c r="DS207" i="15"/>
  <c r="DU206" i="15"/>
  <c r="DS206" i="15"/>
  <c r="DU205" i="15"/>
  <c r="DS205" i="15"/>
  <c r="DU204" i="15"/>
  <c r="DS204" i="15"/>
  <c r="DU203" i="15"/>
  <c r="DS203" i="15"/>
  <c r="DU202" i="15"/>
  <c r="DS202" i="15"/>
  <c r="DU201" i="15"/>
  <c r="DS201" i="15"/>
  <c r="DU200" i="15"/>
  <c r="DS200" i="15"/>
  <c r="DU199" i="15"/>
  <c r="DS199" i="15"/>
  <c r="DU198" i="15"/>
  <c r="DS198" i="15"/>
  <c r="DU197" i="15"/>
  <c r="DS197" i="15"/>
  <c r="DU196" i="15"/>
  <c r="DS196" i="15"/>
  <c r="DU195" i="15"/>
  <c r="DS195" i="15"/>
  <c r="DU194" i="15"/>
  <c r="DS194" i="15"/>
  <c r="DU193" i="15"/>
  <c r="DS193" i="15"/>
  <c r="DU192" i="15"/>
  <c r="DS192" i="15"/>
  <c r="DU191" i="15"/>
  <c r="DS191" i="15"/>
  <c r="DU190" i="15"/>
  <c r="DS190" i="15"/>
  <c r="DU189" i="15"/>
  <c r="DS189" i="15"/>
  <c r="DU188" i="15"/>
  <c r="DS188" i="15"/>
  <c r="DU187" i="15"/>
  <c r="DS187" i="15"/>
  <c r="DU186" i="15"/>
  <c r="DS186" i="15"/>
  <c r="DU185" i="15"/>
  <c r="DS185" i="15"/>
  <c r="DU184" i="15"/>
  <c r="DS184" i="15"/>
  <c r="DU183" i="15"/>
  <c r="DS183" i="15"/>
  <c r="DU182" i="15"/>
  <c r="DS182" i="15"/>
  <c r="DU181" i="15"/>
  <c r="DS181" i="15"/>
  <c r="DU180" i="15"/>
  <c r="DS180" i="15"/>
  <c r="DU179" i="15"/>
  <c r="DS179" i="15"/>
  <c r="DU178" i="15"/>
  <c r="DS178" i="15"/>
  <c r="DU177" i="15"/>
  <c r="DS177" i="15"/>
  <c r="DU176" i="15"/>
  <c r="DS176" i="15"/>
  <c r="DV175" i="15"/>
  <c r="DU175" i="15"/>
  <c r="DS175" i="15"/>
  <c r="DU174" i="15"/>
  <c r="DS174" i="15"/>
  <c r="DU173" i="15"/>
  <c r="DS173" i="15"/>
  <c r="DU172" i="15"/>
  <c r="DS172" i="15"/>
  <c r="DU171" i="15"/>
  <c r="DS171" i="15"/>
  <c r="DU170" i="15"/>
  <c r="DS170" i="15"/>
  <c r="DU169" i="15"/>
  <c r="DS169" i="15"/>
  <c r="DU168" i="15"/>
  <c r="DS168" i="15"/>
  <c r="DU167" i="15"/>
  <c r="DS167" i="15"/>
  <c r="DU166" i="15"/>
  <c r="DS166" i="15"/>
  <c r="DU165" i="15"/>
  <c r="DS165" i="15"/>
  <c r="DU164" i="15"/>
  <c r="DS164" i="15"/>
  <c r="DU163" i="15"/>
  <c r="DS163" i="15"/>
  <c r="DU162" i="15"/>
  <c r="DS162" i="15"/>
  <c r="DU161" i="15"/>
  <c r="DS161" i="15"/>
  <c r="DU160" i="15"/>
  <c r="DS160" i="15"/>
  <c r="DU159" i="15"/>
  <c r="DS159" i="15"/>
  <c r="DU158" i="15"/>
  <c r="DS158" i="15"/>
  <c r="DU157" i="15"/>
  <c r="DS157" i="15"/>
  <c r="DV156" i="15"/>
  <c r="DU156" i="15"/>
  <c r="DS156" i="15"/>
  <c r="DU155" i="15"/>
  <c r="DS155" i="15"/>
  <c r="DU154" i="15"/>
  <c r="DS154" i="15"/>
  <c r="DU153" i="15"/>
  <c r="DS153" i="15"/>
  <c r="DU152" i="15"/>
  <c r="DS152" i="15"/>
  <c r="DV151" i="15"/>
  <c r="DU151" i="15"/>
  <c r="DS151" i="15"/>
  <c r="DU150" i="15"/>
  <c r="DS150" i="15"/>
  <c r="DU149" i="15"/>
  <c r="DS149" i="15"/>
  <c r="DU148" i="15"/>
  <c r="DS148" i="15"/>
  <c r="DU147" i="15"/>
  <c r="DS147" i="15"/>
  <c r="DU146" i="15"/>
  <c r="DS146" i="15"/>
  <c r="DU145" i="15"/>
  <c r="DS145" i="15"/>
  <c r="DU144" i="15"/>
  <c r="DS144" i="15"/>
  <c r="DU143" i="15"/>
  <c r="DS143" i="15"/>
  <c r="DU142" i="15"/>
  <c r="DS142" i="15"/>
  <c r="DU141" i="15"/>
  <c r="DS141" i="15"/>
  <c r="DU140" i="15"/>
  <c r="DS140" i="15"/>
  <c r="DU139" i="15"/>
  <c r="DS139" i="15"/>
  <c r="DU138" i="15"/>
  <c r="DS138" i="15"/>
  <c r="DU137" i="15"/>
  <c r="DS137" i="15"/>
  <c r="DU136" i="15"/>
  <c r="DS136" i="15"/>
  <c r="DU135" i="15"/>
  <c r="DS135" i="15"/>
  <c r="DV134" i="15"/>
  <c r="DU134" i="15"/>
  <c r="DS134" i="15"/>
  <c r="DU133" i="15"/>
  <c r="DS133" i="15"/>
  <c r="DU132" i="15"/>
  <c r="DS132" i="15"/>
  <c r="DU131" i="15"/>
  <c r="DS131" i="15"/>
  <c r="DU130" i="15"/>
  <c r="DS130" i="15"/>
  <c r="DU129" i="15"/>
  <c r="DS129" i="15"/>
  <c r="DU128" i="15"/>
  <c r="DS128" i="15"/>
  <c r="DU127" i="15"/>
  <c r="DS127" i="15"/>
  <c r="DU126" i="15"/>
  <c r="DS126" i="15"/>
  <c r="DU125" i="15"/>
  <c r="DS125" i="15"/>
  <c r="DV124" i="15"/>
  <c r="DU124" i="15"/>
  <c r="DS124" i="15"/>
  <c r="DU123" i="15"/>
  <c r="DS123" i="15"/>
  <c r="DU122" i="15"/>
  <c r="DS122" i="15"/>
  <c r="DU121" i="15"/>
  <c r="DS121" i="15"/>
  <c r="DU120" i="15"/>
  <c r="DS120" i="15"/>
  <c r="DU119" i="15"/>
  <c r="DS119" i="15"/>
  <c r="DU118" i="15"/>
  <c r="DS118" i="15"/>
  <c r="DU117" i="15"/>
  <c r="DS117" i="15"/>
  <c r="DU116" i="15"/>
  <c r="DS116" i="15"/>
  <c r="DU115" i="15"/>
  <c r="DS115" i="15"/>
  <c r="DU114" i="15"/>
  <c r="DS114" i="15"/>
  <c r="DU113" i="15"/>
  <c r="DS113" i="15"/>
  <c r="DU112" i="15"/>
  <c r="DS112" i="15"/>
  <c r="DU111" i="15"/>
  <c r="DS111" i="15"/>
  <c r="DU110" i="15"/>
  <c r="DS110" i="15"/>
  <c r="DU109" i="15"/>
  <c r="DS109" i="15"/>
  <c r="DU108" i="15"/>
  <c r="DS108" i="15"/>
  <c r="DU107" i="15"/>
  <c r="DS107" i="15"/>
  <c r="DU106" i="15"/>
  <c r="DS106" i="15"/>
  <c r="DU105" i="15"/>
  <c r="DS105" i="15"/>
  <c r="DU104" i="15"/>
  <c r="DS104" i="15"/>
  <c r="DU103" i="15"/>
  <c r="DS103" i="15"/>
  <c r="DU102" i="15"/>
  <c r="DS102" i="15"/>
  <c r="DU101" i="15"/>
  <c r="DS101" i="15"/>
  <c r="DU100" i="15"/>
  <c r="DS100" i="15"/>
  <c r="DU99" i="15"/>
  <c r="DS99" i="15"/>
  <c r="DU98" i="15"/>
  <c r="DS98" i="15"/>
  <c r="DU97" i="15"/>
  <c r="DS97" i="15"/>
  <c r="DU96" i="15"/>
  <c r="DS96" i="15"/>
  <c r="DU95" i="15"/>
  <c r="DS95" i="15"/>
  <c r="DU94" i="15"/>
  <c r="DS94" i="15"/>
  <c r="DU93" i="15"/>
  <c r="DS93" i="15"/>
  <c r="DU92" i="15"/>
  <c r="DS92" i="15"/>
  <c r="DU91" i="15"/>
  <c r="DS91" i="15"/>
  <c r="DV90" i="15"/>
  <c r="DU90" i="15"/>
  <c r="DS90" i="15"/>
  <c r="DU89" i="15"/>
  <c r="DS89" i="15"/>
  <c r="DU88" i="15"/>
  <c r="DS88" i="15"/>
  <c r="DU87" i="15"/>
  <c r="DS87" i="15"/>
  <c r="DV86" i="15"/>
  <c r="DU86" i="15"/>
  <c r="DS86" i="15"/>
  <c r="DU85" i="15"/>
  <c r="DS85" i="15"/>
  <c r="DU84" i="15"/>
  <c r="DS84" i="15"/>
  <c r="DU83" i="15"/>
  <c r="DS83" i="15"/>
  <c r="DU82" i="15"/>
  <c r="DS82" i="15"/>
  <c r="DU81" i="15"/>
  <c r="DS81" i="15"/>
  <c r="DU80" i="15"/>
  <c r="DS80" i="15"/>
  <c r="DU79" i="15"/>
  <c r="DS79" i="15"/>
  <c r="DU78" i="15"/>
  <c r="DS78" i="15"/>
  <c r="DU77" i="15"/>
  <c r="DS77" i="15"/>
  <c r="DU76" i="15"/>
  <c r="DS76" i="15"/>
  <c r="DU75" i="15"/>
  <c r="DS75" i="15"/>
  <c r="DU74" i="15"/>
  <c r="DS74" i="15"/>
  <c r="DU73" i="15"/>
  <c r="DS73" i="15"/>
  <c r="DU72" i="15"/>
  <c r="DS72" i="15"/>
  <c r="DU71" i="15"/>
  <c r="DS71" i="15"/>
  <c r="DU70" i="15"/>
  <c r="DS70" i="15"/>
  <c r="DU69" i="15"/>
  <c r="DS69" i="15"/>
  <c r="DU68" i="15"/>
  <c r="DS68" i="15"/>
  <c r="DU67" i="15"/>
  <c r="DS67" i="15"/>
  <c r="DU66" i="15"/>
  <c r="DS66" i="15"/>
  <c r="DU65" i="15"/>
  <c r="DS65" i="15"/>
  <c r="DU64" i="15"/>
  <c r="DS64" i="15"/>
  <c r="DU63" i="15"/>
  <c r="DS63" i="15"/>
  <c r="DU62" i="15"/>
  <c r="DS62" i="15"/>
  <c r="DU61" i="15"/>
  <c r="DS61" i="15"/>
  <c r="DV60" i="15"/>
  <c r="DU60" i="15"/>
  <c r="DS60" i="15"/>
  <c r="DU59" i="15"/>
  <c r="DS59" i="15"/>
  <c r="DV58" i="15"/>
  <c r="DU58" i="15"/>
  <c r="DS58" i="15"/>
  <c r="DU57" i="15"/>
  <c r="DS57" i="15"/>
  <c r="DU56" i="15"/>
  <c r="DS56" i="15"/>
  <c r="DU55" i="15"/>
  <c r="DS55" i="15"/>
  <c r="DU54" i="15"/>
  <c r="DS54" i="15"/>
  <c r="DU53" i="15"/>
  <c r="DS53" i="15"/>
  <c r="DU52" i="15"/>
  <c r="DS52" i="15"/>
  <c r="DU51" i="15"/>
  <c r="DS51" i="15"/>
  <c r="DU50" i="15"/>
  <c r="DS50" i="15"/>
  <c r="DU49" i="15"/>
  <c r="DS49" i="15"/>
  <c r="DV48" i="15"/>
  <c r="DU48" i="15"/>
  <c r="DS48" i="15"/>
  <c r="DU47" i="15"/>
  <c r="DS47" i="15"/>
  <c r="DU46" i="15"/>
  <c r="DS46" i="15"/>
  <c r="DU45" i="15"/>
  <c r="DS45" i="15"/>
  <c r="DU44" i="15"/>
  <c r="DS44" i="15"/>
  <c r="DU43" i="15"/>
  <c r="DS43" i="15"/>
  <c r="DU42" i="15"/>
  <c r="DS42" i="15"/>
  <c r="DU41" i="15"/>
  <c r="DS41" i="15"/>
  <c r="DU40" i="15"/>
  <c r="DS40" i="15"/>
  <c r="DU39" i="15"/>
  <c r="DS39" i="15"/>
  <c r="DU38" i="15"/>
  <c r="DS38" i="15"/>
  <c r="DU37" i="15"/>
  <c r="DS37" i="15"/>
  <c r="DU36" i="15"/>
  <c r="DS36" i="15"/>
  <c r="DU35" i="15"/>
  <c r="DS35" i="15"/>
  <c r="DU34" i="15"/>
  <c r="DS34" i="15"/>
  <c r="DU33" i="15"/>
  <c r="DS33" i="15"/>
  <c r="DU32" i="15"/>
  <c r="DS32" i="15"/>
  <c r="DU31" i="15"/>
  <c r="DS31" i="15"/>
  <c r="DV30" i="15"/>
  <c r="DU30" i="15"/>
  <c r="DS30" i="15"/>
  <c r="DU29" i="15"/>
  <c r="DS29" i="15"/>
  <c r="DU28" i="15"/>
  <c r="DS28" i="15"/>
  <c r="DU27" i="15"/>
  <c r="DS27" i="15"/>
  <c r="DV26" i="15"/>
  <c r="DU26" i="15"/>
  <c r="DS26" i="15"/>
  <c r="DU25" i="15"/>
  <c r="DS25" i="15"/>
  <c r="DV24" i="15"/>
  <c r="DU24" i="15"/>
  <c r="DS24" i="15"/>
  <c r="DU23" i="15"/>
  <c r="DS23" i="15"/>
  <c r="DU22" i="15"/>
  <c r="DS22" i="15"/>
  <c r="DU21" i="15"/>
  <c r="DS21" i="15"/>
  <c r="DV20" i="15"/>
  <c r="DU20" i="15"/>
  <c r="DS20" i="15"/>
  <c r="DU19" i="15"/>
  <c r="DS19" i="15"/>
  <c r="DU18" i="15"/>
  <c r="DS18" i="15"/>
  <c r="DU17" i="15"/>
  <c r="DS17" i="15"/>
  <c r="DU16" i="15"/>
  <c r="DS16" i="15"/>
  <c r="DU15" i="15"/>
  <c r="DS15" i="15"/>
  <c r="DU14" i="15"/>
  <c r="DS14" i="15"/>
  <c r="DU13" i="15"/>
  <c r="DS13" i="15"/>
  <c r="DU12" i="15"/>
  <c r="DS12" i="15"/>
  <c r="DU11" i="15"/>
  <c r="DS11" i="15"/>
  <c r="B11" i="15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U10" i="15"/>
  <c r="DS10" i="15"/>
  <c r="B10" i="15"/>
  <c r="DU9" i="15"/>
  <c r="DS9" i="15"/>
  <c r="DV8" i="15"/>
  <c r="DU8" i="15"/>
  <c r="DS8" i="15"/>
  <c r="DU7" i="15"/>
  <c r="DS7" i="15"/>
  <c r="B7" i="15"/>
  <c r="B8" i="15" s="1"/>
  <c r="B9" i="15" s="1"/>
  <c r="DU6" i="15"/>
  <c r="DS6" i="15"/>
  <c r="B6" i="15"/>
  <c r="DU5" i="15"/>
  <c r="DS5" i="15"/>
  <c r="DV4" i="15"/>
  <c r="DV138" i="15" s="1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D72" i="21"/>
  <c r="D73" i="21" s="1"/>
  <c r="D74" i="21" s="1"/>
  <c r="D75" i="21" s="1"/>
  <c r="D76" i="21" s="1"/>
  <c r="D77" i="21" s="1"/>
  <c r="D78" i="21" s="1"/>
  <c r="D79" i="21" s="1"/>
  <c r="D80" i="21" s="1"/>
  <c r="D81" i="21" s="1"/>
  <c r="D82" i="21" s="1"/>
  <c r="D83" i="21" s="1"/>
  <c r="D71" i="21"/>
  <c r="M68" i="21"/>
  <c r="N68" i="21" s="1"/>
  <c r="O68" i="21" s="1"/>
  <c r="P68" i="21" s="1"/>
  <c r="Q68" i="21" s="1"/>
  <c r="R68" i="21" s="1"/>
  <c r="S68" i="21" s="1"/>
  <c r="T68" i="21" s="1"/>
  <c r="K68" i="21"/>
  <c r="L68" i="21" s="1"/>
  <c r="I68" i="21"/>
  <c r="J68" i="21" s="1"/>
  <c r="H68" i="21"/>
  <c r="D52" i="21"/>
  <c r="D53" i="21" s="1"/>
  <c r="D54" i="21" s="1"/>
  <c r="D55" i="21" s="1"/>
  <c r="D56" i="21" s="1"/>
  <c r="D57" i="21" s="1"/>
  <c r="D58" i="21" s="1"/>
  <c r="D59" i="21" s="1"/>
  <c r="D60" i="21" s="1"/>
  <c r="D61" i="21" s="1"/>
  <c r="D62" i="21" s="1"/>
  <c r="D63" i="21" s="1"/>
  <c r="D51" i="21"/>
  <c r="L48" i="21"/>
  <c r="M48" i="21" s="1"/>
  <c r="N48" i="21" s="1"/>
  <c r="O48" i="21" s="1"/>
  <c r="P48" i="21" s="1"/>
  <c r="Q48" i="21" s="1"/>
  <c r="R48" i="21" s="1"/>
  <c r="S48" i="21" s="1"/>
  <c r="T48" i="21" s="1"/>
  <c r="K48" i="21"/>
  <c r="I48" i="21"/>
  <c r="J48" i="21" s="1"/>
  <c r="H48" i="21"/>
  <c r="D32" i="21"/>
  <c r="H29" i="21"/>
  <c r="I29" i="21" s="1"/>
  <c r="D11" i="21"/>
  <c r="D12" i="21" s="1"/>
  <c r="H8" i="21"/>
  <c r="G8" i="21"/>
  <c r="H7" i="21"/>
  <c r="I7" i="21" s="1"/>
  <c r="F227" i="20"/>
  <c r="D227" i="20"/>
  <c r="E227" i="20" s="1"/>
  <c r="F226" i="20"/>
  <c r="D226" i="20"/>
  <c r="E226" i="20" s="1"/>
  <c r="H176" i="20"/>
  <c r="G176" i="20"/>
  <c r="J175" i="20"/>
  <c r="J176" i="20" s="1"/>
  <c r="I175" i="20"/>
  <c r="H175" i="20"/>
  <c r="F58" i="20"/>
  <c r="D58" i="20"/>
  <c r="D228" i="20" s="1"/>
  <c r="E228" i="20" s="1"/>
  <c r="E57" i="20"/>
  <c r="D57" i="20"/>
  <c r="E56" i="20"/>
  <c r="F55" i="20"/>
  <c r="F225" i="20" s="1"/>
  <c r="D55" i="20"/>
  <c r="F54" i="20"/>
  <c r="D54" i="20"/>
  <c r="D224" i="20" s="1"/>
  <c r="E224" i="20" s="1"/>
  <c r="G6" i="20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AH6" i="20" s="1"/>
  <c r="AI6" i="20" s="1"/>
  <c r="AJ6" i="20" s="1"/>
  <c r="AK6" i="20" s="1"/>
  <c r="AL6" i="20" s="1"/>
  <c r="AM6" i="20" s="1"/>
  <c r="AN6" i="20" s="1"/>
  <c r="AO6" i="20" s="1"/>
  <c r="AP6" i="20" s="1"/>
  <c r="AQ6" i="20" s="1"/>
  <c r="AR6" i="20" s="1"/>
  <c r="AS6" i="20" s="1"/>
  <c r="AT6" i="20" s="1"/>
  <c r="AU6" i="20" s="1"/>
  <c r="AV6" i="20" s="1"/>
  <c r="AW6" i="20" s="1"/>
  <c r="AX6" i="20" s="1"/>
  <c r="AY6" i="20" s="1"/>
  <c r="AZ6" i="20" s="1"/>
  <c r="BA6" i="20" s="1"/>
  <c r="BB6" i="20" s="1"/>
  <c r="BC6" i="20" s="1"/>
  <c r="BD6" i="20" s="1"/>
  <c r="BE6" i="20" s="1"/>
  <c r="BF6" i="20" s="1"/>
  <c r="BG6" i="20" s="1"/>
  <c r="BH6" i="20" s="1"/>
  <c r="BI6" i="20" s="1"/>
  <c r="BJ6" i="20" s="1"/>
  <c r="BK6" i="20" s="1"/>
  <c r="BL6" i="20" s="1"/>
  <c r="BM6" i="20" s="1"/>
  <c r="BN6" i="20" s="1"/>
  <c r="BO6" i="20" s="1"/>
  <c r="BP6" i="20" s="1"/>
  <c r="BQ6" i="20" s="1"/>
  <c r="BR6" i="20" s="1"/>
  <c r="BS6" i="20" s="1"/>
  <c r="BT6" i="20" s="1"/>
  <c r="BU6" i="20" s="1"/>
  <c r="BV6" i="20" s="1"/>
  <c r="BW6" i="20" s="1"/>
  <c r="BX6" i="20" s="1"/>
  <c r="BY6" i="20" s="1"/>
  <c r="BZ6" i="20" s="1"/>
  <c r="CA6" i="20" s="1"/>
  <c r="CB6" i="20" s="1"/>
  <c r="CC6" i="20" s="1"/>
  <c r="CD6" i="20" s="1"/>
  <c r="CE6" i="20" s="1"/>
  <c r="CF6" i="20" s="1"/>
  <c r="CG6" i="20" s="1"/>
  <c r="CH6" i="20" s="1"/>
  <c r="CI6" i="20" s="1"/>
  <c r="CJ6" i="20" s="1"/>
  <c r="CK6" i="20" s="1"/>
  <c r="CL6" i="20" s="1"/>
  <c r="CM6" i="20" s="1"/>
  <c r="CN6" i="20" s="1"/>
  <c r="CO6" i="20" s="1"/>
  <c r="CP6" i="20" s="1"/>
  <c r="CQ6" i="20" s="1"/>
  <c r="CR6" i="20" s="1"/>
  <c r="CS6" i="20" s="1"/>
  <c r="CT6" i="20" s="1"/>
  <c r="CU6" i="20" s="1"/>
  <c r="CV6" i="20" s="1"/>
  <c r="CW6" i="20" s="1"/>
  <c r="CX6" i="20" s="1"/>
  <c r="CY6" i="20" s="1"/>
  <c r="CZ6" i="20" s="1"/>
  <c r="DA6" i="20" s="1"/>
  <c r="DB6" i="20" s="1"/>
  <c r="DC6" i="20" s="1"/>
  <c r="DD6" i="20" s="1"/>
  <c r="DE6" i="20" s="1"/>
  <c r="DF6" i="20" s="1"/>
  <c r="DG6" i="20" s="1"/>
  <c r="DH6" i="20" s="1"/>
  <c r="DI6" i="20" s="1"/>
  <c r="DJ6" i="20" s="1"/>
  <c r="DK6" i="20" s="1"/>
  <c r="DL6" i="20" s="1"/>
  <c r="DM6" i="20" s="1"/>
  <c r="DN6" i="20" s="1"/>
  <c r="DO6" i="20" s="1"/>
  <c r="DP6" i="20" s="1"/>
  <c r="DQ6" i="20" s="1"/>
  <c r="DR6" i="20" s="1"/>
  <c r="K175" i="20" l="1"/>
  <c r="J227" i="20"/>
  <c r="H227" i="20"/>
  <c r="G227" i="20"/>
  <c r="E54" i="20"/>
  <c r="E58" i="20"/>
  <c r="F224" i="20"/>
  <c r="F53" i="20"/>
  <c r="F228" i="20"/>
  <c r="F59" i="20"/>
  <c r="J226" i="20"/>
  <c r="E55" i="20"/>
  <c r="D225" i="20"/>
  <c r="E225" i="20" s="1"/>
  <c r="I176" i="20"/>
  <c r="I227" i="20" s="1"/>
  <c r="I225" i="20"/>
  <c r="J225" i="20"/>
  <c r="H225" i="20"/>
  <c r="G225" i="20"/>
  <c r="G226" i="20"/>
  <c r="H226" i="20"/>
  <c r="I8" i="21"/>
  <c r="J7" i="21"/>
  <c r="E31" i="21"/>
  <c r="E50" i="21" s="1"/>
  <c r="D33" i="21"/>
  <c r="E32" i="21"/>
  <c r="DV40" i="15"/>
  <c r="DV62" i="15"/>
  <c r="DV130" i="15"/>
  <c r="DV10" i="15"/>
  <c r="DV36" i="15"/>
  <c r="DV64" i="15"/>
  <c r="DV120" i="15"/>
  <c r="DV220" i="15"/>
  <c r="DV218" i="15"/>
  <c r="DV216" i="15"/>
  <c r="DV214" i="15"/>
  <c r="DV212" i="15"/>
  <c r="DV210" i="15"/>
  <c r="DV208" i="15"/>
  <c r="DV206" i="15"/>
  <c r="DV204" i="15"/>
  <c r="DV202" i="15"/>
  <c r="DV200" i="15"/>
  <c r="DV198" i="15"/>
  <c r="DV196" i="15"/>
  <c r="DV194" i="15"/>
  <c r="DV192" i="15"/>
  <c r="DV190" i="15"/>
  <c r="DV188" i="15"/>
  <c r="DV186" i="15"/>
  <c r="DV184" i="15"/>
  <c r="DV182" i="15"/>
  <c r="DV180" i="15"/>
  <c r="DV178" i="15"/>
  <c r="DV176" i="15"/>
  <c r="DV174" i="15"/>
  <c r="DV172" i="15"/>
  <c r="DV170" i="15"/>
  <c r="DV168" i="15"/>
  <c r="DV166" i="15"/>
  <c r="DV215" i="15"/>
  <c r="DV199" i="15"/>
  <c r="DV189" i="15"/>
  <c r="DV173" i="15"/>
  <c r="DV209" i="15"/>
  <c r="DV193" i="15"/>
  <c r="DV179" i="15"/>
  <c r="DV203" i="15"/>
  <c r="DV185" i="15"/>
  <c r="DV169" i="15"/>
  <c r="DV197" i="15"/>
  <c r="DV191" i="15"/>
  <c r="DV181" i="15"/>
  <c r="DV164" i="15"/>
  <c r="DV153" i="15"/>
  <c r="DV148" i="15"/>
  <c r="DV145" i="15"/>
  <c r="DV143" i="15"/>
  <c r="DV141" i="15"/>
  <c r="DV139" i="15"/>
  <c r="DV137" i="15"/>
  <c r="DV135" i="15"/>
  <c r="DV133" i="15"/>
  <c r="DV131" i="15"/>
  <c r="DV129" i="15"/>
  <c r="DV127" i="15"/>
  <c r="DV125" i="15"/>
  <c r="DV123" i="15"/>
  <c r="DV121" i="15"/>
  <c r="DV119" i="15"/>
  <c r="DV117" i="15"/>
  <c r="DV115" i="15"/>
  <c r="DV113" i="15"/>
  <c r="DV111" i="15"/>
  <c r="DV109" i="15"/>
  <c r="DV107" i="15"/>
  <c r="DV105" i="15"/>
  <c r="DV103" i="15"/>
  <c r="DV101" i="15"/>
  <c r="DV99" i="15"/>
  <c r="DV97" i="15"/>
  <c r="DV95" i="15"/>
  <c r="DV93" i="15"/>
  <c r="DV91" i="15"/>
  <c r="DV89" i="15"/>
  <c r="DV87" i="15"/>
  <c r="DV85" i="15"/>
  <c r="DV83" i="15"/>
  <c r="DV81" i="15"/>
  <c r="DV79" i="15"/>
  <c r="DV77" i="15"/>
  <c r="DV75" i="15"/>
  <c r="DV73" i="15"/>
  <c r="DV71" i="15"/>
  <c r="DV69" i="15"/>
  <c r="DV183" i="15"/>
  <c r="DV171" i="15"/>
  <c r="DV163" i="15"/>
  <c r="DV158" i="15"/>
  <c r="DV217" i="15"/>
  <c r="DV211" i="15"/>
  <c r="DV205" i="15"/>
  <c r="DV157" i="15"/>
  <c r="DV152" i="15"/>
  <c r="DV147" i="15"/>
  <c r="DV165" i="15"/>
  <c r="DV128" i="15"/>
  <c r="DV112" i="15"/>
  <c r="DV195" i="15"/>
  <c r="DV159" i="15"/>
  <c r="DV146" i="15"/>
  <c r="DV144" i="15"/>
  <c r="DV122" i="15"/>
  <c r="DV106" i="15"/>
  <c r="DV92" i="15"/>
  <c r="DV213" i="15"/>
  <c r="DV160" i="15"/>
  <c r="DV154" i="15"/>
  <c r="DV142" i="15"/>
  <c r="DV132" i="15"/>
  <c r="DV177" i="15"/>
  <c r="DV136" i="15"/>
  <c r="DV110" i="15"/>
  <c r="DV94" i="15"/>
  <c r="DV76" i="15"/>
  <c r="DV67" i="15"/>
  <c r="DV65" i="15"/>
  <c r="DV63" i="15"/>
  <c r="DV61" i="15"/>
  <c r="DV59" i="15"/>
  <c r="DV57" i="15"/>
  <c r="DV55" i="15"/>
  <c r="DV53" i="15"/>
  <c r="DV51" i="15"/>
  <c r="DV49" i="15"/>
  <c r="DV47" i="15"/>
  <c r="DV45" i="15"/>
  <c r="DV43" i="15"/>
  <c r="DV41" i="15"/>
  <c r="DV39" i="15"/>
  <c r="DV37" i="15"/>
  <c r="DV35" i="15"/>
  <c r="DV33" i="15"/>
  <c r="DV31" i="15"/>
  <c r="DV29" i="15"/>
  <c r="DV27" i="15"/>
  <c r="DV25" i="15"/>
  <c r="DV23" i="15"/>
  <c r="DV21" i="15"/>
  <c r="DV19" i="15"/>
  <c r="DV17" i="15"/>
  <c r="DV15" i="15"/>
  <c r="DV13" i="15"/>
  <c r="DV11" i="15"/>
  <c r="DV9" i="15"/>
  <c r="DV7" i="15"/>
  <c r="DV5" i="15"/>
  <c r="DV201" i="15"/>
  <c r="DV187" i="15"/>
  <c r="DV104" i="15"/>
  <c r="DV82" i="15"/>
  <c r="DV162" i="15"/>
  <c r="DV155" i="15"/>
  <c r="DV140" i="15"/>
  <c r="DV126" i="15"/>
  <c r="DV114" i="15"/>
  <c r="DV102" i="15"/>
  <c r="DV88" i="15"/>
  <c r="DV72" i="15"/>
  <c r="DW4" i="15"/>
  <c r="DV219" i="15"/>
  <c r="DV118" i="15"/>
  <c r="DV116" i="15"/>
  <c r="DV78" i="15"/>
  <c r="DV100" i="15"/>
  <c r="DV74" i="15"/>
  <c r="DV56" i="15"/>
  <c r="DV34" i="15"/>
  <c r="DV18" i="15"/>
  <c r="DV207" i="15"/>
  <c r="DV150" i="15"/>
  <c r="DV98" i="15"/>
  <c r="DV54" i="15"/>
  <c r="DV44" i="15"/>
  <c r="DV28" i="15"/>
  <c r="DV12" i="15"/>
  <c r="DV161" i="15"/>
  <c r="DV108" i="15"/>
  <c r="DV96" i="15"/>
  <c r="DV84" i="15"/>
  <c r="DV68" i="15"/>
  <c r="DV52" i="15"/>
  <c r="DV38" i="15"/>
  <c r="DV22" i="15"/>
  <c r="DV6" i="15"/>
  <c r="DV80" i="15"/>
  <c r="DV70" i="15"/>
  <c r="DV66" i="15"/>
  <c r="DV50" i="15"/>
  <c r="DV32" i="15"/>
  <c r="DV16" i="15"/>
  <c r="DV149" i="15"/>
  <c r="DV14" i="15"/>
  <c r="DV42" i="15"/>
  <c r="DV46" i="15"/>
  <c r="DV167" i="15"/>
  <c r="D13" i="21"/>
  <c r="J29" i="21"/>
  <c r="E71" i="21" l="1"/>
  <c r="E51" i="21"/>
  <c r="I226" i="20"/>
  <c r="D34" i="21"/>
  <c r="E33" i="21"/>
  <c r="G224" i="20"/>
  <c r="H224" i="20"/>
  <c r="I224" i="20"/>
  <c r="J224" i="20"/>
  <c r="D59" i="20"/>
  <c r="F229" i="20"/>
  <c r="F60" i="20"/>
  <c r="DW209" i="15"/>
  <c r="DW204" i="15"/>
  <c r="DW193" i="15"/>
  <c r="DW179" i="15"/>
  <c r="DW176" i="15"/>
  <c r="DW214" i="15"/>
  <c r="DW203" i="15"/>
  <c r="DW198" i="15"/>
  <c r="DW185" i="15"/>
  <c r="DW182" i="15"/>
  <c r="DW169" i="15"/>
  <c r="DW166" i="15"/>
  <c r="DW213" i="15"/>
  <c r="DW208" i="15"/>
  <c r="DW197" i="15"/>
  <c r="DW192" i="15"/>
  <c r="DW188" i="15"/>
  <c r="DW175" i="15"/>
  <c r="DW172" i="15"/>
  <c r="DW163" i="15"/>
  <c r="DW161" i="15"/>
  <c r="DW159" i="15"/>
  <c r="DW157" i="15"/>
  <c r="DW155" i="15"/>
  <c r="DW153" i="15"/>
  <c r="DW151" i="15"/>
  <c r="DW149" i="15"/>
  <c r="DW147" i="15"/>
  <c r="DW216" i="15"/>
  <c r="DW183" i="15"/>
  <c r="DW171" i="15"/>
  <c r="DW170" i="15"/>
  <c r="DW158" i="15"/>
  <c r="DW220" i="15"/>
  <c r="DW217" i="15"/>
  <c r="DW211" i="15"/>
  <c r="DW210" i="15"/>
  <c r="DW205" i="15"/>
  <c r="DW184" i="15"/>
  <c r="DW152" i="15"/>
  <c r="DW199" i="15"/>
  <c r="DW173" i="15"/>
  <c r="DW162" i="15"/>
  <c r="DW218" i="15"/>
  <c r="DW195" i="15"/>
  <c r="DW146" i="15"/>
  <c r="DW145" i="15"/>
  <c r="DW144" i="15"/>
  <c r="DW133" i="15"/>
  <c r="DW122" i="15"/>
  <c r="DW117" i="15"/>
  <c r="DW190" i="15"/>
  <c r="DW178" i="15"/>
  <c r="DW160" i="15"/>
  <c r="DW154" i="15"/>
  <c r="DW143" i="15"/>
  <c r="DW142" i="15"/>
  <c r="DW132" i="15"/>
  <c r="DW127" i="15"/>
  <c r="DW116" i="15"/>
  <c r="DW111" i="15"/>
  <c r="DW100" i="15"/>
  <c r="DW95" i="15"/>
  <c r="DW206" i="15"/>
  <c r="DW167" i="15"/>
  <c r="DW148" i="15"/>
  <c r="DW141" i="15"/>
  <c r="DW140" i="15"/>
  <c r="DW126" i="15"/>
  <c r="DW201" i="15"/>
  <c r="DW191" i="15"/>
  <c r="DW186" i="15"/>
  <c r="DW174" i="15"/>
  <c r="DW187" i="15"/>
  <c r="DW181" i="15"/>
  <c r="DW165" i="15"/>
  <c r="DW131" i="15"/>
  <c r="DW125" i="15"/>
  <c r="DW106" i="15"/>
  <c r="DW105" i="15"/>
  <c r="DW104" i="15"/>
  <c r="DW82" i="15"/>
  <c r="DW79" i="15"/>
  <c r="DW215" i="15"/>
  <c r="DW194" i="15"/>
  <c r="DW114" i="15"/>
  <c r="DW113" i="15"/>
  <c r="DW112" i="15"/>
  <c r="DW103" i="15"/>
  <c r="DW102" i="15"/>
  <c r="DW93" i="15"/>
  <c r="DW88" i="15"/>
  <c r="DW85" i="15"/>
  <c r="DW72" i="15"/>
  <c r="DW69" i="15"/>
  <c r="DW219" i="15"/>
  <c r="DW212" i="15"/>
  <c r="DW196" i="15"/>
  <c r="DW189" i="15"/>
  <c r="DW137" i="15"/>
  <c r="DW118" i="15"/>
  <c r="DW115" i="15"/>
  <c r="DW92" i="15"/>
  <c r="DW78" i="15"/>
  <c r="DW75" i="15"/>
  <c r="DW207" i="15"/>
  <c r="DW168" i="15"/>
  <c r="DW150" i="15"/>
  <c r="DW134" i="15"/>
  <c r="DW120" i="15"/>
  <c r="DW119" i="15"/>
  <c r="DW101" i="15"/>
  <c r="DW91" i="15"/>
  <c r="DW84" i="15"/>
  <c r="DW81" i="15"/>
  <c r="DW107" i="15"/>
  <c r="DW98" i="15"/>
  <c r="DW83" i="15"/>
  <c r="DW55" i="15"/>
  <c r="DW54" i="15"/>
  <c r="DW44" i="15"/>
  <c r="DW39" i="15"/>
  <c r="DW28" i="15"/>
  <c r="DW23" i="15"/>
  <c r="DW12" i="15"/>
  <c r="DW7" i="15"/>
  <c r="DW164" i="15"/>
  <c r="DW135" i="15"/>
  <c r="DW108" i="15"/>
  <c r="DW96" i="15"/>
  <c r="DW68" i="15"/>
  <c r="DW53" i="15"/>
  <c r="DW52" i="15"/>
  <c r="DW38" i="15"/>
  <c r="DW33" i="15"/>
  <c r="DW22" i="15"/>
  <c r="DW17" i="15"/>
  <c r="DW6" i="15"/>
  <c r="DW139" i="15"/>
  <c r="DW129" i="15"/>
  <c r="DW89" i="15"/>
  <c r="DW80" i="15"/>
  <c r="DW70" i="15"/>
  <c r="DW67" i="15"/>
  <c r="DW66" i="15"/>
  <c r="DW51" i="15"/>
  <c r="DW50" i="15"/>
  <c r="DW43" i="15"/>
  <c r="DW32" i="15"/>
  <c r="DW27" i="15"/>
  <c r="DW16" i="15"/>
  <c r="DW11" i="15"/>
  <c r="DW156" i="15"/>
  <c r="DW121" i="15"/>
  <c r="DW90" i="15"/>
  <c r="DW76" i="15"/>
  <c r="DW71" i="15"/>
  <c r="DW65" i="15"/>
  <c r="DW64" i="15"/>
  <c r="DW49" i="15"/>
  <c r="DW48" i="15"/>
  <c r="DW42" i="15"/>
  <c r="DW37" i="15"/>
  <c r="DW26" i="15"/>
  <c r="DW21" i="15"/>
  <c r="DW136" i="15"/>
  <c r="DW128" i="15"/>
  <c r="DW109" i="15"/>
  <c r="DW94" i="15"/>
  <c r="DW9" i="15"/>
  <c r="DX4" i="15"/>
  <c r="DW202" i="15"/>
  <c r="DW138" i="15"/>
  <c r="DW123" i="15"/>
  <c r="DW59" i="15"/>
  <c r="DW36" i="15"/>
  <c r="DW25" i="15"/>
  <c r="DW18" i="15"/>
  <c r="DW10" i="15"/>
  <c r="DW130" i="15"/>
  <c r="DW62" i="15"/>
  <c r="DW47" i="15"/>
  <c r="DW40" i="15"/>
  <c r="DW29" i="15"/>
  <c r="DW15" i="15"/>
  <c r="DW87" i="15"/>
  <c r="DW77" i="15"/>
  <c r="DW60" i="15"/>
  <c r="DW56" i="15"/>
  <c r="DW30" i="15"/>
  <c r="DW19" i="15"/>
  <c r="DW5" i="15"/>
  <c r="DW180" i="15"/>
  <c r="DW177" i="15"/>
  <c r="DW74" i="15"/>
  <c r="DW34" i="15"/>
  <c r="DW86" i="15"/>
  <c r="DW61" i="15"/>
  <c r="DW57" i="15"/>
  <c r="DW46" i="15"/>
  <c r="DW200" i="15"/>
  <c r="DW97" i="15"/>
  <c r="DW13" i="15"/>
  <c r="DW99" i="15"/>
  <c r="DW73" i="15"/>
  <c r="DW20" i="15"/>
  <c r="DW8" i="15"/>
  <c r="DW58" i="15"/>
  <c r="DW41" i="15"/>
  <c r="DW35" i="15"/>
  <c r="DW124" i="15"/>
  <c r="DW63" i="15"/>
  <c r="DW24" i="15"/>
  <c r="DW31" i="15"/>
  <c r="DW45" i="15"/>
  <c r="DW14" i="15"/>
  <c r="DW110" i="15"/>
  <c r="J8" i="21"/>
  <c r="K7" i="21"/>
  <c r="J228" i="20"/>
  <c r="I228" i="20"/>
  <c r="H228" i="20"/>
  <c r="G228" i="20"/>
  <c r="E70" i="21"/>
  <c r="F223" i="20"/>
  <c r="D53" i="20"/>
  <c r="F52" i="20"/>
  <c r="K176" i="20"/>
  <c r="K228" i="20" s="1"/>
  <c r="L175" i="20"/>
  <c r="K29" i="21"/>
  <c r="D14" i="21"/>
  <c r="K8" i="21" l="1"/>
  <c r="L7" i="21"/>
  <c r="D223" i="20"/>
  <c r="E223" i="20" s="1"/>
  <c r="E53" i="20"/>
  <c r="D60" i="20"/>
  <c r="F230" i="20"/>
  <c r="F61" i="20"/>
  <c r="D35" i="21"/>
  <c r="E34" i="21"/>
  <c r="K223" i="20"/>
  <c r="J223" i="20"/>
  <c r="I223" i="20"/>
  <c r="H223" i="20"/>
  <c r="G223" i="20"/>
  <c r="L229" i="20"/>
  <c r="K229" i="20"/>
  <c r="J229" i="20"/>
  <c r="I229" i="20"/>
  <c r="H229" i="20"/>
  <c r="G229" i="20"/>
  <c r="K225" i="20"/>
  <c r="K227" i="20"/>
  <c r="F222" i="20"/>
  <c r="F51" i="20"/>
  <c r="D52" i="20"/>
  <c r="DX219" i="15"/>
  <c r="DX217" i="15"/>
  <c r="DX215" i="15"/>
  <c r="DX213" i="15"/>
  <c r="DX211" i="15"/>
  <c r="DX209" i="15"/>
  <c r="DX207" i="15"/>
  <c r="DX205" i="15"/>
  <c r="DX203" i="15"/>
  <c r="DX201" i="15"/>
  <c r="DX199" i="15"/>
  <c r="DX197" i="15"/>
  <c r="DX195" i="15"/>
  <c r="DX193" i="15"/>
  <c r="DX191" i="15"/>
  <c r="DX214" i="15"/>
  <c r="DX198" i="15"/>
  <c r="DX185" i="15"/>
  <c r="DX182" i="15"/>
  <c r="DX169" i="15"/>
  <c r="DX208" i="15"/>
  <c r="DX192" i="15"/>
  <c r="DX188" i="15"/>
  <c r="DX175" i="15"/>
  <c r="DX172" i="15"/>
  <c r="DX163" i="15"/>
  <c r="DX161" i="15"/>
  <c r="DX159" i="15"/>
  <c r="DX157" i="15"/>
  <c r="DX155" i="15"/>
  <c r="DX153" i="15"/>
  <c r="DX151" i="15"/>
  <c r="DX149" i="15"/>
  <c r="DX202" i="15"/>
  <c r="DX181" i="15"/>
  <c r="DX178" i="15"/>
  <c r="DX165" i="15"/>
  <c r="DX220" i="15"/>
  <c r="DX210" i="15"/>
  <c r="DX184" i="15"/>
  <c r="DX152" i="15"/>
  <c r="DX204" i="15"/>
  <c r="DX173" i="15"/>
  <c r="DX162" i="15"/>
  <c r="DX147" i="15"/>
  <c r="DX212" i="15"/>
  <c r="DX206" i="15"/>
  <c r="DX200" i="15"/>
  <c r="DX187" i="15"/>
  <c r="DX186" i="15"/>
  <c r="DX174" i="15"/>
  <c r="DX156" i="15"/>
  <c r="DX144" i="15"/>
  <c r="DX142" i="15"/>
  <c r="DX140" i="15"/>
  <c r="DX138" i="15"/>
  <c r="DX136" i="15"/>
  <c r="DX134" i="15"/>
  <c r="DX132" i="15"/>
  <c r="DX130" i="15"/>
  <c r="DX128" i="15"/>
  <c r="DX126" i="15"/>
  <c r="DX124" i="15"/>
  <c r="DX122" i="15"/>
  <c r="DX120" i="15"/>
  <c r="DX118" i="15"/>
  <c r="DX116" i="15"/>
  <c r="DX114" i="15"/>
  <c r="DX112" i="15"/>
  <c r="DX110" i="15"/>
  <c r="DX108" i="15"/>
  <c r="DX106" i="15"/>
  <c r="DX104" i="15"/>
  <c r="DX102" i="15"/>
  <c r="DX100" i="15"/>
  <c r="DX98" i="15"/>
  <c r="DX96" i="15"/>
  <c r="DX218" i="15"/>
  <c r="DX216" i="15"/>
  <c r="DX190" i="15"/>
  <c r="DX170" i="15"/>
  <c r="DX160" i="15"/>
  <c r="DX158" i="15"/>
  <c r="DX154" i="15"/>
  <c r="DX143" i="15"/>
  <c r="DX127" i="15"/>
  <c r="DX111" i="15"/>
  <c r="DX167" i="15"/>
  <c r="DX166" i="15"/>
  <c r="DX148" i="15"/>
  <c r="DX141" i="15"/>
  <c r="DX121" i="15"/>
  <c r="DX105" i="15"/>
  <c r="DX183" i="15"/>
  <c r="DX176" i="15"/>
  <c r="DX171" i="15"/>
  <c r="DX139" i="15"/>
  <c r="DX131" i="15"/>
  <c r="DX196" i="15"/>
  <c r="DX194" i="15"/>
  <c r="DX179" i="15"/>
  <c r="DX113" i="15"/>
  <c r="DX103" i="15"/>
  <c r="DX93" i="15"/>
  <c r="DX88" i="15"/>
  <c r="DX85" i="15"/>
  <c r="DX72" i="15"/>
  <c r="DX69" i="15"/>
  <c r="DY4" i="15"/>
  <c r="DX189" i="15"/>
  <c r="DX137" i="15"/>
  <c r="DX115" i="15"/>
  <c r="DX92" i="15"/>
  <c r="DX78" i="15"/>
  <c r="DX75" i="15"/>
  <c r="DX168" i="15"/>
  <c r="DX150" i="15"/>
  <c r="DX119" i="15"/>
  <c r="DX101" i="15"/>
  <c r="DX91" i="15"/>
  <c r="DX84" i="15"/>
  <c r="DX81" i="15"/>
  <c r="DX68" i="15"/>
  <c r="DX66" i="15"/>
  <c r="DX64" i="15"/>
  <c r="DX62" i="15"/>
  <c r="DX60" i="15"/>
  <c r="DX58" i="15"/>
  <c r="DX56" i="15"/>
  <c r="DX54" i="15"/>
  <c r="DX52" i="15"/>
  <c r="DX50" i="15"/>
  <c r="DX48" i="15"/>
  <c r="DX46" i="15"/>
  <c r="DX44" i="15"/>
  <c r="DX42" i="15"/>
  <c r="DX40" i="15"/>
  <c r="DX38" i="15"/>
  <c r="DX36" i="15"/>
  <c r="DX34" i="15"/>
  <c r="DX32" i="15"/>
  <c r="DX30" i="15"/>
  <c r="DX28" i="15"/>
  <c r="DX26" i="15"/>
  <c r="DX24" i="15"/>
  <c r="DX22" i="15"/>
  <c r="DX20" i="15"/>
  <c r="DX18" i="15"/>
  <c r="DX16" i="15"/>
  <c r="DX14" i="15"/>
  <c r="DX12" i="15"/>
  <c r="DX10" i="15"/>
  <c r="DX8" i="15"/>
  <c r="DX6" i="15"/>
  <c r="DX133" i="15"/>
  <c r="DX117" i="15"/>
  <c r="DX99" i="15"/>
  <c r="DX90" i="15"/>
  <c r="DX87" i="15"/>
  <c r="DX74" i="15"/>
  <c r="DX164" i="15"/>
  <c r="DX135" i="15"/>
  <c r="DX53" i="15"/>
  <c r="DX33" i="15"/>
  <c r="DX17" i="15"/>
  <c r="DX129" i="15"/>
  <c r="DX125" i="15"/>
  <c r="DX89" i="15"/>
  <c r="DX80" i="15"/>
  <c r="DX79" i="15"/>
  <c r="DX70" i="15"/>
  <c r="DX67" i="15"/>
  <c r="DX51" i="15"/>
  <c r="DX43" i="15"/>
  <c r="DX27" i="15"/>
  <c r="DX11" i="15"/>
  <c r="DX145" i="15"/>
  <c r="DX76" i="15"/>
  <c r="DX71" i="15"/>
  <c r="DX65" i="15"/>
  <c r="DX49" i="15"/>
  <c r="DX37" i="15"/>
  <c r="DX21" i="15"/>
  <c r="DX5" i="15"/>
  <c r="DX123" i="15"/>
  <c r="DX109" i="15"/>
  <c r="DX86" i="15"/>
  <c r="DX63" i="15"/>
  <c r="DX47" i="15"/>
  <c r="DX31" i="15"/>
  <c r="DX15" i="15"/>
  <c r="DX107" i="15"/>
  <c r="DX59" i="15"/>
  <c r="DX25" i="15"/>
  <c r="DX55" i="15"/>
  <c r="DX39" i="15"/>
  <c r="DX29" i="15"/>
  <c r="DX146" i="15"/>
  <c r="DX83" i="15"/>
  <c r="DX77" i="15"/>
  <c r="DX19" i="15"/>
  <c r="DX73" i="15"/>
  <c r="DX180" i="15"/>
  <c r="DX177" i="15"/>
  <c r="DX95" i="15"/>
  <c r="DX82" i="15"/>
  <c r="DX61" i="15"/>
  <c r="DX57" i="15"/>
  <c r="DX97" i="15"/>
  <c r="DX13" i="15"/>
  <c r="DX9" i="15"/>
  <c r="DX94" i="15"/>
  <c r="DX41" i="15"/>
  <c r="DX23" i="15"/>
  <c r="DX35" i="15"/>
  <c r="DX7" i="15"/>
  <c r="DX45" i="15"/>
  <c r="L176" i="20"/>
  <c r="M175" i="20"/>
  <c r="L226" i="20"/>
  <c r="D229" i="20"/>
  <c r="E229" i="20" s="1"/>
  <c r="E59" i="20"/>
  <c r="E72" i="21"/>
  <c r="E52" i="21"/>
  <c r="K226" i="20"/>
  <c r="K224" i="20"/>
  <c r="L29" i="21"/>
  <c r="D15" i="21"/>
  <c r="D222" i="20" l="1"/>
  <c r="E222" i="20" s="1"/>
  <c r="E52" i="20"/>
  <c r="D36" i="21"/>
  <c r="E35" i="21"/>
  <c r="N175" i="20"/>
  <c r="M176" i="20"/>
  <c r="M225" i="20" s="1"/>
  <c r="M227" i="20"/>
  <c r="L224" i="20"/>
  <c r="L228" i="20"/>
  <c r="D51" i="20"/>
  <c r="F50" i="20"/>
  <c r="F221" i="20"/>
  <c r="F231" i="20"/>
  <c r="F62" i="20"/>
  <c r="D61" i="20"/>
  <c r="M7" i="21"/>
  <c r="L8" i="21"/>
  <c r="E53" i="21"/>
  <c r="E73" i="21"/>
  <c r="L227" i="20"/>
  <c r="L222" i="20"/>
  <c r="K222" i="20"/>
  <c r="J222" i="20"/>
  <c r="G222" i="20"/>
  <c r="H222" i="20"/>
  <c r="I222" i="20"/>
  <c r="L230" i="20"/>
  <c r="K230" i="20"/>
  <c r="J230" i="20"/>
  <c r="I230" i="20"/>
  <c r="H230" i="20"/>
  <c r="G230" i="20"/>
  <c r="L225" i="20"/>
  <c r="DY219" i="15"/>
  <c r="DY217" i="15"/>
  <c r="DY208" i="15"/>
  <c r="DY203" i="15"/>
  <c r="DY192" i="15"/>
  <c r="DY188" i="15"/>
  <c r="DY175" i="15"/>
  <c r="DY172" i="15"/>
  <c r="DY213" i="15"/>
  <c r="DY202" i="15"/>
  <c r="DY197" i="15"/>
  <c r="DY181" i="15"/>
  <c r="DY178" i="15"/>
  <c r="DY165" i="15"/>
  <c r="DY220" i="15"/>
  <c r="DY212" i="15"/>
  <c r="DY207" i="15"/>
  <c r="DY196" i="15"/>
  <c r="DY191" i="15"/>
  <c r="DY187" i="15"/>
  <c r="DY184" i="15"/>
  <c r="DY171" i="15"/>
  <c r="DY168" i="15"/>
  <c r="DY211" i="15"/>
  <c r="DY209" i="15"/>
  <c r="DY205" i="15"/>
  <c r="DY204" i="15"/>
  <c r="DY182" i="15"/>
  <c r="DY173" i="15"/>
  <c r="DY163" i="15"/>
  <c r="DY162" i="15"/>
  <c r="DY147" i="15"/>
  <c r="DY206" i="15"/>
  <c r="DY200" i="15"/>
  <c r="DY199" i="15"/>
  <c r="DY198" i="15"/>
  <c r="DY186" i="15"/>
  <c r="DY174" i="15"/>
  <c r="DY157" i="15"/>
  <c r="DY156" i="15"/>
  <c r="DY144" i="15"/>
  <c r="DY142" i="15"/>
  <c r="DY140" i="15"/>
  <c r="DY138" i="15"/>
  <c r="DY136" i="15"/>
  <c r="DY218" i="15"/>
  <c r="DY194" i="15"/>
  <c r="DY185" i="15"/>
  <c r="DY177" i="15"/>
  <c r="DY151" i="15"/>
  <c r="DY150" i="15"/>
  <c r="DY146" i="15"/>
  <c r="DY167" i="15"/>
  <c r="DY166" i="15"/>
  <c r="DY159" i="15"/>
  <c r="DY152" i="15"/>
  <c r="DY148" i="15"/>
  <c r="DY141" i="15"/>
  <c r="DY132" i="15"/>
  <c r="DY121" i="15"/>
  <c r="DY116" i="15"/>
  <c r="DY193" i="15"/>
  <c r="DY183" i="15"/>
  <c r="DY176" i="15"/>
  <c r="DY153" i="15"/>
  <c r="DY139" i="15"/>
  <c r="DY131" i="15"/>
  <c r="DY126" i="15"/>
  <c r="DY115" i="15"/>
  <c r="DY110" i="15"/>
  <c r="DY99" i="15"/>
  <c r="DY94" i="15"/>
  <c r="DY91" i="15"/>
  <c r="DY201" i="15"/>
  <c r="DY161" i="15"/>
  <c r="DY155" i="15"/>
  <c r="DY149" i="15"/>
  <c r="DY137" i="15"/>
  <c r="DY125" i="15"/>
  <c r="DY179" i="15"/>
  <c r="DY215" i="15"/>
  <c r="DY189" i="15"/>
  <c r="DY170" i="15"/>
  <c r="DY114" i="15"/>
  <c r="DY112" i="15"/>
  <c r="DY111" i="15"/>
  <c r="DY102" i="15"/>
  <c r="DY92" i="15"/>
  <c r="DY78" i="15"/>
  <c r="DY75" i="15"/>
  <c r="DY210" i="15"/>
  <c r="DY160" i="15"/>
  <c r="DY143" i="15"/>
  <c r="DY119" i="15"/>
  <c r="DY118" i="15"/>
  <c r="DY101" i="15"/>
  <c r="DY84" i="15"/>
  <c r="DY81" i="15"/>
  <c r="DY68" i="15"/>
  <c r="DY66" i="15"/>
  <c r="DY64" i="15"/>
  <c r="DY62" i="15"/>
  <c r="DY60" i="15"/>
  <c r="DY58" i="15"/>
  <c r="DY56" i="15"/>
  <c r="DY54" i="15"/>
  <c r="DY52" i="15"/>
  <c r="DY50" i="15"/>
  <c r="DY48" i="15"/>
  <c r="DY134" i="15"/>
  <c r="DY133" i="15"/>
  <c r="DY120" i="15"/>
  <c r="DY117" i="15"/>
  <c r="DY90" i="15"/>
  <c r="DY87" i="15"/>
  <c r="DY74" i="15"/>
  <c r="DY71" i="15"/>
  <c r="DY216" i="15"/>
  <c r="DY180" i="15"/>
  <c r="DY145" i="15"/>
  <c r="DY135" i="15"/>
  <c r="DY129" i="15"/>
  <c r="DY128" i="15"/>
  <c r="DY127" i="15"/>
  <c r="DY100" i="15"/>
  <c r="DY98" i="15"/>
  <c r="DY97" i="15"/>
  <c r="DY80" i="15"/>
  <c r="DY77" i="15"/>
  <c r="DY190" i="15"/>
  <c r="DY122" i="15"/>
  <c r="DY108" i="15"/>
  <c r="DY103" i="15"/>
  <c r="DY96" i="15"/>
  <c r="DY89" i="15"/>
  <c r="DY88" i="15"/>
  <c r="DY79" i="15"/>
  <c r="DY70" i="15"/>
  <c r="DY67" i="15"/>
  <c r="DY51" i="15"/>
  <c r="DY43" i="15"/>
  <c r="DY38" i="15"/>
  <c r="DY27" i="15"/>
  <c r="DY22" i="15"/>
  <c r="DY11" i="15"/>
  <c r="DY6" i="15"/>
  <c r="DY76" i="15"/>
  <c r="DY65" i="15"/>
  <c r="DY49" i="15"/>
  <c r="DY37" i="15"/>
  <c r="DY32" i="15"/>
  <c r="DY21" i="15"/>
  <c r="DY16" i="15"/>
  <c r="DY5" i="15"/>
  <c r="DY195" i="15"/>
  <c r="DY154" i="15"/>
  <c r="DY123" i="15"/>
  <c r="DY109" i="15"/>
  <c r="DY104" i="15"/>
  <c r="DY86" i="15"/>
  <c r="DY69" i="15"/>
  <c r="DY63" i="15"/>
  <c r="DY47" i="15"/>
  <c r="DY42" i="15"/>
  <c r="DY31" i="15"/>
  <c r="DY26" i="15"/>
  <c r="DY15" i="15"/>
  <c r="DY10" i="15"/>
  <c r="DZ4" i="15"/>
  <c r="DY93" i="15"/>
  <c r="DY85" i="15"/>
  <c r="DY61" i="15"/>
  <c r="DY41" i="15"/>
  <c r="DY36" i="15"/>
  <c r="DY25" i="15"/>
  <c r="DY20" i="15"/>
  <c r="DY164" i="15"/>
  <c r="DY158" i="15"/>
  <c r="DY113" i="15"/>
  <c r="DY105" i="15"/>
  <c r="DY55" i="15"/>
  <c r="DY39" i="15"/>
  <c r="DY29" i="15"/>
  <c r="DY28" i="15"/>
  <c r="DY18" i="15"/>
  <c r="DY130" i="15"/>
  <c r="DY83" i="15"/>
  <c r="DY40" i="15"/>
  <c r="DY19" i="15"/>
  <c r="DY73" i="15"/>
  <c r="DY30" i="15"/>
  <c r="DY169" i="15"/>
  <c r="DY95" i="15"/>
  <c r="DY57" i="15"/>
  <c r="DY33" i="15"/>
  <c r="DY59" i="15"/>
  <c r="DY34" i="15"/>
  <c r="DY46" i="15"/>
  <c r="DY13" i="15"/>
  <c r="DY9" i="15"/>
  <c r="DY106" i="15"/>
  <c r="DY53" i="15"/>
  <c r="DY44" i="15"/>
  <c r="DY35" i="15"/>
  <c r="DY23" i="15"/>
  <c r="DY17" i="15"/>
  <c r="DY82" i="15"/>
  <c r="DY124" i="15"/>
  <c r="DY12" i="15"/>
  <c r="DY72" i="15"/>
  <c r="DY24" i="15"/>
  <c r="DY14" i="15"/>
  <c r="DY7" i="15"/>
  <c r="DY45" i="15"/>
  <c r="DY8" i="15"/>
  <c r="DY214" i="15"/>
  <c r="DY107" i="15"/>
  <c r="L223" i="20"/>
  <c r="D230" i="20"/>
  <c r="E230" i="20" s="1"/>
  <c r="E60" i="20"/>
  <c r="D16" i="21"/>
  <c r="M29" i="21"/>
  <c r="D221" i="20" l="1"/>
  <c r="E221" i="20" s="1"/>
  <c r="E51" i="20"/>
  <c r="M223" i="20"/>
  <c r="F232" i="20"/>
  <c r="D62" i="20"/>
  <c r="F63" i="20"/>
  <c r="E54" i="21"/>
  <c r="E74" i="21"/>
  <c r="M222" i="20"/>
  <c r="M226" i="20"/>
  <c r="N231" i="20"/>
  <c r="M231" i="20"/>
  <c r="L231" i="20"/>
  <c r="K231" i="20"/>
  <c r="I231" i="20"/>
  <c r="H231" i="20"/>
  <c r="J231" i="20"/>
  <c r="G231" i="20"/>
  <c r="M228" i="20"/>
  <c r="D37" i="21"/>
  <c r="E36" i="21"/>
  <c r="N7" i="21"/>
  <c r="M8" i="21"/>
  <c r="O175" i="20"/>
  <c r="N176" i="20"/>
  <c r="N228" i="20" s="1"/>
  <c r="N226" i="20"/>
  <c r="M230" i="20"/>
  <c r="L221" i="20"/>
  <c r="K221" i="20"/>
  <c r="J221" i="20"/>
  <c r="I221" i="20"/>
  <c r="M221" i="20"/>
  <c r="H221" i="20"/>
  <c r="G221" i="20"/>
  <c r="M224" i="20"/>
  <c r="DZ219" i="15"/>
  <c r="DZ217" i="15"/>
  <c r="DZ215" i="15"/>
  <c r="DZ213" i="15"/>
  <c r="DZ211" i="15"/>
  <c r="DZ209" i="15"/>
  <c r="DZ207" i="15"/>
  <c r="DZ205" i="15"/>
  <c r="DZ203" i="15"/>
  <c r="DZ201" i="15"/>
  <c r="DZ199" i="15"/>
  <c r="DZ197" i="15"/>
  <c r="DZ195" i="15"/>
  <c r="DZ193" i="15"/>
  <c r="DZ191" i="15"/>
  <c r="DZ189" i="15"/>
  <c r="DZ187" i="15"/>
  <c r="DZ185" i="15"/>
  <c r="DZ183" i="15"/>
  <c r="DZ181" i="15"/>
  <c r="DZ179" i="15"/>
  <c r="DZ177" i="15"/>
  <c r="DZ175" i="15"/>
  <c r="DZ173" i="15"/>
  <c r="DZ171" i="15"/>
  <c r="DZ169" i="15"/>
  <c r="DZ167" i="15"/>
  <c r="DZ165" i="15"/>
  <c r="DZ202" i="15"/>
  <c r="DZ178" i="15"/>
  <c r="DZ220" i="15"/>
  <c r="DZ212" i="15"/>
  <c r="DZ196" i="15"/>
  <c r="DZ184" i="15"/>
  <c r="DZ168" i="15"/>
  <c r="DZ218" i="15"/>
  <c r="DZ206" i="15"/>
  <c r="DZ190" i="15"/>
  <c r="DZ174" i="15"/>
  <c r="DZ200" i="15"/>
  <c r="DZ198" i="15"/>
  <c r="DZ186" i="15"/>
  <c r="DZ157" i="15"/>
  <c r="DZ156" i="15"/>
  <c r="DZ144" i="15"/>
  <c r="DZ142" i="15"/>
  <c r="DZ140" i="15"/>
  <c r="DZ138" i="15"/>
  <c r="DZ136" i="15"/>
  <c r="DZ134" i="15"/>
  <c r="DZ132" i="15"/>
  <c r="DZ130" i="15"/>
  <c r="DZ128" i="15"/>
  <c r="DZ126" i="15"/>
  <c r="DZ124" i="15"/>
  <c r="DZ122" i="15"/>
  <c r="DZ120" i="15"/>
  <c r="DZ118" i="15"/>
  <c r="DZ116" i="15"/>
  <c r="DZ114" i="15"/>
  <c r="DZ112" i="15"/>
  <c r="DZ110" i="15"/>
  <c r="DZ108" i="15"/>
  <c r="DZ106" i="15"/>
  <c r="DZ104" i="15"/>
  <c r="DZ102" i="15"/>
  <c r="DZ100" i="15"/>
  <c r="DZ98" i="15"/>
  <c r="DZ96" i="15"/>
  <c r="DZ94" i="15"/>
  <c r="DZ92" i="15"/>
  <c r="DZ90" i="15"/>
  <c r="DZ88" i="15"/>
  <c r="DZ86" i="15"/>
  <c r="DZ84" i="15"/>
  <c r="DZ82" i="15"/>
  <c r="DZ80" i="15"/>
  <c r="DZ78" i="15"/>
  <c r="DZ76" i="15"/>
  <c r="DZ74" i="15"/>
  <c r="DZ72" i="15"/>
  <c r="DZ70" i="15"/>
  <c r="DZ68" i="15"/>
  <c r="DZ194" i="15"/>
  <c r="DZ192" i="15"/>
  <c r="DZ172" i="15"/>
  <c r="DZ151" i="15"/>
  <c r="DZ150" i="15"/>
  <c r="DZ146" i="15"/>
  <c r="DZ176" i="15"/>
  <c r="DZ161" i="15"/>
  <c r="DZ160" i="15"/>
  <c r="DZ182" i="15"/>
  <c r="DZ153" i="15"/>
  <c r="DZ139" i="15"/>
  <c r="DZ131" i="15"/>
  <c r="DZ115" i="15"/>
  <c r="DZ155" i="15"/>
  <c r="DZ149" i="15"/>
  <c r="DZ147" i="15"/>
  <c r="DZ137" i="15"/>
  <c r="DZ125" i="15"/>
  <c r="DZ109" i="15"/>
  <c r="DZ208" i="15"/>
  <c r="DZ188" i="15"/>
  <c r="DZ135" i="15"/>
  <c r="DZ204" i="15"/>
  <c r="DZ180" i="15"/>
  <c r="DZ210" i="15"/>
  <c r="DZ143" i="15"/>
  <c r="DZ119" i="15"/>
  <c r="DZ101" i="15"/>
  <c r="DZ81" i="15"/>
  <c r="DZ66" i="15"/>
  <c r="DZ64" i="15"/>
  <c r="DZ62" i="15"/>
  <c r="DZ60" i="15"/>
  <c r="DZ58" i="15"/>
  <c r="DZ56" i="15"/>
  <c r="DZ54" i="15"/>
  <c r="DZ52" i="15"/>
  <c r="DZ50" i="15"/>
  <c r="DZ48" i="15"/>
  <c r="DZ46" i="15"/>
  <c r="DZ44" i="15"/>
  <c r="DZ42" i="15"/>
  <c r="DZ40" i="15"/>
  <c r="DZ38" i="15"/>
  <c r="DZ36" i="15"/>
  <c r="DZ34" i="15"/>
  <c r="DZ32" i="15"/>
  <c r="DZ30" i="15"/>
  <c r="DZ28" i="15"/>
  <c r="DZ26" i="15"/>
  <c r="DZ24" i="15"/>
  <c r="DZ22" i="15"/>
  <c r="DZ20" i="15"/>
  <c r="DZ18" i="15"/>
  <c r="DZ16" i="15"/>
  <c r="DZ14" i="15"/>
  <c r="DZ12" i="15"/>
  <c r="DZ10" i="15"/>
  <c r="DZ8" i="15"/>
  <c r="DZ6" i="15"/>
  <c r="DZ162" i="15"/>
  <c r="DZ152" i="15"/>
  <c r="DZ133" i="15"/>
  <c r="DZ117" i="15"/>
  <c r="DZ91" i="15"/>
  <c r="DZ87" i="15"/>
  <c r="DZ71" i="15"/>
  <c r="DZ216" i="15"/>
  <c r="DZ166" i="15"/>
  <c r="DZ145" i="15"/>
  <c r="DZ129" i="15"/>
  <c r="DZ127" i="15"/>
  <c r="DZ99" i="15"/>
  <c r="DZ97" i="15"/>
  <c r="DZ77" i="15"/>
  <c r="DZ158" i="15"/>
  <c r="DZ148" i="15"/>
  <c r="DZ123" i="15"/>
  <c r="DZ121" i="15"/>
  <c r="DZ83" i="15"/>
  <c r="DZ111" i="15"/>
  <c r="DZ65" i="15"/>
  <c r="DZ49" i="15"/>
  <c r="DZ37" i="15"/>
  <c r="DZ21" i="15"/>
  <c r="DZ5" i="15"/>
  <c r="DZ159" i="15"/>
  <c r="DZ154" i="15"/>
  <c r="DZ75" i="15"/>
  <c r="DZ69" i="15"/>
  <c r="DZ63" i="15"/>
  <c r="DZ47" i="15"/>
  <c r="DZ31" i="15"/>
  <c r="DZ15" i="15"/>
  <c r="EA4" i="15"/>
  <c r="DZ170" i="15"/>
  <c r="DZ141" i="15"/>
  <c r="DZ93" i="15"/>
  <c r="DZ85" i="15"/>
  <c r="DZ61" i="15"/>
  <c r="DZ41" i="15"/>
  <c r="DZ25" i="15"/>
  <c r="DZ9" i="15"/>
  <c r="DZ113" i="15"/>
  <c r="DZ105" i="15"/>
  <c r="DZ73" i="15"/>
  <c r="DZ59" i="15"/>
  <c r="DZ35" i="15"/>
  <c r="DZ19" i="15"/>
  <c r="DZ103" i="15"/>
  <c r="DZ51" i="15"/>
  <c r="DZ89" i="15"/>
  <c r="DZ79" i="15"/>
  <c r="DZ95" i="15"/>
  <c r="DZ57" i="15"/>
  <c r="DZ43" i="15"/>
  <c r="DZ33" i="15"/>
  <c r="DZ45" i="15"/>
  <c r="DZ23" i="15"/>
  <c r="DZ13" i="15"/>
  <c r="DZ11" i="15"/>
  <c r="DZ163" i="15"/>
  <c r="DZ55" i="15"/>
  <c r="DZ53" i="15"/>
  <c r="DZ29" i="15"/>
  <c r="DZ17" i="15"/>
  <c r="DZ7" i="15"/>
  <c r="DZ67" i="15"/>
  <c r="DZ27" i="15"/>
  <c r="DZ214" i="15"/>
  <c r="DZ164" i="15"/>
  <c r="DZ107" i="15"/>
  <c r="DZ39" i="15"/>
  <c r="M229" i="20"/>
  <c r="D231" i="20"/>
  <c r="E231" i="20" s="1"/>
  <c r="E61" i="20"/>
  <c r="D50" i="20"/>
  <c r="F220" i="20"/>
  <c r="F49" i="20"/>
  <c r="D17" i="21"/>
  <c r="N29" i="21"/>
  <c r="F233" i="20" l="1"/>
  <c r="F64" i="20"/>
  <c r="D63" i="20"/>
  <c r="P175" i="20"/>
  <c r="O176" i="20"/>
  <c r="O224" i="20" s="1"/>
  <c r="O225" i="20"/>
  <c r="O227" i="20"/>
  <c r="O226" i="20"/>
  <c r="O230" i="20"/>
  <c r="O222" i="20"/>
  <c r="G232" i="20"/>
  <c r="N232" i="20"/>
  <c r="M232" i="20"/>
  <c r="L232" i="20"/>
  <c r="K232" i="20"/>
  <c r="J232" i="20"/>
  <c r="I232" i="20"/>
  <c r="H232" i="20"/>
  <c r="O7" i="21"/>
  <c r="N8" i="21"/>
  <c r="F219" i="20"/>
  <c r="F48" i="20"/>
  <c r="D49" i="20"/>
  <c r="K220" i="20"/>
  <c r="J220" i="20"/>
  <c r="I220" i="20"/>
  <c r="H220" i="20"/>
  <c r="O220" i="20"/>
  <c r="N220" i="20"/>
  <c r="M220" i="20"/>
  <c r="L220" i="20"/>
  <c r="G220" i="20"/>
  <c r="N230" i="20"/>
  <c r="N222" i="20"/>
  <c r="N229" i="20"/>
  <c r="N224" i="20"/>
  <c r="E75" i="21"/>
  <c r="E55" i="21"/>
  <c r="N221" i="20"/>
  <c r="N223" i="20"/>
  <c r="N227" i="20"/>
  <c r="D38" i="21"/>
  <c r="E37" i="21"/>
  <c r="D232" i="20"/>
  <c r="E232" i="20" s="1"/>
  <c r="E62" i="20"/>
  <c r="D220" i="20"/>
  <c r="E220" i="20" s="1"/>
  <c r="E50" i="20"/>
  <c r="EA220" i="15"/>
  <c r="EA213" i="15"/>
  <c r="EA212" i="15"/>
  <c r="EA197" i="15"/>
  <c r="EA196" i="15"/>
  <c r="EA184" i="15"/>
  <c r="EA181" i="15"/>
  <c r="EA168" i="15"/>
  <c r="EA218" i="15"/>
  <c r="EA207" i="15"/>
  <c r="EA206" i="15"/>
  <c r="EA191" i="15"/>
  <c r="EA190" i="15"/>
  <c r="EA187" i="15"/>
  <c r="EA174" i="15"/>
  <c r="EA171" i="15"/>
  <c r="EA216" i="15"/>
  <c r="EA201" i="15"/>
  <c r="EA200" i="15"/>
  <c r="EA180" i="15"/>
  <c r="EA177" i="15"/>
  <c r="EA164" i="15"/>
  <c r="EA162" i="15"/>
  <c r="EA160" i="15"/>
  <c r="EA158" i="15"/>
  <c r="EA156" i="15"/>
  <c r="EA154" i="15"/>
  <c r="EA152" i="15"/>
  <c r="EA150" i="15"/>
  <c r="EA148" i="15"/>
  <c r="EA146" i="15"/>
  <c r="EA217" i="15"/>
  <c r="EA203" i="15"/>
  <c r="EA199" i="15"/>
  <c r="EA194" i="15"/>
  <c r="EA192" i="15"/>
  <c r="EA172" i="15"/>
  <c r="EA151" i="15"/>
  <c r="EA185" i="15"/>
  <c r="EA176" i="15"/>
  <c r="EA161" i="15"/>
  <c r="EA195" i="15"/>
  <c r="EA193" i="15"/>
  <c r="EA189" i="15"/>
  <c r="EA167" i="15"/>
  <c r="EA155" i="15"/>
  <c r="EA198" i="15"/>
  <c r="EA183" i="15"/>
  <c r="EA178" i="15"/>
  <c r="EA149" i="15"/>
  <c r="EA147" i="15"/>
  <c r="EA142" i="15"/>
  <c r="EA137" i="15"/>
  <c r="EA126" i="15"/>
  <c r="EA125" i="15"/>
  <c r="EA110" i="15"/>
  <c r="EA109" i="15"/>
  <c r="EA211" i="15"/>
  <c r="EA208" i="15"/>
  <c r="EA188" i="15"/>
  <c r="EA140" i="15"/>
  <c r="EA135" i="15"/>
  <c r="EA120" i="15"/>
  <c r="EA119" i="15"/>
  <c r="EA104" i="15"/>
  <c r="EA103" i="15"/>
  <c r="EA204" i="15"/>
  <c r="EA186" i="15"/>
  <c r="EA179" i="15"/>
  <c r="EA138" i="15"/>
  <c r="EA130" i="15"/>
  <c r="EA129" i="15"/>
  <c r="EA219" i="15"/>
  <c r="EA214" i="15"/>
  <c r="EA133" i="15"/>
  <c r="EA118" i="15"/>
  <c r="EA117" i="15"/>
  <c r="EA115" i="15"/>
  <c r="EA91" i="15"/>
  <c r="EA87" i="15"/>
  <c r="EA84" i="15"/>
  <c r="EA71" i="15"/>
  <c r="EA68" i="15"/>
  <c r="EA166" i="15"/>
  <c r="EA145" i="15"/>
  <c r="EA134" i="15"/>
  <c r="EA127" i="15"/>
  <c r="EA99" i="15"/>
  <c r="EA97" i="15"/>
  <c r="EA90" i="15"/>
  <c r="EA77" i="15"/>
  <c r="EA74" i="15"/>
  <c r="EA205" i="15"/>
  <c r="EA182" i="15"/>
  <c r="EA157" i="15"/>
  <c r="EA132" i="15"/>
  <c r="EA128" i="15"/>
  <c r="EA123" i="15"/>
  <c r="EA121" i="15"/>
  <c r="EA116" i="15"/>
  <c r="EA100" i="15"/>
  <c r="EA98" i="15"/>
  <c r="EA83" i="15"/>
  <c r="EA80" i="15"/>
  <c r="EA153" i="15"/>
  <c r="EA144" i="15"/>
  <c r="EA141" i="15"/>
  <c r="EA107" i="15"/>
  <c r="EA96" i="15"/>
  <c r="EA95" i="15"/>
  <c r="EA89" i="15"/>
  <c r="EA86" i="15"/>
  <c r="EA73" i="15"/>
  <c r="EA210" i="15"/>
  <c r="EA159" i="15"/>
  <c r="EA131" i="15"/>
  <c r="EA76" i="15"/>
  <c r="EA75" i="15"/>
  <c r="EA69" i="15"/>
  <c r="EA63" i="15"/>
  <c r="EA52" i="15"/>
  <c r="EA47" i="15"/>
  <c r="EA32" i="15"/>
  <c r="EA31" i="15"/>
  <c r="EA16" i="15"/>
  <c r="EA15" i="15"/>
  <c r="EB4" i="15"/>
  <c r="EA170" i="15"/>
  <c r="EA143" i="15"/>
  <c r="EA139" i="15"/>
  <c r="EA93" i="15"/>
  <c r="EA92" i="15"/>
  <c r="EA85" i="15"/>
  <c r="EA66" i="15"/>
  <c r="EA61" i="15"/>
  <c r="EA50" i="15"/>
  <c r="EA42" i="15"/>
  <c r="EA41" i="15"/>
  <c r="EA26" i="15"/>
  <c r="EA25" i="15"/>
  <c r="EA10" i="15"/>
  <c r="EA9" i="15"/>
  <c r="EA173" i="15"/>
  <c r="EA113" i="15"/>
  <c r="EA112" i="15"/>
  <c r="EA105" i="15"/>
  <c r="EA64" i="15"/>
  <c r="EA59" i="15"/>
  <c r="EA48" i="15"/>
  <c r="EA36" i="15"/>
  <c r="EA35" i="15"/>
  <c r="EA20" i="15"/>
  <c r="EA19" i="15"/>
  <c r="EA215" i="15"/>
  <c r="EA209" i="15"/>
  <c r="EA175" i="15"/>
  <c r="EA165" i="15"/>
  <c r="EA101" i="15"/>
  <c r="EA94" i="15"/>
  <c r="EA72" i="15"/>
  <c r="EA62" i="15"/>
  <c r="EA57" i="15"/>
  <c r="EA46" i="15"/>
  <c r="EA45" i="15"/>
  <c r="EA30" i="15"/>
  <c r="EA29" i="15"/>
  <c r="EA14" i="15"/>
  <c r="EA13" i="15"/>
  <c r="EA202" i="15"/>
  <c r="EA111" i="15"/>
  <c r="EA79" i="15"/>
  <c r="EA40" i="15"/>
  <c r="EA21" i="15"/>
  <c r="EA49" i="15"/>
  <c r="EA43" i="15"/>
  <c r="EA33" i="15"/>
  <c r="EA169" i="15"/>
  <c r="EA81" i="15"/>
  <c r="EA60" i="15"/>
  <c r="EA56" i="15"/>
  <c r="EA23" i="15"/>
  <c r="EA11" i="15"/>
  <c r="EA5" i="15"/>
  <c r="EA163" i="15"/>
  <c r="EA124" i="15"/>
  <c r="EA108" i="15"/>
  <c r="EA67" i="15"/>
  <c r="EA53" i="15"/>
  <c r="EA44" i="15"/>
  <c r="EA34" i="15"/>
  <c r="EA22" i="15"/>
  <c r="EA7" i="15"/>
  <c r="EA51" i="15"/>
  <c r="EA136" i="15"/>
  <c r="EA106" i="15"/>
  <c r="EA17" i="15"/>
  <c r="EA114" i="15"/>
  <c r="EA38" i="15"/>
  <c r="EA6" i="15"/>
  <c r="EA39" i="15"/>
  <c r="EA27" i="15"/>
  <c r="EA58" i="15"/>
  <c r="EA122" i="15"/>
  <c r="EA102" i="15"/>
  <c r="EA88" i="15"/>
  <c r="EA70" i="15"/>
  <c r="EA55" i="15"/>
  <c r="EA12" i="15"/>
  <c r="EA24" i="15"/>
  <c r="EA78" i="15"/>
  <c r="EA54" i="15"/>
  <c r="EA28" i="15"/>
  <c r="EA37" i="15"/>
  <c r="EA18" i="15"/>
  <c r="EA65" i="15"/>
  <c r="EA8" i="15"/>
  <c r="EA82" i="15"/>
  <c r="N225" i="20"/>
  <c r="D18" i="21"/>
  <c r="O29" i="21"/>
  <c r="D219" i="20" l="1"/>
  <c r="E219" i="20" s="1"/>
  <c r="E49" i="20"/>
  <c r="EB220" i="15"/>
  <c r="EB218" i="15"/>
  <c r="EB216" i="15"/>
  <c r="EB214" i="15"/>
  <c r="EB212" i="15"/>
  <c r="EB210" i="15"/>
  <c r="EB208" i="15"/>
  <c r="EB206" i="15"/>
  <c r="EB204" i="15"/>
  <c r="EB202" i="15"/>
  <c r="EB200" i="15"/>
  <c r="EB198" i="15"/>
  <c r="EB196" i="15"/>
  <c r="EB194" i="15"/>
  <c r="EB192" i="15"/>
  <c r="EB190" i="15"/>
  <c r="EB207" i="15"/>
  <c r="EB191" i="15"/>
  <c r="EB187" i="15"/>
  <c r="EB174" i="15"/>
  <c r="EB171" i="15"/>
  <c r="EB201" i="15"/>
  <c r="EB180" i="15"/>
  <c r="EB177" i="15"/>
  <c r="EB164" i="15"/>
  <c r="EB162" i="15"/>
  <c r="EB160" i="15"/>
  <c r="EB158" i="15"/>
  <c r="EB156" i="15"/>
  <c r="EB154" i="15"/>
  <c r="EB152" i="15"/>
  <c r="EB150" i="15"/>
  <c r="EB148" i="15"/>
  <c r="EB219" i="15"/>
  <c r="EB211" i="15"/>
  <c r="EB195" i="15"/>
  <c r="EB186" i="15"/>
  <c r="EB183" i="15"/>
  <c r="EB170" i="15"/>
  <c r="EB167" i="15"/>
  <c r="EB185" i="15"/>
  <c r="EB176" i="15"/>
  <c r="EB161" i="15"/>
  <c r="EB146" i="15"/>
  <c r="EB193" i="15"/>
  <c r="EB189" i="15"/>
  <c r="EB155" i="15"/>
  <c r="EB188" i="15"/>
  <c r="EB175" i="15"/>
  <c r="EB166" i="15"/>
  <c r="EB149" i="15"/>
  <c r="EB145" i="15"/>
  <c r="EB143" i="15"/>
  <c r="EB141" i="15"/>
  <c r="EB139" i="15"/>
  <c r="EB137" i="15"/>
  <c r="EB135" i="15"/>
  <c r="EB133" i="15"/>
  <c r="EB131" i="15"/>
  <c r="EB129" i="15"/>
  <c r="EB127" i="15"/>
  <c r="EB125" i="15"/>
  <c r="EB123" i="15"/>
  <c r="EB121" i="15"/>
  <c r="EB119" i="15"/>
  <c r="EB117" i="15"/>
  <c r="EB115" i="15"/>
  <c r="EB113" i="15"/>
  <c r="EB111" i="15"/>
  <c r="EB109" i="15"/>
  <c r="EB107" i="15"/>
  <c r="EB105" i="15"/>
  <c r="EB103" i="15"/>
  <c r="EB101" i="15"/>
  <c r="EB99" i="15"/>
  <c r="EB97" i="15"/>
  <c r="EB95" i="15"/>
  <c r="EB140" i="15"/>
  <c r="EB120" i="15"/>
  <c r="EB213" i="15"/>
  <c r="EB203" i="15"/>
  <c r="EB179" i="15"/>
  <c r="EB138" i="15"/>
  <c r="EB130" i="15"/>
  <c r="EB114" i="15"/>
  <c r="EB98" i="15"/>
  <c r="EB93" i="15"/>
  <c r="EB90" i="15"/>
  <c r="EB136" i="15"/>
  <c r="EB124" i="15"/>
  <c r="EB217" i="15"/>
  <c r="EB209" i="15"/>
  <c r="EB199" i="15"/>
  <c r="EB172" i="15"/>
  <c r="EB147" i="15"/>
  <c r="EB134" i="15"/>
  <c r="EB77" i="15"/>
  <c r="EB74" i="15"/>
  <c r="EB205" i="15"/>
  <c r="EB182" i="15"/>
  <c r="EB168" i="15"/>
  <c r="EB157" i="15"/>
  <c r="EB132" i="15"/>
  <c r="EB128" i="15"/>
  <c r="EB126" i="15"/>
  <c r="EB116" i="15"/>
  <c r="EB100" i="15"/>
  <c r="EB83" i="15"/>
  <c r="EB80" i="15"/>
  <c r="EB184" i="15"/>
  <c r="EB153" i="15"/>
  <c r="EB144" i="15"/>
  <c r="EB96" i="15"/>
  <c r="EB89" i="15"/>
  <c r="EB86" i="15"/>
  <c r="EB73" i="15"/>
  <c r="EB70" i="15"/>
  <c r="EB67" i="15"/>
  <c r="EB65" i="15"/>
  <c r="EB63" i="15"/>
  <c r="EB61" i="15"/>
  <c r="EB59" i="15"/>
  <c r="EB57" i="15"/>
  <c r="EB55" i="15"/>
  <c r="EB53" i="15"/>
  <c r="EB51" i="15"/>
  <c r="EB49" i="15"/>
  <c r="EB47" i="15"/>
  <c r="EB45" i="15"/>
  <c r="EB43" i="15"/>
  <c r="EB41" i="15"/>
  <c r="EB39" i="15"/>
  <c r="EB37" i="15"/>
  <c r="EB35" i="15"/>
  <c r="EB33" i="15"/>
  <c r="EB31" i="15"/>
  <c r="EB29" i="15"/>
  <c r="EB27" i="15"/>
  <c r="EB25" i="15"/>
  <c r="EB23" i="15"/>
  <c r="EB21" i="15"/>
  <c r="EB19" i="15"/>
  <c r="EB17" i="15"/>
  <c r="EB15" i="15"/>
  <c r="EB13" i="15"/>
  <c r="EB11" i="15"/>
  <c r="EB9" i="15"/>
  <c r="EB7" i="15"/>
  <c r="EB5" i="15"/>
  <c r="EB178" i="15"/>
  <c r="EB163" i="15"/>
  <c r="EB122" i="15"/>
  <c r="EB108" i="15"/>
  <c r="EB79" i="15"/>
  <c r="EB76" i="15"/>
  <c r="EB92" i="15"/>
  <c r="EB85" i="15"/>
  <c r="EB68" i="15"/>
  <c r="EB66" i="15"/>
  <c r="EB50" i="15"/>
  <c r="EB42" i="15"/>
  <c r="EB26" i="15"/>
  <c r="EB10" i="15"/>
  <c r="EB181" i="15"/>
  <c r="EB173" i="15"/>
  <c r="EB112" i="15"/>
  <c r="EB104" i="15"/>
  <c r="EB84" i="15"/>
  <c r="EB71" i="15"/>
  <c r="EB64" i="15"/>
  <c r="EB48" i="15"/>
  <c r="EB36" i="15"/>
  <c r="EB20" i="15"/>
  <c r="EB215" i="15"/>
  <c r="EB165" i="15"/>
  <c r="EB94" i="15"/>
  <c r="EB72" i="15"/>
  <c r="EB62" i="15"/>
  <c r="EB46" i="15"/>
  <c r="EB30" i="15"/>
  <c r="EB14" i="15"/>
  <c r="EB82" i="15"/>
  <c r="EB81" i="15"/>
  <c r="EB60" i="15"/>
  <c r="EB40" i="15"/>
  <c r="EB24" i="15"/>
  <c r="EB118" i="15"/>
  <c r="EB169" i="15"/>
  <c r="EB75" i="15"/>
  <c r="EB56" i="15"/>
  <c r="EB32" i="15"/>
  <c r="EB87" i="15"/>
  <c r="EB69" i="15"/>
  <c r="EB44" i="15"/>
  <c r="EB34" i="15"/>
  <c r="EB22" i="15"/>
  <c r="EB151" i="15"/>
  <c r="EB106" i="15"/>
  <c r="EB91" i="15"/>
  <c r="EB52" i="15"/>
  <c r="EB12" i="15"/>
  <c r="EB8" i="15"/>
  <c r="EB159" i="15"/>
  <c r="EB38" i="15"/>
  <c r="EB6" i="15"/>
  <c r="EC4" i="15"/>
  <c r="EB197" i="15"/>
  <c r="EB142" i="15"/>
  <c r="EB58" i="15"/>
  <c r="EB102" i="15"/>
  <c r="EB88" i="15"/>
  <c r="EB78" i="15"/>
  <c r="EB16" i="15"/>
  <c r="EB18" i="15"/>
  <c r="EB28" i="15"/>
  <c r="EB54" i="15"/>
  <c r="EB110" i="15"/>
  <c r="E76" i="21"/>
  <c r="E56" i="21"/>
  <c r="J219" i="20"/>
  <c r="I219" i="20"/>
  <c r="H219" i="20"/>
  <c r="O219" i="20"/>
  <c r="G219" i="20"/>
  <c r="K219" i="20"/>
  <c r="N219" i="20"/>
  <c r="L219" i="20"/>
  <c r="M219" i="20"/>
  <c r="O223" i="20"/>
  <c r="P176" i="20"/>
  <c r="Q175" i="20"/>
  <c r="P225" i="20"/>
  <c r="P226" i="20"/>
  <c r="P227" i="20"/>
  <c r="P228" i="20"/>
  <c r="P224" i="20"/>
  <c r="P229" i="20"/>
  <c r="P222" i="20"/>
  <c r="P230" i="20"/>
  <c r="P231" i="20"/>
  <c r="P221" i="20"/>
  <c r="F218" i="20"/>
  <c r="D48" i="20"/>
  <c r="F47" i="20"/>
  <c r="O229" i="20"/>
  <c r="D233" i="20"/>
  <c r="E233" i="20" s="1"/>
  <c r="E63" i="20"/>
  <c r="D39" i="21"/>
  <c r="E38" i="21"/>
  <c r="O232" i="20"/>
  <c r="O228" i="20"/>
  <c r="F234" i="20"/>
  <c r="F65" i="20"/>
  <c r="D64" i="20"/>
  <c r="O8" i="21"/>
  <c r="P7" i="21"/>
  <c r="O221" i="20"/>
  <c r="O231" i="20"/>
  <c r="P233" i="20"/>
  <c r="H233" i="20"/>
  <c r="O233" i="20"/>
  <c r="G233" i="20"/>
  <c r="N233" i="20"/>
  <c r="M233" i="20"/>
  <c r="J233" i="20"/>
  <c r="I233" i="20"/>
  <c r="L233" i="20"/>
  <c r="K233" i="20"/>
  <c r="P29" i="21"/>
  <c r="D19" i="21"/>
  <c r="F235" i="20" l="1"/>
  <c r="D65" i="20"/>
  <c r="F66" i="20"/>
  <c r="I234" i="20"/>
  <c r="P234" i="20"/>
  <c r="H234" i="20"/>
  <c r="O234" i="20"/>
  <c r="G234" i="20"/>
  <c r="N234" i="20"/>
  <c r="M234" i="20"/>
  <c r="L234" i="20"/>
  <c r="K234" i="20"/>
  <c r="J234" i="20"/>
  <c r="D40" i="21"/>
  <c r="E39" i="21"/>
  <c r="E64" i="20"/>
  <c r="D234" i="20"/>
  <c r="E234" i="20" s="1"/>
  <c r="EC220" i="15"/>
  <c r="EC218" i="15"/>
  <c r="EC216" i="15"/>
  <c r="EC206" i="15"/>
  <c r="EC201" i="15"/>
  <c r="EC190" i="15"/>
  <c r="EC180" i="15"/>
  <c r="EC177" i="15"/>
  <c r="EC219" i="15"/>
  <c r="EC211" i="15"/>
  <c r="EC200" i="15"/>
  <c r="EC195" i="15"/>
  <c r="EC186" i="15"/>
  <c r="EC183" i="15"/>
  <c r="EC170" i="15"/>
  <c r="EC167" i="15"/>
  <c r="EC217" i="15"/>
  <c r="EC210" i="15"/>
  <c r="EC205" i="15"/>
  <c r="EC194" i="15"/>
  <c r="EC189" i="15"/>
  <c r="EC176" i="15"/>
  <c r="EC173" i="15"/>
  <c r="EC193" i="15"/>
  <c r="EC174" i="15"/>
  <c r="EC155" i="15"/>
  <c r="EC150" i="15"/>
  <c r="EC212" i="15"/>
  <c r="EC188" i="15"/>
  <c r="EC187" i="15"/>
  <c r="EC175" i="15"/>
  <c r="EC166" i="15"/>
  <c r="EC160" i="15"/>
  <c r="EC149" i="15"/>
  <c r="EC145" i="15"/>
  <c r="EC143" i="15"/>
  <c r="EC141" i="15"/>
  <c r="EC139" i="15"/>
  <c r="EC137" i="15"/>
  <c r="EC135" i="15"/>
  <c r="EC179" i="15"/>
  <c r="EC178" i="15"/>
  <c r="EC159" i="15"/>
  <c r="EC154" i="15"/>
  <c r="EC213" i="15"/>
  <c r="EC208" i="15"/>
  <c r="EC203" i="15"/>
  <c r="EC138" i="15"/>
  <c r="EC130" i="15"/>
  <c r="EC119" i="15"/>
  <c r="EC114" i="15"/>
  <c r="EC204" i="15"/>
  <c r="EC171" i="15"/>
  <c r="EC161" i="15"/>
  <c r="EC136" i="15"/>
  <c r="EC129" i="15"/>
  <c r="EC124" i="15"/>
  <c r="EC113" i="15"/>
  <c r="EC108" i="15"/>
  <c r="EC97" i="15"/>
  <c r="EC214" i="15"/>
  <c r="EC209" i="15"/>
  <c r="EC199" i="15"/>
  <c r="EC196" i="15"/>
  <c r="EC191" i="15"/>
  <c r="EC168" i="15"/>
  <c r="EC134" i="15"/>
  <c r="EC123" i="15"/>
  <c r="EC215" i="15"/>
  <c r="EC184" i="15"/>
  <c r="EC172" i="15"/>
  <c r="EC182" i="15"/>
  <c r="EC162" i="15"/>
  <c r="EC157" i="15"/>
  <c r="EC152" i="15"/>
  <c r="EC132" i="15"/>
  <c r="EC128" i="15"/>
  <c r="EC127" i="15"/>
  <c r="EC126" i="15"/>
  <c r="EC116" i="15"/>
  <c r="EC100" i="15"/>
  <c r="EC99" i="15"/>
  <c r="EC90" i="15"/>
  <c r="EC83" i="15"/>
  <c r="EC80" i="15"/>
  <c r="EC153" i="15"/>
  <c r="EC144" i="15"/>
  <c r="EC140" i="15"/>
  <c r="EC121" i="15"/>
  <c r="EC120" i="15"/>
  <c r="EC98" i="15"/>
  <c r="EC96" i="15"/>
  <c r="EC89" i="15"/>
  <c r="EC86" i="15"/>
  <c r="EC73" i="15"/>
  <c r="EC70" i="15"/>
  <c r="EC67" i="15"/>
  <c r="EC65" i="15"/>
  <c r="EC63" i="15"/>
  <c r="EC61" i="15"/>
  <c r="EC59" i="15"/>
  <c r="EC57" i="15"/>
  <c r="EC55" i="15"/>
  <c r="EC53" i="15"/>
  <c r="EC51" i="15"/>
  <c r="EC49" i="15"/>
  <c r="EC47" i="15"/>
  <c r="EC207" i="15"/>
  <c r="EC198" i="15"/>
  <c r="EC163" i="15"/>
  <c r="EC158" i="15"/>
  <c r="EC148" i="15"/>
  <c r="EC122" i="15"/>
  <c r="EC107" i="15"/>
  <c r="EC95" i="15"/>
  <c r="EC79" i="15"/>
  <c r="EC76" i="15"/>
  <c r="EC169" i="15"/>
  <c r="EC164" i="15"/>
  <c r="EC94" i="15"/>
  <c r="EC85" i="15"/>
  <c r="EC82" i="15"/>
  <c r="EC181" i="15"/>
  <c r="EC125" i="15"/>
  <c r="EC112" i="15"/>
  <c r="EC104" i="15"/>
  <c r="EC93" i="15"/>
  <c r="EC84" i="15"/>
  <c r="EC71" i="15"/>
  <c r="EC64" i="15"/>
  <c r="EC48" i="15"/>
  <c r="EC41" i="15"/>
  <c r="EC36" i="15"/>
  <c r="EC25" i="15"/>
  <c r="EC20" i="15"/>
  <c r="EC9" i="15"/>
  <c r="EC165" i="15"/>
  <c r="EC109" i="15"/>
  <c r="EC105" i="15"/>
  <c r="EC72" i="15"/>
  <c r="EC62" i="15"/>
  <c r="EC46" i="15"/>
  <c r="EC35" i="15"/>
  <c r="EC30" i="15"/>
  <c r="EC19" i="15"/>
  <c r="EC14" i="15"/>
  <c r="EC192" i="15"/>
  <c r="EC156" i="15"/>
  <c r="EC147" i="15"/>
  <c r="EC117" i="15"/>
  <c r="EC115" i="15"/>
  <c r="EC101" i="15"/>
  <c r="EC81" i="15"/>
  <c r="EC60" i="15"/>
  <c r="EC45" i="15"/>
  <c r="EC40" i="15"/>
  <c r="EC29" i="15"/>
  <c r="EC24" i="15"/>
  <c r="EC13" i="15"/>
  <c r="EC8" i="15"/>
  <c r="EC106" i="15"/>
  <c r="EC77" i="15"/>
  <c r="EC58" i="15"/>
  <c r="EC39" i="15"/>
  <c r="EC34" i="15"/>
  <c r="EC23" i="15"/>
  <c r="EC18" i="15"/>
  <c r="EC133" i="15"/>
  <c r="EC75" i="15"/>
  <c r="EC56" i="15"/>
  <c r="EC43" i="15"/>
  <c r="EC33" i="15"/>
  <c r="EC32" i="15"/>
  <c r="EC10" i="15"/>
  <c r="EC146" i="15"/>
  <c r="EC87" i="15"/>
  <c r="EC69" i="15"/>
  <c r="EC66" i="15"/>
  <c r="EC44" i="15"/>
  <c r="EC22" i="15"/>
  <c r="EC15" i="15"/>
  <c r="EC11" i="15"/>
  <c r="EC5" i="15"/>
  <c r="EC185" i="15"/>
  <c r="EC151" i="15"/>
  <c r="EC91" i="15"/>
  <c r="EC52" i="15"/>
  <c r="EC12" i="15"/>
  <c r="EC7" i="15"/>
  <c r="EC110" i="15"/>
  <c r="EC102" i="15"/>
  <c r="EC37" i="15"/>
  <c r="EC26" i="15"/>
  <c r="EC6" i="15"/>
  <c r="EC74" i="15"/>
  <c r="EC38" i="15"/>
  <c r="EC17" i="15"/>
  <c r="ED4" i="15"/>
  <c r="EC92" i="15"/>
  <c r="EC197" i="15"/>
  <c r="EC142" i="15"/>
  <c r="EC111" i="15"/>
  <c r="EC103" i="15"/>
  <c r="EC42" i="15"/>
  <c r="EC27" i="15"/>
  <c r="EC21" i="15"/>
  <c r="EC88" i="15"/>
  <c r="EC78" i="15"/>
  <c r="EC31" i="15"/>
  <c r="EC50" i="15"/>
  <c r="EC118" i="15"/>
  <c r="EC131" i="15"/>
  <c r="EC16" i="15"/>
  <c r="EC28" i="15"/>
  <c r="EC68" i="15"/>
  <c r="EC54" i="15"/>
  <c r="EC202" i="15"/>
  <c r="E48" i="20"/>
  <c r="D218" i="20"/>
  <c r="E218" i="20" s="1"/>
  <c r="Q176" i="20"/>
  <c r="Q233" i="20" s="1"/>
  <c r="R175" i="20"/>
  <c r="Q226" i="20"/>
  <c r="Q229" i="20"/>
  <c r="Q230" i="20"/>
  <c r="Q222" i="20"/>
  <c r="F217" i="20"/>
  <c r="F46" i="20"/>
  <c r="D47" i="20"/>
  <c r="P8" i="21"/>
  <c r="Q7" i="21"/>
  <c r="I218" i="20"/>
  <c r="P218" i="20"/>
  <c r="H218" i="20"/>
  <c r="O218" i="20"/>
  <c r="G218" i="20"/>
  <c r="N218" i="20"/>
  <c r="M218" i="20"/>
  <c r="L218" i="20"/>
  <c r="K218" i="20"/>
  <c r="J218" i="20"/>
  <c r="P220" i="20"/>
  <c r="P232" i="20"/>
  <c r="P219" i="20"/>
  <c r="E57" i="21"/>
  <c r="E77" i="21"/>
  <c r="P223" i="20"/>
  <c r="Q29" i="21"/>
  <c r="D20" i="21"/>
  <c r="R176" i="20" l="1"/>
  <c r="R226" i="20" s="1"/>
  <c r="S175" i="20"/>
  <c r="R227" i="20"/>
  <c r="R224" i="20"/>
  <c r="R228" i="20"/>
  <c r="R229" i="20"/>
  <c r="R223" i="20"/>
  <c r="R231" i="20"/>
  <c r="R221" i="20"/>
  <c r="R232" i="20"/>
  <c r="R220" i="20"/>
  <c r="R219" i="20"/>
  <c r="R233" i="20"/>
  <c r="ED220" i="15"/>
  <c r="ED218" i="15"/>
  <c r="ED216" i="15"/>
  <c r="ED214" i="15"/>
  <c r="ED212" i="15"/>
  <c r="ED210" i="15"/>
  <c r="ED208" i="15"/>
  <c r="ED206" i="15"/>
  <c r="ED204" i="15"/>
  <c r="ED202" i="15"/>
  <c r="ED200" i="15"/>
  <c r="ED198" i="15"/>
  <c r="ED196" i="15"/>
  <c r="ED194" i="15"/>
  <c r="ED192" i="15"/>
  <c r="ED190" i="15"/>
  <c r="ED188" i="15"/>
  <c r="ED186" i="15"/>
  <c r="ED184" i="15"/>
  <c r="ED182" i="15"/>
  <c r="ED180" i="15"/>
  <c r="ED178" i="15"/>
  <c r="ED176" i="15"/>
  <c r="ED174" i="15"/>
  <c r="ED172" i="15"/>
  <c r="ED170" i="15"/>
  <c r="ED168" i="15"/>
  <c r="ED166" i="15"/>
  <c r="ED164" i="15"/>
  <c r="ED219" i="15"/>
  <c r="ED211" i="15"/>
  <c r="ED195" i="15"/>
  <c r="ED183" i="15"/>
  <c r="ED167" i="15"/>
  <c r="ED217" i="15"/>
  <c r="ED205" i="15"/>
  <c r="ED189" i="15"/>
  <c r="ED173" i="15"/>
  <c r="ED215" i="15"/>
  <c r="ED199" i="15"/>
  <c r="ED179" i="15"/>
  <c r="ED187" i="15"/>
  <c r="ED175" i="15"/>
  <c r="ED160" i="15"/>
  <c r="ED149" i="15"/>
  <c r="ED145" i="15"/>
  <c r="ED143" i="15"/>
  <c r="ED141" i="15"/>
  <c r="ED139" i="15"/>
  <c r="ED137" i="15"/>
  <c r="ED135" i="15"/>
  <c r="ED133" i="15"/>
  <c r="ED131" i="15"/>
  <c r="ED129" i="15"/>
  <c r="ED127" i="15"/>
  <c r="ED125" i="15"/>
  <c r="ED123" i="15"/>
  <c r="ED121" i="15"/>
  <c r="ED119" i="15"/>
  <c r="ED117" i="15"/>
  <c r="ED115" i="15"/>
  <c r="ED113" i="15"/>
  <c r="ED111" i="15"/>
  <c r="ED109" i="15"/>
  <c r="ED107" i="15"/>
  <c r="ED105" i="15"/>
  <c r="ED103" i="15"/>
  <c r="ED101" i="15"/>
  <c r="ED99" i="15"/>
  <c r="ED97" i="15"/>
  <c r="ED95" i="15"/>
  <c r="ED93" i="15"/>
  <c r="ED91" i="15"/>
  <c r="ED89" i="15"/>
  <c r="ED87" i="15"/>
  <c r="ED85" i="15"/>
  <c r="ED83" i="15"/>
  <c r="ED81" i="15"/>
  <c r="ED79" i="15"/>
  <c r="ED77" i="15"/>
  <c r="ED75" i="15"/>
  <c r="ED73" i="15"/>
  <c r="ED71" i="15"/>
  <c r="ED69" i="15"/>
  <c r="ED177" i="15"/>
  <c r="ED159" i="15"/>
  <c r="ED154" i="15"/>
  <c r="ED213" i="15"/>
  <c r="ED207" i="15"/>
  <c r="ED201" i="15"/>
  <c r="ED165" i="15"/>
  <c r="ED153" i="15"/>
  <c r="ED148" i="15"/>
  <c r="ED193" i="15"/>
  <c r="ED171" i="15"/>
  <c r="ED161" i="15"/>
  <c r="ED155" i="15"/>
  <c r="ED136" i="15"/>
  <c r="ED124" i="15"/>
  <c r="ED108" i="15"/>
  <c r="ED209" i="15"/>
  <c r="ED191" i="15"/>
  <c r="ED134" i="15"/>
  <c r="ED118" i="15"/>
  <c r="ED102" i="15"/>
  <c r="ED163" i="15"/>
  <c r="ED162" i="15"/>
  <c r="ED156" i="15"/>
  <c r="ED150" i="15"/>
  <c r="ED128" i="15"/>
  <c r="ED169" i="15"/>
  <c r="ED203" i="15"/>
  <c r="ED144" i="15"/>
  <c r="ED140" i="15"/>
  <c r="ED120" i="15"/>
  <c r="ED98" i="15"/>
  <c r="ED96" i="15"/>
  <c r="ED86" i="15"/>
  <c r="ED70" i="15"/>
  <c r="ED67" i="15"/>
  <c r="ED65" i="15"/>
  <c r="ED63" i="15"/>
  <c r="ED61" i="15"/>
  <c r="ED59" i="15"/>
  <c r="ED57" i="15"/>
  <c r="ED55" i="15"/>
  <c r="ED53" i="15"/>
  <c r="ED51" i="15"/>
  <c r="ED49" i="15"/>
  <c r="ED47" i="15"/>
  <c r="ED45" i="15"/>
  <c r="ED43" i="15"/>
  <c r="ED41" i="15"/>
  <c r="ED39" i="15"/>
  <c r="ED37" i="15"/>
  <c r="ED35" i="15"/>
  <c r="ED33" i="15"/>
  <c r="ED31" i="15"/>
  <c r="ED29" i="15"/>
  <c r="ED27" i="15"/>
  <c r="ED25" i="15"/>
  <c r="ED23" i="15"/>
  <c r="ED21" i="15"/>
  <c r="ED19" i="15"/>
  <c r="ED17" i="15"/>
  <c r="ED15" i="15"/>
  <c r="ED13" i="15"/>
  <c r="ED11" i="15"/>
  <c r="ED9" i="15"/>
  <c r="ED7" i="15"/>
  <c r="ED5" i="15"/>
  <c r="ED158" i="15"/>
  <c r="ED122" i="15"/>
  <c r="ED76" i="15"/>
  <c r="ED94" i="15"/>
  <c r="ED82" i="15"/>
  <c r="ED138" i="15"/>
  <c r="ED106" i="15"/>
  <c r="ED88" i="15"/>
  <c r="ED72" i="15"/>
  <c r="ED152" i="15"/>
  <c r="ED80" i="15"/>
  <c r="ED62" i="15"/>
  <c r="ED46" i="15"/>
  <c r="ED30" i="15"/>
  <c r="ED14" i="15"/>
  <c r="ED147" i="15"/>
  <c r="ED60" i="15"/>
  <c r="ED40" i="15"/>
  <c r="ED24" i="15"/>
  <c r="ED8" i="15"/>
  <c r="ED90" i="15"/>
  <c r="ED58" i="15"/>
  <c r="ED34" i="15"/>
  <c r="ED18" i="15"/>
  <c r="ED197" i="15"/>
  <c r="ED151" i="15"/>
  <c r="ED132" i="15"/>
  <c r="ED130" i="15"/>
  <c r="ED110" i="15"/>
  <c r="ED56" i="15"/>
  <c r="ED44" i="15"/>
  <c r="ED28" i="15"/>
  <c r="ED146" i="15"/>
  <c r="ED66" i="15"/>
  <c r="ED36" i="15"/>
  <c r="ED22" i="15"/>
  <c r="ED185" i="15"/>
  <c r="ED64" i="15"/>
  <c r="ED52" i="15"/>
  <c r="ED12" i="15"/>
  <c r="ED26" i="15"/>
  <c r="ED6" i="15"/>
  <c r="ED181" i="15"/>
  <c r="ED157" i="15"/>
  <c r="ED112" i="15"/>
  <c r="ED104" i="15"/>
  <c r="ED100" i="15"/>
  <c r="ED16" i="15"/>
  <c r="ED92" i="15"/>
  <c r="ED142" i="15"/>
  <c r="ED126" i="15"/>
  <c r="ED114" i="15"/>
  <c r="ED84" i="15"/>
  <c r="ED42" i="15"/>
  <c r="ED78" i="15"/>
  <c r="ED48" i="15"/>
  <c r="ED68" i="15"/>
  <c r="ED54" i="15"/>
  <c r="ED50" i="15"/>
  <c r="ED10" i="15"/>
  <c r="ED38" i="15"/>
  <c r="ED32" i="15"/>
  <c r="ED116" i="15"/>
  <c r="ED20" i="15"/>
  <c r="ED74" i="15"/>
  <c r="R218" i="20"/>
  <c r="Q8" i="21"/>
  <c r="R7" i="21"/>
  <c r="Q228" i="20"/>
  <c r="E65" i="20"/>
  <c r="D235" i="20"/>
  <c r="E235" i="20" s="1"/>
  <c r="Q218" i="20"/>
  <c r="Q232" i="20"/>
  <c r="Q224" i="20"/>
  <c r="E78" i="21"/>
  <c r="E58" i="21"/>
  <c r="R235" i="20"/>
  <c r="J235" i="20"/>
  <c r="Q235" i="20"/>
  <c r="I235" i="20"/>
  <c r="P235" i="20"/>
  <c r="H235" i="20"/>
  <c r="O235" i="20"/>
  <c r="G235" i="20"/>
  <c r="M235" i="20"/>
  <c r="L235" i="20"/>
  <c r="N235" i="20"/>
  <c r="K235" i="20"/>
  <c r="P217" i="20"/>
  <c r="H217" i="20"/>
  <c r="O217" i="20"/>
  <c r="G217" i="20"/>
  <c r="N217" i="20"/>
  <c r="M217" i="20"/>
  <c r="I217" i="20"/>
  <c r="R217" i="20"/>
  <c r="Q217" i="20"/>
  <c r="J217" i="20"/>
  <c r="L217" i="20"/>
  <c r="K217" i="20"/>
  <c r="F67" i="20"/>
  <c r="F236" i="20"/>
  <c r="D66" i="20"/>
  <c r="Q220" i="20"/>
  <c r="D217" i="20"/>
  <c r="E217" i="20" s="1"/>
  <c r="E47" i="20"/>
  <c r="Q231" i="20"/>
  <c r="Q225" i="20"/>
  <c r="D41" i="21"/>
  <c r="E40" i="21"/>
  <c r="Q219" i="20"/>
  <c r="R234" i="20"/>
  <c r="Q223" i="20"/>
  <c r="F216" i="20"/>
  <c r="F45" i="20"/>
  <c r="D46" i="20"/>
  <c r="Q221" i="20"/>
  <c r="Q227" i="20"/>
  <c r="Q234" i="20"/>
  <c r="D21" i="21"/>
  <c r="R29" i="21"/>
  <c r="K236" i="20" l="1"/>
  <c r="R236" i="20"/>
  <c r="J236" i="20"/>
  <c r="Q236" i="20"/>
  <c r="I236" i="20"/>
  <c r="P236" i="20"/>
  <c r="H236" i="20"/>
  <c r="O236" i="20"/>
  <c r="N236" i="20"/>
  <c r="M236" i="20"/>
  <c r="L236" i="20"/>
  <c r="G236" i="20"/>
  <c r="F237" i="20"/>
  <c r="D67" i="20"/>
  <c r="F68" i="20"/>
  <c r="S176" i="20"/>
  <c r="T175" i="20"/>
  <c r="S223" i="20"/>
  <c r="S233" i="20"/>
  <c r="D236" i="20"/>
  <c r="E236" i="20" s="1"/>
  <c r="E66" i="20"/>
  <c r="D42" i="21"/>
  <c r="E41" i="21"/>
  <c r="R8" i="21"/>
  <c r="S7" i="21"/>
  <c r="R230" i="20"/>
  <c r="R225" i="20"/>
  <c r="F215" i="20"/>
  <c r="D45" i="20"/>
  <c r="F44" i="20"/>
  <c r="R222" i="20"/>
  <c r="E79" i="21"/>
  <c r="E59" i="21"/>
  <c r="D216" i="20"/>
  <c r="E216" i="20" s="1"/>
  <c r="E46" i="20"/>
  <c r="O216" i="20"/>
  <c r="G216" i="20"/>
  <c r="N216" i="20"/>
  <c r="M216" i="20"/>
  <c r="L216" i="20"/>
  <c r="P216" i="20"/>
  <c r="K216" i="20"/>
  <c r="J216" i="20"/>
  <c r="I216" i="20"/>
  <c r="H216" i="20"/>
  <c r="Q216" i="20"/>
  <c r="R216" i="20"/>
  <c r="D22" i="21"/>
  <c r="S29" i="21"/>
  <c r="S8" i="21" l="1"/>
  <c r="T7" i="21"/>
  <c r="S235" i="20"/>
  <c r="S217" i="20"/>
  <c r="S216" i="20"/>
  <c r="S219" i="20"/>
  <c r="S229" i="20"/>
  <c r="F214" i="20"/>
  <c r="D44" i="20"/>
  <c r="F43" i="20"/>
  <c r="D237" i="20"/>
  <c r="E237" i="20" s="1"/>
  <c r="E67" i="20"/>
  <c r="D43" i="21"/>
  <c r="E42" i="21"/>
  <c r="T237" i="20"/>
  <c r="L237" i="20"/>
  <c r="S237" i="20"/>
  <c r="K237" i="20"/>
  <c r="R237" i="20"/>
  <c r="J237" i="20"/>
  <c r="Q237" i="20"/>
  <c r="I237" i="20"/>
  <c r="H237" i="20"/>
  <c r="G237" i="20"/>
  <c r="N237" i="20"/>
  <c r="M237" i="20"/>
  <c r="P237" i="20"/>
  <c r="O237" i="20"/>
  <c r="N215" i="20"/>
  <c r="M215" i="20"/>
  <c r="T215" i="20"/>
  <c r="L215" i="20"/>
  <c r="S215" i="20"/>
  <c r="K215" i="20"/>
  <c r="G215" i="20"/>
  <c r="R215" i="20"/>
  <c r="Q215" i="20"/>
  <c r="P215" i="20"/>
  <c r="O215" i="20"/>
  <c r="J215" i="20"/>
  <c r="H215" i="20"/>
  <c r="I215" i="20"/>
  <c r="S231" i="20"/>
  <c r="S221" i="20"/>
  <c r="T176" i="20"/>
  <c r="T226" i="20" s="1"/>
  <c r="U175" i="20"/>
  <c r="T225" i="20"/>
  <c r="T227" i="20"/>
  <c r="T228" i="20"/>
  <c r="T224" i="20"/>
  <c r="T223" i="20"/>
  <c r="T229" i="20"/>
  <c r="T230" i="20"/>
  <c r="T231" i="20"/>
  <c r="T221" i="20"/>
  <c r="T232" i="20"/>
  <c r="T220" i="20"/>
  <c r="T233" i="20"/>
  <c r="T219" i="20"/>
  <c r="T218" i="20"/>
  <c r="T234" i="20"/>
  <c r="T235" i="20"/>
  <c r="T217" i="20"/>
  <c r="S236" i="20"/>
  <c r="E60" i="21"/>
  <c r="E80" i="21"/>
  <c r="S224" i="20"/>
  <c r="D215" i="20"/>
  <c r="E215" i="20" s="1"/>
  <c r="E45" i="20"/>
  <c r="S232" i="20"/>
  <c r="S234" i="20"/>
  <c r="S222" i="20"/>
  <c r="S225" i="20"/>
  <c r="D68" i="20"/>
  <c r="F69" i="20"/>
  <c r="F238" i="20"/>
  <c r="S220" i="20"/>
  <c r="S228" i="20"/>
  <c r="S227" i="20"/>
  <c r="S218" i="20"/>
  <c r="S230" i="20"/>
  <c r="S226" i="20"/>
  <c r="D23" i="21"/>
  <c r="T29" i="21"/>
  <c r="F239" i="20" l="1"/>
  <c r="F70" i="20"/>
  <c r="D69" i="20"/>
  <c r="E81" i="21"/>
  <c r="E61" i="21"/>
  <c r="D214" i="20"/>
  <c r="E214" i="20" s="1"/>
  <c r="E44" i="20"/>
  <c r="D238" i="20"/>
  <c r="E238" i="20" s="1"/>
  <c r="E68" i="20"/>
  <c r="V175" i="20"/>
  <c r="U176" i="20"/>
  <c r="U225" i="20"/>
  <c r="U227" i="20"/>
  <c r="U224" i="20"/>
  <c r="U228" i="20"/>
  <c r="U229" i="20"/>
  <c r="U223" i="20"/>
  <c r="U230" i="20"/>
  <c r="U222" i="20"/>
  <c r="U231" i="20"/>
  <c r="U221" i="20"/>
  <c r="U232" i="20"/>
  <c r="U220" i="20"/>
  <c r="U233" i="20"/>
  <c r="U219" i="20"/>
  <c r="U218" i="20"/>
  <c r="U234" i="20"/>
  <c r="U235" i="20"/>
  <c r="U217" i="20"/>
  <c r="U216" i="20"/>
  <c r="U236" i="20"/>
  <c r="D44" i="21"/>
  <c r="E44" i="21" s="1"/>
  <c r="E43" i="21"/>
  <c r="U214" i="20"/>
  <c r="M214" i="20"/>
  <c r="T214" i="20"/>
  <c r="L214" i="20"/>
  <c r="S214" i="20"/>
  <c r="K214" i="20"/>
  <c r="R214" i="20"/>
  <c r="J214" i="20"/>
  <c r="N214" i="20"/>
  <c r="I214" i="20"/>
  <c r="H214" i="20"/>
  <c r="G214" i="20"/>
  <c r="Q214" i="20"/>
  <c r="O214" i="20"/>
  <c r="P214" i="20"/>
  <c r="U7" i="21"/>
  <c r="T8" i="21"/>
  <c r="U238" i="20"/>
  <c r="M238" i="20"/>
  <c r="T238" i="20"/>
  <c r="L238" i="20"/>
  <c r="S238" i="20"/>
  <c r="K238" i="20"/>
  <c r="R238" i="20"/>
  <c r="J238" i="20"/>
  <c r="Q238" i="20"/>
  <c r="P238" i="20"/>
  <c r="O238" i="20"/>
  <c r="N238" i="20"/>
  <c r="G238" i="20"/>
  <c r="I238" i="20"/>
  <c r="H238" i="20"/>
  <c r="D43" i="20"/>
  <c r="F42" i="20"/>
  <c r="F213" i="20"/>
  <c r="T222" i="20"/>
  <c r="T236" i="20"/>
  <c r="T216" i="20"/>
  <c r="T213" i="20" l="1"/>
  <c r="L213" i="20"/>
  <c r="S213" i="20"/>
  <c r="K213" i="20"/>
  <c r="R213" i="20"/>
  <c r="J213" i="20"/>
  <c r="Q213" i="20"/>
  <c r="I213" i="20"/>
  <c r="U213" i="20"/>
  <c r="P213" i="20"/>
  <c r="O213" i="20"/>
  <c r="N213" i="20"/>
  <c r="M213" i="20"/>
  <c r="H213" i="20"/>
  <c r="G213" i="20"/>
  <c r="F212" i="20"/>
  <c r="D42" i="20"/>
  <c r="F41" i="20"/>
  <c r="D213" i="20"/>
  <c r="E213" i="20" s="1"/>
  <c r="E43" i="20"/>
  <c r="U237" i="20"/>
  <c r="U215" i="20"/>
  <c r="V7" i="21"/>
  <c r="U8" i="21"/>
  <c r="W175" i="20"/>
  <c r="V176" i="20"/>
  <c r="V228" i="20" s="1"/>
  <c r="V225" i="20"/>
  <c r="V226" i="20"/>
  <c r="V222" i="20"/>
  <c r="V231" i="20"/>
  <c r="V234" i="20"/>
  <c r="V235" i="20"/>
  <c r="D239" i="20"/>
  <c r="E239" i="20" s="1"/>
  <c r="E69" i="20"/>
  <c r="E82" i="21"/>
  <c r="E62" i="21"/>
  <c r="U226" i="20"/>
  <c r="F240" i="20"/>
  <c r="D70" i="20"/>
  <c r="F71" i="20"/>
  <c r="E63" i="21"/>
  <c r="E83" i="21"/>
  <c r="N239" i="20"/>
  <c r="U239" i="20"/>
  <c r="M239" i="20"/>
  <c r="T239" i="20"/>
  <c r="L239" i="20"/>
  <c r="S239" i="20"/>
  <c r="K239" i="20"/>
  <c r="J239" i="20"/>
  <c r="I239" i="20"/>
  <c r="H239" i="20"/>
  <c r="G239" i="20"/>
  <c r="Q239" i="20"/>
  <c r="P239" i="20"/>
  <c r="R239" i="20"/>
  <c r="O239" i="20"/>
  <c r="F211" i="20" l="1"/>
  <c r="F40" i="20"/>
  <c r="D41" i="20"/>
  <c r="V218" i="20"/>
  <c r="S212" i="20"/>
  <c r="K212" i="20"/>
  <c r="R212" i="20"/>
  <c r="J212" i="20"/>
  <c r="Q212" i="20"/>
  <c r="I212" i="20"/>
  <c r="P212" i="20"/>
  <c r="H212" i="20"/>
  <c r="L212" i="20"/>
  <c r="G212" i="20"/>
  <c r="V212" i="20"/>
  <c r="U212" i="20"/>
  <c r="T212" i="20"/>
  <c r="M212" i="20"/>
  <c r="O212" i="20"/>
  <c r="N212" i="20"/>
  <c r="F241" i="20"/>
  <c r="F72" i="20"/>
  <c r="D71" i="20"/>
  <c r="V223" i="20"/>
  <c r="D240" i="20"/>
  <c r="E240" i="20" s="1"/>
  <c r="E70" i="20"/>
  <c r="V237" i="20"/>
  <c r="V219" i="20"/>
  <c r="V229" i="20"/>
  <c r="V230" i="20"/>
  <c r="X175" i="20"/>
  <c r="W176" i="20"/>
  <c r="W213" i="20" s="1"/>
  <c r="W225" i="20"/>
  <c r="W226" i="20"/>
  <c r="W224" i="20"/>
  <c r="W228" i="20"/>
  <c r="W223" i="20"/>
  <c r="W229" i="20"/>
  <c r="W222" i="20"/>
  <c r="W221" i="20"/>
  <c r="W231" i="20"/>
  <c r="W232" i="20"/>
  <c r="W220" i="20"/>
  <c r="W233" i="20"/>
  <c r="W219" i="20"/>
  <c r="W218" i="20"/>
  <c r="W217" i="20"/>
  <c r="W235" i="20"/>
  <c r="W236" i="20"/>
  <c r="W216" i="20"/>
  <c r="W237" i="20"/>
  <c r="W215" i="20"/>
  <c r="W214" i="20"/>
  <c r="W238" i="20"/>
  <c r="W240" i="20"/>
  <c r="O240" i="20"/>
  <c r="G240" i="20"/>
  <c r="V240" i="20"/>
  <c r="N240" i="20"/>
  <c r="U240" i="20"/>
  <c r="M240" i="20"/>
  <c r="T240" i="20"/>
  <c r="L240" i="20"/>
  <c r="S240" i="20"/>
  <c r="R240" i="20"/>
  <c r="Q240" i="20"/>
  <c r="P240" i="20"/>
  <c r="J240" i="20"/>
  <c r="I240" i="20"/>
  <c r="H240" i="20"/>
  <c r="K240" i="20"/>
  <c r="V236" i="20"/>
  <c r="V232" i="20"/>
  <c r="V214" i="20"/>
  <c r="V238" i="20"/>
  <c r="V215" i="20"/>
  <c r="V216" i="20"/>
  <c r="V220" i="20"/>
  <c r="V224" i="20"/>
  <c r="W7" i="21"/>
  <c r="V8" i="21"/>
  <c r="V213" i="20"/>
  <c r="E42" i="20"/>
  <c r="D212" i="20"/>
  <c r="E212" i="20" s="1"/>
  <c r="V233" i="20"/>
  <c r="W239" i="20"/>
  <c r="V239" i="20"/>
  <c r="V217" i="20"/>
  <c r="V221" i="20"/>
  <c r="V227" i="20"/>
  <c r="W234" i="20" l="1"/>
  <c r="W230" i="20"/>
  <c r="W227" i="20"/>
  <c r="D241" i="20"/>
  <c r="E241" i="20" s="1"/>
  <c r="E71" i="20"/>
  <c r="W212" i="20"/>
  <c r="D211" i="20"/>
  <c r="E211" i="20" s="1"/>
  <c r="E41" i="20"/>
  <c r="F242" i="20"/>
  <c r="F73" i="20"/>
  <c r="D72" i="20"/>
  <c r="F210" i="20"/>
  <c r="D40" i="20"/>
  <c r="F39" i="20"/>
  <c r="W8" i="21"/>
  <c r="X7" i="21"/>
  <c r="Y175" i="20"/>
  <c r="X176" i="20"/>
  <c r="X227" i="20"/>
  <c r="X226" i="20"/>
  <c r="X225" i="20"/>
  <c r="X224" i="20"/>
  <c r="X228" i="20"/>
  <c r="X223" i="20"/>
  <c r="X229" i="20"/>
  <c r="X222" i="20"/>
  <c r="X230" i="20"/>
  <c r="X231" i="20"/>
  <c r="X221" i="20"/>
  <c r="X232" i="20"/>
  <c r="X220" i="20"/>
  <c r="X219" i="20"/>
  <c r="X233" i="20"/>
  <c r="X234" i="20"/>
  <c r="X218" i="20"/>
  <c r="X235" i="20"/>
  <c r="X217" i="20"/>
  <c r="X236" i="20"/>
  <c r="X216" i="20"/>
  <c r="X215" i="20"/>
  <c r="X237" i="20"/>
  <c r="X238" i="20"/>
  <c r="X214" i="20"/>
  <c r="X239" i="20"/>
  <c r="X213" i="20"/>
  <c r="X241" i="20"/>
  <c r="P241" i="20"/>
  <c r="H241" i="20"/>
  <c r="W241" i="20"/>
  <c r="O241" i="20"/>
  <c r="G241" i="20"/>
  <c r="V241" i="20"/>
  <c r="N241" i="20"/>
  <c r="U241" i="20"/>
  <c r="M241" i="20"/>
  <c r="L241" i="20"/>
  <c r="K241" i="20"/>
  <c r="J241" i="20"/>
  <c r="I241" i="20"/>
  <c r="Q241" i="20"/>
  <c r="T241" i="20"/>
  <c r="S241" i="20"/>
  <c r="R241" i="20"/>
  <c r="R211" i="20"/>
  <c r="J211" i="20"/>
  <c r="Q211" i="20"/>
  <c r="I211" i="20"/>
  <c r="X211" i="20"/>
  <c r="P211" i="20"/>
  <c r="H211" i="20"/>
  <c r="W211" i="20"/>
  <c r="O211" i="20"/>
  <c r="G211" i="20"/>
  <c r="S211" i="20"/>
  <c r="N211" i="20"/>
  <c r="M211" i="20"/>
  <c r="L211" i="20"/>
  <c r="K211" i="20"/>
  <c r="V211" i="20"/>
  <c r="T211" i="20"/>
  <c r="U211" i="20"/>
  <c r="E40" i="20" l="1"/>
  <c r="D210" i="20"/>
  <c r="E210" i="20" s="1"/>
  <c r="D242" i="20"/>
  <c r="E242" i="20" s="1"/>
  <c r="E72" i="20"/>
  <c r="X212" i="20"/>
  <c r="X240" i="20"/>
  <c r="D73" i="20"/>
  <c r="F243" i="20"/>
  <c r="F74" i="20"/>
  <c r="F209" i="20"/>
  <c r="D39" i="20"/>
  <c r="F38" i="20"/>
  <c r="Y176" i="20"/>
  <c r="Y225" i="20" s="1"/>
  <c r="Z175" i="20"/>
  <c r="Y226" i="20"/>
  <c r="Y228" i="20"/>
  <c r="Y224" i="20"/>
  <c r="Y229" i="20"/>
  <c r="Y223" i="20"/>
  <c r="Y221" i="20"/>
  <c r="Y232" i="20"/>
  <c r="Y220" i="20"/>
  <c r="Y219" i="20"/>
  <c r="Y233" i="20"/>
  <c r="Y235" i="20"/>
  <c r="Y236" i="20"/>
  <c r="Y216" i="20"/>
  <c r="Y237" i="20"/>
  <c r="Y215" i="20"/>
  <c r="Y239" i="20"/>
  <c r="Y212" i="20"/>
  <c r="Y240" i="20"/>
  <c r="Q242" i="20"/>
  <c r="I242" i="20"/>
  <c r="X242" i="20"/>
  <c r="P242" i="20"/>
  <c r="H242" i="20"/>
  <c r="W242" i="20"/>
  <c r="O242" i="20"/>
  <c r="G242" i="20"/>
  <c r="V242" i="20"/>
  <c r="N242" i="20"/>
  <c r="U242" i="20"/>
  <c r="T242" i="20"/>
  <c r="S242" i="20"/>
  <c r="R242" i="20"/>
  <c r="J242" i="20"/>
  <c r="K242" i="20"/>
  <c r="M242" i="20"/>
  <c r="L242" i="20"/>
  <c r="Y210" i="20"/>
  <c r="Q210" i="20"/>
  <c r="I210" i="20"/>
  <c r="X210" i="20"/>
  <c r="P210" i="20"/>
  <c r="H210" i="20"/>
  <c r="W210" i="20"/>
  <c r="O210" i="20"/>
  <c r="G210" i="20"/>
  <c r="V210" i="20"/>
  <c r="N210" i="20"/>
  <c r="J210" i="20"/>
  <c r="U210" i="20"/>
  <c r="T210" i="20"/>
  <c r="S210" i="20"/>
  <c r="R210" i="20"/>
  <c r="M210" i="20"/>
  <c r="K210" i="20"/>
  <c r="L210" i="20"/>
  <c r="X8" i="21"/>
  <c r="Y7" i="21"/>
  <c r="E73" i="20" l="1"/>
  <c r="D243" i="20"/>
  <c r="E243" i="20" s="1"/>
  <c r="Y213" i="20"/>
  <c r="Y217" i="20"/>
  <c r="Y231" i="20"/>
  <c r="Y227" i="20"/>
  <c r="E39" i="20"/>
  <c r="D209" i="20"/>
  <c r="E209" i="20" s="1"/>
  <c r="Y214" i="20"/>
  <c r="Y234" i="20"/>
  <c r="Y222" i="20"/>
  <c r="Z176" i="20"/>
  <c r="Z228" i="20" s="1"/>
  <c r="Z226" i="20"/>
  <c r="AA175" i="20"/>
  <c r="Z229" i="20"/>
  <c r="Z222" i="20"/>
  <c r="Z230" i="20"/>
  <c r="Z219" i="20"/>
  <c r="Z218" i="20"/>
  <c r="Z234" i="20"/>
  <c r="Z237" i="20"/>
  <c r="Z214" i="20"/>
  <c r="Z238" i="20"/>
  <c r="Z211" i="20"/>
  <c r="F208" i="20"/>
  <c r="F37" i="20"/>
  <c r="D38" i="20"/>
  <c r="X209" i="20"/>
  <c r="P209" i="20"/>
  <c r="H209" i="20"/>
  <c r="W209" i="20"/>
  <c r="O209" i="20"/>
  <c r="G209" i="20"/>
  <c r="V209" i="20"/>
  <c r="N209" i="20"/>
  <c r="U209" i="20"/>
  <c r="M209" i="20"/>
  <c r="Q209" i="20"/>
  <c r="L209" i="20"/>
  <c r="K209" i="20"/>
  <c r="J209" i="20"/>
  <c r="Y209" i="20"/>
  <c r="T209" i="20"/>
  <c r="R209" i="20"/>
  <c r="I209" i="20"/>
  <c r="S209" i="20"/>
  <c r="Y8" i="21"/>
  <c r="Z7" i="21"/>
  <c r="Y242" i="20"/>
  <c r="Y238" i="20"/>
  <c r="Y218" i="20"/>
  <c r="Y230" i="20"/>
  <c r="F244" i="20"/>
  <c r="F75" i="20"/>
  <c r="D74" i="20"/>
  <c r="Y241" i="20"/>
  <c r="Y211" i="20"/>
  <c r="R243" i="20"/>
  <c r="J243" i="20"/>
  <c r="Y243" i="20"/>
  <c r="Q243" i="20"/>
  <c r="I243" i="20"/>
  <c r="X243" i="20"/>
  <c r="P243" i="20"/>
  <c r="H243" i="20"/>
  <c r="W243" i="20"/>
  <c r="O243" i="20"/>
  <c r="G243" i="20"/>
  <c r="N243" i="20"/>
  <c r="M243" i="20"/>
  <c r="L243" i="20"/>
  <c r="K243" i="20"/>
  <c r="V243" i="20"/>
  <c r="U243" i="20"/>
  <c r="T243" i="20"/>
  <c r="S243" i="20"/>
  <c r="Z215" i="20" l="1"/>
  <c r="Z243" i="20"/>
  <c r="Z209" i="20"/>
  <c r="Z240" i="20"/>
  <c r="Z236" i="20"/>
  <c r="Z220" i="20"/>
  <c r="Z224" i="20"/>
  <c r="W208" i="20"/>
  <c r="O208" i="20"/>
  <c r="G208" i="20"/>
  <c r="V208" i="20"/>
  <c r="N208" i="20"/>
  <c r="U208" i="20"/>
  <c r="M208" i="20"/>
  <c r="T208" i="20"/>
  <c r="L208" i="20"/>
  <c r="X208" i="20"/>
  <c r="H208" i="20"/>
  <c r="S208" i="20"/>
  <c r="R208" i="20"/>
  <c r="Q208" i="20"/>
  <c r="Y208" i="20"/>
  <c r="P208" i="20"/>
  <c r="Z208" i="20"/>
  <c r="K208" i="20"/>
  <c r="I208" i="20"/>
  <c r="J208" i="20"/>
  <c r="AA176" i="20"/>
  <c r="AA243" i="20" s="1"/>
  <c r="AA226" i="20"/>
  <c r="AB175" i="20"/>
  <c r="AA225" i="20"/>
  <c r="AA222" i="20"/>
  <c r="AA230" i="20"/>
  <c r="AA231" i="20"/>
  <c r="AA218" i="20"/>
  <c r="AA234" i="20"/>
  <c r="AA217" i="20"/>
  <c r="AA238" i="20"/>
  <c r="AA214" i="20"/>
  <c r="AA239" i="20"/>
  <c r="AA210" i="20"/>
  <c r="AA242" i="20"/>
  <c r="Z241" i="20"/>
  <c r="Z233" i="20"/>
  <c r="Z223" i="20"/>
  <c r="D244" i="20"/>
  <c r="E244" i="20" s="1"/>
  <c r="E74" i="20"/>
  <c r="Z8" i="21"/>
  <c r="AA7" i="21"/>
  <c r="Z212" i="20"/>
  <c r="Z216" i="20"/>
  <c r="Z232" i="20"/>
  <c r="Z210" i="20"/>
  <c r="Z242" i="20"/>
  <c r="D208" i="20"/>
  <c r="E208" i="20" s="1"/>
  <c r="E38" i="20"/>
  <c r="Z213" i="20"/>
  <c r="Z217" i="20"/>
  <c r="Z221" i="20"/>
  <c r="Z225" i="20"/>
  <c r="D75" i="20"/>
  <c r="F76" i="20"/>
  <c r="F245" i="20"/>
  <c r="AA244" i="20"/>
  <c r="S244" i="20"/>
  <c r="K244" i="20"/>
  <c r="Z244" i="20"/>
  <c r="R244" i="20"/>
  <c r="J244" i="20"/>
  <c r="Y244" i="20"/>
  <c r="Q244" i="20"/>
  <c r="I244" i="20"/>
  <c r="X244" i="20"/>
  <c r="P244" i="20"/>
  <c r="H244" i="20"/>
  <c r="W244" i="20"/>
  <c r="G244" i="20"/>
  <c r="V244" i="20"/>
  <c r="U244" i="20"/>
  <c r="T244" i="20"/>
  <c r="O244" i="20"/>
  <c r="M244" i="20"/>
  <c r="L244" i="20"/>
  <c r="N244" i="20"/>
  <c r="F207" i="20"/>
  <c r="D37" i="20"/>
  <c r="F36" i="20"/>
  <c r="Z239" i="20"/>
  <c r="Z235" i="20"/>
  <c r="Z231" i="20"/>
  <c r="Z227" i="20"/>
  <c r="F206" i="20" l="1"/>
  <c r="D36" i="20"/>
  <c r="F35" i="20"/>
  <c r="AA237" i="20"/>
  <c r="AA223" i="20"/>
  <c r="V207" i="20"/>
  <c r="N207" i="20"/>
  <c r="U207" i="20"/>
  <c r="M207" i="20"/>
  <c r="AB207" i="20"/>
  <c r="T207" i="20"/>
  <c r="L207" i="20"/>
  <c r="AA207" i="20"/>
  <c r="S207" i="20"/>
  <c r="K207" i="20"/>
  <c r="O207" i="20"/>
  <c r="Z207" i="20"/>
  <c r="J207" i="20"/>
  <c r="Y207" i="20"/>
  <c r="I207" i="20"/>
  <c r="X207" i="20"/>
  <c r="H207" i="20"/>
  <c r="G207" i="20"/>
  <c r="W207" i="20"/>
  <c r="P207" i="20"/>
  <c r="Q207" i="20"/>
  <c r="R207" i="20"/>
  <c r="AA241" i="20"/>
  <c r="AA215" i="20"/>
  <c r="AA219" i="20"/>
  <c r="AA229" i="20"/>
  <c r="AA208" i="20"/>
  <c r="T245" i="20"/>
  <c r="L245" i="20"/>
  <c r="AA245" i="20"/>
  <c r="S245" i="20"/>
  <c r="K245" i="20"/>
  <c r="Z245" i="20"/>
  <c r="R245" i="20"/>
  <c r="J245" i="20"/>
  <c r="Y245" i="20"/>
  <c r="Q245" i="20"/>
  <c r="I245" i="20"/>
  <c r="P245" i="20"/>
  <c r="O245" i="20"/>
  <c r="N245" i="20"/>
  <c r="M245" i="20"/>
  <c r="U245" i="20"/>
  <c r="H245" i="20"/>
  <c r="V245" i="20"/>
  <c r="G245" i="20"/>
  <c r="X245" i="20"/>
  <c r="W245" i="20"/>
  <c r="D76" i="20"/>
  <c r="F246" i="20"/>
  <c r="F77" i="20"/>
  <c r="D207" i="20"/>
  <c r="E207" i="20" s="1"/>
  <c r="E37" i="20"/>
  <c r="AA211" i="20"/>
  <c r="AA233" i="20"/>
  <c r="AA212" i="20"/>
  <c r="AA216" i="20"/>
  <c r="AA232" i="20"/>
  <c r="AA224" i="20"/>
  <c r="AB176" i="20"/>
  <c r="AB245" i="20" s="1"/>
  <c r="AC175" i="20"/>
  <c r="AB227" i="20"/>
  <c r="AB225" i="20"/>
  <c r="AB224" i="20"/>
  <c r="AB228" i="20"/>
  <c r="AB229" i="20"/>
  <c r="AB223" i="20"/>
  <c r="AB221" i="20"/>
  <c r="AB231" i="20"/>
  <c r="AB220" i="20"/>
  <c r="AB232" i="20"/>
  <c r="AB219" i="20"/>
  <c r="AB233" i="20"/>
  <c r="AB235" i="20"/>
  <c r="AB217" i="20"/>
  <c r="AB236" i="20"/>
  <c r="AB216" i="20"/>
  <c r="AB215" i="20"/>
  <c r="AB237" i="20"/>
  <c r="AB239" i="20"/>
  <c r="AB213" i="20"/>
  <c r="AB212" i="20"/>
  <c r="AB240" i="20"/>
  <c r="AB211" i="20"/>
  <c r="AB241" i="20"/>
  <c r="AB210" i="20"/>
  <c r="AB242" i="20"/>
  <c r="AB243" i="20"/>
  <c r="AB209" i="20"/>
  <c r="AB208" i="20"/>
  <c r="AB244" i="20"/>
  <c r="D245" i="20"/>
  <c r="E245" i="20" s="1"/>
  <c r="E75" i="20"/>
  <c r="AA209" i="20"/>
  <c r="AA8" i="21"/>
  <c r="AB7" i="21"/>
  <c r="AA240" i="20"/>
  <c r="AA236" i="20"/>
  <c r="AA220" i="20"/>
  <c r="AA228" i="20"/>
  <c r="AA213" i="20"/>
  <c r="AA235" i="20"/>
  <c r="AA221" i="20"/>
  <c r="AA227" i="20"/>
  <c r="AB214" i="20" l="1"/>
  <c r="AB234" i="20"/>
  <c r="AB230" i="20"/>
  <c r="AB226" i="20"/>
  <c r="D35" i="20"/>
  <c r="F34" i="20"/>
  <c r="F205" i="20"/>
  <c r="AB8" i="21"/>
  <c r="AC7" i="21"/>
  <c r="AC246" i="20"/>
  <c r="U246" i="20"/>
  <c r="M246" i="20"/>
  <c r="AB246" i="20"/>
  <c r="T246" i="20"/>
  <c r="L246" i="20"/>
  <c r="AA246" i="20"/>
  <c r="S246" i="20"/>
  <c r="K246" i="20"/>
  <c r="Z246" i="20"/>
  <c r="R246" i="20"/>
  <c r="J246" i="20"/>
  <c r="Y246" i="20"/>
  <c r="I246" i="20"/>
  <c r="X246" i="20"/>
  <c r="H246" i="20"/>
  <c r="W246" i="20"/>
  <c r="G246" i="20"/>
  <c r="V246" i="20"/>
  <c r="N246" i="20"/>
  <c r="Q246" i="20"/>
  <c r="P246" i="20"/>
  <c r="O246" i="20"/>
  <c r="D246" i="20"/>
  <c r="E246" i="20" s="1"/>
  <c r="E76" i="20"/>
  <c r="AB238" i="20"/>
  <c r="AB218" i="20"/>
  <c r="AB222" i="20"/>
  <c r="AD175" i="20"/>
  <c r="AC176" i="20"/>
  <c r="AC245" i="20" s="1"/>
  <c r="AC226" i="20"/>
  <c r="AC227" i="20"/>
  <c r="AC225" i="20"/>
  <c r="AC224" i="20"/>
  <c r="AC228" i="20"/>
  <c r="AC223" i="20"/>
  <c r="AC230" i="20"/>
  <c r="AC222" i="20"/>
  <c r="AC231" i="20"/>
  <c r="AC221" i="20"/>
  <c r="AC232" i="20"/>
  <c r="AC220" i="20"/>
  <c r="AC219" i="20"/>
  <c r="AC234" i="20"/>
  <c r="AC218" i="20"/>
  <c r="AC217" i="20"/>
  <c r="AC235" i="20"/>
  <c r="AC216" i="20"/>
  <c r="AC236" i="20"/>
  <c r="AC215" i="20"/>
  <c r="AC238" i="20"/>
  <c r="AC214" i="20"/>
  <c r="AC213" i="20"/>
  <c r="AC239" i="20"/>
  <c r="AC212" i="20"/>
  <c r="AC240" i="20"/>
  <c r="AC211" i="20"/>
  <c r="AC210" i="20"/>
  <c r="AC242" i="20"/>
  <c r="AC209" i="20"/>
  <c r="AC243" i="20"/>
  <c r="AC208" i="20"/>
  <c r="AC244" i="20"/>
  <c r="D206" i="20"/>
  <c r="E206" i="20" s="1"/>
  <c r="E36" i="20"/>
  <c r="F247" i="20"/>
  <c r="F78" i="20"/>
  <c r="D77" i="20"/>
  <c r="U206" i="20"/>
  <c r="M206" i="20"/>
  <c r="AB206" i="20"/>
  <c r="T206" i="20"/>
  <c r="L206" i="20"/>
  <c r="AA206" i="20"/>
  <c r="S206" i="20"/>
  <c r="K206" i="20"/>
  <c r="Z206" i="20"/>
  <c r="R206" i="20"/>
  <c r="J206" i="20"/>
  <c r="V206" i="20"/>
  <c r="Q206" i="20"/>
  <c r="P206" i="20"/>
  <c r="O206" i="20"/>
  <c r="N206" i="20"/>
  <c r="I206" i="20"/>
  <c r="G206" i="20"/>
  <c r="W206" i="20"/>
  <c r="Y206" i="20"/>
  <c r="X206" i="20"/>
  <c r="H206" i="20"/>
  <c r="AD7" i="21" l="1"/>
  <c r="AC8" i="21"/>
  <c r="V247" i="20"/>
  <c r="N247" i="20"/>
  <c r="AC247" i="20"/>
  <c r="U247" i="20"/>
  <c r="M247" i="20"/>
  <c r="AB247" i="20"/>
  <c r="T247" i="20"/>
  <c r="L247" i="20"/>
  <c r="AA247" i="20"/>
  <c r="S247" i="20"/>
  <c r="K247" i="20"/>
  <c r="R247" i="20"/>
  <c r="Q247" i="20"/>
  <c r="P247" i="20"/>
  <c r="O247" i="20"/>
  <c r="G247" i="20"/>
  <c r="Z247" i="20"/>
  <c r="X247" i="20"/>
  <c r="W247" i="20"/>
  <c r="I247" i="20"/>
  <c r="H247" i="20"/>
  <c r="J247" i="20"/>
  <c r="Y247" i="20"/>
  <c r="F248" i="20"/>
  <c r="D78" i="20"/>
  <c r="F79" i="20"/>
  <c r="AC206" i="20"/>
  <c r="AC241" i="20"/>
  <c r="AC237" i="20"/>
  <c r="AC233" i="20"/>
  <c r="AC229" i="20"/>
  <c r="AE175" i="20"/>
  <c r="AD176" i="20"/>
  <c r="AD227" i="20" s="1"/>
  <c r="AD222" i="20"/>
  <c r="AD218" i="20"/>
  <c r="AD238" i="20"/>
  <c r="AD242" i="20"/>
  <c r="AB205" i="20"/>
  <c r="T205" i="20"/>
  <c r="L205" i="20"/>
  <c r="AA205" i="20"/>
  <c r="S205" i="20"/>
  <c r="K205" i="20"/>
  <c r="Z205" i="20"/>
  <c r="R205" i="20"/>
  <c r="J205" i="20"/>
  <c r="Y205" i="20"/>
  <c r="Q205" i="20"/>
  <c r="I205" i="20"/>
  <c r="AC205" i="20"/>
  <c r="M205" i="20"/>
  <c r="X205" i="20"/>
  <c r="H205" i="20"/>
  <c r="W205" i="20"/>
  <c r="G205" i="20"/>
  <c r="V205" i="20"/>
  <c r="U205" i="20"/>
  <c r="P205" i="20"/>
  <c r="N205" i="20"/>
  <c r="O205" i="20"/>
  <c r="D247" i="20"/>
  <c r="E247" i="20" s="1"/>
  <c r="E77" i="20"/>
  <c r="D34" i="20"/>
  <c r="F33" i="20"/>
  <c r="F204" i="20"/>
  <c r="AC207" i="20"/>
  <c r="D205" i="20"/>
  <c r="E205" i="20" s="1"/>
  <c r="E35" i="20"/>
  <c r="AD241" i="20" l="1"/>
  <c r="AD223" i="20"/>
  <c r="AD211" i="20"/>
  <c r="AD215" i="20"/>
  <c r="AD229" i="20"/>
  <c r="AD212" i="20"/>
  <c r="AD244" i="20"/>
  <c r="AD240" i="20"/>
  <c r="AD216" i="20"/>
  <c r="AD220" i="20"/>
  <c r="AD228" i="20"/>
  <c r="AD247" i="20"/>
  <c r="AD219" i="20"/>
  <c r="AD236" i="20"/>
  <c r="AD224" i="20"/>
  <c r="AD209" i="20"/>
  <c r="AD213" i="20"/>
  <c r="AD217" i="20"/>
  <c r="AD231" i="20"/>
  <c r="F203" i="20"/>
  <c r="D33" i="20"/>
  <c r="F32" i="20"/>
  <c r="AD206" i="20"/>
  <c r="AD246" i="20"/>
  <c r="AD207" i="20"/>
  <c r="AD233" i="20"/>
  <c r="AE248" i="20"/>
  <c r="W248" i="20"/>
  <c r="O248" i="20"/>
  <c r="G248" i="20"/>
  <c r="AD248" i="20"/>
  <c r="V248" i="20"/>
  <c r="N248" i="20"/>
  <c r="AC248" i="20"/>
  <c r="U248" i="20"/>
  <c r="M248" i="20"/>
  <c r="AB248" i="20"/>
  <c r="T248" i="20"/>
  <c r="L248" i="20"/>
  <c r="AA248" i="20"/>
  <c r="K248" i="20"/>
  <c r="Z248" i="20"/>
  <c r="J248" i="20"/>
  <c r="Y248" i="20"/>
  <c r="I248" i="20"/>
  <c r="X248" i="20"/>
  <c r="H248" i="20"/>
  <c r="S248" i="20"/>
  <c r="R248" i="20"/>
  <c r="P248" i="20"/>
  <c r="Q248" i="20"/>
  <c r="AD205" i="20"/>
  <c r="AD243" i="20"/>
  <c r="AD239" i="20"/>
  <c r="AD235" i="20"/>
  <c r="AD221" i="20"/>
  <c r="AD226" i="20"/>
  <c r="D248" i="20"/>
  <c r="E248" i="20" s="1"/>
  <c r="E78" i="20"/>
  <c r="D204" i="20"/>
  <c r="E204" i="20" s="1"/>
  <c r="E34" i="20"/>
  <c r="AD237" i="20"/>
  <c r="AF175" i="20"/>
  <c r="AE176" i="20"/>
  <c r="AE205" i="20" s="1"/>
  <c r="AE226" i="20"/>
  <c r="AE227" i="20"/>
  <c r="AE225" i="20"/>
  <c r="AE228" i="20"/>
  <c r="AE224" i="20"/>
  <c r="AE229" i="20"/>
  <c r="AE223" i="20"/>
  <c r="AE222" i="20"/>
  <c r="AE230" i="20"/>
  <c r="AE221" i="20"/>
  <c r="AE231" i="20"/>
  <c r="AE232" i="20"/>
  <c r="AE220" i="20"/>
  <c r="AE233" i="20"/>
  <c r="AE219" i="20"/>
  <c r="AE234" i="20"/>
  <c r="AE218" i="20"/>
  <c r="AE235" i="20"/>
  <c r="AE217" i="20"/>
  <c r="AE236" i="20"/>
  <c r="AE216" i="20"/>
  <c r="AE237" i="20"/>
  <c r="AE215" i="20"/>
  <c r="AE214" i="20"/>
  <c r="AE238" i="20"/>
  <c r="AE213" i="20"/>
  <c r="AE239" i="20"/>
  <c r="AE240" i="20"/>
  <c r="AE212" i="20"/>
  <c r="AE211" i="20"/>
  <c r="AE241" i="20"/>
  <c r="AE210" i="20"/>
  <c r="AE242" i="20"/>
  <c r="AE209" i="20"/>
  <c r="AE243" i="20"/>
  <c r="AE208" i="20"/>
  <c r="AE244" i="20"/>
  <c r="AE245" i="20"/>
  <c r="AE207" i="20"/>
  <c r="AE206" i="20"/>
  <c r="AE246" i="20"/>
  <c r="AD245" i="20"/>
  <c r="AD208" i="20"/>
  <c r="AD232" i="20"/>
  <c r="AA204" i="20"/>
  <c r="S204" i="20"/>
  <c r="K204" i="20"/>
  <c r="Z204" i="20"/>
  <c r="R204" i="20"/>
  <c r="J204" i="20"/>
  <c r="Y204" i="20"/>
  <c r="Q204" i="20"/>
  <c r="I204" i="20"/>
  <c r="X204" i="20"/>
  <c r="P204" i="20"/>
  <c r="H204" i="20"/>
  <c r="T204" i="20"/>
  <c r="AE204" i="20"/>
  <c r="O204" i="20"/>
  <c r="AD204" i="20"/>
  <c r="N204" i="20"/>
  <c r="AC204" i="20"/>
  <c r="M204" i="20"/>
  <c r="AB204" i="20"/>
  <c r="W204" i="20"/>
  <c r="U204" i="20"/>
  <c r="L204" i="20"/>
  <c r="V204" i="20"/>
  <c r="G204" i="20"/>
  <c r="AD210" i="20"/>
  <c r="AD214" i="20"/>
  <c r="AD234" i="20"/>
  <c r="AD230" i="20"/>
  <c r="AD225" i="20"/>
  <c r="F249" i="20"/>
  <c r="F80" i="20"/>
  <c r="D79" i="20"/>
  <c r="AE247" i="20"/>
  <c r="AE7" i="21"/>
  <c r="AD8" i="21"/>
  <c r="D32" i="20" l="1"/>
  <c r="F31" i="20"/>
  <c r="F202" i="20"/>
  <c r="D203" i="20"/>
  <c r="E203" i="20" s="1"/>
  <c r="E33" i="20"/>
  <c r="AD203" i="20"/>
  <c r="V203" i="20"/>
  <c r="N203" i="20"/>
  <c r="AC203" i="20"/>
  <c r="U203" i="20"/>
  <c r="M203" i="20"/>
  <c r="AB203" i="20"/>
  <c r="T203" i="20"/>
  <c r="L203" i="20"/>
  <c r="AA203" i="20"/>
  <c r="S203" i="20"/>
  <c r="K203" i="20"/>
  <c r="Z203" i="20"/>
  <c r="J203" i="20"/>
  <c r="Y203" i="20"/>
  <c r="I203" i="20"/>
  <c r="W203" i="20"/>
  <c r="G203" i="20"/>
  <c r="R203" i="20"/>
  <c r="AE203" i="20"/>
  <c r="H203" i="20"/>
  <c r="AF203" i="20"/>
  <c r="X203" i="20"/>
  <c r="Q203" i="20"/>
  <c r="O203" i="20"/>
  <c r="P203" i="20"/>
  <c r="D249" i="20"/>
  <c r="E249" i="20" s="1"/>
  <c r="E79" i="20"/>
  <c r="F250" i="20"/>
  <c r="F81" i="20"/>
  <c r="D80" i="20"/>
  <c r="AF176" i="20"/>
  <c r="AF204" i="20" s="1"/>
  <c r="AG175" i="20"/>
  <c r="AF227" i="20"/>
  <c r="AF228" i="20"/>
  <c r="AF224" i="20"/>
  <c r="AF223" i="20"/>
  <c r="AF229" i="20"/>
  <c r="AF230" i="20"/>
  <c r="AF221" i="20"/>
  <c r="AF232" i="20"/>
  <c r="AF220" i="20"/>
  <c r="AF233" i="20"/>
  <c r="AF219" i="20"/>
  <c r="AF234" i="20"/>
  <c r="AF217" i="20"/>
  <c r="AF216" i="20"/>
  <c r="AF236" i="20"/>
  <c r="AF215" i="20"/>
  <c r="AF237" i="20"/>
  <c r="AF214" i="20"/>
  <c r="AF213" i="20"/>
  <c r="AF212" i="20"/>
  <c r="AF240" i="20"/>
  <c r="AF241" i="20"/>
  <c r="AF211" i="20"/>
  <c r="AF210" i="20"/>
  <c r="AF209" i="20"/>
  <c r="AF244" i="20"/>
  <c r="AF208" i="20"/>
  <c r="AF207" i="20"/>
  <c r="AF245" i="20"/>
  <c r="AF246" i="20"/>
  <c r="AF206" i="20"/>
  <c r="AF205" i="20"/>
  <c r="AF247" i="20"/>
  <c r="AF249" i="20"/>
  <c r="X249" i="20"/>
  <c r="P249" i="20"/>
  <c r="H249" i="20"/>
  <c r="AE249" i="20"/>
  <c r="W249" i="20"/>
  <c r="O249" i="20"/>
  <c r="G249" i="20"/>
  <c r="AD249" i="20"/>
  <c r="V249" i="20"/>
  <c r="N249" i="20"/>
  <c r="AC249" i="20"/>
  <c r="U249" i="20"/>
  <c r="M249" i="20"/>
  <c r="T249" i="20"/>
  <c r="S249" i="20"/>
  <c r="R249" i="20"/>
  <c r="Q249" i="20"/>
  <c r="Y249" i="20"/>
  <c r="L249" i="20"/>
  <c r="AB249" i="20"/>
  <c r="AA249" i="20"/>
  <c r="K249" i="20"/>
  <c r="J249" i="20"/>
  <c r="I249" i="20"/>
  <c r="Z249" i="20"/>
  <c r="AF7" i="21"/>
  <c r="AE8" i="21"/>
  <c r="F251" i="20" l="1"/>
  <c r="D81" i="20"/>
  <c r="F82" i="20"/>
  <c r="AF243" i="20"/>
  <c r="AF239" i="20"/>
  <c r="AF235" i="20"/>
  <c r="AF231" i="20"/>
  <c r="AF225" i="20"/>
  <c r="AC202" i="20"/>
  <c r="U202" i="20"/>
  <c r="M202" i="20"/>
  <c r="AB202" i="20"/>
  <c r="T202" i="20"/>
  <c r="L202" i="20"/>
  <c r="AA202" i="20"/>
  <c r="S202" i="20"/>
  <c r="K202" i="20"/>
  <c r="Z202" i="20"/>
  <c r="R202" i="20"/>
  <c r="J202" i="20"/>
  <c r="Q202" i="20"/>
  <c r="AF202" i="20"/>
  <c r="P202" i="20"/>
  <c r="AD202" i="20"/>
  <c r="N202" i="20"/>
  <c r="Y202" i="20"/>
  <c r="I202" i="20"/>
  <c r="O202" i="20"/>
  <c r="AE202" i="20"/>
  <c r="V202" i="20"/>
  <c r="X202" i="20"/>
  <c r="W202" i="20"/>
  <c r="H202" i="20"/>
  <c r="G202" i="20"/>
  <c r="AF242" i="20"/>
  <c r="AF238" i="20"/>
  <c r="AF218" i="20"/>
  <c r="AF222" i="20"/>
  <c r="AF226" i="20"/>
  <c r="F201" i="20"/>
  <c r="D31" i="20"/>
  <c r="F30" i="20"/>
  <c r="AG250" i="20"/>
  <c r="Y250" i="20"/>
  <c r="Q250" i="20"/>
  <c r="I250" i="20"/>
  <c r="AF250" i="20"/>
  <c r="X250" i="20"/>
  <c r="P250" i="20"/>
  <c r="H250" i="20"/>
  <c r="AE250" i="20"/>
  <c r="W250" i="20"/>
  <c r="O250" i="20"/>
  <c r="G250" i="20"/>
  <c r="AD250" i="20"/>
  <c r="V250" i="20"/>
  <c r="N250" i="20"/>
  <c r="AC250" i="20"/>
  <c r="M250" i="20"/>
  <c r="AB250" i="20"/>
  <c r="L250" i="20"/>
  <c r="AA250" i="20"/>
  <c r="K250" i="20"/>
  <c r="Z250" i="20"/>
  <c r="J250" i="20"/>
  <c r="R250" i="20"/>
  <c r="T250" i="20"/>
  <c r="S250" i="20"/>
  <c r="U250" i="20"/>
  <c r="AG7" i="21"/>
  <c r="AF8" i="21"/>
  <c r="AG176" i="20"/>
  <c r="AG249" i="20" s="1"/>
  <c r="AH175" i="20"/>
  <c r="AG226" i="20"/>
  <c r="AG225" i="20"/>
  <c r="AG227" i="20"/>
  <c r="AG224" i="20"/>
  <c r="AG228" i="20"/>
  <c r="AG223" i="20"/>
  <c r="AG229" i="20"/>
  <c r="AG222" i="20"/>
  <c r="AG231" i="20"/>
  <c r="AG221" i="20"/>
  <c r="AG232" i="20"/>
  <c r="AG220" i="20"/>
  <c r="AG233" i="20"/>
  <c r="AG219" i="20"/>
  <c r="AG218" i="20"/>
  <c r="AG234" i="20"/>
  <c r="AG217" i="20"/>
  <c r="AG235" i="20"/>
  <c r="AG236" i="20"/>
  <c r="AG216" i="20"/>
  <c r="AG215" i="20"/>
  <c r="AG237" i="20"/>
  <c r="AG238" i="20"/>
  <c r="AG214" i="20"/>
  <c r="AG213" i="20"/>
  <c r="AG239" i="20"/>
  <c r="AG240" i="20"/>
  <c r="AG212" i="20"/>
  <c r="AG241" i="20"/>
  <c r="AG211" i="20"/>
  <c r="AG242" i="20"/>
  <c r="AG210" i="20"/>
  <c r="AG209" i="20"/>
  <c r="AG243" i="20"/>
  <c r="AG208" i="20"/>
  <c r="AG244" i="20"/>
  <c r="AG207" i="20"/>
  <c r="AG245" i="20"/>
  <c r="AG206" i="20"/>
  <c r="AG246" i="20"/>
  <c r="AG247" i="20"/>
  <c r="AG205" i="20"/>
  <c r="AG248" i="20"/>
  <c r="AG204" i="20"/>
  <c r="E32" i="20"/>
  <c r="D202" i="20"/>
  <c r="E202" i="20" s="1"/>
  <c r="E80" i="20"/>
  <c r="D250" i="20"/>
  <c r="E250" i="20" s="1"/>
  <c r="AG203" i="20"/>
  <c r="AF248" i="20"/>
  <c r="AG230" i="20" l="1"/>
  <c r="AH176" i="20"/>
  <c r="AH225" i="20" s="1"/>
  <c r="AH226" i="20"/>
  <c r="AI175" i="20"/>
  <c r="AH227" i="20"/>
  <c r="AH228" i="20"/>
  <c r="AH224" i="20"/>
  <c r="AH223" i="20"/>
  <c r="AH229" i="20"/>
  <c r="AH222" i="20"/>
  <c r="AH231" i="20"/>
  <c r="AH221" i="20"/>
  <c r="AH232" i="20"/>
  <c r="AH220" i="20"/>
  <c r="AH233" i="20"/>
  <c r="AH219" i="20"/>
  <c r="AH234" i="20"/>
  <c r="AH218" i="20"/>
  <c r="AH235" i="20"/>
  <c r="AH217" i="20"/>
  <c r="AH216" i="20"/>
  <c r="AH236" i="20"/>
  <c r="AH237" i="20"/>
  <c r="AH215" i="20"/>
  <c r="AH214" i="20"/>
  <c r="AH238" i="20"/>
  <c r="AH213" i="20"/>
  <c r="AH239" i="20"/>
  <c r="AH240" i="20"/>
  <c r="AH212" i="20"/>
  <c r="AH211" i="20"/>
  <c r="AH241" i="20"/>
  <c r="AH242" i="20"/>
  <c r="AH210" i="20"/>
  <c r="AH209" i="20"/>
  <c r="AH243" i="20"/>
  <c r="AH244" i="20"/>
  <c r="AH208" i="20"/>
  <c r="AH245" i="20"/>
  <c r="AH207" i="20"/>
  <c r="AH246" i="20"/>
  <c r="AH206" i="20"/>
  <c r="AH205" i="20"/>
  <c r="AH247" i="20"/>
  <c r="AH204" i="20"/>
  <c r="AH248" i="20"/>
  <c r="AH203" i="20"/>
  <c r="AH249" i="20"/>
  <c r="F29" i="20"/>
  <c r="D30" i="20"/>
  <c r="F200" i="20"/>
  <c r="D201" i="20"/>
  <c r="E201" i="20" s="1"/>
  <c r="E31" i="20"/>
  <c r="F83" i="20"/>
  <c r="F252" i="20"/>
  <c r="D82" i="20"/>
  <c r="AB201" i="20"/>
  <c r="T201" i="20"/>
  <c r="L201" i="20"/>
  <c r="AA201" i="20"/>
  <c r="S201" i="20"/>
  <c r="K201" i="20"/>
  <c r="AH201" i="20"/>
  <c r="Z201" i="20"/>
  <c r="R201" i="20"/>
  <c r="J201" i="20"/>
  <c r="AG201" i="20"/>
  <c r="Y201" i="20"/>
  <c r="Q201" i="20"/>
  <c r="I201" i="20"/>
  <c r="X201" i="20"/>
  <c r="H201" i="20"/>
  <c r="W201" i="20"/>
  <c r="G201" i="20"/>
  <c r="U201" i="20"/>
  <c r="AF201" i="20"/>
  <c r="P201" i="20"/>
  <c r="M201" i="20"/>
  <c r="O201" i="20"/>
  <c r="N201" i="20"/>
  <c r="AE201" i="20"/>
  <c r="AC201" i="20"/>
  <c r="V201" i="20"/>
  <c r="AD201" i="20"/>
  <c r="AG202" i="20"/>
  <c r="E81" i="20"/>
  <c r="D251" i="20"/>
  <c r="E251" i="20" s="1"/>
  <c r="AG8" i="21"/>
  <c r="AH7" i="21"/>
  <c r="AH251" i="20"/>
  <c r="Z251" i="20"/>
  <c r="R251" i="20"/>
  <c r="J251" i="20"/>
  <c r="AG251" i="20"/>
  <c r="Y251" i="20"/>
  <c r="Q251" i="20"/>
  <c r="I251" i="20"/>
  <c r="AF251" i="20"/>
  <c r="X251" i="20"/>
  <c r="P251" i="20"/>
  <c r="H251" i="20"/>
  <c r="AE251" i="20"/>
  <c r="W251" i="20"/>
  <c r="O251" i="20"/>
  <c r="G251" i="20"/>
  <c r="V251" i="20"/>
  <c r="U251" i="20"/>
  <c r="T251" i="20"/>
  <c r="S251" i="20"/>
  <c r="K251" i="20"/>
  <c r="AD251" i="20"/>
  <c r="AB251" i="20"/>
  <c r="AA251" i="20"/>
  <c r="N251" i="20"/>
  <c r="AC251" i="20"/>
  <c r="M251" i="20"/>
  <c r="L251" i="20"/>
  <c r="F253" i="20" l="1"/>
  <c r="D83" i="20"/>
  <c r="F84" i="20"/>
  <c r="AI176" i="20"/>
  <c r="AI226" i="20"/>
  <c r="AJ175" i="20"/>
  <c r="AI225" i="20"/>
  <c r="AI227" i="20"/>
  <c r="AI228" i="20"/>
  <c r="AI223" i="20"/>
  <c r="AI229" i="20"/>
  <c r="AI222" i="20"/>
  <c r="AI230" i="20"/>
  <c r="AI231" i="20"/>
  <c r="AI221" i="20"/>
  <c r="AI232" i="20"/>
  <c r="AI220" i="20"/>
  <c r="AI219" i="20"/>
  <c r="AI233" i="20"/>
  <c r="AI218" i="20"/>
  <c r="AI234" i="20"/>
  <c r="AI217" i="20"/>
  <c r="AI235" i="20"/>
  <c r="AI236" i="20"/>
  <c r="AI216" i="20"/>
  <c r="AI237" i="20"/>
  <c r="AI215" i="20"/>
  <c r="AI238" i="20"/>
  <c r="AI214" i="20"/>
  <c r="AI213" i="20"/>
  <c r="AI239" i="20"/>
  <c r="AI212" i="20"/>
  <c r="AI240" i="20"/>
  <c r="AI211" i="20"/>
  <c r="AI241" i="20"/>
  <c r="AI210" i="20"/>
  <c r="AI242" i="20"/>
  <c r="AI243" i="20"/>
  <c r="AI209" i="20"/>
  <c r="AI208" i="20"/>
  <c r="AI244" i="20"/>
  <c r="AI207" i="20"/>
  <c r="AI245" i="20"/>
  <c r="AI206" i="20"/>
  <c r="AI246" i="20"/>
  <c r="AI247" i="20"/>
  <c r="AI205" i="20"/>
  <c r="AI204" i="20"/>
  <c r="AI248" i="20"/>
  <c r="AI249" i="20"/>
  <c r="AI203" i="20"/>
  <c r="AI202" i="20"/>
  <c r="AI250" i="20"/>
  <c r="E30" i="20"/>
  <c r="D200" i="20"/>
  <c r="E200" i="20" s="1"/>
  <c r="AH230" i="20"/>
  <c r="AH8" i="21"/>
  <c r="AI7" i="21"/>
  <c r="D29" i="20"/>
  <c r="F28" i="20"/>
  <c r="F199" i="20"/>
  <c r="D252" i="20"/>
  <c r="E252" i="20" s="1"/>
  <c r="E82" i="20"/>
  <c r="AH202" i="20"/>
  <c r="AH250" i="20"/>
  <c r="AI200" i="20"/>
  <c r="AA200" i="20"/>
  <c r="S200" i="20"/>
  <c r="K200" i="20"/>
  <c r="AH200" i="20"/>
  <c r="Z200" i="20"/>
  <c r="R200" i="20"/>
  <c r="J200" i="20"/>
  <c r="AG200" i="20"/>
  <c r="Y200" i="20"/>
  <c r="Q200" i="20"/>
  <c r="I200" i="20"/>
  <c r="AF200" i="20"/>
  <c r="X200" i="20"/>
  <c r="P200" i="20"/>
  <c r="H200" i="20"/>
  <c r="AE200" i="20"/>
  <c r="O200" i="20"/>
  <c r="AD200" i="20"/>
  <c r="N200" i="20"/>
  <c r="AB200" i="20"/>
  <c r="L200" i="20"/>
  <c r="W200" i="20"/>
  <c r="G200" i="20"/>
  <c r="T200" i="20"/>
  <c r="V200" i="20"/>
  <c r="M200" i="20"/>
  <c r="U200" i="20"/>
  <c r="AC200" i="20"/>
  <c r="AI252" i="20"/>
  <c r="AA252" i="20"/>
  <c r="S252" i="20"/>
  <c r="K252" i="20"/>
  <c r="AH252" i="20"/>
  <c r="Z252" i="20"/>
  <c r="R252" i="20"/>
  <c r="J252" i="20"/>
  <c r="AG252" i="20"/>
  <c r="Y252" i="20"/>
  <c r="Q252" i="20"/>
  <c r="I252" i="20"/>
  <c r="AF252" i="20"/>
  <c r="X252" i="20"/>
  <c r="P252" i="20"/>
  <c r="H252" i="20"/>
  <c r="AE252" i="20"/>
  <c r="O252" i="20"/>
  <c r="AD252" i="20"/>
  <c r="N252" i="20"/>
  <c r="AC252" i="20"/>
  <c r="M252" i="20"/>
  <c r="AB252" i="20"/>
  <c r="L252" i="20"/>
  <c r="W252" i="20"/>
  <c r="U252" i="20"/>
  <c r="V252" i="20"/>
  <c r="G252" i="20"/>
  <c r="T252" i="20"/>
  <c r="E29" i="20" l="1"/>
  <c r="D199" i="20"/>
  <c r="E199" i="20" s="1"/>
  <c r="AI251" i="20"/>
  <c r="AI201" i="20"/>
  <c r="AH199" i="20"/>
  <c r="Z199" i="20"/>
  <c r="R199" i="20"/>
  <c r="J199" i="20"/>
  <c r="AG199" i="20"/>
  <c r="Y199" i="20"/>
  <c r="Q199" i="20"/>
  <c r="I199" i="20"/>
  <c r="AF199" i="20"/>
  <c r="X199" i="20"/>
  <c r="P199" i="20"/>
  <c r="H199" i="20"/>
  <c r="AE199" i="20"/>
  <c r="W199" i="20"/>
  <c r="O199" i="20"/>
  <c r="G199" i="20"/>
  <c r="V199" i="20"/>
  <c r="U199" i="20"/>
  <c r="AI199" i="20"/>
  <c r="S199" i="20"/>
  <c r="AD199" i="20"/>
  <c r="N199" i="20"/>
  <c r="AA199" i="20"/>
  <c r="T199" i="20"/>
  <c r="AB199" i="20"/>
  <c r="M199" i="20"/>
  <c r="K199" i="20"/>
  <c r="L199" i="20"/>
  <c r="AJ199" i="20"/>
  <c r="AC199" i="20"/>
  <c r="F198" i="20"/>
  <c r="D28" i="20"/>
  <c r="F27" i="20"/>
  <c r="AI8" i="21"/>
  <c r="AJ7" i="21"/>
  <c r="D84" i="20"/>
  <c r="F85" i="20"/>
  <c r="F254" i="20"/>
  <c r="D253" i="20"/>
  <c r="E253" i="20" s="1"/>
  <c r="E83" i="20"/>
  <c r="AJ176" i="20"/>
  <c r="AJ252" i="20" s="1"/>
  <c r="AJ226" i="20"/>
  <c r="AK175" i="20"/>
  <c r="AJ225" i="20"/>
  <c r="AJ227" i="20"/>
  <c r="AJ228" i="20"/>
  <c r="AJ223" i="20"/>
  <c r="AJ229" i="20"/>
  <c r="AJ230" i="20"/>
  <c r="AJ222" i="20"/>
  <c r="AJ221" i="20"/>
  <c r="AJ231" i="20"/>
  <c r="AJ220" i="20"/>
  <c r="AJ232" i="20"/>
  <c r="AJ233" i="20"/>
  <c r="AJ219" i="20"/>
  <c r="AJ218" i="20"/>
  <c r="AJ234" i="20"/>
  <c r="AJ235" i="20"/>
  <c r="AJ217" i="20"/>
  <c r="AJ216" i="20"/>
  <c r="AJ236" i="20"/>
  <c r="AJ237" i="20"/>
  <c r="AJ215" i="20"/>
  <c r="AJ214" i="20"/>
  <c r="AJ238" i="20"/>
  <c r="AJ239" i="20"/>
  <c r="AJ213" i="20"/>
  <c r="AJ240" i="20"/>
  <c r="AJ212" i="20"/>
  <c r="AJ241" i="20"/>
  <c r="AJ211" i="20"/>
  <c r="AJ242" i="20"/>
  <c r="AJ210" i="20"/>
  <c r="AJ243" i="20"/>
  <c r="AJ209" i="20"/>
  <c r="AJ208" i="20"/>
  <c r="AJ244" i="20"/>
  <c r="AJ245" i="20"/>
  <c r="AJ207" i="20"/>
  <c r="AJ246" i="20"/>
  <c r="AJ206" i="20"/>
  <c r="AJ205" i="20"/>
  <c r="AJ247" i="20"/>
  <c r="AJ248" i="20"/>
  <c r="AJ204" i="20"/>
  <c r="AJ203" i="20"/>
  <c r="AJ249" i="20"/>
  <c r="AJ202" i="20"/>
  <c r="AJ250" i="20"/>
  <c r="AJ201" i="20"/>
  <c r="AJ251" i="20"/>
  <c r="AI224" i="20"/>
  <c r="AJ253" i="20"/>
  <c r="AB253" i="20"/>
  <c r="T253" i="20"/>
  <c r="L253" i="20"/>
  <c r="AI253" i="20"/>
  <c r="AA253" i="20"/>
  <c r="S253" i="20"/>
  <c r="K253" i="20"/>
  <c r="AH253" i="20"/>
  <c r="Z253" i="20"/>
  <c r="R253" i="20"/>
  <c r="J253" i="20"/>
  <c r="AG253" i="20"/>
  <c r="Y253" i="20"/>
  <c r="Q253" i="20"/>
  <c r="I253" i="20"/>
  <c r="X253" i="20"/>
  <c r="H253" i="20"/>
  <c r="W253" i="20"/>
  <c r="G253" i="20"/>
  <c r="V253" i="20"/>
  <c r="U253" i="20"/>
  <c r="AC253" i="20"/>
  <c r="P253" i="20"/>
  <c r="N253" i="20"/>
  <c r="O253" i="20"/>
  <c r="M253" i="20"/>
  <c r="AF253" i="20"/>
  <c r="AE253" i="20"/>
  <c r="AD253" i="20"/>
  <c r="D27" i="20" l="1"/>
  <c r="F26" i="20"/>
  <c r="F197" i="20"/>
  <c r="D254" i="20"/>
  <c r="E254" i="20" s="1"/>
  <c r="E84" i="20"/>
  <c r="AK226" i="20"/>
  <c r="AL175" i="20"/>
  <c r="AK176" i="20"/>
  <c r="AK199" i="20" s="1"/>
  <c r="AK224" i="20"/>
  <c r="AK228" i="20"/>
  <c r="AK223" i="20"/>
  <c r="AK229" i="20"/>
  <c r="AK230" i="20"/>
  <c r="AK222" i="20"/>
  <c r="AK231" i="20"/>
  <c r="AK221" i="20"/>
  <c r="AK232" i="20"/>
  <c r="AK220" i="20"/>
  <c r="AK219" i="20"/>
  <c r="AK233" i="20"/>
  <c r="AK234" i="20"/>
  <c r="AK218" i="20"/>
  <c r="AK235" i="20"/>
  <c r="AK217" i="20"/>
  <c r="AK216" i="20"/>
  <c r="AK236" i="20"/>
  <c r="AK215" i="20"/>
  <c r="AK237" i="20"/>
  <c r="AK238" i="20"/>
  <c r="AK214" i="20"/>
  <c r="AK239" i="20"/>
  <c r="AK213" i="20"/>
  <c r="AK240" i="20"/>
  <c r="AK212" i="20"/>
  <c r="AK241" i="20"/>
  <c r="AK211" i="20"/>
  <c r="AK242" i="20"/>
  <c r="AK210" i="20"/>
  <c r="AK209" i="20"/>
  <c r="AK243" i="20"/>
  <c r="AK208" i="20"/>
  <c r="AK244" i="20"/>
  <c r="AK207" i="20"/>
  <c r="AK245" i="20"/>
  <c r="AK206" i="20"/>
  <c r="AK246" i="20"/>
  <c r="AK247" i="20"/>
  <c r="AK205" i="20"/>
  <c r="AK248" i="20"/>
  <c r="AK204" i="20"/>
  <c r="AK249" i="20"/>
  <c r="AK203" i="20"/>
  <c r="AK202" i="20"/>
  <c r="AK250" i="20"/>
  <c r="AK251" i="20"/>
  <c r="AK201" i="20"/>
  <c r="AK200" i="20"/>
  <c r="AK252" i="20"/>
  <c r="E28" i="20"/>
  <c r="D198" i="20"/>
  <c r="E198" i="20" s="1"/>
  <c r="AJ224" i="20"/>
  <c r="AG198" i="20"/>
  <c r="Y198" i="20"/>
  <c r="Q198" i="20"/>
  <c r="I198" i="20"/>
  <c r="AF198" i="20"/>
  <c r="X198" i="20"/>
  <c r="P198" i="20"/>
  <c r="H198" i="20"/>
  <c r="AE198" i="20"/>
  <c r="W198" i="20"/>
  <c r="O198" i="20"/>
  <c r="G198" i="20"/>
  <c r="AD198" i="20"/>
  <c r="V198" i="20"/>
  <c r="N198" i="20"/>
  <c r="AC198" i="20"/>
  <c r="M198" i="20"/>
  <c r="AB198" i="20"/>
  <c r="AK198" i="20"/>
  <c r="S198" i="20"/>
  <c r="AA198" i="20"/>
  <c r="AJ198" i="20"/>
  <c r="R198" i="20"/>
  <c r="AI198" i="20"/>
  <c r="L198" i="20"/>
  <c r="J198" i="20"/>
  <c r="Z198" i="20"/>
  <c r="AH198" i="20"/>
  <c r="K198" i="20"/>
  <c r="U198" i="20"/>
  <c r="T198" i="20"/>
  <c r="F255" i="20"/>
  <c r="F86" i="20"/>
  <c r="D85" i="20"/>
  <c r="AJ8" i="21"/>
  <c r="AK7" i="21"/>
  <c r="AK254" i="20"/>
  <c r="AC254" i="20"/>
  <c r="U254" i="20"/>
  <c r="M254" i="20"/>
  <c r="AJ254" i="20"/>
  <c r="AB254" i="20"/>
  <c r="T254" i="20"/>
  <c r="L254" i="20"/>
  <c r="AI254" i="20"/>
  <c r="AA254" i="20"/>
  <c r="S254" i="20"/>
  <c r="K254" i="20"/>
  <c r="AH254" i="20"/>
  <c r="Z254" i="20"/>
  <c r="R254" i="20"/>
  <c r="J254" i="20"/>
  <c r="AG254" i="20"/>
  <c r="Q254" i="20"/>
  <c r="AF254" i="20"/>
  <c r="P254" i="20"/>
  <c r="AE254" i="20"/>
  <c r="O254" i="20"/>
  <c r="AD254" i="20"/>
  <c r="N254" i="20"/>
  <c r="V254" i="20"/>
  <c r="I254" i="20"/>
  <c r="G254" i="20"/>
  <c r="Y254" i="20"/>
  <c r="H254" i="20"/>
  <c r="X254" i="20"/>
  <c r="W254" i="20"/>
  <c r="AJ200" i="20"/>
  <c r="D255" i="20" l="1"/>
  <c r="E255" i="20" s="1"/>
  <c r="E85" i="20"/>
  <c r="AF197" i="20"/>
  <c r="X197" i="20"/>
  <c r="P197" i="20"/>
  <c r="H197" i="20"/>
  <c r="AE197" i="20"/>
  <c r="W197" i="20"/>
  <c r="O197" i="20"/>
  <c r="G197" i="20"/>
  <c r="AL197" i="20"/>
  <c r="AD197" i="20"/>
  <c r="V197" i="20"/>
  <c r="N197" i="20"/>
  <c r="AK197" i="20"/>
  <c r="AC197" i="20"/>
  <c r="U197" i="20"/>
  <c r="M197" i="20"/>
  <c r="Y197" i="20"/>
  <c r="I197" i="20"/>
  <c r="AG197" i="20"/>
  <c r="AB197" i="20"/>
  <c r="AA197" i="20"/>
  <c r="J197" i="20"/>
  <c r="AJ197" i="20"/>
  <c r="T197" i="20"/>
  <c r="L197" i="20"/>
  <c r="K197" i="20"/>
  <c r="Z197" i="20"/>
  <c r="AI197" i="20"/>
  <c r="S197" i="20"/>
  <c r="Q197" i="20"/>
  <c r="AH197" i="20"/>
  <c r="R197" i="20"/>
  <c r="AK225" i="20"/>
  <c r="F196" i="20"/>
  <c r="D26" i="20"/>
  <c r="F25" i="20"/>
  <c r="AK227" i="20"/>
  <c r="D197" i="20"/>
  <c r="E197" i="20" s="1"/>
  <c r="E27" i="20"/>
  <c r="AL7" i="21"/>
  <c r="AK8" i="21"/>
  <c r="AK253" i="20"/>
  <c r="F256" i="20"/>
  <c r="D86" i="20"/>
  <c r="F87" i="20"/>
  <c r="AD255" i="20"/>
  <c r="V255" i="20"/>
  <c r="N255" i="20"/>
  <c r="AK255" i="20"/>
  <c r="AC255" i="20"/>
  <c r="U255" i="20"/>
  <c r="M255" i="20"/>
  <c r="AJ255" i="20"/>
  <c r="AB255" i="20"/>
  <c r="T255" i="20"/>
  <c r="L255" i="20"/>
  <c r="AI255" i="20"/>
  <c r="AA255" i="20"/>
  <c r="S255" i="20"/>
  <c r="K255" i="20"/>
  <c r="Z255" i="20"/>
  <c r="J255" i="20"/>
  <c r="Y255" i="20"/>
  <c r="I255" i="20"/>
  <c r="X255" i="20"/>
  <c r="H255" i="20"/>
  <c r="W255" i="20"/>
  <c r="G255" i="20"/>
  <c r="O255" i="20"/>
  <c r="AH255" i="20"/>
  <c r="AF255" i="20"/>
  <c r="AG255" i="20"/>
  <c r="R255" i="20"/>
  <c r="Q255" i="20"/>
  <c r="AE255" i="20"/>
  <c r="P255" i="20"/>
  <c r="AM175" i="20"/>
  <c r="AL176" i="20"/>
  <c r="AL227" i="20" s="1"/>
  <c r="AL224" i="20"/>
  <c r="AL228" i="20"/>
  <c r="AL229" i="20"/>
  <c r="AL223" i="20"/>
  <c r="AL230" i="20"/>
  <c r="AL232" i="20"/>
  <c r="AL220" i="20"/>
  <c r="AL219" i="20"/>
  <c r="AL233" i="20"/>
  <c r="AL234" i="20"/>
  <c r="AL216" i="20"/>
  <c r="AL236" i="20"/>
  <c r="AL215" i="20"/>
  <c r="AL237" i="20"/>
  <c r="AL214" i="20"/>
  <c r="AL240" i="20"/>
  <c r="AL212" i="20"/>
  <c r="AL211" i="20"/>
  <c r="AL241" i="20"/>
  <c r="AL242" i="20"/>
  <c r="AL208" i="20"/>
  <c r="AL244" i="20"/>
  <c r="AL245" i="20"/>
  <c r="AL207" i="20"/>
  <c r="AL246" i="20"/>
  <c r="AL248" i="20"/>
  <c r="AL204" i="20"/>
  <c r="AL203" i="20"/>
  <c r="AL249" i="20"/>
  <c r="AL250" i="20"/>
  <c r="AL200" i="20"/>
  <c r="AL252" i="20"/>
  <c r="AL199" i="20"/>
  <c r="AL253" i="20"/>
  <c r="AE196" i="20" l="1"/>
  <c r="W196" i="20"/>
  <c r="O196" i="20"/>
  <c r="G196" i="20"/>
  <c r="AL196" i="20"/>
  <c r="AD196" i="20"/>
  <c r="V196" i="20"/>
  <c r="N196" i="20"/>
  <c r="AK196" i="20"/>
  <c r="AC196" i="20"/>
  <c r="U196" i="20"/>
  <c r="M196" i="20"/>
  <c r="AJ196" i="20"/>
  <c r="AB196" i="20"/>
  <c r="T196" i="20"/>
  <c r="L196" i="20"/>
  <c r="AF196" i="20"/>
  <c r="P196" i="20"/>
  <c r="S196" i="20"/>
  <c r="AG196" i="20"/>
  <c r="AA196" i="20"/>
  <c r="K196" i="20"/>
  <c r="AH196" i="20"/>
  <c r="Z196" i="20"/>
  <c r="J196" i="20"/>
  <c r="X196" i="20"/>
  <c r="Q196" i="20"/>
  <c r="Y196" i="20"/>
  <c r="I196" i="20"/>
  <c r="H196" i="20"/>
  <c r="AI196" i="20"/>
  <c r="R196" i="20"/>
  <c r="AM7" i="21"/>
  <c r="AL8" i="21"/>
  <c r="AL251" i="20"/>
  <c r="AL247" i="20"/>
  <c r="AL209" i="20"/>
  <c r="AL213" i="20"/>
  <c r="AL217" i="20"/>
  <c r="AL221" i="20"/>
  <c r="AL225" i="20"/>
  <c r="AL255" i="20"/>
  <c r="AL201" i="20"/>
  <c r="AL205" i="20"/>
  <c r="AL243" i="20"/>
  <c r="AL239" i="20"/>
  <c r="AL235" i="20"/>
  <c r="AL231" i="20"/>
  <c r="AL226" i="20"/>
  <c r="F257" i="20"/>
  <c r="F88" i="20"/>
  <c r="D87" i="20"/>
  <c r="AN175" i="20"/>
  <c r="AM176" i="20"/>
  <c r="AM255" i="20" s="1"/>
  <c r="AM225" i="20"/>
  <c r="AM226" i="20"/>
  <c r="AM228" i="20"/>
  <c r="AM224" i="20"/>
  <c r="AM229" i="20"/>
  <c r="AM223" i="20"/>
  <c r="AM222" i="20"/>
  <c r="AM231" i="20"/>
  <c r="AM221" i="20"/>
  <c r="AM232" i="20"/>
  <c r="AM220" i="20"/>
  <c r="AM219" i="20"/>
  <c r="AM233" i="20"/>
  <c r="AM218" i="20"/>
  <c r="AM234" i="20"/>
  <c r="AM217" i="20"/>
  <c r="AM235" i="20"/>
  <c r="AM216" i="20"/>
  <c r="AM236" i="20"/>
  <c r="AM237" i="20"/>
  <c r="AM215" i="20"/>
  <c r="AM238" i="20"/>
  <c r="AM214" i="20"/>
  <c r="AM239" i="20"/>
  <c r="AM213" i="20"/>
  <c r="AM212" i="20"/>
  <c r="AM240" i="20"/>
  <c r="AM241" i="20"/>
  <c r="AM211" i="20"/>
  <c r="AM242" i="20"/>
  <c r="AM210" i="20"/>
  <c r="AM243" i="20"/>
  <c r="AM209" i="20"/>
  <c r="AM208" i="20"/>
  <c r="AM244" i="20"/>
  <c r="AM245" i="20"/>
  <c r="AM207" i="20"/>
  <c r="AM206" i="20"/>
  <c r="AM246" i="20"/>
  <c r="AM205" i="20"/>
  <c r="AM247" i="20"/>
  <c r="AM204" i="20"/>
  <c r="AM248" i="20"/>
  <c r="AM203" i="20"/>
  <c r="AM249" i="20"/>
  <c r="AM250" i="20"/>
  <c r="AM202" i="20"/>
  <c r="AM251" i="20"/>
  <c r="AM201" i="20"/>
  <c r="AM252" i="20"/>
  <c r="AM200" i="20"/>
  <c r="AM199" i="20"/>
  <c r="AM253" i="20"/>
  <c r="AM254" i="20"/>
  <c r="AM198" i="20"/>
  <c r="AM197" i="20"/>
  <c r="AL202" i="20"/>
  <c r="AL206" i="20"/>
  <c r="AL210" i="20"/>
  <c r="AL238" i="20"/>
  <c r="AL218" i="20"/>
  <c r="AL222" i="20"/>
  <c r="D256" i="20"/>
  <c r="E256" i="20" s="1"/>
  <c r="E86" i="20"/>
  <c r="F195" i="20"/>
  <c r="F24" i="20"/>
  <c r="D25" i="20"/>
  <c r="AL198" i="20"/>
  <c r="AL254" i="20"/>
  <c r="AM256" i="20"/>
  <c r="AE256" i="20"/>
  <c r="W256" i="20"/>
  <c r="O256" i="20"/>
  <c r="G256" i="20"/>
  <c r="AL256" i="20"/>
  <c r="AD256" i="20"/>
  <c r="V256" i="20"/>
  <c r="N256" i="20"/>
  <c r="AK256" i="20"/>
  <c r="AC256" i="20"/>
  <c r="U256" i="20"/>
  <c r="M256" i="20"/>
  <c r="AJ256" i="20"/>
  <c r="AB256" i="20"/>
  <c r="T256" i="20"/>
  <c r="L256" i="20"/>
  <c r="AI256" i="20"/>
  <c r="S256" i="20"/>
  <c r="AH256" i="20"/>
  <c r="R256" i="20"/>
  <c r="AG256" i="20"/>
  <c r="Q256" i="20"/>
  <c r="AF256" i="20"/>
  <c r="P256" i="20"/>
  <c r="H256" i="20"/>
  <c r="AA256" i="20"/>
  <c r="Y256" i="20"/>
  <c r="Z256" i="20"/>
  <c r="X256" i="20"/>
  <c r="J256" i="20"/>
  <c r="I256" i="20"/>
  <c r="K256" i="20"/>
  <c r="E26" i="20"/>
  <c r="D196" i="20"/>
  <c r="E196" i="20" s="1"/>
  <c r="D195" i="20" l="1"/>
  <c r="E195" i="20" s="1"/>
  <c r="E25" i="20"/>
  <c r="AM8" i="21"/>
  <c r="AN7" i="21"/>
  <c r="AM230" i="20"/>
  <c r="AM227" i="20"/>
  <c r="F258" i="20"/>
  <c r="F89" i="20"/>
  <c r="D88" i="20"/>
  <c r="AO175" i="20"/>
  <c r="AN176" i="20"/>
  <c r="AN227" i="20"/>
  <c r="AN226" i="20"/>
  <c r="AN225" i="20"/>
  <c r="AN228" i="20"/>
  <c r="AN224" i="20"/>
  <c r="AN229" i="20"/>
  <c r="AN230" i="20"/>
  <c r="AN222" i="20"/>
  <c r="AN231" i="20"/>
  <c r="AN221" i="20"/>
  <c r="AN232" i="20"/>
  <c r="AN220" i="20"/>
  <c r="AN233" i="20"/>
  <c r="AN234" i="20"/>
  <c r="AN218" i="20"/>
  <c r="AN217" i="20"/>
  <c r="AN235" i="20"/>
  <c r="AN216" i="20"/>
  <c r="AN236" i="20"/>
  <c r="AN215" i="20"/>
  <c r="AN214" i="20"/>
  <c r="AN238" i="20"/>
  <c r="AN213" i="20"/>
  <c r="AN239" i="20"/>
  <c r="AN240" i="20"/>
  <c r="AN212" i="20"/>
  <c r="AN241" i="20"/>
  <c r="AN210" i="20"/>
  <c r="AN242" i="20"/>
  <c r="AN209" i="20"/>
  <c r="AN243" i="20"/>
  <c r="AN208" i="20"/>
  <c r="AN244" i="20"/>
  <c r="AN207" i="20"/>
  <c r="AN206" i="20"/>
  <c r="AN246" i="20"/>
  <c r="AN205" i="20"/>
  <c r="AN247" i="20"/>
  <c r="AN248" i="20"/>
  <c r="AN204" i="20"/>
  <c r="AN203" i="20"/>
  <c r="AN250" i="20"/>
  <c r="AN202" i="20"/>
  <c r="AN201" i="20"/>
  <c r="AN251" i="20"/>
  <c r="AN200" i="20"/>
  <c r="AN252" i="20"/>
  <c r="AN199" i="20"/>
  <c r="AN254" i="20"/>
  <c r="AN198" i="20"/>
  <c r="AN255" i="20"/>
  <c r="AN197" i="20"/>
  <c r="AM196" i="20"/>
  <c r="D24" i="20"/>
  <c r="F23" i="20"/>
  <c r="F194" i="20"/>
  <c r="AI257" i="20"/>
  <c r="AA257" i="20"/>
  <c r="S257" i="20"/>
  <c r="K257" i="20"/>
  <c r="AH257" i="20"/>
  <c r="Z257" i="20"/>
  <c r="R257" i="20"/>
  <c r="AG257" i="20"/>
  <c r="Y257" i="20"/>
  <c r="Q257" i="20"/>
  <c r="AN257" i="20"/>
  <c r="AF257" i="20"/>
  <c r="X257" i="20"/>
  <c r="P257" i="20"/>
  <c r="H257" i="20"/>
  <c r="AM257" i="20"/>
  <c r="W257" i="20"/>
  <c r="J257" i="20"/>
  <c r="AL257" i="20"/>
  <c r="V257" i="20"/>
  <c r="I257" i="20"/>
  <c r="AK257" i="20"/>
  <c r="U257" i="20"/>
  <c r="G257" i="20"/>
  <c r="AJ257" i="20"/>
  <c r="T257" i="20"/>
  <c r="O257" i="20"/>
  <c r="N257" i="20"/>
  <c r="M257" i="20"/>
  <c r="L257" i="20"/>
  <c r="AE257" i="20"/>
  <c r="AC257" i="20"/>
  <c r="AB257" i="20"/>
  <c r="AD257" i="20"/>
  <c r="AL195" i="20"/>
  <c r="AD195" i="20"/>
  <c r="V195" i="20"/>
  <c r="N195" i="20"/>
  <c r="AK195" i="20"/>
  <c r="AC195" i="20"/>
  <c r="U195" i="20"/>
  <c r="M195" i="20"/>
  <c r="AJ195" i="20"/>
  <c r="AB195" i="20"/>
  <c r="T195" i="20"/>
  <c r="L195" i="20"/>
  <c r="AI195" i="20"/>
  <c r="AA195" i="20"/>
  <c r="S195" i="20"/>
  <c r="K195" i="20"/>
  <c r="AM195" i="20"/>
  <c r="W195" i="20"/>
  <c r="G195" i="20"/>
  <c r="O195" i="20"/>
  <c r="I195" i="20"/>
  <c r="H195" i="20"/>
  <c r="AH195" i="20"/>
  <c r="R195" i="20"/>
  <c r="J195" i="20"/>
  <c r="Y195" i="20"/>
  <c r="AG195" i="20"/>
  <c r="Q195" i="20"/>
  <c r="AE195" i="20"/>
  <c r="Z195" i="20"/>
  <c r="AN195" i="20"/>
  <c r="AF195" i="20"/>
  <c r="P195" i="20"/>
  <c r="X195" i="20"/>
  <c r="D257" i="20"/>
  <c r="E257" i="20" s="1"/>
  <c r="E87" i="20"/>
  <c r="F259" i="20" l="1"/>
  <c r="D89" i="20"/>
  <c r="F90" i="20"/>
  <c r="AN8" i="21"/>
  <c r="AO7" i="21"/>
  <c r="E24" i="20"/>
  <c r="D194" i="20"/>
  <c r="E194" i="20" s="1"/>
  <c r="AJ258" i="20"/>
  <c r="AB258" i="20"/>
  <c r="T258" i="20"/>
  <c r="L258" i="20"/>
  <c r="AI258" i="20"/>
  <c r="AA258" i="20"/>
  <c r="S258" i="20"/>
  <c r="K258" i="20"/>
  <c r="AH258" i="20"/>
  <c r="Z258" i="20"/>
  <c r="R258" i="20"/>
  <c r="J258" i="20"/>
  <c r="AO258" i="20"/>
  <c r="AG258" i="20"/>
  <c r="Y258" i="20"/>
  <c r="Q258" i="20"/>
  <c r="I258" i="20"/>
  <c r="AF258" i="20"/>
  <c r="P258" i="20"/>
  <c r="AE258" i="20"/>
  <c r="O258" i="20"/>
  <c r="AD258" i="20"/>
  <c r="N258" i="20"/>
  <c r="AC258" i="20"/>
  <c r="M258" i="20"/>
  <c r="AN258" i="20"/>
  <c r="H258" i="20"/>
  <c r="AM258" i="20"/>
  <c r="G258" i="20"/>
  <c r="AL258" i="20"/>
  <c r="AK258" i="20"/>
  <c r="U258" i="20"/>
  <c r="W258" i="20"/>
  <c r="V258" i="20"/>
  <c r="X258" i="20"/>
  <c r="AN256" i="20"/>
  <c r="AN196" i="20"/>
  <c r="AK194" i="20"/>
  <c r="AC194" i="20"/>
  <c r="U194" i="20"/>
  <c r="M194" i="20"/>
  <c r="AJ194" i="20"/>
  <c r="AB194" i="20"/>
  <c r="T194" i="20"/>
  <c r="L194" i="20"/>
  <c r="AI194" i="20"/>
  <c r="AA194" i="20"/>
  <c r="S194" i="20"/>
  <c r="K194" i="20"/>
  <c r="AH194" i="20"/>
  <c r="Z194" i="20"/>
  <c r="R194" i="20"/>
  <c r="J194" i="20"/>
  <c r="AD194" i="20"/>
  <c r="N194" i="20"/>
  <c r="V194" i="20"/>
  <c r="P194" i="20"/>
  <c r="Y194" i="20"/>
  <c r="I194" i="20"/>
  <c r="AG194" i="20"/>
  <c r="AN194" i="20"/>
  <c r="X194" i="20"/>
  <c r="H194" i="20"/>
  <c r="AL194" i="20"/>
  <c r="Q194" i="20"/>
  <c r="AM194" i="20"/>
  <c r="W194" i="20"/>
  <c r="G194" i="20"/>
  <c r="AF194" i="20"/>
  <c r="AE194" i="20"/>
  <c r="O194" i="20"/>
  <c r="AN253" i="20"/>
  <c r="AN249" i="20"/>
  <c r="AN245" i="20"/>
  <c r="AN211" i="20"/>
  <c r="AN237" i="20"/>
  <c r="AN219" i="20"/>
  <c r="AN223" i="20"/>
  <c r="AO176" i="20"/>
  <c r="AO222" i="20" s="1"/>
  <c r="AO225" i="20"/>
  <c r="AP175" i="20"/>
  <c r="AO226" i="20"/>
  <c r="AO227" i="20"/>
  <c r="AO228" i="20"/>
  <c r="AO224" i="20"/>
  <c r="AO229" i="20"/>
  <c r="AO223" i="20"/>
  <c r="AO230" i="20"/>
  <c r="AO231" i="20"/>
  <c r="AO221" i="20"/>
  <c r="AO220" i="20"/>
  <c r="AO232" i="20"/>
  <c r="AO219" i="20"/>
  <c r="AO233" i="20"/>
  <c r="AO218" i="20"/>
  <c r="AO217" i="20"/>
  <c r="AO235" i="20"/>
  <c r="AO236" i="20"/>
  <c r="AO216" i="20"/>
  <c r="AO237" i="20"/>
  <c r="AO215" i="20"/>
  <c r="AO238" i="20"/>
  <c r="AO239" i="20"/>
  <c r="AO213" i="20"/>
  <c r="AO212" i="20"/>
  <c r="AO240" i="20"/>
  <c r="AO241" i="20"/>
  <c r="AO211" i="20"/>
  <c r="AO210" i="20"/>
  <c r="AO209" i="20"/>
  <c r="AO243" i="20"/>
  <c r="AO208" i="20"/>
  <c r="AO244" i="20"/>
  <c r="AO207" i="20"/>
  <c r="AO245" i="20"/>
  <c r="AO206" i="20"/>
  <c r="AO247" i="20"/>
  <c r="AO205" i="20"/>
  <c r="AO248" i="20"/>
  <c r="AO204" i="20"/>
  <c r="AO249" i="20"/>
  <c r="AO203" i="20"/>
  <c r="AO202" i="20"/>
  <c r="AO251" i="20"/>
  <c r="AO201" i="20"/>
  <c r="AO200" i="20"/>
  <c r="AO252" i="20"/>
  <c r="AO199" i="20"/>
  <c r="AO253" i="20"/>
  <c r="AO198" i="20"/>
  <c r="AO197" i="20"/>
  <c r="AO255" i="20"/>
  <c r="AO256" i="20"/>
  <c r="AO196" i="20"/>
  <c r="D23" i="20"/>
  <c r="F22" i="20"/>
  <c r="F193" i="20"/>
  <c r="D258" i="20"/>
  <c r="E258" i="20" s="1"/>
  <c r="E88" i="20"/>
  <c r="AO8" i="21" l="1"/>
  <c r="AP7" i="21"/>
  <c r="AO254" i="20"/>
  <c r="AO250" i="20"/>
  <c r="AO246" i="20"/>
  <c r="AO242" i="20"/>
  <c r="AO214" i="20"/>
  <c r="AO234" i="20"/>
  <c r="AP176" i="20"/>
  <c r="AP230" i="20" s="1"/>
  <c r="AQ175" i="20"/>
  <c r="AP227" i="20"/>
  <c r="AP224" i="20"/>
  <c r="AP228" i="20"/>
  <c r="AP223" i="20"/>
  <c r="AP229" i="20"/>
  <c r="AP231" i="20"/>
  <c r="AP232" i="20"/>
  <c r="AP220" i="20"/>
  <c r="AP219" i="20"/>
  <c r="AP233" i="20"/>
  <c r="AP217" i="20"/>
  <c r="AP216" i="20"/>
  <c r="AP236" i="20"/>
  <c r="AP215" i="20"/>
  <c r="AP237" i="20"/>
  <c r="AP213" i="20"/>
  <c r="AP212" i="20"/>
  <c r="AP240" i="20"/>
  <c r="AP211" i="20"/>
  <c r="AP241" i="20"/>
  <c r="AP243" i="20"/>
  <c r="AP209" i="20"/>
  <c r="AP244" i="20"/>
  <c r="AP208" i="20"/>
  <c r="AP207" i="20"/>
  <c r="AP245" i="20"/>
  <c r="AP247" i="20"/>
  <c r="AP205" i="20"/>
  <c r="AP204" i="20"/>
  <c r="AP248" i="20"/>
  <c r="AP203" i="20"/>
  <c r="AP249" i="20"/>
  <c r="AP250" i="20"/>
  <c r="AP201" i="20"/>
  <c r="AP251" i="20"/>
  <c r="AP200" i="20"/>
  <c r="AP252" i="20"/>
  <c r="AP253" i="20"/>
  <c r="AP199" i="20"/>
  <c r="AP254" i="20"/>
  <c r="AP197" i="20"/>
  <c r="AP255" i="20"/>
  <c r="AP196" i="20"/>
  <c r="AP256" i="20"/>
  <c r="AP195" i="20"/>
  <c r="AP257" i="20"/>
  <c r="F260" i="20"/>
  <c r="F91" i="20"/>
  <c r="D90" i="20"/>
  <c r="D259" i="20"/>
  <c r="E259" i="20" s="1"/>
  <c r="E89" i="20"/>
  <c r="D193" i="20"/>
  <c r="E193" i="20" s="1"/>
  <c r="E23" i="20"/>
  <c r="AJ193" i="20"/>
  <c r="AB193" i="20"/>
  <c r="T193" i="20"/>
  <c r="L193" i="20"/>
  <c r="AI193" i="20"/>
  <c r="AA193" i="20"/>
  <c r="S193" i="20"/>
  <c r="K193" i="20"/>
  <c r="AP193" i="20"/>
  <c r="AH193" i="20"/>
  <c r="Z193" i="20"/>
  <c r="R193" i="20"/>
  <c r="J193" i="20"/>
  <c r="AO193" i="20"/>
  <c r="AG193" i="20"/>
  <c r="Y193" i="20"/>
  <c r="Q193" i="20"/>
  <c r="I193" i="20"/>
  <c r="AK193" i="20"/>
  <c r="U193" i="20"/>
  <c r="W193" i="20"/>
  <c r="AL193" i="20"/>
  <c r="AF193" i="20"/>
  <c r="P193" i="20"/>
  <c r="AC193" i="20"/>
  <c r="AN193" i="20"/>
  <c r="AM193" i="20"/>
  <c r="AE193" i="20"/>
  <c r="O193" i="20"/>
  <c r="M193" i="20"/>
  <c r="X193" i="20"/>
  <c r="V193" i="20"/>
  <c r="AD193" i="20"/>
  <c r="N193" i="20"/>
  <c r="H193" i="20"/>
  <c r="G193" i="20"/>
  <c r="F21" i="20"/>
  <c r="D22" i="20"/>
  <c r="F192" i="20"/>
  <c r="AO195" i="20"/>
  <c r="AO257" i="20"/>
  <c r="AO194" i="20"/>
  <c r="AK259" i="20"/>
  <c r="AC259" i="20"/>
  <c r="U259" i="20"/>
  <c r="M259" i="20"/>
  <c r="AJ259" i="20"/>
  <c r="AB259" i="20"/>
  <c r="T259" i="20"/>
  <c r="L259" i="20"/>
  <c r="AI259" i="20"/>
  <c r="AA259" i="20"/>
  <c r="S259" i="20"/>
  <c r="K259" i="20"/>
  <c r="AP259" i="20"/>
  <c r="AH259" i="20"/>
  <c r="Z259" i="20"/>
  <c r="R259" i="20"/>
  <c r="J259" i="20"/>
  <c r="AO259" i="20"/>
  <c r="Y259" i="20"/>
  <c r="I259" i="20"/>
  <c r="AN259" i="20"/>
  <c r="X259" i="20"/>
  <c r="H259" i="20"/>
  <c r="AM259" i="20"/>
  <c r="W259" i="20"/>
  <c r="G259" i="20"/>
  <c r="AL259" i="20"/>
  <c r="V259" i="20"/>
  <c r="AG259" i="20"/>
  <c r="AF259" i="20"/>
  <c r="AE259" i="20"/>
  <c r="AD259" i="20"/>
  <c r="Q259" i="20"/>
  <c r="O259" i="20"/>
  <c r="P259" i="20"/>
  <c r="N259" i="20"/>
  <c r="AQ192" i="20" l="1"/>
  <c r="AI192" i="20"/>
  <c r="AA192" i="20"/>
  <c r="S192" i="20"/>
  <c r="K192" i="20"/>
  <c r="AP192" i="20"/>
  <c r="AH192" i="20"/>
  <c r="Z192" i="20"/>
  <c r="R192" i="20"/>
  <c r="J192" i="20"/>
  <c r="AO192" i="20"/>
  <c r="AG192" i="20"/>
  <c r="Y192" i="20"/>
  <c r="Q192" i="20"/>
  <c r="I192" i="20"/>
  <c r="AN192" i="20"/>
  <c r="AF192" i="20"/>
  <c r="X192" i="20"/>
  <c r="P192" i="20"/>
  <c r="H192" i="20"/>
  <c r="AB192" i="20"/>
  <c r="L192" i="20"/>
  <c r="T192" i="20"/>
  <c r="AM192" i="20"/>
  <c r="W192" i="20"/>
  <c r="G192" i="20"/>
  <c r="AE192" i="20"/>
  <c r="N192" i="20"/>
  <c r="AC192" i="20"/>
  <c r="AL192" i="20"/>
  <c r="V192" i="20"/>
  <c r="AJ192" i="20"/>
  <c r="M192" i="20"/>
  <c r="AK192" i="20"/>
  <c r="U192" i="20"/>
  <c r="O192" i="20"/>
  <c r="AD192" i="20"/>
  <c r="D260" i="20"/>
  <c r="E260" i="20" s="1"/>
  <c r="E90" i="20"/>
  <c r="AP239" i="20"/>
  <c r="AP235" i="20"/>
  <c r="AP221" i="20"/>
  <c r="AP225" i="20"/>
  <c r="E22" i="20"/>
  <c r="D192" i="20"/>
  <c r="E192" i="20" s="1"/>
  <c r="F261" i="20"/>
  <c r="D91" i="20"/>
  <c r="F92" i="20"/>
  <c r="AP198" i="20"/>
  <c r="AP202" i="20"/>
  <c r="AP246" i="20"/>
  <c r="AP210" i="20"/>
  <c r="AP238" i="20"/>
  <c r="AP234" i="20"/>
  <c r="AP222" i="20"/>
  <c r="AP226" i="20"/>
  <c r="D21" i="20"/>
  <c r="F20" i="20"/>
  <c r="F191" i="20"/>
  <c r="AL260" i="20"/>
  <c r="AD260" i="20"/>
  <c r="V260" i="20"/>
  <c r="N260" i="20"/>
  <c r="AK260" i="20"/>
  <c r="AC260" i="20"/>
  <c r="U260" i="20"/>
  <c r="M260" i="20"/>
  <c r="AJ260" i="20"/>
  <c r="AB260" i="20"/>
  <c r="T260" i="20"/>
  <c r="L260" i="20"/>
  <c r="AQ260" i="20"/>
  <c r="AI260" i="20"/>
  <c r="AA260" i="20"/>
  <c r="S260" i="20"/>
  <c r="K260" i="20"/>
  <c r="AH260" i="20"/>
  <c r="R260" i="20"/>
  <c r="AG260" i="20"/>
  <c r="Q260" i="20"/>
  <c r="AF260" i="20"/>
  <c r="P260" i="20"/>
  <c r="AE260" i="20"/>
  <c r="O260" i="20"/>
  <c r="Z260" i="20"/>
  <c r="Y260" i="20"/>
  <c r="X260" i="20"/>
  <c r="W260" i="20"/>
  <c r="G260" i="20"/>
  <c r="AP260" i="20"/>
  <c r="AN260" i="20"/>
  <c r="AM260" i="20"/>
  <c r="J260" i="20"/>
  <c r="H260" i="20"/>
  <c r="AO260" i="20"/>
  <c r="I260" i="20"/>
  <c r="AP206" i="20"/>
  <c r="AP242" i="20"/>
  <c r="AP214" i="20"/>
  <c r="AP218" i="20"/>
  <c r="AQ176" i="20"/>
  <c r="AQ226" i="20" s="1"/>
  <c r="AR175" i="20"/>
  <c r="AQ225" i="20"/>
  <c r="AQ227" i="20"/>
  <c r="AQ228" i="20"/>
  <c r="AQ224" i="20"/>
  <c r="AQ229" i="20"/>
  <c r="AQ230" i="20"/>
  <c r="AQ231" i="20"/>
  <c r="AQ221" i="20"/>
  <c r="AQ220" i="20"/>
  <c r="AQ232" i="20"/>
  <c r="AQ219" i="20"/>
  <c r="AQ218" i="20"/>
  <c r="AQ217" i="20"/>
  <c r="AQ235" i="20"/>
  <c r="AQ216" i="20"/>
  <c r="AQ236" i="20"/>
  <c r="AQ215" i="20"/>
  <c r="AQ214" i="20"/>
  <c r="AQ239" i="20"/>
  <c r="AQ213" i="20"/>
  <c r="AQ240" i="20"/>
  <c r="AQ212" i="20"/>
  <c r="AQ211" i="20"/>
  <c r="AQ210" i="20"/>
  <c r="AQ243" i="20"/>
  <c r="AQ209" i="20"/>
  <c r="AQ208" i="20"/>
  <c r="AQ244" i="20"/>
  <c r="AQ245" i="20"/>
  <c r="AQ246" i="20"/>
  <c r="AQ205" i="20"/>
  <c r="AQ247" i="20"/>
  <c r="AQ204" i="20"/>
  <c r="AQ248" i="20"/>
  <c r="AQ203" i="20"/>
  <c r="AQ250" i="20"/>
  <c r="AQ202" i="20"/>
  <c r="AQ201" i="20"/>
  <c r="AQ251" i="20"/>
  <c r="AQ252" i="20"/>
  <c r="AQ200" i="20"/>
  <c r="AQ253" i="20"/>
  <c r="AQ199" i="20"/>
  <c r="AQ198" i="20"/>
  <c r="AQ254" i="20"/>
  <c r="AQ197" i="20"/>
  <c r="AQ255" i="20"/>
  <c r="AQ256" i="20"/>
  <c r="AQ196" i="20"/>
  <c r="AQ257" i="20"/>
  <c r="AQ195" i="20"/>
  <c r="AQ258" i="20"/>
  <c r="AQ194" i="20"/>
  <c r="AP8" i="21"/>
  <c r="AQ7" i="21"/>
  <c r="AP194" i="20"/>
  <c r="AP258" i="20"/>
  <c r="E21" i="20" l="1"/>
  <c r="D191" i="20"/>
  <c r="E191" i="20" s="1"/>
  <c r="AQ8" i="21"/>
  <c r="AR7" i="21"/>
  <c r="AM261" i="20"/>
  <c r="AE261" i="20"/>
  <c r="W261" i="20"/>
  <c r="O261" i="20"/>
  <c r="G261" i="20"/>
  <c r="AL261" i="20"/>
  <c r="AD261" i="20"/>
  <c r="V261" i="20"/>
  <c r="N261" i="20"/>
  <c r="AK261" i="20"/>
  <c r="AC261" i="20"/>
  <c r="U261" i="20"/>
  <c r="M261" i="20"/>
  <c r="AJ261" i="20"/>
  <c r="AB261" i="20"/>
  <c r="T261" i="20"/>
  <c r="L261" i="20"/>
  <c r="AQ261" i="20"/>
  <c r="AA261" i="20"/>
  <c r="K261" i="20"/>
  <c r="AP261" i="20"/>
  <c r="Z261" i="20"/>
  <c r="J261" i="20"/>
  <c r="AO261" i="20"/>
  <c r="Y261" i="20"/>
  <c r="I261" i="20"/>
  <c r="AN261" i="20"/>
  <c r="X261" i="20"/>
  <c r="H261" i="20"/>
  <c r="S261" i="20"/>
  <c r="R261" i="20"/>
  <c r="Q261" i="20"/>
  <c r="P261" i="20"/>
  <c r="AF261" i="20"/>
  <c r="AH261" i="20"/>
  <c r="AG261" i="20"/>
  <c r="AI261" i="20"/>
  <c r="AQ206" i="20"/>
  <c r="AQ242" i="20"/>
  <c r="AQ238" i="20"/>
  <c r="AQ234" i="20"/>
  <c r="AQ222" i="20"/>
  <c r="AR176" i="20"/>
  <c r="AR261" i="20" s="1"/>
  <c r="AS175" i="20"/>
  <c r="AR226" i="20"/>
  <c r="AR230" i="20"/>
  <c r="AR222" i="20"/>
  <c r="AR234" i="20"/>
  <c r="AR218" i="20"/>
  <c r="AR214" i="20"/>
  <c r="AR238" i="20"/>
  <c r="AR242" i="20"/>
  <c r="AR210" i="20"/>
  <c r="AR246" i="20"/>
  <c r="AR206" i="20"/>
  <c r="AR250" i="20"/>
  <c r="AR202" i="20"/>
  <c r="AR198" i="20"/>
  <c r="AR254" i="20"/>
  <c r="AR194" i="20"/>
  <c r="AR258" i="20"/>
  <c r="AQ259" i="20"/>
  <c r="AQ193" i="20"/>
  <c r="F262" i="20"/>
  <c r="D92" i="20"/>
  <c r="F93" i="20"/>
  <c r="D261" i="20"/>
  <c r="E261" i="20" s="1"/>
  <c r="E91" i="20"/>
  <c r="AQ249" i="20"/>
  <c r="AQ207" i="20"/>
  <c r="AQ241" i="20"/>
  <c r="AQ237" i="20"/>
  <c r="AQ233" i="20"/>
  <c r="AQ223" i="20"/>
  <c r="AP191" i="20"/>
  <c r="AH191" i="20"/>
  <c r="Z191" i="20"/>
  <c r="R191" i="20"/>
  <c r="J191" i="20"/>
  <c r="AO191" i="20"/>
  <c r="AG191" i="20"/>
  <c r="Y191" i="20"/>
  <c r="Q191" i="20"/>
  <c r="I191" i="20"/>
  <c r="AN191" i="20"/>
  <c r="AF191" i="20"/>
  <c r="X191" i="20"/>
  <c r="P191" i="20"/>
  <c r="H191" i="20"/>
  <c r="AM191" i="20"/>
  <c r="AE191" i="20"/>
  <c r="W191" i="20"/>
  <c r="O191" i="20"/>
  <c r="G191" i="20"/>
  <c r="AI191" i="20"/>
  <c r="S191" i="20"/>
  <c r="AQ191" i="20"/>
  <c r="AA191" i="20"/>
  <c r="U191" i="20"/>
  <c r="AJ191" i="20"/>
  <c r="AD191" i="20"/>
  <c r="N191" i="20"/>
  <c r="K191" i="20"/>
  <c r="AK191" i="20"/>
  <c r="AC191" i="20"/>
  <c r="M191" i="20"/>
  <c r="V191" i="20"/>
  <c r="AR191" i="20"/>
  <c r="AB191" i="20"/>
  <c r="L191" i="20"/>
  <c r="AL191" i="20"/>
  <c r="T191" i="20"/>
  <c r="F190" i="20"/>
  <c r="D20" i="20"/>
  <c r="F19" i="20"/>
  <c r="D19" i="20" l="1"/>
  <c r="F18" i="20"/>
  <c r="F189" i="20"/>
  <c r="AO190" i="20"/>
  <c r="AG190" i="20"/>
  <c r="Y190" i="20"/>
  <c r="Q190" i="20"/>
  <c r="I190" i="20"/>
  <c r="AN190" i="20"/>
  <c r="AF190" i="20"/>
  <c r="X190" i="20"/>
  <c r="P190" i="20"/>
  <c r="H190" i="20"/>
  <c r="AM190" i="20"/>
  <c r="AE190" i="20"/>
  <c r="W190" i="20"/>
  <c r="O190" i="20"/>
  <c r="G190" i="20"/>
  <c r="AL190" i="20"/>
  <c r="AD190" i="20"/>
  <c r="V190" i="20"/>
  <c r="N190" i="20"/>
  <c r="AP190" i="20"/>
  <c r="Z190" i="20"/>
  <c r="J190" i="20"/>
  <c r="AB190" i="20"/>
  <c r="K190" i="20"/>
  <c r="AK190" i="20"/>
  <c r="U190" i="20"/>
  <c r="R190" i="20"/>
  <c r="L190" i="20"/>
  <c r="AJ190" i="20"/>
  <c r="T190" i="20"/>
  <c r="AH190" i="20"/>
  <c r="M190" i="20"/>
  <c r="AQ190" i="20"/>
  <c r="AI190" i="20"/>
  <c r="S190" i="20"/>
  <c r="AC190" i="20"/>
  <c r="AR190" i="20"/>
  <c r="AA190" i="20"/>
  <c r="AR192" i="20"/>
  <c r="AR207" i="20"/>
  <c r="AR229" i="20"/>
  <c r="AR256" i="20"/>
  <c r="AR252" i="20"/>
  <c r="AR248" i="20"/>
  <c r="AR208" i="20"/>
  <c r="AR212" i="20"/>
  <c r="AR216" i="20"/>
  <c r="AR232" i="20"/>
  <c r="AR228" i="20"/>
  <c r="AR8" i="21"/>
  <c r="AS7" i="21"/>
  <c r="F263" i="20"/>
  <c r="F94" i="20"/>
  <c r="D93" i="20"/>
  <c r="AR203" i="20"/>
  <c r="AR219" i="20"/>
  <c r="AR249" i="20"/>
  <c r="AR196" i="20"/>
  <c r="AR200" i="20"/>
  <c r="AR204" i="20"/>
  <c r="AR244" i="20"/>
  <c r="AR240" i="20"/>
  <c r="AR236" i="20"/>
  <c r="AR220" i="20"/>
  <c r="AR224" i="20"/>
  <c r="D262" i="20"/>
  <c r="E262" i="20" s="1"/>
  <c r="E92" i="20"/>
  <c r="AN262" i="20"/>
  <c r="AF262" i="20"/>
  <c r="X262" i="20"/>
  <c r="P262" i="20"/>
  <c r="H262" i="20"/>
  <c r="AM262" i="20"/>
  <c r="AE262" i="20"/>
  <c r="W262" i="20"/>
  <c r="O262" i="20"/>
  <c r="G262" i="20"/>
  <c r="AL262" i="20"/>
  <c r="AD262" i="20"/>
  <c r="V262" i="20"/>
  <c r="N262" i="20"/>
  <c r="AK262" i="20"/>
  <c r="AC262" i="20"/>
  <c r="U262" i="20"/>
  <c r="M262" i="20"/>
  <c r="AJ262" i="20"/>
  <c r="T262" i="20"/>
  <c r="AI262" i="20"/>
  <c r="S262" i="20"/>
  <c r="AH262" i="20"/>
  <c r="R262" i="20"/>
  <c r="AG262" i="20"/>
  <c r="Q262" i="20"/>
  <c r="AR262" i="20"/>
  <c r="L262" i="20"/>
  <c r="AQ262" i="20"/>
  <c r="K262" i="20"/>
  <c r="AP262" i="20"/>
  <c r="J262" i="20"/>
  <c r="AO262" i="20"/>
  <c r="I262" i="20"/>
  <c r="AB262" i="20"/>
  <c r="Z262" i="20"/>
  <c r="AA262" i="20"/>
  <c r="Y262" i="20"/>
  <c r="AR199" i="20"/>
  <c r="AR241" i="20"/>
  <c r="AR223" i="20"/>
  <c r="AR253" i="20"/>
  <c r="AR215" i="20"/>
  <c r="AR193" i="20"/>
  <c r="AR255" i="20"/>
  <c r="AR251" i="20"/>
  <c r="AR247" i="20"/>
  <c r="AR209" i="20"/>
  <c r="AR239" i="20"/>
  <c r="AR217" i="20"/>
  <c r="AR221" i="20"/>
  <c r="AR225" i="20"/>
  <c r="E20" i="20"/>
  <c r="D190" i="20"/>
  <c r="E190" i="20" s="1"/>
  <c r="AT175" i="20"/>
  <c r="AS176" i="20"/>
  <c r="AS191" i="20" s="1"/>
  <c r="AS225" i="20"/>
  <c r="AS227" i="20"/>
  <c r="AS224" i="20"/>
  <c r="AS228" i="20"/>
  <c r="AS223" i="20"/>
  <c r="AS222" i="20"/>
  <c r="AS230" i="20"/>
  <c r="AS221" i="20"/>
  <c r="AS231" i="20"/>
  <c r="AS232" i="20"/>
  <c r="AS220" i="20"/>
  <c r="AS219" i="20"/>
  <c r="AS233" i="20"/>
  <c r="AS218" i="20"/>
  <c r="AS234" i="20"/>
  <c r="AS235" i="20"/>
  <c r="AS217" i="20"/>
  <c r="AS236" i="20"/>
  <c r="AS216" i="20"/>
  <c r="AS237" i="20"/>
  <c r="AS215" i="20"/>
  <c r="AS214" i="20"/>
  <c r="AS238" i="20"/>
  <c r="AS239" i="20"/>
  <c r="AS213" i="20"/>
  <c r="AS240" i="20"/>
  <c r="AS212" i="20"/>
  <c r="AS241" i="20"/>
  <c r="AS211" i="20"/>
  <c r="AS210" i="20"/>
  <c r="AS242" i="20"/>
  <c r="AS209" i="20"/>
  <c r="AS243" i="20"/>
  <c r="AS208" i="20"/>
  <c r="AS244" i="20"/>
  <c r="AS207" i="20"/>
  <c r="AS245" i="20"/>
  <c r="AS206" i="20"/>
  <c r="AS246" i="20"/>
  <c r="AS205" i="20"/>
  <c r="AS247" i="20"/>
  <c r="AS204" i="20"/>
  <c r="AS248" i="20"/>
  <c r="AS249" i="20"/>
  <c r="AS203" i="20"/>
  <c r="AS202" i="20"/>
  <c r="AS250" i="20"/>
  <c r="AS251" i="20"/>
  <c r="AS201" i="20"/>
  <c r="AS252" i="20"/>
  <c r="AS200" i="20"/>
  <c r="AS253" i="20"/>
  <c r="AS199" i="20"/>
  <c r="AS254" i="20"/>
  <c r="AS198" i="20"/>
  <c r="AS197" i="20"/>
  <c r="AS255" i="20"/>
  <c r="AS196" i="20"/>
  <c r="AS256" i="20"/>
  <c r="AS195" i="20"/>
  <c r="AS257" i="20"/>
  <c r="AS194" i="20"/>
  <c r="AS258" i="20"/>
  <c r="AS193" i="20"/>
  <c r="AS259" i="20"/>
  <c r="AS192" i="20"/>
  <c r="AS260" i="20"/>
  <c r="AR195" i="20"/>
  <c r="AR245" i="20"/>
  <c r="AR237" i="20"/>
  <c r="AR257" i="20"/>
  <c r="AR211" i="20"/>
  <c r="AR233" i="20"/>
  <c r="AR260" i="20"/>
  <c r="AR259" i="20"/>
  <c r="AR197" i="20"/>
  <c r="AR201" i="20"/>
  <c r="AR205" i="20"/>
  <c r="AR243" i="20"/>
  <c r="AR213" i="20"/>
  <c r="AR235" i="20"/>
  <c r="AR231" i="20"/>
  <c r="AR227" i="20"/>
  <c r="AS226" i="20" l="1"/>
  <c r="AS190" i="20"/>
  <c r="AN189" i="20"/>
  <c r="AF189" i="20"/>
  <c r="X189" i="20"/>
  <c r="P189" i="20"/>
  <c r="H189" i="20"/>
  <c r="AM189" i="20"/>
  <c r="AE189" i="20"/>
  <c r="W189" i="20"/>
  <c r="O189" i="20"/>
  <c r="G189" i="20"/>
  <c r="AL189" i="20"/>
  <c r="AD189" i="20"/>
  <c r="V189" i="20"/>
  <c r="N189" i="20"/>
  <c r="AS189" i="20"/>
  <c r="AK189" i="20"/>
  <c r="AC189" i="20"/>
  <c r="U189" i="20"/>
  <c r="M189" i="20"/>
  <c r="AG189" i="20"/>
  <c r="Q189" i="20"/>
  <c r="AO189" i="20"/>
  <c r="AI189" i="20"/>
  <c r="AR189" i="20"/>
  <c r="AB189" i="20"/>
  <c r="L189" i="20"/>
  <c r="Y189" i="20"/>
  <c r="S189" i="20"/>
  <c r="AH189" i="20"/>
  <c r="AQ189" i="20"/>
  <c r="AA189" i="20"/>
  <c r="K189" i="20"/>
  <c r="I189" i="20"/>
  <c r="T189" i="20"/>
  <c r="R189" i="20"/>
  <c r="AP189" i="20"/>
  <c r="Z189" i="20"/>
  <c r="J189" i="20"/>
  <c r="AJ189" i="20"/>
  <c r="D263" i="20"/>
  <c r="E263" i="20" s="1"/>
  <c r="E93" i="20"/>
  <c r="AS262" i="20"/>
  <c r="F188" i="20"/>
  <c r="D18" i="20"/>
  <c r="F17" i="20"/>
  <c r="F264" i="20"/>
  <c r="D94" i="20"/>
  <c r="F95" i="20"/>
  <c r="AT7" i="21"/>
  <c r="AS8" i="21"/>
  <c r="AS229" i="20"/>
  <c r="AU175" i="20"/>
  <c r="AT176" i="20"/>
  <c r="AT262" i="20" s="1"/>
  <c r="AT226" i="20"/>
  <c r="AT227" i="20"/>
  <c r="AT225" i="20"/>
  <c r="AT222" i="20"/>
  <c r="AT221" i="20"/>
  <c r="AT231" i="20"/>
  <c r="AT218" i="20"/>
  <c r="AT217" i="20"/>
  <c r="AT235" i="20"/>
  <c r="AT214" i="20"/>
  <c r="AT213" i="20"/>
  <c r="AT239" i="20"/>
  <c r="AT242" i="20"/>
  <c r="AT209" i="20"/>
  <c r="AT243" i="20"/>
  <c r="AT206" i="20"/>
  <c r="AT246" i="20"/>
  <c r="AT205" i="20"/>
  <c r="AT247" i="20"/>
  <c r="AT250" i="20"/>
  <c r="AT202" i="20"/>
  <c r="AT251" i="20"/>
  <c r="AT201" i="20"/>
  <c r="AT254" i="20"/>
  <c r="AT198" i="20"/>
  <c r="AT255" i="20"/>
  <c r="AT197" i="20"/>
  <c r="AT194" i="20"/>
  <c r="AT258" i="20"/>
  <c r="AT193" i="20"/>
  <c r="AT259" i="20"/>
  <c r="E19" i="20"/>
  <c r="D189" i="20"/>
  <c r="E189" i="20" s="1"/>
  <c r="AO263" i="20"/>
  <c r="AG263" i="20"/>
  <c r="Y263" i="20"/>
  <c r="Q263" i="20"/>
  <c r="I263" i="20"/>
  <c r="AN263" i="20"/>
  <c r="AF263" i="20"/>
  <c r="X263" i="20"/>
  <c r="P263" i="20"/>
  <c r="H263" i="20"/>
  <c r="AM263" i="20"/>
  <c r="AE263" i="20"/>
  <c r="W263" i="20"/>
  <c r="O263" i="20"/>
  <c r="G263" i="20"/>
  <c r="AT263" i="20"/>
  <c r="AL263" i="20"/>
  <c r="AD263" i="20"/>
  <c r="V263" i="20"/>
  <c r="N263" i="20"/>
  <c r="AS263" i="20"/>
  <c r="AC263" i="20"/>
  <c r="M263" i="20"/>
  <c r="AR263" i="20"/>
  <c r="AB263" i="20"/>
  <c r="L263" i="20"/>
  <c r="AQ263" i="20"/>
  <c r="AA263" i="20"/>
  <c r="K263" i="20"/>
  <c r="AP263" i="20"/>
  <c r="Z263" i="20"/>
  <c r="J263" i="20"/>
  <c r="AK263" i="20"/>
  <c r="AJ263" i="20"/>
  <c r="AI263" i="20"/>
  <c r="AH263" i="20"/>
  <c r="R263" i="20"/>
  <c r="U263" i="20"/>
  <c r="S263" i="20"/>
  <c r="T263" i="20"/>
  <c r="AS261" i="20"/>
  <c r="AT238" i="20" l="1"/>
  <c r="AT230" i="20"/>
  <c r="AT189" i="20"/>
  <c r="AT191" i="20"/>
  <c r="AT257" i="20"/>
  <c r="AT199" i="20"/>
  <c r="AT249" i="20"/>
  <c r="AT245" i="20"/>
  <c r="AT211" i="20"/>
  <c r="AT237" i="20"/>
  <c r="AT233" i="20"/>
  <c r="AT223" i="20"/>
  <c r="AV175" i="20"/>
  <c r="AU176" i="20"/>
  <c r="AU229" i="20" s="1"/>
  <c r="AU226" i="20"/>
  <c r="AU225" i="20"/>
  <c r="AU230" i="20"/>
  <c r="AU231" i="20"/>
  <c r="AU234" i="20"/>
  <c r="AU235" i="20"/>
  <c r="AU238" i="20"/>
  <c r="AU213" i="20"/>
  <c r="AU210" i="20"/>
  <c r="AU209" i="20"/>
  <c r="AU206" i="20"/>
  <c r="AU205" i="20"/>
  <c r="AU202" i="20"/>
  <c r="AU201" i="20"/>
  <c r="AU198" i="20"/>
  <c r="AU197" i="20"/>
  <c r="AU194" i="20"/>
  <c r="AU259" i="20"/>
  <c r="AU190" i="20"/>
  <c r="E18" i="20"/>
  <c r="D188" i="20"/>
  <c r="E188" i="20" s="1"/>
  <c r="AT261" i="20"/>
  <c r="AT195" i="20"/>
  <c r="AT253" i="20"/>
  <c r="AT203" i="20"/>
  <c r="AT207" i="20"/>
  <c r="AT241" i="20"/>
  <c r="AT215" i="20"/>
  <c r="AT219" i="20"/>
  <c r="AT229" i="20"/>
  <c r="AM188" i="20"/>
  <c r="AE188" i="20"/>
  <c r="W188" i="20"/>
  <c r="O188" i="20"/>
  <c r="G188" i="20"/>
  <c r="AT188" i="20"/>
  <c r="AL188" i="20"/>
  <c r="AD188" i="20"/>
  <c r="V188" i="20"/>
  <c r="N188" i="20"/>
  <c r="AS188" i="20"/>
  <c r="AK188" i="20"/>
  <c r="AC188" i="20"/>
  <c r="U188" i="20"/>
  <c r="M188" i="20"/>
  <c r="AR188" i="20"/>
  <c r="AJ188" i="20"/>
  <c r="AB188" i="20"/>
  <c r="T188" i="20"/>
  <c r="L188" i="20"/>
  <c r="AN188" i="20"/>
  <c r="X188" i="20"/>
  <c r="H188" i="20"/>
  <c r="K188" i="20"/>
  <c r="J188" i="20"/>
  <c r="AO188" i="20"/>
  <c r="AI188" i="20"/>
  <c r="S188" i="20"/>
  <c r="AA188" i="20"/>
  <c r="Z188" i="20"/>
  <c r="AH188" i="20"/>
  <c r="R188" i="20"/>
  <c r="AF188" i="20"/>
  <c r="P188" i="20"/>
  <c r="AQ188" i="20"/>
  <c r="I188" i="20"/>
  <c r="AG188" i="20"/>
  <c r="Q188" i="20"/>
  <c r="AP188" i="20"/>
  <c r="Y188" i="20"/>
  <c r="AP264" i="20"/>
  <c r="AH264" i="20"/>
  <c r="Z264" i="20"/>
  <c r="R264" i="20"/>
  <c r="J264" i="20"/>
  <c r="AO264" i="20"/>
  <c r="AG264" i="20"/>
  <c r="Y264" i="20"/>
  <c r="Q264" i="20"/>
  <c r="I264" i="20"/>
  <c r="AN264" i="20"/>
  <c r="AF264" i="20"/>
  <c r="X264" i="20"/>
  <c r="P264" i="20"/>
  <c r="H264" i="20"/>
  <c r="AM264" i="20"/>
  <c r="AE264" i="20"/>
  <c r="W264" i="20"/>
  <c r="O264" i="20"/>
  <c r="G264" i="20"/>
  <c r="AL264" i="20"/>
  <c r="V264" i="20"/>
  <c r="AK264" i="20"/>
  <c r="U264" i="20"/>
  <c r="AJ264" i="20"/>
  <c r="T264" i="20"/>
  <c r="AI264" i="20"/>
  <c r="S264" i="20"/>
  <c r="AD264" i="20"/>
  <c r="AC264" i="20"/>
  <c r="AB264" i="20"/>
  <c r="AA264" i="20"/>
  <c r="AQ264" i="20"/>
  <c r="N264" i="20"/>
  <c r="L264" i="20"/>
  <c r="AS264" i="20"/>
  <c r="AR264" i="20"/>
  <c r="AT264" i="20"/>
  <c r="M264" i="20"/>
  <c r="K264" i="20"/>
  <c r="AT210" i="20"/>
  <c r="AT234" i="20"/>
  <c r="F187" i="20"/>
  <c r="D17" i="20"/>
  <c r="F16" i="20"/>
  <c r="AT192" i="20"/>
  <c r="AT256" i="20"/>
  <c r="AT252" i="20"/>
  <c r="AT204" i="20"/>
  <c r="AT208" i="20"/>
  <c r="AT212" i="20"/>
  <c r="AT216" i="20"/>
  <c r="AT232" i="20"/>
  <c r="AT224" i="20"/>
  <c r="F96" i="20"/>
  <c r="F265" i="20"/>
  <c r="D95" i="20"/>
  <c r="D264" i="20"/>
  <c r="E264" i="20" s="1"/>
  <c r="E94" i="20"/>
  <c r="AT260" i="20"/>
  <c r="AT196" i="20"/>
  <c r="AT200" i="20"/>
  <c r="AT248" i="20"/>
  <c r="AT244" i="20"/>
  <c r="AT240" i="20"/>
  <c r="AT236" i="20"/>
  <c r="AT220" i="20"/>
  <c r="AT228" i="20"/>
  <c r="AU7" i="21"/>
  <c r="AT8" i="21"/>
  <c r="AT190" i="20"/>
  <c r="AU8" i="21" l="1"/>
  <c r="AV7" i="21"/>
  <c r="D187" i="20"/>
  <c r="E187" i="20" s="1"/>
  <c r="E17" i="20"/>
  <c r="AU258" i="20"/>
  <c r="AU250" i="20"/>
  <c r="AU242" i="20"/>
  <c r="AU218" i="20"/>
  <c r="AT187" i="20"/>
  <c r="AL187" i="20"/>
  <c r="AD187" i="20"/>
  <c r="V187" i="20"/>
  <c r="N187" i="20"/>
  <c r="AS187" i="20"/>
  <c r="AK187" i="20"/>
  <c r="AC187" i="20"/>
  <c r="U187" i="20"/>
  <c r="M187" i="20"/>
  <c r="AR187" i="20"/>
  <c r="AJ187" i="20"/>
  <c r="AB187" i="20"/>
  <c r="T187" i="20"/>
  <c r="L187" i="20"/>
  <c r="AQ187" i="20"/>
  <c r="AI187" i="20"/>
  <c r="AA187" i="20"/>
  <c r="S187" i="20"/>
  <c r="K187" i="20"/>
  <c r="AU187" i="20"/>
  <c r="AE187" i="20"/>
  <c r="O187" i="20"/>
  <c r="G187" i="20"/>
  <c r="Q187" i="20"/>
  <c r="AF187" i="20"/>
  <c r="AP187" i="20"/>
  <c r="Z187" i="20"/>
  <c r="J187" i="20"/>
  <c r="W187" i="20"/>
  <c r="AH187" i="20"/>
  <c r="P187" i="20"/>
  <c r="AO187" i="20"/>
  <c r="Y187" i="20"/>
  <c r="I187" i="20"/>
  <c r="AM187" i="20"/>
  <c r="R187" i="20"/>
  <c r="AV187" i="20"/>
  <c r="AN187" i="20"/>
  <c r="X187" i="20"/>
  <c r="H187" i="20"/>
  <c r="AG187" i="20"/>
  <c r="AU264" i="20"/>
  <c r="AU261" i="20"/>
  <c r="AU257" i="20"/>
  <c r="AU203" i="20"/>
  <c r="AU207" i="20"/>
  <c r="AU211" i="20"/>
  <c r="AU215" i="20"/>
  <c r="AU233" i="20"/>
  <c r="AU191" i="20"/>
  <c r="AU195" i="20"/>
  <c r="AU253" i="20"/>
  <c r="AU249" i="20"/>
  <c r="AU245" i="20"/>
  <c r="AU241" i="20"/>
  <c r="AU237" i="20"/>
  <c r="AU219" i="20"/>
  <c r="D16" i="20"/>
  <c r="F15" i="20"/>
  <c r="F186" i="20"/>
  <c r="AU189" i="20"/>
  <c r="AU263" i="20"/>
  <c r="AU199" i="20"/>
  <c r="D265" i="20"/>
  <c r="E265" i="20" s="1"/>
  <c r="E95" i="20"/>
  <c r="AU260" i="20"/>
  <c r="AU256" i="20"/>
  <c r="AU200" i="20"/>
  <c r="AU248" i="20"/>
  <c r="AU208" i="20"/>
  <c r="AU240" i="20"/>
  <c r="AU216" i="20"/>
  <c r="AU220" i="20"/>
  <c r="AU228" i="20"/>
  <c r="AU262" i="20"/>
  <c r="AU246" i="20"/>
  <c r="AU222" i="20"/>
  <c r="AV176" i="20"/>
  <c r="AV264" i="20" s="1"/>
  <c r="AW175" i="20"/>
  <c r="AV226" i="20"/>
  <c r="AV224" i="20"/>
  <c r="AV228" i="20"/>
  <c r="AV223" i="20"/>
  <c r="AV229" i="20"/>
  <c r="AV221" i="20"/>
  <c r="AV232" i="20"/>
  <c r="AV220" i="20"/>
  <c r="AV233" i="20"/>
  <c r="AV219" i="20"/>
  <c r="AV235" i="20"/>
  <c r="AV216" i="20"/>
  <c r="AV236" i="20"/>
  <c r="AV237" i="20"/>
  <c r="AV215" i="20"/>
  <c r="AV214" i="20"/>
  <c r="AV239" i="20"/>
  <c r="AV212" i="20"/>
  <c r="AV240" i="20"/>
  <c r="AV211" i="20"/>
  <c r="AV241" i="20"/>
  <c r="AV242" i="20"/>
  <c r="AV243" i="20"/>
  <c r="AV244" i="20"/>
  <c r="AV208" i="20"/>
  <c r="AV245" i="20"/>
  <c r="AV207" i="20"/>
  <c r="AV246" i="20"/>
  <c r="AV247" i="20"/>
  <c r="AV248" i="20"/>
  <c r="AV204" i="20"/>
  <c r="AV249" i="20"/>
  <c r="AV203" i="20"/>
  <c r="AV202" i="20"/>
  <c r="AV201" i="20"/>
  <c r="AV200" i="20"/>
  <c r="AV252" i="20"/>
  <c r="AV199" i="20"/>
  <c r="AV253" i="20"/>
  <c r="AV198" i="20"/>
  <c r="AV255" i="20"/>
  <c r="AV197" i="20"/>
  <c r="AV196" i="20"/>
  <c r="AV256" i="20"/>
  <c r="AV257" i="20"/>
  <c r="AV195" i="20"/>
  <c r="AV258" i="20"/>
  <c r="AV194" i="20"/>
  <c r="AV193" i="20"/>
  <c r="AV259" i="20"/>
  <c r="AV192" i="20"/>
  <c r="AV260" i="20"/>
  <c r="AV261" i="20"/>
  <c r="AV191" i="20"/>
  <c r="AV190" i="20"/>
  <c r="AV262" i="20"/>
  <c r="AV189" i="20"/>
  <c r="AV263" i="20"/>
  <c r="AQ265" i="20"/>
  <c r="AI265" i="20"/>
  <c r="AA265" i="20"/>
  <c r="S265" i="20"/>
  <c r="K265" i="20"/>
  <c r="AP265" i="20"/>
  <c r="AH265" i="20"/>
  <c r="Z265" i="20"/>
  <c r="R265" i="20"/>
  <c r="J265" i="20"/>
  <c r="AO265" i="20"/>
  <c r="AG265" i="20"/>
  <c r="Y265" i="20"/>
  <c r="Q265" i="20"/>
  <c r="I265" i="20"/>
  <c r="AV265" i="20"/>
  <c r="AN265" i="20"/>
  <c r="AF265" i="20"/>
  <c r="X265" i="20"/>
  <c r="P265" i="20"/>
  <c r="H265" i="20"/>
  <c r="AU265" i="20"/>
  <c r="AE265" i="20"/>
  <c r="O265" i="20"/>
  <c r="AT265" i="20"/>
  <c r="AD265" i="20"/>
  <c r="N265" i="20"/>
  <c r="AS265" i="20"/>
  <c r="AC265" i="20"/>
  <c r="M265" i="20"/>
  <c r="AR265" i="20"/>
  <c r="AB265" i="20"/>
  <c r="L265" i="20"/>
  <c r="W265" i="20"/>
  <c r="V265" i="20"/>
  <c r="U265" i="20"/>
  <c r="T265" i="20"/>
  <c r="AM265" i="20"/>
  <c r="AK265" i="20"/>
  <c r="G265" i="20"/>
  <c r="AL265" i="20"/>
  <c r="AJ265" i="20"/>
  <c r="AU188" i="20"/>
  <c r="AU192" i="20"/>
  <c r="AU196" i="20"/>
  <c r="AU252" i="20"/>
  <c r="AU204" i="20"/>
  <c r="AU244" i="20"/>
  <c r="AU212" i="20"/>
  <c r="AU236" i="20"/>
  <c r="AU232" i="20"/>
  <c r="AU224" i="20"/>
  <c r="AU254" i="20"/>
  <c r="AU214" i="20"/>
  <c r="AU223" i="20"/>
  <c r="F266" i="20"/>
  <c r="F97" i="20"/>
  <c r="D96" i="20"/>
  <c r="AV188" i="20"/>
  <c r="AU193" i="20"/>
  <c r="AU255" i="20"/>
  <c r="AU251" i="20"/>
  <c r="AU247" i="20"/>
  <c r="AU243" i="20"/>
  <c r="AU239" i="20"/>
  <c r="AU217" i="20"/>
  <c r="AU221" i="20"/>
  <c r="AU227" i="20"/>
  <c r="F14" i="20" l="1"/>
  <c r="D15" i="20"/>
  <c r="F185" i="20"/>
  <c r="AV251" i="20"/>
  <c r="AV205" i="20"/>
  <c r="AV209" i="20"/>
  <c r="AV213" i="20"/>
  <c r="AV217" i="20"/>
  <c r="AV231" i="20"/>
  <c r="AV225" i="20"/>
  <c r="D97" i="20"/>
  <c r="F267" i="20"/>
  <c r="F98" i="20"/>
  <c r="AR266" i="20"/>
  <c r="AJ266" i="20"/>
  <c r="AB266" i="20"/>
  <c r="T266" i="20"/>
  <c r="L266" i="20"/>
  <c r="AQ266" i="20"/>
  <c r="AI266" i="20"/>
  <c r="AA266" i="20"/>
  <c r="S266" i="20"/>
  <c r="K266" i="20"/>
  <c r="AP266" i="20"/>
  <c r="AH266" i="20"/>
  <c r="Z266" i="20"/>
  <c r="R266" i="20"/>
  <c r="J266" i="20"/>
  <c r="AO266" i="20"/>
  <c r="AG266" i="20"/>
  <c r="Y266" i="20"/>
  <c r="Q266" i="20"/>
  <c r="I266" i="20"/>
  <c r="AN266" i="20"/>
  <c r="X266" i="20"/>
  <c r="H266" i="20"/>
  <c r="AM266" i="20"/>
  <c r="W266" i="20"/>
  <c r="G266" i="20"/>
  <c r="AL266" i="20"/>
  <c r="V266" i="20"/>
  <c r="AK266" i="20"/>
  <c r="U266" i="20"/>
  <c r="AV266" i="20"/>
  <c r="P266" i="20"/>
  <c r="AU266" i="20"/>
  <c r="O266" i="20"/>
  <c r="AT266" i="20"/>
  <c r="N266" i="20"/>
  <c r="AS266" i="20"/>
  <c r="M266" i="20"/>
  <c r="AC266" i="20"/>
  <c r="AF266" i="20"/>
  <c r="AD266" i="20"/>
  <c r="AE266" i="20"/>
  <c r="AV218" i="20"/>
  <c r="AV230" i="20"/>
  <c r="AV227" i="20"/>
  <c r="E16" i="20"/>
  <c r="D186" i="20"/>
  <c r="E186" i="20" s="1"/>
  <c r="AV254" i="20"/>
  <c r="AV250" i="20"/>
  <c r="AV206" i="20"/>
  <c r="AV210" i="20"/>
  <c r="AV238" i="20"/>
  <c r="AV234" i="20"/>
  <c r="AV222" i="20"/>
  <c r="AW176" i="20"/>
  <c r="AW228" i="20" s="1"/>
  <c r="AX175" i="20"/>
  <c r="AW227" i="20"/>
  <c r="AW230" i="20"/>
  <c r="AW222" i="20"/>
  <c r="AW233" i="20"/>
  <c r="AW218" i="20"/>
  <c r="AW234" i="20"/>
  <c r="AW215" i="20"/>
  <c r="AW238" i="20"/>
  <c r="AW214" i="20"/>
  <c r="AW241" i="20"/>
  <c r="AW242" i="20"/>
  <c r="AW210" i="20"/>
  <c r="AW207" i="20"/>
  <c r="AW246" i="20"/>
  <c r="AW206" i="20"/>
  <c r="AW249" i="20"/>
  <c r="AW202" i="20"/>
  <c r="AW250" i="20"/>
  <c r="AW199" i="20"/>
  <c r="AW198" i="20"/>
  <c r="AW254" i="20"/>
  <c r="AW195" i="20"/>
  <c r="AW194" i="20"/>
  <c r="AW258" i="20"/>
  <c r="AW191" i="20"/>
  <c r="AW190" i="20"/>
  <c r="AW262" i="20"/>
  <c r="AV8" i="21"/>
  <c r="AW7" i="21"/>
  <c r="AS186" i="20"/>
  <c r="AK186" i="20"/>
  <c r="AC186" i="20"/>
  <c r="U186" i="20"/>
  <c r="M186" i="20"/>
  <c r="AR186" i="20"/>
  <c r="AJ186" i="20"/>
  <c r="AB186" i="20"/>
  <c r="T186" i="20"/>
  <c r="L186" i="20"/>
  <c r="AQ186" i="20"/>
  <c r="AI186" i="20"/>
  <c r="AA186" i="20"/>
  <c r="S186" i="20"/>
  <c r="K186" i="20"/>
  <c r="AP186" i="20"/>
  <c r="AH186" i="20"/>
  <c r="Z186" i="20"/>
  <c r="R186" i="20"/>
  <c r="J186" i="20"/>
  <c r="AL186" i="20"/>
  <c r="V186" i="20"/>
  <c r="N186" i="20"/>
  <c r="AO186" i="20"/>
  <c r="AN186" i="20"/>
  <c r="W186" i="20"/>
  <c r="AW186" i="20"/>
  <c r="AG186" i="20"/>
  <c r="Q186" i="20"/>
  <c r="AT186" i="20"/>
  <c r="I186" i="20"/>
  <c r="H186" i="20"/>
  <c r="AM186" i="20"/>
  <c r="AV186" i="20"/>
  <c r="AF186" i="20"/>
  <c r="P186" i="20"/>
  <c r="AD186" i="20"/>
  <c r="AU186" i="20"/>
  <c r="AE186" i="20"/>
  <c r="O186" i="20"/>
  <c r="Y186" i="20"/>
  <c r="X186" i="20"/>
  <c r="G186" i="20"/>
  <c r="D266" i="20"/>
  <c r="E266" i="20" s="1"/>
  <c r="E96" i="20"/>
  <c r="AX176" i="20" l="1"/>
  <c r="AX226" i="20" s="1"/>
  <c r="AY175" i="20"/>
  <c r="AX225" i="20"/>
  <c r="AX227" i="20"/>
  <c r="AX224" i="20"/>
  <c r="AX228" i="20"/>
  <c r="AX223" i="20"/>
  <c r="AX229" i="20"/>
  <c r="AX230" i="20"/>
  <c r="AX222" i="20"/>
  <c r="AX221" i="20"/>
  <c r="AX231" i="20"/>
  <c r="AX232" i="20"/>
  <c r="AX220" i="20"/>
  <c r="AX219" i="20"/>
  <c r="AX233" i="20"/>
  <c r="AX234" i="20"/>
  <c r="AX218" i="20"/>
  <c r="AX217" i="20"/>
  <c r="AX235" i="20"/>
  <c r="AX216" i="20"/>
  <c r="AX236" i="20"/>
  <c r="AX237" i="20"/>
  <c r="AX215" i="20"/>
  <c r="AX214" i="20"/>
  <c r="AX238" i="20"/>
  <c r="AX213" i="20"/>
  <c r="AX239" i="20"/>
  <c r="AX212" i="20"/>
  <c r="AX240" i="20"/>
  <c r="AX241" i="20"/>
  <c r="AX211" i="20"/>
  <c r="AX242" i="20"/>
  <c r="AX210" i="20"/>
  <c r="AX243" i="20"/>
  <c r="AX209" i="20"/>
  <c r="AX244" i="20"/>
  <c r="AX208" i="20"/>
  <c r="AX207" i="20"/>
  <c r="AX245" i="20"/>
  <c r="AX246" i="20"/>
  <c r="AX206" i="20"/>
  <c r="AX247" i="20"/>
  <c r="AX205" i="20"/>
  <c r="AX248" i="20"/>
  <c r="AX204" i="20"/>
  <c r="AX203" i="20"/>
  <c r="AX249" i="20"/>
  <c r="AX202" i="20"/>
  <c r="AX250" i="20"/>
  <c r="AX201" i="20"/>
  <c r="AX251" i="20"/>
  <c r="AX252" i="20"/>
  <c r="AX200" i="20"/>
  <c r="AX253" i="20"/>
  <c r="AX199" i="20"/>
  <c r="AX198" i="20"/>
  <c r="AX254" i="20"/>
  <c r="AX197" i="20"/>
  <c r="AX255" i="20"/>
  <c r="AX196" i="20"/>
  <c r="AX256" i="20"/>
  <c r="AX257" i="20"/>
  <c r="AX195" i="20"/>
  <c r="AX194" i="20"/>
  <c r="AX258" i="20"/>
  <c r="AX259" i="20"/>
  <c r="AX193" i="20"/>
  <c r="AX260" i="20"/>
  <c r="AX192" i="20"/>
  <c r="AX261" i="20"/>
  <c r="AX191" i="20"/>
  <c r="AX262" i="20"/>
  <c r="AX190" i="20"/>
  <c r="AX263" i="20"/>
  <c r="AX189" i="20"/>
  <c r="AX264" i="20"/>
  <c r="AX188" i="20"/>
  <c r="AX265" i="20"/>
  <c r="AX187" i="20"/>
  <c r="AW203" i="20"/>
  <c r="F268" i="20"/>
  <c r="F99" i="20"/>
  <c r="D98" i="20"/>
  <c r="AW187" i="20"/>
  <c r="AW265" i="20"/>
  <c r="AW257" i="20"/>
  <c r="AW211" i="20"/>
  <c r="AX266" i="20"/>
  <c r="AW260" i="20"/>
  <c r="AW252" i="20"/>
  <c r="AW208" i="20"/>
  <c r="AW212" i="20"/>
  <c r="AW232" i="20"/>
  <c r="AW264" i="20"/>
  <c r="AW196" i="20"/>
  <c r="AW204" i="20"/>
  <c r="AW240" i="20"/>
  <c r="AW236" i="20"/>
  <c r="AW224" i="20"/>
  <c r="AR185" i="20"/>
  <c r="AJ185" i="20"/>
  <c r="AB185" i="20"/>
  <c r="T185" i="20"/>
  <c r="L185" i="20"/>
  <c r="AQ185" i="20"/>
  <c r="AI185" i="20"/>
  <c r="AA185" i="20"/>
  <c r="S185" i="20"/>
  <c r="K185" i="20"/>
  <c r="AX185" i="20"/>
  <c r="AP185" i="20"/>
  <c r="AH185" i="20"/>
  <c r="Z185" i="20"/>
  <c r="R185" i="20"/>
  <c r="J185" i="20"/>
  <c r="AW185" i="20"/>
  <c r="AO185" i="20"/>
  <c r="AG185" i="20"/>
  <c r="Y185" i="20"/>
  <c r="Q185" i="20"/>
  <c r="I185" i="20"/>
  <c r="AS185" i="20"/>
  <c r="AC185" i="20"/>
  <c r="M185" i="20"/>
  <c r="P185" i="20"/>
  <c r="AU185" i="20"/>
  <c r="AD185" i="20"/>
  <c r="AN185" i="20"/>
  <c r="X185" i="20"/>
  <c r="H185" i="20"/>
  <c r="U185" i="20"/>
  <c r="AE185" i="20"/>
  <c r="AT185" i="20"/>
  <c r="AM185" i="20"/>
  <c r="W185" i="20"/>
  <c r="G185" i="20"/>
  <c r="AV185" i="20"/>
  <c r="AL185" i="20"/>
  <c r="V185" i="20"/>
  <c r="AK185" i="20"/>
  <c r="AF185" i="20"/>
  <c r="O185" i="20"/>
  <c r="N185" i="20"/>
  <c r="AX186" i="20"/>
  <c r="AW263" i="20"/>
  <c r="AW259" i="20"/>
  <c r="AW197" i="20"/>
  <c r="AW251" i="20"/>
  <c r="AW247" i="20"/>
  <c r="AW209" i="20"/>
  <c r="AW213" i="20"/>
  <c r="AW217" i="20"/>
  <c r="AW221" i="20"/>
  <c r="AW226" i="20"/>
  <c r="AW266" i="20"/>
  <c r="D185" i="20"/>
  <c r="E185" i="20" s="1"/>
  <c r="E15" i="20"/>
  <c r="AW8" i="21"/>
  <c r="AX7" i="21"/>
  <c r="AW229" i="20"/>
  <c r="AW261" i="20"/>
  <c r="AW253" i="20"/>
  <c r="AW245" i="20"/>
  <c r="AW237" i="20"/>
  <c r="AW219" i="20"/>
  <c r="AW223" i="20"/>
  <c r="AW188" i="20"/>
  <c r="AW256" i="20"/>
  <c r="AW248" i="20"/>
  <c r="AW216" i="20"/>
  <c r="AS267" i="20"/>
  <c r="AK267" i="20"/>
  <c r="AC267" i="20"/>
  <c r="U267" i="20"/>
  <c r="M267" i="20"/>
  <c r="AR267" i="20"/>
  <c r="AJ267" i="20"/>
  <c r="AB267" i="20"/>
  <c r="T267" i="20"/>
  <c r="L267" i="20"/>
  <c r="AQ267" i="20"/>
  <c r="AI267" i="20"/>
  <c r="AA267" i="20"/>
  <c r="S267" i="20"/>
  <c r="K267" i="20"/>
  <c r="AX267" i="20"/>
  <c r="AP267" i="20"/>
  <c r="AH267" i="20"/>
  <c r="Z267" i="20"/>
  <c r="R267" i="20"/>
  <c r="J267" i="20"/>
  <c r="AW267" i="20"/>
  <c r="AG267" i="20"/>
  <c r="Q267" i="20"/>
  <c r="AV267" i="20"/>
  <c r="AF267" i="20"/>
  <c r="P267" i="20"/>
  <c r="AU267" i="20"/>
  <c r="AE267" i="20"/>
  <c r="O267" i="20"/>
  <c r="AT267" i="20"/>
  <c r="AD267" i="20"/>
  <c r="N267" i="20"/>
  <c r="AO267" i="20"/>
  <c r="I267" i="20"/>
  <c r="AN267" i="20"/>
  <c r="H267" i="20"/>
  <c r="AM267" i="20"/>
  <c r="G267" i="20"/>
  <c r="AL267" i="20"/>
  <c r="Y267" i="20"/>
  <c r="V267" i="20"/>
  <c r="W267" i="20"/>
  <c r="X267" i="20"/>
  <c r="AW192" i="20"/>
  <c r="AW200" i="20"/>
  <c r="AW244" i="20"/>
  <c r="AW220" i="20"/>
  <c r="D267" i="20"/>
  <c r="E267" i="20" s="1"/>
  <c r="E97" i="20"/>
  <c r="AW189" i="20"/>
  <c r="AW193" i="20"/>
  <c r="AW255" i="20"/>
  <c r="AW201" i="20"/>
  <c r="AW205" i="20"/>
  <c r="AW243" i="20"/>
  <c r="AW239" i="20"/>
  <c r="AW235" i="20"/>
  <c r="AW231" i="20"/>
  <c r="AW225" i="20"/>
  <c r="F13" i="20"/>
  <c r="D14" i="20"/>
  <c r="F184" i="20"/>
  <c r="D268" i="20" l="1"/>
  <c r="E268" i="20" s="1"/>
  <c r="E98" i="20"/>
  <c r="F269" i="20"/>
  <c r="D99" i="20"/>
  <c r="F100" i="20"/>
  <c r="AQ184" i="20"/>
  <c r="AI184" i="20"/>
  <c r="AA184" i="20"/>
  <c r="S184" i="20"/>
  <c r="K184" i="20"/>
  <c r="AX184" i="20"/>
  <c r="AP184" i="20"/>
  <c r="AH184" i="20"/>
  <c r="Z184" i="20"/>
  <c r="R184" i="20"/>
  <c r="J184" i="20"/>
  <c r="AW184" i="20"/>
  <c r="AO184" i="20"/>
  <c r="AG184" i="20"/>
  <c r="Y184" i="20"/>
  <c r="Q184" i="20"/>
  <c r="I184" i="20"/>
  <c r="AV184" i="20"/>
  <c r="AN184" i="20"/>
  <c r="AF184" i="20"/>
  <c r="X184" i="20"/>
  <c r="P184" i="20"/>
  <c r="H184" i="20"/>
  <c r="AJ184" i="20"/>
  <c r="T184" i="20"/>
  <c r="U184" i="20"/>
  <c r="AU184" i="20"/>
  <c r="AE184" i="20"/>
  <c r="O184" i="20"/>
  <c r="AB184" i="20"/>
  <c r="G184" i="20"/>
  <c r="V184" i="20"/>
  <c r="AK184" i="20"/>
  <c r="AT184" i="20"/>
  <c r="AD184" i="20"/>
  <c r="N184" i="20"/>
  <c r="AR184" i="20"/>
  <c r="W184" i="20"/>
  <c r="AS184" i="20"/>
  <c r="AC184" i="20"/>
  <c r="M184" i="20"/>
  <c r="L184" i="20"/>
  <c r="AM184" i="20"/>
  <c r="AL184" i="20"/>
  <c r="AT268" i="20"/>
  <c r="AL268" i="20"/>
  <c r="AD268" i="20"/>
  <c r="V268" i="20"/>
  <c r="N268" i="20"/>
  <c r="AS268" i="20"/>
  <c r="AK268" i="20"/>
  <c r="AC268" i="20"/>
  <c r="U268" i="20"/>
  <c r="M268" i="20"/>
  <c r="AR268" i="20"/>
  <c r="AJ268" i="20"/>
  <c r="AB268" i="20"/>
  <c r="T268" i="20"/>
  <c r="L268" i="20"/>
  <c r="AQ268" i="20"/>
  <c r="AI268" i="20"/>
  <c r="AA268" i="20"/>
  <c r="S268" i="20"/>
  <c r="K268" i="20"/>
  <c r="AP268" i="20"/>
  <c r="Z268" i="20"/>
  <c r="J268" i="20"/>
  <c r="AO268" i="20"/>
  <c r="Y268" i="20"/>
  <c r="I268" i="20"/>
  <c r="AN268" i="20"/>
  <c r="X268" i="20"/>
  <c r="H268" i="20"/>
  <c r="AM268" i="20"/>
  <c r="W268" i="20"/>
  <c r="G268" i="20"/>
  <c r="AH268" i="20"/>
  <c r="AX268" i="20"/>
  <c r="AG268" i="20"/>
  <c r="AF268" i="20"/>
  <c r="AE268" i="20"/>
  <c r="R268" i="20"/>
  <c r="AW268" i="20"/>
  <c r="AU268" i="20"/>
  <c r="AV268" i="20"/>
  <c r="Q268" i="20"/>
  <c r="P268" i="20"/>
  <c r="O268" i="20"/>
  <c r="AY176" i="20"/>
  <c r="AY224" i="20" s="1"/>
  <c r="AY226" i="20"/>
  <c r="AZ175" i="20"/>
  <c r="AY222" i="20"/>
  <c r="AY230" i="20"/>
  <c r="AY218" i="20"/>
  <c r="AY234" i="20"/>
  <c r="AY214" i="20"/>
  <c r="AY238" i="20"/>
  <c r="AY210" i="20"/>
  <c r="AY242" i="20"/>
  <c r="AY206" i="20"/>
  <c r="AY246" i="20"/>
  <c r="AY249" i="20"/>
  <c r="AY250" i="20"/>
  <c r="AY202" i="20"/>
  <c r="AY253" i="20"/>
  <c r="AY198" i="20"/>
  <c r="AY254" i="20"/>
  <c r="AY195" i="20"/>
  <c r="AY258" i="20"/>
  <c r="AY194" i="20"/>
  <c r="AY191" i="20"/>
  <c r="AY262" i="20"/>
  <c r="AY190" i="20"/>
  <c r="AY265" i="20"/>
  <c r="AY186" i="20"/>
  <c r="AY266" i="20"/>
  <c r="D184" i="20"/>
  <c r="E184" i="20" s="1"/>
  <c r="E14" i="20"/>
  <c r="D13" i="20"/>
  <c r="F12" i="20"/>
  <c r="F183" i="20"/>
  <c r="AX8" i="21"/>
  <c r="AY7" i="21"/>
  <c r="AY8" i="21" l="1"/>
  <c r="AZ7" i="21"/>
  <c r="AY245" i="20"/>
  <c r="AY215" i="20"/>
  <c r="AY229" i="20"/>
  <c r="AY187" i="20"/>
  <c r="AY199" i="20"/>
  <c r="AY207" i="20"/>
  <c r="AY237" i="20"/>
  <c r="AY223" i="20"/>
  <c r="AY192" i="20"/>
  <c r="AY248" i="20"/>
  <c r="AY240" i="20"/>
  <c r="AY228" i="20"/>
  <c r="D269" i="20"/>
  <c r="E269" i="20" s="1"/>
  <c r="E99" i="20"/>
  <c r="E13" i="20"/>
  <c r="D183" i="20"/>
  <c r="E183" i="20" s="1"/>
  <c r="AY188" i="20"/>
  <c r="AY260" i="20"/>
  <c r="AY196" i="20"/>
  <c r="AY200" i="20"/>
  <c r="AY204" i="20"/>
  <c r="AY208" i="20"/>
  <c r="AY212" i="20"/>
  <c r="AY236" i="20"/>
  <c r="AY232" i="20"/>
  <c r="AU269" i="20"/>
  <c r="AM269" i="20"/>
  <c r="AE269" i="20"/>
  <c r="W269" i="20"/>
  <c r="O269" i="20"/>
  <c r="G269" i="20"/>
  <c r="AT269" i="20"/>
  <c r="AL269" i="20"/>
  <c r="AD269" i="20"/>
  <c r="V269" i="20"/>
  <c r="N269" i="20"/>
  <c r="AS269" i="20"/>
  <c r="AK269" i="20"/>
  <c r="AC269" i="20"/>
  <c r="U269" i="20"/>
  <c r="M269" i="20"/>
  <c r="AZ269" i="20"/>
  <c r="AR269" i="20"/>
  <c r="AJ269" i="20"/>
  <c r="AB269" i="20"/>
  <c r="T269" i="20"/>
  <c r="L269" i="20"/>
  <c r="AY269" i="20"/>
  <c r="AI269" i="20"/>
  <c r="S269" i="20"/>
  <c r="AX269" i="20"/>
  <c r="AH269" i="20"/>
  <c r="R269" i="20"/>
  <c r="AW269" i="20"/>
  <c r="AG269" i="20"/>
  <c r="Q269" i="20"/>
  <c r="AV269" i="20"/>
  <c r="AF269" i="20"/>
  <c r="P269" i="20"/>
  <c r="AA269" i="20"/>
  <c r="Z269" i="20"/>
  <c r="Y269" i="20"/>
  <c r="AQ269" i="20"/>
  <c r="X269" i="20"/>
  <c r="K269" i="20"/>
  <c r="AO269" i="20"/>
  <c r="AP269" i="20"/>
  <c r="J269" i="20"/>
  <c r="I269" i="20"/>
  <c r="AN269" i="20"/>
  <c r="H269" i="20"/>
  <c r="AY185" i="20"/>
  <c r="AY267" i="20"/>
  <c r="AY261" i="20"/>
  <c r="AY203" i="20"/>
  <c r="AY219" i="20"/>
  <c r="F182" i="20"/>
  <c r="D12" i="20"/>
  <c r="F11" i="20"/>
  <c r="AY252" i="20"/>
  <c r="AY216" i="20"/>
  <c r="AY268" i="20"/>
  <c r="AY184" i="20"/>
  <c r="AY193" i="20"/>
  <c r="AY227" i="20"/>
  <c r="AZ176" i="20"/>
  <c r="AZ268" i="20" s="1"/>
  <c r="AZ226" i="20"/>
  <c r="BA175" i="20"/>
  <c r="AZ230" i="20"/>
  <c r="AZ234" i="20"/>
  <c r="AZ238" i="20"/>
  <c r="AZ242" i="20"/>
  <c r="AZ246" i="20"/>
  <c r="AZ249" i="20"/>
  <c r="AZ250" i="20"/>
  <c r="AZ253" i="20"/>
  <c r="AZ254" i="20"/>
  <c r="AZ257" i="20"/>
  <c r="AZ194" i="20"/>
  <c r="AZ191" i="20"/>
  <c r="AZ190" i="20"/>
  <c r="AZ187" i="20"/>
  <c r="AZ186" i="20"/>
  <c r="AY241" i="20"/>
  <c r="AY233" i="20"/>
  <c r="AX183" i="20"/>
  <c r="AP183" i="20"/>
  <c r="AH183" i="20"/>
  <c r="Z183" i="20"/>
  <c r="R183" i="20"/>
  <c r="J183" i="20"/>
  <c r="AW183" i="20"/>
  <c r="AO183" i="20"/>
  <c r="AG183" i="20"/>
  <c r="Y183" i="20"/>
  <c r="Q183" i="20"/>
  <c r="I183" i="20"/>
  <c r="AV183" i="20"/>
  <c r="AN183" i="20"/>
  <c r="AF183" i="20"/>
  <c r="X183" i="20"/>
  <c r="P183" i="20"/>
  <c r="H183" i="20"/>
  <c r="AU183" i="20"/>
  <c r="AM183" i="20"/>
  <c r="AE183" i="20"/>
  <c r="W183" i="20"/>
  <c r="O183" i="20"/>
  <c r="G183" i="20"/>
  <c r="AQ183" i="20"/>
  <c r="AA183" i="20"/>
  <c r="K183" i="20"/>
  <c r="M183" i="20"/>
  <c r="AL183" i="20"/>
  <c r="V183" i="20"/>
  <c r="AY183" i="20"/>
  <c r="AT183" i="20"/>
  <c r="N183" i="20"/>
  <c r="AC183" i="20"/>
  <c r="AR183" i="20"/>
  <c r="AK183" i="20"/>
  <c r="U183" i="20"/>
  <c r="S183" i="20"/>
  <c r="AD183" i="20"/>
  <c r="L183" i="20"/>
  <c r="AJ183" i="20"/>
  <c r="T183" i="20"/>
  <c r="AI183" i="20"/>
  <c r="AS183" i="20"/>
  <c r="AB183" i="20"/>
  <c r="AY257" i="20"/>
  <c r="AY211" i="20"/>
  <c r="F270" i="20"/>
  <c r="D100" i="20"/>
  <c r="F101" i="20"/>
  <c r="AY264" i="20"/>
  <c r="AY256" i="20"/>
  <c r="AY244" i="20"/>
  <c r="AY220" i="20"/>
  <c r="AY189" i="20"/>
  <c r="AY255" i="20"/>
  <c r="AY251" i="20"/>
  <c r="AY247" i="20"/>
  <c r="AY209" i="20"/>
  <c r="AY213" i="20"/>
  <c r="AY217" i="20"/>
  <c r="AY231" i="20"/>
  <c r="AY263" i="20"/>
  <c r="AY259" i="20"/>
  <c r="AY197" i="20"/>
  <c r="AY201" i="20"/>
  <c r="AY205" i="20"/>
  <c r="AY243" i="20"/>
  <c r="AY239" i="20"/>
  <c r="AY235" i="20"/>
  <c r="AY221" i="20"/>
  <c r="AY225" i="20"/>
  <c r="D11" i="20" l="1"/>
  <c r="F10" i="20"/>
  <c r="F181" i="20"/>
  <c r="F271" i="20"/>
  <c r="F102" i="20"/>
  <c r="D101" i="20"/>
  <c r="AZ207" i="20"/>
  <c r="AZ237" i="20"/>
  <c r="AZ219" i="20"/>
  <c r="AZ223" i="20"/>
  <c r="AZ265" i="20"/>
  <c r="AZ245" i="20"/>
  <c r="AZ196" i="20"/>
  <c r="AZ216" i="20"/>
  <c r="AZ228" i="20"/>
  <c r="AZ184" i="20"/>
  <c r="AZ264" i="20"/>
  <c r="AZ260" i="20"/>
  <c r="AZ256" i="20"/>
  <c r="AZ200" i="20"/>
  <c r="AZ204" i="20"/>
  <c r="AZ244" i="20"/>
  <c r="AZ240" i="20"/>
  <c r="AZ236" i="20"/>
  <c r="AZ232" i="20"/>
  <c r="AZ224" i="20"/>
  <c r="AZ199" i="20"/>
  <c r="AZ233" i="20"/>
  <c r="AZ188" i="20"/>
  <c r="AZ208" i="20"/>
  <c r="AZ185" i="20"/>
  <c r="AZ263" i="20"/>
  <c r="AZ259" i="20"/>
  <c r="AZ197" i="20"/>
  <c r="AZ251" i="20"/>
  <c r="AZ205" i="20"/>
  <c r="AZ209" i="20"/>
  <c r="AZ239" i="20"/>
  <c r="AZ235" i="20"/>
  <c r="AZ221" i="20"/>
  <c r="AZ227" i="20"/>
  <c r="BA7" i="21"/>
  <c r="AZ8" i="21"/>
  <c r="AZ211" i="20"/>
  <c r="D270" i="20"/>
  <c r="E270" i="20" s="1"/>
  <c r="E100" i="20"/>
  <c r="AZ261" i="20"/>
  <c r="AZ203" i="20"/>
  <c r="AZ215" i="20"/>
  <c r="AW182" i="20"/>
  <c r="AO182" i="20"/>
  <c r="AG182" i="20"/>
  <c r="Y182" i="20"/>
  <c r="Q182" i="20"/>
  <c r="I182" i="20"/>
  <c r="AV182" i="20"/>
  <c r="AN182" i="20"/>
  <c r="AF182" i="20"/>
  <c r="X182" i="20"/>
  <c r="P182" i="20"/>
  <c r="H182" i="20"/>
  <c r="AU182" i="20"/>
  <c r="AM182" i="20"/>
  <c r="AE182" i="20"/>
  <c r="W182" i="20"/>
  <c r="O182" i="20"/>
  <c r="G182" i="20"/>
  <c r="AT182" i="20"/>
  <c r="AL182" i="20"/>
  <c r="AD182" i="20"/>
  <c r="V182" i="20"/>
  <c r="N182" i="20"/>
  <c r="AX182" i="20"/>
  <c r="AH182" i="20"/>
  <c r="R182" i="20"/>
  <c r="Z182" i="20"/>
  <c r="T182" i="20"/>
  <c r="AS182" i="20"/>
  <c r="AC182" i="20"/>
  <c r="M182" i="20"/>
  <c r="AP182" i="20"/>
  <c r="J182" i="20"/>
  <c r="AK182" i="20"/>
  <c r="AZ182" i="20"/>
  <c r="AR182" i="20"/>
  <c r="AB182" i="20"/>
  <c r="L182" i="20"/>
  <c r="U182" i="20"/>
  <c r="AI182" i="20"/>
  <c r="AQ182" i="20"/>
  <c r="AA182" i="20"/>
  <c r="K182" i="20"/>
  <c r="AJ182" i="20"/>
  <c r="AY182" i="20"/>
  <c r="S182" i="20"/>
  <c r="AV270" i="20"/>
  <c r="AN270" i="20"/>
  <c r="AF270" i="20"/>
  <c r="X270" i="20"/>
  <c r="P270" i="20"/>
  <c r="H270" i="20"/>
  <c r="AU270" i="20"/>
  <c r="AM270" i="20"/>
  <c r="AE270" i="20"/>
  <c r="W270" i="20"/>
  <c r="O270" i="20"/>
  <c r="G270" i="20"/>
  <c r="AT270" i="20"/>
  <c r="AL270" i="20"/>
  <c r="AD270" i="20"/>
  <c r="V270" i="20"/>
  <c r="N270" i="20"/>
  <c r="AS270" i="20"/>
  <c r="AK270" i="20"/>
  <c r="AC270" i="20"/>
  <c r="U270" i="20"/>
  <c r="M270" i="20"/>
  <c r="AR270" i="20"/>
  <c r="AB270" i="20"/>
  <c r="L270" i="20"/>
  <c r="AQ270" i="20"/>
  <c r="AA270" i="20"/>
  <c r="K270" i="20"/>
  <c r="AP270" i="20"/>
  <c r="Z270" i="20"/>
  <c r="J270" i="20"/>
  <c r="AO270" i="20"/>
  <c r="Y270" i="20"/>
  <c r="I270" i="20"/>
  <c r="AZ270" i="20"/>
  <c r="T270" i="20"/>
  <c r="AY270" i="20"/>
  <c r="S270" i="20"/>
  <c r="AX270" i="20"/>
  <c r="R270" i="20"/>
  <c r="AJ270" i="20"/>
  <c r="AW270" i="20"/>
  <c r="Q270" i="20"/>
  <c r="AI270" i="20"/>
  <c r="AG270" i="20"/>
  <c r="AH270" i="20"/>
  <c r="AZ192" i="20"/>
  <c r="AZ252" i="20"/>
  <c r="AZ212" i="20"/>
  <c r="AZ220" i="20"/>
  <c r="AZ267" i="20"/>
  <c r="AZ189" i="20"/>
  <c r="AZ193" i="20"/>
  <c r="AZ255" i="20"/>
  <c r="AZ201" i="20"/>
  <c r="AZ247" i="20"/>
  <c r="AZ243" i="20"/>
  <c r="AZ213" i="20"/>
  <c r="AZ217" i="20"/>
  <c r="AZ231" i="20"/>
  <c r="AZ225" i="20"/>
  <c r="E12" i="20"/>
  <c r="D182" i="20"/>
  <c r="E182" i="20" s="1"/>
  <c r="AZ195" i="20"/>
  <c r="AZ241" i="20"/>
  <c r="AZ229" i="20"/>
  <c r="AZ183" i="20"/>
  <c r="AZ248" i="20"/>
  <c r="AZ266" i="20"/>
  <c r="AZ262" i="20"/>
  <c r="AZ258" i="20"/>
  <c r="AZ198" i="20"/>
  <c r="AZ202" i="20"/>
  <c r="AZ206" i="20"/>
  <c r="AZ210" i="20"/>
  <c r="AZ214" i="20"/>
  <c r="AZ218" i="20"/>
  <c r="AZ222" i="20"/>
  <c r="BB175" i="20"/>
  <c r="BA176" i="20"/>
  <c r="BA183" i="20" s="1"/>
  <c r="BA227" i="20"/>
  <c r="BA225" i="20"/>
  <c r="BA228" i="20"/>
  <c r="BA231" i="20"/>
  <c r="BA221" i="20"/>
  <c r="BA220" i="20"/>
  <c r="BA217" i="20"/>
  <c r="BA235" i="20"/>
  <c r="BA216" i="20"/>
  <c r="BA238" i="20"/>
  <c r="BA239" i="20"/>
  <c r="BA213" i="20"/>
  <c r="BA212" i="20"/>
  <c r="BA210" i="20"/>
  <c r="BA209" i="20"/>
  <c r="BA243" i="20"/>
  <c r="BA208" i="20"/>
  <c r="BA246" i="20"/>
  <c r="BA205" i="20"/>
  <c r="BA247" i="20"/>
  <c r="BA204" i="20"/>
  <c r="BA202" i="20"/>
  <c r="BA251" i="20"/>
  <c r="BA201" i="20"/>
  <c r="BA252" i="20"/>
  <c r="BA198" i="20"/>
  <c r="BA197" i="20"/>
  <c r="BA255" i="20"/>
  <c r="BA196" i="20"/>
  <c r="BA194" i="20"/>
  <c r="BA259" i="20"/>
  <c r="BA193" i="20"/>
  <c r="BA192" i="20"/>
  <c r="BA190" i="20"/>
  <c r="BA189" i="20"/>
  <c r="BA263" i="20"/>
  <c r="BA188" i="20"/>
  <c r="BA266" i="20"/>
  <c r="BA185" i="20"/>
  <c r="BA267" i="20"/>
  <c r="BA184" i="20"/>
  <c r="BA250" i="20" l="1"/>
  <c r="BC175" i="20"/>
  <c r="BB176" i="20"/>
  <c r="BB227" i="20" s="1"/>
  <c r="BB225" i="20"/>
  <c r="BB226" i="20"/>
  <c r="BB224" i="20"/>
  <c r="BB228" i="20"/>
  <c r="BB230" i="20"/>
  <c r="BB221" i="20"/>
  <c r="BB231" i="20"/>
  <c r="BB220" i="20"/>
  <c r="BB232" i="20"/>
  <c r="BB234" i="20"/>
  <c r="BB235" i="20"/>
  <c r="BB217" i="20"/>
  <c r="BB236" i="20"/>
  <c r="BB216" i="20"/>
  <c r="BB214" i="20"/>
  <c r="BB238" i="20"/>
  <c r="BB213" i="20"/>
  <c r="BB239" i="20"/>
  <c r="BB212" i="20"/>
  <c r="BB240" i="20"/>
  <c r="BB210" i="20"/>
  <c r="BB242" i="20"/>
  <c r="BB243" i="20"/>
  <c r="BB209" i="20"/>
  <c r="BB244" i="20"/>
  <c r="BB208" i="20"/>
  <c r="BB246" i="20"/>
  <c r="BB206" i="20"/>
  <c r="BB247" i="20"/>
  <c r="BB205" i="20"/>
  <c r="BB248" i="20"/>
  <c r="BB204" i="20"/>
  <c r="BB250" i="20"/>
  <c r="BB202" i="20"/>
  <c r="BB251" i="20"/>
  <c r="BB201" i="20"/>
  <c r="BB252" i="20"/>
  <c r="BB200" i="20"/>
  <c r="BB199" i="20"/>
  <c r="BB253" i="20"/>
  <c r="BB254" i="20"/>
  <c r="BB198" i="20"/>
  <c r="BB255" i="20"/>
  <c r="BB197" i="20"/>
  <c r="BB256" i="20"/>
  <c r="BB196" i="20"/>
  <c r="BB195" i="20"/>
  <c r="BB257" i="20"/>
  <c r="BB258" i="20"/>
  <c r="BB194" i="20"/>
  <c r="BB259" i="20"/>
  <c r="BB193" i="20"/>
  <c r="BB260" i="20"/>
  <c r="BB192" i="20"/>
  <c r="BB191" i="20"/>
  <c r="BB261" i="20"/>
  <c r="BB190" i="20"/>
  <c r="BB262" i="20"/>
  <c r="BB189" i="20"/>
  <c r="BB263" i="20"/>
  <c r="BB264" i="20"/>
  <c r="BB188" i="20"/>
  <c r="BB265" i="20"/>
  <c r="BB187" i="20"/>
  <c r="BB266" i="20"/>
  <c r="BB186" i="20"/>
  <c r="BB267" i="20"/>
  <c r="BB185" i="20"/>
  <c r="BB268" i="20"/>
  <c r="BB184" i="20"/>
  <c r="BB183" i="20"/>
  <c r="BB269" i="20"/>
  <c r="BA182" i="20"/>
  <c r="AV181" i="20"/>
  <c r="AN181" i="20"/>
  <c r="AF181" i="20"/>
  <c r="X181" i="20"/>
  <c r="P181" i="20"/>
  <c r="H181" i="20"/>
  <c r="AU181" i="20"/>
  <c r="AM181" i="20"/>
  <c r="AE181" i="20"/>
  <c r="W181" i="20"/>
  <c r="O181" i="20"/>
  <c r="G181" i="20"/>
  <c r="BB181" i="20"/>
  <c r="AT181" i="20"/>
  <c r="AL181" i="20"/>
  <c r="AD181" i="20"/>
  <c r="V181" i="20"/>
  <c r="N181" i="20"/>
  <c r="BA181" i="20"/>
  <c r="AS181" i="20"/>
  <c r="AK181" i="20"/>
  <c r="AC181" i="20"/>
  <c r="U181" i="20"/>
  <c r="M181" i="20"/>
  <c r="AO181" i="20"/>
  <c r="Y181" i="20"/>
  <c r="I181" i="20"/>
  <c r="AW181" i="20"/>
  <c r="K181" i="20"/>
  <c r="AZ181" i="20"/>
  <c r="AJ181" i="20"/>
  <c r="T181" i="20"/>
  <c r="Q181" i="20"/>
  <c r="AR181" i="20"/>
  <c r="AQ181" i="20"/>
  <c r="J181" i="20"/>
  <c r="AY181" i="20"/>
  <c r="AI181" i="20"/>
  <c r="S181" i="20"/>
  <c r="L181" i="20"/>
  <c r="AP181" i="20"/>
  <c r="AX181" i="20"/>
  <c r="AH181" i="20"/>
  <c r="R181" i="20"/>
  <c r="AG181" i="20"/>
  <c r="AB181" i="20"/>
  <c r="AA181" i="20"/>
  <c r="Z181" i="20"/>
  <c r="D271" i="20"/>
  <c r="E271" i="20" s="1"/>
  <c r="E101" i="20"/>
  <c r="BA230" i="20"/>
  <c r="AW271" i="20"/>
  <c r="AO271" i="20"/>
  <c r="AG271" i="20"/>
  <c r="Y271" i="20"/>
  <c r="Q271" i="20"/>
  <c r="I271" i="20"/>
  <c r="AV271" i="20"/>
  <c r="AN271" i="20"/>
  <c r="AF271" i="20"/>
  <c r="X271" i="20"/>
  <c r="P271" i="20"/>
  <c r="H271" i="20"/>
  <c r="AU271" i="20"/>
  <c r="AM271" i="20"/>
  <c r="AE271" i="20"/>
  <c r="W271" i="20"/>
  <c r="O271" i="20"/>
  <c r="G271" i="20"/>
  <c r="BB271" i="20"/>
  <c r="AT271" i="20"/>
  <c r="AL271" i="20"/>
  <c r="AD271" i="20"/>
  <c r="V271" i="20"/>
  <c r="N271" i="20"/>
  <c r="BA271" i="20"/>
  <c r="AK271" i="20"/>
  <c r="U271" i="20"/>
  <c r="AZ271" i="20"/>
  <c r="AJ271" i="20"/>
  <c r="T271" i="20"/>
  <c r="AY271" i="20"/>
  <c r="AI271" i="20"/>
  <c r="S271" i="20"/>
  <c r="AX271" i="20"/>
  <c r="AH271" i="20"/>
  <c r="R271" i="20"/>
  <c r="AS271" i="20"/>
  <c r="M271" i="20"/>
  <c r="AR271" i="20"/>
  <c r="L271" i="20"/>
  <c r="AQ271" i="20"/>
  <c r="K271" i="20"/>
  <c r="AP271" i="20"/>
  <c r="J271" i="20"/>
  <c r="AC271" i="20"/>
  <c r="Z271" i="20"/>
  <c r="AA271" i="20"/>
  <c r="AB271" i="20"/>
  <c r="BA262" i="20"/>
  <c r="BA206" i="20"/>
  <c r="BA222" i="20"/>
  <c r="BA187" i="20"/>
  <c r="BA261" i="20"/>
  <c r="BA195" i="20"/>
  <c r="BA253" i="20"/>
  <c r="BA203" i="20"/>
  <c r="BA245" i="20"/>
  <c r="BA241" i="20"/>
  <c r="BA215" i="20"/>
  <c r="BA233" i="20"/>
  <c r="BA229" i="20"/>
  <c r="BA226" i="20"/>
  <c r="BA270" i="20"/>
  <c r="BB7" i="21"/>
  <c r="BA8" i="21"/>
  <c r="F180" i="20"/>
  <c r="D10" i="20"/>
  <c r="F9" i="20"/>
  <c r="BA254" i="20"/>
  <c r="BA214" i="20"/>
  <c r="BA265" i="20"/>
  <c r="BA191" i="20"/>
  <c r="BA257" i="20"/>
  <c r="BA199" i="20"/>
  <c r="BA249" i="20"/>
  <c r="BA207" i="20"/>
  <c r="BA211" i="20"/>
  <c r="BA237" i="20"/>
  <c r="BA219" i="20"/>
  <c r="BA223" i="20"/>
  <c r="D181" i="20"/>
  <c r="E181" i="20" s="1"/>
  <c r="E11" i="20"/>
  <c r="F272" i="20"/>
  <c r="D102" i="20"/>
  <c r="F103" i="20"/>
  <c r="BA218" i="20"/>
  <c r="BA186" i="20"/>
  <c r="BA258" i="20"/>
  <c r="BA242" i="20"/>
  <c r="BA234" i="20"/>
  <c r="BA268" i="20"/>
  <c r="BA264" i="20"/>
  <c r="BA260" i="20"/>
  <c r="BA256" i="20"/>
  <c r="BA200" i="20"/>
  <c r="BA248" i="20"/>
  <c r="BA244" i="20"/>
  <c r="BA240" i="20"/>
  <c r="BA236" i="20"/>
  <c r="BA232" i="20"/>
  <c r="BA224" i="20"/>
  <c r="BA269" i="20"/>
  <c r="BC7" i="21" l="1"/>
  <c r="BB8" i="21"/>
  <c r="BB218" i="20"/>
  <c r="BB222" i="20"/>
  <c r="AU180" i="20"/>
  <c r="AM180" i="20"/>
  <c r="AE180" i="20"/>
  <c r="W180" i="20"/>
  <c r="O180" i="20"/>
  <c r="G180" i="20"/>
  <c r="BB180" i="20"/>
  <c r="AT180" i="20"/>
  <c r="AL180" i="20"/>
  <c r="AD180" i="20"/>
  <c r="V180" i="20"/>
  <c r="N180" i="20"/>
  <c r="BA180" i="20"/>
  <c r="AS180" i="20"/>
  <c r="AK180" i="20"/>
  <c r="AC180" i="20"/>
  <c r="U180" i="20"/>
  <c r="M180" i="20"/>
  <c r="AZ180" i="20"/>
  <c r="AR180" i="20"/>
  <c r="AJ180" i="20"/>
  <c r="AB180" i="20"/>
  <c r="T180" i="20"/>
  <c r="L180" i="20"/>
  <c r="AV180" i="20"/>
  <c r="AF180" i="20"/>
  <c r="P180" i="20"/>
  <c r="AH180" i="20"/>
  <c r="AQ180" i="20"/>
  <c r="AA180" i="20"/>
  <c r="K180" i="20"/>
  <c r="AN180" i="20"/>
  <c r="AY180" i="20"/>
  <c r="AX180" i="20"/>
  <c r="AG180" i="20"/>
  <c r="AP180" i="20"/>
  <c r="Z180" i="20"/>
  <c r="J180" i="20"/>
  <c r="X180" i="20"/>
  <c r="S180" i="20"/>
  <c r="Q180" i="20"/>
  <c r="AO180" i="20"/>
  <c r="Y180" i="20"/>
  <c r="I180" i="20"/>
  <c r="H180" i="20"/>
  <c r="AI180" i="20"/>
  <c r="R180" i="20"/>
  <c r="AW180" i="20"/>
  <c r="F273" i="20"/>
  <c r="F104" i="20"/>
  <c r="D103" i="20"/>
  <c r="BB182" i="20"/>
  <c r="BB270" i="20"/>
  <c r="E102" i="20"/>
  <c r="D272" i="20"/>
  <c r="E272" i="20" s="1"/>
  <c r="F179" i="20"/>
  <c r="F8" i="20"/>
  <c r="D9" i="20"/>
  <c r="BB249" i="20"/>
  <c r="BB207" i="20"/>
  <c r="BB211" i="20"/>
  <c r="BB237" i="20"/>
  <c r="BB219" i="20"/>
  <c r="BB229" i="20"/>
  <c r="BD175" i="20"/>
  <c r="BC176" i="20"/>
  <c r="BC180" i="20" s="1"/>
  <c r="BC227" i="20"/>
  <c r="BC228" i="20"/>
  <c r="BC224" i="20"/>
  <c r="BC229" i="20"/>
  <c r="BC222" i="20"/>
  <c r="BC231" i="20"/>
  <c r="BC220" i="20"/>
  <c r="BC232" i="20"/>
  <c r="BC219" i="20"/>
  <c r="BC234" i="20"/>
  <c r="BC235" i="20"/>
  <c r="BC216" i="20"/>
  <c r="BC236" i="20"/>
  <c r="BC237" i="20"/>
  <c r="BC214" i="20"/>
  <c r="BC239" i="20"/>
  <c r="BC212" i="20"/>
  <c r="BC240" i="20"/>
  <c r="BC211" i="20"/>
  <c r="BC242" i="20"/>
  <c r="BC243" i="20"/>
  <c r="BC244" i="20"/>
  <c r="BC208" i="20"/>
  <c r="BC245" i="20"/>
  <c r="BC206" i="20"/>
  <c r="BC205" i="20"/>
  <c r="BC248" i="20"/>
  <c r="BC204" i="20"/>
  <c r="BC203" i="20"/>
  <c r="BC202" i="20"/>
  <c r="BC201" i="20"/>
  <c r="BC252" i="20"/>
  <c r="BC200" i="20"/>
  <c r="BC199" i="20"/>
  <c r="BC253" i="20"/>
  <c r="BC198" i="20"/>
  <c r="BC197" i="20"/>
  <c r="BC256" i="20"/>
  <c r="BC196" i="20"/>
  <c r="BC257" i="20"/>
  <c r="BC195" i="20"/>
  <c r="BC194" i="20"/>
  <c r="BC193" i="20"/>
  <c r="BC192" i="20"/>
  <c r="BC260" i="20"/>
  <c r="BC191" i="20"/>
  <c r="BC261" i="20"/>
  <c r="BC262" i="20"/>
  <c r="BC189" i="20"/>
  <c r="BC188" i="20"/>
  <c r="BC264" i="20"/>
  <c r="BC187" i="20"/>
  <c r="BC265" i="20"/>
  <c r="BC186" i="20"/>
  <c r="BC267" i="20"/>
  <c r="BC268" i="20"/>
  <c r="BC184" i="20"/>
  <c r="BC269" i="20"/>
  <c r="BC183" i="20"/>
  <c r="BC270" i="20"/>
  <c r="AX272" i="20"/>
  <c r="AP272" i="20"/>
  <c r="AH272" i="20"/>
  <c r="Z272" i="20"/>
  <c r="R272" i="20"/>
  <c r="J272" i="20"/>
  <c r="AW272" i="20"/>
  <c r="AO272" i="20"/>
  <c r="AG272" i="20"/>
  <c r="Y272" i="20"/>
  <c r="Q272" i="20"/>
  <c r="I272" i="20"/>
  <c r="AV272" i="20"/>
  <c r="AN272" i="20"/>
  <c r="AF272" i="20"/>
  <c r="X272" i="20"/>
  <c r="P272" i="20"/>
  <c r="H272" i="20"/>
  <c r="BC272" i="20"/>
  <c r="AU272" i="20"/>
  <c r="AM272" i="20"/>
  <c r="AE272" i="20"/>
  <c r="W272" i="20"/>
  <c r="O272" i="20"/>
  <c r="G272" i="20"/>
  <c r="AT272" i="20"/>
  <c r="AD272" i="20"/>
  <c r="N272" i="20"/>
  <c r="AS272" i="20"/>
  <c r="AC272" i="20"/>
  <c r="M272" i="20"/>
  <c r="AR272" i="20"/>
  <c r="AB272" i="20"/>
  <c r="L272" i="20"/>
  <c r="AQ272" i="20"/>
  <c r="AA272" i="20"/>
  <c r="K272" i="20"/>
  <c r="AL272" i="20"/>
  <c r="V272" i="20"/>
  <c r="AK272" i="20"/>
  <c r="AJ272" i="20"/>
  <c r="BB272" i="20"/>
  <c r="AI272" i="20"/>
  <c r="T272" i="20"/>
  <c r="AZ272" i="20"/>
  <c r="BA272" i="20"/>
  <c r="U272" i="20"/>
  <c r="S272" i="20"/>
  <c r="AY272" i="20"/>
  <c r="E10" i="20"/>
  <c r="D180" i="20"/>
  <c r="E180" i="20" s="1"/>
  <c r="BB203" i="20"/>
  <c r="BB245" i="20"/>
  <c r="BB241" i="20"/>
  <c r="BB215" i="20"/>
  <c r="BB233" i="20"/>
  <c r="BB223" i="20"/>
  <c r="BB179" i="20" l="1"/>
  <c r="AT179" i="20"/>
  <c r="AL179" i="20"/>
  <c r="AD179" i="20"/>
  <c r="V179" i="20"/>
  <c r="N179" i="20"/>
  <c r="BA179" i="20"/>
  <c r="AS179" i="20"/>
  <c r="AK179" i="20"/>
  <c r="AC179" i="20"/>
  <c r="U179" i="20"/>
  <c r="M179" i="20"/>
  <c r="AZ179" i="20"/>
  <c r="AR179" i="20"/>
  <c r="AJ179" i="20"/>
  <c r="AB179" i="20"/>
  <c r="T179" i="20"/>
  <c r="L179" i="20"/>
  <c r="AY179" i="20"/>
  <c r="AQ179" i="20"/>
  <c r="AI179" i="20"/>
  <c r="AA179" i="20"/>
  <c r="S179" i="20"/>
  <c r="K179" i="20"/>
  <c r="BC179" i="20"/>
  <c r="AM179" i="20"/>
  <c r="W179" i="20"/>
  <c r="G179" i="20"/>
  <c r="I179" i="20"/>
  <c r="BD179" i="20"/>
  <c r="AX179" i="20"/>
  <c r="AH179" i="20"/>
  <c r="R179" i="20"/>
  <c r="AP179" i="20"/>
  <c r="Y179" i="20"/>
  <c r="AW179" i="20"/>
  <c r="AG179" i="20"/>
  <c r="Q179" i="20"/>
  <c r="AE179" i="20"/>
  <c r="J179" i="20"/>
  <c r="H179" i="20"/>
  <c r="AV179" i="20"/>
  <c r="AF179" i="20"/>
  <c r="P179" i="20"/>
  <c r="AU179" i="20"/>
  <c r="O179" i="20"/>
  <c r="Z179" i="20"/>
  <c r="AO179" i="20"/>
  <c r="AN179" i="20"/>
  <c r="X179" i="20"/>
  <c r="BC185" i="20"/>
  <c r="BC263" i="20"/>
  <c r="BC259" i="20"/>
  <c r="BC255" i="20"/>
  <c r="BC251" i="20"/>
  <c r="BC247" i="20"/>
  <c r="BC209" i="20"/>
  <c r="BC213" i="20"/>
  <c r="BC217" i="20"/>
  <c r="BC221" i="20"/>
  <c r="BC226" i="20"/>
  <c r="BC182" i="20"/>
  <c r="BC266" i="20"/>
  <c r="BC190" i="20"/>
  <c r="BC258" i="20"/>
  <c r="BC254" i="20"/>
  <c r="BC250" i="20"/>
  <c r="BC246" i="20"/>
  <c r="BC210" i="20"/>
  <c r="BC238" i="20"/>
  <c r="BC218" i="20"/>
  <c r="BC230" i="20"/>
  <c r="BC225" i="20"/>
  <c r="D273" i="20"/>
  <c r="E273" i="20" s="1"/>
  <c r="E103" i="20"/>
  <c r="BC181" i="20"/>
  <c r="BC271" i="20"/>
  <c r="D179" i="20"/>
  <c r="E179" i="20" s="1"/>
  <c r="E9" i="20"/>
  <c r="F274" i="20"/>
  <c r="D104" i="20"/>
  <c r="F105" i="20"/>
  <c r="BC249" i="20"/>
  <c r="BC207" i="20"/>
  <c r="BC241" i="20"/>
  <c r="BC215" i="20"/>
  <c r="BC233" i="20"/>
  <c r="BC223" i="20"/>
  <c r="BE175" i="20"/>
  <c r="BD176" i="20"/>
  <c r="BD226" i="20"/>
  <c r="BD227" i="20"/>
  <c r="BD225" i="20"/>
  <c r="BD224" i="20"/>
  <c r="BD229" i="20"/>
  <c r="BD222" i="20"/>
  <c r="BD230" i="20"/>
  <c r="BD221" i="20"/>
  <c r="BD231" i="20"/>
  <c r="BD220" i="20"/>
  <c r="BD232" i="20"/>
  <c r="BD219" i="20"/>
  <c r="BD233" i="20"/>
  <c r="BD234" i="20"/>
  <c r="BD218" i="20"/>
  <c r="BD235" i="20"/>
  <c r="BD217" i="20"/>
  <c r="BD216" i="20"/>
  <c r="BD236" i="20"/>
  <c r="BD237" i="20"/>
  <c r="BD215" i="20"/>
  <c r="BD214" i="20"/>
  <c r="BD238" i="20"/>
  <c r="BD213" i="20"/>
  <c r="BD239" i="20"/>
  <c r="BD212" i="20"/>
  <c r="BD240" i="20"/>
  <c r="BD211" i="20"/>
  <c r="BD241" i="20"/>
  <c r="BD242" i="20"/>
  <c r="BD210" i="20"/>
  <c r="BD209" i="20"/>
  <c r="BD243" i="20"/>
  <c r="BD208" i="20"/>
  <c r="BD244" i="20"/>
  <c r="BD207" i="20"/>
  <c r="BD245" i="20"/>
  <c r="BD246" i="20"/>
  <c r="BD206" i="20"/>
  <c r="BD205" i="20"/>
  <c r="BD247" i="20"/>
  <c r="BD204" i="20"/>
  <c r="BD248" i="20"/>
  <c r="BD203" i="20"/>
  <c r="BD249" i="20"/>
  <c r="BD202" i="20"/>
  <c r="BD250" i="20"/>
  <c r="BD201" i="20"/>
  <c r="BD251" i="20"/>
  <c r="BD200" i="20"/>
  <c r="BD252" i="20"/>
  <c r="BD253" i="20"/>
  <c r="BD199" i="20"/>
  <c r="BD254" i="20"/>
  <c r="BD198" i="20"/>
  <c r="BD197" i="20"/>
  <c r="BD255" i="20"/>
  <c r="BD256" i="20"/>
  <c r="BD196" i="20"/>
  <c r="BD257" i="20"/>
  <c r="BD195" i="20"/>
  <c r="BD194" i="20"/>
  <c r="BD258" i="20"/>
  <c r="BD259" i="20"/>
  <c r="BD193" i="20"/>
  <c r="BD260" i="20"/>
  <c r="BD192" i="20"/>
  <c r="BD261" i="20"/>
  <c r="BD191" i="20"/>
  <c r="BD190" i="20"/>
  <c r="BD262" i="20"/>
  <c r="BD189" i="20"/>
  <c r="BD263" i="20"/>
  <c r="BD188" i="20"/>
  <c r="BD264" i="20"/>
  <c r="BD265" i="20"/>
  <c r="BD187" i="20"/>
  <c r="BD186" i="20"/>
  <c r="BD266" i="20"/>
  <c r="BD267" i="20"/>
  <c r="BD185" i="20"/>
  <c r="BD184" i="20"/>
  <c r="BD268" i="20"/>
  <c r="BD183" i="20"/>
  <c r="BD269" i="20"/>
  <c r="BD182" i="20"/>
  <c r="BD270" i="20"/>
  <c r="BD181" i="20"/>
  <c r="BD271" i="20"/>
  <c r="D8" i="20"/>
  <c r="F178" i="20"/>
  <c r="BD273" i="20"/>
  <c r="AV273" i="20"/>
  <c r="AN273" i="20"/>
  <c r="BB273" i="20"/>
  <c r="AT273" i="20"/>
  <c r="AL273" i="20"/>
  <c r="BA273" i="20"/>
  <c r="AS273" i="20"/>
  <c r="AI273" i="20"/>
  <c r="AA273" i="20"/>
  <c r="S273" i="20"/>
  <c r="K273" i="20"/>
  <c r="AR273" i="20"/>
  <c r="AH273" i="20"/>
  <c r="Z273" i="20"/>
  <c r="R273" i="20"/>
  <c r="J273" i="20"/>
  <c r="BC273" i="20"/>
  <c r="AQ273" i="20"/>
  <c r="AG273" i="20"/>
  <c r="Y273" i="20"/>
  <c r="Q273" i="20"/>
  <c r="I273" i="20"/>
  <c r="AZ273" i="20"/>
  <c r="AP273" i="20"/>
  <c r="AF273" i="20"/>
  <c r="X273" i="20"/>
  <c r="P273" i="20"/>
  <c r="H273" i="20"/>
  <c r="AU273" i="20"/>
  <c r="AB273" i="20"/>
  <c r="AO273" i="20"/>
  <c r="AM273" i="20"/>
  <c r="AY273" i="20"/>
  <c r="W273" i="20"/>
  <c r="G273" i="20"/>
  <c r="AX273" i="20"/>
  <c r="V273" i="20"/>
  <c r="AW273" i="20"/>
  <c r="U273" i="20"/>
  <c r="AK273" i="20"/>
  <c r="T273" i="20"/>
  <c r="AJ273" i="20"/>
  <c r="AE273" i="20"/>
  <c r="AD273" i="20"/>
  <c r="O273" i="20"/>
  <c r="AC273" i="20"/>
  <c r="N273" i="20"/>
  <c r="L273" i="20"/>
  <c r="M273" i="20"/>
  <c r="BC8" i="21"/>
  <c r="BD7" i="21"/>
  <c r="BD180" i="20" l="1"/>
  <c r="BD272" i="20"/>
  <c r="F275" i="20"/>
  <c r="D105" i="20"/>
  <c r="F106" i="20"/>
  <c r="BE7" i="21"/>
  <c r="BD8" i="21"/>
  <c r="BE176" i="20"/>
  <c r="BE273" i="20" s="1"/>
  <c r="BF175" i="20"/>
  <c r="BE245" i="20"/>
  <c r="BE249" i="20"/>
  <c r="BE253" i="20"/>
  <c r="BE195" i="20"/>
  <c r="BE191" i="20"/>
  <c r="BE265" i="20"/>
  <c r="BE269" i="20"/>
  <c r="D274" i="20"/>
  <c r="E274" i="20" s="1"/>
  <c r="E104" i="20"/>
  <c r="E8" i="20"/>
  <c r="D178" i="20"/>
  <c r="E178" i="20" s="1"/>
  <c r="BD223" i="20"/>
  <c r="AW274" i="20"/>
  <c r="AO274" i="20"/>
  <c r="AG274" i="20"/>
  <c r="Y274" i="20"/>
  <c r="Q274" i="20"/>
  <c r="I274" i="20"/>
  <c r="BC274" i="20"/>
  <c r="AU274" i="20"/>
  <c r="AM274" i="20"/>
  <c r="AE274" i="20"/>
  <c r="W274" i="20"/>
  <c r="O274" i="20"/>
  <c r="G274" i="20"/>
  <c r="BB274" i="20"/>
  <c r="AT274" i="20"/>
  <c r="AL274" i="20"/>
  <c r="AD274" i="20"/>
  <c r="V274" i="20"/>
  <c r="N274" i="20"/>
  <c r="AR274" i="20"/>
  <c r="AF274" i="20"/>
  <c r="S274" i="20"/>
  <c r="BD274" i="20"/>
  <c r="AQ274" i="20"/>
  <c r="AC274" i="20"/>
  <c r="R274" i="20"/>
  <c r="BA274" i="20"/>
  <c r="AP274" i="20"/>
  <c r="AB274" i="20"/>
  <c r="P274" i="20"/>
  <c r="AZ274" i="20"/>
  <c r="AN274" i="20"/>
  <c r="AA274" i="20"/>
  <c r="M274" i="20"/>
  <c r="AH274" i="20"/>
  <c r="H274" i="20"/>
  <c r="AY274" i="20"/>
  <c r="Z274" i="20"/>
  <c r="AX274" i="20"/>
  <c r="X274" i="20"/>
  <c r="AS274" i="20"/>
  <c r="T274" i="20"/>
  <c r="U274" i="20"/>
  <c r="L274" i="20"/>
  <c r="K274" i="20"/>
  <c r="J274" i="20"/>
  <c r="AV274" i="20"/>
  <c r="AK274" i="20"/>
  <c r="AJ274" i="20"/>
  <c r="AI274" i="20"/>
  <c r="BE179" i="20"/>
  <c r="BA178" i="20"/>
  <c r="AS178" i="20"/>
  <c r="AK178" i="20"/>
  <c r="AC178" i="20"/>
  <c r="U178" i="20"/>
  <c r="M178" i="20"/>
  <c r="AZ178" i="20"/>
  <c r="AR178" i="20"/>
  <c r="AJ178" i="20"/>
  <c r="AB178" i="20"/>
  <c r="T178" i="20"/>
  <c r="L178" i="20"/>
  <c r="AY178" i="20"/>
  <c r="AQ178" i="20"/>
  <c r="AI178" i="20"/>
  <c r="AA178" i="20"/>
  <c r="S178" i="20"/>
  <c r="K178" i="20"/>
  <c r="AX178" i="20"/>
  <c r="AP178" i="20"/>
  <c r="AH178" i="20"/>
  <c r="Z178" i="20"/>
  <c r="R178" i="20"/>
  <c r="J178" i="20"/>
  <c r="AT178" i="20"/>
  <c r="AD178" i="20"/>
  <c r="N178" i="20"/>
  <c r="V178" i="20"/>
  <c r="AG178" i="20"/>
  <c r="AO178" i="20"/>
  <c r="Y178" i="20"/>
  <c r="I178" i="20"/>
  <c r="AL178" i="20"/>
  <c r="AF178" i="20"/>
  <c r="AE178" i="20"/>
  <c r="BD178" i="20"/>
  <c r="AN178" i="20"/>
  <c r="X178" i="20"/>
  <c r="H178" i="20"/>
  <c r="BB178" i="20"/>
  <c r="AW178" i="20"/>
  <c r="Q178" i="20"/>
  <c r="AU178" i="20"/>
  <c r="BC178" i="20"/>
  <c r="AM178" i="20"/>
  <c r="W178" i="20"/>
  <c r="G178" i="20"/>
  <c r="AV178" i="20"/>
  <c r="P178" i="20"/>
  <c r="O178" i="20"/>
  <c r="BD228" i="20"/>
  <c r="BE233" i="20" l="1"/>
  <c r="BE188" i="20"/>
  <c r="BE200" i="20"/>
  <c r="BE240" i="20"/>
  <c r="BE232" i="20"/>
  <c r="BE180" i="20"/>
  <c r="BE256" i="20"/>
  <c r="BE220" i="20"/>
  <c r="BE178" i="20"/>
  <c r="BE181" i="20"/>
  <c r="BE267" i="20"/>
  <c r="BE189" i="20"/>
  <c r="BE193" i="20"/>
  <c r="BE197" i="20"/>
  <c r="BE201" i="20"/>
  <c r="BE247" i="20"/>
  <c r="BE243" i="20"/>
  <c r="BE213" i="20"/>
  <c r="BE217" i="20"/>
  <c r="BE221" i="20"/>
  <c r="BE227" i="20"/>
  <c r="D275" i="20"/>
  <c r="E275" i="20" s="1"/>
  <c r="E105" i="20"/>
  <c r="BE229" i="20"/>
  <c r="BE187" i="20"/>
  <c r="BE199" i="20"/>
  <c r="BE223" i="20"/>
  <c r="BE8" i="21"/>
  <c r="BF7" i="21"/>
  <c r="BE264" i="20"/>
  <c r="BE248" i="20"/>
  <c r="BE208" i="20"/>
  <c r="BE212" i="20"/>
  <c r="F276" i="20"/>
  <c r="F107" i="20"/>
  <c r="D106" i="20"/>
  <c r="BE271" i="20"/>
  <c r="BE185" i="20"/>
  <c r="BE263" i="20"/>
  <c r="BE259" i="20"/>
  <c r="BE255" i="20"/>
  <c r="BE251" i="20"/>
  <c r="BE205" i="20"/>
  <c r="BE209" i="20"/>
  <c r="BE239" i="20"/>
  <c r="BE235" i="20"/>
  <c r="BE231" i="20"/>
  <c r="BE226" i="20"/>
  <c r="AX275" i="20"/>
  <c r="AP275" i="20"/>
  <c r="AH275" i="20"/>
  <c r="Z275" i="20"/>
  <c r="R275" i="20"/>
  <c r="J275" i="20"/>
  <c r="BD275" i="20"/>
  <c r="AV275" i="20"/>
  <c r="AN275" i="20"/>
  <c r="AF275" i="20"/>
  <c r="X275" i="20"/>
  <c r="P275" i="20"/>
  <c r="H275" i="20"/>
  <c r="BC275" i="20"/>
  <c r="AU275" i="20"/>
  <c r="AM275" i="20"/>
  <c r="AE275" i="20"/>
  <c r="W275" i="20"/>
  <c r="O275" i="20"/>
  <c r="G275" i="20"/>
  <c r="BE275" i="20"/>
  <c r="AR275" i="20"/>
  <c r="AD275" i="20"/>
  <c r="S275" i="20"/>
  <c r="BB275" i="20"/>
  <c r="AQ275" i="20"/>
  <c r="AC275" i="20"/>
  <c r="Q275" i="20"/>
  <c r="BA275" i="20"/>
  <c r="AO275" i="20"/>
  <c r="AB275" i="20"/>
  <c r="N275" i="20"/>
  <c r="AZ275" i="20"/>
  <c r="AL275" i="20"/>
  <c r="AA275" i="20"/>
  <c r="M275" i="20"/>
  <c r="AS275" i="20"/>
  <c r="T275" i="20"/>
  <c r="AK275" i="20"/>
  <c r="L275" i="20"/>
  <c r="AJ275" i="20"/>
  <c r="K275" i="20"/>
  <c r="AG275" i="20"/>
  <c r="I275" i="20"/>
  <c r="AY275" i="20"/>
  <c r="AW275" i="20"/>
  <c r="AT275" i="20"/>
  <c r="AI275" i="20"/>
  <c r="V275" i="20"/>
  <c r="Y275" i="20"/>
  <c r="U275" i="20"/>
  <c r="BE211" i="20"/>
  <c r="BE215" i="20"/>
  <c r="BE183" i="20"/>
  <c r="BE257" i="20"/>
  <c r="BE207" i="20"/>
  <c r="BE241" i="20"/>
  <c r="BE237" i="20"/>
  <c r="BE184" i="20"/>
  <c r="BE192" i="20"/>
  <c r="BE204" i="20"/>
  <c r="BE236" i="20"/>
  <c r="BE260" i="20"/>
  <c r="BE224" i="20"/>
  <c r="BE274" i="20"/>
  <c r="BE270" i="20"/>
  <c r="BE186" i="20"/>
  <c r="BE262" i="20"/>
  <c r="BE258" i="20"/>
  <c r="BE198" i="20"/>
  <c r="BE250" i="20"/>
  <c r="BE246" i="20"/>
  <c r="BE210" i="20"/>
  <c r="BE214" i="20"/>
  <c r="BE218" i="20"/>
  <c r="BE222" i="20"/>
  <c r="BF176" i="20"/>
  <c r="BF226" i="20" s="1"/>
  <c r="BG175" i="20"/>
  <c r="BF224" i="20"/>
  <c r="BF228" i="20"/>
  <c r="BF229" i="20"/>
  <c r="BF223" i="20"/>
  <c r="BF230" i="20"/>
  <c r="BF222" i="20"/>
  <c r="BF220" i="20"/>
  <c r="BF233" i="20"/>
  <c r="BF219" i="20"/>
  <c r="BF234" i="20"/>
  <c r="BF218" i="20"/>
  <c r="BF236" i="20"/>
  <c r="BF216" i="20"/>
  <c r="BF237" i="20"/>
  <c r="BF238" i="20"/>
  <c r="BF214" i="20"/>
  <c r="BF240" i="20"/>
  <c r="BF212" i="20"/>
  <c r="BF241" i="20"/>
  <c r="BF211" i="20"/>
  <c r="BF210" i="20"/>
  <c r="BF208" i="20"/>
  <c r="BF244" i="20"/>
  <c r="BF245" i="20"/>
  <c r="BF207" i="20"/>
  <c r="BF206" i="20"/>
  <c r="BF246" i="20"/>
  <c r="BF248" i="20"/>
  <c r="BF204" i="20"/>
  <c r="BF249" i="20"/>
  <c r="BF203" i="20"/>
  <c r="BF202" i="20"/>
  <c r="BF250" i="20"/>
  <c r="BF252" i="20"/>
  <c r="BF200" i="20"/>
  <c r="BF253" i="20"/>
  <c r="BF199" i="20"/>
  <c r="BF254" i="20"/>
  <c r="BF198" i="20"/>
  <c r="BF196" i="20"/>
  <c r="BF256" i="20"/>
  <c r="BF195" i="20"/>
  <c r="BF257" i="20"/>
  <c r="BF258" i="20"/>
  <c r="BF194" i="20"/>
  <c r="BF260" i="20"/>
  <c r="BF192" i="20"/>
  <c r="BF261" i="20"/>
  <c r="BF191" i="20"/>
  <c r="BF190" i="20"/>
  <c r="BF262" i="20"/>
  <c r="BF264" i="20"/>
  <c r="BF188" i="20"/>
  <c r="BF187" i="20"/>
  <c r="BF265" i="20"/>
  <c r="BF186" i="20"/>
  <c r="BF266" i="20"/>
  <c r="BF268" i="20"/>
  <c r="BF184" i="20"/>
  <c r="BF183" i="20"/>
  <c r="BF269" i="20"/>
  <c r="BF182" i="20"/>
  <c r="BF270" i="20"/>
  <c r="BF272" i="20"/>
  <c r="BF180" i="20"/>
  <c r="BF179" i="20"/>
  <c r="BF273" i="20"/>
  <c r="BE261" i="20"/>
  <c r="BE203" i="20"/>
  <c r="BE219" i="20"/>
  <c r="BE272" i="20"/>
  <c r="BE196" i="20"/>
  <c r="BE244" i="20"/>
  <c r="BE228" i="20"/>
  <c r="BE268" i="20"/>
  <c r="BE252" i="20"/>
  <c r="BE216" i="20"/>
  <c r="BE182" i="20"/>
  <c r="BE266" i="20"/>
  <c r="BE190" i="20"/>
  <c r="BE194" i="20"/>
  <c r="BE254" i="20"/>
  <c r="BE202" i="20"/>
  <c r="BE206" i="20"/>
  <c r="BE242" i="20"/>
  <c r="BE238" i="20"/>
  <c r="BE234" i="20"/>
  <c r="BE230" i="20"/>
  <c r="BE225" i="20"/>
  <c r="BF242" i="20" l="1"/>
  <c r="BF215" i="20"/>
  <c r="BF232" i="20"/>
  <c r="BG176" i="20"/>
  <c r="BG226" i="20" s="1"/>
  <c r="BH175" i="20"/>
  <c r="BG227" i="20"/>
  <c r="BG225" i="20"/>
  <c r="BG228" i="20"/>
  <c r="BG224" i="20"/>
  <c r="BG223" i="20"/>
  <c r="BG229" i="20"/>
  <c r="BG230" i="20"/>
  <c r="BG221" i="20"/>
  <c r="BG231" i="20"/>
  <c r="BG220" i="20"/>
  <c r="BG232" i="20"/>
  <c r="BG233" i="20"/>
  <c r="BG219" i="20"/>
  <c r="BG218" i="20"/>
  <c r="BG217" i="20"/>
  <c r="BG235" i="20"/>
  <c r="BG216" i="20"/>
  <c r="BG236" i="20"/>
  <c r="BG215" i="20"/>
  <c r="BG237" i="20"/>
  <c r="BG214" i="20"/>
  <c r="BG239" i="20"/>
  <c r="BG213" i="20"/>
  <c r="BG212" i="20"/>
  <c r="BG240" i="20"/>
  <c r="BG241" i="20"/>
  <c r="BG211" i="20"/>
  <c r="BG210" i="20"/>
  <c r="BG242" i="20"/>
  <c r="BG243" i="20"/>
  <c r="BG209" i="20"/>
  <c r="BG208" i="20"/>
  <c r="BG244" i="20"/>
  <c r="BG245" i="20"/>
  <c r="BG207" i="20"/>
  <c r="BG206" i="20"/>
  <c r="BG246" i="20"/>
  <c r="BG205" i="20"/>
  <c r="BG247" i="20"/>
  <c r="BG204" i="20"/>
  <c r="BG248" i="20"/>
  <c r="BG203" i="20"/>
  <c r="BG249" i="20"/>
  <c r="BG202" i="20"/>
  <c r="BG250" i="20"/>
  <c r="BG251" i="20"/>
  <c r="BG201" i="20"/>
  <c r="BG252" i="20"/>
  <c r="BG200" i="20"/>
  <c r="BG199" i="20"/>
  <c r="BG253" i="20"/>
  <c r="BG198" i="20"/>
  <c r="BG254" i="20"/>
  <c r="BG197" i="20"/>
  <c r="BG255" i="20"/>
  <c r="BG196" i="20"/>
  <c r="BG256" i="20"/>
  <c r="BG257" i="20"/>
  <c r="BG195" i="20"/>
  <c r="BG258" i="20"/>
  <c r="BG194" i="20"/>
  <c r="BG193" i="20"/>
  <c r="BG259" i="20"/>
  <c r="BG192" i="20"/>
  <c r="BG260" i="20"/>
  <c r="BG191" i="20"/>
  <c r="BG261" i="20"/>
  <c r="BG262" i="20"/>
  <c r="BG190" i="20"/>
  <c r="BG189" i="20"/>
  <c r="BG263" i="20"/>
  <c r="BG188" i="20"/>
  <c r="BG264" i="20"/>
  <c r="BG187" i="20"/>
  <c r="BG265" i="20"/>
  <c r="BG186" i="20"/>
  <c r="BG266" i="20"/>
  <c r="BG267" i="20"/>
  <c r="BG185" i="20"/>
  <c r="BG184" i="20"/>
  <c r="BG268" i="20"/>
  <c r="BG269" i="20"/>
  <c r="BG183" i="20"/>
  <c r="BG270" i="20"/>
  <c r="BG182" i="20"/>
  <c r="BG271" i="20"/>
  <c r="BG181" i="20"/>
  <c r="BG272" i="20"/>
  <c r="BG180" i="20"/>
  <c r="BG179" i="20"/>
  <c r="BG273" i="20"/>
  <c r="BG178" i="20"/>
  <c r="BG274" i="20"/>
  <c r="BG275" i="20"/>
  <c r="BF274" i="20"/>
  <c r="BF178" i="20"/>
  <c r="BF225" i="20"/>
  <c r="BF231" i="20"/>
  <c r="BF217" i="20"/>
  <c r="BF239" i="20"/>
  <c r="BF209" i="20"/>
  <c r="BF247" i="20"/>
  <c r="BF201" i="20"/>
  <c r="BF197" i="20"/>
  <c r="BF259" i="20"/>
  <c r="BF189" i="20"/>
  <c r="BF185" i="20"/>
  <c r="BF181" i="20"/>
  <c r="BF227" i="20"/>
  <c r="BF221" i="20"/>
  <c r="BF235" i="20"/>
  <c r="BF213" i="20"/>
  <c r="BF243" i="20"/>
  <c r="BF205" i="20"/>
  <c r="BF251" i="20"/>
  <c r="BF255" i="20"/>
  <c r="BF193" i="20"/>
  <c r="BF263" i="20"/>
  <c r="BF267" i="20"/>
  <c r="BF271" i="20"/>
  <c r="BF275" i="20"/>
  <c r="BF8" i="21"/>
  <c r="BG7" i="21"/>
  <c r="D276" i="20"/>
  <c r="E276" i="20" s="1"/>
  <c r="E106" i="20"/>
  <c r="F277" i="20"/>
  <c r="D107" i="20"/>
  <c r="F108" i="20"/>
  <c r="BG276" i="20"/>
  <c r="AY276" i="20"/>
  <c r="AQ276" i="20"/>
  <c r="AI276" i="20"/>
  <c r="AA276" i="20"/>
  <c r="S276" i="20"/>
  <c r="K276" i="20"/>
  <c r="BE276" i="20"/>
  <c r="AW276" i="20"/>
  <c r="AO276" i="20"/>
  <c r="AG276" i="20"/>
  <c r="Y276" i="20"/>
  <c r="Q276" i="20"/>
  <c r="I276" i="20"/>
  <c r="BD276" i="20"/>
  <c r="AV276" i="20"/>
  <c r="AN276" i="20"/>
  <c r="AF276" i="20"/>
  <c r="X276" i="20"/>
  <c r="P276" i="20"/>
  <c r="H276" i="20"/>
  <c r="BC276" i="20"/>
  <c r="AR276" i="20"/>
  <c r="AD276" i="20"/>
  <c r="R276" i="20"/>
  <c r="BB276" i="20"/>
  <c r="AP276" i="20"/>
  <c r="AC276" i="20"/>
  <c r="O276" i="20"/>
  <c r="BA276" i="20"/>
  <c r="AM276" i="20"/>
  <c r="AB276" i="20"/>
  <c r="N276" i="20"/>
  <c r="AZ276" i="20"/>
  <c r="AL276" i="20"/>
  <c r="Z276" i="20"/>
  <c r="M276" i="20"/>
  <c r="BF276" i="20"/>
  <c r="AE276" i="20"/>
  <c r="AX276" i="20"/>
  <c r="W276" i="20"/>
  <c r="AU276" i="20"/>
  <c r="V276" i="20"/>
  <c r="AS276" i="20"/>
  <c r="T276" i="20"/>
  <c r="AT276" i="20"/>
  <c r="AK276" i="20"/>
  <c r="AJ276" i="20"/>
  <c r="AH276" i="20"/>
  <c r="U276" i="20"/>
  <c r="L276" i="20"/>
  <c r="J276" i="20"/>
  <c r="G276" i="20"/>
  <c r="BG8" i="21" l="1"/>
  <c r="BH7" i="21"/>
  <c r="BG238" i="20"/>
  <c r="BG234" i="20"/>
  <c r="BG222" i="20"/>
  <c r="BH176" i="20"/>
  <c r="BI175" i="20"/>
  <c r="BH225" i="20"/>
  <c r="BH227" i="20"/>
  <c r="BH224" i="20"/>
  <c r="BH221" i="20"/>
  <c r="BH231" i="20"/>
  <c r="BH220" i="20"/>
  <c r="BH219" i="20"/>
  <c r="BH235" i="20"/>
  <c r="BH217" i="20"/>
  <c r="BH236" i="20"/>
  <c r="BH213" i="20"/>
  <c r="BH239" i="20"/>
  <c r="BH212" i="20"/>
  <c r="BH211" i="20"/>
  <c r="BH209" i="20"/>
  <c r="BH243" i="20"/>
  <c r="BH208" i="20"/>
  <c r="BH207" i="20"/>
  <c r="BH247" i="20"/>
  <c r="BH205" i="20"/>
  <c r="BH248" i="20"/>
  <c r="BH203" i="20"/>
  <c r="BH251" i="20"/>
  <c r="BH201" i="20"/>
  <c r="BH252" i="20"/>
  <c r="BH199" i="20"/>
  <c r="BH255" i="20"/>
  <c r="BH197" i="20"/>
  <c r="BH196" i="20"/>
  <c r="BH195" i="20"/>
  <c r="BH193" i="20"/>
  <c r="BH259" i="20"/>
  <c r="BH192" i="20"/>
  <c r="BH261" i="20"/>
  <c r="BH189" i="20"/>
  <c r="BH263" i="20"/>
  <c r="BH264" i="20"/>
  <c r="BH187" i="20"/>
  <c r="BH185" i="20"/>
  <c r="BH267" i="20"/>
  <c r="BH268" i="20"/>
  <c r="BH269" i="20"/>
  <c r="BH271" i="20"/>
  <c r="BH181" i="20"/>
  <c r="BH180" i="20"/>
  <c r="BH179" i="20"/>
  <c r="BH275" i="20"/>
  <c r="D277" i="20"/>
  <c r="E277" i="20" s="1"/>
  <c r="E107" i="20"/>
  <c r="BH277" i="20"/>
  <c r="AZ277" i="20"/>
  <c r="AR277" i="20"/>
  <c r="AJ277" i="20"/>
  <c r="AB277" i="20"/>
  <c r="T277" i="20"/>
  <c r="L277" i="20"/>
  <c r="BF277" i="20"/>
  <c r="AX277" i="20"/>
  <c r="AP277" i="20"/>
  <c r="AH277" i="20"/>
  <c r="Z277" i="20"/>
  <c r="R277" i="20"/>
  <c r="J277" i="20"/>
  <c r="BE277" i="20"/>
  <c r="AW277" i="20"/>
  <c r="AO277" i="20"/>
  <c r="AG277" i="20"/>
  <c r="Y277" i="20"/>
  <c r="Q277" i="20"/>
  <c r="I277" i="20"/>
  <c r="BC277" i="20"/>
  <c r="AQ277" i="20"/>
  <c r="AD277" i="20"/>
  <c r="P277" i="20"/>
  <c r="BB277" i="20"/>
  <c r="AN277" i="20"/>
  <c r="AC277" i="20"/>
  <c r="O277" i="20"/>
  <c r="BA277" i="20"/>
  <c r="AM277" i="20"/>
  <c r="AA277" i="20"/>
  <c r="N277" i="20"/>
  <c r="AY277" i="20"/>
  <c r="AL277" i="20"/>
  <c r="X277" i="20"/>
  <c r="M277" i="20"/>
  <c r="AS277" i="20"/>
  <c r="S277" i="20"/>
  <c r="AK277" i="20"/>
  <c r="K277" i="20"/>
  <c r="AI277" i="20"/>
  <c r="H277" i="20"/>
  <c r="BD277" i="20"/>
  <c r="AE277" i="20"/>
  <c r="AF277" i="20"/>
  <c r="W277" i="20"/>
  <c r="V277" i="20"/>
  <c r="U277" i="20"/>
  <c r="BG277" i="20"/>
  <c r="G277" i="20"/>
  <c r="AV277" i="20"/>
  <c r="AU277" i="20"/>
  <c r="AT277" i="20"/>
  <c r="F278" i="20"/>
  <c r="D108" i="20"/>
  <c r="F109" i="20"/>
  <c r="BH228" i="20" l="1"/>
  <c r="BH232" i="20"/>
  <c r="BH216" i="20"/>
  <c r="BH240" i="20"/>
  <c r="BH244" i="20"/>
  <c r="BH204" i="20"/>
  <c r="BH200" i="20"/>
  <c r="BH256" i="20"/>
  <c r="BH260" i="20"/>
  <c r="BH188" i="20"/>
  <c r="BH184" i="20"/>
  <c r="BH272" i="20"/>
  <c r="BH276" i="20"/>
  <c r="BH229" i="20"/>
  <c r="BH233" i="20"/>
  <c r="BH237" i="20"/>
  <c r="BH241" i="20"/>
  <c r="BH245" i="20"/>
  <c r="BH249" i="20"/>
  <c r="BH253" i="20"/>
  <c r="BH257" i="20"/>
  <c r="BH191" i="20"/>
  <c r="BH265" i="20"/>
  <c r="BH183" i="20"/>
  <c r="BH273" i="20"/>
  <c r="BH230" i="20"/>
  <c r="BH234" i="20"/>
  <c r="BH238" i="20"/>
  <c r="BH242" i="20"/>
  <c r="BH206" i="20"/>
  <c r="BH202" i="20"/>
  <c r="BH198" i="20"/>
  <c r="BH194" i="20"/>
  <c r="BH190" i="20"/>
  <c r="BH266" i="20"/>
  <c r="BH182" i="20"/>
  <c r="BH274" i="20"/>
  <c r="BH226" i="20"/>
  <c r="BH222" i="20"/>
  <c r="BH218" i="20"/>
  <c r="BH214" i="20"/>
  <c r="BH210" i="20"/>
  <c r="BH246" i="20"/>
  <c r="BH250" i="20"/>
  <c r="BH254" i="20"/>
  <c r="BH258" i="20"/>
  <c r="BH262" i="20"/>
  <c r="BH186" i="20"/>
  <c r="BH270" i="20"/>
  <c r="BH178" i="20"/>
  <c r="BA278" i="20"/>
  <c r="AS278" i="20"/>
  <c r="AK278" i="20"/>
  <c r="AC278" i="20"/>
  <c r="U278" i="20"/>
  <c r="M278" i="20"/>
  <c r="BG278" i="20"/>
  <c r="AY278" i="20"/>
  <c r="AQ278" i="20"/>
  <c r="AI278" i="20"/>
  <c r="AA278" i="20"/>
  <c r="S278" i="20"/>
  <c r="K278" i="20"/>
  <c r="BF278" i="20"/>
  <c r="AX278" i="20"/>
  <c r="AP278" i="20"/>
  <c r="AH278" i="20"/>
  <c r="Z278" i="20"/>
  <c r="R278" i="20"/>
  <c r="J278" i="20"/>
  <c r="BC278" i="20"/>
  <c r="AO278" i="20"/>
  <c r="AD278" i="20"/>
  <c r="P278" i="20"/>
  <c r="BB278" i="20"/>
  <c r="AN278" i="20"/>
  <c r="AB278" i="20"/>
  <c r="O278" i="20"/>
  <c r="AZ278" i="20"/>
  <c r="AM278" i="20"/>
  <c r="Y278" i="20"/>
  <c r="N278" i="20"/>
  <c r="AW278" i="20"/>
  <c r="AL278" i="20"/>
  <c r="X278" i="20"/>
  <c r="L278" i="20"/>
  <c r="BD278" i="20"/>
  <c r="AE278" i="20"/>
  <c r="AV278" i="20"/>
  <c r="W278" i="20"/>
  <c r="AU278" i="20"/>
  <c r="V278" i="20"/>
  <c r="AR278" i="20"/>
  <c r="Q278" i="20"/>
  <c r="T278" i="20"/>
  <c r="I278" i="20"/>
  <c r="BH278" i="20"/>
  <c r="H278" i="20"/>
  <c r="BE278" i="20"/>
  <c r="G278" i="20"/>
  <c r="AT278" i="20"/>
  <c r="AJ278" i="20"/>
  <c r="AF278" i="20"/>
  <c r="AG278" i="20"/>
  <c r="BH215" i="20"/>
  <c r="BH223" i="20"/>
  <c r="F279" i="20"/>
  <c r="F110" i="20"/>
  <c r="D109" i="20"/>
  <c r="D278" i="20"/>
  <c r="E278" i="20" s="1"/>
  <c r="E108" i="20"/>
  <c r="BJ175" i="20"/>
  <c r="BI176" i="20"/>
  <c r="BI277" i="20" s="1"/>
  <c r="BI229" i="20"/>
  <c r="BI223" i="20"/>
  <c r="BI222" i="20"/>
  <c r="BI233" i="20"/>
  <c r="BI219" i="20"/>
  <c r="BI234" i="20"/>
  <c r="BI237" i="20"/>
  <c r="BI215" i="20"/>
  <c r="BI214" i="20"/>
  <c r="BI211" i="20"/>
  <c r="BI241" i="20"/>
  <c r="BI210" i="20"/>
  <c r="BI245" i="20"/>
  <c r="BI207" i="20"/>
  <c r="BI246" i="20"/>
  <c r="BI249" i="20"/>
  <c r="BI203" i="20"/>
  <c r="BI202" i="20"/>
  <c r="BI253" i="20"/>
  <c r="BI199" i="20"/>
  <c r="BI198" i="20"/>
  <c r="BI195" i="20"/>
  <c r="BI257" i="20"/>
  <c r="BI258" i="20"/>
  <c r="BI191" i="20"/>
  <c r="BI261" i="20"/>
  <c r="BI262" i="20"/>
  <c r="BI187" i="20"/>
  <c r="BI265" i="20"/>
  <c r="BI266" i="20"/>
  <c r="BI269" i="20"/>
  <c r="BI183" i="20"/>
  <c r="BI182" i="20"/>
  <c r="BI273" i="20"/>
  <c r="BI179" i="20"/>
  <c r="BI274" i="20"/>
  <c r="BI7" i="21"/>
  <c r="BH8" i="21"/>
  <c r="BI278" i="20" l="1"/>
  <c r="BI244" i="20"/>
  <c r="BI180" i="20"/>
  <c r="BI184" i="20"/>
  <c r="BI264" i="20"/>
  <c r="BI260" i="20"/>
  <c r="BI196" i="20"/>
  <c r="BI252" i="20"/>
  <c r="BI204" i="20"/>
  <c r="BI240" i="20"/>
  <c r="BI236" i="20"/>
  <c r="BI232" i="20"/>
  <c r="BI224" i="20"/>
  <c r="BJ7" i="21"/>
  <c r="BI8" i="21"/>
  <c r="BI272" i="20"/>
  <c r="BI268" i="20"/>
  <c r="BI188" i="20"/>
  <c r="BI192" i="20"/>
  <c r="BI256" i="20"/>
  <c r="BI200" i="20"/>
  <c r="BI248" i="20"/>
  <c r="BI208" i="20"/>
  <c r="BI212" i="20"/>
  <c r="BI216" i="20"/>
  <c r="BI220" i="20"/>
  <c r="BI228" i="20"/>
  <c r="D279" i="20"/>
  <c r="E279" i="20" s="1"/>
  <c r="E109" i="20"/>
  <c r="BK175" i="20"/>
  <c r="BJ176" i="20"/>
  <c r="BJ226" i="20" s="1"/>
  <c r="BJ227" i="20"/>
  <c r="BJ225" i="20"/>
  <c r="BJ222" i="20"/>
  <c r="BJ231" i="20"/>
  <c r="BJ218" i="20"/>
  <c r="BJ217" i="20"/>
  <c r="BJ214" i="20"/>
  <c r="BJ213" i="20"/>
  <c r="BJ242" i="20"/>
  <c r="BJ209" i="20"/>
  <c r="BJ206" i="20"/>
  <c r="BJ205" i="20"/>
  <c r="BJ202" i="20"/>
  <c r="BJ201" i="20"/>
  <c r="BJ254" i="20"/>
  <c r="BJ255" i="20"/>
  <c r="BJ194" i="20"/>
  <c r="BJ258" i="20"/>
  <c r="BJ259" i="20"/>
  <c r="BJ190" i="20"/>
  <c r="BJ262" i="20"/>
  <c r="BJ189" i="20"/>
  <c r="BJ266" i="20"/>
  <c r="BJ186" i="20"/>
  <c r="BJ267" i="20"/>
  <c r="BJ270" i="20"/>
  <c r="BJ182" i="20"/>
  <c r="BJ181" i="20"/>
  <c r="BJ178" i="20"/>
  <c r="BJ274" i="20"/>
  <c r="BJ275" i="20"/>
  <c r="BI276" i="20"/>
  <c r="BI271" i="20"/>
  <c r="BI185" i="20"/>
  <c r="BI189" i="20"/>
  <c r="BI193" i="20"/>
  <c r="BI255" i="20"/>
  <c r="BI201" i="20"/>
  <c r="BI247" i="20"/>
  <c r="BI243" i="20"/>
  <c r="BI213" i="20"/>
  <c r="BI217" i="20"/>
  <c r="BI231" i="20"/>
  <c r="BI227" i="20"/>
  <c r="D110" i="20"/>
  <c r="F280" i="20"/>
  <c r="F111" i="20"/>
  <c r="BI275" i="20"/>
  <c r="BI181" i="20"/>
  <c r="BI267" i="20"/>
  <c r="BI263" i="20"/>
  <c r="BI259" i="20"/>
  <c r="BI197" i="20"/>
  <c r="BI251" i="20"/>
  <c r="BI205" i="20"/>
  <c r="BI209" i="20"/>
  <c r="BI239" i="20"/>
  <c r="BI235" i="20"/>
  <c r="BI221" i="20"/>
  <c r="BI225" i="20"/>
  <c r="BB279" i="20"/>
  <c r="AT279" i="20"/>
  <c r="AL279" i="20"/>
  <c r="AD279" i="20"/>
  <c r="V279" i="20"/>
  <c r="N279" i="20"/>
  <c r="BH279" i="20"/>
  <c r="AZ279" i="20"/>
  <c r="AR279" i="20"/>
  <c r="AJ279" i="20"/>
  <c r="AB279" i="20"/>
  <c r="T279" i="20"/>
  <c r="L279" i="20"/>
  <c r="BG279" i="20"/>
  <c r="AY279" i="20"/>
  <c r="AQ279" i="20"/>
  <c r="AI279" i="20"/>
  <c r="AA279" i="20"/>
  <c r="S279" i="20"/>
  <c r="K279" i="20"/>
  <c r="BC279" i="20"/>
  <c r="AO279" i="20"/>
  <c r="AC279" i="20"/>
  <c r="P279" i="20"/>
  <c r="BA279" i="20"/>
  <c r="AN279" i="20"/>
  <c r="Z279" i="20"/>
  <c r="O279" i="20"/>
  <c r="AX279" i="20"/>
  <c r="AM279" i="20"/>
  <c r="Y279" i="20"/>
  <c r="M279" i="20"/>
  <c r="AW279" i="20"/>
  <c r="AK279" i="20"/>
  <c r="X279" i="20"/>
  <c r="J279" i="20"/>
  <c r="AP279" i="20"/>
  <c r="Q279" i="20"/>
  <c r="BI279" i="20"/>
  <c r="AH279" i="20"/>
  <c r="I279" i="20"/>
  <c r="BF279" i="20"/>
  <c r="AG279" i="20"/>
  <c r="H279" i="20"/>
  <c r="BD279" i="20"/>
  <c r="AE279" i="20"/>
  <c r="BE279" i="20"/>
  <c r="G279" i="20"/>
  <c r="AV279" i="20"/>
  <c r="AU279" i="20"/>
  <c r="AS279" i="20"/>
  <c r="AF279" i="20"/>
  <c r="W279" i="20"/>
  <c r="U279" i="20"/>
  <c r="R279" i="20"/>
  <c r="BI178" i="20"/>
  <c r="BI270" i="20"/>
  <c r="BI186" i="20"/>
  <c r="BI190" i="20"/>
  <c r="BI194" i="20"/>
  <c r="BI254" i="20"/>
  <c r="BI250" i="20"/>
  <c r="BI206" i="20"/>
  <c r="BI242" i="20"/>
  <c r="BI238" i="20"/>
  <c r="BI218" i="20"/>
  <c r="BI230" i="20"/>
  <c r="BI226" i="20"/>
  <c r="BK7" i="21" l="1"/>
  <c r="BJ8" i="21"/>
  <c r="BJ250" i="20"/>
  <c r="BJ238" i="20"/>
  <c r="BJ234" i="20"/>
  <c r="BJ183" i="20"/>
  <c r="BJ261" i="20"/>
  <c r="BJ249" i="20"/>
  <c r="BJ237" i="20"/>
  <c r="BJ229" i="20"/>
  <c r="BC280" i="20"/>
  <c r="AU280" i="20"/>
  <c r="AM280" i="20"/>
  <c r="AE280" i="20"/>
  <c r="W280" i="20"/>
  <c r="O280" i="20"/>
  <c r="G280" i="20"/>
  <c r="BI280" i="20"/>
  <c r="BA280" i="20"/>
  <c r="AS280" i="20"/>
  <c r="AK280" i="20"/>
  <c r="AC280" i="20"/>
  <c r="U280" i="20"/>
  <c r="M280" i="20"/>
  <c r="BH280" i="20"/>
  <c r="AZ280" i="20"/>
  <c r="AR280" i="20"/>
  <c r="AJ280" i="20"/>
  <c r="AB280" i="20"/>
  <c r="T280" i="20"/>
  <c r="L280" i="20"/>
  <c r="BB280" i="20"/>
  <c r="AO280" i="20"/>
  <c r="AA280" i="20"/>
  <c r="P280" i="20"/>
  <c r="AY280" i="20"/>
  <c r="AN280" i="20"/>
  <c r="Z280" i="20"/>
  <c r="N280" i="20"/>
  <c r="AX280" i="20"/>
  <c r="AL280" i="20"/>
  <c r="Y280" i="20"/>
  <c r="K280" i="20"/>
  <c r="BJ280" i="20"/>
  <c r="AW280" i="20"/>
  <c r="AI280" i="20"/>
  <c r="X280" i="20"/>
  <c r="J280" i="20"/>
  <c r="BD280" i="20"/>
  <c r="AD280" i="20"/>
  <c r="AV280" i="20"/>
  <c r="V280" i="20"/>
  <c r="AT280" i="20"/>
  <c r="S280" i="20"/>
  <c r="AP280" i="20"/>
  <c r="Q280" i="20"/>
  <c r="AQ280" i="20"/>
  <c r="AH280" i="20"/>
  <c r="AG280" i="20"/>
  <c r="AF280" i="20"/>
  <c r="BG280" i="20"/>
  <c r="BF280" i="20"/>
  <c r="BE280" i="20"/>
  <c r="R280" i="20"/>
  <c r="H280" i="20"/>
  <c r="I280" i="20"/>
  <c r="D280" i="20"/>
  <c r="E280" i="20" s="1"/>
  <c r="E110" i="20"/>
  <c r="BJ198" i="20"/>
  <c r="BJ246" i="20"/>
  <c r="BJ230" i="20"/>
  <c r="BJ195" i="20"/>
  <c r="BJ278" i="20"/>
  <c r="BJ279" i="20"/>
  <c r="BJ179" i="20"/>
  <c r="BJ269" i="20"/>
  <c r="BJ265" i="20"/>
  <c r="BJ191" i="20"/>
  <c r="BJ257" i="20"/>
  <c r="BJ253" i="20"/>
  <c r="BJ203" i="20"/>
  <c r="BJ207" i="20"/>
  <c r="BJ211" i="20"/>
  <c r="BJ215" i="20"/>
  <c r="BJ219" i="20"/>
  <c r="BJ223" i="20"/>
  <c r="BJ210" i="20"/>
  <c r="BJ273" i="20"/>
  <c r="BJ187" i="20"/>
  <c r="BJ199" i="20"/>
  <c r="BJ245" i="20"/>
  <c r="BJ241" i="20"/>
  <c r="BJ233" i="20"/>
  <c r="BL175" i="20"/>
  <c r="BK176" i="20"/>
  <c r="BK225" i="20" s="1"/>
  <c r="BK227" i="20"/>
  <c r="BK226" i="20"/>
  <c r="BK230" i="20"/>
  <c r="BK222" i="20"/>
  <c r="BK231" i="20"/>
  <c r="BK234" i="20"/>
  <c r="BK218" i="20"/>
  <c r="BK235" i="20"/>
  <c r="BK214" i="20"/>
  <c r="BK238" i="20"/>
  <c r="BK213" i="20"/>
  <c r="BK242" i="20"/>
  <c r="BK210" i="20"/>
  <c r="BK243" i="20"/>
  <c r="BK246" i="20"/>
  <c r="BK206" i="20"/>
  <c r="BK247" i="20"/>
  <c r="BK202" i="20"/>
  <c r="BK250" i="20"/>
  <c r="BK201" i="20"/>
  <c r="BK198" i="20"/>
  <c r="BK254" i="20"/>
  <c r="BK255" i="20"/>
  <c r="BK194" i="20"/>
  <c r="BK258" i="20"/>
  <c r="BK193" i="20"/>
  <c r="BK262" i="20"/>
  <c r="BK190" i="20"/>
  <c r="BK189" i="20"/>
  <c r="BK266" i="20"/>
  <c r="BK186" i="20"/>
  <c r="BK267" i="20"/>
  <c r="BK270" i="20"/>
  <c r="BK182" i="20"/>
  <c r="BK271" i="20"/>
  <c r="BK274" i="20"/>
  <c r="BK178" i="20"/>
  <c r="BK275" i="20"/>
  <c r="BJ272" i="20"/>
  <c r="BJ184" i="20"/>
  <c r="BJ188" i="20"/>
  <c r="BJ260" i="20"/>
  <c r="BJ196" i="20"/>
  <c r="BJ200" i="20"/>
  <c r="BJ204" i="20"/>
  <c r="BJ244" i="20"/>
  <c r="BJ212" i="20"/>
  <c r="BJ216" i="20"/>
  <c r="BJ220" i="20"/>
  <c r="BJ224" i="20"/>
  <c r="BK279" i="20"/>
  <c r="BJ277" i="20"/>
  <c r="BJ180" i="20"/>
  <c r="BJ268" i="20"/>
  <c r="BJ264" i="20"/>
  <c r="BJ192" i="20"/>
  <c r="BJ256" i="20"/>
  <c r="BJ252" i="20"/>
  <c r="BJ248" i="20"/>
  <c r="BJ208" i="20"/>
  <c r="BJ240" i="20"/>
  <c r="BJ236" i="20"/>
  <c r="BJ232" i="20"/>
  <c r="BJ228" i="20"/>
  <c r="F281" i="20"/>
  <c r="F112" i="20"/>
  <c r="D111" i="20"/>
  <c r="BJ276" i="20"/>
  <c r="BJ271" i="20"/>
  <c r="BJ185" i="20"/>
  <c r="BJ263" i="20"/>
  <c r="BJ193" i="20"/>
  <c r="BJ197" i="20"/>
  <c r="BJ251" i="20"/>
  <c r="BJ247" i="20"/>
  <c r="BJ243" i="20"/>
  <c r="BJ239" i="20"/>
  <c r="BJ235" i="20"/>
  <c r="BJ221" i="20"/>
  <c r="BK191" i="20" l="1"/>
  <c r="BK249" i="20"/>
  <c r="BK223" i="20"/>
  <c r="D281" i="20"/>
  <c r="E281" i="20" s="1"/>
  <c r="E111" i="20"/>
  <c r="BK179" i="20"/>
  <c r="BK269" i="20"/>
  <c r="BK187" i="20"/>
  <c r="BK261" i="20"/>
  <c r="BK195" i="20"/>
  <c r="BK199" i="20"/>
  <c r="BK203" i="20"/>
  <c r="BK245" i="20"/>
  <c r="BK211" i="20"/>
  <c r="BK237" i="20"/>
  <c r="BK219" i="20"/>
  <c r="BK229" i="20"/>
  <c r="BL7" i="21"/>
  <c r="BK8" i="21"/>
  <c r="BK280" i="20"/>
  <c r="F282" i="20"/>
  <c r="F113" i="20"/>
  <c r="D112" i="20"/>
  <c r="BK278" i="20"/>
  <c r="BK180" i="20"/>
  <c r="BK268" i="20"/>
  <c r="BK264" i="20"/>
  <c r="BK192" i="20"/>
  <c r="BK196" i="20"/>
  <c r="BK200" i="20"/>
  <c r="BK204" i="20"/>
  <c r="BK208" i="20"/>
  <c r="BK240" i="20"/>
  <c r="BK236" i="20"/>
  <c r="BK232" i="20"/>
  <c r="BK224" i="20"/>
  <c r="BK273" i="20"/>
  <c r="BK183" i="20"/>
  <c r="BK257" i="20"/>
  <c r="BK207" i="20"/>
  <c r="BK241" i="20"/>
  <c r="BK215" i="20"/>
  <c r="BM175" i="20"/>
  <c r="BL176" i="20"/>
  <c r="BL280" i="20" s="1"/>
  <c r="BL227" i="20"/>
  <c r="BL225" i="20"/>
  <c r="BL226" i="20"/>
  <c r="BL222" i="20"/>
  <c r="BL221" i="20"/>
  <c r="BL231" i="20"/>
  <c r="BL234" i="20"/>
  <c r="BL217" i="20"/>
  <c r="BL235" i="20"/>
  <c r="BL214" i="20"/>
  <c r="BL239" i="20"/>
  <c r="BL213" i="20"/>
  <c r="BL210" i="20"/>
  <c r="BL243" i="20"/>
  <c r="BL209" i="20"/>
  <c r="BL246" i="20"/>
  <c r="BL247" i="20"/>
  <c r="BL205" i="20"/>
  <c r="BL250" i="20"/>
  <c r="BL201" i="20"/>
  <c r="BL251" i="20"/>
  <c r="BL254" i="20"/>
  <c r="BL255" i="20"/>
  <c r="BL197" i="20"/>
  <c r="BL194" i="20"/>
  <c r="BL193" i="20"/>
  <c r="BL259" i="20"/>
  <c r="BL190" i="20"/>
  <c r="BL189" i="20"/>
  <c r="BL263" i="20"/>
  <c r="BL266" i="20"/>
  <c r="BL185" i="20"/>
  <c r="BL267" i="20"/>
  <c r="BL182" i="20"/>
  <c r="BL270" i="20"/>
  <c r="BL181" i="20"/>
  <c r="BL271" i="20"/>
  <c r="BL274" i="20"/>
  <c r="BL178" i="20"/>
  <c r="BL275" i="20"/>
  <c r="BL276" i="20"/>
  <c r="BD281" i="20"/>
  <c r="AV281" i="20"/>
  <c r="AN281" i="20"/>
  <c r="AF281" i="20"/>
  <c r="X281" i="20"/>
  <c r="P281" i="20"/>
  <c r="H281" i="20"/>
  <c r="BJ281" i="20"/>
  <c r="BB281" i="20"/>
  <c r="AT281" i="20"/>
  <c r="AL281" i="20"/>
  <c r="AD281" i="20"/>
  <c r="V281" i="20"/>
  <c r="N281" i="20"/>
  <c r="BI281" i="20"/>
  <c r="BA281" i="20"/>
  <c r="AS281" i="20"/>
  <c r="AK281" i="20"/>
  <c r="AC281" i="20"/>
  <c r="U281" i="20"/>
  <c r="M281" i="20"/>
  <c r="AZ281" i="20"/>
  <c r="AO281" i="20"/>
  <c r="AA281" i="20"/>
  <c r="O281" i="20"/>
  <c r="AY281" i="20"/>
  <c r="AM281" i="20"/>
  <c r="Z281" i="20"/>
  <c r="L281" i="20"/>
  <c r="BK281" i="20"/>
  <c r="AX281" i="20"/>
  <c r="AJ281" i="20"/>
  <c r="Y281" i="20"/>
  <c r="K281" i="20"/>
  <c r="BH281" i="20"/>
  <c r="AW281" i="20"/>
  <c r="AI281" i="20"/>
  <c r="W281" i="20"/>
  <c r="J281" i="20"/>
  <c r="AP281" i="20"/>
  <c r="Q281" i="20"/>
  <c r="BG281" i="20"/>
  <c r="AH281" i="20"/>
  <c r="I281" i="20"/>
  <c r="BF281" i="20"/>
  <c r="AG281" i="20"/>
  <c r="G281" i="20"/>
  <c r="BC281" i="20"/>
  <c r="AB281" i="20"/>
  <c r="AE281" i="20"/>
  <c r="T281" i="20"/>
  <c r="S281" i="20"/>
  <c r="R281" i="20"/>
  <c r="BE281" i="20"/>
  <c r="AQ281" i="20"/>
  <c r="AU281" i="20"/>
  <c r="AR281" i="20"/>
  <c r="BK277" i="20"/>
  <c r="BK272" i="20"/>
  <c r="BK184" i="20"/>
  <c r="BK188" i="20"/>
  <c r="BK260" i="20"/>
  <c r="BK256" i="20"/>
  <c r="BK252" i="20"/>
  <c r="BK248" i="20"/>
  <c r="BK244" i="20"/>
  <c r="BK212" i="20"/>
  <c r="BK216" i="20"/>
  <c r="BK220" i="20"/>
  <c r="BK228" i="20"/>
  <c r="BK265" i="20"/>
  <c r="BK253" i="20"/>
  <c r="BK233" i="20"/>
  <c r="BK276" i="20"/>
  <c r="BK181" i="20"/>
  <c r="BK185" i="20"/>
  <c r="BK263" i="20"/>
  <c r="BK259" i="20"/>
  <c r="BK197" i="20"/>
  <c r="BK251" i="20"/>
  <c r="BK205" i="20"/>
  <c r="BK209" i="20"/>
  <c r="BK239" i="20"/>
  <c r="BK217" i="20"/>
  <c r="BK221" i="20"/>
  <c r="D282" i="20" l="1"/>
  <c r="E282" i="20" s="1"/>
  <c r="E112" i="20"/>
  <c r="F283" i="20"/>
  <c r="D113" i="20"/>
  <c r="F114" i="20"/>
  <c r="BL186" i="20"/>
  <c r="BL262" i="20"/>
  <c r="BL202" i="20"/>
  <c r="BL242" i="20"/>
  <c r="BL218" i="20"/>
  <c r="BL261" i="20"/>
  <c r="BL279" i="20"/>
  <c r="BL179" i="20"/>
  <c r="BL183" i="20"/>
  <c r="BL265" i="20"/>
  <c r="BL191" i="20"/>
  <c r="BL257" i="20"/>
  <c r="BL199" i="20"/>
  <c r="BL203" i="20"/>
  <c r="BL245" i="20"/>
  <c r="BL211" i="20"/>
  <c r="BL237" i="20"/>
  <c r="BL219" i="20"/>
  <c r="BL223" i="20"/>
  <c r="BM7" i="21"/>
  <c r="BL8" i="21"/>
  <c r="BL258" i="20"/>
  <c r="BL206" i="20"/>
  <c r="BL238" i="20"/>
  <c r="BL230" i="20"/>
  <c r="BE282" i="20"/>
  <c r="AW282" i="20"/>
  <c r="AO282" i="20"/>
  <c r="AG282" i="20"/>
  <c r="Y282" i="20"/>
  <c r="Q282" i="20"/>
  <c r="I282" i="20"/>
  <c r="BK282" i="20"/>
  <c r="BC282" i="20"/>
  <c r="AU282" i="20"/>
  <c r="AM282" i="20"/>
  <c r="AE282" i="20"/>
  <c r="W282" i="20"/>
  <c r="O282" i="20"/>
  <c r="G282" i="20"/>
  <c r="BJ282" i="20"/>
  <c r="BB282" i="20"/>
  <c r="AT282" i="20"/>
  <c r="AL282" i="20"/>
  <c r="AD282" i="20"/>
  <c r="V282" i="20"/>
  <c r="N282" i="20"/>
  <c r="AZ282" i="20"/>
  <c r="AN282" i="20"/>
  <c r="AA282" i="20"/>
  <c r="M282" i="20"/>
  <c r="BL282" i="20"/>
  <c r="AY282" i="20"/>
  <c r="AK282" i="20"/>
  <c r="Z282" i="20"/>
  <c r="L282" i="20"/>
  <c r="BI282" i="20"/>
  <c r="AX282" i="20"/>
  <c r="AJ282" i="20"/>
  <c r="X282" i="20"/>
  <c r="K282" i="20"/>
  <c r="BH282" i="20"/>
  <c r="AV282" i="20"/>
  <c r="AI282" i="20"/>
  <c r="U282" i="20"/>
  <c r="J282" i="20"/>
  <c r="BA282" i="20"/>
  <c r="AB282" i="20"/>
  <c r="AS282" i="20"/>
  <c r="T282" i="20"/>
  <c r="AR282" i="20"/>
  <c r="S282" i="20"/>
  <c r="AP282" i="20"/>
  <c r="P282" i="20"/>
  <c r="R282" i="20"/>
  <c r="BG282" i="20"/>
  <c r="H282" i="20"/>
  <c r="BF282" i="20"/>
  <c r="BD282" i="20"/>
  <c r="AQ282" i="20"/>
  <c r="AH282" i="20"/>
  <c r="AF282" i="20"/>
  <c r="AC282" i="20"/>
  <c r="BL187" i="20"/>
  <c r="BL249" i="20"/>
  <c r="BL241" i="20"/>
  <c r="BL215" i="20"/>
  <c r="BM176" i="20"/>
  <c r="BM281" i="20" s="1"/>
  <c r="BN175" i="20"/>
  <c r="BM230" i="20"/>
  <c r="BM234" i="20"/>
  <c r="BM238" i="20"/>
  <c r="BM210" i="20"/>
  <c r="BM246" i="20"/>
  <c r="BM202" i="20"/>
  <c r="BM253" i="20"/>
  <c r="BM198" i="20"/>
  <c r="BM195" i="20"/>
  <c r="BM258" i="20"/>
  <c r="BM191" i="20"/>
  <c r="BM190" i="20"/>
  <c r="BM265" i="20"/>
  <c r="BM266" i="20"/>
  <c r="BM269" i="20"/>
  <c r="BM182" i="20"/>
  <c r="BM273" i="20"/>
  <c r="BM274" i="20"/>
  <c r="BM280" i="20"/>
  <c r="BL278" i="20"/>
  <c r="BL180" i="20"/>
  <c r="BL268" i="20"/>
  <c r="BL188" i="20"/>
  <c r="BL192" i="20"/>
  <c r="BL256" i="20"/>
  <c r="BL200" i="20"/>
  <c r="BL204" i="20"/>
  <c r="BL208" i="20"/>
  <c r="BL240" i="20"/>
  <c r="BL236" i="20"/>
  <c r="BL232" i="20"/>
  <c r="BL228" i="20"/>
  <c r="BL198" i="20"/>
  <c r="BL273" i="20"/>
  <c r="BL269" i="20"/>
  <c r="BL195" i="20"/>
  <c r="BL253" i="20"/>
  <c r="BL207" i="20"/>
  <c r="BL233" i="20"/>
  <c r="BL229" i="20"/>
  <c r="BL281" i="20"/>
  <c r="BL277" i="20"/>
  <c r="BL272" i="20"/>
  <c r="BL184" i="20"/>
  <c r="BL264" i="20"/>
  <c r="BL260" i="20"/>
  <c r="BL196" i="20"/>
  <c r="BL252" i="20"/>
  <c r="BL248" i="20"/>
  <c r="BL244" i="20"/>
  <c r="BL212" i="20"/>
  <c r="BL216" i="20"/>
  <c r="BL220" i="20"/>
  <c r="BL224" i="20"/>
  <c r="BM207" i="20" l="1"/>
  <c r="BM187" i="20"/>
  <c r="BM245" i="20"/>
  <c r="BM278" i="20"/>
  <c r="BM260" i="20"/>
  <c r="BM244" i="20"/>
  <c r="BM224" i="20"/>
  <c r="BM277" i="20"/>
  <c r="BM272" i="20"/>
  <c r="BM184" i="20"/>
  <c r="BM264" i="20"/>
  <c r="BM192" i="20"/>
  <c r="BM256" i="20"/>
  <c r="BM200" i="20"/>
  <c r="BM248" i="20"/>
  <c r="BM208" i="20"/>
  <c r="BM212" i="20"/>
  <c r="BM216" i="20"/>
  <c r="BM232" i="20"/>
  <c r="BM228" i="20"/>
  <c r="BM282" i="20"/>
  <c r="D283" i="20"/>
  <c r="E283" i="20" s="1"/>
  <c r="E113" i="20"/>
  <c r="BM237" i="20"/>
  <c r="BM215" i="20"/>
  <c r="BM268" i="20"/>
  <c r="BM196" i="20"/>
  <c r="BM240" i="20"/>
  <c r="BM276" i="20"/>
  <c r="BM271" i="20"/>
  <c r="BM185" i="20"/>
  <c r="BM263" i="20"/>
  <c r="BM193" i="20"/>
  <c r="BM197" i="20"/>
  <c r="BM201" i="20"/>
  <c r="BM247" i="20"/>
  <c r="BM243" i="20"/>
  <c r="BM213" i="20"/>
  <c r="BM217" i="20"/>
  <c r="BM221" i="20"/>
  <c r="BM226" i="20"/>
  <c r="BF283" i="20"/>
  <c r="AX283" i="20"/>
  <c r="AP283" i="20"/>
  <c r="AH283" i="20"/>
  <c r="Z283" i="20"/>
  <c r="R283" i="20"/>
  <c r="J283" i="20"/>
  <c r="BL283" i="20"/>
  <c r="BD283" i="20"/>
  <c r="AV283" i="20"/>
  <c r="AN283" i="20"/>
  <c r="AF283" i="20"/>
  <c r="X283" i="20"/>
  <c r="P283" i="20"/>
  <c r="H283" i="20"/>
  <c r="BK283" i="20"/>
  <c r="BC283" i="20"/>
  <c r="AU283" i="20"/>
  <c r="AM283" i="20"/>
  <c r="AE283" i="20"/>
  <c r="W283" i="20"/>
  <c r="O283" i="20"/>
  <c r="G283" i="20"/>
  <c r="BM283" i="20"/>
  <c r="AZ283" i="20"/>
  <c r="AL283" i="20"/>
  <c r="AA283" i="20"/>
  <c r="M283" i="20"/>
  <c r="BJ283" i="20"/>
  <c r="AY283" i="20"/>
  <c r="AK283" i="20"/>
  <c r="Y283" i="20"/>
  <c r="L283" i="20"/>
  <c r="BI283" i="20"/>
  <c r="AW283" i="20"/>
  <c r="AJ283" i="20"/>
  <c r="V283" i="20"/>
  <c r="K283" i="20"/>
  <c r="BH283" i="20"/>
  <c r="AT283" i="20"/>
  <c r="AI283" i="20"/>
  <c r="U283" i="20"/>
  <c r="I283" i="20"/>
  <c r="AO283" i="20"/>
  <c r="N283" i="20"/>
  <c r="BG283" i="20"/>
  <c r="AG283" i="20"/>
  <c r="BE283" i="20"/>
  <c r="AD283" i="20"/>
  <c r="BA283" i="20"/>
  <c r="AB283" i="20"/>
  <c r="BB283" i="20"/>
  <c r="AS283" i="20"/>
  <c r="AR283" i="20"/>
  <c r="AQ283" i="20"/>
  <c r="AC283" i="20"/>
  <c r="T283" i="20"/>
  <c r="Q283" i="20"/>
  <c r="S283" i="20"/>
  <c r="BM249" i="20"/>
  <c r="BM211" i="20"/>
  <c r="BM219" i="20"/>
  <c r="BM223" i="20"/>
  <c r="BM183" i="20"/>
  <c r="BM203" i="20"/>
  <c r="BM233" i="20"/>
  <c r="BM188" i="20"/>
  <c r="BM204" i="20"/>
  <c r="BM236" i="20"/>
  <c r="BM275" i="20"/>
  <c r="BM181" i="20"/>
  <c r="BM267" i="20"/>
  <c r="BM189" i="20"/>
  <c r="BM259" i="20"/>
  <c r="BM255" i="20"/>
  <c r="BM251" i="20"/>
  <c r="BM205" i="20"/>
  <c r="BM209" i="20"/>
  <c r="BM239" i="20"/>
  <c r="BM235" i="20"/>
  <c r="BM231" i="20"/>
  <c r="BM227" i="20"/>
  <c r="BN176" i="20"/>
  <c r="BN282" i="20" s="1"/>
  <c r="BN225" i="20"/>
  <c r="BO175" i="20"/>
  <c r="BN227" i="20"/>
  <c r="BN228" i="20"/>
  <c r="BN224" i="20"/>
  <c r="BN223" i="20"/>
  <c r="BN222" i="20"/>
  <c r="BN231" i="20"/>
  <c r="BN221" i="20"/>
  <c r="BN220" i="20"/>
  <c r="BN232" i="20"/>
  <c r="BN233" i="20"/>
  <c r="BN234" i="20"/>
  <c r="BN217" i="20"/>
  <c r="BN235" i="20"/>
  <c r="BN216" i="20"/>
  <c r="BN236" i="20"/>
  <c r="BN215" i="20"/>
  <c r="BN214" i="20"/>
  <c r="BN239" i="20"/>
  <c r="BN213" i="20"/>
  <c r="BN240" i="20"/>
  <c r="BN212" i="20"/>
  <c r="BN241" i="20"/>
  <c r="BN242" i="20"/>
  <c r="BN209" i="20"/>
  <c r="BN243" i="20"/>
  <c r="BN208" i="20"/>
  <c r="BN244" i="20"/>
  <c r="BN207" i="20"/>
  <c r="BN246" i="20"/>
  <c r="BN247" i="20"/>
  <c r="BN205" i="20"/>
  <c r="BN204" i="20"/>
  <c r="BN248" i="20"/>
  <c r="BN249" i="20"/>
  <c r="BN250" i="20"/>
  <c r="BN251" i="20"/>
  <c r="BN201" i="20"/>
  <c r="BN252" i="20"/>
  <c r="BN200" i="20"/>
  <c r="BN199" i="20"/>
  <c r="BN198" i="20"/>
  <c r="BN255" i="20"/>
  <c r="BN197" i="20"/>
  <c r="BN196" i="20"/>
  <c r="BN256" i="20"/>
  <c r="BN195" i="20"/>
  <c r="BN194" i="20"/>
  <c r="BN193" i="20"/>
  <c r="BN259" i="20"/>
  <c r="BN260" i="20"/>
  <c r="BN192" i="20"/>
  <c r="BN261" i="20"/>
  <c r="BN190" i="20"/>
  <c r="BN189" i="20"/>
  <c r="BN263" i="20"/>
  <c r="BN264" i="20"/>
  <c r="BN188" i="20"/>
  <c r="BN265" i="20"/>
  <c r="BN266" i="20"/>
  <c r="BN185" i="20"/>
  <c r="BN267" i="20"/>
  <c r="BN268" i="20"/>
  <c r="BN184" i="20"/>
  <c r="BN269" i="20"/>
  <c r="BN183" i="20"/>
  <c r="BN270" i="20"/>
  <c r="BN182" i="20"/>
  <c r="BN271" i="20"/>
  <c r="BN181" i="20"/>
  <c r="BN272" i="20"/>
  <c r="BN180" i="20"/>
  <c r="BN273" i="20"/>
  <c r="BN179" i="20"/>
  <c r="BN178" i="20"/>
  <c r="BN274" i="20"/>
  <c r="BN275" i="20"/>
  <c r="BN276" i="20"/>
  <c r="BN277" i="20"/>
  <c r="BN278" i="20"/>
  <c r="BN279" i="20"/>
  <c r="BN280" i="20"/>
  <c r="BN281" i="20"/>
  <c r="BM279" i="20"/>
  <c r="BM179" i="20"/>
  <c r="BM261" i="20"/>
  <c r="BM257" i="20"/>
  <c r="BM199" i="20"/>
  <c r="BM241" i="20"/>
  <c r="BM229" i="20"/>
  <c r="BM180" i="20"/>
  <c r="BM252" i="20"/>
  <c r="BM220" i="20"/>
  <c r="F284" i="20"/>
  <c r="F115" i="20"/>
  <c r="D114" i="20"/>
  <c r="BM178" i="20"/>
  <c r="BM270" i="20"/>
  <c r="BM186" i="20"/>
  <c r="BM262" i="20"/>
  <c r="BM194" i="20"/>
  <c r="BM254" i="20"/>
  <c r="BM250" i="20"/>
  <c r="BM206" i="20"/>
  <c r="BM242" i="20"/>
  <c r="BM214" i="20"/>
  <c r="BM218" i="20"/>
  <c r="BM222" i="20"/>
  <c r="BM225" i="20"/>
  <c r="BM8" i="21"/>
  <c r="BN7" i="21"/>
  <c r="BO176" i="20" l="1"/>
  <c r="BO227" i="20" s="1"/>
  <c r="BO226" i="20"/>
  <c r="BO225" i="20"/>
  <c r="BP175" i="20"/>
  <c r="BO229" i="20"/>
  <c r="BO230" i="20"/>
  <c r="BO222" i="20"/>
  <c r="BO221" i="20"/>
  <c r="BO233" i="20"/>
  <c r="BO234" i="20"/>
  <c r="BO218" i="20"/>
  <c r="BO235" i="20"/>
  <c r="BO215" i="20"/>
  <c r="BO214" i="20"/>
  <c r="BO238" i="20"/>
  <c r="BO213" i="20"/>
  <c r="BO241" i="20"/>
  <c r="BO210" i="20"/>
  <c r="BO242" i="20"/>
  <c r="BO243" i="20"/>
  <c r="BO207" i="20"/>
  <c r="BO246" i="20"/>
  <c r="BO206" i="20"/>
  <c r="BO205" i="20"/>
  <c r="BO249" i="20"/>
  <c r="BO250" i="20"/>
  <c r="BO202" i="20"/>
  <c r="BO201" i="20"/>
  <c r="BO199" i="20"/>
  <c r="BO198" i="20"/>
  <c r="BO254" i="20"/>
  <c r="BO197" i="20"/>
  <c r="BO257" i="20"/>
  <c r="BO194" i="20"/>
  <c r="BO258" i="20"/>
  <c r="BO193" i="20"/>
  <c r="BO191" i="20"/>
  <c r="BO262" i="20"/>
  <c r="BO190" i="20"/>
  <c r="BO263" i="20"/>
  <c r="BO265" i="20"/>
  <c r="BO266" i="20"/>
  <c r="BO186" i="20"/>
  <c r="BO267" i="20"/>
  <c r="BO183" i="20"/>
  <c r="BO270" i="20"/>
  <c r="BO182" i="20"/>
  <c r="BO181" i="20"/>
  <c r="BO273" i="20"/>
  <c r="BO178" i="20"/>
  <c r="BO274" i="20"/>
  <c r="BO275" i="20"/>
  <c r="BO280" i="20"/>
  <c r="BO281" i="20"/>
  <c r="BO282" i="20"/>
  <c r="BN186" i="20"/>
  <c r="BN262" i="20"/>
  <c r="BN258" i="20"/>
  <c r="BN254" i="20"/>
  <c r="BN202" i="20"/>
  <c r="BN206" i="20"/>
  <c r="BN210" i="20"/>
  <c r="BN238" i="20"/>
  <c r="BN218" i="20"/>
  <c r="BN230" i="20"/>
  <c r="BN226" i="20"/>
  <c r="BN283" i="20"/>
  <c r="D284" i="20"/>
  <c r="E284" i="20" s="1"/>
  <c r="E114" i="20"/>
  <c r="BN187" i="20"/>
  <c r="BN191" i="20"/>
  <c r="BN257" i="20"/>
  <c r="BN253" i="20"/>
  <c r="BN203" i="20"/>
  <c r="BN245" i="20"/>
  <c r="BN211" i="20"/>
  <c r="BN237" i="20"/>
  <c r="BN219" i="20"/>
  <c r="BN229" i="20"/>
  <c r="BO284" i="20"/>
  <c r="BG284" i="20"/>
  <c r="AY284" i="20"/>
  <c r="AQ284" i="20"/>
  <c r="AI284" i="20"/>
  <c r="AA284" i="20"/>
  <c r="S284" i="20"/>
  <c r="K284" i="20"/>
  <c r="BM284" i="20"/>
  <c r="BE284" i="20"/>
  <c r="AW284" i="20"/>
  <c r="AO284" i="20"/>
  <c r="AG284" i="20"/>
  <c r="Y284" i="20"/>
  <c r="Q284" i="20"/>
  <c r="I284" i="20"/>
  <c r="BL284" i="20"/>
  <c r="BD284" i="20"/>
  <c r="AV284" i="20"/>
  <c r="AN284" i="20"/>
  <c r="AF284" i="20"/>
  <c r="X284" i="20"/>
  <c r="P284" i="20"/>
  <c r="H284" i="20"/>
  <c r="BK284" i="20"/>
  <c r="AZ284" i="20"/>
  <c r="AL284" i="20"/>
  <c r="Z284" i="20"/>
  <c r="M284" i="20"/>
  <c r="BJ284" i="20"/>
  <c r="AX284" i="20"/>
  <c r="AK284" i="20"/>
  <c r="W284" i="20"/>
  <c r="L284" i="20"/>
  <c r="BI284" i="20"/>
  <c r="AU284" i="20"/>
  <c r="AJ284" i="20"/>
  <c r="V284" i="20"/>
  <c r="J284" i="20"/>
  <c r="BH284" i="20"/>
  <c r="AT284" i="20"/>
  <c r="AH284" i="20"/>
  <c r="U284" i="20"/>
  <c r="G284" i="20"/>
  <c r="BA284" i="20"/>
  <c r="AB284" i="20"/>
  <c r="AS284" i="20"/>
  <c r="T284" i="20"/>
  <c r="AR284" i="20"/>
  <c r="R284" i="20"/>
  <c r="BN284" i="20"/>
  <c r="AM284" i="20"/>
  <c r="N284" i="20"/>
  <c r="AP284" i="20"/>
  <c r="AE284" i="20"/>
  <c r="AD284" i="20"/>
  <c r="AC284" i="20"/>
  <c r="O284" i="20"/>
  <c r="BC284" i="20"/>
  <c r="BB284" i="20"/>
  <c r="BF284" i="20"/>
  <c r="BN8" i="21"/>
  <c r="BO7" i="21"/>
  <c r="F285" i="20"/>
  <c r="D115" i="20"/>
  <c r="F116" i="20"/>
  <c r="F286" i="20" l="1"/>
  <c r="D116" i="20"/>
  <c r="F117" i="20"/>
  <c r="BP285" i="20"/>
  <c r="BH285" i="20"/>
  <c r="AZ285" i="20"/>
  <c r="AR285" i="20"/>
  <c r="AJ285" i="20"/>
  <c r="AB285" i="20"/>
  <c r="T285" i="20"/>
  <c r="L285" i="20"/>
  <c r="BN285" i="20"/>
  <c r="BF285" i="20"/>
  <c r="AX285" i="20"/>
  <c r="AP285" i="20"/>
  <c r="AH285" i="20"/>
  <c r="Z285" i="20"/>
  <c r="R285" i="20"/>
  <c r="J285" i="20"/>
  <c r="BM285" i="20"/>
  <c r="BE285" i="20"/>
  <c r="AW285" i="20"/>
  <c r="AO285" i="20"/>
  <c r="AG285" i="20"/>
  <c r="Y285" i="20"/>
  <c r="Q285" i="20"/>
  <c r="I285" i="20"/>
  <c r="BK285" i="20"/>
  <c r="AY285" i="20"/>
  <c r="AL285" i="20"/>
  <c r="X285" i="20"/>
  <c r="M285" i="20"/>
  <c r="BJ285" i="20"/>
  <c r="AV285" i="20"/>
  <c r="AK285" i="20"/>
  <c r="W285" i="20"/>
  <c r="K285" i="20"/>
  <c r="BI285" i="20"/>
  <c r="AU285" i="20"/>
  <c r="AI285" i="20"/>
  <c r="V285" i="20"/>
  <c r="H285" i="20"/>
  <c r="BG285" i="20"/>
  <c r="AT285" i="20"/>
  <c r="AF285" i="20"/>
  <c r="U285" i="20"/>
  <c r="G285" i="20"/>
  <c r="BL285" i="20"/>
  <c r="AM285" i="20"/>
  <c r="N285" i="20"/>
  <c r="BD285" i="20"/>
  <c r="AE285" i="20"/>
  <c r="BC285" i="20"/>
  <c r="AD285" i="20"/>
  <c r="BA285" i="20"/>
  <c r="AA285" i="20"/>
  <c r="AC285" i="20"/>
  <c r="S285" i="20"/>
  <c r="P285" i="20"/>
  <c r="BO285" i="20"/>
  <c r="O285" i="20"/>
  <c r="BB285" i="20"/>
  <c r="AS285" i="20"/>
  <c r="AQ285" i="20"/>
  <c r="AN285" i="20"/>
  <c r="BO279" i="20"/>
  <c r="BO179" i="20"/>
  <c r="BO269" i="20"/>
  <c r="BO187" i="20"/>
  <c r="BO261" i="20"/>
  <c r="BO195" i="20"/>
  <c r="BO253" i="20"/>
  <c r="BO203" i="20"/>
  <c r="BO245" i="20"/>
  <c r="BO211" i="20"/>
  <c r="BO237" i="20"/>
  <c r="BO219" i="20"/>
  <c r="BO223" i="20"/>
  <c r="D285" i="20"/>
  <c r="E285" i="20" s="1"/>
  <c r="E115" i="20"/>
  <c r="BO278" i="20"/>
  <c r="BO272" i="20"/>
  <c r="BO268" i="20"/>
  <c r="BO264" i="20"/>
  <c r="BO260" i="20"/>
  <c r="BO256" i="20"/>
  <c r="BO200" i="20"/>
  <c r="BO204" i="20"/>
  <c r="BO208" i="20"/>
  <c r="BO240" i="20"/>
  <c r="BO216" i="20"/>
  <c r="BO232" i="20"/>
  <c r="BO228" i="20"/>
  <c r="BP176" i="20"/>
  <c r="BP222" i="20" s="1"/>
  <c r="BP226" i="20"/>
  <c r="BQ175" i="20"/>
  <c r="BP230" i="20"/>
  <c r="BP234" i="20"/>
  <c r="BP238" i="20"/>
  <c r="BP211" i="20"/>
  <c r="BP242" i="20"/>
  <c r="BP245" i="20"/>
  <c r="BP206" i="20"/>
  <c r="BP203" i="20"/>
  <c r="BP202" i="20"/>
  <c r="BP253" i="20"/>
  <c r="BP254" i="20"/>
  <c r="BP195" i="20"/>
  <c r="BP258" i="20"/>
  <c r="BP191" i="20"/>
  <c r="BP262" i="20"/>
  <c r="BP265" i="20"/>
  <c r="BP266" i="20"/>
  <c r="BP183" i="20"/>
  <c r="BP270" i="20"/>
  <c r="BP273" i="20"/>
  <c r="BP178" i="20"/>
  <c r="BP280" i="20"/>
  <c r="BP281" i="20"/>
  <c r="BO8" i="21"/>
  <c r="BP7" i="21"/>
  <c r="BO283" i="20"/>
  <c r="BO277" i="20"/>
  <c r="BO180" i="20"/>
  <c r="BO184" i="20"/>
  <c r="BO188" i="20"/>
  <c r="BO192" i="20"/>
  <c r="BO196" i="20"/>
  <c r="BO252" i="20"/>
  <c r="BO248" i="20"/>
  <c r="BO244" i="20"/>
  <c r="BO212" i="20"/>
  <c r="BO236" i="20"/>
  <c r="BO220" i="20"/>
  <c r="BO224" i="20"/>
  <c r="BO276" i="20"/>
  <c r="BO271" i="20"/>
  <c r="BO185" i="20"/>
  <c r="BO189" i="20"/>
  <c r="BO259" i="20"/>
  <c r="BO255" i="20"/>
  <c r="BO251" i="20"/>
  <c r="BO247" i="20"/>
  <c r="BO209" i="20"/>
  <c r="BO239" i="20"/>
  <c r="BO217" i="20"/>
  <c r="BO231" i="20"/>
  <c r="BP215" i="20" l="1"/>
  <c r="BP219" i="20"/>
  <c r="BP229" i="20"/>
  <c r="BP279" i="20"/>
  <c r="BP187" i="20"/>
  <c r="BP199" i="20"/>
  <c r="BP241" i="20"/>
  <c r="BP233" i="20"/>
  <c r="BP212" i="20"/>
  <c r="BP277" i="20"/>
  <c r="BP272" i="20"/>
  <c r="BP184" i="20"/>
  <c r="BP264" i="20"/>
  <c r="BP192" i="20"/>
  <c r="BP256" i="20"/>
  <c r="BP200" i="20"/>
  <c r="BP204" i="20"/>
  <c r="BP208" i="20"/>
  <c r="BP240" i="20"/>
  <c r="BP236" i="20"/>
  <c r="BP220" i="20"/>
  <c r="BP224" i="20"/>
  <c r="BP179" i="20"/>
  <c r="BP261" i="20"/>
  <c r="BP207" i="20"/>
  <c r="BP237" i="20"/>
  <c r="BP223" i="20"/>
  <c r="BP276" i="20"/>
  <c r="BP181" i="20"/>
  <c r="BP267" i="20"/>
  <c r="BP263" i="20"/>
  <c r="BP193" i="20"/>
  <c r="BP197" i="20"/>
  <c r="BP201" i="20"/>
  <c r="BP205" i="20"/>
  <c r="BP209" i="20"/>
  <c r="BP239" i="20"/>
  <c r="BP235" i="20"/>
  <c r="BP221" i="20"/>
  <c r="BP227" i="20"/>
  <c r="BP284" i="20"/>
  <c r="BQ7" i="21"/>
  <c r="BP8" i="21"/>
  <c r="D286" i="20"/>
  <c r="E286" i="20" s="1"/>
  <c r="E116" i="20"/>
  <c r="BQ286" i="20"/>
  <c r="BI286" i="20"/>
  <c r="BA286" i="20"/>
  <c r="AS286" i="20"/>
  <c r="AK286" i="20"/>
  <c r="AC286" i="20"/>
  <c r="U286" i="20"/>
  <c r="M286" i="20"/>
  <c r="BO286" i="20"/>
  <c r="BG286" i="20"/>
  <c r="AY286" i="20"/>
  <c r="AQ286" i="20"/>
  <c r="AI286" i="20"/>
  <c r="AA286" i="20"/>
  <c r="S286" i="20"/>
  <c r="K286" i="20"/>
  <c r="BN286" i="20"/>
  <c r="BF286" i="20"/>
  <c r="AX286" i="20"/>
  <c r="AP286" i="20"/>
  <c r="AH286" i="20"/>
  <c r="Z286" i="20"/>
  <c r="R286" i="20"/>
  <c r="J286" i="20"/>
  <c r="BK286" i="20"/>
  <c r="AW286" i="20"/>
  <c r="AL286" i="20"/>
  <c r="X286" i="20"/>
  <c r="L286" i="20"/>
  <c r="BJ286" i="20"/>
  <c r="AV286" i="20"/>
  <c r="AJ286" i="20"/>
  <c r="W286" i="20"/>
  <c r="I286" i="20"/>
  <c r="BH286" i="20"/>
  <c r="AU286" i="20"/>
  <c r="AG286" i="20"/>
  <c r="V286" i="20"/>
  <c r="H286" i="20"/>
  <c r="BE286" i="20"/>
  <c r="AT286" i="20"/>
  <c r="AF286" i="20"/>
  <c r="T286" i="20"/>
  <c r="G286" i="20"/>
  <c r="AZ286" i="20"/>
  <c r="Y286" i="20"/>
  <c r="AR286" i="20"/>
  <c r="Q286" i="20"/>
  <c r="BP286" i="20"/>
  <c r="AO286" i="20"/>
  <c r="P286" i="20"/>
  <c r="BL286" i="20"/>
  <c r="AM286" i="20"/>
  <c r="N286" i="20"/>
  <c r="BM286" i="20"/>
  <c r="O286" i="20"/>
  <c r="BD286" i="20"/>
  <c r="BC286" i="20"/>
  <c r="BB286" i="20"/>
  <c r="AN286" i="20"/>
  <c r="AB286" i="20"/>
  <c r="AD286" i="20"/>
  <c r="AE286" i="20"/>
  <c r="BP257" i="20"/>
  <c r="BP180" i="20"/>
  <c r="BP188" i="20"/>
  <c r="BP260" i="20"/>
  <c r="BP252" i="20"/>
  <c r="BP248" i="20"/>
  <c r="BP244" i="20"/>
  <c r="BP216" i="20"/>
  <c r="BP232" i="20"/>
  <c r="BP228" i="20"/>
  <c r="BP283" i="20"/>
  <c r="BP275" i="20"/>
  <c r="BP271" i="20"/>
  <c r="BP185" i="20"/>
  <c r="BP189" i="20"/>
  <c r="BP259" i="20"/>
  <c r="BP255" i="20"/>
  <c r="BP251" i="20"/>
  <c r="BP247" i="20"/>
  <c r="BP243" i="20"/>
  <c r="BP213" i="20"/>
  <c r="BP217" i="20"/>
  <c r="BP231" i="20"/>
  <c r="BP225" i="20"/>
  <c r="BP269" i="20"/>
  <c r="BP249" i="20"/>
  <c r="BP278" i="20"/>
  <c r="BP268" i="20"/>
  <c r="BP196" i="20"/>
  <c r="BP282" i="20"/>
  <c r="BP274" i="20"/>
  <c r="BP182" i="20"/>
  <c r="BP186" i="20"/>
  <c r="BP190" i="20"/>
  <c r="BP194" i="20"/>
  <c r="BP198" i="20"/>
  <c r="BP250" i="20"/>
  <c r="BP246" i="20"/>
  <c r="BP210" i="20"/>
  <c r="BP214" i="20"/>
  <c r="BP218" i="20"/>
  <c r="BQ226" i="20"/>
  <c r="BR175" i="20"/>
  <c r="BQ176" i="20"/>
  <c r="BQ285" i="20" s="1"/>
  <c r="BQ227" i="20"/>
  <c r="BQ225" i="20"/>
  <c r="BQ228" i="20"/>
  <c r="BQ224" i="20"/>
  <c r="BQ229" i="20"/>
  <c r="BQ223" i="20"/>
  <c r="BQ222" i="20"/>
  <c r="BQ231" i="20"/>
  <c r="BQ221" i="20"/>
  <c r="BQ220" i="20"/>
  <c r="BQ232" i="20"/>
  <c r="BQ219" i="20"/>
  <c r="BQ233" i="20"/>
  <c r="BQ218" i="20"/>
  <c r="BQ234" i="20"/>
  <c r="BQ235" i="20"/>
  <c r="BQ217" i="20"/>
  <c r="BQ216" i="20"/>
  <c r="BQ236" i="20"/>
  <c r="BQ215" i="20"/>
  <c r="BQ237" i="20"/>
  <c r="BQ214" i="20"/>
  <c r="BQ238" i="20"/>
  <c r="BQ213" i="20"/>
  <c r="BQ239" i="20"/>
  <c r="BQ212" i="20"/>
  <c r="BQ240" i="20"/>
  <c r="BQ241" i="20"/>
  <c r="BQ211" i="20"/>
  <c r="BQ242" i="20"/>
  <c r="BQ210" i="20"/>
  <c r="BQ209" i="20"/>
  <c r="BQ243" i="20"/>
  <c r="BQ208" i="20"/>
  <c r="BQ244" i="20"/>
  <c r="BQ245" i="20"/>
  <c r="BQ207" i="20"/>
  <c r="BQ206" i="20"/>
  <c r="BQ246" i="20"/>
  <c r="BQ247" i="20"/>
  <c r="BQ205" i="20"/>
  <c r="BQ248" i="20"/>
  <c r="BQ204" i="20"/>
  <c r="BQ203" i="20"/>
  <c r="BQ249" i="20"/>
  <c r="BQ250" i="20"/>
  <c r="BQ202" i="20"/>
  <c r="BQ201" i="20"/>
  <c r="BQ251" i="20"/>
  <c r="BQ200" i="20"/>
  <c r="BQ252" i="20"/>
  <c r="BQ199" i="20"/>
  <c r="BQ253" i="20"/>
  <c r="BQ254" i="20"/>
  <c r="BQ198" i="20"/>
  <c r="BQ197" i="20"/>
  <c r="BQ255" i="20"/>
  <c r="BQ256" i="20"/>
  <c r="BQ196" i="20"/>
  <c r="BQ195" i="20"/>
  <c r="BQ257" i="20"/>
  <c r="BQ194" i="20"/>
  <c r="BQ258" i="20"/>
  <c r="BQ193" i="20"/>
  <c r="BQ259" i="20"/>
  <c r="BQ192" i="20"/>
  <c r="BQ260" i="20"/>
  <c r="BQ191" i="20"/>
  <c r="BQ261" i="20"/>
  <c r="BQ262" i="20"/>
  <c r="BQ190" i="20"/>
  <c r="BQ189" i="20"/>
  <c r="BQ263" i="20"/>
  <c r="BQ188" i="20"/>
  <c r="BQ264" i="20"/>
  <c r="BQ187" i="20"/>
  <c r="BQ265" i="20"/>
  <c r="BQ186" i="20"/>
  <c r="BQ266" i="20"/>
  <c r="BQ267" i="20"/>
  <c r="BQ185" i="20"/>
  <c r="BQ268" i="20"/>
  <c r="BQ184" i="20"/>
  <c r="BQ269" i="20"/>
  <c r="BQ183" i="20"/>
  <c r="BQ270" i="20"/>
  <c r="BQ182" i="20"/>
  <c r="BQ271" i="20"/>
  <c r="BQ181" i="20"/>
  <c r="BQ180" i="20"/>
  <c r="BQ272" i="20"/>
  <c r="BQ179" i="20"/>
  <c r="BQ273" i="20"/>
  <c r="BQ274" i="20"/>
  <c r="BQ178" i="20"/>
  <c r="BQ275" i="20"/>
  <c r="BQ276" i="20"/>
  <c r="BQ277" i="20"/>
  <c r="BQ278" i="20"/>
  <c r="BQ279" i="20"/>
  <c r="BQ280" i="20"/>
  <c r="BQ281" i="20"/>
  <c r="BQ282" i="20"/>
  <c r="BQ283" i="20"/>
  <c r="BQ284" i="20"/>
  <c r="F287" i="20"/>
  <c r="F118" i="20"/>
  <c r="D117" i="20"/>
  <c r="BR287" i="20" l="1"/>
  <c r="BJ287" i="20"/>
  <c r="BB287" i="20"/>
  <c r="AT287" i="20"/>
  <c r="AL287" i="20"/>
  <c r="AD287" i="20"/>
  <c r="V287" i="20"/>
  <c r="N287" i="20"/>
  <c r="BP287" i="20"/>
  <c r="BH287" i="20"/>
  <c r="AZ287" i="20"/>
  <c r="AR287" i="20"/>
  <c r="AJ287" i="20"/>
  <c r="AB287" i="20"/>
  <c r="T287" i="20"/>
  <c r="L287" i="20"/>
  <c r="BO287" i="20"/>
  <c r="BG287" i="20"/>
  <c r="AY287" i="20"/>
  <c r="AQ287" i="20"/>
  <c r="AI287" i="20"/>
  <c r="AA287" i="20"/>
  <c r="S287" i="20"/>
  <c r="K287" i="20"/>
  <c r="BK287" i="20"/>
  <c r="AW287" i="20"/>
  <c r="AK287" i="20"/>
  <c r="X287" i="20"/>
  <c r="J287" i="20"/>
  <c r="BI287" i="20"/>
  <c r="AV287" i="20"/>
  <c r="AH287" i="20"/>
  <c r="W287" i="20"/>
  <c r="I287" i="20"/>
  <c r="BF287" i="20"/>
  <c r="AU287" i="20"/>
  <c r="AG287" i="20"/>
  <c r="U287" i="20"/>
  <c r="H287" i="20"/>
  <c r="BE287" i="20"/>
  <c r="AS287" i="20"/>
  <c r="AF287" i="20"/>
  <c r="R287" i="20"/>
  <c r="G287" i="20"/>
  <c r="BL287" i="20"/>
  <c r="AM287" i="20"/>
  <c r="M287" i="20"/>
  <c r="BD287" i="20"/>
  <c r="AE287" i="20"/>
  <c r="BC287" i="20"/>
  <c r="AC287" i="20"/>
  <c r="AX287" i="20"/>
  <c r="Y287" i="20"/>
  <c r="BA287" i="20"/>
  <c r="AP287" i="20"/>
  <c r="AO287" i="20"/>
  <c r="AN287" i="20"/>
  <c r="Z287" i="20"/>
  <c r="Q287" i="20"/>
  <c r="P287" i="20"/>
  <c r="O287" i="20"/>
  <c r="BQ287" i="20"/>
  <c r="BM287" i="20"/>
  <c r="BN287" i="20"/>
  <c r="BQ230" i="20"/>
  <c r="BS175" i="20"/>
  <c r="BR176" i="20"/>
  <c r="BR286" i="20" s="1"/>
  <c r="BR227" i="20"/>
  <c r="BR226" i="20"/>
  <c r="BR224" i="20"/>
  <c r="BR228" i="20"/>
  <c r="BR229" i="20"/>
  <c r="BR222" i="20"/>
  <c r="BR231" i="20"/>
  <c r="BR221" i="20"/>
  <c r="BR232" i="20"/>
  <c r="BR220" i="20"/>
  <c r="BR219" i="20"/>
  <c r="BR233" i="20"/>
  <c r="BR234" i="20"/>
  <c r="BR218" i="20"/>
  <c r="BR217" i="20"/>
  <c r="BR235" i="20"/>
  <c r="BR236" i="20"/>
  <c r="BR216" i="20"/>
  <c r="BR215" i="20"/>
  <c r="BR237" i="20"/>
  <c r="BR214" i="20"/>
  <c r="BR238" i="20"/>
  <c r="BR213" i="20"/>
  <c r="BR239" i="20"/>
  <c r="BR240" i="20"/>
  <c r="BR212" i="20"/>
  <c r="BR211" i="20"/>
  <c r="BR241" i="20"/>
  <c r="BR242" i="20"/>
  <c r="BR210" i="20"/>
  <c r="BR209" i="20"/>
  <c r="BR243" i="20"/>
  <c r="BR208" i="20"/>
  <c r="BR244" i="20"/>
  <c r="BR207" i="20"/>
  <c r="BR245" i="20"/>
  <c r="BR206" i="20"/>
  <c r="BR246" i="20"/>
  <c r="BR205" i="20"/>
  <c r="BR247" i="20"/>
  <c r="BR248" i="20"/>
  <c r="BR204" i="20"/>
  <c r="BR203" i="20"/>
  <c r="BR249" i="20"/>
  <c r="BR202" i="20"/>
  <c r="BR250" i="20"/>
  <c r="BR201" i="20"/>
  <c r="BR251" i="20"/>
  <c r="BR200" i="20"/>
  <c r="BR252" i="20"/>
  <c r="BR199" i="20"/>
  <c r="BR253" i="20"/>
  <c r="BR198" i="20"/>
  <c r="BR254" i="20"/>
  <c r="BR197" i="20"/>
  <c r="BR255" i="20"/>
  <c r="BR196" i="20"/>
  <c r="BR256" i="20"/>
  <c r="BR257" i="20"/>
  <c r="BR195" i="20"/>
  <c r="BR258" i="20"/>
  <c r="BR194" i="20"/>
  <c r="BR259" i="20"/>
  <c r="BR193" i="20"/>
  <c r="BR192" i="20"/>
  <c r="BR260" i="20"/>
  <c r="BR261" i="20"/>
  <c r="BR191" i="20"/>
  <c r="BR190" i="20"/>
  <c r="BR262" i="20"/>
  <c r="BR189" i="20"/>
  <c r="BR263" i="20"/>
  <c r="BR264" i="20"/>
  <c r="BR188" i="20"/>
  <c r="BR265" i="20"/>
  <c r="BR187" i="20"/>
  <c r="BR266" i="20"/>
  <c r="BR186" i="20"/>
  <c r="BR185" i="20"/>
  <c r="BR267" i="20"/>
  <c r="BR184" i="20"/>
  <c r="BR268" i="20"/>
  <c r="BR183" i="20"/>
  <c r="BR269" i="20"/>
  <c r="BR270" i="20"/>
  <c r="BR182" i="20"/>
  <c r="BR271" i="20"/>
  <c r="BR181" i="20"/>
  <c r="BR180" i="20"/>
  <c r="BR272" i="20"/>
  <c r="BR273" i="20"/>
  <c r="BR179" i="20"/>
  <c r="BR274" i="20"/>
  <c r="BR178" i="20"/>
  <c r="BR275" i="20"/>
  <c r="BR276" i="20"/>
  <c r="BR277" i="20"/>
  <c r="BR278" i="20"/>
  <c r="BR279" i="20"/>
  <c r="BR280" i="20"/>
  <c r="BR281" i="20"/>
  <c r="BR282" i="20"/>
  <c r="BR283" i="20"/>
  <c r="BR284" i="20"/>
  <c r="BR285" i="20"/>
  <c r="BR7" i="21"/>
  <c r="BQ8" i="21"/>
  <c r="D287" i="20"/>
  <c r="E287" i="20" s="1"/>
  <c r="E117" i="20"/>
  <c r="F288" i="20"/>
  <c r="D118" i="20"/>
  <c r="F119" i="20"/>
  <c r="D288" i="20" l="1"/>
  <c r="E288" i="20" s="1"/>
  <c r="E118" i="20"/>
  <c r="BR230" i="20"/>
  <c r="BR225" i="20"/>
  <c r="BK288" i="20"/>
  <c r="BC288" i="20"/>
  <c r="AU288" i="20"/>
  <c r="AM288" i="20"/>
  <c r="AE288" i="20"/>
  <c r="W288" i="20"/>
  <c r="O288" i="20"/>
  <c r="G288" i="20"/>
  <c r="BQ288" i="20"/>
  <c r="BI288" i="20"/>
  <c r="BA288" i="20"/>
  <c r="AS288" i="20"/>
  <c r="AK288" i="20"/>
  <c r="AC288" i="20"/>
  <c r="U288" i="20"/>
  <c r="M288" i="20"/>
  <c r="BP288" i="20"/>
  <c r="BH288" i="20"/>
  <c r="AZ288" i="20"/>
  <c r="AR288" i="20"/>
  <c r="AJ288" i="20"/>
  <c r="AB288" i="20"/>
  <c r="T288" i="20"/>
  <c r="L288" i="20"/>
  <c r="BJ288" i="20"/>
  <c r="AW288" i="20"/>
  <c r="AI288" i="20"/>
  <c r="X288" i="20"/>
  <c r="J288" i="20"/>
  <c r="BG288" i="20"/>
  <c r="AV288" i="20"/>
  <c r="AH288" i="20"/>
  <c r="V288" i="20"/>
  <c r="I288" i="20"/>
  <c r="BF288" i="20"/>
  <c r="AT288" i="20"/>
  <c r="AG288" i="20"/>
  <c r="S288" i="20"/>
  <c r="H288" i="20"/>
  <c r="BR288" i="20"/>
  <c r="BE288" i="20"/>
  <c r="AQ288" i="20"/>
  <c r="AF288" i="20"/>
  <c r="R288" i="20"/>
  <c r="AX288" i="20"/>
  <c r="Y288" i="20"/>
  <c r="BO288" i="20"/>
  <c r="AP288" i="20"/>
  <c r="Q288" i="20"/>
  <c r="BN288" i="20"/>
  <c r="AO288" i="20"/>
  <c r="P288" i="20"/>
  <c r="BL288" i="20"/>
  <c r="AL288" i="20"/>
  <c r="K288" i="20"/>
  <c r="AN288" i="20"/>
  <c r="AD288" i="20"/>
  <c r="AA288" i="20"/>
  <c r="Z288" i="20"/>
  <c r="BM288" i="20"/>
  <c r="N288" i="20"/>
  <c r="BD288" i="20"/>
  <c r="BB288" i="20"/>
  <c r="AY288" i="20"/>
  <c r="BR223" i="20"/>
  <c r="BT175" i="20"/>
  <c r="BS176" i="20"/>
  <c r="BS228" i="20" s="1"/>
  <c r="BS226" i="20"/>
  <c r="BS225" i="20"/>
  <c r="BS227" i="20"/>
  <c r="BS230" i="20"/>
  <c r="BS231" i="20"/>
  <c r="BS221" i="20"/>
  <c r="BS218" i="20"/>
  <c r="BS235" i="20"/>
  <c r="BS217" i="20"/>
  <c r="BS238" i="20"/>
  <c r="BS213" i="20"/>
  <c r="BS239" i="20"/>
  <c r="BS210" i="20"/>
  <c r="BS209" i="20"/>
  <c r="BS243" i="20"/>
  <c r="BS206" i="20"/>
  <c r="BS246" i="20"/>
  <c r="BS205" i="20"/>
  <c r="BS247" i="20"/>
  <c r="BS202" i="20"/>
  <c r="BS250" i="20"/>
  <c r="BS201" i="20"/>
  <c r="BS251" i="20"/>
  <c r="BS254" i="20"/>
  <c r="BS198" i="20"/>
  <c r="BS255" i="20"/>
  <c r="BS197" i="20"/>
  <c r="BS258" i="20"/>
  <c r="BS194" i="20"/>
  <c r="BS193" i="20"/>
  <c r="BS259" i="20"/>
  <c r="BS262" i="20"/>
  <c r="BS190" i="20"/>
  <c r="BS263" i="20"/>
  <c r="BS189" i="20"/>
  <c r="BS266" i="20"/>
  <c r="BS186" i="20"/>
  <c r="BS185" i="20"/>
  <c r="BS267" i="20"/>
  <c r="BS182" i="20"/>
  <c r="BS270" i="20"/>
  <c r="BS271" i="20"/>
  <c r="BS181" i="20"/>
  <c r="BS178" i="20"/>
  <c r="BS274" i="20"/>
  <c r="BS275" i="20"/>
  <c r="BS276" i="20"/>
  <c r="BS281" i="20"/>
  <c r="BS282" i="20"/>
  <c r="BS283" i="20"/>
  <c r="BS284" i="20"/>
  <c r="F289" i="20"/>
  <c r="F120" i="20"/>
  <c r="D119" i="20"/>
  <c r="BS7" i="21"/>
  <c r="BR8" i="21"/>
  <c r="BS8" i="21" l="1"/>
  <c r="BT7" i="21"/>
  <c r="D289" i="20"/>
  <c r="E289" i="20" s="1"/>
  <c r="E119" i="20"/>
  <c r="BS234" i="20"/>
  <c r="BL289" i="20"/>
  <c r="BD289" i="20"/>
  <c r="AV289" i="20"/>
  <c r="AN289" i="20"/>
  <c r="AF289" i="20"/>
  <c r="X289" i="20"/>
  <c r="P289" i="20"/>
  <c r="H289" i="20"/>
  <c r="BS289" i="20"/>
  <c r="BK289" i="20"/>
  <c r="BC289" i="20"/>
  <c r="AU289" i="20"/>
  <c r="AM289" i="20"/>
  <c r="AE289" i="20"/>
  <c r="W289" i="20"/>
  <c r="O289" i="20"/>
  <c r="G289" i="20"/>
  <c r="BR289" i="20"/>
  <c r="BJ289" i="20"/>
  <c r="BB289" i="20"/>
  <c r="AT289" i="20"/>
  <c r="AL289" i="20"/>
  <c r="AD289" i="20"/>
  <c r="V289" i="20"/>
  <c r="N289" i="20"/>
  <c r="BQ289" i="20"/>
  <c r="BI289" i="20"/>
  <c r="BA289" i="20"/>
  <c r="AS289" i="20"/>
  <c r="AK289" i="20"/>
  <c r="AC289" i="20"/>
  <c r="U289" i="20"/>
  <c r="M289" i="20"/>
  <c r="BN289" i="20"/>
  <c r="AX289" i="20"/>
  <c r="AH289" i="20"/>
  <c r="R289" i="20"/>
  <c r="BM289" i="20"/>
  <c r="AW289" i="20"/>
  <c r="AG289" i="20"/>
  <c r="Q289" i="20"/>
  <c r="BH289" i="20"/>
  <c r="AR289" i="20"/>
  <c r="AB289" i="20"/>
  <c r="L289" i="20"/>
  <c r="BG289" i="20"/>
  <c r="AQ289" i="20"/>
  <c r="AA289" i="20"/>
  <c r="K289" i="20"/>
  <c r="AY289" i="20"/>
  <c r="S289" i="20"/>
  <c r="AP289" i="20"/>
  <c r="J289" i="20"/>
  <c r="AO289" i="20"/>
  <c r="I289" i="20"/>
  <c r="BO289" i="20"/>
  <c r="AI289" i="20"/>
  <c r="AJ289" i="20"/>
  <c r="Z289" i="20"/>
  <c r="Y289" i="20"/>
  <c r="T289" i="20"/>
  <c r="BP289" i="20"/>
  <c r="BE289" i="20"/>
  <c r="BF289" i="20"/>
  <c r="AZ289" i="20"/>
  <c r="BS280" i="20"/>
  <c r="BS273" i="20"/>
  <c r="BS183" i="20"/>
  <c r="BS265" i="20"/>
  <c r="BS191" i="20"/>
  <c r="BS195" i="20"/>
  <c r="BS253" i="20"/>
  <c r="BS249" i="20"/>
  <c r="BS245" i="20"/>
  <c r="BS211" i="20"/>
  <c r="BS215" i="20"/>
  <c r="BS219" i="20"/>
  <c r="BS229" i="20"/>
  <c r="BU175" i="20"/>
  <c r="BT176" i="20"/>
  <c r="BT288" i="20" s="1"/>
  <c r="BT226" i="20"/>
  <c r="BT228" i="20"/>
  <c r="BT224" i="20"/>
  <c r="BT229" i="20"/>
  <c r="BT230" i="20"/>
  <c r="BT231" i="20"/>
  <c r="BT220" i="20"/>
  <c r="BT232" i="20"/>
  <c r="BT219" i="20"/>
  <c r="BT218" i="20"/>
  <c r="BT235" i="20"/>
  <c r="BT216" i="20"/>
  <c r="BT236" i="20"/>
  <c r="BT215" i="20"/>
  <c r="BT214" i="20"/>
  <c r="BT213" i="20"/>
  <c r="BT212" i="20"/>
  <c r="BT240" i="20"/>
  <c r="BT241" i="20"/>
  <c r="BT242" i="20"/>
  <c r="BT243" i="20"/>
  <c r="BT208" i="20"/>
  <c r="BT244" i="20"/>
  <c r="BT245" i="20"/>
  <c r="BT246" i="20"/>
  <c r="BT247" i="20"/>
  <c r="BT248" i="20"/>
  <c r="BT204" i="20"/>
  <c r="BT249" i="20"/>
  <c r="BT250" i="20"/>
  <c r="BT201" i="20"/>
  <c r="BT252" i="20"/>
  <c r="BT200" i="20"/>
  <c r="BT253" i="20"/>
  <c r="BT198" i="20"/>
  <c r="BT255" i="20"/>
  <c r="BT196" i="20"/>
  <c r="BT256" i="20"/>
  <c r="BT257" i="20"/>
  <c r="BT194" i="20"/>
  <c r="BT193" i="20"/>
  <c r="BT260" i="20"/>
  <c r="BT192" i="20"/>
  <c r="BT191" i="20"/>
  <c r="BT262" i="20"/>
  <c r="BT189" i="20"/>
  <c r="BT188" i="20"/>
  <c r="BT264" i="20"/>
  <c r="BT265" i="20"/>
  <c r="BT186" i="20"/>
  <c r="BT185" i="20"/>
  <c r="BT184" i="20"/>
  <c r="BT268" i="20"/>
  <c r="BT183" i="20"/>
  <c r="BT269" i="20"/>
  <c r="BT270" i="20"/>
  <c r="BT182" i="20"/>
  <c r="BT271" i="20"/>
  <c r="BT181" i="20"/>
  <c r="BT180" i="20"/>
  <c r="BT272" i="20"/>
  <c r="BT179" i="20"/>
  <c r="BT273" i="20"/>
  <c r="BT274" i="20"/>
  <c r="BT178" i="20"/>
  <c r="BT275" i="20"/>
  <c r="BT276" i="20"/>
  <c r="BT277" i="20"/>
  <c r="BT278" i="20"/>
  <c r="BT279" i="20"/>
  <c r="BT280" i="20"/>
  <c r="BT281" i="20"/>
  <c r="BT282" i="20"/>
  <c r="BT283" i="20"/>
  <c r="BT284" i="20"/>
  <c r="BT285" i="20"/>
  <c r="BT286" i="20"/>
  <c r="BT287" i="20"/>
  <c r="BS279" i="20"/>
  <c r="BS179" i="20"/>
  <c r="BS269" i="20"/>
  <c r="BS187" i="20"/>
  <c r="BS261" i="20"/>
  <c r="BS257" i="20"/>
  <c r="BS199" i="20"/>
  <c r="BS203" i="20"/>
  <c r="BS207" i="20"/>
  <c r="BS241" i="20"/>
  <c r="BS237" i="20"/>
  <c r="BS233" i="20"/>
  <c r="BS223" i="20"/>
  <c r="BS286" i="20"/>
  <c r="BS278" i="20"/>
  <c r="BS272" i="20"/>
  <c r="BS184" i="20"/>
  <c r="BS188" i="20"/>
  <c r="BS260" i="20"/>
  <c r="BS196" i="20"/>
  <c r="BS252" i="20"/>
  <c r="BS204" i="20"/>
  <c r="BS244" i="20"/>
  <c r="BS240" i="20"/>
  <c r="BS216" i="20"/>
  <c r="BS220" i="20"/>
  <c r="BS224" i="20"/>
  <c r="BS288" i="20"/>
  <c r="BS287" i="20"/>
  <c r="F290" i="20"/>
  <c r="D120" i="20"/>
  <c r="F121" i="20"/>
  <c r="BS242" i="20"/>
  <c r="BS214" i="20"/>
  <c r="BS222" i="20"/>
  <c r="BS285" i="20"/>
  <c r="BS277" i="20"/>
  <c r="BS180" i="20"/>
  <c r="BS268" i="20"/>
  <c r="BS264" i="20"/>
  <c r="BS192" i="20"/>
  <c r="BS256" i="20"/>
  <c r="BS200" i="20"/>
  <c r="BS248" i="20"/>
  <c r="BS208" i="20"/>
  <c r="BS212" i="20"/>
  <c r="BS236" i="20"/>
  <c r="BS232" i="20"/>
  <c r="F291" i="20" l="1"/>
  <c r="D121" i="20"/>
  <c r="F122" i="20"/>
  <c r="D290" i="20"/>
  <c r="E290" i="20" s="1"/>
  <c r="E120" i="20"/>
  <c r="BT267" i="20"/>
  <c r="BT263" i="20"/>
  <c r="BT259" i="20"/>
  <c r="BT197" i="20"/>
  <c r="BT251" i="20"/>
  <c r="BT205" i="20"/>
  <c r="BT209" i="20"/>
  <c r="BT239" i="20"/>
  <c r="BT217" i="20"/>
  <c r="BT221" i="20"/>
  <c r="BT227" i="20"/>
  <c r="BT289" i="20"/>
  <c r="BU290" i="20"/>
  <c r="BM290" i="20"/>
  <c r="BE290" i="20"/>
  <c r="AW290" i="20"/>
  <c r="AO290" i="20"/>
  <c r="AG290" i="20"/>
  <c r="Y290" i="20"/>
  <c r="Q290" i="20"/>
  <c r="I290" i="20"/>
  <c r="BT290" i="20"/>
  <c r="BL290" i="20"/>
  <c r="BD290" i="20"/>
  <c r="AV290" i="20"/>
  <c r="AN290" i="20"/>
  <c r="AF290" i="20"/>
  <c r="X290" i="20"/>
  <c r="P290" i="20"/>
  <c r="H290" i="20"/>
  <c r="BS290" i="20"/>
  <c r="BK290" i="20"/>
  <c r="BC290" i="20"/>
  <c r="AU290" i="20"/>
  <c r="AM290" i="20"/>
  <c r="AE290" i="20"/>
  <c r="W290" i="20"/>
  <c r="O290" i="20"/>
  <c r="G290" i="20"/>
  <c r="BR290" i="20"/>
  <c r="BJ290" i="20"/>
  <c r="BB290" i="20"/>
  <c r="AT290" i="20"/>
  <c r="AL290" i="20"/>
  <c r="AD290" i="20"/>
  <c r="V290" i="20"/>
  <c r="N290" i="20"/>
  <c r="BG290" i="20"/>
  <c r="AQ290" i="20"/>
  <c r="AA290" i="20"/>
  <c r="K290" i="20"/>
  <c r="BF290" i="20"/>
  <c r="AP290" i="20"/>
  <c r="Z290" i="20"/>
  <c r="J290" i="20"/>
  <c r="BQ290" i="20"/>
  <c r="BA290" i="20"/>
  <c r="AK290" i="20"/>
  <c r="U290" i="20"/>
  <c r="BP290" i="20"/>
  <c r="AZ290" i="20"/>
  <c r="AJ290" i="20"/>
  <c r="T290" i="20"/>
  <c r="AR290" i="20"/>
  <c r="L290" i="20"/>
  <c r="BO290" i="20"/>
  <c r="AI290" i="20"/>
  <c r="BN290" i="20"/>
  <c r="AH290" i="20"/>
  <c r="BH290" i="20"/>
  <c r="AB290" i="20"/>
  <c r="BI290" i="20"/>
  <c r="AY290" i="20"/>
  <c r="AX290" i="20"/>
  <c r="AS290" i="20"/>
  <c r="AC290" i="20"/>
  <c r="R290" i="20"/>
  <c r="S290" i="20"/>
  <c r="M290" i="20"/>
  <c r="BT266" i="20"/>
  <c r="BT190" i="20"/>
  <c r="BT258" i="20"/>
  <c r="BT254" i="20"/>
  <c r="BT202" i="20"/>
  <c r="BT206" i="20"/>
  <c r="BT210" i="20"/>
  <c r="BT238" i="20"/>
  <c r="BT234" i="20"/>
  <c r="BT222" i="20"/>
  <c r="BT225" i="20"/>
  <c r="BT8" i="21"/>
  <c r="BU7" i="21"/>
  <c r="BT187" i="20"/>
  <c r="BT261" i="20"/>
  <c r="BT195" i="20"/>
  <c r="BT199" i="20"/>
  <c r="BT203" i="20"/>
  <c r="BT207" i="20"/>
  <c r="BT211" i="20"/>
  <c r="BT237" i="20"/>
  <c r="BT233" i="20"/>
  <c r="BT223" i="20"/>
  <c r="BU176" i="20"/>
  <c r="BU289" i="20" s="1"/>
  <c r="BV175" i="20"/>
  <c r="BU226" i="20"/>
  <c r="BU228" i="20"/>
  <c r="BU224" i="20"/>
  <c r="BU223" i="20"/>
  <c r="BU229" i="20"/>
  <c r="BU221" i="20"/>
  <c r="BU220" i="20"/>
  <c r="BU232" i="20"/>
  <c r="BU233" i="20"/>
  <c r="BU219" i="20"/>
  <c r="BU217" i="20"/>
  <c r="BU216" i="20"/>
  <c r="BU236" i="20"/>
  <c r="BU215" i="20"/>
  <c r="BU237" i="20"/>
  <c r="BU213" i="20"/>
  <c r="BU212" i="20"/>
  <c r="BU240" i="20"/>
  <c r="BU211" i="20"/>
  <c r="BU241" i="20"/>
  <c r="BU209" i="20"/>
  <c r="BU208" i="20"/>
  <c r="BU244" i="20"/>
  <c r="BU207" i="20"/>
  <c r="BU245" i="20"/>
  <c r="BU206" i="20"/>
  <c r="BU246" i="20"/>
  <c r="BU205" i="20"/>
  <c r="BU247" i="20"/>
  <c r="BU204" i="20"/>
  <c r="BU248" i="20"/>
  <c r="BU249" i="20"/>
  <c r="BU203" i="20"/>
  <c r="BU250" i="20"/>
  <c r="BU202" i="20"/>
  <c r="BU251" i="20"/>
  <c r="BU201" i="20"/>
  <c r="BU200" i="20"/>
  <c r="BU252" i="20"/>
  <c r="BU253" i="20"/>
  <c r="BU199" i="20"/>
  <c r="BU198" i="20"/>
  <c r="BU254" i="20"/>
  <c r="BU255" i="20"/>
  <c r="BU197" i="20"/>
  <c r="BU256" i="20"/>
  <c r="BU196" i="20"/>
  <c r="BU195" i="20"/>
  <c r="BU257" i="20"/>
  <c r="BU258" i="20"/>
  <c r="BU194" i="20"/>
  <c r="BU193" i="20"/>
  <c r="BU259" i="20"/>
  <c r="BU260" i="20"/>
  <c r="BU192" i="20"/>
  <c r="BU261" i="20"/>
  <c r="BU191" i="20"/>
  <c r="BU190" i="20"/>
  <c r="BU262" i="20"/>
  <c r="BU263" i="20"/>
  <c r="BU189" i="20"/>
  <c r="BU264" i="20"/>
  <c r="BU188" i="20"/>
  <c r="BU187" i="20"/>
  <c r="BU265" i="20"/>
  <c r="BU186" i="20"/>
  <c r="BU266" i="20"/>
  <c r="BU267" i="20"/>
  <c r="BU185" i="20"/>
  <c r="BU184" i="20"/>
  <c r="BU268" i="20"/>
  <c r="BU269" i="20"/>
  <c r="BU183" i="20"/>
  <c r="BU270" i="20"/>
  <c r="BU182" i="20"/>
  <c r="BU181" i="20"/>
  <c r="BU271" i="20"/>
  <c r="BU272" i="20"/>
  <c r="BU180" i="20"/>
  <c r="BU179" i="20"/>
  <c r="BU273" i="20"/>
  <c r="BU178" i="20"/>
  <c r="BU274" i="20"/>
  <c r="BU275" i="20"/>
  <c r="BU276" i="20"/>
  <c r="BU277" i="20"/>
  <c r="BU278" i="20"/>
  <c r="BU279" i="20"/>
  <c r="BU280" i="20"/>
  <c r="BU281" i="20"/>
  <c r="BU282" i="20"/>
  <c r="BU283" i="20"/>
  <c r="BU284" i="20"/>
  <c r="BU285" i="20"/>
  <c r="BU286" i="20"/>
  <c r="BU287" i="20"/>
  <c r="BU288" i="20"/>
  <c r="BU243" i="20" l="1"/>
  <c r="BU239" i="20"/>
  <c r="BU235" i="20"/>
  <c r="BU231" i="20"/>
  <c r="BU227" i="20"/>
  <c r="BU242" i="20"/>
  <c r="BU238" i="20"/>
  <c r="BU234" i="20"/>
  <c r="BU222" i="20"/>
  <c r="BV176" i="20"/>
  <c r="BV290" i="20" s="1"/>
  <c r="BV226" i="20"/>
  <c r="BW175" i="20"/>
  <c r="BV225" i="20"/>
  <c r="BV227" i="20"/>
  <c r="BV228" i="20"/>
  <c r="BV229" i="20"/>
  <c r="BV230" i="20"/>
  <c r="BV222" i="20"/>
  <c r="BV221" i="20"/>
  <c r="BV231" i="20"/>
  <c r="BV232" i="20"/>
  <c r="BV233" i="20"/>
  <c r="BV234" i="20"/>
  <c r="BV218" i="20"/>
  <c r="BV217" i="20"/>
  <c r="BV235" i="20"/>
  <c r="BV236" i="20"/>
  <c r="BV216" i="20"/>
  <c r="BV215" i="20"/>
  <c r="BV238" i="20"/>
  <c r="BV214" i="20"/>
  <c r="BV239" i="20"/>
  <c r="BV213" i="20"/>
  <c r="BV212" i="20"/>
  <c r="BV240" i="20"/>
  <c r="BV241" i="20"/>
  <c r="BV242" i="20"/>
  <c r="BV210" i="20"/>
  <c r="BV209" i="20"/>
  <c r="BV243" i="20"/>
  <c r="BV208" i="20"/>
  <c r="BV244" i="20"/>
  <c r="BV207" i="20"/>
  <c r="BV206" i="20"/>
  <c r="BV246" i="20"/>
  <c r="BV247" i="20"/>
  <c r="BV205" i="20"/>
  <c r="BV204" i="20"/>
  <c r="BV248" i="20"/>
  <c r="BV249" i="20"/>
  <c r="BV202" i="20"/>
  <c r="BV250" i="20"/>
  <c r="BV201" i="20"/>
  <c r="BV251" i="20"/>
  <c r="BV200" i="20"/>
  <c r="BV252" i="20"/>
  <c r="BV253" i="20"/>
  <c r="BV198" i="20"/>
  <c r="BV254" i="20"/>
  <c r="BV197" i="20"/>
  <c r="BV255" i="20"/>
  <c r="BV256" i="20"/>
  <c r="BV196" i="20"/>
  <c r="BV195" i="20"/>
  <c r="BV194" i="20"/>
  <c r="BV258" i="20"/>
  <c r="BV259" i="20"/>
  <c r="BV193" i="20"/>
  <c r="BV192" i="20"/>
  <c r="BV260" i="20"/>
  <c r="BV261" i="20"/>
  <c r="BV190" i="20"/>
  <c r="BV262" i="20"/>
  <c r="BV263" i="20"/>
  <c r="BV189" i="20"/>
  <c r="BV264" i="20"/>
  <c r="BV188" i="20"/>
  <c r="BV265" i="20"/>
  <c r="BV266" i="20"/>
  <c r="BV186" i="20"/>
  <c r="BV185" i="20"/>
  <c r="BV267" i="20"/>
  <c r="BV184" i="20"/>
  <c r="BV268" i="20"/>
  <c r="BV183" i="20"/>
  <c r="BV270" i="20"/>
  <c r="BV182" i="20"/>
  <c r="BV181" i="20"/>
  <c r="BV271" i="20"/>
  <c r="BV272" i="20"/>
  <c r="BV180" i="20"/>
  <c r="BV179" i="20"/>
  <c r="BV178" i="20"/>
  <c r="BV274" i="20"/>
  <c r="BV275" i="20"/>
  <c r="BV276" i="20"/>
  <c r="BV277" i="20"/>
  <c r="BV278" i="20"/>
  <c r="BV279" i="20"/>
  <c r="BV280" i="20"/>
  <c r="BV281" i="20"/>
  <c r="BV282" i="20"/>
  <c r="BV283" i="20"/>
  <c r="BV284" i="20"/>
  <c r="BV285" i="20"/>
  <c r="BV286" i="20"/>
  <c r="BV287" i="20"/>
  <c r="BV288" i="20"/>
  <c r="BV289" i="20"/>
  <c r="F292" i="20"/>
  <c r="F123" i="20"/>
  <c r="D122" i="20"/>
  <c r="BU210" i="20"/>
  <c r="BU214" i="20"/>
  <c r="BU218" i="20"/>
  <c r="BU230" i="20"/>
  <c r="BU225" i="20"/>
  <c r="D291" i="20"/>
  <c r="E291" i="20" s="1"/>
  <c r="E121" i="20"/>
  <c r="BU8" i="21"/>
  <c r="BV7" i="21"/>
  <c r="BV291" i="20"/>
  <c r="BN291" i="20"/>
  <c r="BF291" i="20"/>
  <c r="AX291" i="20"/>
  <c r="AP291" i="20"/>
  <c r="AH291" i="20"/>
  <c r="Z291" i="20"/>
  <c r="R291" i="20"/>
  <c r="J291" i="20"/>
  <c r="BU291" i="20"/>
  <c r="BM291" i="20"/>
  <c r="BE291" i="20"/>
  <c r="AW291" i="20"/>
  <c r="AO291" i="20"/>
  <c r="AG291" i="20"/>
  <c r="Y291" i="20"/>
  <c r="Q291" i="20"/>
  <c r="I291" i="20"/>
  <c r="BT291" i="20"/>
  <c r="BL291" i="20"/>
  <c r="BD291" i="20"/>
  <c r="AV291" i="20"/>
  <c r="AN291" i="20"/>
  <c r="AF291" i="20"/>
  <c r="X291" i="20"/>
  <c r="P291" i="20"/>
  <c r="H291" i="20"/>
  <c r="BS291" i="20"/>
  <c r="BK291" i="20"/>
  <c r="BC291" i="20"/>
  <c r="AU291" i="20"/>
  <c r="AM291" i="20"/>
  <c r="AE291" i="20"/>
  <c r="W291" i="20"/>
  <c r="O291" i="20"/>
  <c r="G291" i="20"/>
  <c r="BP291" i="20"/>
  <c r="AZ291" i="20"/>
  <c r="AJ291" i="20"/>
  <c r="T291" i="20"/>
  <c r="BO291" i="20"/>
  <c r="AY291" i="20"/>
  <c r="AI291" i="20"/>
  <c r="S291" i="20"/>
  <c r="BJ291" i="20"/>
  <c r="AT291" i="20"/>
  <c r="AD291" i="20"/>
  <c r="N291" i="20"/>
  <c r="BI291" i="20"/>
  <c r="AS291" i="20"/>
  <c r="AC291" i="20"/>
  <c r="M291" i="20"/>
  <c r="BQ291" i="20"/>
  <c r="AK291" i="20"/>
  <c r="BH291" i="20"/>
  <c r="AB291" i="20"/>
  <c r="BG291" i="20"/>
  <c r="AA291" i="20"/>
  <c r="BA291" i="20"/>
  <c r="U291" i="20"/>
  <c r="V291" i="20"/>
  <c r="L291" i="20"/>
  <c r="K291" i="20"/>
  <c r="BR291" i="20"/>
  <c r="BB291" i="20"/>
  <c r="AR291" i="20"/>
  <c r="AQ291" i="20"/>
  <c r="AL291" i="20"/>
  <c r="BV273" i="20" l="1"/>
  <c r="BV269" i="20"/>
  <c r="BV187" i="20"/>
  <c r="BV191" i="20"/>
  <c r="BV257" i="20"/>
  <c r="BV199" i="20"/>
  <c r="BV203" i="20"/>
  <c r="BV245" i="20"/>
  <c r="BV211" i="20"/>
  <c r="BV237" i="20"/>
  <c r="BV219" i="20"/>
  <c r="BV223" i="20"/>
  <c r="BV8" i="21"/>
  <c r="BW7" i="21"/>
  <c r="BW176" i="20"/>
  <c r="BW291" i="20" s="1"/>
  <c r="BW226" i="20"/>
  <c r="BX175" i="20"/>
  <c r="BW227" i="20"/>
  <c r="BW225" i="20"/>
  <c r="BW224" i="20"/>
  <c r="BW228" i="20"/>
  <c r="BW223" i="20"/>
  <c r="BW229" i="20"/>
  <c r="BW230" i="20"/>
  <c r="BW222" i="20"/>
  <c r="BW221" i="20"/>
  <c r="BW231" i="20"/>
  <c r="BW232" i="20"/>
  <c r="BW220" i="20"/>
  <c r="BW219" i="20"/>
  <c r="BW233" i="20"/>
  <c r="BW218" i="20"/>
  <c r="BW234" i="20"/>
  <c r="BW235" i="20"/>
  <c r="BW217" i="20"/>
  <c r="BW236" i="20"/>
  <c r="BW216" i="20"/>
  <c r="BW215" i="20"/>
  <c r="BW237" i="20"/>
  <c r="BW214" i="20"/>
  <c r="BW238" i="20"/>
  <c r="BW213" i="20"/>
  <c r="BW239" i="20"/>
  <c r="BW212" i="20"/>
  <c r="BW240" i="20"/>
  <c r="BW241" i="20"/>
  <c r="BW211" i="20"/>
  <c r="BW242" i="20"/>
  <c r="BW210" i="20"/>
  <c r="BW243" i="20"/>
  <c r="BW209" i="20"/>
  <c r="BW244" i="20"/>
  <c r="BW208" i="20"/>
  <c r="BW245" i="20"/>
  <c r="BW207" i="20"/>
  <c r="BW246" i="20"/>
  <c r="BW206" i="20"/>
  <c r="BW247" i="20"/>
  <c r="BW205" i="20"/>
  <c r="BW248" i="20"/>
  <c r="BW204" i="20"/>
  <c r="BW249" i="20"/>
  <c r="BW203" i="20"/>
  <c r="BW250" i="20"/>
  <c r="BW202" i="20"/>
  <c r="BW201" i="20"/>
  <c r="BW251" i="20"/>
  <c r="BW252" i="20"/>
  <c r="BW200" i="20"/>
  <c r="BW253" i="20"/>
  <c r="BW199" i="20"/>
  <c r="BW198" i="20"/>
  <c r="BW254" i="20"/>
  <c r="BW197" i="20"/>
  <c r="BW255" i="20"/>
  <c r="BW256" i="20"/>
  <c r="BW196" i="20"/>
  <c r="BW257" i="20"/>
  <c r="BW195" i="20"/>
  <c r="BW194" i="20"/>
  <c r="BW258" i="20"/>
  <c r="BW259" i="20"/>
  <c r="BW193" i="20"/>
  <c r="BW260" i="20"/>
  <c r="BW192" i="20"/>
  <c r="BW261" i="20"/>
  <c r="BW191" i="20"/>
  <c r="BW190" i="20"/>
  <c r="BW262" i="20"/>
  <c r="BW263" i="20"/>
  <c r="BW189" i="20"/>
  <c r="BW188" i="20"/>
  <c r="BW264" i="20"/>
  <c r="BW265" i="20"/>
  <c r="BW187" i="20"/>
  <c r="BW186" i="20"/>
  <c r="BW266" i="20"/>
  <c r="BW185" i="20"/>
  <c r="BW267" i="20"/>
  <c r="BW184" i="20"/>
  <c r="BW268" i="20"/>
  <c r="BW183" i="20"/>
  <c r="BW269" i="20"/>
  <c r="BW182" i="20"/>
  <c r="BW270" i="20"/>
  <c r="BW271" i="20"/>
  <c r="BW181" i="20"/>
  <c r="BW180" i="20"/>
  <c r="BW272" i="20"/>
  <c r="BW273" i="20"/>
  <c r="BW179" i="20"/>
  <c r="BW274" i="20"/>
  <c r="BW178" i="20"/>
  <c r="BW275" i="20"/>
  <c r="BW276" i="20"/>
  <c r="BW277" i="20"/>
  <c r="BW278" i="20"/>
  <c r="BW279" i="20"/>
  <c r="BW280" i="20"/>
  <c r="BW281" i="20"/>
  <c r="BW282" i="20"/>
  <c r="BW283" i="20"/>
  <c r="BW284" i="20"/>
  <c r="BW285" i="20"/>
  <c r="BW286" i="20"/>
  <c r="BW287" i="20"/>
  <c r="BW288" i="20"/>
  <c r="BW289" i="20"/>
  <c r="BW290" i="20"/>
  <c r="BV220" i="20"/>
  <c r="BV224" i="20"/>
  <c r="D292" i="20"/>
  <c r="E292" i="20" s="1"/>
  <c r="E122" i="20"/>
  <c r="F293" i="20"/>
  <c r="D123" i="20"/>
  <c r="F124" i="20"/>
  <c r="BW292" i="20"/>
  <c r="BO292" i="20"/>
  <c r="BG292" i="20"/>
  <c r="AY292" i="20"/>
  <c r="AQ292" i="20"/>
  <c r="AI292" i="20"/>
  <c r="AA292" i="20"/>
  <c r="S292" i="20"/>
  <c r="K292" i="20"/>
  <c r="BV292" i="20"/>
  <c r="BN292" i="20"/>
  <c r="BF292" i="20"/>
  <c r="AX292" i="20"/>
  <c r="AP292" i="20"/>
  <c r="AH292" i="20"/>
  <c r="Z292" i="20"/>
  <c r="R292" i="20"/>
  <c r="J292" i="20"/>
  <c r="BU292" i="20"/>
  <c r="BM292" i="20"/>
  <c r="BE292" i="20"/>
  <c r="AW292" i="20"/>
  <c r="AO292" i="20"/>
  <c r="AG292" i="20"/>
  <c r="Y292" i="20"/>
  <c r="Q292" i="20"/>
  <c r="I292" i="20"/>
  <c r="BT292" i="20"/>
  <c r="BL292" i="20"/>
  <c r="BD292" i="20"/>
  <c r="AV292" i="20"/>
  <c r="AN292" i="20"/>
  <c r="AF292" i="20"/>
  <c r="X292" i="20"/>
  <c r="P292" i="20"/>
  <c r="H292" i="20"/>
  <c r="BI292" i="20"/>
  <c r="AS292" i="20"/>
  <c r="AC292" i="20"/>
  <c r="M292" i="20"/>
  <c r="BH292" i="20"/>
  <c r="AR292" i="20"/>
  <c r="AB292" i="20"/>
  <c r="L292" i="20"/>
  <c r="BS292" i="20"/>
  <c r="BC292" i="20"/>
  <c r="AM292" i="20"/>
  <c r="W292" i="20"/>
  <c r="G292" i="20"/>
  <c r="BR292" i="20"/>
  <c r="BB292" i="20"/>
  <c r="AL292" i="20"/>
  <c r="V292" i="20"/>
  <c r="BJ292" i="20"/>
  <c r="AD292" i="20"/>
  <c r="BA292" i="20"/>
  <c r="U292" i="20"/>
  <c r="AZ292" i="20"/>
  <c r="T292" i="20"/>
  <c r="AT292" i="20"/>
  <c r="N292" i="20"/>
  <c r="AU292" i="20"/>
  <c r="AK292" i="20"/>
  <c r="AJ292" i="20"/>
  <c r="AE292" i="20"/>
  <c r="O292" i="20"/>
  <c r="BQ292" i="20"/>
  <c r="BK292" i="20"/>
  <c r="BP292" i="20"/>
  <c r="BX176" i="20" l="1"/>
  <c r="BX222" i="20" s="1"/>
  <c r="BY175" i="20"/>
  <c r="BX227" i="20"/>
  <c r="BX225" i="20"/>
  <c r="BX224" i="20"/>
  <c r="BX228" i="20"/>
  <c r="BX223" i="20"/>
  <c r="BX229" i="20"/>
  <c r="BX221" i="20"/>
  <c r="BX231" i="20"/>
  <c r="BX220" i="20"/>
  <c r="BX232" i="20"/>
  <c r="BX233" i="20"/>
  <c r="BX219" i="20"/>
  <c r="BX234" i="20"/>
  <c r="BX235" i="20"/>
  <c r="BX217" i="20"/>
  <c r="BX216" i="20"/>
  <c r="BX236" i="20"/>
  <c r="BX237" i="20"/>
  <c r="BX215" i="20"/>
  <c r="BX214" i="20"/>
  <c r="BX239" i="20"/>
  <c r="BX213" i="20"/>
  <c r="BX212" i="20"/>
  <c r="BX240" i="20"/>
  <c r="BX241" i="20"/>
  <c r="BX211" i="20"/>
  <c r="BX210" i="20"/>
  <c r="BX243" i="20"/>
  <c r="BX209" i="20"/>
  <c r="BX208" i="20"/>
  <c r="BX244" i="20"/>
  <c r="BX207" i="20"/>
  <c r="BX245" i="20"/>
  <c r="BX246" i="20"/>
  <c r="BX205" i="20"/>
  <c r="BX247" i="20"/>
  <c r="BX204" i="20"/>
  <c r="BX248" i="20"/>
  <c r="BX203" i="20"/>
  <c r="BX249" i="20"/>
  <c r="BX202" i="20"/>
  <c r="BX251" i="20"/>
  <c r="BX201" i="20"/>
  <c r="BX200" i="20"/>
  <c r="BX252" i="20"/>
  <c r="BX199" i="20"/>
  <c r="BX253" i="20"/>
  <c r="BX198" i="20"/>
  <c r="BX197" i="20"/>
  <c r="BX255" i="20"/>
  <c r="BX196" i="20"/>
  <c r="BX256" i="20"/>
  <c r="BX195" i="20"/>
  <c r="BX257" i="20"/>
  <c r="BX194" i="20"/>
  <c r="BX259" i="20"/>
  <c r="BX193" i="20"/>
  <c r="BX192" i="20"/>
  <c r="BX260" i="20"/>
  <c r="BX191" i="20"/>
  <c r="BX261" i="20"/>
  <c r="BX262" i="20"/>
  <c r="BX189" i="20"/>
  <c r="BX263" i="20"/>
  <c r="BX188" i="20"/>
  <c r="BX264" i="20"/>
  <c r="BX187" i="20"/>
  <c r="BX265" i="20"/>
  <c r="BX186" i="20"/>
  <c r="BX185" i="20"/>
  <c r="BX267" i="20"/>
  <c r="BX184" i="20"/>
  <c r="BX268" i="20"/>
  <c r="BX269" i="20"/>
  <c r="BX183" i="20"/>
  <c r="BX182" i="20"/>
  <c r="BX271" i="20"/>
  <c r="BX181" i="20"/>
  <c r="BX272" i="20"/>
  <c r="BX180" i="20"/>
  <c r="BX273" i="20"/>
  <c r="BX179" i="20"/>
  <c r="BX178" i="20"/>
  <c r="BX275" i="20"/>
  <c r="BX276" i="20"/>
  <c r="BX277" i="20"/>
  <c r="BX278" i="20"/>
  <c r="BX279" i="20"/>
  <c r="BX280" i="20"/>
  <c r="BX282" i="20"/>
  <c r="BX283" i="20"/>
  <c r="BX284" i="20"/>
  <c r="BX285" i="20"/>
  <c r="BX286" i="20"/>
  <c r="BX287" i="20"/>
  <c r="BX288" i="20"/>
  <c r="BX289" i="20"/>
  <c r="BX290" i="20"/>
  <c r="BX291" i="20"/>
  <c r="BX293" i="20"/>
  <c r="BP293" i="20"/>
  <c r="BH293" i="20"/>
  <c r="AZ293" i="20"/>
  <c r="AR293" i="20"/>
  <c r="AJ293" i="20"/>
  <c r="AB293" i="20"/>
  <c r="T293" i="20"/>
  <c r="L293" i="20"/>
  <c r="BW293" i="20"/>
  <c r="BO293" i="20"/>
  <c r="BG293" i="20"/>
  <c r="AY293" i="20"/>
  <c r="AQ293" i="20"/>
  <c r="AI293" i="20"/>
  <c r="AA293" i="20"/>
  <c r="S293" i="20"/>
  <c r="K293" i="20"/>
  <c r="BV293" i="20"/>
  <c r="BN293" i="20"/>
  <c r="BF293" i="20"/>
  <c r="AX293" i="20"/>
  <c r="AP293" i="20"/>
  <c r="AH293" i="20"/>
  <c r="Z293" i="20"/>
  <c r="R293" i="20"/>
  <c r="J293" i="20"/>
  <c r="BU293" i="20"/>
  <c r="BM293" i="20"/>
  <c r="BE293" i="20"/>
  <c r="AW293" i="20"/>
  <c r="AO293" i="20"/>
  <c r="AG293" i="20"/>
  <c r="Y293" i="20"/>
  <c r="Q293" i="20"/>
  <c r="I293" i="20"/>
  <c r="BR293" i="20"/>
  <c r="BB293" i="20"/>
  <c r="AL293" i="20"/>
  <c r="V293" i="20"/>
  <c r="BQ293" i="20"/>
  <c r="BA293" i="20"/>
  <c r="AK293" i="20"/>
  <c r="U293" i="20"/>
  <c r="BL293" i="20"/>
  <c r="AV293" i="20"/>
  <c r="AF293" i="20"/>
  <c r="P293" i="20"/>
  <c r="BK293" i="20"/>
  <c r="AU293" i="20"/>
  <c r="AE293" i="20"/>
  <c r="O293" i="20"/>
  <c r="BC293" i="20"/>
  <c r="W293" i="20"/>
  <c r="AT293" i="20"/>
  <c r="N293" i="20"/>
  <c r="AS293" i="20"/>
  <c r="M293" i="20"/>
  <c r="BS293" i="20"/>
  <c r="AM293" i="20"/>
  <c r="G293" i="20"/>
  <c r="BT293" i="20"/>
  <c r="H293" i="20"/>
  <c r="BJ293" i="20"/>
  <c r="BI293" i="20"/>
  <c r="BD293" i="20"/>
  <c r="AN293" i="20"/>
  <c r="AD293" i="20"/>
  <c r="X293" i="20"/>
  <c r="AC293" i="20"/>
  <c r="F294" i="20"/>
  <c r="D124" i="20"/>
  <c r="F125" i="20"/>
  <c r="D293" i="20"/>
  <c r="E293" i="20" s="1"/>
  <c r="E123" i="20"/>
  <c r="BX292" i="20"/>
  <c r="BW8" i="21"/>
  <c r="BX7" i="21"/>
  <c r="F295" i="20" l="1"/>
  <c r="F126" i="20"/>
  <c r="D125" i="20"/>
  <c r="BQ294" i="20"/>
  <c r="BI294" i="20"/>
  <c r="BA294" i="20"/>
  <c r="AS294" i="20"/>
  <c r="AK294" i="20"/>
  <c r="AC294" i="20"/>
  <c r="U294" i="20"/>
  <c r="M294" i="20"/>
  <c r="BX294" i="20"/>
  <c r="BP294" i="20"/>
  <c r="BH294" i="20"/>
  <c r="AZ294" i="20"/>
  <c r="AR294" i="20"/>
  <c r="AJ294" i="20"/>
  <c r="AB294" i="20"/>
  <c r="T294" i="20"/>
  <c r="L294" i="20"/>
  <c r="BW294" i="20"/>
  <c r="BO294" i="20"/>
  <c r="BG294" i="20"/>
  <c r="AY294" i="20"/>
  <c r="AQ294" i="20"/>
  <c r="AI294" i="20"/>
  <c r="AA294" i="20"/>
  <c r="S294" i="20"/>
  <c r="K294" i="20"/>
  <c r="BV294" i="20"/>
  <c r="BN294" i="20"/>
  <c r="BF294" i="20"/>
  <c r="AX294" i="20"/>
  <c r="AP294" i="20"/>
  <c r="AH294" i="20"/>
  <c r="Z294" i="20"/>
  <c r="R294" i="20"/>
  <c r="J294" i="20"/>
  <c r="BK294" i="20"/>
  <c r="AU294" i="20"/>
  <c r="AE294" i="20"/>
  <c r="O294" i="20"/>
  <c r="BJ294" i="20"/>
  <c r="AT294" i="20"/>
  <c r="AD294" i="20"/>
  <c r="N294" i="20"/>
  <c r="BU294" i="20"/>
  <c r="BE294" i="20"/>
  <c r="AO294" i="20"/>
  <c r="Y294" i="20"/>
  <c r="I294" i="20"/>
  <c r="BT294" i="20"/>
  <c r="BD294" i="20"/>
  <c r="AN294" i="20"/>
  <c r="X294" i="20"/>
  <c r="H294" i="20"/>
  <c r="AV294" i="20"/>
  <c r="P294" i="20"/>
  <c r="BS294" i="20"/>
  <c r="AM294" i="20"/>
  <c r="G294" i="20"/>
  <c r="BR294" i="20"/>
  <c r="AL294" i="20"/>
  <c r="BL294" i="20"/>
  <c r="AF294" i="20"/>
  <c r="AG294" i="20"/>
  <c r="W294" i="20"/>
  <c r="V294" i="20"/>
  <c r="Q294" i="20"/>
  <c r="BM294" i="20"/>
  <c r="BC294" i="20"/>
  <c r="BB294" i="20"/>
  <c r="AW294" i="20"/>
  <c r="BX230" i="20"/>
  <c r="BX226" i="20"/>
  <c r="BX281" i="20"/>
  <c r="BX274" i="20"/>
  <c r="BX270" i="20"/>
  <c r="BX266" i="20"/>
  <c r="BX190" i="20"/>
  <c r="BX258" i="20"/>
  <c r="BX254" i="20"/>
  <c r="BX250" i="20"/>
  <c r="BX206" i="20"/>
  <c r="BX242" i="20"/>
  <c r="BX238" i="20"/>
  <c r="BX218" i="20"/>
  <c r="BZ175" i="20"/>
  <c r="BY176" i="20"/>
  <c r="BY293" i="20" s="1"/>
  <c r="BY222" i="20"/>
  <c r="BY218" i="20"/>
  <c r="BY214" i="20"/>
  <c r="BY210" i="20"/>
  <c r="BY206" i="20"/>
  <c r="BY202" i="20"/>
  <c r="BY254" i="20"/>
  <c r="BY258" i="20"/>
  <c r="BY262" i="20"/>
  <c r="BY186" i="20"/>
  <c r="BY182" i="20"/>
  <c r="BY178" i="20"/>
  <c r="BY282" i="20"/>
  <c r="BY290" i="20"/>
  <c r="BY7" i="21"/>
  <c r="BX8" i="21"/>
  <c r="D294" i="20"/>
  <c r="E294" i="20" s="1"/>
  <c r="E124" i="20"/>
  <c r="BY294" i="20" l="1"/>
  <c r="BY289" i="20"/>
  <c r="BY194" i="20"/>
  <c r="BY238" i="20"/>
  <c r="BY279" i="20"/>
  <c r="BY269" i="20"/>
  <c r="BY195" i="20"/>
  <c r="BY249" i="20"/>
  <c r="BY241" i="20"/>
  <c r="BY229" i="20"/>
  <c r="BY286" i="20"/>
  <c r="BY278" i="20"/>
  <c r="BY272" i="20"/>
  <c r="BY184" i="20"/>
  <c r="BY188" i="20"/>
  <c r="BY192" i="20"/>
  <c r="BY256" i="20"/>
  <c r="BY200" i="20"/>
  <c r="BY248" i="20"/>
  <c r="BY208" i="20"/>
  <c r="BY212" i="20"/>
  <c r="BY216" i="20"/>
  <c r="BY220" i="20"/>
  <c r="BY228" i="20"/>
  <c r="D295" i="20"/>
  <c r="E295" i="20" s="1"/>
  <c r="E125" i="20"/>
  <c r="BY274" i="20"/>
  <c r="BY266" i="20"/>
  <c r="BY250" i="20"/>
  <c r="BY230" i="20"/>
  <c r="BY288" i="20"/>
  <c r="BY273" i="20"/>
  <c r="BY191" i="20"/>
  <c r="BY253" i="20"/>
  <c r="BY207" i="20"/>
  <c r="BY211" i="20"/>
  <c r="BY237" i="20"/>
  <c r="BY219" i="20"/>
  <c r="CA175" i="20"/>
  <c r="BZ176" i="20"/>
  <c r="BZ227" i="20" s="1"/>
  <c r="BZ230" i="20"/>
  <c r="BZ218" i="20"/>
  <c r="BZ214" i="20"/>
  <c r="BZ242" i="20"/>
  <c r="BZ206" i="20"/>
  <c r="BZ202" i="20"/>
  <c r="BZ254" i="20"/>
  <c r="BZ258" i="20"/>
  <c r="BZ190" i="20"/>
  <c r="BZ186" i="20"/>
  <c r="BZ270" i="20"/>
  <c r="BZ274" i="20"/>
  <c r="BZ281" i="20"/>
  <c r="BZ289" i="20"/>
  <c r="BY277" i="20"/>
  <c r="BY260" i="20"/>
  <c r="BY252" i="20"/>
  <c r="BY204" i="20"/>
  <c r="BY240" i="20"/>
  <c r="BY236" i="20"/>
  <c r="BY232" i="20"/>
  <c r="BY224" i="20"/>
  <c r="F296" i="20"/>
  <c r="D126" i="20"/>
  <c r="F127" i="20"/>
  <c r="BY281" i="20"/>
  <c r="BY190" i="20"/>
  <c r="BY246" i="20"/>
  <c r="BY234" i="20"/>
  <c r="BY226" i="20"/>
  <c r="BY287" i="20"/>
  <c r="BY265" i="20"/>
  <c r="BY199" i="20"/>
  <c r="BY245" i="20"/>
  <c r="BY215" i="20"/>
  <c r="BY285" i="20"/>
  <c r="BY180" i="20"/>
  <c r="BY268" i="20"/>
  <c r="BY264" i="20"/>
  <c r="BY196" i="20"/>
  <c r="BY244" i="20"/>
  <c r="BY292" i="20"/>
  <c r="BY284" i="20"/>
  <c r="BY276" i="20"/>
  <c r="BY271" i="20"/>
  <c r="BY267" i="20"/>
  <c r="BY263" i="20"/>
  <c r="BY193" i="20"/>
  <c r="BY197" i="20"/>
  <c r="BY251" i="20"/>
  <c r="BY247" i="20"/>
  <c r="BY243" i="20"/>
  <c r="BY239" i="20"/>
  <c r="BY235" i="20"/>
  <c r="BY231" i="20"/>
  <c r="BY227" i="20"/>
  <c r="BR295" i="20"/>
  <c r="BJ295" i="20"/>
  <c r="BB295" i="20"/>
  <c r="AT295" i="20"/>
  <c r="AL295" i="20"/>
  <c r="AD295" i="20"/>
  <c r="V295" i="20"/>
  <c r="N295" i="20"/>
  <c r="BY295" i="20"/>
  <c r="BQ295" i="20"/>
  <c r="BI295" i="20"/>
  <c r="BA295" i="20"/>
  <c r="AS295" i="20"/>
  <c r="AK295" i="20"/>
  <c r="AC295" i="20"/>
  <c r="U295" i="20"/>
  <c r="M295" i="20"/>
  <c r="BX295" i="20"/>
  <c r="BP295" i="20"/>
  <c r="BH295" i="20"/>
  <c r="AZ295" i="20"/>
  <c r="AR295" i="20"/>
  <c r="AJ295" i="20"/>
  <c r="AB295" i="20"/>
  <c r="T295" i="20"/>
  <c r="L295" i="20"/>
  <c r="BW295" i="20"/>
  <c r="BO295" i="20"/>
  <c r="BG295" i="20"/>
  <c r="AY295" i="20"/>
  <c r="AQ295" i="20"/>
  <c r="AI295" i="20"/>
  <c r="AA295" i="20"/>
  <c r="S295" i="20"/>
  <c r="K295" i="20"/>
  <c r="BT295" i="20"/>
  <c r="BD295" i="20"/>
  <c r="AN295" i="20"/>
  <c r="X295" i="20"/>
  <c r="H295" i="20"/>
  <c r="BS295" i="20"/>
  <c r="BC295" i="20"/>
  <c r="AM295" i="20"/>
  <c r="W295" i="20"/>
  <c r="G295" i="20"/>
  <c r="BN295" i="20"/>
  <c r="AX295" i="20"/>
  <c r="AH295" i="20"/>
  <c r="R295" i="20"/>
  <c r="BM295" i="20"/>
  <c r="AW295" i="20"/>
  <c r="AG295" i="20"/>
  <c r="Q295" i="20"/>
  <c r="BU295" i="20"/>
  <c r="AO295" i="20"/>
  <c r="I295" i="20"/>
  <c r="BL295" i="20"/>
  <c r="AF295" i="20"/>
  <c r="BK295" i="20"/>
  <c r="AE295" i="20"/>
  <c r="BE295" i="20"/>
  <c r="Y295" i="20"/>
  <c r="BF295" i="20"/>
  <c r="AV295" i="20"/>
  <c r="AU295" i="20"/>
  <c r="AP295" i="20"/>
  <c r="Z295" i="20"/>
  <c r="P295" i="20"/>
  <c r="O295" i="20"/>
  <c r="J295" i="20"/>
  <c r="BV295" i="20"/>
  <c r="BY270" i="20"/>
  <c r="BY198" i="20"/>
  <c r="BY242" i="20"/>
  <c r="BY280" i="20"/>
  <c r="BY183" i="20"/>
  <c r="BY187" i="20"/>
  <c r="BY257" i="20"/>
  <c r="BY203" i="20"/>
  <c r="BY223" i="20"/>
  <c r="BY179" i="20"/>
  <c r="BY261" i="20"/>
  <c r="BY233" i="20"/>
  <c r="BZ7" i="21"/>
  <c r="BY8" i="21"/>
  <c r="BY291" i="20"/>
  <c r="BY283" i="20"/>
  <c r="BY275" i="20"/>
  <c r="BY181" i="20"/>
  <c r="BY185" i="20"/>
  <c r="BY189" i="20"/>
  <c r="BY259" i="20"/>
  <c r="BY255" i="20"/>
  <c r="BY201" i="20"/>
  <c r="BY205" i="20"/>
  <c r="BY209" i="20"/>
  <c r="BY213" i="20"/>
  <c r="BY217" i="20"/>
  <c r="BY221" i="20"/>
  <c r="BY225" i="20"/>
  <c r="D296" i="20" l="1"/>
  <c r="E296" i="20" s="1"/>
  <c r="E126" i="20"/>
  <c r="BZ187" i="20"/>
  <c r="BZ273" i="20"/>
  <c r="BZ191" i="20"/>
  <c r="BZ253" i="20"/>
  <c r="BZ241" i="20"/>
  <c r="BZ223" i="20"/>
  <c r="CA7" i="21"/>
  <c r="BZ8" i="21"/>
  <c r="BZ260" i="20"/>
  <c r="BZ293" i="20"/>
  <c r="BZ285" i="20"/>
  <c r="BZ277" i="20"/>
  <c r="BZ180" i="20"/>
  <c r="BZ184" i="20"/>
  <c r="BZ264" i="20"/>
  <c r="BZ192" i="20"/>
  <c r="BZ196" i="20"/>
  <c r="BZ252" i="20"/>
  <c r="BZ248" i="20"/>
  <c r="BZ208" i="20"/>
  <c r="BZ212" i="20"/>
  <c r="BZ236" i="20"/>
  <c r="BZ232" i="20"/>
  <c r="BZ224" i="20"/>
  <c r="CA296" i="20"/>
  <c r="BS296" i="20"/>
  <c r="BK296" i="20"/>
  <c r="BC296" i="20"/>
  <c r="AU296" i="20"/>
  <c r="AM296" i="20"/>
  <c r="AE296" i="20"/>
  <c r="W296" i="20"/>
  <c r="O296" i="20"/>
  <c r="G296" i="20"/>
  <c r="BZ296" i="20"/>
  <c r="BR296" i="20"/>
  <c r="BJ296" i="20"/>
  <c r="BB296" i="20"/>
  <c r="AT296" i="20"/>
  <c r="AL296" i="20"/>
  <c r="AD296" i="20"/>
  <c r="V296" i="20"/>
  <c r="N296" i="20"/>
  <c r="BY296" i="20"/>
  <c r="BQ296" i="20"/>
  <c r="BI296" i="20"/>
  <c r="BA296" i="20"/>
  <c r="AS296" i="20"/>
  <c r="AK296" i="20"/>
  <c r="AC296" i="20"/>
  <c r="U296" i="20"/>
  <c r="M296" i="20"/>
  <c r="BX296" i="20"/>
  <c r="BP296" i="20"/>
  <c r="BH296" i="20"/>
  <c r="AZ296" i="20"/>
  <c r="AR296" i="20"/>
  <c r="AJ296" i="20"/>
  <c r="AB296" i="20"/>
  <c r="T296" i="20"/>
  <c r="L296" i="20"/>
  <c r="BM296" i="20"/>
  <c r="AW296" i="20"/>
  <c r="AG296" i="20"/>
  <c r="Q296" i="20"/>
  <c r="BL296" i="20"/>
  <c r="AV296" i="20"/>
  <c r="AF296" i="20"/>
  <c r="P296" i="20"/>
  <c r="BW296" i="20"/>
  <c r="BG296" i="20"/>
  <c r="AQ296" i="20"/>
  <c r="AA296" i="20"/>
  <c r="K296" i="20"/>
  <c r="BV296" i="20"/>
  <c r="BF296" i="20"/>
  <c r="AP296" i="20"/>
  <c r="Z296" i="20"/>
  <c r="J296" i="20"/>
  <c r="BN296" i="20"/>
  <c r="AH296" i="20"/>
  <c r="BE296" i="20"/>
  <c r="Y296" i="20"/>
  <c r="BD296" i="20"/>
  <c r="X296" i="20"/>
  <c r="AX296" i="20"/>
  <c r="R296" i="20"/>
  <c r="S296" i="20"/>
  <c r="BU296" i="20"/>
  <c r="I296" i="20"/>
  <c r="BT296" i="20"/>
  <c r="H296" i="20"/>
  <c r="BO296" i="20"/>
  <c r="AY296" i="20"/>
  <c r="AO296" i="20"/>
  <c r="AN296" i="20"/>
  <c r="AI296" i="20"/>
  <c r="BZ280" i="20"/>
  <c r="BZ261" i="20"/>
  <c r="BZ245" i="20"/>
  <c r="CB175" i="20"/>
  <c r="CA176" i="20"/>
  <c r="CA295" i="20" s="1"/>
  <c r="CA225" i="20"/>
  <c r="CA227" i="20"/>
  <c r="CA226" i="20"/>
  <c r="CA230" i="20"/>
  <c r="CA221" i="20"/>
  <c r="CA231" i="20"/>
  <c r="CA218" i="20"/>
  <c r="CA217" i="20"/>
  <c r="CA235" i="20"/>
  <c r="CA238" i="20"/>
  <c r="CA213" i="20"/>
  <c r="CA239" i="20"/>
  <c r="CA242" i="20"/>
  <c r="CA209" i="20"/>
  <c r="CA243" i="20"/>
  <c r="CA206" i="20"/>
  <c r="CA247" i="20"/>
  <c r="CA205" i="20"/>
  <c r="CA202" i="20"/>
  <c r="CA201" i="20"/>
  <c r="CA251" i="20"/>
  <c r="CA254" i="20"/>
  <c r="CA198" i="20"/>
  <c r="CA255" i="20"/>
  <c r="CA197" i="20"/>
  <c r="CA258" i="20"/>
  <c r="CA194" i="20"/>
  <c r="CA259" i="20"/>
  <c r="CA193" i="20"/>
  <c r="CA190" i="20"/>
  <c r="CA262" i="20"/>
  <c r="CA189" i="20"/>
  <c r="CA263" i="20"/>
  <c r="CA266" i="20"/>
  <c r="CA186" i="20"/>
  <c r="CA267" i="20"/>
  <c r="CA185" i="20"/>
  <c r="CA270" i="20"/>
  <c r="CA182" i="20"/>
  <c r="CA271" i="20"/>
  <c r="CA181" i="20"/>
  <c r="CA178" i="20"/>
  <c r="CA274" i="20"/>
  <c r="CA275" i="20"/>
  <c r="CA276" i="20"/>
  <c r="CA281" i="20"/>
  <c r="CA282" i="20"/>
  <c r="CA283" i="20"/>
  <c r="CA284" i="20"/>
  <c r="CA289" i="20"/>
  <c r="CA290" i="20"/>
  <c r="CA291" i="20"/>
  <c r="CA292" i="20"/>
  <c r="BZ292" i="20"/>
  <c r="BZ284" i="20"/>
  <c r="BZ276" i="20"/>
  <c r="BZ271" i="20"/>
  <c r="BZ185" i="20"/>
  <c r="BZ263" i="20"/>
  <c r="BZ193" i="20"/>
  <c r="BZ255" i="20"/>
  <c r="BZ201" i="20"/>
  <c r="BZ247" i="20"/>
  <c r="BZ243" i="20"/>
  <c r="BZ213" i="20"/>
  <c r="BZ217" i="20"/>
  <c r="BZ231" i="20"/>
  <c r="BZ226" i="20"/>
  <c r="BZ295" i="20"/>
  <c r="BZ288" i="20"/>
  <c r="BZ179" i="20"/>
  <c r="BZ257" i="20"/>
  <c r="BZ199" i="20"/>
  <c r="BZ203" i="20"/>
  <c r="BZ211" i="20"/>
  <c r="BZ215" i="20"/>
  <c r="BZ233" i="20"/>
  <c r="BZ229" i="20"/>
  <c r="BZ279" i="20"/>
  <c r="BZ265" i="20"/>
  <c r="BZ249" i="20"/>
  <c r="BZ219" i="20"/>
  <c r="BZ286" i="20"/>
  <c r="BZ272" i="20"/>
  <c r="BZ188" i="20"/>
  <c r="BZ200" i="20"/>
  <c r="BZ244" i="20"/>
  <c r="BZ216" i="20"/>
  <c r="BZ228" i="20"/>
  <c r="BZ291" i="20"/>
  <c r="BZ283" i="20"/>
  <c r="BZ275" i="20"/>
  <c r="BZ181" i="20"/>
  <c r="BZ267" i="20"/>
  <c r="BZ189" i="20"/>
  <c r="BZ259" i="20"/>
  <c r="BZ197" i="20"/>
  <c r="BZ251" i="20"/>
  <c r="BZ205" i="20"/>
  <c r="BZ209" i="20"/>
  <c r="BZ239" i="20"/>
  <c r="BZ235" i="20"/>
  <c r="BZ221" i="20"/>
  <c r="BZ225" i="20"/>
  <c r="BZ294" i="20"/>
  <c r="BZ183" i="20"/>
  <c r="BZ287" i="20"/>
  <c r="BZ269" i="20"/>
  <c r="BZ195" i="20"/>
  <c r="BZ207" i="20"/>
  <c r="BZ237" i="20"/>
  <c r="BZ278" i="20"/>
  <c r="BZ268" i="20"/>
  <c r="BZ256" i="20"/>
  <c r="BZ204" i="20"/>
  <c r="BZ240" i="20"/>
  <c r="BZ220" i="20"/>
  <c r="F297" i="20"/>
  <c r="F128" i="20"/>
  <c r="D127" i="20"/>
  <c r="BZ290" i="20"/>
  <c r="BZ282" i="20"/>
  <c r="BZ178" i="20"/>
  <c r="BZ182" i="20"/>
  <c r="BZ266" i="20"/>
  <c r="BZ262" i="20"/>
  <c r="BZ194" i="20"/>
  <c r="BZ198" i="20"/>
  <c r="BZ250" i="20"/>
  <c r="BZ246" i="20"/>
  <c r="BZ210" i="20"/>
  <c r="BZ238" i="20"/>
  <c r="BZ234" i="20"/>
  <c r="BZ222" i="20"/>
  <c r="D297" i="20" l="1"/>
  <c r="E297" i="20" s="1"/>
  <c r="E127" i="20"/>
  <c r="BT297" i="20"/>
  <c r="BL297" i="20"/>
  <c r="BD297" i="20"/>
  <c r="AV297" i="20"/>
  <c r="AN297" i="20"/>
  <c r="AF297" i="20"/>
  <c r="X297" i="20"/>
  <c r="P297" i="20"/>
  <c r="H297" i="20"/>
  <c r="CA297" i="20"/>
  <c r="BS297" i="20"/>
  <c r="BK297" i="20"/>
  <c r="BC297" i="20"/>
  <c r="AU297" i="20"/>
  <c r="AM297" i="20"/>
  <c r="AE297" i="20"/>
  <c r="W297" i="20"/>
  <c r="O297" i="20"/>
  <c r="G297" i="20"/>
  <c r="BZ297" i="20"/>
  <c r="BR297" i="20"/>
  <c r="BJ297" i="20"/>
  <c r="BB297" i="20"/>
  <c r="AT297" i="20"/>
  <c r="AL297" i="20"/>
  <c r="AD297" i="20"/>
  <c r="V297" i="20"/>
  <c r="N297" i="20"/>
  <c r="BY297" i="20"/>
  <c r="BQ297" i="20"/>
  <c r="BI297" i="20"/>
  <c r="BA297" i="20"/>
  <c r="AS297" i="20"/>
  <c r="AK297" i="20"/>
  <c r="AC297" i="20"/>
  <c r="U297" i="20"/>
  <c r="M297" i="20"/>
  <c r="BO297" i="20"/>
  <c r="BX297" i="20"/>
  <c r="BW297" i="20"/>
  <c r="BG297" i="20"/>
  <c r="BF297" i="20"/>
  <c r="AP297" i="20"/>
  <c r="Z297" i="20"/>
  <c r="J297" i="20"/>
  <c r="BE297" i="20"/>
  <c r="AO297" i="20"/>
  <c r="Y297" i="20"/>
  <c r="I297" i="20"/>
  <c r="BV297" i="20"/>
  <c r="AZ297" i="20"/>
  <c r="AJ297" i="20"/>
  <c r="T297" i="20"/>
  <c r="BU297" i="20"/>
  <c r="AY297" i="20"/>
  <c r="AI297" i="20"/>
  <c r="S297" i="20"/>
  <c r="BH297" i="20"/>
  <c r="AA297" i="20"/>
  <c r="AX297" i="20"/>
  <c r="R297" i="20"/>
  <c r="AW297" i="20"/>
  <c r="Q297" i="20"/>
  <c r="AQ297" i="20"/>
  <c r="K297" i="20"/>
  <c r="AR297" i="20"/>
  <c r="AH297" i="20"/>
  <c r="AG297" i="20"/>
  <c r="AB297" i="20"/>
  <c r="BP297" i="20"/>
  <c r="BN297" i="20"/>
  <c r="BM297" i="20"/>
  <c r="L297" i="20"/>
  <c r="CA288" i="20"/>
  <c r="CA280" i="20"/>
  <c r="CA179" i="20"/>
  <c r="CA269" i="20"/>
  <c r="CA187" i="20"/>
  <c r="CA191" i="20"/>
  <c r="CA195" i="20"/>
  <c r="CA199" i="20"/>
  <c r="CA203" i="20"/>
  <c r="CA207" i="20"/>
  <c r="CA211" i="20"/>
  <c r="CA237" i="20"/>
  <c r="CA219" i="20"/>
  <c r="CA223" i="20"/>
  <c r="CB176" i="20"/>
  <c r="CB296" i="20" s="1"/>
  <c r="CC175" i="20"/>
  <c r="CB225" i="20"/>
  <c r="CB226" i="20"/>
  <c r="CB222" i="20"/>
  <c r="CB230" i="20"/>
  <c r="CB221" i="20"/>
  <c r="CB234" i="20"/>
  <c r="CB218" i="20"/>
  <c r="CB217" i="20"/>
  <c r="CB238" i="20"/>
  <c r="CB214" i="20"/>
  <c r="CB213" i="20"/>
  <c r="CB241" i="20"/>
  <c r="CB242" i="20"/>
  <c r="CB210" i="20"/>
  <c r="CB209" i="20"/>
  <c r="CB246" i="20"/>
  <c r="CB206" i="20"/>
  <c r="CB205" i="20"/>
  <c r="CB203" i="20"/>
  <c r="CB202" i="20"/>
  <c r="CB250" i="20"/>
  <c r="CB251" i="20"/>
  <c r="CB199" i="20"/>
  <c r="CB198" i="20"/>
  <c r="CB254" i="20"/>
  <c r="CB255" i="20"/>
  <c r="CB195" i="20"/>
  <c r="CB258" i="20"/>
  <c r="CB194" i="20"/>
  <c r="CB259" i="20"/>
  <c r="CB191" i="20"/>
  <c r="CB262" i="20"/>
  <c r="CB190" i="20"/>
  <c r="CB189" i="20"/>
  <c r="CB187" i="20"/>
  <c r="CB186" i="20"/>
  <c r="CB266" i="20"/>
  <c r="CB185" i="20"/>
  <c r="CB183" i="20"/>
  <c r="CB270" i="20"/>
  <c r="CB182" i="20"/>
  <c r="CB271" i="20"/>
  <c r="CB273" i="20"/>
  <c r="CB274" i="20"/>
  <c r="CB178" i="20"/>
  <c r="CB275" i="20"/>
  <c r="CB280" i="20"/>
  <c r="CB281" i="20"/>
  <c r="CB282" i="20"/>
  <c r="CB283" i="20"/>
  <c r="CB288" i="20"/>
  <c r="CB289" i="20"/>
  <c r="CB290" i="20"/>
  <c r="CB291" i="20"/>
  <c r="CB7" i="21"/>
  <c r="CA8" i="21"/>
  <c r="CA287" i="20"/>
  <c r="CA279" i="20"/>
  <c r="CA273" i="20"/>
  <c r="CA183" i="20"/>
  <c r="CA265" i="20"/>
  <c r="CA261" i="20"/>
  <c r="CA257" i="20"/>
  <c r="CA253" i="20"/>
  <c r="CA249" i="20"/>
  <c r="CA245" i="20"/>
  <c r="CA241" i="20"/>
  <c r="CA215" i="20"/>
  <c r="CA233" i="20"/>
  <c r="CA229" i="20"/>
  <c r="F298" i="20"/>
  <c r="F129" i="20"/>
  <c r="D128" i="20"/>
  <c r="CA246" i="20"/>
  <c r="CA214" i="20"/>
  <c r="CA222" i="20"/>
  <c r="CA294" i="20"/>
  <c r="CA286" i="20"/>
  <c r="CA278" i="20"/>
  <c r="CA180" i="20"/>
  <c r="CA268" i="20"/>
  <c r="CA188" i="20"/>
  <c r="CA260" i="20"/>
  <c r="CA256" i="20"/>
  <c r="CA252" i="20"/>
  <c r="CA248" i="20"/>
  <c r="CA208" i="20"/>
  <c r="CA240" i="20"/>
  <c r="CA216" i="20"/>
  <c r="CA220" i="20"/>
  <c r="CA228" i="20"/>
  <c r="CA250" i="20"/>
  <c r="CA210" i="20"/>
  <c r="CA234" i="20"/>
  <c r="CA293" i="20"/>
  <c r="CA285" i="20"/>
  <c r="CA277" i="20"/>
  <c r="CA272" i="20"/>
  <c r="CA184" i="20"/>
  <c r="CA264" i="20"/>
  <c r="CA192" i="20"/>
  <c r="CA196" i="20"/>
  <c r="CA200" i="20"/>
  <c r="CA204" i="20"/>
  <c r="CA244" i="20"/>
  <c r="CA212" i="20"/>
  <c r="CA236" i="20"/>
  <c r="CA232" i="20"/>
  <c r="CA224" i="20"/>
  <c r="CC176" i="20" l="1"/>
  <c r="CC297" i="20" s="1"/>
  <c r="CD175" i="20"/>
  <c r="CC226" i="20"/>
  <c r="CC224" i="20"/>
  <c r="CC228" i="20"/>
  <c r="CC223" i="20"/>
  <c r="CC229" i="20"/>
  <c r="CC231" i="20"/>
  <c r="CC232" i="20"/>
  <c r="CC220" i="20"/>
  <c r="CC233" i="20"/>
  <c r="CC219" i="20"/>
  <c r="CC235" i="20"/>
  <c r="CC236" i="20"/>
  <c r="CC216" i="20"/>
  <c r="CC237" i="20"/>
  <c r="CC215" i="20"/>
  <c r="CC239" i="20"/>
  <c r="CC212" i="20"/>
  <c r="CC240" i="20"/>
  <c r="CC211" i="20"/>
  <c r="CC241" i="20"/>
  <c r="CC209" i="20"/>
  <c r="CC244" i="20"/>
  <c r="CC208" i="20"/>
  <c r="CC245" i="20"/>
  <c r="CC207" i="20"/>
  <c r="CC205" i="20"/>
  <c r="CC204" i="20"/>
  <c r="CC248" i="20"/>
  <c r="CC203" i="20"/>
  <c r="CC249" i="20"/>
  <c r="CC251" i="20"/>
  <c r="CC252" i="20"/>
  <c r="CC200" i="20"/>
  <c r="CC253" i="20"/>
  <c r="CC199" i="20"/>
  <c r="CC197" i="20"/>
  <c r="CC256" i="20"/>
  <c r="CC196" i="20"/>
  <c r="CC195" i="20"/>
  <c r="CC257" i="20"/>
  <c r="CC193" i="20"/>
  <c r="CC259" i="20"/>
  <c r="CC260" i="20"/>
  <c r="CC192" i="20"/>
  <c r="CC191" i="20"/>
  <c r="CC261" i="20"/>
  <c r="CC190" i="20"/>
  <c r="CC262" i="20"/>
  <c r="CC263" i="20"/>
  <c r="CC189" i="20"/>
  <c r="CC188" i="20"/>
  <c r="CC264" i="20"/>
  <c r="CC265" i="20"/>
  <c r="CC187" i="20"/>
  <c r="CC186" i="20"/>
  <c r="CC266" i="20"/>
  <c r="CC267" i="20"/>
  <c r="CC185" i="20"/>
  <c r="CC184" i="20"/>
  <c r="CC268" i="20"/>
  <c r="CC269" i="20"/>
  <c r="CC183" i="20"/>
  <c r="CC270" i="20"/>
  <c r="CC182" i="20"/>
  <c r="CC271" i="20"/>
  <c r="CC181" i="20"/>
  <c r="CC272" i="20"/>
  <c r="CC180" i="20"/>
  <c r="CC273" i="20"/>
  <c r="CC179" i="20"/>
  <c r="CC274" i="20"/>
  <c r="CC178" i="20"/>
  <c r="CC275" i="20"/>
  <c r="CC276" i="20"/>
  <c r="CC277" i="20"/>
  <c r="CC278" i="20"/>
  <c r="CC279" i="20"/>
  <c r="CC280" i="20"/>
  <c r="CC281" i="20"/>
  <c r="CC282" i="20"/>
  <c r="CC283" i="20"/>
  <c r="CC284" i="20"/>
  <c r="CC285" i="20"/>
  <c r="CC286" i="20"/>
  <c r="CC287" i="20"/>
  <c r="CC288" i="20"/>
  <c r="CC289" i="20"/>
  <c r="CC290" i="20"/>
  <c r="CC291" i="20"/>
  <c r="CC292" i="20"/>
  <c r="CC293" i="20"/>
  <c r="CC294" i="20"/>
  <c r="CC295" i="20"/>
  <c r="CC296" i="20"/>
  <c r="D298" i="20"/>
  <c r="E298" i="20" s="1"/>
  <c r="E128" i="20"/>
  <c r="CB295" i="20"/>
  <c r="CB287" i="20"/>
  <c r="CB279" i="20"/>
  <c r="CB179" i="20"/>
  <c r="CB269" i="20"/>
  <c r="CB265" i="20"/>
  <c r="CB261" i="20"/>
  <c r="CB257" i="20"/>
  <c r="CB253" i="20"/>
  <c r="CB249" i="20"/>
  <c r="CB245" i="20"/>
  <c r="CB211" i="20"/>
  <c r="CB237" i="20"/>
  <c r="CB219" i="20"/>
  <c r="CB223" i="20"/>
  <c r="CB8" i="21"/>
  <c r="CC7" i="21"/>
  <c r="F299" i="20"/>
  <c r="D129" i="20"/>
  <c r="F130" i="20"/>
  <c r="CB294" i="20"/>
  <c r="CB286" i="20"/>
  <c r="CB278" i="20"/>
  <c r="CB180" i="20"/>
  <c r="CB184" i="20"/>
  <c r="CB264" i="20"/>
  <c r="CB260" i="20"/>
  <c r="CB196" i="20"/>
  <c r="CB200" i="20"/>
  <c r="CB248" i="20"/>
  <c r="CB208" i="20"/>
  <c r="CB212" i="20"/>
  <c r="CB216" i="20"/>
  <c r="CB232" i="20"/>
  <c r="CB224" i="20"/>
  <c r="CB293" i="20"/>
  <c r="CB285" i="20"/>
  <c r="CB277" i="20"/>
  <c r="CB272" i="20"/>
  <c r="CB268" i="20"/>
  <c r="CB188" i="20"/>
  <c r="CB192" i="20"/>
  <c r="CB256" i="20"/>
  <c r="CB252" i="20"/>
  <c r="CB204" i="20"/>
  <c r="CB244" i="20"/>
  <c r="CB240" i="20"/>
  <c r="CB236" i="20"/>
  <c r="CB220" i="20"/>
  <c r="CB228" i="20"/>
  <c r="CB207" i="20"/>
  <c r="CB215" i="20"/>
  <c r="CB233" i="20"/>
  <c r="CB229" i="20"/>
  <c r="BZ298" i="20"/>
  <c r="BR298" i="20"/>
  <c r="BJ298" i="20"/>
  <c r="BB298" i="20"/>
  <c r="AT298" i="20"/>
  <c r="AL298" i="20"/>
  <c r="AD298" i="20"/>
  <c r="V298" i="20"/>
  <c r="N298" i="20"/>
  <c r="BY298" i="20"/>
  <c r="BQ298" i="20"/>
  <c r="BI298" i="20"/>
  <c r="BA298" i="20"/>
  <c r="AS298" i="20"/>
  <c r="AK298" i="20"/>
  <c r="AC298" i="20"/>
  <c r="U298" i="20"/>
  <c r="M298" i="20"/>
  <c r="BX298" i="20"/>
  <c r="BP298" i="20"/>
  <c r="BH298" i="20"/>
  <c r="AZ298" i="20"/>
  <c r="AR298" i="20"/>
  <c r="AJ298" i="20"/>
  <c r="AB298" i="20"/>
  <c r="T298" i="20"/>
  <c r="L298" i="20"/>
  <c r="BW298" i="20"/>
  <c r="BO298" i="20"/>
  <c r="BG298" i="20"/>
  <c r="AY298" i="20"/>
  <c r="AQ298" i="20"/>
  <c r="AI298" i="20"/>
  <c r="AA298" i="20"/>
  <c r="S298" i="20"/>
  <c r="K298" i="20"/>
  <c r="CC298" i="20"/>
  <c r="BM298" i="20"/>
  <c r="AW298" i="20"/>
  <c r="AG298" i="20"/>
  <c r="Q298" i="20"/>
  <c r="CB298" i="20"/>
  <c r="BL298" i="20"/>
  <c r="AV298" i="20"/>
  <c r="AF298" i="20"/>
  <c r="P298" i="20"/>
  <c r="CA298" i="20"/>
  <c r="BK298" i="20"/>
  <c r="AU298" i="20"/>
  <c r="AE298" i="20"/>
  <c r="O298" i="20"/>
  <c r="BV298" i="20"/>
  <c r="BF298" i="20"/>
  <c r="AP298" i="20"/>
  <c r="Z298" i="20"/>
  <c r="J298" i="20"/>
  <c r="BT298" i="20"/>
  <c r="AN298" i="20"/>
  <c r="H298" i="20"/>
  <c r="BE298" i="20"/>
  <c r="Y298" i="20"/>
  <c r="BD298" i="20"/>
  <c r="X298" i="20"/>
  <c r="AH298" i="20"/>
  <c r="BU298" i="20"/>
  <c r="W298" i="20"/>
  <c r="BS298" i="20"/>
  <c r="R298" i="20"/>
  <c r="BN298" i="20"/>
  <c r="I298" i="20"/>
  <c r="AM298" i="20"/>
  <c r="G298" i="20"/>
  <c r="AO298" i="20"/>
  <c r="BC298" i="20"/>
  <c r="AX298" i="20"/>
  <c r="CB292" i="20"/>
  <c r="CB284" i="20"/>
  <c r="CB276" i="20"/>
  <c r="CB181" i="20"/>
  <c r="CB267" i="20"/>
  <c r="CB263" i="20"/>
  <c r="CB193" i="20"/>
  <c r="CB197" i="20"/>
  <c r="CB201" i="20"/>
  <c r="CB247" i="20"/>
  <c r="CB243" i="20"/>
  <c r="CB239" i="20"/>
  <c r="CB235" i="20"/>
  <c r="CB231" i="20"/>
  <c r="CB227" i="20"/>
  <c r="CB297" i="20"/>
  <c r="CA299" i="20" l="1"/>
  <c r="BS299" i="20"/>
  <c r="BK299" i="20"/>
  <c r="BC299" i="20"/>
  <c r="AU299" i="20"/>
  <c r="AM299" i="20"/>
  <c r="AE299" i="20"/>
  <c r="W299" i="20"/>
  <c r="O299" i="20"/>
  <c r="G299" i="20"/>
  <c r="BZ299" i="20"/>
  <c r="BR299" i="20"/>
  <c r="BJ299" i="20"/>
  <c r="BB299" i="20"/>
  <c r="AT299" i="20"/>
  <c r="AL299" i="20"/>
  <c r="AD299" i="20"/>
  <c r="V299" i="20"/>
  <c r="N299" i="20"/>
  <c r="BY299" i="20"/>
  <c r="BQ299" i="20"/>
  <c r="BI299" i="20"/>
  <c r="BA299" i="20"/>
  <c r="AS299" i="20"/>
  <c r="AK299" i="20"/>
  <c r="AC299" i="20"/>
  <c r="U299" i="20"/>
  <c r="M299" i="20"/>
  <c r="BX299" i="20"/>
  <c r="BP299" i="20"/>
  <c r="BH299" i="20"/>
  <c r="AZ299" i="20"/>
  <c r="AR299" i="20"/>
  <c r="AJ299" i="20"/>
  <c r="AB299" i="20"/>
  <c r="T299" i="20"/>
  <c r="L299" i="20"/>
  <c r="BV299" i="20"/>
  <c r="BF299" i="20"/>
  <c r="AP299" i="20"/>
  <c r="Z299" i="20"/>
  <c r="J299" i="20"/>
  <c r="BU299" i="20"/>
  <c r="BE299" i="20"/>
  <c r="AO299" i="20"/>
  <c r="Y299" i="20"/>
  <c r="I299" i="20"/>
  <c r="BT299" i="20"/>
  <c r="BD299" i="20"/>
  <c r="AN299" i="20"/>
  <c r="X299" i="20"/>
  <c r="H299" i="20"/>
  <c r="BO299" i="20"/>
  <c r="AY299" i="20"/>
  <c r="AI299" i="20"/>
  <c r="S299" i="20"/>
  <c r="BM299" i="20"/>
  <c r="AG299" i="20"/>
  <c r="AX299" i="20"/>
  <c r="R299" i="20"/>
  <c r="CC299" i="20"/>
  <c r="AW299" i="20"/>
  <c r="Q299" i="20"/>
  <c r="BN299" i="20"/>
  <c r="P299" i="20"/>
  <c r="BL299" i="20"/>
  <c r="K299" i="20"/>
  <c r="BG299" i="20"/>
  <c r="AV299" i="20"/>
  <c r="BW299" i="20"/>
  <c r="AQ299" i="20"/>
  <c r="AH299" i="20"/>
  <c r="AA299" i="20"/>
  <c r="AF299" i="20"/>
  <c r="CB299" i="20"/>
  <c r="CC255" i="20"/>
  <c r="CC201" i="20"/>
  <c r="CC247" i="20"/>
  <c r="CC243" i="20"/>
  <c r="CC213" i="20"/>
  <c r="CC217" i="20"/>
  <c r="CC221" i="20"/>
  <c r="CC227" i="20"/>
  <c r="CC194" i="20"/>
  <c r="CC198" i="20"/>
  <c r="CC202" i="20"/>
  <c r="CC246" i="20"/>
  <c r="CC242" i="20"/>
  <c r="CC238" i="20"/>
  <c r="CC218" i="20"/>
  <c r="CC222" i="20"/>
  <c r="CC225" i="20"/>
  <c r="F300" i="20"/>
  <c r="F131" i="20"/>
  <c r="D130" i="20"/>
  <c r="D299" i="20"/>
  <c r="E299" i="20" s="1"/>
  <c r="E129" i="20"/>
  <c r="CC258" i="20"/>
  <c r="CC254" i="20"/>
  <c r="CC250" i="20"/>
  <c r="CC206" i="20"/>
  <c r="CC210" i="20"/>
  <c r="CC214" i="20"/>
  <c r="CC234" i="20"/>
  <c r="CC230" i="20"/>
  <c r="CD176" i="20"/>
  <c r="CD298" i="20" s="1"/>
  <c r="CD226" i="20"/>
  <c r="CD225" i="20"/>
  <c r="CE175" i="20"/>
  <c r="CD227" i="20"/>
  <c r="CD222" i="20"/>
  <c r="CD230" i="20"/>
  <c r="CD221" i="20"/>
  <c r="CD218" i="20"/>
  <c r="CD234" i="20"/>
  <c r="CD217" i="20"/>
  <c r="CD214" i="20"/>
  <c r="CD238" i="20"/>
  <c r="CD213" i="20"/>
  <c r="CD210" i="20"/>
  <c r="CD242" i="20"/>
  <c r="CD243" i="20"/>
  <c r="CD206" i="20"/>
  <c r="CD246" i="20"/>
  <c r="CD247" i="20"/>
  <c r="CD250" i="20"/>
  <c r="CD202" i="20"/>
  <c r="CD251" i="20"/>
  <c r="CD198" i="20"/>
  <c r="CD254" i="20"/>
  <c r="CD255" i="20"/>
  <c r="CD195" i="20"/>
  <c r="CD258" i="20"/>
  <c r="CD194" i="20"/>
  <c r="CD193" i="20"/>
  <c r="CD261" i="20"/>
  <c r="CD262" i="20"/>
  <c r="CD190" i="20"/>
  <c r="CD263" i="20"/>
  <c r="CD265" i="20"/>
  <c r="CD266" i="20"/>
  <c r="CD186" i="20"/>
  <c r="CD267" i="20"/>
  <c r="CD183" i="20"/>
  <c r="CD270" i="20"/>
  <c r="CD182" i="20"/>
  <c r="CD181" i="20"/>
  <c r="CD179" i="20"/>
  <c r="CD178" i="20"/>
  <c r="CD274" i="20"/>
  <c r="CD276" i="20"/>
  <c r="CD280" i="20"/>
  <c r="CD281" i="20"/>
  <c r="CD282" i="20"/>
  <c r="CD284" i="20"/>
  <c r="CD288" i="20"/>
  <c r="CD289" i="20"/>
  <c r="CD290" i="20"/>
  <c r="CD292" i="20"/>
  <c r="CD296" i="20"/>
  <c r="CD297" i="20"/>
  <c r="CC8" i="21"/>
  <c r="CD7" i="21"/>
  <c r="CD8" i="21" l="1"/>
  <c r="CE7" i="21"/>
  <c r="CD291" i="20"/>
  <c r="CD283" i="20"/>
  <c r="CD275" i="20"/>
  <c r="CD271" i="20"/>
  <c r="CD185" i="20"/>
  <c r="CD189" i="20"/>
  <c r="CD259" i="20"/>
  <c r="CD197" i="20"/>
  <c r="CD201" i="20"/>
  <c r="CD205" i="20"/>
  <c r="CD209" i="20"/>
  <c r="CD239" i="20"/>
  <c r="CD235" i="20"/>
  <c r="CD231" i="20"/>
  <c r="CE176" i="20"/>
  <c r="CE299" i="20" s="1"/>
  <c r="CF175" i="20"/>
  <c r="CE223" i="20"/>
  <c r="CE219" i="20"/>
  <c r="CE215" i="20"/>
  <c r="CE211" i="20"/>
  <c r="CE207" i="20"/>
  <c r="CE203" i="20"/>
  <c r="CE199" i="20"/>
  <c r="CE195" i="20"/>
  <c r="CE191" i="20"/>
  <c r="CE187" i="20"/>
  <c r="CE269" i="20"/>
  <c r="CE179" i="20"/>
  <c r="CE280" i="20"/>
  <c r="CE288" i="20"/>
  <c r="CE296" i="20"/>
  <c r="D300" i="20"/>
  <c r="E300" i="20" s="1"/>
  <c r="E130" i="20"/>
  <c r="CD253" i="20"/>
  <c r="CD245" i="20"/>
  <c r="CD241" i="20"/>
  <c r="CD237" i="20"/>
  <c r="CD229" i="20"/>
  <c r="CD299" i="20"/>
  <c r="CD295" i="20"/>
  <c r="CD273" i="20"/>
  <c r="CD191" i="20"/>
  <c r="CD199" i="20"/>
  <c r="CD207" i="20"/>
  <c r="CD211" i="20"/>
  <c r="CD215" i="20"/>
  <c r="CD233" i="20"/>
  <c r="CD223" i="20"/>
  <c r="CB300" i="20"/>
  <c r="BT300" i="20"/>
  <c r="BL300" i="20"/>
  <c r="BD300" i="20"/>
  <c r="AV300" i="20"/>
  <c r="AN300" i="20"/>
  <c r="AF300" i="20"/>
  <c r="X300" i="20"/>
  <c r="P300" i="20"/>
  <c r="H300" i="20"/>
  <c r="CA300" i="20"/>
  <c r="BS300" i="20"/>
  <c r="BK300" i="20"/>
  <c r="BC300" i="20"/>
  <c r="AU300" i="20"/>
  <c r="AM300" i="20"/>
  <c r="AE300" i="20"/>
  <c r="W300" i="20"/>
  <c r="O300" i="20"/>
  <c r="G300" i="20"/>
  <c r="BZ300" i="20"/>
  <c r="BR300" i="20"/>
  <c r="BJ300" i="20"/>
  <c r="BB300" i="20"/>
  <c r="AT300" i="20"/>
  <c r="AL300" i="20"/>
  <c r="AD300" i="20"/>
  <c r="V300" i="20"/>
  <c r="N300" i="20"/>
  <c r="BY300" i="20"/>
  <c r="BQ300" i="20"/>
  <c r="BI300" i="20"/>
  <c r="BA300" i="20"/>
  <c r="AS300" i="20"/>
  <c r="AK300" i="20"/>
  <c r="AC300" i="20"/>
  <c r="U300" i="20"/>
  <c r="M300" i="20"/>
  <c r="BO300" i="20"/>
  <c r="AY300" i="20"/>
  <c r="AI300" i="20"/>
  <c r="S300" i="20"/>
  <c r="CD300" i="20"/>
  <c r="BN300" i="20"/>
  <c r="AX300" i="20"/>
  <c r="AH300" i="20"/>
  <c r="R300" i="20"/>
  <c r="CC300" i="20"/>
  <c r="BM300" i="20"/>
  <c r="AW300" i="20"/>
  <c r="AG300" i="20"/>
  <c r="Q300" i="20"/>
  <c r="BX300" i="20"/>
  <c r="BH300" i="20"/>
  <c r="AR300" i="20"/>
  <c r="AB300" i="20"/>
  <c r="L300" i="20"/>
  <c r="BF300" i="20"/>
  <c r="Z300" i="20"/>
  <c r="BW300" i="20"/>
  <c r="AQ300" i="20"/>
  <c r="K300" i="20"/>
  <c r="BV300" i="20"/>
  <c r="AP300" i="20"/>
  <c r="J300" i="20"/>
  <c r="BE300" i="20"/>
  <c r="AZ300" i="20"/>
  <c r="AO300" i="20"/>
  <c r="AJ300" i="20"/>
  <c r="I300" i="20"/>
  <c r="BU300" i="20"/>
  <c r="BG300" i="20"/>
  <c r="BP300" i="20"/>
  <c r="AA300" i="20"/>
  <c r="Y300" i="20"/>
  <c r="T300" i="20"/>
  <c r="CD287" i="20"/>
  <c r="CD279" i="20"/>
  <c r="CD269" i="20"/>
  <c r="CD187" i="20"/>
  <c r="CD257" i="20"/>
  <c r="CD203" i="20"/>
  <c r="CD294" i="20"/>
  <c r="CD286" i="20"/>
  <c r="CD278" i="20"/>
  <c r="CD180" i="20"/>
  <c r="CD268" i="20"/>
  <c r="CD188" i="20"/>
  <c r="CD192" i="20"/>
  <c r="CD196" i="20"/>
  <c r="CD200" i="20"/>
  <c r="CD204" i="20"/>
  <c r="CD208" i="20"/>
  <c r="CD212" i="20"/>
  <c r="CD236" i="20"/>
  <c r="CD232" i="20"/>
  <c r="CD228" i="20"/>
  <c r="F301" i="20"/>
  <c r="D131" i="20"/>
  <c r="F132" i="20"/>
  <c r="CD249" i="20"/>
  <c r="CD219" i="20"/>
  <c r="CD293" i="20"/>
  <c r="CD285" i="20"/>
  <c r="CD277" i="20"/>
  <c r="CD272" i="20"/>
  <c r="CD184" i="20"/>
  <c r="CD264" i="20"/>
  <c r="CD260" i="20"/>
  <c r="CD256" i="20"/>
  <c r="CD252" i="20"/>
  <c r="CD248" i="20"/>
  <c r="CD244" i="20"/>
  <c r="CD240" i="20"/>
  <c r="CD216" i="20"/>
  <c r="CD220" i="20"/>
  <c r="CD224" i="20"/>
  <c r="CE279" i="20" l="1"/>
  <c r="CE292" i="20"/>
  <c r="CE284" i="20"/>
  <c r="CE276" i="20"/>
  <c r="CE181" i="20"/>
  <c r="CE267" i="20"/>
  <c r="CE189" i="20"/>
  <c r="CE193" i="20"/>
  <c r="CE255" i="20"/>
  <c r="CE251" i="20"/>
  <c r="CE205" i="20"/>
  <c r="CE243" i="20"/>
  <c r="CE213" i="20"/>
  <c r="CE217" i="20"/>
  <c r="CE221" i="20"/>
  <c r="CE227" i="20"/>
  <c r="CE261" i="20"/>
  <c r="D132" i="20"/>
  <c r="F302" i="20"/>
  <c r="F133" i="20"/>
  <c r="CE300" i="20"/>
  <c r="CE291" i="20"/>
  <c r="CE283" i="20"/>
  <c r="CE275" i="20"/>
  <c r="CE271" i="20"/>
  <c r="CE185" i="20"/>
  <c r="CE263" i="20"/>
  <c r="CE259" i="20"/>
  <c r="CE197" i="20"/>
  <c r="CE201" i="20"/>
  <c r="CE247" i="20"/>
  <c r="CE209" i="20"/>
  <c r="CE239" i="20"/>
  <c r="CE235" i="20"/>
  <c r="CE231" i="20"/>
  <c r="CE225" i="20"/>
  <c r="CE295" i="20"/>
  <c r="CE183" i="20"/>
  <c r="CE257" i="20"/>
  <c r="CE237" i="20"/>
  <c r="CE294" i="20"/>
  <c r="CE278" i="20"/>
  <c r="CE268" i="20"/>
  <c r="CE188" i="20"/>
  <c r="CE192" i="20"/>
  <c r="CE200" i="20"/>
  <c r="CE204" i="20"/>
  <c r="CE208" i="20"/>
  <c r="CE212" i="20"/>
  <c r="CE232" i="20"/>
  <c r="CE224" i="20"/>
  <c r="CE293" i="20"/>
  <c r="CE277" i="20"/>
  <c r="CE184" i="20"/>
  <c r="CE260" i="20"/>
  <c r="CE256" i="20"/>
  <c r="CE248" i="20"/>
  <c r="CE244" i="20"/>
  <c r="CE240" i="20"/>
  <c r="CE236" i="20"/>
  <c r="CE220" i="20"/>
  <c r="CE228" i="20"/>
  <c r="D301" i="20"/>
  <c r="E301" i="20" s="1"/>
  <c r="E131" i="20"/>
  <c r="CE298" i="20"/>
  <c r="CE290" i="20"/>
  <c r="CE282" i="20"/>
  <c r="CE274" i="20"/>
  <c r="CE270" i="20"/>
  <c r="CE266" i="20"/>
  <c r="CE262" i="20"/>
  <c r="CE194" i="20"/>
  <c r="CE254" i="20"/>
  <c r="CE202" i="20"/>
  <c r="CE246" i="20"/>
  <c r="CE210" i="20"/>
  <c r="CE214" i="20"/>
  <c r="CE218" i="20"/>
  <c r="CE222" i="20"/>
  <c r="CF176" i="20"/>
  <c r="CF300" i="20" s="1"/>
  <c r="CG175" i="20"/>
  <c r="CF225" i="20"/>
  <c r="CF227" i="20"/>
  <c r="CF228" i="20"/>
  <c r="CF224" i="20"/>
  <c r="CF229" i="20"/>
  <c r="CF223" i="20"/>
  <c r="CF230" i="20"/>
  <c r="CF231" i="20"/>
  <c r="CF221" i="20"/>
  <c r="CF232" i="20"/>
  <c r="CF220" i="20"/>
  <c r="CF233" i="20"/>
  <c r="CF219" i="20"/>
  <c r="CF218" i="20"/>
  <c r="CF234" i="20"/>
  <c r="CF235" i="20"/>
  <c r="CF217" i="20"/>
  <c r="CF236" i="20"/>
  <c r="CF216" i="20"/>
  <c r="CF237" i="20"/>
  <c r="CF215" i="20"/>
  <c r="CF214" i="20"/>
  <c r="CF238" i="20"/>
  <c r="CF239" i="20"/>
  <c r="CF213" i="20"/>
  <c r="CF212" i="20"/>
  <c r="CF240" i="20"/>
  <c r="CF241" i="20"/>
  <c r="CF211" i="20"/>
  <c r="CF242" i="20"/>
  <c r="CF210" i="20"/>
  <c r="CF243" i="20"/>
  <c r="CF209" i="20"/>
  <c r="CF244" i="20"/>
  <c r="CF208" i="20"/>
  <c r="CF207" i="20"/>
  <c r="CF245" i="20"/>
  <c r="CF206" i="20"/>
  <c r="CF246" i="20"/>
  <c r="CF247" i="20"/>
  <c r="CF205" i="20"/>
  <c r="CF204" i="20"/>
  <c r="CF248" i="20"/>
  <c r="CF203" i="20"/>
  <c r="CF249" i="20"/>
  <c r="CF250" i="20"/>
  <c r="CF202" i="20"/>
  <c r="CF251" i="20"/>
  <c r="CF201" i="20"/>
  <c r="CF200" i="20"/>
  <c r="CF252" i="20"/>
  <c r="CF199" i="20"/>
  <c r="CF253" i="20"/>
  <c r="CF254" i="20"/>
  <c r="CF198" i="20"/>
  <c r="CF197" i="20"/>
  <c r="CF255" i="20"/>
  <c r="CF196" i="20"/>
  <c r="CF256" i="20"/>
  <c r="CF195" i="20"/>
  <c r="CF257" i="20"/>
  <c r="CF258" i="20"/>
  <c r="CF194" i="20"/>
  <c r="CF259" i="20"/>
  <c r="CF193" i="20"/>
  <c r="CF192" i="20"/>
  <c r="CF260" i="20"/>
  <c r="CF191" i="20"/>
  <c r="CF261" i="20"/>
  <c r="CF262" i="20"/>
  <c r="CF190" i="20"/>
  <c r="CF189" i="20"/>
  <c r="CF263" i="20"/>
  <c r="CF188" i="20"/>
  <c r="CF264" i="20"/>
  <c r="CF265" i="20"/>
  <c r="CF187" i="20"/>
  <c r="CF186" i="20"/>
  <c r="CF266" i="20"/>
  <c r="CF267" i="20"/>
  <c r="CF185" i="20"/>
  <c r="CF268" i="20"/>
  <c r="CF184" i="20"/>
  <c r="CF183" i="20"/>
  <c r="CF269" i="20"/>
  <c r="CF182" i="20"/>
  <c r="CF270" i="20"/>
  <c r="CF271" i="20"/>
  <c r="CF181" i="20"/>
  <c r="CF272" i="20"/>
  <c r="CF180" i="20"/>
  <c r="CF179" i="20"/>
  <c r="CF273" i="20"/>
  <c r="CF274" i="20"/>
  <c r="CF178" i="20"/>
  <c r="CF275" i="20"/>
  <c r="CF276" i="20"/>
  <c r="CF277" i="20"/>
  <c r="CF278" i="20"/>
  <c r="CF279" i="20"/>
  <c r="CF280" i="20"/>
  <c r="CF281" i="20"/>
  <c r="CF282" i="20"/>
  <c r="CF283" i="20"/>
  <c r="CF284" i="20"/>
  <c r="CF285" i="20"/>
  <c r="CF286" i="20"/>
  <c r="CF287" i="20"/>
  <c r="CF288" i="20"/>
  <c r="CF289" i="20"/>
  <c r="CF290" i="20"/>
  <c r="CF291" i="20"/>
  <c r="CF292" i="20"/>
  <c r="CF293" i="20"/>
  <c r="CF294" i="20"/>
  <c r="CF295" i="20"/>
  <c r="CF296" i="20"/>
  <c r="CF297" i="20"/>
  <c r="CF298" i="20"/>
  <c r="CF299" i="20"/>
  <c r="CE287" i="20"/>
  <c r="CE273" i="20"/>
  <c r="CE265" i="20"/>
  <c r="CE253" i="20"/>
  <c r="CE249" i="20"/>
  <c r="CE245" i="20"/>
  <c r="CE241" i="20"/>
  <c r="CE233" i="20"/>
  <c r="CE229" i="20"/>
  <c r="CE286" i="20"/>
  <c r="CE272" i="20"/>
  <c r="CE196" i="20"/>
  <c r="CE216" i="20"/>
  <c r="CE285" i="20"/>
  <c r="CE180" i="20"/>
  <c r="CE264" i="20"/>
  <c r="CE252" i="20"/>
  <c r="CC301" i="20"/>
  <c r="BU301" i="20"/>
  <c r="BM301" i="20"/>
  <c r="BE301" i="20"/>
  <c r="AW301" i="20"/>
  <c r="AO301" i="20"/>
  <c r="AG301" i="20"/>
  <c r="Y301" i="20"/>
  <c r="Q301" i="20"/>
  <c r="I301" i="20"/>
  <c r="CB301" i="20"/>
  <c r="BT301" i="20"/>
  <c r="BL301" i="20"/>
  <c r="BD301" i="20"/>
  <c r="AV301" i="20"/>
  <c r="AN301" i="20"/>
  <c r="AF301" i="20"/>
  <c r="X301" i="20"/>
  <c r="P301" i="20"/>
  <c r="H301" i="20"/>
  <c r="CA301" i="20"/>
  <c r="BS301" i="20"/>
  <c r="BK301" i="20"/>
  <c r="BC301" i="20"/>
  <c r="AU301" i="20"/>
  <c r="AM301" i="20"/>
  <c r="AE301" i="20"/>
  <c r="W301" i="20"/>
  <c r="O301" i="20"/>
  <c r="G301" i="20"/>
  <c r="BZ301" i="20"/>
  <c r="BR301" i="20"/>
  <c r="BJ301" i="20"/>
  <c r="BB301" i="20"/>
  <c r="AT301" i="20"/>
  <c r="AL301" i="20"/>
  <c r="AD301" i="20"/>
  <c r="V301" i="20"/>
  <c r="N301" i="20"/>
  <c r="BX301" i="20"/>
  <c r="BH301" i="20"/>
  <c r="AR301" i="20"/>
  <c r="AB301" i="20"/>
  <c r="L301" i="20"/>
  <c r="BW301" i="20"/>
  <c r="BG301" i="20"/>
  <c r="AQ301" i="20"/>
  <c r="AA301" i="20"/>
  <c r="K301" i="20"/>
  <c r="BV301" i="20"/>
  <c r="BF301" i="20"/>
  <c r="AP301" i="20"/>
  <c r="Z301" i="20"/>
  <c r="J301" i="20"/>
  <c r="BQ301" i="20"/>
  <c r="BA301" i="20"/>
  <c r="AK301" i="20"/>
  <c r="U301" i="20"/>
  <c r="CE301" i="20"/>
  <c r="AY301" i="20"/>
  <c r="S301" i="20"/>
  <c r="BP301" i="20"/>
  <c r="AJ301" i="20"/>
  <c r="BO301" i="20"/>
  <c r="AI301" i="20"/>
  <c r="AS301" i="20"/>
  <c r="CF301" i="20"/>
  <c r="AH301" i="20"/>
  <c r="CD301" i="20"/>
  <c r="AC301" i="20"/>
  <c r="BY301" i="20"/>
  <c r="T301" i="20"/>
  <c r="AX301" i="20"/>
  <c r="R301" i="20"/>
  <c r="M301" i="20"/>
  <c r="BN301" i="20"/>
  <c r="BI301" i="20"/>
  <c r="AZ301" i="20"/>
  <c r="CE297" i="20"/>
  <c r="CE289" i="20"/>
  <c r="CE281" i="20"/>
  <c r="CE178" i="20"/>
  <c r="CE182" i="20"/>
  <c r="CE186" i="20"/>
  <c r="CE190" i="20"/>
  <c r="CE258" i="20"/>
  <c r="CE198" i="20"/>
  <c r="CE250" i="20"/>
  <c r="CE206" i="20"/>
  <c r="CE242" i="20"/>
  <c r="CE238" i="20"/>
  <c r="CE234" i="20"/>
  <c r="CE230" i="20"/>
  <c r="CE226" i="20"/>
  <c r="CE8" i="21"/>
  <c r="CF7" i="21"/>
  <c r="CG7" i="21" l="1"/>
  <c r="CF8" i="21"/>
  <c r="CG226" i="20"/>
  <c r="CH175" i="20"/>
  <c r="CG176" i="20"/>
  <c r="CG301" i="20" s="1"/>
  <c r="CG225" i="20"/>
  <c r="CG224" i="20"/>
  <c r="CG228" i="20"/>
  <c r="CG229" i="20"/>
  <c r="CG223" i="20"/>
  <c r="CG230" i="20"/>
  <c r="CG222" i="20"/>
  <c r="CG231" i="20"/>
  <c r="CG220" i="20"/>
  <c r="CG232" i="20"/>
  <c r="CG233" i="20"/>
  <c r="CG219" i="20"/>
  <c r="CG218" i="20"/>
  <c r="CG234" i="20"/>
  <c r="CG235" i="20"/>
  <c r="CG217" i="20"/>
  <c r="CG236" i="20"/>
  <c r="CG216" i="20"/>
  <c r="CG215" i="20"/>
  <c r="CG237" i="20"/>
  <c r="CG238" i="20"/>
  <c r="CG214" i="20"/>
  <c r="CG213" i="20"/>
  <c r="CG239" i="20"/>
  <c r="CG212" i="20"/>
  <c r="CG240" i="20"/>
  <c r="CG241" i="20"/>
  <c r="CG211" i="20"/>
  <c r="CG210" i="20"/>
  <c r="CG242" i="20"/>
  <c r="CG209" i="20"/>
  <c r="CG243" i="20"/>
  <c r="CG244" i="20"/>
  <c r="CG208" i="20"/>
  <c r="CG245" i="20"/>
  <c r="CG207" i="20"/>
  <c r="CG246" i="20"/>
  <c r="CG206" i="20"/>
  <c r="CG247" i="20"/>
  <c r="CG205" i="20"/>
  <c r="CG248" i="20"/>
  <c r="CG204" i="20"/>
  <c r="CG203" i="20"/>
  <c r="CG249" i="20"/>
  <c r="CG202" i="20"/>
  <c r="CG250" i="20"/>
  <c r="CG201" i="20"/>
  <c r="CG251" i="20"/>
  <c r="CG252" i="20"/>
  <c r="CG200" i="20"/>
  <c r="CG199" i="20"/>
  <c r="CG253" i="20"/>
  <c r="CG254" i="20"/>
  <c r="CG198" i="20"/>
  <c r="CG255" i="20"/>
  <c r="CG197" i="20"/>
  <c r="CG196" i="20"/>
  <c r="CG256" i="20"/>
  <c r="CG195" i="20"/>
  <c r="CG257" i="20"/>
  <c r="CG258" i="20"/>
  <c r="CG194" i="20"/>
  <c r="CG259" i="20"/>
  <c r="CG193" i="20"/>
  <c r="CG260" i="20"/>
  <c r="CG192" i="20"/>
  <c r="CG191" i="20"/>
  <c r="CG261" i="20"/>
  <c r="CG262" i="20"/>
  <c r="CG190" i="20"/>
  <c r="CG189" i="20"/>
  <c r="CG263" i="20"/>
  <c r="CG264" i="20"/>
  <c r="CG188" i="20"/>
  <c r="CG187" i="20"/>
  <c r="CG265" i="20"/>
  <c r="CG186" i="20"/>
  <c r="CG266" i="20"/>
  <c r="CG185" i="20"/>
  <c r="CG267" i="20"/>
  <c r="CG268" i="20"/>
  <c r="CG184" i="20"/>
  <c r="CG183" i="20"/>
  <c r="CG269" i="20"/>
  <c r="CG270" i="20"/>
  <c r="CG182" i="20"/>
  <c r="CG271" i="20"/>
  <c r="CG181" i="20"/>
  <c r="CG180" i="20"/>
  <c r="CG272" i="20"/>
  <c r="CG179" i="20"/>
  <c r="CG273" i="20"/>
  <c r="CG274" i="20"/>
  <c r="CG178" i="20"/>
  <c r="CG275" i="20"/>
  <c r="CG276" i="20"/>
  <c r="CG277" i="20"/>
  <c r="CG278" i="20"/>
  <c r="CG279" i="20"/>
  <c r="CG280" i="20"/>
  <c r="CG281" i="20"/>
  <c r="CG282" i="20"/>
  <c r="CG283" i="20"/>
  <c r="CG284" i="20"/>
  <c r="CG285" i="20"/>
  <c r="CG286" i="20"/>
  <c r="CG287" i="20"/>
  <c r="CG288" i="20"/>
  <c r="CG289" i="20"/>
  <c r="CG290" i="20"/>
  <c r="CG291" i="20"/>
  <c r="CG292" i="20"/>
  <c r="CG293" i="20"/>
  <c r="CG294" i="20"/>
  <c r="CG295" i="20"/>
  <c r="CG296" i="20"/>
  <c r="CG297" i="20"/>
  <c r="CG298" i="20"/>
  <c r="CG299" i="20"/>
  <c r="CG300" i="20"/>
  <c r="CD302" i="20"/>
  <c r="BV302" i="20"/>
  <c r="BN302" i="20"/>
  <c r="BF302" i="20"/>
  <c r="AX302" i="20"/>
  <c r="AP302" i="20"/>
  <c r="AH302" i="20"/>
  <c r="Z302" i="20"/>
  <c r="R302" i="20"/>
  <c r="J302" i="20"/>
  <c r="CC302" i="20"/>
  <c r="BU302" i="20"/>
  <c r="BM302" i="20"/>
  <c r="BE302" i="20"/>
  <c r="AW302" i="20"/>
  <c r="AO302" i="20"/>
  <c r="AG302" i="20"/>
  <c r="Y302" i="20"/>
  <c r="Q302" i="20"/>
  <c r="I302" i="20"/>
  <c r="CB302" i="20"/>
  <c r="BT302" i="20"/>
  <c r="BL302" i="20"/>
  <c r="BD302" i="20"/>
  <c r="AV302" i="20"/>
  <c r="AN302" i="20"/>
  <c r="AF302" i="20"/>
  <c r="X302" i="20"/>
  <c r="P302" i="20"/>
  <c r="H302" i="20"/>
  <c r="CA302" i="20"/>
  <c r="BS302" i="20"/>
  <c r="BK302" i="20"/>
  <c r="BC302" i="20"/>
  <c r="AU302" i="20"/>
  <c r="AM302" i="20"/>
  <c r="AE302" i="20"/>
  <c r="W302" i="20"/>
  <c r="O302" i="20"/>
  <c r="G302" i="20"/>
  <c r="CG302" i="20"/>
  <c r="BQ302" i="20"/>
  <c r="BA302" i="20"/>
  <c r="AK302" i="20"/>
  <c r="U302" i="20"/>
  <c r="CF302" i="20"/>
  <c r="BP302" i="20"/>
  <c r="AZ302" i="20"/>
  <c r="AJ302" i="20"/>
  <c r="T302" i="20"/>
  <c r="CE302" i="20"/>
  <c r="BO302" i="20"/>
  <c r="AY302" i="20"/>
  <c r="AI302" i="20"/>
  <c r="S302" i="20"/>
  <c r="BZ302" i="20"/>
  <c r="BJ302" i="20"/>
  <c r="AT302" i="20"/>
  <c r="AD302" i="20"/>
  <c r="N302" i="20"/>
  <c r="BX302" i="20"/>
  <c r="AR302" i="20"/>
  <c r="L302" i="20"/>
  <c r="BI302" i="20"/>
  <c r="AC302" i="20"/>
  <c r="BH302" i="20"/>
  <c r="AB302" i="20"/>
  <c r="BY302" i="20"/>
  <c r="AA302" i="20"/>
  <c r="BW302" i="20"/>
  <c r="V302" i="20"/>
  <c r="BR302" i="20"/>
  <c r="M302" i="20"/>
  <c r="BG302" i="20"/>
  <c r="K302" i="20"/>
  <c r="BB302" i="20"/>
  <c r="AS302" i="20"/>
  <c r="AL302" i="20"/>
  <c r="AQ302" i="20"/>
  <c r="CF222" i="20"/>
  <c r="CF226" i="20"/>
  <c r="D302" i="20"/>
  <c r="E302" i="20" s="1"/>
  <c r="E132" i="20"/>
  <c r="F303" i="20"/>
  <c r="F134" i="20"/>
  <c r="D133" i="20"/>
  <c r="F304" i="20" l="1"/>
  <c r="D134" i="20"/>
  <c r="F135" i="20"/>
  <c r="CE303" i="20"/>
  <c r="BW303" i="20"/>
  <c r="BO303" i="20"/>
  <c r="BG303" i="20"/>
  <c r="AY303" i="20"/>
  <c r="AQ303" i="20"/>
  <c r="AI303" i="20"/>
  <c r="AA303" i="20"/>
  <c r="S303" i="20"/>
  <c r="K303" i="20"/>
  <c r="CD303" i="20"/>
  <c r="BV303" i="20"/>
  <c r="BN303" i="20"/>
  <c r="BF303" i="20"/>
  <c r="AX303" i="20"/>
  <c r="AP303" i="20"/>
  <c r="AH303" i="20"/>
  <c r="Z303" i="20"/>
  <c r="R303" i="20"/>
  <c r="J303" i="20"/>
  <c r="CC303" i="20"/>
  <c r="BU303" i="20"/>
  <c r="BM303" i="20"/>
  <c r="BE303" i="20"/>
  <c r="AW303" i="20"/>
  <c r="AO303" i="20"/>
  <c r="AG303" i="20"/>
  <c r="Y303" i="20"/>
  <c r="Q303" i="20"/>
  <c r="I303" i="20"/>
  <c r="CB303" i="20"/>
  <c r="BT303" i="20"/>
  <c r="BL303" i="20"/>
  <c r="BD303" i="20"/>
  <c r="AV303" i="20"/>
  <c r="AN303" i="20"/>
  <c r="AF303" i="20"/>
  <c r="X303" i="20"/>
  <c r="P303" i="20"/>
  <c r="H303" i="20"/>
  <c r="BZ303" i="20"/>
  <c r="BJ303" i="20"/>
  <c r="AT303" i="20"/>
  <c r="AD303" i="20"/>
  <c r="N303" i="20"/>
  <c r="BY303" i="20"/>
  <c r="BI303" i="20"/>
  <c r="AS303" i="20"/>
  <c r="AC303" i="20"/>
  <c r="M303" i="20"/>
  <c r="BX303" i="20"/>
  <c r="BH303" i="20"/>
  <c r="AR303" i="20"/>
  <c r="AB303" i="20"/>
  <c r="L303" i="20"/>
  <c r="BS303" i="20"/>
  <c r="BC303" i="20"/>
  <c r="AM303" i="20"/>
  <c r="W303" i="20"/>
  <c r="G303" i="20"/>
  <c r="BQ303" i="20"/>
  <c r="AK303" i="20"/>
  <c r="BB303" i="20"/>
  <c r="V303" i="20"/>
  <c r="CG303" i="20"/>
  <c r="BA303" i="20"/>
  <c r="U303" i="20"/>
  <c r="BP303" i="20"/>
  <c r="O303" i="20"/>
  <c r="BK303" i="20"/>
  <c r="AZ303" i="20"/>
  <c r="AU303" i="20"/>
  <c r="T303" i="20"/>
  <c r="CF303" i="20"/>
  <c r="BR303" i="20"/>
  <c r="CA303" i="20"/>
  <c r="AL303" i="20"/>
  <c r="AE303" i="20"/>
  <c r="AJ303" i="20"/>
  <c r="CI175" i="20"/>
  <c r="CH176" i="20"/>
  <c r="CH228" i="20" s="1"/>
  <c r="CH226" i="20"/>
  <c r="CH225" i="20"/>
  <c r="CH227" i="20"/>
  <c r="CH222" i="20"/>
  <c r="CH230" i="20"/>
  <c r="CH231" i="20"/>
  <c r="CH221" i="20"/>
  <c r="CH234" i="20"/>
  <c r="CH235" i="20"/>
  <c r="CH217" i="20"/>
  <c r="CH238" i="20"/>
  <c r="CH239" i="20"/>
  <c r="CH213" i="20"/>
  <c r="CH242" i="20"/>
  <c r="CH210" i="20"/>
  <c r="CH243" i="20"/>
  <c r="CH209" i="20"/>
  <c r="CH246" i="20"/>
  <c r="CH206" i="20"/>
  <c r="CH247" i="20"/>
  <c r="CH205" i="20"/>
  <c r="CH202" i="20"/>
  <c r="CH250" i="20"/>
  <c r="CH201" i="20"/>
  <c r="CH251" i="20"/>
  <c r="CH198" i="20"/>
  <c r="CH254" i="20"/>
  <c r="CH197" i="20"/>
  <c r="CH255" i="20"/>
  <c r="CH194" i="20"/>
  <c r="CH258" i="20"/>
  <c r="CH259" i="20"/>
  <c r="CH193" i="20"/>
  <c r="CH262" i="20"/>
  <c r="CH190" i="20"/>
  <c r="CH189" i="20"/>
  <c r="CH263" i="20"/>
  <c r="CH186" i="20"/>
  <c r="CH266" i="20"/>
  <c r="CH185" i="20"/>
  <c r="CH267" i="20"/>
  <c r="CH270" i="20"/>
  <c r="CH182" i="20"/>
  <c r="CH181" i="20"/>
  <c r="CH271" i="20"/>
  <c r="CH178" i="20"/>
  <c r="CH274" i="20"/>
  <c r="CH275" i="20"/>
  <c r="CH276" i="20"/>
  <c r="CH281" i="20"/>
  <c r="CH282" i="20"/>
  <c r="CH283" i="20"/>
  <c r="CH284" i="20"/>
  <c r="CH289" i="20"/>
  <c r="CH290" i="20"/>
  <c r="CH291" i="20"/>
  <c r="CH292" i="20"/>
  <c r="CH297" i="20"/>
  <c r="CH298" i="20"/>
  <c r="CH299" i="20"/>
  <c r="CH300" i="20"/>
  <c r="CG221" i="20"/>
  <c r="CG227" i="20"/>
  <c r="D303" i="20"/>
  <c r="E303" i="20" s="1"/>
  <c r="E133" i="20"/>
  <c r="CH7" i="21"/>
  <c r="CG8" i="21"/>
  <c r="CF304" i="20" l="1"/>
  <c r="BX304" i="20"/>
  <c r="BP304" i="20"/>
  <c r="BH304" i="20"/>
  <c r="AZ304" i="20"/>
  <c r="AR304" i="20"/>
  <c r="AJ304" i="20"/>
  <c r="AB304" i="20"/>
  <c r="T304" i="20"/>
  <c r="L304" i="20"/>
  <c r="CE304" i="20"/>
  <c r="BW304" i="20"/>
  <c r="BO304" i="20"/>
  <c r="BG304" i="20"/>
  <c r="AY304" i="20"/>
  <c r="AQ304" i="20"/>
  <c r="AI304" i="20"/>
  <c r="AA304" i="20"/>
  <c r="S304" i="20"/>
  <c r="K304" i="20"/>
  <c r="CD304" i="20"/>
  <c r="BV304" i="20"/>
  <c r="BN304" i="20"/>
  <c r="BF304" i="20"/>
  <c r="AX304" i="20"/>
  <c r="AP304" i="20"/>
  <c r="AH304" i="20"/>
  <c r="Z304" i="20"/>
  <c r="R304" i="20"/>
  <c r="J304" i="20"/>
  <c r="CC304" i="20"/>
  <c r="BU304" i="20"/>
  <c r="BM304" i="20"/>
  <c r="BE304" i="20"/>
  <c r="AW304" i="20"/>
  <c r="AO304" i="20"/>
  <c r="AG304" i="20"/>
  <c r="Y304" i="20"/>
  <c r="Q304" i="20"/>
  <c r="I304" i="20"/>
  <c r="BS304" i="20"/>
  <c r="BC304" i="20"/>
  <c r="AM304" i="20"/>
  <c r="W304" i="20"/>
  <c r="G304" i="20"/>
  <c r="CH304" i="20"/>
  <c r="BR304" i="20"/>
  <c r="BB304" i="20"/>
  <c r="AL304" i="20"/>
  <c r="V304" i="20"/>
  <c r="CG304" i="20"/>
  <c r="BQ304" i="20"/>
  <c r="BA304" i="20"/>
  <c r="AK304" i="20"/>
  <c r="U304" i="20"/>
  <c r="CB304" i="20"/>
  <c r="BL304" i="20"/>
  <c r="AV304" i="20"/>
  <c r="AF304" i="20"/>
  <c r="P304" i="20"/>
  <c r="BJ304" i="20"/>
  <c r="AD304" i="20"/>
  <c r="CA304" i="20"/>
  <c r="AU304" i="20"/>
  <c r="O304" i="20"/>
  <c r="BZ304" i="20"/>
  <c r="AT304" i="20"/>
  <c r="N304" i="20"/>
  <c r="BD304" i="20"/>
  <c r="AS304" i="20"/>
  <c r="AN304" i="20"/>
  <c r="AE304" i="20"/>
  <c r="BI304" i="20"/>
  <c r="AC304" i="20"/>
  <c r="X304" i="20"/>
  <c r="H304" i="20"/>
  <c r="M304" i="20"/>
  <c r="BY304" i="20"/>
  <c r="BT304" i="20"/>
  <c r="BK304" i="20"/>
  <c r="CH296" i="20"/>
  <c r="CH288" i="20"/>
  <c r="CH280" i="20"/>
  <c r="CH273" i="20"/>
  <c r="CH183" i="20"/>
  <c r="CH187" i="20"/>
  <c r="CH261" i="20"/>
  <c r="CH257" i="20"/>
  <c r="CH253" i="20"/>
  <c r="CH203" i="20"/>
  <c r="CH245" i="20"/>
  <c r="CH211" i="20"/>
  <c r="CH215" i="20"/>
  <c r="CH233" i="20"/>
  <c r="CH229" i="20"/>
  <c r="CJ175" i="20"/>
  <c r="CI176" i="20"/>
  <c r="CI303" i="20" s="1"/>
  <c r="CI227" i="20"/>
  <c r="CI225" i="20"/>
  <c r="CI226" i="20"/>
  <c r="CI228" i="20"/>
  <c r="CI224" i="20"/>
  <c r="CI229" i="20"/>
  <c r="CI223" i="20"/>
  <c r="CI222" i="20"/>
  <c r="CI230" i="20"/>
  <c r="CI221" i="20"/>
  <c r="CI231" i="20"/>
  <c r="CI232" i="20"/>
  <c r="CI220" i="20"/>
  <c r="CI219" i="20"/>
  <c r="CI233" i="20"/>
  <c r="CI234" i="20"/>
  <c r="CI218" i="20"/>
  <c r="CI217" i="20"/>
  <c r="CI235" i="20"/>
  <c r="CI236" i="20"/>
  <c r="CI216" i="20"/>
  <c r="CI215" i="20"/>
  <c r="CI237" i="20"/>
  <c r="CI214" i="20"/>
  <c r="CI238" i="20"/>
  <c r="CI239" i="20"/>
  <c r="CI213" i="20"/>
  <c r="CI212" i="20"/>
  <c r="CI240" i="20"/>
  <c r="CI211" i="20"/>
  <c r="CI241" i="20"/>
  <c r="CI210" i="20"/>
  <c r="CI242" i="20"/>
  <c r="CI209" i="20"/>
  <c r="CI243" i="20"/>
  <c r="CI208" i="20"/>
  <c r="CI244" i="20"/>
  <c r="CI245" i="20"/>
  <c r="CI207" i="20"/>
  <c r="CI246" i="20"/>
  <c r="CI206" i="20"/>
  <c r="CI247" i="20"/>
  <c r="CI205" i="20"/>
  <c r="CI248" i="20"/>
  <c r="CI204" i="20"/>
  <c r="CI249" i="20"/>
  <c r="CI203" i="20"/>
  <c r="CI250" i="20"/>
  <c r="CI202" i="20"/>
  <c r="CI251" i="20"/>
  <c r="CI201" i="20"/>
  <c r="CI200" i="20"/>
  <c r="CI252" i="20"/>
  <c r="CI199" i="20"/>
  <c r="CI253" i="20"/>
  <c r="CI198" i="20"/>
  <c r="CI254" i="20"/>
  <c r="CI197" i="20"/>
  <c r="CI255" i="20"/>
  <c r="CI256" i="20"/>
  <c r="CI196" i="20"/>
  <c r="CI257" i="20"/>
  <c r="CI195" i="20"/>
  <c r="CI258" i="20"/>
  <c r="CI194" i="20"/>
  <c r="CI259" i="20"/>
  <c r="CI193" i="20"/>
  <c r="CI260" i="20"/>
  <c r="CI192" i="20"/>
  <c r="CI191" i="20"/>
  <c r="CI261" i="20"/>
  <c r="CI190" i="20"/>
  <c r="CI262" i="20"/>
  <c r="CI189" i="20"/>
  <c r="CI263" i="20"/>
  <c r="CI188" i="20"/>
  <c r="CI264" i="20"/>
  <c r="CI265" i="20"/>
  <c r="CI187" i="20"/>
  <c r="CI186" i="20"/>
  <c r="CI266" i="20"/>
  <c r="CI185" i="20"/>
  <c r="CI267" i="20"/>
  <c r="CI184" i="20"/>
  <c r="CI268" i="20"/>
  <c r="CI269" i="20"/>
  <c r="CI183" i="20"/>
  <c r="CI270" i="20"/>
  <c r="CI182" i="20"/>
  <c r="CI181" i="20"/>
  <c r="CI271" i="20"/>
  <c r="CI272" i="20"/>
  <c r="CI180" i="20"/>
  <c r="CI179" i="20"/>
  <c r="CI273" i="20"/>
  <c r="CI274" i="20"/>
  <c r="CI178" i="20"/>
  <c r="CI275" i="20"/>
  <c r="CI276" i="20"/>
  <c r="CI277" i="20"/>
  <c r="CI278" i="20"/>
  <c r="CI279" i="20"/>
  <c r="CI280" i="20"/>
  <c r="CI281" i="20"/>
  <c r="CI282" i="20"/>
  <c r="CI283" i="20"/>
  <c r="CI284" i="20"/>
  <c r="CI285" i="20"/>
  <c r="CI286" i="20"/>
  <c r="CI287" i="20"/>
  <c r="CI288" i="20"/>
  <c r="CI289" i="20"/>
  <c r="CI290" i="20"/>
  <c r="CI291" i="20"/>
  <c r="CI292" i="20"/>
  <c r="CI293" i="20"/>
  <c r="CI294" i="20"/>
  <c r="CI295" i="20"/>
  <c r="CI296" i="20"/>
  <c r="CI297" i="20"/>
  <c r="CI298" i="20"/>
  <c r="CI299" i="20"/>
  <c r="CI300" i="20"/>
  <c r="CI301" i="20"/>
  <c r="CI302" i="20"/>
  <c r="CH214" i="20"/>
  <c r="CH218" i="20"/>
  <c r="CH295" i="20"/>
  <c r="CH287" i="20"/>
  <c r="CH279" i="20"/>
  <c r="CH179" i="20"/>
  <c r="CH269" i="20"/>
  <c r="CH265" i="20"/>
  <c r="CH191" i="20"/>
  <c r="CH195" i="20"/>
  <c r="CH199" i="20"/>
  <c r="CH249" i="20"/>
  <c r="CH207" i="20"/>
  <c r="CH241" i="20"/>
  <c r="CH237" i="20"/>
  <c r="CH219" i="20"/>
  <c r="CH223" i="20"/>
  <c r="CH303" i="20"/>
  <c r="CI7" i="21"/>
  <c r="CH8" i="21"/>
  <c r="CH294" i="20"/>
  <c r="CH286" i="20"/>
  <c r="CH278" i="20"/>
  <c r="CH180" i="20"/>
  <c r="CH268" i="20"/>
  <c r="CH264" i="20"/>
  <c r="CH192" i="20"/>
  <c r="CH256" i="20"/>
  <c r="CH200" i="20"/>
  <c r="CH204" i="20"/>
  <c r="CH208" i="20"/>
  <c r="CH240" i="20"/>
  <c r="CH236" i="20"/>
  <c r="CH220" i="20"/>
  <c r="CH224" i="20"/>
  <c r="CH302" i="20"/>
  <c r="F305" i="20"/>
  <c r="F136" i="20"/>
  <c r="D135" i="20"/>
  <c r="D304" i="20"/>
  <c r="E304" i="20" s="1"/>
  <c r="E134" i="20"/>
  <c r="CH301" i="20"/>
  <c r="CH293" i="20"/>
  <c r="CH285" i="20"/>
  <c r="CH277" i="20"/>
  <c r="CH272" i="20"/>
  <c r="CH184" i="20"/>
  <c r="CH188" i="20"/>
  <c r="CH260" i="20"/>
  <c r="CH196" i="20"/>
  <c r="CH252" i="20"/>
  <c r="CH248" i="20"/>
  <c r="CH244" i="20"/>
  <c r="CH212" i="20"/>
  <c r="CH216" i="20"/>
  <c r="CH232" i="20"/>
  <c r="CI304" i="20" l="1"/>
  <c r="F306" i="20"/>
  <c r="F137" i="20"/>
  <c r="D136" i="20"/>
  <c r="CG305" i="20"/>
  <c r="BY305" i="20"/>
  <c r="BQ305" i="20"/>
  <c r="BI305" i="20"/>
  <c r="BA305" i="20"/>
  <c r="AS305" i="20"/>
  <c r="AK305" i="20"/>
  <c r="AC305" i="20"/>
  <c r="U305" i="20"/>
  <c r="M305" i="20"/>
  <c r="CF305" i="20"/>
  <c r="BX305" i="20"/>
  <c r="BP305" i="20"/>
  <c r="BH305" i="20"/>
  <c r="AZ305" i="20"/>
  <c r="AR305" i="20"/>
  <c r="AJ305" i="20"/>
  <c r="AB305" i="20"/>
  <c r="T305" i="20"/>
  <c r="L305" i="20"/>
  <c r="CE305" i="20"/>
  <c r="BW305" i="20"/>
  <c r="BO305" i="20"/>
  <c r="BG305" i="20"/>
  <c r="AY305" i="20"/>
  <c r="AQ305" i="20"/>
  <c r="AI305" i="20"/>
  <c r="AA305" i="20"/>
  <c r="S305" i="20"/>
  <c r="K305" i="20"/>
  <c r="CD305" i="20"/>
  <c r="BV305" i="20"/>
  <c r="BN305" i="20"/>
  <c r="BF305" i="20"/>
  <c r="AX305" i="20"/>
  <c r="AP305" i="20"/>
  <c r="AH305" i="20"/>
  <c r="Z305" i="20"/>
  <c r="R305" i="20"/>
  <c r="J305" i="20"/>
  <c r="CB305" i="20"/>
  <c r="BL305" i="20"/>
  <c r="AV305" i="20"/>
  <c r="AF305" i="20"/>
  <c r="P305" i="20"/>
  <c r="CA305" i="20"/>
  <c r="BK305" i="20"/>
  <c r="AU305" i="20"/>
  <c r="AE305" i="20"/>
  <c r="O305" i="20"/>
  <c r="BZ305" i="20"/>
  <c r="BJ305" i="20"/>
  <c r="AT305" i="20"/>
  <c r="AD305" i="20"/>
  <c r="N305" i="20"/>
  <c r="BU305" i="20"/>
  <c r="BE305" i="20"/>
  <c r="AO305" i="20"/>
  <c r="Y305" i="20"/>
  <c r="I305" i="20"/>
  <c r="CI305" i="20"/>
  <c r="BC305" i="20"/>
  <c r="W305" i="20"/>
  <c r="BT305" i="20"/>
  <c r="AN305" i="20"/>
  <c r="H305" i="20"/>
  <c r="BS305" i="20"/>
  <c r="AM305" i="20"/>
  <c r="G305" i="20"/>
  <c r="CJ305" i="20"/>
  <c r="AL305" i="20"/>
  <c r="CH305" i="20"/>
  <c r="AG305" i="20"/>
  <c r="CC305" i="20"/>
  <c r="X305" i="20"/>
  <c r="BR305" i="20"/>
  <c r="V305" i="20"/>
  <c r="BM305" i="20"/>
  <c r="BD305" i="20"/>
  <c r="AW305" i="20"/>
  <c r="BB305" i="20"/>
  <c r="Q305" i="20"/>
  <c r="D305" i="20"/>
  <c r="E305" i="20" s="1"/>
  <c r="E135" i="20"/>
  <c r="CJ7" i="21"/>
  <c r="CI8" i="21"/>
  <c r="CK175" i="20"/>
  <c r="CJ176" i="20"/>
  <c r="CJ227" i="20" s="1"/>
  <c r="CJ228" i="20"/>
  <c r="CJ224" i="20"/>
  <c r="CJ223" i="20"/>
  <c r="CJ229" i="20"/>
  <c r="CJ222" i="20"/>
  <c r="CJ232" i="20"/>
  <c r="CJ220" i="20"/>
  <c r="CJ219" i="20"/>
  <c r="CJ233" i="20"/>
  <c r="CJ234" i="20"/>
  <c r="CJ236" i="20"/>
  <c r="CJ216" i="20"/>
  <c r="CJ215" i="20"/>
  <c r="CJ237" i="20"/>
  <c r="CJ214" i="20"/>
  <c r="CJ240" i="20"/>
  <c r="CJ212" i="20"/>
  <c r="CJ211" i="20"/>
  <c r="CJ241" i="20"/>
  <c r="CJ242" i="20"/>
  <c r="CJ208" i="20"/>
  <c r="CJ244" i="20"/>
  <c r="CJ207" i="20"/>
  <c r="CJ245" i="20"/>
  <c r="CJ206" i="20"/>
  <c r="CJ204" i="20"/>
  <c r="CJ248" i="20"/>
  <c r="CJ203" i="20"/>
  <c r="CJ249" i="20"/>
  <c r="CJ250" i="20"/>
  <c r="CJ252" i="20"/>
  <c r="CJ200" i="20"/>
  <c r="CJ253" i="20"/>
  <c r="CJ199" i="20"/>
  <c r="CJ198" i="20"/>
  <c r="CJ196" i="20"/>
  <c r="CJ256" i="20"/>
  <c r="CJ257" i="20"/>
  <c r="CJ195" i="20"/>
  <c r="CJ258" i="20"/>
  <c r="CJ192" i="20"/>
  <c r="CJ260" i="20"/>
  <c r="CJ191" i="20"/>
  <c r="CJ261" i="20"/>
  <c r="CJ262" i="20"/>
  <c r="CJ263" i="20"/>
  <c r="CJ188" i="20"/>
  <c r="CJ264" i="20"/>
  <c r="CJ265" i="20"/>
  <c r="CJ187" i="20"/>
  <c r="CJ266" i="20"/>
  <c r="CJ185" i="20"/>
  <c r="CJ184" i="20"/>
  <c r="CJ268" i="20"/>
  <c r="CJ269" i="20"/>
  <c r="CJ183" i="20"/>
  <c r="CJ270" i="20"/>
  <c r="CJ181" i="20"/>
  <c r="CJ180" i="20"/>
  <c r="CJ272" i="20"/>
  <c r="CJ179" i="20"/>
  <c r="CJ273" i="20"/>
  <c r="CJ178" i="20"/>
  <c r="CJ274" i="20"/>
  <c r="CJ275" i="20"/>
  <c r="CJ276" i="20"/>
  <c r="CJ277" i="20"/>
  <c r="CJ278" i="20"/>
  <c r="CJ279" i="20"/>
  <c r="CJ280" i="20"/>
  <c r="CJ281" i="20"/>
  <c r="CJ282" i="20"/>
  <c r="CJ283" i="20"/>
  <c r="CJ284" i="20"/>
  <c r="CJ285" i="20"/>
  <c r="CJ286" i="20"/>
  <c r="CJ287" i="20"/>
  <c r="CJ288" i="20"/>
  <c r="CJ289" i="20"/>
  <c r="CJ290" i="20"/>
  <c r="CJ291" i="20"/>
  <c r="CJ292" i="20"/>
  <c r="CJ293" i="20"/>
  <c r="CJ294" i="20"/>
  <c r="CJ295" i="20"/>
  <c r="CJ296" i="20"/>
  <c r="CJ297" i="20"/>
  <c r="CJ298" i="20"/>
  <c r="CJ299" i="20"/>
  <c r="CJ300" i="20"/>
  <c r="CJ301" i="20"/>
  <c r="CJ302" i="20"/>
  <c r="CJ303" i="20"/>
  <c r="CJ304" i="20"/>
  <c r="CD306" i="20" l="1"/>
  <c r="BV306" i="20"/>
  <c r="BN306" i="20"/>
  <c r="BF306" i="20"/>
  <c r="AX306" i="20"/>
  <c r="AP306" i="20"/>
  <c r="AH306" i="20"/>
  <c r="Z306" i="20"/>
  <c r="R306" i="20"/>
  <c r="J306" i="20"/>
  <c r="CC306" i="20"/>
  <c r="BU306" i="20"/>
  <c r="BM306" i="20"/>
  <c r="BE306" i="20"/>
  <c r="AW306" i="20"/>
  <c r="AO306" i="20"/>
  <c r="AG306" i="20"/>
  <c r="Y306" i="20"/>
  <c r="Q306" i="20"/>
  <c r="I306" i="20"/>
  <c r="CI306" i="20"/>
  <c r="CA306" i="20"/>
  <c r="BS306" i="20"/>
  <c r="BK306" i="20"/>
  <c r="BC306" i="20"/>
  <c r="AU306" i="20"/>
  <c r="AM306" i="20"/>
  <c r="AE306" i="20"/>
  <c r="W306" i="20"/>
  <c r="O306" i="20"/>
  <c r="G306" i="20"/>
  <c r="CF306" i="20"/>
  <c r="BR306" i="20"/>
  <c r="BG306" i="20"/>
  <c r="AS306" i="20"/>
  <c r="AF306" i="20"/>
  <c r="T306" i="20"/>
  <c r="CE306" i="20"/>
  <c r="BQ306" i="20"/>
  <c r="BD306" i="20"/>
  <c r="AR306" i="20"/>
  <c r="AD306" i="20"/>
  <c r="S306" i="20"/>
  <c r="CB306" i="20"/>
  <c r="BP306" i="20"/>
  <c r="BB306" i="20"/>
  <c r="AQ306" i="20"/>
  <c r="AC306" i="20"/>
  <c r="P306" i="20"/>
  <c r="BZ306" i="20"/>
  <c r="BO306" i="20"/>
  <c r="BA306" i="20"/>
  <c r="AN306" i="20"/>
  <c r="AB306" i="20"/>
  <c r="N306" i="20"/>
  <c r="BX306" i="20"/>
  <c r="AY306" i="20"/>
  <c r="X306" i="20"/>
  <c r="BW306" i="20"/>
  <c r="AV306" i="20"/>
  <c r="V306" i="20"/>
  <c r="BT306" i="20"/>
  <c r="AT306" i="20"/>
  <c r="U306" i="20"/>
  <c r="BL306" i="20"/>
  <c r="AL306" i="20"/>
  <c r="M306" i="20"/>
  <c r="BI306" i="20"/>
  <c r="K306" i="20"/>
  <c r="CJ306" i="20"/>
  <c r="AK306" i="20"/>
  <c r="CH306" i="20"/>
  <c r="AJ306" i="20"/>
  <c r="BY306" i="20"/>
  <c r="BJ306" i="20"/>
  <c r="BH306" i="20"/>
  <c r="AZ306" i="20"/>
  <c r="CG306" i="20"/>
  <c r="AI306" i="20"/>
  <c r="AA306" i="20"/>
  <c r="H306" i="20"/>
  <c r="L306" i="20"/>
  <c r="CJ259" i="20"/>
  <c r="CJ255" i="20"/>
  <c r="CJ251" i="20"/>
  <c r="CJ247" i="20"/>
  <c r="CJ209" i="20"/>
  <c r="CJ213" i="20"/>
  <c r="CJ235" i="20"/>
  <c r="CJ231" i="20"/>
  <c r="CJ226" i="20"/>
  <c r="CK176" i="20"/>
  <c r="CK306" i="20" s="1"/>
  <c r="CK225" i="20"/>
  <c r="CL175" i="20"/>
  <c r="CK222" i="20"/>
  <c r="CK218" i="20"/>
  <c r="CK238" i="20"/>
  <c r="CK242" i="20"/>
  <c r="CK206" i="20"/>
  <c r="CK250" i="20"/>
  <c r="CK254" i="20"/>
  <c r="CK258" i="20"/>
  <c r="CK262" i="20"/>
  <c r="CK266" i="20"/>
  <c r="CK182" i="20"/>
  <c r="CK178" i="20"/>
  <c r="CK281" i="20"/>
  <c r="CK289" i="20"/>
  <c r="CK296" i="20"/>
  <c r="CK297" i="20"/>
  <c r="CK304" i="20"/>
  <c r="D306" i="20"/>
  <c r="E306" i="20" s="1"/>
  <c r="E136" i="20"/>
  <c r="CK7" i="21"/>
  <c r="CJ8" i="21"/>
  <c r="CJ271" i="20"/>
  <c r="CJ267" i="20"/>
  <c r="CJ189" i="20"/>
  <c r="CJ193" i="20"/>
  <c r="CJ197" i="20"/>
  <c r="CJ201" i="20"/>
  <c r="CJ205" i="20"/>
  <c r="CJ243" i="20"/>
  <c r="CJ239" i="20"/>
  <c r="CJ217" i="20"/>
  <c r="CJ221" i="20"/>
  <c r="CJ225" i="20"/>
  <c r="F307" i="20"/>
  <c r="D137" i="20"/>
  <c r="F138" i="20"/>
  <c r="CJ182" i="20"/>
  <c r="CJ186" i="20"/>
  <c r="CJ190" i="20"/>
  <c r="CJ194" i="20"/>
  <c r="CJ254" i="20"/>
  <c r="CJ202" i="20"/>
  <c r="CJ246" i="20"/>
  <c r="CJ210" i="20"/>
  <c r="CJ238" i="20"/>
  <c r="CJ218" i="20"/>
  <c r="CJ230" i="20"/>
  <c r="CK199" i="20" l="1"/>
  <c r="CK295" i="20"/>
  <c r="CK179" i="20"/>
  <c r="CK265" i="20"/>
  <c r="CK195" i="20"/>
  <c r="CK249" i="20"/>
  <c r="CK207" i="20"/>
  <c r="CK241" i="20"/>
  <c r="CK215" i="20"/>
  <c r="CK219" i="20"/>
  <c r="CK294" i="20"/>
  <c r="CK268" i="20"/>
  <c r="CK196" i="20"/>
  <c r="CK204" i="20"/>
  <c r="CK236" i="20"/>
  <c r="F308" i="20"/>
  <c r="F139" i="20"/>
  <c r="D138" i="20"/>
  <c r="CK301" i="20"/>
  <c r="CK293" i="20"/>
  <c r="CK285" i="20"/>
  <c r="CK277" i="20"/>
  <c r="CK272" i="20"/>
  <c r="CK184" i="20"/>
  <c r="CK264" i="20"/>
  <c r="CK260" i="20"/>
  <c r="CK256" i="20"/>
  <c r="CK200" i="20"/>
  <c r="CK248" i="20"/>
  <c r="CK244" i="20"/>
  <c r="CK212" i="20"/>
  <c r="CK216" i="20"/>
  <c r="CK232" i="20"/>
  <c r="CK228" i="20"/>
  <c r="CK288" i="20"/>
  <c r="CK273" i="20"/>
  <c r="CK187" i="20"/>
  <c r="CK257" i="20"/>
  <c r="CK245" i="20"/>
  <c r="CK237" i="20"/>
  <c r="CK229" i="20"/>
  <c r="CK286" i="20"/>
  <c r="CK188" i="20"/>
  <c r="CK252" i="20"/>
  <c r="CK240" i="20"/>
  <c r="CK220" i="20"/>
  <c r="CK300" i="20"/>
  <c r="CK292" i="20"/>
  <c r="CK284" i="20"/>
  <c r="CK276" i="20"/>
  <c r="CK181" i="20"/>
  <c r="CK185" i="20"/>
  <c r="CK189" i="20"/>
  <c r="CK193" i="20"/>
  <c r="CK255" i="20"/>
  <c r="CK251" i="20"/>
  <c r="CK247" i="20"/>
  <c r="CK209" i="20"/>
  <c r="CK239" i="20"/>
  <c r="CK235" i="20"/>
  <c r="CK231" i="20"/>
  <c r="CK226" i="20"/>
  <c r="CK280" i="20"/>
  <c r="CK269" i="20"/>
  <c r="CK261" i="20"/>
  <c r="CK203" i="20"/>
  <c r="CK211" i="20"/>
  <c r="CK233" i="20"/>
  <c r="CK287" i="20"/>
  <c r="CK183" i="20"/>
  <c r="CK253" i="20"/>
  <c r="CK302" i="20"/>
  <c r="CK180" i="20"/>
  <c r="CK192" i="20"/>
  <c r="CK208" i="20"/>
  <c r="D307" i="20"/>
  <c r="E307" i="20" s="1"/>
  <c r="E137" i="20"/>
  <c r="CE307" i="20"/>
  <c r="BW307" i="20"/>
  <c r="BO307" i="20"/>
  <c r="BG307" i="20"/>
  <c r="AY307" i="20"/>
  <c r="AQ307" i="20"/>
  <c r="AI307" i="20"/>
  <c r="AA307" i="20"/>
  <c r="S307" i="20"/>
  <c r="K307" i="20"/>
  <c r="CD307" i="20"/>
  <c r="BV307" i="20"/>
  <c r="BN307" i="20"/>
  <c r="BF307" i="20"/>
  <c r="AX307" i="20"/>
  <c r="AP307" i="20"/>
  <c r="AH307" i="20"/>
  <c r="Z307" i="20"/>
  <c r="R307" i="20"/>
  <c r="J307" i="20"/>
  <c r="CJ307" i="20"/>
  <c r="CB307" i="20"/>
  <c r="BT307" i="20"/>
  <c r="BL307" i="20"/>
  <c r="BD307" i="20"/>
  <c r="AV307" i="20"/>
  <c r="AN307" i="20"/>
  <c r="AF307" i="20"/>
  <c r="X307" i="20"/>
  <c r="P307" i="20"/>
  <c r="H307" i="20"/>
  <c r="CF307" i="20"/>
  <c r="BR307" i="20"/>
  <c r="BE307" i="20"/>
  <c r="AS307" i="20"/>
  <c r="AE307" i="20"/>
  <c r="T307" i="20"/>
  <c r="CC307" i="20"/>
  <c r="BQ307" i="20"/>
  <c r="BC307" i="20"/>
  <c r="AR307" i="20"/>
  <c r="AD307" i="20"/>
  <c r="Q307" i="20"/>
  <c r="CA307" i="20"/>
  <c r="BP307" i="20"/>
  <c r="BB307" i="20"/>
  <c r="AO307" i="20"/>
  <c r="AC307" i="20"/>
  <c r="O307" i="20"/>
  <c r="BZ307" i="20"/>
  <c r="BM307" i="20"/>
  <c r="BA307" i="20"/>
  <c r="AM307" i="20"/>
  <c r="AB307" i="20"/>
  <c r="N307" i="20"/>
  <c r="CI307" i="20"/>
  <c r="BJ307" i="20"/>
  <c r="AK307" i="20"/>
  <c r="L307" i="20"/>
  <c r="CH307" i="20"/>
  <c r="BI307" i="20"/>
  <c r="AJ307" i="20"/>
  <c r="I307" i="20"/>
  <c r="CG307" i="20"/>
  <c r="BH307" i="20"/>
  <c r="AG307" i="20"/>
  <c r="G307" i="20"/>
  <c r="BY307" i="20"/>
  <c r="AZ307" i="20"/>
  <c r="Y307" i="20"/>
  <c r="AU307" i="20"/>
  <c r="BX307" i="20"/>
  <c r="W307" i="20"/>
  <c r="BU307" i="20"/>
  <c r="V307" i="20"/>
  <c r="BS307" i="20"/>
  <c r="BK307" i="20"/>
  <c r="AW307" i="20"/>
  <c r="AT307" i="20"/>
  <c r="CK307" i="20"/>
  <c r="AL307" i="20"/>
  <c r="U307" i="20"/>
  <c r="M307" i="20"/>
  <c r="CK8" i="21"/>
  <c r="CL7" i="21"/>
  <c r="CK299" i="20"/>
  <c r="CK291" i="20"/>
  <c r="CK283" i="20"/>
  <c r="CK275" i="20"/>
  <c r="CK271" i="20"/>
  <c r="CK267" i="20"/>
  <c r="CK263" i="20"/>
  <c r="CK259" i="20"/>
  <c r="CK197" i="20"/>
  <c r="CK201" i="20"/>
  <c r="CK205" i="20"/>
  <c r="CK243" i="20"/>
  <c r="CK213" i="20"/>
  <c r="CK217" i="20"/>
  <c r="CK221" i="20"/>
  <c r="CK227" i="20"/>
  <c r="CK303" i="20"/>
  <c r="CK279" i="20"/>
  <c r="CK191" i="20"/>
  <c r="CK223" i="20"/>
  <c r="CK278" i="20"/>
  <c r="CK224" i="20"/>
  <c r="CK305" i="20"/>
  <c r="CK298" i="20"/>
  <c r="CK290" i="20"/>
  <c r="CK282" i="20"/>
  <c r="CK274" i="20"/>
  <c r="CK270" i="20"/>
  <c r="CK186" i="20"/>
  <c r="CK190" i="20"/>
  <c r="CK194" i="20"/>
  <c r="CK198" i="20"/>
  <c r="CK202" i="20"/>
  <c r="CK246" i="20"/>
  <c r="CK210" i="20"/>
  <c r="CK214" i="20"/>
  <c r="CK234" i="20"/>
  <c r="CK230" i="20"/>
  <c r="CL176" i="20"/>
  <c r="CL224" i="20" s="1"/>
  <c r="CM175" i="20"/>
  <c r="CL225" i="20"/>
  <c r="CL227" i="20"/>
  <c r="CL228" i="20"/>
  <c r="CL223" i="20"/>
  <c r="CL229" i="20"/>
  <c r="CL230" i="20"/>
  <c r="CL231" i="20"/>
  <c r="CL221" i="20"/>
  <c r="CL232" i="20"/>
  <c r="CL220" i="20"/>
  <c r="CL233" i="20"/>
  <c r="CL219" i="20"/>
  <c r="CL218" i="20"/>
  <c r="CL234" i="20"/>
  <c r="CL217" i="20"/>
  <c r="CL235" i="20"/>
  <c r="CL216" i="20"/>
  <c r="CL236" i="20"/>
  <c r="CL237" i="20"/>
  <c r="CL215" i="20"/>
  <c r="CL214" i="20"/>
  <c r="CL238" i="20"/>
  <c r="CL213" i="20"/>
  <c r="CL239" i="20"/>
  <c r="CL240" i="20"/>
  <c r="CL212" i="20"/>
  <c r="CL211" i="20"/>
  <c r="CL241" i="20"/>
  <c r="CL210" i="20"/>
  <c r="CL242" i="20"/>
  <c r="CL209" i="20"/>
  <c r="CL243" i="20"/>
  <c r="CL208" i="20"/>
  <c r="CL244" i="20"/>
  <c r="CL207" i="20"/>
  <c r="CL245" i="20"/>
  <c r="CL206" i="20"/>
  <c r="CL246" i="20"/>
  <c r="CL205" i="20"/>
  <c r="CL247" i="20"/>
  <c r="CL204" i="20"/>
  <c r="CL248" i="20"/>
  <c r="CL249" i="20"/>
  <c r="CL203" i="20"/>
  <c r="CL202" i="20"/>
  <c r="CL250" i="20"/>
  <c r="CL251" i="20"/>
  <c r="CL201" i="20"/>
  <c r="CL200" i="20"/>
  <c r="CL252" i="20"/>
  <c r="CL199" i="20"/>
  <c r="CL253" i="20"/>
  <c r="CL254" i="20"/>
  <c r="CL198" i="20"/>
  <c r="CL255" i="20"/>
  <c r="CL197" i="20"/>
  <c r="CL256" i="20"/>
  <c r="CL196" i="20"/>
  <c r="CL257" i="20"/>
  <c r="CL195" i="20"/>
  <c r="CL258" i="20"/>
  <c r="CL194" i="20"/>
  <c r="CL259" i="20"/>
  <c r="CL193" i="20"/>
  <c r="CL192" i="20"/>
  <c r="CL260" i="20"/>
  <c r="CL261" i="20"/>
  <c r="CL191" i="20"/>
  <c r="CL190" i="20"/>
  <c r="CL262" i="20"/>
  <c r="CL189" i="20"/>
  <c r="CL263" i="20"/>
  <c r="CL264" i="20"/>
  <c r="CL188" i="20"/>
  <c r="CL187" i="20"/>
  <c r="CL265" i="20"/>
  <c r="CL186" i="20"/>
  <c r="CL266" i="20"/>
  <c r="CL267" i="20"/>
  <c r="CL185" i="20"/>
  <c r="CL268" i="20"/>
  <c r="CL184" i="20"/>
  <c r="CL183" i="20"/>
  <c r="CL269" i="20"/>
  <c r="CL182" i="20"/>
  <c r="CL270" i="20"/>
  <c r="CL181" i="20"/>
  <c r="CL271" i="20"/>
  <c r="CL180" i="20"/>
  <c r="CL272" i="20"/>
  <c r="CL179" i="20"/>
  <c r="CL273" i="20"/>
  <c r="CL178" i="20"/>
  <c r="CL274" i="20"/>
  <c r="CL275" i="20"/>
  <c r="CL276" i="20"/>
  <c r="CL277" i="20"/>
  <c r="CL278" i="20"/>
  <c r="CL279" i="20"/>
  <c r="CL280" i="20"/>
  <c r="CL281" i="20"/>
  <c r="CL282" i="20"/>
  <c r="CL283" i="20"/>
  <c r="CL284" i="20"/>
  <c r="CL285" i="20"/>
  <c r="CL286" i="20"/>
  <c r="CL287" i="20"/>
  <c r="CL288" i="20"/>
  <c r="CL289" i="20"/>
  <c r="CL290" i="20"/>
  <c r="CL291" i="20"/>
  <c r="CL292" i="20"/>
  <c r="CL293" i="20"/>
  <c r="CL294" i="20"/>
  <c r="CL295" i="20"/>
  <c r="CL296" i="20"/>
  <c r="CL297" i="20"/>
  <c r="CL298" i="20"/>
  <c r="CL299" i="20"/>
  <c r="CL300" i="20"/>
  <c r="CL301" i="20"/>
  <c r="CL302" i="20"/>
  <c r="CL303" i="20"/>
  <c r="CL304" i="20"/>
  <c r="CL305" i="20"/>
  <c r="CL222" i="20" l="1"/>
  <c r="CL226" i="20"/>
  <c r="CM176" i="20"/>
  <c r="CM226" i="20" s="1"/>
  <c r="CN175" i="20"/>
  <c r="CM223" i="20"/>
  <c r="CM219" i="20"/>
  <c r="CM215" i="20"/>
  <c r="CM211" i="20"/>
  <c r="CM245" i="20"/>
  <c r="CM203" i="20"/>
  <c r="CM253" i="20"/>
  <c r="CM195" i="20"/>
  <c r="CM261" i="20"/>
  <c r="CM265" i="20"/>
  <c r="CM269" i="20"/>
  <c r="CM273" i="20"/>
  <c r="CM280" i="20"/>
  <c r="CM288" i="20"/>
  <c r="CM296" i="20"/>
  <c r="CM304" i="20"/>
  <c r="CF308" i="20"/>
  <c r="BX308" i="20"/>
  <c r="BP308" i="20"/>
  <c r="BH308" i="20"/>
  <c r="AZ308" i="20"/>
  <c r="AR308" i="20"/>
  <c r="AJ308" i="20"/>
  <c r="AB308" i="20"/>
  <c r="T308" i="20"/>
  <c r="L308" i="20"/>
  <c r="CE308" i="20"/>
  <c r="BW308" i="20"/>
  <c r="BO308" i="20"/>
  <c r="BG308" i="20"/>
  <c r="AY308" i="20"/>
  <c r="AQ308" i="20"/>
  <c r="AI308" i="20"/>
  <c r="AA308" i="20"/>
  <c r="S308" i="20"/>
  <c r="K308" i="20"/>
  <c r="CL308" i="20"/>
  <c r="CD308" i="20"/>
  <c r="BV308" i="20"/>
  <c r="BN308" i="20"/>
  <c r="BF308" i="20"/>
  <c r="CK308" i="20"/>
  <c r="CC308" i="20"/>
  <c r="BU308" i="20"/>
  <c r="BM308" i="20"/>
  <c r="BE308" i="20"/>
  <c r="AW308" i="20"/>
  <c r="AO308" i="20"/>
  <c r="AG308" i="20"/>
  <c r="Y308" i="20"/>
  <c r="Q308" i="20"/>
  <c r="I308" i="20"/>
  <c r="CJ308" i="20"/>
  <c r="BT308" i="20"/>
  <c r="BD308" i="20"/>
  <c r="AS308" i="20"/>
  <c r="AE308" i="20"/>
  <c r="R308" i="20"/>
  <c r="CI308" i="20"/>
  <c r="BS308" i="20"/>
  <c r="BC308" i="20"/>
  <c r="AP308" i="20"/>
  <c r="AD308" i="20"/>
  <c r="P308" i="20"/>
  <c r="CH308" i="20"/>
  <c r="BR308" i="20"/>
  <c r="BB308" i="20"/>
  <c r="AN308" i="20"/>
  <c r="AC308" i="20"/>
  <c r="O308" i="20"/>
  <c r="CG308" i="20"/>
  <c r="BQ308" i="20"/>
  <c r="BA308" i="20"/>
  <c r="AM308" i="20"/>
  <c r="Z308" i="20"/>
  <c r="N308" i="20"/>
  <c r="CA308" i="20"/>
  <c r="AV308" i="20"/>
  <c r="W308" i="20"/>
  <c r="BZ308" i="20"/>
  <c r="AU308" i="20"/>
  <c r="V308" i="20"/>
  <c r="BY308" i="20"/>
  <c r="AT308" i="20"/>
  <c r="U308" i="20"/>
  <c r="BL308" i="20"/>
  <c r="AL308" i="20"/>
  <c r="M308" i="20"/>
  <c r="AH308" i="20"/>
  <c r="BK308" i="20"/>
  <c r="J308" i="20"/>
  <c r="BJ308" i="20"/>
  <c r="H308" i="20"/>
  <c r="CB308" i="20"/>
  <c r="BI308" i="20"/>
  <c r="AX308" i="20"/>
  <c r="AK308" i="20"/>
  <c r="AF308" i="20"/>
  <c r="X308" i="20"/>
  <c r="G308" i="20"/>
  <c r="CL307" i="20"/>
  <c r="D308" i="20"/>
  <c r="E308" i="20" s="1"/>
  <c r="E138" i="20"/>
  <c r="CL306" i="20"/>
  <c r="CL8" i="21"/>
  <c r="CM7" i="21"/>
  <c r="F309" i="20"/>
  <c r="D139" i="20"/>
  <c r="F140" i="20"/>
  <c r="CM8" i="21" l="1"/>
  <c r="CN7" i="21"/>
  <c r="CM303" i="20"/>
  <c r="CM279" i="20"/>
  <c r="CM183" i="20"/>
  <c r="CM191" i="20"/>
  <c r="CM199" i="20"/>
  <c r="CM249" i="20"/>
  <c r="CM241" i="20"/>
  <c r="CM237" i="20"/>
  <c r="CM233" i="20"/>
  <c r="CM302" i="20"/>
  <c r="CM294" i="20"/>
  <c r="CM278" i="20"/>
  <c r="CM268" i="20"/>
  <c r="CM260" i="20"/>
  <c r="CM256" i="20"/>
  <c r="CM204" i="20"/>
  <c r="CM244" i="20"/>
  <c r="CM216" i="20"/>
  <c r="CM228" i="20"/>
  <c r="CM301" i="20"/>
  <c r="CM293" i="20"/>
  <c r="CM285" i="20"/>
  <c r="CM277" i="20"/>
  <c r="CM272" i="20"/>
  <c r="CM184" i="20"/>
  <c r="CM188" i="20"/>
  <c r="CM192" i="20"/>
  <c r="CM196" i="20"/>
  <c r="CM252" i="20"/>
  <c r="CM248" i="20"/>
  <c r="CM208" i="20"/>
  <c r="CM212" i="20"/>
  <c r="CM236" i="20"/>
  <c r="CM220" i="20"/>
  <c r="CM224" i="20"/>
  <c r="CM300" i="20"/>
  <c r="CM292" i="20"/>
  <c r="CM284" i="20"/>
  <c r="CM276" i="20"/>
  <c r="CM271" i="20"/>
  <c r="CM267" i="20"/>
  <c r="CM189" i="20"/>
  <c r="CM259" i="20"/>
  <c r="CM197" i="20"/>
  <c r="CM201" i="20"/>
  <c r="CM247" i="20"/>
  <c r="CM209" i="20"/>
  <c r="CM239" i="20"/>
  <c r="CM217" i="20"/>
  <c r="CM221" i="20"/>
  <c r="CM227" i="20"/>
  <c r="CM180" i="20"/>
  <c r="CM232" i="20"/>
  <c r="F310" i="20"/>
  <c r="D140" i="20"/>
  <c r="F141" i="20"/>
  <c r="D309" i="20"/>
  <c r="E309" i="20" s="1"/>
  <c r="E139" i="20"/>
  <c r="CM307" i="20"/>
  <c r="CM299" i="20"/>
  <c r="CM291" i="20"/>
  <c r="CM283" i="20"/>
  <c r="CM275" i="20"/>
  <c r="CM181" i="20"/>
  <c r="CM185" i="20"/>
  <c r="CM263" i="20"/>
  <c r="CM193" i="20"/>
  <c r="CM255" i="20"/>
  <c r="CM251" i="20"/>
  <c r="CM205" i="20"/>
  <c r="CM243" i="20"/>
  <c r="CM213" i="20"/>
  <c r="CM235" i="20"/>
  <c r="CM231" i="20"/>
  <c r="CM225" i="20"/>
  <c r="CM286" i="20"/>
  <c r="CM264" i="20"/>
  <c r="CM200" i="20"/>
  <c r="CM240" i="20"/>
  <c r="CG309" i="20"/>
  <c r="BY309" i="20"/>
  <c r="BQ309" i="20"/>
  <c r="BI309" i="20"/>
  <c r="BA309" i="20"/>
  <c r="AS309" i="20"/>
  <c r="AK309" i="20"/>
  <c r="AC309" i="20"/>
  <c r="U309" i="20"/>
  <c r="M309" i="20"/>
  <c r="CF309" i="20"/>
  <c r="BX309" i="20"/>
  <c r="BP309" i="20"/>
  <c r="BH309" i="20"/>
  <c r="AZ309" i="20"/>
  <c r="AR309" i="20"/>
  <c r="AJ309" i="20"/>
  <c r="AB309" i="20"/>
  <c r="T309" i="20"/>
  <c r="L309" i="20"/>
  <c r="CM309" i="20"/>
  <c r="CE309" i="20"/>
  <c r="BW309" i="20"/>
  <c r="BO309" i="20"/>
  <c r="BG309" i="20"/>
  <c r="AY309" i="20"/>
  <c r="AQ309" i="20"/>
  <c r="AI309" i="20"/>
  <c r="AA309" i="20"/>
  <c r="S309" i="20"/>
  <c r="K309" i="20"/>
  <c r="CL309" i="20"/>
  <c r="CD309" i="20"/>
  <c r="BV309" i="20"/>
  <c r="BN309" i="20"/>
  <c r="BF309" i="20"/>
  <c r="AX309" i="20"/>
  <c r="AP309" i="20"/>
  <c r="AH309" i="20"/>
  <c r="Z309" i="20"/>
  <c r="R309" i="20"/>
  <c r="J309" i="20"/>
  <c r="CC309" i="20"/>
  <c r="BM309" i="20"/>
  <c r="AW309" i="20"/>
  <c r="AG309" i="20"/>
  <c r="Q309" i="20"/>
  <c r="CB309" i="20"/>
  <c r="BL309" i="20"/>
  <c r="AV309" i="20"/>
  <c r="AF309" i="20"/>
  <c r="P309" i="20"/>
  <c r="CA309" i="20"/>
  <c r="BK309" i="20"/>
  <c r="AU309" i="20"/>
  <c r="AE309" i="20"/>
  <c r="O309" i="20"/>
  <c r="BZ309" i="20"/>
  <c r="BJ309" i="20"/>
  <c r="AT309" i="20"/>
  <c r="AD309" i="20"/>
  <c r="N309" i="20"/>
  <c r="BT309" i="20"/>
  <c r="AN309" i="20"/>
  <c r="H309" i="20"/>
  <c r="BS309" i="20"/>
  <c r="AM309" i="20"/>
  <c r="G309" i="20"/>
  <c r="BR309" i="20"/>
  <c r="AL309" i="20"/>
  <c r="CK309" i="20"/>
  <c r="BE309" i="20"/>
  <c r="Y309" i="20"/>
  <c r="BC309" i="20"/>
  <c r="CJ309" i="20"/>
  <c r="X309" i="20"/>
  <c r="CI309" i="20"/>
  <c r="W309" i="20"/>
  <c r="I309" i="20"/>
  <c r="CH309" i="20"/>
  <c r="BU309" i="20"/>
  <c r="BD309" i="20"/>
  <c r="BB309" i="20"/>
  <c r="V309" i="20"/>
  <c r="AO309" i="20"/>
  <c r="CM308" i="20"/>
  <c r="CM306" i="20"/>
  <c r="CM298" i="20"/>
  <c r="CM290" i="20"/>
  <c r="CM282" i="20"/>
  <c r="CM274" i="20"/>
  <c r="CM182" i="20"/>
  <c r="CM266" i="20"/>
  <c r="CM190" i="20"/>
  <c r="CM194" i="20"/>
  <c r="CM254" i="20"/>
  <c r="CM202" i="20"/>
  <c r="CM246" i="20"/>
  <c r="CM242" i="20"/>
  <c r="CM214" i="20"/>
  <c r="CM218" i="20"/>
  <c r="CM222" i="20"/>
  <c r="CN176" i="20"/>
  <c r="CN308" i="20" s="1"/>
  <c r="CO175" i="20"/>
  <c r="CN215" i="20"/>
  <c r="CN211" i="20"/>
  <c r="CN207" i="20"/>
  <c r="CN249" i="20"/>
  <c r="CN199" i="20"/>
  <c r="CN195" i="20"/>
  <c r="CN261" i="20"/>
  <c r="CN265" i="20"/>
  <c r="CN183" i="20"/>
  <c r="CN273" i="20"/>
  <c r="CN280" i="20"/>
  <c r="CN288" i="20"/>
  <c r="CN296" i="20"/>
  <c r="CN304" i="20"/>
  <c r="CM295" i="20"/>
  <c r="CM287" i="20"/>
  <c r="CM179" i="20"/>
  <c r="CM187" i="20"/>
  <c r="CM257" i="20"/>
  <c r="CM207" i="20"/>
  <c r="CM229" i="20"/>
  <c r="CM305" i="20"/>
  <c r="CM297" i="20"/>
  <c r="CM289" i="20"/>
  <c r="CM281" i="20"/>
  <c r="CM178" i="20"/>
  <c r="CM270" i="20"/>
  <c r="CM186" i="20"/>
  <c r="CM262" i="20"/>
  <c r="CM258" i="20"/>
  <c r="CM198" i="20"/>
  <c r="CM250" i="20"/>
  <c r="CM206" i="20"/>
  <c r="CM210" i="20"/>
  <c r="CM238" i="20"/>
  <c r="CM234" i="20"/>
  <c r="CM230" i="20"/>
  <c r="CN233" i="20" l="1"/>
  <c r="CN223" i="20"/>
  <c r="CN295" i="20"/>
  <c r="CN302" i="20"/>
  <c r="CN278" i="20"/>
  <c r="CN264" i="20"/>
  <c r="CN252" i="20"/>
  <c r="CN236" i="20"/>
  <c r="CN292" i="20"/>
  <c r="CN276" i="20"/>
  <c r="CN271" i="20"/>
  <c r="CN185" i="20"/>
  <c r="CN263" i="20"/>
  <c r="CN193" i="20"/>
  <c r="CN255" i="20"/>
  <c r="CN251" i="20"/>
  <c r="CN247" i="20"/>
  <c r="CN243" i="20"/>
  <c r="CN213" i="20"/>
  <c r="CN217" i="20"/>
  <c r="CN231" i="20"/>
  <c r="CN225" i="20"/>
  <c r="D310" i="20"/>
  <c r="E310" i="20" s="1"/>
  <c r="E140" i="20"/>
  <c r="CO7" i="21"/>
  <c r="CN8" i="21"/>
  <c r="CN279" i="20"/>
  <c r="CN187" i="20"/>
  <c r="CN203" i="20"/>
  <c r="CN237" i="20"/>
  <c r="CN286" i="20"/>
  <c r="CN268" i="20"/>
  <c r="CN260" i="20"/>
  <c r="CN204" i="20"/>
  <c r="CN212" i="20"/>
  <c r="CN224" i="20"/>
  <c r="CN300" i="20"/>
  <c r="CN284" i="20"/>
  <c r="CN299" i="20"/>
  <c r="CN283" i="20"/>
  <c r="CN275" i="20"/>
  <c r="CN181" i="20"/>
  <c r="CN267" i="20"/>
  <c r="CN189" i="20"/>
  <c r="CN259" i="20"/>
  <c r="CN197" i="20"/>
  <c r="CN201" i="20"/>
  <c r="CN205" i="20"/>
  <c r="CN209" i="20"/>
  <c r="CN239" i="20"/>
  <c r="CN235" i="20"/>
  <c r="CN221" i="20"/>
  <c r="CN227" i="20"/>
  <c r="CN309" i="20"/>
  <c r="CH310" i="20"/>
  <c r="BZ310" i="20"/>
  <c r="BR310" i="20"/>
  <c r="BJ310" i="20"/>
  <c r="BB310" i="20"/>
  <c r="AT310" i="20"/>
  <c r="AL310" i="20"/>
  <c r="AD310" i="20"/>
  <c r="V310" i="20"/>
  <c r="N310" i="20"/>
  <c r="CG310" i="20"/>
  <c r="BY310" i="20"/>
  <c r="BQ310" i="20"/>
  <c r="BI310" i="20"/>
  <c r="BA310" i="20"/>
  <c r="AS310" i="20"/>
  <c r="AK310" i="20"/>
  <c r="AC310" i="20"/>
  <c r="U310" i="20"/>
  <c r="M310" i="20"/>
  <c r="CN310" i="20"/>
  <c r="CF310" i="20"/>
  <c r="BX310" i="20"/>
  <c r="BP310" i="20"/>
  <c r="BH310" i="20"/>
  <c r="AZ310" i="20"/>
  <c r="AR310" i="20"/>
  <c r="AJ310" i="20"/>
  <c r="AB310" i="20"/>
  <c r="T310" i="20"/>
  <c r="L310" i="20"/>
  <c r="CM310" i="20"/>
  <c r="CE310" i="20"/>
  <c r="BW310" i="20"/>
  <c r="BO310" i="20"/>
  <c r="BG310" i="20"/>
  <c r="AY310" i="20"/>
  <c r="AQ310" i="20"/>
  <c r="AI310" i="20"/>
  <c r="AA310" i="20"/>
  <c r="S310" i="20"/>
  <c r="K310" i="20"/>
  <c r="CL310" i="20"/>
  <c r="BV310" i="20"/>
  <c r="BF310" i="20"/>
  <c r="AP310" i="20"/>
  <c r="Z310" i="20"/>
  <c r="J310" i="20"/>
  <c r="CK310" i="20"/>
  <c r="BU310" i="20"/>
  <c r="BE310" i="20"/>
  <c r="AO310" i="20"/>
  <c r="Y310" i="20"/>
  <c r="I310" i="20"/>
  <c r="CJ310" i="20"/>
  <c r="BT310" i="20"/>
  <c r="BD310" i="20"/>
  <c r="AN310" i="20"/>
  <c r="X310" i="20"/>
  <c r="H310" i="20"/>
  <c r="CI310" i="20"/>
  <c r="BS310" i="20"/>
  <c r="BC310" i="20"/>
  <c r="AM310" i="20"/>
  <c r="W310" i="20"/>
  <c r="G310" i="20"/>
  <c r="BM310" i="20"/>
  <c r="AG310" i="20"/>
  <c r="BL310" i="20"/>
  <c r="AF310" i="20"/>
  <c r="BK310" i="20"/>
  <c r="AE310" i="20"/>
  <c r="CD310" i="20"/>
  <c r="AX310" i="20"/>
  <c r="R310" i="20"/>
  <c r="CB310" i="20"/>
  <c r="P310" i="20"/>
  <c r="AW310" i="20"/>
  <c r="AV310" i="20"/>
  <c r="AU310" i="20"/>
  <c r="AH310" i="20"/>
  <c r="Q310" i="20"/>
  <c r="O310" i="20"/>
  <c r="CC310" i="20"/>
  <c r="BN310" i="20"/>
  <c r="CA310" i="20"/>
  <c r="CN287" i="20"/>
  <c r="CN269" i="20"/>
  <c r="CN257" i="20"/>
  <c r="CN245" i="20"/>
  <c r="CN219" i="20"/>
  <c r="CN294" i="20"/>
  <c r="CN272" i="20"/>
  <c r="CN196" i="20"/>
  <c r="CN244" i="20"/>
  <c r="CN232" i="20"/>
  <c r="CN293" i="20"/>
  <c r="CN277" i="20"/>
  <c r="CN184" i="20"/>
  <c r="CN188" i="20"/>
  <c r="CN256" i="20"/>
  <c r="CN248" i="20"/>
  <c r="CN208" i="20"/>
  <c r="CN216" i="20"/>
  <c r="CN220" i="20"/>
  <c r="F311" i="20"/>
  <c r="F142" i="20"/>
  <c r="D141" i="20"/>
  <c r="CN306" i="20"/>
  <c r="CN298" i="20"/>
  <c r="CN290" i="20"/>
  <c r="CN282" i="20"/>
  <c r="CN274" i="20"/>
  <c r="CN270" i="20"/>
  <c r="CN186" i="20"/>
  <c r="CN190" i="20"/>
  <c r="CN194" i="20"/>
  <c r="CN198" i="20"/>
  <c r="CN202" i="20"/>
  <c r="CN206" i="20"/>
  <c r="CN210" i="20"/>
  <c r="CN214" i="20"/>
  <c r="CN218" i="20"/>
  <c r="CN230" i="20"/>
  <c r="CN226" i="20"/>
  <c r="CN303" i="20"/>
  <c r="CN179" i="20"/>
  <c r="CN191" i="20"/>
  <c r="CN253" i="20"/>
  <c r="CN241" i="20"/>
  <c r="CN229" i="20"/>
  <c r="CN301" i="20"/>
  <c r="CN285" i="20"/>
  <c r="CN180" i="20"/>
  <c r="CN192" i="20"/>
  <c r="CN200" i="20"/>
  <c r="CN240" i="20"/>
  <c r="CN228" i="20"/>
  <c r="CN307" i="20"/>
  <c r="CN291" i="20"/>
  <c r="CN305" i="20"/>
  <c r="CN297" i="20"/>
  <c r="CN289" i="20"/>
  <c r="CN281" i="20"/>
  <c r="CN178" i="20"/>
  <c r="CN182" i="20"/>
  <c r="CN266" i="20"/>
  <c r="CN262" i="20"/>
  <c r="CN258" i="20"/>
  <c r="CN254" i="20"/>
  <c r="CN250" i="20"/>
  <c r="CN246" i="20"/>
  <c r="CN242" i="20"/>
  <c r="CN238" i="20"/>
  <c r="CN234" i="20"/>
  <c r="CN222" i="20"/>
  <c r="CP175" i="20"/>
  <c r="CO176" i="20"/>
  <c r="CO309" i="20" s="1"/>
  <c r="CO228" i="20"/>
  <c r="CO224" i="20"/>
  <c r="CO229" i="20"/>
  <c r="CO223" i="20"/>
  <c r="CO230" i="20"/>
  <c r="CO232" i="20"/>
  <c r="CO220" i="20"/>
  <c r="CO219" i="20"/>
  <c r="CO233" i="20"/>
  <c r="CO234" i="20"/>
  <c r="CO217" i="20"/>
  <c r="CO236" i="20"/>
  <c r="CO216" i="20"/>
  <c r="CO237" i="20"/>
  <c r="CO215" i="20"/>
  <c r="CO214" i="20"/>
  <c r="CO213" i="20"/>
  <c r="CO240" i="20"/>
  <c r="CO212" i="20"/>
  <c r="CO211" i="20"/>
  <c r="CO241" i="20"/>
  <c r="CO242" i="20"/>
  <c r="CO209" i="20"/>
  <c r="CO208" i="20"/>
  <c r="CO244" i="20"/>
  <c r="CO245" i="20"/>
  <c r="CO207" i="20"/>
  <c r="CO206" i="20"/>
  <c r="CO205" i="20"/>
  <c r="CO248" i="20"/>
  <c r="CO204" i="20"/>
  <c r="CO249" i="20"/>
  <c r="CO203" i="20"/>
  <c r="CO250" i="20"/>
  <c r="CO201" i="20"/>
  <c r="CO251" i="20"/>
  <c r="CO252" i="20"/>
  <c r="CO200" i="20"/>
  <c r="CO199" i="20"/>
  <c r="CO253" i="20"/>
  <c r="CO254" i="20"/>
  <c r="CO255" i="20"/>
  <c r="CO197" i="20"/>
  <c r="CO256" i="20"/>
  <c r="CO196" i="20"/>
  <c r="CO257" i="20"/>
  <c r="CO195" i="20"/>
  <c r="CO258" i="20"/>
  <c r="CO193" i="20"/>
  <c r="CO259" i="20"/>
  <c r="CO260" i="20"/>
  <c r="CO192" i="20"/>
  <c r="CO261" i="20"/>
  <c r="CO191" i="20"/>
  <c r="CO262" i="20"/>
  <c r="CO189" i="20"/>
  <c r="CO263" i="20"/>
  <c r="CO264" i="20"/>
  <c r="CO188" i="20"/>
  <c r="CO265" i="20"/>
  <c r="CO187" i="20"/>
  <c r="CO186" i="20"/>
  <c r="CO185" i="20"/>
  <c r="CO267" i="20"/>
  <c r="CO268" i="20"/>
  <c r="CO184" i="20"/>
  <c r="CO183" i="20"/>
  <c r="CO269" i="20"/>
  <c r="CO182" i="20"/>
  <c r="CO181" i="20"/>
  <c r="CO271" i="20"/>
  <c r="CO272" i="20"/>
  <c r="CO180" i="20"/>
  <c r="CO179" i="20"/>
  <c r="CO273" i="20"/>
  <c r="CO274" i="20"/>
  <c r="CO275" i="20"/>
  <c r="CO276" i="20"/>
  <c r="CO277" i="20"/>
  <c r="CO278" i="20"/>
  <c r="CO279" i="20"/>
  <c r="CO280" i="20"/>
  <c r="CO281" i="20"/>
  <c r="CO282" i="20"/>
  <c r="CO283" i="20"/>
  <c r="CO284" i="20"/>
  <c r="CO285" i="20"/>
  <c r="CO286" i="20"/>
  <c r="CO287" i="20"/>
  <c r="CO288" i="20"/>
  <c r="CO289" i="20"/>
  <c r="CO290" i="20"/>
  <c r="CO291" i="20"/>
  <c r="CO292" i="20"/>
  <c r="CO293" i="20"/>
  <c r="CO294" i="20"/>
  <c r="CO295" i="20"/>
  <c r="CO296" i="20"/>
  <c r="CO297" i="20"/>
  <c r="CO298" i="20"/>
  <c r="CO299" i="20"/>
  <c r="CO300" i="20"/>
  <c r="CO301" i="20"/>
  <c r="CO302" i="20"/>
  <c r="CO303" i="20"/>
  <c r="CO304" i="20"/>
  <c r="CO305" i="20"/>
  <c r="CO306" i="20"/>
  <c r="CO307" i="20"/>
  <c r="CO308" i="20"/>
  <c r="CO247" i="20" l="1"/>
  <c r="CO243" i="20"/>
  <c r="CO239" i="20"/>
  <c r="CO235" i="20"/>
  <c r="CO231" i="20"/>
  <c r="CO225" i="20"/>
  <c r="D311" i="20"/>
  <c r="E311" i="20" s="1"/>
  <c r="E141" i="20"/>
  <c r="CO221" i="20"/>
  <c r="CO227" i="20"/>
  <c r="CO310" i="20"/>
  <c r="CQ175" i="20"/>
  <c r="CP176" i="20"/>
  <c r="CP310" i="20" s="1"/>
  <c r="CP225" i="20"/>
  <c r="CP226" i="20"/>
  <c r="CP227" i="20"/>
  <c r="CP224" i="20"/>
  <c r="CP228" i="20"/>
  <c r="CP223" i="20"/>
  <c r="CP229" i="20"/>
  <c r="CP230" i="20"/>
  <c r="CP222" i="20"/>
  <c r="CP221" i="20"/>
  <c r="CP231" i="20"/>
  <c r="CP220" i="20"/>
  <c r="CP232" i="20"/>
  <c r="CP233" i="20"/>
  <c r="CP219" i="20"/>
  <c r="CP234" i="20"/>
  <c r="CP218" i="20"/>
  <c r="CP235" i="20"/>
  <c r="CP217" i="20"/>
  <c r="CP236" i="20"/>
  <c r="CP216" i="20"/>
  <c r="CP237" i="20"/>
  <c r="CP215" i="20"/>
  <c r="CP214" i="20"/>
  <c r="CP238" i="20"/>
  <c r="CP239" i="20"/>
  <c r="CP213" i="20"/>
  <c r="CP212" i="20"/>
  <c r="CP240" i="20"/>
  <c r="CP211" i="20"/>
  <c r="CP241" i="20"/>
  <c r="CP242" i="20"/>
  <c r="CP210" i="20"/>
  <c r="CP243" i="20"/>
  <c r="CP209" i="20"/>
  <c r="CP244" i="20"/>
  <c r="CP208" i="20"/>
  <c r="CP207" i="20"/>
  <c r="CP245" i="20"/>
  <c r="CP206" i="20"/>
  <c r="CP246" i="20"/>
  <c r="CP205" i="20"/>
  <c r="CP247" i="20"/>
  <c r="CP248" i="20"/>
  <c r="CP204" i="20"/>
  <c r="CP249" i="20"/>
  <c r="CP203" i="20"/>
  <c r="CP202" i="20"/>
  <c r="CP250" i="20"/>
  <c r="CP251" i="20"/>
  <c r="CP201" i="20"/>
  <c r="CP200" i="20"/>
  <c r="CP252" i="20"/>
  <c r="CP253" i="20"/>
  <c r="CP199" i="20"/>
  <c r="CP198" i="20"/>
  <c r="CP254" i="20"/>
  <c r="CP255" i="20"/>
  <c r="CP197" i="20"/>
  <c r="CP196" i="20"/>
  <c r="CP256" i="20"/>
  <c r="CP257" i="20"/>
  <c r="CP195" i="20"/>
  <c r="CP258" i="20"/>
  <c r="CP194" i="20"/>
  <c r="CP259" i="20"/>
  <c r="CP193" i="20"/>
  <c r="CP192" i="20"/>
  <c r="CP260" i="20"/>
  <c r="CP191" i="20"/>
  <c r="CP261" i="20"/>
  <c r="CP262" i="20"/>
  <c r="CP190" i="20"/>
  <c r="CP189" i="20"/>
  <c r="CP263" i="20"/>
  <c r="CP188" i="20"/>
  <c r="CP264" i="20"/>
  <c r="CP265" i="20"/>
  <c r="CP187" i="20"/>
  <c r="CP186" i="20"/>
  <c r="CP266" i="20"/>
  <c r="CP185" i="20"/>
  <c r="CP267" i="20"/>
  <c r="CP184" i="20"/>
  <c r="CP268" i="20"/>
  <c r="CP269" i="20"/>
  <c r="CP183" i="20"/>
  <c r="CP270" i="20"/>
  <c r="CP182" i="20"/>
  <c r="CP271" i="20"/>
  <c r="CP181" i="20"/>
  <c r="CP180" i="20"/>
  <c r="CP272" i="20"/>
  <c r="CP179" i="20"/>
  <c r="CP273" i="20"/>
  <c r="CP274" i="20"/>
  <c r="CP178" i="20"/>
  <c r="CP275" i="20"/>
  <c r="CP276" i="20"/>
  <c r="CP277" i="20"/>
  <c r="CP278" i="20"/>
  <c r="CP279" i="20"/>
  <c r="CP280" i="20"/>
  <c r="CP281" i="20"/>
  <c r="CP282" i="20"/>
  <c r="CP283" i="20"/>
  <c r="CP284" i="20"/>
  <c r="CP285" i="20"/>
  <c r="CP286" i="20"/>
  <c r="CP287" i="20"/>
  <c r="CP288" i="20"/>
  <c r="CP289" i="20"/>
  <c r="CP290" i="20"/>
  <c r="CP291" i="20"/>
  <c r="CP292" i="20"/>
  <c r="CP293" i="20"/>
  <c r="CP294" i="20"/>
  <c r="CP295" i="20"/>
  <c r="CP296" i="20"/>
  <c r="CP297" i="20"/>
  <c r="CP298" i="20"/>
  <c r="CP299" i="20"/>
  <c r="CP300" i="20"/>
  <c r="CP301" i="20"/>
  <c r="CP302" i="20"/>
  <c r="CP303" i="20"/>
  <c r="CP304" i="20"/>
  <c r="CP305" i="20"/>
  <c r="CP306" i="20"/>
  <c r="CP307" i="20"/>
  <c r="CP308" i="20"/>
  <c r="CP309" i="20"/>
  <c r="F312" i="20"/>
  <c r="D142" i="20"/>
  <c r="F143" i="20"/>
  <c r="CP7" i="21"/>
  <c r="CO8" i="21"/>
  <c r="CI311" i="20"/>
  <c r="CA311" i="20"/>
  <c r="BS311" i="20"/>
  <c r="BK311" i="20"/>
  <c r="BC311" i="20"/>
  <c r="AU311" i="20"/>
  <c r="AM311" i="20"/>
  <c r="AE311" i="20"/>
  <c r="W311" i="20"/>
  <c r="O311" i="20"/>
  <c r="G311" i="20"/>
  <c r="CP311" i="20"/>
  <c r="CH311" i="20"/>
  <c r="BZ311" i="20"/>
  <c r="BR311" i="20"/>
  <c r="BJ311" i="20"/>
  <c r="BB311" i="20"/>
  <c r="AT311" i="20"/>
  <c r="AL311" i="20"/>
  <c r="AD311" i="20"/>
  <c r="V311" i="20"/>
  <c r="N311" i="20"/>
  <c r="CO311" i="20"/>
  <c r="CG311" i="20"/>
  <c r="BY311" i="20"/>
  <c r="BQ311" i="20"/>
  <c r="BI311" i="20"/>
  <c r="BA311" i="20"/>
  <c r="AS311" i="20"/>
  <c r="AK311" i="20"/>
  <c r="AC311" i="20"/>
  <c r="U311" i="20"/>
  <c r="M311" i="20"/>
  <c r="CN311" i="20"/>
  <c r="CF311" i="20"/>
  <c r="BX311" i="20"/>
  <c r="BP311" i="20"/>
  <c r="BH311" i="20"/>
  <c r="AZ311" i="20"/>
  <c r="AR311" i="20"/>
  <c r="AJ311" i="20"/>
  <c r="AB311" i="20"/>
  <c r="T311" i="20"/>
  <c r="L311" i="20"/>
  <c r="CE311" i="20"/>
  <c r="BO311" i="20"/>
  <c r="AY311" i="20"/>
  <c r="AI311" i="20"/>
  <c r="S311" i="20"/>
  <c r="CD311" i="20"/>
  <c r="BN311" i="20"/>
  <c r="AX311" i="20"/>
  <c r="AH311" i="20"/>
  <c r="R311" i="20"/>
  <c r="CC311" i="20"/>
  <c r="BM311" i="20"/>
  <c r="AW311" i="20"/>
  <c r="AG311" i="20"/>
  <c r="Q311" i="20"/>
  <c r="CB311" i="20"/>
  <c r="BL311" i="20"/>
  <c r="AV311" i="20"/>
  <c r="AF311" i="20"/>
  <c r="P311" i="20"/>
  <c r="CL311" i="20"/>
  <c r="BF311" i="20"/>
  <c r="Z311" i="20"/>
  <c r="CK311" i="20"/>
  <c r="BE311" i="20"/>
  <c r="Y311" i="20"/>
  <c r="CJ311" i="20"/>
  <c r="BD311" i="20"/>
  <c r="X311" i="20"/>
  <c r="BW311" i="20"/>
  <c r="AQ311" i="20"/>
  <c r="K311" i="20"/>
  <c r="AO311" i="20"/>
  <c r="BV311" i="20"/>
  <c r="J311" i="20"/>
  <c r="BU311" i="20"/>
  <c r="I311" i="20"/>
  <c r="CM311" i="20"/>
  <c r="BT311" i="20"/>
  <c r="BG311" i="20"/>
  <c r="AP311" i="20"/>
  <c r="AN311" i="20"/>
  <c r="AA311" i="20"/>
  <c r="H311" i="20"/>
  <c r="CO178" i="20"/>
  <c r="CO270" i="20"/>
  <c r="CO266" i="20"/>
  <c r="CO190" i="20"/>
  <c r="CO194" i="20"/>
  <c r="CO198" i="20"/>
  <c r="CO202" i="20"/>
  <c r="CO246" i="20"/>
  <c r="CO210" i="20"/>
  <c r="CO238" i="20"/>
  <c r="CO218" i="20"/>
  <c r="CO222" i="20"/>
  <c r="CO226" i="20"/>
  <c r="CJ312" i="20" l="1"/>
  <c r="CB312" i="20"/>
  <c r="BT312" i="20"/>
  <c r="BL312" i="20"/>
  <c r="BD312" i="20"/>
  <c r="AV312" i="20"/>
  <c r="AN312" i="20"/>
  <c r="AF312" i="20"/>
  <c r="X312" i="20"/>
  <c r="P312" i="20"/>
  <c r="H312" i="20"/>
  <c r="CI312" i="20"/>
  <c r="CA312" i="20"/>
  <c r="BS312" i="20"/>
  <c r="BK312" i="20"/>
  <c r="BC312" i="20"/>
  <c r="AU312" i="20"/>
  <c r="AM312" i="20"/>
  <c r="AE312" i="20"/>
  <c r="W312" i="20"/>
  <c r="O312" i="20"/>
  <c r="G312" i="20"/>
  <c r="CP312" i="20"/>
  <c r="CH312" i="20"/>
  <c r="BZ312" i="20"/>
  <c r="BR312" i="20"/>
  <c r="BJ312" i="20"/>
  <c r="BB312" i="20"/>
  <c r="AT312" i="20"/>
  <c r="AL312" i="20"/>
  <c r="AD312" i="20"/>
  <c r="V312" i="20"/>
  <c r="N312" i="20"/>
  <c r="CO312" i="20"/>
  <c r="CG312" i="20"/>
  <c r="BY312" i="20"/>
  <c r="BQ312" i="20"/>
  <c r="BI312" i="20"/>
  <c r="BA312" i="20"/>
  <c r="AS312" i="20"/>
  <c r="AK312" i="20"/>
  <c r="AC312" i="20"/>
  <c r="U312" i="20"/>
  <c r="M312" i="20"/>
  <c r="CN312" i="20"/>
  <c r="BX312" i="20"/>
  <c r="BH312" i="20"/>
  <c r="AR312" i="20"/>
  <c r="AB312" i="20"/>
  <c r="L312" i="20"/>
  <c r="CM312" i="20"/>
  <c r="BW312" i="20"/>
  <c r="BG312" i="20"/>
  <c r="AQ312" i="20"/>
  <c r="AA312" i="20"/>
  <c r="K312" i="20"/>
  <c r="CL312" i="20"/>
  <c r="BV312" i="20"/>
  <c r="BF312" i="20"/>
  <c r="AP312" i="20"/>
  <c r="Z312" i="20"/>
  <c r="J312" i="20"/>
  <c r="CK312" i="20"/>
  <c r="BU312" i="20"/>
  <c r="BE312" i="20"/>
  <c r="AO312" i="20"/>
  <c r="Y312" i="20"/>
  <c r="I312" i="20"/>
  <c r="CE312" i="20"/>
  <c r="AY312" i="20"/>
  <c r="S312" i="20"/>
  <c r="CD312" i="20"/>
  <c r="AX312" i="20"/>
  <c r="R312" i="20"/>
  <c r="CC312" i="20"/>
  <c r="AW312" i="20"/>
  <c r="Q312" i="20"/>
  <c r="BP312" i="20"/>
  <c r="AJ312" i="20"/>
  <c r="BO312" i="20"/>
  <c r="AI312" i="20"/>
  <c r="CF312" i="20"/>
  <c r="AZ312" i="20"/>
  <c r="AH312" i="20"/>
  <c r="T312" i="20"/>
  <c r="AG312" i="20"/>
  <c r="BN312" i="20"/>
  <c r="BM312" i="20"/>
  <c r="CQ7" i="21"/>
  <c r="CP8" i="21"/>
  <c r="F313" i="20"/>
  <c r="F144" i="20"/>
  <c r="D143" i="20"/>
  <c r="D312" i="20"/>
  <c r="E312" i="20" s="1"/>
  <c r="E142" i="20"/>
  <c r="CR175" i="20"/>
  <c r="CQ176" i="20"/>
  <c r="CQ311" i="20" s="1"/>
  <c r="CQ206" i="20"/>
  <c r="CQ202" i="20"/>
  <c r="CQ198" i="20"/>
  <c r="CQ258" i="20"/>
  <c r="CQ190" i="20"/>
  <c r="CQ186" i="20"/>
  <c r="CQ270" i="20"/>
  <c r="CQ274" i="20"/>
  <c r="CQ281" i="20"/>
  <c r="CQ289" i="20"/>
  <c r="CQ297" i="20"/>
  <c r="CQ305" i="20"/>
  <c r="CQ304" i="20" l="1"/>
  <c r="CQ280" i="20"/>
  <c r="CQ179" i="20"/>
  <c r="CQ265" i="20"/>
  <c r="CQ261" i="20"/>
  <c r="CQ195" i="20"/>
  <c r="CQ241" i="20"/>
  <c r="CQ215" i="20"/>
  <c r="CQ233" i="20"/>
  <c r="CQ229" i="20"/>
  <c r="CR176" i="20"/>
  <c r="CR228" i="20" s="1"/>
  <c r="CS175" i="20"/>
  <c r="CR226" i="20"/>
  <c r="CR225" i="20"/>
  <c r="CR227" i="20"/>
  <c r="CR224" i="20"/>
  <c r="CR229" i="20"/>
  <c r="CR223" i="20"/>
  <c r="CR230" i="20"/>
  <c r="CR222" i="20"/>
  <c r="CR221" i="20"/>
  <c r="CR231" i="20"/>
  <c r="CR220" i="20"/>
  <c r="CR232" i="20"/>
  <c r="CR233" i="20"/>
  <c r="CR219" i="20"/>
  <c r="CR218" i="20"/>
  <c r="CR234" i="20"/>
  <c r="CR235" i="20"/>
  <c r="CR217" i="20"/>
  <c r="CR216" i="20"/>
  <c r="CR236" i="20"/>
  <c r="CR215" i="20"/>
  <c r="CR237" i="20"/>
  <c r="CR214" i="20"/>
  <c r="CR238" i="20"/>
  <c r="CR213" i="20"/>
  <c r="CR239" i="20"/>
  <c r="CR240" i="20"/>
  <c r="CR212" i="20"/>
  <c r="CR241" i="20"/>
  <c r="CR211" i="20"/>
  <c r="CR242" i="20"/>
  <c r="CR210" i="20"/>
  <c r="CR209" i="20"/>
  <c r="CR243" i="20"/>
  <c r="CR244" i="20"/>
  <c r="CR208" i="20"/>
  <c r="CR245" i="20"/>
  <c r="CR207" i="20"/>
  <c r="CR246" i="20"/>
  <c r="CR206" i="20"/>
  <c r="CR205" i="20"/>
  <c r="CR247" i="20"/>
  <c r="CR248" i="20"/>
  <c r="CR204" i="20"/>
  <c r="CR203" i="20"/>
  <c r="CR249" i="20"/>
  <c r="CR250" i="20"/>
  <c r="CR202" i="20"/>
  <c r="CR201" i="20"/>
  <c r="CR251" i="20"/>
  <c r="CR200" i="20"/>
  <c r="CR252" i="20"/>
  <c r="CR199" i="20"/>
  <c r="CR253" i="20"/>
  <c r="CR254" i="20"/>
  <c r="CR198" i="20"/>
  <c r="CR197" i="20"/>
  <c r="CR255" i="20"/>
  <c r="CR256" i="20"/>
  <c r="CR196" i="20"/>
  <c r="CR257" i="20"/>
  <c r="CR195" i="20"/>
  <c r="CR258" i="20"/>
  <c r="CR194" i="20"/>
  <c r="CR259" i="20"/>
  <c r="CR193" i="20"/>
  <c r="CR192" i="20"/>
  <c r="CR260" i="20"/>
  <c r="CR261" i="20"/>
  <c r="CR191" i="20"/>
  <c r="CR262" i="20"/>
  <c r="CR190" i="20"/>
  <c r="CR189" i="20"/>
  <c r="CR263" i="20"/>
  <c r="CR264" i="20"/>
  <c r="CR188" i="20"/>
  <c r="CR187" i="20"/>
  <c r="CR265" i="20"/>
  <c r="CR186" i="20"/>
  <c r="CR266" i="20"/>
  <c r="CR185" i="20"/>
  <c r="CR267" i="20"/>
  <c r="CR268" i="20"/>
  <c r="CR184" i="20"/>
  <c r="CR183" i="20"/>
  <c r="CR269" i="20"/>
  <c r="CR182" i="20"/>
  <c r="CR270" i="20"/>
  <c r="CR271" i="20"/>
  <c r="CR181" i="20"/>
  <c r="CR272" i="20"/>
  <c r="CR180" i="20"/>
  <c r="CR273" i="20"/>
  <c r="CR179" i="20"/>
  <c r="CR274" i="20"/>
  <c r="CR178" i="20"/>
  <c r="CR275" i="20"/>
  <c r="CR276" i="20"/>
  <c r="CR277" i="20"/>
  <c r="CR278" i="20"/>
  <c r="CR279" i="20"/>
  <c r="CR280" i="20"/>
  <c r="CR281" i="20"/>
  <c r="CR282" i="20"/>
  <c r="CR283" i="20"/>
  <c r="CR284" i="20"/>
  <c r="CR285" i="20"/>
  <c r="CR286" i="20"/>
  <c r="CR287" i="20"/>
  <c r="CR288" i="20"/>
  <c r="CR289" i="20"/>
  <c r="CR290" i="20"/>
  <c r="CR291" i="20"/>
  <c r="CR292" i="20"/>
  <c r="CR293" i="20"/>
  <c r="CR294" i="20"/>
  <c r="CR295" i="20"/>
  <c r="CR296" i="20"/>
  <c r="CR297" i="20"/>
  <c r="CR298" i="20"/>
  <c r="CR299" i="20"/>
  <c r="CR300" i="20"/>
  <c r="CR301" i="20"/>
  <c r="CR302" i="20"/>
  <c r="CR303" i="20"/>
  <c r="CR304" i="20"/>
  <c r="CR305" i="20"/>
  <c r="CR306" i="20"/>
  <c r="CR307" i="20"/>
  <c r="CR308" i="20"/>
  <c r="CR309" i="20"/>
  <c r="CR310" i="20"/>
  <c r="CR311" i="20"/>
  <c r="CQ309" i="20"/>
  <c r="CQ301" i="20"/>
  <c r="CQ293" i="20"/>
  <c r="CQ285" i="20"/>
  <c r="CQ277" i="20"/>
  <c r="CQ180" i="20"/>
  <c r="CQ268" i="20"/>
  <c r="CQ264" i="20"/>
  <c r="CQ260" i="20"/>
  <c r="CQ196" i="20"/>
  <c r="CQ200" i="20"/>
  <c r="CQ204" i="20"/>
  <c r="CQ208" i="20"/>
  <c r="CQ212" i="20"/>
  <c r="CQ216" i="20"/>
  <c r="CQ220" i="20"/>
  <c r="CQ224" i="20"/>
  <c r="CK313" i="20"/>
  <c r="CC313" i="20"/>
  <c r="BU313" i="20"/>
  <c r="BM313" i="20"/>
  <c r="BE313" i="20"/>
  <c r="AW313" i="20"/>
  <c r="AO313" i="20"/>
  <c r="AG313" i="20"/>
  <c r="Y313" i="20"/>
  <c r="Q313" i="20"/>
  <c r="I313" i="20"/>
  <c r="CR313" i="20"/>
  <c r="CJ313" i="20"/>
  <c r="CB313" i="20"/>
  <c r="BT313" i="20"/>
  <c r="BL313" i="20"/>
  <c r="BD313" i="20"/>
  <c r="AV313" i="20"/>
  <c r="AN313" i="20"/>
  <c r="AF313" i="20"/>
  <c r="X313" i="20"/>
  <c r="P313" i="20"/>
  <c r="H313" i="20"/>
  <c r="CQ313" i="20"/>
  <c r="CI313" i="20"/>
  <c r="CA313" i="20"/>
  <c r="BS313" i="20"/>
  <c r="BK313" i="20"/>
  <c r="BC313" i="20"/>
  <c r="AU313" i="20"/>
  <c r="AM313" i="20"/>
  <c r="AE313" i="20"/>
  <c r="W313" i="20"/>
  <c r="O313" i="20"/>
  <c r="G313" i="20"/>
  <c r="CP313" i="20"/>
  <c r="CH313" i="20"/>
  <c r="BZ313" i="20"/>
  <c r="BR313" i="20"/>
  <c r="BJ313" i="20"/>
  <c r="BB313" i="20"/>
  <c r="AT313" i="20"/>
  <c r="AL313" i="20"/>
  <c r="AD313" i="20"/>
  <c r="V313" i="20"/>
  <c r="N313" i="20"/>
  <c r="CG313" i="20"/>
  <c r="BQ313" i="20"/>
  <c r="BA313" i="20"/>
  <c r="AK313" i="20"/>
  <c r="U313" i="20"/>
  <c r="CF313" i="20"/>
  <c r="BP313" i="20"/>
  <c r="AZ313" i="20"/>
  <c r="AJ313" i="20"/>
  <c r="T313" i="20"/>
  <c r="CE313" i="20"/>
  <c r="BO313" i="20"/>
  <c r="AY313" i="20"/>
  <c r="AI313" i="20"/>
  <c r="S313" i="20"/>
  <c r="CD313" i="20"/>
  <c r="BN313" i="20"/>
  <c r="AX313" i="20"/>
  <c r="AH313" i="20"/>
  <c r="R313" i="20"/>
  <c r="BX313" i="20"/>
  <c r="AR313" i="20"/>
  <c r="L313" i="20"/>
  <c r="BW313" i="20"/>
  <c r="AQ313" i="20"/>
  <c r="K313" i="20"/>
  <c r="BV313" i="20"/>
  <c r="AP313" i="20"/>
  <c r="J313" i="20"/>
  <c r="CO313" i="20"/>
  <c r="BI313" i="20"/>
  <c r="AC313" i="20"/>
  <c r="CN313" i="20"/>
  <c r="BH313" i="20"/>
  <c r="AB313" i="20"/>
  <c r="CL313" i="20"/>
  <c r="BF313" i="20"/>
  <c r="AS313" i="20"/>
  <c r="CM313" i="20"/>
  <c r="BY313" i="20"/>
  <c r="BG313" i="20"/>
  <c r="AA313" i="20"/>
  <c r="M313" i="20"/>
  <c r="Z313" i="20"/>
  <c r="CQ238" i="20"/>
  <c r="CQ230" i="20"/>
  <c r="CQ296" i="20"/>
  <c r="CQ249" i="20"/>
  <c r="CQ308" i="20"/>
  <c r="CQ300" i="20"/>
  <c r="CQ292" i="20"/>
  <c r="CQ284" i="20"/>
  <c r="CQ276" i="20"/>
  <c r="CQ181" i="20"/>
  <c r="CQ267" i="20"/>
  <c r="CQ263" i="20"/>
  <c r="CQ259" i="20"/>
  <c r="CQ255" i="20"/>
  <c r="CQ251" i="20"/>
  <c r="CQ247" i="20"/>
  <c r="CQ243" i="20"/>
  <c r="CQ213" i="20"/>
  <c r="CQ235" i="20"/>
  <c r="CQ221" i="20"/>
  <c r="CQ226" i="20"/>
  <c r="CQ288" i="20"/>
  <c r="CQ253" i="20"/>
  <c r="CQ303" i="20"/>
  <c r="F314" i="20"/>
  <c r="F145" i="20"/>
  <c r="D144" i="20"/>
  <c r="CR312" i="20"/>
  <c r="CQ307" i="20"/>
  <c r="CQ299" i="20"/>
  <c r="CQ291" i="20"/>
  <c r="CQ283" i="20"/>
  <c r="CQ275" i="20"/>
  <c r="CQ271" i="20"/>
  <c r="CQ185" i="20"/>
  <c r="CQ189" i="20"/>
  <c r="CQ193" i="20"/>
  <c r="CQ197" i="20"/>
  <c r="CQ201" i="20"/>
  <c r="CQ205" i="20"/>
  <c r="CQ209" i="20"/>
  <c r="CQ239" i="20"/>
  <c r="CQ217" i="20"/>
  <c r="CQ231" i="20"/>
  <c r="CQ225" i="20"/>
  <c r="CQ8" i="21"/>
  <c r="CR7" i="21"/>
  <c r="CQ312" i="20"/>
  <c r="CQ210" i="20"/>
  <c r="CQ234" i="20"/>
  <c r="CQ269" i="20"/>
  <c r="CQ207" i="20"/>
  <c r="CQ295" i="20"/>
  <c r="CQ287" i="20"/>
  <c r="CQ279" i="20"/>
  <c r="CQ273" i="20"/>
  <c r="CQ183" i="20"/>
  <c r="CQ187" i="20"/>
  <c r="CQ191" i="20"/>
  <c r="CQ257" i="20"/>
  <c r="CQ199" i="20"/>
  <c r="CQ203" i="20"/>
  <c r="CQ245" i="20"/>
  <c r="CQ211" i="20"/>
  <c r="CQ237" i="20"/>
  <c r="CQ219" i="20"/>
  <c r="CQ223" i="20"/>
  <c r="D313" i="20"/>
  <c r="E313" i="20" s="1"/>
  <c r="E143" i="20"/>
  <c r="CQ310" i="20"/>
  <c r="CQ302" i="20"/>
  <c r="CQ294" i="20"/>
  <c r="CQ286" i="20"/>
  <c r="CQ278" i="20"/>
  <c r="CQ272" i="20"/>
  <c r="CQ184" i="20"/>
  <c r="CQ188" i="20"/>
  <c r="CQ192" i="20"/>
  <c r="CQ256" i="20"/>
  <c r="CQ252" i="20"/>
  <c r="CQ248" i="20"/>
  <c r="CQ244" i="20"/>
  <c r="CQ240" i="20"/>
  <c r="CQ236" i="20"/>
  <c r="CQ232" i="20"/>
  <c r="CQ228" i="20"/>
  <c r="CQ306" i="20"/>
  <c r="CQ298" i="20"/>
  <c r="CQ290" i="20"/>
  <c r="CQ282" i="20"/>
  <c r="CQ178" i="20"/>
  <c r="CQ182" i="20"/>
  <c r="CQ266" i="20"/>
  <c r="CQ262" i="20"/>
  <c r="CQ194" i="20"/>
  <c r="CQ254" i="20"/>
  <c r="CQ250" i="20"/>
  <c r="CQ246" i="20"/>
  <c r="CQ242" i="20"/>
  <c r="CQ214" i="20"/>
  <c r="CQ218" i="20"/>
  <c r="CQ222" i="20"/>
  <c r="CQ227" i="20"/>
  <c r="CR314" i="20" l="1"/>
  <c r="CJ314" i="20"/>
  <c r="CB314" i="20"/>
  <c r="BT314" i="20"/>
  <c r="BL314" i="20"/>
  <c r="BD314" i="20"/>
  <c r="AV314" i="20"/>
  <c r="AN314" i="20"/>
  <c r="AF314" i="20"/>
  <c r="X314" i="20"/>
  <c r="P314" i="20"/>
  <c r="H314" i="20"/>
  <c r="CQ314" i="20"/>
  <c r="CI314" i="20"/>
  <c r="CA314" i="20"/>
  <c r="BS314" i="20"/>
  <c r="BK314" i="20"/>
  <c r="BC314" i="20"/>
  <c r="AU314" i="20"/>
  <c r="AM314" i="20"/>
  <c r="AE314" i="20"/>
  <c r="W314" i="20"/>
  <c r="O314" i="20"/>
  <c r="G314" i="20"/>
  <c r="CP314" i="20"/>
  <c r="CH314" i="20"/>
  <c r="BZ314" i="20"/>
  <c r="BR314" i="20"/>
  <c r="BJ314" i="20"/>
  <c r="BB314" i="20"/>
  <c r="AT314" i="20"/>
  <c r="AL314" i="20"/>
  <c r="AD314" i="20"/>
  <c r="V314" i="20"/>
  <c r="N314" i="20"/>
  <c r="CO314" i="20"/>
  <c r="CG314" i="20"/>
  <c r="BY314" i="20"/>
  <c r="BQ314" i="20"/>
  <c r="BI314" i="20"/>
  <c r="BA314" i="20"/>
  <c r="AS314" i="20"/>
  <c r="AK314" i="20"/>
  <c r="AC314" i="20"/>
  <c r="U314" i="20"/>
  <c r="M314" i="20"/>
  <c r="CL314" i="20"/>
  <c r="BV314" i="20"/>
  <c r="BF314" i="20"/>
  <c r="AP314" i="20"/>
  <c r="Z314" i="20"/>
  <c r="J314" i="20"/>
  <c r="CK314" i="20"/>
  <c r="BU314" i="20"/>
  <c r="BE314" i="20"/>
  <c r="AO314" i="20"/>
  <c r="Y314" i="20"/>
  <c r="I314" i="20"/>
  <c r="CF314" i="20"/>
  <c r="BP314" i="20"/>
  <c r="AZ314" i="20"/>
  <c r="AJ314" i="20"/>
  <c r="T314" i="20"/>
  <c r="CE314" i="20"/>
  <c r="BO314" i="20"/>
  <c r="AY314" i="20"/>
  <c r="AI314" i="20"/>
  <c r="S314" i="20"/>
  <c r="CD314" i="20"/>
  <c r="AX314" i="20"/>
  <c r="R314" i="20"/>
  <c r="CC314" i="20"/>
  <c r="AW314" i="20"/>
  <c r="Q314" i="20"/>
  <c r="BX314" i="20"/>
  <c r="AR314" i="20"/>
  <c r="L314" i="20"/>
  <c r="BW314" i="20"/>
  <c r="AQ314" i="20"/>
  <c r="K314" i="20"/>
  <c r="CS314" i="20"/>
  <c r="AG314" i="20"/>
  <c r="CN314" i="20"/>
  <c r="AB314" i="20"/>
  <c r="CM314" i="20"/>
  <c r="AA314" i="20"/>
  <c r="BN314" i="20"/>
  <c r="BM314" i="20"/>
  <c r="AH314" i="20"/>
  <c r="BH314" i="20"/>
  <c r="BG314" i="20"/>
  <c r="F315" i="20"/>
  <c r="D145" i="20"/>
  <c r="F146" i="20"/>
  <c r="CS176" i="20"/>
  <c r="CT175" i="20"/>
  <c r="CS225" i="20"/>
  <c r="CS227" i="20"/>
  <c r="CS226" i="20"/>
  <c r="CS224" i="20"/>
  <c r="CS228" i="20"/>
  <c r="CS223" i="20"/>
  <c r="CS229" i="20"/>
  <c r="CS230" i="20"/>
  <c r="CS222" i="20"/>
  <c r="CS231" i="20"/>
  <c r="CS221" i="20"/>
  <c r="CS220" i="20"/>
  <c r="CS232" i="20"/>
  <c r="CS219" i="20"/>
  <c r="CS233" i="20"/>
  <c r="CS218" i="20"/>
  <c r="CS234" i="20"/>
  <c r="CS217" i="20"/>
  <c r="CS235" i="20"/>
  <c r="CS216" i="20"/>
  <c r="CS236" i="20"/>
  <c r="CS237" i="20"/>
  <c r="CS215" i="20"/>
  <c r="CS238" i="20"/>
  <c r="CS214" i="20"/>
  <c r="CS239" i="20"/>
  <c r="CS213" i="20"/>
  <c r="CS212" i="20"/>
  <c r="CS240" i="20"/>
  <c r="CS241" i="20"/>
  <c r="CS211" i="20"/>
  <c r="CS242" i="20"/>
  <c r="CS210" i="20"/>
  <c r="CS209" i="20"/>
  <c r="CS243" i="20"/>
  <c r="CS208" i="20"/>
  <c r="CS244" i="20"/>
  <c r="CS245" i="20"/>
  <c r="CS207" i="20"/>
  <c r="CS246" i="20"/>
  <c r="CS206" i="20"/>
  <c r="CS247" i="20"/>
  <c r="CS205" i="20"/>
  <c r="CS248" i="20"/>
  <c r="CS204" i="20"/>
  <c r="CS249" i="20"/>
  <c r="CS203" i="20"/>
  <c r="CS202" i="20"/>
  <c r="CS250" i="20"/>
  <c r="CS201" i="20"/>
  <c r="CS251" i="20"/>
  <c r="CS252" i="20"/>
  <c r="CS200" i="20"/>
  <c r="CS253" i="20"/>
  <c r="CS199" i="20"/>
  <c r="CS254" i="20"/>
  <c r="CS198" i="20"/>
  <c r="CS197" i="20"/>
  <c r="CS255" i="20"/>
  <c r="CS196" i="20"/>
  <c r="CS256" i="20"/>
  <c r="CS195" i="20"/>
  <c r="CS257" i="20"/>
  <c r="CS258" i="20"/>
  <c r="CS194" i="20"/>
  <c r="CS259" i="20"/>
  <c r="CS193" i="20"/>
  <c r="CS260" i="20"/>
  <c r="CS192" i="20"/>
  <c r="CS191" i="20"/>
  <c r="CS261" i="20"/>
  <c r="CS190" i="20"/>
  <c r="CS262" i="20"/>
  <c r="CS263" i="20"/>
  <c r="CS189" i="20"/>
  <c r="CS188" i="20"/>
  <c r="CS264" i="20"/>
  <c r="CS187" i="20"/>
  <c r="CS265" i="20"/>
  <c r="CS186" i="20"/>
  <c r="CS266" i="20"/>
  <c r="CS267" i="20"/>
  <c r="CS185" i="20"/>
  <c r="CS268" i="20"/>
  <c r="CS184" i="20"/>
  <c r="CS183" i="20"/>
  <c r="CS269" i="20"/>
  <c r="CS270" i="20"/>
  <c r="CS182" i="20"/>
  <c r="CS181" i="20"/>
  <c r="CS271" i="20"/>
  <c r="CS180" i="20"/>
  <c r="CS272" i="20"/>
  <c r="CS179" i="20"/>
  <c r="CS273" i="20"/>
  <c r="CS178" i="20"/>
  <c r="CS274" i="20"/>
  <c r="CS275" i="20"/>
  <c r="CS276" i="20"/>
  <c r="CS277" i="20"/>
  <c r="CS278" i="20"/>
  <c r="CS279" i="20"/>
  <c r="CS280" i="20"/>
  <c r="CS281" i="20"/>
  <c r="CS282" i="20"/>
  <c r="CS283" i="20"/>
  <c r="CS284" i="20"/>
  <c r="CS285" i="20"/>
  <c r="CS286" i="20"/>
  <c r="CS287" i="20"/>
  <c r="CS288" i="20"/>
  <c r="CS289" i="20"/>
  <c r="CS290" i="20"/>
  <c r="CS291" i="20"/>
  <c r="CS292" i="20"/>
  <c r="CS293" i="20"/>
  <c r="CS294" i="20"/>
  <c r="CS295" i="20"/>
  <c r="CS296" i="20"/>
  <c r="CS297" i="20"/>
  <c r="CS298" i="20"/>
  <c r="CS299" i="20"/>
  <c r="CS300" i="20"/>
  <c r="CS301" i="20"/>
  <c r="CS302" i="20"/>
  <c r="CS303" i="20"/>
  <c r="CS304" i="20"/>
  <c r="CS305" i="20"/>
  <c r="CS306" i="20"/>
  <c r="CS307" i="20"/>
  <c r="CS308" i="20"/>
  <c r="CS309" i="20"/>
  <c r="CS310" i="20"/>
  <c r="CS311" i="20"/>
  <c r="CS312" i="20"/>
  <c r="CR8" i="21"/>
  <c r="CS7" i="21"/>
  <c r="D314" i="20"/>
  <c r="E314" i="20" s="1"/>
  <c r="E144" i="20"/>
  <c r="CS313" i="20"/>
  <c r="CS8" i="21" l="1"/>
  <c r="CT7" i="21"/>
  <c r="CT176" i="20"/>
  <c r="CT314" i="20" s="1"/>
  <c r="CT226" i="20"/>
  <c r="CT225" i="20"/>
  <c r="CU175" i="20"/>
  <c r="CT227" i="20"/>
  <c r="CT228" i="20"/>
  <c r="CT224" i="20"/>
  <c r="CT229" i="20"/>
  <c r="CT223" i="20"/>
  <c r="CT222" i="20"/>
  <c r="CT230" i="20"/>
  <c r="CT231" i="20"/>
  <c r="CT221" i="20"/>
  <c r="CT220" i="20"/>
  <c r="CT232" i="20"/>
  <c r="CT219" i="20"/>
  <c r="CT233" i="20"/>
  <c r="CT234" i="20"/>
  <c r="CT218" i="20"/>
  <c r="CT217" i="20"/>
  <c r="CT235" i="20"/>
  <c r="CT236" i="20"/>
  <c r="CT216" i="20"/>
  <c r="CT215" i="20"/>
  <c r="CT237" i="20"/>
  <c r="CT214" i="20"/>
  <c r="CT238" i="20"/>
  <c r="CT213" i="20"/>
  <c r="CT239" i="20"/>
  <c r="CT212" i="20"/>
  <c r="CT240" i="20"/>
  <c r="CT211" i="20"/>
  <c r="CT241" i="20"/>
  <c r="CT210" i="20"/>
  <c r="CT242" i="20"/>
  <c r="CT243" i="20"/>
  <c r="CT209" i="20"/>
  <c r="CT208" i="20"/>
  <c r="CT244" i="20"/>
  <c r="CT207" i="20"/>
  <c r="CT245" i="20"/>
  <c r="CT246" i="20"/>
  <c r="CT206" i="20"/>
  <c r="CT205" i="20"/>
  <c r="CT247" i="20"/>
  <c r="CT204" i="20"/>
  <c r="CT248" i="20"/>
  <c r="CT203" i="20"/>
  <c r="CT249" i="20"/>
  <c r="CT250" i="20"/>
  <c r="CT202" i="20"/>
  <c r="CT251" i="20"/>
  <c r="CT201" i="20"/>
  <c r="CT252" i="20"/>
  <c r="CT200" i="20"/>
  <c r="CT253" i="20"/>
  <c r="CT199" i="20"/>
  <c r="CT198" i="20"/>
  <c r="CT254" i="20"/>
  <c r="CT255" i="20"/>
  <c r="CT197" i="20"/>
  <c r="CT196" i="20"/>
  <c r="CT256" i="20"/>
  <c r="CT257" i="20"/>
  <c r="CT195" i="20"/>
  <c r="CT258" i="20"/>
  <c r="CT194" i="20"/>
  <c r="CT193" i="20"/>
  <c r="CT259" i="20"/>
  <c r="CT260" i="20"/>
  <c r="CT192" i="20"/>
  <c r="CT261" i="20"/>
  <c r="CT191" i="20"/>
  <c r="CT190" i="20"/>
  <c r="CT262" i="20"/>
  <c r="CT189" i="20"/>
  <c r="CT263" i="20"/>
  <c r="CT188" i="20"/>
  <c r="CT264" i="20"/>
  <c r="CT187" i="20"/>
  <c r="CT265" i="20"/>
  <c r="CT186" i="20"/>
  <c r="CT266" i="20"/>
  <c r="CT267" i="20"/>
  <c r="CT185" i="20"/>
  <c r="CT268" i="20"/>
  <c r="CT184" i="20"/>
  <c r="CT183" i="20"/>
  <c r="CT269" i="20"/>
  <c r="CT182" i="20"/>
  <c r="CT270" i="20"/>
  <c r="CT271" i="20"/>
  <c r="CT181" i="20"/>
  <c r="CT180" i="20"/>
  <c r="CT272" i="20"/>
  <c r="CT179" i="20"/>
  <c r="CT273" i="20"/>
  <c r="CT274" i="20"/>
  <c r="CT178" i="20"/>
  <c r="CT275" i="20"/>
  <c r="CT276" i="20"/>
  <c r="CT277" i="20"/>
  <c r="CT278" i="20"/>
  <c r="CT279" i="20"/>
  <c r="CT280" i="20"/>
  <c r="CT281" i="20"/>
  <c r="CT282" i="20"/>
  <c r="CT283" i="20"/>
  <c r="CT284" i="20"/>
  <c r="CT285" i="20"/>
  <c r="CT286" i="20"/>
  <c r="CT287" i="20"/>
  <c r="CT288" i="20"/>
  <c r="CT289" i="20"/>
  <c r="CT290" i="20"/>
  <c r="CT291" i="20"/>
  <c r="CT292" i="20"/>
  <c r="CT293" i="20"/>
  <c r="CT294" i="20"/>
  <c r="CT295" i="20"/>
  <c r="CT296" i="20"/>
  <c r="CT297" i="20"/>
  <c r="CT298" i="20"/>
  <c r="CT299" i="20"/>
  <c r="CT300" i="20"/>
  <c r="CT301" i="20"/>
  <c r="CT302" i="20"/>
  <c r="CT303" i="20"/>
  <c r="CT304" i="20"/>
  <c r="CT305" i="20"/>
  <c r="CT306" i="20"/>
  <c r="CT307" i="20"/>
  <c r="CT308" i="20"/>
  <c r="CT309" i="20"/>
  <c r="CT310" i="20"/>
  <c r="CT311" i="20"/>
  <c r="CT312" i="20"/>
  <c r="CT313" i="20"/>
  <c r="D315" i="20"/>
  <c r="E315" i="20" s="1"/>
  <c r="E145" i="20"/>
  <c r="CS315" i="20"/>
  <c r="CK315" i="20"/>
  <c r="CC315" i="20"/>
  <c r="BU315" i="20"/>
  <c r="BM315" i="20"/>
  <c r="BE315" i="20"/>
  <c r="AW315" i="20"/>
  <c r="AO315" i="20"/>
  <c r="AG315" i="20"/>
  <c r="Y315" i="20"/>
  <c r="Q315" i="20"/>
  <c r="I315" i="20"/>
  <c r="CR315" i="20"/>
  <c r="CJ315" i="20"/>
  <c r="CB315" i="20"/>
  <c r="BT315" i="20"/>
  <c r="BL315" i="20"/>
  <c r="BD315" i="20"/>
  <c r="AV315" i="20"/>
  <c r="AN315" i="20"/>
  <c r="AF315" i="20"/>
  <c r="X315" i="20"/>
  <c r="P315" i="20"/>
  <c r="H315" i="20"/>
  <c r="CQ315" i="20"/>
  <c r="CI315" i="20"/>
  <c r="CA315" i="20"/>
  <c r="BS315" i="20"/>
  <c r="BK315" i="20"/>
  <c r="BC315" i="20"/>
  <c r="AU315" i="20"/>
  <c r="AM315" i="20"/>
  <c r="AE315" i="20"/>
  <c r="W315" i="20"/>
  <c r="O315" i="20"/>
  <c r="G315" i="20"/>
  <c r="CP315" i="20"/>
  <c r="CH315" i="20"/>
  <c r="BZ315" i="20"/>
  <c r="BR315" i="20"/>
  <c r="BJ315" i="20"/>
  <c r="BB315" i="20"/>
  <c r="AT315" i="20"/>
  <c r="AL315" i="20"/>
  <c r="AD315" i="20"/>
  <c r="V315" i="20"/>
  <c r="N315" i="20"/>
  <c r="CE315" i="20"/>
  <c r="BO315" i="20"/>
  <c r="AY315" i="20"/>
  <c r="AI315" i="20"/>
  <c r="S315" i="20"/>
  <c r="CT315" i="20"/>
  <c r="CD315" i="20"/>
  <c r="BN315" i="20"/>
  <c r="AX315" i="20"/>
  <c r="AH315" i="20"/>
  <c r="R315" i="20"/>
  <c r="CO315" i="20"/>
  <c r="BY315" i="20"/>
  <c r="BI315" i="20"/>
  <c r="AS315" i="20"/>
  <c r="AC315" i="20"/>
  <c r="M315" i="20"/>
  <c r="CN315" i="20"/>
  <c r="BX315" i="20"/>
  <c r="BH315" i="20"/>
  <c r="AR315" i="20"/>
  <c r="AB315" i="20"/>
  <c r="L315" i="20"/>
  <c r="BW315" i="20"/>
  <c r="AQ315" i="20"/>
  <c r="K315" i="20"/>
  <c r="BV315" i="20"/>
  <c r="AP315" i="20"/>
  <c r="J315" i="20"/>
  <c r="BQ315" i="20"/>
  <c r="AK315" i="20"/>
  <c r="BP315" i="20"/>
  <c r="AJ315" i="20"/>
  <c r="BF315" i="20"/>
  <c r="BA315" i="20"/>
  <c r="AZ315" i="20"/>
  <c r="CM315" i="20"/>
  <c r="AA315" i="20"/>
  <c r="CL315" i="20"/>
  <c r="Z315" i="20"/>
  <c r="U315" i="20"/>
  <c r="BG315" i="20"/>
  <c r="T315" i="20"/>
  <c r="CF315" i="20"/>
  <c r="CG315" i="20"/>
  <c r="F316" i="20"/>
  <c r="F147" i="20"/>
  <c r="D146" i="20"/>
  <c r="D316" i="20" l="1"/>
  <c r="E316" i="20" s="1"/>
  <c r="E146" i="20"/>
  <c r="CT8" i="21"/>
  <c r="CU7" i="21"/>
  <c r="F317" i="20"/>
  <c r="D147" i="20"/>
  <c r="F148" i="20"/>
  <c r="CU176" i="20"/>
  <c r="CU315" i="20" s="1"/>
  <c r="CV175" i="20"/>
  <c r="CU225" i="20"/>
  <c r="CU227" i="20"/>
  <c r="CU228" i="20"/>
  <c r="CU224" i="20"/>
  <c r="CU229" i="20"/>
  <c r="CU223" i="20"/>
  <c r="CU222" i="20"/>
  <c r="CU231" i="20"/>
  <c r="CU221" i="20"/>
  <c r="CU232" i="20"/>
  <c r="CU220" i="20"/>
  <c r="CU233" i="20"/>
  <c r="CU219" i="20"/>
  <c r="CU218" i="20"/>
  <c r="CU234" i="20"/>
  <c r="CU235" i="20"/>
  <c r="CU217" i="20"/>
  <c r="CU236" i="20"/>
  <c r="CU216" i="20"/>
  <c r="CU237" i="20"/>
  <c r="CU215" i="20"/>
  <c r="CU238" i="20"/>
  <c r="CU214" i="20"/>
  <c r="CU239" i="20"/>
  <c r="CU213" i="20"/>
  <c r="CU240" i="20"/>
  <c r="CU212" i="20"/>
  <c r="CU241" i="20"/>
  <c r="CU211" i="20"/>
  <c r="CU242" i="20"/>
  <c r="CU210" i="20"/>
  <c r="CU209" i="20"/>
  <c r="CU243" i="20"/>
  <c r="CU208" i="20"/>
  <c r="CU244" i="20"/>
  <c r="CU207" i="20"/>
  <c r="CU245" i="20"/>
  <c r="CU206" i="20"/>
  <c r="CU246" i="20"/>
  <c r="CU247" i="20"/>
  <c r="CU205" i="20"/>
  <c r="CU204" i="20"/>
  <c r="CU248" i="20"/>
  <c r="CU203" i="20"/>
  <c r="CU249" i="20"/>
  <c r="CU202" i="20"/>
  <c r="CU250" i="20"/>
  <c r="CU251" i="20"/>
  <c r="CU201" i="20"/>
  <c r="CU252" i="20"/>
  <c r="CU200" i="20"/>
  <c r="CU199" i="20"/>
  <c r="CU253" i="20"/>
  <c r="CU198" i="20"/>
  <c r="CU254" i="20"/>
  <c r="CU197" i="20"/>
  <c r="CU255" i="20"/>
  <c r="CU256" i="20"/>
  <c r="CU196" i="20"/>
  <c r="CU257" i="20"/>
  <c r="CU195" i="20"/>
  <c r="CU194" i="20"/>
  <c r="CU258" i="20"/>
  <c r="CU193" i="20"/>
  <c r="CU259" i="20"/>
  <c r="CU192" i="20"/>
  <c r="CU260" i="20"/>
  <c r="CU261" i="20"/>
  <c r="CU191" i="20"/>
  <c r="CU190" i="20"/>
  <c r="CU262" i="20"/>
  <c r="CU263" i="20"/>
  <c r="CU189" i="20"/>
  <c r="CU264" i="20"/>
  <c r="CU188" i="20"/>
  <c r="CU265" i="20"/>
  <c r="CU187" i="20"/>
  <c r="CU186" i="20"/>
  <c r="CU266" i="20"/>
  <c r="CU185" i="20"/>
  <c r="CU267" i="20"/>
  <c r="CU184" i="20"/>
  <c r="CU268" i="20"/>
  <c r="CU183" i="20"/>
  <c r="CU269" i="20"/>
  <c r="CU270" i="20"/>
  <c r="CU182" i="20"/>
  <c r="CU181" i="20"/>
  <c r="CU271" i="20"/>
  <c r="CU272" i="20"/>
  <c r="CU180" i="20"/>
  <c r="CU273" i="20"/>
  <c r="CU179" i="20"/>
  <c r="CU178" i="20"/>
  <c r="CU274" i="20"/>
  <c r="CU275" i="20"/>
  <c r="CU276" i="20"/>
  <c r="CU277" i="20"/>
  <c r="CU278" i="20"/>
  <c r="CU279" i="20"/>
  <c r="CU280" i="20"/>
  <c r="CU281" i="20"/>
  <c r="CU282" i="20"/>
  <c r="CU283" i="20"/>
  <c r="CU284" i="20"/>
  <c r="CU285" i="20"/>
  <c r="CU286" i="20"/>
  <c r="CU287" i="20"/>
  <c r="CU288" i="20"/>
  <c r="CU289" i="20"/>
  <c r="CU290" i="20"/>
  <c r="CU291" i="20"/>
  <c r="CU292" i="20"/>
  <c r="CU293" i="20"/>
  <c r="CU294" i="20"/>
  <c r="CU295" i="20"/>
  <c r="CU296" i="20"/>
  <c r="CU297" i="20"/>
  <c r="CU298" i="20"/>
  <c r="CU299" i="20"/>
  <c r="CU300" i="20"/>
  <c r="CU301" i="20"/>
  <c r="CU302" i="20"/>
  <c r="CU303" i="20"/>
  <c r="CU304" i="20"/>
  <c r="CU305" i="20"/>
  <c r="CU306" i="20"/>
  <c r="CU307" i="20"/>
  <c r="CU308" i="20"/>
  <c r="CU309" i="20"/>
  <c r="CU310" i="20"/>
  <c r="CU311" i="20"/>
  <c r="CU312" i="20"/>
  <c r="CU313" i="20"/>
  <c r="CU314" i="20"/>
  <c r="CT316" i="20"/>
  <c r="CL316" i="20"/>
  <c r="CD316" i="20"/>
  <c r="BV316" i="20"/>
  <c r="BN316" i="20"/>
  <c r="BF316" i="20"/>
  <c r="AX316" i="20"/>
  <c r="AP316" i="20"/>
  <c r="AH316" i="20"/>
  <c r="Z316" i="20"/>
  <c r="R316" i="20"/>
  <c r="J316" i="20"/>
  <c r="CS316" i="20"/>
  <c r="CK316" i="20"/>
  <c r="CC316" i="20"/>
  <c r="BU316" i="20"/>
  <c r="BM316" i="20"/>
  <c r="BE316" i="20"/>
  <c r="AW316" i="20"/>
  <c r="AO316" i="20"/>
  <c r="AG316" i="20"/>
  <c r="Y316" i="20"/>
  <c r="Q316" i="20"/>
  <c r="I316" i="20"/>
  <c r="CR316" i="20"/>
  <c r="CJ316" i="20"/>
  <c r="CB316" i="20"/>
  <c r="BT316" i="20"/>
  <c r="BL316" i="20"/>
  <c r="BD316" i="20"/>
  <c r="AV316" i="20"/>
  <c r="AN316" i="20"/>
  <c r="AF316" i="20"/>
  <c r="X316" i="20"/>
  <c r="P316" i="20"/>
  <c r="H316" i="20"/>
  <c r="CQ316" i="20"/>
  <c r="CI316" i="20"/>
  <c r="CA316" i="20"/>
  <c r="BS316" i="20"/>
  <c r="BK316" i="20"/>
  <c r="BC316" i="20"/>
  <c r="AU316" i="20"/>
  <c r="AM316" i="20"/>
  <c r="AE316" i="20"/>
  <c r="W316" i="20"/>
  <c r="O316" i="20"/>
  <c r="G316" i="20"/>
  <c r="CN316" i="20"/>
  <c r="BX316" i="20"/>
  <c r="BH316" i="20"/>
  <c r="AR316" i="20"/>
  <c r="AB316" i="20"/>
  <c r="L316" i="20"/>
  <c r="CM316" i="20"/>
  <c r="BW316" i="20"/>
  <c r="BG316" i="20"/>
  <c r="AQ316" i="20"/>
  <c r="AA316" i="20"/>
  <c r="K316" i="20"/>
  <c r="CH316" i="20"/>
  <c r="BR316" i="20"/>
  <c r="BB316" i="20"/>
  <c r="AL316" i="20"/>
  <c r="V316" i="20"/>
  <c r="CG316" i="20"/>
  <c r="BQ316" i="20"/>
  <c r="BA316" i="20"/>
  <c r="AK316" i="20"/>
  <c r="U316" i="20"/>
  <c r="BP316" i="20"/>
  <c r="AJ316" i="20"/>
  <c r="CU316" i="20"/>
  <c r="BO316" i="20"/>
  <c r="AI316" i="20"/>
  <c r="CP316" i="20"/>
  <c r="BJ316" i="20"/>
  <c r="AD316" i="20"/>
  <c r="CO316" i="20"/>
  <c r="BI316" i="20"/>
  <c r="AC316" i="20"/>
  <c r="CE316" i="20"/>
  <c r="S316" i="20"/>
  <c r="BZ316" i="20"/>
  <c r="N316" i="20"/>
  <c r="BY316" i="20"/>
  <c r="M316" i="20"/>
  <c r="AZ316" i="20"/>
  <c r="AY316" i="20"/>
  <c r="AS316" i="20"/>
  <c r="CF316" i="20"/>
  <c r="AT316" i="20"/>
  <c r="T316" i="20"/>
  <c r="CU230" i="20" l="1"/>
  <c r="CU226" i="20"/>
  <c r="F318" i="20"/>
  <c r="D148" i="20"/>
  <c r="F149" i="20"/>
  <c r="CU317" i="20"/>
  <c r="CM317" i="20"/>
  <c r="CE317" i="20"/>
  <c r="BW317" i="20"/>
  <c r="BO317" i="20"/>
  <c r="BG317" i="20"/>
  <c r="AY317" i="20"/>
  <c r="AQ317" i="20"/>
  <c r="AI317" i="20"/>
  <c r="AA317" i="20"/>
  <c r="S317" i="20"/>
  <c r="K317" i="20"/>
  <c r="CT317" i="20"/>
  <c r="CL317" i="20"/>
  <c r="CD317" i="20"/>
  <c r="BV317" i="20"/>
  <c r="BN317" i="20"/>
  <c r="BF317" i="20"/>
  <c r="AX317" i="20"/>
  <c r="AP317" i="20"/>
  <c r="AH317" i="20"/>
  <c r="Z317" i="20"/>
  <c r="R317" i="20"/>
  <c r="J317" i="20"/>
  <c r="CS317" i="20"/>
  <c r="CK317" i="20"/>
  <c r="CC317" i="20"/>
  <c r="BU317" i="20"/>
  <c r="BM317" i="20"/>
  <c r="BE317" i="20"/>
  <c r="AW317" i="20"/>
  <c r="AO317" i="20"/>
  <c r="AG317" i="20"/>
  <c r="Y317" i="20"/>
  <c r="Q317" i="20"/>
  <c r="I317" i="20"/>
  <c r="CR317" i="20"/>
  <c r="CJ317" i="20"/>
  <c r="CB317" i="20"/>
  <c r="BT317" i="20"/>
  <c r="BL317" i="20"/>
  <c r="BD317" i="20"/>
  <c r="AV317" i="20"/>
  <c r="AN317" i="20"/>
  <c r="AF317" i="20"/>
  <c r="X317" i="20"/>
  <c r="P317" i="20"/>
  <c r="H317" i="20"/>
  <c r="CG317" i="20"/>
  <c r="BQ317" i="20"/>
  <c r="BA317" i="20"/>
  <c r="AK317" i="20"/>
  <c r="U317" i="20"/>
  <c r="CF317" i="20"/>
  <c r="BP317" i="20"/>
  <c r="AZ317" i="20"/>
  <c r="AJ317" i="20"/>
  <c r="T317" i="20"/>
  <c r="CQ317" i="20"/>
  <c r="CA317" i="20"/>
  <c r="BK317" i="20"/>
  <c r="AU317" i="20"/>
  <c r="AE317" i="20"/>
  <c r="O317" i="20"/>
  <c r="CP317" i="20"/>
  <c r="BZ317" i="20"/>
  <c r="BJ317" i="20"/>
  <c r="AT317" i="20"/>
  <c r="AD317" i="20"/>
  <c r="N317" i="20"/>
  <c r="CO317" i="20"/>
  <c r="BI317" i="20"/>
  <c r="AC317" i="20"/>
  <c r="CN317" i="20"/>
  <c r="BH317" i="20"/>
  <c r="AB317" i="20"/>
  <c r="CI317" i="20"/>
  <c r="BC317" i="20"/>
  <c r="W317" i="20"/>
  <c r="CH317" i="20"/>
  <c r="BB317" i="20"/>
  <c r="V317" i="20"/>
  <c r="AR317" i="20"/>
  <c r="AM317" i="20"/>
  <c r="AL317" i="20"/>
  <c r="BY317" i="20"/>
  <c r="M317" i="20"/>
  <c r="BX317" i="20"/>
  <c r="L317" i="20"/>
  <c r="AS317" i="20"/>
  <c r="G317" i="20"/>
  <c r="BS317" i="20"/>
  <c r="BR317" i="20"/>
  <c r="CU8" i="21"/>
  <c r="CV7" i="21"/>
  <c r="D317" i="20"/>
  <c r="E317" i="20" s="1"/>
  <c r="E147" i="20"/>
  <c r="CV176" i="20"/>
  <c r="CV316" i="20" s="1"/>
  <c r="CW175" i="20"/>
  <c r="CV229" i="20"/>
  <c r="CV219" i="20"/>
  <c r="CV237" i="20"/>
  <c r="CV211" i="20"/>
  <c r="CV207" i="20"/>
  <c r="CV249" i="20"/>
  <c r="CV200" i="20"/>
  <c r="CV199" i="20"/>
  <c r="CV196" i="20"/>
  <c r="CV195" i="20"/>
  <c r="CV192" i="20"/>
  <c r="CV261" i="20"/>
  <c r="CV188" i="20"/>
  <c r="CV265" i="20"/>
  <c r="CV268" i="20"/>
  <c r="CV183" i="20"/>
  <c r="CV272" i="20"/>
  <c r="CV273" i="20"/>
  <c r="CV278" i="20"/>
  <c r="CV280" i="20"/>
  <c r="CV286" i="20"/>
  <c r="CV288" i="20"/>
  <c r="CV294" i="20"/>
  <c r="CV296" i="20"/>
  <c r="CV302" i="20"/>
  <c r="CV304" i="20"/>
  <c r="CV310" i="20"/>
  <c r="CV312" i="20"/>
  <c r="CV204" i="20" l="1"/>
  <c r="CV244" i="20"/>
  <c r="CV212" i="20"/>
  <c r="CV216" i="20"/>
  <c r="CV232" i="20"/>
  <c r="CV224" i="20"/>
  <c r="CV301" i="20"/>
  <c r="CV285" i="20"/>
  <c r="CV180" i="20"/>
  <c r="CV264" i="20"/>
  <c r="CV256" i="20"/>
  <c r="CV252" i="20"/>
  <c r="CV208" i="20"/>
  <c r="CV240" i="20"/>
  <c r="CV220" i="20"/>
  <c r="CV228" i="20"/>
  <c r="CV317" i="20"/>
  <c r="CV315" i="20"/>
  <c r="CV307" i="20"/>
  <c r="CV299" i="20"/>
  <c r="CV291" i="20"/>
  <c r="CV283" i="20"/>
  <c r="CV275" i="20"/>
  <c r="CV271" i="20"/>
  <c r="CV267" i="20"/>
  <c r="CV263" i="20"/>
  <c r="CV193" i="20"/>
  <c r="CV197" i="20"/>
  <c r="CV251" i="20"/>
  <c r="CV205" i="20"/>
  <c r="CV243" i="20"/>
  <c r="CV213" i="20"/>
  <c r="CV235" i="20"/>
  <c r="CV221" i="20"/>
  <c r="CV225" i="20"/>
  <c r="CV308" i="20"/>
  <c r="CV300" i="20"/>
  <c r="CV292" i="20"/>
  <c r="CV276" i="20"/>
  <c r="CV181" i="20"/>
  <c r="CV185" i="20"/>
  <c r="CV189" i="20"/>
  <c r="CV259" i="20"/>
  <c r="CV255" i="20"/>
  <c r="CV201" i="20"/>
  <c r="CV209" i="20"/>
  <c r="CV239" i="20"/>
  <c r="CV217" i="20"/>
  <c r="CV231" i="20"/>
  <c r="CV227" i="20"/>
  <c r="CV314" i="20"/>
  <c r="CV306" i="20"/>
  <c r="CV298" i="20"/>
  <c r="CV290" i="20"/>
  <c r="CV282" i="20"/>
  <c r="CV274" i="20"/>
  <c r="CV182" i="20"/>
  <c r="CV266" i="20"/>
  <c r="CV190" i="20"/>
  <c r="CV258" i="20"/>
  <c r="CV198" i="20"/>
  <c r="CV202" i="20"/>
  <c r="CV206" i="20"/>
  <c r="CV210" i="20"/>
  <c r="CV238" i="20"/>
  <c r="CV218" i="20"/>
  <c r="CV222" i="20"/>
  <c r="CX175" i="20"/>
  <c r="CW176" i="20"/>
  <c r="CW225" i="20" s="1"/>
  <c r="CW227" i="20"/>
  <c r="CW231" i="20"/>
  <c r="CW217" i="20"/>
  <c r="CW239" i="20"/>
  <c r="CW209" i="20"/>
  <c r="CW247" i="20"/>
  <c r="CW251" i="20"/>
  <c r="CW197" i="20"/>
  <c r="CW258" i="20"/>
  <c r="CW259" i="20"/>
  <c r="CW262" i="20"/>
  <c r="CW189" i="20"/>
  <c r="CW186" i="20"/>
  <c r="CW267" i="20"/>
  <c r="CW182" i="20"/>
  <c r="CW181" i="20"/>
  <c r="CW274" i="20"/>
  <c r="CW275" i="20"/>
  <c r="CW282" i="20"/>
  <c r="CW283" i="20"/>
  <c r="CW290" i="20"/>
  <c r="CW291" i="20"/>
  <c r="CW298" i="20"/>
  <c r="CW299" i="20"/>
  <c r="CW306" i="20"/>
  <c r="CW307" i="20"/>
  <c r="CW314" i="20"/>
  <c r="CW315" i="20"/>
  <c r="F319" i="20"/>
  <c r="F150" i="20"/>
  <c r="D149" i="20"/>
  <c r="CV309" i="20"/>
  <c r="CV293" i="20"/>
  <c r="CV277" i="20"/>
  <c r="CV184" i="20"/>
  <c r="CV260" i="20"/>
  <c r="CV248" i="20"/>
  <c r="CV236" i="20"/>
  <c r="CV284" i="20"/>
  <c r="CV247" i="20"/>
  <c r="CV313" i="20"/>
  <c r="CV305" i="20"/>
  <c r="CV297" i="20"/>
  <c r="CV289" i="20"/>
  <c r="CV281" i="20"/>
  <c r="CV178" i="20"/>
  <c r="CV270" i="20"/>
  <c r="CV186" i="20"/>
  <c r="CV262" i="20"/>
  <c r="CV194" i="20"/>
  <c r="CV254" i="20"/>
  <c r="CV250" i="20"/>
  <c r="CV246" i="20"/>
  <c r="CV242" i="20"/>
  <c r="CV214" i="20"/>
  <c r="CV234" i="20"/>
  <c r="CV230" i="20"/>
  <c r="CV226" i="20"/>
  <c r="CW7" i="21"/>
  <c r="CV8" i="21"/>
  <c r="D318" i="20"/>
  <c r="E318" i="20" s="1"/>
  <c r="E148" i="20"/>
  <c r="CV318" i="20"/>
  <c r="CN318" i="20"/>
  <c r="CF318" i="20"/>
  <c r="BX318" i="20"/>
  <c r="BP318" i="20"/>
  <c r="BH318" i="20"/>
  <c r="AZ318" i="20"/>
  <c r="AR318" i="20"/>
  <c r="AJ318" i="20"/>
  <c r="AB318" i="20"/>
  <c r="T318" i="20"/>
  <c r="L318" i="20"/>
  <c r="CU318" i="20"/>
  <c r="CM318" i="20"/>
  <c r="CE318" i="20"/>
  <c r="BW318" i="20"/>
  <c r="BO318" i="20"/>
  <c r="BG318" i="20"/>
  <c r="AY318" i="20"/>
  <c r="AQ318" i="20"/>
  <c r="AI318" i="20"/>
  <c r="AA318" i="20"/>
  <c r="S318" i="20"/>
  <c r="K318" i="20"/>
  <c r="CT318" i="20"/>
  <c r="CL318" i="20"/>
  <c r="CD318" i="20"/>
  <c r="BV318" i="20"/>
  <c r="BN318" i="20"/>
  <c r="BF318" i="20"/>
  <c r="AX318" i="20"/>
  <c r="AP318" i="20"/>
  <c r="AH318" i="20"/>
  <c r="Z318" i="20"/>
  <c r="R318" i="20"/>
  <c r="J318" i="20"/>
  <c r="CS318" i="20"/>
  <c r="CK318" i="20"/>
  <c r="CC318" i="20"/>
  <c r="BU318" i="20"/>
  <c r="BM318" i="20"/>
  <c r="BE318" i="20"/>
  <c r="AW318" i="20"/>
  <c r="AO318" i="20"/>
  <c r="AG318" i="20"/>
  <c r="Y318" i="20"/>
  <c r="Q318" i="20"/>
  <c r="I318" i="20"/>
  <c r="CP318" i="20"/>
  <c r="BZ318" i="20"/>
  <c r="BJ318" i="20"/>
  <c r="AT318" i="20"/>
  <c r="AD318" i="20"/>
  <c r="N318" i="20"/>
  <c r="CO318" i="20"/>
  <c r="BY318" i="20"/>
  <c r="BI318" i="20"/>
  <c r="AS318" i="20"/>
  <c r="AC318" i="20"/>
  <c r="M318" i="20"/>
  <c r="CJ318" i="20"/>
  <c r="BT318" i="20"/>
  <c r="BD318" i="20"/>
  <c r="AN318" i="20"/>
  <c r="X318" i="20"/>
  <c r="H318" i="20"/>
  <c r="CI318" i="20"/>
  <c r="BS318" i="20"/>
  <c r="BC318" i="20"/>
  <c r="AM318" i="20"/>
  <c r="W318" i="20"/>
  <c r="G318" i="20"/>
  <c r="CH318" i="20"/>
  <c r="BB318" i="20"/>
  <c r="V318" i="20"/>
  <c r="CG318" i="20"/>
  <c r="BA318" i="20"/>
  <c r="U318" i="20"/>
  <c r="CB318" i="20"/>
  <c r="AV318" i="20"/>
  <c r="P318" i="20"/>
  <c r="CA318" i="20"/>
  <c r="AU318" i="20"/>
  <c r="O318" i="20"/>
  <c r="BQ318" i="20"/>
  <c r="BL318" i="20"/>
  <c r="BK318" i="20"/>
  <c r="AL318" i="20"/>
  <c r="AK318" i="20"/>
  <c r="AF318" i="20"/>
  <c r="CQ318" i="20"/>
  <c r="BR318" i="20"/>
  <c r="AE318" i="20"/>
  <c r="CR318" i="20"/>
  <c r="CV311" i="20"/>
  <c r="CV303" i="20"/>
  <c r="CV295" i="20"/>
  <c r="CV287" i="20"/>
  <c r="CV279" i="20"/>
  <c r="CV179" i="20"/>
  <c r="CV269" i="20"/>
  <c r="CV187" i="20"/>
  <c r="CV191" i="20"/>
  <c r="CV257" i="20"/>
  <c r="CV253" i="20"/>
  <c r="CV203" i="20"/>
  <c r="CV245" i="20"/>
  <c r="CV241" i="20"/>
  <c r="CV215" i="20"/>
  <c r="CV233" i="20"/>
  <c r="CV223" i="20"/>
  <c r="D319" i="20" l="1"/>
  <c r="E319" i="20" s="1"/>
  <c r="E149" i="20"/>
  <c r="CW297" i="20"/>
  <c r="CW270" i="20"/>
  <c r="CW194" i="20"/>
  <c r="CW206" i="20"/>
  <c r="CY175" i="20"/>
  <c r="CX176" i="20"/>
  <c r="CX318" i="20" s="1"/>
  <c r="CX225" i="20"/>
  <c r="CX228" i="20"/>
  <c r="CX224" i="20"/>
  <c r="CX223" i="20"/>
  <c r="CX230" i="20"/>
  <c r="CX221" i="20"/>
  <c r="CX220" i="20"/>
  <c r="CX232" i="20"/>
  <c r="CX233" i="20"/>
  <c r="CX234" i="20"/>
  <c r="CX235" i="20"/>
  <c r="CX216" i="20"/>
  <c r="CX236" i="20"/>
  <c r="CX237" i="20"/>
  <c r="CX214" i="20"/>
  <c r="CX239" i="20"/>
  <c r="CX212" i="20"/>
  <c r="CX240" i="20"/>
  <c r="CX241" i="20"/>
  <c r="CX242" i="20"/>
  <c r="CX243" i="20"/>
  <c r="CX208" i="20"/>
  <c r="CX244" i="20"/>
  <c r="CX245" i="20"/>
  <c r="CX206" i="20"/>
  <c r="CX247" i="20"/>
  <c r="CX248" i="20"/>
  <c r="CX204" i="20"/>
  <c r="CX203" i="20"/>
  <c r="CX249" i="20"/>
  <c r="CX202" i="20"/>
  <c r="CX250" i="20"/>
  <c r="CX251" i="20"/>
  <c r="CX200" i="20"/>
  <c r="CX252" i="20"/>
  <c r="CX199" i="20"/>
  <c r="CX253" i="20"/>
  <c r="CX198" i="20"/>
  <c r="CX254" i="20"/>
  <c r="CX255" i="20"/>
  <c r="CX256" i="20"/>
  <c r="CX196" i="20"/>
  <c r="CX257" i="20"/>
  <c r="CX195" i="20"/>
  <c r="CX258" i="20"/>
  <c r="CX194" i="20"/>
  <c r="CX193" i="20"/>
  <c r="CX260" i="20"/>
  <c r="CX192" i="20"/>
  <c r="CX261" i="20"/>
  <c r="CX191" i="20"/>
  <c r="CX262" i="20"/>
  <c r="CX190" i="20"/>
  <c r="CX263" i="20"/>
  <c r="CX188" i="20"/>
  <c r="CX264" i="20"/>
  <c r="CX187" i="20"/>
  <c r="CX265" i="20"/>
  <c r="CX266" i="20"/>
  <c r="CX186" i="20"/>
  <c r="CX267" i="20"/>
  <c r="CX184" i="20"/>
  <c r="CX268" i="20"/>
  <c r="CX269" i="20"/>
  <c r="CX183" i="20"/>
  <c r="CX270" i="20"/>
  <c r="CX182" i="20"/>
  <c r="CX181" i="20"/>
  <c r="CX272" i="20"/>
  <c r="CX180" i="20"/>
  <c r="CX179" i="20"/>
  <c r="CX273" i="20"/>
  <c r="CX274" i="20"/>
  <c r="CX178" i="20"/>
  <c r="CX276" i="20"/>
  <c r="CX277" i="20"/>
  <c r="CX278" i="20"/>
  <c r="CX279" i="20"/>
  <c r="CX280" i="20"/>
  <c r="CX281" i="20"/>
  <c r="CX282" i="20"/>
  <c r="CX284" i="20"/>
  <c r="CX285" i="20"/>
  <c r="CX286" i="20"/>
  <c r="CX287" i="20"/>
  <c r="CX288" i="20"/>
  <c r="CX289" i="20"/>
  <c r="CX290" i="20"/>
  <c r="CX292" i="20"/>
  <c r="CX293" i="20"/>
  <c r="CX294" i="20"/>
  <c r="CX295" i="20"/>
  <c r="CX296" i="20"/>
  <c r="CX297" i="20"/>
  <c r="CX298" i="20"/>
  <c r="CX300" i="20"/>
  <c r="CX301" i="20"/>
  <c r="CX302" i="20"/>
  <c r="CX303" i="20"/>
  <c r="CX304" i="20"/>
  <c r="CX305" i="20"/>
  <c r="CX306" i="20"/>
  <c r="CX308" i="20"/>
  <c r="CX309" i="20"/>
  <c r="CX310" i="20"/>
  <c r="CX311" i="20"/>
  <c r="CX312" i="20"/>
  <c r="CX313" i="20"/>
  <c r="CX314" i="20"/>
  <c r="CX316" i="20"/>
  <c r="CX317" i="20"/>
  <c r="CW319" i="20"/>
  <c r="CO319" i="20"/>
  <c r="CG319" i="20"/>
  <c r="BY319" i="20"/>
  <c r="BQ319" i="20"/>
  <c r="BI319" i="20"/>
  <c r="BA319" i="20"/>
  <c r="AS319" i="20"/>
  <c r="AK319" i="20"/>
  <c r="AC319" i="20"/>
  <c r="U319" i="20"/>
  <c r="M319" i="20"/>
  <c r="CV319" i="20"/>
  <c r="CN319" i="20"/>
  <c r="CF319" i="20"/>
  <c r="BX319" i="20"/>
  <c r="BP319" i="20"/>
  <c r="BH319" i="20"/>
  <c r="AZ319" i="20"/>
  <c r="AR319" i="20"/>
  <c r="AJ319" i="20"/>
  <c r="AB319" i="20"/>
  <c r="T319" i="20"/>
  <c r="L319" i="20"/>
  <c r="CU319" i="20"/>
  <c r="CM319" i="20"/>
  <c r="CE319" i="20"/>
  <c r="BW319" i="20"/>
  <c r="BO319" i="20"/>
  <c r="BG319" i="20"/>
  <c r="AY319" i="20"/>
  <c r="AQ319" i="20"/>
  <c r="AI319" i="20"/>
  <c r="AA319" i="20"/>
  <c r="S319" i="20"/>
  <c r="K319" i="20"/>
  <c r="CT319" i="20"/>
  <c r="CL319" i="20"/>
  <c r="CD319" i="20"/>
  <c r="BV319" i="20"/>
  <c r="BN319" i="20"/>
  <c r="BF319" i="20"/>
  <c r="AX319" i="20"/>
  <c r="AP319" i="20"/>
  <c r="AH319" i="20"/>
  <c r="Z319" i="20"/>
  <c r="R319" i="20"/>
  <c r="J319" i="20"/>
  <c r="CI319" i="20"/>
  <c r="BS319" i="20"/>
  <c r="BC319" i="20"/>
  <c r="AM319" i="20"/>
  <c r="W319" i="20"/>
  <c r="G319" i="20"/>
  <c r="CX319" i="20"/>
  <c r="CH319" i="20"/>
  <c r="BR319" i="20"/>
  <c r="BB319" i="20"/>
  <c r="AL319" i="20"/>
  <c r="V319" i="20"/>
  <c r="CS319" i="20"/>
  <c r="CC319" i="20"/>
  <c r="BM319" i="20"/>
  <c r="AW319" i="20"/>
  <c r="AG319" i="20"/>
  <c r="Q319" i="20"/>
  <c r="CR319" i="20"/>
  <c r="CB319" i="20"/>
  <c r="BL319" i="20"/>
  <c r="AV319" i="20"/>
  <c r="AF319" i="20"/>
  <c r="P319" i="20"/>
  <c r="CA319" i="20"/>
  <c r="AU319" i="20"/>
  <c r="O319" i="20"/>
  <c r="BZ319" i="20"/>
  <c r="AT319" i="20"/>
  <c r="N319" i="20"/>
  <c r="BU319" i="20"/>
  <c r="AO319" i="20"/>
  <c r="I319" i="20"/>
  <c r="BT319" i="20"/>
  <c r="AN319" i="20"/>
  <c r="H319" i="20"/>
  <c r="CP319" i="20"/>
  <c r="AD319" i="20"/>
  <c r="CK319" i="20"/>
  <c r="Y319" i="20"/>
  <c r="CJ319" i="20"/>
  <c r="X319" i="20"/>
  <c r="BK319" i="20"/>
  <c r="BJ319" i="20"/>
  <c r="BD319" i="20"/>
  <c r="CQ319" i="20"/>
  <c r="BE319" i="20"/>
  <c r="AE319" i="20"/>
  <c r="CW311" i="20"/>
  <c r="CW303" i="20"/>
  <c r="CW295" i="20"/>
  <c r="CW287" i="20"/>
  <c r="CW279" i="20"/>
  <c r="CW179" i="20"/>
  <c r="CW269" i="20"/>
  <c r="CW265" i="20"/>
  <c r="CW191" i="20"/>
  <c r="CW257" i="20"/>
  <c r="CW253" i="20"/>
  <c r="CW249" i="20"/>
  <c r="CW207" i="20"/>
  <c r="CW211" i="20"/>
  <c r="CW237" i="20"/>
  <c r="CW219" i="20"/>
  <c r="CW229" i="20"/>
  <c r="CW254" i="20"/>
  <c r="CW250" i="20"/>
  <c r="CW246" i="20"/>
  <c r="CW242" i="20"/>
  <c r="CW214" i="20"/>
  <c r="CW218" i="20"/>
  <c r="CW230" i="20"/>
  <c r="F320" i="20"/>
  <c r="D150" i="20"/>
  <c r="F151" i="20"/>
  <c r="CW312" i="20"/>
  <c r="CW304" i="20"/>
  <c r="CW296" i="20"/>
  <c r="CW288" i="20"/>
  <c r="CW280" i="20"/>
  <c r="CW273" i="20"/>
  <c r="CW183" i="20"/>
  <c r="CW187" i="20"/>
  <c r="CW261" i="20"/>
  <c r="CW195" i="20"/>
  <c r="CW199" i="20"/>
  <c r="CW203" i="20"/>
  <c r="CW245" i="20"/>
  <c r="CW241" i="20"/>
  <c r="CW215" i="20"/>
  <c r="CW233" i="20"/>
  <c r="CW223" i="20"/>
  <c r="CW226" i="20"/>
  <c r="CX7" i="21"/>
  <c r="CW8" i="21"/>
  <c r="CW317" i="20"/>
  <c r="CW310" i="20"/>
  <c r="CW302" i="20"/>
  <c r="CW294" i="20"/>
  <c r="CW286" i="20"/>
  <c r="CW278" i="20"/>
  <c r="CW180" i="20"/>
  <c r="CW184" i="20"/>
  <c r="CW188" i="20"/>
  <c r="CW260" i="20"/>
  <c r="CW256" i="20"/>
  <c r="CW200" i="20"/>
  <c r="CW248" i="20"/>
  <c r="CW244" i="20"/>
  <c r="CW212" i="20"/>
  <c r="CW216" i="20"/>
  <c r="CW220" i="20"/>
  <c r="CW228" i="20"/>
  <c r="CW313" i="20"/>
  <c r="CW305" i="20"/>
  <c r="CW289" i="20"/>
  <c r="CW178" i="20"/>
  <c r="CW266" i="20"/>
  <c r="CW190" i="20"/>
  <c r="CW198" i="20"/>
  <c r="CW202" i="20"/>
  <c r="CW210" i="20"/>
  <c r="CW238" i="20"/>
  <c r="CW234" i="20"/>
  <c r="CW222" i="20"/>
  <c r="CW318" i="20"/>
  <c r="CW309" i="20"/>
  <c r="CW301" i="20"/>
  <c r="CW293" i="20"/>
  <c r="CW285" i="20"/>
  <c r="CW277" i="20"/>
  <c r="CW272" i="20"/>
  <c r="CW268" i="20"/>
  <c r="CW264" i="20"/>
  <c r="CW192" i="20"/>
  <c r="CW196" i="20"/>
  <c r="CW252" i="20"/>
  <c r="CW204" i="20"/>
  <c r="CW208" i="20"/>
  <c r="CW240" i="20"/>
  <c r="CW236" i="20"/>
  <c r="CW232" i="20"/>
  <c r="CW224" i="20"/>
  <c r="CW281" i="20"/>
  <c r="CW316" i="20"/>
  <c r="CW308" i="20"/>
  <c r="CW300" i="20"/>
  <c r="CW292" i="20"/>
  <c r="CW284" i="20"/>
  <c r="CW276" i="20"/>
  <c r="CW271" i="20"/>
  <c r="CW185" i="20"/>
  <c r="CW263" i="20"/>
  <c r="CW193" i="20"/>
  <c r="CW255" i="20"/>
  <c r="CW201" i="20"/>
  <c r="CW205" i="20"/>
  <c r="CW243" i="20"/>
  <c r="CW213" i="20"/>
  <c r="CW235" i="20"/>
  <c r="CW221" i="20"/>
  <c r="F321" i="20" l="1"/>
  <c r="F152" i="20"/>
  <c r="D151" i="20"/>
  <c r="CX315" i="20"/>
  <c r="CX307" i="20"/>
  <c r="CX299" i="20"/>
  <c r="CX291" i="20"/>
  <c r="CX283" i="20"/>
  <c r="CX275" i="20"/>
  <c r="CX271" i="20"/>
  <c r="CX185" i="20"/>
  <c r="CX189" i="20"/>
  <c r="CX259" i="20"/>
  <c r="CX197" i="20"/>
  <c r="CX201" i="20"/>
  <c r="CX205" i="20"/>
  <c r="CX209" i="20"/>
  <c r="CX213" i="20"/>
  <c r="CX217" i="20"/>
  <c r="CX231" i="20"/>
  <c r="CX226" i="20"/>
  <c r="CY7" i="21"/>
  <c r="CX8" i="21"/>
  <c r="CX246" i="20"/>
  <c r="CX210" i="20"/>
  <c r="CX238" i="20"/>
  <c r="CX218" i="20"/>
  <c r="CX222" i="20"/>
  <c r="CX227" i="20"/>
  <c r="D320" i="20"/>
  <c r="E320" i="20" s="1"/>
  <c r="E150" i="20"/>
  <c r="CX320" i="20"/>
  <c r="CP320" i="20"/>
  <c r="CH320" i="20"/>
  <c r="BZ320" i="20"/>
  <c r="BR320" i="20"/>
  <c r="BJ320" i="20"/>
  <c r="BB320" i="20"/>
  <c r="AT320" i="20"/>
  <c r="AL320" i="20"/>
  <c r="AD320" i="20"/>
  <c r="V320" i="20"/>
  <c r="N320" i="20"/>
  <c r="CW320" i="20"/>
  <c r="CO320" i="20"/>
  <c r="CG320" i="20"/>
  <c r="BY320" i="20"/>
  <c r="BQ320" i="20"/>
  <c r="BI320" i="20"/>
  <c r="BA320" i="20"/>
  <c r="AS320" i="20"/>
  <c r="AK320" i="20"/>
  <c r="AC320" i="20"/>
  <c r="U320" i="20"/>
  <c r="M320" i="20"/>
  <c r="CV320" i="20"/>
  <c r="CN320" i="20"/>
  <c r="CF320" i="20"/>
  <c r="BX320" i="20"/>
  <c r="BP320" i="20"/>
  <c r="BH320" i="20"/>
  <c r="AZ320" i="20"/>
  <c r="AR320" i="20"/>
  <c r="AJ320" i="20"/>
  <c r="AB320" i="20"/>
  <c r="T320" i="20"/>
  <c r="L320" i="20"/>
  <c r="CU320" i="20"/>
  <c r="CM320" i="20"/>
  <c r="CE320" i="20"/>
  <c r="BW320" i="20"/>
  <c r="BO320" i="20"/>
  <c r="BG320" i="20"/>
  <c r="AY320" i="20"/>
  <c r="AQ320" i="20"/>
  <c r="AI320" i="20"/>
  <c r="AA320" i="20"/>
  <c r="S320" i="20"/>
  <c r="K320" i="20"/>
  <c r="CR320" i="20"/>
  <c r="CB320" i="20"/>
  <c r="BL320" i="20"/>
  <c r="AV320" i="20"/>
  <c r="AF320" i="20"/>
  <c r="P320" i="20"/>
  <c r="CQ320" i="20"/>
  <c r="CA320" i="20"/>
  <c r="BK320" i="20"/>
  <c r="AU320" i="20"/>
  <c r="AE320" i="20"/>
  <c r="O320" i="20"/>
  <c r="CL320" i="20"/>
  <c r="BV320" i="20"/>
  <c r="BF320" i="20"/>
  <c r="AP320" i="20"/>
  <c r="Z320" i="20"/>
  <c r="J320" i="20"/>
  <c r="CK320" i="20"/>
  <c r="BU320" i="20"/>
  <c r="BE320" i="20"/>
  <c r="AO320" i="20"/>
  <c r="Y320" i="20"/>
  <c r="I320" i="20"/>
  <c r="BT320" i="20"/>
  <c r="AN320" i="20"/>
  <c r="H320" i="20"/>
  <c r="CY320" i="20"/>
  <c r="BS320" i="20"/>
  <c r="AM320" i="20"/>
  <c r="G320" i="20"/>
  <c r="CT320" i="20"/>
  <c r="BN320" i="20"/>
  <c r="AH320" i="20"/>
  <c r="CS320" i="20"/>
  <c r="BM320" i="20"/>
  <c r="AG320" i="20"/>
  <c r="BC320" i="20"/>
  <c r="AX320" i="20"/>
  <c r="AW320" i="20"/>
  <c r="CJ320" i="20"/>
  <c r="X320" i="20"/>
  <c r="CI320" i="20"/>
  <c r="W320" i="20"/>
  <c r="BD320" i="20"/>
  <c r="R320" i="20"/>
  <c r="Q320" i="20"/>
  <c r="CC320" i="20"/>
  <c r="CD320" i="20"/>
  <c r="CX207" i="20"/>
  <c r="CX211" i="20"/>
  <c r="CX215" i="20"/>
  <c r="CX219" i="20"/>
  <c r="CX229" i="20"/>
  <c r="CZ175" i="20"/>
  <c r="CY176" i="20"/>
  <c r="CY319" i="20" s="1"/>
  <c r="CY227" i="20"/>
  <c r="CY225" i="20"/>
  <c r="CY226" i="20"/>
  <c r="CY224" i="20"/>
  <c r="CY228" i="20"/>
  <c r="CY223" i="20"/>
  <c r="CY229" i="20"/>
  <c r="CY222" i="20"/>
  <c r="CY230" i="20"/>
  <c r="CY231" i="20"/>
  <c r="CY221" i="20"/>
  <c r="CY220" i="20"/>
  <c r="CY232" i="20"/>
  <c r="CY219" i="20"/>
  <c r="CY233" i="20"/>
  <c r="CY218" i="20"/>
  <c r="CY234" i="20"/>
  <c r="CY235" i="20"/>
  <c r="CY217" i="20"/>
  <c r="CY236" i="20"/>
  <c r="CY216" i="20"/>
  <c r="CY237" i="20"/>
  <c r="CY215" i="20"/>
  <c r="CY214" i="20"/>
  <c r="CY238" i="20"/>
  <c r="CY213" i="20"/>
  <c r="CY239" i="20"/>
  <c r="CY212" i="20"/>
  <c r="CY240" i="20"/>
  <c r="CY211" i="20"/>
  <c r="CY241" i="20"/>
  <c r="CY242" i="20"/>
  <c r="CY210" i="20"/>
  <c r="CY243" i="20"/>
  <c r="CY209" i="20"/>
  <c r="CY208" i="20"/>
  <c r="CY244" i="20"/>
  <c r="CY245" i="20"/>
  <c r="CY207" i="20"/>
  <c r="CY246" i="20"/>
  <c r="CY206" i="20"/>
  <c r="CY205" i="20"/>
  <c r="CY247" i="20"/>
  <c r="CY204" i="20"/>
  <c r="CY248" i="20"/>
  <c r="CY203" i="20"/>
  <c r="CY249" i="20"/>
  <c r="CY202" i="20"/>
  <c r="CY250" i="20"/>
  <c r="CY251" i="20"/>
  <c r="CY201" i="20"/>
  <c r="CY252" i="20"/>
  <c r="CY200" i="20"/>
  <c r="CY199" i="20"/>
  <c r="CY253" i="20"/>
  <c r="CY254" i="20"/>
  <c r="CY198" i="20"/>
  <c r="CY255" i="20"/>
  <c r="CY197" i="20"/>
  <c r="CY196" i="20"/>
  <c r="CY256" i="20"/>
  <c r="CY257" i="20"/>
  <c r="CY195" i="20"/>
  <c r="CY258" i="20"/>
  <c r="CY194" i="20"/>
  <c r="CY259" i="20"/>
  <c r="CY193" i="20"/>
  <c r="CY260" i="20"/>
  <c r="CY192" i="20"/>
  <c r="CY191" i="20"/>
  <c r="CY261" i="20"/>
  <c r="CY262" i="20"/>
  <c r="CY190" i="20"/>
  <c r="CY189" i="20"/>
  <c r="CY263" i="20"/>
  <c r="CY264" i="20"/>
  <c r="CY188" i="20"/>
  <c r="CY187" i="20"/>
  <c r="CY265" i="20"/>
  <c r="CY266" i="20"/>
  <c r="CY186" i="20"/>
  <c r="CY185" i="20"/>
  <c r="CY267" i="20"/>
  <c r="CY184" i="20"/>
  <c r="CY268" i="20"/>
  <c r="CY269" i="20"/>
  <c r="CY183" i="20"/>
  <c r="CY270" i="20"/>
  <c r="CY182" i="20"/>
  <c r="CY181" i="20"/>
  <c r="CY271" i="20"/>
  <c r="CY272" i="20"/>
  <c r="CY180" i="20"/>
  <c r="CY273" i="20"/>
  <c r="CY179" i="20"/>
  <c r="CY274" i="20"/>
  <c r="CY178" i="20"/>
  <c r="CY275" i="20"/>
  <c r="CY276" i="20"/>
  <c r="CY277" i="20"/>
  <c r="CY278" i="20"/>
  <c r="CY279" i="20"/>
  <c r="CY280" i="20"/>
  <c r="CY281" i="20"/>
  <c r="CY282" i="20"/>
  <c r="CY283" i="20"/>
  <c r="CY284" i="20"/>
  <c r="CY285" i="20"/>
  <c r="CY286" i="20"/>
  <c r="CY287" i="20"/>
  <c r="CY288" i="20"/>
  <c r="CY289" i="20"/>
  <c r="CY290" i="20"/>
  <c r="CY291" i="20"/>
  <c r="CY292" i="20"/>
  <c r="CY293" i="20"/>
  <c r="CY294" i="20"/>
  <c r="CY295" i="20"/>
  <c r="CY296" i="20"/>
  <c r="CY297" i="20"/>
  <c r="CY298" i="20"/>
  <c r="CY299" i="20"/>
  <c r="CY300" i="20"/>
  <c r="CY301" i="20"/>
  <c r="CY302" i="20"/>
  <c r="CY303" i="20"/>
  <c r="CY304" i="20"/>
  <c r="CY305" i="20"/>
  <c r="CY306" i="20"/>
  <c r="CY307" i="20"/>
  <c r="CY308" i="20"/>
  <c r="CY309" i="20"/>
  <c r="CY310" i="20"/>
  <c r="CY311" i="20"/>
  <c r="CY312" i="20"/>
  <c r="CY313" i="20"/>
  <c r="CY314" i="20"/>
  <c r="CY315" i="20"/>
  <c r="CY316" i="20"/>
  <c r="CY317" i="20"/>
  <c r="CY318" i="20"/>
  <c r="CZ320" i="20" l="1"/>
  <c r="CZ7" i="21"/>
  <c r="CY8" i="21"/>
  <c r="CY321" i="20"/>
  <c r="CQ321" i="20"/>
  <c r="CI321" i="20"/>
  <c r="CA321" i="20"/>
  <c r="BS321" i="20"/>
  <c r="BK321" i="20"/>
  <c r="BC321" i="20"/>
  <c r="AU321" i="20"/>
  <c r="AM321" i="20"/>
  <c r="AE321" i="20"/>
  <c r="W321" i="20"/>
  <c r="O321" i="20"/>
  <c r="G321" i="20"/>
  <c r="CX321" i="20"/>
  <c r="CP321" i="20"/>
  <c r="CH321" i="20"/>
  <c r="BZ321" i="20"/>
  <c r="BR321" i="20"/>
  <c r="BJ321" i="20"/>
  <c r="BB321" i="20"/>
  <c r="AT321" i="20"/>
  <c r="AL321" i="20"/>
  <c r="AD321" i="20"/>
  <c r="V321" i="20"/>
  <c r="N321" i="20"/>
  <c r="CW321" i="20"/>
  <c r="CO321" i="20"/>
  <c r="CG321" i="20"/>
  <c r="BY321" i="20"/>
  <c r="BQ321" i="20"/>
  <c r="BI321" i="20"/>
  <c r="BA321" i="20"/>
  <c r="AS321" i="20"/>
  <c r="AK321" i="20"/>
  <c r="AC321" i="20"/>
  <c r="U321" i="20"/>
  <c r="M321" i="20"/>
  <c r="CV321" i="20"/>
  <c r="CN321" i="20"/>
  <c r="CF321" i="20"/>
  <c r="BX321" i="20"/>
  <c r="BP321" i="20"/>
  <c r="BH321" i="20"/>
  <c r="AZ321" i="20"/>
  <c r="AR321" i="20"/>
  <c r="AJ321" i="20"/>
  <c r="AB321" i="20"/>
  <c r="T321" i="20"/>
  <c r="L321" i="20"/>
  <c r="CK321" i="20"/>
  <c r="BU321" i="20"/>
  <c r="BE321" i="20"/>
  <c r="AO321" i="20"/>
  <c r="Y321" i="20"/>
  <c r="I321" i="20"/>
  <c r="CZ321" i="20"/>
  <c r="CJ321" i="20"/>
  <c r="BT321" i="20"/>
  <c r="BD321" i="20"/>
  <c r="AN321" i="20"/>
  <c r="X321" i="20"/>
  <c r="H321" i="20"/>
  <c r="CU321" i="20"/>
  <c r="CE321" i="20"/>
  <c r="BO321" i="20"/>
  <c r="AY321" i="20"/>
  <c r="AI321" i="20"/>
  <c r="S321" i="20"/>
  <c r="CT321" i="20"/>
  <c r="CD321" i="20"/>
  <c r="BN321" i="20"/>
  <c r="AX321" i="20"/>
  <c r="AH321" i="20"/>
  <c r="R321" i="20"/>
  <c r="CS321" i="20"/>
  <c r="BM321" i="20"/>
  <c r="AG321" i="20"/>
  <c r="CR321" i="20"/>
  <c r="BL321" i="20"/>
  <c r="AF321" i="20"/>
  <c r="CM321" i="20"/>
  <c r="BG321" i="20"/>
  <c r="AA321" i="20"/>
  <c r="CL321" i="20"/>
  <c r="BF321" i="20"/>
  <c r="Z321" i="20"/>
  <c r="CB321" i="20"/>
  <c r="P321" i="20"/>
  <c r="BW321" i="20"/>
  <c r="K321" i="20"/>
  <c r="BV321" i="20"/>
  <c r="J321" i="20"/>
  <c r="AW321" i="20"/>
  <c r="AV321" i="20"/>
  <c r="AQ321" i="20"/>
  <c r="CC321" i="20"/>
  <c r="AP321" i="20"/>
  <c r="Q321" i="20"/>
  <c r="F322" i="20"/>
  <c r="F153" i="20"/>
  <c r="D152" i="20"/>
  <c r="DA175" i="20"/>
  <c r="CZ176" i="20"/>
  <c r="CZ224" i="20" s="1"/>
  <c r="CZ225" i="20"/>
  <c r="CZ227" i="20"/>
  <c r="CZ226" i="20"/>
  <c r="CZ228" i="20"/>
  <c r="CZ222" i="20"/>
  <c r="CZ230" i="20"/>
  <c r="CZ221" i="20"/>
  <c r="CZ231" i="20"/>
  <c r="CZ220" i="20"/>
  <c r="CZ234" i="20"/>
  <c r="CZ218" i="20"/>
  <c r="CZ235" i="20"/>
  <c r="CZ217" i="20"/>
  <c r="CZ216" i="20"/>
  <c r="CZ238" i="20"/>
  <c r="CZ214" i="20"/>
  <c r="CZ239" i="20"/>
  <c r="CZ213" i="20"/>
  <c r="CZ240" i="20"/>
  <c r="CZ210" i="20"/>
  <c r="CZ242" i="20"/>
  <c r="CZ209" i="20"/>
  <c r="CZ243" i="20"/>
  <c r="CZ244" i="20"/>
  <c r="CZ206" i="20"/>
  <c r="CZ246" i="20"/>
  <c r="CZ247" i="20"/>
  <c r="CZ205" i="20"/>
  <c r="CZ248" i="20"/>
  <c r="CZ202" i="20"/>
  <c r="CZ250" i="20"/>
  <c r="CZ201" i="20"/>
  <c r="CZ251" i="20"/>
  <c r="CZ200" i="20"/>
  <c r="CZ198" i="20"/>
  <c r="CZ254" i="20"/>
  <c r="CZ255" i="20"/>
  <c r="CZ197" i="20"/>
  <c r="CZ196" i="20"/>
  <c r="CZ194" i="20"/>
  <c r="CZ258" i="20"/>
  <c r="CZ259" i="20"/>
  <c r="CZ193" i="20"/>
  <c r="CZ192" i="20"/>
  <c r="CZ190" i="20"/>
  <c r="CZ262" i="20"/>
  <c r="CZ189" i="20"/>
  <c r="CZ263" i="20"/>
  <c r="CZ264" i="20"/>
  <c r="CZ266" i="20"/>
  <c r="CZ186" i="20"/>
  <c r="CZ185" i="20"/>
  <c r="CZ267" i="20"/>
  <c r="CZ184" i="20"/>
  <c r="CZ270" i="20"/>
  <c r="CZ182" i="20"/>
  <c r="CZ271" i="20"/>
  <c r="CZ181" i="20"/>
  <c r="CZ272" i="20"/>
  <c r="CZ274" i="20"/>
  <c r="CZ178" i="20"/>
  <c r="CZ275" i="20"/>
  <c r="CZ276" i="20"/>
  <c r="CZ277" i="20"/>
  <c r="CZ281" i="20"/>
  <c r="CZ282" i="20"/>
  <c r="CZ283" i="20"/>
  <c r="CZ284" i="20"/>
  <c r="CZ285" i="20"/>
  <c r="CZ289" i="20"/>
  <c r="CZ290" i="20"/>
  <c r="CZ291" i="20"/>
  <c r="CZ292" i="20"/>
  <c r="CZ293" i="20"/>
  <c r="CZ297" i="20"/>
  <c r="CZ298" i="20"/>
  <c r="CZ299" i="20"/>
  <c r="CZ300" i="20"/>
  <c r="CZ301" i="20"/>
  <c r="CZ305" i="20"/>
  <c r="CZ306" i="20"/>
  <c r="CZ307" i="20"/>
  <c r="CZ308" i="20"/>
  <c r="CZ309" i="20"/>
  <c r="CZ313" i="20"/>
  <c r="CZ314" i="20"/>
  <c r="CZ315" i="20"/>
  <c r="CZ316" i="20"/>
  <c r="CZ317" i="20"/>
  <c r="D321" i="20"/>
  <c r="E321" i="20" s="1"/>
  <c r="E151" i="20"/>
  <c r="CU322" i="20" l="1"/>
  <c r="CM322" i="20"/>
  <c r="CE322" i="20"/>
  <c r="BW322" i="20"/>
  <c r="BO322" i="20"/>
  <c r="BG322" i="20"/>
  <c r="AY322" i="20"/>
  <c r="AQ322" i="20"/>
  <c r="AI322" i="20"/>
  <c r="AA322" i="20"/>
  <c r="CT322" i="20"/>
  <c r="CL322" i="20"/>
  <c r="CD322" i="20"/>
  <c r="BV322" i="20"/>
  <c r="BN322" i="20"/>
  <c r="BF322" i="20"/>
  <c r="AX322" i="20"/>
  <c r="AP322" i="20"/>
  <c r="AH322" i="20"/>
  <c r="Z322" i="20"/>
  <c r="R322" i="20"/>
  <c r="CS322" i="20"/>
  <c r="CK322" i="20"/>
  <c r="CC322" i="20"/>
  <c r="BU322" i="20"/>
  <c r="BM322" i="20"/>
  <c r="BE322" i="20"/>
  <c r="AW322" i="20"/>
  <c r="AO322" i="20"/>
  <c r="AG322" i="20"/>
  <c r="Y322" i="20"/>
  <c r="Q322" i="20"/>
  <c r="CZ322" i="20"/>
  <c r="CR322" i="20"/>
  <c r="CJ322" i="20"/>
  <c r="CB322" i="20"/>
  <c r="BT322" i="20"/>
  <c r="BL322" i="20"/>
  <c r="BD322" i="20"/>
  <c r="AV322" i="20"/>
  <c r="AN322" i="20"/>
  <c r="AF322" i="20"/>
  <c r="X322" i="20"/>
  <c r="P322" i="20"/>
  <c r="CQ322" i="20"/>
  <c r="CA322" i="20"/>
  <c r="BK322" i="20"/>
  <c r="AU322" i="20"/>
  <c r="AE322" i="20"/>
  <c r="S322" i="20"/>
  <c r="H322" i="20"/>
  <c r="CP322" i="20"/>
  <c r="BZ322" i="20"/>
  <c r="BJ322" i="20"/>
  <c r="AT322" i="20"/>
  <c r="AD322" i="20"/>
  <c r="O322" i="20"/>
  <c r="G322" i="20"/>
  <c r="CO322" i="20"/>
  <c r="BY322" i="20"/>
  <c r="BI322" i="20"/>
  <c r="AS322" i="20"/>
  <c r="AC322" i="20"/>
  <c r="N322" i="20"/>
  <c r="CN322" i="20"/>
  <c r="BX322" i="20"/>
  <c r="BH322" i="20"/>
  <c r="AR322" i="20"/>
  <c r="AB322" i="20"/>
  <c r="M322" i="20"/>
  <c r="CG322" i="20"/>
  <c r="BA322" i="20"/>
  <c r="U322" i="20"/>
  <c r="CF322" i="20"/>
  <c r="AZ322" i="20"/>
  <c r="T322" i="20"/>
  <c r="CY322" i="20"/>
  <c r="BS322" i="20"/>
  <c r="AM322" i="20"/>
  <c r="L322" i="20"/>
  <c r="CX322" i="20"/>
  <c r="BR322" i="20"/>
  <c r="AL322" i="20"/>
  <c r="K322" i="20"/>
  <c r="CW322" i="20"/>
  <c r="AK322" i="20"/>
  <c r="CV322" i="20"/>
  <c r="AJ322" i="20"/>
  <c r="CI322" i="20"/>
  <c r="W322" i="20"/>
  <c r="CH322" i="20"/>
  <c r="V322" i="20"/>
  <c r="BP322" i="20"/>
  <c r="BC322" i="20"/>
  <c r="BB322" i="20"/>
  <c r="J322" i="20"/>
  <c r="I322" i="20"/>
  <c r="BQ322" i="20"/>
  <c r="DA7" i="21"/>
  <c r="CZ8" i="21"/>
  <c r="CZ312" i="20"/>
  <c r="CZ304" i="20"/>
  <c r="CZ296" i="20"/>
  <c r="CZ288" i="20"/>
  <c r="CZ280" i="20"/>
  <c r="CZ179" i="20"/>
  <c r="CZ269" i="20"/>
  <c r="CZ265" i="20"/>
  <c r="CZ191" i="20"/>
  <c r="CZ257" i="20"/>
  <c r="CZ253" i="20"/>
  <c r="CZ203" i="20"/>
  <c r="CZ207" i="20"/>
  <c r="CZ211" i="20"/>
  <c r="CZ215" i="20"/>
  <c r="CZ219" i="20"/>
  <c r="CZ229" i="20"/>
  <c r="DA176" i="20"/>
  <c r="DA322" i="20" s="1"/>
  <c r="DA225" i="20"/>
  <c r="DB175" i="20"/>
  <c r="DA226" i="20"/>
  <c r="DA227" i="20"/>
  <c r="DA228" i="20"/>
  <c r="DA224" i="20"/>
  <c r="DA223" i="20"/>
  <c r="DA230" i="20"/>
  <c r="DA222" i="20"/>
  <c r="DA231" i="20"/>
  <c r="DA221" i="20"/>
  <c r="DA232" i="20"/>
  <c r="DA220" i="20"/>
  <c r="DA233" i="20"/>
  <c r="DA218" i="20"/>
  <c r="DA234" i="20"/>
  <c r="DA217" i="20"/>
  <c r="DA235" i="20"/>
  <c r="DA236" i="20"/>
  <c r="DA216" i="20"/>
  <c r="DA215" i="20"/>
  <c r="DA214" i="20"/>
  <c r="DA238" i="20"/>
  <c r="DA239" i="20"/>
  <c r="DA213" i="20"/>
  <c r="DA212" i="20"/>
  <c r="DA240" i="20"/>
  <c r="DA241" i="20"/>
  <c r="DA210" i="20"/>
  <c r="DA242" i="20"/>
  <c r="DA243" i="20"/>
  <c r="DA209" i="20"/>
  <c r="DA244" i="20"/>
  <c r="DA208" i="20"/>
  <c r="DA245" i="20"/>
  <c r="DA207" i="20"/>
  <c r="DA206" i="20"/>
  <c r="DA246" i="20"/>
  <c r="DA247" i="20"/>
  <c r="DA205" i="20"/>
  <c r="DA204" i="20"/>
  <c r="DA248" i="20"/>
  <c r="DA249" i="20"/>
  <c r="DA203" i="20"/>
  <c r="DA202" i="20"/>
  <c r="DA250" i="20"/>
  <c r="DA251" i="20"/>
  <c r="DA201" i="20"/>
  <c r="DA252" i="20"/>
  <c r="DA200" i="20"/>
  <c r="DA253" i="20"/>
  <c r="DA199" i="20"/>
  <c r="DA198" i="20"/>
  <c r="DA254" i="20"/>
  <c r="DA197" i="20"/>
  <c r="DA255" i="20"/>
  <c r="DA196" i="20"/>
  <c r="DA256" i="20"/>
  <c r="DA257" i="20"/>
  <c r="DA195" i="20"/>
  <c r="DA194" i="20"/>
  <c r="DA258" i="20"/>
  <c r="DA259" i="20"/>
  <c r="DA193" i="20"/>
  <c r="DA192" i="20"/>
  <c r="DA260" i="20"/>
  <c r="DA261" i="20"/>
  <c r="DA191" i="20"/>
  <c r="DA262" i="20"/>
  <c r="DA190" i="20"/>
  <c r="DA189" i="20"/>
  <c r="DA263" i="20"/>
  <c r="DA188" i="20"/>
  <c r="DA264" i="20"/>
  <c r="DA265" i="20"/>
  <c r="DA187" i="20"/>
  <c r="DA186" i="20"/>
  <c r="DA266" i="20"/>
  <c r="DA267" i="20"/>
  <c r="DA185" i="20"/>
  <c r="DA268" i="20"/>
  <c r="DA184" i="20"/>
  <c r="DA183" i="20"/>
  <c r="DA269" i="20"/>
  <c r="DA182" i="20"/>
  <c r="DA270" i="20"/>
  <c r="DA181" i="20"/>
  <c r="DA271" i="20"/>
  <c r="DA272" i="20"/>
  <c r="DA180" i="20"/>
  <c r="DA179" i="20"/>
  <c r="DA273" i="20"/>
  <c r="DA178" i="20"/>
  <c r="DA274" i="20"/>
  <c r="DA275" i="20"/>
  <c r="DA276" i="20"/>
  <c r="DA277" i="20"/>
  <c r="DA278" i="20"/>
  <c r="DA279" i="20"/>
  <c r="DA280" i="20"/>
  <c r="DA281" i="20"/>
  <c r="DA282" i="20"/>
  <c r="DA283" i="20"/>
  <c r="DA284" i="20"/>
  <c r="DA285" i="20"/>
  <c r="DA286" i="20"/>
  <c r="DA287" i="20"/>
  <c r="DA288" i="20"/>
  <c r="DA289" i="20"/>
  <c r="DA290" i="20"/>
  <c r="DA291" i="20"/>
  <c r="DA292" i="20"/>
  <c r="DA293" i="20"/>
  <c r="DA294" i="20"/>
  <c r="DA295" i="20"/>
  <c r="DA296" i="20"/>
  <c r="DA297" i="20"/>
  <c r="DA298" i="20"/>
  <c r="DA299" i="20"/>
  <c r="DA300" i="20"/>
  <c r="DA301" i="20"/>
  <c r="DA302" i="20"/>
  <c r="DA303" i="20"/>
  <c r="DA304" i="20"/>
  <c r="DA305" i="20"/>
  <c r="DA306" i="20"/>
  <c r="DA307" i="20"/>
  <c r="DA308" i="20"/>
  <c r="DA309" i="20"/>
  <c r="DA310" i="20"/>
  <c r="DA311" i="20"/>
  <c r="DA312" i="20"/>
  <c r="DA313" i="20"/>
  <c r="DA314" i="20"/>
  <c r="DA315" i="20"/>
  <c r="DA316" i="20"/>
  <c r="DA317" i="20"/>
  <c r="DA318" i="20"/>
  <c r="DA319" i="20"/>
  <c r="DA320" i="20"/>
  <c r="DA321" i="20"/>
  <c r="F323" i="20"/>
  <c r="D153" i="20"/>
  <c r="F154" i="20"/>
  <c r="CZ319" i="20"/>
  <c r="CZ311" i="20"/>
  <c r="CZ303" i="20"/>
  <c r="CZ295" i="20"/>
  <c r="CZ287" i="20"/>
  <c r="CZ279" i="20"/>
  <c r="CZ273" i="20"/>
  <c r="CZ183" i="20"/>
  <c r="CZ187" i="20"/>
  <c r="CZ261" i="20"/>
  <c r="CZ195" i="20"/>
  <c r="CZ199" i="20"/>
  <c r="CZ249" i="20"/>
  <c r="CZ245" i="20"/>
  <c r="CZ241" i="20"/>
  <c r="CZ237" i="20"/>
  <c r="CZ233" i="20"/>
  <c r="CZ223" i="20"/>
  <c r="CZ318" i="20"/>
  <c r="CZ310" i="20"/>
  <c r="CZ302" i="20"/>
  <c r="CZ294" i="20"/>
  <c r="CZ286" i="20"/>
  <c r="CZ278" i="20"/>
  <c r="CZ180" i="20"/>
  <c r="CZ268" i="20"/>
  <c r="CZ188" i="20"/>
  <c r="CZ260" i="20"/>
  <c r="CZ256" i="20"/>
  <c r="CZ252" i="20"/>
  <c r="CZ204" i="20"/>
  <c r="CZ208" i="20"/>
  <c r="CZ212" i="20"/>
  <c r="CZ236" i="20"/>
  <c r="CZ232" i="20"/>
  <c r="D322" i="20"/>
  <c r="E322" i="20" s="1"/>
  <c r="E152" i="20"/>
  <c r="DB176" i="20" l="1"/>
  <c r="DB224" i="20" s="1"/>
  <c r="DB226" i="20"/>
  <c r="DC175" i="20"/>
  <c r="DB227" i="20"/>
  <c r="DB225" i="20"/>
  <c r="DB229" i="20"/>
  <c r="DB230" i="20"/>
  <c r="DB222" i="20"/>
  <c r="DB221" i="20"/>
  <c r="DB231" i="20"/>
  <c r="DB233" i="20"/>
  <c r="DB234" i="20"/>
  <c r="DB218" i="20"/>
  <c r="DB217" i="20"/>
  <c r="DB235" i="20"/>
  <c r="DB215" i="20"/>
  <c r="DB238" i="20"/>
  <c r="DB214" i="20"/>
  <c r="DB213" i="20"/>
  <c r="DB239" i="20"/>
  <c r="DB241" i="20"/>
  <c r="DB210" i="20"/>
  <c r="DB242" i="20"/>
  <c r="DB243" i="20"/>
  <c r="DB209" i="20"/>
  <c r="DB207" i="20"/>
  <c r="DB246" i="20"/>
  <c r="DB206" i="20"/>
  <c r="DB247" i="20"/>
  <c r="DB205" i="20"/>
  <c r="DB249" i="20"/>
  <c r="DB250" i="20"/>
  <c r="DB202" i="20"/>
  <c r="DB201" i="20"/>
  <c r="DB251" i="20"/>
  <c r="DB199" i="20"/>
  <c r="DB198" i="20"/>
  <c r="DB254" i="20"/>
  <c r="DB197" i="20"/>
  <c r="DB255" i="20"/>
  <c r="DB195" i="20"/>
  <c r="DB258" i="20"/>
  <c r="DB194" i="20"/>
  <c r="DB193" i="20"/>
  <c r="DB259" i="20"/>
  <c r="DB261" i="20"/>
  <c r="DB190" i="20"/>
  <c r="DB262" i="20"/>
  <c r="DB189" i="20"/>
  <c r="DB263" i="20"/>
  <c r="DB187" i="20"/>
  <c r="DB186" i="20"/>
  <c r="DB266" i="20"/>
  <c r="DB267" i="20"/>
  <c r="DB185" i="20"/>
  <c r="DB269" i="20"/>
  <c r="DB182" i="20"/>
  <c r="DB270" i="20"/>
  <c r="DB271" i="20"/>
  <c r="DB181" i="20"/>
  <c r="DB179" i="20"/>
  <c r="DB178" i="20"/>
  <c r="DB274" i="20"/>
  <c r="DB275" i="20"/>
  <c r="DB276" i="20"/>
  <c r="DB280" i="20"/>
  <c r="DB281" i="20"/>
  <c r="DB282" i="20"/>
  <c r="DB283" i="20"/>
  <c r="DB284" i="20"/>
  <c r="DB288" i="20"/>
  <c r="DB289" i="20"/>
  <c r="DB290" i="20"/>
  <c r="DB291" i="20"/>
  <c r="DB292" i="20"/>
  <c r="DB296" i="20"/>
  <c r="DB297" i="20"/>
  <c r="DB298" i="20"/>
  <c r="DB299" i="20"/>
  <c r="DB300" i="20"/>
  <c r="DB304" i="20"/>
  <c r="DB305" i="20"/>
  <c r="DB306" i="20"/>
  <c r="DB307" i="20"/>
  <c r="DB308" i="20"/>
  <c r="DB312" i="20"/>
  <c r="DB313" i="20"/>
  <c r="DB314" i="20"/>
  <c r="DB315" i="20"/>
  <c r="DB316" i="20"/>
  <c r="DB320" i="20"/>
  <c r="DB321" i="20"/>
  <c r="DA211" i="20"/>
  <c r="DA237" i="20"/>
  <c r="DA219" i="20"/>
  <c r="DA229" i="20"/>
  <c r="DA8" i="21"/>
  <c r="DB7" i="21"/>
  <c r="DB322" i="20"/>
  <c r="F324" i="20"/>
  <c r="F155" i="20"/>
  <c r="D154" i="20"/>
  <c r="CV323" i="20"/>
  <c r="CN323" i="20"/>
  <c r="CF323" i="20"/>
  <c r="BX323" i="20"/>
  <c r="BP323" i="20"/>
  <c r="BH323" i="20"/>
  <c r="AZ323" i="20"/>
  <c r="AR323" i="20"/>
  <c r="AJ323" i="20"/>
  <c r="AB323" i="20"/>
  <c r="T323" i="20"/>
  <c r="L323" i="20"/>
  <c r="CU323" i="20"/>
  <c r="CM323" i="20"/>
  <c r="CE323" i="20"/>
  <c r="BW323" i="20"/>
  <c r="BO323" i="20"/>
  <c r="BG323" i="20"/>
  <c r="AY323" i="20"/>
  <c r="AQ323" i="20"/>
  <c r="AI323" i="20"/>
  <c r="AA323" i="20"/>
  <c r="S323" i="20"/>
  <c r="K323" i="20"/>
  <c r="DB323" i="20"/>
  <c r="CT323" i="20"/>
  <c r="CL323" i="20"/>
  <c r="CD323" i="20"/>
  <c r="BV323" i="20"/>
  <c r="BN323" i="20"/>
  <c r="BF323" i="20"/>
  <c r="AX323" i="20"/>
  <c r="AP323" i="20"/>
  <c r="AH323" i="20"/>
  <c r="Z323" i="20"/>
  <c r="R323" i="20"/>
  <c r="J323" i="20"/>
  <c r="DA323" i="20"/>
  <c r="CS323" i="20"/>
  <c r="CK323" i="20"/>
  <c r="CC323" i="20"/>
  <c r="BU323" i="20"/>
  <c r="BM323" i="20"/>
  <c r="BE323" i="20"/>
  <c r="AW323" i="20"/>
  <c r="AO323" i="20"/>
  <c r="AG323" i="20"/>
  <c r="Y323" i="20"/>
  <c r="Q323" i="20"/>
  <c r="I323" i="20"/>
  <c r="CZ323" i="20"/>
  <c r="CJ323" i="20"/>
  <c r="BT323" i="20"/>
  <c r="BD323" i="20"/>
  <c r="AN323" i="20"/>
  <c r="X323" i="20"/>
  <c r="H323" i="20"/>
  <c r="CY323" i="20"/>
  <c r="CI323" i="20"/>
  <c r="BS323" i="20"/>
  <c r="BC323" i="20"/>
  <c r="AM323" i="20"/>
  <c r="W323" i="20"/>
  <c r="G323" i="20"/>
  <c r="CX323" i="20"/>
  <c r="CH323" i="20"/>
  <c r="BR323" i="20"/>
  <c r="BB323" i="20"/>
  <c r="AL323" i="20"/>
  <c r="V323" i="20"/>
  <c r="CW323" i="20"/>
  <c r="CG323" i="20"/>
  <c r="BQ323" i="20"/>
  <c r="BA323" i="20"/>
  <c r="AK323" i="20"/>
  <c r="U323" i="20"/>
  <c r="BZ323" i="20"/>
  <c r="AT323" i="20"/>
  <c r="N323" i="20"/>
  <c r="BY323" i="20"/>
  <c r="AS323" i="20"/>
  <c r="M323" i="20"/>
  <c r="CR323" i="20"/>
  <c r="BL323" i="20"/>
  <c r="AF323" i="20"/>
  <c r="CQ323" i="20"/>
  <c r="BK323" i="20"/>
  <c r="AE323" i="20"/>
  <c r="BJ323" i="20"/>
  <c r="BI323" i="20"/>
  <c r="AV323" i="20"/>
  <c r="AU323" i="20"/>
  <c r="AC323" i="20"/>
  <c r="P323" i="20"/>
  <c r="O323" i="20"/>
  <c r="CP323" i="20"/>
  <c r="CO323" i="20"/>
  <c r="CB323" i="20"/>
  <c r="CA323" i="20"/>
  <c r="AD323" i="20"/>
  <c r="D323" i="20"/>
  <c r="E323" i="20" s="1"/>
  <c r="E153" i="20"/>
  <c r="DC176" i="20" l="1"/>
  <c r="DC227" i="20" s="1"/>
  <c r="DC226" i="20"/>
  <c r="DD175" i="20"/>
  <c r="DC225" i="20"/>
  <c r="DC229" i="20"/>
  <c r="DC222" i="20"/>
  <c r="DC230" i="20"/>
  <c r="DC231" i="20"/>
  <c r="DC233" i="20"/>
  <c r="DC218" i="20"/>
  <c r="DC234" i="20"/>
  <c r="DC217" i="20"/>
  <c r="DC215" i="20"/>
  <c r="DC238" i="20"/>
  <c r="DC214" i="20"/>
  <c r="DC213" i="20"/>
  <c r="DC241" i="20"/>
  <c r="DC242" i="20"/>
  <c r="DC210" i="20"/>
  <c r="DC243" i="20"/>
  <c r="DC245" i="20"/>
  <c r="DC206" i="20"/>
  <c r="DC246" i="20"/>
  <c r="DC205" i="20"/>
  <c r="DC249" i="20"/>
  <c r="DC202" i="20"/>
  <c r="DC250" i="20"/>
  <c r="DC251" i="20"/>
  <c r="DC253" i="20"/>
  <c r="DC254" i="20"/>
  <c r="DC198" i="20"/>
  <c r="DC197" i="20"/>
  <c r="DC195" i="20"/>
  <c r="DC258" i="20"/>
  <c r="DC194" i="20"/>
  <c r="DC259" i="20"/>
  <c r="DC191" i="20"/>
  <c r="DC190" i="20"/>
  <c r="DC262" i="20"/>
  <c r="DC263" i="20"/>
  <c r="DC187" i="20"/>
  <c r="DC266" i="20"/>
  <c r="DC186" i="20"/>
  <c r="DC185" i="20"/>
  <c r="DC183" i="20"/>
  <c r="DC270" i="20"/>
  <c r="DC182" i="20"/>
  <c r="DC181" i="20"/>
  <c r="DC179" i="20"/>
  <c r="DC274" i="20"/>
  <c r="DC178" i="20"/>
  <c r="DC275" i="20"/>
  <c r="DC280" i="20"/>
  <c r="DC281" i="20"/>
  <c r="DC282" i="20"/>
  <c r="DC283" i="20"/>
  <c r="DC288" i="20"/>
  <c r="DC289" i="20"/>
  <c r="DC290" i="20"/>
  <c r="DC291" i="20"/>
  <c r="DC296" i="20"/>
  <c r="DC297" i="20"/>
  <c r="DC298" i="20"/>
  <c r="DC299" i="20"/>
  <c r="DC304" i="20"/>
  <c r="DC305" i="20"/>
  <c r="DC306" i="20"/>
  <c r="DC307" i="20"/>
  <c r="DC312" i="20"/>
  <c r="DC313" i="20"/>
  <c r="DC314" i="20"/>
  <c r="DC315" i="20"/>
  <c r="DC320" i="20"/>
  <c r="DC321" i="20"/>
  <c r="DC322" i="20"/>
  <c r="DC323" i="20"/>
  <c r="CW324" i="20"/>
  <c r="CO324" i="20"/>
  <c r="CG324" i="20"/>
  <c r="BY324" i="20"/>
  <c r="BQ324" i="20"/>
  <c r="BI324" i="20"/>
  <c r="BA324" i="20"/>
  <c r="AS324" i="20"/>
  <c r="AK324" i="20"/>
  <c r="AC324" i="20"/>
  <c r="U324" i="20"/>
  <c r="M324" i="20"/>
  <c r="CV324" i="20"/>
  <c r="CN324" i="20"/>
  <c r="CF324" i="20"/>
  <c r="BX324" i="20"/>
  <c r="BP324" i="20"/>
  <c r="BH324" i="20"/>
  <c r="AZ324" i="20"/>
  <c r="AR324" i="20"/>
  <c r="AJ324" i="20"/>
  <c r="AB324" i="20"/>
  <c r="T324" i="20"/>
  <c r="L324" i="20"/>
  <c r="DC324" i="20"/>
  <c r="CU324" i="20"/>
  <c r="CM324" i="20"/>
  <c r="CE324" i="20"/>
  <c r="BW324" i="20"/>
  <c r="BO324" i="20"/>
  <c r="BG324" i="20"/>
  <c r="AY324" i="20"/>
  <c r="AQ324" i="20"/>
  <c r="AI324" i="20"/>
  <c r="AA324" i="20"/>
  <c r="S324" i="20"/>
  <c r="K324" i="20"/>
  <c r="DB324" i="20"/>
  <c r="CT324" i="20"/>
  <c r="CL324" i="20"/>
  <c r="CD324" i="20"/>
  <c r="BV324" i="20"/>
  <c r="BN324" i="20"/>
  <c r="BF324" i="20"/>
  <c r="AX324" i="20"/>
  <c r="AP324" i="20"/>
  <c r="AH324" i="20"/>
  <c r="Z324" i="20"/>
  <c r="R324" i="20"/>
  <c r="J324" i="20"/>
  <c r="CS324" i="20"/>
  <c r="CC324" i="20"/>
  <c r="BM324" i="20"/>
  <c r="AW324" i="20"/>
  <c r="AG324" i="20"/>
  <c r="Q324" i="20"/>
  <c r="CR324" i="20"/>
  <c r="CB324" i="20"/>
  <c r="BL324" i="20"/>
  <c r="AV324" i="20"/>
  <c r="AF324" i="20"/>
  <c r="P324" i="20"/>
  <c r="CQ324" i="20"/>
  <c r="CA324" i="20"/>
  <c r="BK324" i="20"/>
  <c r="AU324" i="20"/>
  <c r="AE324" i="20"/>
  <c r="O324" i="20"/>
  <c r="CP324" i="20"/>
  <c r="BZ324" i="20"/>
  <c r="BJ324" i="20"/>
  <c r="AT324" i="20"/>
  <c r="AD324" i="20"/>
  <c r="N324" i="20"/>
  <c r="CY324" i="20"/>
  <c r="BS324" i="20"/>
  <c r="AM324" i="20"/>
  <c r="G324" i="20"/>
  <c r="CX324" i="20"/>
  <c r="BR324" i="20"/>
  <c r="AL324" i="20"/>
  <c r="CK324" i="20"/>
  <c r="BE324" i="20"/>
  <c r="Y324" i="20"/>
  <c r="CJ324" i="20"/>
  <c r="BD324" i="20"/>
  <c r="X324" i="20"/>
  <c r="CI324" i="20"/>
  <c r="W324" i="20"/>
  <c r="CH324" i="20"/>
  <c r="V324" i="20"/>
  <c r="BU324" i="20"/>
  <c r="I324" i="20"/>
  <c r="BT324" i="20"/>
  <c r="H324" i="20"/>
  <c r="DA324" i="20"/>
  <c r="CZ324" i="20"/>
  <c r="BC324" i="20"/>
  <c r="BB324" i="20"/>
  <c r="AO324" i="20"/>
  <c r="AN324" i="20"/>
  <c r="F325" i="20"/>
  <c r="D155" i="20"/>
  <c r="F156" i="20"/>
  <c r="DB8" i="21"/>
  <c r="DC7" i="21"/>
  <c r="DB319" i="20"/>
  <c r="DB311" i="20"/>
  <c r="DB303" i="20"/>
  <c r="DB295" i="20"/>
  <c r="DB287" i="20"/>
  <c r="DB279" i="20"/>
  <c r="DB273" i="20"/>
  <c r="DB183" i="20"/>
  <c r="DB265" i="20"/>
  <c r="DB191" i="20"/>
  <c r="DB257" i="20"/>
  <c r="DB253" i="20"/>
  <c r="DB203" i="20"/>
  <c r="DB245" i="20"/>
  <c r="DB211" i="20"/>
  <c r="DB237" i="20"/>
  <c r="DB219" i="20"/>
  <c r="DB223" i="20"/>
  <c r="D324" i="20"/>
  <c r="E324" i="20" s="1"/>
  <c r="E154" i="20"/>
  <c r="DB318" i="20"/>
  <c r="DB310" i="20"/>
  <c r="DB302" i="20"/>
  <c r="DB294" i="20"/>
  <c r="DB286" i="20"/>
  <c r="DB278" i="20"/>
  <c r="DB272" i="20"/>
  <c r="DB268" i="20"/>
  <c r="DB264" i="20"/>
  <c r="DB192" i="20"/>
  <c r="DB256" i="20"/>
  <c r="DB200" i="20"/>
  <c r="DB204" i="20"/>
  <c r="DB244" i="20"/>
  <c r="DB240" i="20"/>
  <c r="DB216" i="20"/>
  <c r="DB220" i="20"/>
  <c r="DB228" i="20"/>
  <c r="DB317" i="20"/>
  <c r="DB309" i="20"/>
  <c r="DB301" i="20"/>
  <c r="DB293" i="20"/>
  <c r="DB285" i="20"/>
  <c r="DB277" i="20"/>
  <c r="DB180" i="20"/>
  <c r="DB184" i="20"/>
  <c r="DB188" i="20"/>
  <c r="DB260" i="20"/>
  <c r="DB196" i="20"/>
  <c r="DB252" i="20"/>
  <c r="DB248" i="20"/>
  <c r="DB208" i="20"/>
  <c r="DB212" i="20"/>
  <c r="DB236" i="20"/>
  <c r="DB232" i="20"/>
  <c r="DC319" i="20" l="1"/>
  <c r="DC311" i="20"/>
  <c r="DC303" i="20"/>
  <c r="DC295" i="20"/>
  <c r="DC287" i="20"/>
  <c r="DC279" i="20"/>
  <c r="DC273" i="20"/>
  <c r="DC269" i="20"/>
  <c r="DC265" i="20"/>
  <c r="DC261" i="20"/>
  <c r="DC257" i="20"/>
  <c r="DC199" i="20"/>
  <c r="DC203" i="20"/>
  <c r="DC207" i="20"/>
  <c r="DC211" i="20"/>
  <c r="DC237" i="20"/>
  <c r="DC219" i="20"/>
  <c r="DC223" i="20"/>
  <c r="DD176" i="20"/>
  <c r="DD227" i="20" s="1"/>
  <c r="DE175" i="20"/>
  <c r="DD226" i="20"/>
  <c r="DD223" i="20"/>
  <c r="DD230" i="20"/>
  <c r="DD222" i="20"/>
  <c r="DD233" i="20"/>
  <c r="DD218" i="20"/>
  <c r="DD234" i="20"/>
  <c r="DD237" i="20"/>
  <c r="DD238" i="20"/>
  <c r="DD214" i="20"/>
  <c r="DD241" i="20"/>
  <c r="DD242" i="20"/>
  <c r="DD210" i="20"/>
  <c r="DD245" i="20"/>
  <c r="DD246" i="20"/>
  <c r="DD206" i="20"/>
  <c r="DD203" i="20"/>
  <c r="DD250" i="20"/>
  <c r="DD202" i="20"/>
  <c r="DD253" i="20"/>
  <c r="DD198" i="20"/>
  <c r="DD254" i="20"/>
  <c r="DD195" i="20"/>
  <c r="DD194" i="20"/>
  <c r="DD258" i="20"/>
  <c r="DD191" i="20"/>
  <c r="DD262" i="20"/>
  <c r="DD190" i="20"/>
  <c r="DD187" i="20"/>
  <c r="DD266" i="20"/>
  <c r="DD186" i="20"/>
  <c r="DD183" i="20"/>
  <c r="DD182" i="20"/>
  <c r="DD270" i="20"/>
  <c r="DD179" i="20"/>
  <c r="DD274" i="20"/>
  <c r="DD178" i="20"/>
  <c r="DD280" i="20"/>
  <c r="DD281" i="20"/>
  <c r="DD282" i="20"/>
  <c r="DD288" i="20"/>
  <c r="DD289" i="20"/>
  <c r="DD290" i="20"/>
  <c r="DD296" i="20"/>
  <c r="DD297" i="20"/>
  <c r="DD298" i="20"/>
  <c r="DD304" i="20"/>
  <c r="DD305" i="20"/>
  <c r="DD306" i="20"/>
  <c r="DD312" i="20"/>
  <c r="DD313" i="20"/>
  <c r="DD314" i="20"/>
  <c r="DD320" i="20"/>
  <c r="DD321" i="20"/>
  <c r="DD322" i="20"/>
  <c r="DC318" i="20"/>
  <c r="DC310" i="20"/>
  <c r="DC302" i="20"/>
  <c r="DC294" i="20"/>
  <c r="DC286" i="20"/>
  <c r="DC278" i="20"/>
  <c r="DC180" i="20"/>
  <c r="DC184" i="20"/>
  <c r="DC188" i="20"/>
  <c r="DC260" i="20"/>
  <c r="DC256" i="20"/>
  <c r="DC252" i="20"/>
  <c r="DC204" i="20"/>
  <c r="DC244" i="20"/>
  <c r="DC212" i="20"/>
  <c r="DC236" i="20"/>
  <c r="DC220" i="20"/>
  <c r="DC228" i="20"/>
  <c r="CX325" i="20"/>
  <c r="CP325" i="20"/>
  <c r="CH325" i="20"/>
  <c r="BZ325" i="20"/>
  <c r="BR325" i="20"/>
  <c r="BJ325" i="20"/>
  <c r="BB325" i="20"/>
  <c r="AT325" i="20"/>
  <c r="AL325" i="20"/>
  <c r="AD325" i="20"/>
  <c r="V325" i="20"/>
  <c r="N325" i="20"/>
  <c r="CW325" i="20"/>
  <c r="CO325" i="20"/>
  <c r="CG325" i="20"/>
  <c r="BY325" i="20"/>
  <c r="BQ325" i="20"/>
  <c r="BI325" i="20"/>
  <c r="BA325" i="20"/>
  <c r="AS325" i="20"/>
  <c r="AK325" i="20"/>
  <c r="AC325" i="20"/>
  <c r="U325" i="20"/>
  <c r="M325" i="20"/>
  <c r="CV325" i="20"/>
  <c r="CN325" i="20"/>
  <c r="CF325" i="20"/>
  <c r="BX325" i="20"/>
  <c r="BP325" i="20"/>
  <c r="BH325" i="20"/>
  <c r="AZ325" i="20"/>
  <c r="AR325" i="20"/>
  <c r="AJ325" i="20"/>
  <c r="AB325" i="20"/>
  <c r="T325" i="20"/>
  <c r="L325" i="20"/>
  <c r="DC325" i="20"/>
  <c r="CU325" i="20"/>
  <c r="CM325" i="20"/>
  <c r="CE325" i="20"/>
  <c r="BW325" i="20"/>
  <c r="BO325" i="20"/>
  <c r="BG325" i="20"/>
  <c r="AY325" i="20"/>
  <c r="AQ325" i="20"/>
  <c r="AI325" i="20"/>
  <c r="AA325" i="20"/>
  <c r="S325" i="20"/>
  <c r="K325" i="20"/>
  <c r="DB325" i="20"/>
  <c r="CL325" i="20"/>
  <c r="BV325" i="20"/>
  <c r="BF325" i="20"/>
  <c r="AP325" i="20"/>
  <c r="Z325" i="20"/>
  <c r="J325" i="20"/>
  <c r="DA325" i="20"/>
  <c r="CK325" i="20"/>
  <c r="BU325" i="20"/>
  <c r="BE325" i="20"/>
  <c r="AO325" i="20"/>
  <c r="Y325" i="20"/>
  <c r="I325" i="20"/>
  <c r="CZ325" i="20"/>
  <c r="CJ325" i="20"/>
  <c r="BT325" i="20"/>
  <c r="BD325" i="20"/>
  <c r="AN325" i="20"/>
  <c r="X325" i="20"/>
  <c r="H325" i="20"/>
  <c r="CY325" i="20"/>
  <c r="CI325" i="20"/>
  <c r="BS325" i="20"/>
  <c r="BC325" i="20"/>
  <c r="AM325" i="20"/>
  <c r="W325" i="20"/>
  <c r="G325" i="20"/>
  <c r="CR325" i="20"/>
  <c r="BL325" i="20"/>
  <c r="AF325" i="20"/>
  <c r="CQ325" i="20"/>
  <c r="BK325" i="20"/>
  <c r="AE325" i="20"/>
  <c r="CD325" i="20"/>
  <c r="AX325" i="20"/>
  <c r="R325" i="20"/>
  <c r="CC325" i="20"/>
  <c r="AW325" i="20"/>
  <c r="Q325" i="20"/>
  <c r="AV325" i="20"/>
  <c r="AU325" i="20"/>
  <c r="CT325" i="20"/>
  <c r="AH325" i="20"/>
  <c r="CS325" i="20"/>
  <c r="AG325" i="20"/>
  <c r="CA325" i="20"/>
  <c r="BN325" i="20"/>
  <c r="BM325" i="20"/>
  <c r="P325" i="20"/>
  <c r="O325" i="20"/>
  <c r="CB325" i="20"/>
  <c r="F326" i="20"/>
  <c r="D156" i="20"/>
  <c r="F157" i="20"/>
  <c r="DC317" i="20"/>
  <c r="DC309" i="20"/>
  <c r="DC301" i="20"/>
  <c r="DC293" i="20"/>
  <c r="DC285" i="20"/>
  <c r="DC277" i="20"/>
  <c r="DC272" i="20"/>
  <c r="DC268" i="20"/>
  <c r="DC264" i="20"/>
  <c r="DC192" i="20"/>
  <c r="DC196" i="20"/>
  <c r="DC200" i="20"/>
  <c r="DC248" i="20"/>
  <c r="DC208" i="20"/>
  <c r="DC240" i="20"/>
  <c r="DC216" i="20"/>
  <c r="DC232" i="20"/>
  <c r="DC224" i="20"/>
  <c r="DC8" i="21"/>
  <c r="DD7" i="21"/>
  <c r="D325" i="20"/>
  <c r="E325" i="20" s="1"/>
  <c r="E155" i="20"/>
  <c r="DC316" i="20"/>
  <c r="DC308" i="20"/>
  <c r="DC300" i="20"/>
  <c r="DC292" i="20"/>
  <c r="DC284" i="20"/>
  <c r="DC276" i="20"/>
  <c r="DC271" i="20"/>
  <c r="DC267" i="20"/>
  <c r="DC189" i="20"/>
  <c r="DC193" i="20"/>
  <c r="DC255" i="20"/>
  <c r="DC201" i="20"/>
  <c r="DC247" i="20"/>
  <c r="DC209" i="20"/>
  <c r="DC239" i="20"/>
  <c r="DC235" i="20"/>
  <c r="DC221" i="20"/>
  <c r="DF175" i="20" l="1"/>
  <c r="DE226" i="20"/>
  <c r="DE176" i="20"/>
  <c r="DE225" i="20" s="1"/>
  <c r="DE227" i="20"/>
  <c r="DE224" i="20"/>
  <c r="DE223" i="20"/>
  <c r="DE229" i="20"/>
  <c r="DE222" i="20"/>
  <c r="DE230" i="20"/>
  <c r="DE221" i="20"/>
  <c r="DE232" i="20"/>
  <c r="DE219" i="20"/>
  <c r="DE233" i="20"/>
  <c r="DE234" i="20"/>
  <c r="DE218" i="20"/>
  <c r="DE217" i="20"/>
  <c r="DE216" i="20"/>
  <c r="DE215" i="20"/>
  <c r="DE237" i="20"/>
  <c r="DE238" i="20"/>
  <c r="DE214" i="20"/>
  <c r="DE239" i="20"/>
  <c r="DE212" i="20"/>
  <c r="DE241" i="20"/>
  <c r="DE211" i="20"/>
  <c r="DE242" i="20"/>
  <c r="DE210" i="20"/>
  <c r="DE243" i="20"/>
  <c r="DE208" i="20"/>
  <c r="DE207" i="20"/>
  <c r="DE245" i="20"/>
  <c r="DE206" i="20"/>
  <c r="DE246" i="20"/>
  <c r="DE205" i="20"/>
  <c r="DE204" i="20"/>
  <c r="DE249" i="20"/>
  <c r="DE203" i="20"/>
  <c r="DE250" i="20"/>
  <c r="DE202" i="20"/>
  <c r="DE201" i="20"/>
  <c r="DE252" i="20"/>
  <c r="DE253" i="20"/>
  <c r="DE199" i="20"/>
  <c r="DE198" i="20"/>
  <c r="DE254" i="20"/>
  <c r="DE255" i="20"/>
  <c r="DE197" i="20"/>
  <c r="DE196" i="20"/>
  <c r="DE256" i="20"/>
  <c r="DE257" i="20"/>
  <c r="DE195" i="20"/>
  <c r="DE258" i="20"/>
  <c r="DE194" i="20"/>
  <c r="DE259" i="20"/>
  <c r="DE193" i="20"/>
  <c r="DE260" i="20"/>
  <c r="DE192" i="20"/>
  <c r="DE191" i="20"/>
  <c r="DE261" i="20"/>
  <c r="DE190" i="20"/>
  <c r="DE262" i="20"/>
  <c r="DE189" i="20"/>
  <c r="DE263" i="20"/>
  <c r="DE264" i="20"/>
  <c r="DE188" i="20"/>
  <c r="DE187" i="20"/>
  <c r="DE265" i="20"/>
  <c r="DE266" i="20"/>
  <c r="DE186" i="20"/>
  <c r="DE185" i="20"/>
  <c r="DE267" i="20"/>
  <c r="DE184" i="20"/>
  <c r="DE268" i="20"/>
  <c r="DE183" i="20"/>
  <c r="DE269" i="20"/>
  <c r="DE182" i="20"/>
  <c r="DE270" i="20"/>
  <c r="DE181" i="20"/>
  <c r="DE271" i="20"/>
  <c r="DE180" i="20"/>
  <c r="DE272" i="20"/>
  <c r="DE273" i="20"/>
  <c r="DE179" i="20"/>
  <c r="DE274" i="20"/>
  <c r="DE178" i="20"/>
  <c r="DE275" i="20"/>
  <c r="DE276" i="20"/>
  <c r="DE277" i="20"/>
  <c r="DE278" i="20"/>
  <c r="DE279" i="20"/>
  <c r="DE280" i="20"/>
  <c r="DE281" i="20"/>
  <c r="DE282" i="20"/>
  <c r="DE283" i="20"/>
  <c r="DE284" i="20"/>
  <c r="DE285" i="20"/>
  <c r="DE286" i="20"/>
  <c r="DE287" i="20"/>
  <c r="DE288" i="20"/>
  <c r="DE289" i="20"/>
  <c r="DE290" i="20"/>
  <c r="DE291" i="20"/>
  <c r="DE292" i="20"/>
  <c r="DE293" i="20"/>
  <c r="DE294" i="20"/>
  <c r="DE295" i="20"/>
  <c r="DE296" i="20"/>
  <c r="DE297" i="20"/>
  <c r="DE298" i="20"/>
  <c r="DE299" i="20"/>
  <c r="DE300" i="20"/>
  <c r="DE301" i="20"/>
  <c r="DE302" i="20"/>
  <c r="DE303" i="20"/>
  <c r="DE304" i="20"/>
  <c r="DE305" i="20"/>
  <c r="DE306" i="20"/>
  <c r="DE307" i="20"/>
  <c r="DE308" i="20"/>
  <c r="DE309" i="20"/>
  <c r="DE310" i="20"/>
  <c r="DE311" i="20"/>
  <c r="DE312" i="20"/>
  <c r="DE313" i="20"/>
  <c r="DE314" i="20"/>
  <c r="DE315" i="20"/>
  <c r="DE316" i="20"/>
  <c r="DE317" i="20"/>
  <c r="DE318" i="20"/>
  <c r="DE319" i="20"/>
  <c r="DE320" i="20"/>
  <c r="DE321" i="20"/>
  <c r="DE322" i="20"/>
  <c r="DE323" i="20"/>
  <c r="DE324" i="20"/>
  <c r="DD273" i="20"/>
  <c r="DD324" i="20"/>
  <c r="DD318" i="20"/>
  <c r="DD310" i="20"/>
  <c r="DD302" i="20"/>
  <c r="DD294" i="20"/>
  <c r="DD286" i="20"/>
  <c r="DD278" i="20"/>
  <c r="DD272" i="20"/>
  <c r="DD184" i="20"/>
  <c r="DD188" i="20"/>
  <c r="DD260" i="20"/>
  <c r="DD196" i="20"/>
  <c r="DD200" i="20"/>
  <c r="DD204" i="20"/>
  <c r="DD208" i="20"/>
  <c r="DD212" i="20"/>
  <c r="DD216" i="20"/>
  <c r="DD220" i="20"/>
  <c r="DD228" i="20"/>
  <c r="F327" i="20"/>
  <c r="F158" i="20"/>
  <c r="D157" i="20"/>
  <c r="DD325" i="20"/>
  <c r="DD319" i="20"/>
  <c r="DD303" i="20"/>
  <c r="DD287" i="20"/>
  <c r="DD269" i="20"/>
  <c r="DD261" i="20"/>
  <c r="DD199" i="20"/>
  <c r="DD207" i="20"/>
  <c r="DD215" i="20"/>
  <c r="DD229" i="20"/>
  <c r="CY326" i="20"/>
  <c r="CQ326" i="20"/>
  <c r="CI326" i="20"/>
  <c r="CA326" i="20"/>
  <c r="BS326" i="20"/>
  <c r="BK326" i="20"/>
  <c r="BC326" i="20"/>
  <c r="AU326" i="20"/>
  <c r="AM326" i="20"/>
  <c r="AE326" i="20"/>
  <c r="W326" i="20"/>
  <c r="O326" i="20"/>
  <c r="G326" i="20"/>
  <c r="CX326" i="20"/>
  <c r="CP326" i="20"/>
  <c r="CH326" i="20"/>
  <c r="BZ326" i="20"/>
  <c r="BR326" i="20"/>
  <c r="BJ326" i="20"/>
  <c r="BB326" i="20"/>
  <c r="AT326" i="20"/>
  <c r="AL326" i="20"/>
  <c r="AD326" i="20"/>
  <c r="V326" i="20"/>
  <c r="N326" i="20"/>
  <c r="DE326" i="20"/>
  <c r="CW326" i="20"/>
  <c r="CO326" i="20"/>
  <c r="CG326" i="20"/>
  <c r="BY326" i="20"/>
  <c r="BQ326" i="20"/>
  <c r="BI326" i="20"/>
  <c r="BA326" i="20"/>
  <c r="AS326" i="20"/>
  <c r="AK326" i="20"/>
  <c r="AC326" i="20"/>
  <c r="U326" i="20"/>
  <c r="M326" i="20"/>
  <c r="DD326" i="20"/>
  <c r="CV326" i="20"/>
  <c r="CN326" i="20"/>
  <c r="CF326" i="20"/>
  <c r="BX326" i="20"/>
  <c r="BP326" i="20"/>
  <c r="BH326" i="20"/>
  <c r="AZ326" i="20"/>
  <c r="AR326" i="20"/>
  <c r="AJ326" i="20"/>
  <c r="AB326" i="20"/>
  <c r="T326" i="20"/>
  <c r="L326" i="20"/>
  <c r="CU326" i="20"/>
  <c r="CE326" i="20"/>
  <c r="BO326" i="20"/>
  <c r="AY326" i="20"/>
  <c r="AI326" i="20"/>
  <c r="S326" i="20"/>
  <c r="CT326" i="20"/>
  <c r="CD326" i="20"/>
  <c r="BN326" i="20"/>
  <c r="AX326" i="20"/>
  <c r="AH326" i="20"/>
  <c r="R326" i="20"/>
  <c r="CS326" i="20"/>
  <c r="CC326" i="20"/>
  <c r="BM326" i="20"/>
  <c r="AW326" i="20"/>
  <c r="AG326" i="20"/>
  <c r="Q326" i="20"/>
  <c r="CR326" i="20"/>
  <c r="CB326" i="20"/>
  <c r="BL326" i="20"/>
  <c r="AV326" i="20"/>
  <c r="AF326" i="20"/>
  <c r="P326" i="20"/>
  <c r="CK326" i="20"/>
  <c r="BE326" i="20"/>
  <c r="Y326" i="20"/>
  <c r="CJ326" i="20"/>
  <c r="BD326" i="20"/>
  <c r="X326" i="20"/>
  <c r="DC326" i="20"/>
  <c r="BW326" i="20"/>
  <c r="AQ326" i="20"/>
  <c r="K326" i="20"/>
  <c r="DB326" i="20"/>
  <c r="BV326" i="20"/>
  <c r="AP326" i="20"/>
  <c r="J326" i="20"/>
  <c r="BU326" i="20"/>
  <c r="I326" i="20"/>
  <c r="BT326" i="20"/>
  <c r="H326" i="20"/>
  <c r="BG326" i="20"/>
  <c r="BF326" i="20"/>
  <c r="AN326" i="20"/>
  <c r="AA326" i="20"/>
  <c r="Z326" i="20"/>
  <c r="DA326" i="20"/>
  <c r="CZ326" i="20"/>
  <c r="CM326" i="20"/>
  <c r="CL326" i="20"/>
  <c r="AO326" i="20"/>
  <c r="DE7" i="21"/>
  <c r="DD8" i="21"/>
  <c r="DD317" i="20"/>
  <c r="DD309" i="20"/>
  <c r="DD301" i="20"/>
  <c r="DD293" i="20"/>
  <c r="DD285" i="20"/>
  <c r="DD277" i="20"/>
  <c r="DD180" i="20"/>
  <c r="DD268" i="20"/>
  <c r="DD264" i="20"/>
  <c r="DD192" i="20"/>
  <c r="DD256" i="20"/>
  <c r="DD252" i="20"/>
  <c r="DD248" i="20"/>
  <c r="DD244" i="20"/>
  <c r="DD240" i="20"/>
  <c r="DD236" i="20"/>
  <c r="DD232" i="20"/>
  <c r="DD224" i="20"/>
  <c r="DD316" i="20"/>
  <c r="DD308" i="20"/>
  <c r="DD300" i="20"/>
  <c r="DD292" i="20"/>
  <c r="DD284" i="20"/>
  <c r="DD276" i="20"/>
  <c r="DD181" i="20"/>
  <c r="DD267" i="20"/>
  <c r="DD263" i="20"/>
  <c r="DD193" i="20"/>
  <c r="DD255" i="20"/>
  <c r="DD251" i="20"/>
  <c r="DD205" i="20"/>
  <c r="DD243" i="20"/>
  <c r="DD239" i="20"/>
  <c r="DD217" i="20"/>
  <c r="DD231" i="20"/>
  <c r="DD225" i="20"/>
  <c r="D326" i="20"/>
  <c r="E326" i="20" s="1"/>
  <c r="E156" i="20"/>
  <c r="DD311" i="20"/>
  <c r="DD295" i="20"/>
  <c r="DD279" i="20"/>
  <c r="DD265" i="20"/>
  <c r="DD257" i="20"/>
  <c r="DD249" i="20"/>
  <c r="DD211" i="20"/>
  <c r="DD219" i="20"/>
  <c r="DE325" i="20"/>
  <c r="DD323" i="20"/>
  <c r="DD315" i="20"/>
  <c r="DD307" i="20"/>
  <c r="DD299" i="20"/>
  <c r="DD291" i="20"/>
  <c r="DD283" i="20"/>
  <c r="DD275" i="20"/>
  <c r="DD271" i="20"/>
  <c r="DD185" i="20"/>
  <c r="DD189" i="20"/>
  <c r="DD259" i="20"/>
  <c r="DD197" i="20"/>
  <c r="DD201" i="20"/>
  <c r="DD247" i="20"/>
  <c r="DD209" i="20"/>
  <c r="DD213" i="20"/>
  <c r="DD235" i="20"/>
  <c r="DD221" i="20"/>
  <c r="DF326" i="20" l="1"/>
  <c r="D327" i="20"/>
  <c r="E327" i="20" s="1"/>
  <c r="E157" i="20"/>
  <c r="DE200" i="20"/>
  <c r="DE248" i="20"/>
  <c r="DE244" i="20"/>
  <c r="DE240" i="20"/>
  <c r="DE236" i="20"/>
  <c r="DE220" i="20"/>
  <c r="DE228" i="20"/>
  <c r="DF7" i="21"/>
  <c r="DE8" i="21"/>
  <c r="F328" i="20"/>
  <c r="D158" i="20"/>
  <c r="F159" i="20"/>
  <c r="CZ327" i="20"/>
  <c r="CR327" i="20"/>
  <c r="CJ327" i="20"/>
  <c r="CB327" i="20"/>
  <c r="BT327" i="20"/>
  <c r="BL327" i="20"/>
  <c r="BD327" i="20"/>
  <c r="AV327" i="20"/>
  <c r="AN327" i="20"/>
  <c r="AF327" i="20"/>
  <c r="X327" i="20"/>
  <c r="P327" i="20"/>
  <c r="H327" i="20"/>
  <c r="CY327" i="20"/>
  <c r="CQ327" i="20"/>
  <c r="CI327" i="20"/>
  <c r="CA327" i="20"/>
  <c r="BS327" i="20"/>
  <c r="BK327" i="20"/>
  <c r="BC327" i="20"/>
  <c r="AU327" i="20"/>
  <c r="AM327" i="20"/>
  <c r="AE327" i="20"/>
  <c r="W327" i="20"/>
  <c r="O327" i="20"/>
  <c r="G327" i="20"/>
  <c r="DF327" i="20"/>
  <c r="CX327" i="20"/>
  <c r="CP327" i="20"/>
  <c r="CH327" i="20"/>
  <c r="BZ327" i="20"/>
  <c r="BR327" i="20"/>
  <c r="BJ327" i="20"/>
  <c r="BB327" i="20"/>
  <c r="AT327" i="20"/>
  <c r="AL327" i="20"/>
  <c r="AD327" i="20"/>
  <c r="V327" i="20"/>
  <c r="N327" i="20"/>
  <c r="DE327" i="20"/>
  <c r="CW327" i="20"/>
  <c r="CO327" i="20"/>
  <c r="CG327" i="20"/>
  <c r="BY327" i="20"/>
  <c r="BQ327" i="20"/>
  <c r="BI327" i="20"/>
  <c r="BA327" i="20"/>
  <c r="AS327" i="20"/>
  <c r="AK327" i="20"/>
  <c r="AC327" i="20"/>
  <c r="U327" i="20"/>
  <c r="M327" i="20"/>
  <c r="DD327" i="20"/>
  <c r="CN327" i="20"/>
  <c r="BX327" i="20"/>
  <c r="BH327" i="20"/>
  <c r="AR327" i="20"/>
  <c r="AB327" i="20"/>
  <c r="L327" i="20"/>
  <c r="DC327" i="20"/>
  <c r="CM327" i="20"/>
  <c r="BW327" i="20"/>
  <c r="BG327" i="20"/>
  <c r="AQ327" i="20"/>
  <c r="AA327" i="20"/>
  <c r="K327" i="20"/>
  <c r="DB327" i="20"/>
  <c r="CL327" i="20"/>
  <c r="BV327" i="20"/>
  <c r="BF327" i="20"/>
  <c r="AP327" i="20"/>
  <c r="Z327" i="20"/>
  <c r="J327" i="20"/>
  <c r="DA327" i="20"/>
  <c r="CK327" i="20"/>
  <c r="BU327" i="20"/>
  <c r="BE327" i="20"/>
  <c r="AO327" i="20"/>
  <c r="Y327" i="20"/>
  <c r="I327" i="20"/>
  <c r="CD327" i="20"/>
  <c r="AX327" i="20"/>
  <c r="R327" i="20"/>
  <c r="CC327" i="20"/>
  <c r="AW327" i="20"/>
  <c r="Q327" i="20"/>
  <c r="CV327" i="20"/>
  <c r="BP327" i="20"/>
  <c r="AJ327" i="20"/>
  <c r="CU327" i="20"/>
  <c r="BO327" i="20"/>
  <c r="AI327" i="20"/>
  <c r="CT327" i="20"/>
  <c r="AH327" i="20"/>
  <c r="CS327" i="20"/>
  <c r="AG327" i="20"/>
  <c r="CF327" i="20"/>
  <c r="T327" i="20"/>
  <c r="CE327" i="20"/>
  <c r="S327" i="20"/>
  <c r="BN327" i="20"/>
  <c r="BM327" i="20"/>
  <c r="AZ327" i="20"/>
  <c r="AY327" i="20"/>
  <c r="DE251" i="20"/>
  <c r="DE247" i="20"/>
  <c r="DE209" i="20"/>
  <c r="DE213" i="20"/>
  <c r="DE235" i="20"/>
  <c r="DE231" i="20"/>
  <c r="DG175" i="20"/>
  <c r="DF176" i="20"/>
  <c r="DF227" i="20" s="1"/>
  <c r="DF224" i="20"/>
  <c r="DF228" i="20"/>
  <c r="DF223" i="20"/>
  <c r="DF229" i="20"/>
  <c r="DF230" i="20"/>
  <c r="DF220" i="20"/>
  <c r="DF232" i="20"/>
  <c r="DF233" i="20"/>
  <c r="DF219" i="20"/>
  <c r="DF234" i="20"/>
  <c r="DF236" i="20"/>
  <c r="DF216" i="20"/>
  <c r="DF215" i="20"/>
  <c r="DF237" i="20"/>
  <c r="DF238" i="20"/>
  <c r="DF214" i="20"/>
  <c r="DF239" i="20"/>
  <c r="DF213" i="20"/>
  <c r="DF240" i="20"/>
  <c r="DF212" i="20"/>
  <c r="DF211" i="20"/>
  <c r="DF241" i="20"/>
  <c r="DF242" i="20"/>
  <c r="DF210" i="20"/>
  <c r="DF243" i="20"/>
  <c r="DF209" i="20"/>
  <c r="DF208" i="20"/>
  <c r="DF244" i="20"/>
  <c r="DF207" i="20"/>
  <c r="DF245" i="20"/>
  <c r="DF246" i="20"/>
  <c r="DF206" i="20"/>
  <c r="DF205" i="20"/>
  <c r="DF247" i="20"/>
  <c r="DF248" i="20"/>
  <c r="DF204" i="20"/>
  <c r="DF203" i="20"/>
  <c r="DF249" i="20"/>
  <c r="DF202" i="20"/>
  <c r="DF250" i="20"/>
  <c r="DF201" i="20"/>
  <c r="DF251" i="20"/>
  <c r="DF252" i="20"/>
  <c r="DF200" i="20"/>
  <c r="DF253" i="20"/>
  <c r="DF199" i="20"/>
  <c r="DF198" i="20"/>
  <c r="DF254" i="20"/>
  <c r="DF255" i="20"/>
  <c r="DF197" i="20"/>
  <c r="DF196" i="20"/>
  <c r="DF256" i="20"/>
  <c r="DF257" i="20"/>
  <c r="DF195" i="20"/>
  <c r="DF258" i="20"/>
  <c r="DF194" i="20"/>
  <c r="DF259" i="20"/>
  <c r="DF193" i="20"/>
  <c r="DF260" i="20"/>
  <c r="DF192" i="20"/>
  <c r="DF261" i="20"/>
  <c r="DF191" i="20"/>
  <c r="DF262" i="20"/>
  <c r="DF190" i="20"/>
  <c r="DF263" i="20"/>
  <c r="DF189" i="20"/>
  <c r="DF264" i="20"/>
  <c r="DF188" i="20"/>
  <c r="DF265" i="20"/>
  <c r="DF187" i="20"/>
  <c r="DF186" i="20"/>
  <c r="DF266" i="20"/>
  <c r="DF185" i="20"/>
  <c r="DF267" i="20"/>
  <c r="DF268" i="20"/>
  <c r="DF184" i="20"/>
  <c r="DF269" i="20"/>
  <c r="DF183" i="20"/>
  <c r="DF182" i="20"/>
  <c r="DF270" i="20"/>
  <c r="DF271" i="20"/>
  <c r="DF181" i="20"/>
  <c r="DF180" i="20"/>
  <c r="DF272" i="20"/>
  <c r="DF179" i="20"/>
  <c r="DF273" i="20"/>
  <c r="DF178" i="20"/>
  <c r="DF274" i="20"/>
  <c r="DF275" i="20"/>
  <c r="DF276" i="20"/>
  <c r="DF277" i="20"/>
  <c r="DF278" i="20"/>
  <c r="DF279" i="20"/>
  <c r="DF280" i="20"/>
  <c r="DF281" i="20"/>
  <c r="DF282" i="20"/>
  <c r="DF283" i="20"/>
  <c r="DF284" i="20"/>
  <c r="DF285" i="20"/>
  <c r="DF286" i="20"/>
  <c r="DF287" i="20"/>
  <c r="DF288" i="20"/>
  <c r="DF289" i="20"/>
  <c r="DF290" i="20"/>
  <c r="DF291" i="20"/>
  <c r="DF292" i="20"/>
  <c r="DF293" i="20"/>
  <c r="DF294" i="20"/>
  <c r="DF295" i="20"/>
  <c r="DF296" i="20"/>
  <c r="DF297" i="20"/>
  <c r="DF298" i="20"/>
  <c r="DF299" i="20"/>
  <c r="DF300" i="20"/>
  <c r="DF301" i="20"/>
  <c r="DF302" i="20"/>
  <c r="DF303" i="20"/>
  <c r="DF304" i="20"/>
  <c r="DF305" i="20"/>
  <c r="DF306" i="20"/>
  <c r="DF307" i="20"/>
  <c r="DF308" i="20"/>
  <c r="DF309" i="20"/>
  <c r="DF310" i="20"/>
  <c r="DF311" i="20"/>
  <c r="DF312" i="20"/>
  <c r="DF313" i="20"/>
  <c r="DF314" i="20"/>
  <c r="DF315" i="20"/>
  <c r="DF316" i="20"/>
  <c r="DF317" i="20"/>
  <c r="DF318" i="20"/>
  <c r="DF319" i="20"/>
  <c r="DF320" i="20"/>
  <c r="DF321" i="20"/>
  <c r="DF322" i="20"/>
  <c r="DF323" i="20"/>
  <c r="DF324" i="20"/>
  <c r="DF325" i="20"/>
  <c r="DF217" i="20" l="1"/>
  <c r="DF231" i="20"/>
  <c r="DF225" i="20"/>
  <c r="DH175" i="20"/>
  <c r="DG176" i="20"/>
  <c r="DG229" i="20" s="1"/>
  <c r="DG225" i="20"/>
  <c r="DG226" i="20"/>
  <c r="DG227" i="20"/>
  <c r="DG228" i="20"/>
  <c r="DG224" i="20"/>
  <c r="DG223" i="20"/>
  <c r="DG222" i="20"/>
  <c r="DG230" i="20"/>
  <c r="DG231" i="20"/>
  <c r="DG221" i="20"/>
  <c r="DG232" i="20"/>
  <c r="DG220" i="20"/>
  <c r="DG219" i="20"/>
  <c r="DG218" i="20"/>
  <c r="DG234" i="20"/>
  <c r="DG235" i="20"/>
  <c r="DG217" i="20"/>
  <c r="DG216" i="20"/>
  <c r="DG236" i="20"/>
  <c r="DG237" i="20"/>
  <c r="DG238" i="20"/>
  <c r="DG214" i="20"/>
  <c r="DG239" i="20"/>
  <c r="DG213" i="20"/>
  <c r="DG212" i="20"/>
  <c r="DG240" i="20"/>
  <c r="DG241" i="20"/>
  <c r="DG242" i="20"/>
  <c r="DG210" i="20"/>
  <c r="DG209" i="20"/>
  <c r="DG243" i="20"/>
  <c r="DG208" i="20"/>
  <c r="DG244" i="20"/>
  <c r="DG207" i="20"/>
  <c r="DG206" i="20"/>
  <c r="DG246" i="20"/>
  <c r="DG205" i="20"/>
  <c r="DG247" i="20"/>
  <c r="DG204" i="20"/>
  <c r="DG248" i="20"/>
  <c r="DG249" i="20"/>
  <c r="DG202" i="20"/>
  <c r="DG250" i="20"/>
  <c r="DG251" i="20"/>
  <c r="DG201" i="20"/>
  <c r="DG200" i="20"/>
  <c r="DG252" i="20"/>
  <c r="DG253" i="20"/>
  <c r="DG198" i="20"/>
  <c r="DG254" i="20"/>
  <c r="DG255" i="20"/>
  <c r="DG197" i="20"/>
  <c r="DG196" i="20"/>
  <c r="DG256" i="20"/>
  <c r="DG195" i="20"/>
  <c r="DG257" i="20"/>
  <c r="DG194" i="20"/>
  <c r="DG258" i="20"/>
  <c r="DG193" i="20"/>
  <c r="DG259" i="20"/>
  <c r="DG192" i="20"/>
  <c r="DG260" i="20"/>
  <c r="DG191" i="20"/>
  <c r="DG261" i="20"/>
  <c r="DG262" i="20"/>
  <c r="DG190" i="20"/>
  <c r="DG189" i="20"/>
  <c r="DG263" i="20"/>
  <c r="DG188" i="20"/>
  <c r="DG264" i="20"/>
  <c r="DG187" i="20"/>
  <c r="DG265" i="20"/>
  <c r="DG266" i="20"/>
  <c r="DG186" i="20"/>
  <c r="DG267" i="20"/>
  <c r="DG185" i="20"/>
  <c r="DG184" i="20"/>
  <c r="DG268" i="20"/>
  <c r="DG183" i="20"/>
  <c r="DG269" i="20"/>
  <c r="DG270" i="20"/>
  <c r="DG182" i="20"/>
  <c r="DG181" i="20"/>
  <c r="DG271" i="20"/>
  <c r="DG272" i="20"/>
  <c r="DG180" i="20"/>
  <c r="DG179" i="20"/>
  <c r="DG273" i="20"/>
  <c r="DG274" i="20"/>
  <c r="DG178" i="20"/>
  <c r="DG275" i="20"/>
  <c r="DG276" i="20"/>
  <c r="DG277" i="20"/>
  <c r="DG278" i="20"/>
  <c r="DG279" i="20"/>
  <c r="DG280" i="20"/>
  <c r="DG281" i="20"/>
  <c r="DG282" i="20"/>
  <c r="DG283" i="20"/>
  <c r="DG284" i="20"/>
  <c r="DG285" i="20"/>
  <c r="DG286" i="20"/>
  <c r="DG287" i="20"/>
  <c r="DG288" i="20"/>
  <c r="DG289" i="20"/>
  <c r="DG290" i="20"/>
  <c r="DG291" i="20"/>
  <c r="DG292" i="20"/>
  <c r="DG293" i="20"/>
  <c r="DG294" i="20"/>
  <c r="DG295" i="20"/>
  <c r="DG296" i="20"/>
  <c r="DG297" i="20"/>
  <c r="DG298" i="20"/>
  <c r="DG299" i="20"/>
  <c r="DG300" i="20"/>
  <c r="DG301" i="20"/>
  <c r="DG302" i="20"/>
  <c r="DG303" i="20"/>
  <c r="DG304" i="20"/>
  <c r="DG305" i="20"/>
  <c r="DG306" i="20"/>
  <c r="DG307" i="20"/>
  <c r="DG308" i="20"/>
  <c r="DG309" i="20"/>
  <c r="DG310" i="20"/>
  <c r="DG311" i="20"/>
  <c r="DG312" i="20"/>
  <c r="DG313" i="20"/>
  <c r="DG314" i="20"/>
  <c r="DG315" i="20"/>
  <c r="DG316" i="20"/>
  <c r="DG317" i="20"/>
  <c r="DG318" i="20"/>
  <c r="DG319" i="20"/>
  <c r="DG320" i="20"/>
  <c r="DG321" i="20"/>
  <c r="DG322" i="20"/>
  <c r="DG323" i="20"/>
  <c r="DG324" i="20"/>
  <c r="DG325" i="20"/>
  <c r="DG326" i="20"/>
  <c r="DG327" i="20"/>
  <c r="DF235" i="20"/>
  <c r="DF221" i="20"/>
  <c r="DF226" i="20"/>
  <c r="F329" i="20"/>
  <c r="F160" i="20"/>
  <c r="D159" i="20"/>
  <c r="DF218" i="20"/>
  <c r="DF222" i="20"/>
  <c r="D328" i="20"/>
  <c r="E328" i="20" s="1"/>
  <c r="E158" i="20"/>
  <c r="DG7" i="21"/>
  <c r="DF8" i="21"/>
  <c r="DA328" i="20"/>
  <c r="CS328" i="20"/>
  <c r="CK328" i="20"/>
  <c r="CC328" i="20"/>
  <c r="BU328" i="20"/>
  <c r="BM328" i="20"/>
  <c r="BE328" i="20"/>
  <c r="AW328" i="20"/>
  <c r="AO328" i="20"/>
  <c r="AG328" i="20"/>
  <c r="Y328" i="20"/>
  <c r="Q328" i="20"/>
  <c r="I328" i="20"/>
  <c r="CZ328" i="20"/>
  <c r="CR328" i="20"/>
  <c r="CJ328" i="20"/>
  <c r="CB328" i="20"/>
  <c r="BT328" i="20"/>
  <c r="BL328" i="20"/>
  <c r="BD328" i="20"/>
  <c r="AV328" i="20"/>
  <c r="AN328" i="20"/>
  <c r="AF328" i="20"/>
  <c r="X328" i="20"/>
  <c r="P328" i="20"/>
  <c r="H328" i="20"/>
  <c r="DG328" i="20"/>
  <c r="CY328" i="20"/>
  <c r="CQ328" i="20"/>
  <c r="CI328" i="20"/>
  <c r="CA328" i="20"/>
  <c r="BS328" i="20"/>
  <c r="BK328" i="20"/>
  <c r="BC328" i="20"/>
  <c r="AU328" i="20"/>
  <c r="AM328" i="20"/>
  <c r="AE328" i="20"/>
  <c r="W328" i="20"/>
  <c r="O328" i="20"/>
  <c r="G328" i="20"/>
  <c r="DF328" i="20"/>
  <c r="CX328" i="20"/>
  <c r="CP328" i="20"/>
  <c r="CH328" i="20"/>
  <c r="BZ328" i="20"/>
  <c r="BR328" i="20"/>
  <c r="BJ328" i="20"/>
  <c r="BB328" i="20"/>
  <c r="AT328" i="20"/>
  <c r="AL328" i="20"/>
  <c r="AD328" i="20"/>
  <c r="V328" i="20"/>
  <c r="N328" i="20"/>
  <c r="CW328" i="20"/>
  <c r="CG328" i="20"/>
  <c r="BQ328" i="20"/>
  <c r="BA328" i="20"/>
  <c r="AK328" i="20"/>
  <c r="U328" i="20"/>
  <c r="CV328" i="20"/>
  <c r="CF328" i="20"/>
  <c r="BP328" i="20"/>
  <c r="AZ328" i="20"/>
  <c r="AJ328" i="20"/>
  <c r="T328" i="20"/>
  <c r="CU328" i="20"/>
  <c r="CE328" i="20"/>
  <c r="BO328" i="20"/>
  <c r="AY328" i="20"/>
  <c r="AI328" i="20"/>
  <c r="S328" i="20"/>
  <c r="CT328" i="20"/>
  <c r="CD328" i="20"/>
  <c r="BN328" i="20"/>
  <c r="AX328" i="20"/>
  <c r="AH328" i="20"/>
  <c r="R328" i="20"/>
  <c r="DC328" i="20"/>
  <c r="BW328" i="20"/>
  <c r="AQ328" i="20"/>
  <c r="K328" i="20"/>
  <c r="DB328" i="20"/>
  <c r="BV328" i="20"/>
  <c r="AP328" i="20"/>
  <c r="J328" i="20"/>
  <c r="CO328" i="20"/>
  <c r="BI328" i="20"/>
  <c r="AC328" i="20"/>
  <c r="CN328" i="20"/>
  <c r="BH328" i="20"/>
  <c r="AB328" i="20"/>
  <c r="BG328" i="20"/>
  <c r="BF328" i="20"/>
  <c r="DE328" i="20"/>
  <c r="AS328" i="20"/>
  <c r="DD328" i="20"/>
  <c r="AR328" i="20"/>
  <c r="CL328" i="20"/>
  <c r="BY328" i="20"/>
  <c r="BX328" i="20"/>
  <c r="AA328" i="20"/>
  <c r="Z328" i="20"/>
  <c r="L328" i="20"/>
  <c r="M328" i="20"/>
  <c r="CM328" i="20"/>
  <c r="D329" i="20" l="1"/>
  <c r="E329" i="20" s="1"/>
  <c r="E159" i="20"/>
  <c r="F330" i="20"/>
  <c r="F161" i="20"/>
  <c r="D160" i="20"/>
  <c r="DB329" i="20"/>
  <c r="CT329" i="20"/>
  <c r="CL329" i="20"/>
  <c r="CD329" i="20"/>
  <c r="BV329" i="20"/>
  <c r="BN329" i="20"/>
  <c r="BF329" i="20"/>
  <c r="AX329" i="20"/>
  <c r="AP329" i="20"/>
  <c r="AH329" i="20"/>
  <c r="Z329" i="20"/>
  <c r="R329" i="20"/>
  <c r="J329" i="20"/>
  <c r="DA329" i="20"/>
  <c r="CS329" i="20"/>
  <c r="CK329" i="20"/>
  <c r="CC329" i="20"/>
  <c r="BU329" i="20"/>
  <c r="BM329" i="20"/>
  <c r="BE329" i="20"/>
  <c r="AW329" i="20"/>
  <c r="AO329" i="20"/>
  <c r="AG329" i="20"/>
  <c r="Y329" i="20"/>
  <c r="Q329" i="20"/>
  <c r="I329" i="20"/>
  <c r="CZ329" i="20"/>
  <c r="CR329" i="20"/>
  <c r="CJ329" i="20"/>
  <c r="CB329" i="20"/>
  <c r="BT329" i="20"/>
  <c r="BL329" i="20"/>
  <c r="BD329" i="20"/>
  <c r="AV329" i="20"/>
  <c r="AN329" i="20"/>
  <c r="AF329" i="20"/>
  <c r="X329" i="20"/>
  <c r="P329" i="20"/>
  <c r="H329" i="20"/>
  <c r="DG329" i="20"/>
  <c r="CY329" i="20"/>
  <c r="CQ329" i="20"/>
  <c r="CI329" i="20"/>
  <c r="CA329" i="20"/>
  <c r="BS329" i="20"/>
  <c r="BK329" i="20"/>
  <c r="BC329" i="20"/>
  <c r="AU329" i="20"/>
  <c r="AM329" i="20"/>
  <c r="AE329" i="20"/>
  <c r="W329" i="20"/>
  <c r="O329" i="20"/>
  <c r="G329" i="20"/>
  <c r="DF329" i="20"/>
  <c r="CP329" i="20"/>
  <c r="BZ329" i="20"/>
  <c r="BJ329" i="20"/>
  <c r="AT329" i="20"/>
  <c r="AD329" i="20"/>
  <c r="N329" i="20"/>
  <c r="DE329" i="20"/>
  <c r="CO329" i="20"/>
  <c r="BY329" i="20"/>
  <c r="BI329" i="20"/>
  <c r="AS329" i="20"/>
  <c r="AC329" i="20"/>
  <c r="M329" i="20"/>
  <c r="DD329" i="20"/>
  <c r="CN329" i="20"/>
  <c r="BX329" i="20"/>
  <c r="BH329" i="20"/>
  <c r="AR329" i="20"/>
  <c r="AB329" i="20"/>
  <c r="L329" i="20"/>
  <c r="DC329" i="20"/>
  <c r="CM329" i="20"/>
  <c r="BW329" i="20"/>
  <c r="BG329" i="20"/>
  <c r="AQ329" i="20"/>
  <c r="AA329" i="20"/>
  <c r="K329" i="20"/>
  <c r="CV329" i="20"/>
  <c r="BP329" i="20"/>
  <c r="AJ329" i="20"/>
  <c r="CU329" i="20"/>
  <c r="BO329" i="20"/>
  <c r="AI329" i="20"/>
  <c r="CH329" i="20"/>
  <c r="BB329" i="20"/>
  <c r="V329" i="20"/>
  <c r="CG329" i="20"/>
  <c r="BA329" i="20"/>
  <c r="U329" i="20"/>
  <c r="CF329" i="20"/>
  <c r="T329" i="20"/>
  <c r="CE329" i="20"/>
  <c r="S329" i="20"/>
  <c r="BR329" i="20"/>
  <c r="BQ329" i="20"/>
  <c r="AY329" i="20"/>
  <c r="AL329" i="20"/>
  <c r="AK329" i="20"/>
  <c r="CX329" i="20"/>
  <c r="CW329" i="20"/>
  <c r="AZ329" i="20"/>
  <c r="DG199" i="20"/>
  <c r="DG203" i="20"/>
  <c r="DG245" i="20"/>
  <c r="DG211" i="20"/>
  <c r="DG215" i="20"/>
  <c r="DG233" i="20"/>
  <c r="DH176" i="20"/>
  <c r="DH328" i="20" s="1"/>
  <c r="DI175" i="20"/>
  <c r="DH227" i="20"/>
  <c r="DH225" i="20"/>
  <c r="DH226" i="20"/>
  <c r="DH224" i="20"/>
  <c r="DH228" i="20"/>
  <c r="DH223" i="20"/>
  <c r="DH222" i="20"/>
  <c r="DH230" i="20"/>
  <c r="DH221" i="20"/>
  <c r="DH231" i="20"/>
  <c r="DH232" i="20"/>
  <c r="DH220" i="20"/>
  <c r="DH233" i="20"/>
  <c r="DH234" i="20"/>
  <c r="DH218" i="20"/>
  <c r="DH217" i="20"/>
  <c r="DH235" i="20"/>
  <c r="DH236" i="20"/>
  <c r="DH216" i="20"/>
  <c r="DH215" i="20"/>
  <c r="DH214" i="20"/>
  <c r="DH238" i="20"/>
  <c r="DH213" i="20"/>
  <c r="DH239" i="20"/>
  <c r="DH240" i="20"/>
  <c r="DH212" i="20"/>
  <c r="DH211" i="20"/>
  <c r="DH241" i="20"/>
  <c r="DH210" i="20"/>
  <c r="DH242" i="20"/>
  <c r="DH209" i="20"/>
  <c r="DH243" i="20"/>
  <c r="DH208" i="20"/>
  <c r="DH244" i="20"/>
  <c r="DH245" i="20"/>
  <c r="DH207" i="20"/>
  <c r="DH206" i="20"/>
  <c r="DH246" i="20"/>
  <c r="DH247" i="20"/>
  <c r="DH205" i="20"/>
  <c r="DH204" i="20"/>
  <c r="DH248" i="20"/>
  <c r="DH203" i="20"/>
  <c r="DH249" i="20"/>
  <c r="DH250" i="20"/>
  <c r="DH202" i="20"/>
  <c r="DH251" i="20"/>
  <c r="DH201" i="20"/>
  <c r="DH200" i="20"/>
  <c r="DH252" i="20"/>
  <c r="DH199" i="20"/>
  <c r="DH253" i="20"/>
  <c r="DH254" i="20"/>
  <c r="DH198" i="20"/>
  <c r="DH197" i="20"/>
  <c r="DH255" i="20"/>
  <c r="DH196" i="20"/>
  <c r="DH256" i="20"/>
  <c r="DH195" i="20"/>
  <c r="DH257" i="20"/>
  <c r="DH258" i="20"/>
  <c r="DH194" i="20"/>
  <c r="DH259" i="20"/>
  <c r="DH193" i="20"/>
  <c r="DH192" i="20"/>
  <c r="DH260" i="20"/>
  <c r="DH261" i="20"/>
  <c r="DH191" i="20"/>
  <c r="DH190" i="20"/>
  <c r="DH262" i="20"/>
  <c r="DH189" i="20"/>
  <c r="DH263" i="20"/>
  <c r="DH188" i="20"/>
  <c r="DH264" i="20"/>
  <c r="DH265" i="20"/>
  <c r="DH187" i="20"/>
  <c r="DH266" i="20"/>
  <c r="DH186" i="20"/>
  <c r="DH185" i="20"/>
  <c r="DH267" i="20"/>
  <c r="DH268" i="20"/>
  <c r="DH184" i="20"/>
  <c r="DH269" i="20"/>
  <c r="DH183" i="20"/>
  <c r="DH270" i="20"/>
  <c r="DH182" i="20"/>
  <c r="DH181" i="20"/>
  <c r="DH271" i="20"/>
  <c r="DH180" i="20"/>
  <c r="DH272" i="20"/>
  <c r="DH273" i="20"/>
  <c r="DH179" i="20"/>
  <c r="DH274" i="20"/>
  <c r="DH178" i="20"/>
  <c r="DH275" i="20"/>
  <c r="DH276" i="20"/>
  <c r="DH277" i="20"/>
  <c r="DH278" i="20"/>
  <c r="DH279" i="20"/>
  <c r="DH280" i="20"/>
  <c r="DH281" i="20"/>
  <c r="DH282" i="20"/>
  <c r="DH283" i="20"/>
  <c r="DH284" i="20"/>
  <c r="DH285" i="20"/>
  <c r="DH286" i="20"/>
  <c r="DH287" i="20"/>
  <c r="DH288" i="20"/>
  <c r="DH289" i="20"/>
  <c r="DH290" i="20"/>
  <c r="DH291" i="20"/>
  <c r="DH292" i="20"/>
  <c r="DH293" i="20"/>
  <c r="DH294" i="20"/>
  <c r="DH295" i="20"/>
  <c r="DH296" i="20"/>
  <c r="DH297" i="20"/>
  <c r="DH298" i="20"/>
  <c r="DH299" i="20"/>
  <c r="DH300" i="20"/>
  <c r="DH301" i="20"/>
  <c r="DH302" i="20"/>
  <c r="DH303" i="20"/>
  <c r="DH304" i="20"/>
  <c r="DH305" i="20"/>
  <c r="DH306" i="20"/>
  <c r="DH307" i="20"/>
  <c r="DH308" i="20"/>
  <c r="DH309" i="20"/>
  <c r="DH310" i="20"/>
  <c r="DH311" i="20"/>
  <c r="DH312" i="20"/>
  <c r="DH313" i="20"/>
  <c r="DH314" i="20"/>
  <c r="DH315" i="20"/>
  <c r="DH316" i="20"/>
  <c r="DH317" i="20"/>
  <c r="DH318" i="20"/>
  <c r="DH319" i="20"/>
  <c r="DH320" i="20"/>
  <c r="DH321" i="20"/>
  <c r="DH322" i="20"/>
  <c r="DH323" i="20"/>
  <c r="DH324" i="20"/>
  <c r="DH325" i="20"/>
  <c r="DH326" i="20"/>
  <c r="DH327" i="20"/>
  <c r="DH7" i="21"/>
  <c r="DG8" i="21"/>
  <c r="DC330" i="20" l="1"/>
  <c r="CU330" i="20"/>
  <c r="CM330" i="20"/>
  <c r="CE330" i="20"/>
  <c r="BW330" i="20"/>
  <c r="BO330" i="20"/>
  <c r="BG330" i="20"/>
  <c r="AY330" i="20"/>
  <c r="AQ330" i="20"/>
  <c r="AI330" i="20"/>
  <c r="AA330" i="20"/>
  <c r="S330" i="20"/>
  <c r="K330" i="20"/>
  <c r="DB330" i="20"/>
  <c r="CT330" i="20"/>
  <c r="CL330" i="20"/>
  <c r="CD330" i="20"/>
  <c r="BV330" i="20"/>
  <c r="BN330" i="20"/>
  <c r="BF330" i="20"/>
  <c r="AX330" i="20"/>
  <c r="AP330" i="20"/>
  <c r="AH330" i="20"/>
  <c r="Z330" i="20"/>
  <c r="R330" i="20"/>
  <c r="J330" i="20"/>
  <c r="DA330" i="20"/>
  <c r="CS330" i="20"/>
  <c r="CK330" i="20"/>
  <c r="CC330" i="20"/>
  <c r="BU330" i="20"/>
  <c r="BM330" i="20"/>
  <c r="BE330" i="20"/>
  <c r="AW330" i="20"/>
  <c r="AO330" i="20"/>
  <c r="AG330" i="20"/>
  <c r="Y330" i="20"/>
  <c r="Q330" i="20"/>
  <c r="I330" i="20"/>
  <c r="DH330" i="20"/>
  <c r="CZ330" i="20"/>
  <c r="CR330" i="20"/>
  <c r="CJ330" i="20"/>
  <c r="CB330" i="20"/>
  <c r="BT330" i="20"/>
  <c r="BL330" i="20"/>
  <c r="BD330" i="20"/>
  <c r="AV330" i="20"/>
  <c r="AN330" i="20"/>
  <c r="AF330" i="20"/>
  <c r="X330" i="20"/>
  <c r="P330" i="20"/>
  <c r="H330" i="20"/>
  <c r="CY330" i="20"/>
  <c r="CI330" i="20"/>
  <c r="BS330" i="20"/>
  <c r="BC330" i="20"/>
  <c r="AM330" i="20"/>
  <c r="W330" i="20"/>
  <c r="G330" i="20"/>
  <c r="CX330" i="20"/>
  <c r="CH330" i="20"/>
  <c r="BR330" i="20"/>
  <c r="BB330" i="20"/>
  <c r="AL330" i="20"/>
  <c r="V330" i="20"/>
  <c r="CW330" i="20"/>
  <c r="CG330" i="20"/>
  <c r="BQ330" i="20"/>
  <c r="BA330" i="20"/>
  <c r="AK330" i="20"/>
  <c r="U330" i="20"/>
  <c r="CV330" i="20"/>
  <c r="CF330" i="20"/>
  <c r="BP330" i="20"/>
  <c r="AZ330" i="20"/>
  <c r="AJ330" i="20"/>
  <c r="T330" i="20"/>
  <c r="CO330" i="20"/>
  <c r="BI330" i="20"/>
  <c r="AC330" i="20"/>
  <c r="CN330" i="20"/>
  <c r="BH330" i="20"/>
  <c r="AB330" i="20"/>
  <c r="DG330" i="20"/>
  <c r="CA330" i="20"/>
  <c r="AU330" i="20"/>
  <c r="O330" i="20"/>
  <c r="DF330" i="20"/>
  <c r="BZ330" i="20"/>
  <c r="AT330" i="20"/>
  <c r="N330" i="20"/>
  <c r="DE330" i="20"/>
  <c r="AS330" i="20"/>
  <c r="DD330" i="20"/>
  <c r="AR330" i="20"/>
  <c r="CQ330" i="20"/>
  <c r="AE330" i="20"/>
  <c r="CP330" i="20"/>
  <c r="AD330" i="20"/>
  <c r="L330" i="20"/>
  <c r="BY330" i="20"/>
  <c r="BX330" i="20"/>
  <c r="M330" i="20"/>
  <c r="BK330" i="20"/>
  <c r="BJ330" i="20"/>
  <c r="DH237" i="20"/>
  <c r="DH219" i="20"/>
  <c r="DH229" i="20"/>
  <c r="DI7" i="21"/>
  <c r="DH8" i="21"/>
  <c r="DI176" i="20"/>
  <c r="DI222" i="20" s="1"/>
  <c r="DJ175" i="20"/>
  <c r="DI206" i="20"/>
  <c r="DI202" i="20"/>
  <c r="DI253" i="20"/>
  <c r="DI254" i="20"/>
  <c r="DI257" i="20"/>
  <c r="DI258" i="20"/>
  <c r="DI261" i="20"/>
  <c r="DI190" i="20"/>
  <c r="DI265" i="20"/>
  <c r="DI186" i="20"/>
  <c r="DI269" i="20"/>
  <c r="DI270" i="20"/>
  <c r="DI179" i="20"/>
  <c r="DI274" i="20"/>
  <c r="DI280" i="20"/>
  <c r="DI282" i="20"/>
  <c r="DI288" i="20"/>
  <c r="DI290" i="20"/>
  <c r="DI296" i="20"/>
  <c r="DI298" i="20"/>
  <c r="DI304" i="20"/>
  <c r="DI306" i="20"/>
  <c r="DI312" i="20"/>
  <c r="DI314" i="20"/>
  <c r="DI320" i="20"/>
  <c r="DI322" i="20"/>
  <c r="DI328" i="20"/>
  <c r="D330" i="20"/>
  <c r="E330" i="20" s="1"/>
  <c r="E160" i="20"/>
  <c r="F331" i="20"/>
  <c r="D161" i="20"/>
  <c r="F162" i="20"/>
  <c r="DH329" i="20"/>
  <c r="DI241" i="20" l="1"/>
  <c r="D331" i="20"/>
  <c r="E331" i="20" s="1"/>
  <c r="E161" i="20"/>
  <c r="DI293" i="20"/>
  <c r="DI180" i="20"/>
  <c r="DI184" i="20"/>
  <c r="DI192" i="20"/>
  <c r="DI256" i="20"/>
  <c r="DI200" i="20"/>
  <c r="DI204" i="20"/>
  <c r="DI208" i="20"/>
  <c r="DI212" i="20"/>
  <c r="DI236" i="20"/>
  <c r="DI220" i="20"/>
  <c r="DI224" i="20"/>
  <c r="DI249" i="20"/>
  <c r="DI207" i="20"/>
  <c r="DI215" i="20"/>
  <c r="DI233" i="20"/>
  <c r="DI223" i="20"/>
  <c r="DI319" i="20"/>
  <c r="DI311" i="20"/>
  <c r="DI295" i="20"/>
  <c r="DI279" i="20"/>
  <c r="DI183" i="20"/>
  <c r="DI191" i="20"/>
  <c r="DI199" i="20"/>
  <c r="DI245" i="20"/>
  <c r="DI219" i="20"/>
  <c r="F332" i="20"/>
  <c r="F163" i="20"/>
  <c r="D162" i="20"/>
  <c r="DI318" i="20"/>
  <c r="DI302" i="20"/>
  <c r="DI286" i="20"/>
  <c r="DI272" i="20"/>
  <c r="DI188" i="20"/>
  <c r="DI196" i="20"/>
  <c r="DI252" i="20"/>
  <c r="DI244" i="20"/>
  <c r="DI240" i="20"/>
  <c r="DI216" i="20"/>
  <c r="DI232" i="20"/>
  <c r="DI228" i="20"/>
  <c r="DI325" i="20"/>
  <c r="DI317" i="20"/>
  <c r="DI309" i="20"/>
  <c r="DI301" i="20"/>
  <c r="DI285" i="20"/>
  <c r="DI277" i="20"/>
  <c r="DI264" i="20"/>
  <c r="DD331" i="20"/>
  <c r="CV331" i="20"/>
  <c r="CN331" i="20"/>
  <c r="CF331" i="20"/>
  <c r="BX331" i="20"/>
  <c r="BP331" i="20"/>
  <c r="BH331" i="20"/>
  <c r="AZ331" i="20"/>
  <c r="AR331" i="20"/>
  <c r="AJ331" i="20"/>
  <c r="AB331" i="20"/>
  <c r="T331" i="20"/>
  <c r="L331" i="20"/>
  <c r="DC331" i="20"/>
  <c r="CU331" i="20"/>
  <c r="CM331" i="20"/>
  <c r="CE331" i="20"/>
  <c r="BW331" i="20"/>
  <c r="BO331" i="20"/>
  <c r="BG331" i="20"/>
  <c r="AY331" i="20"/>
  <c r="AQ331" i="20"/>
  <c r="AI331" i="20"/>
  <c r="AA331" i="20"/>
  <c r="S331" i="20"/>
  <c r="K331" i="20"/>
  <c r="DB331" i="20"/>
  <c r="CT331" i="20"/>
  <c r="CL331" i="20"/>
  <c r="CD331" i="20"/>
  <c r="BV331" i="20"/>
  <c r="BN331" i="20"/>
  <c r="BF331" i="20"/>
  <c r="AX331" i="20"/>
  <c r="AP331" i="20"/>
  <c r="AH331" i="20"/>
  <c r="Z331" i="20"/>
  <c r="R331" i="20"/>
  <c r="J331" i="20"/>
  <c r="DI331" i="20"/>
  <c r="DA331" i="20"/>
  <c r="CS331" i="20"/>
  <c r="CK331" i="20"/>
  <c r="CC331" i="20"/>
  <c r="BU331" i="20"/>
  <c r="BM331" i="20"/>
  <c r="BE331" i="20"/>
  <c r="AW331" i="20"/>
  <c r="AO331" i="20"/>
  <c r="AG331" i="20"/>
  <c r="Y331" i="20"/>
  <c r="Q331" i="20"/>
  <c r="I331" i="20"/>
  <c r="DH331" i="20"/>
  <c r="CR331" i="20"/>
  <c r="CB331" i="20"/>
  <c r="BL331" i="20"/>
  <c r="AV331" i="20"/>
  <c r="AF331" i="20"/>
  <c r="P331" i="20"/>
  <c r="DG331" i="20"/>
  <c r="CQ331" i="20"/>
  <c r="CA331" i="20"/>
  <c r="BK331" i="20"/>
  <c r="AU331" i="20"/>
  <c r="AE331" i="20"/>
  <c r="O331" i="20"/>
  <c r="DF331" i="20"/>
  <c r="CP331" i="20"/>
  <c r="BZ331" i="20"/>
  <c r="BJ331" i="20"/>
  <c r="AT331" i="20"/>
  <c r="AD331" i="20"/>
  <c r="N331" i="20"/>
  <c r="DE331" i="20"/>
  <c r="CO331" i="20"/>
  <c r="BY331" i="20"/>
  <c r="BI331" i="20"/>
  <c r="AS331" i="20"/>
  <c r="AC331" i="20"/>
  <c r="M331" i="20"/>
  <c r="CH331" i="20"/>
  <c r="BB331" i="20"/>
  <c r="V331" i="20"/>
  <c r="CG331" i="20"/>
  <c r="BA331" i="20"/>
  <c r="U331" i="20"/>
  <c r="CZ331" i="20"/>
  <c r="BT331" i="20"/>
  <c r="AN331" i="20"/>
  <c r="H331" i="20"/>
  <c r="CY331" i="20"/>
  <c r="BS331" i="20"/>
  <c r="AM331" i="20"/>
  <c r="G331" i="20"/>
  <c r="BR331" i="20"/>
  <c r="BQ331" i="20"/>
  <c r="BD331" i="20"/>
  <c r="BC331" i="20"/>
  <c r="CW331" i="20"/>
  <c r="CJ331" i="20"/>
  <c r="CI331" i="20"/>
  <c r="AL331" i="20"/>
  <c r="AK331" i="20"/>
  <c r="X331" i="20"/>
  <c r="W331" i="20"/>
  <c r="CX331" i="20"/>
  <c r="DI324" i="20"/>
  <c r="DI316" i="20"/>
  <c r="DI308" i="20"/>
  <c r="DI300" i="20"/>
  <c r="DI292" i="20"/>
  <c r="DI284" i="20"/>
  <c r="DI276" i="20"/>
  <c r="DI271" i="20"/>
  <c r="DI185" i="20"/>
  <c r="DI263" i="20"/>
  <c r="DI193" i="20"/>
  <c r="DI197" i="20"/>
  <c r="DI251" i="20"/>
  <c r="DI205" i="20"/>
  <c r="DI209" i="20"/>
  <c r="DI239" i="20"/>
  <c r="DI217" i="20"/>
  <c r="DI221" i="20"/>
  <c r="DI227" i="20"/>
  <c r="DI329" i="20"/>
  <c r="DI327" i="20"/>
  <c r="DI303" i="20"/>
  <c r="DI287" i="20"/>
  <c r="DI273" i="20"/>
  <c r="DI187" i="20"/>
  <c r="DI195" i="20"/>
  <c r="DI203" i="20"/>
  <c r="DI211" i="20"/>
  <c r="DI237" i="20"/>
  <c r="DI229" i="20"/>
  <c r="DI330" i="20"/>
  <c r="DI326" i="20"/>
  <c r="DI310" i="20"/>
  <c r="DI294" i="20"/>
  <c r="DI278" i="20"/>
  <c r="DI268" i="20"/>
  <c r="DI260" i="20"/>
  <c r="DI248" i="20"/>
  <c r="DI323" i="20"/>
  <c r="DI315" i="20"/>
  <c r="DI307" i="20"/>
  <c r="DI299" i="20"/>
  <c r="DI291" i="20"/>
  <c r="DI283" i="20"/>
  <c r="DI275" i="20"/>
  <c r="DI181" i="20"/>
  <c r="DI267" i="20"/>
  <c r="DI189" i="20"/>
  <c r="DI259" i="20"/>
  <c r="DI255" i="20"/>
  <c r="DI201" i="20"/>
  <c r="DI247" i="20"/>
  <c r="DI243" i="20"/>
  <c r="DI213" i="20"/>
  <c r="DI235" i="20"/>
  <c r="DI231" i="20"/>
  <c r="DI226" i="20"/>
  <c r="DI8" i="21"/>
  <c r="DJ7" i="21"/>
  <c r="DI242" i="20"/>
  <c r="DI214" i="20"/>
  <c r="DI218" i="20"/>
  <c r="DI230" i="20"/>
  <c r="DI225" i="20"/>
  <c r="DI321" i="20"/>
  <c r="DI313" i="20"/>
  <c r="DI305" i="20"/>
  <c r="DI297" i="20"/>
  <c r="DI289" i="20"/>
  <c r="DI281" i="20"/>
  <c r="DI178" i="20"/>
  <c r="DI182" i="20"/>
  <c r="DI266" i="20"/>
  <c r="DI262" i="20"/>
  <c r="DI194" i="20"/>
  <c r="DI198" i="20"/>
  <c r="DI250" i="20"/>
  <c r="DI246" i="20"/>
  <c r="DI210" i="20"/>
  <c r="DI238" i="20"/>
  <c r="DI234" i="20"/>
  <c r="DJ176" i="20"/>
  <c r="DJ330" i="20" s="1"/>
  <c r="DK175" i="20"/>
  <c r="DJ227" i="20"/>
  <c r="DJ224" i="20"/>
  <c r="DJ228" i="20"/>
  <c r="DJ223" i="20"/>
  <c r="DJ221" i="20"/>
  <c r="DJ231" i="20"/>
  <c r="DJ232" i="20"/>
  <c r="DJ220" i="20"/>
  <c r="DJ233" i="20"/>
  <c r="DJ217" i="20"/>
  <c r="DJ235" i="20"/>
  <c r="DJ236" i="20"/>
  <c r="DJ216" i="20"/>
  <c r="DJ237" i="20"/>
  <c r="DJ213" i="20"/>
  <c r="DJ239" i="20"/>
  <c r="DJ212" i="20"/>
  <c r="DJ240" i="20"/>
  <c r="DJ211" i="20"/>
  <c r="DJ209" i="20"/>
  <c r="DJ243" i="20"/>
  <c r="DJ244" i="20"/>
  <c r="DJ208" i="20"/>
  <c r="DJ245" i="20"/>
  <c r="DJ247" i="20"/>
  <c r="DJ205" i="20"/>
  <c r="DJ248" i="20"/>
  <c r="DJ204" i="20"/>
  <c r="DJ203" i="20"/>
  <c r="DJ201" i="20"/>
  <c r="DJ251" i="20"/>
  <c r="DJ200" i="20"/>
  <c r="DJ252" i="20"/>
  <c r="DJ199" i="20"/>
  <c r="DJ197" i="20"/>
  <c r="DJ255" i="20"/>
  <c r="DJ256" i="20"/>
  <c r="DJ196" i="20"/>
  <c r="DJ257" i="20"/>
  <c r="DJ259" i="20"/>
  <c r="DJ193" i="20"/>
  <c r="DJ260" i="20"/>
  <c r="DJ192" i="20"/>
  <c r="DJ261" i="20"/>
  <c r="DJ189" i="20"/>
  <c r="DJ263" i="20"/>
  <c r="DJ264" i="20"/>
  <c r="DJ188" i="20"/>
  <c r="DJ187" i="20"/>
  <c r="DJ267" i="20"/>
  <c r="DJ185" i="20"/>
  <c r="DJ184" i="20"/>
  <c r="DJ268" i="20"/>
  <c r="DJ183" i="20"/>
  <c r="DJ271" i="20"/>
  <c r="DJ181" i="20"/>
  <c r="DJ272" i="20"/>
  <c r="DJ180" i="20"/>
  <c r="DJ273" i="20"/>
  <c r="DJ275" i="20"/>
  <c r="DJ276" i="20"/>
  <c r="DJ277" i="20"/>
  <c r="DJ278" i="20"/>
  <c r="DJ279" i="20"/>
  <c r="DJ280" i="20"/>
  <c r="DJ283" i="20"/>
  <c r="DJ284" i="20"/>
  <c r="DJ285" i="20"/>
  <c r="DJ286" i="20"/>
  <c r="DJ287" i="20"/>
  <c r="DJ288" i="20"/>
  <c r="DJ291" i="20"/>
  <c r="DJ292" i="20"/>
  <c r="DJ293" i="20"/>
  <c r="DJ294" i="20"/>
  <c r="DJ295" i="20"/>
  <c r="DJ296" i="20"/>
  <c r="DJ299" i="20"/>
  <c r="DJ300" i="20"/>
  <c r="DJ301" i="20"/>
  <c r="DJ302" i="20"/>
  <c r="DJ303" i="20"/>
  <c r="DJ304" i="20"/>
  <c r="DJ306" i="20"/>
  <c r="DJ307" i="20"/>
  <c r="DJ308" i="20"/>
  <c r="DJ309" i="20"/>
  <c r="DJ310" i="20"/>
  <c r="DJ311" i="20"/>
  <c r="DJ312" i="20"/>
  <c r="DJ313" i="20"/>
  <c r="DJ314" i="20"/>
  <c r="DJ315" i="20"/>
  <c r="DJ316" i="20"/>
  <c r="DJ317" i="20"/>
  <c r="DJ318" i="20"/>
  <c r="DJ319" i="20"/>
  <c r="DJ320" i="20"/>
  <c r="DJ321" i="20"/>
  <c r="DJ322" i="20"/>
  <c r="DJ323" i="20"/>
  <c r="DJ324" i="20"/>
  <c r="DJ325" i="20"/>
  <c r="DJ326" i="20"/>
  <c r="DJ327" i="20"/>
  <c r="DJ328" i="20"/>
  <c r="DJ329" i="20"/>
  <c r="DJ298" i="20" l="1"/>
  <c r="DJ290" i="20"/>
  <c r="DJ282" i="20"/>
  <c r="DJ178" i="20"/>
  <c r="DJ270" i="20"/>
  <c r="DJ266" i="20"/>
  <c r="DJ190" i="20"/>
  <c r="DJ258" i="20"/>
  <c r="DJ254" i="20"/>
  <c r="DJ202" i="20"/>
  <c r="DJ206" i="20"/>
  <c r="DJ242" i="20"/>
  <c r="DJ238" i="20"/>
  <c r="DJ234" i="20"/>
  <c r="DJ222" i="20"/>
  <c r="DJ225" i="20"/>
  <c r="DE332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M332" i="20"/>
  <c r="DD332" i="20"/>
  <c r="CV332" i="20"/>
  <c r="CN332" i="20"/>
  <c r="CF332" i="20"/>
  <c r="BX332" i="20"/>
  <c r="BP332" i="20"/>
  <c r="BH332" i="20"/>
  <c r="AZ332" i="20"/>
  <c r="AR332" i="20"/>
  <c r="AJ332" i="20"/>
  <c r="AB332" i="20"/>
  <c r="T332" i="20"/>
  <c r="L332" i="20"/>
  <c r="DK332" i="20"/>
  <c r="DC332" i="20"/>
  <c r="CU332" i="20"/>
  <c r="CM332" i="20"/>
  <c r="CE332" i="20"/>
  <c r="BW332" i="20"/>
  <c r="BO332" i="20"/>
  <c r="BG332" i="20"/>
  <c r="AY332" i="20"/>
  <c r="AQ332" i="20"/>
  <c r="AI332" i="20"/>
  <c r="AA332" i="20"/>
  <c r="S332" i="20"/>
  <c r="K332" i="20"/>
  <c r="DJ332" i="20"/>
  <c r="DB332" i="20"/>
  <c r="CT332" i="20"/>
  <c r="CL332" i="20"/>
  <c r="CD332" i="20"/>
  <c r="BV332" i="20"/>
  <c r="BN332" i="20"/>
  <c r="BF332" i="20"/>
  <c r="AX332" i="20"/>
  <c r="AP332" i="20"/>
  <c r="AH332" i="20"/>
  <c r="Z332" i="20"/>
  <c r="R332" i="20"/>
  <c r="J332" i="20"/>
  <c r="DA332" i="20"/>
  <c r="CK332" i="20"/>
  <c r="BU332" i="20"/>
  <c r="BE332" i="20"/>
  <c r="AO332" i="20"/>
  <c r="Y332" i="20"/>
  <c r="I332" i="20"/>
  <c r="CZ332" i="20"/>
  <c r="CJ332" i="20"/>
  <c r="BT332" i="20"/>
  <c r="BD332" i="20"/>
  <c r="AN332" i="20"/>
  <c r="X332" i="20"/>
  <c r="H332" i="20"/>
  <c r="CY332" i="20"/>
  <c r="CI332" i="20"/>
  <c r="BS332" i="20"/>
  <c r="BC332" i="20"/>
  <c r="AM332" i="20"/>
  <c r="W332" i="20"/>
  <c r="G332" i="20"/>
  <c r="CX332" i="20"/>
  <c r="CH332" i="20"/>
  <c r="BR332" i="20"/>
  <c r="BB332" i="20"/>
  <c r="AL332" i="20"/>
  <c r="V332" i="20"/>
  <c r="DG332" i="20"/>
  <c r="CA332" i="20"/>
  <c r="AU332" i="20"/>
  <c r="O332" i="20"/>
  <c r="DF332" i="20"/>
  <c r="BZ332" i="20"/>
  <c r="AT332" i="20"/>
  <c r="N332" i="20"/>
  <c r="CS332" i="20"/>
  <c r="BM332" i="20"/>
  <c r="AG332" i="20"/>
  <c r="CR332" i="20"/>
  <c r="BL332" i="20"/>
  <c r="AF332" i="20"/>
  <c r="CQ332" i="20"/>
  <c r="AE332" i="20"/>
  <c r="CP332" i="20"/>
  <c r="AD332" i="20"/>
  <c r="CC332" i="20"/>
  <c r="Q332" i="20"/>
  <c r="CB332" i="20"/>
  <c r="P332" i="20"/>
  <c r="BJ332" i="20"/>
  <c r="AW332" i="20"/>
  <c r="AV332" i="20"/>
  <c r="DI332" i="20"/>
  <c r="DH332" i="20"/>
  <c r="BK332" i="20"/>
  <c r="F333" i="20"/>
  <c r="D163" i="20"/>
  <c r="F164" i="20"/>
  <c r="DJ305" i="20"/>
  <c r="DJ297" i="20"/>
  <c r="DJ289" i="20"/>
  <c r="DJ281" i="20"/>
  <c r="DJ274" i="20"/>
  <c r="DJ182" i="20"/>
  <c r="DJ186" i="20"/>
  <c r="DJ262" i="20"/>
  <c r="DJ194" i="20"/>
  <c r="DJ198" i="20"/>
  <c r="DJ250" i="20"/>
  <c r="DJ246" i="20"/>
  <c r="DJ210" i="20"/>
  <c r="DJ214" i="20"/>
  <c r="DJ218" i="20"/>
  <c r="DJ230" i="20"/>
  <c r="DJ226" i="20"/>
  <c r="D332" i="20"/>
  <c r="E332" i="20" s="1"/>
  <c r="E162" i="20"/>
  <c r="DK176" i="20"/>
  <c r="DK331" i="20" s="1"/>
  <c r="DK226" i="20"/>
  <c r="DL175" i="20"/>
  <c r="DK225" i="20"/>
  <c r="DK227" i="20"/>
  <c r="DK228" i="20"/>
  <c r="DK224" i="20"/>
  <c r="DK223" i="20"/>
  <c r="DK229" i="20"/>
  <c r="DK222" i="20"/>
  <c r="DK230" i="20"/>
  <c r="DK221" i="20"/>
  <c r="DK231" i="20"/>
  <c r="DK232" i="20"/>
  <c r="DK220" i="20"/>
  <c r="DK219" i="20"/>
  <c r="DK233" i="20"/>
  <c r="DK218" i="20"/>
  <c r="DK234" i="20"/>
  <c r="DK217" i="20"/>
  <c r="DK235" i="20"/>
  <c r="DK216" i="20"/>
  <c r="DK236" i="20"/>
  <c r="DK215" i="20"/>
  <c r="DK237" i="20"/>
  <c r="DK214" i="20"/>
  <c r="DK238" i="20"/>
  <c r="DK239" i="20"/>
  <c r="DK213" i="20"/>
  <c r="DK240" i="20"/>
  <c r="DK212" i="20"/>
  <c r="DK241" i="20"/>
  <c r="DK211" i="20"/>
  <c r="DK242" i="20"/>
  <c r="DK210" i="20"/>
  <c r="DK243" i="20"/>
  <c r="DK209" i="20"/>
  <c r="DK208" i="20"/>
  <c r="DK244" i="20"/>
  <c r="DK207" i="20"/>
  <c r="DK245" i="20"/>
  <c r="DK206" i="20"/>
  <c r="DK246" i="20"/>
  <c r="DK205" i="20"/>
  <c r="DK247" i="20"/>
  <c r="DK248" i="20"/>
  <c r="DK204" i="20"/>
  <c r="DK203" i="20"/>
  <c r="DK249" i="20"/>
  <c r="DK202" i="20"/>
  <c r="DK250" i="20"/>
  <c r="DK251" i="20"/>
  <c r="DK201" i="20"/>
  <c r="DK200" i="20"/>
  <c r="DK252" i="20"/>
  <c r="DK199" i="20"/>
  <c r="DK253" i="20"/>
  <c r="DK254" i="20"/>
  <c r="DK198" i="20"/>
  <c r="DK255" i="20"/>
  <c r="DK197" i="20"/>
  <c r="DK256" i="20"/>
  <c r="DK196" i="20"/>
  <c r="DK257" i="20"/>
  <c r="DK195" i="20"/>
  <c r="DK258" i="20"/>
  <c r="DK194" i="20"/>
  <c r="DK259" i="20"/>
  <c r="DK193" i="20"/>
  <c r="DK192" i="20"/>
  <c r="DK260" i="20"/>
  <c r="DK191" i="20"/>
  <c r="DK261" i="20"/>
  <c r="DK190" i="20"/>
  <c r="DK262" i="20"/>
  <c r="DK189" i="20"/>
  <c r="DK263" i="20"/>
  <c r="DK188" i="20"/>
  <c r="DK264" i="20"/>
  <c r="DK187" i="20"/>
  <c r="DK265" i="20"/>
  <c r="DK186" i="20"/>
  <c r="DK266" i="20"/>
  <c r="DK267" i="20"/>
  <c r="DK185" i="20"/>
  <c r="DK184" i="20"/>
  <c r="DK268" i="20"/>
  <c r="DK269" i="20"/>
  <c r="DK183" i="20"/>
  <c r="DK270" i="20"/>
  <c r="DK182" i="20"/>
  <c r="DK181" i="20"/>
  <c r="DK271" i="20"/>
  <c r="DK272" i="20"/>
  <c r="DK180" i="20"/>
  <c r="DK179" i="20"/>
  <c r="DK273" i="20"/>
  <c r="DK274" i="20"/>
  <c r="DK178" i="20"/>
  <c r="DK275" i="20"/>
  <c r="DK276" i="20"/>
  <c r="DK277" i="20"/>
  <c r="DK278" i="20"/>
  <c r="DK279" i="20"/>
  <c r="DK280" i="20"/>
  <c r="DK281" i="20"/>
  <c r="DK282" i="20"/>
  <c r="DK283" i="20"/>
  <c r="DK284" i="20"/>
  <c r="DK285" i="20"/>
  <c r="DK286" i="20"/>
  <c r="DK287" i="20"/>
  <c r="DK288" i="20"/>
  <c r="DK289" i="20"/>
  <c r="DK290" i="20"/>
  <c r="DK291" i="20"/>
  <c r="DK292" i="20"/>
  <c r="DK293" i="20"/>
  <c r="DK294" i="20"/>
  <c r="DK295" i="20"/>
  <c r="DK296" i="20"/>
  <c r="DK297" i="20"/>
  <c r="DK298" i="20"/>
  <c r="DK299" i="20"/>
  <c r="DK300" i="20"/>
  <c r="DK301" i="20"/>
  <c r="DK302" i="20"/>
  <c r="DK303" i="20"/>
  <c r="DK304" i="20"/>
  <c r="DK305" i="20"/>
  <c r="DK306" i="20"/>
  <c r="DK307" i="20"/>
  <c r="DK308" i="20"/>
  <c r="DK309" i="20"/>
  <c r="DK310" i="20"/>
  <c r="DK311" i="20"/>
  <c r="DK312" i="20"/>
  <c r="DK313" i="20"/>
  <c r="DK314" i="20"/>
  <c r="DK315" i="20"/>
  <c r="DK316" i="20"/>
  <c r="DK317" i="20"/>
  <c r="DK318" i="20"/>
  <c r="DK319" i="20"/>
  <c r="DK320" i="20"/>
  <c r="DK321" i="20"/>
  <c r="DK322" i="20"/>
  <c r="DK323" i="20"/>
  <c r="DK324" i="20"/>
  <c r="DK325" i="20"/>
  <c r="DK326" i="20"/>
  <c r="DK327" i="20"/>
  <c r="DK328" i="20"/>
  <c r="DK329" i="20"/>
  <c r="DK330" i="20"/>
  <c r="DJ179" i="20"/>
  <c r="DJ269" i="20"/>
  <c r="DJ265" i="20"/>
  <c r="DJ191" i="20"/>
  <c r="DJ195" i="20"/>
  <c r="DJ253" i="20"/>
  <c r="DJ249" i="20"/>
  <c r="DJ207" i="20"/>
  <c r="DJ241" i="20"/>
  <c r="DJ215" i="20"/>
  <c r="DJ219" i="20"/>
  <c r="DJ229" i="20"/>
  <c r="DJ8" i="21"/>
  <c r="DK7" i="21"/>
  <c r="DJ331" i="20"/>
  <c r="DG333" i="20" l="1"/>
  <c r="CY333" i="20"/>
  <c r="DH333" i="20"/>
  <c r="CX333" i="20"/>
  <c r="CP333" i="20"/>
  <c r="CH333" i="20"/>
  <c r="BZ333" i="20"/>
  <c r="BR333" i="20"/>
  <c r="BJ333" i="20"/>
  <c r="BB333" i="20"/>
  <c r="AT333" i="20"/>
  <c r="AL333" i="20"/>
  <c r="AD333" i="20"/>
  <c r="V333" i="20"/>
  <c r="N333" i="20"/>
  <c r="DF333" i="20"/>
  <c r="CW333" i="20"/>
  <c r="CO333" i="20"/>
  <c r="CG333" i="20"/>
  <c r="BY333" i="20"/>
  <c r="BQ333" i="20"/>
  <c r="BI333" i="20"/>
  <c r="BA333" i="20"/>
  <c r="AS333" i="20"/>
  <c r="AK333" i="20"/>
  <c r="AC333" i="20"/>
  <c r="U333" i="20"/>
  <c r="M333" i="20"/>
  <c r="DE333" i="20"/>
  <c r="CV333" i="20"/>
  <c r="CN333" i="20"/>
  <c r="CF333" i="20"/>
  <c r="BX333" i="20"/>
  <c r="BP333" i="20"/>
  <c r="BH333" i="20"/>
  <c r="AZ333" i="20"/>
  <c r="AR333" i="20"/>
  <c r="AJ333" i="20"/>
  <c r="AB333" i="20"/>
  <c r="T333" i="20"/>
  <c r="L333" i="20"/>
  <c r="DD333" i="20"/>
  <c r="CU333" i="20"/>
  <c r="CM333" i="20"/>
  <c r="CE333" i="20"/>
  <c r="BW333" i="20"/>
  <c r="BO333" i="20"/>
  <c r="BG333" i="20"/>
  <c r="AY333" i="20"/>
  <c r="AQ333" i="20"/>
  <c r="AI333" i="20"/>
  <c r="AA333" i="20"/>
  <c r="S333" i="20"/>
  <c r="K333" i="20"/>
  <c r="CT333" i="20"/>
  <c r="CD333" i="20"/>
  <c r="BN333" i="20"/>
  <c r="AX333" i="20"/>
  <c r="AH333" i="20"/>
  <c r="R333" i="20"/>
  <c r="DK333" i="20"/>
  <c r="CS333" i="20"/>
  <c r="CC333" i="20"/>
  <c r="BM333" i="20"/>
  <c r="AW333" i="20"/>
  <c r="AG333" i="20"/>
  <c r="Q333" i="20"/>
  <c r="DJ333" i="20"/>
  <c r="CR333" i="20"/>
  <c r="CB333" i="20"/>
  <c r="BL333" i="20"/>
  <c r="AV333" i="20"/>
  <c r="AF333" i="20"/>
  <c r="P333" i="20"/>
  <c r="DI333" i="20"/>
  <c r="CQ333" i="20"/>
  <c r="CA333" i="20"/>
  <c r="BK333" i="20"/>
  <c r="AU333" i="20"/>
  <c r="AE333" i="20"/>
  <c r="O333" i="20"/>
  <c r="DA333" i="20"/>
  <c r="BT333" i="20"/>
  <c r="AN333" i="20"/>
  <c r="H333" i="20"/>
  <c r="CZ333" i="20"/>
  <c r="BS333" i="20"/>
  <c r="AM333" i="20"/>
  <c r="G333" i="20"/>
  <c r="CL333" i="20"/>
  <c r="BF333" i="20"/>
  <c r="Z333" i="20"/>
  <c r="CK333" i="20"/>
  <c r="BE333" i="20"/>
  <c r="Y333" i="20"/>
  <c r="BD333" i="20"/>
  <c r="BC333" i="20"/>
  <c r="DC333" i="20"/>
  <c r="AP333" i="20"/>
  <c r="DB333" i="20"/>
  <c r="AO333" i="20"/>
  <c r="W333" i="20"/>
  <c r="J333" i="20"/>
  <c r="I333" i="20"/>
  <c r="CJ333" i="20"/>
  <c r="CI333" i="20"/>
  <c r="BV333" i="20"/>
  <c r="BU333" i="20"/>
  <c r="X333" i="20"/>
  <c r="DL176" i="20"/>
  <c r="DL332" i="20" s="1"/>
  <c r="DL226" i="20"/>
  <c r="DM175" i="20"/>
  <c r="DL230" i="20"/>
  <c r="DL222" i="20"/>
  <c r="DL218" i="20"/>
  <c r="DL234" i="20"/>
  <c r="DL238" i="20"/>
  <c r="DL214" i="20"/>
  <c r="DL241" i="20"/>
  <c r="DL242" i="20"/>
  <c r="DL210" i="20"/>
  <c r="DL245" i="20"/>
  <c r="DL206" i="20"/>
  <c r="DL246" i="20"/>
  <c r="DL203" i="20"/>
  <c r="DL202" i="20"/>
  <c r="DL250" i="20"/>
  <c r="DL199" i="20"/>
  <c r="DL254" i="20"/>
  <c r="DL198" i="20"/>
  <c r="DL257" i="20"/>
  <c r="DL258" i="20"/>
  <c r="DL194" i="20"/>
  <c r="DL261" i="20"/>
  <c r="DL262" i="20"/>
  <c r="DL190" i="20"/>
  <c r="DL187" i="20"/>
  <c r="DL186" i="20"/>
  <c r="DL266" i="20"/>
  <c r="DL269" i="20"/>
  <c r="DL182" i="20"/>
  <c r="DL270" i="20"/>
  <c r="DL179" i="20"/>
  <c r="DL274" i="20"/>
  <c r="DL178" i="20"/>
  <c r="DL280" i="20"/>
  <c r="DL281" i="20"/>
  <c r="DL282" i="20"/>
  <c r="DL288" i="20"/>
  <c r="DL289" i="20"/>
  <c r="DL290" i="20"/>
  <c r="DL296" i="20"/>
  <c r="DL297" i="20"/>
  <c r="DL298" i="20"/>
  <c r="DL304" i="20"/>
  <c r="DL305" i="20"/>
  <c r="DL306" i="20"/>
  <c r="DL312" i="20"/>
  <c r="DL313" i="20"/>
  <c r="DL314" i="20"/>
  <c r="DL320" i="20"/>
  <c r="DL321" i="20"/>
  <c r="DL322" i="20"/>
  <c r="DL328" i="20"/>
  <c r="DL329" i="20"/>
  <c r="DL330" i="20"/>
  <c r="F334" i="20"/>
  <c r="D164" i="20"/>
  <c r="F165" i="20"/>
  <c r="DK8" i="21"/>
  <c r="DL7" i="21"/>
  <c r="D333" i="20"/>
  <c r="E333" i="20" s="1"/>
  <c r="E163" i="20"/>
  <c r="DL237" i="20" l="1"/>
  <c r="DL223" i="20"/>
  <c r="DJ334" i="20"/>
  <c r="DB334" i="20"/>
  <c r="CT334" i="20"/>
  <c r="CL334" i="20"/>
  <c r="CD334" i="20"/>
  <c r="BV334" i="20"/>
  <c r="BN334" i="20"/>
  <c r="BF334" i="20"/>
  <c r="AX334" i="20"/>
  <c r="AP334" i="20"/>
  <c r="AH334" i="20"/>
  <c r="Z334" i="20"/>
  <c r="R334" i="20"/>
  <c r="J334" i="20"/>
  <c r="DI334" i="20"/>
  <c r="DA334" i="20"/>
  <c r="CS334" i="20"/>
  <c r="CK334" i="20"/>
  <c r="CC334" i="20"/>
  <c r="BU334" i="20"/>
  <c r="BM334" i="20"/>
  <c r="BE334" i="20"/>
  <c r="AW334" i="20"/>
  <c r="AO334" i="20"/>
  <c r="AG334" i="20"/>
  <c r="Y334" i="20"/>
  <c r="Q334" i="20"/>
  <c r="I334" i="20"/>
  <c r="DH334" i="20"/>
  <c r="CZ334" i="20"/>
  <c r="CR334" i="20"/>
  <c r="CJ334" i="20"/>
  <c r="CB334" i="20"/>
  <c r="BT334" i="20"/>
  <c r="BL334" i="20"/>
  <c r="BD334" i="20"/>
  <c r="AV334" i="20"/>
  <c r="AN334" i="20"/>
  <c r="AF334" i="20"/>
  <c r="X334" i="20"/>
  <c r="P334" i="20"/>
  <c r="H334" i="20"/>
  <c r="DD334" i="20"/>
  <c r="CP334" i="20"/>
  <c r="CE334" i="20"/>
  <c r="BQ334" i="20"/>
  <c r="BC334" i="20"/>
  <c r="AR334" i="20"/>
  <c r="AD334" i="20"/>
  <c r="S334" i="20"/>
  <c r="DC334" i="20"/>
  <c r="CO334" i="20"/>
  <c r="CA334" i="20"/>
  <c r="BP334" i="20"/>
  <c r="BB334" i="20"/>
  <c r="AQ334" i="20"/>
  <c r="AC334" i="20"/>
  <c r="O334" i="20"/>
  <c r="DM334" i="20"/>
  <c r="CY334" i="20"/>
  <c r="CN334" i="20"/>
  <c r="BZ334" i="20"/>
  <c r="BO334" i="20"/>
  <c r="BA334" i="20"/>
  <c r="AM334" i="20"/>
  <c r="AB334" i="20"/>
  <c r="N334" i="20"/>
  <c r="DL334" i="20"/>
  <c r="CX334" i="20"/>
  <c r="CM334" i="20"/>
  <c r="BY334" i="20"/>
  <c r="BK334" i="20"/>
  <c r="AZ334" i="20"/>
  <c r="AL334" i="20"/>
  <c r="AA334" i="20"/>
  <c r="M334" i="20"/>
  <c r="CW334" i="20"/>
  <c r="BX334" i="20"/>
  <c r="AY334" i="20"/>
  <c r="W334" i="20"/>
  <c r="CV334" i="20"/>
  <c r="BW334" i="20"/>
  <c r="AU334" i="20"/>
  <c r="V334" i="20"/>
  <c r="CU334" i="20"/>
  <c r="BS334" i="20"/>
  <c r="AT334" i="20"/>
  <c r="U334" i="20"/>
  <c r="CQ334" i="20"/>
  <c r="BR334" i="20"/>
  <c r="AS334" i="20"/>
  <c r="T334" i="20"/>
  <c r="CG334" i="20"/>
  <c r="AI334" i="20"/>
  <c r="CF334" i="20"/>
  <c r="AE334" i="20"/>
  <c r="DK334" i="20"/>
  <c r="BJ334" i="20"/>
  <c r="L334" i="20"/>
  <c r="DG334" i="20"/>
  <c r="BI334" i="20"/>
  <c r="K334" i="20"/>
  <c r="BH334" i="20"/>
  <c r="BG334" i="20"/>
  <c r="AK334" i="20"/>
  <c r="AJ334" i="20"/>
  <c r="DF334" i="20"/>
  <c r="DE334" i="20"/>
  <c r="CH334" i="20"/>
  <c r="G334" i="20"/>
  <c r="CI334" i="20"/>
  <c r="DL326" i="20"/>
  <c r="DL318" i="20"/>
  <c r="DL310" i="20"/>
  <c r="DL302" i="20"/>
  <c r="DL294" i="20"/>
  <c r="DL286" i="20"/>
  <c r="DL278" i="20"/>
  <c r="DL180" i="20"/>
  <c r="DL268" i="20"/>
  <c r="DL188" i="20"/>
  <c r="DL192" i="20"/>
  <c r="DL256" i="20"/>
  <c r="DL252" i="20"/>
  <c r="DL248" i="20"/>
  <c r="DL208" i="20"/>
  <c r="DL240" i="20"/>
  <c r="DL216" i="20"/>
  <c r="DL220" i="20"/>
  <c r="DL228" i="20"/>
  <c r="DM226" i="20"/>
  <c r="DN175" i="20"/>
  <c r="DM176" i="20"/>
  <c r="DM222" i="20" s="1"/>
  <c r="DM225" i="20"/>
  <c r="DM228" i="20"/>
  <c r="DM224" i="20"/>
  <c r="DM223" i="20"/>
  <c r="DM229" i="20"/>
  <c r="DM230" i="20"/>
  <c r="DM231" i="20"/>
  <c r="DM220" i="20"/>
  <c r="DM232" i="20"/>
  <c r="DM233" i="20"/>
  <c r="DM219" i="20"/>
  <c r="DM234" i="20"/>
  <c r="DM235" i="20"/>
  <c r="DM236" i="20"/>
  <c r="DM216" i="20"/>
  <c r="DM237" i="20"/>
  <c r="DM215" i="20"/>
  <c r="DM238" i="20"/>
  <c r="DM213" i="20"/>
  <c r="DM212" i="20"/>
  <c r="DM240" i="20"/>
  <c r="DM241" i="20"/>
  <c r="DM211" i="20"/>
  <c r="DM242" i="20"/>
  <c r="DM210" i="20"/>
  <c r="DM209" i="20"/>
  <c r="DM243" i="20"/>
  <c r="DM244" i="20"/>
  <c r="DM208" i="20"/>
  <c r="DM207" i="20"/>
  <c r="DM245" i="20"/>
  <c r="DM206" i="20"/>
  <c r="DM246" i="20"/>
  <c r="DM205" i="20"/>
  <c r="DM247" i="20"/>
  <c r="DM248" i="20"/>
  <c r="DM204" i="20"/>
  <c r="DM249" i="20"/>
  <c r="DM203" i="20"/>
  <c r="DM202" i="20"/>
  <c r="DM250" i="20"/>
  <c r="DM251" i="20"/>
  <c r="DM201" i="20"/>
  <c r="DM252" i="20"/>
  <c r="DM200" i="20"/>
  <c r="DM253" i="20"/>
  <c r="DM199" i="20"/>
  <c r="DM198" i="20"/>
  <c r="DM254" i="20"/>
  <c r="DM255" i="20"/>
  <c r="DM197" i="20"/>
  <c r="DM196" i="20"/>
  <c r="DM256" i="20"/>
  <c r="DM195" i="20"/>
  <c r="DM257" i="20"/>
  <c r="DM194" i="20"/>
  <c r="DM258" i="20"/>
  <c r="DM259" i="20"/>
  <c r="DM193" i="20"/>
  <c r="DM260" i="20"/>
  <c r="DM192" i="20"/>
  <c r="DM191" i="20"/>
  <c r="DM261" i="20"/>
  <c r="DM190" i="20"/>
  <c r="DM262" i="20"/>
  <c r="DM189" i="20"/>
  <c r="DM263" i="20"/>
  <c r="DM264" i="20"/>
  <c r="DM188" i="20"/>
  <c r="DM187" i="20"/>
  <c r="DM265" i="20"/>
  <c r="DM186" i="20"/>
  <c r="DM266" i="20"/>
  <c r="DM185" i="20"/>
  <c r="DM267" i="20"/>
  <c r="DM268" i="20"/>
  <c r="DM184" i="20"/>
  <c r="DM183" i="20"/>
  <c r="DM269" i="20"/>
  <c r="DM182" i="20"/>
  <c r="DM270" i="20"/>
  <c r="DM271" i="20"/>
  <c r="DM181" i="20"/>
  <c r="DM272" i="20"/>
  <c r="DM180" i="20"/>
  <c r="DM273" i="20"/>
  <c r="DM179" i="20"/>
  <c r="DM274" i="20"/>
  <c r="DM178" i="20"/>
  <c r="DM275" i="20"/>
  <c r="DM276" i="20"/>
  <c r="DM277" i="20"/>
  <c r="DM278" i="20"/>
  <c r="DM279" i="20"/>
  <c r="DM280" i="20"/>
  <c r="DM281" i="20"/>
  <c r="DM282" i="20"/>
  <c r="DM283" i="20"/>
  <c r="DM284" i="20"/>
  <c r="DM285" i="20"/>
  <c r="DM286" i="20"/>
  <c r="DM287" i="20"/>
  <c r="DM288" i="20"/>
  <c r="DM289" i="20"/>
  <c r="DM290" i="20"/>
  <c r="DM291" i="20"/>
  <c r="DM292" i="20"/>
  <c r="DM293" i="20"/>
  <c r="DM294" i="20"/>
  <c r="DM295" i="20"/>
  <c r="DM296" i="20"/>
  <c r="DM297" i="20"/>
  <c r="DM298" i="20"/>
  <c r="DM299" i="20"/>
  <c r="DM300" i="20"/>
  <c r="DM301" i="20"/>
  <c r="DM302" i="20"/>
  <c r="DM303" i="20"/>
  <c r="DM304" i="20"/>
  <c r="DM305" i="20"/>
  <c r="DM306" i="20"/>
  <c r="DM307" i="20"/>
  <c r="DM308" i="20"/>
  <c r="DM309" i="20"/>
  <c r="DM310" i="20"/>
  <c r="DM311" i="20"/>
  <c r="DM312" i="20"/>
  <c r="DM313" i="20"/>
  <c r="DM314" i="20"/>
  <c r="DM315" i="20"/>
  <c r="DM316" i="20"/>
  <c r="DM317" i="20"/>
  <c r="DM318" i="20"/>
  <c r="DM319" i="20"/>
  <c r="DM320" i="20"/>
  <c r="DM321" i="20"/>
  <c r="DM322" i="20"/>
  <c r="DM323" i="20"/>
  <c r="DM324" i="20"/>
  <c r="DM325" i="20"/>
  <c r="DM326" i="20"/>
  <c r="DM327" i="20"/>
  <c r="DM328" i="20"/>
  <c r="DM329" i="20"/>
  <c r="DM330" i="20"/>
  <c r="DM331" i="20"/>
  <c r="DM332" i="20"/>
  <c r="DL327" i="20"/>
  <c r="DL311" i="20"/>
  <c r="DL287" i="20"/>
  <c r="DL273" i="20"/>
  <c r="DL265" i="20"/>
  <c r="DL253" i="20"/>
  <c r="DL207" i="20"/>
  <c r="DL211" i="20"/>
  <c r="DL219" i="20"/>
  <c r="DL325" i="20"/>
  <c r="DL317" i="20"/>
  <c r="DL309" i="20"/>
  <c r="DL301" i="20"/>
  <c r="DL293" i="20"/>
  <c r="DL285" i="20"/>
  <c r="DL277" i="20"/>
  <c r="DL272" i="20"/>
  <c r="DL184" i="20"/>
  <c r="DL264" i="20"/>
  <c r="DL260" i="20"/>
  <c r="DL196" i="20"/>
  <c r="DL200" i="20"/>
  <c r="DL204" i="20"/>
  <c r="DL244" i="20"/>
  <c r="DL212" i="20"/>
  <c r="DL236" i="20"/>
  <c r="DL232" i="20"/>
  <c r="DL224" i="20"/>
  <c r="D334" i="20"/>
  <c r="E334" i="20" s="1"/>
  <c r="E164" i="20"/>
  <c r="DL191" i="20"/>
  <c r="DL324" i="20"/>
  <c r="DL316" i="20"/>
  <c r="DL308" i="20"/>
  <c r="DL300" i="20"/>
  <c r="DL292" i="20"/>
  <c r="DL284" i="20"/>
  <c r="DL276" i="20"/>
  <c r="DL271" i="20"/>
  <c r="DL267" i="20"/>
  <c r="DL189" i="20"/>
  <c r="DL193" i="20"/>
  <c r="DL197" i="20"/>
  <c r="DL251" i="20"/>
  <c r="DL205" i="20"/>
  <c r="DL209" i="20"/>
  <c r="DL239" i="20"/>
  <c r="DL217" i="20"/>
  <c r="DL231" i="20"/>
  <c r="DL227" i="20"/>
  <c r="F335" i="20"/>
  <c r="F166" i="20"/>
  <c r="D165" i="20"/>
  <c r="DL233" i="20"/>
  <c r="DL319" i="20"/>
  <c r="DL303" i="20"/>
  <c r="DL295" i="20"/>
  <c r="DL279" i="20"/>
  <c r="DL183" i="20"/>
  <c r="DL195" i="20"/>
  <c r="DL249" i="20"/>
  <c r="DL215" i="20"/>
  <c r="DL229" i="20"/>
  <c r="DM7" i="21"/>
  <c r="DL8" i="21"/>
  <c r="DL331" i="20"/>
  <c r="DL323" i="20"/>
  <c r="DL315" i="20"/>
  <c r="DL307" i="20"/>
  <c r="DL299" i="20"/>
  <c r="DL291" i="20"/>
  <c r="DL283" i="20"/>
  <c r="DL275" i="20"/>
  <c r="DL181" i="20"/>
  <c r="DL185" i="20"/>
  <c r="DL263" i="20"/>
  <c r="DL259" i="20"/>
  <c r="DL255" i="20"/>
  <c r="DL201" i="20"/>
  <c r="DL247" i="20"/>
  <c r="DL243" i="20"/>
  <c r="DL213" i="20"/>
  <c r="DL235" i="20"/>
  <c r="DL221" i="20"/>
  <c r="DL225" i="20"/>
  <c r="DL333" i="20"/>
  <c r="DM333" i="20"/>
  <c r="DN334" i="20" l="1"/>
  <c r="D335" i="20"/>
  <c r="E335" i="20" s="1"/>
  <c r="E165" i="20"/>
  <c r="F336" i="20"/>
  <c r="D166" i="20"/>
  <c r="F167" i="20"/>
  <c r="DM239" i="20"/>
  <c r="DM217" i="20"/>
  <c r="DM221" i="20"/>
  <c r="DM227" i="20"/>
  <c r="DN7" i="21"/>
  <c r="DM8" i="21"/>
  <c r="DK335" i="20"/>
  <c r="DC335" i="20"/>
  <c r="CU335" i="20"/>
  <c r="CM335" i="20"/>
  <c r="CE335" i="20"/>
  <c r="BW335" i="20"/>
  <c r="BO335" i="20"/>
  <c r="BG335" i="20"/>
  <c r="AY335" i="20"/>
  <c r="AQ335" i="20"/>
  <c r="AI335" i="20"/>
  <c r="AA335" i="20"/>
  <c r="S335" i="20"/>
  <c r="K335" i="20"/>
  <c r="DJ335" i="20"/>
  <c r="DB335" i="20"/>
  <c r="CT335" i="20"/>
  <c r="CL335" i="20"/>
  <c r="CD335" i="20"/>
  <c r="BV335" i="20"/>
  <c r="BN335" i="20"/>
  <c r="BF335" i="20"/>
  <c r="AX335" i="20"/>
  <c r="AP335" i="20"/>
  <c r="AH335" i="20"/>
  <c r="Z335" i="20"/>
  <c r="R335" i="20"/>
  <c r="J335" i="20"/>
  <c r="DI335" i="20"/>
  <c r="DA335" i="20"/>
  <c r="CS335" i="20"/>
  <c r="CK335" i="20"/>
  <c r="CC335" i="20"/>
  <c r="BU335" i="20"/>
  <c r="BM335" i="20"/>
  <c r="BE335" i="20"/>
  <c r="AW335" i="20"/>
  <c r="AO335" i="20"/>
  <c r="AG335" i="20"/>
  <c r="Y335" i="20"/>
  <c r="Q335" i="20"/>
  <c r="I335" i="20"/>
  <c r="DD335" i="20"/>
  <c r="CP335" i="20"/>
  <c r="CB335" i="20"/>
  <c r="BQ335" i="20"/>
  <c r="BC335" i="20"/>
  <c r="AR335" i="20"/>
  <c r="AD335" i="20"/>
  <c r="P335" i="20"/>
  <c r="DN335" i="20"/>
  <c r="CZ335" i="20"/>
  <c r="CO335" i="20"/>
  <c r="CA335" i="20"/>
  <c r="BP335" i="20"/>
  <c r="BB335" i="20"/>
  <c r="AN335" i="20"/>
  <c r="AC335" i="20"/>
  <c r="O335" i="20"/>
  <c r="DM335" i="20"/>
  <c r="CY335" i="20"/>
  <c r="CN335" i="20"/>
  <c r="BZ335" i="20"/>
  <c r="BL335" i="20"/>
  <c r="BA335" i="20"/>
  <c r="AM335" i="20"/>
  <c r="AB335" i="20"/>
  <c r="N335" i="20"/>
  <c r="DL335" i="20"/>
  <c r="CX335" i="20"/>
  <c r="CJ335" i="20"/>
  <c r="BY335" i="20"/>
  <c r="BK335" i="20"/>
  <c r="AZ335" i="20"/>
  <c r="AL335" i="20"/>
  <c r="X335" i="20"/>
  <c r="M335" i="20"/>
  <c r="DH335" i="20"/>
  <c r="CI335" i="20"/>
  <c r="BJ335" i="20"/>
  <c r="AK335" i="20"/>
  <c r="L335" i="20"/>
  <c r="DG335" i="20"/>
  <c r="CH335" i="20"/>
  <c r="BI335" i="20"/>
  <c r="AJ335" i="20"/>
  <c r="H335" i="20"/>
  <c r="DF335" i="20"/>
  <c r="CG335" i="20"/>
  <c r="BH335" i="20"/>
  <c r="AF335" i="20"/>
  <c r="G335" i="20"/>
  <c r="DE335" i="20"/>
  <c r="CF335" i="20"/>
  <c r="BD335" i="20"/>
  <c r="AE335" i="20"/>
  <c r="BS335" i="20"/>
  <c r="U335" i="20"/>
  <c r="BR335" i="20"/>
  <c r="T335" i="20"/>
  <c r="CW335" i="20"/>
  <c r="AV335" i="20"/>
  <c r="CV335" i="20"/>
  <c r="AU335" i="20"/>
  <c r="CR335" i="20"/>
  <c r="CQ335" i="20"/>
  <c r="BX335" i="20"/>
  <c r="BT335" i="20"/>
  <c r="AS335" i="20"/>
  <c r="W335" i="20"/>
  <c r="V335" i="20"/>
  <c r="AT335" i="20"/>
  <c r="DM214" i="20"/>
  <c r="DM218" i="20"/>
  <c r="DO175" i="20"/>
  <c r="DN227" i="20"/>
  <c r="DN176" i="20"/>
  <c r="DN226" i="20"/>
  <c r="DN225" i="20"/>
  <c r="DN224" i="20"/>
  <c r="DN228" i="20"/>
  <c r="DN229" i="20"/>
  <c r="DN223" i="20"/>
  <c r="DN230" i="20"/>
  <c r="DN222" i="20"/>
  <c r="DN221" i="20"/>
  <c r="DN231" i="20"/>
  <c r="DN220" i="20"/>
  <c r="DN232" i="20"/>
  <c r="DN233" i="20"/>
  <c r="DN219" i="20"/>
  <c r="DN218" i="20"/>
  <c r="DN234" i="20"/>
  <c r="DN217" i="20"/>
  <c r="DN235" i="20"/>
  <c r="DN216" i="20"/>
  <c r="DN236" i="20"/>
  <c r="DN237" i="20"/>
  <c r="DN215" i="20"/>
  <c r="DN214" i="20"/>
  <c r="DN238" i="20"/>
  <c r="DN213" i="20"/>
  <c r="DN239" i="20"/>
  <c r="DN212" i="20"/>
  <c r="DN240" i="20"/>
  <c r="DN241" i="20"/>
  <c r="DN211" i="20"/>
  <c r="DN210" i="20"/>
  <c r="DN242" i="20"/>
  <c r="DN209" i="20"/>
  <c r="DN243" i="20"/>
  <c r="DN244" i="20"/>
  <c r="DN208" i="20"/>
  <c r="DN207" i="20"/>
  <c r="DN245" i="20"/>
  <c r="DN246" i="20"/>
  <c r="DN206" i="20"/>
  <c r="DN247" i="20"/>
  <c r="DN205" i="20"/>
  <c r="DN204" i="20"/>
  <c r="DN248" i="20"/>
  <c r="DN203" i="20"/>
  <c r="DN249" i="20"/>
  <c r="DN250" i="20"/>
  <c r="DN202" i="20"/>
  <c r="DN251" i="20"/>
  <c r="DN201" i="20"/>
  <c r="DN252" i="20"/>
  <c r="DN200" i="20"/>
  <c r="DN253" i="20"/>
  <c r="DN199" i="20"/>
  <c r="DN254" i="20"/>
  <c r="DN198" i="20"/>
  <c r="DN255" i="20"/>
  <c r="DN197" i="20"/>
  <c r="DN256" i="20"/>
  <c r="DN196" i="20"/>
  <c r="DN257" i="20"/>
  <c r="DN195" i="20"/>
  <c r="DN194" i="20"/>
  <c r="DN258" i="20"/>
  <c r="DN259" i="20"/>
  <c r="DN193" i="20"/>
  <c r="DN260" i="20"/>
  <c r="DN192" i="20"/>
  <c r="DN261" i="20"/>
  <c r="DN191" i="20"/>
  <c r="DN190" i="20"/>
  <c r="DN262" i="20"/>
  <c r="DN189" i="20"/>
  <c r="DN263" i="20"/>
  <c r="DN188" i="20"/>
  <c r="DN264" i="20"/>
  <c r="DN265" i="20"/>
  <c r="DN187" i="20"/>
  <c r="DN266" i="20"/>
  <c r="DN186" i="20"/>
  <c r="DN267" i="20"/>
  <c r="DN185" i="20"/>
  <c r="DN184" i="20"/>
  <c r="DN268" i="20"/>
  <c r="DN183" i="20"/>
  <c r="DN269" i="20"/>
  <c r="DN270" i="20"/>
  <c r="DN182" i="20"/>
  <c r="DN271" i="20"/>
  <c r="DN181" i="20"/>
  <c r="DN272" i="20"/>
  <c r="DN180" i="20"/>
  <c r="DN273" i="20"/>
  <c r="DN179" i="20"/>
  <c r="DN178" i="20"/>
  <c r="DN274" i="20"/>
  <c r="DN275" i="20"/>
  <c r="DN276" i="20"/>
  <c r="DN277" i="20"/>
  <c r="DN278" i="20"/>
  <c r="DN279" i="20"/>
  <c r="DN280" i="20"/>
  <c r="DN281" i="20"/>
  <c r="DN282" i="20"/>
  <c r="DN283" i="20"/>
  <c r="DN284" i="20"/>
  <c r="DN285" i="20"/>
  <c r="DN286" i="20"/>
  <c r="DN287" i="20"/>
  <c r="DN288" i="20"/>
  <c r="DN289" i="20"/>
  <c r="DN290" i="20"/>
  <c r="DN291" i="20"/>
  <c r="DN292" i="20"/>
  <c r="DN293" i="20"/>
  <c r="DN294" i="20"/>
  <c r="DN295" i="20"/>
  <c r="DN296" i="20"/>
  <c r="DN297" i="20"/>
  <c r="DN298" i="20"/>
  <c r="DN299" i="20"/>
  <c r="DN300" i="20"/>
  <c r="DN301" i="20"/>
  <c r="DN302" i="20"/>
  <c r="DN303" i="20"/>
  <c r="DN304" i="20"/>
  <c r="DN305" i="20"/>
  <c r="DN306" i="20"/>
  <c r="DN307" i="20"/>
  <c r="DN308" i="20"/>
  <c r="DN309" i="20"/>
  <c r="DN310" i="20"/>
  <c r="DN311" i="20"/>
  <c r="DN312" i="20"/>
  <c r="DN313" i="20"/>
  <c r="DN314" i="20"/>
  <c r="DN315" i="20"/>
  <c r="DN316" i="20"/>
  <c r="DN317" i="20"/>
  <c r="DN318" i="20"/>
  <c r="DN319" i="20"/>
  <c r="DN320" i="20"/>
  <c r="DN321" i="20"/>
  <c r="DN322" i="20"/>
  <c r="DN323" i="20"/>
  <c r="DN324" i="20"/>
  <c r="DN325" i="20"/>
  <c r="DN326" i="20"/>
  <c r="DN327" i="20"/>
  <c r="DN328" i="20"/>
  <c r="DN329" i="20"/>
  <c r="DN330" i="20"/>
  <c r="DN331" i="20"/>
  <c r="DN332" i="20"/>
  <c r="DN333" i="20"/>
  <c r="DO7" i="21" l="1"/>
  <c r="DN8" i="21"/>
  <c r="DK336" i="20"/>
  <c r="DC336" i="20"/>
  <c r="CU336" i="20"/>
  <c r="CM336" i="20"/>
  <c r="CE336" i="20"/>
  <c r="BW336" i="20"/>
  <c r="BO336" i="20"/>
  <c r="DI336" i="20"/>
  <c r="DA336" i="20"/>
  <c r="CS336" i="20"/>
  <c r="CK336" i="20"/>
  <c r="CC336" i="20"/>
  <c r="BU336" i="20"/>
  <c r="BM336" i="20"/>
  <c r="DH336" i="20"/>
  <c r="CX336" i="20"/>
  <c r="CN336" i="20"/>
  <c r="CB336" i="20"/>
  <c r="BR336" i="20"/>
  <c r="BH336" i="20"/>
  <c r="AZ336" i="20"/>
  <c r="AR336" i="20"/>
  <c r="AJ336" i="20"/>
  <c r="AB336" i="20"/>
  <c r="T336" i="20"/>
  <c r="L336" i="20"/>
  <c r="DG336" i="20"/>
  <c r="CW336" i="20"/>
  <c r="CL336" i="20"/>
  <c r="CA336" i="20"/>
  <c r="BQ336" i="20"/>
  <c r="BG336" i="20"/>
  <c r="AY336" i="20"/>
  <c r="AQ336" i="20"/>
  <c r="AI336" i="20"/>
  <c r="AA336" i="20"/>
  <c r="S336" i="20"/>
  <c r="K336" i="20"/>
  <c r="DF336" i="20"/>
  <c r="CV336" i="20"/>
  <c r="CJ336" i="20"/>
  <c r="BZ336" i="20"/>
  <c r="BP336" i="20"/>
  <c r="BF336" i="20"/>
  <c r="AX336" i="20"/>
  <c r="AP336" i="20"/>
  <c r="AH336" i="20"/>
  <c r="Z336" i="20"/>
  <c r="R336" i="20"/>
  <c r="J336" i="20"/>
  <c r="DO336" i="20"/>
  <c r="CZ336" i="20"/>
  <c r="CH336" i="20"/>
  <c r="BS336" i="20"/>
  <c r="BC336" i="20"/>
  <c r="AO336" i="20"/>
  <c r="AD336" i="20"/>
  <c r="P336" i="20"/>
  <c r="DN336" i="20"/>
  <c r="CY336" i="20"/>
  <c r="CG336" i="20"/>
  <c r="BN336" i="20"/>
  <c r="BB336" i="20"/>
  <c r="AN336" i="20"/>
  <c r="AC336" i="20"/>
  <c r="O336" i="20"/>
  <c r="DM336" i="20"/>
  <c r="CT336" i="20"/>
  <c r="CF336" i="20"/>
  <c r="BL336" i="20"/>
  <c r="BA336" i="20"/>
  <c r="AM336" i="20"/>
  <c r="Y336" i="20"/>
  <c r="N336" i="20"/>
  <c r="DL336" i="20"/>
  <c r="CR336" i="20"/>
  <c r="CD336" i="20"/>
  <c r="BK336" i="20"/>
  <c r="AW336" i="20"/>
  <c r="AL336" i="20"/>
  <c r="X336" i="20"/>
  <c r="M336" i="20"/>
  <c r="DJ336" i="20"/>
  <c r="BY336" i="20"/>
  <c r="AV336" i="20"/>
  <c r="W336" i="20"/>
  <c r="DE336" i="20"/>
  <c r="BX336" i="20"/>
  <c r="AU336" i="20"/>
  <c r="V336" i="20"/>
  <c r="DD336" i="20"/>
  <c r="BV336" i="20"/>
  <c r="AT336" i="20"/>
  <c r="U336" i="20"/>
  <c r="DB336" i="20"/>
  <c r="BT336" i="20"/>
  <c r="AS336" i="20"/>
  <c r="Q336" i="20"/>
  <c r="BE336" i="20"/>
  <c r="G336" i="20"/>
  <c r="BD336" i="20"/>
  <c r="CQ336" i="20"/>
  <c r="AK336" i="20"/>
  <c r="CP336" i="20"/>
  <c r="AG336" i="20"/>
  <c r="AF336" i="20"/>
  <c r="AE336" i="20"/>
  <c r="I336" i="20"/>
  <c r="H336" i="20"/>
  <c r="CI336" i="20"/>
  <c r="BJ336" i="20"/>
  <c r="BI336" i="20"/>
  <c r="CO336" i="20"/>
  <c r="D336" i="20"/>
  <c r="E336" i="20" s="1"/>
  <c r="E166" i="20"/>
  <c r="DP175" i="20"/>
  <c r="DO176" i="20"/>
  <c r="DO335" i="20" s="1"/>
  <c r="DO226" i="20"/>
  <c r="DO227" i="20"/>
  <c r="DO228" i="20"/>
  <c r="DO224" i="20"/>
  <c r="DO223" i="20"/>
  <c r="DO230" i="20"/>
  <c r="DO231" i="20"/>
  <c r="DO221" i="20"/>
  <c r="DO232" i="20"/>
  <c r="DO220" i="20"/>
  <c r="DO233" i="20"/>
  <c r="DO234" i="20"/>
  <c r="DO217" i="20"/>
  <c r="DO235" i="20"/>
  <c r="DO216" i="20"/>
  <c r="DO236" i="20"/>
  <c r="DO215" i="20"/>
  <c r="DO238" i="20"/>
  <c r="DO239" i="20"/>
  <c r="DO213" i="20"/>
  <c r="DO240" i="20"/>
  <c r="DO212" i="20"/>
  <c r="DO211" i="20"/>
  <c r="DO241" i="20"/>
  <c r="DO242" i="20"/>
  <c r="DO209" i="20"/>
  <c r="DO243" i="20"/>
  <c r="DO208" i="20"/>
  <c r="DO244" i="20"/>
  <c r="DO245" i="20"/>
  <c r="DO207" i="20"/>
  <c r="DO206" i="20"/>
  <c r="DO205" i="20"/>
  <c r="DO247" i="20"/>
  <c r="DO248" i="20"/>
  <c r="DO204" i="20"/>
  <c r="DO249" i="20"/>
  <c r="DO203" i="20"/>
  <c r="DO202" i="20"/>
  <c r="DO251" i="20"/>
  <c r="DO201" i="20"/>
  <c r="DO200" i="20"/>
  <c r="DO252" i="20"/>
  <c r="DO253" i="20"/>
  <c r="DO199" i="20"/>
  <c r="DO198" i="20"/>
  <c r="DO255" i="20"/>
  <c r="DO197" i="20"/>
  <c r="DO256" i="20"/>
  <c r="DO196" i="20"/>
  <c r="DO195" i="20"/>
  <c r="DO257" i="20"/>
  <c r="DO194" i="20"/>
  <c r="DO259" i="20"/>
  <c r="DO193" i="20"/>
  <c r="DO260" i="20"/>
  <c r="DO192" i="20"/>
  <c r="DO261" i="20"/>
  <c r="DO191" i="20"/>
  <c r="DO262" i="20"/>
  <c r="DO189" i="20"/>
  <c r="DO263" i="20"/>
  <c r="DO188" i="20"/>
  <c r="DO264" i="20"/>
  <c r="DO265" i="20"/>
  <c r="DO187" i="20"/>
  <c r="DO186" i="20"/>
  <c r="DO267" i="20"/>
  <c r="DO185" i="20"/>
  <c r="DO268" i="20"/>
  <c r="DO184" i="20"/>
  <c r="DO269" i="20"/>
  <c r="DO183" i="20"/>
  <c r="DO270" i="20"/>
  <c r="DO271" i="20"/>
  <c r="DO181" i="20"/>
  <c r="DO272" i="20"/>
  <c r="DO180" i="20"/>
  <c r="DO273" i="20"/>
  <c r="DO179" i="20"/>
  <c r="DO178" i="20"/>
  <c r="DO275" i="20"/>
  <c r="DO276" i="20"/>
  <c r="DO277" i="20"/>
  <c r="DO278" i="20"/>
  <c r="DO279" i="20"/>
  <c r="DO280" i="20"/>
  <c r="DO281" i="20"/>
  <c r="DO283" i="20"/>
  <c r="DO284" i="20"/>
  <c r="DO285" i="20"/>
  <c r="DO286" i="20"/>
  <c r="DO287" i="20"/>
  <c r="DO288" i="20"/>
  <c r="DO289" i="20"/>
  <c r="DO291" i="20"/>
  <c r="DO292" i="20"/>
  <c r="DO293" i="20"/>
  <c r="DO294" i="20"/>
  <c r="DO295" i="20"/>
  <c r="DO296" i="20"/>
  <c r="DO297" i="20"/>
  <c r="DO299" i="20"/>
  <c r="DO300" i="20"/>
  <c r="DO301" i="20"/>
  <c r="DO302" i="20"/>
  <c r="DO303" i="20"/>
  <c r="DO304" i="20"/>
  <c r="DO305" i="20"/>
  <c r="DO307" i="20"/>
  <c r="DO308" i="20"/>
  <c r="DO309" i="20"/>
  <c r="DO310" i="20"/>
  <c r="DO311" i="20"/>
  <c r="DO312" i="20"/>
  <c r="DO313" i="20"/>
  <c r="DO315" i="20"/>
  <c r="DO316" i="20"/>
  <c r="DO317" i="20"/>
  <c r="DO318" i="20"/>
  <c r="DO319" i="20"/>
  <c r="DO320" i="20"/>
  <c r="DO321" i="20"/>
  <c r="DO323" i="20"/>
  <c r="DO324" i="20"/>
  <c r="DO325" i="20"/>
  <c r="DO326" i="20"/>
  <c r="DO327" i="20"/>
  <c r="DO328" i="20"/>
  <c r="DO329" i="20"/>
  <c r="DO331" i="20"/>
  <c r="DO332" i="20"/>
  <c r="DO333" i="20"/>
  <c r="DO334" i="20"/>
  <c r="F337" i="20"/>
  <c r="F168" i="20"/>
  <c r="D167" i="20"/>
  <c r="DO330" i="20" l="1"/>
  <c r="DO322" i="20"/>
  <c r="DO314" i="20"/>
  <c r="DO306" i="20"/>
  <c r="DO298" i="20"/>
  <c r="DO290" i="20"/>
  <c r="DO282" i="20"/>
  <c r="DO274" i="20"/>
  <c r="DO182" i="20"/>
  <c r="DO266" i="20"/>
  <c r="DO190" i="20"/>
  <c r="DO258" i="20"/>
  <c r="DO254" i="20"/>
  <c r="DO250" i="20"/>
  <c r="DO246" i="20"/>
  <c r="DO210" i="20"/>
  <c r="DO214" i="20"/>
  <c r="DO218" i="20"/>
  <c r="DO222" i="20"/>
  <c r="DO225" i="20"/>
  <c r="DO8" i="21"/>
  <c r="DP7" i="21"/>
  <c r="D337" i="20"/>
  <c r="E337" i="20" s="1"/>
  <c r="E167" i="20"/>
  <c r="F338" i="20"/>
  <c r="D168" i="20"/>
  <c r="F169" i="20"/>
  <c r="DQ175" i="20"/>
  <c r="DP176" i="20"/>
  <c r="DP336" i="20" s="1"/>
  <c r="DP225" i="20"/>
  <c r="DP224" i="20"/>
  <c r="DP228" i="20"/>
  <c r="DP223" i="20"/>
  <c r="DP229" i="20"/>
  <c r="DP222" i="20"/>
  <c r="DP221" i="20"/>
  <c r="DP231" i="20"/>
  <c r="DP232" i="20"/>
  <c r="DP220" i="20"/>
  <c r="DP233" i="20"/>
  <c r="DP219" i="20"/>
  <c r="DP234" i="20"/>
  <c r="DP217" i="20"/>
  <c r="DP235" i="20"/>
  <c r="DP236" i="20"/>
  <c r="DP216" i="20"/>
  <c r="DP215" i="20"/>
  <c r="DP237" i="20"/>
  <c r="DP238" i="20"/>
  <c r="DP214" i="20"/>
  <c r="DP213" i="20"/>
  <c r="DP239" i="20"/>
  <c r="DP240" i="20"/>
  <c r="DP212" i="20"/>
  <c r="DP241" i="20"/>
  <c r="DP211" i="20"/>
  <c r="DP210" i="20"/>
  <c r="DP242" i="20"/>
  <c r="DP209" i="20"/>
  <c r="DP243" i="20"/>
  <c r="DP244" i="20"/>
  <c r="DP208" i="20"/>
  <c r="DP207" i="20"/>
  <c r="DP245" i="20"/>
  <c r="DP246" i="20"/>
  <c r="DP206" i="20"/>
  <c r="DP205" i="20"/>
  <c r="DP247" i="20"/>
  <c r="DP248" i="20"/>
  <c r="DP204" i="20"/>
  <c r="DP203" i="20"/>
  <c r="DP249" i="20"/>
  <c r="DP250" i="20"/>
  <c r="DP202" i="20"/>
  <c r="DP201" i="20"/>
  <c r="DP251" i="20"/>
  <c r="DP252" i="20"/>
  <c r="DP200" i="20"/>
  <c r="DP253" i="20"/>
  <c r="DP199" i="20"/>
  <c r="DP198" i="20"/>
  <c r="DP254" i="20"/>
  <c r="DP197" i="20"/>
  <c r="DP255" i="20"/>
  <c r="DP196" i="20"/>
  <c r="DP256" i="20"/>
  <c r="DP195" i="20"/>
  <c r="DP257" i="20"/>
  <c r="DP194" i="20"/>
  <c r="DP258" i="20"/>
  <c r="DP259" i="20"/>
  <c r="DP193" i="20"/>
  <c r="DP192" i="20"/>
  <c r="DP260" i="20"/>
  <c r="DP261" i="20"/>
  <c r="DP191" i="20"/>
  <c r="DP190" i="20"/>
  <c r="DP262" i="20"/>
  <c r="DP189" i="20"/>
  <c r="DP263" i="20"/>
  <c r="DP264" i="20"/>
  <c r="DP188" i="20"/>
  <c r="DP187" i="20"/>
  <c r="DP265" i="20"/>
  <c r="DP186" i="20"/>
  <c r="DP266" i="20"/>
  <c r="DP185" i="20"/>
  <c r="DP267" i="20"/>
  <c r="DP184" i="20"/>
  <c r="DP268" i="20"/>
  <c r="DP269" i="20"/>
  <c r="DP183" i="20"/>
  <c r="DP182" i="20"/>
  <c r="DP270" i="20"/>
  <c r="DP271" i="20"/>
  <c r="DP181" i="20"/>
  <c r="DP180" i="20"/>
  <c r="DP272" i="20"/>
  <c r="DP179" i="20"/>
  <c r="DP273" i="20"/>
  <c r="DP274" i="20"/>
  <c r="DP178" i="20"/>
  <c r="DP275" i="20"/>
  <c r="DP276" i="20"/>
  <c r="DP277" i="20"/>
  <c r="DP278" i="20"/>
  <c r="DP279" i="20"/>
  <c r="DP280" i="20"/>
  <c r="DP281" i="20"/>
  <c r="DP282" i="20"/>
  <c r="DP283" i="20"/>
  <c r="DP284" i="20"/>
  <c r="DP285" i="20"/>
  <c r="DP286" i="20"/>
  <c r="DP287" i="20"/>
  <c r="DP288" i="20"/>
  <c r="DP289" i="20"/>
  <c r="DP290" i="20"/>
  <c r="DP291" i="20"/>
  <c r="DP292" i="20"/>
  <c r="DP293" i="20"/>
  <c r="DP294" i="20"/>
  <c r="DP295" i="20"/>
  <c r="DP296" i="20"/>
  <c r="DP297" i="20"/>
  <c r="DP298" i="20"/>
  <c r="DP299" i="20"/>
  <c r="DP300" i="20"/>
  <c r="DP301" i="20"/>
  <c r="DP302" i="20"/>
  <c r="DP303" i="20"/>
  <c r="DP304" i="20"/>
  <c r="DP305" i="20"/>
  <c r="DP306" i="20"/>
  <c r="DP307" i="20"/>
  <c r="DP308" i="20"/>
  <c r="DP309" i="20"/>
  <c r="DP310" i="20"/>
  <c r="DP311" i="20"/>
  <c r="DP312" i="20"/>
  <c r="DP313" i="20"/>
  <c r="DP314" i="20"/>
  <c r="DP315" i="20"/>
  <c r="DP316" i="20"/>
  <c r="DP317" i="20"/>
  <c r="DP318" i="20"/>
  <c r="DP319" i="20"/>
  <c r="DP320" i="20"/>
  <c r="DP321" i="20"/>
  <c r="DP322" i="20"/>
  <c r="DP323" i="20"/>
  <c r="DP324" i="20"/>
  <c r="DP325" i="20"/>
  <c r="DP326" i="20"/>
  <c r="DP327" i="20"/>
  <c r="DP328" i="20"/>
  <c r="DP329" i="20"/>
  <c r="DP330" i="20"/>
  <c r="DP331" i="20"/>
  <c r="DP332" i="20"/>
  <c r="DP333" i="20"/>
  <c r="DP334" i="20"/>
  <c r="DP335" i="20"/>
  <c r="DL337" i="20"/>
  <c r="DD337" i="20"/>
  <c r="CV337" i="20"/>
  <c r="CN337" i="20"/>
  <c r="CF337" i="20"/>
  <c r="BX337" i="20"/>
  <c r="BP337" i="20"/>
  <c r="BH337" i="20"/>
  <c r="AZ337" i="20"/>
  <c r="AR337" i="20"/>
  <c r="AJ337" i="20"/>
  <c r="AB337" i="20"/>
  <c r="T337" i="20"/>
  <c r="L337" i="20"/>
  <c r="DJ337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J337" i="20"/>
  <c r="DM337" i="20"/>
  <c r="DA337" i="20"/>
  <c r="CQ337" i="20"/>
  <c r="CG337" i="20"/>
  <c r="BU337" i="20"/>
  <c r="BK337" i="20"/>
  <c r="BA337" i="20"/>
  <c r="AO337" i="20"/>
  <c r="AE337" i="20"/>
  <c r="U337" i="20"/>
  <c r="I337" i="20"/>
  <c r="DK337" i="20"/>
  <c r="CZ337" i="20"/>
  <c r="CP337" i="20"/>
  <c r="CE337" i="20"/>
  <c r="BT337" i="20"/>
  <c r="BJ337" i="20"/>
  <c r="AY337" i="20"/>
  <c r="AN337" i="20"/>
  <c r="AD337" i="20"/>
  <c r="S337" i="20"/>
  <c r="H337" i="20"/>
  <c r="DI337" i="20"/>
  <c r="CY337" i="20"/>
  <c r="CO337" i="20"/>
  <c r="CC337" i="20"/>
  <c r="BS337" i="20"/>
  <c r="BI337" i="20"/>
  <c r="AW337" i="20"/>
  <c r="AM337" i="20"/>
  <c r="AC337" i="20"/>
  <c r="Q337" i="20"/>
  <c r="G337" i="20"/>
  <c r="DE337" i="20"/>
  <c r="CK337" i="20"/>
  <c r="BW337" i="20"/>
  <c r="BD337" i="20"/>
  <c r="AL337" i="20"/>
  <c r="W337" i="20"/>
  <c r="DC337" i="20"/>
  <c r="CJ337" i="20"/>
  <c r="BR337" i="20"/>
  <c r="BC337" i="20"/>
  <c r="AK337" i="20"/>
  <c r="V337" i="20"/>
  <c r="DP337" i="20"/>
  <c r="CX337" i="20"/>
  <c r="CI337" i="20"/>
  <c r="BQ337" i="20"/>
  <c r="BB337" i="20"/>
  <c r="AI337" i="20"/>
  <c r="P337" i="20"/>
  <c r="DO337" i="20"/>
  <c r="CW337" i="20"/>
  <c r="CH337" i="20"/>
  <c r="BO337" i="20"/>
  <c r="AV337" i="20"/>
  <c r="AG337" i="20"/>
  <c r="O337" i="20"/>
  <c r="DN337" i="20"/>
  <c r="CB337" i="20"/>
  <c r="AU337" i="20"/>
  <c r="N337" i="20"/>
  <c r="DH337" i="20"/>
  <c r="CA337" i="20"/>
  <c r="AT337" i="20"/>
  <c r="M337" i="20"/>
  <c r="DG337" i="20"/>
  <c r="BZ337" i="20"/>
  <c r="AS337" i="20"/>
  <c r="K337" i="20"/>
  <c r="DF337" i="20"/>
  <c r="BY337" i="20"/>
  <c r="AQ337" i="20"/>
  <c r="CR337" i="20"/>
  <c r="Y337" i="20"/>
  <c r="CM337" i="20"/>
  <c r="X337" i="20"/>
  <c r="BM337" i="20"/>
  <c r="BL337" i="20"/>
  <c r="CU337" i="20"/>
  <c r="CS337" i="20"/>
  <c r="BG337" i="20"/>
  <c r="BE337" i="20"/>
  <c r="AF337" i="20"/>
  <c r="AA337" i="20"/>
  <c r="DO237" i="20"/>
  <c r="DO219" i="20"/>
  <c r="DO229" i="20"/>
  <c r="D338" i="20" l="1"/>
  <c r="E338" i="20" s="1"/>
  <c r="E168" i="20"/>
  <c r="DP8" i="21"/>
  <c r="DQ7" i="21"/>
  <c r="DP226" i="20"/>
  <c r="DQ176" i="20"/>
  <c r="DQ225" i="20" s="1"/>
  <c r="DR175" i="20"/>
  <c r="DQ191" i="20"/>
  <c r="DQ187" i="20"/>
  <c r="DQ183" i="20"/>
  <c r="DQ273" i="20"/>
  <c r="DQ280" i="20"/>
  <c r="DQ288" i="20"/>
  <c r="DQ296" i="20"/>
  <c r="DQ304" i="20"/>
  <c r="DQ312" i="20"/>
  <c r="DQ320" i="20"/>
  <c r="DQ328" i="20"/>
  <c r="DQ336" i="20"/>
  <c r="DM338" i="20"/>
  <c r="DE338" i="20"/>
  <c r="CW338" i="20"/>
  <c r="CO338" i="20"/>
  <c r="CG338" i="20"/>
  <c r="BY338" i="20"/>
  <c r="BQ338" i="20"/>
  <c r="BI338" i="20"/>
  <c r="BA338" i="20"/>
  <c r="AS338" i="20"/>
  <c r="AK338" i="20"/>
  <c r="AC338" i="20"/>
  <c r="U338" i="20"/>
  <c r="M338" i="20"/>
  <c r="DL338" i="20"/>
  <c r="DD338" i="20"/>
  <c r="CV338" i="20"/>
  <c r="CN338" i="20"/>
  <c r="CF338" i="20"/>
  <c r="BX338" i="20"/>
  <c r="BP338" i="20"/>
  <c r="BH338" i="20"/>
  <c r="AZ338" i="20"/>
  <c r="AR338" i="20"/>
  <c r="AJ338" i="20"/>
  <c r="AB338" i="20"/>
  <c r="T338" i="20"/>
  <c r="L338" i="20"/>
  <c r="DK338" i="20"/>
  <c r="DC338" i="20"/>
  <c r="CU338" i="20"/>
  <c r="CM338" i="20"/>
  <c r="CE338" i="20"/>
  <c r="BW338" i="20"/>
  <c r="BO338" i="20"/>
  <c r="BG338" i="20"/>
  <c r="AY338" i="20"/>
  <c r="AQ338" i="20"/>
  <c r="AI338" i="20"/>
  <c r="AA338" i="20"/>
  <c r="S338" i="20"/>
  <c r="K338" i="20"/>
  <c r="DJ338" i="20"/>
  <c r="DB338" i="20"/>
  <c r="CT338" i="20"/>
  <c r="CL338" i="20"/>
  <c r="CD338" i="20"/>
  <c r="BV338" i="20"/>
  <c r="BN338" i="20"/>
  <c r="BF338" i="20"/>
  <c r="AX338" i="20"/>
  <c r="AP338" i="20"/>
  <c r="AH338" i="20"/>
  <c r="Z338" i="20"/>
  <c r="R338" i="20"/>
  <c r="DI338" i="20"/>
  <c r="CS338" i="20"/>
  <c r="CC338" i="20"/>
  <c r="BM338" i="20"/>
  <c r="AW338" i="20"/>
  <c r="AG338" i="20"/>
  <c r="Q338" i="20"/>
  <c r="DH338" i="20"/>
  <c r="CR338" i="20"/>
  <c r="CB338" i="20"/>
  <c r="BL338" i="20"/>
  <c r="AV338" i="20"/>
  <c r="AF338" i="20"/>
  <c r="P338" i="20"/>
  <c r="DG338" i="20"/>
  <c r="CQ338" i="20"/>
  <c r="CA338" i="20"/>
  <c r="BK338" i="20"/>
  <c r="AU338" i="20"/>
  <c r="AE338" i="20"/>
  <c r="O338" i="20"/>
  <c r="DN338" i="20"/>
  <c r="CJ338" i="20"/>
  <c r="BJ338" i="20"/>
  <c r="AM338" i="20"/>
  <c r="J338" i="20"/>
  <c r="DF338" i="20"/>
  <c r="CI338" i="20"/>
  <c r="BE338" i="20"/>
  <c r="AL338" i="20"/>
  <c r="I338" i="20"/>
  <c r="DA338" i="20"/>
  <c r="CH338" i="20"/>
  <c r="BD338" i="20"/>
  <c r="AD338" i="20"/>
  <c r="H338" i="20"/>
  <c r="CZ338" i="20"/>
  <c r="BZ338" i="20"/>
  <c r="BC338" i="20"/>
  <c r="Y338" i="20"/>
  <c r="G338" i="20"/>
  <c r="BU338" i="20"/>
  <c r="X338" i="20"/>
  <c r="BT338" i="20"/>
  <c r="W338" i="20"/>
  <c r="DP338" i="20"/>
  <c r="BS338" i="20"/>
  <c r="V338" i="20"/>
  <c r="DO338" i="20"/>
  <c r="BR338" i="20"/>
  <c r="N338" i="20"/>
  <c r="CP338" i="20"/>
  <c r="CK338" i="20"/>
  <c r="BB338" i="20"/>
  <c r="AT338" i="20"/>
  <c r="CY338" i="20"/>
  <c r="CX338" i="20"/>
  <c r="AN338" i="20"/>
  <c r="AO338" i="20"/>
  <c r="DP218" i="20"/>
  <c r="DP230" i="20"/>
  <c r="DP227" i="20"/>
  <c r="F339" i="20"/>
  <c r="D169" i="20"/>
  <c r="F170" i="20"/>
  <c r="DQ311" i="20" l="1"/>
  <c r="DQ295" i="20"/>
  <c r="DQ279" i="20"/>
  <c r="DQ265" i="20"/>
  <c r="DQ199" i="20"/>
  <c r="DQ207" i="20"/>
  <c r="DQ211" i="20"/>
  <c r="DQ215" i="20"/>
  <c r="DQ219" i="20"/>
  <c r="DQ337" i="20"/>
  <c r="DQ326" i="20"/>
  <c r="DQ310" i="20"/>
  <c r="DQ302" i="20"/>
  <c r="DQ286" i="20"/>
  <c r="DQ180" i="20"/>
  <c r="DQ264" i="20"/>
  <c r="DQ256" i="20"/>
  <c r="DQ248" i="20"/>
  <c r="DQ244" i="20"/>
  <c r="DQ240" i="20"/>
  <c r="DQ232" i="20"/>
  <c r="DQ228" i="20"/>
  <c r="DQ317" i="20"/>
  <c r="DQ293" i="20"/>
  <c r="DQ272" i="20"/>
  <c r="DQ184" i="20"/>
  <c r="DQ196" i="20"/>
  <c r="DQ204" i="20"/>
  <c r="DQ220" i="20"/>
  <c r="DQ8" i="21"/>
  <c r="DR7" i="21"/>
  <c r="DQ332" i="20"/>
  <c r="DQ316" i="20"/>
  <c r="DQ308" i="20"/>
  <c r="DQ300" i="20"/>
  <c r="DQ292" i="20"/>
  <c r="DQ284" i="20"/>
  <c r="DQ276" i="20"/>
  <c r="DQ271" i="20"/>
  <c r="DQ267" i="20"/>
  <c r="DQ189" i="20"/>
  <c r="DQ193" i="20"/>
  <c r="DQ197" i="20"/>
  <c r="DQ251" i="20"/>
  <c r="DQ205" i="20"/>
  <c r="DQ209" i="20"/>
  <c r="DQ213" i="20"/>
  <c r="DQ217" i="20"/>
  <c r="DQ221" i="20"/>
  <c r="DQ227" i="20"/>
  <c r="DN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V339" i="20"/>
  <c r="N339" i="20"/>
  <c r="DM339" i="20"/>
  <c r="DE339" i="20"/>
  <c r="CW339" i="20"/>
  <c r="CO339" i="20"/>
  <c r="CG339" i="20"/>
  <c r="BY339" i="20"/>
  <c r="BQ339" i="20"/>
  <c r="BI339" i="20"/>
  <c r="BA339" i="20"/>
  <c r="AS339" i="20"/>
  <c r="AK339" i="20"/>
  <c r="AC339" i="20"/>
  <c r="U339" i="20"/>
  <c r="M339" i="20"/>
  <c r="DL339" i="20"/>
  <c r="DD339" i="20"/>
  <c r="CV339" i="20"/>
  <c r="CN339" i="20"/>
  <c r="CF339" i="20"/>
  <c r="BX339" i="20"/>
  <c r="BP339" i="20"/>
  <c r="BH339" i="20"/>
  <c r="AZ339" i="20"/>
  <c r="AR339" i="20"/>
  <c r="AJ339" i="20"/>
  <c r="AB339" i="20"/>
  <c r="T339" i="20"/>
  <c r="L339" i="20"/>
  <c r="DK339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S339" i="20"/>
  <c r="K339" i="20"/>
  <c r="DR339" i="20"/>
  <c r="DB339" i="20"/>
  <c r="CL339" i="20"/>
  <c r="BV339" i="20"/>
  <c r="BF339" i="20"/>
  <c r="AP339" i="20"/>
  <c r="Z339" i="20"/>
  <c r="J339" i="20"/>
  <c r="DQ339" i="20"/>
  <c r="DA339" i="20"/>
  <c r="CK339" i="20"/>
  <c r="BU339" i="20"/>
  <c r="BE339" i="20"/>
  <c r="AO339" i="20"/>
  <c r="Y339" i="20"/>
  <c r="I339" i="20"/>
  <c r="DP339" i="20"/>
  <c r="CZ339" i="20"/>
  <c r="CJ339" i="20"/>
  <c r="BT339" i="20"/>
  <c r="BD339" i="20"/>
  <c r="AN339" i="20"/>
  <c r="X339" i="20"/>
  <c r="H339" i="20"/>
  <c r="CT339" i="20"/>
  <c r="CA339" i="20"/>
  <c r="AW339" i="20"/>
  <c r="W339" i="20"/>
  <c r="CS339" i="20"/>
  <c r="BS339" i="20"/>
  <c r="AV339" i="20"/>
  <c r="R339" i="20"/>
  <c r="DO339" i="20"/>
  <c r="CR339" i="20"/>
  <c r="BN339" i="20"/>
  <c r="AU339" i="20"/>
  <c r="Q339" i="20"/>
  <c r="DJ339" i="20"/>
  <c r="CQ339" i="20"/>
  <c r="BM339" i="20"/>
  <c r="AM339" i="20"/>
  <c r="P339" i="20"/>
  <c r="DI339" i="20"/>
  <c r="BL339" i="20"/>
  <c r="O339" i="20"/>
  <c r="DH339" i="20"/>
  <c r="BK339" i="20"/>
  <c r="G339" i="20"/>
  <c r="DG339" i="20"/>
  <c r="BC339" i="20"/>
  <c r="CY339" i="20"/>
  <c r="AX339" i="20"/>
  <c r="AF339" i="20"/>
  <c r="AE339" i="20"/>
  <c r="CI339" i="20"/>
  <c r="CD339" i="20"/>
  <c r="CC339" i="20"/>
  <c r="CB339" i="20"/>
  <c r="AH339" i="20"/>
  <c r="AG339" i="20"/>
  <c r="DQ195" i="20"/>
  <c r="DQ253" i="20"/>
  <c r="DQ245" i="20"/>
  <c r="DQ241" i="20"/>
  <c r="DQ237" i="20"/>
  <c r="DQ233" i="20"/>
  <c r="DQ338" i="20"/>
  <c r="DQ335" i="20"/>
  <c r="DQ319" i="20"/>
  <c r="DQ303" i="20"/>
  <c r="DQ287" i="20"/>
  <c r="DQ269" i="20"/>
  <c r="DQ261" i="20"/>
  <c r="DQ257" i="20"/>
  <c r="DQ249" i="20"/>
  <c r="DQ223" i="20"/>
  <c r="DQ334" i="20"/>
  <c r="DQ318" i="20"/>
  <c r="DQ294" i="20"/>
  <c r="DQ278" i="20"/>
  <c r="DQ268" i="20"/>
  <c r="DQ192" i="20"/>
  <c r="DQ252" i="20"/>
  <c r="DQ236" i="20"/>
  <c r="DQ333" i="20"/>
  <c r="DQ309" i="20"/>
  <c r="DQ277" i="20"/>
  <c r="DQ188" i="20"/>
  <c r="DQ200" i="20"/>
  <c r="DQ208" i="20"/>
  <c r="DQ216" i="20"/>
  <c r="DQ224" i="20"/>
  <c r="DQ331" i="20"/>
  <c r="DQ323" i="20"/>
  <c r="DQ315" i="20"/>
  <c r="DQ307" i="20"/>
  <c r="DQ299" i="20"/>
  <c r="DQ291" i="20"/>
  <c r="DQ283" i="20"/>
  <c r="DQ275" i="20"/>
  <c r="DQ181" i="20"/>
  <c r="DQ185" i="20"/>
  <c r="DQ263" i="20"/>
  <c r="DQ259" i="20"/>
  <c r="DQ255" i="20"/>
  <c r="DQ201" i="20"/>
  <c r="DQ247" i="20"/>
  <c r="DQ243" i="20"/>
  <c r="DQ239" i="20"/>
  <c r="DQ235" i="20"/>
  <c r="DQ231" i="20"/>
  <c r="DQ226" i="20"/>
  <c r="DQ327" i="20"/>
  <c r="DQ179" i="20"/>
  <c r="DQ325" i="20"/>
  <c r="DQ301" i="20"/>
  <c r="DQ285" i="20"/>
  <c r="DQ260" i="20"/>
  <c r="DQ212" i="20"/>
  <c r="DQ324" i="20"/>
  <c r="F340" i="20"/>
  <c r="F171" i="20"/>
  <c r="D170" i="20"/>
  <c r="DQ330" i="20"/>
  <c r="DQ322" i="20"/>
  <c r="DQ314" i="20"/>
  <c r="DQ306" i="20"/>
  <c r="DQ298" i="20"/>
  <c r="DQ290" i="20"/>
  <c r="DQ282" i="20"/>
  <c r="DQ178" i="20"/>
  <c r="DQ270" i="20"/>
  <c r="DQ186" i="20"/>
  <c r="DQ262" i="20"/>
  <c r="DQ194" i="20"/>
  <c r="DQ254" i="20"/>
  <c r="DQ250" i="20"/>
  <c r="DQ206" i="20"/>
  <c r="DQ242" i="20"/>
  <c r="DQ238" i="20"/>
  <c r="DQ218" i="20"/>
  <c r="DQ230" i="20"/>
  <c r="DR176" i="20"/>
  <c r="DR338" i="20" s="1"/>
  <c r="DS175" i="20"/>
  <c r="DR227" i="20"/>
  <c r="DR225" i="20"/>
  <c r="DR224" i="20"/>
  <c r="DR228" i="20"/>
  <c r="DR229" i="20"/>
  <c r="DR223" i="20"/>
  <c r="DR221" i="20"/>
  <c r="DR231" i="20"/>
  <c r="DR220" i="20"/>
  <c r="DR232" i="20"/>
  <c r="DR219" i="20"/>
  <c r="DR233" i="20"/>
  <c r="DR235" i="20"/>
  <c r="DR217" i="20"/>
  <c r="DR216" i="20"/>
  <c r="DR236" i="20"/>
  <c r="DR215" i="20"/>
  <c r="DR237" i="20"/>
  <c r="DR239" i="20"/>
  <c r="DR213" i="20"/>
  <c r="DR212" i="20"/>
  <c r="DR240" i="20"/>
  <c r="DR241" i="20"/>
  <c r="DR211" i="20"/>
  <c r="DR209" i="20"/>
  <c r="DR243" i="20"/>
  <c r="DR208" i="20"/>
  <c r="DR244" i="20"/>
  <c r="DR245" i="20"/>
  <c r="DR207" i="20"/>
  <c r="DR205" i="20"/>
  <c r="DR247" i="20"/>
  <c r="DR248" i="20"/>
  <c r="DR204" i="20"/>
  <c r="DR203" i="20"/>
  <c r="DR249" i="20"/>
  <c r="DR201" i="20"/>
  <c r="DR251" i="20"/>
  <c r="DR252" i="20"/>
  <c r="DR200" i="20"/>
  <c r="DR199" i="20"/>
  <c r="DR253" i="20"/>
  <c r="DR255" i="20"/>
  <c r="DR197" i="20"/>
  <c r="DR256" i="20"/>
  <c r="DR196" i="20"/>
  <c r="DR195" i="20"/>
  <c r="DR257" i="20"/>
  <c r="DR259" i="20"/>
  <c r="DR193" i="20"/>
  <c r="DR192" i="20"/>
  <c r="DR260" i="20"/>
  <c r="DR261" i="20"/>
  <c r="DR191" i="20"/>
  <c r="DR189" i="20"/>
  <c r="DR263" i="20"/>
  <c r="DR188" i="20"/>
  <c r="DR264" i="20"/>
  <c r="DR187" i="20"/>
  <c r="DR265" i="20"/>
  <c r="DR185" i="20"/>
  <c r="DR267" i="20"/>
  <c r="DR268" i="20"/>
  <c r="DR184" i="20"/>
  <c r="DR183" i="20"/>
  <c r="DR269" i="20"/>
  <c r="DR271" i="20"/>
  <c r="DR181" i="20"/>
  <c r="DR272" i="20"/>
  <c r="DR180" i="20"/>
  <c r="DR273" i="20"/>
  <c r="DR179" i="20"/>
  <c r="DR275" i="20"/>
  <c r="DR276" i="20"/>
  <c r="DR277" i="20"/>
  <c r="DR278" i="20"/>
  <c r="DR279" i="20"/>
  <c r="DR280" i="20"/>
  <c r="DR283" i="20"/>
  <c r="DR284" i="20"/>
  <c r="DR285" i="20"/>
  <c r="DR286" i="20"/>
  <c r="DR287" i="20"/>
  <c r="DR288" i="20"/>
  <c r="DR291" i="20"/>
  <c r="DR292" i="20"/>
  <c r="DR293" i="20"/>
  <c r="DR294" i="20"/>
  <c r="DR295" i="20"/>
  <c r="DR296" i="20"/>
  <c r="DR299" i="20"/>
  <c r="DR300" i="20"/>
  <c r="DR301" i="20"/>
  <c r="DR302" i="20"/>
  <c r="DR303" i="20"/>
  <c r="DR304" i="20"/>
  <c r="DR307" i="20"/>
  <c r="DR308" i="20"/>
  <c r="DR309" i="20"/>
  <c r="DR310" i="20"/>
  <c r="DR311" i="20"/>
  <c r="DR312" i="20"/>
  <c r="DR315" i="20"/>
  <c r="DR316" i="20"/>
  <c r="DR317" i="20"/>
  <c r="DR318" i="20"/>
  <c r="DR319" i="20"/>
  <c r="DR320" i="20"/>
  <c r="DR323" i="20"/>
  <c r="DR324" i="20"/>
  <c r="DR325" i="20"/>
  <c r="DR326" i="20"/>
  <c r="DR327" i="20"/>
  <c r="DR328" i="20"/>
  <c r="DR331" i="20"/>
  <c r="DR332" i="20"/>
  <c r="DR333" i="20"/>
  <c r="DR334" i="20"/>
  <c r="DR335" i="20"/>
  <c r="DR336" i="20"/>
  <c r="DQ203" i="20"/>
  <c r="DQ229" i="20"/>
  <c r="D339" i="20"/>
  <c r="E339" i="20" s="1"/>
  <c r="E169" i="20"/>
  <c r="DQ329" i="20"/>
  <c r="DQ321" i="20"/>
  <c r="DQ313" i="20"/>
  <c r="DQ305" i="20"/>
  <c r="DQ297" i="20"/>
  <c r="DQ289" i="20"/>
  <c r="DQ281" i="20"/>
  <c r="DQ274" i="20"/>
  <c r="DQ182" i="20"/>
  <c r="DQ266" i="20"/>
  <c r="DQ190" i="20"/>
  <c r="DQ258" i="20"/>
  <c r="DQ198" i="20"/>
  <c r="DQ202" i="20"/>
  <c r="DQ246" i="20"/>
  <c r="DQ210" i="20"/>
  <c r="DQ214" i="20"/>
  <c r="DQ234" i="20"/>
  <c r="DQ222" i="20"/>
  <c r="F341" i="20" l="1"/>
  <c r="D171" i="20"/>
  <c r="DR330" i="20"/>
  <c r="DR314" i="20"/>
  <c r="DR306" i="20"/>
  <c r="DR298" i="20"/>
  <c r="DR290" i="20"/>
  <c r="DR282" i="20"/>
  <c r="DR178" i="20"/>
  <c r="DR270" i="20"/>
  <c r="DR266" i="20"/>
  <c r="DR262" i="20"/>
  <c r="DR258" i="20"/>
  <c r="DR198" i="20"/>
  <c r="DR202" i="20"/>
  <c r="DR206" i="20"/>
  <c r="DR242" i="20"/>
  <c r="DR214" i="20"/>
  <c r="DR218" i="20"/>
  <c r="DR222" i="20"/>
  <c r="DS176" i="20"/>
  <c r="DS227" i="20" s="1"/>
  <c r="DS226" i="20"/>
  <c r="DT175" i="20"/>
  <c r="DS223" i="20"/>
  <c r="DS222" i="20"/>
  <c r="DS230" i="20"/>
  <c r="DS219" i="20"/>
  <c r="DS234" i="20"/>
  <c r="DS218" i="20"/>
  <c r="DS237" i="20"/>
  <c r="DS238" i="20"/>
  <c r="DS214" i="20"/>
  <c r="DS241" i="20"/>
  <c r="DS242" i="20"/>
  <c r="DS210" i="20"/>
  <c r="DS207" i="20"/>
  <c r="DS246" i="20"/>
  <c r="DS206" i="20"/>
  <c r="DS203" i="20"/>
  <c r="DS202" i="20"/>
  <c r="DS250" i="20"/>
  <c r="DS253" i="20"/>
  <c r="DS198" i="20"/>
  <c r="DS254" i="20"/>
  <c r="DS195" i="20"/>
  <c r="DS258" i="20"/>
  <c r="DS194" i="20"/>
  <c r="DS191" i="20"/>
  <c r="DS190" i="20"/>
  <c r="DS262" i="20"/>
  <c r="DS265" i="20"/>
  <c r="DS186" i="20"/>
  <c r="DS266" i="20"/>
  <c r="DS183" i="20"/>
  <c r="DS270" i="20"/>
  <c r="DS182" i="20"/>
  <c r="DS273" i="20"/>
  <c r="DS178" i="20"/>
  <c r="DS274" i="20"/>
  <c r="DS280" i="20"/>
  <c r="DS281" i="20"/>
  <c r="DS282" i="20"/>
  <c r="DS288" i="20"/>
  <c r="DS289" i="20"/>
  <c r="DS290" i="20"/>
  <c r="DS296" i="20"/>
  <c r="DS297" i="20"/>
  <c r="DS298" i="20"/>
  <c r="DS304" i="20"/>
  <c r="DS305" i="20"/>
  <c r="DS306" i="20"/>
  <c r="DS312" i="20"/>
  <c r="DS313" i="20"/>
  <c r="DS314" i="20"/>
  <c r="DS320" i="20"/>
  <c r="DS321" i="20"/>
  <c r="DS322" i="20"/>
  <c r="DS328" i="20"/>
  <c r="DS329" i="20"/>
  <c r="DS330" i="20"/>
  <c r="DS336" i="20"/>
  <c r="DS337" i="20"/>
  <c r="DS338" i="20"/>
  <c r="DO340" i="20"/>
  <c r="DG340" i="20"/>
  <c r="CY340" i="20"/>
  <c r="CQ340" i="20"/>
  <c r="CI340" i="20"/>
  <c r="CA340" i="20"/>
  <c r="BS340" i="20"/>
  <c r="BK340" i="20"/>
  <c r="BC340" i="20"/>
  <c r="AU340" i="20"/>
  <c r="AM340" i="20"/>
  <c r="AE340" i="20"/>
  <c r="W340" i="20"/>
  <c r="O340" i="20"/>
  <c r="G340" i="20"/>
  <c r="DN340" i="20"/>
  <c r="DF340" i="20"/>
  <c r="CX340" i="20"/>
  <c r="CP340" i="20"/>
  <c r="CH340" i="20"/>
  <c r="BZ340" i="20"/>
  <c r="BR340" i="20"/>
  <c r="BJ340" i="20"/>
  <c r="BB340" i="20"/>
  <c r="AT340" i="20"/>
  <c r="AL340" i="20"/>
  <c r="AD340" i="20"/>
  <c r="V340" i="20"/>
  <c r="N340" i="20"/>
  <c r="DM340" i="20"/>
  <c r="DE340" i="20"/>
  <c r="CW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L340" i="20"/>
  <c r="DD340" i="20"/>
  <c r="CV340" i="20"/>
  <c r="CN340" i="20"/>
  <c r="CF340" i="20"/>
  <c r="BX340" i="20"/>
  <c r="BP340" i="20"/>
  <c r="BH340" i="20"/>
  <c r="AZ340" i="20"/>
  <c r="AR340" i="20"/>
  <c r="AJ340" i="20"/>
  <c r="AB340" i="20"/>
  <c r="T340" i="20"/>
  <c r="L340" i="20"/>
  <c r="DK340" i="20"/>
  <c r="CU340" i="20"/>
  <c r="CE340" i="20"/>
  <c r="BO340" i="20"/>
  <c r="AY340" i="20"/>
  <c r="AI340" i="20"/>
  <c r="S340" i="20"/>
  <c r="DJ340" i="20"/>
  <c r="CT340" i="20"/>
  <c r="CD340" i="20"/>
  <c r="BN340" i="20"/>
  <c r="AX340" i="20"/>
  <c r="AH340" i="20"/>
  <c r="R340" i="20"/>
  <c r="DI340" i="20"/>
  <c r="CS340" i="20"/>
  <c r="CC340" i="20"/>
  <c r="BM340" i="20"/>
  <c r="AW340" i="20"/>
  <c r="AG340" i="20"/>
  <c r="Q340" i="20"/>
  <c r="DH340" i="20"/>
  <c r="CK340" i="20"/>
  <c r="BG340" i="20"/>
  <c r="AN340" i="20"/>
  <c r="J340" i="20"/>
  <c r="DC340" i="20"/>
  <c r="CJ340" i="20"/>
  <c r="BF340" i="20"/>
  <c r="AF340" i="20"/>
  <c r="I340" i="20"/>
  <c r="DB340" i="20"/>
  <c r="CB340" i="20"/>
  <c r="BE340" i="20"/>
  <c r="AA340" i="20"/>
  <c r="H340" i="20"/>
  <c r="DA340" i="20"/>
  <c r="BW340" i="20"/>
  <c r="BD340" i="20"/>
  <c r="Z340" i="20"/>
  <c r="CZ340" i="20"/>
  <c r="AV340" i="20"/>
  <c r="CR340" i="20"/>
  <c r="AQ340" i="20"/>
  <c r="CM340" i="20"/>
  <c r="AP340" i="20"/>
  <c r="CL340" i="20"/>
  <c r="AO340" i="20"/>
  <c r="BT340" i="20"/>
  <c r="BL340" i="20"/>
  <c r="Y340" i="20"/>
  <c r="DR340" i="20"/>
  <c r="X340" i="20"/>
  <c r="P340" i="20"/>
  <c r="K340" i="20"/>
  <c r="DP340" i="20"/>
  <c r="BV340" i="20"/>
  <c r="BU340" i="20"/>
  <c r="DQ340" i="20"/>
  <c r="DS339" i="20"/>
  <c r="DR322" i="20"/>
  <c r="DR337" i="20"/>
  <c r="DR329" i="20"/>
  <c r="DR321" i="20"/>
  <c r="DR313" i="20"/>
  <c r="DR305" i="20"/>
  <c r="DR297" i="20"/>
  <c r="DR289" i="20"/>
  <c r="DR281" i="20"/>
  <c r="DR274" i="20"/>
  <c r="DR182" i="20"/>
  <c r="DR186" i="20"/>
  <c r="DR190" i="20"/>
  <c r="DR194" i="20"/>
  <c r="DR254" i="20"/>
  <c r="DR250" i="20"/>
  <c r="DR246" i="20"/>
  <c r="DR210" i="20"/>
  <c r="DR238" i="20"/>
  <c r="DR234" i="20"/>
  <c r="DR230" i="20"/>
  <c r="DR226" i="20"/>
  <c r="DR8" i="21"/>
  <c r="DS7" i="21"/>
  <c r="D340" i="20"/>
  <c r="E340" i="20" s="1"/>
  <c r="E170" i="20"/>
  <c r="DS311" i="20" l="1"/>
  <c r="DS295" i="20"/>
  <c r="DS279" i="20"/>
  <c r="DS269" i="20"/>
  <c r="DS261" i="20"/>
  <c r="DS199" i="20"/>
  <c r="DS245" i="20"/>
  <c r="DS215" i="20"/>
  <c r="DS233" i="20"/>
  <c r="DS340" i="20"/>
  <c r="DS334" i="20"/>
  <c r="DS326" i="20"/>
  <c r="DS318" i="20"/>
  <c r="DS310" i="20"/>
  <c r="DS302" i="20"/>
  <c r="DS294" i="20"/>
  <c r="DS286" i="20"/>
  <c r="DS278" i="20"/>
  <c r="DS272" i="20"/>
  <c r="DS268" i="20"/>
  <c r="DS264" i="20"/>
  <c r="DS260" i="20"/>
  <c r="DS196" i="20"/>
  <c r="DS200" i="20"/>
  <c r="DS248" i="20"/>
  <c r="DS244" i="20"/>
  <c r="DS240" i="20"/>
  <c r="DS236" i="20"/>
  <c r="DS220" i="20"/>
  <c r="DS224" i="20"/>
  <c r="DT176" i="20"/>
  <c r="DT225" i="20" s="1"/>
  <c r="DU175" i="20"/>
  <c r="DT226" i="20"/>
  <c r="DT223" i="20"/>
  <c r="DT230" i="20"/>
  <c r="DT222" i="20"/>
  <c r="DT219" i="20"/>
  <c r="DT218" i="20"/>
  <c r="DT234" i="20"/>
  <c r="DT237" i="20"/>
  <c r="DT238" i="20"/>
  <c r="DT214" i="20"/>
  <c r="DT241" i="20"/>
  <c r="DT242" i="20"/>
  <c r="DT210" i="20"/>
  <c r="DT245" i="20"/>
  <c r="DT206" i="20"/>
  <c r="DT246" i="20"/>
  <c r="DT203" i="20"/>
  <c r="DT202" i="20"/>
  <c r="DT250" i="20"/>
  <c r="DT253" i="20"/>
  <c r="DT198" i="20"/>
  <c r="DT254" i="20"/>
  <c r="DT257" i="20"/>
  <c r="DT258" i="20"/>
  <c r="DT194" i="20"/>
  <c r="DT261" i="20"/>
  <c r="DT262" i="20"/>
  <c r="DT190" i="20"/>
  <c r="DT187" i="20"/>
  <c r="DT266" i="20"/>
  <c r="DT186" i="20"/>
  <c r="DT269" i="20"/>
  <c r="DT182" i="20"/>
  <c r="DT270" i="20"/>
  <c r="DT273" i="20"/>
  <c r="DT178" i="20"/>
  <c r="DT274" i="20"/>
  <c r="DT280" i="20"/>
  <c r="DT281" i="20"/>
  <c r="DT282" i="20"/>
  <c r="DT288" i="20"/>
  <c r="DT289" i="20"/>
  <c r="DT290" i="20"/>
  <c r="DT296" i="20"/>
  <c r="DT297" i="20"/>
  <c r="DT298" i="20"/>
  <c r="DT304" i="20"/>
  <c r="DT305" i="20"/>
  <c r="DT306" i="20"/>
  <c r="DT312" i="20"/>
  <c r="DT313" i="20"/>
  <c r="DT314" i="20"/>
  <c r="DT320" i="20"/>
  <c r="DT321" i="20"/>
  <c r="DT322" i="20"/>
  <c r="DT328" i="20"/>
  <c r="DT329" i="20"/>
  <c r="DT330" i="20"/>
  <c r="DT336" i="20"/>
  <c r="DT337" i="20"/>
  <c r="DT338" i="20"/>
  <c r="DS327" i="20"/>
  <c r="DS303" i="20"/>
  <c r="DS287" i="20"/>
  <c r="DS187" i="20"/>
  <c r="DS257" i="20"/>
  <c r="DS249" i="20"/>
  <c r="DS211" i="20"/>
  <c r="DS229" i="20"/>
  <c r="DS8" i="21"/>
  <c r="DT7" i="21"/>
  <c r="DR15" i="21"/>
  <c r="DS333" i="20"/>
  <c r="DS325" i="20"/>
  <c r="DS317" i="20"/>
  <c r="DS309" i="20"/>
  <c r="DS301" i="20"/>
  <c r="DS293" i="20"/>
  <c r="DS285" i="20"/>
  <c r="DS277" i="20"/>
  <c r="DS180" i="20"/>
  <c r="DS184" i="20"/>
  <c r="DS188" i="20"/>
  <c r="DS192" i="20"/>
  <c r="DS256" i="20"/>
  <c r="DS252" i="20"/>
  <c r="DS204" i="20"/>
  <c r="DS12" i="21" s="1"/>
  <c r="DS208" i="20"/>
  <c r="DS212" i="20"/>
  <c r="DS216" i="20"/>
  <c r="DS13" i="21" s="1"/>
  <c r="DS232" i="20"/>
  <c r="DS228" i="20"/>
  <c r="DP18" i="21"/>
  <c r="DP11" i="21"/>
  <c r="DO16" i="21"/>
  <c r="DS16" i="21"/>
  <c r="DR14" i="21"/>
  <c r="DS335" i="20"/>
  <c r="DS179" i="20"/>
  <c r="DS10" i="21" s="1"/>
  <c r="DR18" i="21"/>
  <c r="DS332" i="20"/>
  <c r="DS324" i="20"/>
  <c r="DS316" i="20"/>
  <c r="DS308" i="20"/>
  <c r="DS300" i="20"/>
  <c r="DS292" i="20"/>
  <c r="DS284" i="20"/>
  <c r="DS276" i="20"/>
  <c r="DS271" i="20"/>
  <c r="DS185" i="20"/>
  <c r="DS189" i="20"/>
  <c r="DS259" i="20"/>
  <c r="DS197" i="20"/>
  <c r="DS201" i="20"/>
  <c r="DS247" i="20"/>
  <c r="DS209" i="20"/>
  <c r="DS239" i="20"/>
  <c r="DS15" i="21" s="1"/>
  <c r="DS235" i="20"/>
  <c r="DS231" i="20"/>
  <c r="DS225" i="20"/>
  <c r="DR10" i="21"/>
  <c r="D341" i="20"/>
  <c r="E341" i="20" s="1"/>
  <c r="DR12" i="21" s="1"/>
  <c r="E171" i="20"/>
  <c r="DP13" i="21"/>
  <c r="DR16" i="21"/>
  <c r="DS14" i="21"/>
  <c r="DR11" i="21"/>
  <c r="DS319" i="20"/>
  <c r="DR17" i="21"/>
  <c r="DQ16" i="21"/>
  <c r="DS331" i="20"/>
  <c r="DS323" i="20"/>
  <c r="DS315" i="20"/>
  <c r="DS307" i="20"/>
  <c r="DS299" i="20"/>
  <c r="DS291" i="20"/>
  <c r="DS283" i="20"/>
  <c r="DS275" i="20"/>
  <c r="DS18" i="21" s="1"/>
  <c r="DS181" i="20"/>
  <c r="DS267" i="20"/>
  <c r="DS263" i="20"/>
  <c r="DS17" i="21" s="1"/>
  <c r="DS193" i="20"/>
  <c r="DS11" i="21" s="1"/>
  <c r="DS255" i="20"/>
  <c r="DS251" i="20"/>
  <c r="DS205" i="20"/>
  <c r="DS243" i="20"/>
  <c r="DS213" i="20"/>
  <c r="DS217" i="20"/>
  <c r="DS221" i="20"/>
  <c r="DP341" i="20"/>
  <c r="DH341" i="20"/>
  <c r="CZ341" i="20"/>
  <c r="CR341" i="20"/>
  <c r="CJ341" i="20"/>
  <c r="CB341" i="20"/>
  <c r="BT341" i="20"/>
  <c r="BL341" i="20"/>
  <c r="BD341" i="20"/>
  <c r="AV341" i="20"/>
  <c r="AN341" i="20"/>
  <c r="AF341" i="20"/>
  <c r="X341" i="20"/>
  <c r="P341" i="20"/>
  <c r="H341" i="20"/>
  <c r="DO341" i="20"/>
  <c r="DG341" i="20"/>
  <c r="CY341" i="20"/>
  <c r="CQ341" i="20"/>
  <c r="CI341" i="20"/>
  <c r="CA341" i="20"/>
  <c r="BS341" i="20"/>
  <c r="BK341" i="20"/>
  <c r="BC341" i="20"/>
  <c r="BC18" i="21" s="1"/>
  <c r="AU341" i="20"/>
  <c r="AM341" i="20"/>
  <c r="AE341" i="20"/>
  <c r="W341" i="20"/>
  <c r="O341" i="20"/>
  <c r="G341" i="20"/>
  <c r="DN341" i="20"/>
  <c r="DF341" i="20"/>
  <c r="CX341" i="20"/>
  <c r="CP341" i="20"/>
  <c r="CH341" i="20"/>
  <c r="BZ341" i="20"/>
  <c r="BR341" i="20"/>
  <c r="BJ341" i="20"/>
  <c r="BB341" i="20"/>
  <c r="AT341" i="20"/>
  <c r="AL341" i="20"/>
  <c r="AD341" i="20"/>
  <c r="V341" i="20"/>
  <c r="N341" i="20"/>
  <c r="DM341" i="20"/>
  <c r="DE341" i="20"/>
  <c r="CW341" i="20"/>
  <c r="CO341" i="20"/>
  <c r="CG341" i="20"/>
  <c r="BY341" i="20"/>
  <c r="BQ341" i="20"/>
  <c r="BI341" i="20"/>
  <c r="BA341" i="20"/>
  <c r="AS341" i="20"/>
  <c r="AK341" i="20"/>
  <c r="AC341" i="20"/>
  <c r="U341" i="20"/>
  <c r="U18" i="21" s="1"/>
  <c r="M341" i="20"/>
  <c r="DT341" i="20"/>
  <c r="DD341" i="20"/>
  <c r="CN341" i="20"/>
  <c r="BX341" i="20"/>
  <c r="BH341" i="20"/>
  <c r="AR341" i="20"/>
  <c r="AB341" i="20"/>
  <c r="L341" i="20"/>
  <c r="L18" i="21" s="1"/>
  <c r="DS341" i="20"/>
  <c r="DC341" i="20"/>
  <c r="CM341" i="20"/>
  <c r="BW341" i="20"/>
  <c r="BG341" i="20"/>
  <c r="AQ341" i="20"/>
  <c r="AA341" i="20"/>
  <c r="K341" i="20"/>
  <c r="DR341" i="20"/>
  <c r="DB341" i="20"/>
  <c r="CL341" i="20"/>
  <c r="BV341" i="20"/>
  <c r="BF341" i="20"/>
  <c r="AP341" i="20"/>
  <c r="Z341" i="20"/>
  <c r="J341" i="20"/>
  <c r="CU341" i="20"/>
  <c r="BU341" i="20"/>
  <c r="AX341" i="20"/>
  <c r="T341" i="20"/>
  <c r="DQ341" i="20"/>
  <c r="CT341" i="20"/>
  <c r="BP341" i="20"/>
  <c r="AW341" i="20"/>
  <c r="S341" i="20"/>
  <c r="DL341" i="20"/>
  <c r="CS341" i="20"/>
  <c r="BO341" i="20"/>
  <c r="AO341" i="20"/>
  <c r="R341" i="20"/>
  <c r="R18" i="21" s="1"/>
  <c r="DK341" i="20"/>
  <c r="CK341" i="20"/>
  <c r="BN341" i="20"/>
  <c r="AJ341" i="20"/>
  <c r="Q341" i="20"/>
  <c r="CF341" i="20"/>
  <c r="AI341" i="20"/>
  <c r="CE341" i="20"/>
  <c r="AH341" i="20"/>
  <c r="CD341" i="20"/>
  <c r="AG341" i="20"/>
  <c r="CC341" i="20"/>
  <c r="Y341" i="20"/>
  <c r="DA341" i="20"/>
  <c r="CV341" i="20"/>
  <c r="BM341" i="20"/>
  <c r="BE341" i="20"/>
  <c r="AZ341" i="20"/>
  <c r="AY341" i="20"/>
  <c r="I341" i="20"/>
  <c r="DJ341" i="20"/>
  <c r="DI341" i="20"/>
  <c r="DU7" i="21" l="1"/>
  <c r="DT8" i="21"/>
  <c r="DT335" i="20"/>
  <c r="DT319" i="20"/>
  <c r="DT303" i="20"/>
  <c r="DT295" i="20"/>
  <c r="DT279" i="20"/>
  <c r="DT183" i="20"/>
  <c r="DT265" i="20"/>
  <c r="DT191" i="20"/>
  <c r="DT195" i="20"/>
  <c r="DT199" i="20"/>
  <c r="DT249" i="20"/>
  <c r="DT207" i="20"/>
  <c r="DT211" i="20"/>
  <c r="DT215" i="20"/>
  <c r="DT233" i="20"/>
  <c r="DQ11" i="21"/>
  <c r="DT334" i="20"/>
  <c r="DT326" i="20"/>
  <c r="DT318" i="20"/>
  <c r="DT310" i="20"/>
  <c r="DT21" i="21" s="1"/>
  <c r="DT302" i="20"/>
  <c r="DT294" i="20"/>
  <c r="DT286" i="20"/>
  <c r="DT278" i="20"/>
  <c r="DT180" i="20"/>
  <c r="DT184" i="20"/>
  <c r="DT264" i="20"/>
  <c r="DT192" i="20"/>
  <c r="DT11" i="21" s="1"/>
  <c r="DT196" i="20"/>
  <c r="DT200" i="20"/>
  <c r="DT204" i="20"/>
  <c r="DT244" i="20"/>
  <c r="DT240" i="20"/>
  <c r="DT216" i="20"/>
  <c r="DT220" i="20"/>
  <c r="DT228" i="20"/>
  <c r="DV175" i="20"/>
  <c r="DU176" i="20"/>
  <c r="DU224" i="20" s="1"/>
  <c r="DU226" i="20"/>
  <c r="DU225" i="20"/>
  <c r="DU227" i="20"/>
  <c r="DU222" i="20"/>
  <c r="DU230" i="20"/>
  <c r="DU221" i="20"/>
  <c r="DU231" i="20"/>
  <c r="DU218" i="20"/>
  <c r="DU234" i="20"/>
  <c r="DU217" i="20"/>
  <c r="DU235" i="20"/>
  <c r="DU238" i="20"/>
  <c r="DU214" i="20"/>
  <c r="DU213" i="20"/>
  <c r="DU239" i="20"/>
  <c r="DU210" i="20"/>
  <c r="DU242" i="20"/>
  <c r="DU243" i="20"/>
  <c r="DU209" i="20"/>
  <c r="DU246" i="20"/>
  <c r="DU206" i="20"/>
  <c r="DU205" i="20"/>
  <c r="DU247" i="20"/>
  <c r="DU250" i="20"/>
  <c r="DU202" i="20"/>
  <c r="DU201" i="20"/>
  <c r="DU251" i="20"/>
  <c r="DU254" i="20"/>
  <c r="DU198" i="20"/>
  <c r="DU255" i="20"/>
  <c r="DU197" i="20"/>
  <c r="DU258" i="20"/>
  <c r="DU194" i="20"/>
  <c r="DU259" i="20"/>
  <c r="DU193" i="20"/>
  <c r="DU262" i="20"/>
  <c r="DU190" i="20"/>
  <c r="DU189" i="20"/>
  <c r="DU263" i="20"/>
  <c r="DU266" i="20"/>
  <c r="DU186" i="20"/>
  <c r="DU185" i="20"/>
  <c r="DU267" i="20"/>
  <c r="DU270" i="20"/>
  <c r="DU182" i="20"/>
  <c r="DU271" i="20"/>
  <c r="DU181" i="20"/>
  <c r="DU274" i="20"/>
  <c r="DU178" i="20"/>
  <c r="DU275" i="20"/>
  <c r="DU276" i="20"/>
  <c r="DU281" i="20"/>
  <c r="DU282" i="20"/>
  <c r="DU283" i="20"/>
  <c r="DU284" i="20"/>
  <c r="DU289" i="20"/>
  <c r="DU290" i="20"/>
  <c r="DU291" i="20"/>
  <c r="DU292" i="20"/>
  <c r="DU297" i="20"/>
  <c r="DU298" i="20"/>
  <c r="DU299" i="20"/>
  <c r="DU300" i="20"/>
  <c r="DU305" i="20"/>
  <c r="DU306" i="20"/>
  <c r="DU307" i="20"/>
  <c r="DU308" i="20"/>
  <c r="DU313" i="20"/>
  <c r="DU314" i="20"/>
  <c r="DU315" i="20"/>
  <c r="DU316" i="20"/>
  <c r="DU321" i="20"/>
  <c r="DU322" i="20"/>
  <c r="DU323" i="20"/>
  <c r="DU324" i="20"/>
  <c r="DU329" i="20"/>
  <c r="DU330" i="20"/>
  <c r="DU331" i="20"/>
  <c r="DU332" i="20"/>
  <c r="DU337" i="20"/>
  <c r="DU338" i="20"/>
  <c r="DU339" i="20"/>
  <c r="DU340" i="20"/>
  <c r="DT179" i="20"/>
  <c r="BF17" i="21"/>
  <c r="BF11" i="21"/>
  <c r="BF16" i="21"/>
  <c r="BF12" i="21"/>
  <c r="BF13" i="21"/>
  <c r="BF14" i="21"/>
  <c r="BF15" i="21"/>
  <c r="BE15" i="21"/>
  <c r="BG13" i="21"/>
  <c r="BE13" i="21"/>
  <c r="BE14" i="21"/>
  <c r="BE16" i="21"/>
  <c r="AP11" i="21"/>
  <c r="BE12" i="21"/>
  <c r="BG14" i="21"/>
  <c r="M15" i="21"/>
  <c r="M10" i="21"/>
  <c r="AS15" i="21"/>
  <c r="X17" i="21"/>
  <c r="AU16" i="21"/>
  <c r="AP12" i="21"/>
  <c r="BF18" i="21"/>
  <c r="AC15" i="21"/>
  <c r="DS19" i="21"/>
  <c r="V10" i="21"/>
  <c r="CK19" i="21"/>
  <c r="S17" i="21"/>
  <c r="G17" i="21"/>
  <c r="U10" i="21"/>
  <c r="AK14" i="21"/>
  <c r="AA14" i="21"/>
  <c r="M20" i="21"/>
  <c r="Z12" i="21"/>
  <c r="AP17" i="21"/>
  <c r="AE13" i="21"/>
  <c r="AE10" i="21"/>
  <c r="BG11" i="21"/>
  <c r="AG15" i="21"/>
  <c r="AH15" i="21"/>
  <c r="AW14" i="21"/>
  <c r="AY13" i="21"/>
  <c r="AZ15" i="21"/>
  <c r="AE12" i="21"/>
  <c r="AE11" i="21"/>
  <c r="BD17" i="21"/>
  <c r="AY11" i="21"/>
  <c r="AD11" i="21"/>
  <c r="AX10" i="21"/>
  <c r="BA10" i="21"/>
  <c r="G16" i="21"/>
  <c r="AA17" i="21"/>
  <c r="AG10" i="21"/>
  <c r="AD12" i="21"/>
  <c r="AS10" i="21"/>
  <c r="AB18" i="21"/>
  <c r="DQ21" i="21"/>
  <c r="AK13" i="21"/>
  <c r="S10" i="21"/>
  <c r="M19" i="21"/>
  <c r="Q13" i="21"/>
  <c r="AU17" i="21"/>
  <c r="V18" i="21"/>
  <c r="AT19" i="21"/>
  <c r="CY20" i="21"/>
  <c r="Q14" i="21"/>
  <c r="BA16" i="21"/>
  <c r="AL15" i="21"/>
  <c r="AF13" i="21"/>
  <c r="P16" i="21"/>
  <c r="AD10" i="21"/>
  <c r="AO12" i="21"/>
  <c r="AT10" i="21"/>
  <c r="AN12" i="21"/>
  <c r="J13" i="21"/>
  <c r="N10" i="21"/>
  <c r="BF10" i="21"/>
  <c r="AE16" i="21"/>
  <c r="BE10" i="21"/>
  <c r="H19" i="21"/>
  <c r="AS11" i="21"/>
  <c r="AD15" i="21"/>
  <c r="X16" i="21"/>
  <c r="AK11" i="21"/>
  <c r="V14" i="21"/>
  <c r="CN19" i="21"/>
  <c r="AM14" i="21"/>
  <c r="H14" i="21"/>
  <c r="CJ20" i="21"/>
  <c r="R11" i="21"/>
  <c r="DE19" i="21"/>
  <c r="N19" i="21"/>
  <c r="BG18" i="21"/>
  <c r="U11" i="21"/>
  <c r="BG12" i="21"/>
  <c r="AV10" i="21"/>
  <c r="L13" i="21"/>
  <c r="AX15" i="21"/>
  <c r="AM18" i="21"/>
  <c r="BA12" i="21"/>
  <c r="BG10" i="21"/>
  <c r="CF20" i="21"/>
  <c r="G10" i="21"/>
  <c r="J11" i="21"/>
  <c r="BC19" i="21"/>
  <c r="AX12" i="21"/>
  <c r="Y16" i="21"/>
  <c r="BG19" i="21"/>
  <c r="Y15" i="21"/>
  <c r="AJ12" i="21"/>
  <c r="AF17" i="21"/>
  <c r="O12" i="21"/>
  <c r="AC17" i="21"/>
  <c r="AQ13" i="21"/>
  <c r="AX13" i="21"/>
  <c r="T10" i="21"/>
  <c r="L20" i="21"/>
  <c r="AH13" i="21"/>
  <c r="AT17" i="21"/>
  <c r="AP16" i="21"/>
  <c r="U17" i="21"/>
  <c r="W15" i="21"/>
  <c r="AD19" i="21"/>
  <c r="AW12" i="21"/>
  <c r="AK10" i="21"/>
  <c r="AH19" i="21"/>
  <c r="AA15" i="21"/>
  <c r="AF14" i="21"/>
  <c r="BT19" i="21"/>
  <c r="AH18" i="21"/>
  <c r="CG19" i="21"/>
  <c r="G20" i="21"/>
  <c r="P17" i="21"/>
  <c r="L11" i="21"/>
  <c r="AN19" i="21"/>
  <c r="BR19" i="21"/>
  <c r="X14" i="21"/>
  <c r="AP10" i="21"/>
  <c r="AG16" i="21"/>
  <c r="R10" i="21"/>
  <c r="DJ20" i="21"/>
  <c r="AX16" i="21"/>
  <c r="X12" i="21"/>
  <c r="AD13" i="21"/>
  <c r="AW17" i="21"/>
  <c r="AL10" i="21"/>
  <c r="AP19" i="21"/>
  <c r="J14" i="21"/>
  <c r="AW13" i="21"/>
  <c r="AT11" i="21"/>
  <c r="AX20" i="21"/>
  <c r="AL19" i="21"/>
  <c r="AS13" i="21"/>
  <c r="BE11" i="21"/>
  <c r="BE17" i="21"/>
  <c r="X18" i="21"/>
  <c r="BG17" i="21"/>
  <c r="V13" i="21"/>
  <c r="T16" i="21"/>
  <c r="BL19" i="21"/>
  <c r="BI13" i="21"/>
  <c r="AS20" i="21"/>
  <c r="AX19" i="21"/>
  <c r="AQ14" i="21"/>
  <c r="N20" i="21"/>
  <c r="AY17" i="21"/>
  <c r="L12" i="21"/>
  <c r="AY19" i="21"/>
  <c r="R23" i="21"/>
  <c r="BC17" i="21"/>
  <c r="AP20" i="21"/>
  <c r="AW23" i="21"/>
  <c r="BE18" i="21"/>
  <c r="I12" i="21"/>
  <c r="BY20" i="21"/>
  <c r="I15" i="21"/>
  <c r="AB20" i="21"/>
  <c r="BM20" i="21"/>
  <c r="AN13" i="21"/>
  <c r="DK21" i="21"/>
  <c r="BB16" i="21"/>
  <c r="AQ18" i="21"/>
  <c r="AG12" i="21"/>
  <c r="S20" i="21"/>
  <c r="DD20" i="21"/>
  <c r="Z18" i="21"/>
  <c r="DQ22" i="21"/>
  <c r="AC14" i="21"/>
  <c r="AW19" i="21"/>
  <c r="H12" i="21"/>
  <c r="BM21" i="21"/>
  <c r="BD10" i="21"/>
  <c r="CZ22" i="21"/>
  <c r="AJ18" i="21"/>
  <c r="AM23" i="21"/>
  <c r="BN22" i="21"/>
  <c r="CW20" i="21"/>
  <c r="CI20" i="21"/>
  <c r="M18" i="21"/>
  <c r="AG21" i="21"/>
  <c r="K20" i="21"/>
  <c r="AV11" i="21"/>
  <c r="K17" i="21"/>
  <c r="BB11" i="21"/>
  <c r="AQ10" i="21"/>
  <c r="BI21" i="21"/>
  <c r="W10" i="21"/>
  <c r="O18" i="21"/>
  <c r="DM19" i="21"/>
  <c r="M17" i="21"/>
  <c r="BC12" i="21"/>
  <c r="AM19" i="21"/>
  <c r="AA10" i="21"/>
  <c r="AW10" i="21"/>
  <c r="DA19" i="21"/>
  <c r="AL16" i="21"/>
  <c r="CG23" i="21"/>
  <c r="R12" i="21"/>
  <c r="AP22" i="21"/>
  <c r="G14" i="21"/>
  <c r="BZ22" i="21"/>
  <c r="CV19" i="21"/>
  <c r="AO14" i="21"/>
  <c r="BI17" i="21"/>
  <c r="BI22" i="21"/>
  <c r="H13" i="21"/>
  <c r="N16" i="21"/>
  <c r="DC21" i="21"/>
  <c r="AV14" i="21"/>
  <c r="M16" i="21"/>
  <c r="R19" i="21"/>
  <c r="Q21" i="21"/>
  <c r="AF18" i="21"/>
  <c r="AS14" i="21"/>
  <c r="H23" i="21"/>
  <c r="BF21" i="21"/>
  <c r="AY18" i="21"/>
  <c r="AC16" i="21"/>
  <c r="AK23" i="21"/>
  <c r="DK23" i="21"/>
  <c r="AD18" i="21"/>
  <c r="AQ20" i="21"/>
  <c r="AF20" i="21"/>
  <c r="L15" i="21"/>
  <c r="AF21" i="21"/>
  <c r="P19" i="21"/>
  <c r="AF12" i="21"/>
  <c r="AB23" i="21"/>
  <c r="H11" i="21"/>
  <c r="CQ20" i="21"/>
  <c r="V16" i="21"/>
  <c r="BF20" i="21"/>
  <c r="K10" i="21"/>
  <c r="CR21" i="21"/>
  <c r="BZ19" i="21"/>
  <c r="BL20" i="21"/>
  <c r="AI15" i="21"/>
  <c r="DM21" i="21"/>
  <c r="BZ20" i="21"/>
  <c r="AW15" i="21"/>
  <c r="Q19" i="21"/>
  <c r="AP15" i="21"/>
  <c r="I16" i="21"/>
  <c r="AG20" i="21"/>
  <c r="DE20" i="21"/>
  <c r="CN21" i="21"/>
  <c r="BW20" i="21"/>
  <c r="CW23" i="21"/>
  <c r="AC19" i="21"/>
  <c r="P11" i="21"/>
  <c r="DC20" i="21"/>
  <c r="BB14" i="21"/>
  <c r="AX14" i="21"/>
  <c r="S13" i="21"/>
  <c r="Q15" i="21"/>
  <c r="BS20" i="21"/>
  <c r="AT12" i="21"/>
  <c r="CI22" i="21"/>
  <c r="BA15" i="21"/>
  <c r="G13" i="21"/>
  <c r="X22" i="21"/>
  <c r="N11" i="21"/>
  <c r="U12" i="21"/>
  <c r="R16" i="21"/>
  <c r="L17" i="21"/>
  <c r="DE23" i="21"/>
  <c r="AI14" i="21"/>
  <c r="DE22" i="21"/>
  <c r="W16" i="21"/>
  <c r="AM20" i="21"/>
  <c r="AK17" i="21"/>
  <c r="O19" i="21"/>
  <c r="AV16" i="21"/>
  <c r="CU20" i="21"/>
  <c r="AE15" i="21"/>
  <c r="DP22" i="21"/>
  <c r="CL23" i="21"/>
  <c r="BK22" i="21"/>
  <c r="Z20" i="21"/>
  <c r="AA13" i="21"/>
  <c r="AN10" i="21"/>
  <c r="AA19" i="21"/>
  <c r="BC14" i="21"/>
  <c r="P15" i="21"/>
  <c r="L22" i="21"/>
  <c r="Y21" i="21"/>
  <c r="BW19" i="21"/>
  <c r="BG22" i="21"/>
  <c r="BA23" i="21"/>
  <c r="Q17" i="21"/>
  <c r="AS22" i="21"/>
  <c r="AY15" i="21"/>
  <c r="BM19" i="21"/>
  <c r="AF16" i="21"/>
  <c r="BB23" i="21"/>
  <c r="U13" i="21"/>
  <c r="AQ21" i="21"/>
  <c r="T18" i="21"/>
  <c r="AB13" i="21"/>
  <c r="DS21" i="21"/>
  <c r="CB23" i="21"/>
  <c r="CJ23" i="21"/>
  <c r="AE22" i="21"/>
  <c r="K19" i="21"/>
  <c r="BA20" i="21"/>
  <c r="CN20" i="21"/>
  <c r="BY23" i="21"/>
  <c r="BQ20" i="21"/>
  <c r="H18" i="21"/>
  <c r="AV15" i="21"/>
  <c r="BX21" i="21"/>
  <c r="AV17" i="21"/>
  <c r="H15" i="21"/>
  <c r="CI19" i="21"/>
  <c r="BD18" i="21"/>
  <c r="AP21" i="21"/>
  <c r="T23" i="21"/>
  <c r="AB22" i="21"/>
  <c r="AZ10" i="21"/>
  <c r="CG21" i="21"/>
  <c r="BD23" i="21"/>
  <c r="CL20" i="21"/>
  <c r="AZ11" i="21"/>
  <c r="DM22" i="21"/>
  <c r="CO21" i="21"/>
  <c r="CZ19" i="21"/>
  <c r="BV22" i="21"/>
  <c r="BD21" i="21"/>
  <c r="BG20" i="21"/>
  <c r="CA19" i="21"/>
  <c r="K16" i="21"/>
  <c r="AK19" i="21"/>
  <c r="AQ11" i="21"/>
  <c r="AC20" i="21"/>
  <c r="DE21" i="21"/>
  <c r="AZ22" i="21"/>
  <c r="R14" i="21"/>
  <c r="AO22" i="21"/>
  <c r="DI21" i="21"/>
  <c r="AN14" i="21"/>
  <c r="BI12" i="21"/>
  <c r="AS18" i="21"/>
  <c r="CP19" i="21"/>
  <c r="AN18" i="21"/>
  <c r="V19" i="21"/>
  <c r="AC11" i="21"/>
  <c r="AK18" i="21"/>
  <c r="DB21" i="21"/>
  <c r="DB22" i="21"/>
  <c r="Y10" i="21"/>
  <c r="DM23" i="21"/>
  <c r="O20" i="21"/>
  <c r="Q11" i="21"/>
  <c r="Q18" i="21"/>
  <c r="P20" i="21"/>
  <c r="AZ19" i="21"/>
  <c r="DG23" i="21"/>
  <c r="DJ23" i="21"/>
  <c r="BV21" i="21"/>
  <c r="BP23" i="21"/>
  <c r="AX18" i="21"/>
  <c r="AJ21" i="21"/>
  <c r="AJ14" i="21"/>
  <c r="DN21" i="21"/>
  <c r="L19" i="21"/>
  <c r="CD22" i="21"/>
  <c r="AM21" i="21"/>
  <c r="O11" i="21"/>
  <c r="AI17" i="21"/>
  <c r="BC13" i="21"/>
  <c r="M22" i="21"/>
  <c r="DI19" i="21"/>
  <c r="AU20" i="21"/>
  <c r="AL12" i="21"/>
  <c r="CG20" i="21"/>
  <c r="BG23" i="21"/>
  <c r="BX23" i="21"/>
  <c r="CQ22" i="21"/>
  <c r="U20" i="21"/>
  <c r="I14" i="21"/>
  <c r="I11" i="21"/>
  <c r="CV20" i="21"/>
  <c r="AV12" i="21"/>
  <c r="CL22" i="21"/>
  <c r="AY12" i="21"/>
  <c r="AH14" i="21"/>
  <c r="DO21" i="21"/>
  <c r="BD22" i="21"/>
  <c r="AA22" i="21"/>
  <c r="AH17" i="21"/>
  <c r="AQ22" i="21"/>
  <c r="AT23" i="21"/>
  <c r="DF22" i="21"/>
  <c r="X13" i="21"/>
  <c r="X20" i="21"/>
  <c r="Y14" i="21"/>
  <c r="T13" i="21"/>
  <c r="DP19" i="21"/>
  <c r="BA18" i="21"/>
  <c r="CH20" i="21"/>
  <c r="Y18" i="21"/>
  <c r="AL14" i="21"/>
  <c r="AC22" i="21"/>
  <c r="AJ13" i="21"/>
  <c r="AV23" i="21"/>
  <c r="BT23" i="21"/>
  <c r="G22" i="21"/>
  <c r="AB11" i="21"/>
  <c r="AN16" i="21"/>
  <c r="U16" i="21"/>
  <c r="AU13" i="21"/>
  <c r="R17" i="21"/>
  <c r="AE14" i="21"/>
  <c r="AW16" i="21"/>
  <c r="AZ14" i="21"/>
  <c r="AV13" i="21"/>
  <c r="I19" i="21"/>
  <c r="O23" i="21"/>
  <c r="DH20" i="21"/>
  <c r="Y13" i="21"/>
  <c r="BA19" i="21"/>
  <c r="AI20" i="21"/>
  <c r="AT15" i="21"/>
  <c r="AB15" i="21"/>
  <c r="BC15" i="21"/>
  <c r="S16" i="21"/>
  <c r="Q12" i="21"/>
  <c r="CH19" i="21"/>
  <c r="CH23" i="21"/>
  <c r="DR23" i="21"/>
  <c r="CA22" i="21"/>
  <c r="DR22" i="21"/>
  <c r="Z21" i="21"/>
  <c r="BD19" i="21"/>
  <c r="AW20" i="21"/>
  <c r="BY21" i="21"/>
  <c r="AZ13" i="21"/>
  <c r="DF19" i="21"/>
  <c r="AE19" i="21"/>
  <c r="AB16" i="21"/>
  <c r="CM22" i="21"/>
  <c r="CX21" i="21"/>
  <c r="AY16" i="21"/>
  <c r="K21" i="21"/>
  <c r="BD13" i="21"/>
  <c r="T19" i="21"/>
  <c r="DI23" i="21"/>
  <c r="Q23" i="21"/>
  <c r="J12" i="21"/>
  <c r="CK22" i="21"/>
  <c r="P12" i="21"/>
  <c r="V21" i="21"/>
  <c r="AC23" i="21"/>
  <c r="CR22" i="21"/>
  <c r="BT21" i="21"/>
  <c r="S19" i="21"/>
  <c r="CB21" i="21"/>
  <c r="CK20" i="21"/>
  <c r="AG11" i="21"/>
  <c r="BP22" i="21"/>
  <c r="AZ17" i="21"/>
  <c r="AT18" i="21"/>
  <c r="DO20" i="21"/>
  <c r="AY21" i="21"/>
  <c r="CB19" i="21"/>
  <c r="AR23" i="21"/>
  <c r="AG19" i="21"/>
  <c r="S23" i="21"/>
  <c r="AO10" i="21"/>
  <c r="AZ21" i="21"/>
  <c r="S15" i="21"/>
  <c r="V20" i="21"/>
  <c r="AD14" i="21"/>
  <c r="AQ12" i="21"/>
  <c r="AY14" i="21"/>
  <c r="BC22" i="21"/>
  <c r="T12" i="21"/>
  <c r="W12" i="21"/>
  <c r="AU19" i="21"/>
  <c r="DS23" i="21"/>
  <c r="W22" i="21"/>
  <c r="AA18" i="21"/>
  <c r="AK12" i="21"/>
  <c r="AN23" i="21"/>
  <c r="DG22" i="21"/>
  <c r="AJ11" i="21"/>
  <c r="BC10" i="21"/>
  <c r="BO23" i="21"/>
  <c r="AM11" i="21"/>
  <c r="AM15" i="21"/>
  <c r="AI16" i="21"/>
  <c r="W13" i="21"/>
  <c r="AO20" i="21"/>
  <c r="S22" i="21"/>
  <c r="CU23" i="21"/>
  <c r="L23" i="21"/>
  <c r="BO22" i="21"/>
  <c r="L14" i="21"/>
  <c r="AG17" i="21"/>
  <c r="H10" i="21"/>
  <c r="BU21" i="21"/>
  <c r="AI18" i="21"/>
  <c r="AX21" i="21"/>
  <c r="P21" i="21"/>
  <c r="T15" i="21"/>
  <c r="CL21" i="21"/>
  <c r="I23" i="21"/>
  <c r="BD16" i="21"/>
  <c r="CM23" i="21"/>
  <c r="K11" i="21"/>
  <c r="DN20" i="21"/>
  <c r="DS20" i="21"/>
  <c r="H17" i="21"/>
  <c r="AH10" i="21"/>
  <c r="AO11" i="21"/>
  <c r="AW22" i="21"/>
  <c r="DA21" i="21"/>
  <c r="M11" i="21"/>
  <c r="AS16" i="21"/>
  <c r="AS21" i="21"/>
  <c r="AM13" i="21"/>
  <c r="CT22" i="21"/>
  <c r="CY21" i="21"/>
  <c r="Z14" i="21"/>
  <c r="AB10" i="21"/>
  <c r="CP21" i="21"/>
  <c r="K14" i="21"/>
  <c r="Q16" i="21"/>
  <c r="DJ19" i="21"/>
  <c r="AW18" i="21"/>
  <c r="AO17" i="21"/>
  <c r="BJ22" i="21"/>
  <c r="AU10" i="21"/>
  <c r="CC19" i="21"/>
  <c r="CA21" i="21"/>
  <c r="AO23" i="21"/>
  <c r="BH21" i="21"/>
  <c r="AP18" i="21"/>
  <c r="CQ23" i="21"/>
  <c r="K13" i="21"/>
  <c r="CV23" i="21"/>
  <c r="Z15" i="21"/>
  <c r="DS22" i="21"/>
  <c r="AM22" i="21"/>
  <c r="AP23" i="21"/>
  <c r="BH22" i="21"/>
  <c r="K23" i="21"/>
  <c r="N21" i="21"/>
  <c r="Y22" i="21"/>
  <c r="X15" i="21"/>
  <c r="CX22" i="21"/>
  <c r="Q10" i="21"/>
  <c r="AI21" i="21"/>
  <c r="BK19" i="21"/>
  <c r="AR11" i="21"/>
  <c r="AS12" i="21"/>
  <c r="AO13" i="21"/>
  <c r="AH21" i="21"/>
  <c r="CH21" i="21"/>
  <c r="CD20" i="21"/>
  <c r="AI19" i="21"/>
  <c r="J19" i="21"/>
  <c r="J21" i="21"/>
  <c r="I10" i="21"/>
  <c r="AR18" i="21"/>
  <c r="G15" i="21"/>
  <c r="L10" i="21"/>
  <c r="Y11" i="21"/>
  <c r="G18" i="21"/>
  <c r="CA23" i="21"/>
  <c r="AC21" i="21"/>
  <c r="S21" i="21"/>
  <c r="BJ13" i="21"/>
  <c r="BH18" i="21"/>
  <c r="DL22" i="21"/>
  <c r="W19" i="21"/>
  <c r="J10" i="21"/>
  <c r="X11" i="21"/>
  <c r="DI20" i="21"/>
  <c r="AA12" i="21"/>
  <c r="U14" i="21"/>
  <c r="AK16" i="21"/>
  <c r="AY20" i="21"/>
  <c r="Y12" i="21"/>
  <c r="BA13" i="21"/>
  <c r="BW21" i="21"/>
  <c r="DD19" i="21"/>
  <c r="CE20" i="21"/>
  <c r="BS22" i="21"/>
  <c r="K12" i="21"/>
  <c r="CR20" i="21"/>
  <c r="CW21" i="21"/>
  <c r="CJ19" i="21"/>
  <c r="CT23" i="21"/>
  <c r="BI20" i="21"/>
  <c r="BB15" i="21"/>
  <c r="G12" i="21"/>
  <c r="AJ20" i="21"/>
  <c r="BX19" i="21"/>
  <c r="DG20" i="21"/>
  <c r="BN23" i="21"/>
  <c r="W11" i="21"/>
  <c r="U21" i="21"/>
  <c r="CE23" i="21"/>
  <c r="DL20" i="21"/>
  <c r="I22" i="21"/>
  <c r="AR15" i="21"/>
  <c r="AC12" i="21"/>
  <c r="BU20" i="21"/>
  <c r="AR17" i="21"/>
  <c r="BD12" i="21"/>
  <c r="BE23" i="21"/>
  <c r="DP21" i="21"/>
  <c r="BH23" i="21"/>
  <c r="N14" i="21"/>
  <c r="P10" i="21"/>
  <c r="BE19" i="21"/>
  <c r="BD20" i="21"/>
  <c r="Z11" i="21"/>
  <c r="DI22" i="21"/>
  <c r="BI19" i="21"/>
  <c r="AW11" i="21"/>
  <c r="P14" i="21"/>
  <c r="CP23" i="21"/>
  <c r="AL20" i="21"/>
  <c r="BL23" i="21"/>
  <c r="AF10" i="21"/>
  <c r="CC21" i="21"/>
  <c r="CE21" i="21"/>
  <c r="CU22" i="21"/>
  <c r="AH16" i="21"/>
  <c r="J20" i="21"/>
  <c r="BB13" i="21"/>
  <c r="AE21" i="21"/>
  <c r="CK21" i="21"/>
  <c r="AO19" i="21"/>
  <c r="DK22" i="21"/>
  <c r="BP19" i="21"/>
  <c r="CC22" i="21"/>
  <c r="CO20" i="21"/>
  <c r="AO16" i="21"/>
  <c r="U22" i="21"/>
  <c r="M23" i="21"/>
  <c r="CN22" i="21"/>
  <c r="J22" i="21"/>
  <c r="Z23" i="21"/>
  <c r="AZ12" i="21"/>
  <c r="BH13" i="21"/>
  <c r="BL22" i="21"/>
  <c r="Z19" i="21"/>
  <c r="BS23" i="21"/>
  <c r="AZ16" i="21"/>
  <c r="V15" i="21"/>
  <c r="AE23" i="21"/>
  <c r="DA20" i="21"/>
  <c r="BA14" i="21"/>
  <c r="BJ23" i="21"/>
  <c r="AR12" i="21"/>
  <c r="O16" i="21"/>
  <c r="AV18" i="21"/>
  <c r="BV19" i="21"/>
  <c r="J17" i="21"/>
  <c r="BJ19" i="21"/>
  <c r="BJ21" i="21"/>
  <c r="AN21" i="21"/>
  <c r="CH22" i="21"/>
  <c r="G23" i="21"/>
  <c r="O13" i="21"/>
  <c r="CZ20" i="21"/>
  <c r="CZ21" i="21"/>
  <c r="BE21" i="21"/>
  <c r="H20" i="21"/>
  <c r="BH12" i="21"/>
  <c r="AQ15" i="21"/>
  <c r="AV19" i="21"/>
  <c r="N12" i="21"/>
  <c r="S14" i="21"/>
  <c r="CW22" i="21"/>
  <c r="AI11" i="21"/>
  <c r="CM20" i="21"/>
  <c r="BY19" i="21"/>
  <c r="CX23" i="21"/>
  <c r="AN11" i="21"/>
  <c r="AH22" i="21"/>
  <c r="DJ21" i="21"/>
  <c r="BA17" i="21"/>
  <c r="BH17" i="21"/>
  <c r="O17" i="21"/>
  <c r="BJ10" i="21"/>
  <c r="BX20" i="21"/>
  <c r="BB22" i="21"/>
  <c r="W20" i="21"/>
  <c r="AN17" i="21"/>
  <c r="DC22" i="21"/>
  <c r="AX11" i="21"/>
  <c r="BS19" i="21"/>
  <c r="AU14" i="21"/>
  <c r="CJ22" i="21"/>
  <c r="I13" i="21"/>
  <c r="DQ19" i="21"/>
  <c r="AC18" i="21"/>
  <c r="BJ20" i="21"/>
  <c r="O15" i="21"/>
  <c r="AX22" i="21"/>
  <c r="BT22" i="21"/>
  <c r="AG18" i="21"/>
  <c r="CS20" i="21"/>
  <c r="AL13" i="21"/>
  <c r="AR22" i="21"/>
  <c r="DD22" i="21"/>
  <c r="G21" i="21"/>
  <c r="J23" i="21"/>
  <c r="CO23" i="21"/>
  <c r="Y20" i="21"/>
  <c r="P18" i="21"/>
  <c r="W21" i="21"/>
  <c r="DQ20" i="21"/>
  <c r="Z16" i="21"/>
  <c r="BU19" i="21"/>
  <c r="BY22" i="21"/>
  <c r="DF23" i="21"/>
  <c r="CS23" i="21"/>
  <c r="H16" i="21"/>
  <c r="L16" i="21"/>
  <c r="CE19" i="21"/>
  <c r="AS17" i="21"/>
  <c r="DP20" i="21"/>
  <c r="CM19" i="21"/>
  <c r="DN19" i="21"/>
  <c r="Y19" i="21"/>
  <c r="DH22" i="21"/>
  <c r="BZ21" i="21"/>
  <c r="BR23" i="21"/>
  <c r="DR21" i="21"/>
  <c r="I17" i="21"/>
  <c r="M14" i="21"/>
  <c r="AO18" i="21"/>
  <c r="BU22" i="21"/>
  <c r="AT14" i="21"/>
  <c r="X23" i="21"/>
  <c r="DR19" i="21"/>
  <c r="DF21" i="21"/>
  <c r="CD21" i="21"/>
  <c r="AR13" i="21"/>
  <c r="BK23" i="21"/>
  <c r="CC23" i="21"/>
  <c r="BJ11" i="21"/>
  <c r="U23" i="21"/>
  <c r="CP22" i="21"/>
  <c r="AD16" i="21"/>
  <c r="X10" i="21"/>
  <c r="DJ22" i="21"/>
  <c r="CQ19" i="21"/>
  <c r="W17" i="21"/>
  <c r="X19" i="21"/>
  <c r="BU23" i="21"/>
  <c r="BD14" i="21"/>
  <c r="BJ14" i="21"/>
  <c r="BH20" i="21"/>
  <c r="CF21" i="21"/>
  <c r="AH23" i="21"/>
  <c r="BR20" i="21"/>
  <c r="BG21" i="21"/>
  <c r="BR22" i="21"/>
  <c r="AP13" i="21"/>
  <c r="AY23" i="21"/>
  <c r="P23" i="21"/>
  <c r="AH20" i="21"/>
  <c r="W18" i="21"/>
  <c r="AB12" i="21"/>
  <c r="AK22" i="21"/>
  <c r="BJ18" i="21"/>
  <c r="R22" i="21"/>
  <c r="S18" i="21"/>
  <c r="DO22" i="21"/>
  <c r="AX23" i="21"/>
  <c r="DF20" i="21"/>
  <c r="AZ23" i="21"/>
  <c r="I21" i="21"/>
  <c r="AL11" i="21"/>
  <c r="AE17" i="21"/>
  <c r="CU19" i="21"/>
  <c r="CY19" i="21"/>
  <c r="AI10" i="21"/>
  <c r="AS19" i="21"/>
  <c r="V23" i="21"/>
  <c r="BA11" i="21"/>
  <c r="DB20" i="21"/>
  <c r="G11" i="21"/>
  <c r="AU18" i="21"/>
  <c r="T20" i="21"/>
  <c r="AY22" i="21"/>
  <c r="AU15" i="21"/>
  <c r="L21" i="21"/>
  <c r="AU22" i="21"/>
  <c r="CS22" i="21"/>
  <c r="I20" i="21"/>
  <c r="N18" i="21"/>
  <c r="AU11" i="21"/>
  <c r="AT13" i="21"/>
  <c r="BN19" i="21"/>
  <c r="DL19" i="21"/>
  <c r="S11" i="21"/>
  <c r="AB17" i="21"/>
  <c r="AR21" i="21"/>
  <c r="DR20" i="21"/>
  <c r="AG23" i="21"/>
  <c r="BP20" i="21"/>
  <c r="R13" i="21"/>
  <c r="AL21" i="21"/>
  <c r="Y23" i="21"/>
  <c r="DO23" i="21"/>
  <c r="BH19" i="21"/>
  <c r="BV20" i="21"/>
  <c r="BE22" i="21"/>
  <c r="DD23" i="21"/>
  <c r="AR16" i="21"/>
  <c r="AH12" i="21"/>
  <c r="CX19" i="21"/>
  <c r="AL17" i="21"/>
  <c r="BM23" i="21"/>
  <c r="AD22" i="21"/>
  <c r="BD15" i="21"/>
  <c r="AM17" i="21"/>
  <c r="DH19" i="21"/>
  <c r="T11" i="21"/>
  <c r="BQ19" i="21"/>
  <c r="AJ10" i="21"/>
  <c r="AU12" i="21"/>
  <c r="BP21" i="21"/>
  <c r="AJ15" i="21"/>
  <c r="CS21" i="21"/>
  <c r="CS19" i="21"/>
  <c r="BS21" i="21"/>
  <c r="M13" i="21"/>
  <c r="CF19" i="21"/>
  <c r="R20" i="21"/>
  <c r="BB10" i="21"/>
  <c r="CB20" i="21"/>
  <c r="AL23" i="21"/>
  <c r="AH11" i="21"/>
  <c r="DH23" i="21"/>
  <c r="Z17" i="21"/>
  <c r="AF22" i="21"/>
  <c r="CV21" i="21"/>
  <c r="AA23" i="21"/>
  <c r="BF19" i="21"/>
  <c r="O21" i="21"/>
  <c r="BK21" i="21"/>
  <c r="AU23" i="21"/>
  <c r="T22" i="21"/>
  <c r="AB19" i="21"/>
  <c r="Z13" i="21"/>
  <c r="Z22" i="21"/>
  <c r="AR10" i="21"/>
  <c r="AE18" i="21"/>
  <c r="BN21" i="21"/>
  <c r="AF11" i="21"/>
  <c r="AC13" i="21"/>
  <c r="BB21" i="21"/>
  <c r="N22" i="21"/>
  <c r="BT20" i="21"/>
  <c r="CC20" i="21"/>
  <c r="BC21" i="21"/>
  <c r="N13" i="21"/>
  <c r="AG13" i="21"/>
  <c r="AV20" i="21"/>
  <c r="AK20" i="21"/>
  <c r="AA21" i="21"/>
  <c r="Q22" i="21"/>
  <c r="DB19" i="21"/>
  <c r="AI22" i="21"/>
  <c r="AT16" i="21"/>
  <c r="DA23" i="21"/>
  <c r="BF23" i="21"/>
  <c r="AA16" i="21"/>
  <c r="CU21" i="21"/>
  <c r="BZ23" i="21"/>
  <c r="BI23" i="21"/>
  <c r="I18" i="21"/>
  <c r="DQ23" i="21"/>
  <c r="K22" i="21"/>
  <c r="CF22" i="21"/>
  <c r="CY22" i="21"/>
  <c r="O10" i="21"/>
  <c r="O22" i="21"/>
  <c r="CM21" i="21"/>
  <c r="N15" i="21"/>
  <c r="BV23" i="21"/>
  <c r="DM20" i="21"/>
  <c r="BQ23" i="21"/>
  <c r="P22" i="21"/>
  <c r="BC20" i="21"/>
  <c r="BR21" i="21"/>
  <c r="BC16" i="21"/>
  <c r="AF23" i="21"/>
  <c r="DB23" i="21"/>
  <c r="V12" i="21"/>
  <c r="U19" i="21"/>
  <c r="T21" i="21"/>
  <c r="Z10" i="21"/>
  <c r="BA22" i="21"/>
  <c r="V17" i="21"/>
  <c r="BW22" i="21"/>
  <c r="CA20" i="21"/>
  <c r="BB18" i="21"/>
  <c r="AD21" i="21"/>
  <c r="AJ23" i="21"/>
  <c r="AO15" i="21"/>
  <c r="AR14" i="21"/>
  <c r="CG22" i="21"/>
  <c r="DL21" i="21"/>
  <c r="DH21" i="21"/>
  <c r="BO21" i="21"/>
  <c r="AZ20" i="21"/>
  <c r="AQ23" i="21"/>
  <c r="W23" i="21"/>
  <c r="R21" i="21"/>
  <c r="BJ17" i="21"/>
  <c r="CJ21" i="21"/>
  <c r="CI21" i="21"/>
  <c r="AA11" i="21"/>
  <c r="AQ16" i="21"/>
  <c r="BG16" i="21"/>
  <c r="W14" i="21"/>
  <c r="BX22" i="21"/>
  <c r="AN20" i="21"/>
  <c r="CO22" i="21"/>
  <c r="P13" i="21"/>
  <c r="AB14" i="21"/>
  <c r="CX20" i="21"/>
  <c r="CZ23" i="21"/>
  <c r="CR23" i="21"/>
  <c r="CW19" i="21"/>
  <c r="DC23" i="21"/>
  <c r="AZ18" i="21"/>
  <c r="DN22" i="21"/>
  <c r="AQ17" i="21"/>
  <c r="BB20" i="21"/>
  <c r="O14" i="21"/>
  <c r="CK23" i="21"/>
  <c r="AL22" i="21"/>
  <c r="AP14" i="21"/>
  <c r="BC11" i="21"/>
  <c r="N17" i="21"/>
  <c r="N23" i="21"/>
  <c r="AD23" i="21"/>
  <c r="AG14" i="21"/>
  <c r="BH14" i="21"/>
  <c r="J15" i="21"/>
  <c r="DD21" i="21"/>
  <c r="AJ16" i="21"/>
  <c r="AW21" i="21"/>
  <c r="CN23" i="21"/>
  <c r="BE20" i="21"/>
  <c r="DG19" i="21"/>
  <c r="AT22" i="21"/>
  <c r="CT21" i="21"/>
  <c r="DK20" i="21"/>
  <c r="DC19" i="21"/>
  <c r="S12" i="21"/>
  <c r="AD17" i="21"/>
  <c r="AN22" i="21"/>
  <c r="G19" i="21"/>
  <c r="AA20" i="21"/>
  <c r="J18" i="21"/>
  <c r="BO19" i="21"/>
  <c r="CO19" i="21"/>
  <c r="AJ22" i="21"/>
  <c r="AD20" i="21"/>
  <c r="T14" i="21"/>
  <c r="AV22" i="21"/>
  <c r="CD23" i="21"/>
  <c r="Y17" i="21"/>
  <c r="BO20" i="21"/>
  <c r="AG22" i="21"/>
  <c r="K18" i="21"/>
  <c r="BJ12" i="21"/>
  <c r="BB17" i="21"/>
  <c r="AJ17" i="21"/>
  <c r="CR19" i="21"/>
  <c r="AT20" i="21"/>
  <c r="AY10" i="21"/>
  <c r="BD11" i="21"/>
  <c r="CQ21" i="21"/>
  <c r="BW23" i="21"/>
  <c r="U15" i="21"/>
  <c r="AC10" i="21"/>
  <c r="CV22" i="21"/>
  <c r="AV21" i="21"/>
  <c r="BK14" i="21"/>
  <c r="BK12" i="21"/>
  <c r="CD19" i="21"/>
  <c r="Q20" i="21"/>
  <c r="AI13" i="21"/>
  <c r="AS23" i="21"/>
  <c r="AX17" i="21"/>
  <c r="BB19" i="21"/>
  <c r="DN23" i="21"/>
  <c r="AU21" i="21"/>
  <c r="BM22" i="21"/>
  <c r="BI16" i="21"/>
  <c r="AN15" i="21"/>
  <c r="BQ21" i="21"/>
  <c r="DA22" i="21"/>
  <c r="M12" i="21"/>
  <c r="CT20" i="21"/>
  <c r="BI11" i="21"/>
  <c r="BK10" i="21"/>
  <c r="CY23" i="21"/>
  <c r="BK11" i="21"/>
  <c r="AT21" i="21"/>
  <c r="DG21" i="21"/>
  <c r="AB21" i="21"/>
  <c r="BQ22" i="21"/>
  <c r="AI12" i="21"/>
  <c r="CF23" i="21"/>
  <c r="BH16" i="21"/>
  <c r="DP23" i="21"/>
  <c r="AK21" i="21"/>
  <c r="CI23" i="21"/>
  <c r="AF19" i="21"/>
  <c r="CT19" i="21"/>
  <c r="BI18" i="21"/>
  <c r="V11" i="21"/>
  <c r="BF22" i="21"/>
  <c r="AO21" i="21"/>
  <c r="BK18" i="21"/>
  <c r="BC23" i="21"/>
  <c r="M21" i="21"/>
  <c r="AL18" i="21"/>
  <c r="R15" i="21"/>
  <c r="AQ19" i="21"/>
  <c r="X21" i="21"/>
  <c r="DK19" i="21"/>
  <c r="AM12" i="21"/>
  <c r="DL23" i="21"/>
  <c r="AM16" i="21"/>
  <c r="BH15" i="21"/>
  <c r="BI10" i="21"/>
  <c r="CE22" i="21"/>
  <c r="BK20" i="21"/>
  <c r="CL19" i="21"/>
  <c r="V22" i="21"/>
  <c r="BL21" i="21"/>
  <c r="AI23" i="21"/>
  <c r="BK15" i="21"/>
  <c r="CB22" i="21"/>
  <c r="AJ19" i="21"/>
  <c r="BH11" i="21"/>
  <c r="BG15" i="21"/>
  <c r="AE20" i="21"/>
  <c r="BK16" i="21"/>
  <c r="BB12" i="21"/>
  <c r="AF15" i="21"/>
  <c r="H22" i="21"/>
  <c r="AR20" i="21"/>
  <c r="CP20" i="21"/>
  <c r="BA21" i="21"/>
  <c r="BN20" i="21"/>
  <c r="T17" i="21"/>
  <c r="AM10" i="21"/>
  <c r="BK17" i="21"/>
  <c r="K15" i="21"/>
  <c r="BK13" i="21"/>
  <c r="BH10" i="21"/>
  <c r="AK15" i="21"/>
  <c r="H21" i="21"/>
  <c r="J16" i="21"/>
  <c r="DO19" i="21"/>
  <c r="AR19" i="21"/>
  <c r="BL14" i="21"/>
  <c r="BJ16" i="21"/>
  <c r="BI14" i="21"/>
  <c r="BI15" i="21"/>
  <c r="BL11" i="21"/>
  <c r="BL10" i="21"/>
  <c r="BL13" i="21"/>
  <c r="BL18" i="21"/>
  <c r="BM11" i="21"/>
  <c r="BL12" i="21"/>
  <c r="BM12" i="21"/>
  <c r="BJ15" i="21"/>
  <c r="BM15" i="21"/>
  <c r="BN11" i="21"/>
  <c r="BM10" i="21"/>
  <c r="BN13" i="21"/>
  <c r="BM18" i="21"/>
  <c r="BN10" i="21"/>
  <c r="BN17" i="21"/>
  <c r="BO17" i="21"/>
  <c r="BO10" i="21"/>
  <c r="BO12" i="21"/>
  <c r="BL17" i="21"/>
  <c r="BO14" i="21"/>
  <c r="BO11" i="21"/>
  <c r="BO18" i="21"/>
  <c r="BL16" i="21"/>
  <c r="BO13" i="21"/>
  <c r="BO15" i="21"/>
  <c r="BM13" i="21"/>
  <c r="BO16" i="21"/>
  <c r="BL15" i="21"/>
  <c r="BP15" i="21"/>
  <c r="BM14" i="21"/>
  <c r="BP14" i="21"/>
  <c r="BP10" i="21"/>
  <c r="BM16" i="21"/>
  <c r="BP18" i="21"/>
  <c r="BN14" i="21"/>
  <c r="BN18" i="21"/>
  <c r="BN16" i="21"/>
  <c r="BM17" i="21"/>
  <c r="BN15" i="21"/>
  <c r="BN12" i="21"/>
  <c r="BS10" i="21"/>
  <c r="BP17" i="21"/>
  <c r="BS17" i="21"/>
  <c r="BS12" i="21"/>
  <c r="BS16" i="21"/>
  <c r="BS18" i="21"/>
  <c r="BS14" i="21"/>
  <c r="BQ15" i="21"/>
  <c r="BQ18" i="21"/>
  <c r="BS11" i="21"/>
  <c r="BP12" i="21"/>
  <c r="BS15" i="21"/>
  <c r="BT13" i="21"/>
  <c r="BP13" i="21"/>
  <c r="BT16" i="21"/>
  <c r="BQ11" i="21"/>
  <c r="BQ12" i="21"/>
  <c r="BT17" i="21"/>
  <c r="BQ17" i="21"/>
  <c r="BQ16" i="21"/>
  <c r="BT14" i="21"/>
  <c r="BP16" i="21"/>
  <c r="BP11" i="21"/>
  <c r="BQ13" i="21"/>
  <c r="BQ14" i="21"/>
  <c r="BQ10" i="21"/>
  <c r="BU14" i="21"/>
  <c r="BR11" i="21"/>
  <c r="BR17" i="21"/>
  <c r="BR18" i="21"/>
  <c r="BR10" i="21"/>
  <c r="BR16" i="21"/>
  <c r="BR13" i="21"/>
  <c r="BR15" i="21"/>
  <c r="BR12" i="21"/>
  <c r="BR14" i="21"/>
  <c r="BU11" i="21"/>
  <c r="BV17" i="21"/>
  <c r="BV12" i="21"/>
  <c r="BV11" i="21"/>
  <c r="BT10" i="21"/>
  <c r="BV16" i="21"/>
  <c r="BS13" i="21"/>
  <c r="BV14" i="21"/>
  <c r="BV13" i="21"/>
  <c r="BU17" i="21"/>
  <c r="BV18" i="21"/>
  <c r="BT18" i="21"/>
  <c r="BT15" i="21"/>
  <c r="BT12" i="21"/>
  <c r="BU10" i="21"/>
  <c r="BX17" i="21"/>
  <c r="BU12" i="21"/>
  <c r="BU18" i="21"/>
  <c r="BW10" i="21"/>
  <c r="BT11" i="21"/>
  <c r="BW12" i="21"/>
  <c r="BU16" i="21"/>
  <c r="BV10" i="21"/>
  <c r="BW11" i="21"/>
  <c r="BY10" i="21"/>
  <c r="BV15" i="21"/>
  <c r="BW16" i="21"/>
  <c r="BX10" i="21"/>
  <c r="BW13" i="21"/>
  <c r="BW18" i="21"/>
  <c r="BY13" i="21"/>
  <c r="BW15" i="21"/>
  <c r="BW17" i="21"/>
  <c r="BY12" i="21"/>
  <c r="BU13" i="21"/>
  <c r="BW14" i="21"/>
  <c r="BU15" i="21"/>
  <c r="BZ11" i="21"/>
  <c r="BX12" i="21"/>
  <c r="BZ18" i="21"/>
  <c r="BX15" i="21"/>
  <c r="BZ12" i="21"/>
  <c r="BX16" i="21"/>
  <c r="BX14" i="21"/>
  <c r="CA17" i="21"/>
  <c r="BY17" i="21"/>
  <c r="BZ15" i="21"/>
  <c r="CA12" i="21"/>
  <c r="BY11" i="21"/>
  <c r="BX13" i="21"/>
  <c r="CA14" i="21"/>
  <c r="BX11" i="21"/>
  <c r="CA10" i="21"/>
  <c r="BX18" i="21"/>
  <c r="CA18" i="21"/>
  <c r="CB10" i="21"/>
  <c r="BY16" i="21"/>
  <c r="CB18" i="21"/>
  <c r="CB15" i="21"/>
  <c r="CB14" i="21"/>
  <c r="CB12" i="21"/>
  <c r="CB13" i="21"/>
  <c r="BY18" i="21"/>
  <c r="CB11" i="21"/>
  <c r="CC11" i="21"/>
  <c r="BZ16" i="21"/>
  <c r="BY14" i="21"/>
  <c r="BZ10" i="21"/>
  <c r="BZ14" i="21"/>
  <c r="BZ17" i="21"/>
  <c r="BZ13" i="21"/>
  <c r="BY15" i="21"/>
  <c r="CA15" i="21"/>
  <c r="CD15" i="21"/>
  <c r="CD16" i="21"/>
  <c r="CD14" i="21"/>
  <c r="CD11" i="21"/>
  <c r="CA16" i="21"/>
  <c r="CA11" i="21"/>
  <c r="CB16" i="21"/>
  <c r="CD10" i="21"/>
  <c r="CD17" i="21"/>
  <c r="CD12" i="21"/>
  <c r="CD18" i="21"/>
  <c r="CC18" i="21"/>
  <c r="CB17" i="21"/>
  <c r="CC14" i="21"/>
  <c r="CC10" i="21"/>
  <c r="CC17" i="21"/>
  <c r="CA13" i="21"/>
  <c r="CF13" i="21"/>
  <c r="CE15" i="21"/>
  <c r="CF14" i="21"/>
  <c r="CC12" i="21"/>
  <c r="CC13" i="21"/>
  <c r="CD13" i="21"/>
  <c r="CF11" i="21"/>
  <c r="CE17" i="21"/>
  <c r="CF17" i="21"/>
  <c r="CC15" i="21"/>
  <c r="CE12" i="21"/>
  <c r="CE10" i="21"/>
  <c r="CF10" i="21"/>
  <c r="CC16" i="21"/>
  <c r="CH11" i="21"/>
  <c r="CG11" i="21"/>
  <c r="CH10" i="21"/>
  <c r="CH16" i="21"/>
  <c r="CG13" i="21"/>
  <c r="CE11" i="21"/>
  <c r="CG16" i="21"/>
  <c r="CE13" i="21"/>
  <c r="CE18" i="21"/>
  <c r="CH12" i="21"/>
  <c r="CE14" i="21"/>
  <c r="CH18" i="21"/>
  <c r="CH14" i="21"/>
  <c r="CH17" i="21"/>
  <c r="CF12" i="21"/>
  <c r="CF16" i="21"/>
  <c r="CI14" i="21"/>
  <c r="CG18" i="21"/>
  <c r="CG12" i="21"/>
  <c r="CE16" i="21"/>
  <c r="CF18" i="21"/>
  <c r="CG15" i="21"/>
  <c r="CF15" i="21"/>
  <c r="CG10" i="21"/>
  <c r="CJ16" i="21"/>
  <c r="CI17" i="21"/>
  <c r="CH15" i="21"/>
  <c r="CJ10" i="21"/>
  <c r="CJ13" i="21"/>
  <c r="CJ17" i="21"/>
  <c r="CG14" i="21"/>
  <c r="CG17" i="21"/>
  <c r="CI10" i="21"/>
  <c r="CH13" i="21"/>
  <c r="CI15" i="21"/>
  <c r="CK16" i="21"/>
  <c r="CI16" i="21"/>
  <c r="CK15" i="21"/>
  <c r="CK10" i="21"/>
  <c r="CI12" i="21"/>
  <c r="CK17" i="21"/>
  <c r="CI11" i="21"/>
  <c r="CL10" i="21"/>
  <c r="CJ18" i="21"/>
  <c r="CJ14" i="21"/>
  <c r="CI13" i="21"/>
  <c r="CI18" i="21"/>
  <c r="CM14" i="21"/>
  <c r="CL13" i="21"/>
  <c r="CJ11" i="21"/>
  <c r="CJ12" i="21"/>
  <c r="CJ15" i="21"/>
  <c r="CM16" i="21"/>
  <c r="CK12" i="21"/>
  <c r="CL18" i="21"/>
  <c r="CL16" i="21"/>
  <c r="CK11" i="21"/>
  <c r="CK18" i="21"/>
  <c r="CL11" i="21"/>
  <c r="CK13" i="21"/>
  <c r="CL12" i="21"/>
  <c r="CM12" i="21"/>
  <c r="CM18" i="21"/>
  <c r="CO13" i="21"/>
  <c r="CK14" i="21"/>
  <c r="CL17" i="21"/>
  <c r="CO17" i="21"/>
  <c r="CM15" i="21"/>
  <c r="CL14" i="21"/>
  <c r="CL15" i="21"/>
  <c r="CM10" i="21"/>
  <c r="CN15" i="21"/>
  <c r="CN11" i="21"/>
  <c r="CN14" i="21"/>
  <c r="CO18" i="21"/>
  <c r="CO16" i="21"/>
  <c r="CM13" i="21"/>
  <c r="CQ12" i="21"/>
  <c r="CO12" i="21"/>
  <c r="CN12" i="21"/>
  <c r="CN13" i="21"/>
  <c r="CQ11" i="21"/>
  <c r="CN17" i="21"/>
  <c r="CP10" i="21"/>
  <c r="CP11" i="21"/>
  <c r="CP13" i="21"/>
  <c r="CQ18" i="21"/>
  <c r="CN10" i="21"/>
  <c r="CM11" i="21"/>
  <c r="CN18" i="21"/>
  <c r="CN16" i="21"/>
  <c r="CM17" i="21"/>
  <c r="CO10" i="21"/>
  <c r="CO15" i="21"/>
  <c r="CP14" i="21"/>
  <c r="CO14" i="21"/>
  <c r="CP15" i="21"/>
  <c r="CP16" i="21"/>
  <c r="CP18" i="21"/>
  <c r="CP12" i="21"/>
  <c r="CP17" i="21"/>
  <c r="CO11" i="21"/>
  <c r="CS13" i="21"/>
  <c r="CQ10" i="21"/>
  <c r="CR16" i="21"/>
  <c r="CR10" i="21"/>
  <c r="CR12" i="21"/>
  <c r="CQ13" i="21"/>
  <c r="CQ14" i="21"/>
  <c r="CT15" i="21"/>
  <c r="CS17" i="21"/>
  <c r="CR11" i="21"/>
  <c r="CQ16" i="21"/>
  <c r="CQ17" i="21"/>
  <c r="CQ15" i="21"/>
  <c r="CR15" i="21"/>
  <c r="CR17" i="21"/>
  <c r="CR18" i="21"/>
  <c r="CU12" i="21"/>
  <c r="CS12" i="21"/>
  <c r="CT10" i="21"/>
  <c r="CS14" i="21"/>
  <c r="CS16" i="21"/>
  <c r="CS11" i="21"/>
  <c r="CS10" i="21"/>
  <c r="CS15" i="21"/>
  <c r="CR14" i="21"/>
  <c r="CR13" i="21"/>
  <c r="CT11" i="21"/>
  <c r="CS18" i="21"/>
  <c r="CT14" i="21"/>
  <c r="CT17" i="21"/>
  <c r="CT16" i="21"/>
  <c r="CW17" i="21"/>
  <c r="CT13" i="21"/>
  <c r="CW18" i="21"/>
  <c r="CU13" i="21"/>
  <c r="CT18" i="21"/>
  <c r="CU10" i="21"/>
  <c r="CU11" i="21"/>
  <c r="CT12" i="21"/>
  <c r="CU18" i="21"/>
  <c r="CX17" i="21"/>
  <c r="CU15" i="21"/>
  <c r="CX12" i="21"/>
  <c r="CU17" i="21"/>
  <c r="CX18" i="21"/>
  <c r="CU16" i="21"/>
  <c r="CY16" i="21"/>
  <c r="CV13" i="21"/>
  <c r="CU14" i="21"/>
  <c r="CV10" i="21"/>
  <c r="CV12" i="21"/>
  <c r="CZ17" i="21"/>
  <c r="CZ11" i="21"/>
  <c r="CW11" i="21"/>
  <c r="CV17" i="21"/>
  <c r="CY12" i="21"/>
  <c r="CW10" i="21"/>
  <c r="CW12" i="21"/>
  <c r="CW16" i="21"/>
  <c r="CY10" i="21"/>
  <c r="CZ10" i="21"/>
  <c r="CV15" i="21"/>
  <c r="CW13" i="21"/>
  <c r="CV16" i="21"/>
  <c r="CZ15" i="21"/>
  <c r="CY11" i="21"/>
  <c r="CX11" i="21"/>
  <c r="CV14" i="21"/>
  <c r="CW14" i="21"/>
  <c r="CV18" i="21"/>
  <c r="CZ12" i="21"/>
  <c r="CZ14" i="21"/>
  <c r="CZ16" i="21"/>
  <c r="CY17" i="21"/>
  <c r="CY18" i="21"/>
  <c r="CW15" i="21"/>
  <c r="CX13" i="21"/>
  <c r="CZ18" i="21"/>
  <c r="CX10" i="21"/>
  <c r="CV11" i="21"/>
  <c r="CX16" i="21"/>
  <c r="CX15" i="21"/>
  <c r="DA13" i="21"/>
  <c r="CX14" i="21"/>
  <c r="CY14" i="21"/>
  <c r="DA12" i="21"/>
  <c r="CY13" i="21"/>
  <c r="DA16" i="21"/>
  <c r="DB15" i="21"/>
  <c r="DB13" i="21"/>
  <c r="DB11" i="21"/>
  <c r="CY15" i="21"/>
  <c r="DB16" i="21"/>
  <c r="CZ13" i="21"/>
  <c r="DB17" i="21"/>
  <c r="DB12" i="21"/>
  <c r="DB18" i="21"/>
  <c r="DC16" i="21"/>
  <c r="DC13" i="21"/>
  <c r="DA10" i="21"/>
  <c r="DA17" i="21"/>
  <c r="DC14" i="21"/>
  <c r="DC18" i="21"/>
  <c r="DA11" i="21"/>
  <c r="DC17" i="21"/>
  <c r="DC12" i="21"/>
  <c r="DC10" i="21"/>
  <c r="DC11" i="21"/>
  <c r="DA18" i="21"/>
  <c r="DC15" i="21"/>
  <c r="DD17" i="21"/>
  <c r="DD16" i="21"/>
  <c r="DD10" i="21"/>
  <c r="DD18" i="21"/>
  <c r="DD12" i="21"/>
  <c r="DA14" i="21"/>
  <c r="DD13" i="21"/>
  <c r="DD15" i="21"/>
  <c r="DD14" i="21"/>
  <c r="DA15" i="21"/>
  <c r="DE16" i="21"/>
  <c r="DB14" i="21"/>
  <c r="DE11" i="21"/>
  <c r="DE15" i="21"/>
  <c r="DB10" i="21"/>
  <c r="DE14" i="21"/>
  <c r="DF16" i="21"/>
  <c r="DF13" i="21"/>
  <c r="DG14" i="21"/>
  <c r="DD11" i="21"/>
  <c r="DG11" i="21"/>
  <c r="DG12" i="21"/>
  <c r="DG15" i="21"/>
  <c r="DH14" i="21"/>
  <c r="DF12" i="21"/>
  <c r="DF10" i="21"/>
  <c r="DE18" i="21"/>
  <c r="DF11" i="21"/>
  <c r="DH13" i="21"/>
  <c r="DE10" i="21"/>
  <c r="DE12" i="21"/>
  <c r="DH18" i="21"/>
  <c r="DF18" i="21"/>
  <c r="DE13" i="21"/>
  <c r="DF17" i="21"/>
  <c r="DF15" i="21"/>
  <c r="DE17" i="21"/>
  <c r="DI18" i="21"/>
  <c r="DI11" i="21"/>
  <c r="DI12" i="21"/>
  <c r="DG13" i="21"/>
  <c r="DG18" i="21"/>
  <c r="DH10" i="21"/>
  <c r="DG16" i="21"/>
  <c r="DF14" i="21"/>
  <c r="DG10" i="21"/>
  <c r="DH11" i="21"/>
  <c r="DG17" i="21"/>
  <c r="DH16" i="21"/>
  <c r="DH12" i="21"/>
  <c r="DH15" i="21"/>
  <c r="DH17" i="21"/>
  <c r="DJ13" i="21"/>
  <c r="DI10" i="21"/>
  <c r="DL15" i="21"/>
  <c r="DL10" i="21"/>
  <c r="DJ15" i="21"/>
  <c r="DL18" i="21"/>
  <c r="DK11" i="21"/>
  <c r="DK16" i="21"/>
  <c r="DL16" i="21"/>
  <c r="DI14" i="21"/>
  <c r="DJ16" i="21"/>
  <c r="DJ17" i="21"/>
  <c r="DI13" i="21"/>
  <c r="DL12" i="21"/>
  <c r="DL11" i="21"/>
  <c r="DK18" i="21"/>
  <c r="DI16" i="21"/>
  <c r="DK10" i="21"/>
  <c r="DL13" i="21"/>
  <c r="DI17" i="21"/>
  <c r="DJ11" i="21"/>
  <c r="DK15" i="21"/>
  <c r="DJ10" i="21"/>
  <c r="DM15" i="21"/>
  <c r="DL14" i="21"/>
  <c r="DJ14" i="21"/>
  <c r="DJ18" i="21"/>
  <c r="DI15" i="21"/>
  <c r="DK14" i="21"/>
  <c r="DK13" i="21"/>
  <c r="DK12" i="21"/>
  <c r="DK17" i="21"/>
  <c r="DM14" i="21"/>
  <c r="DJ12" i="21"/>
  <c r="DL17" i="21"/>
  <c r="DO12" i="21"/>
  <c r="DO14" i="21"/>
  <c r="DM18" i="21"/>
  <c r="DO15" i="21"/>
  <c r="DM11" i="21"/>
  <c r="DM12" i="21"/>
  <c r="DM10" i="21"/>
  <c r="DM17" i="21"/>
  <c r="DM13" i="21"/>
  <c r="DM16" i="21"/>
  <c r="DN10" i="21"/>
  <c r="DO10" i="21"/>
  <c r="DQ14" i="21"/>
  <c r="DN16" i="21"/>
  <c r="DQ17" i="21"/>
  <c r="DQ15" i="21"/>
  <c r="DN13" i="21"/>
  <c r="DN12" i="21"/>
  <c r="DN15" i="21"/>
  <c r="DP16" i="21"/>
  <c r="DQ12" i="21"/>
  <c r="DO17" i="21"/>
  <c r="DQ13" i="21"/>
  <c r="DP15" i="21"/>
  <c r="DO18" i="21"/>
  <c r="DO11" i="21"/>
  <c r="DQ10" i="21"/>
  <c r="DP14" i="21"/>
  <c r="DN17" i="21"/>
  <c r="DN18" i="21"/>
  <c r="DO13" i="21"/>
  <c r="DN14" i="21"/>
  <c r="DQ18" i="21"/>
  <c r="DN11" i="21"/>
  <c r="DP10" i="21"/>
  <c r="DR13" i="21"/>
  <c r="DT333" i="20"/>
  <c r="DT325" i="20"/>
  <c r="DT317" i="20"/>
  <c r="DT309" i="20"/>
  <c r="DT301" i="20"/>
  <c r="DT293" i="20"/>
  <c r="DT285" i="20"/>
  <c r="DT277" i="20"/>
  <c r="DT272" i="20"/>
  <c r="DT268" i="20"/>
  <c r="DT188" i="20"/>
  <c r="DT260" i="20"/>
  <c r="DT256" i="20"/>
  <c r="DT252" i="20"/>
  <c r="DT248" i="20"/>
  <c r="DT208" i="20"/>
  <c r="DT212" i="20"/>
  <c r="DT236" i="20"/>
  <c r="DT232" i="20"/>
  <c r="DT224" i="20"/>
  <c r="DT13" i="21" s="1"/>
  <c r="DP12" i="21"/>
  <c r="DT327" i="20"/>
  <c r="DT311" i="20"/>
  <c r="DT287" i="20"/>
  <c r="DT19" i="21" s="1"/>
  <c r="DT229" i="20"/>
  <c r="DT332" i="20"/>
  <c r="DT324" i="20"/>
  <c r="DT316" i="20"/>
  <c r="DT308" i="20"/>
  <c r="DT300" i="20"/>
  <c r="DT292" i="20"/>
  <c r="DT284" i="20"/>
  <c r="DT276" i="20"/>
  <c r="DT271" i="20"/>
  <c r="DT267" i="20"/>
  <c r="DT263" i="20"/>
  <c r="DT17" i="21" s="1"/>
  <c r="DT259" i="20"/>
  <c r="DT197" i="20"/>
  <c r="DT251" i="20"/>
  <c r="DT16" i="21" s="1"/>
  <c r="DT247" i="20"/>
  <c r="DT243" i="20"/>
  <c r="DT213" i="20"/>
  <c r="DT217" i="20"/>
  <c r="DT221" i="20"/>
  <c r="DT227" i="20"/>
  <c r="DT14" i="21" s="1"/>
  <c r="DT340" i="20"/>
  <c r="DT339" i="20"/>
  <c r="DT23" i="21" s="1"/>
  <c r="DT331" i="20"/>
  <c r="DT323" i="20"/>
  <c r="DT22" i="21" s="1"/>
  <c r="DT315" i="20"/>
  <c r="DT307" i="20"/>
  <c r="DT299" i="20"/>
  <c r="DT20" i="21" s="1"/>
  <c r="DT291" i="20"/>
  <c r="DT283" i="20"/>
  <c r="DT275" i="20"/>
  <c r="DT18" i="21" s="1"/>
  <c r="DT181" i="20"/>
  <c r="DT10" i="21" s="1"/>
  <c r="DT185" i="20"/>
  <c r="DT189" i="20"/>
  <c r="DT193" i="20"/>
  <c r="DT255" i="20"/>
  <c r="DT201" i="20"/>
  <c r="DT205" i="20"/>
  <c r="DT12" i="21" s="1"/>
  <c r="DT209" i="20"/>
  <c r="DT239" i="20"/>
  <c r="DT15" i="21" s="1"/>
  <c r="DT235" i="20"/>
  <c r="DT231" i="20"/>
  <c r="DP17" i="21"/>
  <c r="DU16" i="21" l="1"/>
  <c r="DU15" i="21"/>
  <c r="DU336" i="20"/>
  <c r="DU328" i="20"/>
  <c r="DU320" i="20"/>
  <c r="DU312" i="20"/>
  <c r="DU304" i="20"/>
  <c r="DU296" i="20"/>
  <c r="DU288" i="20"/>
  <c r="DU280" i="20"/>
  <c r="DU179" i="20"/>
  <c r="DU269" i="20"/>
  <c r="DU265" i="20"/>
  <c r="DU261" i="20"/>
  <c r="DU195" i="20"/>
  <c r="DU11" i="21" s="1"/>
  <c r="DU199" i="20"/>
  <c r="DU203" i="20"/>
  <c r="DU207" i="20"/>
  <c r="DU241" i="20"/>
  <c r="DU237" i="20"/>
  <c r="DU219" i="20"/>
  <c r="DU223" i="20"/>
  <c r="DW175" i="20"/>
  <c r="DV176" i="20"/>
  <c r="DV225" i="20" s="1"/>
  <c r="DV238" i="20"/>
  <c r="DV210" i="20"/>
  <c r="DV246" i="20"/>
  <c r="DV250" i="20"/>
  <c r="DV198" i="20"/>
  <c r="DV194" i="20"/>
  <c r="DV190" i="20"/>
  <c r="DV186" i="20"/>
  <c r="DV182" i="20"/>
  <c r="DV274" i="20"/>
  <c r="DV281" i="20"/>
  <c r="DV289" i="20"/>
  <c r="DV297" i="20"/>
  <c r="DV305" i="20"/>
  <c r="DV313" i="20"/>
  <c r="DV321" i="20"/>
  <c r="DV329" i="20"/>
  <c r="DV337" i="20"/>
  <c r="DU335" i="20"/>
  <c r="DU327" i="20"/>
  <c r="DU319" i="20"/>
  <c r="DU311" i="20"/>
  <c r="DU303" i="20"/>
  <c r="DU295" i="20"/>
  <c r="DU287" i="20"/>
  <c r="DU279" i="20"/>
  <c r="DU273" i="20"/>
  <c r="DU183" i="20"/>
  <c r="DU187" i="20"/>
  <c r="DU191" i="20"/>
  <c r="DU257" i="20"/>
  <c r="DU253" i="20"/>
  <c r="DU249" i="20"/>
  <c r="DU245" i="20"/>
  <c r="DU211" i="20"/>
  <c r="DU12" i="21" s="1"/>
  <c r="DU215" i="20"/>
  <c r="DU13" i="21" s="1"/>
  <c r="DU233" i="20"/>
  <c r="DU229" i="20"/>
  <c r="DV7" i="21"/>
  <c r="DU8" i="21"/>
  <c r="DU334" i="20"/>
  <c r="DU326" i="20"/>
  <c r="DU318" i="20"/>
  <c r="DU310" i="20"/>
  <c r="DU302" i="20"/>
  <c r="DU294" i="20"/>
  <c r="DU286" i="20"/>
  <c r="DU278" i="20"/>
  <c r="DU272" i="20"/>
  <c r="DU184" i="20"/>
  <c r="DU264" i="20"/>
  <c r="DU17" i="21" s="1"/>
  <c r="DU192" i="20"/>
  <c r="DU196" i="20"/>
  <c r="DU200" i="20"/>
  <c r="DU204" i="20"/>
  <c r="DU244" i="20"/>
  <c r="DU212" i="20"/>
  <c r="DU216" i="20"/>
  <c r="DU232" i="20"/>
  <c r="DU228" i="20"/>
  <c r="DU14" i="21" s="1"/>
  <c r="DU341" i="20"/>
  <c r="DU333" i="20"/>
  <c r="DU325" i="20"/>
  <c r="DU317" i="20"/>
  <c r="DU309" i="20"/>
  <c r="DU301" i="20"/>
  <c r="DU20" i="21" s="1"/>
  <c r="DU293" i="20"/>
  <c r="DU285" i="20"/>
  <c r="DU277" i="20"/>
  <c r="DU18" i="21" s="1"/>
  <c r="DU180" i="20"/>
  <c r="DU10" i="21" s="1"/>
  <c r="DU268" i="20"/>
  <c r="DU188" i="20"/>
  <c r="DU260" i="20"/>
  <c r="DU256" i="20"/>
  <c r="DU252" i="20"/>
  <c r="DU248" i="20"/>
  <c r="DU208" i="20"/>
  <c r="DU240" i="20"/>
  <c r="DU236" i="20"/>
  <c r="DU220" i="20"/>
  <c r="DU22" i="21" l="1"/>
  <c r="DV336" i="20"/>
  <c r="DV296" i="20"/>
  <c r="DV269" i="20"/>
  <c r="DV203" i="20"/>
  <c r="DV319" i="20"/>
  <c r="DV279" i="20"/>
  <c r="DV191" i="20"/>
  <c r="DV11" i="21" s="1"/>
  <c r="DV249" i="20"/>
  <c r="DV334" i="20"/>
  <c r="DV302" i="20"/>
  <c r="DV278" i="20"/>
  <c r="DV260" i="20"/>
  <c r="DV212" i="20"/>
  <c r="DV224" i="20"/>
  <c r="DV341" i="20"/>
  <c r="DV317" i="20"/>
  <c r="DV309" i="20"/>
  <c r="DV301" i="20"/>
  <c r="DV293" i="20"/>
  <c r="DV285" i="20"/>
  <c r="DV277" i="20"/>
  <c r="DV18" i="21" s="1"/>
  <c r="DV272" i="20"/>
  <c r="DV184" i="20"/>
  <c r="DV188" i="20"/>
  <c r="DV192" i="20"/>
  <c r="DV256" i="20"/>
  <c r="DV200" i="20"/>
  <c r="DV248" i="20"/>
  <c r="DV208" i="20"/>
  <c r="DV240" i="20"/>
  <c r="DV216" i="20"/>
  <c r="DV232" i="20"/>
  <c r="DV228" i="20"/>
  <c r="DV16" i="21"/>
  <c r="DV320" i="20"/>
  <c r="DV304" i="20"/>
  <c r="DV288" i="20"/>
  <c r="DV273" i="20"/>
  <c r="DV265" i="20"/>
  <c r="DV261" i="20"/>
  <c r="DV195" i="20"/>
  <c r="DV253" i="20"/>
  <c r="DV207" i="20"/>
  <c r="DV215" i="20"/>
  <c r="DV219" i="20"/>
  <c r="DV229" i="20"/>
  <c r="DX175" i="20"/>
  <c r="DW176" i="20"/>
  <c r="DW226" i="20" s="1"/>
  <c r="DW227" i="20"/>
  <c r="DW225" i="20"/>
  <c r="DW230" i="20"/>
  <c r="DW221" i="20"/>
  <c r="DW218" i="20"/>
  <c r="DW235" i="20"/>
  <c r="DW214" i="20"/>
  <c r="DW239" i="20"/>
  <c r="DW210" i="20"/>
  <c r="DW243" i="20"/>
  <c r="DW246" i="20"/>
  <c r="DW206" i="20"/>
  <c r="DW205" i="20"/>
  <c r="DW202" i="20"/>
  <c r="DW250" i="20"/>
  <c r="DW201" i="20"/>
  <c r="DW198" i="20"/>
  <c r="DW254" i="20"/>
  <c r="DW255" i="20"/>
  <c r="DW258" i="20"/>
  <c r="DW194" i="20"/>
  <c r="DW193" i="20"/>
  <c r="DW190" i="20"/>
  <c r="DW262" i="20"/>
  <c r="DW263" i="20"/>
  <c r="DW266" i="20"/>
  <c r="DW186" i="20"/>
  <c r="DW267" i="20"/>
  <c r="DW270" i="20"/>
  <c r="DW182" i="20"/>
  <c r="DW271" i="20"/>
  <c r="DW274" i="20"/>
  <c r="DW178" i="20"/>
  <c r="DW275" i="20"/>
  <c r="DW281" i="20"/>
  <c r="DW282" i="20"/>
  <c r="DW283" i="20"/>
  <c r="DW289" i="20"/>
  <c r="DW290" i="20"/>
  <c r="DW291" i="20"/>
  <c r="DW297" i="20"/>
  <c r="DW298" i="20"/>
  <c r="DW299" i="20"/>
  <c r="DW305" i="20"/>
  <c r="DW306" i="20"/>
  <c r="DW307" i="20"/>
  <c r="DW313" i="20"/>
  <c r="DW314" i="20"/>
  <c r="DW315" i="20"/>
  <c r="DW321" i="20"/>
  <c r="DW322" i="20"/>
  <c r="DW323" i="20"/>
  <c r="DW329" i="20"/>
  <c r="DW330" i="20"/>
  <c r="DW331" i="20"/>
  <c r="DW337" i="20"/>
  <c r="DW338" i="20"/>
  <c r="DW339" i="20"/>
  <c r="DV335" i="20"/>
  <c r="DV311" i="20"/>
  <c r="DV303" i="20"/>
  <c r="DV287" i="20"/>
  <c r="DV179" i="20"/>
  <c r="DV187" i="20"/>
  <c r="DV199" i="20"/>
  <c r="DV245" i="20"/>
  <c r="DV237" i="20"/>
  <c r="DV233" i="20"/>
  <c r="DV223" i="20"/>
  <c r="DU19" i="21"/>
  <c r="DV325" i="20"/>
  <c r="DW7" i="21"/>
  <c r="DV8" i="21"/>
  <c r="DV340" i="20"/>
  <c r="DV332" i="20"/>
  <c r="DV324" i="20"/>
  <c r="DV316" i="20"/>
  <c r="DV308" i="20"/>
  <c r="DV300" i="20"/>
  <c r="DV292" i="20"/>
  <c r="DV284" i="20"/>
  <c r="DV276" i="20"/>
  <c r="DV181" i="20"/>
  <c r="DV267" i="20"/>
  <c r="DV263" i="20"/>
  <c r="DV193" i="20"/>
  <c r="DV197" i="20"/>
  <c r="DV251" i="20"/>
  <c r="DV247" i="20"/>
  <c r="DV209" i="20"/>
  <c r="DV239" i="20"/>
  <c r="DV217" i="20"/>
  <c r="DV231" i="20"/>
  <c r="DV227" i="20"/>
  <c r="DV318" i="20"/>
  <c r="DV286" i="20"/>
  <c r="DV268" i="20"/>
  <c r="DV196" i="20"/>
  <c r="DV204" i="20"/>
  <c r="DV236" i="20"/>
  <c r="DV333" i="20"/>
  <c r="DV339" i="20"/>
  <c r="DV331" i="20"/>
  <c r="DV323" i="20"/>
  <c r="DV315" i="20"/>
  <c r="DV307" i="20"/>
  <c r="DV299" i="20"/>
  <c r="DV291" i="20"/>
  <c r="DV283" i="20"/>
  <c r="DV275" i="20"/>
  <c r="DV271" i="20"/>
  <c r="DV185" i="20"/>
  <c r="DV189" i="20"/>
  <c r="DV259" i="20"/>
  <c r="DV255" i="20"/>
  <c r="DV201" i="20"/>
  <c r="DV205" i="20"/>
  <c r="DV243" i="20"/>
  <c r="DV213" i="20"/>
  <c r="DV235" i="20"/>
  <c r="DV221" i="20"/>
  <c r="DV226" i="20"/>
  <c r="DV234" i="20"/>
  <c r="DV230" i="20"/>
  <c r="DV328" i="20"/>
  <c r="DV312" i="20"/>
  <c r="DV280" i="20"/>
  <c r="DV241" i="20"/>
  <c r="DU23" i="21"/>
  <c r="DV327" i="20"/>
  <c r="DV295" i="20"/>
  <c r="DV183" i="20"/>
  <c r="DV257" i="20"/>
  <c r="DV211" i="20"/>
  <c r="DV326" i="20"/>
  <c r="DV310" i="20"/>
  <c r="DV294" i="20"/>
  <c r="DV180" i="20"/>
  <c r="DV264" i="20"/>
  <c r="DV252" i="20"/>
  <c r="DV244" i="20"/>
  <c r="DV220" i="20"/>
  <c r="DU21" i="21"/>
  <c r="DV338" i="20"/>
  <c r="DV330" i="20"/>
  <c r="DV322" i="20"/>
  <c r="DV314" i="20"/>
  <c r="DV306" i="20"/>
  <c r="DV298" i="20"/>
  <c r="DV290" i="20"/>
  <c r="DV282" i="20"/>
  <c r="DV178" i="20"/>
  <c r="DV270" i="20"/>
  <c r="DV266" i="20"/>
  <c r="DV262" i="20"/>
  <c r="DV258" i="20"/>
  <c r="DV254" i="20"/>
  <c r="DV202" i="20"/>
  <c r="DV12" i="21" s="1"/>
  <c r="DV206" i="20"/>
  <c r="DV242" i="20"/>
  <c r="DV15" i="21" s="1"/>
  <c r="DV214" i="20"/>
  <c r="DV218" i="20"/>
  <c r="DV222" i="20"/>
  <c r="DV14" i="21" l="1"/>
  <c r="DW242" i="20"/>
  <c r="DW238" i="20"/>
  <c r="DW234" i="20"/>
  <c r="DW222" i="20"/>
  <c r="DW336" i="20"/>
  <c r="DW312" i="20"/>
  <c r="DW280" i="20"/>
  <c r="DW257" i="20"/>
  <c r="DW241" i="20"/>
  <c r="DV22" i="21"/>
  <c r="DW335" i="20"/>
  <c r="DW327" i="20"/>
  <c r="DW319" i="20"/>
  <c r="DW311" i="20"/>
  <c r="DW303" i="20"/>
  <c r="DW295" i="20"/>
  <c r="DW287" i="20"/>
  <c r="DW279" i="20"/>
  <c r="DW179" i="20"/>
  <c r="DW10" i="21" s="1"/>
  <c r="DW269" i="20"/>
  <c r="DW187" i="20"/>
  <c r="DW191" i="20"/>
  <c r="DW195" i="20"/>
  <c r="DW199" i="20"/>
  <c r="DW203" i="20"/>
  <c r="DW207" i="20"/>
  <c r="DW211" i="20"/>
  <c r="DW215" i="20"/>
  <c r="DW13" i="21" s="1"/>
  <c r="DW219" i="20"/>
  <c r="DW229" i="20"/>
  <c r="DV23" i="21"/>
  <c r="DW12" i="21"/>
  <c r="DW304" i="20"/>
  <c r="DW265" i="20"/>
  <c r="DW233" i="20"/>
  <c r="DV19" i="21"/>
  <c r="DW334" i="20"/>
  <c r="DW326" i="20"/>
  <c r="DW318" i="20"/>
  <c r="DW310" i="20"/>
  <c r="DW21" i="21" s="1"/>
  <c r="DW302" i="20"/>
  <c r="DW294" i="20"/>
  <c r="DW286" i="20"/>
  <c r="DW278" i="20"/>
  <c r="DW272" i="20"/>
  <c r="DW184" i="20"/>
  <c r="DW264" i="20"/>
  <c r="DW17" i="21" s="1"/>
  <c r="DW260" i="20"/>
  <c r="DW196" i="20"/>
  <c r="DW252" i="20"/>
  <c r="DW204" i="20"/>
  <c r="DW208" i="20"/>
  <c r="DW212" i="20"/>
  <c r="DW236" i="20"/>
  <c r="DW232" i="20"/>
  <c r="DW224" i="20"/>
  <c r="DV17" i="21"/>
  <c r="DW328" i="20"/>
  <c r="DW296" i="20"/>
  <c r="DW273" i="20"/>
  <c r="DW261" i="20"/>
  <c r="DW253" i="20"/>
  <c r="DW249" i="20"/>
  <c r="DW237" i="20"/>
  <c r="DW223" i="20"/>
  <c r="DX176" i="20"/>
  <c r="DY175" i="20"/>
  <c r="DX227" i="20"/>
  <c r="DX225" i="20"/>
  <c r="DX226" i="20"/>
  <c r="DX224" i="20"/>
  <c r="DX228" i="20"/>
  <c r="DX223" i="20"/>
  <c r="DX229" i="20"/>
  <c r="DX222" i="20"/>
  <c r="DX230" i="20"/>
  <c r="DX231" i="20"/>
  <c r="DX221" i="20"/>
  <c r="DX232" i="20"/>
  <c r="DX220" i="20"/>
  <c r="DX219" i="20"/>
  <c r="DX233" i="20"/>
  <c r="DX218" i="20"/>
  <c r="DX234" i="20"/>
  <c r="DX235" i="20"/>
  <c r="DX217" i="20"/>
  <c r="DX216" i="20"/>
  <c r="DX236" i="20"/>
  <c r="DX237" i="20"/>
  <c r="DX215" i="20"/>
  <c r="DX214" i="20"/>
  <c r="DX238" i="20"/>
  <c r="DX213" i="20"/>
  <c r="DX239" i="20"/>
  <c r="DX212" i="20"/>
  <c r="DX240" i="20"/>
  <c r="DX211" i="20"/>
  <c r="DX241" i="20"/>
  <c r="DX210" i="20"/>
  <c r="DX242" i="20"/>
  <c r="DX243" i="20"/>
  <c r="DX209" i="20"/>
  <c r="DX244" i="20"/>
  <c r="DX208" i="20"/>
  <c r="DX207" i="20"/>
  <c r="DX245" i="20"/>
  <c r="DX206" i="20"/>
  <c r="DX246" i="20"/>
  <c r="DX247" i="20"/>
  <c r="DX205" i="20"/>
  <c r="DX248" i="20"/>
  <c r="DX204" i="20"/>
  <c r="DX249" i="20"/>
  <c r="DX203" i="20"/>
  <c r="DX250" i="20"/>
  <c r="DX202" i="20"/>
  <c r="DX251" i="20"/>
  <c r="DX201" i="20"/>
  <c r="DX252" i="20"/>
  <c r="DX200" i="20"/>
  <c r="DX253" i="20"/>
  <c r="DX199" i="20"/>
  <c r="DX254" i="20"/>
  <c r="DX198" i="20"/>
  <c r="DX197" i="20"/>
  <c r="DX255" i="20"/>
  <c r="DX256" i="20"/>
  <c r="DX196" i="20"/>
  <c r="DX257" i="20"/>
  <c r="DX195" i="20"/>
  <c r="DX194" i="20"/>
  <c r="DX258" i="20"/>
  <c r="DX193" i="20"/>
  <c r="DX259" i="20"/>
  <c r="DX260" i="20"/>
  <c r="DX192" i="20"/>
  <c r="DX191" i="20"/>
  <c r="DX261" i="20"/>
  <c r="DX262" i="20"/>
  <c r="DX190" i="20"/>
  <c r="DX189" i="20"/>
  <c r="DX263" i="20"/>
  <c r="DX264" i="20"/>
  <c r="DX188" i="20"/>
  <c r="DX265" i="20"/>
  <c r="DX187" i="20"/>
  <c r="DX266" i="20"/>
  <c r="DX186" i="20"/>
  <c r="DX267" i="20"/>
  <c r="DX185" i="20"/>
  <c r="DX184" i="20"/>
  <c r="DX268" i="20"/>
  <c r="DX269" i="20"/>
  <c r="DX183" i="20"/>
  <c r="DX270" i="20"/>
  <c r="DX182" i="20"/>
  <c r="DX181" i="20"/>
  <c r="DX271" i="20"/>
  <c r="DX272" i="20"/>
  <c r="DX180" i="20"/>
  <c r="DX179" i="20"/>
  <c r="DX273" i="20"/>
  <c r="DX178" i="20"/>
  <c r="DX274" i="20"/>
  <c r="DX275" i="20"/>
  <c r="DX276" i="20"/>
  <c r="DX277" i="20"/>
  <c r="DX278" i="20"/>
  <c r="DX279" i="20"/>
  <c r="DX280" i="20"/>
  <c r="DX281" i="20"/>
  <c r="DX282" i="20"/>
  <c r="DX283" i="20"/>
  <c r="DX284" i="20"/>
  <c r="DX285" i="20"/>
  <c r="DX286" i="20"/>
  <c r="DX287" i="20"/>
  <c r="DX288" i="20"/>
  <c r="DX289" i="20"/>
  <c r="DX290" i="20"/>
  <c r="DX291" i="20"/>
  <c r="DX292" i="20"/>
  <c r="DX293" i="20"/>
  <c r="DX294" i="20"/>
  <c r="DX295" i="20"/>
  <c r="DX296" i="20"/>
  <c r="DX297" i="20"/>
  <c r="DX298" i="20"/>
  <c r="DX299" i="20"/>
  <c r="DX300" i="20"/>
  <c r="DX301" i="20"/>
  <c r="DX302" i="20"/>
  <c r="DX303" i="20"/>
  <c r="DX304" i="20"/>
  <c r="DX305" i="20"/>
  <c r="DX306" i="20"/>
  <c r="DX307" i="20"/>
  <c r="DX308" i="20"/>
  <c r="DX309" i="20"/>
  <c r="DX310" i="20"/>
  <c r="DX311" i="20"/>
  <c r="DX312" i="20"/>
  <c r="DX313" i="20"/>
  <c r="DX314" i="20"/>
  <c r="DX315" i="20"/>
  <c r="DX316" i="20"/>
  <c r="DX317" i="20"/>
  <c r="DX318" i="20"/>
  <c r="DX319" i="20"/>
  <c r="DX320" i="20"/>
  <c r="DX321" i="20"/>
  <c r="DX322" i="20"/>
  <c r="DX323" i="20"/>
  <c r="DX324" i="20"/>
  <c r="DX325" i="20"/>
  <c r="DX326" i="20"/>
  <c r="DX327" i="20"/>
  <c r="DX328" i="20"/>
  <c r="DX329" i="20"/>
  <c r="DX330" i="20"/>
  <c r="DX331" i="20"/>
  <c r="DX332" i="20"/>
  <c r="DX333" i="20"/>
  <c r="DX334" i="20"/>
  <c r="DX335" i="20"/>
  <c r="DX336" i="20"/>
  <c r="DX337" i="20"/>
  <c r="DX338" i="20"/>
  <c r="DX339" i="20"/>
  <c r="DX340" i="20"/>
  <c r="DX341" i="20"/>
  <c r="DV10" i="21"/>
  <c r="DV21" i="21"/>
  <c r="DW341" i="20"/>
  <c r="DW333" i="20"/>
  <c r="DW325" i="20"/>
  <c r="DW22" i="21" s="1"/>
  <c r="DW317" i="20"/>
  <c r="DW309" i="20"/>
  <c r="DW301" i="20"/>
  <c r="DW293" i="20"/>
  <c r="DW285" i="20"/>
  <c r="DW277" i="20"/>
  <c r="DW180" i="20"/>
  <c r="DW268" i="20"/>
  <c r="DW188" i="20"/>
  <c r="DW192" i="20"/>
  <c r="DW11" i="21" s="1"/>
  <c r="DW256" i="20"/>
  <c r="DW200" i="20"/>
  <c r="DW248" i="20"/>
  <c r="DW244" i="20"/>
  <c r="DW240" i="20"/>
  <c r="DW216" i="20"/>
  <c r="DW220" i="20"/>
  <c r="DW228" i="20"/>
  <c r="DW14" i="21" s="1"/>
  <c r="DV20" i="21"/>
  <c r="DW320" i="20"/>
  <c r="DW288" i="20"/>
  <c r="DW183" i="20"/>
  <c r="DW245" i="20"/>
  <c r="DV13" i="21"/>
  <c r="DX7" i="21"/>
  <c r="DW8" i="21"/>
  <c r="DW340" i="20"/>
  <c r="DW332" i="20"/>
  <c r="DW324" i="20"/>
  <c r="DW316" i="20"/>
  <c r="DW308" i="20"/>
  <c r="DW300" i="20"/>
  <c r="DW20" i="21" s="1"/>
  <c r="DW292" i="20"/>
  <c r="DW284" i="20"/>
  <c r="DW18" i="21" s="1"/>
  <c r="DW276" i="20"/>
  <c r="DW181" i="20"/>
  <c r="DW185" i="20"/>
  <c r="DW189" i="20"/>
  <c r="DW259" i="20"/>
  <c r="DW197" i="20"/>
  <c r="DW251" i="20"/>
  <c r="DW16" i="21" s="1"/>
  <c r="DW247" i="20"/>
  <c r="DW209" i="20"/>
  <c r="DW213" i="20"/>
  <c r="DW217" i="20"/>
  <c r="DW231" i="20"/>
  <c r="DX14" i="21" l="1"/>
  <c r="DW15" i="21"/>
  <c r="DX18" i="21"/>
  <c r="DX11" i="21"/>
  <c r="DW23" i="21"/>
  <c r="DX10" i="21"/>
  <c r="DX17" i="21"/>
  <c r="DX16" i="21"/>
  <c r="DX13" i="21"/>
  <c r="DY176" i="20"/>
  <c r="DY225" i="20" s="1"/>
  <c r="DZ175" i="20"/>
  <c r="DY223" i="20"/>
  <c r="DY230" i="20"/>
  <c r="DY219" i="20"/>
  <c r="DY218" i="20"/>
  <c r="DY237" i="20"/>
  <c r="DY214" i="20"/>
  <c r="DY211" i="20"/>
  <c r="DY210" i="20"/>
  <c r="DY207" i="20"/>
  <c r="DY206" i="20"/>
  <c r="DY249" i="20"/>
  <c r="DY250" i="20"/>
  <c r="DY199" i="20"/>
  <c r="DY254" i="20"/>
  <c r="DY195" i="20"/>
  <c r="DY194" i="20"/>
  <c r="DY191" i="20"/>
  <c r="DY190" i="20"/>
  <c r="DY265" i="20"/>
  <c r="DY186" i="20"/>
  <c r="DY269" i="20"/>
  <c r="DY182" i="20"/>
  <c r="DY273" i="20"/>
  <c r="DY274" i="20"/>
  <c r="DY280" i="20"/>
  <c r="DY281" i="20"/>
  <c r="DY288" i="20"/>
  <c r="DY289" i="20"/>
  <c r="DY296" i="20"/>
  <c r="DY297" i="20"/>
  <c r="DY304" i="20"/>
  <c r="DY305" i="20"/>
  <c r="DY312" i="20"/>
  <c r="DY313" i="20"/>
  <c r="DY320" i="20"/>
  <c r="DY321" i="20"/>
  <c r="DY328" i="20"/>
  <c r="DY329" i="20"/>
  <c r="DY336" i="20"/>
  <c r="DY337" i="20"/>
  <c r="DY7" i="21"/>
  <c r="DX8" i="21"/>
  <c r="DX20" i="21"/>
  <c r="DX12" i="21"/>
  <c r="DW19" i="21"/>
  <c r="DX22" i="21"/>
  <c r="DX15" i="21"/>
  <c r="DX23" i="21"/>
  <c r="DX21" i="21"/>
  <c r="DX19" i="21"/>
  <c r="DY335" i="20" l="1"/>
  <c r="DY319" i="20"/>
  <c r="DY303" i="20"/>
  <c r="DY295" i="20"/>
  <c r="DY279" i="20"/>
  <c r="DY179" i="20"/>
  <c r="DY187" i="20"/>
  <c r="DY261" i="20"/>
  <c r="DY253" i="20"/>
  <c r="DY203" i="20"/>
  <c r="DY241" i="20"/>
  <c r="DY215" i="20"/>
  <c r="DY13" i="21" s="1"/>
  <c r="DY229" i="20"/>
  <c r="DY341" i="20"/>
  <c r="DY333" i="20"/>
  <c r="DY325" i="20"/>
  <c r="DY317" i="20"/>
  <c r="DY309" i="20"/>
  <c r="DY301" i="20"/>
  <c r="DY293" i="20"/>
  <c r="DY285" i="20"/>
  <c r="DY277" i="20"/>
  <c r="DY180" i="20"/>
  <c r="DY184" i="20"/>
  <c r="DY264" i="20"/>
  <c r="DY192" i="20"/>
  <c r="DY11" i="21" s="1"/>
  <c r="DY256" i="20"/>
  <c r="DY200" i="20"/>
  <c r="DY248" i="20"/>
  <c r="DY208" i="20"/>
  <c r="DY212" i="20"/>
  <c r="DY216" i="20"/>
  <c r="DY220" i="20"/>
  <c r="DY224" i="20"/>
  <c r="DY18" i="21"/>
  <c r="DZ176" i="20"/>
  <c r="DZ226" i="20" s="1"/>
  <c r="EA175" i="20"/>
  <c r="DZ227" i="20"/>
  <c r="DZ228" i="20"/>
  <c r="DZ224" i="20"/>
  <c r="DZ223" i="20"/>
  <c r="DZ229" i="20"/>
  <c r="DZ221" i="20"/>
  <c r="DZ231" i="20"/>
  <c r="DZ220" i="20"/>
  <c r="DZ232" i="20"/>
  <c r="DZ233" i="20"/>
  <c r="DZ219" i="20"/>
  <c r="DZ235" i="20"/>
  <c r="DZ217" i="20"/>
  <c r="DZ236" i="20"/>
  <c r="DZ216" i="20"/>
  <c r="DZ237" i="20"/>
  <c r="DZ215" i="20"/>
  <c r="DZ239" i="20"/>
  <c r="DZ213" i="20"/>
  <c r="DZ240" i="20"/>
  <c r="DZ212" i="20"/>
  <c r="DZ241" i="20"/>
  <c r="DZ211" i="20"/>
  <c r="DZ209" i="20"/>
  <c r="DZ243" i="20"/>
  <c r="DZ208" i="20"/>
  <c r="DZ244" i="20"/>
  <c r="DZ207" i="20"/>
  <c r="DZ245" i="20"/>
  <c r="DZ247" i="20"/>
  <c r="DZ205" i="20"/>
  <c r="DZ204" i="20"/>
  <c r="DZ248" i="20"/>
  <c r="DZ249" i="20"/>
  <c r="DZ203" i="20"/>
  <c r="DZ251" i="20"/>
  <c r="DZ201" i="20"/>
  <c r="DZ252" i="20"/>
  <c r="DZ200" i="20"/>
  <c r="DZ253" i="20"/>
  <c r="DZ199" i="20"/>
  <c r="DZ197" i="20"/>
  <c r="DZ255" i="20"/>
  <c r="DZ256" i="20"/>
  <c r="DZ196" i="20"/>
  <c r="DZ195" i="20"/>
  <c r="DZ257" i="20"/>
  <c r="DZ193" i="20"/>
  <c r="DZ259" i="20"/>
  <c r="DZ260" i="20"/>
  <c r="DZ192" i="20"/>
  <c r="DZ261" i="20"/>
  <c r="DZ191" i="20"/>
  <c r="DZ263" i="20"/>
  <c r="DZ189" i="20"/>
  <c r="DZ188" i="20"/>
  <c r="DZ264" i="20"/>
  <c r="DZ265" i="20"/>
  <c r="DZ187" i="20"/>
  <c r="DZ185" i="20"/>
  <c r="DZ267" i="20"/>
  <c r="DZ184" i="20"/>
  <c r="DZ268" i="20"/>
  <c r="DZ269" i="20"/>
  <c r="DZ183" i="20"/>
  <c r="DZ270" i="20"/>
  <c r="DZ182" i="20"/>
  <c r="DZ181" i="20"/>
  <c r="DZ271" i="20"/>
  <c r="DZ272" i="20"/>
  <c r="DZ180" i="20"/>
  <c r="DZ273" i="20"/>
  <c r="DZ179" i="20"/>
  <c r="DZ274" i="20"/>
  <c r="DZ178" i="20"/>
  <c r="DZ275" i="20"/>
  <c r="DZ276" i="20"/>
  <c r="DZ277" i="20"/>
  <c r="DZ278" i="20"/>
  <c r="DZ279" i="20"/>
  <c r="DZ280" i="20"/>
  <c r="DZ281" i="20"/>
  <c r="DZ282" i="20"/>
  <c r="DZ283" i="20"/>
  <c r="DZ284" i="20"/>
  <c r="DZ285" i="20"/>
  <c r="DZ286" i="20"/>
  <c r="DZ19" i="21" s="1"/>
  <c r="DZ287" i="20"/>
  <c r="DZ288" i="20"/>
  <c r="DZ289" i="20"/>
  <c r="DZ290" i="20"/>
  <c r="DZ291" i="20"/>
  <c r="DZ292" i="20"/>
  <c r="DZ293" i="20"/>
  <c r="DZ294" i="20"/>
  <c r="DZ295" i="20"/>
  <c r="DZ296" i="20"/>
  <c r="DZ297" i="20"/>
  <c r="DZ298" i="20"/>
  <c r="DZ299" i="20"/>
  <c r="DZ300" i="20"/>
  <c r="DZ301" i="20"/>
  <c r="DZ302" i="20"/>
  <c r="DZ303" i="20"/>
  <c r="DZ304" i="20"/>
  <c r="DZ305" i="20"/>
  <c r="DZ306" i="20"/>
  <c r="DZ307" i="20"/>
  <c r="DZ308" i="20"/>
  <c r="DZ309" i="20"/>
  <c r="DZ310" i="20"/>
  <c r="DZ21" i="21" s="1"/>
  <c r="DZ311" i="20"/>
  <c r="DZ312" i="20"/>
  <c r="DZ313" i="20"/>
  <c r="DZ314" i="20"/>
  <c r="DZ315" i="20"/>
  <c r="DZ316" i="20"/>
  <c r="DZ317" i="20"/>
  <c r="DZ318" i="20"/>
  <c r="DZ319" i="20"/>
  <c r="DZ320" i="20"/>
  <c r="DZ321" i="20"/>
  <c r="DZ322" i="20"/>
  <c r="DZ323" i="20"/>
  <c r="DZ324" i="20"/>
  <c r="DZ325" i="20"/>
  <c r="DZ326" i="20"/>
  <c r="DZ327" i="20"/>
  <c r="DZ328" i="20"/>
  <c r="DZ329" i="20"/>
  <c r="DZ330" i="20"/>
  <c r="DZ331" i="20"/>
  <c r="DZ332" i="20"/>
  <c r="DZ333" i="20"/>
  <c r="DZ334" i="20"/>
  <c r="DZ23" i="21" s="1"/>
  <c r="DZ335" i="20"/>
  <c r="DZ336" i="20"/>
  <c r="DZ337" i="20"/>
  <c r="DZ338" i="20"/>
  <c r="DZ339" i="20"/>
  <c r="DZ340" i="20"/>
  <c r="DZ341" i="20"/>
  <c r="DY334" i="20"/>
  <c r="DY23" i="21" s="1"/>
  <c r="DY326" i="20"/>
  <c r="DY318" i="20"/>
  <c r="DY302" i="20"/>
  <c r="DY294" i="20"/>
  <c r="DY286" i="20"/>
  <c r="DY19" i="21" s="1"/>
  <c r="DY278" i="20"/>
  <c r="DY272" i="20"/>
  <c r="DY268" i="20"/>
  <c r="DY188" i="20"/>
  <c r="DY260" i="20"/>
  <c r="DY196" i="20"/>
  <c r="DY204" i="20"/>
  <c r="DY244" i="20"/>
  <c r="DY240" i="20"/>
  <c r="DY236" i="20"/>
  <c r="DY232" i="20"/>
  <c r="DY228" i="20"/>
  <c r="DY340" i="20"/>
  <c r="DY332" i="20"/>
  <c r="DY324" i="20"/>
  <c r="DY316" i="20"/>
  <c r="DY308" i="20"/>
  <c r="DY300" i="20"/>
  <c r="DY292" i="20"/>
  <c r="DY284" i="20"/>
  <c r="DY276" i="20"/>
  <c r="DY181" i="20"/>
  <c r="DY267" i="20"/>
  <c r="DY263" i="20"/>
  <c r="DY193" i="20"/>
  <c r="DY255" i="20"/>
  <c r="DY251" i="20"/>
  <c r="DY16" i="21" s="1"/>
  <c r="DY247" i="20"/>
  <c r="DY209" i="20"/>
  <c r="DY213" i="20"/>
  <c r="DY235" i="20"/>
  <c r="DY221" i="20"/>
  <c r="DY226" i="20"/>
  <c r="DY327" i="20"/>
  <c r="DY311" i="20"/>
  <c r="DY287" i="20"/>
  <c r="DY183" i="20"/>
  <c r="DY257" i="20"/>
  <c r="DY245" i="20"/>
  <c r="DY233" i="20"/>
  <c r="DY8" i="21"/>
  <c r="DZ7" i="21"/>
  <c r="DY310" i="20"/>
  <c r="DY252" i="20"/>
  <c r="DY339" i="20"/>
  <c r="DY331" i="20"/>
  <c r="DY323" i="20"/>
  <c r="DY315" i="20"/>
  <c r="DY307" i="20"/>
  <c r="DY299" i="20"/>
  <c r="DY291" i="20"/>
  <c r="DY283" i="20"/>
  <c r="DY275" i="20"/>
  <c r="DY271" i="20"/>
  <c r="DY185" i="20"/>
  <c r="DY189" i="20"/>
  <c r="DY259" i="20"/>
  <c r="DY197" i="20"/>
  <c r="DY201" i="20"/>
  <c r="DY205" i="20"/>
  <c r="DY243" i="20"/>
  <c r="DY239" i="20"/>
  <c r="DY217" i="20"/>
  <c r="DY231" i="20"/>
  <c r="DY227" i="20"/>
  <c r="DY338" i="20"/>
  <c r="DY330" i="20"/>
  <c r="DY322" i="20"/>
  <c r="DY22" i="21" s="1"/>
  <c r="DY314" i="20"/>
  <c r="DY306" i="20"/>
  <c r="DY298" i="20"/>
  <c r="DY290" i="20"/>
  <c r="DY282" i="20"/>
  <c r="DY178" i="20"/>
  <c r="DY270" i="20"/>
  <c r="DY266" i="20"/>
  <c r="DY262" i="20"/>
  <c r="DY258" i="20"/>
  <c r="DY198" i="20"/>
  <c r="DY202" i="20"/>
  <c r="DY246" i="20"/>
  <c r="DY242" i="20"/>
  <c r="DY238" i="20"/>
  <c r="DY234" i="20"/>
  <c r="DY222" i="20"/>
  <c r="DY12" i="21" l="1"/>
  <c r="DZ22" i="21"/>
  <c r="DZ20" i="21"/>
  <c r="DZ186" i="20"/>
  <c r="DZ10" i="21" s="1"/>
  <c r="DZ190" i="20"/>
  <c r="DZ11" i="21" s="1"/>
  <c r="DZ258" i="20"/>
  <c r="DZ198" i="20"/>
  <c r="DZ250" i="20"/>
  <c r="DZ246" i="20"/>
  <c r="DZ242" i="20"/>
  <c r="DZ214" i="20"/>
  <c r="DZ234" i="20"/>
  <c r="DZ222" i="20"/>
  <c r="DZ225" i="20"/>
  <c r="DY14" i="21"/>
  <c r="DY10" i="21"/>
  <c r="DY21" i="21"/>
  <c r="DZ18" i="21"/>
  <c r="DZ266" i="20"/>
  <c r="DZ262" i="20"/>
  <c r="DZ17" i="21" s="1"/>
  <c r="DZ194" i="20"/>
  <c r="DZ254" i="20"/>
  <c r="DZ202" i="20"/>
  <c r="DZ206" i="20"/>
  <c r="DZ210" i="20"/>
  <c r="DZ238" i="20"/>
  <c r="DZ15" i="21" s="1"/>
  <c r="DZ218" i="20"/>
  <c r="DZ230" i="20"/>
  <c r="DZ14" i="21" s="1"/>
  <c r="DY20" i="21"/>
  <c r="DZ8" i="21"/>
  <c r="EA7" i="21"/>
  <c r="DY15" i="21"/>
  <c r="EA176" i="20"/>
  <c r="EA226" i="20" s="1"/>
  <c r="EB175" i="20"/>
  <c r="EA249" i="20"/>
  <c r="EA195" i="20"/>
  <c r="EA191" i="20"/>
  <c r="EA265" i="20"/>
  <c r="EA269" i="20"/>
  <c r="EA273" i="20"/>
  <c r="EA280" i="20"/>
  <c r="EA288" i="20"/>
  <c r="EA296" i="20"/>
  <c r="EA304" i="20"/>
  <c r="EA312" i="20"/>
  <c r="EA320" i="20"/>
  <c r="EA328" i="20"/>
  <c r="EA336" i="20"/>
  <c r="DY17" i="21"/>
  <c r="EA253" i="20" l="1"/>
  <c r="EA207" i="20"/>
  <c r="EA211" i="20"/>
  <c r="EA215" i="20"/>
  <c r="EA233" i="20"/>
  <c r="EA229" i="20"/>
  <c r="EA179" i="20"/>
  <c r="EA333" i="20"/>
  <c r="EA309" i="20"/>
  <c r="EA285" i="20"/>
  <c r="EA272" i="20"/>
  <c r="EA188" i="20"/>
  <c r="EA196" i="20"/>
  <c r="EA244" i="20"/>
  <c r="EA224" i="20"/>
  <c r="EA340" i="20"/>
  <c r="EA332" i="20"/>
  <c r="EA324" i="20"/>
  <c r="EA316" i="20"/>
  <c r="EA308" i="20"/>
  <c r="EA300" i="20"/>
  <c r="EA292" i="20"/>
  <c r="EA284" i="20"/>
  <c r="EA276" i="20"/>
  <c r="EA271" i="20"/>
  <c r="EA185" i="20"/>
  <c r="EA189" i="20"/>
  <c r="EA259" i="20"/>
  <c r="EA255" i="20"/>
  <c r="EA251" i="20"/>
  <c r="EA247" i="20"/>
  <c r="EA243" i="20"/>
  <c r="EA239" i="20"/>
  <c r="EA217" i="20"/>
  <c r="EA231" i="20"/>
  <c r="EB176" i="20"/>
  <c r="EB229" i="20" s="1"/>
  <c r="EB226" i="20"/>
  <c r="EC175" i="20"/>
  <c r="EB225" i="20"/>
  <c r="EB227" i="20"/>
  <c r="EB224" i="20"/>
  <c r="EB228" i="20"/>
  <c r="EB223" i="20"/>
  <c r="EB222" i="20"/>
  <c r="EB230" i="20"/>
  <c r="EB231" i="20"/>
  <c r="EB221" i="20"/>
  <c r="EB220" i="20"/>
  <c r="EB232" i="20"/>
  <c r="EB233" i="20"/>
  <c r="EB234" i="20"/>
  <c r="EB218" i="20"/>
  <c r="EB217" i="20"/>
  <c r="EB235" i="20"/>
  <c r="EB216" i="20"/>
  <c r="EB236" i="20"/>
  <c r="EB215" i="20"/>
  <c r="EB238" i="20"/>
  <c r="EB214" i="20"/>
  <c r="EB213" i="20"/>
  <c r="EB239" i="20"/>
  <c r="EB212" i="20"/>
  <c r="EB240" i="20"/>
  <c r="EB211" i="20"/>
  <c r="EB242" i="20"/>
  <c r="EB210" i="20"/>
  <c r="EB209" i="20"/>
  <c r="EB243" i="20"/>
  <c r="EB208" i="20"/>
  <c r="EB244" i="20"/>
  <c r="EB245" i="20"/>
  <c r="EB206" i="20"/>
  <c r="EB246" i="20"/>
  <c r="EB247" i="20"/>
  <c r="EB205" i="20"/>
  <c r="EB248" i="20"/>
  <c r="EB204" i="20"/>
  <c r="EB203" i="20"/>
  <c r="EB202" i="20"/>
  <c r="EB250" i="20"/>
  <c r="EB201" i="20"/>
  <c r="EB251" i="20"/>
  <c r="EB200" i="20"/>
  <c r="EB252" i="20"/>
  <c r="EB199" i="20"/>
  <c r="EB253" i="20"/>
  <c r="EB198" i="20"/>
  <c r="EB254" i="20"/>
  <c r="EB197" i="20"/>
  <c r="EB255" i="20"/>
  <c r="EB196" i="20"/>
  <c r="EB256" i="20"/>
  <c r="EB195" i="20"/>
  <c r="EB257" i="20"/>
  <c r="EB194" i="20"/>
  <c r="EB258" i="20"/>
  <c r="EB259" i="20"/>
  <c r="EB193" i="20"/>
  <c r="EB260" i="20"/>
  <c r="EB192" i="20"/>
  <c r="EB191" i="20"/>
  <c r="EB261" i="20"/>
  <c r="EB262" i="20"/>
  <c r="EB190" i="20"/>
  <c r="EB189" i="20"/>
  <c r="EB263" i="20"/>
  <c r="EB264" i="20"/>
  <c r="EB188" i="20"/>
  <c r="EB265" i="20"/>
  <c r="EB187" i="20"/>
  <c r="EB186" i="20"/>
  <c r="EB266" i="20"/>
  <c r="EB185" i="20"/>
  <c r="EB267" i="20"/>
  <c r="EB268" i="20"/>
  <c r="EB184" i="20"/>
  <c r="EB269" i="20"/>
  <c r="EB183" i="20"/>
  <c r="EB270" i="20"/>
  <c r="EB182" i="20"/>
  <c r="EB271" i="20"/>
  <c r="EB181" i="20"/>
  <c r="EB272" i="20"/>
  <c r="EB180" i="20"/>
  <c r="EB273" i="20"/>
  <c r="EB179" i="20"/>
  <c r="EB178" i="20"/>
  <c r="EB274" i="20"/>
  <c r="EB275" i="20"/>
  <c r="EB276" i="20"/>
  <c r="EB277" i="20"/>
  <c r="EB278" i="20"/>
  <c r="EB279" i="20"/>
  <c r="EB280" i="20"/>
  <c r="EB281" i="20"/>
  <c r="EB282" i="20"/>
  <c r="EB283" i="20"/>
  <c r="EB284" i="20"/>
  <c r="EB285" i="20"/>
  <c r="EB286" i="20"/>
  <c r="EB287" i="20"/>
  <c r="EB288" i="20"/>
  <c r="EB289" i="20"/>
  <c r="EB290" i="20"/>
  <c r="EB291" i="20"/>
  <c r="EB292" i="20"/>
  <c r="EB293" i="20"/>
  <c r="EB294" i="20"/>
  <c r="EB295" i="20"/>
  <c r="EB296" i="20"/>
  <c r="EB297" i="20"/>
  <c r="EB298" i="20"/>
  <c r="EB299" i="20"/>
  <c r="EB300" i="20"/>
  <c r="EB301" i="20"/>
  <c r="EB302" i="20"/>
  <c r="EB303" i="20"/>
  <c r="EB304" i="20"/>
  <c r="EB305" i="20"/>
  <c r="EB306" i="20"/>
  <c r="EB307" i="20"/>
  <c r="EB308" i="20"/>
  <c r="EB309" i="20"/>
  <c r="EB310" i="20"/>
  <c r="EB311" i="20"/>
  <c r="EB312" i="20"/>
  <c r="EB313" i="20"/>
  <c r="EB314" i="20"/>
  <c r="EB315" i="20"/>
  <c r="EB316" i="20"/>
  <c r="EB317" i="20"/>
  <c r="EB318" i="20"/>
  <c r="EB319" i="20"/>
  <c r="EB320" i="20"/>
  <c r="EB321" i="20"/>
  <c r="EB322" i="20"/>
  <c r="EB323" i="20"/>
  <c r="EB324" i="20"/>
  <c r="EB325" i="20"/>
  <c r="EB326" i="20"/>
  <c r="EB327" i="20"/>
  <c r="EB328" i="20"/>
  <c r="EB329" i="20"/>
  <c r="EB330" i="20"/>
  <c r="EB331" i="20"/>
  <c r="EB332" i="20"/>
  <c r="EB333" i="20"/>
  <c r="EB334" i="20"/>
  <c r="EB335" i="20"/>
  <c r="EB336" i="20"/>
  <c r="EB337" i="20"/>
  <c r="EB338" i="20"/>
  <c r="EB339" i="20"/>
  <c r="EB340" i="20"/>
  <c r="EB341" i="20"/>
  <c r="EA327" i="20"/>
  <c r="EA319" i="20"/>
  <c r="EA303" i="20"/>
  <c r="EA295" i="20"/>
  <c r="EA279" i="20"/>
  <c r="EA183" i="20"/>
  <c r="EA187" i="20"/>
  <c r="EA257" i="20"/>
  <c r="EA199" i="20"/>
  <c r="EA203" i="20"/>
  <c r="EA245" i="20"/>
  <c r="EA241" i="20"/>
  <c r="EA219" i="20"/>
  <c r="EA223" i="20"/>
  <c r="EA318" i="20"/>
  <c r="EA302" i="20"/>
  <c r="EA286" i="20"/>
  <c r="EA180" i="20"/>
  <c r="EA264" i="20"/>
  <c r="EA248" i="20"/>
  <c r="DZ13" i="21"/>
  <c r="EA339" i="20"/>
  <c r="EA331" i="20"/>
  <c r="EA323" i="20"/>
  <c r="EA315" i="20"/>
  <c r="EA307" i="20"/>
  <c r="EA299" i="20"/>
  <c r="EA291" i="20"/>
  <c r="EA283" i="20"/>
  <c r="EA275" i="20"/>
  <c r="EA181" i="20"/>
  <c r="EA267" i="20"/>
  <c r="EA263" i="20"/>
  <c r="EA193" i="20"/>
  <c r="EA197" i="20"/>
  <c r="EA201" i="20"/>
  <c r="EA205" i="20"/>
  <c r="EA209" i="20"/>
  <c r="EA213" i="20"/>
  <c r="EA235" i="20"/>
  <c r="EA221" i="20"/>
  <c r="EA225" i="20"/>
  <c r="EA293" i="20"/>
  <c r="EA338" i="20"/>
  <c r="EA330" i="20"/>
  <c r="EA322" i="20"/>
  <c r="EA22" i="21" s="1"/>
  <c r="EA314" i="20"/>
  <c r="EA306" i="20"/>
  <c r="EA298" i="20"/>
  <c r="EA290" i="20"/>
  <c r="EA282" i="20"/>
  <c r="EA178" i="20"/>
  <c r="EA182" i="20"/>
  <c r="EA266" i="20"/>
  <c r="EA262" i="20"/>
  <c r="EA194" i="20"/>
  <c r="EA254" i="20"/>
  <c r="EA202" i="20"/>
  <c r="EA206" i="20"/>
  <c r="EA210" i="20"/>
  <c r="EA238" i="20"/>
  <c r="EA234" i="20"/>
  <c r="EA222" i="20"/>
  <c r="EA227" i="20"/>
  <c r="EA14" i="21" s="1"/>
  <c r="DZ16" i="21"/>
  <c r="EA335" i="20"/>
  <c r="EA311" i="20"/>
  <c r="EA287" i="20"/>
  <c r="EA261" i="20"/>
  <c r="EA237" i="20"/>
  <c r="EA334" i="20"/>
  <c r="EA326" i="20"/>
  <c r="EA310" i="20"/>
  <c r="EA21" i="21" s="1"/>
  <c r="EA294" i="20"/>
  <c r="EA278" i="20"/>
  <c r="EA268" i="20"/>
  <c r="EA192" i="20"/>
  <c r="EA256" i="20"/>
  <c r="EA252" i="20"/>
  <c r="EA208" i="20"/>
  <c r="EA240" i="20"/>
  <c r="EA216" i="20"/>
  <c r="EA220" i="20"/>
  <c r="EA228" i="20"/>
  <c r="EA341" i="20"/>
  <c r="EA325" i="20"/>
  <c r="EA317" i="20"/>
  <c r="EA301" i="20"/>
  <c r="EA277" i="20"/>
  <c r="EA184" i="20"/>
  <c r="EA260" i="20"/>
  <c r="EA200" i="20"/>
  <c r="EA204" i="20"/>
  <c r="EA212" i="20"/>
  <c r="EA236" i="20"/>
  <c r="EA232" i="20"/>
  <c r="EA337" i="20"/>
  <c r="EA329" i="20"/>
  <c r="EA321" i="20"/>
  <c r="EA313" i="20"/>
  <c r="EA305" i="20"/>
  <c r="EA297" i="20"/>
  <c r="EA289" i="20"/>
  <c r="EA281" i="20"/>
  <c r="EA274" i="20"/>
  <c r="EA270" i="20"/>
  <c r="EA186" i="20"/>
  <c r="EA190" i="20"/>
  <c r="EA258" i="20"/>
  <c r="EA198" i="20"/>
  <c r="EA250" i="20"/>
  <c r="EA246" i="20"/>
  <c r="EA242" i="20"/>
  <c r="EA214" i="20"/>
  <c r="EA218" i="20"/>
  <c r="EA230" i="20"/>
  <c r="EA8" i="21"/>
  <c r="EB7" i="21"/>
  <c r="DZ12" i="21"/>
  <c r="EB22" i="21" l="1"/>
  <c r="EB18" i="21"/>
  <c r="EB11" i="21"/>
  <c r="ED175" i="20"/>
  <c r="EC176" i="20"/>
  <c r="EC225" i="20" s="1"/>
  <c r="EC227" i="20"/>
  <c r="EC230" i="20"/>
  <c r="EC221" i="20"/>
  <c r="EC218" i="20"/>
  <c r="EC217" i="20"/>
  <c r="EC238" i="20"/>
  <c r="EC213" i="20"/>
  <c r="EC210" i="20"/>
  <c r="EC243" i="20"/>
  <c r="EC206" i="20"/>
  <c r="EC247" i="20"/>
  <c r="EC202" i="20"/>
  <c r="EC201" i="20"/>
  <c r="EC254" i="20"/>
  <c r="EC197" i="20"/>
  <c r="EC258" i="20"/>
  <c r="EC259" i="20"/>
  <c r="EC262" i="20"/>
  <c r="EC263" i="20"/>
  <c r="EC266" i="20"/>
  <c r="EC267" i="20"/>
  <c r="EC182" i="20"/>
  <c r="EC271" i="20"/>
  <c r="EC274" i="20"/>
  <c r="EC275" i="20"/>
  <c r="EC282" i="20"/>
  <c r="EC283" i="20"/>
  <c r="EC290" i="20"/>
  <c r="EC291" i="20"/>
  <c r="EC298" i="20"/>
  <c r="EC299" i="20"/>
  <c r="EC306" i="20"/>
  <c r="EC307" i="20"/>
  <c r="EC314" i="20"/>
  <c r="EC315" i="20"/>
  <c r="EC322" i="20"/>
  <c r="EC323" i="20"/>
  <c r="EC330" i="20"/>
  <c r="EC331" i="20"/>
  <c r="EC338" i="20"/>
  <c r="EC339" i="20"/>
  <c r="EB17" i="21"/>
  <c r="EB14" i="21"/>
  <c r="EA15" i="21"/>
  <c r="EB20" i="21"/>
  <c r="EB16" i="21"/>
  <c r="EA11" i="21"/>
  <c r="EA10" i="21"/>
  <c r="EB10" i="21"/>
  <c r="EA13" i="21"/>
  <c r="EA12" i="21"/>
  <c r="EB249" i="20"/>
  <c r="EB207" i="20"/>
  <c r="EB12" i="21" s="1"/>
  <c r="EB241" i="20"/>
  <c r="EB15" i="21" s="1"/>
  <c r="EB237" i="20"/>
  <c r="EB219" i="20"/>
  <c r="EB13" i="21" s="1"/>
  <c r="EC7" i="21"/>
  <c r="EB8" i="21"/>
  <c r="EA18" i="21"/>
  <c r="EA20" i="21"/>
  <c r="EA19" i="21"/>
  <c r="EB23" i="21"/>
  <c r="EB21" i="21"/>
  <c r="EB19" i="21"/>
  <c r="EA16" i="21"/>
  <c r="EA23" i="21"/>
  <c r="EA17" i="21"/>
  <c r="EC329" i="20" l="1"/>
  <c r="EC313" i="20"/>
  <c r="EC297" i="20"/>
  <c r="EC281" i="20"/>
  <c r="EC270" i="20"/>
  <c r="EC190" i="20"/>
  <c r="EC198" i="20"/>
  <c r="EC246" i="20"/>
  <c r="EC222" i="20"/>
  <c r="EC336" i="20"/>
  <c r="EC328" i="20"/>
  <c r="EC320" i="20"/>
  <c r="EC312" i="20"/>
  <c r="EC304" i="20"/>
  <c r="EC296" i="20"/>
  <c r="EC288" i="20"/>
  <c r="EC280" i="20"/>
  <c r="EC273" i="20"/>
  <c r="EC183" i="20"/>
  <c r="EC265" i="20"/>
  <c r="EC191" i="20"/>
  <c r="EC257" i="20"/>
  <c r="EC253" i="20"/>
  <c r="EC249" i="20"/>
  <c r="EC245" i="20"/>
  <c r="EC211" i="20"/>
  <c r="EC215" i="20"/>
  <c r="EC219" i="20"/>
  <c r="EC229" i="20"/>
  <c r="EC226" i="20"/>
  <c r="ED7" i="21"/>
  <c r="EC8" i="21"/>
  <c r="EC335" i="20"/>
  <c r="EC327" i="20"/>
  <c r="EC319" i="20"/>
  <c r="EC311" i="20"/>
  <c r="EC303" i="20"/>
  <c r="EC295" i="20"/>
  <c r="EC287" i="20"/>
  <c r="EC279" i="20"/>
  <c r="EC179" i="20"/>
  <c r="EC269" i="20"/>
  <c r="EC187" i="20"/>
  <c r="EC261" i="20"/>
  <c r="EC195" i="20"/>
  <c r="EC199" i="20"/>
  <c r="EC203" i="20"/>
  <c r="EC12" i="21" s="1"/>
  <c r="EC207" i="20"/>
  <c r="EC241" i="20"/>
  <c r="EC237" i="20"/>
  <c r="EC233" i="20"/>
  <c r="EC223" i="20"/>
  <c r="EC15" i="21"/>
  <c r="EC334" i="20"/>
  <c r="EC326" i="20"/>
  <c r="EC318" i="20"/>
  <c r="EC310" i="20"/>
  <c r="EC302" i="20"/>
  <c r="EC294" i="20"/>
  <c r="EC286" i="20"/>
  <c r="EC278" i="20"/>
  <c r="EC180" i="20"/>
  <c r="EC184" i="20"/>
  <c r="EC188" i="20"/>
  <c r="EC192" i="20"/>
  <c r="EC196" i="20"/>
  <c r="EC252" i="20"/>
  <c r="EC204" i="20"/>
  <c r="EC208" i="20"/>
  <c r="EC240" i="20"/>
  <c r="EC236" i="20"/>
  <c r="EC232" i="20"/>
  <c r="EC224" i="20"/>
  <c r="EC337" i="20"/>
  <c r="EC321" i="20"/>
  <c r="EC305" i="20"/>
  <c r="EC289" i="20"/>
  <c r="EC178" i="20"/>
  <c r="EC186" i="20"/>
  <c r="EC194" i="20"/>
  <c r="EC250" i="20"/>
  <c r="EC242" i="20"/>
  <c r="EC214" i="20"/>
  <c r="EC13" i="21" s="1"/>
  <c r="EC234" i="20"/>
  <c r="EE175" i="20"/>
  <c r="ED176" i="20"/>
  <c r="ED227" i="20" s="1"/>
  <c r="ED226" i="20"/>
  <c r="ED224" i="20"/>
  <c r="ED228" i="20"/>
  <c r="ED223" i="20"/>
  <c r="ED229" i="20"/>
  <c r="ED230" i="20"/>
  <c r="ED221" i="20"/>
  <c r="ED232" i="20"/>
  <c r="ED220" i="20"/>
  <c r="ED233" i="20"/>
  <c r="ED219" i="20"/>
  <c r="ED234" i="20"/>
  <c r="ED217" i="20"/>
  <c r="ED216" i="20"/>
  <c r="ED236" i="20"/>
  <c r="ED215" i="20"/>
  <c r="ED237" i="20"/>
  <c r="ED238" i="20"/>
  <c r="ED213" i="20"/>
  <c r="ED240" i="20"/>
  <c r="ED212" i="20"/>
  <c r="ED241" i="20"/>
  <c r="ED211" i="20"/>
  <c r="ED210" i="20"/>
  <c r="ED243" i="20"/>
  <c r="ED208" i="20"/>
  <c r="ED244" i="20"/>
  <c r="ED245" i="20"/>
  <c r="ED207" i="20"/>
  <c r="ED246" i="20"/>
  <c r="ED205" i="20"/>
  <c r="ED248" i="20"/>
  <c r="ED204" i="20"/>
  <c r="ED203" i="20"/>
  <c r="ED249" i="20"/>
  <c r="ED250" i="20"/>
  <c r="ED251" i="20"/>
  <c r="ED252" i="20"/>
  <c r="ED200" i="20"/>
  <c r="ED199" i="20"/>
  <c r="ED253" i="20"/>
  <c r="ED198" i="20"/>
  <c r="ED255" i="20"/>
  <c r="ED196" i="20"/>
  <c r="ED256" i="20"/>
  <c r="ED257" i="20"/>
  <c r="ED195" i="20"/>
  <c r="ED194" i="20"/>
  <c r="ED193" i="20"/>
  <c r="ED260" i="20"/>
  <c r="ED192" i="20"/>
  <c r="ED191" i="20"/>
  <c r="ED261" i="20"/>
  <c r="ED190" i="20"/>
  <c r="ED263" i="20"/>
  <c r="ED264" i="20"/>
  <c r="ED188" i="20"/>
  <c r="ED187" i="20"/>
  <c r="ED265" i="20"/>
  <c r="ED186" i="20"/>
  <c r="ED185" i="20"/>
  <c r="ED268" i="20"/>
  <c r="ED184" i="20"/>
  <c r="ED183" i="20"/>
  <c r="ED269" i="20"/>
  <c r="ED182" i="20"/>
  <c r="ED271" i="20"/>
  <c r="ED272" i="20"/>
  <c r="ED180" i="20"/>
  <c r="ED273" i="20"/>
  <c r="ED179" i="20"/>
  <c r="ED274" i="20"/>
  <c r="ED178" i="20"/>
  <c r="ED275" i="20"/>
  <c r="ED276" i="20"/>
  <c r="ED277" i="20"/>
  <c r="ED278" i="20"/>
  <c r="ED279" i="20"/>
  <c r="ED280" i="20"/>
  <c r="ED281" i="20"/>
  <c r="ED282" i="20"/>
  <c r="ED283" i="20"/>
  <c r="ED284" i="20"/>
  <c r="ED285" i="20"/>
  <c r="ED286" i="20"/>
  <c r="ED287" i="20"/>
  <c r="ED288" i="20"/>
  <c r="ED289" i="20"/>
  <c r="ED290" i="20"/>
  <c r="ED291" i="20"/>
  <c r="ED292" i="20"/>
  <c r="ED293" i="20"/>
  <c r="ED294" i="20"/>
  <c r="ED295" i="20"/>
  <c r="ED296" i="20"/>
  <c r="ED297" i="20"/>
  <c r="ED298" i="20"/>
  <c r="ED299" i="20"/>
  <c r="ED300" i="20"/>
  <c r="ED301" i="20"/>
  <c r="ED302" i="20"/>
  <c r="ED303" i="20"/>
  <c r="ED304" i="20"/>
  <c r="ED305" i="20"/>
  <c r="ED306" i="20"/>
  <c r="ED307" i="20"/>
  <c r="ED308" i="20"/>
  <c r="ED309" i="20"/>
  <c r="ED310" i="20"/>
  <c r="ED311" i="20"/>
  <c r="ED312" i="20"/>
  <c r="ED313" i="20"/>
  <c r="ED314" i="20"/>
  <c r="ED315" i="20"/>
  <c r="ED316" i="20"/>
  <c r="ED317" i="20"/>
  <c r="ED318" i="20"/>
  <c r="ED319" i="20"/>
  <c r="ED320" i="20"/>
  <c r="ED321" i="20"/>
  <c r="ED322" i="20"/>
  <c r="ED323" i="20"/>
  <c r="ED324" i="20"/>
  <c r="ED325" i="20"/>
  <c r="ED326" i="20"/>
  <c r="ED327" i="20"/>
  <c r="ED328" i="20"/>
  <c r="ED329" i="20"/>
  <c r="ED330" i="20"/>
  <c r="ED331" i="20"/>
  <c r="ED332" i="20"/>
  <c r="ED333" i="20"/>
  <c r="ED334" i="20"/>
  <c r="ED335" i="20"/>
  <c r="ED336" i="20"/>
  <c r="ED337" i="20"/>
  <c r="ED338" i="20"/>
  <c r="ED339" i="20"/>
  <c r="ED340" i="20"/>
  <c r="ED341" i="20"/>
  <c r="EC341" i="20"/>
  <c r="EC333" i="20"/>
  <c r="EC325" i="20"/>
  <c r="EC317" i="20"/>
  <c r="EC309" i="20"/>
  <c r="EC301" i="20"/>
  <c r="EC293" i="20"/>
  <c r="EC285" i="20"/>
  <c r="EC277" i="20"/>
  <c r="EC272" i="20"/>
  <c r="EC268" i="20"/>
  <c r="EC264" i="20"/>
  <c r="EC17" i="21" s="1"/>
  <c r="EC260" i="20"/>
  <c r="EC256" i="20"/>
  <c r="EC200" i="20"/>
  <c r="EC248" i="20"/>
  <c r="EC244" i="20"/>
  <c r="EC212" i="20"/>
  <c r="EC216" i="20"/>
  <c r="EC220" i="20"/>
  <c r="EC228" i="20"/>
  <c r="EC340" i="20"/>
  <c r="EC332" i="20"/>
  <c r="EC324" i="20"/>
  <c r="EC22" i="21" s="1"/>
  <c r="EC316" i="20"/>
  <c r="EC308" i="20"/>
  <c r="EC300" i="20"/>
  <c r="EC20" i="21" s="1"/>
  <c r="EC292" i="20"/>
  <c r="EC284" i="20"/>
  <c r="EC276" i="20"/>
  <c r="EC18" i="21" s="1"/>
  <c r="EC181" i="20"/>
  <c r="EC185" i="20"/>
  <c r="EC189" i="20"/>
  <c r="EC193" i="20"/>
  <c r="EC255" i="20"/>
  <c r="EC251" i="20"/>
  <c r="EC205" i="20"/>
  <c r="EC209" i="20"/>
  <c r="EC239" i="20"/>
  <c r="EC235" i="20"/>
  <c r="EC231" i="20"/>
  <c r="EC11" i="21" l="1"/>
  <c r="EC16" i="21"/>
  <c r="ED181" i="20"/>
  <c r="ED267" i="20"/>
  <c r="ED189" i="20"/>
  <c r="ED259" i="20"/>
  <c r="ED16" i="21" s="1"/>
  <c r="ED197" i="20"/>
  <c r="ED11" i="21" s="1"/>
  <c r="ED201" i="20"/>
  <c r="ED247" i="20"/>
  <c r="ED209" i="20"/>
  <c r="ED239" i="20"/>
  <c r="ED235" i="20"/>
  <c r="ED231" i="20"/>
  <c r="ED14" i="21" s="1"/>
  <c r="ED225" i="20"/>
  <c r="EC21" i="21"/>
  <c r="EC14" i="21"/>
  <c r="ED21" i="21"/>
  <c r="EC19" i="21"/>
  <c r="ED22" i="21"/>
  <c r="ED20" i="21"/>
  <c r="ED10" i="21"/>
  <c r="ED270" i="20"/>
  <c r="ED266" i="20"/>
  <c r="ED262" i="20"/>
  <c r="ED258" i="20"/>
  <c r="ED254" i="20"/>
  <c r="ED202" i="20"/>
  <c r="ED206" i="20"/>
  <c r="ED242" i="20"/>
  <c r="ED214" i="20"/>
  <c r="ED218" i="20"/>
  <c r="ED222" i="20"/>
  <c r="ED23" i="21"/>
  <c r="ED18" i="21"/>
  <c r="ED15" i="21"/>
  <c r="EC10" i="21"/>
  <c r="ED19" i="21"/>
  <c r="EF175" i="20"/>
  <c r="EE176" i="20"/>
  <c r="EE226" i="20" s="1"/>
  <c r="EE227" i="20"/>
  <c r="EE224" i="20"/>
  <c r="EE228" i="20"/>
  <c r="EE223" i="20"/>
  <c r="EE229" i="20"/>
  <c r="EE230" i="20"/>
  <c r="EE221" i="20"/>
  <c r="EE220" i="20"/>
  <c r="EE232" i="20"/>
  <c r="EE233" i="20"/>
  <c r="EE219" i="20"/>
  <c r="EE234" i="20"/>
  <c r="EE217" i="20"/>
  <c r="EE236" i="20"/>
  <c r="EE216" i="20"/>
  <c r="EE237" i="20"/>
  <c r="EE215" i="20"/>
  <c r="EE214" i="20"/>
  <c r="EE239" i="20"/>
  <c r="EE240" i="20"/>
  <c r="EE212" i="20"/>
  <c r="EE241" i="20"/>
  <c r="EE211" i="20"/>
  <c r="EE210" i="20"/>
  <c r="EE209" i="20"/>
  <c r="EE244" i="20"/>
  <c r="EE208" i="20"/>
  <c r="EE245" i="20"/>
  <c r="EE207" i="20"/>
  <c r="EE246" i="20"/>
  <c r="EE247" i="20"/>
  <c r="EE248" i="20"/>
  <c r="EE204" i="20"/>
  <c r="EE203" i="20"/>
  <c r="EE249" i="20"/>
  <c r="EE250" i="20"/>
  <c r="EE251" i="20"/>
  <c r="EE200" i="20"/>
  <c r="EE252" i="20"/>
  <c r="EE199" i="20"/>
  <c r="EE253" i="20"/>
  <c r="EE254" i="20"/>
  <c r="EE197" i="20"/>
  <c r="EE196" i="20"/>
  <c r="EE256" i="20"/>
  <c r="EE195" i="20"/>
  <c r="EE257" i="20"/>
  <c r="EE258" i="20"/>
  <c r="EE259" i="20"/>
  <c r="EE192" i="20"/>
  <c r="EE260" i="20"/>
  <c r="EE261" i="20"/>
  <c r="EE191" i="20"/>
  <c r="EE262" i="20"/>
  <c r="EE189" i="20"/>
  <c r="EE264" i="20"/>
  <c r="EE188" i="20"/>
  <c r="EE265" i="20"/>
  <c r="EE187" i="20"/>
  <c r="EE186" i="20"/>
  <c r="EE185" i="20"/>
  <c r="EE268" i="20"/>
  <c r="EE184" i="20"/>
  <c r="EE269" i="20"/>
  <c r="EE183" i="20"/>
  <c r="EE182" i="20"/>
  <c r="EE181" i="20"/>
  <c r="EE180" i="20"/>
  <c r="EE272" i="20"/>
  <c r="EE179" i="20"/>
  <c r="EE273" i="20"/>
  <c r="EE178" i="20"/>
  <c r="EE276" i="20"/>
  <c r="EE277" i="20"/>
  <c r="EE278" i="20"/>
  <c r="EE279" i="20"/>
  <c r="EE280" i="20"/>
  <c r="EE281" i="20"/>
  <c r="EE284" i="20"/>
  <c r="EE285" i="20"/>
  <c r="EE286" i="20"/>
  <c r="EE287" i="20"/>
  <c r="EE288" i="20"/>
  <c r="EE289" i="20"/>
  <c r="EE292" i="20"/>
  <c r="EE293" i="20"/>
  <c r="EE294" i="20"/>
  <c r="EE295" i="20"/>
  <c r="EE296" i="20"/>
  <c r="EE297" i="20"/>
  <c r="EE300" i="20"/>
  <c r="EE301" i="20"/>
  <c r="EE302" i="20"/>
  <c r="EE303" i="20"/>
  <c r="EE304" i="20"/>
  <c r="EE305" i="20"/>
  <c r="EE308" i="20"/>
  <c r="EE309" i="20"/>
  <c r="EE310" i="20"/>
  <c r="EE311" i="20"/>
  <c r="EE312" i="20"/>
  <c r="EE313" i="20"/>
  <c r="EE316" i="20"/>
  <c r="EE317" i="20"/>
  <c r="EE318" i="20"/>
  <c r="EE319" i="20"/>
  <c r="EE320" i="20"/>
  <c r="EE321" i="20"/>
  <c r="EE324" i="20"/>
  <c r="EE325" i="20"/>
  <c r="EE326" i="20"/>
  <c r="EE327" i="20"/>
  <c r="EE328" i="20"/>
  <c r="EE329" i="20"/>
  <c r="EE332" i="20"/>
  <c r="EE333" i="20"/>
  <c r="EE334" i="20"/>
  <c r="EE335" i="20"/>
  <c r="EE336" i="20"/>
  <c r="EE337" i="20"/>
  <c r="EE340" i="20"/>
  <c r="EE341" i="20"/>
  <c r="EC23" i="21"/>
  <c r="EE7" i="21"/>
  <c r="ED8" i="21"/>
  <c r="EE339" i="20" l="1"/>
  <c r="EE331" i="20"/>
  <c r="EE323" i="20"/>
  <c r="EE315" i="20"/>
  <c r="EE307" i="20"/>
  <c r="EE299" i="20"/>
  <c r="EE291" i="20"/>
  <c r="EE19" i="21" s="1"/>
  <c r="EE283" i="20"/>
  <c r="EE275" i="20"/>
  <c r="EE271" i="20"/>
  <c r="EE267" i="20"/>
  <c r="EE263" i="20"/>
  <c r="EE17" i="21" s="1"/>
  <c r="EE193" i="20"/>
  <c r="EE255" i="20"/>
  <c r="EE16" i="21" s="1"/>
  <c r="EE201" i="20"/>
  <c r="EE205" i="20"/>
  <c r="EE243" i="20"/>
  <c r="EE213" i="20"/>
  <c r="EE235" i="20"/>
  <c r="EE231" i="20"/>
  <c r="EE14" i="21" s="1"/>
  <c r="EE225" i="20"/>
  <c r="ED12" i="21"/>
  <c r="EF7" i="21"/>
  <c r="EE8" i="21"/>
  <c r="EE23" i="21"/>
  <c r="EE338" i="20"/>
  <c r="EE330" i="20"/>
  <c r="EE322" i="20"/>
  <c r="EE22" i="21" s="1"/>
  <c r="EE314" i="20"/>
  <c r="EE306" i="20"/>
  <c r="EE298" i="20"/>
  <c r="EE20" i="21" s="1"/>
  <c r="EE290" i="20"/>
  <c r="EE282" i="20"/>
  <c r="EE274" i="20"/>
  <c r="EE270" i="20"/>
  <c r="EE266" i="20"/>
  <c r="EE190" i="20"/>
  <c r="EE194" i="20"/>
  <c r="EE198" i="20"/>
  <c r="EE202" i="20"/>
  <c r="EE206" i="20"/>
  <c r="EE242" i="20"/>
  <c r="EE238" i="20"/>
  <c r="EE15" i="21" s="1"/>
  <c r="EE218" i="20"/>
  <c r="EE13" i="21" s="1"/>
  <c r="EE222" i="20"/>
  <c r="EE21" i="21"/>
  <c r="ED13" i="21"/>
  <c r="EE10" i="21"/>
  <c r="EG175" i="20"/>
  <c r="EF176" i="20"/>
  <c r="EF225" i="20" s="1"/>
  <c r="EF226" i="20"/>
  <c r="EF222" i="20"/>
  <c r="EF234" i="20"/>
  <c r="EF214" i="20"/>
  <c r="EF210" i="20"/>
  <c r="EF246" i="20"/>
  <c r="EF202" i="20"/>
  <c r="EF250" i="20"/>
  <c r="EF198" i="20"/>
  <c r="EF254" i="20"/>
  <c r="EF258" i="20"/>
  <c r="EF194" i="20"/>
  <c r="EF262" i="20"/>
  <c r="EF190" i="20"/>
  <c r="EF266" i="20"/>
  <c r="EF186" i="20"/>
  <c r="EF270" i="20"/>
  <c r="EF182" i="20"/>
  <c r="EF178" i="20"/>
  <c r="EF274" i="20"/>
  <c r="EF281" i="20"/>
  <c r="EF282" i="20"/>
  <c r="EF289" i="20"/>
  <c r="EF290" i="20"/>
  <c r="EF297" i="20"/>
  <c r="EF298" i="20"/>
  <c r="EF305" i="20"/>
  <c r="EF306" i="20"/>
  <c r="EF313" i="20"/>
  <c r="EF314" i="20"/>
  <c r="EF321" i="20"/>
  <c r="EF322" i="20"/>
  <c r="EF329" i="20"/>
  <c r="EF330" i="20"/>
  <c r="EF337" i="20"/>
  <c r="EF338" i="20"/>
  <c r="ED17" i="21"/>
  <c r="EF336" i="20" l="1"/>
  <c r="EF312" i="20"/>
  <c r="EF296" i="20"/>
  <c r="EF280" i="20"/>
  <c r="EF183" i="20"/>
  <c r="EF191" i="20"/>
  <c r="EF11" i="21" s="1"/>
  <c r="EF253" i="20"/>
  <c r="EF245" i="20"/>
  <c r="EF215" i="20"/>
  <c r="EF223" i="20"/>
  <c r="EF335" i="20"/>
  <c r="EF327" i="20"/>
  <c r="EF311" i="20"/>
  <c r="EF287" i="20"/>
  <c r="EF199" i="20"/>
  <c r="EF310" i="20"/>
  <c r="EF286" i="20"/>
  <c r="EF272" i="20"/>
  <c r="EF184" i="20"/>
  <c r="EF264" i="20"/>
  <c r="EF192" i="20"/>
  <c r="EF196" i="20"/>
  <c r="EF200" i="20"/>
  <c r="EF248" i="20"/>
  <c r="EF244" i="20"/>
  <c r="EF212" i="20"/>
  <c r="EF216" i="20"/>
  <c r="EF220" i="20"/>
  <c r="EF228" i="20"/>
  <c r="EF206" i="20"/>
  <c r="EF242" i="20"/>
  <c r="EF238" i="20"/>
  <c r="EF218" i="20"/>
  <c r="EF230" i="20"/>
  <c r="EF328" i="20"/>
  <c r="EE11" i="21"/>
  <c r="EF334" i="20"/>
  <c r="EF326" i="20"/>
  <c r="EF318" i="20"/>
  <c r="EF302" i="20"/>
  <c r="EF294" i="20"/>
  <c r="EF278" i="20"/>
  <c r="EF341" i="20"/>
  <c r="EF333" i="20"/>
  <c r="EF325" i="20"/>
  <c r="EF317" i="20"/>
  <c r="EF309" i="20"/>
  <c r="EF301" i="20"/>
  <c r="EF293" i="20"/>
  <c r="EF285" i="20"/>
  <c r="EF277" i="20"/>
  <c r="EF180" i="20"/>
  <c r="EF10" i="21" s="1"/>
  <c r="EF268" i="20"/>
  <c r="EF188" i="20"/>
  <c r="EF260" i="20"/>
  <c r="EF256" i="20"/>
  <c r="EF252" i="20"/>
  <c r="EF204" i="20"/>
  <c r="EF208" i="20"/>
  <c r="EF240" i="20"/>
  <c r="EF236" i="20"/>
  <c r="EF232" i="20"/>
  <c r="EF224" i="20"/>
  <c r="EE18" i="21"/>
  <c r="EG7" i="21"/>
  <c r="EF8" i="21"/>
  <c r="EF320" i="20"/>
  <c r="EF304" i="20"/>
  <c r="EF288" i="20"/>
  <c r="EF179" i="20"/>
  <c r="EF265" i="20"/>
  <c r="EF195" i="20"/>
  <c r="EF203" i="20"/>
  <c r="EF12" i="21" s="1"/>
  <c r="EF211" i="20"/>
  <c r="EF233" i="20"/>
  <c r="EG176" i="20"/>
  <c r="EG223" i="20" s="1"/>
  <c r="EG225" i="20"/>
  <c r="EH175" i="20"/>
  <c r="EG227" i="20"/>
  <c r="EG226" i="20"/>
  <c r="EG228" i="20"/>
  <c r="EG224" i="20"/>
  <c r="EG229" i="20"/>
  <c r="EG222" i="20"/>
  <c r="EG230" i="20"/>
  <c r="EG231" i="20"/>
  <c r="EG221" i="20"/>
  <c r="EG220" i="20"/>
  <c r="EG232" i="20"/>
  <c r="EG219" i="20"/>
  <c r="EG234" i="20"/>
  <c r="EG218" i="20"/>
  <c r="EG235" i="20"/>
  <c r="EG217" i="20"/>
  <c r="EG236" i="20"/>
  <c r="EG216" i="20"/>
  <c r="EG237" i="20"/>
  <c r="EG214" i="20"/>
  <c r="EG238" i="20"/>
  <c r="EG213" i="20"/>
  <c r="EG239" i="20"/>
  <c r="EG240" i="20"/>
  <c r="EG212" i="20"/>
  <c r="EG211" i="20"/>
  <c r="EG210" i="20"/>
  <c r="EG242" i="20"/>
  <c r="EG243" i="20"/>
  <c r="EG209" i="20"/>
  <c r="EG244" i="20"/>
  <c r="EG208" i="20"/>
  <c r="EG207" i="20"/>
  <c r="EG246" i="20"/>
  <c r="EG206" i="20"/>
  <c r="EG205" i="20"/>
  <c r="EG247" i="20"/>
  <c r="EG204" i="20"/>
  <c r="EG248" i="20"/>
  <c r="EG249" i="20"/>
  <c r="EG250" i="20"/>
  <c r="EG202" i="20"/>
  <c r="EG251" i="20"/>
  <c r="EG201" i="20"/>
  <c r="EG252" i="20"/>
  <c r="EG200" i="20"/>
  <c r="EG253" i="20"/>
  <c r="EG254" i="20"/>
  <c r="EG198" i="20"/>
  <c r="EG255" i="20"/>
  <c r="EG197" i="20"/>
  <c r="EG256" i="20"/>
  <c r="EG196" i="20"/>
  <c r="EG257" i="20"/>
  <c r="EG258" i="20"/>
  <c r="EG194" i="20"/>
  <c r="EG193" i="20"/>
  <c r="EG259" i="20"/>
  <c r="EG192" i="20"/>
  <c r="EG260" i="20"/>
  <c r="EG191" i="20"/>
  <c r="EG190" i="20"/>
  <c r="EG262" i="20"/>
  <c r="EG189" i="20"/>
  <c r="EG263" i="20"/>
  <c r="EG264" i="20"/>
  <c r="EG188" i="20"/>
  <c r="EG265" i="20"/>
  <c r="EG186" i="20"/>
  <c r="EG266" i="20"/>
  <c r="EG185" i="20"/>
  <c r="EG267" i="20"/>
  <c r="EG268" i="20"/>
  <c r="EG184" i="20"/>
  <c r="EG269" i="20"/>
  <c r="EG270" i="20"/>
  <c r="EG182" i="20"/>
  <c r="EG181" i="20"/>
  <c r="EG271" i="20"/>
  <c r="EG180" i="20"/>
  <c r="EG272" i="20"/>
  <c r="EG179" i="20"/>
  <c r="EG274" i="20"/>
  <c r="EG178" i="20"/>
  <c r="EG275" i="20"/>
  <c r="EG276" i="20"/>
  <c r="EG277" i="20"/>
  <c r="EG278" i="20"/>
  <c r="EG280" i="20"/>
  <c r="EG281" i="20"/>
  <c r="EG282" i="20"/>
  <c r="EG283" i="20"/>
  <c r="EG284" i="20"/>
  <c r="EG285" i="20"/>
  <c r="EG286" i="20"/>
  <c r="EG288" i="20"/>
  <c r="EG289" i="20"/>
  <c r="EG290" i="20"/>
  <c r="EG291" i="20"/>
  <c r="EG292" i="20"/>
  <c r="EG293" i="20"/>
  <c r="EG294" i="20"/>
  <c r="EG296" i="20"/>
  <c r="EG297" i="20"/>
  <c r="EG298" i="20"/>
  <c r="EG299" i="20"/>
  <c r="EG300" i="20"/>
  <c r="EG301" i="20"/>
  <c r="EG302" i="20"/>
  <c r="EG304" i="20"/>
  <c r="EG305" i="20"/>
  <c r="EG306" i="20"/>
  <c r="EG307" i="20"/>
  <c r="EG308" i="20"/>
  <c r="EG309" i="20"/>
  <c r="EG310" i="20"/>
  <c r="EG312" i="20"/>
  <c r="EG313" i="20"/>
  <c r="EG314" i="20"/>
  <c r="EG315" i="20"/>
  <c r="EG316" i="20"/>
  <c r="EG317" i="20"/>
  <c r="EG318" i="20"/>
  <c r="EG320" i="20"/>
  <c r="EG321" i="20"/>
  <c r="EG322" i="20"/>
  <c r="EG323" i="20"/>
  <c r="EG324" i="20"/>
  <c r="EG325" i="20"/>
  <c r="EG326" i="20"/>
  <c r="EG328" i="20"/>
  <c r="EG329" i="20"/>
  <c r="EG330" i="20"/>
  <c r="EG331" i="20"/>
  <c r="EG332" i="20"/>
  <c r="EG333" i="20"/>
  <c r="EG334" i="20"/>
  <c r="EG336" i="20"/>
  <c r="EG337" i="20"/>
  <c r="EG338" i="20"/>
  <c r="EG339" i="20"/>
  <c r="EG340" i="20"/>
  <c r="EG341" i="20"/>
  <c r="EF319" i="20"/>
  <c r="EF303" i="20"/>
  <c r="EF295" i="20"/>
  <c r="EF279" i="20"/>
  <c r="EF273" i="20"/>
  <c r="EF269" i="20"/>
  <c r="EF187" i="20"/>
  <c r="EF261" i="20"/>
  <c r="EF257" i="20"/>
  <c r="EF249" i="20"/>
  <c r="EF207" i="20"/>
  <c r="EF241" i="20"/>
  <c r="EF237" i="20"/>
  <c r="EF219" i="20"/>
  <c r="EF229" i="20"/>
  <c r="EF14" i="21" s="1"/>
  <c r="EF332" i="20"/>
  <c r="EF308" i="20"/>
  <c r="EF292" i="20"/>
  <c r="EF284" i="20"/>
  <c r="EF276" i="20"/>
  <c r="EF271" i="20"/>
  <c r="EF267" i="20"/>
  <c r="EF263" i="20"/>
  <c r="EF17" i="21" s="1"/>
  <c r="EF193" i="20"/>
  <c r="EF255" i="20"/>
  <c r="EF201" i="20"/>
  <c r="EF247" i="20"/>
  <c r="EF243" i="20"/>
  <c r="EF213" i="20"/>
  <c r="EF217" i="20"/>
  <c r="EF13" i="21" s="1"/>
  <c r="EF221" i="20"/>
  <c r="EF227" i="20"/>
  <c r="EF340" i="20"/>
  <c r="EF324" i="20"/>
  <c r="EF316" i="20"/>
  <c r="EF300" i="20"/>
  <c r="EF339" i="20"/>
  <c r="EF331" i="20"/>
  <c r="EF323" i="20"/>
  <c r="EF22" i="21" s="1"/>
  <c r="EF315" i="20"/>
  <c r="EF307" i="20"/>
  <c r="EF299" i="20"/>
  <c r="EF20" i="21" s="1"/>
  <c r="EF291" i="20"/>
  <c r="EF283" i="20"/>
  <c r="EF275" i="20"/>
  <c r="EF18" i="21" s="1"/>
  <c r="EF181" i="20"/>
  <c r="EF185" i="20"/>
  <c r="EF189" i="20"/>
  <c r="EF259" i="20"/>
  <c r="EF197" i="20"/>
  <c r="EF251" i="20"/>
  <c r="EF16" i="21" s="1"/>
  <c r="EF205" i="20"/>
  <c r="EF209" i="20"/>
  <c r="EF239" i="20"/>
  <c r="EF235" i="20"/>
  <c r="EF231" i="20"/>
  <c r="EE12" i="21"/>
  <c r="EG13" i="21" l="1"/>
  <c r="EF15" i="21"/>
  <c r="EG8" i="21"/>
  <c r="EH7" i="21"/>
  <c r="EH176" i="20"/>
  <c r="EI175" i="20"/>
  <c r="EH226" i="20"/>
  <c r="EH227" i="20"/>
  <c r="EH225" i="20"/>
  <c r="EH224" i="20"/>
  <c r="EH228" i="20"/>
  <c r="EH223" i="20"/>
  <c r="EH229" i="20"/>
  <c r="EH222" i="20"/>
  <c r="EH230" i="20"/>
  <c r="EH221" i="20"/>
  <c r="EH231" i="20"/>
  <c r="EH220" i="20"/>
  <c r="EH232" i="20"/>
  <c r="EH219" i="20"/>
  <c r="EH233" i="20"/>
  <c r="EH234" i="20"/>
  <c r="EH218" i="20"/>
  <c r="EH217" i="20"/>
  <c r="EH235" i="20"/>
  <c r="EH236" i="20"/>
  <c r="EH216" i="20"/>
  <c r="EH237" i="20"/>
  <c r="EH215" i="20"/>
  <c r="EH238" i="20"/>
  <c r="EH214" i="20"/>
  <c r="EH239" i="20"/>
  <c r="EH213" i="20"/>
  <c r="EH212" i="20"/>
  <c r="EH240" i="20"/>
  <c r="EH241" i="20"/>
  <c r="EH211" i="20"/>
  <c r="EH210" i="20"/>
  <c r="EH242" i="20"/>
  <c r="EH243" i="20"/>
  <c r="EH209" i="20"/>
  <c r="EH208" i="20"/>
  <c r="EH244" i="20"/>
  <c r="EH207" i="20"/>
  <c r="EH245" i="20"/>
  <c r="EH246" i="20"/>
  <c r="EH206" i="20"/>
  <c r="EH247" i="20"/>
  <c r="EH205" i="20"/>
  <c r="EH248" i="20"/>
  <c r="EH204" i="20"/>
  <c r="EH249" i="20"/>
  <c r="EH203" i="20"/>
  <c r="EH202" i="20"/>
  <c r="EH250" i="20"/>
  <c r="EH201" i="20"/>
  <c r="EH251" i="20"/>
  <c r="EH200" i="20"/>
  <c r="EH252" i="20"/>
  <c r="EH199" i="20"/>
  <c r="EH253" i="20"/>
  <c r="EH198" i="20"/>
  <c r="EH254" i="20"/>
  <c r="EH197" i="20"/>
  <c r="EH255" i="20"/>
  <c r="EH256" i="20"/>
  <c r="EH196" i="20"/>
  <c r="EH257" i="20"/>
  <c r="EH195" i="20"/>
  <c r="EH258" i="20"/>
  <c r="EH194" i="20"/>
  <c r="EH193" i="20"/>
  <c r="EH259" i="20"/>
  <c r="EH192" i="20"/>
  <c r="EH260" i="20"/>
  <c r="EH261" i="20"/>
  <c r="EH191" i="20"/>
  <c r="EH190" i="20"/>
  <c r="EH262" i="20"/>
  <c r="EH263" i="20"/>
  <c r="EH189" i="20"/>
  <c r="EH188" i="20"/>
  <c r="EH264" i="20"/>
  <c r="EH187" i="20"/>
  <c r="EH265" i="20"/>
  <c r="EH186" i="20"/>
  <c r="EH266" i="20"/>
  <c r="EH267" i="20"/>
  <c r="EH185" i="20"/>
  <c r="EH184" i="20"/>
  <c r="EH268" i="20"/>
  <c r="EH269" i="20"/>
  <c r="EH183" i="20"/>
  <c r="EH182" i="20"/>
  <c r="EH270" i="20"/>
  <c r="EH271" i="20"/>
  <c r="EH181" i="20"/>
  <c r="EH180" i="20"/>
  <c r="EH272" i="20"/>
  <c r="EH273" i="20"/>
  <c r="EH179" i="20"/>
  <c r="EH178" i="20"/>
  <c r="EH274" i="20"/>
  <c r="EH275" i="20"/>
  <c r="EH276" i="20"/>
  <c r="EH277" i="20"/>
  <c r="EH278" i="20"/>
  <c r="EH279" i="20"/>
  <c r="EH280" i="20"/>
  <c r="EH281" i="20"/>
  <c r="EH282" i="20"/>
  <c r="EH283" i="20"/>
  <c r="EH284" i="20"/>
  <c r="EH285" i="20"/>
  <c r="EH286" i="20"/>
  <c r="EH287" i="20"/>
  <c r="EH288" i="20"/>
  <c r="EH289" i="20"/>
  <c r="EH290" i="20"/>
  <c r="EH291" i="20"/>
  <c r="EH292" i="20"/>
  <c r="EH293" i="20"/>
  <c r="EH294" i="20"/>
  <c r="EH295" i="20"/>
  <c r="EH296" i="20"/>
  <c r="EH297" i="20"/>
  <c r="EH298" i="20"/>
  <c r="EH299" i="20"/>
  <c r="EH300" i="20"/>
  <c r="EH301" i="20"/>
  <c r="EH302" i="20"/>
  <c r="EH303" i="20"/>
  <c r="EH304" i="20"/>
  <c r="EH305" i="20"/>
  <c r="EH306" i="20"/>
  <c r="EH307" i="20"/>
  <c r="EH308" i="20"/>
  <c r="EH309" i="20"/>
  <c r="EH310" i="20"/>
  <c r="EH311" i="20"/>
  <c r="EH312" i="20"/>
  <c r="EH313" i="20"/>
  <c r="EH314" i="20"/>
  <c r="EH315" i="20"/>
  <c r="EH316" i="20"/>
  <c r="EH317" i="20"/>
  <c r="EH318" i="20"/>
  <c r="EH319" i="20"/>
  <c r="EH320" i="20"/>
  <c r="EH321" i="20"/>
  <c r="EH322" i="20"/>
  <c r="EH323" i="20"/>
  <c r="EH324" i="20"/>
  <c r="EH325" i="20"/>
  <c r="EH326" i="20"/>
  <c r="EH327" i="20"/>
  <c r="EH328" i="20"/>
  <c r="EH329" i="20"/>
  <c r="EH330" i="20"/>
  <c r="EH331" i="20"/>
  <c r="EH332" i="20"/>
  <c r="EH333" i="20"/>
  <c r="EH334" i="20"/>
  <c r="EH335" i="20"/>
  <c r="EH336" i="20"/>
  <c r="EH337" i="20"/>
  <c r="EH338" i="20"/>
  <c r="EH339" i="20"/>
  <c r="EH340" i="20"/>
  <c r="EH341" i="20"/>
  <c r="EG335" i="20"/>
  <c r="EG327" i="20"/>
  <c r="EG319" i="20"/>
  <c r="EG311" i="20"/>
  <c r="EG303" i="20"/>
  <c r="EG20" i="21" s="1"/>
  <c r="EG295" i="20"/>
  <c r="EG287" i="20"/>
  <c r="EG279" i="20"/>
  <c r="EG18" i="21" s="1"/>
  <c r="EG273" i="20"/>
  <c r="EG17" i="21" s="1"/>
  <c r="EG183" i="20"/>
  <c r="EG187" i="20"/>
  <c r="EG10" i="21" s="1"/>
  <c r="EG261" i="20"/>
  <c r="EG16" i="21" s="1"/>
  <c r="EG195" i="20"/>
  <c r="EG11" i="21" s="1"/>
  <c r="EG199" i="20"/>
  <c r="EG203" i="20"/>
  <c r="EG12" i="21" s="1"/>
  <c r="EG245" i="20"/>
  <c r="EG241" i="20"/>
  <c r="EG15" i="21" s="1"/>
  <c r="EG215" i="20"/>
  <c r="EG233" i="20"/>
  <c r="EG14" i="21" s="1"/>
  <c r="EG23" i="21"/>
  <c r="EG21" i="21"/>
  <c r="EG19" i="21"/>
  <c r="EF19" i="21"/>
  <c r="EG22" i="21"/>
  <c r="EF23" i="21"/>
  <c r="EF21" i="21"/>
  <c r="EH20" i="21" l="1"/>
  <c r="EH17" i="21"/>
  <c r="EH16" i="21"/>
  <c r="EH14" i="21"/>
  <c r="EH10" i="21"/>
  <c r="EH11" i="21"/>
  <c r="EH12" i="21"/>
  <c r="EH15" i="21"/>
  <c r="EI176" i="20"/>
  <c r="EI222" i="20" s="1"/>
  <c r="EI226" i="20"/>
  <c r="EJ175" i="20"/>
  <c r="EI227" i="20"/>
  <c r="EI224" i="20"/>
  <c r="EI228" i="20"/>
  <c r="EI229" i="20"/>
  <c r="EI223" i="20"/>
  <c r="EI230" i="20"/>
  <c r="EI231" i="20"/>
  <c r="EI232" i="20"/>
  <c r="EI220" i="20"/>
  <c r="EI219" i="20"/>
  <c r="EI233" i="20"/>
  <c r="EI234" i="20"/>
  <c r="EI217" i="20"/>
  <c r="EI216" i="20"/>
  <c r="EI236" i="20"/>
  <c r="EI215" i="20"/>
  <c r="EI237" i="20"/>
  <c r="EI238" i="20"/>
  <c r="EI239" i="20"/>
  <c r="EI212" i="20"/>
  <c r="EI240" i="20"/>
  <c r="EI211" i="20"/>
  <c r="EI241" i="20"/>
  <c r="EI242" i="20"/>
  <c r="EI243" i="20"/>
  <c r="EI244" i="20"/>
  <c r="EI208" i="20"/>
  <c r="EI245" i="20"/>
  <c r="EI207" i="20"/>
  <c r="EI246" i="20"/>
  <c r="EI205" i="20"/>
  <c r="EI248" i="20"/>
  <c r="EI204" i="20"/>
  <c r="EI249" i="20"/>
  <c r="EI203" i="20"/>
  <c r="EI202" i="20"/>
  <c r="EI251" i="20"/>
  <c r="EI200" i="20"/>
  <c r="EI252" i="20"/>
  <c r="EI199" i="20"/>
  <c r="EI253" i="20"/>
  <c r="EI254" i="20"/>
  <c r="EI255" i="20"/>
  <c r="EI256" i="20"/>
  <c r="EI196" i="20"/>
  <c r="EI195" i="20"/>
  <c r="EI257" i="20"/>
  <c r="EI194" i="20"/>
  <c r="EI259" i="20"/>
  <c r="EI260" i="20"/>
  <c r="EI192" i="20"/>
  <c r="EI191" i="20"/>
  <c r="EI261" i="20"/>
  <c r="EI190" i="20"/>
  <c r="EI263" i="20"/>
  <c r="EI264" i="20"/>
  <c r="EI188" i="20"/>
  <c r="EI265" i="20"/>
  <c r="EI187" i="20"/>
  <c r="EI186" i="20"/>
  <c r="EI267" i="20"/>
  <c r="EI184" i="20"/>
  <c r="EI268" i="20"/>
  <c r="EI269" i="20"/>
  <c r="EI183" i="20"/>
  <c r="EI182" i="20"/>
  <c r="EI271" i="20"/>
  <c r="EI181" i="20"/>
  <c r="EI180" i="20"/>
  <c r="EI272" i="20"/>
  <c r="EI273" i="20"/>
  <c r="EI179" i="20"/>
  <c r="EI274" i="20"/>
  <c r="EI275" i="20"/>
  <c r="EI276" i="20"/>
  <c r="EI277" i="20"/>
  <c r="EI278" i="20"/>
  <c r="EI279" i="20"/>
  <c r="EI280" i="20"/>
  <c r="EI281" i="20"/>
  <c r="EI283" i="20"/>
  <c r="EI284" i="20"/>
  <c r="EI285" i="20"/>
  <c r="EI286" i="20"/>
  <c r="EI287" i="20"/>
  <c r="EI288" i="20"/>
  <c r="EI289" i="20"/>
  <c r="EI291" i="20"/>
  <c r="EI292" i="20"/>
  <c r="EI293" i="20"/>
  <c r="EI294" i="20"/>
  <c r="EI295" i="20"/>
  <c r="EI296" i="20"/>
  <c r="EI297" i="20"/>
  <c r="EI299" i="20"/>
  <c r="EI300" i="20"/>
  <c r="EI301" i="20"/>
  <c r="EI302" i="20"/>
  <c r="EI303" i="20"/>
  <c r="EI304" i="20"/>
  <c r="EI305" i="20"/>
  <c r="EI306" i="20"/>
  <c r="EI307" i="20"/>
  <c r="EI308" i="20"/>
  <c r="EI309" i="20"/>
  <c r="EI310" i="20"/>
  <c r="EI311" i="20"/>
  <c r="EI312" i="20"/>
  <c r="EI313" i="20"/>
  <c r="EI314" i="20"/>
  <c r="EI315" i="20"/>
  <c r="EI316" i="20"/>
  <c r="EI317" i="20"/>
  <c r="EI318" i="20"/>
  <c r="EI319" i="20"/>
  <c r="EI320" i="20"/>
  <c r="EI321" i="20"/>
  <c r="EI322" i="20"/>
  <c r="EI323" i="20"/>
  <c r="EI324" i="20"/>
  <c r="EI325" i="20"/>
  <c r="EI326" i="20"/>
  <c r="EI327" i="20"/>
  <c r="EI328" i="20"/>
  <c r="EI329" i="20"/>
  <c r="EI330" i="20"/>
  <c r="EI331" i="20"/>
  <c r="EI332" i="20"/>
  <c r="EI333" i="20"/>
  <c r="EI334" i="20"/>
  <c r="EI335" i="20"/>
  <c r="EI336" i="20"/>
  <c r="EI337" i="20"/>
  <c r="EI338" i="20"/>
  <c r="EI339" i="20"/>
  <c r="EI340" i="20"/>
  <c r="EI341" i="20"/>
  <c r="EH22" i="21"/>
  <c r="EH18" i="21"/>
  <c r="EH13" i="21"/>
  <c r="EH23" i="21"/>
  <c r="EH21" i="21"/>
  <c r="EH19" i="21"/>
  <c r="EH8" i="21"/>
  <c r="EI7" i="21"/>
  <c r="EI185" i="20" l="1"/>
  <c r="EI189" i="20"/>
  <c r="EI193" i="20"/>
  <c r="EI197" i="20"/>
  <c r="EI201" i="20"/>
  <c r="EI247" i="20"/>
  <c r="EI209" i="20"/>
  <c r="EI213" i="20"/>
  <c r="EI235" i="20"/>
  <c r="EI221" i="20"/>
  <c r="EI225" i="20"/>
  <c r="EI22" i="21"/>
  <c r="EI298" i="20"/>
  <c r="EI20" i="21" s="1"/>
  <c r="EI290" i="20"/>
  <c r="EI19" i="21" s="1"/>
  <c r="EI282" i="20"/>
  <c r="EI18" i="21" s="1"/>
  <c r="EI178" i="20"/>
  <c r="EI270" i="20"/>
  <c r="EI266" i="20"/>
  <c r="EI262" i="20"/>
  <c r="EI258" i="20"/>
  <c r="EI198" i="20"/>
  <c r="EI250" i="20"/>
  <c r="EI16" i="21" s="1"/>
  <c r="EI206" i="20"/>
  <c r="EI210" i="20"/>
  <c r="EI214" i="20"/>
  <c r="EI218" i="20"/>
  <c r="EJ176" i="20"/>
  <c r="EK175" i="20"/>
  <c r="EJ226" i="20"/>
  <c r="EJ225" i="20"/>
  <c r="EJ227" i="20"/>
  <c r="EJ228" i="20"/>
  <c r="EJ224" i="20"/>
  <c r="EJ223" i="20"/>
  <c r="EJ229" i="20"/>
  <c r="EJ222" i="20"/>
  <c r="EJ230" i="20"/>
  <c r="EJ231" i="20"/>
  <c r="EJ221" i="20"/>
  <c r="EJ232" i="20"/>
  <c r="EJ220" i="20"/>
  <c r="EJ219" i="20"/>
  <c r="EJ233" i="20"/>
  <c r="EJ218" i="20"/>
  <c r="EJ234" i="20"/>
  <c r="EJ235" i="20"/>
  <c r="EJ217" i="20"/>
  <c r="EJ216" i="20"/>
  <c r="EJ236" i="20"/>
  <c r="EJ215" i="20"/>
  <c r="EJ237" i="20"/>
  <c r="EJ238" i="20"/>
  <c r="EJ214" i="20"/>
  <c r="EJ239" i="20"/>
  <c r="EJ213" i="20"/>
  <c r="EJ212" i="20"/>
  <c r="EJ240" i="20"/>
  <c r="EJ211" i="20"/>
  <c r="EJ241" i="20"/>
  <c r="EJ210" i="20"/>
  <c r="EJ242" i="20"/>
  <c r="EJ209" i="20"/>
  <c r="EJ243" i="20"/>
  <c r="EJ208" i="20"/>
  <c r="EJ244" i="20"/>
  <c r="EJ207" i="20"/>
  <c r="EJ245" i="20"/>
  <c r="EJ206" i="20"/>
  <c r="EJ246" i="20"/>
  <c r="EJ205" i="20"/>
  <c r="EJ247" i="20"/>
  <c r="EJ204" i="20"/>
  <c r="EJ248" i="20"/>
  <c r="EJ249" i="20"/>
  <c r="EJ203" i="20"/>
  <c r="EJ250" i="20"/>
  <c r="EJ202" i="20"/>
  <c r="EJ201" i="20"/>
  <c r="EJ251" i="20"/>
  <c r="EJ252" i="20"/>
  <c r="EJ200" i="20"/>
  <c r="EJ253" i="20"/>
  <c r="EJ199" i="20"/>
  <c r="EJ254" i="20"/>
  <c r="EJ198" i="20"/>
  <c r="EJ197" i="20"/>
  <c r="EJ255" i="20"/>
  <c r="EJ196" i="20"/>
  <c r="EJ256" i="20"/>
  <c r="EJ195" i="20"/>
  <c r="EJ257" i="20"/>
  <c r="EJ194" i="20"/>
  <c r="EJ258" i="20"/>
  <c r="EJ259" i="20"/>
  <c r="EJ193" i="20"/>
  <c r="EJ192" i="20"/>
  <c r="EJ260" i="20"/>
  <c r="EJ191" i="20"/>
  <c r="EJ261" i="20"/>
  <c r="EJ262" i="20"/>
  <c r="EJ190" i="20"/>
  <c r="EJ263" i="20"/>
  <c r="EJ189" i="20"/>
  <c r="EJ188" i="20"/>
  <c r="EJ264" i="20"/>
  <c r="EJ265" i="20"/>
  <c r="EJ187" i="20"/>
  <c r="EJ266" i="20"/>
  <c r="EJ186" i="20"/>
  <c r="EJ185" i="20"/>
  <c r="EJ267" i="20"/>
  <c r="EJ268" i="20"/>
  <c r="EJ184" i="20"/>
  <c r="EJ269" i="20"/>
  <c r="EJ183" i="20"/>
  <c r="EJ182" i="20"/>
  <c r="EJ270" i="20"/>
  <c r="EJ181" i="20"/>
  <c r="EJ271" i="20"/>
  <c r="EJ272" i="20"/>
  <c r="EJ180" i="20"/>
  <c r="EJ179" i="20"/>
  <c r="EJ273" i="20"/>
  <c r="EJ274" i="20"/>
  <c r="EJ178" i="20"/>
  <c r="EJ275" i="20"/>
  <c r="EJ276" i="20"/>
  <c r="EJ277" i="20"/>
  <c r="EJ278" i="20"/>
  <c r="EJ279" i="20"/>
  <c r="EJ280" i="20"/>
  <c r="EJ281" i="20"/>
  <c r="EJ282" i="20"/>
  <c r="EJ283" i="20"/>
  <c r="EJ284" i="20"/>
  <c r="EJ285" i="20"/>
  <c r="EJ286" i="20"/>
  <c r="EJ287" i="20"/>
  <c r="EJ288" i="20"/>
  <c r="EJ289" i="20"/>
  <c r="EJ290" i="20"/>
  <c r="EJ291" i="20"/>
  <c r="EJ292" i="20"/>
  <c r="EJ293" i="20"/>
  <c r="EJ294" i="20"/>
  <c r="EJ295" i="20"/>
  <c r="EJ296" i="20"/>
  <c r="EJ297" i="20"/>
  <c r="EJ298" i="20"/>
  <c r="EJ20" i="21" s="1"/>
  <c r="EJ299" i="20"/>
  <c r="EJ300" i="20"/>
  <c r="EJ301" i="20"/>
  <c r="EJ302" i="20"/>
  <c r="EJ303" i="20"/>
  <c r="EJ304" i="20"/>
  <c r="EJ305" i="20"/>
  <c r="EJ306" i="20"/>
  <c r="EJ307" i="20"/>
  <c r="EJ308" i="20"/>
  <c r="EJ309" i="20"/>
  <c r="EJ310" i="20"/>
  <c r="EJ311" i="20"/>
  <c r="EJ312" i="20"/>
  <c r="EJ313" i="20"/>
  <c r="EJ314" i="20"/>
  <c r="EJ315" i="20"/>
  <c r="EJ316" i="20"/>
  <c r="EJ317" i="20"/>
  <c r="EJ318" i="20"/>
  <c r="EJ319" i="20"/>
  <c r="EJ320" i="20"/>
  <c r="EJ321" i="20"/>
  <c r="EJ322" i="20"/>
  <c r="EJ323" i="20"/>
  <c r="EJ324" i="20"/>
  <c r="EJ325" i="20"/>
  <c r="EJ326" i="20"/>
  <c r="EJ327" i="20"/>
  <c r="EJ328" i="20"/>
  <c r="EJ329" i="20"/>
  <c r="EJ330" i="20"/>
  <c r="EJ331" i="20"/>
  <c r="EJ332" i="20"/>
  <c r="EJ333" i="20"/>
  <c r="EJ334" i="20"/>
  <c r="EJ335" i="20"/>
  <c r="EJ336" i="20"/>
  <c r="EJ337" i="20"/>
  <c r="EJ338" i="20"/>
  <c r="EJ339" i="20"/>
  <c r="EJ340" i="20"/>
  <c r="EJ341" i="20"/>
  <c r="EI21" i="21"/>
  <c r="EI8" i="21"/>
  <c r="EJ7" i="21"/>
  <c r="EI11" i="21"/>
  <c r="EI12" i="21"/>
  <c r="EI15" i="21"/>
  <c r="EI14" i="21"/>
  <c r="EI23" i="21"/>
  <c r="EJ22" i="21" l="1"/>
  <c r="EJ11" i="21"/>
  <c r="EJ13" i="21"/>
  <c r="EJ14" i="21"/>
  <c r="EJ18" i="21"/>
  <c r="EJ17" i="21"/>
  <c r="EJ16" i="21"/>
  <c r="EJ15" i="21"/>
  <c r="EL175" i="20"/>
  <c r="EK176" i="20"/>
  <c r="EK223" i="20" s="1"/>
  <c r="EK225" i="20"/>
  <c r="EK224" i="20"/>
  <c r="EK228" i="20"/>
  <c r="EK229" i="20"/>
  <c r="EK222" i="20"/>
  <c r="EK221" i="20"/>
  <c r="EK220" i="20"/>
  <c r="EK232" i="20"/>
  <c r="EK219" i="20"/>
  <c r="EK234" i="20"/>
  <c r="EK235" i="20"/>
  <c r="EK236" i="20"/>
  <c r="EK216" i="20"/>
  <c r="EK215" i="20"/>
  <c r="EK214" i="20"/>
  <c r="EK213" i="20"/>
  <c r="EK240" i="20"/>
  <c r="EK212" i="20"/>
  <c r="EK241" i="20"/>
  <c r="EK242" i="20"/>
  <c r="EK209" i="20"/>
  <c r="EK208" i="20"/>
  <c r="EK244" i="20"/>
  <c r="EK245" i="20"/>
  <c r="EK206" i="20"/>
  <c r="EK205" i="20"/>
  <c r="EK248" i="20"/>
  <c r="EK204" i="20"/>
  <c r="EK249" i="20"/>
  <c r="EK202" i="20"/>
  <c r="EK201" i="20"/>
  <c r="EK252" i="20"/>
  <c r="EK200" i="20"/>
  <c r="EK253" i="20"/>
  <c r="EK254" i="20"/>
  <c r="EK197" i="20"/>
  <c r="EK196" i="20"/>
  <c r="EK256" i="20"/>
  <c r="EK257" i="20"/>
  <c r="EK194" i="20"/>
  <c r="EK193" i="20"/>
  <c r="EK259" i="20"/>
  <c r="EK260" i="20"/>
  <c r="EK192" i="20"/>
  <c r="EK261" i="20"/>
  <c r="EK190" i="20"/>
  <c r="EK189" i="20"/>
  <c r="EK263" i="20"/>
  <c r="EK264" i="20"/>
  <c r="EK188" i="20"/>
  <c r="EK187" i="20"/>
  <c r="EK266" i="20"/>
  <c r="EK185" i="20"/>
  <c r="EK267" i="20"/>
  <c r="EK268" i="20"/>
  <c r="EK184" i="20"/>
  <c r="EK269" i="20"/>
  <c r="EK270" i="20"/>
  <c r="EK271" i="20"/>
  <c r="EK181" i="20"/>
  <c r="EK180" i="20"/>
  <c r="EK272" i="20"/>
  <c r="EK273" i="20"/>
  <c r="EK179" i="20"/>
  <c r="EK274" i="20"/>
  <c r="EK178" i="20"/>
  <c r="EK275" i="20"/>
  <c r="EK276" i="20"/>
  <c r="EK277" i="20"/>
  <c r="EK278" i="20"/>
  <c r="EK279" i="20"/>
  <c r="EK280" i="20"/>
  <c r="EK281" i="20"/>
  <c r="EK282" i="20"/>
  <c r="EK283" i="20"/>
  <c r="EK284" i="20"/>
  <c r="EK285" i="20"/>
  <c r="EK286" i="20"/>
  <c r="EK287" i="20"/>
  <c r="EK288" i="20"/>
  <c r="EK289" i="20"/>
  <c r="EK290" i="20"/>
  <c r="EK291" i="20"/>
  <c r="EK292" i="20"/>
  <c r="EK293" i="20"/>
  <c r="EK294" i="20"/>
  <c r="EK295" i="20"/>
  <c r="EK296" i="20"/>
  <c r="EK297" i="20"/>
  <c r="EK298" i="20"/>
  <c r="EK299" i="20"/>
  <c r="EK300" i="20"/>
  <c r="EK301" i="20"/>
  <c r="EK302" i="20"/>
  <c r="EK303" i="20"/>
  <c r="EK304" i="20"/>
  <c r="EK305" i="20"/>
  <c r="EK306" i="20"/>
  <c r="EK307" i="20"/>
  <c r="EK308" i="20"/>
  <c r="EK309" i="20"/>
  <c r="EK310" i="20"/>
  <c r="EK311" i="20"/>
  <c r="EK312" i="20"/>
  <c r="EK313" i="20"/>
  <c r="EK314" i="20"/>
  <c r="EK315" i="20"/>
  <c r="EK316" i="20"/>
  <c r="EK317" i="20"/>
  <c r="EK318" i="20"/>
  <c r="EK319" i="20"/>
  <c r="EK320" i="20"/>
  <c r="EK321" i="20"/>
  <c r="EK322" i="20"/>
  <c r="EK323" i="20"/>
  <c r="EK324" i="20"/>
  <c r="EK325" i="20"/>
  <c r="EK326" i="20"/>
  <c r="EK327" i="20"/>
  <c r="EK328" i="20"/>
  <c r="EK329" i="20"/>
  <c r="EK330" i="20"/>
  <c r="EK331" i="20"/>
  <c r="EK332" i="20"/>
  <c r="EK333" i="20"/>
  <c r="EK334" i="20"/>
  <c r="EK335" i="20"/>
  <c r="EK336" i="20"/>
  <c r="EK337" i="20"/>
  <c r="EK338" i="20"/>
  <c r="EK339" i="20"/>
  <c r="EK340" i="20"/>
  <c r="EK341" i="20"/>
  <c r="EK7" i="21"/>
  <c r="EJ8" i="21"/>
  <c r="EI17" i="21"/>
  <c r="EJ10" i="21"/>
  <c r="EJ12" i="21"/>
  <c r="EJ23" i="21"/>
  <c r="EJ21" i="21"/>
  <c r="EJ19" i="21"/>
  <c r="EI13" i="21"/>
  <c r="EI10" i="21"/>
  <c r="EK21" i="21" l="1"/>
  <c r="EK255" i="20"/>
  <c r="EK251" i="20"/>
  <c r="EK247" i="20"/>
  <c r="EK243" i="20"/>
  <c r="EK239" i="20"/>
  <c r="EK217" i="20"/>
  <c r="EK13" i="21" s="1"/>
  <c r="EK231" i="20"/>
  <c r="EK227" i="20"/>
  <c r="EK19" i="21"/>
  <c r="EK20" i="21"/>
  <c r="EL7" i="21"/>
  <c r="EK8" i="21"/>
  <c r="EK22" i="21"/>
  <c r="EK18" i="21"/>
  <c r="EK182" i="20"/>
  <c r="EK186" i="20"/>
  <c r="EK262" i="20"/>
  <c r="EK258" i="20"/>
  <c r="EK198" i="20"/>
  <c r="EK250" i="20"/>
  <c r="EK16" i="21" s="1"/>
  <c r="EK246" i="20"/>
  <c r="EK210" i="20"/>
  <c r="EK238" i="20"/>
  <c r="EK15" i="21" s="1"/>
  <c r="EK218" i="20"/>
  <c r="EK230" i="20"/>
  <c r="EK226" i="20"/>
  <c r="EK23" i="21"/>
  <c r="EK10" i="21"/>
  <c r="EK183" i="20"/>
  <c r="EK265" i="20"/>
  <c r="EK191" i="20"/>
  <c r="EK11" i="21" s="1"/>
  <c r="EK195" i="20"/>
  <c r="EK199" i="20"/>
  <c r="EK203" i="20"/>
  <c r="EK12" i="21" s="1"/>
  <c r="EK207" i="20"/>
  <c r="EK211" i="20"/>
  <c r="EK237" i="20"/>
  <c r="EK233" i="20"/>
  <c r="EM175" i="20"/>
  <c r="EL176" i="20"/>
  <c r="EL225" i="20"/>
  <c r="EL226" i="20"/>
  <c r="EL227" i="20"/>
  <c r="EL224" i="20"/>
  <c r="EL228" i="20"/>
  <c r="EL223" i="20"/>
  <c r="EL229" i="20"/>
  <c r="EL230" i="20"/>
  <c r="EL222" i="20"/>
  <c r="EL221" i="20"/>
  <c r="EL231" i="20"/>
  <c r="EL232" i="20"/>
  <c r="EL220" i="20"/>
  <c r="EL233" i="20"/>
  <c r="EL219" i="20"/>
  <c r="EL218" i="20"/>
  <c r="EL234" i="20"/>
  <c r="EL235" i="20"/>
  <c r="EL217" i="20"/>
  <c r="EL216" i="20"/>
  <c r="EL236" i="20"/>
  <c r="EL237" i="20"/>
  <c r="EL215" i="20"/>
  <c r="EL238" i="20"/>
  <c r="EL214" i="20"/>
  <c r="EL239" i="20"/>
  <c r="EL213" i="20"/>
  <c r="EL240" i="20"/>
  <c r="EL212" i="20"/>
  <c r="EL211" i="20"/>
  <c r="EL241" i="20"/>
  <c r="EL210" i="20"/>
  <c r="EL242" i="20"/>
  <c r="EL243" i="20"/>
  <c r="EL209" i="20"/>
  <c r="EL208" i="20"/>
  <c r="EL244" i="20"/>
  <c r="EL207" i="20"/>
  <c r="EL245" i="20"/>
  <c r="EL246" i="20"/>
  <c r="EL206" i="20"/>
  <c r="EL205" i="20"/>
  <c r="EL247" i="20"/>
  <c r="EL204" i="20"/>
  <c r="EL248" i="20"/>
  <c r="EL249" i="20"/>
  <c r="EL203" i="20"/>
  <c r="EL202" i="20"/>
  <c r="EL250" i="20"/>
  <c r="EL201" i="20"/>
  <c r="EL251" i="20"/>
  <c r="EL200" i="20"/>
  <c r="EL252" i="20"/>
  <c r="EL199" i="20"/>
  <c r="EL253" i="20"/>
  <c r="EL254" i="20"/>
  <c r="EL198" i="20"/>
  <c r="EL255" i="20"/>
  <c r="EL197" i="20"/>
  <c r="EL196" i="20"/>
  <c r="EL256" i="20"/>
  <c r="EL195" i="20"/>
  <c r="EL257" i="20"/>
  <c r="EL258" i="20"/>
  <c r="EL194" i="20"/>
  <c r="EL193" i="20"/>
  <c r="EL259" i="20"/>
  <c r="EL192" i="20"/>
  <c r="EL260" i="20"/>
  <c r="EL261" i="20"/>
  <c r="EL191" i="20"/>
  <c r="EL262" i="20"/>
  <c r="EL190" i="20"/>
  <c r="EL189" i="20"/>
  <c r="EL263" i="20"/>
  <c r="EL264" i="20"/>
  <c r="EL188" i="20"/>
  <c r="EL187" i="20"/>
  <c r="EL265" i="20"/>
  <c r="EL266" i="20"/>
  <c r="EL186" i="20"/>
  <c r="EL185" i="20"/>
  <c r="EL267" i="20"/>
  <c r="EL268" i="20"/>
  <c r="EL184" i="20"/>
  <c r="EL183" i="20"/>
  <c r="EL269" i="20"/>
  <c r="EL182" i="20"/>
  <c r="EL270" i="20"/>
  <c r="EL181" i="20"/>
  <c r="EL271" i="20"/>
  <c r="EL272" i="20"/>
  <c r="EL180" i="20"/>
  <c r="EL273" i="20"/>
  <c r="EL179" i="20"/>
  <c r="EL274" i="20"/>
  <c r="EL178" i="20"/>
  <c r="EL275" i="20"/>
  <c r="EL276" i="20"/>
  <c r="EL277" i="20"/>
  <c r="EL278" i="20"/>
  <c r="EL279" i="20"/>
  <c r="EL280" i="20"/>
  <c r="EL281" i="20"/>
  <c r="EL282" i="20"/>
  <c r="EL283" i="20"/>
  <c r="EL284" i="20"/>
  <c r="EL285" i="20"/>
  <c r="EL286" i="20"/>
  <c r="EL287" i="20"/>
  <c r="EL288" i="20"/>
  <c r="EL289" i="20"/>
  <c r="EL290" i="20"/>
  <c r="EL291" i="20"/>
  <c r="EL292" i="20"/>
  <c r="EL293" i="20"/>
  <c r="EL294" i="20"/>
  <c r="EL295" i="20"/>
  <c r="EL296" i="20"/>
  <c r="EL297" i="20"/>
  <c r="EL298" i="20"/>
  <c r="EL299" i="20"/>
  <c r="EL300" i="20"/>
  <c r="EL301" i="20"/>
  <c r="EL302" i="20"/>
  <c r="EL303" i="20"/>
  <c r="EL304" i="20"/>
  <c r="EL305" i="20"/>
  <c r="EL306" i="20"/>
  <c r="EL307" i="20"/>
  <c r="EL308" i="20"/>
  <c r="EL309" i="20"/>
  <c r="EL310" i="20"/>
  <c r="EL311" i="20"/>
  <c r="EL312" i="20"/>
  <c r="EL313" i="20"/>
  <c r="EL314" i="20"/>
  <c r="EL315" i="20"/>
  <c r="EL316" i="20"/>
  <c r="EL317" i="20"/>
  <c r="EL318" i="20"/>
  <c r="EL319" i="20"/>
  <c r="EL320" i="20"/>
  <c r="EL321" i="20"/>
  <c r="EL322" i="20"/>
  <c r="EL323" i="20"/>
  <c r="EL324" i="20"/>
  <c r="EL325" i="20"/>
  <c r="EL326" i="20"/>
  <c r="EL327" i="20"/>
  <c r="EL328" i="20"/>
  <c r="EL329" i="20"/>
  <c r="EL330" i="20"/>
  <c r="EL331" i="20"/>
  <c r="EL332" i="20"/>
  <c r="EL333" i="20"/>
  <c r="EL334" i="20"/>
  <c r="EL335" i="20"/>
  <c r="EL336" i="20"/>
  <c r="EL337" i="20"/>
  <c r="EL338" i="20"/>
  <c r="EL339" i="20"/>
  <c r="EL340" i="20"/>
  <c r="EL341" i="20"/>
  <c r="EL14" i="21" l="1"/>
  <c r="EL20" i="21"/>
  <c r="EL10" i="21"/>
  <c r="EL11" i="21"/>
  <c r="EL16" i="21"/>
  <c r="EL13" i="21"/>
  <c r="EK17" i="21"/>
  <c r="EM7" i="21"/>
  <c r="EL8" i="21"/>
  <c r="EK14" i="21"/>
  <c r="EL22" i="21"/>
  <c r="EL18" i="21"/>
  <c r="EL17" i="21"/>
  <c r="EL12" i="21"/>
  <c r="EL15" i="21"/>
  <c r="EN175" i="20"/>
  <c r="EM176" i="20"/>
  <c r="EM225" i="20" s="1"/>
  <c r="EM227" i="20"/>
  <c r="EM224" i="20"/>
  <c r="EM228" i="20"/>
  <c r="EM229" i="20"/>
  <c r="EM223" i="20"/>
  <c r="EM230" i="20"/>
  <c r="EM221" i="20"/>
  <c r="EM220" i="20"/>
  <c r="EM232" i="20"/>
  <c r="EM233" i="20"/>
  <c r="EM219" i="20"/>
  <c r="EM218" i="20"/>
  <c r="EM235" i="20"/>
  <c r="EM236" i="20"/>
  <c r="EM216" i="20"/>
  <c r="EM237" i="20"/>
  <c r="EM215" i="20"/>
  <c r="EM214" i="20"/>
  <c r="EM213" i="20"/>
  <c r="EM212" i="20"/>
  <c r="EM240" i="20"/>
  <c r="EM241" i="20"/>
  <c r="EM211" i="20"/>
  <c r="EM210" i="20"/>
  <c r="EM209" i="20"/>
  <c r="EM244" i="20"/>
  <c r="EM208" i="20"/>
  <c r="EM245" i="20"/>
  <c r="EM207" i="20"/>
  <c r="EM246" i="20"/>
  <c r="EM247" i="20"/>
  <c r="EM248" i="20"/>
  <c r="EM204" i="20"/>
  <c r="EM203" i="20"/>
  <c r="EM249" i="20"/>
  <c r="EM250" i="20"/>
  <c r="EM201" i="20"/>
  <c r="EM252" i="20"/>
  <c r="EM200" i="20"/>
  <c r="EM253" i="20"/>
  <c r="EM199" i="20"/>
  <c r="EM254" i="20"/>
  <c r="EM197" i="20"/>
  <c r="EM256" i="20"/>
  <c r="EM196" i="20"/>
  <c r="EM257" i="20"/>
  <c r="EM195" i="20"/>
  <c r="EM258" i="20"/>
  <c r="EM193" i="20"/>
  <c r="EM192" i="20"/>
  <c r="EM260" i="20"/>
  <c r="EM191" i="20"/>
  <c r="EM261" i="20"/>
  <c r="EM190" i="20"/>
  <c r="EM189" i="20"/>
  <c r="EM263" i="20"/>
  <c r="EM264" i="20"/>
  <c r="EM188" i="20"/>
  <c r="EM187" i="20"/>
  <c r="EM265" i="20"/>
  <c r="EM186" i="20"/>
  <c r="EM266" i="20"/>
  <c r="EM267" i="20"/>
  <c r="EM185" i="20"/>
  <c r="EM184" i="20"/>
  <c r="EM268" i="20"/>
  <c r="EM183" i="20"/>
  <c r="EM269" i="20"/>
  <c r="EM270" i="20"/>
  <c r="EM182" i="20"/>
  <c r="EM271" i="20"/>
  <c r="EM181" i="20"/>
  <c r="EM180" i="20"/>
  <c r="EM272" i="20"/>
  <c r="EM179" i="20"/>
  <c r="EM273" i="20"/>
  <c r="EM178" i="20"/>
  <c r="EM274" i="20"/>
  <c r="EM275" i="20"/>
  <c r="EM276" i="20"/>
  <c r="EM277" i="20"/>
  <c r="EM278" i="20"/>
  <c r="EM279" i="20"/>
  <c r="EM280" i="20"/>
  <c r="EM281" i="20"/>
  <c r="EM282" i="20"/>
  <c r="EM283" i="20"/>
  <c r="EM284" i="20"/>
  <c r="EM285" i="20"/>
  <c r="EM286" i="20"/>
  <c r="EM287" i="20"/>
  <c r="EM288" i="20"/>
  <c r="EM289" i="20"/>
  <c r="EM290" i="20"/>
  <c r="EM291" i="20"/>
  <c r="EM292" i="20"/>
  <c r="EM293" i="20"/>
  <c r="EM294" i="20"/>
  <c r="EM295" i="20"/>
  <c r="EM296" i="20"/>
  <c r="EM297" i="20"/>
  <c r="EM298" i="20"/>
  <c r="EM299" i="20"/>
  <c r="EM300" i="20"/>
  <c r="EM301" i="20"/>
  <c r="EM302" i="20"/>
  <c r="EM303" i="20"/>
  <c r="EM304" i="20"/>
  <c r="EM305" i="20"/>
  <c r="EM306" i="20"/>
  <c r="EM307" i="20"/>
  <c r="EM308" i="20"/>
  <c r="EM309" i="20"/>
  <c r="EM310" i="20"/>
  <c r="EM311" i="20"/>
  <c r="EM312" i="20"/>
  <c r="EM313" i="20"/>
  <c r="EM314" i="20"/>
  <c r="EM315" i="20"/>
  <c r="EM316" i="20"/>
  <c r="EM317" i="20"/>
  <c r="EM318" i="20"/>
  <c r="EM319" i="20"/>
  <c r="EM320" i="20"/>
  <c r="EM321" i="20"/>
  <c r="EM322" i="20"/>
  <c r="EM323" i="20"/>
  <c r="EM324" i="20"/>
  <c r="EM325" i="20"/>
  <c r="EM326" i="20"/>
  <c r="EM327" i="20"/>
  <c r="EM328" i="20"/>
  <c r="EM329" i="20"/>
  <c r="EM330" i="20"/>
  <c r="EM331" i="20"/>
  <c r="EM332" i="20"/>
  <c r="EM333" i="20"/>
  <c r="EM334" i="20"/>
  <c r="EM335" i="20"/>
  <c r="EM336" i="20"/>
  <c r="EM337" i="20"/>
  <c r="EM338" i="20"/>
  <c r="EM339" i="20"/>
  <c r="EM340" i="20"/>
  <c r="EM341" i="20"/>
  <c r="EL23" i="21"/>
  <c r="EL21" i="21"/>
  <c r="EL19" i="21"/>
  <c r="EM21" i="21" l="1"/>
  <c r="EM259" i="20"/>
  <c r="EM255" i="20"/>
  <c r="EM251" i="20"/>
  <c r="EM205" i="20"/>
  <c r="EM243" i="20"/>
  <c r="EM239" i="20"/>
  <c r="EM217" i="20"/>
  <c r="EM13" i="21" s="1"/>
  <c r="EM231" i="20"/>
  <c r="EM226" i="20"/>
  <c r="EO175" i="20"/>
  <c r="EN176" i="20"/>
  <c r="EN225" i="20"/>
  <c r="EN226" i="20"/>
  <c r="EN227" i="20"/>
  <c r="EN228" i="20"/>
  <c r="EN224" i="20"/>
  <c r="EN229" i="20"/>
  <c r="EN223" i="20"/>
  <c r="EN222" i="20"/>
  <c r="EN230" i="20"/>
  <c r="EN221" i="20"/>
  <c r="EN231" i="20"/>
  <c r="EN220" i="20"/>
  <c r="EN232" i="20"/>
  <c r="EN219" i="20"/>
  <c r="EN233" i="20"/>
  <c r="EN234" i="20"/>
  <c r="EN218" i="20"/>
  <c r="EN217" i="20"/>
  <c r="EN235" i="20"/>
  <c r="EN236" i="20"/>
  <c r="EN216" i="20"/>
  <c r="EN215" i="20"/>
  <c r="EN237" i="20"/>
  <c r="EN214" i="20"/>
  <c r="EN238" i="20"/>
  <c r="EN239" i="20"/>
  <c r="EN213" i="20"/>
  <c r="EN212" i="20"/>
  <c r="EN240" i="20"/>
  <c r="EN211" i="20"/>
  <c r="EN241" i="20"/>
  <c r="EN242" i="20"/>
  <c r="EN210" i="20"/>
  <c r="EN209" i="20"/>
  <c r="EN243" i="20"/>
  <c r="EN244" i="20"/>
  <c r="EN208" i="20"/>
  <c r="EN207" i="20"/>
  <c r="EN245" i="20"/>
  <c r="EN246" i="20"/>
  <c r="EN206" i="20"/>
  <c r="EN205" i="20"/>
  <c r="EN247" i="20"/>
  <c r="EN248" i="20"/>
  <c r="EN204" i="20"/>
  <c r="EN249" i="20"/>
  <c r="EN203" i="20"/>
  <c r="EN250" i="20"/>
  <c r="EN202" i="20"/>
  <c r="EN251" i="20"/>
  <c r="EN201" i="20"/>
  <c r="EN252" i="20"/>
  <c r="EN200" i="20"/>
  <c r="EN199" i="20"/>
  <c r="EN253" i="20"/>
  <c r="EN254" i="20"/>
  <c r="EN198" i="20"/>
  <c r="EN197" i="20"/>
  <c r="EN255" i="20"/>
  <c r="EN196" i="20"/>
  <c r="EN256" i="20"/>
  <c r="EN257" i="20"/>
  <c r="EN195" i="20"/>
  <c r="EN194" i="20"/>
  <c r="EN258" i="20"/>
  <c r="EN193" i="20"/>
  <c r="EN259" i="20"/>
  <c r="EN192" i="20"/>
  <c r="EN260" i="20"/>
  <c r="EN191" i="20"/>
  <c r="EN261" i="20"/>
  <c r="EN262" i="20"/>
  <c r="EN190" i="20"/>
  <c r="EN263" i="20"/>
  <c r="EN189" i="20"/>
  <c r="EN188" i="20"/>
  <c r="EN264" i="20"/>
  <c r="EN187" i="20"/>
  <c r="EN265" i="20"/>
  <c r="EN266" i="20"/>
  <c r="EN186" i="20"/>
  <c r="EN267" i="20"/>
  <c r="EN185" i="20"/>
  <c r="EN268" i="20"/>
  <c r="EN184" i="20"/>
  <c r="EN269" i="20"/>
  <c r="EN183" i="20"/>
  <c r="EN270" i="20"/>
  <c r="EN182" i="20"/>
  <c r="EN181" i="20"/>
  <c r="EN271" i="20"/>
  <c r="EN272" i="20"/>
  <c r="EN180" i="20"/>
  <c r="EN179" i="20"/>
  <c r="EN273" i="20"/>
  <c r="EN178" i="20"/>
  <c r="EN274" i="20"/>
  <c r="EN275" i="20"/>
  <c r="EN276" i="20"/>
  <c r="EN277" i="20"/>
  <c r="EN278" i="20"/>
  <c r="EN279" i="20"/>
  <c r="EN280" i="20"/>
  <c r="EN281" i="20"/>
  <c r="EN282" i="20"/>
  <c r="EN283" i="20"/>
  <c r="EN284" i="20"/>
  <c r="EN285" i="20"/>
  <c r="EN286" i="20"/>
  <c r="EN287" i="20"/>
  <c r="EN288" i="20"/>
  <c r="EN289" i="20"/>
  <c r="EN290" i="20"/>
  <c r="EN291" i="20"/>
  <c r="EN292" i="20"/>
  <c r="EN293" i="20"/>
  <c r="EN294" i="20"/>
  <c r="EN295" i="20"/>
  <c r="EN296" i="20"/>
  <c r="EN297" i="20"/>
  <c r="EN298" i="20"/>
  <c r="EN299" i="20"/>
  <c r="EN300" i="20"/>
  <c r="EN301" i="20"/>
  <c r="EN302" i="20"/>
  <c r="EN303" i="20"/>
  <c r="EN304" i="20"/>
  <c r="EN305" i="20"/>
  <c r="EN306" i="20"/>
  <c r="EN307" i="20"/>
  <c r="EN308" i="20"/>
  <c r="EN309" i="20"/>
  <c r="EN310" i="20"/>
  <c r="EN311" i="20"/>
  <c r="EN312" i="20"/>
  <c r="EN313" i="20"/>
  <c r="EN314" i="20"/>
  <c r="EN315" i="20"/>
  <c r="EN316" i="20"/>
  <c r="EN317" i="20"/>
  <c r="EN318" i="20"/>
  <c r="EN319" i="20"/>
  <c r="EN320" i="20"/>
  <c r="EN321" i="20"/>
  <c r="EN322" i="20"/>
  <c r="EN323" i="20"/>
  <c r="EN324" i="20"/>
  <c r="EN325" i="20"/>
  <c r="EN326" i="20"/>
  <c r="EN327" i="20"/>
  <c r="EN328" i="20"/>
  <c r="EN329" i="20"/>
  <c r="EN330" i="20"/>
  <c r="EN331" i="20"/>
  <c r="EN332" i="20"/>
  <c r="EN333" i="20"/>
  <c r="EN334" i="20"/>
  <c r="EN335" i="20"/>
  <c r="EN336" i="20"/>
  <c r="EN337" i="20"/>
  <c r="EN338" i="20"/>
  <c r="EN339" i="20"/>
  <c r="EN340" i="20"/>
  <c r="EN341" i="20"/>
  <c r="EM23" i="21"/>
  <c r="EM22" i="21"/>
  <c r="EM20" i="21"/>
  <c r="EM18" i="21"/>
  <c r="EM262" i="20"/>
  <c r="EM17" i="21" s="1"/>
  <c r="EM194" i="20"/>
  <c r="EM11" i="21" s="1"/>
  <c r="EM198" i="20"/>
  <c r="EM202" i="20"/>
  <c r="EM12" i="21" s="1"/>
  <c r="EM206" i="20"/>
  <c r="EM242" i="20"/>
  <c r="EM238" i="20"/>
  <c r="EM234" i="20"/>
  <c r="EM222" i="20"/>
  <c r="EN7" i="21"/>
  <c r="EM8" i="21"/>
  <c r="EM19" i="21"/>
  <c r="EM10" i="21"/>
  <c r="EM16" i="21"/>
  <c r="EN14" i="21" l="1"/>
  <c r="EN20" i="21"/>
  <c r="EN15" i="21"/>
  <c r="EN10" i="21"/>
  <c r="EN17" i="21"/>
  <c r="EN16" i="21"/>
  <c r="EN13" i="21"/>
  <c r="EN8" i="21"/>
  <c r="EO7" i="21"/>
  <c r="EN18" i="21"/>
  <c r="EM15" i="21"/>
  <c r="EO176" i="20"/>
  <c r="EP175" i="20"/>
  <c r="EO226" i="20"/>
  <c r="EO227" i="20"/>
  <c r="EO225" i="20"/>
  <c r="EO224" i="20"/>
  <c r="EO228" i="20"/>
  <c r="EO223" i="20"/>
  <c r="EO229" i="20"/>
  <c r="EO222" i="20"/>
  <c r="EO230" i="20"/>
  <c r="EO221" i="20"/>
  <c r="EO231" i="20"/>
  <c r="EO232" i="20"/>
  <c r="EO220" i="20"/>
  <c r="EO233" i="20"/>
  <c r="EO219" i="20"/>
  <c r="EO234" i="20"/>
  <c r="EO218" i="20"/>
  <c r="EO217" i="20"/>
  <c r="EO235" i="20"/>
  <c r="EO216" i="20"/>
  <c r="EO236" i="20"/>
  <c r="EO237" i="20"/>
  <c r="EO215" i="20"/>
  <c r="EO238" i="20"/>
  <c r="EO214" i="20"/>
  <c r="EO213" i="20"/>
  <c r="EO239" i="20"/>
  <c r="EO212" i="20"/>
  <c r="EO240" i="20"/>
  <c r="EO241" i="20"/>
  <c r="EO211" i="20"/>
  <c r="EO242" i="20"/>
  <c r="EO210" i="20"/>
  <c r="EO243" i="20"/>
  <c r="EO209" i="20"/>
  <c r="EO208" i="20"/>
  <c r="EO244" i="20"/>
  <c r="EO245" i="20"/>
  <c r="EO207" i="20"/>
  <c r="EO206" i="20"/>
  <c r="EO246" i="20"/>
  <c r="EO205" i="20"/>
  <c r="EO247" i="20"/>
  <c r="EO248" i="20"/>
  <c r="EO204" i="20"/>
  <c r="EO249" i="20"/>
  <c r="EO203" i="20"/>
  <c r="EO250" i="20"/>
  <c r="EO202" i="20"/>
  <c r="EO201" i="20"/>
  <c r="EO251" i="20"/>
  <c r="EO252" i="20"/>
  <c r="EO200" i="20"/>
  <c r="EO199" i="20"/>
  <c r="EO253" i="20"/>
  <c r="EO198" i="20"/>
  <c r="EO254" i="20"/>
  <c r="EO255" i="20"/>
  <c r="EO197" i="20"/>
  <c r="EO256" i="20"/>
  <c r="EO196" i="20"/>
  <c r="EO257" i="20"/>
  <c r="EO195" i="20"/>
  <c r="EO194" i="20"/>
  <c r="EO258" i="20"/>
  <c r="EO193" i="20"/>
  <c r="EO259" i="20"/>
  <c r="EO260" i="20"/>
  <c r="EO192" i="20"/>
  <c r="EO191" i="20"/>
  <c r="EO261" i="20"/>
  <c r="EO190" i="20"/>
  <c r="EO262" i="20"/>
  <c r="EO263" i="20"/>
  <c r="EO189" i="20"/>
  <c r="EO188" i="20"/>
  <c r="EO264" i="20"/>
  <c r="EO265" i="20"/>
  <c r="EO187" i="20"/>
  <c r="EO266" i="20"/>
  <c r="EO186" i="20"/>
  <c r="EO185" i="20"/>
  <c r="EO267" i="20"/>
  <c r="EO184" i="20"/>
  <c r="EO268" i="20"/>
  <c r="EO269" i="20"/>
  <c r="EO183" i="20"/>
  <c r="EO270" i="20"/>
  <c r="EO182" i="20"/>
  <c r="EO181" i="20"/>
  <c r="EO271" i="20"/>
  <c r="EO180" i="20"/>
  <c r="EO272" i="20"/>
  <c r="EO273" i="20"/>
  <c r="EO179" i="20"/>
  <c r="EO178" i="20"/>
  <c r="EO274" i="20"/>
  <c r="EO275" i="20"/>
  <c r="EO276" i="20"/>
  <c r="EO277" i="20"/>
  <c r="EO278" i="20"/>
  <c r="EO279" i="20"/>
  <c r="EO280" i="20"/>
  <c r="EO281" i="20"/>
  <c r="EO282" i="20"/>
  <c r="EO283" i="20"/>
  <c r="EO284" i="20"/>
  <c r="EO285" i="20"/>
  <c r="EO286" i="20"/>
  <c r="EO287" i="20"/>
  <c r="EO288" i="20"/>
  <c r="EO289" i="20"/>
  <c r="EO290" i="20"/>
  <c r="EO291" i="20"/>
  <c r="EO292" i="20"/>
  <c r="EO293" i="20"/>
  <c r="EO294" i="20"/>
  <c r="EO295" i="20"/>
  <c r="EO296" i="20"/>
  <c r="EO297" i="20"/>
  <c r="EO298" i="20"/>
  <c r="EO299" i="20"/>
  <c r="EO300" i="20"/>
  <c r="EO301" i="20"/>
  <c r="EO302" i="20"/>
  <c r="EO303" i="20"/>
  <c r="EO304" i="20"/>
  <c r="EO305" i="20"/>
  <c r="EO306" i="20"/>
  <c r="EO307" i="20"/>
  <c r="EO308" i="20"/>
  <c r="EO309" i="20"/>
  <c r="EO310" i="20"/>
  <c r="EO311" i="20"/>
  <c r="EO312" i="20"/>
  <c r="EO313" i="20"/>
  <c r="EO314" i="20"/>
  <c r="EO315" i="20"/>
  <c r="EO316" i="20"/>
  <c r="EO317" i="20"/>
  <c r="EO318" i="20"/>
  <c r="EO319" i="20"/>
  <c r="EO320" i="20"/>
  <c r="EO321" i="20"/>
  <c r="EO322" i="20"/>
  <c r="EO323" i="20"/>
  <c r="EO324" i="20"/>
  <c r="EO325" i="20"/>
  <c r="EO326" i="20"/>
  <c r="EO327" i="20"/>
  <c r="EO328" i="20"/>
  <c r="EO329" i="20"/>
  <c r="EO330" i="20"/>
  <c r="EO331" i="20"/>
  <c r="EO332" i="20"/>
  <c r="EO333" i="20"/>
  <c r="EO334" i="20"/>
  <c r="EO335" i="20"/>
  <c r="EO336" i="20"/>
  <c r="EO337" i="20"/>
  <c r="EO338" i="20"/>
  <c r="EO339" i="20"/>
  <c r="EO340" i="20"/>
  <c r="EO341" i="20"/>
  <c r="EN22" i="21"/>
  <c r="EN11" i="21"/>
  <c r="EN12" i="21"/>
  <c r="EM14" i="21"/>
  <c r="EN23" i="21"/>
  <c r="EN21" i="21"/>
  <c r="EN19" i="21"/>
  <c r="EO17" i="21" l="1"/>
  <c r="EO14" i="21"/>
  <c r="EO10" i="21"/>
  <c r="EO11" i="21"/>
  <c r="EO15" i="21"/>
  <c r="EP176" i="20"/>
  <c r="EP231" i="20" s="1"/>
  <c r="EP226" i="20"/>
  <c r="EP225" i="20"/>
  <c r="EQ175" i="20"/>
  <c r="EP223" i="20"/>
  <c r="EP222" i="20"/>
  <c r="EP230" i="20"/>
  <c r="EP233" i="20"/>
  <c r="EP218" i="20"/>
  <c r="EP234" i="20"/>
  <c r="EP215" i="20"/>
  <c r="EP238" i="20"/>
  <c r="EP214" i="20"/>
  <c r="EP211" i="20"/>
  <c r="EP210" i="20"/>
  <c r="EP242" i="20"/>
  <c r="EP245" i="20"/>
  <c r="EP206" i="20"/>
  <c r="EP246" i="20"/>
  <c r="EP203" i="20"/>
  <c r="EP250" i="20"/>
  <c r="EP202" i="20"/>
  <c r="EP253" i="20"/>
  <c r="EP254" i="20"/>
  <c r="EP198" i="20"/>
  <c r="EP257" i="20"/>
  <c r="EP194" i="20"/>
  <c r="EP258" i="20"/>
  <c r="EP261" i="20"/>
  <c r="EP190" i="20"/>
  <c r="EP262" i="20"/>
  <c r="EP265" i="20"/>
  <c r="EP266" i="20"/>
  <c r="EP186" i="20"/>
  <c r="EP183" i="20"/>
  <c r="EP182" i="20"/>
  <c r="EP270" i="20"/>
  <c r="EP179" i="20"/>
  <c r="EP274" i="20"/>
  <c r="EP178" i="20"/>
  <c r="EP280" i="20"/>
  <c r="EP281" i="20"/>
  <c r="EP282" i="20"/>
  <c r="EP288" i="20"/>
  <c r="EP289" i="20"/>
  <c r="EP290" i="20"/>
  <c r="EP296" i="20"/>
  <c r="EP297" i="20"/>
  <c r="EP298" i="20"/>
  <c r="EP304" i="20"/>
  <c r="EP305" i="20"/>
  <c r="EP306" i="20"/>
  <c r="EP312" i="20"/>
  <c r="EP313" i="20"/>
  <c r="EP314" i="20"/>
  <c r="EP320" i="20"/>
  <c r="EP321" i="20"/>
  <c r="EP322" i="20"/>
  <c r="EP328" i="20"/>
  <c r="EP329" i="20"/>
  <c r="EP330" i="20"/>
  <c r="EP336" i="20"/>
  <c r="EP337" i="20"/>
  <c r="EP338" i="20"/>
  <c r="EO18" i="21"/>
  <c r="EO16" i="21"/>
  <c r="EO22" i="21"/>
  <c r="EO21" i="21"/>
  <c r="EO20" i="21"/>
  <c r="EO12" i="21"/>
  <c r="EO13" i="21"/>
  <c r="EO23" i="21"/>
  <c r="EO19" i="21"/>
  <c r="EO8" i="21"/>
  <c r="EP7" i="21"/>
  <c r="EP334" i="20" l="1"/>
  <c r="EP326" i="20"/>
  <c r="EP318" i="20"/>
  <c r="EP310" i="20"/>
  <c r="EP21" i="21" s="1"/>
  <c r="EP302" i="20"/>
  <c r="EP294" i="20"/>
  <c r="EP286" i="20"/>
  <c r="EP278" i="20"/>
  <c r="EP272" i="20"/>
  <c r="EP268" i="20"/>
  <c r="EP264" i="20"/>
  <c r="EP260" i="20"/>
  <c r="EP256" i="20"/>
  <c r="EP252" i="20"/>
  <c r="EP204" i="20"/>
  <c r="EP12" i="21" s="1"/>
  <c r="EP208" i="20"/>
  <c r="EP212" i="20"/>
  <c r="EP236" i="20"/>
  <c r="EP220" i="20"/>
  <c r="EP228" i="20"/>
  <c r="EP341" i="20"/>
  <c r="EP333" i="20"/>
  <c r="EP325" i="20"/>
  <c r="EP317" i="20"/>
  <c r="EP309" i="20"/>
  <c r="EP301" i="20"/>
  <c r="EP293" i="20"/>
  <c r="EP285" i="20"/>
  <c r="EP277" i="20"/>
  <c r="EP180" i="20"/>
  <c r="EP10" i="21" s="1"/>
  <c r="EP184" i="20"/>
  <c r="EP188" i="20"/>
  <c r="EP192" i="20"/>
  <c r="EP196" i="20"/>
  <c r="EP200" i="20"/>
  <c r="EP248" i="20"/>
  <c r="EP244" i="20"/>
  <c r="EP240" i="20"/>
  <c r="EP216" i="20"/>
  <c r="EP13" i="21" s="1"/>
  <c r="EP232" i="20"/>
  <c r="EP224" i="20"/>
  <c r="EP8" i="21"/>
  <c r="EQ7" i="21"/>
  <c r="EP327" i="20"/>
  <c r="EP311" i="20"/>
  <c r="EP295" i="20"/>
  <c r="EP279" i="20"/>
  <c r="EP269" i="20"/>
  <c r="EP191" i="20"/>
  <c r="EP11" i="21" s="1"/>
  <c r="EP199" i="20"/>
  <c r="EP207" i="20"/>
  <c r="EP237" i="20"/>
  <c r="EP229" i="20"/>
  <c r="EP340" i="20"/>
  <c r="EP332" i="20"/>
  <c r="EP324" i="20"/>
  <c r="EP22" i="21" s="1"/>
  <c r="EP316" i="20"/>
  <c r="EP308" i="20"/>
  <c r="EP300" i="20"/>
  <c r="EP292" i="20"/>
  <c r="EP284" i="20"/>
  <c r="EP276" i="20"/>
  <c r="EP271" i="20"/>
  <c r="EP267" i="20"/>
  <c r="EP263" i="20"/>
  <c r="EP17" i="21" s="1"/>
  <c r="EP193" i="20"/>
  <c r="EP255" i="20"/>
  <c r="EP201" i="20"/>
  <c r="EP247" i="20"/>
  <c r="EP209" i="20"/>
  <c r="EP239" i="20"/>
  <c r="EP15" i="21" s="1"/>
  <c r="EP217" i="20"/>
  <c r="EP221" i="20"/>
  <c r="EP227" i="20"/>
  <c r="EP14" i="21" s="1"/>
  <c r="EP335" i="20"/>
  <c r="EP319" i="20"/>
  <c r="EP303" i="20"/>
  <c r="EP287" i="20"/>
  <c r="EP273" i="20"/>
  <c r="EP187" i="20"/>
  <c r="EP195" i="20"/>
  <c r="EP249" i="20"/>
  <c r="EP241" i="20"/>
  <c r="EP219" i="20"/>
  <c r="EP339" i="20"/>
  <c r="EP331" i="20"/>
  <c r="EP323" i="20"/>
  <c r="EP315" i="20"/>
  <c r="EP307" i="20"/>
  <c r="EP299" i="20"/>
  <c r="EP20" i="21" s="1"/>
  <c r="EP291" i="20"/>
  <c r="EP283" i="20"/>
  <c r="EP275" i="20"/>
  <c r="EP18" i="21" s="1"/>
  <c r="EP181" i="20"/>
  <c r="EP185" i="20"/>
  <c r="EP189" i="20"/>
  <c r="EP259" i="20"/>
  <c r="EP197" i="20"/>
  <c r="EP251" i="20"/>
  <c r="EP16" i="21" s="1"/>
  <c r="EP205" i="20"/>
  <c r="EP243" i="20"/>
  <c r="EP213" i="20"/>
  <c r="EP235" i="20"/>
  <c r="EQ176" i="20"/>
  <c r="EQ229" i="20" s="1"/>
  <c r="EQ225" i="20"/>
  <c r="ER175" i="20"/>
  <c r="EQ227" i="20"/>
  <c r="EQ228" i="20"/>
  <c r="EQ224" i="20"/>
  <c r="EQ223" i="20"/>
  <c r="EQ222" i="20"/>
  <c r="EQ221" i="20"/>
  <c r="EQ231" i="20"/>
  <c r="EQ220" i="20"/>
  <c r="EQ232" i="20"/>
  <c r="EQ233" i="20"/>
  <c r="EQ218" i="20"/>
  <c r="EQ235" i="20"/>
  <c r="EQ217" i="20"/>
  <c r="EQ236" i="20"/>
  <c r="EQ216" i="20"/>
  <c r="EQ215" i="20"/>
  <c r="EQ214" i="20"/>
  <c r="EQ213" i="20"/>
  <c r="EQ239" i="20"/>
  <c r="EQ240" i="20"/>
  <c r="EQ212" i="20"/>
  <c r="EQ241" i="20"/>
  <c r="EQ210" i="20"/>
  <c r="EQ243" i="20"/>
  <c r="EQ209" i="20"/>
  <c r="EQ208" i="20"/>
  <c r="EQ244" i="20"/>
  <c r="EQ207" i="20"/>
  <c r="EQ206" i="20"/>
  <c r="EQ247" i="20"/>
  <c r="EQ205" i="20"/>
  <c r="EQ204" i="20"/>
  <c r="EQ248" i="20"/>
  <c r="EQ203" i="20"/>
  <c r="EQ202" i="20"/>
  <c r="EQ201" i="20"/>
  <c r="EQ251" i="20"/>
  <c r="EQ252" i="20"/>
  <c r="EQ200" i="20"/>
  <c r="EQ253" i="20"/>
  <c r="EQ198" i="20"/>
  <c r="EQ197" i="20"/>
  <c r="EQ255" i="20"/>
  <c r="EQ196" i="20"/>
  <c r="EQ256" i="20"/>
  <c r="EQ195" i="20"/>
  <c r="EQ194" i="20"/>
  <c r="EQ259" i="20"/>
  <c r="EQ193" i="20"/>
  <c r="EQ260" i="20"/>
  <c r="EQ192" i="20"/>
  <c r="EQ191" i="20"/>
  <c r="EQ262" i="20"/>
  <c r="EQ263" i="20"/>
  <c r="EQ189" i="20"/>
  <c r="EQ264" i="20"/>
  <c r="EQ188" i="20"/>
  <c r="EQ265" i="20"/>
  <c r="EQ266" i="20"/>
  <c r="EQ185" i="20"/>
  <c r="EQ267" i="20"/>
  <c r="EQ184" i="20"/>
  <c r="EQ268" i="20"/>
  <c r="EQ183" i="20"/>
  <c r="EQ182" i="20"/>
  <c r="EQ181" i="20"/>
  <c r="EQ271" i="20"/>
  <c r="EQ180" i="20"/>
  <c r="EQ272" i="20"/>
  <c r="EQ179" i="20"/>
  <c r="EQ178" i="20"/>
  <c r="EQ275" i="20"/>
  <c r="EQ276" i="20"/>
  <c r="EQ277" i="20"/>
  <c r="EQ278" i="20"/>
  <c r="EQ280" i="20"/>
  <c r="EQ282" i="20"/>
  <c r="EQ283" i="20"/>
  <c r="EQ284" i="20"/>
  <c r="EQ285" i="20"/>
  <c r="EQ286" i="20"/>
  <c r="EQ288" i="20"/>
  <c r="EQ290" i="20"/>
  <c r="EQ291" i="20"/>
  <c r="EQ292" i="20"/>
  <c r="EQ293" i="20"/>
  <c r="EQ294" i="20"/>
  <c r="EQ296" i="20"/>
  <c r="EQ298" i="20"/>
  <c r="EQ299" i="20"/>
  <c r="EQ300" i="20"/>
  <c r="EQ301" i="20"/>
  <c r="EQ302" i="20"/>
  <c r="EQ304" i="20"/>
  <c r="EQ306" i="20"/>
  <c r="EQ307" i="20"/>
  <c r="EQ308" i="20"/>
  <c r="EQ309" i="20"/>
  <c r="EQ310" i="20"/>
  <c r="EQ312" i="20"/>
  <c r="EQ314" i="20"/>
  <c r="EQ315" i="20"/>
  <c r="EQ316" i="20"/>
  <c r="EQ317" i="20"/>
  <c r="EQ318" i="20"/>
  <c r="EQ320" i="20"/>
  <c r="EQ322" i="20"/>
  <c r="EQ323" i="20"/>
  <c r="EQ324" i="20"/>
  <c r="EQ325" i="20"/>
  <c r="EQ326" i="20"/>
  <c r="EQ328" i="20"/>
  <c r="EQ330" i="20"/>
  <c r="EQ331" i="20"/>
  <c r="EQ332" i="20"/>
  <c r="EQ333" i="20"/>
  <c r="EQ334" i="20"/>
  <c r="EQ336" i="20"/>
  <c r="EQ338" i="20"/>
  <c r="EQ339" i="20"/>
  <c r="EQ340" i="20"/>
  <c r="EQ341" i="20"/>
  <c r="EP23" i="21" l="1"/>
  <c r="EQ337" i="20"/>
  <c r="EQ329" i="20"/>
  <c r="EQ321" i="20"/>
  <c r="EQ313" i="20"/>
  <c r="EQ21" i="21" s="1"/>
  <c r="EQ305" i="20"/>
  <c r="EQ297" i="20"/>
  <c r="EQ289" i="20"/>
  <c r="EQ281" i="20"/>
  <c r="EQ274" i="20"/>
  <c r="EQ270" i="20"/>
  <c r="EQ186" i="20"/>
  <c r="EQ10" i="21" s="1"/>
  <c r="EQ190" i="20"/>
  <c r="EQ11" i="21" s="1"/>
  <c r="EQ258" i="20"/>
  <c r="EQ254" i="20"/>
  <c r="EQ250" i="20"/>
  <c r="EQ246" i="20"/>
  <c r="EQ242" i="20"/>
  <c r="EQ238" i="20"/>
  <c r="EQ234" i="20"/>
  <c r="EQ230" i="20"/>
  <c r="EQ226" i="20"/>
  <c r="EQ14" i="21" s="1"/>
  <c r="ER176" i="20"/>
  <c r="ER226" i="20" s="1"/>
  <c r="ES175" i="20"/>
  <c r="ER227" i="20"/>
  <c r="ER228" i="20"/>
  <c r="ER224" i="20"/>
  <c r="ER223" i="20"/>
  <c r="ER229" i="20"/>
  <c r="ER231" i="20"/>
  <c r="ER232" i="20"/>
  <c r="ER220" i="20"/>
  <c r="ER219" i="20"/>
  <c r="ER233" i="20"/>
  <c r="ER235" i="20"/>
  <c r="ER236" i="20"/>
  <c r="ER216" i="20"/>
  <c r="ER237" i="20"/>
  <c r="ER215" i="20"/>
  <c r="ER213" i="20"/>
  <c r="ER212" i="20"/>
  <c r="ER240" i="20"/>
  <c r="ER241" i="20"/>
  <c r="ER211" i="20"/>
  <c r="ER243" i="20"/>
  <c r="ER244" i="20"/>
  <c r="ER208" i="20"/>
  <c r="ER207" i="20"/>
  <c r="ER245" i="20"/>
  <c r="ER247" i="20"/>
  <c r="ER248" i="20"/>
  <c r="ER204" i="20"/>
  <c r="ER249" i="20"/>
  <c r="ER203" i="20"/>
  <c r="ER201" i="20"/>
  <c r="ER252" i="20"/>
  <c r="ER200" i="20"/>
  <c r="ER199" i="20"/>
  <c r="ER253" i="20"/>
  <c r="ER255" i="20"/>
  <c r="ER196" i="20"/>
  <c r="ER256" i="20"/>
  <c r="ER195" i="20"/>
  <c r="ER257" i="20"/>
  <c r="ER194" i="20"/>
  <c r="ER193" i="20"/>
  <c r="ER192" i="20"/>
  <c r="ER260" i="20"/>
  <c r="ER191" i="20"/>
  <c r="ER261" i="20"/>
  <c r="ER190" i="20"/>
  <c r="ER263" i="20"/>
  <c r="ER188" i="20"/>
  <c r="ER264" i="20"/>
  <c r="ER187" i="20"/>
  <c r="ER265" i="20"/>
  <c r="ER266" i="20"/>
  <c r="ER185" i="20"/>
  <c r="ER268" i="20"/>
  <c r="ER184" i="20"/>
  <c r="ER183" i="20"/>
  <c r="ER269" i="20"/>
  <c r="ER270" i="20"/>
  <c r="ER182" i="20"/>
  <c r="ER181" i="20"/>
  <c r="ER272" i="20"/>
  <c r="ER180" i="20"/>
  <c r="ER179" i="20"/>
  <c r="ER273" i="20"/>
  <c r="ER178" i="20"/>
  <c r="ER274" i="20"/>
  <c r="ER276" i="20"/>
  <c r="ER277" i="20"/>
  <c r="ER278" i="20"/>
  <c r="ER279" i="20"/>
  <c r="ER280" i="20"/>
  <c r="ER281" i="20"/>
  <c r="ER282" i="20"/>
  <c r="ER284" i="20"/>
  <c r="ER285" i="20"/>
  <c r="ER286" i="20"/>
  <c r="ER287" i="20"/>
  <c r="ER288" i="20"/>
  <c r="ER289" i="20"/>
  <c r="ER290" i="20"/>
  <c r="ER292" i="20"/>
  <c r="ER293" i="20"/>
  <c r="ER294" i="20"/>
  <c r="ER295" i="20"/>
  <c r="ER296" i="20"/>
  <c r="ER297" i="20"/>
  <c r="ER298" i="20"/>
  <c r="ER300" i="20"/>
  <c r="ER301" i="20"/>
  <c r="ER302" i="20"/>
  <c r="ER303" i="20"/>
  <c r="ER304" i="20"/>
  <c r="ER305" i="20"/>
  <c r="ER306" i="20"/>
  <c r="ER308" i="20"/>
  <c r="ER309" i="20"/>
  <c r="ER310" i="20"/>
  <c r="ER311" i="20"/>
  <c r="ER312" i="20"/>
  <c r="ER313" i="20"/>
  <c r="ER314" i="20"/>
  <c r="ER316" i="20"/>
  <c r="ER317" i="20"/>
  <c r="ER318" i="20"/>
  <c r="ER319" i="20"/>
  <c r="ER320" i="20"/>
  <c r="ER321" i="20"/>
  <c r="ER322" i="20"/>
  <c r="ER324" i="20"/>
  <c r="ER325" i="20"/>
  <c r="ER326" i="20"/>
  <c r="ER327" i="20"/>
  <c r="ER328" i="20"/>
  <c r="ER329" i="20"/>
  <c r="ER330" i="20"/>
  <c r="ER331" i="20"/>
  <c r="ER332" i="20"/>
  <c r="ER333" i="20"/>
  <c r="ER334" i="20"/>
  <c r="ER335" i="20"/>
  <c r="ER336" i="20"/>
  <c r="ER337" i="20"/>
  <c r="ER338" i="20"/>
  <c r="ER339" i="20"/>
  <c r="ER340" i="20"/>
  <c r="ER341" i="20"/>
  <c r="EQ17" i="21"/>
  <c r="EQ13" i="21"/>
  <c r="EQ8" i="21"/>
  <c r="ER7" i="21"/>
  <c r="EP19" i="21"/>
  <c r="EQ335" i="20"/>
  <c r="EQ23" i="21" s="1"/>
  <c r="EQ327" i="20"/>
  <c r="EQ22" i="21" s="1"/>
  <c r="EQ319" i="20"/>
  <c r="EQ311" i="20"/>
  <c r="EQ303" i="20"/>
  <c r="EQ20" i="21" s="1"/>
  <c r="EQ295" i="20"/>
  <c r="EQ287" i="20"/>
  <c r="EQ279" i="20"/>
  <c r="EQ273" i="20"/>
  <c r="EQ269" i="20"/>
  <c r="EQ187" i="20"/>
  <c r="EQ261" i="20"/>
  <c r="EQ257" i="20"/>
  <c r="EQ199" i="20"/>
  <c r="EQ249" i="20"/>
  <c r="EQ245" i="20"/>
  <c r="EQ211" i="20"/>
  <c r="EQ12" i="21" s="1"/>
  <c r="EQ237" i="20"/>
  <c r="EQ219" i="20"/>
  <c r="EQ19" i="21"/>
  <c r="EQ15" i="21" l="1"/>
  <c r="ER323" i="20"/>
  <c r="ER315" i="20"/>
  <c r="ER21" i="21" s="1"/>
  <c r="ER307" i="20"/>
  <c r="ER299" i="20"/>
  <c r="ER291" i="20"/>
  <c r="ER283" i="20"/>
  <c r="ER275" i="20"/>
  <c r="ER271" i="20"/>
  <c r="ER267" i="20"/>
  <c r="ER189" i="20"/>
  <c r="ER259" i="20"/>
  <c r="ER197" i="20"/>
  <c r="ER11" i="21" s="1"/>
  <c r="ER251" i="20"/>
  <c r="ER205" i="20"/>
  <c r="ER209" i="20"/>
  <c r="ER239" i="20"/>
  <c r="ER217" i="20"/>
  <c r="ER221" i="20"/>
  <c r="ER225" i="20"/>
  <c r="EQ18" i="21"/>
  <c r="ER20" i="21"/>
  <c r="ER18" i="21"/>
  <c r="ER198" i="20"/>
  <c r="ER202" i="20"/>
  <c r="ER206" i="20"/>
  <c r="ER210" i="20"/>
  <c r="ER238" i="20"/>
  <c r="ER15" i="21" s="1"/>
  <c r="ER218" i="20"/>
  <c r="ER230" i="20"/>
  <c r="ER14" i="21" s="1"/>
  <c r="ES226" i="20"/>
  <c r="ET175" i="20"/>
  <c r="ES176" i="20"/>
  <c r="ES225" i="20"/>
  <c r="ES227" i="20"/>
  <c r="ES224" i="20"/>
  <c r="ES228" i="20"/>
  <c r="ES229" i="20"/>
  <c r="ES223" i="20"/>
  <c r="ES230" i="20"/>
  <c r="ES222" i="20"/>
  <c r="ES231" i="20"/>
  <c r="ES221" i="20"/>
  <c r="ES232" i="20"/>
  <c r="ES220" i="20"/>
  <c r="ES233" i="20"/>
  <c r="ES219" i="20"/>
  <c r="ES234" i="20"/>
  <c r="ES218" i="20"/>
  <c r="ES217" i="20"/>
  <c r="ES235" i="20"/>
  <c r="ES236" i="20"/>
  <c r="ES216" i="20"/>
  <c r="ES215" i="20"/>
  <c r="ES237" i="20"/>
  <c r="ES238" i="20"/>
  <c r="ES214" i="20"/>
  <c r="ES239" i="20"/>
  <c r="ES213" i="20"/>
  <c r="ES212" i="20"/>
  <c r="ES240" i="20"/>
  <c r="ES241" i="20"/>
  <c r="ES211" i="20"/>
  <c r="ES242" i="20"/>
  <c r="ES210" i="20"/>
  <c r="ES243" i="20"/>
  <c r="ES209" i="20"/>
  <c r="ES244" i="20"/>
  <c r="ES208" i="20"/>
  <c r="ES245" i="20"/>
  <c r="ES207" i="20"/>
  <c r="ES246" i="20"/>
  <c r="ES206" i="20"/>
  <c r="ES247" i="20"/>
  <c r="ES205" i="20"/>
  <c r="ES248" i="20"/>
  <c r="ES204" i="20"/>
  <c r="ES249" i="20"/>
  <c r="ES203" i="20"/>
  <c r="ES202" i="20"/>
  <c r="ES250" i="20"/>
  <c r="ES251" i="20"/>
  <c r="ES201" i="20"/>
  <c r="ES200" i="20"/>
  <c r="ES252" i="20"/>
  <c r="ES199" i="20"/>
  <c r="ES253" i="20"/>
  <c r="ES254" i="20"/>
  <c r="ES198" i="20"/>
  <c r="ES255" i="20"/>
  <c r="ES197" i="20"/>
  <c r="ES256" i="20"/>
  <c r="ES196" i="20"/>
  <c r="ES257" i="20"/>
  <c r="ES195" i="20"/>
  <c r="ES258" i="20"/>
  <c r="ES194" i="20"/>
  <c r="ES193" i="20"/>
  <c r="ES259" i="20"/>
  <c r="ES260" i="20"/>
  <c r="ES192" i="20"/>
  <c r="ES191" i="20"/>
  <c r="ES261" i="20"/>
  <c r="ES262" i="20"/>
  <c r="ES190" i="20"/>
  <c r="ES263" i="20"/>
  <c r="ES189" i="20"/>
  <c r="ES264" i="20"/>
  <c r="ES188" i="20"/>
  <c r="ES265" i="20"/>
  <c r="ES187" i="20"/>
  <c r="ES266" i="20"/>
  <c r="ES186" i="20"/>
  <c r="ES185" i="20"/>
  <c r="ES267" i="20"/>
  <c r="ES184" i="20"/>
  <c r="ES268" i="20"/>
  <c r="ES183" i="20"/>
  <c r="ES269" i="20"/>
  <c r="ES270" i="20"/>
  <c r="ES182" i="20"/>
  <c r="ES271" i="20"/>
  <c r="ES181" i="20"/>
  <c r="ES180" i="20"/>
  <c r="ES272" i="20"/>
  <c r="ES273" i="20"/>
  <c r="ES179" i="20"/>
  <c r="ES178" i="20"/>
  <c r="ES274" i="20"/>
  <c r="ES275" i="20"/>
  <c r="ES276" i="20"/>
  <c r="ES277" i="20"/>
  <c r="ES278" i="20"/>
  <c r="ES279" i="20"/>
  <c r="ES280" i="20"/>
  <c r="ES281" i="20"/>
  <c r="ES282" i="20"/>
  <c r="ES283" i="20"/>
  <c r="ES284" i="20"/>
  <c r="ES285" i="20"/>
  <c r="ES286" i="20"/>
  <c r="ES19" i="21" s="1"/>
  <c r="ES287" i="20"/>
  <c r="ES288" i="20"/>
  <c r="ES289" i="20"/>
  <c r="ES290" i="20"/>
  <c r="ES291" i="20"/>
  <c r="ES292" i="20"/>
  <c r="ES293" i="20"/>
  <c r="ES294" i="20"/>
  <c r="ES295" i="20"/>
  <c r="ES296" i="20"/>
  <c r="ES297" i="20"/>
  <c r="ES298" i="20"/>
  <c r="ES299" i="20"/>
  <c r="ES300" i="20"/>
  <c r="ES301" i="20"/>
  <c r="ES302" i="20"/>
  <c r="ES303" i="20"/>
  <c r="ES304" i="20"/>
  <c r="ES305" i="20"/>
  <c r="ES306" i="20"/>
  <c r="ES307" i="20"/>
  <c r="ES308" i="20"/>
  <c r="ES309" i="20"/>
  <c r="ES310" i="20"/>
  <c r="ES21" i="21" s="1"/>
  <c r="ES311" i="20"/>
  <c r="ES312" i="20"/>
  <c r="ES313" i="20"/>
  <c r="ES314" i="20"/>
  <c r="ES315" i="20"/>
  <c r="ES316" i="20"/>
  <c r="ES317" i="20"/>
  <c r="ES318" i="20"/>
  <c r="ES319" i="20"/>
  <c r="ES320" i="20"/>
  <c r="ES321" i="20"/>
  <c r="ES322" i="20"/>
  <c r="ES323" i="20"/>
  <c r="ES324" i="20"/>
  <c r="ES325" i="20"/>
  <c r="ES326" i="20"/>
  <c r="ES327" i="20"/>
  <c r="ES328" i="20"/>
  <c r="ES329" i="20"/>
  <c r="ES330" i="20"/>
  <c r="ES331" i="20"/>
  <c r="ES332" i="20"/>
  <c r="ES333" i="20"/>
  <c r="ES334" i="20"/>
  <c r="ES23" i="21" s="1"/>
  <c r="ES335" i="20"/>
  <c r="ES336" i="20"/>
  <c r="ES337" i="20"/>
  <c r="ES338" i="20"/>
  <c r="ES339" i="20"/>
  <c r="ES340" i="20"/>
  <c r="ES341" i="20"/>
  <c r="ER19" i="21"/>
  <c r="ER22" i="21"/>
  <c r="ES7" i="21"/>
  <c r="ER8" i="21"/>
  <c r="ER186" i="20"/>
  <c r="ER10" i="21" s="1"/>
  <c r="ER262" i="20"/>
  <c r="ER17" i="21" s="1"/>
  <c r="ER258" i="20"/>
  <c r="ER254" i="20"/>
  <c r="ER250" i="20"/>
  <c r="ER246" i="20"/>
  <c r="ER242" i="20"/>
  <c r="ER214" i="20"/>
  <c r="ER234" i="20"/>
  <c r="ER222" i="20"/>
  <c r="EQ16" i="21"/>
  <c r="ER23" i="21"/>
  <c r="ER13" i="21" l="1"/>
  <c r="ES18" i="21"/>
  <c r="ES11" i="21"/>
  <c r="ES16" i="21"/>
  <c r="ES13" i="21"/>
  <c r="ER12" i="21"/>
  <c r="ES22" i="21"/>
  <c r="ES10" i="21"/>
  <c r="ES17" i="21"/>
  <c r="ES12" i="21"/>
  <c r="ES15" i="21"/>
  <c r="EU175" i="20"/>
  <c r="ET176" i="20"/>
  <c r="ET228" i="20" s="1"/>
  <c r="ET225" i="20"/>
  <c r="ET227" i="20"/>
  <c r="ET226" i="20"/>
  <c r="ET230" i="20"/>
  <c r="ET222" i="20"/>
  <c r="ET231" i="20"/>
  <c r="ET221" i="20"/>
  <c r="ET218" i="20"/>
  <c r="ET234" i="20"/>
  <c r="ET217" i="20"/>
  <c r="ET235" i="20"/>
  <c r="ET214" i="20"/>
  <c r="ET238" i="20"/>
  <c r="ET239" i="20"/>
  <c r="ET213" i="20"/>
  <c r="ET240" i="20"/>
  <c r="ET242" i="20"/>
  <c r="ET210" i="20"/>
  <c r="ET209" i="20"/>
  <c r="ET243" i="20"/>
  <c r="ET208" i="20"/>
  <c r="ET246" i="20"/>
  <c r="ET206" i="20"/>
  <c r="ET205" i="20"/>
  <c r="ET247" i="20"/>
  <c r="ET248" i="20"/>
  <c r="ET250" i="20"/>
  <c r="ET202" i="20"/>
  <c r="ET251" i="20"/>
  <c r="ET201" i="20"/>
  <c r="ET252" i="20"/>
  <c r="ET198" i="20"/>
  <c r="ET254" i="20"/>
  <c r="ET255" i="20"/>
  <c r="ET197" i="20"/>
  <c r="ET256" i="20"/>
  <c r="ET258" i="20"/>
  <c r="ET194" i="20"/>
  <c r="ET193" i="20"/>
  <c r="ET259" i="20"/>
  <c r="ET192" i="20"/>
  <c r="ET262" i="20"/>
  <c r="ET190" i="20"/>
  <c r="ET189" i="20"/>
  <c r="ET263" i="20"/>
  <c r="ET264" i="20"/>
  <c r="ET186" i="20"/>
  <c r="ET266" i="20"/>
  <c r="ET267" i="20"/>
  <c r="ET185" i="20"/>
  <c r="ET184" i="20"/>
  <c r="ET270" i="20"/>
  <c r="ET182" i="20"/>
  <c r="ET271" i="20"/>
  <c r="ET181" i="20"/>
  <c r="ET180" i="20"/>
  <c r="ET178" i="20"/>
  <c r="ET274" i="20"/>
  <c r="ET275" i="20"/>
  <c r="ET276" i="20"/>
  <c r="ET278" i="20"/>
  <c r="ET281" i="20"/>
  <c r="ET282" i="20"/>
  <c r="ET283" i="20"/>
  <c r="ET284" i="20"/>
  <c r="ET286" i="20"/>
  <c r="ET289" i="20"/>
  <c r="ET290" i="20"/>
  <c r="ET291" i="20"/>
  <c r="ET292" i="20"/>
  <c r="ET294" i="20"/>
  <c r="ET297" i="20"/>
  <c r="ET298" i="20"/>
  <c r="ET299" i="20"/>
  <c r="ET300" i="20"/>
  <c r="ET302" i="20"/>
  <c r="ET305" i="20"/>
  <c r="ET306" i="20"/>
  <c r="ET307" i="20"/>
  <c r="ET308" i="20"/>
  <c r="ET310" i="20"/>
  <c r="ET313" i="20"/>
  <c r="ET314" i="20"/>
  <c r="ET315" i="20"/>
  <c r="ET316" i="20"/>
  <c r="ET318" i="20"/>
  <c r="ET321" i="20"/>
  <c r="ET322" i="20"/>
  <c r="ET323" i="20"/>
  <c r="ET324" i="20"/>
  <c r="ET326" i="20"/>
  <c r="ET329" i="20"/>
  <c r="ET330" i="20"/>
  <c r="ET331" i="20"/>
  <c r="ET332" i="20"/>
  <c r="ET334" i="20"/>
  <c r="ET337" i="20"/>
  <c r="ET338" i="20"/>
  <c r="ET339" i="20"/>
  <c r="ET340" i="20"/>
  <c r="ES20" i="21"/>
  <c r="ET7" i="21"/>
  <c r="ES8" i="21"/>
  <c r="ES14" i="21"/>
  <c r="ER16" i="21"/>
  <c r="ET336" i="20" l="1"/>
  <c r="ET328" i="20"/>
  <c r="ET320" i="20"/>
  <c r="ET312" i="20"/>
  <c r="ET304" i="20"/>
  <c r="ET296" i="20"/>
  <c r="ET288" i="20"/>
  <c r="ET280" i="20"/>
  <c r="ET273" i="20"/>
  <c r="ET269" i="20"/>
  <c r="ET265" i="20"/>
  <c r="ET17" i="21" s="1"/>
  <c r="ET191" i="20"/>
  <c r="ET11" i="21" s="1"/>
  <c r="ET257" i="20"/>
  <c r="ET16" i="21" s="1"/>
  <c r="ET253" i="20"/>
  <c r="ET203" i="20"/>
  <c r="ET245" i="20"/>
  <c r="ET211" i="20"/>
  <c r="ET215" i="20"/>
  <c r="ET13" i="21" s="1"/>
  <c r="ET233" i="20"/>
  <c r="ET223" i="20"/>
  <c r="EV175" i="20"/>
  <c r="EU176" i="20"/>
  <c r="EU227" i="20"/>
  <c r="EU225" i="20"/>
  <c r="EU226" i="20"/>
  <c r="EU224" i="20"/>
  <c r="EU228" i="20"/>
  <c r="EU223" i="20"/>
  <c r="EU229" i="20"/>
  <c r="EU230" i="20"/>
  <c r="EU222" i="20"/>
  <c r="EU221" i="20"/>
  <c r="EU231" i="20"/>
  <c r="EU232" i="20"/>
  <c r="EU220" i="20"/>
  <c r="EU219" i="20"/>
  <c r="EU233" i="20"/>
  <c r="EU218" i="20"/>
  <c r="EU234" i="20"/>
  <c r="EU217" i="20"/>
  <c r="EU235" i="20"/>
  <c r="EU216" i="20"/>
  <c r="EU236" i="20"/>
  <c r="EU237" i="20"/>
  <c r="EU215" i="20"/>
  <c r="EU238" i="20"/>
  <c r="EU214" i="20"/>
  <c r="EU239" i="20"/>
  <c r="EU213" i="20"/>
  <c r="EU240" i="20"/>
  <c r="EU212" i="20"/>
  <c r="EU211" i="20"/>
  <c r="EU241" i="20"/>
  <c r="EU210" i="20"/>
  <c r="EU242" i="20"/>
  <c r="EU209" i="20"/>
  <c r="EU243" i="20"/>
  <c r="EU244" i="20"/>
  <c r="EU208" i="20"/>
  <c r="EU207" i="20"/>
  <c r="EU245" i="20"/>
  <c r="EU206" i="20"/>
  <c r="EU246" i="20"/>
  <c r="EU205" i="20"/>
  <c r="EU247" i="20"/>
  <c r="EU204" i="20"/>
  <c r="EU248" i="20"/>
  <c r="EU249" i="20"/>
  <c r="EU203" i="20"/>
  <c r="EU250" i="20"/>
  <c r="EU202" i="20"/>
  <c r="EU201" i="20"/>
  <c r="EU251" i="20"/>
  <c r="EU200" i="20"/>
  <c r="EU252" i="20"/>
  <c r="EU253" i="20"/>
  <c r="EU199" i="20"/>
  <c r="EU198" i="20"/>
  <c r="EU254" i="20"/>
  <c r="EU197" i="20"/>
  <c r="EU255" i="20"/>
  <c r="EU256" i="20"/>
  <c r="EU196" i="20"/>
  <c r="EU257" i="20"/>
  <c r="EU195" i="20"/>
  <c r="EU258" i="20"/>
  <c r="EU194" i="20"/>
  <c r="EU193" i="20"/>
  <c r="EU259" i="20"/>
  <c r="EU260" i="20"/>
  <c r="EU192" i="20"/>
  <c r="EU261" i="20"/>
  <c r="EU191" i="20"/>
  <c r="EU190" i="20"/>
  <c r="EU262" i="20"/>
  <c r="EU189" i="20"/>
  <c r="EU263" i="20"/>
  <c r="EU188" i="20"/>
  <c r="EU264" i="20"/>
  <c r="EU265" i="20"/>
  <c r="EU187" i="20"/>
  <c r="EU186" i="20"/>
  <c r="EU266" i="20"/>
  <c r="EU267" i="20"/>
  <c r="EU185" i="20"/>
  <c r="EU184" i="20"/>
  <c r="EU268" i="20"/>
  <c r="EU183" i="20"/>
  <c r="EU269" i="20"/>
  <c r="EU270" i="20"/>
  <c r="EU182" i="20"/>
  <c r="EU181" i="20"/>
  <c r="EU271" i="20"/>
  <c r="EU272" i="20"/>
  <c r="EU180" i="20"/>
  <c r="EU179" i="20"/>
  <c r="EU273" i="20"/>
  <c r="EU178" i="20"/>
  <c r="EU274" i="20"/>
  <c r="EU275" i="20"/>
  <c r="EU276" i="20"/>
  <c r="EU277" i="20"/>
  <c r="EU278" i="20"/>
  <c r="EU279" i="20"/>
  <c r="EU280" i="20"/>
  <c r="EU281" i="20"/>
  <c r="EU282" i="20"/>
  <c r="EU283" i="20"/>
  <c r="EU284" i="20"/>
  <c r="EU285" i="20"/>
  <c r="EU286" i="20"/>
  <c r="EU287" i="20"/>
  <c r="EU288" i="20"/>
  <c r="EU289" i="20"/>
  <c r="EU290" i="20"/>
  <c r="EU291" i="20"/>
  <c r="EU292" i="20"/>
  <c r="EU293" i="20"/>
  <c r="EU294" i="20"/>
  <c r="EU295" i="20"/>
  <c r="EU296" i="20"/>
  <c r="EU297" i="20"/>
  <c r="EU298" i="20"/>
  <c r="EU299" i="20"/>
  <c r="EU300" i="20"/>
  <c r="EU301" i="20"/>
  <c r="EU302" i="20"/>
  <c r="EU303" i="20"/>
  <c r="EU304" i="20"/>
  <c r="EU305" i="20"/>
  <c r="EU306" i="20"/>
  <c r="EU307" i="20"/>
  <c r="EU308" i="20"/>
  <c r="EU309" i="20"/>
  <c r="EU310" i="20"/>
  <c r="EU311" i="20"/>
  <c r="EU312" i="20"/>
  <c r="EU313" i="20"/>
  <c r="EU314" i="20"/>
  <c r="EU315" i="20"/>
  <c r="EU316" i="20"/>
  <c r="EU317" i="20"/>
  <c r="EU318" i="20"/>
  <c r="EU319" i="20"/>
  <c r="EU320" i="20"/>
  <c r="EU321" i="20"/>
  <c r="EU322" i="20"/>
  <c r="EU323" i="20"/>
  <c r="EU324" i="20"/>
  <c r="EU325" i="20"/>
  <c r="EU326" i="20"/>
  <c r="EU327" i="20"/>
  <c r="EU328" i="20"/>
  <c r="EU329" i="20"/>
  <c r="EU330" i="20"/>
  <c r="EU331" i="20"/>
  <c r="EU332" i="20"/>
  <c r="EU333" i="20"/>
  <c r="EU334" i="20"/>
  <c r="EU335" i="20"/>
  <c r="EU336" i="20"/>
  <c r="EU337" i="20"/>
  <c r="EU338" i="20"/>
  <c r="EU339" i="20"/>
  <c r="EU340" i="20"/>
  <c r="EU341" i="20"/>
  <c r="ET22" i="21"/>
  <c r="EU7" i="21"/>
  <c r="ET8" i="21"/>
  <c r="ET335" i="20"/>
  <c r="ET327" i="20"/>
  <c r="ET319" i="20"/>
  <c r="ET311" i="20"/>
  <c r="ET21" i="21" s="1"/>
  <c r="ET303" i="20"/>
  <c r="ET295" i="20"/>
  <c r="ET287" i="20"/>
  <c r="ET279" i="20"/>
  <c r="ET179" i="20"/>
  <c r="ET10" i="21" s="1"/>
  <c r="ET183" i="20"/>
  <c r="ET187" i="20"/>
  <c r="ET261" i="20"/>
  <c r="ET195" i="20"/>
  <c r="ET199" i="20"/>
  <c r="ET249" i="20"/>
  <c r="ET207" i="20"/>
  <c r="ET241" i="20"/>
  <c r="ET15" i="21" s="1"/>
  <c r="ET237" i="20"/>
  <c r="ET219" i="20"/>
  <c r="ET229" i="20"/>
  <c r="ET14" i="21" s="1"/>
  <c r="ET216" i="20"/>
  <c r="ET224" i="20"/>
  <c r="ET18" i="21"/>
  <c r="ET12" i="21"/>
  <c r="ET23" i="21"/>
  <c r="ET19" i="21"/>
  <c r="ET220" i="20"/>
  <c r="ET341" i="20"/>
  <c r="ET333" i="20"/>
  <c r="ET325" i="20"/>
  <c r="ET317" i="20"/>
  <c r="ET309" i="20"/>
  <c r="ET301" i="20"/>
  <c r="ET20" i="21" s="1"/>
  <c r="ET293" i="20"/>
  <c r="ET285" i="20"/>
  <c r="ET277" i="20"/>
  <c r="ET272" i="20"/>
  <c r="ET268" i="20"/>
  <c r="ET188" i="20"/>
  <c r="ET260" i="20"/>
  <c r="ET196" i="20"/>
  <c r="ET200" i="20"/>
  <c r="ET204" i="20"/>
  <c r="ET244" i="20"/>
  <c r="ET212" i="20"/>
  <c r="ET236" i="20"/>
  <c r="ET232" i="20"/>
  <c r="EU19" i="21" l="1"/>
  <c r="EU14" i="21"/>
  <c r="EU20" i="21"/>
  <c r="EU18" i="21"/>
  <c r="EU17" i="21"/>
  <c r="EU12" i="21"/>
  <c r="EU13" i="21"/>
  <c r="EU23" i="21"/>
  <c r="EV7" i="21"/>
  <c r="EU8" i="21"/>
  <c r="EU10" i="21"/>
  <c r="EU11" i="21"/>
  <c r="EU16" i="21"/>
  <c r="EU15" i="21"/>
  <c r="EU21" i="21"/>
  <c r="EU22" i="21"/>
  <c r="EW175" i="20"/>
  <c r="EV176" i="20"/>
  <c r="EV229" i="20" s="1"/>
  <c r="EV225" i="20"/>
  <c r="EV224" i="20"/>
  <c r="EV228" i="20"/>
  <c r="EV223" i="20"/>
  <c r="EV222" i="20"/>
  <c r="EV231" i="20"/>
  <c r="EV232" i="20"/>
  <c r="EV220" i="20"/>
  <c r="EV219" i="20"/>
  <c r="EV234" i="20"/>
  <c r="EV235" i="20"/>
  <c r="EV217" i="20"/>
  <c r="EV236" i="20"/>
  <c r="EV216" i="20"/>
  <c r="EV215" i="20"/>
  <c r="EV214" i="20"/>
  <c r="EV213" i="20"/>
  <c r="EV239" i="20"/>
  <c r="EV212" i="20"/>
  <c r="EV240" i="20"/>
  <c r="EV211" i="20"/>
  <c r="EV210" i="20"/>
  <c r="EV242" i="20"/>
  <c r="EV243" i="20"/>
  <c r="EV209" i="20"/>
  <c r="EV208" i="20"/>
  <c r="EV244" i="20"/>
  <c r="EV207" i="20"/>
  <c r="EV245" i="20"/>
  <c r="EV246" i="20"/>
  <c r="EV206" i="20"/>
  <c r="EV247" i="20"/>
  <c r="EV205" i="20"/>
  <c r="EV204" i="20"/>
  <c r="EV248" i="20"/>
  <c r="EV203" i="20"/>
  <c r="EV249" i="20"/>
  <c r="EV202" i="20"/>
  <c r="EV250" i="20"/>
  <c r="EV201" i="20"/>
  <c r="EV251" i="20"/>
  <c r="EV200" i="20"/>
  <c r="EV252" i="20"/>
  <c r="EV253" i="20"/>
  <c r="EV199" i="20"/>
  <c r="EV198" i="20"/>
  <c r="EV254" i="20"/>
  <c r="EV255" i="20"/>
  <c r="EV197" i="20"/>
  <c r="EV256" i="20"/>
  <c r="EV196" i="20"/>
  <c r="EV257" i="20"/>
  <c r="EV195" i="20"/>
  <c r="EV194" i="20"/>
  <c r="EV258" i="20"/>
  <c r="EV193" i="20"/>
  <c r="EV259" i="20"/>
  <c r="EV192" i="20"/>
  <c r="EV260" i="20"/>
  <c r="EV191" i="20"/>
  <c r="EV261" i="20"/>
  <c r="EV262" i="20"/>
  <c r="EV190" i="20"/>
  <c r="EV189" i="20"/>
  <c r="EV263" i="20"/>
  <c r="EV188" i="20"/>
  <c r="EV264" i="20"/>
  <c r="EV187" i="20"/>
  <c r="EV265" i="20"/>
  <c r="EV266" i="20"/>
  <c r="EV186" i="20"/>
  <c r="EV267" i="20"/>
  <c r="EV185" i="20"/>
  <c r="EV268" i="20"/>
  <c r="EV184" i="20"/>
  <c r="EV183" i="20"/>
  <c r="EV269" i="20"/>
  <c r="EV270" i="20"/>
  <c r="EV182" i="20"/>
  <c r="EV271" i="20"/>
  <c r="EV181" i="20"/>
  <c r="EV272" i="20"/>
  <c r="EV180" i="20"/>
  <c r="EV179" i="20"/>
  <c r="EV273" i="20"/>
  <c r="EV274" i="20"/>
  <c r="EV178" i="20"/>
  <c r="EV275" i="20"/>
  <c r="EV276" i="20"/>
  <c r="EV277" i="20"/>
  <c r="EV278" i="20"/>
  <c r="EV279" i="20"/>
  <c r="EV280" i="20"/>
  <c r="EV281" i="20"/>
  <c r="EV282" i="20"/>
  <c r="EV283" i="20"/>
  <c r="EV284" i="20"/>
  <c r="EV285" i="20"/>
  <c r="EV286" i="20"/>
  <c r="EV287" i="20"/>
  <c r="EV288" i="20"/>
  <c r="EV289" i="20"/>
  <c r="EV290" i="20"/>
  <c r="EV291" i="20"/>
  <c r="EV292" i="20"/>
  <c r="EV293" i="20"/>
  <c r="EV294" i="20"/>
  <c r="EV295" i="20"/>
  <c r="EV296" i="20"/>
  <c r="EV297" i="20"/>
  <c r="EV298" i="20"/>
  <c r="EV299" i="20"/>
  <c r="EV300" i="20"/>
  <c r="EV301" i="20"/>
  <c r="EV302" i="20"/>
  <c r="EV303" i="20"/>
  <c r="EV304" i="20"/>
  <c r="EV305" i="20"/>
  <c r="EV306" i="20"/>
  <c r="EV307" i="20"/>
  <c r="EV308" i="20"/>
  <c r="EV309" i="20"/>
  <c r="EV310" i="20"/>
  <c r="EV311" i="20"/>
  <c r="EV312" i="20"/>
  <c r="EV313" i="20"/>
  <c r="EV314" i="20"/>
  <c r="EV315" i="20"/>
  <c r="EV316" i="20"/>
  <c r="EV317" i="20"/>
  <c r="EV318" i="20"/>
  <c r="EV319" i="20"/>
  <c r="EV320" i="20"/>
  <c r="EV321" i="20"/>
  <c r="EV322" i="20"/>
  <c r="EV323" i="20"/>
  <c r="EV324" i="20"/>
  <c r="EV325" i="20"/>
  <c r="EV326" i="20"/>
  <c r="EV327" i="20"/>
  <c r="EV328" i="20"/>
  <c r="EV329" i="20"/>
  <c r="EV330" i="20"/>
  <c r="EV331" i="20"/>
  <c r="EV332" i="20"/>
  <c r="EV333" i="20"/>
  <c r="EV334" i="20"/>
  <c r="EV335" i="20"/>
  <c r="EV336" i="20"/>
  <c r="EV337" i="20"/>
  <c r="EV338" i="20"/>
  <c r="EV339" i="20"/>
  <c r="EV340" i="20"/>
  <c r="EV341" i="20"/>
  <c r="EV23" i="21" l="1"/>
  <c r="EV221" i="20"/>
  <c r="EV226" i="20"/>
  <c r="EV19" i="21"/>
  <c r="EV20" i="21"/>
  <c r="EV10" i="21"/>
  <c r="EV11" i="21"/>
  <c r="EV16" i="21"/>
  <c r="EV238" i="20"/>
  <c r="EV15" i="21" s="1"/>
  <c r="EV218" i="20"/>
  <c r="EV230" i="20"/>
  <c r="EV227" i="20"/>
  <c r="EV18" i="21"/>
  <c r="EV17" i="21"/>
  <c r="EV12" i="21"/>
  <c r="EV13" i="21"/>
  <c r="EV21" i="21"/>
  <c r="EV22" i="21"/>
  <c r="EV241" i="20"/>
  <c r="EV237" i="20"/>
  <c r="EV233" i="20"/>
  <c r="EW176" i="20"/>
  <c r="EW227" i="20" s="1"/>
  <c r="EW225" i="20"/>
  <c r="EX175" i="20"/>
  <c r="EW223" i="20"/>
  <c r="EW222" i="20"/>
  <c r="EW230" i="20"/>
  <c r="EW233" i="20"/>
  <c r="EW218" i="20"/>
  <c r="EW234" i="20"/>
  <c r="EW237" i="20"/>
  <c r="EW238" i="20"/>
  <c r="EW214" i="20"/>
  <c r="EW213" i="20"/>
  <c r="EW211" i="20"/>
  <c r="EW242" i="20"/>
  <c r="EW210" i="20"/>
  <c r="EW243" i="20"/>
  <c r="EW207" i="20"/>
  <c r="EW206" i="20"/>
  <c r="EW246" i="20"/>
  <c r="EW205" i="20"/>
  <c r="EW249" i="20"/>
  <c r="EW202" i="20"/>
  <c r="EW250" i="20"/>
  <c r="EW201" i="20"/>
  <c r="EW199" i="20"/>
  <c r="EW198" i="20"/>
  <c r="EW254" i="20"/>
  <c r="EW197" i="20"/>
  <c r="EW195" i="20"/>
  <c r="EW194" i="20"/>
  <c r="EW258" i="20"/>
  <c r="EW193" i="20"/>
  <c r="EW261" i="20"/>
  <c r="EW262" i="20"/>
  <c r="EW190" i="20"/>
  <c r="EW263" i="20"/>
  <c r="EW187" i="20"/>
  <c r="EW186" i="20"/>
  <c r="EW266" i="20"/>
  <c r="EW267" i="20"/>
  <c r="EW183" i="20"/>
  <c r="EW270" i="20"/>
  <c r="EW182" i="20"/>
  <c r="EW181" i="20"/>
  <c r="EW179" i="20"/>
  <c r="EW274" i="20"/>
  <c r="EW178" i="20"/>
  <c r="EW275" i="20"/>
  <c r="EW280" i="20"/>
  <c r="EW281" i="20"/>
  <c r="EW282" i="20"/>
  <c r="EW283" i="20"/>
  <c r="EW288" i="20"/>
  <c r="EW289" i="20"/>
  <c r="EW290" i="20"/>
  <c r="EW291" i="20"/>
  <c r="EW296" i="20"/>
  <c r="EW297" i="20"/>
  <c r="EW298" i="20"/>
  <c r="EW299" i="20"/>
  <c r="EW304" i="20"/>
  <c r="EW305" i="20"/>
  <c r="EW306" i="20"/>
  <c r="EW307" i="20"/>
  <c r="EW312" i="20"/>
  <c r="EW313" i="20"/>
  <c r="EW314" i="20"/>
  <c r="EW315" i="20"/>
  <c r="EW320" i="20"/>
  <c r="EW321" i="20"/>
  <c r="EW322" i="20"/>
  <c r="EW323" i="20"/>
  <c r="EW328" i="20"/>
  <c r="EW329" i="20"/>
  <c r="EW330" i="20"/>
  <c r="EW331" i="20"/>
  <c r="EW336" i="20"/>
  <c r="EW337" i="20"/>
  <c r="EW338" i="20"/>
  <c r="EW339" i="20"/>
  <c r="EW7" i="21"/>
  <c r="EV8" i="21"/>
  <c r="EX176" i="20" l="1"/>
  <c r="EX226" i="20"/>
  <c r="EY175" i="20"/>
  <c r="EX227" i="20"/>
  <c r="EX225" i="20"/>
  <c r="EX224" i="20"/>
  <c r="EX228" i="20"/>
  <c r="EX223" i="20"/>
  <c r="EX229" i="20"/>
  <c r="EX222" i="20"/>
  <c r="EX230" i="20"/>
  <c r="EX221" i="20"/>
  <c r="EX231" i="20"/>
  <c r="EX220" i="20"/>
  <c r="EX232" i="20"/>
  <c r="EX233" i="20"/>
  <c r="EX219" i="20"/>
  <c r="EX218" i="20"/>
  <c r="EX234" i="20"/>
  <c r="EX235" i="20"/>
  <c r="EX217" i="20"/>
  <c r="EX216" i="20"/>
  <c r="EX236" i="20"/>
  <c r="EX215" i="20"/>
  <c r="EX237" i="20"/>
  <c r="EX214" i="20"/>
  <c r="EX238" i="20"/>
  <c r="EX239" i="20"/>
  <c r="EX213" i="20"/>
  <c r="EX212" i="20"/>
  <c r="EX240" i="20"/>
  <c r="EX211" i="20"/>
  <c r="EX241" i="20"/>
  <c r="EX210" i="20"/>
  <c r="EX242" i="20"/>
  <c r="EX209" i="20"/>
  <c r="EX243" i="20"/>
  <c r="EX208" i="20"/>
  <c r="EX244" i="20"/>
  <c r="EX207" i="20"/>
  <c r="EX245" i="20"/>
  <c r="EX206" i="20"/>
  <c r="EX246" i="20"/>
  <c r="EX247" i="20"/>
  <c r="EX205" i="20"/>
  <c r="EX204" i="20"/>
  <c r="EX248" i="20"/>
  <c r="EX203" i="20"/>
  <c r="EX249" i="20"/>
  <c r="EX250" i="20"/>
  <c r="EX202" i="20"/>
  <c r="EX201" i="20"/>
  <c r="EX251" i="20"/>
  <c r="EX200" i="20"/>
  <c r="EX252" i="20"/>
  <c r="EX199" i="20"/>
  <c r="EX253" i="20"/>
  <c r="EX198" i="20"/>
  <c r="EX254" i="20"/>
  <c r="EX197" i="20"/>
  <c r="EX255" i="20"/>
  <c r="EX256" i="20"/>
  <c r="EX196" i="20"/>
  <c r="EX257" i="20"/>
  <c r="EX195" i="20"/>
  <c r="EX258" i="20"/>
  <c r="EX194" i="20"/>
  <c r="EX259" i="20"/>
  <c r="EX193" i="20"/>
  <c r="EX192" i="20"/>
  <c r="EX260" i="20"/>
  <c r="EX261" i="20"/>
  <c r="EX191" i="20"/>
  <c r="EX190" i="20"/>
  <c r="EX262" i="20"/>
  <c r="EX263" i="20"/>
  <c r="EX189" i="20"/>
  <c r="EX188" i="20"/>
  <c r="EX264" i="20"/>
  <c r="EX187" i="20"/>
  <c r="EX265" i="20"/>
  <c r="EX186" i="20"/>
  <c r="EX266" i="20"/>
  <c r="EX267" i="20"/>
  <c r="EX185" i="20"/>
  <c r="EX268" i="20"/>
  <c r="EX184" i="20"/>
  <c r="EX183" i="20"/>
  <c r="EX269" i="20"/>
  <c r="EX182" i="20"/>
  <c r="EX270" i="20"/>
  <c r="EX181" i="20"/>
  <c r="EX271" i="20"/>
  <c r="EX272" i="20"/>
  <c r="EX180" i="20"/>
  <c r="EX179" i="20"/>
  <c r="EX273" i="20"/>
  <c r="EX274" i="20"/>
  <c r="EX178" i="20"/>
  <c r="EX275" i="20"/>
  <c r="EX276" i="20"/>
  <c r="EX277" i="20"/>
  <c r="EX278" i="20"/>
  <c r="EX279" i="20"/>
  <c r="EX280" i="20"/>
  <c r="EX281" i="20"/>
  <c r="EX282" i="20"/>
  <c r="EX283" i="20"/>
  <c r="EX284" i="20"/>
  <c r="EX285" i="20"/>
  <c r="EX286" i="20"/>
  <c r="EX287" i="20"/>
  <c r="EX288" i="20"/>
  <c r="EX289" i="20"/>
  <c r="EX290" i="20"/>
  <c r="EX291" i="20"/>
  <c r="EX292" i="20"/>
  <c r="EX293" i="20"/>
  <c r="EX294" i="20"/>
  <c r="EX295" i="20"/>
  <c r="EX296" i="20"/>
  <c r="EX297" i="20"/>
  <c r="EX298" i="20"/>
  <c r="EX299" i="20"/>
  <c r="EX300" i="20"/>
  <c r="EX301" i="20"/>
  <c r="EX302" i="20"/>
  <c r="EX303" i="20"/>
  <c r="EX304" i="20"/>
  <c r="EX305" i="20"/>
  <c r="EX306" i="20"/>
  <c r="EX307" i="20"/>
  <c r="EX308" i="20"/>
  <c r="EX309" i="20"/>
  <c r="EX310" i="20"/>
  <c r="EX311" i="20"/>
  <c r="EX312" i="20"/>
  <c r="EX313" i="20"/>
  <c r="EX314" i="20"/>
  <c r="EX315" i="20"/>
  <c r="EX316" i="20"/>
  <c r="EX317" i="20"/>
  <c r="EX318" i="20"/>
  <c r="EX319" i="20"/>
  <c r="EX320" i="20"/>
  <c r="EX321" i="20"/>
  <c r="EX322" i="20"/>
  <c r="EX323" i="20"/>
  <c r="EX324" i="20"/>
  <c r="EX325" i="20"/>
  <c r="EX326" i="20"/>
  <c r="EX327" i="20"/>
  <c r="EX328" i="20"/>
  <c r="EX329" i="20"/>
  <c r="EX330" i="20"/>
  <c r="EX331" i="20"/>
  <c r="EX332" i="20"/>
  <c r="EX333" i="20"/>
  <c r="EX334" i="20"/>
  <c r="EX335" i="20"/>
  <c r="EX336" i="20"/>
  <c r="EX337" i="20"/>
  <c r="EX338" i="20"/>
  <c r="EX339" i="20"/>
  <c r="EX340" i="20"/>
  <c r="EX341" i="20"/>
  <c r="EW335" i="20"/>
  <c r="EW273" i="20"/>
  <c r="EW326" i="20"/>
  <c r="EW294" i="20"/>
  <c r="EW272" i="20"/>
  <c r="EW188" i="20"/>
  <c r="EW192" i="20"/>
  <c r="EW196" i="20"/>
  <c r="EW200" i="20"/>
  <c r="EW204" i="20"/>
  <c r="EW208" i="20"/>
  <c r="EW240" i="20"/>
  <c r="EW236" i="20"/>
  <c r="EW220" i="20"/>
  <c r="EW228" i="20"/>
  <c r="EW303" i="20"/>
  <c r="EW8" i="21"/>
  <c r="EX7" i="21"/>
  <c r="EW334" i="20"/>
  <c r="EW23" i="21" s="1"/>
  <c r="EW318" i="20"/>
  <c r="EW310" i="20"/>
  <c r="EW302" i="20"/>
  <c r="EW286" i="20"/>
  <c r="EW278" i="20"/>
  <c r="EW268" i="20"/>
  <c r="EW17" i="21" s="1"/>
  <c r="EW341" i="20"/>
  <c r="EW333" i="20"/>
  <c r="EW325" i="20"/>
  <c r="EW317" i="20"/>
  <c r="EW309" i="20"/>
  <c r="EW301" i="20"/>
  <c r="EW293" i="20"/>
  <c r="EW285" i="20"/>
  <c r="EW277" i="20"/>
  <c r="EW180" i="20"/>
  <c r="EW10" i="21" s="1"/>
  <c r="EW184" i="20"/>
  <c r="EW264" i="20"/>
  <c r="EW260" i="20"/>
  <c r="EW256" i="20"/>
  <c r="EW252" i="20"/>
  <c r="EW248" i="20"/>
  <c r="EW244" i="20"/>
  <c r="EW212" i="20"/>
  <c r="EW216" i="20"/>
  <c r="EW232" i="20"/>
  <c r="EW224" i="20"/>
  <c r="EV14" i="21"/>
  <c r="EW327" i="20"/>
  <c r="EW319" i="20"/>
  <c r="EW311" i="20"/>
  <c r="EW295" i="20"/>
  <c r="EW287" i="20"/>
  <c r="EW279" i="20"/>
  <c r="EW269" i="20"/>
  <c r="EW265" i="20"/>
  <c r="EW191" i="20"/>
  <c r="EW11" i="21" s="1"/>
  <c r="EW257" i="20"/>
  <c r="EW253" i="20"/>
  <c r="EW16" i="21" s="1"/>
  <c r="EW203" i="20"/>
  <c r="EW12" i="21" s="1"/>
  <c r="EW245" i="20"/>
  <c r="EW241" i="20"/>
  <c r="EW215" i="20"/>
  <c r="EW13" i="21" s="1"/>
  <c r="EW219" i="20"/>
  <c r="EW229" i="20"/>
  <c r="EW340" i="20"/>
  <c r="EW332" i="20"/>
  <c r="EW324" i="20"/>
  <c r="EW22" i="21" s="1"/>
  <c r="EW316" i="20"/>
  <c r="EW308" i="20"/>
  <c r="EW300" i="20"/>
  <c r="EW20" i="21" s="1"/>
  <c r="EW292" i="20"/>
  <c r="EW284" i="20"/>
  <c r="EW276" i="20"/>
  <c r="EW18" i="21" s="1"/>
  <c r="EW271" i="20"/>
  <c r="EW185" i="20"/>
  <c r="EW189" i="20"/>
  <c r="EW259" i="20"/>
  <c r="EW255" i="20"/>
  <c r="EW251" i="20"/>
  <c r="EW247" i="20"/>
  <c r="EW209" i="20"/>
  <c r="EW239" i="20"/>
  <c r="EW15" i="21" s="1"/>
  <c r="EW217" i="20"/>
  <c r="EW221" i="20"/>
  <c r="EW226" i="20"/>
  <c r="EW235" i="20"/>
  <c r="EW231" i="20"/>
  <c r="EX17" i="21" l="1"/>
  <c r="EX18" i="21"/>
  <c r="EX11" i="21"/>
  <c r="EX13" i="21"/>
  <c r="EX14" i="21"/>
  <c r="EX22" i="21"/>
  <c r="EX15" i="21"/>
  <c r="EX16" i="21"/>
  <c r="EW19" i="21"/>
  <c r="EX8" i="21"/>
  <c r="EY7" i="21"/>
  <c r="EX10" i="21"/>
  <c r="EW14" i="21"/>
  <c r="EX23" i="21"/>
  <c r="EX21" i="21"/>
  <c r="EX19" i="21"/>
  <c r="EX20" i="21"/>
  <c r="EX12" i="21"/>
  <c r="EY176" i="20"/>
  <c r="EY226" i="20"/>
  <c r="EZ175" i="20"/>
  <c r="EY225" i="20"/>
  <c r="EY227" i="20"/>
  <c r="EY228" i="20"/>
  <c r="EY224" i="20"/>
  <c r="EY229" i="20"/>
  <c r="EY223" i="20"/>
  <c r="EY230" i="20"/>
  <c r="EY222" i="20"/>
  <c r="EY231" i="20"/>
  <c r="EY221" i="20"/>
  <c r="EY220" i="20"/>
  <c r="EY232" i="20"/>
  <c r="EY219" i="20"/>
  <c r="EY233" i="20"/>
  <c r="EY218" i="20"/>
  <c r="EY234" i="20"/>
  <c r="EY217" i="20"/>
  <c r="EY235" i="20"/>
  <c r="EY236" i="20"/>
  <c r="EY216" i="20"/>
  <c r="EY237" i="20"/>
  <c r="EY215" i="20"/>
  <c r="EY238" i="20"/>
  <c r="EY214" i="20"/>
  <c r="EY213" i="20"/>
  <c r="EY239" i="20"/>
  <c r="EY212" i="20"/>
  <c r="EY240" i="20"/>
  <c r="EY211" i="20"/>
  <c r="EY241" i="20"/>
  <c r="EY242" i="20"/>
  <c r="EY210" i="20"/>
  <c r="EY209" i="20"/>
  <c r="EY243" i="20"/>
  <c r="EY208" i="20"/>
  <c r="EY244" i="20"/>
  <c r="EY245" i="20"/>
  <c r="EY207" i="20"/>
  <c r="EY206" i="20"/>
  <c r="EY246" i="20"/>
  <c r="EY205" i="20"/>
  <c r="EY247" i="20"/>
  <c r="EY204" i="20"/>
  <c r="EY248" i="20"/>
  <c r="EY249" i="20"/>
  <c r="EY203" i="20"/>
  <c r="EY202" i="20"/>
  <c r="EY250" i="20"/>
  <c r="EY251" i="20"/>
  <c r="EY201" i="20"/>
  <c r="EY200" i="20"/>
  <c r="EY252" i="20"/>
  <c r="EY199" i="20"/>
  <c r="EY253" i="20"/>
  <c r="EY198" i="20"/>
  <c r="EY254" i="20"/>
  <c r="EY255" i="20"/>
  <c r="EY197" i="20"/>
  <c r="EY256" i="20"/>
  <c r="EY196" i="20"/>
  <c r="EY257" i="20"/>
  <c r="EY195" i="20"/>
  <c r="EY194" i="20"/>
  <c r="EY258" i="20"/>
  <c r="EY193" i="20"/>
  <c r="EY259" i="20"/>
  <c r="EY192" i="20"/>
  <c r="EY260" i="20"/>
  <c r="EY261" i="20"/>
  <c r="EY191" i="20"/>
  <c r="EY190" i="20"/>
  <c r="EY262" i="20"/>
  <c r="EY189" i="20"/>
  <c r="EY263" i="20"/>
  <c r="EY264" i="20"/>
  <c r="EY188" i="20"/>
  <c r="EY187" i="20"/>
  <c r="EY265" i="20"/>
  <c r="EY266" i="20"/>
  <c r="EY186" i="20"/>
  <c r="EY185" i="20"/>
  <c r="EY267" i="20"/>
  <c r="EY268" i="20"/>
  <c r="EY184" i="20"/>
  <c r="EY269" i="20"/>
  <c r="EY183" i="20"/>
  <c r="EY182" i="20"/>
  <c r="EY270" i="20"/>
  <c r="EY181" i="20"/>
  <c r="EY271" i="20"/>
  <c r="EY180" i="20"/>
  <c r="EY272" i="20"/>
  <c r="EY273" i="20"/>
  <c r="EY179" i="20"/>
  <c r="EY178" i="20"/>
  <c r="EY274" i="20"/>
  <c r="EY275" i="20"/>
  <c r="EY276" i="20"/>
  <c r="EY277" i="20"/>
  <c r="EY278" i="20"/>
  <c r="EY279" i="20"/>
  <c r="EY280" i="20"/>
  <c r="EY281" i="20"/>
  <c r="EY282" i="20"/>
  <c r="EY283" i="20"/>
  <c r="EY284" i="20"/>
  <c r="EY285" i="20"/>
  <c r="EY286" i="20"/>
  <c r="EY287" i="20"/>
  <c r="EY288" i="20"/>
  <c r="EY289" i="20"/>
  <c r="EY290" i="20"/>
  <c r="EY291" i="20"/>
  <c r="EY292" i="20"/>
  <c r="EY293" i="20"/>
  <c r="EY294" i="20"/>
  <c r="EY295" i="20"/>
  <c r="EY296" i="20"/>
  <c r="EY297" i="20"/>
  <c r="EY298" i="20"/>
  <c r="EY299" i="20"/>
  <c r="EY300" i="20"/>
  <c r="EY301" i="20"/>
  <c r="EY302" i="20"/>
  <c r="EY303" i="20"/>
  <c r="EY304" i="20"/>
  <c r="EY305" i="20"/>
  <c r="EY306" i="20"/>
  <c r="EY307" i="20"/>
  <c r="EY308" i="20"/>
  <c r="EY309" i="20"/>
  <c r="EY310" i="20"/>
  <c r="EY311" i="20"/>
  <c r="EY312" i="20"/>
  <c r="EY313" i="20"/>
  <c r="EY314" i="20"/>
  <c r="EY315" i="20"/>
  <c r="EY316" i="20"/>
  <c r="EY317" i="20"/>
  <c r="EY318" i="20"/>
  <c r="EY319" i="20"/>
  <c r="EY320" i="20"/>
  <c r="EY321" i="20"/>
  <c r="EY322" i="20"/>
  <c r="EY323" i="20"/>
  <c r="EY324" i="20"/>
  <c r="EY325" i="20"/>
  <c r="EY326" i="20"/>
  <c r="EY327" i="20"/>
  <c r="EY328" i="20"/>
  <c r="EY329" i="20"/>
  <c r="EY330" i="20"/>
  <c r="EY331" i="20"/>
  <c r="EY332" i="20"/>
  <c r="EY333" i="20"/>
  <c r="EY334" i="20"/>
  <c r="EY335" i="20"/>
  <c r="EY336" i="20"/>
  <c r="EY337" i="20"/>
  <c r="EY338" i="20"/>
  <c r="EY339" i="20"/>
  <c r="EY340" i="20"/>
  <c r="EY341" i="20"/>
  <c r="EW21" i="21"/>
  <c r="EY20" i="21" l="1"/>
  <c r="EY16" i="21"/>
  <c r="EY13" i="21"/>
  <c r="EZ176" i="20"/>
  <c r="FA175" i="20"/>
  <c r="EZ226" i="20"/>
  <c r="EZ227" i="20"/>
  <c r="EZ225" i="20"/>
  <c r="EZ228" i="20"/>
  <c r="EZ224" i="20"/>
  <c r="EZ229" i="20"/>
  <c r="EZ223" i="20"/>
  <c r="EZ222" i="20"/>
  <c r="EZ230" i="20"/>
  <c r="EZ221" i="20"/>
  <c r="EZ231" i="20"/>
  <c r="EZ220" i="20"/>
  <c r="EZ232" i="20"/>
  <c r="EZ233" i="20"/>
  <c r="EZ219" i="20"/>
  <c r="EZ234" i="20"/>
  <c r="EZ218" i="20"/>
  <c r="EZ235" i="20"/>
  <c r="EZ217" i="20"/>
  <c r="EZ236" i="20"/>
  <c r="EZ216" i="20"/>
  <c r="EZ215" i="20"/>
  <c r="EZ237" i="20"/>
  <c r="EZ214" i="20"/>
  <c r="EZ238" i="20"/>
  <c r="EZ213" i="20"/>
  <c r="EZ239" i="20"/>
  <c r="EZ212" i="20"/>
  <c r="EZ240" i="20"/>
  <c r="EZ241" i="20"/>
  <c r="EZ211" i="20"/>
  <c r="EZ210" i="20"/>
  <c r="EZ242" i="20"/>
  <c r="EZ243" i="20"/>
  <c r="EZ209" i="20"/>
  <c r="EZ244" i="20"/>
  <c r="EZ208" i="20"/>
  <c r="EZ245" i="20"/>
  <c r="EZ207" i="20"/>
  <c r="EZ246" i="20"/>
  <c r="EZ206" i="20"/>
  <c r="EZ205" i="20"/>
  <c r="EZ247" i="20"/>
  <c r="EZ248" i="20"/>
  <c r="EZ204" i="20"/>
  <c r="EZ249" i="20"/>
  <c r="EZ203" i="20"/>
  <c r="EZ250" i="20"/>
  <c r="EZ202" i="20"/>
  <c r="EZ251" i="20"/>
  <c r="EZ201" i="20"/>
  <c r="EZ200" i="20"/>
  <c r="EZ252" i="20"/>
  <c r="EZ199" i="20"/>
  <c r="EZ253" i="20"/>
  <c r="EZ254" i="20"/>
  <c r="EZ198" i="20"/>
  <c r="EZ197" i="20"/>
  <c r="EZ255" i="20"/>
  <c r="EZ256" i="20"/>
  <c r="EZ196" i="20"/>
  <c r="EZ257" i="20"/>
  <c r="EZ195" i="20"/>
  <c r="EZ258" i="20"/>
  <c r="EZ194" i="20"/>
  <c r="EZ193" i="20"/>
  <c r="EZ259" i="20"/>
  <c r="EZ192" i="20"/>
  <c r="EZ260" i="20"/>
  <c r="EZ191" i="20"/>
  <c r="EZ261" i="20"/>
  <c r="EZ262" i="20"/>
  <c r="EZ190" i="20"/>
  <c r="EZ189" i="20"/>
  <c r="EZ263" i="20"/>
  <c r="EZ188" i="20"/>
  <c r="EZ264" i="20"/>
  <c r="EZ187" i="20"/>
  <c r="EZ265" i="20"/>
  <c r="EZ186" i="20"/>
  <c r="EZ266" i="20"/>
  <c r="EZ267" i="20"/>
  <c r="EZ185" i="20"/>
  <c r="EZ184" i="20"/>
  <c r="EZ268" i="20"/>
  <c r="EZ269" i="20"/>
  <c r="EZ183" i="20"/>
  <c r="EZ182" i="20"/>
  <c r="EZ270" i="20"/>
  <c r="EZ271" i="20"/>
  <c r="EZ181" i="20"/>
  <c r="EZ180" i="20"/>
  <c r="EZ272" i="20"/>
  <c r="EZ273" i="20"/>
  <c r="EZ179" i="20"/>
  <c r="EZ178" i="20"/>
  <c r="EZ274" i="20"/>
  <c r="EZ275" i="20"/>
  <c r="EZ276" i="20"/>
  <c r="EZ277" i="20"/>
  <c r="EZ278" i="20"/>
  <c r="EZ279" i="20"/>
  <c r="EZ280" i="20"/>
  <c r="EZ281" i="20"/>
  <c r="EZ282" i="20"/>
  <c r="EZ283" i="20"/>
  <c r="EZ284" i="20"/>
  <c r="EZ285" i="20"/>
  <c r="EZ286" i="20"/>
  <c r="EZ287" i="20"/>
  <c r="EZ288" i="20"/>
  <c r="EZ289" i="20"/>
  <c r="EZ290" i="20"/>
  <c r="EZ291" i="20"/>
  <c r="EZ292" i="20"/>
  <c r="EZ293" i="20"/>
  <c r="EZ294" i="20"/>
  <c r="EZ295" i="20"/>
  <c r="EZ296" i="20"/>
  <c r="EZ297" i="20"/>
  <c r="EZ298" i="20"/>
  <c r="EZ299" i="20"/>
  <c r="EZ300" i="20"/>
  <c r="EZ301" i="20"/>
  <c r="EZ302" i="20"/>
  <c r="EZ303" i="20"/>
  <c r="EZ304" i="20"/>
  <c r="EZ305" i="20"/>
  <c r="EZ306" i="20"/>
  <c r="EZ307" i="20"/>
  <c r="EZ308" i="20"/>
  <c r="EZ309" i="20"/>
  <c r="EZ310" i="20"/>
  <c r="EZ311" i="20"/>
  <c r="EZ312" i="20"/>
  <c r="EZ313" i="20"/>
  <c r="EZ314" i="20"/>
  <c r="EZ315" i="20"/>
  <c r="EZ316" i="20"/>
  <c r="EZ317" i="20"/>
  <c r="EZ318" i="20"/>
  <c r="EZ319" i="20"/>
  <c r="EZ320" i="20"/>
  <c r="EZ321" i="20"/>
  <c r="EZ322" i="20"/>
  <c r="EZ323" i="20"/>
  <c r="EZ324" i="20"/>
  <c r="EZ325" i="20"/>
  <c r="EZ326" i="20"/>
  <c r="EZ327" i="20"/>
  <c r="EZ328" i="20"/>
  <c r="EZ329" i="20"/>
  <c r="EZ330" i="20"/>
  <c r="EZ331" i="20"/>
  <c r="EZ332" i="20"/>
  <c r="EZ333" i="20"/>
  <c r="EZ334" i="20"/>
  <c r="EZ335" i="20"/>
  <c r="EZ336" i="20"/>
  <c r="EZ337" i="20"/>
  <c r="EZ338" i="20"/>
  <c r="EZ339" i="20"/>
  <c r="EZ340" i="20"/>
  <c r="EZ341" i="20"/>
  <c r="EY12" i="21"/>
  <c r="EY15" i="21"/>
  <c r="EY14" i="21"/>
  <c r="EY18" i="21"/>
  <c r="EY8" i="21"/>
  <c r="EZ7" i="21"/>
  <c r="EY22" i="21"/>
  <c r="EY17" i="21"/>
  <c r="EY10" i="21"/>
  <c r="EY11" i="21"/>
  <c r="EY23" i="21"/>
  <c r="EY21" i="21"/>
  <c r="EY19" i="21"/>
  <c r="FA7" i="21" l="1"/>
  <c r="EZ8" i="21"/>
  <c r="EZ20" i="21"/>
  <c r="EZ11" i="21"/>
  <c r="EZ13" i="21"/>
  <c r="EZ18" i="21"/>
  <c r="EZ10" i="21"/>
  <c r="EZ16" i="21"/>
  <c r="FB175" i="20"/>
  <c r="FA176" i="20"/>
  <c r="FA226" i="20" s="1"/>
  <c r="FA224" i="20"/>
  <c r="FA228" i="20"/>
  <c r="FA223" i="20"/>
  <c r="FA229" i="20"/>
  <c r="FA222" i="20"/>
  <c r="FA232" i="20"/>
  <c r="FA220" i="20"/>
  <c r="FA233" i="20"/>
  <c r="FA219" i="20"/>
  <c r="FA218" i="20"/>
  <c r="FA216" i="20"/>
  <c r="FA236" i="20"/>
  <c r="FA237" i="20"/>
  <c r="FA215" i="20"/>
  <c r="FA214" i="20"/>
  <c r="FA240" i="20"/>
  <c r="FA212" i="20"/>
  <c r="FA211" i="20"/>
  <c r="FA241" i="20"/>
  <c r="FA210" i="20"/>
  <c r="FA208" i="20"/>
  <c r="FA244" i="20"/>
  <c r="FA245" i="20"/>
  <c r="FA207" i="20"/>
  <c r="FA246" i="20"/>
  <c r="FA204" i="20"/>
  <c r="FA248" i="20"/>
  <c r="FA249" i="20"/>
  <c r="FA203" i="20"/>
  <c r="FA202" i="20"/>
  <c r="FA200" i="20"/>
  <c r="FA252" i="20"/>
  <c r="FA199" i="20"/>
  <c r="FA253" i="20"/>
  <c r="FA254" i="20"/>
  <c r="FA256" i="20"/>
  <c r="FA196" i="20"/>
  <c r="FA257" i="20"/>
  <c r="FA195" i="20"/>
  <c r="FA258" i="20"/>
  <c r="FA192" i="20"/>
  <c r="FA260" i="20"/>
  <c r="FA261" i="20"/>
  <c r="FA191" i="20"/>
  <c r="FA190" i="20"/>
  <c r="FA188" i="20"/>
  <c r="FA264" i="20"/>
  <c r="FA265" i="20"/>
  <c r="FA187" i="20"/>
  <c r="FA186" i="20"/>
  <c r="FA184" i="20"/>
  <c r="FA268" i="20"/>
  <c r="FA183" i="20"/>
  <c r="FA269" i="20"/>
  <c r="FA270" i="20"/>
  <c r="FA272" i="20"/>
  <c r="FA180" i="20"/>
  <c r="FA273" i="20"/>
  <c r="FA179" i="20"/>
  <c r="FA274" i="20"/>
  <c r="FA277" i="20"/>
  <c r="FA278" i="20"/>
  <c r="FA279" i="20"/>
  <c r="FA280" i="20"/>
  <c r="FA282" i="20"/>
  <c r="FA285" i="20"/>
  <c r="FA286" i="20"/>
  <c r="FA287" i="20"/>
  <c r="FA288" i="20"/>
  <c r="FA290" i="20"/>
  <c r="FA291" i="20"/>
  <c r="FA293" i="20"/>
  <c r="FA294" i="20"/>
  <c r="FA295" i="20"/>
  <c r="FA296" i="20"/>
  <c r="FA298" i="20"/>
  <c r="FA299" i="20"/>
  <c r="FA301" i="20"/>
  <c r="FA302" i="20"/>
  <c r="FA303" i="20"/>
  <c r="FA304" i="20"/>
  <c r="FA306" i="20"/>
  <c r="FA307" i="20"/>
  <c r="FA309" i="20"/>
  <c r="FA310" i="20"/>
  <c r="FA311" i="20"/>
  <c r="FA312" i="20"/>
  <c r="FA314" i="20"/>
  <c r="FA315" i="20"/>
  <c r="FA317" i="20"/>
  <c r="FA318" i="20"/>
  <c r="FA319" i="20"/>
  <c r="FA320" i="20"/>
  <c r="FA322" i="20"/>
  <c r="FA323" i="20"/>
  <c r="FA325" i="20"/>
  <c r="FA326" i="20"/>
  <c r="FA327" i="20"/>
  <c r="FA328" i="20"/>
  <c r="FA329" i="20"/>
  <c r="FA330" i="20"/>
  <c r="FA331" i="20"/>
  <c r="FA332" i="20"/>
  <c r="FA333" i="20"/>
  <c r="FA334" i="20"/>
  <c r="FA335" i="20"/>
  <c r="FA336" i="20"/>
  <c r="FA337" i="20"/>
  <c r="FA338" i="20"/>
  <c r="FA339" i="20"/>
  <c r="FA340" i="20"/>
  <c r="FA341" i="20"/>
  <c r="EZ15" i="21"/>
  <c r="EZ14" i="21"/>
  <c r="EZ23" i="21"/>
  <c r="EZ21" i="21"/>
  <c r="EZ19" i="21"/>
  <c r="EZ22" i="21"/>
  <c r="EZ12" i="21"/>
  <c r="EZ17" i="21"/>
  <c r="FA324" i="20" l="1"/>
  <c r="FA316" i="20"/>
  <c r="FA308" i="20"/>
  <c r="FA300" i="20"/>
  <c r="FA20" i="21" s="1"/>
  <c r="FA292" i="20"/>
  <c r="FA284" i="20"/>
  <c r="FA276" i="20"/>
  <c r="FA271" i="20"/>
  <c r="FA267" i="20"/>
  <c r="FA189" i="20"/>
  <c r="FA259" i="20"/>
  <c r="FA197" i="20"/>
  <c r="FA201" i="20"/>
  <c r="FA247" i="20"/>
  <c r="FA243" i="20"/>
  <c r="FA239" i="20"/>
  <c r="FA235" i="20"/>
  <c r="FA221" i="20"/>
  <c r="FA227" i="20"/>
  <c r="FA14" i="21" s="1"/>
  <c r="FC175" i="20"/>
  <c r="FB176" i="20"/>
  <c r="FB226" i="20" s="1"/>
  <c r="FB225" i="20"/>
  <c r="FB230" i="20"/>
  <c r="FB222" i="20"/>
  <c r="FB218" i="20"/>
  <c r="FB238" i="20"/>
  <c r="FB214" i="20"/>
  <c r="FB210" i="20"/>
  <c r="FB206" i="20"/>
  <c r="FB250" i="20"/>
  <c r="FB254" i="20"/>
  <c r="FB194" i="20"/>
  <c r="FB262" i="20"/>
  <c r="FB190" i="20"/>
  <c r="FB186" i="20"/>
  <c r="FB266" i="20"/>
  <c r="FB270" i="20"/>
  <c r="FB182" i="20"/>
  <c r="FB178" i="20"/>
  <c r="FB274" i="20"/>
  <c r="FB281" i="20"/>
  <c r="FB282" i="20"/>
  <c r="FB289" i="20"/>
  <c r="FB290" i="20"/>
  <c r="FB297" i="20"/>
  <c r="FB298" i="20"/>
  <c r="FB305" i="20"/>
  <c r="FB306" i="20"/>
  <c r="FB313" i="20"/>
  <c r="FB314" i="20"/>
  <c r="FB321" i="20"/>
  <c r="FB322" i="20"/>
  <c r="FB329" i="20"/>
  <c r="FB330" i="20"/>
  <c r="FB337" i="20"/>
  <c r="FB338" i="20"/>
  <c r="FA283" i="20"/>
  <c r="FA275" i="20"/>
  <c r="FA18" i="21" s="1"/>
  <c r="FA181" i="20"/>
  <c r="FA185" i="20"/>
  <c r="FA263" i="20"/>
  <c r="FA193" i="20"/>
  <c r="FA255" i="20"/>
  <c r="FA251" i="20"/>
  <c r="FA205" i="20"/>
  <c r="FA209" i="20"/>
  <c r="FA12" i="21" s="1"/>
  <c r="FA213" i="20"/>
  <c r="FA217" i="20"/>
  <c r="FA13" i="21" s="1"/>
  <c r="FA231" i="20"/>
  <c r="FA225" i="20"/>
  <c r="FB7" i="21"/>
  <c r="FA8" i="21"/>
  <c r="FA23" i="21"/>
  <c r="FA22" i="21"/>
  <c r="FA321" i="20"/>
  <c r="FA313" i="20"/>
  <c r="FA21" i="21" s="1"/>
  <c r="FA305" i="20"/>
  <c r="FA297" i="20"/>
  <c r="FA289" i="20"/>
  <c r="FA19" i="21" s="1"/>
  <c r="FA281" i="20"/>
  <c r="FA178" i="20"/>
  <c r="FA182" i="20"/>
  <c r="FA266" i="20"/>
  <c r="FA262" i="20"/>
  <c r="FA17" i="21" s="1"/>
  <c r="FA194" i="20"/>
  <c r="FA11" i="21" s="1"/>
  <c r="FA198" i="20"/>
  <c r="FA250" i="20"/>
  <c r="FA16" i="21" s="1"/>
  <c r="FA206" i="20"/>
  <c r="FA242" i="20"/>
  <c r="FA238" i="20"/>
  <c r="FA234" i="20"/>
  <c r="FA230" i="20"/>
  <c r="FC7" i="21" l="1"/>
  <c r="FB8" i="21"/>
  <c r="FB328" i="20"/>
  <c r="FB280" i="20"/>
  <c r="FD175" i="20"/>
  <c r="FC176" i="20"/>
  <c r="FC227" i="20" s="1"/>
  <c r="FC228" i="20"/>
  <c r="FC224" i="20"/>
  <c r="FC229" i="20"/>
  <c r="FC223" i="20"/>
  <c r="FC222" i="20"/>
  <c r="FC220" i="20"/>
  <c r="FC232" i="20"/>
  <c r="FC233" i="20"/>
  <c r="FC219" i="20"/>
  <c r="FC234" i="20"/>
  <c r="FC236" i="20"/>
  <c r="FC216" i="20"/>
  <c r="FC237" i="20"/>
  <c r="FC215" i="20"/>
  <c r="FC214" i="20"/>
  <c r="FC212" i="20"/>
  <c r="FC240" i="20"/>
  <c r="FC241" i="20"/>
  <c r="FC211" i="20"/>
  <c r="FC210" i="20"/>
  <c r="FC208" i="20"/>
  <c r="FC244" i="20"/>
  <c r="FC207" i="20"/>
  <c r="FC245" i="20"/>
  <c r="FC206" i="20"/>
  <c r="FC204" i="20"/>
  <c r="FC248" i="20"/>
  <c r="FC203" i="20"/>
  <c r="FC249" i="20"/>
  <c r="FC202" i="20"/>
  <c r="FC250" i="20"/>
  <c r="FC200" i="20"/>
  <c r="FC252" i="20"/>
  <c r="FC199" i="20"/>
  <c r="FC253" i="20"/>
  <c r="FC198" i="20"/>
  <c r="FC254" i="20"/>
  <c r="FC196" i="20"/>
  <c r="FC256" i="20"/>
  <c r="FC257" i="20"/>
  <c r="FC195" i="20"/>
  <c r="FC258" i="20"/>
  <c r="FC194" i="20"/>
  <c r="FC260" i="20"/>
  <c r="FC192" i="20"/>
  <c r="FC261" i="20"/>
  <c r="FC191" i="20"/>
  <c r="FC190" i="20"/>
  <c r="FC262" i="20"/>
  <c r="FC264" i="20"/>
  <c r="FC188" i="20"/>
  <c r="FC187" i="20"/>
  <c r="FC265" i="20"/>
  <c r="FC186" i="20"/>
  <c r="FC266" i="20"/>
  <c r="FC184" i="20"/>
  <c r="FC268" i="20"/>
  <c r="FC269" i="20"/>
  <c r="FC183" i="20"/>
  <c r="FC182" i="20"/>
  <c r="FC270" i="20"/>
  <c r="FC180" i="20"/>
  <c r="FC272" i="20"/>
  <c r="FC273" i="20"/>
  <c r="FC179" i="20"/>
  <c r="FC274" i="20"/>
  <c r="FC178" i="20"/>
  <c r="FC275" i="20"/>
  <c r="FC276" i="20"/>
  <c r="FC277" i="20"/>
  <c r="FC278" i="20"/>
  <c r="FC279" i="20"/>
  <c r="FC280" i="20"/>
  <c r="FC281" i="20"/>
  <c r="FC282" i="20"/>
  <c r="FC283" i="20"/>
  <c r="FC284" i="20"/>
  <c r="FC285" i="20"/>
  <c r="FC286" i="20"/>
  <c r="FC287" i="20"/>
  <c r="FC288" i="20"/>
  <c r="FC289" i="20"/>
  <c r="FC290" i="20"/>
  <c r="FC291" i="20"/>
  <c r="FC292" i="20"/>
  <c r="FC293" i="20"/>
  <c r="FC294" i="20"/>
  <c r="FC295" i="20"/>
  <c r="FC296" i="20"/>
  <c r="FC297" i="20"/>
  <c r="FC298" i="20"/>
  <c r="FC299" i="20"/>
  <c r="FC300" i="20"/>
  <c r="FC301" i="20"/>
  <c r="FC302" i="20"/>
  <c r="FC303" i="20"/>
  <c r="FC304" i="20"/>
  <c r="FC305" i="20"/>
  <c r="FC306" i="20"/>
  <c r="FC307" i="20"/>
  <c r="FC308" i="20"/>
  <c r="FC309" i="20"/>
  <c r="FC310" i="20"/>
  <c r="FC311" i="20"/>
  <c r="FC312" i="20"/>
  <c r="FC313" i="20"/>
  <c r="FC314" i="20"/>
  <c r="FC315" i="20"/>
  <c r="FC316" i="20"/>
  <c r="FC317" i="20"/>
  <c r="FC318" i="20"/>
  <c r="FC319" i="20"/>
  <c r="FC320" i="20"/>
  <c r="FC321" i="20"/>
  <c r="FC322" i="20"/>
  <c r="FC323" i="20"/>
  <c r="FC324" i="20"/>
  <c r="FC325" i="20"/>
  <c r="FC326" i="20"/>
  <c r="FC327" i="20"/>
  <c r="FC328" i="20"/>
  <c r="FC329" i="20"/>
  <c r="FC330" i="20"/>
  <c r="FC331" i="20"/>
  <c r="FC332" i="20"/>
  <c r="FC333" i="20"/>
  <c r="FC334" i="20"/>
  <c r="FC335" i="20"/>
  <c r="FC336" i="20"/>
  <c r="FC337" i="20"/>
  <c r="FC338" i="20"/>
  <c r="FC339" i="20"/>
  <c r="FC340" i="20"/>
  <c r="FC341" i="20"/>
  <c r="FB335" i="20"/>
  <c r="FB319" i="20"/>
  <c r="FB311" i="20"/>
  <c r="FB303" i="20"/>
  <c r="FB287" i="20"/>
  <c r="FB279" i="20"/>
  <c r="FB179" i="20"/>
  <c r="FB269" i="20"/>
  <c r="FB187" i="20"/>
  <c r="FB191" i="20"/>
  <c r="FB11" i="21" s="1"/>
  <c r="FB195" i="20"/>
  <c r="FB199" i="20"/>
  <c r="FB203" i="20"/>
  <c r="FB245" i="20"/>
  <c r="FB211" i="20"/>
  <c r="FB215" i="20"/>
  <c r="FB13" i="21" s="1"/>
  <c r="FB233" i="20"/>
  <c r="FB334" i="20"/>
  <c r="FB23" i="21" s="1"/>
  <c r="FB326" i="20"/>
  <c r="FB318" i="20"/>
  <c r="FB310" i="20"/>
  <c r="FB302" i="20"/>
  <c r="FB294" i="20"/>
  <c r="FB286" i="20"/>
  <c r="FB278" i="20"/>
  <c r="FB272" i="20"/>
  <c r="FB184" i="20"/>
  <c r="FB264" i="20"/>
  <c r="FB260" i="20"/>
  <c r="FB196" i="20"/>
  <c r="FB200" i="20"/>
  <c r="FB204" i="20"/>
  <c r="FB208" i="20"/>
  <c r="FB212" i="20"/>
  <c r="FB236" i="20"/>
  <c r="FB232" i="20"/>
  <c r="FB224" i="20"/>
  <c r="FB258" i="20"/>
  <c r="FB198" i="20"/>
  <c r="FB202" i="20"/>
  <c r="FB12" i="21" s="1"/>
  <c r="FB246" i="20"/>
  <c r="FB242" i="20"/>
  <c r="FB234" i="20"/>
  <c r="FB336" i="20"/>
  <c r="FB312" i="20"/>
  <c r="FB304" i="20"/>
  <c r="FB288" i="20"/>
  <c r="FB183" i="20"/>
  <c r="FB265" i="20"/>
  <c r="FB261" i="20"/>
  <c r="FB253" i="20"/>
  <c r="FB249" i="20"/>
  <c r="FB207" i="20"/>
  <c r="FB241" i="20"/>
  <c r="FB237" i="20"/>
  <c r="FB219" i="20"/>
  <c r="FB223" i="20"/>
  <c r="FB327" i="20"/>
  <c r="FB295" i="20"/>
  <c r="FB229" i="20"/>
  <c r="FA15" i="21"/>
  <c r="FB341" i="20"/>
  <c r="FB333" i="20"/>
  <c r="FB325" i="20"/>
  <c r="FB317" i="20"/>
  <c r="FB309" i="20"/>
  <c r="FB301" i="20"/>
  <c r="FB293" i="20"/>
  <c r="FB285" i="20"/>
  <c r="FB277" i="20"/>
  <c r="FB180" i="20"/>
  <c r="FB10" i="21" s="1"/>
  <c r="FB268" i="20"/>
  <c r="FB188" i="20"/>
  <c r="FB192" i="20"/>
  <c r="FB256" i="20"/>
  <c r="FB252" i="20"/>
  <c r="FB248" i="20"/>
  <c r="FB244" i="20"/>
  <c r="FB240" i="20"/>
  <c r="FB216" i="20"/>
  <c r="FB220" i="20"/>
  <c r="FB228" i="20"/>
  <c r="FB320" i="20"/>
  <c r="FB296" i="20"/>
  <c r="FB273" i="20"/>
  <c r="FB257" i="20"/>
  <c r="FB340" i="20"/>
  <c r="FB332" i="20"/>
  <c r="FB324" i="20"/>
  <c r="FB316" i="20"/>
  <c r="FB308" i="20"/>
  <c r="FB300" i="20"/>
  <c r="FB292" i="20"/>
  <c r="FB284" i="20"/>
  <c r="FB276" i="20"/>
  <c r="FB271" i="20"/>
  <c r="FB267" i="20"/>
  <c r="FB189" i="20"/>
  <c r="FB259" i="20"/>
  <c r="FB197" i="20"/>
  <c r="FB251" i="20"/>
  <c r="FB16" i="21" s="1"/>
  <c r="FB247" i="20"/>
  <c r="FB15" i="21" s="1"/>
  <c r="FB243" i="20"/>
  <c r="FB239" i="20"/>
  <c r="FB217" i="20"/>
  <c r="FB231" i="20"/>
  <c r="FB227" i="20"/>
  <c r="FB14" i="21" s="1"/>
  <c r="FA10" i="21"/>
  <c r="FB339" i="20"/>
  <c r="FB331" i="20"/>
  <c r="FB323" i="20"/>
  <c r="FB22" i="21" s="1"/>
  <c r="FB315" i="20"/>
  <c r="FB307" i="20"/>
  <c r="FB299" i="20"/>
  <c r="FB20" i="21" s="1"/>
  <c r="FB291" i="20"/>
  <c r="FB283" i="20"/>
  <c r="FB275" i="20"/>
  <c r="FB18" i="21" s="1"/>
  <c r="FB181" i="20"/>
  <c r="FB185" i="20"/>
  <c r="FB263" i="20"/>
  <c r="FB17" i="21" s="1"/>
  <c r="FB193" i="20"/>
  <c r="FB255" i="20"/>
  <c r="FB201" i="20"/>
  <c r="FB205" i="20"/>
  <c r="FB209" i="20"/>
  <c r="FB213" i="20"/>
  <c r="FB235" i="20"/>
  <c r="FB221" i="20"/>
  <c r="FC21" i="21" l="1"/>
  <c r="FB19" i="21"/>
  <c r="FC271" i="20"/>
  <c r="FC185" i="20"/>
  <c r="FC263" i="20"/>
  <c r="FC193" i="20"/>
  <c r="FC255" i="20"/>
  <c r="FC251" i="20"/>
  <c r="FC16" i="21" s="1"/>
  <c r="FC205" i="20"/>
  <c r="FC243" i="20"/>
  <c r="FC239" i="20"/>
  <c r="FC235" i="20"/>
  <c r="FC221" i="20"/>
  <c r="FC225" i="20"/>
  <c r="FD7" i="21"/>
  <c r="FC8" i="21"/>
  <c r="FC181" i="20"/>
  <c r="FC267" i="20"/>
  <c r="FC189" i="20"/>
  <c r="FC259" i="20"/>
  <c r="FC197" i="20"/>
  <c r="FC201" i="20"/>
  <c r="FC247" i="20"/>
  <c r="FC209" i="20"/>
  <c r="FC12" i="21" s="1"/>
  <c r="FC213" i="20"/>
  <c r="FC217" i="20"/>
  <c r="FC231" i="20"/>
  <c r="FC226" i="20"/>
  <c r="FD176" i="20"/>
  <c r="FD228" i="20" s="1"/>
  <c r="FE175" i="20"/>
  <c r="FD226" i="20"/>
  <c r="FD225" i="20"/>
  <c r="FD227" i="20"/>
  <c r="FD224" i="20"/>
  <c r="FD223" i="20"/>
  <c r="FD229" i="20"/>
  <c r="FD222" i="20"/>
  <c r="FD230" i="20"/>
  <c r="FD231" i="20"/>
  <c r="FD221" i="20"/>
  <c r="FD220" i="20"/>
  <c r="FD233" i="20"/>
  <c r="FD219" i="20"/>
  <c r="FD218" i="20"/>
  <c r="FD234" i="20"/>
  <c r="FD235" i="20"/>
  <c r="FD217" i="20"/>
  <c r="FD216" i="20"/>
  <c r="FD215" i="20"/>
  <c r="FD237" i="20"/>
  <c r="FD214" i="20"/>
  <c r="FD238" i="20"/>
  <c r="FD239" i="20"/>
  <c r="FD213" i="20"/>
  <c r="FD212" i="20"/>
  <c r="FD211" i="20"/>
  <c r="FD241" i="20"/>
  <c r="FD210" i="20"/>
  <c r="FD242" i="20"/>
  <c r="FD243" i="20"/>
  <c r="FD209" i="20"/>
  <c r="FD208" i="20"/>
  <c r="FD245" i="20"/>
  <c r="FD207" i="20"/>
  <c r="FD246" i="20"/>
  <c r="FD206" i="20"/>
  <c r="FD247" i="20"/>
  <c r="FD205" i="20"/>
  <c r="FD248" i="20"/>
  <c r="FD249" i="20"/>
  <c r="FD203" i="20"/>
  <c r="FD250" i="20"/>
  <c r="FD202" i="20"/>
  <c r="FD201" i="20"/>
  <c r="FD251" i="20"/>
  <c r="FD200" i="20"/>
  <c r="FD199" i="20"/>
  <c r="FD253" i="20"/>
  <c r="FD198" i="20"/>
  <c r="FD254" i="20"/>
  <c r="FD255" i="20"/>
  <c r="FD197" i="20"/>
  <c r="FD196" i="20"/>
  <c r="FD256" i="20"/>
  <c r="FD257" i="20"/>
  <c r="FD195" i="20"/>
  <c r="FD258" i="20"/>
  <c r="FD194" i="20"/>
  <c r="FD193" i="20"/>
  <c r="FD259" i="20"/>
  <c r="FD192" i="20"/>
  <c r="FD260" i="20"/>
  <c r="FD261" i="20"/>
  <c r="FD191" i="20"/>
  <c r="FD262" i="20"/>
  <c r="FD190" i="20"/>
  <c r="FD263" i="20"/>
  <c r="FD189" i="20"/>
  <c r="FD264" i="20"/>
  <c r="FD188" i="20"/>
  <c r="FD187" i="20"/>
  <c r="FD265" i="20"/>
  <c r="FD186" i="20"/>
  <c r="FD266" i="20"/>
  <c r="FD185" i="20"/>
  <c r="FD267" i="20"/>
  <c r="FD184" i="20"/>
  <c r="FD268" i="20"/>
  <c r="FD183" i="20"/>
  <c r="FD269" i="20"/>
  <c r="FD182" i="20"/>
  <c r="FD270" i="20"/>
  <c r="FD271" i="20"/>
  <c r="FD181" i="20"/>
  <c r="FD272" i="20"/>
  <c r="FD180" i="20"/>
  <c r="FD273" i="20"/>
  <c r="FD179" i="20"/>
  <c r="FD274" i="20"/>
  <c r="FD178" i="20"/>
  <c r="FD275" i="20"/>
  <c r="FD276" i="20"/>
  <c r="FD277" i="20"/>
  <c r="FD278" i="20"/>
  <c r="FD279" i="20"/>
  <c r="FD280" i="20"/>
  <c r="FD281" i="20"/>
  <c r="FD282" i="20"/>
  <c r="FD283" i="20"/>
  <c r="FD284" i="20"/>
  <c r="FD285" i="20"/>
  <c r="FD286" i="20"/>
  <c r="FD287" i="20"/>
  <c r="FD288" i="20"/>
  <c r="FD289" i="20"/>
  <c r="FD290" i="20"/>
  <c r="FD291" i="20"/>
  <c r="FD292" i="20"/>
  <c r="FD293" i="20"/>
  <c r="FD294" i="20"/>
  <c r="FD295" i="20"/>
  <c r="FD296" i="20"/>
  <c r="FD297" i="20"/>
  <c r="FD298" i="20"/>
  <c r="FD299" i="20"/>
  <c r="FD300" i="20"/>
  <c r="FD301" i="20"/>
  <c r="FD302" i="20"/>
  <c r="FD303" i="20"/>
  <c r="FD304" i="20"/>
  <c r="FD305" i="20"/>
  <c r="FD306" i="20"/>
  <c r="FD307" i="20"/>
  <c r="FD308" i="20"/>
  <c r="FD309" i="20"/>
  <c r="FD310" i="20"/>
  <c r="FD311" i="20"/>
  <c r="FD312" i="20"/>
  <c r="FD313" i="20"/>
  <c r="FD314" i="20"/>
  <c r="FD315" i="20"/>
  <c r="FD316" i="20"/>
  <c r="FD317" i="20"/>
  <c r="FD318" i="20"/>
  <c r="FD319" i="20"/>
  <c r="FD320" i="20"/>
  <c r="FD321" i="20"/>
  <c r="FD322" i="20"/>
  <c r="FD323" i="20"/>
  <c r="FD324" i="20"/>
  <c r="FD325" i="20"/>
  <c r="FD326" i="20"/>
  <c r="FD327" i="20"/>
  <c r="FD328" i="20"/>
  <c r="FD329" i="20"/>
  <c r="FD330" i="20"/>
  <c r="FD331" i="20"/>
  <c r="FD332" i="20"/>
  <c r="FD333" i="20"/>
  <c r="FD334" i="20"/>
  <c r="FD335" i="20"/>
  <c r="FD336" i="20"/>
  <c r="FD337" i="20"/>
  <c r="FD338" i="20"/>
  <c r="FD339" i="20"/>
  <c r="FD340" i="20"/>
  <c r="FD341" i="20"/>
  <c r="FC23" i="21"/>
  <c r="FB21" i="21"/>
  <c r="FC22" i="21"/>
  <c r="FC20" i="21"/>
  <c r="FC10" i="21"/>
  <c r="FC17" i="21"/>
  <c r="FC246" i="20"/>
  <c r="FC242" i="20"/>
  <c r="FC238" i="20"/>
  <c r="FC218" i="20"/>
  <c r="FC230" i="20"/>
  <c r="FC19" i="21"/>
  <c r="FC18" i="21"/>
  <c r="FC11" i="21"/>
  <c r="FC13" i="21"/>
  <c r="FD20" i="21" l="1"/>
  <c r="FE7" i="21"/>
  <c r="FD8" i="21"/>
  <c r="FD18" i="21"/>
  <c r="FD17" i="21"/>
  <c r="FD13" i="21"/>
  <c r="FE176" i="20"/>
  <c r="FE222" i="20" s="1"/>
  <c r="FF175" i="20"/>
  <c r="FE225" i="20"/>
  <c r="FE224" i="20"/>
  <c r="FE228" i="20"/>
  <c r="FE229" i="20"/>
  <c r="FE223" i="20"/>
  <c r="FE231" i="20"/>
  <c r="FE232" i="20"/>
  <c r="FE220" i="20"/>
  <c r="FE233" i="20"/>
  <c r="FE219" i="20"/>
  <c r="FE235" i="20"/>
  <c r="FE216" i="20"/>
  <c r="FE236" i="20"/>
  <c r="FE237" i="20"/>
  <c r="FE215" i="20"/>
  <c r="FE213" i="20"/>
  <c r="FE240" i="20"/>
  <c r="FE212" i="20"/>
  <c r="FE241" i="20"/>
  <c r="FE211" i="20"/>
  <c r="FE209" i="20"/>
  <c r="FE208" i="20"/>
  <c r="FE244" i="20"/>
  <c r="FE207" i="20"/>
  <c r="FE245" i="20"/>
  <c r="FE247" i="20"/>
  <c r="FE248" i="20"/>
  <c r="FE204" i="20"/>
  <c r="FE249" i="20"/>
  <c r="FE203" i="20"/>
  <c r="FE251" i="20"/>
  <c r="FE252" i="20"/>
  <c r="FE200" i="20"/>
  <c r="FE253" i="20"/>
  <c r="FE199" i="20"/>
  <c r="FE197" i="20"/>
  <c r="FE256" i="20"/>
  <c r="FE196" i="20"/>
  <c r="FE257" i="20"/>
  <c r="FE195" i="20"/>
  <c r="FE193" i="20"/>
  <c r="FE260" i="20"/>
  <c r="FE192" i="20"/>
  <c r="FE191" i="20"/>
  <c r="FE261" i="20"/>
  <c r="FE263" i="20"/>
  <c r="FE264" i="20"/>
  <c r="FE188" i="20"/>
  <c r="FE187" i="20"/>
  <c r="FE265" i="20"/>
  <c r="FE267" i="20"/>
  <c r="FE184" i="20"/>
  <c r="FE268" i="20"/>
  <c r="FE269" i="20"/>
  <c r="FE183" i="20"/>
  <c r="FE271" i="20"/>
  <c r="FE272" i="20"/>
  <c r="FE180" i="20"/>
  <c r="FE179" i="20"/>
  <c r="FE273" i="20"/>
  <c r="FE276" i="20"/>
  <c r="FE277" i="20"/>
  <c r="FE278" i="20"/>
  <c r="FE279" i="20"/>
  <c r="FE280" i="20"/>
  <c r="FE284" i="20"/>
  <c r="FE285" i="20"/>
  <c r="FE286" i="20"/>
  <c r="FE287" i="20"/>
  <c r="FE288" i="20"/>
  <c r="FE292" i="20"/>
  <c r="FE293" i="20"/>
  <c r="FE294" i="20"/>
  <c r="FE295" i="20"/>
  <c r="FE296" i="20"/>
  <c r="FE300" i="20"/>
  <c r="FE301" i="20"/>
  <c r="FE302" i="20"/>
  <c r="FE303" i="20"/>
  <c r="FE304" i="20"/>
  <c r="FE308" i="20"/>
  <c r="FE309" i="20"/>
  <c r="FE310" i="20"/>
  <c r="FE311" i="20"/>
  <c r="FE312" i="20"/>
  <c r="FE316" i="20"/>
  <c r="FE317" i="20"/>
  <c r="FE318" i="20"/>
  <c r="FE319" i="20"/>
  <c r="FE320" i="20"/>
  <c r="FE324" i="20"/>
  <c r="FE325" i="20"/>
  <c r="FE326" i="20"/>
  <c r="FE327" i="20"/>
  <c r="FE328" i="20"/>
  <c r="FE332" i="20"/>
  <c r="FE333" i="20"/>
  <c r="FE334" i="20"/>
  <c r="FE335" i="20"/>
  <c r="FE336" i="20"/>
  <c r="FE340" i="20"/>
  <c r="FE341" i="20"/>
  <c r="FD22" i="21"/>
  <c r="FD11" i="21"/>
  <c r="FD14" i="21"/>
  <c r="FC15" i="21"/>
  <c r="FC14" i="21"/>
  <c r="FD23" i="21"/>
  <c r="FD21" i="21"/>
  <c r="FD19" i="21"/>
  <c r="FD252" i="20"/>
  <c r="FD16" i="21" s="1"/>
  <c r="FD204" i="20"/>
  <c r="FD12" i="21" s="1"/>
  <c r="FD244" i="20"/>
  <c r="FD240" i="20"/>
  <c r="FD15" i="21" s="1"/>
  <c r="FD236" i="20"/>
  <c r="FD232" i="20"/>
  <c r="FD10" i="21"/>
  <c r="FE339" i="20" l="1"/>
  <c r="FE331" i="20"/>
  <c r="FE323" i="20"/>
  <c r="FE315" i="20"/>
  <c r="FE307" i="20"/>
  <c r="FE299" i="20"/>
  <c r="FE291" i="20"/>
  <c r="FE19" i="21" s="1"/>
  <c r="FE283" i="20"/>
  <c r="FE275" i="20"/>
  <c r="FE181" i="20"/>
  <c r="FE185" i="20"/>
  <c r="FE189" i="20"/>
  <c r="FE259" i="20"/>
  <c r="FE255" i="20"/>
  <c r="FE201" i="20"/>
  <c r="FE205" i="20"/>
  <c r="FE243" i="20"/>
  <c r="FE239" i="20"/>
  <c r="FE217" i="20"/>
  <c r="FE221" i="20"/>
  <c r="FE227" i="20"/>
  <c r="FE338" i="20"/>
  <c r="FE330" i="20"/>
  <c r="FE322" i="20"/>
  <c r="FE314" i="20"/>
  <c r="FE306" i="20"/>
  <c r="FE298" i="20"/>
  <c r="FE290" i="20"/>
  <c r="FE282" i="20"/>
  <c r="FE274" i="20"/>
  <c r="FE18" i="21" s="1"/>
  <c r="FE270" i="20"/>
  <c r="FE186" i="20"/>
  <c r="FE190" i="20"/>
  <c r="FE258" i="20"/>
  <c r="FE254" i="20"/>
  <c r="FE250" i="20"/>
  <c r="FE246" i="20"/>
  <c r="FE210" i="20"/>
  <c r="FE214" i="20"/>
  <c r="FE234" i="20"/>
  <c r="FE230" i="20"/>
  <c r="FE226" i="20"/>
  <c r="FE8" i="21"/>
  <c r="FF7" i="21"/>
  <c r="FE337" i="20"/>
  <c r="FE23" i="21" s="1"/>
  <c r="FE329" i="20"/>
  <c r="FE321" i="20"/>
  <c r="FE313" i="20"/>
  <c r="FE305" i="20"/>
  <c r="FE297" i="20"/>
  <c r="FE289" i="20"/>
  <c r="FE281" i="20"/>
  <c r="FE178" i="20"/>
  <c r="FE182" i="20"/>
  <c r="FE266" i="20"/>
  <c r="FE262" i="20"/>
  <c r="FE194" i="20"/>
  <c r="FE198" i="20"/>
  <c r="FE202" i="20"/>
  <c r="FE206" i="20"/>
  <c r="FE242" i="20"/>
  <c r="FE238" i="20"/>
  <c r="FE15" i="21" s="1"/>
  <c r="FE218" i="20"/>
  <c r="FF176" i="20"/>
  <c r="FF226" i="20" s="1"/>
  <c r="FG175" i="20"/>
  <c r="FF227" i="20"/>
  <c r="FF228" i="20"/>
  <c r="FF224" i="20"/>
  <c r="FF229" i="20"/>
  <c r="FF223" i="20"/>
  <c r="FF221" i="20"/>
  <c r="FF231" i="20"/>
  <c r="FF220" i="20"/>
  <c r="FF232" i="20"/>
  <c r="FF219" i="20"/>
  <c r="FF233" i="20"/>
  <c r="FF235" i="20"/>
  <c r="FF217" i="20"/>
  <c r="FF216" i="20"/>
  <c r="FF236" i="20"/>
  <c r="FF237" i="20"/>
  <c r="FF215" i="20"/>
  <c r="FF239" i="20"/>
  <c r="FF213" i="20"/>
  <c r="FF212" i="20"/>
  <c r="FF240" i="20"/>
  <c r="FF241" i="20"/>
  <c r="FF211" i="20"/>
  <c r="FF243" i="20"/>
  <c r="FF209" i="20"/>
  <c r="FF208" i="20"/>
  <c r="FF244" i="20"/>
  <c r="FF207" i="20"/>
  <c r="FF245" i="20"/>
  <c r="FF205" i="20"/>
  <c r="FF247" i="20"/>
  <c r="FF204" i="20"/>
  <c r="FF248" i="20"/>
  <c r="FF249" i="20"/>
  <c r="FF203" i="20"/>
  <c r="FF201" i="20"/>
  <c r="FF251" i="20"/>
  <c r="FF200" i="20"/>
  <c r="FF252" i="20"/>
  <c r="FF199" i="20"/>
  <c r="FF253" i="20"/>
  <c r="FF255" i="20"/>
  <c r="FF197" i="20"/>
  <c r="FF196" i="20"/>
  <c r="FF256" i="20"/>
  <c r="FF195" i="20"/>
  <c r="FF257" i="20"/>
  <c r="FF259" i="20"/>
  <c r="FF193" i="20"/>
  <c r="FF260" i="20"/>
  <c r="FF192" i="20"/>
  <c r="FF191" i="20"/>
  <c r="FF261" i="20"/>
  <c r="FF263" i="20"/>
  <c r="FF189" i="20"/>
  <c r="FF188" i="20"/>
  <c r="FF264" i="20"/>
  <c r="FF187" i="20"/>
  <c r="FF265" i="20"/>
  <c r="FF267" i="20"/>
  <c r="FF185" i="20"/>
  <c r="FF268" i="20"/>
  <c r="FF184" i="20"/>
  <c r="FF269" i="20"/>
  <c r="FF183" i="20"/>
  <c r="FF271" i="20"/>
  <c r="FF181" i="20"/>
  <c r="FF180" i="20"/>
  <c r="FF272" i="20"/>
  <c r="FF179" i="20"/>
  <c r="FF273" i="20"/>
  <c r="FF275" i="20"/>
  <c r="FF276" i="20"/>
  <c r="FF277" i="20"/>
  <c r="FF278" i="20"/>
  <c r="FF279" i="20"/>
  <c r="FF280" i="20"/>
  <c r="FF283" i="20"/>
  <c r="FF284" i="20"/>
  <c r="FF285" i="20"/>
  <c r="FF286" i="20"/>
  <c r="FF287" i="20"/>
  <c r="FF288" i="20"/>
  <c r="FF291" i="20"/>
  <c r="FF292" i="20"/>
  <c r="FF293" i="20"/>
  <c r="FF294" i="20"/>
  <c r="FF295" i="20"/>
  <c r="FF296" i="20"/>
  <c r="FF299" i="20"/>
  <c r="FF300" i="20"/>
  <c r="FF301" i="20"/>
  <c r="FF302" i="20"/>
  <c r="FF303" i="20"/>
  <c r="FF304" i="20"/>
  <c r="FF307" i="20"/>
  <c r="FF308" i="20"/>
  <c r="FF309" i="20"/>
  <c r="FF310" i="20"/>
  <c r="FF311" i="20"/>
  <c r="FF312" i="20"/>
  <c r="FF315" i="20"/>
  <c r="FF316" i="20"/>
  <c r="FF317" i="20"/>
  <c r="FF318" i="20"/>
  <c r="FF319" i="20"/>
  <c r="FF320" i="20"/>
  <c r="FF323" i="20"/>
  <c r="FF324" i="20"/>
  <c r="FF325" i="20"/>
  <c r="FF326" i="20"/>
  <c r="FF327" i="20"/>
  <c r="FF328" i="20"/>
  <c r="FF331" i="20"/>
  <c r="FF332" i="20"/>
  <c r="FF333" i="20"/>
  <c r="FF334" i="20"/>
  <c r="FF335" i="20"/>
  <c r="FF336" i="20"/>
  <c r="FF339" i="20"/>
  <c r="FF340" i="20"/>
  <c r="FF341" i="20"/>
  <c r="FE21" i="21"/>
  <c r="FE16" i="21" l="1"/>
  <c r="FG176" i="20"/>
  <c r="FG226" i="20"/>
  <c r="FG225" i="20"/>
  <c r="FH175" i="20"/>
  <c r="FG227" i="20"/>
  <c r="FG224" i="20"/>
  <c r="FG228" i="20"/>
  <c r="FG223" i="20"/>
  <c r="FG229" i="20"/>
  <c r="FG230" i="20"/>
  <c r="FG222" i="20"/>
  <c r="FG231" i="20"/>
  <c r="FG221" i="20"/>
  <c r="FG232" i="20"/>
  <c r="FG220" i="20"/>
  <c r="FG233" i="20"/>
  <c r="FG219" i="20"/>
  <c r="FG234" i="20"/>
  <c r="FG218" i="20"/>
  <c r="FG217" i="20"/>
  <c r="FG235" i="20"/>
  <c r="FG236" i="20"/>
  <c r="FG216" i="20"/>
  <c r="FG237" i="20"/>
  <c r="FG215" i="20"/>
  <c r="FG238" i="20"/>
  <c r="FG214" i="20"/>
  <c r="FG239" i="20"/>
  <c r="FG213" i="20"/>
  <c r="FG212" i="20"/>
  <c r="FG240" i="20"/>
  <c r="FG211" i="20"/>
  <c r="FG241" i="20"/>
  <c r="FG242" i="20"/>
  <c r="FG210" i="20"/>
  <c r="FG209" i="20"/>
  <c r="FG243" i="20"/>
  <c r="FG208" i="20"/>
  <c r="FG244" i="20"/>
  <c r="FG207" i="20"/>
  <c r="FG245" i="20"/>
  <c r="FG206" i="20"/>
  <c r="FG246" i="20"/>
  <c r="FG205" i="20"/>
  <c r="FG247" i="20"/>
  <c r="FG204" i="20"/>
  <c r="FG248" i="20"/>
  <c r="FG249" i="20"/>
  <c r="FG203" i="20"/>
  <c r="FG202" i="20"/>
  <c r="FG250" i="20"/>
  <c r="FG201" i="20"/>
  <c r="FG251" i="20"/>
  <c r="FG200" i="20"/>
  <c r="FG252" i="20"/>
  <c r="FG253" i="20"/>
  <c r="FG199" i="20"/>
  <c r="FG254" i="20"/>
  <c r="FG198" i="20"/>
  <c r="FG197" i="20"/>
  <c r="FG255" i="20"/>
  <c r="FG196" i="20"/>
  <c r="FG256" i="20"/>
  <c r="FG257" i="20"/>
  <c r="FG195" i="20"/>
  <c r="FG194" i="20"/>
  <c r="FG258" i="20"/>
  <c r="FG259" i="20"/>
  <c r="FG193" i="20"/>
  <c r="FG192" i="20"/>
  <c r="FG260" i="20"/>
  <c r="FG191" i="20"/>
  <c r="FG261" i="20"/>
  <c r="FG262" i="20"/>
  <c r="FG190" i="20"/>
  <c r="FG263" i="20"/>
  <c r="FG189" i="20"/>
  <c r="FG264" i="20"/>
  <c r="FG188" i="20"/>
  <c r="FG187" i="20"/>
  <c r="FG265" i="20"/>
  <c r="FG266" i="20"/>
  <c r="FG186" i="20"/>
  <c r="FG185" i="20"/>
  <c r="FG267" i="20"/>
  <c r="FG184" i="20"/>
  <c r="FG268" i="20"/>
  <c r="FG183" i="20"/>
  <c r="FG269" i="20"/>
  <c r="FG270" i="20"/>
  <c r="FG182" i="20"/>
  <c r="FG271" i="20"/>
  <c r="FG181" i="20"/>
  <c r="FG180" i="20"/>
  <c r="FG272" i="20"/>
  <c r="FG273" i="20"/>
  <c r="FG179" i="20"/>
  <c r="FG178" i="20"/>
  <c r="FG274" i="20"/>
  <c r="FG275" i="20"/>
  <c r="FG276" i="20"/>
  <c r="FG277" i="20"/>
  <c r="FG278" i="20"/>
  <c r="FG279" i="20"/>
  <c r="FG280" i="20"/>
  <c r="FG281" i="20"/>
  <c r="FG282" i="20"/>
  <c r="FG283" i="20"/>
  <c r="FG284" i="20"/>
  <c r="FG285" i="20"/>
  <c r="FG286" i="20"/>
  <c r="FG287" i="20"/>
  <c r="FG288" i="20"/>
  <c r="FG289" i="20"/>
  <c r="FG290" i="20"/>
  <c r="FG291" i="20"/>
  <c r="FG292" i="20"/>
  <c r="FG293" i="20"/>
  <c r="FG294" i="20"/>
  <c r="FG295" i="20"/>
  <c r="FG296" i="20"/>
  <c r="FG297" i="20"/>
  <c r="FG298" i="20"/>
  <c r="FG299" i="20"/>
  <c r="FG300" i="20"/>
  <c r="FG301" i="20"/>
  <c r="FG302" i="20"/>
  <c r="FG303" i="20"/>
  <c r="FG304" i="20"/>
  <c r="FG305" i="20"/>
  <c r="FG306" i="20"/>
  <c r="FG307" i="20"/>
  <c r="FG308" i="20"/>
  <c r="FG309" i="20"/>
  <c r="FG310" i="20"/>
  <c r="FG311" i="20"/>
  <c r="FG312" i="20"/>
  <c r="FG313" i="20"/>
  <c r="FG314" i="20"/>
  <c r="FG315" i="20"/>
  <c r="FG316" i="20"/>
  <c r="FG317" i="20"/>
  <c r="FG318" i="20"/>
  <c r="FG319" i="20"/>
  <c r="FG320" i="20"/>
  <c r="FG321" i="20"/>
  <c r="FG322" i="20"/>
  <c r="FG323" i="20"/>
  <c r="FG324" i="20"/>
  <c r="FG325" i="20"/>
  <c r="FG326" i="20"/>
  <c r="FG327" i="20"/>
  <c r="FG328" i="20"/>
  <c r="FG329" i="20"/>
  <c r="FG330" i="20"/>
  <c r="FG331" i="20"/>
  <c r="FG332" i="20"/>
  <c r="FG333" i="20"/>
  <c r="FG334" i="20"/>
  <c r="FG335" i="20"/>
  <c r="FG336" i="20"/>
  <c r="FG337" i="20"/>
  <c r="FG338" i="20"/>
  <c r="FG339" i="20"/>
  <c r="FG340" i="20"/>
  <c r="FG341" i="20"/>
  <c r="FE12" i="21"/>
  <c r="FF338" i="20"/>
  <c r="FF314" i="20"/>
  <c r="FF298" i="20"/>
  <c r="FF20" i="21" s="1"/>
  <c r="FF290" i="20"/>
  <c r="FF282" i="20"/>
  <c r="FF274" i="20"/>
  <c r="FF18" i="21" s="1"/>
  <c r="FF182" i="20"/>
  <c r="FF186" i="20"/>
  <c r="FF262" i="20"/>
  <c r="FF194" i="20"/>
  <c r="FF198" i="20"/>
  <c r="FF202" i="20"/>
  <c r="FF246" i="20"/>
  <c r="FF210" i="20"/>
  <c r="FF238" i="20"/>
  <c r="FF218" i="20"/>
  <c r="FF230" i="20"/>
  <c r="FF14" i="21" s="1"/>
  <c r="FF225" i="20"/>
  <c r="FE14" i="21"/>
  <c r="FF19" i="21"/>
  <c r="FE10" i="21"/>
  <c r="FF8" i="21"/>
  <c r="FG7" i="21"/>
  <c r="FE20" i="21"/>
  <c r="FF330" i="20"/>
  <c r="FF322" i="20"/>
  <c r="FF306" i="20"/>
  <c r="FF337" i="20"/>
  <c r="FF23" i="21" s="1"/>
  <c r="FF329" i="20"/>
  <c r="FF321" i="20"/>
  <c r="FF21" i="21" s="1"/>
  <c r="FF313" i="20"/>
  <c r="FF305" i="20"/>
  <c r="FF297" i="20"/>
  <c r="FF289" i="20"/>
  <c r="FF281" i="20"/>
  <c r="FF178" i="20"/>
  <c r="FF10" i="21" s="1"/>
  <c r="FF270" i="20"/>
  <c r="FF266" i="20"/>
  <c r="FF190" i="20"/>
  <c r="FF258" i="20"/>
  <c r="FF254" i="20"/>
  <c r="FF250" i="20"/>
  <c r="FF206" i="20"/>
  <c r="FF242" i="20"/>
  <c r="FF214" i="20"/>
  <c r="FF13" i="21" s="1"/>
  <c r="FF234" i="20"/>
  <c r="FF222" i="20"/>
  <c r="FE11" i="21"/>
  <c r="FE17" i="21"/>
  <c r="FE22" i="21"/>
  <c r="FE13" i="21"/>
  <c r="FG18" i="21" l="1"/>
  <c r="FG17" i="21"/>
  <c r="FG15" i="21"/>
  <c r="FG14" i="21"/>
  <c r="FF16" i="21"/>
  <c r="FF22" i="21"/>
  <c r="FG20" i="21"/>
  <c r="FG10" i="21"/>
  <c r="FG12" i="21"/>
  <c r="FF17" i="21"/>
  <c r="FH176" i="20"/>
  <c r="FH226" i="20" s="1"/>
  <c r="FI175" i="20"/>
  <c r="FH225" i="20"/>
  <c r="FH227" i="20"/>
  <c r="FH228" i="20"/>
  <c r="FH224" i="20"/>
  <c r="FH223" i="20"/>
  <c r="FH229" i="20"/>
  <c r="FH222" i="20"/>
  <c r="FH221" i="20"/>
  <c r="FH231" i="20"/>
  <c r="FH220" i="20"/>
  <c r="FH232" i="20"/>
  <c r="FH233" i="20"/>
  <c r="FH219" i="20"/>
  <c r="FH218" i="20"/>
  <c r="FH235" i="20"/>
  <c r="FH217" i="20"/>
  <c r="FH216" i="20"/>
  <c r="FH236" i="20"/>
  <c r="FH215" i="20"/>
  <c r="FH237" i="20"/>
  <c r="FH238" i="20"/>
  <c r="FH213" i="20"/>
  <c r="FH239" i="20"/>
  <c r="FH212" i="20"/>
  <c r="FH240" i="20"/>
  <c r="FH241" i="20"/>
  <c r="FH211" i="20"/>
  <c r="FH242" i="20"/>
  <c r="FH243" i="20"/>
  <c r="FH209" i="20"/>
  <c r="FH244" i="20"/>
  <c r="FH208" i="20"/>
  <c r="FH245" i="20"/>
  <c r="FH207" i="20"/>
  <c r="FH206" i="20"/>
  <c r="FH205" i="20"/>
  <c r="FH247" i="20"/>
  <c r="FH248" i="20"/>
  <c r="FH204" i="20"/>
  <c r="FH249" i="20"/>
  <c r="FH203" i="20"/>
  <c r="FH202" i="20"/>
  <c r="FH201" i="20"/>
  <c r="FH251" i="20"/>
  <c r="FH252" i="20"/>
  <c r="FH200" i="20"/>
  <c r="FH253" i="20"/>
  <c r="FH199" i="20"/>
  <c r="FH254" i="20"/>
  <c r="FH255" i="20"/>
  <c r="FH197" i="20"/>
  <c r="FH256" i="20"/>
  <c r="FH196" i="20"/>
  <c r="FH257" i="20"/>
  <c r="FH195" i="20"/>
  <c r="FH258" i="20"/>
  <c r="FH193" i="20"/>
  <c r="FH259" i="20"/>
  <c r="FH260" i="20"/>
  <c r="FH192" i="20"/>
  <c r="FH261" i="20"/>
  <c r="FH191" i="20"/>
  <c r="FH262" i="20"/>
  <c r="FH263" i="20"/>
  <c r="FH189" i="20"/>
  <c r="FH264" i="20"/>
  <c r="FH188" i="20"/>
  <c r="FH187" i="20"/>
  <c r="FH265" i="20"/>
  <c r="FH186" i="20"/>
  <c r="FH266" i="20"/>
  <c r="FH267" i="20"/>
  <c r="FH185" i="20"/>
  <c r="FH184" i="20"/>
  <c r="FH268" i="20"/>
  <c r="FH269" i="20"/>
  <c r="FH183" i="20"/>
  <c r="FH182" i="20"/>
  <c r="FH270" i="20"/>
  <c r="FH271" i="20"/>
  <c r="FH181" i="20"/>
  <c r="FH180" i="20"/>
  <c r="FH272" i="20"/>
  <c r="FH179" i="20"/>
  <c r="FH273" i="20"/>
  <c r="FH274" i="20"/>
  <c r="FH178" i="20"/>
  <c r="FH275" i="20"/>
  <c r="FH276" i="20"/>
  <c r="FH277" i="20"/>
  <c r="FH278" i="20"/>
  <c r="FH279" i="20"/>
  <c r="FH280" i="20"/>
  <c r="FH281" i="20"/>
  <c r="FH282" i="20"/>
  <c r="FH283" i="20"/>
  <c r="FH284" i="20"/>
  <c r="FH285" i="20"/>
  <c r="FH286" i="20"/>
  <c r="FH287" i="20"/>
  <c r="FH288" i="20"/>
  <c r="FH289" i="20"/>
  <c r="FH290" i="20"/>
  <c r="FH291" i="20"/>
  <c r="FH292" i="20"/>
  <c r="FH293" i="20"/>
  <c r="FH294" i="20"/>
  <c r="FH295" i="20"/>
  <c r="FH296" i="20"/>
  <c r="FH297" i="20"/>
  <c r="FH298" i="20"/>
  <c r="FH299" i="20"/>
  <c r="FH300" i="20"/>
  <c r="FH301" i="20"/>
  <c r="FH302" i="20"/>
  <c r="FH303" i="20"/>
  <c r="FH304" i="20"/>
  <c r="FH305" i="20"/>
  <c r="FH306" i="20"/>
  <c r="FH307" i="20"/>
  <c r="FH308" i="20"/>
  <c r="FH309" i="20"/>
  <c r="FH310" i="20"/>
  <c r="FH311" i="20"/>
  <c r="FH312" i="20"/>
  <c r="FH313" i="20"/>
  <c r="FH314" i="20"/>
  <c r="FH315" i="20"/>
  <c r="FH316" i="20"/>
  <c r="FH317" i="20"/>
  <c r="FH318" i="20"/>
  <c r="FH319" i="20"/>
  <c r="FH320" i="20"/>
  <c r="FH321" i="20"/>
  <c r="FH322" i="20"/>
  <c r="FH323" i="20"/>
  <c r="FH324" i="20"/>
  <c r="FH325" i="20"/>
  <c r="FH326" i="20"/>
  <c r="FH327" i="20"/>
  <c r="FH328" i="20"/>
  <c r="FH329" i="20"/>
  <c r="FH330" i="20"/>
  <c r="FH331" i="20"/>
  <c r="FH332" i="20"/>
  <c r="FH333" i="20"/>
  <c r="FH334" i="20"/>
  <c r="FH335" i="20"/>
  <c r="FH336" i="20"/>
  <c r="FH337" i="20"/>
  <c r="FH338" i="20"/>
  <c r="FH339" i="20"/>
  <c r="FH340" i="20"/>
  <c r="FH341" i="20"/>
  <c r="FG22" i="21"/>
  <c r="FG11" i="21"/>
  <c r="FG23" i="21"/>
  <c r="FG21" i="21"/>
  <c r="FG19" i="21"/>
  <c r="FF12" i="21"/>
  <c r="FG16" i="21"/>
  <c r="FG13" i="21"/>
  <c r="FF11" i="21"/>
  <c r="FG8" i="21"/>
  <c r="FH7" i="21"/>
  <c r="FF15" i="21"/>
  <c r="FH22" i="21" l="1"/>
  <c r="FH10" i="21"/>
  <c r="FH18" i="21"/>
  <c r="FH190" i="20"/>
  <c r="FH194" i="20"/>
  <c r="FH198" i="20"/>
  <c r="FH250" i="20"/>
  <c r="FH16" i="21" s="1"/>
  <c r="FH246" i="20"/>
  <c r="FH210" i="20"/>
  <c r="FH12" i="21" s="1"/>
  <c r="FH214" i="20"/>
  <c r="FH13" i="21" s="1"/>
  <c r="FH234" i="20"/>
  <c r="FH230" i="20"/>
  <c r="FH14" i="21" s="1"/>
  <c r="FH20" i="21"/>
  <c r="FI7" i="21"/>
  <c r="FH8" i="21"/>
  <c r="FH17" i="21"/>
  <c r="FH15" i="21"/>
  <c r="FJ175" i="20"/>
  <c r="FI176" i="20"/>
  <c r="FI224" i="20" s="1"/>
  <c r="FI225" i="20"/>
  <c r="FI227" i="20"/>
  <c r="FI231" i="20"/>
  <c r="FI221" i="20"/>
  <c r="FI217" i="20"/>
  <c r="FI235" i="20"/>
  <c r="FI239" i="20"/>
  <c r="FI213" i="20"/>
  <c r="FI209" i="20"/>
  <c r="FI243" i="20"/>
  <c r="FI247" i="20"/>
  <c r="FI205" i="20"/>
  <c r="FI251" i="20"/>
  <c r="FI201" i="20"/>
  <c r="FI197" i="20"/>
  <c r="FI255" i="20"/>
  <c r="FI193" i="20"/>
  <c r="FI259" i="20"/>
  <c r="FI189" i="20"/>
  <c r="FI263" i="20"/>
  <c r="FI266" i="20"/>
  <c r="FI267" i="20"/>
  <c r="FI185" i="20"/>
  <c r="FI181" i="20"/>
  <c r="FI271" i="20"/>
  <c r="FI275" i="20"/>
  <c r="FI276" i="20"/>
  <c r="FI282" i="20"/>
  <c r="FI283" i="20"/>
  <c r="FI284" i="20"/>
  <c r="FI290" i="20"/>
  <c r="FI291" i="20"/>
  <c r="FI292" i="20"/>
  <c r="FI298" i="20"/>
  <c r="FI299" i="20"/>
  <c r="FI300" i="20"/>
  <c r="FI306" i="20"/>
  <c r="FI307" i="20"/>
  <c r="FI308" i="20"/>
  <c r="FI314" i="20"/>
  <c r="FI315" i="20"/>
  <c r="FI316" i="20"/>
  <c r="FI322" i="20"/>
  <c r="FI323" i="20"/>
  <c r="FI324" i="20"/>
  <c r="FI330" i="20"/>
  <c r="FI331" i="20"/>
  <c r="FI332" i="20"/>
  <c r="FI338" i="20"/>
  <c r="FI339" i="20"/>
  <c r="FI340" i="20"/>
  <c r="FH23" i="21"/>
  <c r="FH21" i="21"/>
  <c r="FH19" i="21"/>
  <c r="FI274" i="20" l="1"/>
  <c r="FI270" i="20"/>
  <c r="FI190" i="20"/>
  <c r="FI258" i="20"/>
  <c r="FI198" i="20"/>
  <c r="FI250" i="20"/>
  <c r="FI246" i="20"/>
  <c r="FI210" i="20"/>
  <c r="FI214" i="20"/>
  <c r="FI234" i="20"/>
  <c r="FI222" i="20"/>
  <c r="FI337" i="20"/>
  <c r="FI321" i="20"/>
  <c r="FI297" i="20"/>
  <c r="FI281" i="20"/>
  <c r="FI182" i="20"/>
  <c r="FI194" i="20"/>
  <c r="FI202" i="20"/>
  <c r="FI242" i="20"/>
  <c r="FI218" i="20"/>
  <c r="FI230" i="20"/>
  <c r="FK175" i="20"/>
  <c r="FJ176" i="20"/>
  <c r="FJ225" i="20" s="1"/>
  <c r="FJ238" i="20"/>
  <c r="FJ242" i="20"/>
  <c r="FJ246" i="20"/>
  <c r="FJ202" i="20"/>
  <c r="FJ198" i="20"/>
  <c r="FJ194" i="20"/>
  <c r="FJ190" i="20"/>
  <c r="FJ266" i="20"/>
  <c r="FJ270" i="20"/>
  <c r="FJ274" i="20"/>
  <c r="FJ281" i="20"/>
  <c r="FJ288" i="20"/>
  <c r="FJ289" i="20"/>
  <c r="FJ297" i="20"/>
  <c r="FJ305" i="20"/>
  <c r="FJ313" i="20"/>
  <c r="FJ321" i="20"/>
  <c r="FJ329" i="20"/>
  <c r="FJ331" i="20"/>
  <c r="FJ337" i="20"/>
  <c r="FJ339" i="20"/>
  <c r="FI336" i="20"/>
  <c r="FI328" i="20"/>
  <c r="FI320" i="20"/>
  <c r="FI312" i="20"/>
  <c r="FI304" i="20"/>
  <c r="FI296" i="20"/>
  <c r="FI288" i="20"/>
  <c r="FI280" i="20"/>
  <c r="FI273" i="20"/>
  <c r="FI269" i="20"/>
  <c r="FI187" i="20"/>
  <c r="FI191" i="20"/>
  <c r="FI195" i="20"/>
  <c r="FI253" i="20"/>
  <c r="FI249" i="20"/>
  <c r="FI245" i="20"/>
  <c r="FI211" i="20"/>
  <c r="FI237" i="20"/>
  <c r="FI219" i="20"/>
  <c r="FI229" i="20"/>
  <c r="FI226" i="20"/>
  <c r="FH11" i="21"/>
  <c r="FI329" i="20"/>
  <c r="FI313" i="20"/>
  <c r="FI305" i="20"/>
  <c r="FI289" i="20"/>
  <c r="FI178" i="20"/>
  <c r="FI186" i="20"/>
  <c r="FI262" i="20"/>
  <c r="FI254" i="20"/>
  <c r="FI206" i="20"/>
  <c r="FI238" i="20"/>
  <c r="FI334" i="20"/>
  <c r="FI326" i="20"/>
  <c r="FI318" i="20"/>
  <c r="FI310" i="20"/>
  <c r="FI21" i="21" s="1"/>
  <c r="FI302" i="20"/>
  <c r="FI294" i="20"/>
  <c r="FI286" i="20"/>
  <c r="FI278" i="20"/>
  <c r="FI272" i="20"/>
  <c r="FI184" i="20"/>
  <c r="FI188" i="20"/>
  <c r="FI260" i="20"/>
  <c r="FI256" i="20"/>
  <c r="FI252" i="20"/>
  <c r="FI248" i="20"/>
  <c r="FI244" i="20"/>
  <c r="FI240" i="20"/>
  <c r="FI236" i="20"/>
  <c r="FI220" i="20"/>
  <c r="FI228" i="20"/>
  <c r="FJ7" i="21"/>
  <c r="FI8" i="21"/>
  <c r="FI335" i="20"/>
  <c r="FI327" i="20"/>
  <c r="FI319" i="20"/>
  <c r="FI311" i="20"/>
  <c r="FI303" i="20"/>
  <c r="FI295" i="20"/>
  <c r="FI287" i="20"/>
  <c r="FI279" i="20"/>
  <c r="FI179" i="20"/>
  <c r="FI183" i="20"/>
  <c r="FI265" i="20"/>
  <c r="FI261" i="20"/>
  <c r="FI257" i="20"/>
  <c r="FI199" i="20"/>
  <c r="FI203" i="20"/>
  <c r="FI207" i="20"/>
  <c r="FI241" i="20"/>
  <c r="FI215" i="20"/>
  <c r="FI233" i="20"/>
  <c r="FI223" i="20"/>
  <c r="FI341" i="20"/>
  <c r="FI333" i="20"/>
  <c r="FI325" i="20"/>
  <c r="FI22" i="21" s="1"/>
  <c r="FI317" i="20"/>
  <c r="FI309" i="20"/>
  <c r="FI301" i="20"/>
  <c r="FI20" i="21" s="1"/>
  <c r="FI293" i="20"/>
  <c r="FI285" i="20"/>
  <c r="FI277" i="20"/>
  <c r="FI180" i="20"/>
  <c r="FI268" i="20"/>
  <c r="FI264" i="20"/>
  <c r="FI192" i="20"/>
  <c r="FI196" i="20"/>
  <c r="FI200" i="20"/>
  <c r="FI204" i="20"/>
  <c r="FI208" i="20"/>
  <c r="FI212" i="20"/>
  <c r="FI216" i="20"/>
  <c r="FI232" i="20"/>
  <c r="FJ234" i="20" l="1"/>
  <c r="FJ230" i="20"/>
  <c r="FI10" i="21"/>
  <c r="FI16" i="21"/>
  <c r="FJ335" i="20"/>
  <c r="FJ327" i="20"/>
  <c r="FJ311" i="20"/>
  <c r="FJ287" i="20"/>
  <c r="FJ269" i="20"/>
  <c r="FJ195" i="20"/>
  <c r="FI23" i="21"/>
  <c r="FJ334" i="20"/>
  <c r="FJ326" i="20"/>
  <c r="FJ318" i="20"/>
  <c r="FJ310" i="20"/>
  <c r="FJ302" i="20"/>
  <c r="FJ294" i="20"/>
  <c r="FJ286" i="20"/>
  <c r="FJ278" i="20"/>
  <c r="FJ272" i="20"/>
  <c r="FJ184" i="20"/>
  <c r="FJ264" i="20"/>
  <c r="FJ260" i="20"/>
  <c r="FJ196" i="20"/>
  <c r="FJ252" i="20"/>
  <c r="FJ204" i="20"/>
  <c r="FJ208" i="20"/>
  <c r="FJ212" i="20"/>
  <c r="FJ236" i="20"/>
  <c r="FJ232" i="20"/>
  <c r="FJ224" i="20"/>
  <c r="FJ336" i="20"/>
  <c r="FJ328" i="20"/>
  <c r="FJ320" i="20"/>
  <c r="FJ312" i="20"/>
  <c r="FJ304" i="20"/>
  <c r="FJ296" i="20"/>
  <c r="FJ280" i="20"/>
  <c r="FJ183" i="20"/>
  <c r="FJ191" i="20"/>
  <c r="FJ11" i="21" s="1"/>
  <c r="FJ257" i="20"/>
  <c r="FJ249" i="20"/>
  <c r="FJ207" i="20"/>
  <c r="FJ215" i="20"/>
  <c r="FJ233" i="20"/>
  <c r="FJ229" i="20"/>
  <c r="FL175" i="20"/>
  <c r="FK176" i="20"/>
  <c r="FK228" i="20" s="1"/>
  <c r="FK227" i="20"/>
  <c r="FK225" i="20"/>
  <c r="FK226" i="20"/>
  <c r="FK224" i="20"/>
  <c r="FK222" i="20"/>
  <c r="FK231" i="20"/>
  <c r="FK221" i="20"/>
  <c r="FK220" i="20"/>
  <c r="FK234" i="20"/>
  <c r="FK217" i="20"/>
  <c r="FK235" i="20"/>
  <c r="FK216" i="20"/>
  <c r="FK214" i="20"/>
  <c r="FK213" i="20"/>
  <c r="FK239" i="20"/>
  <c r="FK212" i="20"/>
  <c r="FK242" i="20"/>
  <c r="FK243" i="20"/>
  <c r="FK209" i="20"/>
  <c r="FK208" i="20"/>
  <c r="FK206" i="20"/>
  <c r="FK205" i="20"/>
  <c r="FK247" i="20"/>
  <c r="FK248" i="20"/>
  <c r="FK250" i="20"/>
  <c r="FK201" i="20"/>
  <c r="FK251" i="20"/>
  <c r="FK252" i="20"/>
  <c r="FK198" i="20"/>
  <c r="FK255" i="20"/>
  <c r="FK197" i="20"/>
  <c r="FK196" i="20"/>
  <c r="FK194" i="20"/>
  <c r="FK258" i="20"/>
  <c r="FK193" i="20"/>
  <c r="FK259" i="20"/>
  <c r="FK192" i="20"/>
  <c r="FK262" i="20"/>
  <c r="FK190" i="20"/>
  <c r="FK189" i="20"/>
  <c r="FK263" i="20"/>
  <c r="FK264" i="20"/>
  <c r="FK266" i="20"/>
  <c r="FK186" i="20"/>
  <c r="FK267" i="20"/>
  <c r="FK185" i="20"/>
  <c r="FK184" i="20"/>
  <c r="FK182" i="20"/>
  <c r="FK270" i="20"/>
  <c r="FK181" i="20"/>
  <c r="FK271" i="20"/>
  <c r="FK272" i="20"/>
  <c r="FK274" i="20"/>
  <c r="FK178" i="20"/>
  <c r="FK275" i="20"/>
  <c r="FK276" i="20"/>
  <c r="FK277" i="20"/>
  <c r="FK281" i="20"/>
  <c r="FK282" i="20"/>
  <c r="FK283" i="20"/>
  <c r="FK284" i="20"/>
  <c r="FK285" i="20"/>
  <c r="FK289" i="20"/>
  <c r="FK290" i="20"/>
  <c r="FK291" i="20"/>
  <c r="FK292" i="20"/>
  <c r="FK293" i="20"/>
  <c r="FK297" i="20"/>
  <c r="FK298" i="20"/>
  <c r="FK299" i="20"/>
  <c r="FK300" i="20"/>
  <c r="FK301" i="20"/>
  <c r="FK305" i="20"/>
  <c r="FK306" i="20"/>
  <c r="FK307" i="20"/>
  <c r="FK308" i="20"/>
  <c r="FK309" i="20"/>
  <c r="FK313" i="20"/>
  <c r="FK314" i="20"/>
  <c r="FK315" i="20"/>
  <c r="FK316" i="20"/>
  <c r="FK317" i="20"/>
  <c r="FK321" i="20"/>
  <c r="FK322" i="20"/>
  <c r="FK323" i="20"/>
  <c r="FK324" i="20"/>
  <c r="FK325" i="20"/>
  <c r="FK329" i="20"/>
  <c r="FK330" i="20"/>
  <c r="FK331" i="20"/>
  <c r="FK332" i="20"/>
  <c r="FK333" i="20"/>
  <c r="FK337" i="20"/>
  <c r="FK338" i="20"/>
  <c r="FK339" i="20"/>
  <c r="FK340" i="20"/>
  <c r="FK341" i="20"/>
  <c r="FJ319" i="20"/>
  <c r="FJ303" i="20"/>
  <c r="FJ295" i="20"/>
  <c r="FJ279" i="20"/>
  <c r="FJ179" i="20"/>
  <c r="FJ187" i="20"/>
  <c r="FJ261" i="20"/>
  <c r="FJ199" i="20"/>
  <c r="FJ203" i="20"/>
  <c r="FJ12" i="21" s="1"/>
  <c r="FJ245" i="20"/>
  <c r="FJ241" i="20"/>
  <c r="FJ237" i="20"/>
  <c r="FJ219" i="20"/>
  <c r="FJ223" i="20"/>
  <c r="FI15" i="21"/>
  <c r="FJ341" i="20"/>
  <c r="FJ333" i="20"/>
  <c r="FJ325" i="20"/>
  <c r="FJ317" i="20"/>
  <c r="FJ309" i="20"/>
  <c r="FJ301" i="20"/>
  <c r="FJ293" i="20"/>
  <c r="FJ285" i="20"/>
  <c r="FJ277" i="20"/>
  <c r="FJ180" i="20"/>
  <c r="FJ268" i="20"/>
  <c r="FJ188" i="20"/>
  <c r="FJ192" i="20"/>
  <c r="FJ256" i="20"/>
  <c r="FJ200" i="20"/>
  <c r="FJ248" i="20"/>
  <c r="FJ244" i="20"/>
  <c r="FJ240" i="20"/>
  <c r="FJ216" i="20"/>
  <c r="FJ220" i="20"/>
  <c r="FJ228" i="20"/>
  <c r="FI11" i="21"/>
  <c r="FJ273" i="20"/>
  <c r="FJ265" i="20"/>
  <c r="FJ253" i="20"/>
  <c r="FJ211" i="20"/>
  <c r="FI19" i="21"/>
  <c r="FJ340" i="20"/>
  <c r="FJ332" i="20"/>
  <c r="FJ324" i="20"/>
  <c r="FJ316" i="20"/>
  <c r="FJ308" i="20"/>
  <c r="FJ300" i="20"/>
  <c r="FJ292" i="20"/>
  <c r="FJ284" i="20"/>
  <c r="FJ276" i="20"/>
  <c r="FJ181" i="20"/>
  <c r="FJ185" i="20"/>
  <c r="FJ263" i="20"/>
  <c r="FJ259" i="20"/>
  <c r="FJ197" i="20"/>
  <c r="FJ251" i="20"/>
  <c r="FJ247" i="20"/>
  <c r="FJ209" i="20"/>
  <c r="FJ213" i="20"/>
  <c r="FJ235" i="20"/>
  <c r="FJ231" i="20"/>
  <c r="FJ227" i="20"/>
  <c r="FI12" i="21"/>
  <c r="FJ323" i="20"/>
  <c r="FJ315" i="20"/>
  <c r="FJ307" i="20"/>
  <c r="FJ299" i="20"/>
  <c r="FJ291" i="20"/>
  <c r="FJ283" i="20"/>
  <c r="FJ275" i="20"/>
  <c r="FJ18" i="21" s="1"/>
  <c r="FJ271" i="20"/>
  <c r="FJ267" i="20"/>
  <c r="FJ189" i="20"/>
  <c r="FJ193" i="20"/>
  <c r="FJ255" i="20"/>
  <c r="FJ201" i="20"/>
  <c r="FJ205" i="20"/>
  <c r="FJ243" i="20"/>
  <c r="FJ239" i="20"/>
  <c r="FJ15" i="21" s="1"/>
  <c r="FJ217" i="20"/>
  <c r="FJ221" i="20"/>
  <c r="FJ226" i="20"/>
  <c r="FI13" i="21"/>
  <c r="FI18" i="21"/>
  <c r="FK7" i="21"/>
  <c r="FJ8" i="21"/>
  <c r="FI17" i="21"/>
  <c r="FI14" i="21"/>
  <c r="FJ338" i="20"/>
  <c r="FJ330" i="20"/>
  <c r="FJ322" i="20"/>
  <c r="FJ314" i="20"/>
  <c r="FJ306" i="20"/>
  <c r="FJ298" i="20"/>
  <c r="FJ290" i="20"/>
  <c r="FJ282" i="20"/>
  <c r="FJ178" i="20"/>
  <c r="FJ182" i="20"/>
  <c r="FJ186" i="20"/>
  <c r="FJ262" i="20"/>
  <c r="FJ258" i="20"/>
  <c r="FJ254" i="20"/>
  <c r="FJ250" i="20"/>
  <c r="FJ16" i="21" s="1"/>
  <c r="FJ206" i="20"/>
  <c r="FJ210" i="20"/>
  <c r="FJ214" i="20"/>
  <c r="FJ218" i="20"/>
  <c r="FJ222" i="20"/>
  <c r="FL7" i="21" l="1"/>
  <c r="FK8" i="21"/>
  <c r="FJ17" i="21"/>
  <c r="FJ22" i="21"/>
  <c r="FK254" i="20"/>
  <c r="FK202" i="20"/>
  <c r="FK246" i="20"/>
  <c r="FK210" i="20"/>
  <c r="FK238" i="20"/>
  <c r="FK218" i="20"/>
  <c r="FK13" i="21" s="1"/>
  <c r="FK230" i="20"/>
  <c r="FJ13" i="21"/>
  <c r="FJ14" i="21"/>
  <c r="FK336" i="20"/>
  <c r="FK328" i="20"/>
  <c r="FK320" i="20"/>
  <c r="FK312" i="20"/>
  <c r="FK304" i="20"/>
  <c r="FK296" i="20"/>
  <c r="FK288" i="20"/>
  <c r="FK280" i="20"/>
  <c r="FK273" i="20"/>
  <c r="FK183" i="20"/>
  <c r="FK265" i="20"/>
  <c r="FK261" i="20"/>
  <c r="FK195" i="20"/>
  <c r="FK199" i="20"/>
  <c r="FK203" i="20"/>
  <c r="FK245" i="20"/>
  <c r="FK211" i="20"/>
  <c r="FK215" i="20"/>
  <c r="FK233" i="20"/>
  <c r="FK229" i="20"/>
  <c r="FK14" i="21" s="1"/>
  <c r="FM175" i="20"/>
  <c r="FL176" i="20"/>
  <c r="FL226" i="20" s="1"/>
  <c r="FL227" i="20"/>
  <c r="FL230" i="20"/>
  <c r="FL234" i="20"/>
  <c r="FL238" i="20"/>
  <c r="FL242" i="20"/>
  <c r="FL206" i="20"/>
  <c r="FL202" i="20"/>
  <c r="FL250" i="20"/>
  <c r="FL254" i="20"/>
  <c r="FL198" i="20"/>
  <c r="FL258" i="20"/>
  <c r="FL194" i="20"/>
  <c r="FL190" i="20"/>
  <c r="FL262" i="20"/>
  <c r="FL186" i="20"/>
  <c r="FL266" i="20"/>
  <c r="FL270" i="20"/>
  <c r="FL182" i="20"/>
  <c r="FL178" i="20"/>
  <c r="FL274" i="20"/>
  <c r="FL281" i="20"/>
  <c r="FL282" i="20"/>
  <c r="FL289" i="20"/>
  <c r="FL290" i="20"/>
  <c r="FL297" i="20"/>
  <c r="FL298" i="20"/>
  <c r="FL305" i="20"/>
  <c r="FL306" i="20"/>
  <c r="FL313" i="20"/>
  <c r="FL314" i="20"/>
  <c r="FL321" i="20"/>
  <c r="FL322" i="20"/>
  <c r="FL329" i="20"/>
  <c r="FL330" i="20"/>
  <c r="FL337" i="20"/>
  <c r="FL338" i="20"/>
  <c r="FJ20" i="21"/>
  <c r="FJ23" i="21"/>
  <c r="FK22" i="21"/>
  <c r="FK10" i="21"/>
  <c r="FK16" i="21"/>
  <c r="FJ10" i="21"/>
  <c r="FK335" i="20"/>
  <c r="FK327" i="20"/>
  <c r="FK319" i="20"/>
  <c r="FK311" i="20"/>
  <c r="FK303" i="20"/>
  <c r="FK295" i="20"/>
  <c r="FK287" i="20"/>
  <c r="FK279" i="20"/>
  <c r="FK179" i="20"/>
  <c r="FK269" i="20"/>
  <c r="FK187" i="20"/>
  <c r="FK191" i="20"/>
  <c r="FK11" i="21" s="1"/>
  <c r="FK257" i="20"/>
  <c r="FK253" i="20"/>
  <c r="FK249" i="20"/>
  <c r="FK207" i="20"/>
  <c r="FK241" i="20"/>
  <c r="FK237" i="20"/>
  <c r="FK219" i="20"/>
  <c r="FK223" i="20"/>
  <c r="FJ19" i="21"/>
  <c r="FK334" i="20"/>
  <c r="FK23" i="21" s="1"/>
  <c r="FK326" i="20"/>
  <c r="FK318" i="20"/>
  <c r="FK310" i="20"/>
  <c r="FK302" i="20"/>
  <c r="FK20" i="21" s="1"/>
  <c r="FK294" i="20"/>
  <c r="FK286" i="20"/>
  <c r="FK278" i="20"/>
  <c r="FK18" i="21" s="1"/>
  <c r="FK180" i="20"/>
  <c r="FK268" i="20"/>
  <c r="FK17" i="21" s="1"/>
  <c r="FK188" i="20"/>
  <c r="FK260" i="20"/>
  <c r="FK256" i="20"/>
  <c r="FK200" i="20"/>
  <c r="FK204" i="20"/>
  <c r="FK244" i="20"/>
  <c r="FK240" i="20"/>
  <c r="FK236" i="20"/>
  <c r="FK232" i="20"/>
  <c r="FJ21" i="21"/>
  <c r="FK19" i="21" l="1"/>
  <c r="FL246" i="20"/>
  <c r="FL210" i="20"/>
  <c r="FL214" i="20"/>
  <c r="FL218" i="20"/>
  <c r="FL222" i="20"/>
  <c r="FL336" i="20"/>
  <c r="FL296" i="20"/>
  <c r="FL257" i="20"/>
  <c r="FL303" i="20"/>
  <c r="FL199" i="20"/>
  <c r="FL334" i="20"/>
  <c r="FL23" i="21" s="1"/>
  <c r="FL326" i="20"/>
  <c r="FL318" i="20"/>
  <c r="FL310" i="20"/>
  <c r="FL302" i="20"/>
  <c r="FL294" i="20"/>
  <c r="FL286" i="20"/>
  <c r="FL278" i="20"/>
  <c r="FL180" i="20"/>
  <c r="FL10" i="21" s="1"/>
  <c r="FL268" i="20"/>
  <c r="FL188" i="20"/>
  <c r="FL192" i="20"/>
  <c r="FL256" i="20"/>
  <c r="FL252" i="20"/>
  <c r="FL248" i="20"/>
  <c r="FL244" i="20"/>
  <c r="FL212" i="20"/>
  <c r="FL216" i="20"/>
  <c r="FL232" i="20"/>
  <c r="FL224" i="20"/>
  <c r="FL320" i="20"/>
  <c r="FL304" i="20"/>
  <c r="FL280" i="20"/>
  <c r="FL183" i="20"/>
  <c r="FL191" i="20"/>
  <c r="FL11" i="21" s="1"/>
  <c r="FL249" i="20"/>
  <c r="FL211" i="20"/>
  <c r="FL219" i="20"/>
  <c r="FM176" i="20"/>
  <c r="FM228" i="20" s="1"/>
  <c r="FM225" i="20"/>
  <c r="FN175" i="20"/>
  <c r="FM226" i="20"/>
  <c r="FM227" i="20"/>
  <c r="FM223" i="20"/>
  <c r="FM230" i="20"/>
  <c r="FM222" i="20"/>
  <c r="FM231" i="20"/>
  <c r="FM221" i="20"/>
  <c r="FM219" i="20"/>
  <c r="FM234" i="20"/>
  <c r="FM218" i="20"/>
  <c r="FM217" i="20"/>
  <c r="FM235" i="20"/>
  <c r="FM215" i="20"/>
  <c r="FM238" i="20"/>
  <c r="FM214" i="20"/>
  <c r="FM239" i="20"/>
  <c r="FM213" i="20"/>
  <c r="FM211" i="20"/>
  <c r="FM210" i="20"/>
  <c r="FM242" i="20"/>
  <c r="FM243" i="20"/>
  <c r="FM209" i="20"/>
  <c r="FM245" i="20"/>
  <c r="FM246" i="20"/>
  <c r="FM206" i="20"/>
  <c r="FM247" i="20"/>
  <c r="FM205" i="20"/>
  <c r="FM249" i="20"/>
  <c r="FM202" i="20"/>
  <c r="FM250" i="20"/>
  <c r="FM251" i="20"/>
  <c r="FM201" i="20"/>
  <c r="FM253" i="20"/>
  <c r="FM254" i="20"/>
  <c r="FM198" i="20"/>
  <c r="FM197" i="20"/>
  <c r="FM255" i="20"/>
  <c r="FM195" i="20"/>
  <c r="FM194" i="20"/>
  <c r="FM258" i="20"/>
  <c r="FM193" i="20"/>
  <c r="FM259" i="20"/>
  <c r="FM191" i="20"/>
  <c r="FM190" i="20"/>
  <c r="FM262" i="20"/>
  <c r="FM189" i="20"/>
  <c r="FM263" i="20"/>
  <c r="FM265" i="20"/>
  <c r="FM186" i="20"/>
  <c r="FM266" i="20"/>
  <c r="FM185" i="20"/>
  <c r="FM267" i="20"/>
  <c r="FM184" i="20"/>
  <c r="FM269" i="20"/>
  <c r="FM183" i="20"/>
  <c r="FM270" i="20"/>
  <c r="FM182" i="20"/>
  <c r="FM271" i="20"/>
  <c r="FM181" i="20"/>
  <c r="FM180" i="20"/>
  <c r="FM273" i="20"/>
  <c r="FM179" i="20"/>
  <c r="FM178" i="20"/>
  <c r="FM274" i="20"/>
  <c r="FM275" i="20"/>
  <c r="FM276" i="20"/>
  <c r="FM278" i="20"/>
  <c r="FM279" i="20"/>
  <c r="FM280" i="20"/>
  <c r="FM281" i="20"/>
  <c r="FM282" i="20"/>
  <c r="FM283" i="20"/>
  <c r="FM284" i="20"/>
  <c r="FM286" i="20"/>
  <c r="FM287" i="20"/>
  <c r="FM288" i="20"/>
  <c r="FM289" i="20"/>
  <c r="FM290" i="20"/>
  <c r="FM291" i="20"/>
  <c r="FM292" i="20"/>
  <c r="FM294" i="20"/>
  <c r="FM295" i="20"/>
  <c r="FM296" i="20"/>
  <c r="FM297" i="20"/>
  <c r="FM298" i="20"/>
  <c r="FM299" i="20"/>
  <c r="FM300" i="20"/>
  <c r="FM302" i="20"/>
  <c r="FM303" i="20"/>
  <c r="FM304" i="20"/>
  <c r="FM305" i="20"/>
  <c r="FM306" i="20"/>
  <c r="FM307" i="20"/>
  <c r="FM308" i="20"/>
  <c r="FM310" i="20"/>
  <c r="FM311" i="20"/>
  <c r="FM312" i="20"/>
  <c r="FM313" i="20"/>
  <c r="FM314" i="20"/>
  <c r="FM315" i="20"/>
  <c r="FM316" i="20"/>
  <c r="FM318" i="20"/>
  <c r="FM319" i="20"/>
  <c r="FM320" i="20"/>
  <c r="FM321" i="20"/>
  <c r="FM322" i="20"/>
  <c r="FM323" i="20"/>
  <c r="FM324" i="20"/>
  <c r="FM326" i="20"/>
  <c r="FM327" i="20"/>
  <c r="FM328" i="20"/>
  <c r="FM329" i="20"/>
  <c r="FM330" i="20"/>
  <c r="FM331" i="20"/>
  <c r="FM332" i="20"/>
  <c r="FM334" i="20"/>
  <c r="FM335" i="20"/>
  <c r="FM336" i="20"/>
  <c r="FM337" i="20"/>
  <c r="FM338" i="20"/>
  <c r="FM339" i="20"/>
  <c r="FM340" i="20"/>
  <c r="FL335" i="20"/>
  <c r="FL311" i="20"/>
  <c r="FL287" i="20"/>
  <c r="FL179" i="20"/>
  <c r="FL187" i="20"/>
  <c r="FL195" i="20"/>
  <c r="FL207" i="20"/>
  <c r="FL215" i="20"/>
  <c r="FL229" i="20"/>
  <c r="FK21" i="21"/>
  <c r="FL341" i="20"/>
  <c r="FL333" i="20"/>
  <c r="FL325" i="20"/>
  <c r="FL317" i="20"/>
  <c r="FL309" i="20"/>
  <c r="FL301" i="20"/>
  <c r="FL293" i="20"/>
  <c r="FL285" i="20"/>
  <c r="FL277" i="20"/>
  <c r="FL272" i="20"/>
  <c r="FL184" i="20"/>
  <c r="FL264" i="20"/>
  <c r="FL260" i="20"/>
  <c r="FL196" i="20"/>
  <c r="FL200" i="20"/>
  <c r="FL204" i="20"/>
  <c r="FL208" i="20"/>
  <c r="FL240" i="20"/>
  <c r="FL15" i="21" s="1"/>
  <c r="FL236" i="20"/>
  <c r="FL220" i="20"/>
  <c r="FL228" i="20"/>
  <c r="FL14" i="21" s="1"/>
  <c r="FL327" i="20"/>
  <c r="FL295" i="20"/>
  <c r="FL279" i="20"/>
  <c r="FL269" i="20"/>
  <c r="FL261" i="20"/>
  <c r="FL203" i="20"/>
  <c r="FL12" i="21" s="1"/>
  <c r="FL241" i="20"/>
  <c r="FL233" i="20"/>
  <c r="FL340" i="20"/>
  <c r="FL332" i="20"/>
  <c r="FL324" i="20"/>
  <c r="FL316" i="20"/>
  <c r="FL308" i="20"/>
  <c r="FL300" i="20"/>
  <c r="FL292" i="20"/>
  <c r="FL284" i="20"/>
  <c r="FL276" i="20"/>
  <c r="FL181" i="20"/>
  <c r="FL185" i="20"/>
  <c r="FL263" i="20"/>
  <c r="FL17" i="21" s="1"/>
  <c r="FL193" i="20"/>
  <c r="FL197" i="20"/>
  <c r="FL201" i="20"/>
  <c r="FL205" i="20"/>
  <c r="FL243" i="20"/>
  <c r="FL239" i="20"/>
  <c r="FL217" i="20"/>
  <c r="FL231" i="20"/>
  <c r="FL225" i="20"/>
  <c r="FK12" i="21"/>
  <c r="FM7" i="21"/>
  <c r="FL8" i="21"/>
  <c r="FL328" i="20"/>
  <c r="FL312" i="20"/>
  <c r="FL288" i="20"/>
  <c r="FL273" i="20"/>
  <c r="FL265" i="20"/>
  <c r="FL253" i="20"/>
  <c r="FL245" i="20"/>
  <c r="FL237" i="20"/>
  <c r="FL223" i="20"/>
  <c r="FL319" i="20"/>
  <c r="FK15" i="21"/>
  <c r="FL339" i="20"/>
  <c r="FL331" i="20"/>
  <c r="FL323" i="20"/>
  <c r="FL22" i="21" s="1"/>
  <c r="FL315" i="20"/>
  <c r="FL307" i="20"/>
  <c r="FL299" i="20"/>
  <c r="FL20" i="21" s="1"/>
  <c r="FL291" i="20"/>
  <c r="FL283" i="20"/>
  <c r="FL275" i="20"/>
  <c r="FL18" i="21" s="1"/>
  <c r="FL271" i="20"/>
  <c r="FL267" i="20"/>
  <c r="FL189" i="20"/>
  <c r="FL259" i="20"/>
  <c r="FL255" i="20"/>
  <c r="FL251" i="20"/>
  <c r="FL16" i="21" s="1"/>
  <c r="FL247" i="20"/>
  <c r="FL209" i="20"/>
  <c r="FL213" i="20"/>
  <c r="FL235" i="20"/>
  <c r="FL221" i="20"/>
  <c r="FN176" i="20" l="1"/>
  <c r="FN225" i="20" s="1"/>
  <c r="FN226" i="20"/>
  <c r="FN227" i="20"/>
  <c r="FN230" i="20"/>
  <c r="FN222" i="20"/>
  <c r="FN221" i="20"/>
  <c r="FN218" i="20"/>
  <c r="FN234" i="20"/>
  <c r="FN217" i="20"/>
  <c r="FN214" i="20"/>
  <c r="FN238" i="20"/>
  <c r="FN213" i="20"/>
  <c r="FN242" i="20"/>
  <c r="FN210" i="20"/>
  <c r="FN243" i="20"/>
  <c r="FN246" i="20"/>
  <c r="FN206" i="20"/>
  <c r="FN247" i="20"/>
  <c r="FN202" i="20"/>
  <c r="FN250" i="20"/>
  <c r="FN201" i="20"/>
  <c r="FN254" i="20"/>
  <c r="FN198" i="20"/>
  <c r="FN197" i="20"/>
  <c r="FN194" i="20"/>
  <c r="FN258" i="20"/>
  <c r="FN193" i="20"/>
  <c r="FN190" i="20"/>
  <c r="FN262" i="20"/>
  <c r="FN263" i="20"/>
  <c r="FN186" i="20"/>
  <c r="FN266" i="20"/>
  <c r="FN267" i="20"/>
  <c r="FN182" i="20"/>
  <c r="FN270" i="20"/>
  <c r="FN271" i="20"/>
  <c r="FN274" i="20"/>
  <c r="FN178" i="20"/>
  <c r="FN275" i="20"/>
  <c r="FN281" i="20"/>
  <c r="FN282" i="20"/>
  <c r="FN283" i="20"/>
  <c r="FN289" i="20"/>
  <c r="FN290" i="20"/>
  <c r="FN291" i="20"/>
  <c r="FN297" i="20"/>
  <c r="FN298" i="20"/>
  <c r="FN299" i="20"/>
  <c r="FN305" i="20"/>
  <c r="FN306" i="20"/>
  <c r="FN307" i="20"/>
  <c r="FN313" i="20"/>
  <c r="FN314" i="20"/>
  <c r="FN315" i="20"/>
  <c r="FN321" i="20"/>
  <c r="FN322" i="20"/>
  <c r="FN323" i="20"/>
  <c r="FN329" i="20"/>
  <c r="FN330" i="20"/>
  <c r="FN331" i="20"/>
  <c r="FN337" i="20"/>
  <c r="FN338" i="20"/>
  <c r="FN339" i="20"/>
  <c r="FL19" i="21"/>
  <c r="FM187" i="20"/>
  <c r="FM10" i="21" s="1"/>
  <c r="FM261" i="20"/>
  <c r="FM257" i="20"/>
  <c r="FM199" i="20"/>
  <c r="FM203" i="20"/>
  <c r="FM12" i="21" s="1"/>
  <c r="FM207" i="20"/>
  <c r="FM241" i="20"/>
  <c r="FM237" i="20"/>
  <c r="FM233" i="20"/>
  <c r="FM229" i="20"/>
  <c r="FL13" i="21"/>
  <c r="FM18" i="21"/>
  <c r="FM11" i="21"/>
  <c r="FM264" i="20"/>
  <c r="FM192" i="20"/>
  <c r="FM196" i="20"/>
  <c r="FM200" i="20"/>
  <c r="FM204" i="20"/>
  <c r="FM244" i="20"/>
  <c r="FM240" i="20"/>
  <c r="FM15" i="21" s="1"/>
  <c r="FM236" i="20"/>
  <c r="FM232" i="20"/>
  <c r="FM224" i="20"/>
  <c r="FL21" i="21"/>
  <c r="FM14" i="21"/>
  <c r="FM20" i="21"/>
  <c r="FM13" i="21"/>
  <c r="FM23" i="21"/>
  <c r="FM8" i="21"/>
  <c r="FN7" i="21"/>
  <c r="FN8" i="21" s="1"/>
  <c r="FM341" i="20"/>
  <c r="FM333" i="20"/>
  <c r="FM325" i="20"/>
  <c r="FM22" i="21" s="1"/>
  <c r="FM317" i="20"/>
  <c r="FM21" i="21" s="1"/>
  <c r="FM309" i="20"/>
  <c r="FM301" i="20"/>
  <c r="FM293" i="20"/>
  <c r="FM19" i="21" s="1"/>
  <c r="FM285" i="20"/>
  <c r="FM277" i="20"/>
  <c r="FM272" i="20"/>
  <c r="FM268" i="20"/>
  <c r="FM17" i="21" s="1"/>
  <c r="FM188" i="20"/>
  <c r="FM260" i="20"/>
  <c r="FM256" i="20"/>
  <c r="FM252" i="20"/>
  <c r="FM16" i="21" s="1"/>
  <c r="FM248" i="20"/>
  <c r="FM208" i="20"/>
  <c r="FM212" i="20"/>
  <c r="FM216" i="20"/>
  <c r="FM220" i="20"/>
  <c r="FN336" i="20" l="1"/>
  <c r="FN320" i="20"/>
  <c r="FN312" i="20"/>
  <c r="FN296" i="20"/>
  <c r="FN288" i="20"/>
  <c r="FN280" i="20"/>
  <c r="FN273" i="20"/>
  <c r="FN183" i="20"/>
  <c r="FN187" i="20"/>
  <c r="FN261" i="20"/>
  <c r="FN199" i="20"/>
  <c r="FN249" i="20"/>
  <c r="FN245" i="20"/>
  <c r="FN241" i="20"/>
  <c r="FN215" i="20"/>
  <c r="FN13" i="21" s="1"/>
  <c r="FN219" i="20"/>
  <c r="FN229" i="20"/>
  <c r="H33" i="21"/>
  <c r="H52" i="21" s="1"/>
  <c r="I32" i="21"/>
  <c r="I51" i="21" s="1"/>
  <c r="H31" i="21"/>
  <c r="H50" i="21" s="1"/>
  <c r="H32" i="21"/>
  <c r="H51" i="21" s="1"/>
  <c r="H71" i="21" s="1"/>
  <c r="H35" i="21"/>
  <c r="H54" i="21" s="1"/>
  <c r="H74" i="21" s="1"/>
  <c r="I33" i="21"/>
  <c r="I52" i="21" s="1"/>
  <c r="I72" i="21" s="1"/>
  <c r="J31" i="21"/>
  <c r="J50" i="21" s="1"/>
  <c r="K32" i="21"/>
  <c r="K51" i="21" s="1"/>
  <c r="J32" i="21"/>
  <c r="J51" i="21" s="1"/>
  <c r="J71" i="21" s="1"/>
  <c r="J33" i="21"/>
  <c r="J52" i="21" s="1"/>
  <c r="K31" i="21"/>
  <c r="K50" i="21" s="1"/>
  <c r="K70" i="21" s="1"/>
  <c r="M32" i="21"/>
  <c r="M51" i="21" s="1"/>
  <c r="M71" i="21" s="1"/>
  <c r="K35" i="21"/>
  <c r="K54" i="21" s="1"/>
  <c r="K74" i="21" s="1"/>
  <c r="K33" i="21"/>
  <c r="K52" i="21" s="1"/>
  <c r="K72" i="21" s="1"/>
  <c r="J35" i="21"/>
  <c r="J54" i="21" s="1"/>
  <c r="J74" i="21" s="1"/>
  <c r="L35" i="21"/>
  <c r="L54" i="21" s="1"/>
  <c r="I35" i="21"/>
  <c r="I54" i="21" s="1"/>
  <c r="J36" i="21"/>
  <c r="J55" i="21" s="1"/>
  <c r="I31" i="21"/>
  <c r="I50" i="21" s="1"/>
  <c r="I70" i="21" s="1"/>
  <c r="J34" i="21"/>
  <c r="J53" i="21" s="1"/>
  <c r="K36" i="21"/>
  <c r="K55" i="21" s="1"/>
  <c r="K75" i="21" s="1"/>
  <c r="M31" i="21"/>
  <c r="M50" i="21" s="1"/>
  <c r="M70" i="21" s="1"/>
  <c r="M36" i="21"/>
  <c r="M55" i="21" s="1"/>
  <c r="I36" i="21"/>
  <c r="I55" i="21" s="1"/>
  <c r="N36" i="21"/>
  <c r="N55" i="21" s="1"/>
  <c r="P33" i="21"/>
  <c r="P52" i="21" s="1"/>
  <c r="L36" i="21"/>
  <c r="L55" i="21" s="1"/>
  <c r="L34" i="21"/>
  <c r="L53" i="21" s="1"/>
  <c r="L73" i="21" s="1"/>
  <c r="J37" i="21"/>
  <c r="J56" i="21" s="1"/>
  <c r="J76" i="21" s="1"/>
  <c r="I34" i="21"/>
  <c r="I53" i="21" s="1"/>
  <c r="M35" i="21"/>
  <c r="M54" i="21" s="1"/>
  <c r="M74" i="21" s="1"/>
  <c r="N34" i="21"/>
  <c r="N53" i="21" s="1"/>
  <c r="M33" i="21"/>
  <c r="M52" i="21" s="1"/>
  <c r="K34" i="21"/>
  <c r="K53" i="21" s="1"/>
  <c r="L32" i="21"/>
  <c r="L51" i="21" s="1"/>
  <c r="L71" i="21" s="1"/>
  <c r="L33" i="21"/>
  <c r="L52" i="21" s="1"/>
  <c r="L31" i="21"/>
  <c r="L50" i="21" s="1"/>
  <c r="L70" i="21" s="1"/>
  <c r="M37" i="21"/>
  <c r="M56" i="21" s="1"/>
  <c r="I37" i="21"/>
  <c r="I56" i="21" s="1"/>
  <c r="M34" i="21"/>
  <c r="M53" i="21" s="1"/>
  <c r="L37" i="21"/>
  <c r="L56" i="21" s="1"/>
  <c r="N33" i="21"/>
  <c r="N52" i="21" s="1"/>
  <c r="N72" i="21" s="1"/>
  <c r="O33" i="21"/>
  <c r="O52" i="21" s="1"/>
  <c r="O72" i="21" s="1"/>
  <c r="K38" i="21"/>
  <c r="K57" i="21" s="1"/>
  <c r="K77" i="21" s="1"/>
  <c r="O37" i="21"/>
  <c r="O56" i="21" s="1"/>
  <c r="N35" i="21"/>
  <c r="N54" i="21" s="1"/>
  <c r="N74" i="21" s="1"/>
  <c r="N37" i="21"/>
  <c r="N56" i="21" s="1"/>
  <c r="J38" i="21"/>
  <c r="J57" i="21" s="1"/>
  <c r="N32" i="21"/>
  <c r="N51" i="21" s="1"/>
  <c r="N31" i="21"/>
  <c r="N50" i="21" s="1"/>
  <c r="K37" i="21"/>
  <c r="K56" i="21" s="1"/>
  <c r="M39" i="21"/>
  <c r="M58" i="21" s="1"/>
  <c r="P35" i="21"/>
  <c r="P54" i="21" s="1"/>
  <c r="R40" i="21"/>
  <c r="R59" i="21" s="1"/>
  <c r="M38" i="21"/>
  <c r="M57" i="21" s="1"/>
  <c r="J39" i="21"/>
  <c r="J58" i="21" s="1"/>
  <c r="P37" i="21"/>
  <c r="P56" i="21" s="1"/>
  <c r="O35" i="21"/>
  <c r="O54" i="21" s="1"/>
  <c r="O32" i="21"/>
  <c r="O51" i="21" s="1"/>
  <c r="O71" i="21" s="1"/>
  <c r="P32" i="21"/>
  <c r="P51" i="21" s="1"/>
  <c r="P71" i="21" s="1"/>
  <c r="N38" i="21"/>
  <c r="N57" i="21" s="1"/>
  <c r="O31" i="21"/>
  <c r="O50" i="21" s="1"/>
  <c r="O70" i="21" s="1"/>
  <c r="I38" i="21"/>
  <c r="I57" i="21" s="1"/>
  <c r="P34" i="21"/>
  <c r="P53" i="21" s="1"/>
  <c r="I39" i="21"/>
  <c r="I58" i="21" s="1"/>
  <c r="P31" i="21"/>
  <c r="P50" i="21" s="1"/>
  <c r="O41" i="21"/>
  <c r="O60" i="21" s="1"/>
  <c r="O38" i="21"/>
  <c r="O57" i="21" s="1"/>
  <c r="K40" i="21"/>
  <c r="K59" i="21" s="1"/>
  <c r="O39" i="21"/>
  <c r="O58" i="21" s="1"/>
  <c r="L40" i="21"/>
  <c r="L59" i="21" s="1"/>
  <c r="S42" i="21"/>
  <c r="S61" i="21" s="1"/>
  <c r="Q36" i="21"/>
  <c r="Q55" i="21" s="1"/>
  <c r="N39" i="21"/>
  <c r="N58" i="21" s="1"/>
  <c r="K39" i="21"/>
  <c r="K58" i="21" s="1"/>
  <c r="K78" i="21" s="1"/>
  <c r="P39" i="21"/>
  <c r="P58" i="21" s="1"/>
  <c r="O34" i="21"/>
  <c r="O53" i="21" s="1"/>
  <c r="O73" i="21" s="1"/>
  <c r="L38" i="21"/>
  <c r="L57" i="21" s="1"/>
  <c r="M40" i="21"/>
  <c r="M59" i="21" s="1"/>
  <c r="Q37" i="21"/>
  <c r="Q56" i="21" s="1"/>
  <c r="P38" i="21"/>
  <c r="P57" i="21" s="1"/>
  <c r="N40" i="21"/>
  <c r="N59" i="21" s="1"/>
  <c r="L39" i="21"/>
  <c r="L58" i="21" s="1"/>
  <c r="O36" i="21"/>
  <c r="O55" i="21" s="1"/>
  <c r="Q33" i="21"/>
  <c r="Q52" i="21" s="1"/>
  <c r="Q72" i="21" s="1"/>
  <c r="R35" i="21"/>
  <c r="R54" i="21" s="1"/>
  <c r="P36" i="21"/>
  <c r="P55" i="21" s="1"/>
  <c r="Q35" i="21"/>
  <c r="Q54" i="21" s="1"/>
  <c r="R42" i="21"/>
  <c r="R61" i="21" s="1"/>
  <c r="O40" i="21"/>
  <c r="O59" i="21" s="1"/>
  <c r="J41" i="21"/>
  <c r="J60" i="21" s="1"/>
  <c r="N41" i="21"/>
  <c r="N60" i="21" s="1"/>
  <c r="R34" i="21"/>
  <c r="R53" i="21" s="1"/>
  <c r="S33" i="21"/>
  <c r="S52" i="21" s="1"/>
  <c r="R36" i="21"/>
  <c r="R55" i="21" s="1"/>
  <c r="R41" i="21"/>
  <c r="R60" i="21" s="1"/>
  <c r="I40" i="21"/>
  <c r="I59" i="21" s="1"/>
  <c r="I79" i="21" s="1"/>
  <c r="S40" i="21"/>
  <c r="S59" i="21" s="1"/>
  <c r="Q41" i="21"/>
  <c r="Q60" i="21" s="1"/>
  <c r="M41" i="21"/>
  <c r="M60" i="21" s="1"/>
  <c r="Q34" i="21"/>
  <c r="Q53" i="21" s="1"/>
  <c r="I41" i="21"/>
  <c r="I60" i="21" s="1"/>
  <c r="P40" i="21"/>
  <c r="P59" i="21" s="1"/>
  <c r="Q40" i="21"/>
  <c r="Q59" i="21" s="1"/>
  <c r="R33" i="21"/>
  <c r="R52" i="21" s="1"/>
  <c r="L41" i="21"/>
  <c r="L60" i="21" s="1"/>
  <c r="R38" i="21"/>
  <c r="R57" i="21" s="1"/>
  <c r="Q31" i="21"/>
  <c r="Q50" i="21" s="1"/>
  <c r="S32" i="21"/>
  <c r="S51" i="21" s="1"/>
  <c r="Q32" i="21"/>
  <c r="Q51" i="21" s="1"/>
  <c r="I44" i="21"/>
  <c r="I63" i="21" s="1"/>
  <c r="Q39" i="21"/>
  <c r="Q58" i="21" s="1"/>
  <c r="K41" i="21"/>
  <c r="K60" i="21" s="1"/>
  <c r="M42" i="21"/>
  <c r="M61" i="21" s="1"/>
  <c r="R31" i="21"/>
  <c r="R50" i="21" s="1"/>
  <c r="R70" i="21" s="1"/>
  <c r="O42" i="21"/>
  <c r="O61" i="21" s="1"/>
  <c r="Q38" i="21"/>
  <c r="Q57" i="21" s="1"/>
  <c r="N42" i="21"/>
  <c r="N61" i="21" s="1"/>
  <c r="S37" i="21"/>
  <c r="S56" i="21" s="1"/>
  <c r="J40" i="21"/>
  <c r="J59" i="21" s="1"/>
  <c r="J79" i="21" s="1"/>
  <c r="R37" i="21"/>
  <c r="R56" i="21" s="1"/>
  <c r="R39" i="21"/>
  <c r="R58" i="21" s="1"/>
  <c r="S41" i="21"/>
  <c r="S60" i="21" s="1"/>
  <c r="R32" i="21"/>
  <c r="R51" i="21" s="1"/>
  <c r="R71" i="21" s="1"/>
  <c r="I42" i="21"/>
  <c r="I61" i="21" s="1"/>
  <c r="P41" i="21"/>
  <c r="P60" i="21" s="1"/>
  <c r="P43" i="21"/>
  <c r="P62" i="21" s="1"/>
  <c r="S38" i="21"/>
  <c r="S57" i="21" s="1"/>
  <c r="S31" i="21"/>
  <c r="S50" i="21" s="1"/>
  <c r="S70" i="21" s="1"/>
  <c r="S36" i="21"/>
  <c r="S55" i="21" s="1"/>
  <c r="M44" i="21"/>
  <c r="M63" i="21" s="1"/>
  <c r="O43" i="21"/>
  <c r="O62" i="21" s="1"/>
  <c r="K42" i="21"/>
  <c r="K61" i="21" s="1"/>
  <c r="J42" i="21"/>
  <c r="J61" i="21" s="1"/>
  <c r="L43" i="21"/>
  <c r="L62" i="21" s="1"/>
  <c r="S35" i="21"/>
  <c r="S54" i="21" s="1"/>
  <c r="Q43" i="21"/>
  <c r="Q62" i="21" s="1"/>
  <c r="Q42" i="21"/>
  <c r="Q61" i="21" s="1"/>
  <c r="K43" i="21"/>
  <c r="K62" i="21" s="1"/>
  <c r="S44" i="21"/>
  <c r="S63" i="21" s="1"/>
  <c r="S39" i="21"/>
  <c r="S58" i="21" s="1"/>
  <c r="J43" i="21"/>
  <c r="J62" i="21" s="1"/>
  <c r="J44" i="21"/>
  <c r="J63" i="21" s="1"/>
  <c r="M43" i="21"/>
  <c r="M62" i="21" s="1"/>
  <c r="N43" i="21"/>
  <c r="N62" i="21" s="1"/>
  <c r="S43" i="21"/>
  <c r="S62" i="21" s="1"/>
  <c r="L42" i="21"/>
  <c r="L61" i="21" s="1"/>
  <c r="P42" i="21"/>
  <c r="P61" i="21" s="1"/>
  <c r="S34" i="21"/>
  <c r="S53" i="21" s="1"/>
  <c r="I43" i="21"/>
  <c r="I62" i="21" s="1"/>
  <c r="L44" i="21"/>
  <c r="L63" i="21" s="1"/>
  <c r="O44" i="21"/>
  <c r="O63" i="21" s="1"/>
  <c r="Q44" i="21"/>
  <c r="Q63" i="21" s="1"/>
  <c r="K44" i="21"/>
  <c r="K63" i="21" s="1"/>
  <c r="N44" i="21"/>
  <c r="N63" i="21" s="1"/>
  <c r="R43" i="21"/>
  <c r="R62" i="21" s="1"/>
  <c r="R44" i="21"/>
  <c r="R63" i="21" s="1"/>
  <c r="P44" i="21"/>
  <c r="P63" i="21" s="1"/>
  <c r="H37" i="21"/>
  <c r="H56" i="21" s="1"/>
  <c r="H76" i="21" s="1"/>
  <c r="H38" i="21"/>
  <c r="H57" i="21" s="1"/>
  <c r="H77" i="21" s="1"/>
  <c r="H39" i="21"/>
  <c r="H58" i="21" s="1"/>
  <c r="G33" i="21"/>
  <c r="G52" i="21" s="1"/>
  <c r="G38" i="21"/>
  <c r="G57" i="21" s="1"/>
  <c r="H40" i="21"/>
  <c r="H59" i="21" s="1"/>
  <c r="H41" i="21"/>
  <c r="H60" i="21" s="1"/>
  <c r="H42" i="21"/>
  <c r="H61" i="21" s="1"/>
  <c r="H81" i="21" s="1"/>
  <c r="G39" i="21"/>
  <c r="G58" i="21" s="1"/>
  <c r="G44" i="21"/>
  <c r="G63" i="21" s="1"/>
  <c r="G42" i="21"/>
  <c r="G61" i="21" s="1"/>
  <c r="G32" i="21"/>
  <c r="G51" i="21" s="1"/>
  <c r="H44" i="21"/>
  <c r="H63" i="21" s="1"/>
  <c r="H43" i="21"/>
  <c r="H62" i="21" s="1"/>
  <c r="G43" i="21"/>
  <c r="G62" i="21" s="1"/>
  <c r="G31" i="21"/>
  <c r="G50" i="21" s="1"/>
  <c r="G41" i="21"/>
  <c r="G60" i="21" s="1"/>
  <c r="G36" i="21"/>
  <c r="G55" i="21" s="1"/>
  <c r="G35" i="21"/>
  <c r="G54" i="21" s="1"/>
  <c r="G40" i="21"/>
  <c r="G59" i="21" s="1"/>
  <c r="G37" i="21"/>
  <c r="G56" i="21" s="1"/>
  <c r="G34" i="21"/>
  <c r="G53" i="21" s="1"/>
  <c r="FN335" i="20"/>
  <c r="FN327" i="20"/>
  <c r="FN319" i="20"/>
  <c r="FN311" i="20"/>
  <c r="FN303" i="20"/>
  <c r="FN295" i="20"/>
  <c r="FN287" i="20"/>
  <c r="FN279" i="20"/>
  <c r="FN179" i="20"/>
  <c r="FN10" i="21" s="1"/>
  <c r="T31" i="21" s="1"/>
  <c r="T50" i="21" s="1"/>
  <c r="FN269" i="20"/>
  <c r="FN265" i="20"/>
  <c r="FN17" i="21" s="1"/>
  <c r="T38" i="21" s="1"/>
  <c r="T57" i="21" s="1"/>
  <c r="FN191" i="20"/>
  <c r="FN11" i="21" s="1"/>
  <c r="T32" i="21" s="1"/>
  <c r="T51" i="21" s="1"/>
  <c r="FN195" i="20"/>
  <c r="FN253" i="20"/>
  <c r="FN203" i="20"/>
  <c r="FN207" i="20"/>
  <c r="FN211" i="20"/>
  <c r="FN237" i="20"/>
  <c r="FN233" i="20"/>
  <c r="FN223" i="20"/>
  <c r="FN328" i="20"/>
  <c r="FN304" i="20"/>
  <c r="FN257" i="20"/>
  <c r="FN334" i="20"/>
  <c r="FN326" i="20"/>
  <c r="FN318" i="20"/>
  <c r="FN310" i="20"/>
  <c r="FN302" i="20"/>
  <c r="FN20" i="21" s="1"/>
  <c r="T41" i="21" s="1"/>
  <c r="T60" i="21" s="1"/>
  <c r="FN294" i="20"/>
  <c r="FN286" i="20"/>
  <c r="FN19" i="21" s="1"/>
  <c r="T40" i="21" s="1"/>
  <c r="T59" i="21" s="1"/>
  <c r="FN278" i="20"/>
  <c r="FN272" i="20"/>
  <c r="FN268" i="20"/>
  <c r="FN188" i="20"/>
  <c r="FN192" i="20"/>
  <c r="FN256" i="20"/>
  <c r="FN252" i="20"/>
  <c r="FN248" i="20"/>
  <c r="FN208" i="20"/>
  <c r="FN240" i="20"/>
  <c r="FN236" i="20"/>
  <c r="FN220" i="20"/>
  <c r="FN228" i="20"/>
  <c r="FN14" i="21" s="1"/>
  <c r="T35" i="21" s="1"/>
  <c r="T54" i="21" s="1"/>
  <c r="FN341" i="20"/>
  <c r="FN333" i="20"/>
  <c r="FN325" i="20"/>
  <c r="FN317" i="20"/>
  <c r="FN309" i="20"/>
  <c r="FN301" i="20"/>
  <c r="FN293" i="20"/>
  <c r="FN285" i="20"/>
  <c r="FN277" i="20"/>
  <c r="FN180" i="20"/>
  <c r="FN184" i="20"/>
  <c r="FN264" i="20"/>
  <c r="FN260" i="20"/>
  <c r="FN196" i="20"/>
  <c r="FN200" i="20"/>
  <c r="FN204" i="20"/>
  <c r="FN12" i="21" s="1"/>
  <c r="T33" i="21" s="1"/>
  <c r="T52" i="21" s="1"/>
  <c r="FN244" i="20"/>
  <c r="FN212" i="20"/>
  <c r="FN216" i="20"/>
  <c r="FN232" i="20"/>
  <c r="FN224" i="20"/>
  <c r="FN340" i="20"/>
  <c r="FN332" i="20"/>
  <c r="FN324" i="20"/>
  <c r="FN22" i="21" s="1"/>
  <c r="T43" i="21" s="1"/>
  <c r="T62" i="21" s="1"/>
  <c r="FN316" i="20"/>
  <c r="FN308" i="20"/>
  <c r="FN300" i="20"/>
  <c r="FN292" i="20"/>
  <c r="FN284" i="20"/>
  <c r="FN276" i="20"/>
  <c r="FN18" i="21" s="1"/>
  <c r="T39" i="21" s="1"/>
  <c r="T58" i="21" s="1"/>
  <c r="FN181" i="20"/>
  <c r="FN185" i="20"/>
  <c r="FN189" i="20"/>
  <c r="FN259" i="20"/>
  <c r="FN255" i="20"/>
  <c r="FN251" i="20"/>
  <c r="FN16" i="21" s="1"/>
  <c r="T37" i="21" s="1"/>
  <c r="T56" i="21" s="1"/>
  <c r="FN205" i="20"/>
  <c r="FN209" i="20"/>
  <c r="FN239" i="20"/>
  <c r="FN15" i="21" s="1"/>
  <c r="FN235" i="20"/>
  <c r="FN231" i="20"/>
  <c r="H36" i="21" l="1"/>
  <c r="H55" i="21" s="1"/>
  <c r="H75" i="21" s="1"/>
  <c r="T36" i="21"/>
  <c r="T55" i="21" s="1"/>
  <c r="H34" i="21"/>
  <c r="H53" i="21" s="1"/>
  <c r="H73" i="21" s="1"/>
  <c r="T34" i="21"/>
  <c r="T53" i="21" s="1"/>
  <c r="Q64" i="21"/>
  <c r="O64" i="21"/>
  <c r="L72" i="21"/>
  <c r="FN21" i="21"/>
  <c r="T42" i="21" s="1"/>
  <c r="T61" i="21" s="1"/>
  <c r="H79" i="21"/>
  <c r="L64" i="21"/>
  <c r="I64" i="21"/>
  <c r="I78" i="21"/>
  <c r="O74" i="21"/>
  <c r="O85" i="21" s="1"/>
  <c r="N70" i="21"/>
  <c r="K73" i="21"/>
  <c r="P72" i="21"/>
  <c r="J75" i="21"/>
  <c r="J72" i="21"/>
  <c r="I71" i="21"/>
  <c r="J73" i="21"/>
  <c r="K84" i="21"/>
  <c r="H64" i="21"/>
  <c r="M64" i="21"/>
  <c r="Q71" i="21"/>
  <c r="I80" i="21"/>
  <c r="N71" i="21"/>
  <c r="M76" i="21"/>
  <c r="L76" i="21"/>
  <c r="M72" i="21"/>
  <c r="M84" i="21" s="1"/>
  <c r="N75" i="21"/>
  <c r="I74" i="21"/>
  <c r="H72" i="21"/>
  <c r="I73" i="21"/>
  <c r="K85" i="21"/>
  <c r="H80" i="21"/>
  <c r="P70" i="21"/>
  <c r="K76" i="21"/>
  <c r="L75" i="21"/>
  <c r="H70" i="21"/>
  <c r="N64" i="21"/>
  <c r="J64" i="21"/>
  <c r="P73" i="21"/>
  <c r="J78" i="21"/>
  <c r="J77" i="21"/>
  <c r="M73" i="21"/>
  <c r="N73" i="21"/>
  <c r="I75" i="21"/>
  <c r="I85" i="21" s="1"/>
  <c r="L74" i="21"/>
  <c r="L84" i="21" s="1"/>
  <c r="K71" i="21"/>
  <c r="G64" i="21"/>
  <c r="P64" i="21"/>
  <c r="FN23" i="21"/>
  <c r="T44" i="21" s="1"/>
  <c r="T63" i="21" s="1"/>
  <c r="H78" i="21"/>
  <c r="K64" i="21"/>
  <c r="Q70" i="21"/>
  <c r="L77" i="21"/>
  <c r="I77" i="21"/>
  <c r="I76" i="21"/>
  <c r="M75" i="21"/>
  <c r="J70" i="21"/>
  <c r="O84" i="21" l="1"/>
  <c r="L85" i="21"/>
  <c r="M85" i="21"/>
  <c r="J84" i="21"/>
  <c r="J85" i="21"/>
  <c r="H85" i="21"/>
  <c r="H84" i="21"/>
  <c r="N85" i="21"/>
  <c r="N84" i="21"/>
  <c r="I84" i="21"/>
  <c r="P84" i="21"/>
  <c r="P85" i="21"/>
</calcChain>
</file>

<file path=xl/sharedStrings.xml><?xml version="1.0" encoding="utf-8"?>
<sst xmlns="http://schemas.openxmlformats.org/spreadsheetml/2006/main" count="51" uniqueCount="30">
  <si>
    <t>◆</t>
  </si>
  <si>
    <t>Calendar Year</t>
  </si>
  <si>
    <t>Calendar Month</t>
  </si>
  <si>
    <t>Months Since Start</t>
  </si>
  <si>
    <t>Currency in $000s</t>
  </si>
  <si>
    <t>Aggregate Revenue</t>
  </si>
  <si>
    <t>Cohort Revenue</t>
  </si>
  <si>
    <t>Mean</t>
  </si>
  <si>
    <t>Monthly Cohort Detail — Actual Values</t>
  </si>
  <si>
    <t>Cohort Performance Workbook</t>
  </si>
  <si>
    <t>Cohort Year</t>
  </si>
  <si>
    <t>As of:</t>
  </si>
  <si>
    <t>Model owner:</t>
  </si>
  <si>
    <t>shortcut.ai</t>
  </si>
  <si>
    <t>Workbook Key</t>
  </si>
  <si>
    <t>Manual input</t>
  </si>
  <si>
    <t>Calculated result</t>
  </si>
  <si>
    <t>Cross-sheet calculation</t>
  </si>
  <si>
    <t>Monthly Cohort Detail — Indexed Values</t>
  </si>
  <si>
    <t>Yearly Cohorts — Indexed (Monthly Basis)</t>
  </si>
  <si>
    <t>Yearly Cohorts — Indexed (Annual Basis)</t>
  </si>
  <si>
    <t>Cohort Start</t>
  </si>
  <si>
    <t>Account Count</t>
  </si>
  <si>
    <t>Cohort Start Month</t>
  </si>
  <si>
    <t>Account ID</t>
  </si>
  <si>
    <t>Start Date</t>
  </si>
  <si>
    <t>Revenue per Account</t>
  </si>
  <si>
    <t>Account Growth by Cohort</t>
  </si>
  <si>
    <t>Cohort Month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</si>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</sst>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[$-409]mmm\-yy;@"/>
    <numFmt numFmtId="172" formatCode="_-* #,##0_-;\-* #,##0_-;_-* &quot;-&quot;?_-;_-@_-"/>
    <numFmt numFmtId="173" formatCode="#,##0.0_);\(#,##0.0\)"/>
    <numFmt numFmtId="174" formatCode="0.0%;\(0.0%\)"/>
    <numFmt numFmtId="175" formatCode="0;\(0\)"/>
    <numFmt numFmtId="176" formatCode="0.00;\(0.00\)"/>
    <numFmt numFmtId="177" formatCode="0%;\(0%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u val="singleAccounting"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0" xfId="1" applyFill="1"/>
    <xf numFmtId="0" fontId="2" fillId="3" borderId="0" xfId="1" applyFill="1"/>
    <xf numFmtId="0" fontId="2" fillId="0" borderId="0" xfId="1"/>
    <xf numFmtId="0" fontId="1" fillId="0" borderId="0" xfId="2"/>
    <xf numFmtId="0" fontId="1" fillId="0" borderId="0" xfId="2" applyAlignment="1">
      <alignment horizontal="center"/>
    </xf>
    <xf numFmtId="0" fontId="3" fillId="5" borderId="0" xfId="2" applyFont="1" applyFill="1"/>
    <xf numFmtId="0" fontId="2" fillId="0" borderId="0" xfId="6" applyFont="1"/>
    <xf numFmtId="0" fontId="2" fillId="0" borderId="0" xfId="6" applyFont="1" applyAlignment="1">
      <alignment horizontal="left"/>
    </xf>
    <xf numFmtId="0" fontId="1" fillId="0" borderId="0" xfId="6"/>
    <xf numFmtId="0" fontId="1" fillId="2" borderId="0" xfId="1" applyFont="1" applyFill="1"/>
    <xf numFmtId="0" fontId="8" fillId="2" borderId="0" xfId="1" applyFont="1" applyFill="1"/>
    <xf numFmtId="0" fontId="1" fillId="3" borderId="0" xfId="1" applyFont="1" applyFill="1"/>
    <xf numFmtId="0" fontId="1" fillId="0" borderId="0" xfId="1" applyFont="1"/>
    <xf numFmtId="14" fontId="1" fillId="0" borderId="0" xfId="1" applyNumberFormat="1" applyFont="1"/>
    <xf numFmtId="0" fontId="11" fillId="2" borderId="0" xfId="1" applyFont="1" applyFill="1"/>
    <xf numFmtId="0" fontId="7" fillId="6" borderId="0" xfId="1" applyFont="1" applyFill="1"/>
    <xf numFmtId="0" fontId="12" fillId="6" borderId="0" xfId="1" applyFont="1" applyFill="1" applyAlignment="1">
      <alignment horizontal="centerContinuous"/>
    </xf>
    <xf numFmtId="0" fontId="6" fillId="3" borderId="0" xfId="1" applyFont="1" applyFill="1"/>
    <xf numFmtId="167" fontId="1" fillId="0" borderId="0" xfId="1" applyNumberFormat="1" applyFont="1"/>
    <xf numFmtId="0" fontId="1" fillId="4" borderId="0" xfId="1" applyFont="1" applyFill="1" applyAlignment="1">
      <alignment horizontal="center"/>
    </xf>
    <xf numFmtId="167" fontId="13" fillId="0" borderId="0" xfId="1" applyNumberFormat="1" applyFont="1"/>
    <xf numFmtId="0" fontId="1" fillId="4" borderId="0" xfId="1" applyFont="1" applyFill="1"/>
    <xf numFmtId="14" fontId="1" fillId="0" borderId="0" xfId="1" applyNumberFormat="1" applyFont="1" applyAlignment="1">
      <alignment horizontal="center"/>
    </xf>
    <xf numFmtId="0" fontId="1" fillId="0" borderId="0" xfId="1" applyFont="1" applyAlignment="1">
      <alignment wrapText="1"/>
    </xf>
    <xf numFmtId="175" fontId="3" fillId="4" borderId="0" xfId="1" applyNumberFormat="1" applyFont="1" applyFill="1" applyAlignment="1">
      <alignment horizontal="center"/>
    </xf>
    <xf numFmtId="177" fontId="1" fillId="0" borderId="0" xfId="1" applyNumberFormat="1" applyFont="1"/>
    <xf numFmtId="166" fontId="6" fillId="3" borderId="0" xfId="1" applyNumberFormat="1" applyFont="1" applyFill="1"/>
    <xf numFmtId="0" fontId="9" fillId="4" borderId="0" xfId="1" applyFont="1" applyFill="1" applyAlignment="1">
      <alignment horizontal="center"/>
    </xf>
    <xf numFmtId="165" fontId="6" fillId="0" borderId="0" xfId="1" applyNumberFormat="1" applyFont="1"/>
    <xf numFmtId="174" fontId="1" fillId="4" borderId="0" xfId="1" applyNumberFormat="1" applyFont="1" applyFill="1"/>
    <xf numFmtId="0" fontId="5" fillId="8" borderId="0" xfId="1" applyFont="1" applyFill="1"/>
    <xf numFmtId="175" fontId="14" fillId="8" borderId="0" xfId="1" applyNumberFormat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172" fontId="5" fillId="8" borderId="0" xfId="1" applyNumberFormat="1" applyFont="1" applyFill="1"/>
    <xf numFmtId="167" fontId="5" fillId="8" borderId="0" xfId="1" applyNumberFormat="1" applyFont="1" applyFill="1"/>
    <xf numFmtId="170" fontId="1" fillId="0" borderId="0" xfId="7" applyNumberFormat="1" applyFont="1"/>
    <xf numFmtId="170" fontId="1" fillId="0" borderId="0" xfId="7" applyNumberFormat="1" applyFont="1" applyFill="1"/>
    <xf numFmtId="176" fontId="1" fillId="0" borderId="0" xfId="6" applyNumberFormat="1"/>
    <xf numFmtId="0" fontId="1" fillId="0" borderId="0" xfId="3" applyFont="1"/>
    <xf numFmtId="0" fontId="1" fillId="0" borderId="0" xfId="3" applyFont="1" applyAlignment="1">
      <alignment horizontal="left"/>
    </xf>
    <xf numFmtId="0" fontId="7" fillId="6" borderId="0" xfId="2" applyFont="1" applyFill="1"/>
    <xf numFmtId="0" fontId="7" fillId="6" borderId="0" xfId="6" applyFont="1" applyFill="1"/>
    <xf numFmtId="173" fontId="10" fillId="7" borderId="0" xfId="1" applyNumberFormat="1" applyFont="1" applyFill="1"/>
    <xf numFmtId="0" fontId="15" fillId="0" borderId="0" xfId="1" applyFont="1"/>
    <xf numFmtId="0" fontId="16" fillId="0" borderId="0" xfId="1" applyFont="1"/>
    <xf numFmtId="14" fontId="16" fillId="0" borderId="0" xfId="1" applyNumberFormat="1" applyFont="1"/>
    <xf numFmtId="0" fontId="16" fillId="0" borderId="1" xfId="1" applyFont="1" applyBorder="1"/>
    <xf numFmtId="0" fontId="16" fillId="0" borderId="2" xfId="1" applyFont="1" applyBorder="1"/>
    <xf numFmtId="0" fontId="16" fillId="3" borderId="0" xfId="1" applyFont="1" applyFill="1" applyAlignment="1">
      <alignment horizontal="right"/>
    </xf>
    <xf numFmtId="171" fontId="16" fillId="3" borderId="0" xfId="1" applyNumberFormat="1" applyFont="1" applyFill="1"/>
    <xf numFmtId="0" fontId="17" fillId="4" borderId="0" xfId="1" applyFont="1" applyFill="1" applyAlignment="1">
      <alignment horizontal="center" wrapText="1"/>
    </xf>
    <xf numFmtId="166" fontId="16" fillId="4" borderId="0" xfId="1" applyNumberFormat="1" applyFont="1" applyFill="1" applyAlignment="1">
      <alignment horizontal="center"/>
    </xf>
    <xf numFmtId="0" fontId="16" fillId="4" borderId="0" xfId="1" applyFont="1" applyFill="1" applyAlignment="1">
      <alignment horizontal="center"/>
    </xf>
    <xf numFmtId="166" fontId="16" fillId="7" borderId="0" xfId="1" applyNumberFormat="1" applyFont="1" applyFill="1" applyAlignment="1">
      <alignment horizontal="center"/>
    </xf>
    <xf numFmtId="0" fontId="10" fillId="7" borderId="0" xfId="1" applyFont="1" applyFill="1" applyAlignment="1">
      <alignment horizontal="center"/>
    </xf>
    <xf numFmtId="165" fontId="10" fillId="7" borderId="0" xfId="1" applyNumberFormat="1" applyFont="1" applyFill="1"/>
    <xf numFmtId="165" fontId="16" fillId="3" borderId="0" xfId="1" applyNumberFormat="1" applyFont="1" applyFill="1"/>
    <xf numFmtId="167" fontId="16" fillId="0" borderId="0" xfId="1" applyNumberFormat="1" applyFont="1"/>
    <xf numFmtId="175" fontId="16" fillId="4" borderId="0" xfId="1" applyNumberFormat="1" applyFont="1" applyFill="1" applyAlignment="1">
      <alignment horizontal="center"/>
    </xf>
    <xf numFmtId="175" fontId="18" fillId="4" borderId="0" xfId="1" applyNumberFormat="1" applyFont="1" applyFill="1" applyAlignment="1">
      <alignment horizontal="center"/>
    </xf>
    <xf numFmtId="172" fontId="16" fillId="0" borderId="0" xfId="1" applyNumberFormat="1" applyFont="1"/>
    <xf numFmtId="0" fontId="16" fillId="4" borderId="0" xfId="1" applyFont="1" applyFill="1"/>
    <xf numFmtId="175" fontId="19" fillId="8" borderId="0" xfId="1" applyNumberFormat="1" applyFont="1" applyFill="1" applyAlignment="1">
      <alignment horizontal="center"/>
    </xf>
    <xf numFmtId="172" fontId="19" fillId="8" borderId="0" xfId="1" applyNumberFormat="1" applyFont="1" applyFill="1"/>
    <xf numFmtId="174" fontId="16" fillId="4" borderId="0" xfId="1" applyNumberFormat="1" applyFont="1" applyFill="1"/>
    <xf numFmtId="168" fontId="16" fillId="7" borderId="0" xfId="1" applyNumberFormat="1" applyFont="1" applyFill="1"/>
    <xf numFmtId="174" fontId="1" fillId="0" borderId="0" xfId="1" applyNumberFormat="1" applyFont="1"/>
    <xf numFmtId="0" fontId="4" fillId="0" borderId="0" xfId="3" applyFont="1"/>
    <xf numFmtId="0" fontId="3" fillId="0" borderId="0" xfId="2" applyFont="1"/>
    <xf numFmtId="0" fontId="7" fillId="6" borderId="0" xfId="4" applyFont="1" applyFill="1"/>
    <xf numFmtId="171" fontId="7" fillId="6" borderId="0" xfId="6" applyNumberFormat="1" applyFont="1" applyFill="1"/>
    <xf numFmtId="14" fontId="7" fillId="6" borderId="0" xfId="4" applyNumberFormat="1" applyFont="1" applyFill="1"/>
    <xf numFmtId="0" fontId="10" fillId="7" borderId="0" xfId="1" applyFont="1" applyFill="1"/>
    <xf numFmtId="174" fontId="16" fillId="0" borderId="0" xfId="1" applyNumberFormat="1" applyFont="1"/>
    <xf numFmtId="0" fontId="15" fillId="0" borderId="0" xfId="3" applyFont="1"/>
    <xf numFmtId="0" fontId="19" fillId="6" borderId="0" xfId="6" applyFont="1" applyFill="1"/>
    <xf numFmtId="0" fontId="19" fillId="6" borderId="0" xfId="4" applyFont="1" applyFill="1"/>
    <xf numFmtId="0" fontId="19" fillId="6" borderId="0" xfId="2" applyFont="1" applyFill="1"/>
    <xf numFmtId="168" fontId="10" fillId="0" borderId="0" xfId="1" applyNumberFormat="1" applyFont="1"/>
    <xf numFmtId="0" fontId="10" fillId="0" borderId="0" xfId="2" applyFont="1"/>
    <xf numFmtId="0" fontId="10" fillId="0" borderId="0" xfId="6" applyFont="1"/>
    <xf numFmtId="167" fontId="18" fillId="0" borderId="0" xfId="1" applyNumberFormat="1" applyFont="1"/>
    <xf numFmtId="169" fontId="16" fillId="0" borderId="0" xfId="2" applyNumberFormat="1" applyFont="1"/>
    <xf numFmtId="0" fontId="16" fillId="0" borderId="0" xfId="2" applyFont="1"/>
    <xf numFmtId="0" fontId="7" fillId="6" borderId="0" xfId="2" applyFont="1" applyFill="1" applyAlignment="1">
      <alignment wrapText="1"/>
    </xf>
    <xf numFmtId="14" fontId="7" fillId="6" borderId="0" xfId="6" applyNumberFormat="1" applyFont="1" applyFill="1" applyAlignment="1">
      <alignment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2B18-A041-4DB2-9B92-5421A4BDA4D5}">
  <sheetPr>
    <tabColor rgb="FF1F3864"/>
    <pageSetUpPr fitToPage="1"/>
  </sheetPr>
  <dimension ref="A1:FO17"/>
  <sheetViews>
    <sheetView showGridLines="0" tabSelected="1" workbookViewId="0"/>
  </sheetViews>
  <sheetFormatPr defaultColWidth="0" defaultRowHeight="15.6" zeroHeight="1" x14ac:dyDescent="0.3"/>
  <cols>
    <col min="1" max="1" width="8.77734375" style="3" customWidth="1"/>
    <col min="2" max="2" width="12.77734375" style="3" bestFit="1" customWidth="1"/>
    <col min="3" max="3" width="29.44140625" style="3" customWidth="1"/>
    <col min="4" max="10" width="8.77734375" style="3" customWidth="1"/>
    <col min="11" max="171" width="0" style="3" hidden="1" customWidth="1"/>
    <col min="172" max="16384" width="8.77734375" style="3" hidden="1"/>
  </cols>
  <sheetData>
    <row r="1" spans="1:3" s="1" customFormat="1" ht="18" x14ac:dyDescent="0.35">
      <c r="A1" s="15" t="s">
        <v>9</v>
      </c>
      <c r="B1" s="16"/>
      <c r="C1" s="16"/>
    </row>
    <row r="2" spans="1:3" s="1" customFormat="1" x14ac:dyDescent="0.3">
      <c r="A2" s="11"/>
      <c r="B2" s="10"/>
      <c r="C2" s="10"/>
    </row>
    <row r="3" spans="1:3" s="1" customFormat="1" x14ac:dyDescent="0.3">
      <c r="A3" s="10"/>
      <c r="B3" s="10"/>
      <c r="C3" s="10"/>
    </row>
    <row r="4" spans="1:3" s="2" customFormat="1" x14ac:dyDescent="0.3">
      <c r="A4" s="12"/>
      <c r="B4" s="12"/>
      <c r="C4" s="12"/>
    </row>
    <row r="5" spans="1:3" x14ac:dyDescent="0.3">
      <c r="A5" s="13"/>
      <c r="B5" s="13"/>
      <c r="C5" s="13"/>
    </row>
    <row r="6" spans="1:3" x14ac:dyDescent="0.3">
      <c r="A6" s="13"/>
      <c r="B6" s="13"/>
      <c r="C6" s="13"/>
    </row>
    <row r="7" spans="1:3" ht="17.399999999999999" x14ac:dyDescent="0.45">
      <c r="A7" s="13"/>
      <c r="B7" s="17" t="s">
        <v>14</v>
      </c>
      <c r="C7" s="17"/>
    </row>
    <row r="8" spans="1:3" x14ac:dyDescent="0.3">
      <c r="A8" s="13"/>
      <c r="B8" s="43">
        <v>10</v>
      </c>
      <c r="C8" s="44" t="s">
        <v>15</v>
      </c>
    </row>
    <row r="9" spans="1:3" x14ac:dyDescent="0.3">
      <c r="A9" s="13"/>
      <c r="B9" s="43">
        <v>10</v>
      </c>
      <c r="C9" s="44" t="s">
        <v>17</v>
      </c>
    </row>
    <row r="10" spans="1:3" x14ac:dyDescent="0.3">
      <c r="A10" s="13"/>
      <c r="B10" s="43">
        <v>10</v>
      </c>
      <c r="C10" s="44" t="s">
        <v>16</v>
      </c>
    </row>
    <row r="11" spans="1:3" x14ac:dyDescent="0.3">
      <c r="A11" s="13"/>
      <c r="B11" s="13"/>
      <c r="C11" s="13"/>
    </row>
    <row r="12" spans="1:3" x14ac:dyDescent="0.3">
      <c r="A12" s="13"/>
      <c r="B12" s="13"/>
      <c r="C12" s="13"/>
    </row>
    <row r="13" spans="1:3" x14ac:dyDescent="0.3">
      <c r="A13" s="13"/>
      <c r="B13" s="13"/>
      <c r="C13" s="13"/>
    </row>
    <row r="14" spans="1:3" x14ac:dyDescent="0.3">
      <c r="A14" s="13"/>
      <c r="B14" s="13"/>
      <c r="C14" s="13"/>
    </row>
    <row r="15" spans="1:3" x14ac:dyDescent="0.3">
      <c r="A15" s="13"/>
      <c r="B15" s="13"/>
      <c r="C15" s="13"/>
    </row>
    <row r="16" spans="1:3" ht="16.2" thickBot="1" x14ac:dyDescent="0.35">
      <c r="A16" s="13"/>
      <c r="B16" s="45" t="s">
        <v>11</v>
      </c>
      <c r="C16" s="46">
        <v>45657.333333333336</v>
      </c>
    </row>
    <row r="17" spans="1:3" ht="16.2" thickBot="1" x14ac:dyDescent="0.35">
      <c r="A17" s="13"/>
      <c r="B17" s="47" t="s">
        <v>12</v>
      </c>
      <c r="C17" s="48" t="s">
        <v>13</v>
      </c>
    </row>
  </sheetData>
  <pageMargins left="0.7" right="0.7" top="0.75" bottom="0.75" header="0.3" footer="0.3"/>
  <pageSetup scale="63" fitToHeight="0"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8E5F-DF54-4BD6-A3DE-B0E6CE46D620}">
  <sheetPr>
    <tabColor rgb="FF1F3864"/>
    <pageSetUpPr fitToPage="1"/>
  </sheetPr>
  <dimension ref="A4:FO341"/>
  <sheetViews>
    <sheetView showGridLines="0" zoomScale="68" zoomScaleNormal="50" workbookViewId="0"/>
  </sheetViews>
  <sheetFormatPr defaultColWidth="0" defaultRowHeight="15.6" outlineLevelRow="1" x14ac:dyDescent="0.3"/>
  <cols>
    <col min="1" max="2" width="3.109375" style="3" customWidth="1"/>
    <col min="3" max="3" width="54" style="3" customWidth="1"/>
    <col min="4" max="4" width="24" style="3" customWidth="1"/>
    <col min="5" max="5" width="17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6" t="s">
        <v>0</v>
      </c>
      <c r="C4" s="16" t="s">
        <v>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3"/>
    </row>
    <row r="5" spans="1:171" outlineLevel="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</row>
    <row r="6" spans="1:171" outlineLevel="1" x14ac:dyDescent="0.3">
      <c r="A6" s="13"/>
      <c r="B6" s="13"/>
      <c r="C6" s="13"/>
      <c r="D6" s="18"/>
      <c r="E6" s="18"/>
      <c r="F6" s="49" t="s">
        <v>2</v>
      </c>
      <c r="G6" s="50">
        <f>+$D$56</f>
        <v>41640</v>
      </c>
      <c r="H6" s="50">
        <f t="shared" ref="H6:AM6" si="0">+EDATE(G6,1)</f>
        <v>41671</v>
      </c>
      <c r="I6" s="50">
        <f t="shared" si="0"/>
        <v>41699</v>
      </c>
      <c r="J6" s="50">
        <f t="shared" si="0"/>
        <v>41730</v>
      </c>
      <c r="K6" s="50">
        <f t="shared" si="0"/>
        <v>41760</v>
      </c>
      <c r="L6" s="50">
        <f t="shared" si="0"/>
        <v>41791</v>
      </c>
      <c r="M6" s="50">
        <f t="shared" si="0"/>
        <v>41821</v>
      </c>
      <c r="N6" s="50">
        <f t="shared" si="0"/>
        <v>41852</v>
      </c>
      <c r="O6" s="50">
        <f t="shared" si="0"/>
        <v>41883</v>
      </c>
      <c r="P6" s="50">
        <f t="shared" si="0"/>
        <v>41913</v>
      </c>
      <c r="Q6" s="50">
        <f t="shared" si="0"/>
        <v>41944</v>
      </c>
      <c r="R6" s="50">
        <f t="shared" si="0"/>
        <v>41974</v>
      </c>
      <c r="S6" s="50">
        <f t="shared" si="0"/>
        <v>42005</v>
      </c>
      <c r="T6" s="50">
        <f t="shared" si="0"/>
        <v>42036</v>
      </c>
      <c r="U6" s="50">
        <f t="shared" si="0"/>
        <v>42064</v>
      </c>
      <c r="V6" s="50">
        <f t="shared" si="0"/>
        <v>42095</v>
      </c>
      <c r="W6" s="50">
        <f t="shared" si="0"/>
        <v>42125</v>
      </c>
      <c r="X6" s="50">
        <f t="shared" si="0"/>
        <v>42156</v>
      </c>
      <c r="Y6" s="50">
        <f t="shared" si="0"/>
        <v>42186</v>
      </c>
      <c r="Z6" s="50">
        <f t="shared" si="0"/>
        <v>42217</v>
      </c>
      <c r="AA6" s="50">
        <f t="shared" si="0"/>
        <v>42248</v>
      </c>
      <c r="AB6" s="50">
        <f t="shared" si="0"/>
        <v>42278</v>
      </c>
      <c r="AC6" s="50">
        <f t="shared" si="0"/>
        <v>42309</v>
      </c>
      <c r="AD6" s="50">
        <f t="shared" si="0"/>
        <v>42339</v>
      </c>
      <c r="AE6" s="50">
        <f t="shared" si="0"/>
        <v>42370</v>
      </c>
      <c r="AF6" s="50">
        <f t="shared" si="0"/>
        <v>42401</v>
      </c>
      <c r="AG6" s="50">
        <f t="shared" si="0"/>
        <v>42430</v>
      </c>
      <c r="AH6" s="50">
        <f t="shared" si="0"/>
        <v>42461</v>
      </c>
      <c r="AI6" s="50">
        <f t="shared" si="0"/>
        <v>42491</v>
      </c>
      <c r="AJ6" s="50">
        <f t="shared" si="0"/>
        <v>42522</v>
      </c>
      <c r="AK6" s="50">
        <f t="shared" si="0"/>
        <v>42552</v>
      </c>
      <c r="AL6" s="50">
        <f t="shared" si="0"/>
        <v>42583</v>
      </c>
      <c r="AM6" s="50">
        <f t="shared" si="0"/>
        <v>42614</v>
      </c>
      <c r="AN6" s="50">
        <f t="shared" ref="AN6:BS6" si="1">+EDATE(AM6,1)</f>
        <v>42644</v>
      </c>
      <c r="AO6" s="50">
        <f t="shared" si="1"/>
        <v>42675</v>
      </c>
      <c r="AP6" s="50">
        <f t="shared" si="1"/>
        <v>42705</v>
      </c>
      <c r="AQ6" s="50">
        <f t="shared" si="1"/>
        <v>42736</v>
      </c>
      <c r="AR6" s="50">
        <f t="shared" si="1"/>
        <v>42767</v>
      </c>
      <c r="AS6" s="50">
        <f t="shared" si="1"/>
        <v>42795</v>
      </c>
      <c r="AT6" s="50">
        <f t="shared" si="1"/>
        <v>42826</v>
      </c>
      <c r="AU6" s="50">
        <f t="shared" si="1"/>
        <v>42856</v>
      </c>
      <c r="AV6" s="50">
        <f t="shared" si="1"/>
        <v>42887</v>
      </c>
      <c r="AW6" s="50">
        <f t="shared" si="1"/>
        <v>42917</v>
      </c>
      <c r="AX6" s="50">
        <f t="shared" si="1"/>
        <v>42948</v>
      </c>
      <c r="AY6" s="50">
        <f t="shared" si="1"/>
        <v>42979</v>
      </c>
      <c r="AZ6" s="50">
        <f t="shared" si="1"/>
        <v>43009</v>
      </c>
      <c r="BA6" s="50">
        <f t="shared" si="1"/>
        <v>43040</v>
      </c>
      <c r="BB6" s="50">
        <f t="shared" si="1"/>
        <v>43070</v>
      </c>
      <c r="BC6" s="50">
        <f t="shared" si="1"/>
        <v>43101</v>
      </c>
      <c r="BD6" s="50">
        <f t="shared" si="1"/>
        <v>43132</v>
      </c>
      <c r="BE6" s="50">
        <f t="shared" si="1"/>
        <v>43160</v>
      </c>
      <c r="BF6" s="50">
        <f t="shared" si="1"/>
        <v>43191</v>
      </c>
      <c r="BG6" s="50">
        <f t="shared" si="1"/>
        <v>43221</v>
      </c>
      <c r="BH6" s="50">
        <f t="shared" si="1"/>
        <v>43252</v>
      </c>
      <c r="BI6" s="50">
        <f t="shared" si="1"/>
        <v>43282</v>
      </c>
      <c r="BJ6" s="50">
        <f t="shared" si="1"/>
        <v>43313</v>
      </c>
      <c r="BK6" s="50">
        <f t="shared" si="1"/>
        <v>43344</v>
      </c>
      <c r="BL6" s="50">
        <f t="shared" si="1"/>
        <v>43374</v>
      </c>
      <c r="BM6" s="50">
        <f t="shared" si="1"/>
        <v>43405</v>
      </c>
      <c r="BN6" s="50">
        <f t="shared" si="1"/>
        <v>43435</v>
      </c>
      <c r="BO6" s="50">
        <f t="shared" si="1"/>
        <v>43466</v>
      </c>
      <c r="BP6" s="50">
        <f t="shared" si="1"/>
        <v>43497</v>
      </c>
      <c r="BQ6" s="50">
        <f t="shared" si="1"/>
        <v>43525</v>
      </c>
      <c r="BR6" s="50">
        <f t="shared" si="1"/>
        <v>43556</v>
      </c>
      <c r="BS6" s="50">
        <f t="shared" si="1"/>
        <v>43586</v>
      </c>
      <c r="BT6" s="50">
        <f t="shared" ref="BT6:CY6" si="2">+EDATE(BS6,1)</f>
        <v>43617</v>
      </c>
      <c r="BU6" s="50">
        <f t="shared" si="2"/>
        <v>43647</v>
      </c>
      <c r="BV6" s="50">
        <f t="shared" si="2"/>
        <v>43678</v>
      </c>
      <c r="BW6" s="50">
        <f t="shared" si="2"/>
        <v>43709</v>
      </c>
      <c r="BX6" s="50">
        <f t="shared" si="2"/>
        <v>43739</v>
      </c>
      <c r="BY6" s="50">
        <f t="shared" si="2"/>
        <v>43770</v>
      </c>
      <c r="BZ6" s="50">
        <f t="shared" si="2"/>
        <v>43800</v>
      </c>
      <c r="CA6" s="50">
        <f t="shared" si="2"/>
        <v>43831</v>
      </c>
      <c r="CB6" s="50">
        <f t="shared" si="2"/>
        <v>43862</v>
      </c>
      <c r="CC6" s="50">
        <f t="shared" si="2"/>
        <v>43891</v>
      </c>
      <c r="CD6" s="50">
        <f t="shared" si="2"/>
        <v>43922</v>
      </c>
      <c r="CE6" s="50">
        <f t="shared" si="2"/>
        <v>43952</v>
      </c>
      <c r="CF6" s="50">
        <f t="shared" si="2"/>
        <v>43983</v>
      </c>
      <c r="CG6" s="50">
        <f t="shared" si="2"/>
        <v>44013</v>
      </c>
      <c r="CH6" s="50">
        <f t="shared" si="2"/>
        <v>44044</v>
      </c>
      <c r="CI6" s="50">
        <f t="shared" si="2"/>
        <v>44075</v>
      </c>
      <c r="CJ6" s="50">
        <f t="shared" si="2"/>
        <v>44105</v>
      </c>
      <c r="CK6" s="50">
        <f t="shared" si="2"/>
        <v>44136</v>
      </c>
      <c r="CL6" s="50">
        <f t="shared" si="2"/>
        <v>44166</v>
      </c>
      <c r="CM6" s="50">
        <f t="shared" si="2"/>
        <v>44197</v>
      </c>
      <c r="CN6" s="50">
        <f t="shared" si="2"/>
        <v>44228</v>
      </c>
      <c r="CO6" s="50">
        <f t="shared" si="2"/>
        <v>44256</v>
      </c>
      <c r="CP6" s="50">
        <f t="shared" si="2"/>
        <v>44287</v>
      </c>
      <c r="CQ6" s="50">
        <f t="shared" si="2"/>
        <v>44317</v>
      </c>
      <c r="CR6" s="50">
        <f t="shared" si="2"/>
        <v>44348</v>
      </c>
      <c r="CS6" s="50">
        <f t="shared" si="2"/>
        <v>44378</v>
      </c>
      <c r="CT6" s="50">
        <f t="shared" si="2"/>
        <v>44409</v>
      </c>
      <c r="CU6" s="50">
        <f t="shared" si="2"/>
        <v>44440</v>
      </c>
      <c r="CV6" s="50">
        <f t="shared" si="2"/>
        <v>44470</v>
      </c>
      <c r="CW6" s="50">
        <f t="shared" si="2"/>
        <v>44501</v>
      </c>
      <c r="CX6" s="50">
        <f t="shared" si="2"/>
        <v>44531</v>
      </c>
      <c r="CY6" s="50">
        <f t="shared" si="2"/>
        <v>44562</v>
      </c>
      <c r="CZ6" s="50">
        <f t="shared" ref="CZ6:DR6" si="3">+EDATE(CY6,1)</f>
        <v>44593</v>
      </c>
      <c r="DA6" s="50">
        <f t="shared" si="3"/>
        <v>44621</v>
      </c>
      <c r="DB6" s="50">
        <f t="shared" si="3"/>
        <v>44652</v>
      </c>
      <c r="DC6" s="50">
        <f t="shared" si="3"/>
        <v>44682</v>
      </c>
      <c r="DD6" s="50">
        <f t="shared" si="3"/>
        <v>44713</v>
      </c>
      <c r="DE6" s="50">
        <f t="shared" si="3"/>
        <v>44743</v>
      </c>
      <c r="DF6" s="50">
        <f t="shared" si="3"/>
        <v>44774</v>
      </c>
      <c r="DG6" s="50">
        <f t="shared" si="3"/>
        <v>44805</v>
      </c>
      <c r="DH6" s="50">
        <f t="shared" si="3"/>
        <v>44835</v>
      </c>
      <c r="DI6" s="50">
        <f t="shared" si="3"/>
        <v>44866</v>
      </c>
      <c r="DJ6" s="50">
        <f t="shared" si="3"/>
        <v>44896</v>
      </c>
      <c r="DK6" s="50">
        <f t="shared" si="3"/>
        <v>44927</v>
      </c>
      <c r="DL6" s="50">
        <f t="shared" si="3"/>
        <v>44958</v>
      </c>
      <c r="DM6" s="50">
        <f t="shared" si="3"/>
        <v>44986</v>
      </c>
      <c r="DN6" s="50">
        <f t="shared" si="3"/>
        <v>45017</v>
      </c>
      <c r="DO6" s="50">
        <f t="shared" si="3"/>
        <v>45047</v>
      </c>
      <c r="DP6" s="50">
        <f t="shared" si="3"/>
        <v>45078</v>
      </c>
      <c r="DQ6" s="50">
        <f t="shared" si="3"/>
        <v>45108</v>
      </c>
      <c r="DR6" s="50">
        <f t="shared" si="3"/>
        <v>45139</v>
      </c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ht="32.4" outlineLevel="1" x14ac:dyDescent="0.45">
      <c r="A7" s="13"/>
      <c r="B7" s="13"/>
      <c r="C7" s="13"/>
      <c r="D7" s="51" t="s">
        <v>23</v>
      </c>
      <c r="E7" s="51" t="s">
        <v>1</v>
      </c>
      <c r="F7" s="51" t="s">
        <v>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r="8" spans="1:171" outlineLevel="1" x14ac:dyDescent="0.3">
      <c r="A8" s="13"/>
      <c r="B8" s="13"/>
      <c r="C8" s="13"/>
      <c r="D8" s="52">
        <f t="shared" ref="D8:D55" si="4">+EDATE($D$56,F8)</f>
        <v>40179</v>
      </c>
      <c r="E8" s="53">
        <f t="shared" ref="E8:E39" si="5">+YEAR(D8)</f>
        <v>2010</v>
      </c>
      <c r="F8" s="53">
        <f t="shared" ref="F8:F55" si="6">+F9-1</f>
        <v>-48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82"/>
      <c r="DD8" s="82"/>
      <c r="DE8" s="82"/>
      <c r="DF8" s="82"/>
      <c r="DG8" s="82"/>
      <c r="DH8" s="82"/>
      <c r="DI8" s="82"/>
      <c r="DJ8" s="82"/>
      <c r="DK8" s="82"/>
      <c r="DL8" s="82"/>
      <c r="DM8" s="82"/>
      <c r="DN8" s="82"/>
      <c r="DO8" s="82"/>
      <c r="DP8" s="82"/>
      <c r="DQ8" s="82"/>
      <c r="DR8" s="82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r="9" spans="1:171" outlineLevel="1" x14ac:dyDescent="0.3">
      <c r="A9" s="13"/>
      <c r="B9" s="13"/>
      <c r="C9" s="13"/>
      <c r="D9" s="52">
        <f t="shared" si="4"/>
        <v>40210</v>
      </c>
      <c r="E9" s="53">
        <f t="shared" si="5"/>
        <v>2010</v>
      </c>
      <c r="F9" s="53">
        <f t="shared" si="6"/>
        <v>-47</v>
      </c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  <c r="DK9" s="82"/>
      <c r="DL9" s="82"/>
      <c r="DM9" s="82"/>
      <c r="DN9" s="82"/>
      <c r="DO9" s="82"/>
      <c r="DP9" s="82"/>
      <c r="DQ9" s="82"/>
      <c r="DR9" s="82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2">
        <f t="shared" si="4"/>
        <v>40238</v>
      </c>
      <c r="E10" s="53">
        <f t="shared" si="5"/>
        <v>2010</v>
      </c>
      <c r="F10" s="53">
        <f t="shared" si="6"/>
        <v>-46</v>
      </c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  <c r="DK10" s="82"/>
      <c r="DL10" s="82"/>
      <c r="DM10" s="82"/>
      <c r="DN10" s="82"/>
      <c r="DO10" s="82"/>
      <c r="DP10" s="82"/>
      <c r="DQ10" s="82"/>
      <c r="DR10" s="82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r="11" spans="1:171" outlineLevel="1" x14ac:dyDescent="0.3">
      <c r="A11" s="13"/>
      <c r="B11" s="13"/>
      <c r="C11" s="13"/>
      <c r="D11" s="52">
        <f t="shared" si="4"/>
        <v>40269</v>
      </c>
      <c r="E11" s="53">
        <f t="shared" si="5"/>
        <v>2010</v>
      </c>
      <c r="F11" s="53">
        <f t="shared" si="6"/>
        <v>-45</v>
      </c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82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  <c r="DK11" s="82"/>
      <c r="DL11" s="82"/>
      <c r="DM11" s="82"/>
      <c r="DN11" s="82"/>
      <c r="DO11" s="82"/>
      <c r="DP11" s="82"/>
      <c r="DQ11" s="82"/>
      <c r="DR11" s="82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r="12" spans="1:171" outlineLevel="1" x14ac:dyDescent="0.3">
      <c r="A12" s="13"/>
      <c r="B12" s="13"/>
      <c r="C12" s="13"/>
      <c r="D12" s="52">
        <f t="shared" si="4"/>
        <v>40299</v>
      </c>
      <c r="E12" s="53">
        <f t="shared" si="5"/>
        <v>2010</v>
      </c>
      <c r="F12" s="53">
        <f t="shared" si="6"/>
        <v>-44</v>
      </c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r="13" spans="1:171" outlineLevel="1" x14ac:dyDescent="0.3">
      <c r="A13" s="13"/>
      <c r="B13" s="13"/>
      <c r="C13" s="13"/>
      <c r="D13" s="52">
        <f t="shared" si="4"/>
        <v>40330</v>
      </c>
      <c r="E13" s="53">
        <f t="shared" si="5"/>
        <v>2010</v>
      </c>
      <c r="F13" s="53">
        <f t="shared" si="6"/>
        <v>-43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outlineLevel="1" x14ac:dyDescent="0.3">
      <c r="A14" s="13"/>
      <c r="B14" s="13"/>
      <c r="C14" s="13"/>
      <c r="D14" s="52">
        <f t="shared" si="4"/>
        <v>40360</v>
      </c>
      <c r="E14" s="53">
        <f t="shared" si="5"/>
        <v>2010</v>
      </c>
      <c r="F14" s="53">
        <f t="shared" si="6"/>
        <v>-42</v>
      </c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outlineLevel="1" x14ac:dyDescent="0.3">
      <c r="A15" s="13"/>
      <c r="B15" s="13"/>
      <c r="C15" s="13"/>
      <c r="D15" s="52">
        <f t="shared" si="4"/>
        <v>40391</v>
      </c>
      <c r="E15" s="53">
        <f t="shared" si="5"/>
        <v>2010</v>
      </c>
      <c r="F15" s="53">
        <f t="shared" si="6"/>
        <v>-41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2"/>
      <c r="DQ15" s="82"/>
      <c r="DR15" s="82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r="16" spans="1:171" outlineLevel="1" x14ac:dyDescent="0.3">
      <c r="A16" s="13"/>
      <c r="B16" s="13"/>
      <c r="C16" s="13"/>
      <c r="D16" s="52">
        <f t="shared" si="4"/>
        <v>40422</v>
      </c>
      <c r="E16" s="53">
        <f t="shared" si="5"/>
        <v>2010</v>
      </c>
      <c r="F16" s="53">
        <f t="shared" si="6"/>
        <v>-40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  <c r="DK16" s="82"/>
      <c r="DL16" s="82"/>
      <c r="DM16" s="82"/>
      <c r="DN16" s="82"/>
      <c r="DO16" s="82"/>
      <c r="DP16" s="82"/>
      <c r="DQ16" s="82"/>
      <c r="DR16" s="82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r="17" spans="1:171" outlineLevel="1" x14ac:dyDescent="0.3">
      <c r="A17" s="13"/>
      <c r="B17" s="13"/>
      <c r="C17" s="13"/>
      <c r="D17" s="52">
        <f t="shared" si="4"/>
        <v>40452</v>
      </c>
      <c r="E17" s="53">
        <f t="shared" si="5"/>
        <v>2010</v>
      </c>
      <c r="F17" s="53">
        <f t="shared" si="6"/>
        <v>-39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  <c r="DK17" s="82"/>
      <c r="DL17" s="82"/>
      <c r="DM17" s="82"/>
      <c r="DN17" s="82"/>
      <c r="DO17" s="82"/>
      <c r="DP17" s="82"/>
      <c r="DQ17" s="82"/>
      <c r="DR17" s="82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r="18" spans="1:171" outlineLevel="1" x14ac:dyDescent="0.3">
      <c r="A18" s="13"/>
      <c r="B18" s="13"/>
      <c r="C18" s="13"/>
      <c r="D18" s="52">
        <f t="shared" si="4"/>
        <v>40483</v>
      </c>
      <c r="E18" s="53">
        <f t="shared" si="5"/>
        <v>2010</v>
      </c>
      <c r="F18" s="53">
        <f t="shared" si="6"/>
        <v>-38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  <c r="DK18" s="82"/>
      <c r="DL18" s="82"/>
      <c r="DM18" s="82"/>
      <c r="DN18" s="82"/>
      <c r="DO18" s="82"/>
      <c r="DP18" s="82"/>
      <c r="DQ18" s="82"/>
      <c r="DR18" s="82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outlineLevel="1" x14ac:dyDescent="0.3">
      <c r="A19" s="13"/>
      <c r="B19" s="13"/>
      <c r="C19" s="13"/>
      <c r="D19" s="52">
        <f t="shared" si="4"/>
        <v>40513</v>
      </c>
      <c r="E19" s="53">
        <f t="shared" si="5"/>
        <v>2010</v>
      </c>
      <c r="F19" s="53">
        <f t="shared" si="6"/>
        <v>-37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  <c r="DK19" s="82"/>
      <c r="DL19" s="82"/>
      <c r="DM19" s="82"/>
      <c r="DN19" s="82"/>
      <c r="DO19" s="82"/>
      <c r="DP19" s="82"/>
      <c r="DQ19" s="82"/>
      <c r="DR19" s="82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r="20" spans="1:171" outlineLevel="1" x14ac:dyDescent="0.3">
      <c r="A20" s="13"/>
      <c r="B20" s="13"/>
      <c r="C20" s="13"/>
      <c r="D20" s="52">
        <f t="shared" si="4"/>
        <v>40544</v>
      </c>
      <c r="E20" s="53">
        <f t="shared" si="5"/>
        <v>2011</v>
      </c>
      <c r="F20" s="53">
        <f t="shared" si="6"/>
        <v>-36</v>
      </c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82"/>
      <c r="DF20" s="82"/>
      <c r="DG20" s="82"/>
      <c r="DH20" s="82"/>
      <c r="DI20" s="82"/>
      <c r="DJ20" s="82"/>
      <c r="DK20" s="82"/>
      <c r="DL20" s="82"/>
      <c r="DM20" s="82"/>
      <c r="DN20" s="82"/>
      <c r="DO20" s="82"/>
      <c r="DP20" s="82"/>
      <c r="DQ20" s="82"/>
      <c r="DR20" s="82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outlineLevel="1" x14ac:dyDescent="0.3">
      <c r="A21" s="13"/>
      <c r="B21" s="13"/>
      <c r="C21" s="13"/>
      <c r="D21" s="52">
        <f t="shared" si="4"/>
        <v>40575</v>
      </c>
      <c r="E21" s="53">
        <f t="shared" si="5"/>
        <v>2011</v>
      </c>
      <c r="F21" s="53">
        <f t="shared" si="6"/>
        <v>-35</v>
      </c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r="22" spans="1:171" outlineLevel="1" x14ac:dyDescent="0.3">
      <c r="A22" s="13"/>
      <c r="B22" s="13"/>
      <c r="C22" s="13"/>
      <c r="D22" s="52">
        <f t="shared" si="4"/>
        <v>40603</v>
      </c>
      <c r="E22" s="53">
        <f t="shared" si="5"/>
        <v>2011</v>
      </c>
      <c r="F22" s="53">
        <f t="shared" si="6"/>
        <v>-34</v>
      </c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  <row r="23" spans="1:171" outlineLevel="1" x14ac:dyDescent="0.3">
      <c r="A23" s="13"/>
      <c r="B23" s="13"/>
      <c r="C23" s="13"/>
      <c r="D23" s="52">
        <f t="shared" si="4"/>
        <v>40634</v>
      </c>
      <c r="E23" s="53">
        <f t="shared" si="5"/>
        <v>2011</v>
      </c>
      <c r="F23" s="53">
        <f t="shared" si="6"/>
        <v>-33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71" outlineLevel="1" x14ac:dyDescent="0.3">
      <c r="A24" s="13"/>
      <c r="B24" s="13"/>
      <c r="C24" s="13"/>
      <c r="D24" s="52">
        <f t="shared" si="4"/>
        <v>40664</v>
      </c>
      <c r="E24" s="53">
        <f t="shared" si="5"/>
        <v>2011</v>
      </c>
      <c r="F24" s="53">
        <f t="shared" si="6"/>
        <v>-32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2"/>
      <c r="DA24" s="82"/>
      <c r="DB24" s="82"/>
      <c r="DC24" s="82"/>
      <c r="DD24" s="82"/>
      <c r="DE24" s="82"/>
      <c r="DF24" s="82"/>
      <c r="DG24" s="82"/>
      <c r="DH24" s="82"/>
      <c r="DI24" s="82"/>
      <c r="DJ24" s="82"/>
      <c r="DK24" s="82"/>
      <c r="DL24" s="82"/>
      <c r="DM24" s="82"/>
      <c r="DN24" s="82"/>
      <c r="DO24" s="82"/>
      <c r="DP24" s="82"/>
      <c r="DQ24" s="82"/>
      <c r="DR24" s="82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outlineLevel="1" x14ac:dyDescent="0.3">
      <c r="A25" s="13"/>
      <c r="B25" s="13"/>
      <c r="C25" s="13"/>
      <c r="D25" s="52">
        <f t="shared" si="4"/>
        <v>40695</v>
      </c>
      <c r="E25" s="53">
        <f t="shared" si="5"/>
        <v>2011</v>
      </c>
      <c r="F25" s="53">
        <f t="shared" si="6"/>
        <v>-31</v>
      </c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82"/>
      <c r="CF25" s="82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/>
      <c r="DA25" s="82"/>
      <c r="DB25" s="82"/>
      <c r="DC25" s="82"/>
      <c r="DD25" s="82"/>
      <c r="DE25" s="82"/>
      <c r="DF25" s="82"/>
      <c r="DG25" s="82"/>
      <c r="DH25" s="82"/>
      <c r="DI25" s="82"/>
      <c r="DJ25" s="82"/>
      <c r="DK25" s="82"/>
      <c r="DL25" s="82"/>
      <c r="DM25" s="82"/>
      <c r="DN25" s="82"/>
      <c r="DO25" s="82"/>
      <c r="DP25" s="82"/>
      <c r="DQ25" s="82"/>
      <c r="DR25" s="82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</row>
    <row r="26" spans="1:171" outlineLevel="1" x14ac:dyDescent="0.3">
      <c r="A26" s="13"/>
      <c r="B26" s="13"/>
      <c r="C26" s="13"/>
      <c r="D26" s="52">
        <f t="shared" si="4"/>
        <v>40725</v>
      </c>
      <c r="E26" s="53">
        <f t="shared" si="5"/>
        <v>2011</v>
      </c>
      <c r="F26" s="53">
        <f t="shared" si="6"/>
        <v>-30</v>
      </c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2"/>
      <c r="DE26" s="82"/>
      <c r="DF26" s="82"/>
      <c r="DG26" s="82"/>
      <c r="DH26" s="82"/>
      <c r="DI26" s="82"/>
      <c r="DJ26" s="82"/>
      <c r="DK26" s="82"/>
      <c r="DL26" s="82"/>
      <c r="DM26" s="82"/>
      <c r="DN26" s="82"/>
      <c r="DO26" s="82"/>
      <c r="DP26" s="82"/>
      <c r="DQ26" s="82"/>
      <c r="DR26" s="82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outlineLevel="1" x14ac:dyDescent="0.3">
      <c r="A27" s="13"/>
      <c r="B27" s="13"/>
      <c r="C27" s="13"/>
      <c r="D27" s="52">
        <f t="shared" si="4"/>
        <v>40756</v>
      </c>
      <c r="E27" s="53">
        <f t="shared" si="5"/>
        <v>2011</v>
      </c>
      <c r="F27" s="53">
        <f t="shared" si="6"/>
        <v>-29</v>
      </c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</row>
    <row r="28" spans="1:171" outlineLevel="1" x14ac:dyDescent="0.3">
      <c r="A28" s="13"/>
      <c r="B28" s="13"/>
      <c r="C28" s="13"/>
      <c r="D28" s="52">
        <f t="shared" si="4"/>
        <v>40787</v>
      </c>
      <c r="E28" s="53">
        <f t="shared" si="5"/>
        <v>2011</v>
      </c>
      <c r="F28" s="53">
        <f t="shared" si="6"/>
        <v>-28</v>
      </c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52">
        <f t="shared" si="4"/>
        <v>40817</v>
      </c>
      <c r="E29" s="53">
        <f t="shared" si="5"/>
        <v>2011</v>
      </c>
      <c r="F29" s="53">
        <f t="shared" si="6"/>
        <v>-27</v>
      </c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2"/>
      <c r="DE29" s="82"/>
      <c r="DF29" s="82"/>
      <c r="DG29" s="82"/>
      <c r="DH29" s="82"/>
      <c r="DI29" s="82"/>
      <c r="DJ29" s="82"/>
      <c r="DK29" s="82"/>
      <c r="DL29" s="82"/>
      <c r="DM29" s="82"/>
      <c r="DN29" s="82"/>
      <c r="DO29" s="82"/>
      <c r="DP29" s="82"/>
      <c r="DQ29" s="82"/>
      <c r="DR29" s="82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outlineLevel="1" x14ac:dyDescent="0.3">
      <c r="A30" s="13"/>
      <c r="B30" s="13"/>
      <c r="C30" s="13"/>
      <c r="D30" s="52">
        <f t="shared" si="4"/>
        <v>40848</v>
      </c>
      <c r="E30" s="53">
        <f t="shared" si="5"/>
        <v>2011</v>
      </c>
      <c r="F30" s="53">
        <f t="shared" si="6"/>
        <v>-26</v>
      </c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2">
        <f t="shared" si="4"/>
        <v>40878</v>
      </c>
      <c r="E31" s="53">
        <f t="shared" si="5"/>
        <v>2011</v>
      </c>
      <c r="F31" s="53">
        <f t="shared" si="6"/>
        <v>-25</v>
      </c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P31" s="82"/>
      <c r="DQ31" s="82"/>
      <c r="DR31" s="82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2">
        <f t="shared" si="4"/>
        <v>40909</v>
      </c>
      <c r="E32" s="53">
        <f t="shared" si="5"/>
        <v>2012</v>
      </c>
      <c r="F32" s="53">
        <f t="shared" si="6"/>
        <v>-24</v>
      </c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2">
        <f t="shared" si="4"/>
        <v>40940</v>
      </c>
      <c r="E33" s="53">
        <f t="shared" si="5"/>
        <v>2012</v>
      </c>
      <c r="F33" s="53">
        <f t="shared" si="6"/>
        <v>-23</v>
      </c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2">
        <f t="shared" si="4"/>
        <v>40969</v>
      </c>
      <c r="E34" s="53">
        <f t="shared" si="5"/>
        <v>2012</v>
      </c>
      <c r="F34" s="53">
        <f t="shared" si="6"/>
        <v>-22</v>
      </c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2">
        <f t="shared" si="4"/>
        <v>41000</v>
      </c>
      <c r="E35" s="53">
        <f t="shared" si="5"/>
        <v>2012</v>
      </c>
      <c r="F35" s="53">
        <f t="shared" si="6"/>
        <v>-21</v>
      </c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82"/>
      <c r="DL35" s="82"/>
      <c r="DM35" s="82"/>
      <c r="DN35" s="82"/>
      <c r="DO35" s="82"/>
      <c r="DP35" s="82"/>
      <c r="DQ35" s="82"/>
      <c r="DR35" s="82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2">
        <f t="shared" si="4"/>
        <v>41030</v>
      </c>
      <c r="E36" s="53">
        <f t="shared" si="5"/>
        <v>2012</v>
      </c>
      <c r="F36" s="53">
        <f t="shared" si="6"/>
        <v>-20</v>
      </c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2">
        <f t="shared" si="4"/>
        <v>41061</v>
      </c>
      <c r="E37" s="53">
        <f t="shared" si="5"/>
        <v>2012</v>
      </c>
      <c r="F37" s="53">
        <f t="shared" si="6"/>
        <v>-19</v>
      </c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2">
        <f t="shared" si="4"/>
        <v>41091</v>
      </c>
      <c r="E38" s="53">
        <f t="shared" si="5"/>
        <v>2012</v>
      </c>
      <c r="F38" s="53">
        <f t="shared" si="6"/>
        <v>-18</v>
      </c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2"/>
      <c r="DE38" s="82"/>
      <c r="DF38" s="82"/>
      <c r="DG38" s="82"/>
      <c r="DH38" s="82"/>
      <c r="DI38" s="82"/>
      <c r="DJ38" s="82"/>
      <c r="DK38" s="82"/>
      <c r="DL38" s="82"/>
      <c r="DM38" s="82"/>
      <c r="DN38" s="82"/>
      <c r="DO38" s="82"/>
      <c r="DP38" s="82"/>
      <c r="DQ38" s="82"/>
      <c r="DR38" s="82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2">
        <f t="shared" si="4"/>
        <v>41122</v>
      </c>
      <c r="E39" s="53">
        <f t="shared" si="5"/>
        <v>2012</v>
      </c>
      <c r="F39" s="53">
        <f t="shared" si="6"/>
        <v>-17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P39" s="82"/>
      <c r="DQ39" s="82"/>
      <c r="DR39" s="82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2">
        <f t="shared" si="4"/>
        <v>41153</v>
      </c>
      <c r="E40" s="53">
        <f t="shared" ref="E40:E71" si="7">+YEAR(D40)</f>
        <v>2012</v>
      </c>
      <c r="F40" s="53">
        <f t="shared" si="6"/>
        <v>-16</v>
      </c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82"/>
      <c r="DD40" s="82"/>
      <c r="DE40" s="82"/>
      <c r="DF40" s="82"/>
      <c r="DG40" s="82"/>
      <c r="DH40" s="82"/>
      <c r="DI40" s="82"/>
      <c r="DJ40" s="82"/>
      <c r="DK40" s="82"/>
      <c r="DL40" s="82"/>
      <c r="DM40" s="82"/>
      <c r="DN40" s="82"/>
      <c r="DO40" s="82"/>
      <c r="DP40" s="82"/>
      <c r="DQ40" s="82"/>
      <c r="DR40" s="82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2">
        <f t="shared" si="4"/>
        <v>41183</v>
      </c>
      <c r="E41" s="53">
        <f t="shared" si="7"/>
        <v>2012</v>
      </c>
      <c r="F41" s="53">
        <f t="shared" si="6"/>
        <v>-15</v>
      </c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2">
        <f t="shared" si="4"/>
        <v>41214</v>
      </c>
      <c r="E42" s="53">
        <f t="shared" si="7"/>
        <v>2012</v>
      </c>
      <c r="F42" s="53">
        <f t="shared" si="6"/>
        <v>-14</v>
      </c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2">
        <f t="shared" si="4"/>
        <v>41244</v>
      </c>
      <c r="E43" s="53">
        <f t="shared" si="7"/>
        <v>2012</v>
      </c>
      <c r="F43" s="53">
        <f t="shared" si="6"/>
        <v>-13</v>
      </c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2">
        <f t="shared" si="4"/>
        <v>41275</v>
      </c>
      <c r="E44" s="53">
        <f t="shared" si="7"/>
        <v>2013</v>
      </c>
      <c r="F44" s="53">
        <f t="shared" si="6"/>
        <v>-12</v>
      </c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outlineLevel="1" x14ac:dyDescent="0.3">
      <c r="A45" s="13"/>
      <c r="B45" s="13"/>
      <c r="C45" s="13"/>
      <c r="D45" s="52">
        <f t="shared" si="4"/>
        <v>41306</v>
      </c>
      <c r="E45" s="53">
        <f t="shared" si="7"/>
        <v>2013</v>
      </c>
      <c r="F45" s="53">
        <f t="shared" si="6"/>
        <v>-11</v>
      </c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outlineLevel="1" x14ac:dyDescent="0.3">
      <c r="A46" s="13"/>
      <c r="B46" s="13"/>
      <c r="C46" s="13"/>
      <c r="D46" s="52">
        <f t="shared" si="4"/>
        <v>41334</v>
      </c>
      <c r="E46" s="53">
        <f t="shared" si="7"/>
        <v>2013</v>
      </c>
      <c r="F46" s="53">
        <f t="shared" si="6"/>
        <v>-10</v>
      </c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52">
        <f t="shared" si="4"/>
        <v>41365</v>
      </c>
      <c r="E47" s="53">
        <f t="shared" si="7"/>
        <v>2013</v>
      </c>
      <c r="F47" s="53">
        <f t="shared" si="6"/>
        <v>-9</v>
      </c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52">
        <f t="shared" si="4"/>
        <v>41395</v>
      </c>
      <c r="E48" s="53">
        <f t="shared" si="7"/>
        <v>2013</v>
      </c>
      <c r="F48" s="53">
        <f t="shared" si="6"/>
        <v>-8</v>
      </c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outlineLevel="1" x14ac:dyDescent="0.3">
      <c r="A49" s="13"/>
      <c r="B49" s="13"/>
      <c r="C49" s="13"/>
      <c r="D49" s="52">
        <f t="shared" si="4"/>
        <v>41426</v>
      </c>
      <c r="E49" s="53">
        <f t="shared" si="7"/>
        <v>2013</v>
      </c>
      <c r="F49" s="53">
        <f t="shared" si="6"/>
        <v>-7</v>
      </c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2">
        <f t="shared" si="4"/>
        <v>41456</v>
      </c>
      <c r="E50" s="53">
        <f t="shared" si="7"/>
        <v>2013</v>
      </c>
      <c r="F50" s="53">
        <f t="shared" si="6"/>
        <v>-6</v>
      </c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2">
        <f t="shared" si="4"/>
        <v>41487</v>
      </c>
      <c r="E51" s="53">
        <f t="shared" si="7"/>
        <v>2013</v>
      </c>
      <c r="F51" s="53">
        <f t="shared" si="6"/>
        <v>-5</v>
      </c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2">
        <f t="shared" si="4"/>
        <v>41518</v>
      </c>
      <c r="E52" s="53">
        <f t="shared" si="7"/>
        <v>2013</v>
      </c>
      <c r="F52" s="53">
        <f t="shared" si="6"/>
        <v>-4</v>
      </c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2">
        <f t="shared" si="4"/>
        <v>41548</v>
      </c>
      <c r="E53" s="53">
        <f t="shared" si="7"/>
        <v>2013</v>
      </c>
      <c r="F53" s="53">
        <f t="shared" si="6"/>
        <v>-3</v>
      </c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2">
        <f t="shared" si="4"/>
        <v>41579</v>
      </c>
      <c r="E54" s="53">
        <f t="shared" si="7"/>
        <v>2013</v>
      </c>
      <c r="F54" s="53">
        <f t="shared" si="6"/>
        <v>-2</v>
      </c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2">
        <f t="shared" si="4"/>
        <v>41609</v>
      </c>
      <c r="E55" s="53">
        <f t="shared" si="7"/>
        <v>2013</v>
      </c>
      <c r="F55" s="53">
        <f t="shared" si="6"/>
        <v>-1</v>
      </c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4">
        <v>41640</v>
      </c>
      <c r="E56" s="53">
        <f t="shared" si="7"/>
        <v>2014</v>
      </c>
      <c r="F56" s="2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2">
        <f t="shared" ref="D57:D88" si="8">+EDATE($D$56,F57)</f>
        <v>41671</v>
      </c>
      <c r="E57" s="53">
        <f t="shared" si="7"/>
        <v>2014</v>
      </c>
      <c r="F57" s="55">
        <v>1</v>
      </c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2"/>
      <c r="DR57" s="82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2">
        <f t="shared" si="8"/>
        <v>41699</v>
      </c>
      <c r="E58" s="53">
        <f t="shared" si="7"/>
        <v>2014</v>
      </c>
      <c r="F58" s="53">
        <f t="shared" ref="F58:F89" si="9">+F57+1</f>
        <v>2</v>
      </c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2">
        <f t="shared" si="8"/>
        <v>41730</v>
      </c>
      <c r="E59" s="53">
        <f t="shared" si="7"/>
        <v>2014</v>
      </c>
      <c r="F59" s="53">
        <f t="shared" si="9"/>
        <v>3</v>
      </c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  <c r="DK59" s="82"/>
      <c r="DL59" s="82"/>
      <c r="DM59" s="82"/>
      <c r="DN59" s="82"/>
      <c r="DO59" s="82"/>
      <c r="DP59" s="82"/>
      <c r="DQ59" s="82"/>
      <c r="DR59" s="82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2">
        <f t="shared" si="8"/>
        <v>41760</v>
      </c>
      <c r="E60" s="53">
        <f t="shared" si="7"/>
        <v>2014</v>
      </c>
      <c r="F60" s="53">
        <f t="shared" si="9"/>
        <v>4</v>
      </c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P60" s="82"/>
      <c r="DQ60" s="82"/>
      <c r="DR60" s="82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2">
        <f t="shared" si="8"/>
        <v>41791</v>
      </c>
      <c r="E61" s="53">
        <f t="shared" si="7"/>
        <v>2014</v>
      </c>
      <c r="F61" s="53">
        <f t="shared" si="9"/>
        <v>5</v>
      </c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/>
      <c r="DO61" s="82"/>
      <c r="DP61" s="82"/>
      <c r="DQ61" s="82"/>
      <c r="DR61" s="82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2">
        <f t="shared" si="8"/>
        <v>41821</v>
      </c>
      <c r="E62" s="53">
        <f t="shared" si="7"/>
        <v>2014</v>
      </c>
      <c r="F62" s="53">
        <f t="shared" si="9"/>
        <v>6</v>
      </c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/>
      <c r="DM62" s="82"/>
      <c r="DN62" s="82"/>
      <c r="DO62" s="82"/>
      <c r="DP62" s="82"/>
      <c r="DQ62" s="82"/>
      <c r="DR62" s="82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2">
        <f t="shared" si="8"/>
        <v>41852</v>
      </c>
      <c r="E63" s="53">
        <f t="shared" si="7"/>
        <v>2014</v>
      </c>
      <c r="F63" s="53">
        <f t="shared" si="9"/>
        <v>7</v>
      </c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13"/>
      <c r="C64" s="13"/>
      <c r="D64" s="52">
        <f t="shared" si="8"/>
        <v>41883</v>
      </c>
      <c r="E64" s="53">
        <f t="shared" si="7"/>
        <v>2014</v>
      </c>
      <c r="F64" s="53">
        <f t="shared" si="9"/>
        <v>8</v>
      </c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</row>
    <row r="65" spans="1:171" outlineLevel="1" x14ac:dyDescent="0.3">
      <c r="A65" s="13"/>
      <c r="B65" s="13"/>
      <c r="C65" s="13"/>
      <c r="D65" s="52">
        <f t="shared" si="8"/>
        <v>41913</v>
      </c>
      <c r="E65" s="53">
        <f t="shared" si="7"/>
        <v>2014</v>
      </c>
      <c r="F65" s="53">
        <f t="shared" si="9"/>
        <v>9</v>
      </c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  <c r="DQ65" s="82"/>
      <c r="DR65" s="82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outlineLevel="1" x14ac:dyDescent="0.3">
      <c r="A66" s="13"/>
      <c r="B66" s="13"/>
      <c r="C66" s="13"/>
      <c r="D66" s="52">
        <f t="shared" si="8"/>
        <v>41944</v>
      </c>
      <c r="E66" s="53">
        <f t="shared" si="7"/>
        <v>2014</v>
      </c>
      <c r="F66" s="53">
        <f t="shared" si="9"/>
        <v>10</v>
      </c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/>
      <c r="DQ66" s="82"/>
      <c r="DR66" s="82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</row>
    <row r="67" spans="1:171" outlineLevel="1" x14ac:dyDescent="0.3">
      <c r="A67" s="13"/>
      <c r="B67" s="13"/>
      <c r="C67" s="13"/>
      <c r="D67" s="52">
        <f t="shared" si="8"/>
        <v>41974</v>
      </c>
      <c r="E67" s="53">
        <f t="shared" si="7"/>
        <v>2014</v>
      </c>
      <c r="F67" s="53">
        <f t="shared" si="9"/>
        <v>11</v>
      </c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P67" s="82"/>
      <c r="DQ67" s="82"/>
      <c r="DR67" s="82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52">
        <f t="shared" si="8"/>
        <v>42005</v>
      </c>
      <c r="E68" s="53">
        <f t="shared" si="7"/>
        <v>2015</v>
      </c>
      <c r="F68" s="53">
        <f t="shared" si="9"/>
        <v>12</v>
      </c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outlineLevel="1" x14ac:dyDescent="0.3">
      <c r="A69" s="13"/>
      <c r="B69" s="13"/>
      <c r="C69" s="13"/>
      <c r="D69" s="52">
        <f t="shared" si="8"/>
        <v>42036</v>
      </c>
      <c r="E69" s="53">
        <f t="shared" si="7"/>
        <v>2015</v>
      </c>
      <c r="F69" s="53">
        <f t="shared" si="9"/>
        <v>13</v>
      </c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  <c r="DJ69" s="82"/>
      <c r="DK69" s="82"/>
      <c r="DL69" s="82"/>
      <c r="DM69" s="82"/>
      <c r="DN69" s="82"/>
      <c r="DO69" s="82"/>
      <c r="DP69" s="82"/>
      <c r="DQ69" s="82"/>
      <c r="DR69" s="82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2">
        <f t="shared" si="8"/>
        <v>42064</v>
      </c>
      <c r="E70" s="53">
        <f t="shared" si="7"/>
        <v>2015</v>
      </c>
      <c r="F70" s="53">
        <f t="shared" si="9"/>
        <v>14</v>
      </c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82"/>
      <c r="DP70" s="82"/>
      <c r="DQ70" s="82"/>
      <c r="DR70" s="82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2">
        <f t="shared" si="8"/>
        <v>42095</v>
      </c>
      <c r="E71" s="53">
        <f t="shared" si="7"/>
        <v>2015</v>
      </c>
      <c r="F71" s="53">
        <f t="shared" si="9"/>
        <v>15</v>
      </c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2"/>
      <c r="DB71" s="82"/>
      <c r="DC71" s="82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2">
        <f t="shared" si="8"/>
        <v>42125</v>
      </c>
      <c r="E72" s="53">
        <f t="shared" ref="E72:E103" si="10">+YEAR(D72)</f>
        <v>2015</v>
      </c>
      <c r="F72" s="53">
        <f t="shared" si="9"/>
        <v>16</v>
      </c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2">
        <f t="shared" si="8"/>
        <v>42156</v>
      </c>
      <c r="E73" s="53">
        <f t="shared" si="10"/>
        <v>2015</v>
      </c>
      <c r="F73" s="53">
        <f t="shared" si="9"/>
        <v>17</v>
      </c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2">
        <f t="shared" si="8"/>
        <v>42186</v>
      </c>
      <c r="E74" s="53">
        <f t="shared" si="10"/>
        <v>2015</v>
      </c>
      <c r="F74" s="53">
        <f t="shared" si="9"/>
        <v>18</v>
      </c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2">
        <f t="shared" si="8"/>
        <v>42217</v>
      </c>
      <c r="E75" s="53">
        <f t="shared" si="10"/>
        <v>2015</v>
      </c>
      <c r="F75" s="53">
        <f t="shared" si="9"/>
        <v>19</v>
      </c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2">
        <f t="shared" si="8"/>
        <v>42248</v>
      </c>
      <c r="E76" s="53">
        <f t="shared" si="10"/>
        <v>2015</v>
      </c>
      <c r="F76" s="53">
        <f t="shared" si="9"/>
        <v>20</v>
      </c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2">
        <f t="shared" si="8"/>
        <v>42278</v>
      </c>
      <c r="E77" s="53">
        <f t="shared" si="10"/>
        <v>2015</v>
      </c>
      <c r="F77" s="53">
        <f t="shared" si="9"/>
        <v>21</v>
      </c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2">
        <f t="shared" si="8"/>
        <v>42309</v>
      </c>
      <c r="E78" s="53">
        <f t="shared" si="10"/>
        <v>2015</v>
      </c>
      <c r="F78" s="53">
        <f t="shared" si="9"/>
        <v>22</v>
      </c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/>
      <c r="DA78" s="82"/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/>
      <c r="DM78" s="82"/>
      <c r="DN78" s="82"/>
      <c r="DO78" s="82"/>
      <c r="DP78" s="82"/>
      <c r="DQ78" s="82"/>
      <c r="DR78" s="82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2">
        <f t="shared" si="8"/>
        <v>42339</v>
      </c>
      <c r="E79" s="53">
        <f t="shared" si="10"/>
        <v>2015</v>
      </c>
      <c r="F79" s="53">
        <f t="shared" si="9"/>
        <v>23</v>
      </c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  <c r="DJ79" s="82"/>
      <c r="DK79" s="82"/>
      <c r="DL79" s="82"/>
      <c r="DM79" s="82"/>
      <c r="DN79" s="82"/>
      <c r="DO79" s="82"/>
      <c r="DP79" s="82"/>
      <c r="DQ79" s="82"/>
      <c r="DR79" s="82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2">
        <f t="shared" si="8"/>
        <v>42370</v>
      </c>
      <c r="E80" s="53">
        <f t="shared" si="10"/>
        <v>2016</v>
      </c>
      <c r="F80" s="53">
        <f t="shared" si="9"/>
        <v>24</v>
      </c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82"/>
      <c r="DP80" s="82"/>
      <c r="DQ80" s="82"/>
      <c r="DR80" s="82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2">
        <f t="shared" si="8"/>
        <v>42401</v>
      </c>
      <c r="E81" s="53">
        <f t="shared" si="10"/>
        <v>2016</v>
      </c>
      <c r="F81" s="53">
        <f t="shared" si="9"/>
        <v>25</v>
      </c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82"/>
      <c r="DR81" s="82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2">
        <f t="shared" si="8"/>
        <v>42430</v>
      </c>
      <c r="E82" s="53">
        <f t="shared" si="10"/>
        <v>2016</v>
      </c>
      <c r="F82" s="53">
        <f t="shared" si="9"/>
        <v>26</v>
      </c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82"/>
      <c r="DP82" s="82"/>
      <c r="DQ82" s="82"/>
      <c r="DR82" s="82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2">
        <f t="shared" si="8"/>
        <v>42461</v>
      </c>
      <c r="E83" s="53">
        <f t="shared" si="10"/>
        <v>2016</v>
      </c>
      <c r="F83" s="53">
        <f t="shared" si="9"/>
        <v>27</v>
      </c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82"/>
      <c r="DR83" s="82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52">
        <f t="shared" si="8"/>
        <v>42491</v>
      </c>
      <c r="E84" s="53">
        <f t="shared" si="10"/>
        <v>2016</v>
      </c>
      <c r="F84" s="53">
        <f t="shared" si="9"/>
        <v>28</v>
      </c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82"/>
      <c r="DP84" s="82"/>
      <c r="DQ84" s="82"/>
      <c r="DR84" s="82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52">
        <f t="shared" si="8"/>
        <v>42522</v>
      </c>
      <c r="E85" s="53">
        <f t="shared" si="10"/>
        <v>2016</v>
      </c>
      <c r="F85" s="53">
        <f t="shared" si="9"/>
        <v>29</v>
      </c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/>
      <c r="CC85" s="82"/>
      <c r="CD85" s="82"/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82"/>
      <c r="DP85" s="82"/>
      <c r="DQ85" s="82"/>
      <c r="DR85" s="82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outlineLevel="1" x14ac:dyDescent="0.3">
      <c r="A86" s="13"/>
      <c r="B86" s="13"/>
      <c r="C86" s="13"/>
      <c r="D86" s="52">
        <f t="shared" si="8"/>
        <v>42552</v>
      </c>
      <c r="E86" s="53">
        <f t="shared" si="10"/>
        <v>2016</v>
      </c>
      <c r="F86" s="53">
        <f t="shared" si="9"/>
        <v>30</v>
      </c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82"/>
      <c r="DP86" s="82"/>
      <c r="DQ86" s="82"/>
      <c r="DR86" s="82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outlineLevel="1" x14ac:dyDescent="0.3">
      <c r="A87" s="13"/>
      <c r="B87" s="13"/>
      <c r="C87" s="13"/>
      <c r="D87" s="52">
        <f t="shared" si="8"/>
        <v>42583</v>
      </c>
      <c r="E87" s="53">
        <f t="shared" si="10"/>
        <v>2016</v>
      </c>
      <c r="F87" s="53">
        <f t="shared" si="9"/>
        <v>31</v>
      </c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82"/>
      <c r="DP87" s="82"/>
      <c r="DQ87" s="82"/>
      <c r="DR87" s="82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outlineLevel="1" x14ac:dyDescent="0.3">
      <c r="A88" s="13"/>
      <c r="B88" s="13"/>
      <c r="C88" s="13"/>
      <c r="D88" s="52">
        <f t="shared" si="8"/>
        <v>42614</v>
      </c>
      <c r="E88" s="53">
        <f t="shared" si="10"/>
        <v>2016</v>
      </c>
      <c r="F88" s="53">
        <f t="shared" si="9"/>
        <v>32</v>
      </c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82"/>
      <c r="DP88" s="82"/>
      <c r="DQ88" s="82"/>
      <c r="DR88" s="82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outlineLevel="1" x14ac:dyDescent="0.3">
      <c r="A89" s="13"/>
      <c r="B89" s="13"/>
      <c r="C89" s="13"/>
      <c r="D89" s="52">
        <f t="shared" ref="D89:D120" si="11">+EDATE($D$56,F89)</f>
        <v>42644</v>
      </c>
      <c r="E89" s="53">
        <f t="shared" si="10"/>
        <v>2016</v>
      </c>
      <c r="F89" s="53">
        <f t="shared" si="9"/>
        <v>33</v>
      </c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82"/>
      <c r="DP89" s="82"/>
      <c r="DQ89" s="82"/>
      <c r="DR89" s="82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outlineLevel="1" x14ac:dyDescent="0.3">
      <c r="A90" s="13"/>
      <c r="B90" s="13"/>
      <c r="C90" s="13"/>
      <c r="D90" s="52">
        <f t="shared" si="11"/>
        <v>42675</v>
      </c>
      <c r="E90" s="53">
        <f t="shared" si="10"/>
        <v>2016</v>
      </c>
      <c r="F90" s="53">
        <f t="shared" ref="F90:F121" si="12">+F89+1</f>
        <v>34</v>
      </c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outlineLevel="1" x14ac:dyDescent="0.3">
      <c r="A91" s="13"/>
      <c r="B91" s="13"/>
      <c r="C91" s="13"/>
      <c r="D91" s="52">
        <f t="shared" si="11"/>
        <v>42705</v>
      </c>
      <c r="E91" s="53">
        <f t="shared" si="10"/>
        <v>2016</v>
      </c>
      <c r="F91" s="53">
        <f t="shared" si="12"/>
        <v>35</v>
      </c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82"/>
      <c r="DR91" s="82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outlineLevel="1" x14ac:dyDescent="0.3">
      <c r="A92" s="13"/>
      <c r="B92" s="13"/>
      <c r="C92" s="13"/>
      <c r="D92" s="52">
        <f t="shared" si="11"/>
        <v>42736</v>
      </c>
      <c r="E92" s="53">
        <f t="shared" si="10"/>
        <v>2017</v>
      </c>
      <c r="F92" s="53">
        <f t="shared" si="12"/>
        <v>36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82"/>
      <c r="DR92" s="82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  <row r="93" spans="1:171" outlineLevel="1" x14ac:dyDescent="0.3">
      <c r="A93" s="13"/>
      <c r="B93" s="13"/>
      <c r="C93" s="13"/>
      <c r="D93" s="52">
        <f t="shared" si="11"/>
        <v>42767</v>
      </c>
      <c r="E93" s="53">
        <f t="shared" si="10"/>
        <v>2017</v>
      </c>
      <c r="F93" s="53">
        <f t="shared" si="12"/>
        <v>37</v>
      </c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82"/>
      <c r="DR93" s="82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</row>
    <row r="94" spans="1:171" outlineLevel="1" x14ac:dyDescent="0.3">
      <c r="A94" s="13"/>
      <c r="B94" s="13"/>
      <c r="C94" s="13"/>
      <c r="D94" s="52">
        <f t="shared" si="11"/>
        <v>42795</v>
      </c>
      <c r="E94" s="53">
        <f t="shared" si="10"/>
        <v>2017</v>
      </c>
      <c r="F94" s="53">
        <f t="shared" si="12"/>
        <v>38</v>
      </c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</row>
    <row r="95" spans="1:171" outlineLevel="1" x14ac:dyDescent="0.3">
      <c r="A95" s="13"/>
      <c r="B95" s="13"/>
      <c r="C95" s="13"/>
      <c r="D95" s="52">
        <f t="shared" si="11"/>
        <v>42826</v>
      </c>
      <c r="E95" s="53">
        <f t="shared" si="10"/>
        <v>2017</v>
      </c>
      <c r="F95" s="53">
        <f t="shared" si="12"/>
        <v>39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</row>
    <row r="96" spans="1:171" outlineLevel="1" x14ac:dyDescent="0.3">
      <c r="A96" s="13"/>
      <c r="B96" s="13"/>
      <c r="C96" s="13"/>
      <c r="D96" s="52">
        <f t="shared" si="11"/>
        <v>42856</v>
      </c>
      <c r="E96" s="53">
        <f t="shared" si="10"/>
        <v>2017</v>
      </c>
      <c r="F96" s="53">
        <f t="shared" si="12"/>
        <v>40</v>
      </c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82"/>
      <c r="DR96" s="82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</row>
    <row r="97" spans="1:171" outlineLevel="1" x14ac:dyDescent="0.3">
      <c r="A97" s="13"/>
      <c r="B97" s="13"/>
      <c r="C97" s="13"/>
      <c r="D97" s="52">
        <f t="shared" si="11"/>
        <v>42887</v>
      </c>
      <c r="E97" s="53">
        <f t="shared" si="10"/>
        <v>2017</v>
      </c>
      <c r="F97" s="53">
        <f t="shared" si="12"/>
        <v>41</v>
      </c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82"/>
      <c r="DP97" s="82"/>
      <c r="DQ97" s="82"/>
      <c r="DR97" s="82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</row>
    <row r="98" spans="1:171" outlineLevel="1" x14ac:dyDescent="0.3">
      <c r="A98" s="13"/>
      <c r="B98" s="13"/>
      <c r="C98" s="13"/>
      <c r="D98" s="52">
        <f t="shared" si="11"/>
        <v>42917</v>
      </c>
      <c r="E98" s="53">
        <f t="shared" si="10"/>
        <v>2017</v>
      </c>
      <c r="F98" s="53">
        <f t="shared" si="12"/>
        <v>42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82"/>
      <c r="DP98" s="82"/>
      <c r="DQ98" s="82"/>
      <c r="DR98" s="82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</row>
    <row r="99" spans="1:171" outlineLevel="1" x14ac:dyDescent="0.3">
      <c r="A99" s="13"/>
      <c r="B99" s="13"/>
      <c r="C99" s="13"/>
      <c r="D99" s="52">
        <f t="shared" si="11"/>
        <v>42948</v>
      </c>
      <c r="E99" s="53">
        <f t="shared" si="10"/>
        <v>2017</v>
      </c>
      <c r="F99" s="53">
        <f t="shared" si="12"/>
        <v>43</v>
      </c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82"/>
      <c r="DP99" s="82"/>
      <c r="DQ99" s="82"/>
      <c r="DR99" s="82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</row>
    <row r="100" spans="1:171" outlineLevel="1" x14ac:dyDescent="0.3">
      <c r="A100" s="13"/>
      <c r="B100" s="13"/>
      <c r="C100" s="13"/>
      <c r="D100" s="52">
        <f t="shared" si="11"/>
        <v>42979</v>
      </c>
      <c r="E100" s="53">
        <f t="shared" si="10"/>
        <v>2017</v>
      </c>
      <c r="F100" s="53">
        <f t="shared" si="12"/>
        <v>44</v>
      </c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82"/>
      <c r="BX100" s="82"/>
      <c r="BY100" s="82"/>
      <c r="BZ100" s="82"/>
      <c r="CA100" s="82"/>
      <c r="CB100" s="82"/>
      <c r="CC100" s="82"/>
      <c r="CD100" s="82"/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82"/>
      <c r="DP100" s="82"/>
      <c r="DQ100" s="82"/>
      <c r="DR100" s="82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</row>
    <row r="101" spans="1:171" outlineLevel="1" x14ac:dyDescent="0.3">
      <c r="A101" s="13"/>
      <c r="B101" s="13"/>
      <c r="C101" s="13"/>
      <c r="D101" s="52">
        <f t="shared" si="11"/>
        <v>43009</v>
      </c>
      <c r="E101" s="53">
        <f t="shared" si="10"/>
        <v>2017</v>
      </c>
      <c r="F101" s="53">
        <f t="shared" si="12"/>
        <v>45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  <c r="BT101" s="82"/>
      <c r="BU101" s="82"/>
      <c r="BV101" s="82"/>
      <c r="BW101" s="82"/>
      <c r="BX101" s="82"/>
      <c r="BY101" s="82"/>
      <c r="BZ101" s="82"/>
      <c r="CA101" s="82"/>
      <c r="CB101" s="82"/>
      <c r="CC101" s="82"/>
      <c r="CD101" s="82"/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82"/>
      <c r="DP101" s="82"/>
      <c r="DQ101" s="82"/>
      <c r="DR101" s="82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</row>
    <row r="102" spans="1:171" outlineLevel="1" x14ac:dyDescent="0.3">
      <c r="A102" s="13"/>
      <c r="B102" s="13"/>
      <c r="C102" s="13"/>
      <c r="D102" s="52">
        <f t="shared" si="11"/>
        <v>43040</v>
      </c>
      <c r="E102" s="53">
        <f t="shared" si="10"/>
        <v>2017</v>
      </c>
      <c r="F102" s="53">
        <f t="shared" si="12"/>
        <v>46</v>
      </c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  <c r="BT102" s="82"/>
      <c r="BU102" s="82"/>
      <c r="BV102" s="82"/>
      <c r="BW102" s="82"/>
      <c r="BX102" s="82"/>
      <c r="BY102" s="82"/>
      <c r="BZ102" s="82"/>
      <c r="CA102" s="82"/>
      <c r="CB102" s="82"/>
      <c r="CC102" s="82"/>
      <c r="CD102" s="82"/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82"/>
      <c r="DR102" s="82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</row>
    <row r="103" spans="1:171" outlineLevel="1" x14ac:dyDescent="0.3">
      <c r="A103" s="13"/>
      <c r="B103" s="13"/>
      <c r="C103" s="13"/>
      <c r="D103" s="52">
        <f t="shared" si="11"/>
        <v>43070</v>
      </c>
      <c r="E103" s="53">
        <f t="shared" si="10"/>
        <v>2017</v>
      </c>
      <c r="F103" s="53">
        <f t="shared" si="12"/>
        <v>47</v>
      </c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  <c r="BT103" s="82"/>
      <c r="BU103" s="82"/>
      <c r="BV103" s="82"/>
      <c r="BW103" s="82"/>
      <c r="BX103" s="82"/>
      <c r="BY103" s="82"/>
      <c r="BZ103" s="82"/>
      <c r="CA103" s="82"/>
      <c r="CB103" s="82"/>
      <c r="CC103" s="82"/>
      <c r="CD103" s="82"/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82"/>
      <c r="DR103" s="82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</row>
    <row r="104" spans="1:171" outlineLevel="1" x14ac:dyDescent="0.3">
      <c r="A104" s="13"/>
      <c r="B104" s="13"/>
      <c r="C104" s="13"/>
      <c r="D104" s="52">
        <f t="shared" si="11"/>
        <v>43101</v>
      </c>
      <c r="E104" s="53">
        <f t="shared" ref="E104:E135" si="13">+YEAR(D104)</f>
        <v>2018</v>
      </c>
      <c r="F104" s="53">
        <f t="shared" si="12"/>
        <v>48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/>
      <c r="BX104" s="82"/>
      <c r="BY104" s="82"/>
      <c r="BZ104" s="82"/>
      <c r="CA104" s="82"/>
      <c r="CB104" s="82"/>
      <c r="CC104" s="82"/>
      <c r="CD104" s="82"/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  <c r="DQ104" s="82"/>
      <c r="DR104" s="82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</row>
    <row r="105" spans="1:171" outlineLevel="1" x14ac:dyDescent="0.3">
      <c r="A105" s="13"/>
      <c r="B105" s="13"/>
      <c r="C105" s="13"/>
      <c r="D105" s="52">
        <f t="shared" si="11"/>
        <v>43132</v>
      </c>
      <c r="E105" s="53">
        <f t="shared" si="13"/>
        <v>2018</v>
      </c>
      <c r="F105" s="53">
        <f t="shared" si="12"/>
        <v>49</v>
      </c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  <c r="BU105" s="82"/>
      <c r="BV105" s="82"/>
      <c r="BW105" s="82"/>
      <c r="BX105" s="82"/>
      <c r="BY105" s="82"/>
      <c r="BZ105" s="82"/>
      <c r="CA105" s="82"/>
      <c r="CB105" s="82"/>
      <c r="CC105" s="82"/>
      <c r="CD105" s="82"/>
      <c r="CE105" s="82"/>
      <c r="CF105" s="82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/>
      <c r="DM105" s="82"/>
      <c r="DN105" s="82"/>
      <c r="DO105" s="82"/>
      <c r="DP105" s="82"/>
      <c r="DQ105" s="82"/>
      <c r="DR105" s="82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</row>
    <row r="106" spans="1:171" outlineLevel="1" x14ac:dyDescent="0.3">
      <c r="A106" s="13"/>
      <c r="B106" s="13"/>
      <c r="C106" s="13"/>
      <c r="D106" s="52">
        <f t="shared" si="11"/>
        <v>43160</v>
      </c>
      <c r="E106" s="53">
        <f t="shared" si="13"/>
        <v>2018</v>
      </c>
      <c r="F106" s="53">
        <f t="shared" si="12"/>
        <v>50</v>
      </c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  <c r="BT106" s="82"/>
      <c r="BU106" s="82"/>
      <c r="BV106" s="82"/>
      <c r="BW106" s="82"/>
      <c r="BX106" s="82"/>
      <c r="BY106" s="82"/>
      <c r="BZ106" s="82"/>
      <c r="CA106" s="82"/>
      <c r="CB106" s="82"/>
      <c r="CC106" s="82"/>
      <c r="CD106" s="82"/>
      <c r="CE106" s="82"/>
      <c r="CF106" s="82"/>
      <c r="CG106" s="82"/>
      <c r="CH106" s="82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  <c r="CT106" s="82"/>
      <c r="CU106" s="82"/>
      <c r="CV106" s="82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  <c r="DQ106" s="82"/>
      <c r="DR106" s="82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</row>
    <row r="107" spans="1:171" outlineLevel="1" x14ac:dyDescent="0.3">
      <c r="A107" s="13"/>
      <c r="B107" s="13"/>
      <c r="C107" s="13"/>
      <c r="D107" s="52">
        <f t="shared" si="11"/>
        <v>43191</v>
      </c>
      <c r="E107" s="53">
        <f t="shared" si="13"/>
        <v>2018</v>
      </c>
      <c r="F107" s="53">
        <f t="shared" si="12"/>
        <v>51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  <c r="BT107" s="82"/>
      <c r="BU107" s="82"/>
      <c r="BV107" s="82"/>
      <c r="BW107" s="82"/>
      <c r="BX107" s="82"/>
      <c r="BY107" s="82"/>
      <c r="BZ107" s="82"/>
      <c r="CA107" s="82"/>
      <c r="CB107" s="82"/>
      <c r="CC107" s="82"/>
      <c r="CD107" s="82"/>
      <c r="CE107" s="82"/>
      <c r="CF107" s="82"/>
      <c r="CG107" s="82"/>
      <c r="CH107" s="82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  <c r="CT107" s="82"/>
      <c r="CU107" s="82"/>
      <c r="CV107" s="82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/>
      <c r="DM107" s="82"/>
      <c r="DN107" s="82"/>
      <c r="DO107" s="82"/>
      <c r="DP107" s="82"/>
      <c r="DQ107" s="82"/>
      <c r="DR107" s="82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</row>
    <row r="108" spans="1:171" outlineLevel="1" x14ac:dyDescent="0.3">
      <c r="A108" s="13"/>
      <c r="B108" s="13"/>
      <c r="C108" s="13"/>
      <c r="D108" s="52">
        <f t="shared" si="11"/>
        <v>43221</v>
      </c>
      <c r="E108" s="53">
        <f t="shared" si="13"/>
        <v>2018</v>
      </c>
      <c r="F108" s="53">
        <f t="shared" si="12"/>
        <v>52</v>
      </c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  <c r="BT108" s="82"/>
      <c r="BU108" s="82"/>
      <c r="BV108" s="82"/>
      <c r="BW108" s="82"/>
      <c r="BX108" s="82"/>
      <c r="BY108" s="82"/>
      <c r="BZ108" s="82"/>
      <c r="CA108" s="82"/>
      <c r="CB108" s="82"/>
      <c r="CC108" s="82"/>
      <c r="CD108" s="82"/>
      <c r="CE108" s="82"/>
      <c r="CF108" s="82"/>
      <c r="CG108" s="82"/>
      <c r="CH108" s="82"/>
      <c r="CI108" s="82"/>
      <c r="CJ108" s="82"/>
      <c r="CK108" s="82"/>
      <c r="CL108" s="82"/>
      <c r="CM108" s="82"/>
      <c r="CN108" s="82"/>
      <c r="CO108" s="82"/>
      <c r="CP108" s="82"/>
      <c r="CQ108" s="82"/>
      <c r="CR108" s="82"/>
      <c r="CS108" s="82"/>
      <c r="CT108" s="82"/>
      <c r="CU108" s="82"/>
      <c r="CV108" s="82"/>
      <c r="CW108" s="82"/>
      <c r="CX108" s="82"/>
      <c r="CY108" s="82"/>
      <c r="CZ108" s="82"/>
      <c r="DA108" s="82"/>
      <c r="DB108" s="82"/>
      <c r="DC108" s="82"/>
      <c r="DD108" s="82"/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  <c r="DQ108" s="82"/>
      <c r="DR108" s="82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</row>
    <row r="109" spans="1:171" outlineLevel="1" x14ac:dyDescent="0.3">
      <c r="A109" s="13"/>
      <c r="B109" s="13"/>
      <c r="C109" s="13"/>
      <c r="D109" s="52">
        <f t="shared" si="11"/>
        <v>43252</v>
      </c>
      <c r="E109" s="53">
        <f t="shared" si="13"/>
        <v>2018</v>
      </c>
      <c r="F109" s="53">
        <f t="shared" si="12"/>
        <v>53</v>
      </c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  <c r="BT109" s="82"/>
      <c r="BU109" s="82"/>
      <c r="BV109" s="82"/>
      <c r="BW109" s="82"/>
      <c r="BX109" s="82"/>
      <c r="BY109" s="82"/>
      <c r="BZ109" s="82"/>
      <c r="CA109" s="82"/>
      <c r="CB109" s="82"/>
      <c r="CC109" s="82"/>
      <c r="CD109" s="82"/>
      <c r="CE109" s="82"/>
      <c r="CF109" s="82"/>
      <c r="CG109" s="82"/>
      <c r="CH109" s="82"/>
      <c r="CI109" s="82"/>
      <c r="CJ109" s="82"/>
      <c r="CK109" s="82"/>
      <c r="CL109" s="82"/>
      <c r="CM109" s="82"/>
      <c r="CN109" s="82"/>
      <c r="CO109" s="82"/>
      <c r="CP109" s="82"/>
      <c r="CQ109" s="82"/>
      <c r="CR109" s="82"/>
      <c r="CS109" s="82"/>
      <c r="CT109" s="82"/>
      <c r="CU109" s="82"/>
      <c r="CV109" s="82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  <c r="DQ109" s="82"/>
      <c r="DR109" s="82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</row>
    <row r="110" spans="1:171" outlineLevel="1" x14ac:dyDescent="0.3">
      <c r="A110" s="13"/>
      <c r="B110" s="13"/>
      <c r="C110" s="13"/>
      <c r="D110" s="52">
        <f t="shared" si="11"/>
        <v>43282</v>
      </c>
      <c r="E110" s="53">
        <f t="shared" si="13"/>
        <v>2018</v>
      </c>
      <c r="F110" s="53">
        <f t="shared" si="12"/>
        <v>54</v>
      </c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  <c r="BT110" s="82"/>
      <c r="BU110" s="82"/>
      <c r="BV110" s="82"/>
      <c r="BW110" s="82"/>
      <c r="BX110" s="82"/>
      <c r="BY110" s="82"/>
      <c r="BZ110" s="82"/>
      <c r="CA110" s="82"/>
      <c r="CB110" s="82"/>
      <c r="CC110" s="82"/>
      <c r="CD110" s="82"/>
      <c r="CE110" s="82"/>
      <c r="CF110" s="82"/>
      <c r="CG110" s="82"/>
      <c r="CH110" s="82"/>
      <c r="CI110" s="82"/>
      <c r="CJ110" s="82"/>
      <c r="CK110" s="82"/>
      <c r="CL110" s="82"/>
      <c r="CM110" s="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  <c r="DQ110" s="82"/>
      <c r="DR110" s="82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</row>
    <row r="111" spans="1:171" outlineLevel="1" x14ac:dyDescent="0.3">
      <c r="A111" s="13"/>
      <c r="B111" s="13"/>
      <c r="C111" s="13"/>
      <c r="D111" s="52">
        <f t="shared" si="11"/>
        <v>43313</v>
      </c>
      <c r="E111" s="53">
        <f t="shared" si="13"/>
        <v>2018</v>
      </c>
      <c r="F111" s="53">
        <f t="shared" si="12"/>
        <v>55</v>
      </c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  <c r="BT111" s="82"/>
      <c r="BU111" s="82"/>
      <c r="BV111" s="82"/>
      <c r="BW111" s="82"/>
      <c r="BX111" s="82"/>
      <c r="BY111" s="82"/>
      <c r="BZ111" s="82"/>
      <c r="CA111" s="82"/>
      <c r="CB111" s="82"/>
      <c r="CC111" s="82"/>
      <c r="CD111" s="82"/>
      <c r="CE111" s="82"/>
      <c r="CF111" s="82"/>
      <c r="CG111" s="82"/>
      <c r="CH111" s="82"/>
      <c r="CI111" s="82"/>
      <c r="CJ111" s="82"/>
      <c r="CK111" s="82"/>
      <c r="CL111" s="82"/>
      <c r="CM111" s="82"/>
      <c r="CN111" s="82"/>
      <c r="CO111" s="82"/>
      <c r="CP111" s="82"/>
      <c r="CQ111" s="82"/>
      <c r="CR111" s="82"/>
      <c r="CS111" s="82"/>
      <c r="CT111" s="82"/>
      <c r="CU111" s="82"/>
      <c r="CV111" s="82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  <c r="DQ111" s="82"/>
      <c r="DR111" s="82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</row>
    <row r="112" spans="1:171" outlineLevel="1" x14ac:dyDescent="0.3">
      <c r="A112" s="13"/>
      <c r="B112" s="13"/>
      <c r="C112" s="13"/>
      <c r="D112" s="52">
        <f t="shared" si="11"/>
        <v>43344</v>
      </c>
      <c r="E112" s="53">
        <f t="shared" si="13"/>
        <v>2018</v>
      </c>
      <c r="F112" s="53">
        <f t="shared" si="12"/>
        <v>56</v>
      </c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  <c r="BT112" s="82"/>
      <c r="BU112" s="82"/>
      <c r="BV112" s="82"/>
      <c r="BW112" s="82"/>
      <c r="BX112" s="82"/>
      <c r="BY112" s="82"/>
      <c r="BZ112" s="82"/>
      <c r="CA112" s="82"/>
      <c r="CB112" s="82"/>
      <c r="CC112" s="82"/>
      <c r="CD112" s="82"/>
      <c r="CE112" s="82"/>
      <c r="CF112" s="82"/>
      <c r="CG112" s="82"/>
      <c r="CH112" s="82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  <c r="DQ112" s="82"/>
      <c r="DR112" s="82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</row>
    <row r="113" spans="1:171" outlineLevel="1" x14ac:dyDescent="0.3">
      <c r="A113" s="13"/>
      <c r="B113" s="13"/>
      <c r="C113" s="13"/>
      <c r="D113" s="52">
        <f t="shared" si="11"/>
        <v>43374</v>
      </c>
      <c r="E113" s="53">
        <f t="shared" si="13"/>
        <v>2018</v>
      </c>
      <c r="F113" s="53">
        <f t="shared" si="12"/>
        <v>57</v>
      </c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2"/>
      <c r="CB113" s="82"/>
      <c r="CC113" s="82"/>
      <c r="CD113" s="82"/>
      <c r="CE113" s="82"/>
      <c r="CF113" s="82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</row>
    <row r="114" spans="1:171" outlineLevel="1" x14ac:dyDescent="0.3">
      <c r="A114" s="13"/>
      <c r="B114" s="13"/>
      <c r="C114" s="13"/>
      <c r="D114" s="52">
        <f t="shared" si="11"/>
        <v>43405</v>
      </c>
      <c r="E114" s="53">
        <f t="shared" si="13"/>
        <v>2018</v>
      </c>
      <c r="F114" s="53">
        <f t="shared" si="12"/>
        <v>58</v>
      </c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  <c r="BT114" s="82"/>
      <c r="BU114" s="82"/>
      <c r="BV114" s="82"/>
      <c r="BW114" s="82"/>
      <c r="BX114" s="82"/>
      <c r="BY114" s="82"/>
      <c r="BZ114" s="82"/>
      <c r="CA114" s="82"/>
      <c r="CB114" s="82"/>
      <c r="CC114" s="82"/>
      <c r="CD114" s="82"/>
      <c r="CE114" s="82"/>
      <c r="CF114" s="82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/>
      <c r="DM114" s="82"/>
      <c r="DN114" s="82"/>
      <c r="DO114" s="82"/>
      <c r="DP114" s="82"/>
      <c r="DQ114" s="82"/>
      <c r="DR114" s="82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</row>
    <row r="115" spans="1:171" outlineLevel="1" x14ac:dyDescent="0.3">
      <c r="A115" s="13"/>
      <c r="B115" s="13"/>
      <c r="C115" s="13"/>
      <c r="D115" s="52">
        <f t="shared" si="11"/>
        <v>43435</v>
      </c>
      <c r="E115" s="53">
        <f t="shared" si="13"/>
        <v>2018</v>
      </c>
      <c r="F115" s="53">
        <f t="shared" si="12"/>
        <v>59</v>
      </c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</row>
    <row r="116" spans="1:171" outlineLevel="1" x14ac:dyDescent="0.3">
      <c r="A116" s="13"/>
      <c r="B116" s="13"/>
      <c r="C116" s="13"/>
      <c r="D116" s="52">
        <f t="shared" si="11"/>
        <v>43466</v>
      </c>
      <c r="E116" s="53">
        <f t="shared" si="13"/>
        <v>2019</v>
      </c>
      <c r="F116" s="53">
        <f t="shared" si="12"/>
        <v>60</v>
      </c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</row>
    <row r="117" spans="1:171" outlineLevel="1" x14ac:dyDescent="0.3">
      <c r="A117" s="13"/>
      <c r="B117" s="13"/>
      <c r="C117" s="13"/>
      <c r="D117" s="52">
        <f t="shared" si="11"/>
        <v>43497</v>
      </c>
      <c r="E117" s="53">
        <f t="shared" si="13"/>
        <v>2019</v>
      </c>
      <c r="F117" s="53">
        <f t="shared" si="12"/>
        <v>61</v>
      </c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</row>
    <row r="118" spans="1:171" outlineLevel="1" x14ac:dyDescent="0.3">
      <c r="A118" s="13"/>
      <c r="B118" s="13"/>
      <c r="C118" s="13"/>
      <c r="D118" s="52">
        <f t="shared" si="11"/>
        <v>43525</v>
      </c>
      <c r="E118" s="53">
        <f t="shared" si="13"/>
        <v>2019</v>
      </c>
      <c r="F118" s="53">
        <f t="shared" si="12"/>
        <v>62</v>
      </c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</row>
    <row r="119" spans="1:171" outlineLevel="1" x14ac:dyDescent="0.3">
      <c r="A119" s="13"/>
      <c r="B119" s="13"/>
      <c r="C119" s="13"/>
      <c r="D119" s="52">
        <f t="shared" si="11"/>
        <v>43556</v>
      </c>
      <c r="E119" s="53">
        <f t="shared" si="13"/>
        <v>2019</v>
      </c>
      <c r="F119" s="53">
        <f t="shared" si="12"/>
        <v>63</v>
      </c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82"/>
      <c r="CC119" s="82"/>
      <c r="CD119" s="82"/>
      <c r="CE119" s="82"/>
      <c r="CF119" s="82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  <c r="DQ119" s="82"/>
      <c r="DR119" s="82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</row>
    <row r="120" spans="1:171" outlineLevel="1" x14ac:dyDescent="0.3">
      <c r="A120" s="13"/>
      <c r="B120" s="13"/>
      <c r="C120" s="13"/>
      <c r="D120" s="52">
        <f t="shared" si="11"/>
        <v>43586</v>
      </c>
      <c r="E120" s="53">
        <f t="shared" si="13"/>
        <v>2019</v>
      </c>
      <c r="F120" s="53">
        <f t="shared" si="12"/>
        <v>64</v>
      </c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  <c r="BY120" s="82"/>
      <c r="BZ120" s="82"/>
      <c r="CA120" s="82"/>
      <c r="CB120" s="82"/>
      <c r="CC120" s="82"/>
      <c r="CD120" s="82"/>
      <c r="CE120" s="82"/>
      <c r="CF120" s="82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  <c r="DQ120" s="82"/>
      <c r="DR120" s="82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</row>
    <row r="121" spans="1:171" outlineLevel="1" x14ac:dyDescent="0.3">
      <c r="A121" s="13"/>
      <c r="B121" s="13"/>
      <c r="C121" s="13"/>
      <c r="D121" s="52">
        <f t="shared" ref="D121:D152" si="14">+EDATE($D$56,F121)</f>
        <v>43617</v>
      </c>
      <c r="E121" s="53">
        <f t="shared" si="13"/>
        <v>2019</v>
      </c>
      <c r="F121" s="53">
        <f t="shared" si="12"/>
        <v>65</v>
      </c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82"/>
      <c r="BY121" s="82"/>
      <c r="BZ121" s="82"/>
      <c r="CA121" s="82"/>
      <c r="CB121" s="82"/>
      <c r="CC121" s="82"/>
      <c r="CD121" s="82"/>
      <c r="CE121" s="82"/>
      <c r="CF121" s="82"/>
      <c r="CG121" s="82"/>
      <c r="CH121" s="82"/>
      <c r="CI121" s="82"/>
      <c r="CJ121" s="82"/>
      <c r="CK121" s="82"/>
      <c r="CL121" s="82"/>
      <c r="CM121" s="82"/>
      <c r="CN121" s="82"/>
      <c r="CO121" s="82"/>
      <c r="CP121" s="82"/>
      <c r="CQ121" s="82"/>
      <c r="CR121" s="82"/>
      <c r="CS121" s="82"/>
      <c r="CT121" s="82"/>
      <c r="CU121" s="82"/>
      <c r="CV121" s="82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  <c r="DQ121" s="82"/>
      <c r="DR121" s="82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</row>
    <row r="122" spans="1:171" outlineLevel="1" x14ac:dyDescent="0.3">
      <c r="A122" s="13"/>
      <c r="B122" s="13"/>
      <c r="C122" s="13"/>
      <c r="D122" s="52">
        <f t="shared" si="14"/>
        <v>43647</v>
      </c>
      <c r="E122" s="53">
        <f t="shared" si="13"/>
        <v>2019</v>
      </c>
      <c r="F122" s="53">
        <f t="shared" ref="F122:F153" si="15">+F121+1</f>
        <v>66</v>
      </c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  <c r="BT122" s="82"/>
      <c r="BU122" s="82"/>
      <c r="BV122" s="82"/>
      <c r="BW122" s="82"/>
      <c r="BX122" s="82"/>
      <c r="BY122" s="82"/>
      <c r="BZ122" s="82"/>
      <c r="CA122" s="82"/>
      <c r="CB122" s="82"/>
      <c r="CC122" s="82"/>
      <c r="CD122" s="82"/>
      <c r="CE122" s="82"/>
      <c r="CF122" s="82"/>
      <c r="CG122" s="82"/>
      <c r="CH122" s="82"/>
      <c r="CI122" s="82"/>
      <c r="CJ122" s="82"/>
      <c r="CK122" s="82"/>
      <c r="CL122" s="82"/>
      <c r="CM122" s="82"/>
      <c r="CN122" s="82"/>
      <c r="CO122" s="82"/>
      <c r="CP122" s="82"/>
      <c r="CQ122" s="82"/>
      <c r="CR122" s="82"/>
      <c r="CS122" s="82"/>
      <c r="CT122" s="82"/>
      <c r="CU122" s="82"/>
      <c r="CV122" s="82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/>
      <c r="DM122" s="82"/>
      <c r="DN122" s="82"/>
      <c r="DO122" s="82"/>
      <c r="DP122" s="82"/>
      <c r="DQ122" s="82"/>
      <c r="DR122" s="82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</row>
    <row r="123" spans="1:171" outlineLevel="1" x14ac:dyDescent="0.3">
      <c r="A123" s="13"/>
      <c r="B123" s="13"/>
      <c r="C123" s="13"/>
      <c r="D123" s="52">
        <f t="shared" si="14"/>
        <v>43678</v>
      </c>
      <c r="E123" s="53">
        <f t="shared" si="13"/>
        <v>2019</v>
      </c>
      <c r="F123" s="53">
        <f t="shared" si="15"/>
        <v>67</v>
      </c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  <c r="BT123" s="82"/>
      <c r="BU123" s="82"/>
      <c r="BV123" s="82"/>
      <c r="BW123" s="82"/>
      <c r="BX123" s="82"/>
      <c r="BY123" s="82"/>
      <c r="BZ123" s="82"/>
      <c r="CA123" s="82"/>
      <c r="CB123" s="82"/>
      <c r="CC123" s="82"/>
      <c r="CD123" s="82"/>
      <c r="CE123" s="82"/>
      <c r="CF123" s="82"/>
      <c r="CG123" s="82"/>
      <c r="CH123" s="82"/>
      <c r="CI123" s="82"/>
      <c r="CJ123" s="82"/>
      <c r="CK123" s="82"/>
      <c r="CL123" s="82"/>
      <c r="CM123" s="82"/>
      <c r="CN123" s="82"/>
      <c r="CO123" s="82"/>
      <c r="CP123" s="82"/>
      <c r="CQ123" s="82"/>
      <c r="CR123" s="82"/>
      <c r="CS123" s="82"/>
      <c r="CT123" s="82"/>
      <c r="CU123" s="82"/>
      <c r="CV123" s="82"/>
      <c r="CW123" s="82"/>
      <c r="CX123" s="82"/>
      <c r="CY123" s="82"/>
      <c r="CZ123" s="82"/>
      <c r="DA123" s="82"/>
      <c r="DB123" s="82"/>
      <c r="DC123" s="82"/>
      <c r="DD123" s="82"/>
      <c r="DE123" s="82"/>
      <c r="DF123" s="82"/>
      <c r="DG123" s="82"/>
      <c r="DH123" s="82"/>
      <c r="DI123" s="82"/>
      <c r="DJ123" s="82"/>
      <c r="DK123" s="82"/>
      <c r="DL123" s="82"/>
      <c r="DM123" s="82"/>
      <c r="DN123" s="82"/>
      <c r="DO123" s="82"/>
      <c r="DP123" s="82"/>
      <c r="DQ123" s="82"/>
      <c r="DR123" s="82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</row>
    <row r="124" spans="1:171" outlineLevel="1" x14ac:dyDescent="0.3">
      <c r="A124" s="13"/>
      <c r="B124" s="13"/>
      <c r="C124" s="13"/>
      <c r="D124" s="52">
        <f t="shared" si="14"/>
        <v>43709</v>
      </c>
      <c r="E124" s="53">
        <f t="shared" si="13"/>
        <v>2019</v>
      </c>
      <c r="F124" s="53">
        <f t="shared" si="15"/>
        <v>68</v>
      </c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2"/>
      <c r="CB124" s="82"/>
      <c r="CC124" s="82"/>
      <c r="CD124" s="82"/>
      <c r="CE124" s="82"/>
      <c r="CF124" s="82"/>
      <c r="CG124" s="82"/>
      <c r="CH124" s="82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  <c r="DQ124" s="82"/>
      <c r="DR124" s="82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</row>
    <row r="125" spans="1:171" outlineLevel="1" x14ac:dyDescent="0.3">
      <c r="A125" s="13"/>
      <c r="B125" s="13"/>
      <c r="C125" s="13"/>
      <c r="D125" s="52">
        <f t="shared" si="14"/>
        <v>43739</v>
      </c>
      <c r="E125" s="53">
        <f t="shared" si="13"/>
        <v>2019</v>
      </c>
      <c r="F125" s="53">
        <f t="shared" si="15"/>
        <v>69</v>
      </c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82"/>
      <c r="BY125" s="82"/>
      <c r="BZ125" s="82"/>
      <c r="CA125" s="82"/>
      <c r="CB125" s="82"/>
      <c r="CC125" s="82"/>
      <c r="CD125" s="82"/>
      <c r="CE125" s="82"/>
      <c r="CF125" s="82"/>
      <c r="CG125" s="82"/>
      <c r="CH125" s="82"/>
      <c r="CI125" s="82"/>
      <c r="CJ125" s="82"/>
      <c r="CK125" s="82"/>
      <c r="CL125" s="82"/>
      <c r="CM125" s="82"/>
      <c r="CN125" s="82"/>
      <c r="CO125" s="82"/>
      <c r="CP125" s="82"/>
      <c r="CQ125" s="82"/>
      <c r="CR125" s="82"/>
      <c r="CS125" s="82"/>
      <c r="CT125" s="82"/>
      <c r="CU125" s="82"/>
      <c r="CV125" s="82"/>
      <c r="CW125" s="82"/>
      <c r="CX125" s="82"/>
      <c r="CY125" s="82"/>
      <c r="CZ125" s="82"/>
      <c r="DA125" s="82"/>
      <c r="DB125" s="82"/>
      <c r="DC125" s="82"/>
      <c r="DD125" s="82"/>
      <c r="DE125" s="82"/>
      <c r="DF125" s="82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  <c r="DQ125" s="82"/>
      <c r="DR125" s="82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</row>
    <row r="126" spans="1:171" outlineLevel="1" x14ac:dyDescent="0.3">
      <c r="A126" s="13"/>
      <c r="B126" s="13"/>
      <c r="C126" s="13"/>
      <c r="D126" s="52">
        <f t="shared" si="14"/>
        <v>43770</v>
      </c>
      <c r="E126" s="53">
        <f t="shared" si="13"/>
        <v>2019</v>
      </c>
      <c r="F126" s="53">
        <f t="shared" si="15"/>
        <v>70</v>
      </c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  <c r="BT126" s="82"/>
      <c r="BU126" s="82"/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2"/>
      <c r="CK126" s="82"/>
      <c r="CL126" s="82"/>
      <c r="CM126" s="82"/>
      <c r="CN126" s="82"/>
      <c r="CO126" s="82"/>
      <c r="CP126" s="82"/>
      <c r="CQ126" s="82"/>
      <c r="CR126" s="82"/>
      <c r="CS126" s="82"/>
      <c r="CT126" s="82"/>
      <c r="CU126" s="82"/>
      <c r="CV126" s="82"/>
      <c r="CW126" s="82"/>
      <c r="CX126" s="82"/>
      <c r="CY126" s="82"/>
      <c r="CZ126" s="82"/>
      <c r="DA126" s="82"/>
      <c r="DB126" s="82"/>
      <c r="DC126" s="82"/>
      <c r="DD126" s="82"/>
      <c r="DE126" s="82"/>
      <c r="DF126" s="82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  <c r="DQ126" s="82"/>
      <c r="DR126" s="82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</row>
    <row r="127" spans="1:171" outlineLevel="1" x14ac:dyDescent="0.3">
      <c r="A127" s="13"/>
      <c r="B127" s="13"/>
      <c r="C127" s="13"/>
      <c r="D127" s="52">
        <f t="shared" si="14"/>
        <v>43800</v>
      </c>
      <c r="E127" s="53">
        <f t="shared" si="13"/>
        <v>2019</v>
      </c>
      <c r="F127" s="53">
        <f t="shared" si="15"/>
        <v>71</v>
      </c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82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  <c r="DQ127" s="82"/>
      <c r="DR127" s="82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</row>
    <row r="128" spans="1:171" outlineLevel="1" x14ac:dyDescent="0.3">
      <c r="A128" s="13"/>
      <c r="B128" s="13"/>
      <c r="C128" s="13"/>
      <c r="D128" s="52">
        <f t="shared" si="14"/>
        <v>43831</v>
      </c>
      <c r="E128" s="53">
        <f t="shared" si="13"/>
        <v>2020</v>
      </c>
      <c r="F128" s="53">
        <f t="shared" si="15"/>
        <v>72</v>
      </c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  <c r="BT128" s="82"/>
      <c r="BU128" s="82"/>
      <c r="BV128" s="82"/>
      <c r="BW128" s="82"/>
      <c r="BX128" s="82"/>
      <c r="BY128" s="82"/>
      <c r="BZ128" s="82"/>
      <c r="CA128" s="82"/>
      <c r="CB128" s="82"/>
      <c r="CC128" s="82"/>
      <c r="CD128" s="82"/>
      <c r="CE128" s="82"/>
      <c r="CF128" s="82"/>
      <c r="CG128" s="82"/>
      <c r="CH128" s="82"/>
      <c r="CI128" s="82"/>
      <c r="CJ128" s="82"/>
      <c r="CK128" s="82"/>
      <c r="CL128" s="82"/>
      <c r="CM128" s="82"/>
      <c r="CN128" s="82"/>
      <c r="CO128" s="82"/>
      <c r="CP128" s="82"/>
      <c r="CQ128" s="82"/>
      <c r="CR128" s="82"/>
      <c r="CS128" s="82"/>
      <c r="CT128" s="82"/>
      <c r="CU128" s="82"/>
      <c r="CV128" s="82"/>
      <c r="CW128" s="82"/>
      <c r="CX128" s="82"/>
      <c r="CY128" s="82"/>
      <c r="CZ128" s="82"/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  <c r="DQ128" s="82"/>
      <c r="DR128" s="82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</row>
    <row r="129" spans="1:171" outlineLevel="1" x14ac:dyDescent="0.3">
      <c r="A129" s="13"/>
      <c r="B129" s="13"/>
      <c r="C129" s="13"/>
      <c r="D129" s="52">
        <f t="shared" si="14"/>
        <v>43862</v>
      </c>
      <c r="E129" s="53">
        <f t="shared" si="13"/>
        <v>2020</v>
      </c>
      <c r="F129" s="53">
        <f t="shared" si="15"/>
        <v>73</v>
      </c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82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  <c r="DQ129" s="82"/>
      <c r="DR129" s="82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</row>
    <row r="130" spans="1:171" outlineLevel="1" x14ac:dyDescent="0.3">
      <c r="A130" s="13"/>
      <c r="B130" s="13"/>
      <c r="C130" s="13"/>
      <c r="D130" s="52">
        <f t="shared" si="14"/>
        <v>43891</v>
      </c>
      <c r="E130" s="53">
        <f t="shared" si="13"/>
        <v>2020</v>
      </c>
      <c r="F130" s="53">
        <f t="shared" si="15"/>
        <v>74</v>
      </c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82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  <c r="DQ130" s="82"/>
      <c r="DR130" s="82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</row>
    <row r="131" spans="1:171" outlineLevel="1" x14ac:dyDescent="0.3">
      <c r="A131" s="13"/>
      <c r="B131" s="13"/>
      <c r="C131" s="13"/>
      <c r="D131" s="52">
        <f t="shared" si="14"/>
        <v>43922</v>
      </c>
      <c r="E131" s="53">
        <f t="shared" si="13"/>
        <v>2020</v>
      </c>
      <c r="F131" s="53">
        <f t="shared" si="15"/>
        <v>75</v>
      </c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82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</row>
    <row r="132" spans="1:171" outlineLevel="1" x14ac:dyDescent="0.3">
      <c r="A132" s="13"/>
      <c r="B132" s="13"/>
      <c r="C132" s="13"/>
      <c r="D132" s="52">
        <f t="shared" si="14"/>
        <v>43952</v>
      </c>
      <c r="E132" s="53">
        <f t="shared" si="13"/>
        <v>2020</v>
      </c>
      <c r="F132" s="53">
        <f t="shared" si="15"/>
        <v>76</v>
      </c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</row>
    <row r="133" spans="1:171" outlineLevel="1" x14ac:dyDescent="0.3">
      <c r="A133" s="13"/>
      <c r="B133" s="13"/>
      <c r="C133" s="13"/>
      <c r="D133" s="52">
        <f t="shared" si="14"/>
        <v>43983</v>
      </c>
      <c r="E133" s="53">
        <f t="shared" si="13"/>
        <v>2020</v>
      </c>
      <c r="F133" s="53">
        <f t="shared" si="15"/>
        <v>77</v>
      </c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</row>
    <row r="134" spans="1:171" outlineLevel="1" x14ac:dyDescent="0.3">
      <c r="A134" s="13"/>
      <c r="B134" s="13"/>
      <c r="C134" s="13"/>
      <c r="D134" s="52">
        <f t="shared" si="14"/>
        <v>44013</v>
      </c>
      <c r="E134" s="53">
        <f t="shared" si="13"/>
        <v>2020</v>
      </c>
      <c r="F134" s="53">
        <f t="shared" si="15"/>
        <v>78</v>
      </c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82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  <c r="DQ134" s="82"/>
      <c r="DR134" s="82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</row>
    <row r="135" spans="1:171" outlineLevel="1" x14ac:dyDescent="0.3">
      <c r="A135" s="13"/>
      <c r="B135" s="13"/>
      <c r="C135" s="13"/>
      <c r="D135" s="52">
        <f t="shared" si="14"/>
        <v>44044</v>
      </c>
      <c r="E135" s="53">
        <f t="shared" si="13"/>
        <v>2020</v>
      </c>
      <c r="F135" s="53">
        <f t="shared" si="15"/>
        <v>79</v>
      </c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  <c r="DQ135" s="82"/>
      <c r="DR135" s="82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</row>
    <row r="136" spans="1:171" outlineLevel="1" x14ac:dyDescent="0.3">
      <c r="A136" s="13"/>
      <c r="B136" s="13"/>
      <c r="C136" s="13"/>
      <c r="D136" s="52">
        <f t="shared" si="14"/>
        <v>44075</v>
      </c>
      <c r="E136" s="53">
        <f t="shared" ref="E136:E167" si="16">+YEAR(D136)</f>
        <v>2020</v>
      </c>
      <c r="F136" s="53">
        <f t="shared" si="15"/>
        <v>80</v>
      </c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82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  <c r="DK136" s="82"/>
      <c r="DL136" s="82"/>
      <c r="DM136" s="82"/>
      <c r="DN136" s="82"/>
      <c r="DO136" s="82"/>
      <c r="DP136" s="82"/>
      <c r="DQ136" s="82"/>
      <c r="DR136" s="82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</row>
    <row r="137" spans="1:171" outlineLevel="1" x14ac:dyDescent="0.3">
      <c r="A137" s="13"/>
      <c r="B137" s="13"/>
      <c r="C137" s="13"/>
      <c r="D137" s="52">
        <f t="shared" si="14"/>
        <v>44105</v>
      </c>
      <c r="E137" s="53">
        <f t="shared" si="16"/>
        <v>2020</v>
      </c>
      <c r="F137" s="53">
        <f t="shared" si="15"/>
        <v>81</v>
      </c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82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  <c r="DK137" s="82"/>
      <c r="DL137" s="82"/>
      <c r="DM137" s="82"/>
      <c r="DN137" s="82"/>
      <c r="DO137" s="82"/>
      <c r="DP137" s="82"/>
      <c r="DQ137" s="82"/>
      <c r="DR137" s="82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</row>
    <row r="138" spans="1:171" outlineLevel="1" x14ac:dyDescent="0.3">
      <c r="A138" s="13"/>
      <c r="B138" s="13"/>
      <c r="C138" s="13"/>
      <c r="D138" s="52">
        <f t="shared" si="14"/>
        <v>44136</v>
      </c>
      <c r="E138" s="53">
        <f t="shared" si="16"/>
        <v>2020</v>
      </c>
      <c r="F138" s="53">
        <f t="shared" si="15"/>
        <v>82</v>
      </c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/>
      <c r="CT138" s="82"/>
      <c r="CU138" s="82"/>
      <c r="CV138" s="82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  <c r="DK138" s="82"/>
      <c r="DL138" s="82"/>
      <c r="DM138" s="82"/>
      <c r="DN138" s="82"/>
      <c r="DO138" s="82"/>
      <c r="DP138" s="82"/>
      <c r="DQ138" s="82"/>
      <c r="DR138" s="82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</row>
    <row r="139" spans="1:171" outlineLevel="1" x14ac:dyDescent="0.3">
      <c r="A139" s="13"/>
      <c r="B139" s="13"/>
      <c r="C139" s="13"/>
      <c r="D139" s="52">
        <f t="shared" si="14"/>
        <v>44166</v>
      </c>
      <c r="E139" s="53">
        <f t="shared" si="16"/>
        <v>2020</v>
      </c>
      <c r="F139" s="53">
        <f t="shared" si="15"/>
        <v>83</v>
      </c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  <c r="BY139" s="82"/>
      <c r="BZ139" s="82"/>
      <c r="CA139" s="82"/>
      <c r="CB139" s="82"/>
      <c r="CC139" s="82"/>
      <c r="CD139" s="82"/>
      <c r="CE139" s="82"/>
      <c r="CF139" s="82"/>
      <c r="CG139" s="82"/>
      <c r="CH139" s="82"/>
      <c r="CI139" s="82"/>
      <c r="CJ139" s="82"/>
      <c r="CK139" s="82"/>
      <c r="CL139" s="82"/>
      <c r="CM139" s="82"/>
      <c r="CN139" s="82"/>
      <c r="CO139" s="82"/>
      <c r="CP139" s="82"/>
      <c r="CQ139" s="82"/>
      <c r="CR139" s="82"/>
      <c r="CS139" s="82"/>
      <c r="CT139" s="82"/>
      <c r="CU139" s="82"/>
      <c r="CV139" s="82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  <c r="DK139" s="82"/>
      <c r="DL139" s="82"/>
      <c r="DM139" s="82"/>
      <c r="DN139" s="82"/>
      <c r="DO139" s="82"/>
      <c r="DP139" s="82"/>
      <c r="DQ139" s="82"/>
      <c r="DR139" s="82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</row>
    <row r="140" spans="1:171" outlineLevel="1" x14ac:dyDescent="0.3">
      <c r="A140" s="13"/>
      <c r="B140" s="13"/>
      <c r="C140" s="13"/>
      <c r="D140" s="52">
        <f t="shared" si="14"/>
        <v>44197</v>
      </c>
      <c r="E140" s="53">
        <f t="shared" si="16"/>
        <v>2021</v>
      </c>
      <c r="F140" s="53">
        <f t="shared" si="15"/>
        <v>84</v>
      </c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  <c r="CB140" s="82"/>
      <c r="CC140" s="82"/>
      <c r="CD140" s="82"/>
      <c r="CE140" s="82"/>
      <c r="CF140" s="82"/>
      <c r="CG140" s="82"/>
      <c r="CH140" s="82"/>
      <c r="CI140" s="82"/>
      <c r="CJ140" s="82"/>
      <c r="CK140" s="82"/>
      <c r="CL140" s="82"/>
      <c r="CM140" s="82"/>
      <c r="CN140" s="82"/>
      <c r="CO140" s="82"/>
      <c r="CP140" s="82"/>
      <c r="CQ140" s="82"/>
      <c r="CR140" s="82"/>
      <c r="CS140" s="82"/>
      <c r="CT140" s="82"/>
      <c r="CU140" s="82"/>
      <c r="CV140" s="82"/>
      <c r="CW140" s="82"/>
      <c r="CX140" s="82"/>
      <c r="CY140" s="82"/>
      <c r="CZ140" s="82"/>
      <c r="DA140" s="82"/>
      <c r="DB140" s="82"/>
      <c r="DC140" s="82"/>
      <c r="DD140" s="82"/>
      <c r="DE140" s="82"/>
      <c r="DF140" s="82"/>
      <c r="DG140" s="82"/>
      <c r="DH140" s="82"/>
      <c r="DI140" s="82"/>
      <c r="DJ140" s="82"/>
      <c r="DK140" s="82"/>
      <c r="DL140" s="82"/>
      <c r="DM140" s="82"/>
      <c r="DN140" s="82"/>
      <c r="DO140" s="82"/>
      <c r="DP140" s="82"/>
      <c r="DQ140" s="82"/>
      <c r="DR140" s="82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</row>
    <row r="141" spans="1:171" outlineLevel="1" x14ac:dyDescent="0.3">
      <c r="A141" s="13"/>
      <c r="B141" s="13"/>
      <c r="C141" s="13"/>
      <c r="D141" s="52">
        <f t="shared" si="14"/>
        <v>44228</v>
      </c>
      <c r="E141" s="53">
        <f t="shared" si="16"/>
        <v>2021</v>
      </c>
      <c r="F141" s="53">
        <f t="shared" si="15"/>
        <v>85</v>
      </c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BT141" s="82"/>
      <c r="BU141" s="82"/>
      <c r="BV141" s="82"/>
      <c r="BW141" s="82"/>
      <c r="BX141" s="82"/>
      <c r="BY141" s="82"/>
      <c r="BZ141" s="82"/>
      <c r="CA141" s="82"/>
      <c r="CB141" s="82"/>
      <c r="CC141" s="82"/>
      <c r="CD141" s="82"/>
      <c r="CE141" s="82"/>
      <c r="CF141" s="82"/>
      <c r="CG141" s="82"/>
      <c r="CH141" s="82"/>
      <c r="CI141" s="82"/>
      <c r="CJ141" s="82"/>
      <c r="CK141" s="82"/>
      <c r="CL141" s="82"/>
      <c r="CM141" s="82"/>
      <c r="CN141" s="82"/>
      <c r="CO141" s="82"/>
      <c r="CP141" s="82"/>
      <c r="CQ141" s="82"/>
      <c r="CR141" s="82"/>
      <c r="CS141" s="82"/>
      <c r="CT141" s="82"/>
      <c r="CU141" s="82"/>
      <c r="CV141" s="82"/>
      <c r="CW141" s="82"/>
      <c r="CX141" s="82"/>
      <c r="CY141" s="82"/>
      <c r="CZ141" s="82"/>
      <c r="DA141" s="82"/>
      <c r="DB141" s="82"/>
      <c r="DC141" s="82"/>
      <c r="DD141" s="82"/>
      <c r="DE141" s="82"/>
      <c r="DF141" s="82"/>
      <c r="DG141" s="82"/>
      <c r="DH141" s="82"/>
      <c r="DI141" s="82"/>
      <c r="DJ141" s="82"/>
      <c r="DK141" s="82"/>
      <c r="DL141" s="82"/>
      <c r="DM141" s="82"/>
      <c r="DN141" s="82"/>
      <c r="DO141" s="82"/>
      <c r="DP141" s="82"/>
      <c r="DQ141" s="82"/>
      <c r="DR141" s="82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</row>
    <row r="142" spans="1:171" outlineLevel="1" x14ac:dyDescent="0.3">
      <c r="A142" s="13"/>
      <c r="B142" s="13"/>
      <c r="C142" s="13"/>
      <c r="D142" s="52">
        <f t="shared" si="14"/>
        <v>44256</v>
      </c>
      <c r="E142" s="53">
        <f t="shared" si="16"/>
        <v>2021</v>
      </c>
      <c r="F142" s="53">
        <f t="shared" si="15"/>
        <v>86</v>
      </c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  <c r="BY142" s="82"/>
      <c r="BZ142" s="82"/>
      <c r="CA142" s="82"/>
      <c r="CB142" s="82"/>
      <c r="CC142" s="82"/>
      <c r="CD142" s="82"/>
      <c r="CE142" s="82"/>
      <c r="CF142" s="82"/>
      <c r="CG142" s="82"/>
      <c r="CH142" s="82"/>
      <c r="CI142" s="82"/>
      <c r="CJ142" s="82"/>
      <c r="CK142" s="82"/>
      <c r="CL142" s="82"/>
      <c r="CM142" s="82"/>
      <c r="CN142" s="82"/>
      <c r="CO142" s="82"/>
      <c r="CP142" s="82"/>
      <c r="CQ142" s="82"/>
      <c r="CR142" s="82"/>
      <c r="CS142" s="82"/>
      <c r="CT142" s="82"/>
      <c r="CU142" s="82"/>
      <c r="CV142" s="82"/>
      <c r="CW142" s="82"/>
      <c r="CX142" s="82"/>
      <c r="CY142" s="82"/>
      <c r="CZ142" s="82"/>
      <c r="DA142" s="82"/>
      <c r="DB142" s="82"/>
      <c r="DC142" s="82"/>
      <c r="DD142" s="82"/>
      <c r="DE142" s="82"/>
      <c r="DF142" s="82"/>
      <c r="DG142" s="82"/>
      <c r="DH142" s="82"/>
      <c r="DI142" s="82"/>
      <c r="DJ142" s="82"/>
      <c r="DK142" s="82"/>
      <c r="DL142" s="82"/>
      <c r="DM142" s="82"/>
      <c r="DN142" s="82"/>
      <c r="DO142" s="82"/>
      <c r="DP142" s="82"/>
      <c r="DQ142" s="82"/>
      <c r="DR142" s="82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</row>
    <row r="143" spans="1:171" outlineLevel="1" x14ac:dyDescent="0.3">
      <c r="A143" s="13"/>
      <c r="B143" s="13"/>
      <c r="C143" s="13"/>
      <c r="D143" s="52">
        <f t="shared" si="14"/>
        <v>44287</v>
      </c>
      <c r="E143" s="53">
        <f t="shared" si="16"/>
        <v>2021</v>
      </c>
      <c r="F143" s="53">
        <f t="shared" si="15"/>
        <v>87</v>
      </c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  <c r="BU143" s="82"/>
      <c r="BV143" s="82"/>
      <c r="BW143" s="82"/>
      <c r="BX143" s="82"/>
      <c r="BY143" s="82"/>
      <c r="BZ143" s="82"/>
      <c r="CA143" s="82"/>
      <c r="CB143" s="82"/>
      <c r="CC143" s="82"/>
      <c r="CD143" s="82"/>
      <c r="CE143" s="82"/>
      <c r="CF143" s="82"/>
      <c r="CG143" s="82"/>
      <c r="CH143" s="82"/>
      <c r="CI143" s="82"/>
      <c r="CJ143" s="82"/>
      <c r="CK143" s="82"/>
      <c r="CL143" s="82"/>
      <c r="CM143" s="82"/>
      <c r="CN143" s="82"/>
      <c r="CO143" s="82"/>
      <c r="CP143" s="82"/>
      <c r="CQ143" s="82"/>
      <c r="CR143" s="82"/>
      <c r="CS143" s="82"/>
      <c r="CT143" s="82"/>
      <c r="CU143" s="82"/>
      <c r="CV143" s="82"/>
      <c r="CW143" s="82"/>
      <c r="CX143" s="82"/>
      <c r="CY143" s="82"/>
      <c r="CZ143" s="82"/>
      <c r="DA143" s="82"/>
      <c r="DB143" s="82"/>
      <c r="DC143" s="82"/>
      <c r="DD143" s="82"/>
      <c r="DE143" s="82"/>
      <c r="DF143" s="82"/>
      <c r="DG143" s="82"/>
      <c r="DH143" s="82"/>
      <c r="DI143" s="82"/>
      <c r="DJ143" s="82"/>
      <c r="DK143" s="82"/>
      <c r="DL143" s="82"/>
      <c r="DM143" s="82"/>
      <c r="DN143" s="82"/>
      <c r="DO143" s="82"/>
      <c r="DP143" s="82"/>
      <c r="DQ143" s="82"/>
      <c r="DR143" s="82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</row>
    <row r="144" spans="1:171" outlineLevel="1" x14ac:dyDescent="0.3">
      <c r="A144" s="13"/>
      <c r="B144" s="13"/>
      <c r="C144" s="13"/>
      <c r="D144" s="52">
        <f t="shared" si="14"/>
        <v>44317</v>
      </c>
      <c r="E144" s="53">
        <f t="shared" si="16"/>
        <v>2021</v>
      </c>
      <c r="F144" s="53">
        <f t="shared" si="15"/>
        <v>88</v>
      </c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  <c r="BU144" s="82"/>
      <c r="BV144" s="82"/>
      <c r="BW144" s="82"/>
      <c r="BX144" s="82"/>
      <c r="BY144" s="82"/>
      <c r="BZ144" s="82"/>
      <c r="CA144" s="82"/>
      <c r="CB144" s="82"/>
      <c r="CC144" s="82"/>
      <c r="CD144" s="82"/>
      <c r="CE144" s="82"/>
      <c r="CF144" s="82"/>
      <c r="CG144" s="82"/>
      <c r="CH144" s="82"/>
      <c r="CI144" s="82"/>
      <c r="CJ144" s="82"/>
      <c r="CK144" s="82"/>
      <c r="CL144" s="82"/>
      <c r="CM144" s="82"/>
      <c r="CN144" s="82"/>
      <c r="CO144" s="82"/>
      <c r="CP144" s="82"/>
      <c r="CQ144" s="82"/>
      <c r="CR144" s="82"/>
      <c r="CS144" s="82"/>
      <c r="CT144" s="82"/>
      <c r="CU144" s="82"/>
      <c r="CV144" s="82"/>
      <c r="CW144" s="82"/>
      <c r="CX144" s="82"/>
      <c r="CY144" s="82"/>
      <c r="CZ144" s="82"/>
      <c r="DA144" s="82"/>
      <c r="DB144" s="82"/>
      <c r="DC144" s="82"/>
      <c r="DD144" s="82"/>
      <c r="DE144" s="82"/>
      <c r="DF144" s="82"/>
      <c r="DG144" s="82"/>
      <c r="DH144" s="82"/>
      <c r="DI144" s="82"/>
      <c r="DJ144" s="82"/>
      <c r="DK144" s="82"/>
      <c r="DL144" s="82"/>
      <c r="DM144" s="82"/>
      <c r="DN144" s="82"/>
      <c r="DO144" s="82"/>
      <c r="DP144" s="82"/>
      <c r="DQ144" s="82"/>
      <c r="DR144" s="82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</row>
    <row r="145" spans="1:171" outlineLevel="1" x14ac:dyDescent="0.3">
      <c r="A145" s="13"/>
      <c r="B145" s="13"/>
      <c r="C145" s="13"/>
      <c r="D145" s="52">
        <f t="shared" si="14"/>
        <v>44348</v>
      </c>
      <c r="E145" s="53">
        <f t="shared" si="16"/>
        <v>2021</v>
      </c>
      <c r="F145" s="53">
        <f t="shared" si="15"/>
        <v>89</v>
      </c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  <c r="BU145" s="82"/>
      <c r="BV145" s="82"/>
      <c r="BW145" s="82"/>
      <c r="BX145" s="82"/>
      <c r="BY145" s="82"/>
      <c r="BZ145" s="82"/>
      <c r="CA145" s="82"/>
      <c r="CB145" s="82"/>
      <c r="CC145" s="82"/>
      <c r="CD145" s="82"/>
      <c r="CE145" s="82"/>
      <c r="CF145" s="82"/>
      <c r="CG145" s="82"/>
      <c r="CH145" s="82"/>
      <c r="CI145" s="82"/>
      <c r="CJ145" s="82"/>
      <c r="CK145" s="82"/>
      <c r="CL145" s="82"/>
      <c r="CM145" s="82"/>
      <c r="CN145" s="82"/>
      <c r="CO145" s="82"/>
      <c r="CP145" s="82"/>
      <c r="CQ145" s="82"/>
      <c r="CR145" s="82"/>
      <c r="CS145" s="82"/>
      <c r="CT145" s="82"/>
      <c r="CU145" s="82"/>
      <c r="CV145" s="82"/>
      <c r="CW145" s="82"/>
      <c r="CX145" s="82"/>
      <c r="CY145" s="82"/>
      <c r="CZ145" s="82"/>
      <c r="DA145" s="82"/>
      <c r="DB145" s="82"/>
      <c r="DC145" s="82"/>
      <c r="DD145" s="82"/>
      <c r="DE145" s="82"/>
      <c r="DF145" s="82"/>
      <c r="DG145" s="82"/>
      <c r="DH145" s="82"/>
      <c r="DI145" s="82"/>
      <c r="DJ145" s="82"/>
      <c r="DK145" s="82"/>
      <c r="DL145" s="82"/>
      <c r="DM145" s="82"/>
      <c r="DN145" s="82"/>
      <c r="DO145" s="82"/>
      <c r="DP145" s="82"/>
      <c r="DQ145" s="82"/>
      <c r="DR145" s="82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</row>
    <row r="146" spans="1:171" outlineLevel="1" x14ac:dyDescent="0.3">
      <c r="A146" s="13"/>
      <c r="B146" s="13"/>
      <c r="C146" s="13"/>
      <c r="D146" s="52">
        <f t="shared" si="14"/>
        <v>44378</v>
      </c>
      <c r="E146" s="53">
        <f t="shared" si="16"/>
        <v>2021</v>
      </c>
      <c r="F146" s="53">
        <f t="shared" si="15"/>
        <v>90</v>
      </c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  <c r="BU146" s="82"/>
      <c r="BV146" s="82"/>
      <c r="BW146" s="82"/>
      <c r="BX146" s="82"/>
      <c r="BY146" s="82"/>
      <c r="BZ146" s="82"/>
      <c r="CA146" s="82"/>
      <c r="CB146" s="82"/>
      <c r="CC146" s="82"/>
      <c r="CD146" s="82"/>
      <c r="CE146" s="82"/>
      <c r="CF146" s="82"/>
      <c r="CG146" s="82"/>
      <c r="CH146" s="82"/>
      <c r="CI146" s="82"/>
      <c r="CJ146" s="82"/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  <c r="CW146" s="82"/>
      <c r="CX146" s="82"/>
      <c r="CY146" s="82"/>
      <c r="CZ146" s="82"/>
      <c r="DA146" s="82"/>
      <c r="DB146" s="82"/>
      <c r="DC146" s="82"/>
      <c r="DD146" s="82"/>
      <c r="DE146" s="82"/>
      <c r="DF146" s="82"/>
      <c r="DG146" s="82"/>
      <c r="DH146" s="82"/>
      <c r="DI146" s="82"/>
      <c r="DJ146" s="82"/>
      <c r="DK146" s="82"/>
      <c r="DL146" s="82"/>
      <c r="DM146" s="82"/>
      <c r="DN146" s="82"/>
      <c r="DO146" s="82"/>
      <c r="DP146" s="82"/>
      <c r="DQ146" s="82"/>
      <c r="DR146" s="82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</row>
    <row r="147" spans="1:171" outlineLevel="1" x14ac:dyDescent="0.3">
      <c r="A147" s="13"/>
      <c r="B147" s="13"/>
      <c r="C147" s="13"/>
      <c r="D147" s="52">
        <f t="shared" si="14"/>
        <v>44409</v>
      </c>
      <c r="E147" s="53">
        <f t="shared" si="16"/>
        <v>2021</v>
      </c>
      <c r="F147" s="53">
        <f t="shared" si="15"/>
        <v>91</v>
      </c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2"/>
      <c r="CN147" s="82"/>
      <c r="CO147" s="82"/>
      <c r="CP147" s="82"/>
      <c r="CQ147" s="82"/>
      <c r="CR147" s="82"/>
      <c r="CS147" s="82"/>
      <c r="CT147" s="82"/>
      <c r="CU147" s="82"/>
      <c r="CV147" s="82"/>
      <c r="CW147" s="82"/>
      <c r="CX147" s="82"/>
      <c r="CY147" s="82"/>
      <c r="CZ147" s="82"/>
      <c r="DA147" s="82"/>
      <c r="DB147" s="82"/>
      <c r="DC147" s="82"/>
      <c r="DD147" s="82"/>
      <c r="DE147" s="82"/>
      <c r="DF147" s="82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  <c r="DQ147" s="82"/>
      <c r="DR147" s="82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</row>
    <row r="148" spans="1:171" outlineLevel="1" x14ac:dyDescent="0.3">
      <c r="A148" s="13"/>
      <c r="B148" s="13"/>
      <c r="C148" s="13"/>
      <c r="D148" s="52">
        <f t="shared" si="14"/>
        <v>44440</v>
      </c>
      <c r="E148" s="53">
        <f t="shared" si="16"/>
        <v>2021</v>
      </c>
      <c r="F148" s="53">
        <f t="shared" si="15"/>
        <v>92</v>
      </c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  <c r="BY148" s="82"/>
      <c r="BZ148" s="82"/>
      <c r="CA148" s="82"/>
      <c r="CB148" s="82"/>
      <c r="CC148" s="82"/>
      <c r="CD148" s="82"/>
      <c r="CE148" s="82"/>
      <c r="CF148" s="82"/>
      <c r="CG148" s="82"/>
      <c r="CH148" s="82"/>
      <c r="CI148" s="82"/>
      <c r="CJ148" s="82"/>
      <c r="CK148" s="82"/>
      <c r="CL148" s="82"/>
      <c r="CM148" s="82"/>
      <c r="CN148" s="82"/>
      <c r="CO148" s="82"/>
      <c r="CP148" s="82"/>
      <c r="CQ148" s="82"/>
      <c r="CR148" s="82"/>
      <c r="CS148" s="82"/>
      <c r="CT148" s="82"/>
      <c r="CU148" s="82"/>
      <c r="CV148" s="82"/>
      <c r="CW148" s="82"/>
      <c r="CX148" s="82"/>
      <c r="CY148" s="82"/>
      <c r="CZ148" s="82"/>
      <c r="DA148" s="82"/>
      <c r="DB148" s="82"/>
      <c r="DC148" s="82"/>
      <c r="DD148" s="82"/>
      <c r="DE148" s="82"/>
      <c r="DF148" s="82"/>
      <c r="DG148" s="82"/>
      <c r="DH148" s="82"/>
      <c r="DI148" s="82"/>
      <c r="DJ148" s="82"/>
      <c r="DK148" s="82"/>
      <c r="DL148" s="82"/>
      <c r="DM148" s="82"/>
      <c r="DN148" s="82"/>
      <c r="DO148" s="82"/>
      <c r="DP148" s="82"/>
      <c r="DQ148" s="82"/>
      <c r="DR148" s="82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</row>
    <row r="149" spans="1:171" outlineLevel="1" x14ac:dyDescent="0.3">
      <c r="A149" s="13"/>
      <c r="B149" s="13"/>
      <c r="C149" s="13"/>
      <c r="D149" s="52">
        <f t="shared" si="14"/>
        <v>44470</v>
      </c>
      <c r="E149" s="53">
        <f t="shared" si="16"/>
        <v>2021</v>
      </c>
      <c r="F149" s="53">
        <f t="shared" si="15"/>
        <v>93</v>
      </c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2"/>
      <c r="CN149" s="82"/>
      <c r="CO149" s="82"/>
      <c r="CP149" s="82"/>
      <c r="CQ149" s="82"/>
      <c r="CR149" s="82"/>
      <c r="CS149" s="82"/>
      <c r="CT149" s="82"/>
      <c r="CU149" s="82"/>
      <c r="CV149" s="82"/>
      <c r="CW149" s="82"/>
      <c r="CX149" s="82"/>
      <c r="CY149" s="82"/>
      <c r="CZ149" s="82"/>
      <c r="DA149" s="82"/>
      <c r="DB149" s="82"/>
      <c r="DC149" s="82"/>
      <c r="DD149" s="82"/>
      <c r="DE149" s="82"/>
      <c r="DF149" s="82"/>
      <c r="DG149" s="82"/>
      <c r="DH149" s="82"/>
      <c r="DI149" s="82"/>
      <c r="DJ149" s="82"/>
      <c r="DK149" s="82"/>
      <c r="DL149" s="82"/>
      <c r="DM149" s="82"/>
      <c r="DN149" s="82"/>
      <c r="DO149" s="82"/>
      <c r="DP149" s="82"/>
      <c r="DQ149" s="82"/>
      <c r="DR149" s="82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</row>
    <row r="150" spans="1:171" outlineLevel="1" x14ac:dyDescent="0.3">
      <c r="A150" s="13"/>
      <c r="B150" s="13"/>
      <c r="C150" s="13"/>
      <c r="D150" s="52">
        <f t="shared" si="14"/>
        <v>44501</v>
      </c>
      <c r="E150" s="53">
        <f t="shared" si="16"/>
        <v>2021</v>
      </c>
      <c r="F150" s="53">
        <f t="shared" si="15"/>
        <v>94</v>
      </c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2"/>
      <c r="CN150" s="82"/>
      <c r="CO150" s="82"/>
      <c r="CP150" s="82"/>
      <c r="CQ150" s="82"/>
      <c r="CR150" s="82"/>
      <c r="CS150" s="82"/>
      <c r="CT150" s="82"/>
      <c r="CU150" s="82"/>
      <c r="CV150" s="82"/>
      <c r="CW150" s="82"/>
      <c r="CX150" s="82"/>
      <c r="CY150" s="82"/>
      <c r="CZ150" s="82"/>
      <c r="DA150" s="82"/>
      <c r="DB150" s="82"/>
      <c r="DC150" s="82"/>
      <c r="DD150" s="82"/>
      <c r="DE150" s="82"/>
      <c r="DF150" s="82"/>
      <c r="DG150" s="82"/>
      <c r="DH150" s="82"/>
      <c r="DI150" s="82"/>
      <c r="DJ150" s="82"/>
      <c r="DK150" s="82"/>
      <c r="DL150" s="82"/>
      <c r="DM150" s="82"/>
      <c r="DN150" s="82"/>
      <c r="DO150" s="82"/>
      <c r="DP150" s="82"/>
      <c r="DQ150" s="82"/>
      <c r="DR150" s="82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</row>
    <row r="151" spans="1:171" outlineLevel="1" x14ac:dyDescent="0.3">
      <c r="A151" s="13"/>
      <c r="B151" s="13"/>
      <c r="C151" s="13"/>
      <c r="D151" s="52">
        <f t="shared" si="14"/>
        <v>44531</v>
      </c>
      <c r="E151" s="53">
        <f t="shared" si="16"/>
        <v>2021</v>
      </c>
      <c r="F151" s="53">
        <f t="shared" si="15"/>
        <v>95</v>
      </c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2"/>
      <c r="CN151" s="82"/>
      <c r="CO151" s="82"/>
      <c r="CP151" s="82"/>
      <c r="CQ151" s="82"/>
      <c r="CR151" s="82"/>
      <c r="CS151" s="82"/>
      <c r="CT151" s="82"/>
      <c r="CU151" s="82"/>
      <c r="CV151" s="82"/>
      <c r="CW151" s="82"/>
      <c r="CX151" s="82"/>
      <c r="CY151" s="82"/>
      <c r="CZ151" s="82"/>
      <c r="DA151" s="82"/>
      <c r="DB151" s="82"/>
      <c r="DC151" s="82"/>
      <c r="DD151" s="82"/>
      <c r="DE151" s="82"/>
      <c r="DF151" s="82"/>
      <c r="DG151" s="82"/>
      <c r="DH151" s="82"/>
      <c r="DI151" s="82"/>
      <c r="DJ151" s="82"/>
      <c r="DK151" s="82"/>
      <c r="DL151" s="82"/>
      <c r="DM151" s="82"/>
      <c r="DN151" s="82"/>
      <c r="DO151" s="82"/>
      <c r="DP151" s="82"/>
      <c r="DQ151" s="82"/>
      <c r="DR151" s="82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</row>
    <row r="152" spans="1:171" outlineLevel="1" x14ac:dyDescent="0.3">
      <c r="A152" s="13"/>
      <c r="B152" s="13"/>
      <c r="C152" s="13"/>
      <c r="D152" s="52">
        <f t="shared" si="14"/>
        <v>44562</v>
      </c>
      <c r="E152" s="53">
        <f t="shared" si="16"/>
        <v>2022</v>
      </c>
      <c r="F152" s="53">
        <f t="shared" si="15"/>
        <v>96</v>
      </c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</row>
    <row r="153" spans="1:171" outlineLevel="1" x14ac:dyDescent="0.3">
      <c r="A153" s="13"/>
      <c r="B153" s="13"/>
      <c r="C153" s="13"/>
      <c r="D153" s="52">
        <f t="shared" ref="D153:D171" si="17">+EDATE($D$56,F153)</f>
        <v>44593</v>
      </c>
      <c r="E153" s="53">
        <f t="shared" si="16"/>
        <v>2022</v>
      </c>
      <c r="F153" s="53">
        <f t="shared" si="15"/>
        <v>97</v>
      </c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2"/>
      <c r="CN153" s="82"/>
      <c r="CO153" s="82"/>
      <c r="CP153" s="82"/>
      <c r="CQ153" s="82"/>
      <c r="CR153" s="82"/>
      <c r="CS153" s="82"/>
      <c r="CT153" s="82"/>
      <c r="CU153" s="82"/>
      <c r="CV153" s="82"/>
      <c r="CW153" s="82"/>
      <c r="CX153" s="82"/>
      <c r="CY153" s="82"/>
      <c r="CZ153" s="82"/>
      <c r="DA153" s="82"/>
      <c r="DB153" s="82"/>
      <c r="DC153" s="82"/>
      <c r="DD153" s="82"/>
      <c r="DE153" s="82"/>
      <c r="DF153" s="82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  <c r="DQ153" s="82"/>
      <c r="DR153" s="82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</row>
    <row r="154" spans="1:171" outlineLevel="1" x14ac:dyDescent="0.3">
      <c r="A154" s="13"/>
      <c r="B154" s="13"/>
      <c r="C154" s="13"/>
      <c r="D154" s="52">
        <f t="shared" si="17"/>
        <v>44621</v>
      </c>
      <c r="E154" s="53">
        <f t="shared" si="16"/>
        <v>2022</v>
      </c>
      <c r="F154" s="53">
        <f t="shared" ref="F154:F171" si="18">+F153+1</f>
        <v>98</v>
      </c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  <c r="BT154" s="82"/>
      <c r="BU154" s="82"/>
      <c r="BV154" s="82"/>
      <c r="BW154" s="82"/>
      <c r="BX154" s="82"/>
      <c r="BY154" s="82"/>
      <c r="BZ154" s="82"/>
      <c r="CA154" s="82"/>
      <c r="CB154" s="82"/>
      <c r="CC154" s="82"/>
      <c r="CD154" s="82"/>
      <c r="CE154" s="82"/>
      <c r="CF154" s="82"/>
      <c r="CG154" s="82"/>
      <c r="CH154" s="82"/>
      <c r="CI154" s="82"/>
      <c r="CJ154" s="82"/>
      <c r="CK154" s="82"/>
      <c r="CL154" s="82"/>
      <c r="CM154" s="82"/>
      <c r="CN154" s="82"/>
      <c r="CO154" s="82"/>
      <c r="CP154" s="82"/>
      <c r="CQ154" s="82"/>
      <c r="CR154" s="82"/>
      <c r="CS154" s="82"/>
      <c r="CT154" s="82"/>
      <c r="CU154" s="82"/>
      <c r="CV154" s="82"/>
      <c r="CW154" s="82"/>
      <c r="CX154" s="82"/>
      <c r="CY154" s="82"/>
      <c r="CZ154" s="82"/>
      <c r="DA154" s="82"/>
      <c r="DB154" s="82"/>
      <c r="DC154" s="82"/>
      <c r="DD154" s="82"/>
      <c r="DE154" s="82"/>
      <c r="DF154" s="82"/>
      <c r="DG154" s="82"/>
      <c r="DH154" s="82"/>
      <c r="DI154" s="82"/>
      <c r="DJ154" s="82"/>
      <c r="DK154" s="82"/>
      <c r="DL154" s="82"/>
      <c r="DM154" s="82"/>
      <c r="DN154" s="82"/>
      <c r="DO154" s="82"/>
      <c r="DP154" s="82"/>
      <c r="DQ154" s="82"/>
      <c r="DR154" s="82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</row>
    <row r="155" spans="1:171" outlineLevel="1" x14ac:dyDescent="0.3">
      <c r="A155" s="13"/>
      <c r="B155" s="13"/>
      <c r="C155" s="13"/>
      <c r="D155" s="52">
        <f t="shared" si="17"/>
        <v>44652</v>
      </c>
      <c r="E155" s="53">
        <f t="shared" si="16"/>
        <v>2022</v>
      </c>
      <c r="F155" s="53">
        <f t="shared" si="18"/>
        <v>99</v>
      </c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2"/>
      <c r="BV155" s="82"/>
      <c r="BW155" s="82"/>
      <c r="BX155" s="82"/>
      <c r="BY155" s="82"/>
      <c r="BZ155" s="82"/>
      <c r="CA155" s="82"/>
      <c r="CB155" s="82"/>
      <c r="CC155" s="82"/>
      <c r="CD155" s="82"/>
      <c r="CE155" s="82"/>
      <c r="CF155" s="82"/>
      <c r="CG155" s="82"/>
      <c r="CH155" s="82"/>
      <c r="CI155" s="82"/>
      <c r="CJ155" s="82"/>
      <c r="CK155" s="82"/>
      <c r="CL155" s="82"/>
      <c r="CM155" s="82"/>
      <c r="CN155" s="82"/>
      <c r="CO155" s="82"/>
      <c r="CP155" s="82"/>
      <c r="CQ155" s="82"/>
      <c r="CR155" s="82"/>
      <c r="CS155" s="82"/>
      <c r="CT155" s="82"/>
      <c r="CU155" s="82"/>
      <c r="CV155" s="82"/>
      <c r="CW155" s="82"/>
      <c r="CX155" s="82"/>
      <c r="CY155" s="82"/>
      <c r="CZ155" s="82"/>
      <c r="DA155" s="82"/>
      <c r="DB155" s="82"/>
      <c r="DC155" s="82"/>
      <c r="DD155" s="82"/>
      <c r="DE155" s="82"/>
      <c r="DF155" s="82"/>
      <c r="DG155" s="82"/>
      <c r="DH155" s="82"/>
      <c r="DI155" s="82"/>
      <c r="DJ155" s="82"/>
      <c r="DK155" s="82"/>
      <c r="DL155" s="82"/>
      <c r="DM155" s="82"/>
      <c r="DN155" s="82"/>
      <c r="DO155" s="82"/>
      <c r="DP155" s="82"/>
      <c r="DQ155" s="82"/>
      <c r="DR155" s="82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</row>
    <row r="156" spans="1:171" outlineLevel="1" x14ac:dyDescent="0.3">
      <c r="A156" s="13"/>
      <c r="B156" s="13"/>
      <c r="C156" s="13"/>
      <c r="D156" s="52">
        <f t="shared" si="17"/>
        <v>44682</v>
      </c>
      <c r="E156" s="53">
        <f t="shared" si="16"/>
        <v>2022</v>
      </c>
      <c r="F156" s="53">
        <f t="shared" si="18"/>
        <v>100</v>
      </c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2"/>
      <c r="CN156" s="82"/>
      <c r="CO156" s="82"/>
      <c r="CP156" s="82"/>
      <c r="CQ156" s="82"/>
      <c r="CR156" s="82"/>
      <c r="CS156" s="82"/>
      <c r="CT156" s="82"/>
      <c r="CU156" s="82"/>
      <c r="CV156" s="82"/>
      <c r="CW156" s="82"/>
      <c r="CX156" s="82"/>
      <c r="CY156" s="82"/>
      <c r="CZ156" s="82"/>
      <c r="DA156" s="82"/>
      <c r="DB156" s="82"/>
      <c r="DC156" s="82"/>
      <c r="DD156" s="82"/>
      <c r="DE156" s="82"/>
      <c r="DF156" s="82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  <c r="DQ156" s="82"/>
      <c r="DR156" s="82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</row>
    <row r="157" spans="1:171" outlineLevel="1" x14ac:dyDescent="0.3">
      <c r="A157" s="13"/>
      <c r="B157" s="13"/>
      <c r="C157" s="13"/>
      <c r="D157" s="52">
        <f t="shared" si="17"/>
        <v>44713</v>
      </c>
      <c r="E157" s="53">
        <f t="shared" si="16"/>
        <v>2022</v>
      </c>
      <c r="F157" s="53">
        <f t="shared" si="18"/>
        <v>101</v>
      </c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2"/>
      <c r="BV157" s="82"/>
      <c r="BW157" s="82"/>
      <c r="BX157" s="82"/>
      <c r="BY157" s="82"/>
      <c r="BZ157" s="82"/>
      <c r="CA157" s="82"/>
      <c r="CB157" s="82"/>
      <c r="CC157" s="82"/>
      <c r="CD157" s="82"/>
      <c r="CE157" s="82"/>
      <c r="CF157" s="82"/>
      <c r="CG157" s="82"/>
      <c r="CH157" s="82"/>
      <c r="CI157" s="82"/>
      <c r="CJ157" s="82"/>
      <c r="CK157" s="82"/>
      <c r="CL157" s="82"/>
      <c r="CM157" s="82"/>
      <c r="CN157" s="82"/>
      <c r="CO157" s="82"/>
      <c r="CP157" s="82"/>
      <c r="CQ157" s="82"/>
      <c r="CR157" s="82"/>
      <c r="CS157" s="82"/>
      <c r="CT157" s="82"/>
      <c r="CU157" s="82"/>
      <c r="CV157" s="82"/>
      <c r="CW157" s="82"/>
      <c r="CX157" s="82"/>
      <c r="CY157" s="82"/>
      <c r="CZ157" s="82"/>
      <c r="DA157" s="82"/>
      <c r="DB157" s="82"/>
      <c r="DC157" s="82"/>
      <c r="DD157" s="82"/>
      <c r="DE157" s="82"/>
      <c r="DF157" s="82"/>
      <c r="DG157" s="82"/>
      <c r="DH157" s="82"/>
      <c r="DI157" s="82"/>
      <c r="DJ157" s="82"/>
      <c r="DK157" s="82"/>
      <c r="DL157" s="82"/>
      <c r="DM157" s="82"/>
      <c r="DN157" s="82"/>
      <c r="DO157" s="82"/>
      <c r="DP157" s="82"/>
      <c r="DQ157" s="82"/>
      <c r="DR157" s="82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</row>
    <row r="158" spans="1:171" outlineLevel="1" x14ac:dyDescent="0.3">
      <c r="A158" s="13"/>
      <c r="B158" s="13"/>
      <c r="C158" s="13"/>
      <c r="D158" s="52">
        <f t="shared" si="17"/>
        <v>44743</v>
      </c>
      <c r="E158" s="53">
        <f t="shared" si="16"/>
        <v>2022</v>
      </c>
      <c r="F158" s="53">
        <f t="shared" si="18"/>
        <v>102</v>
      </c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  <c r="BN158" s="82"/>
      <c r="BO158" s="82"/>
      <c r="BP158" s="82"/>
      <c r="BQ158" s="82"/>
      <c r="BR158" s="82"/>
      <c r="BS158" s="82"/>
      <c r="BT158" s="82"/>
      <c r="BU158" s="82"/>
      <c r="BV158" s="82"/>
      <c r="BW158" s="82"/>
      <c r="BX158" s="82"/>
      <c r="BY158" s="82"/>
      <c r="BZ158" s="82"/>
      <c r="CA158" s="82"/>
      <c r="CB158" s="82"/>
      <c r="CC158" s="82"/>
      <c r="CD158" s="82"/>
      <c r="CE158" s="82"/>
      <c r="CF158" s="82"/>
      <c r="CG158" s="82"/>
      <c r="CH158" s="82"/>
      <c r="CI158" s="82"/>
      <c r="CJ158" s="82"/>
      <c r="CK158" s="82"/>
      <c r="CL158" s="82"/>
      <c r="CM158" s="82"/>
      <c r="CN158" s="82"/>
      <c r="CO158" s="82"/>
      <c r="CP158" s="82"/>
      <c r="CQ158" s="82"/>
      <c r="CR158" s="82"/>
      <c r="CS158" s="82"/>
      <c r="CT158" s="82"/>
      <c r="CU158" s="82"/>
      <c r="CV158" s="82"/>
      <c r="CW158" s="82"/>
      <c r="CX158" s="82"/>
      <c r="CY158" s="82"/>
      <c r="CZ158" s="82"/>
      <c r="DA158" s="82"/>
      <c r="DB158" s="82"/>
      <c r="DC158" s="82"/>
      <c r="DD158" s="82"/>
      <c r="DE158" s="82"/>
      <c r="DF158" s="82"/>
      <c r="DG158" s="82"/>
      <c r="DH158" s="82"/>
      <c r="DI158" s="82"/>
      <c r="DJ158" s="82"/>
      <c r="DK158" s="82"/>
      <c r="DL158" s="82"/>
      <c r="DM158" s="82"/>
      <c r="DN158" s="82"/>
      <c r="DO158" s="82"/>
      <c r="DP158" s="82"/>
      <c r="DQ158" s="82"/>
      <c r="DR158" s="82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</row>
    <row r="159" spans="1:171" outlineLevel="1" x14ac:dyDescent="0.3">
      <c r="A159" s="13"/>
      <c r="B159" s="13"/>
      <c r="C159" s="13"/>
      <c r="D159" s="52">
        <f t="shared" si="17"/>
        <v>44774</v>
      </c>
      <c r="E159" s="53">
        <f t="shared" si="16"/>
        <v>2022</v>
      </c>
      <c r="F159" s="53">
        <f t="shared" si="18"/>
        <v>103</v>
      </c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  <c r="BX159" s="82"/>
      <c r="BY159" s="82"/>
      <c r="BZ159" s="82"/>
      <c r="CA159" s="82"/>
      <c r="CB159" s="82"/>
      <c r="CC159" s="82"/>
      <c r="CD159" s="82"/>
      <c r="CE159" s="82"/>
      <c r="CF159" s="82"/>
      <c r="CG159" s="82"/>
      <c r="CH159" s="82"/>
      <c r="CI159" s="82"/>
      <c r="CJ159" s="82"/>
      <c r="CK159" s="82"/>
      <c r="CL159" s="82"/>
      <c r="CM159" s="82"/>
      <c r="CN159" s="82"/>
      <c r="CO159" s="82"/>
      <c r="CP159" s="82"/>
      <c r="CQ159" s="82"/>
      <c r="CR159" s="82"/>
      <c r="CS159" s="82"/>
      <c r="CT159" s="82"/>
      <c r="CU159" s="82"/>
      <c r="CV159" s="82"/>
      <c r="CW159" s="82"/>
      <c r="CX159" s="82"/>
      <c r="CY159" s="82"/>
      <c r="CZ159" s="82"/>
      <c r="DA159" s="82"/>
      <c r="DB159" s="82"/>
      <c r="DC159" s="82"/>
      <c r="DD159" s="82"/>
      <c r="DE159" s="82"/>
      <c r="DF159" s="82"/>
      <c r="DG159" s="82"/>
      <c r="DH159" s="82"/>
      <c r="DI159" s="82"/>
      <c r="DJ159" s="82"/>
      <c r="DK159" s="82"/>
      <c r="DL159" s="82"/>
      <c r="DM159" s="82"/>
      <c r="DN159" s="82"/>
      <c r="DO159" s="82"/>
      <c r="DP159" s="82"/>
      <c r="DQ159" s="82"/>
      <c r="DR159" s="82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</row>
    <row r="160" spans="1:171" outlineLevel="1" x14ac:dyDescent="0.3">
      <c r="A160" s="13"/>
      <c r="B160" s="13"/>
      <c r="C160" s="13"/>
      <c r="D160" s="52">
        <f t="shared" si="17"/>
        <v>44805</v>
      </c>
      <c r="E160" s="53">
        <f t="shared" si="16"/>
        <v>2022</v>
      </c>
      <c r="F160" s="53">
        <f t="shared" si="18"/>
        <v>104</v>
      </c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  <c r="BT160" s="82"/>
      <c r="BU160" s="82"/>
      <c r="BV160" s="82"/>
      <c r="BW160" s="82"/>
      <c r="BX160" s="82"/>
      <c r="BY160" s="82"/>
      <c r="BZ160" s="82"/>
      <c r="CA160" s="82"/>
      <c r="CB160" s="82"/>
      <c r="CC160" s="82"/>
      <c r="CD160" s="82"/>
      <c r="CE160" s="82"/>
      <c r="CF160" s="82"/>
      <c r="CG160" s="82"/>
      <c r="CH160" s="82"/>
      <c r="CI160" s="82"/>
      <c r="CJ160" s="82"/>
      <c r="CK160" s="82"/>
      <c r="CL160" s="82"/>
      <c r="CM160" s="82"/>
      <c r="CN160" s="82"/>
      <c r="CO160" s="82"/>
      <c r="CP160" s="82"/>
      <c r="CQ160" s="82"/>
      <c r="CR160" s="82"/>
      <c r="CS160" s="82"/>
      <c r="CT160" s="82"/>
      <c r="CU160" s="82"/>
      <c r="CV160" s="82"/>
      <c r="CW160" s="82"/>
      <c r="CX160" s="82"/>
      <c r="CY160" s="82"/>
      <c r="CZ160" s="82"/>
      <c r="DA160" s="82"/>
      <c r="DB160" s="82"/>
      <c r="DC160" s="82"/>
      <c r="DD160" s="82"/>
      <c r="DE160" s="82"/>
      <c r="DF160" s="82"/>
      <c r="DG160" s="82"/>
      <c r="DH160" s="82"/>
      <c r="DI160" s="82"/>
      <c r="DJ160" s="82"/>
      <c r="DK160" s="82"/>
      <c r="DL160" s="82"/>
      <c r="DM160" s="82"/>
      <c r="DN160" s="82"/>
      <c r="DO160" s="82"/>
      <c r="DP160" s="82"/>
      <c r="DQ160" s="82"/>
      <c r="DR160" s="82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</row>
    <row r="161" spans="1:171" outlineLevel="1" x14ac:dyDescent="0.3">
      <c r="A161" s="13"/>
      <c r="B161" s="13"/>
      <c r="C161" s="13"/>
      <c r="D161" s="52">
        <f t="shared" si="17"/>
        <v>44835</v>
      </c>
      <c r="E161" s="53">
        <f t="shared" si="16"/>
        <v>2022</v>
      </c>
      <c r="F161" s="53">
        <f t="shared" si="18"/>
        <v>105</v>
      </c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  <c r="BT161" s="82"/>
      <c r="BU161" s="82"/>
      <c r="BV161" s="82"/>
      <c r="BW161" s="82"/>
      <c r="BX161" s="82"/>
      <c r="BY161" s="82"/>
      <c r="BZ161" s="82"/>
      <c r="CA161" s="82"/>
      <c r="CB161" s="82"/>
      <c r="CC161" s="82"/>
      <c r="CD161" s="82"/>
      <c r="CE161" s="82"/>
      <c r="CF161" s="82"/>
      <c r="CG161" s="82"/>
      <c r="CH161" s="82"/>
      <c r="CI161" s="82"/>
      <c r="CJ161" s="82"/>
      <c r="CK161" s="82"/>
      <c r="CL161" s="82"/>
      <c r="CM161" s="82"/>
      <c r="CN161" s="82"/>
      <c r="CO161" s="82"/>
      <c r="CP161" s="82"/>
      <c r="CQ161" s="82"/>
      <c r="CR161" s="82"/>
      <c r="CS161" s="82"/>
      <c r="CT161" s="82"/>
      <c r="CU161" s="82"/>
      <c r="CV161" s="82"/>
      <c r="CW161" s="82"/>
      <c r="CX161" s="82"/>
      <c r="CY161" s="82"/>
      <c r="CZ161" s="82"/>
      <c r="DA161" s="82"/>
      <c r="DB161" s="82"/>
      <c r="DC161" s="82"/>
      <c r="DD161" s="82"/>
      <c r="DE161" s="82"/>
      <c r="DF161" s="82"/>
      <c r="DG161" s="82"/>
      <c r="DH161" s="82"/>
      <c r="DI161" s="82"/>
      <c r="DJ161" s="82"/>
      <c r="DK161" s="82"/>
      <c r="DL161" s="82"/>
      <c r="DM161" s="82"/>
      <c r="DN161" s="82"/>
      <c r="DO161" s="82"/>
      <c r="DP161" s="82"/>
      <c r="DQ161" s="82"/>
      <c r="DR161" s="82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</row>
    <row r="162" spans="1:171" outlineLevel="1" x14ac:dyDescent="0.3">
      <c r="A162" s="13"/>
      <c r="B162" s="13"/>
      <c r="C162" s="13"/>
      <c r="D162" s="52">
        <f t="shared" si="17"/>
        <v>44866</v>
      </c>
      <c r="E162" s="53">
        <f t="shared" si="16"/>
        <v>2022</v>
      </c>
      <c r="F162" s="53">
        <f t="shared" si="18"/>
        <v>106</v>
      </c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  <c r="BT162" s="82"/>
      <c r="BU162" s="82"/>
      <c r="BV162" s="82"/>
      <c r="BW162" s="82"/>
      <c r="BX162" s="82"/>
      <c r="BY162" s="82"/>
      <c r="BZ162" s="82"/>
      <c r="CA162" s="82"/>
      <c r="CB162" s="82"/>
      <c r="CC162" s="82"/>
      <c r="CD162" s="82"/>
      <c r="CE162" s="82"/>
      <c r="CF162" s="82"/>
      <c r="CG162" s="82"/>
      <c r="CH162" s="82"/>
      <c r="CI162" s="82"/>
      <c r="CJ162" s="82"/>
      <c r="CK162" s="82"/>
      <c r="CL162" s="82"/>
      <c r="CM162" s="82"/>
      <c r="CN162" s="82"/>
      <c r="CO162" s="82"/>
      <c r="CP162" s="82"/>
      <c r="CQ162" s="82"/>
      <c r="CR162" s="82"/>
      <c r="CS162" s="82"/>
      <c r="CT162" s="82"/>
      <c r="CU162" s="82"/>
      <c r="CV162" s="82"/>
      <c r="CW162" s="82"/>
      <c r="CX162" s="82"/>
      <c r="CY162" s="82"/>
      <c r="CZ162" s="82"/>
      <c r="DA162" s="82"/>
      <c r="DB162" s="82"/>
      <c r="DC162" s="82"/>
      <c r="DD162" s="82"/>
      <c r="DE162" s="82"/>
      <c r="DF162" s="82"/>
      <c r="DG162" s="82"/>
      <c r="DH162" s="82"/>
      <c r="DI162" s="82"/>
      <c r="DJ162" s="82"/>
      <c r="DK162" s="82"/>
      <c r="DL162" s="82"/>
      <c r="DM162" s="82"/>
      <c r="DN162" s="82"/>
      <c r="DO162" s="82"/>
      <c r="DP162" s="82"/>
      <c r="DQ162" s="82"/>
      <c r="DR162" s="82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</row>
    <row r="163" spans="1:171" outlineLevel="1" x14ac:dyDescent="0.3">
      <c r="A163" s="13"/>
      <c r="B163" s="13"/>
      <c r="C163" s="13"/>
      <c r="D163" s="52">
        <f t="shared" si="17"/>
        <v>44896</v>
      </c>
      <c r="E163" s="53">
        <f t="shared" si="16"/>
        <v>2022</v>
      </c>
      <c r="F163" s="53">
        <f t="shared" si="18"/>
        <v>107</v>
      </c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  <c r="BT163" s="82"/>
      <c r="BU163" s="82"/>
      <c r="BV163" s="82"/>
      <c r="BW163" s="82"/>
      <c r="BX163" s="82"/>
      <c r="BY163" s="82"/>
      <c r="BZ163" s="82"/>
      <c r="CA163" s="82"/>
      <c r="CB163" s="82"/>
      <c r="CC163" s="82"/>
      <c r="CD163" s="82"/>
      <c r="CE163" s="82"/>
      <c r="CF163" s="82"/>
      <c r="CG163" s="82"/>
      <c r="CH163" s="82"/>
      <c r="CI163" s="82"/>
      <c r="CJ163" s="82"/>
      <c r="CK163" s="82"/>
      <c r="CL163" s="82"/>
      <c r="CM163" s="82"/>
      <c r="CN163" s="82"/>
      <c r="CO163" s="82"/>
      <c r="CP163" s="82"/>
      <c r="CQ163" s="82"/>
      <c r="CR163" s="82"/>
      <c r="CS163" s="82"/>
      <c r="CT163" s="82"/>
      <c r="CU163" s="82"/>
      <c r="CV163" s="82"/>
      <c r="CW163" s="82"/>
      <c r="CX163" s="82"/>
      <c r="CY163" s="82"/>
      <c r="CZ163" s="82"/>
      <c r="DA163" s="82"/>
      <c r="DB163" s="82"/>
      <c r="DC163" s="82"/>
      <c r="DD163" s="82"/>
      <c r="DE163" s="82"/>
      <c r="DF163" s="82"/>
      <c r="DG163" s="82"/>
      <c r="DH163" s="82"/>
      <c r="DI163" s="82"/>
      <c r="DJ163" s="82"/>
      <c r="DK163" s="82"/>
      <c r="DL163" s="82"/>
      <c r="DM163" s="82"/>
      <c r="DN163" s="82"/>
      <c r="DO163" s="82"/>
      <c r="DP163" s="82"/>
      <c r="DQ163" s="82"/>
      <c r="DR163" s="82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</row>
    <row r="164" spans="1:171" outlineLevel="1" x14ac:dyDescent="0.3">
      <c r="A164" s="13"/>
      <c r="B164" s="13"/>
      <c r="C164" s="13"/>
      <c r="D164" s="52">
        <f t="shared" si="17"/>
        <v>44927</v>
      </c>
      <c r="E164" s="53">
        <f t="shared" si="16"/>
        <v>2023</v>
      </c>
      <c r="F164" s="53">
        <f t="shared" si="18"/>
        <v>108</v>
      </c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  <c r="BT164" s="82"/>
      <c r="BU164" s="82"/>
      <c r="BV164" s="82"/>
      <c r="BW164" s="82"/>
      <c r="BX164" s="82"/>
      <c r="BY164" s="82"/>
      <c r="BZ164" s="82"/>
      <c r="CA164" s="82"/>
      <c r="CB164" s="82"/>
      <c r="CC164" s="82"/>
      <c r="CD164" s="82"/>
      <c r="CE164" s="82"/>
      <c r="CF164" s="82"/>
      <c r="CG164" s="82"/>
      <c r="CH164" s="82"/>
      <c r="CI164" s="82"/>
      <c r="CJ164" s="82"/>
      <c r="CK164" s="82"/>
      <c r="CL164" s="82"/>
      <c r="CM164" s="82"/>
      <c r="CN164" s="82"/>
      <c r="CO164" s="82"/>
      <c r="CP164" s="82"/>
      <c r="CQ164" s="82"/>
      <c r="CR164" s="82"/>
      <c r="CS164" s="82"/>
      <c r="CT164" s="82"/>
      <c r="CU164" s="82"/>
      <c r="CV164" s="82"/>
      <c r="CW164" s="82"/>
      <c r="CX164" s="82"/>
      <c r="CY164" s="82"/>
      <c r="CZ164" s="82"/>
      <c r="DA164" s="82"/>
      <c r="DB164" s="82"/>
      <c r="DC164" s="82"/>
      <c r="DD164" s="82"/>
      <c r="DE164" s="82"/>
      <c r="DF164" s="82"/>
      <c r="DG164" s="82"/>
      <c r="DH164" s="82"/>
      <c r="DI164" s="82"/>
      <c r="DJ164" s="82"/>
      <c r="DK164" s="82"/>
      <c r="DL164" s="82"/>
      <c r="DM164" s="82"/>
      <c r="DN164" s="82"/>
      <c r="DO164" s="82"/>
      <c r="DP164" s="82"/>
      <c r="DQ164" s="82"/>
      <c r="DR164" s="82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</row>
    <row r="165" spans="1:171" outlineLevel="1" x14ac:dyDescent="0.3">
      <c r="A165" s="13"/>
      <c r="B165" s="13"/>
      <c r="C165" s="13"/>
      <c r="D165" s="52">
        <f t="shared" si="17"/>
        <v>44958</v>
      </c>
      <c r="E165" s="53">
        <f t="shared" si="16"/>
        <v>2023</v>
      </c>
      <c r="F165" s="53">
        <f t="shared" si="18"/>
        <v>109</v>
      </c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  <c r="BT165" s="82"/>
      <c r="BU165" s="82"/>
      <c r="BV165" s="82"/>
      <c r="BW165" s="82"/>
      <c r="BX165" s="82"/>
      <c r="BY165" s="82"/>
      <c r="BZ165" s="82"/>
      <c r="CA165" s="82"/>
      <c r="CB165" s="82"/>
      <c r="CC165" s="82"/>
      <c r="CD165" s="82"/>
      <c r="CE165" s="82"/>
      <c r="CF165" s="82"/>
      <c r="CG165" s="82"/>
      <c r="CH165" s="82"/>
      <c r="CI165" s="82"/>
      <c r="CJ165" s="82"/>
      <c r="CK165" s="82"/>
      <c r="CL165" s="82"/>
      <c r="CM165" s="82"/>
      <c r="CN165" s="82"/>
      <c r="CO165" s="82"/>
      <c r="CP165" s="82"/>
      <c r="CQ165" s="82"/>
      <c r="CR165" s="82"/>
      <c r="CS165" s="82"/>
      <c r="CT165" s="82"/>
      <c r="CU165" s="82"/>
      <c r="CV165" s="82"/>
      <c r="CW165" s="82"/>
      <c r="CX165" s="82"/>
      <c r="CY165" s="82"/>
      <c r="CZ165" s="82"/>
      <c r="DA165" s="82"/>
      <c r="DB165" s="82"/>
      <c r="DC165" s="82"/>
      <c r="DD165" s="82"/>
      <c r="DE165" s="82"/>
      <c r="DF165" s="82"/>
      <c r="DG165" s="82"/>
      <c r="DH165" s="82"/>
      <c r="DI165" s="82"/>
      <c r="DJ165" s="82"/>
      <c r="DK165" s="82"/>
      <c r="DL165" s="82"/>
      <c r="DM165" s="82"/>
      <c r="DN165" s="82"/>
      <c r="DO165" s="82"/>
      <c r="DP165" s="82"/>
      <c r="DQ165" s="82"/>
      <c r="DR165" s="82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</row>
    <row r="166" spans="1:171" outlineLevel="1" x14ac:dyDescent="0.3">
      <c r="A166" s="13"/>
      <c r="B166" s="13"/>
      <c r="C166" s="13"/>
      <c r="D166" s="52">
        <f t="shared" si="17"/>
        <v>44986</v>
      </c>
      <c r="E166" s="53">
        <f t="shared" si="16"/>
        <v>2023</v>
      </c>
      <c r="F166" s="53">
        <f t="shared" si="18"/>
        <v>110</v>
      </c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/>
      <c r="CP166" s="82"/>
      <c r="CQ166" s="82"/>
      <c r="CR166" s="82"/>
      <c r="CS166" s="82"/>
      <c r="CT166" s="82"/>
      <c r="CU166" s="82"/>
      <c r="CV166" s="82"/>
      <c r="CW166" s="82"/>
      <c r="CX166" s="82"/>
      <c r="CY166" s="82"/>
      <c r="CZ166" s="82"/>
      <c r="DA166" s="82"/>
      <c r="DB166" s="82"/>
      <c r="DC166" s="82"/>
      <c r="DD166" s="82"/>
      <c r="DE166" s="82"/>
      <c r="DF166" s="82"/>
      <c r="DG166" s="82"/>
      <c r="DH166" s="82"/>
      <c r="DI166" s="82"/>
      <c r="DJ166" s="82"/>
      <c r="DK166" s="82"/>
      <c r="DL166" s="82"/>
      <c r="DM166" s="82"/>
      <c r="DN166" s="82"/>
      <c r="DO166" s="82"/>
      <c r="DP166" s="82"/>
      <c r="DQ166" s="82"/>
      <c r="DR166" s="82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</row>
    <row r="167" spans="1:171" outlineLevel="1" x14ac:dyDescent="0.3">
      <c r="A167" s="13"/>
      <c r="B167" s="13"/>
      <c r="C167" s="13"/>
      <c r="D167" s="52">
        <f t="shared" si="17"/>
        <v>45017</v>
      </c>
      <c r="E167" s="53">
        <f t="shared" si="16"/>
        <v>2023</v>
      </c>
      <c r="F167" s="53">
        <f t="shared" si="18"/>
        <v>111</v>
      </c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82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  <c r="DK167" s="82"/>
      <c r="DL167" s="82"/>
      <c r="DM167" s="82"/>
      <c r="DN167" s="82"/>
      <c r="DO167" s="82"/>
      <c r="DP167" s="82"/>
      <c r="DQ167" s="82"/>
      <c r="DR167" s="82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</row>
    <row r="168" spans="1:171" outlineLevel="1" x14ac:dyDescent="0.3">
      <c r="A168" s="13"/>
      <c r="B168" s="13"/>
      <c r="C168" s="13"/>
      <c r="D168" s="52">
        <f t="shared" si="17"/>
        <v>45047</v>
      </c>
      <c r="E168" s="53">
        <f t="shared" ref="E168:E199" si="19">+YEAR(D168)</f>
        <v>2023</v>
      </c>
      <c r="F168" s="53">
        <f t="shared" si="18"/>
        <v>112</v>
      </c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/>
      <c r="BX168" s="82"/>
      <c r="BY168" s="82"/>
      <c r="BZ168" s="82"/>
      <c r="CA168" s="82"/>
      <c r="CB168" s="82"/>
      <c r="CC168" s="82"/>
      <c r="CD168" s="82"/>
      <c r="CE168" s="82"/>
      <c r="CF168" s="82"/>
      <c r="CG168" s="82"/>
      <c r="CH168" s="82"/>
      <c r="CI168" s="82"/>
      <c r="CJ168" s="82"/>
      <c r="CK168" s="82"/>
      <c r="CL168" s="82"/>
      <c r="CM168" s="82"/>
      <c r="CN168" s="82"/>
      <c r="CO168" s="82"/>
      <c r="CP168" s="82"/>
      <c r="CQ168" s="82"/>
      <c r="CR168" s="82"/>
      <c r="CS168" s="82"/>
      <c r="CT168" s="82"/>
      <c r="CU168" s="82"/>
      <c r="CV168" s="82"/>
      <c r="CW168" s="82"/>
      <c r="CX168" s="82"/>
      <c r="CY168" s="82"/>
      <c r="CZ168" s="82"/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  <c r="DK168" s="82"/>
      <c r="DL168" s="82"/>
      <c r="DM168" s="82"/>
      <c r="DN168" s="82"/>
      <c r="DO168" s="82"/>
      <c r="DP168" s="82"/>
      <c r="DQ168" s="82"/>
      <c r="DR168" s="82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</row>
    <row r="169" spans="1:171" outlineLevel="1" x14ac:dyDescent="0.3">
      <c r="A169" s="13"/>
      <c r="B169" s="13"/>
      <c r="C169" s="13"/>
      <c r="D169" s="52">
        <f t="shared" si="17"/>
        <v>45078</v>
      </c>
      <c r="E169" s="53">
        <f t="shared" si="19"/>
        <v>2023</v>
      </c>
      <c r="F169" s="53">
        <f t="shared" si="18"/>
        <v>113</v>
      </c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82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  <c r="DK169" s="82"/>
      <c r="DL169" s="82"/>
      <c r="DM169" s="82"/>
      <c r="DN169" s="82"/>
      <c r="DO169" s="82"/>
      <c r="DP169" s="82"/>
      <c r="DQ169" s="82"/>
      <c r="DR169" s="82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</row>
    <row r="170" spans="1:171" outlineLevel="1" x14ac:dyDescent="0.3">
      <c r="A170" s="13"/>
      <c r="B170" s="13"/>
      <c r="C170" s="13"/>
      <c r="D170" s="52">
        <f t="shared" si="17"/>
        <v>45108</v>
      </c>
      <c r="E170" s="53">
        <f t="shared" si="19"/>
        <v>2023</v>
      </c>
      <c r="F170" s="53">
        <f t="shared" si="18"/>
        <v>114</v>
      </c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82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  <c r="DK170" s="82"/>
      <c r="DL170" s="82"/>
      <c r="DM170" s="82"/>
      <c r="DN170" s="82"/>
      <c r="DO170" s="82"/>
      <c r="DP170" s="82"/>
      <c r="DQ170" s="82"/>
      <c r="DR170" s="82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</row>
    <row r="171" spans="1:171" outlineLevel="1" x14ac:dyDescent="0.3">
      <c r="A171" s="13"/>
      <c r="B171" s="13"/>
      <c r="C171" s="13"/>
      <c r="D171" s="52">
        <f t="shared" si="17"/>
        <v>45139</v>
      </c>
      <c r="E171" s="53">
        <f t="shared" si="19"/>
        <v>2023</v>
      </c>
      <c r="F171" s="53">
        <f t="shared" si="18"/>
        <v>115</v>
      </c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82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  <c r="DK171" s="82"/>
      <c r="DL171" s="82"/>
      <c r="DM171" s="82"/>
      <c r="DN171" s="82"/>
      <c r="DO171" s="82"/>
      <c r="DP171" s="82"/>
      <c r="DQ171" s="82"/>
      <c r="DR171" s="82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</row>
    <row r="172" spans="1:171" x14ac:dyDescent="0.3">
      <c r="A172" s="13"/>
      <c r="B172" s="13"/>
      <c r="C172" s="13"/>
      <c r="D172" s="23"/>
      <c r="E172" s="2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</row>
    <row r="173" spans="1:171" x14ac:dyDescent="0.3">
      <c r="A173" s="13"/>
      <c r="B173" s="16" t="s">
        <v>0</v>
      </c>
      <c r="C173" s="16" t="s">
        <v>18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3"/>
    </row>
    <row r="174" spans="1:171" outlineLevel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</row>
    <row r="175" spans="1:171" outlineLevel="1" x14ac:dyDescent="0.3">
      <c r="A175" s="13"/>
      <c r="B175" s="13"/>
      <c r="C175" s="13"/>
      <c r="D175" s="18"/>
      <c r="E175" s="18"/>
      <c r="F175" s="49" t="s">
        <v>28</v>
      </c>
      <c r="G175" s="56">
        <v>1</v>
      </c>
      <c r="H175" s="57">
        <f t="shared" ref="H175:AM175" si="20">+G175+1</f>
        <v>2</v>
      </c>
      <c r="I175" s="57">
        <f t="shared" si="20"/>
        <v>3</v>
      </c>
      <c r="J175" s="57">
        <f t="shared" si="20"/>
        <v>4</v>
      </c>
      <c r="K175" s="57">
        <f t="shared" si="20"/>
        <v>5</v>
      </c>
      <c r="L175" s="57">
        <f t="shared" si="20"/>
        <v>6</v>
      </c>
      <c r="M175" s="57">
        <f t="shared" si="20"/>
        <v>7</v>
      </c>
      <c r="N175" s="57">
        <f t="shared" si="20"/>
        <v>8</v>
      </c>
      <c r="O175" s="57">
        <f t="shared" si="20"/>
        <v>9</v>
      </c>
      <c r="P175" s="57">
        <f t="shared" si="20"/>
        <v>10</v>
      </c>
      <c r="Q175" s="57">
        <f t="shared" si="20"/>
        <v>11</v>
      </c>
      <c r="R175" s="57">
        <f t="shared" si="20"/>
        <v>12</v>
      </c>
      <c r="S175" s="57">
        <f t="shared" si="20"/>
        <v>13</v>
      </c>
      <c r="T175" s="57">
        <f t="shared" si="20"/>
        <v>14</v>
      </c>
      <c r="U175" s="57">
        <f t="shared" si="20"/>
        <v>15</v>
      </c>
      <c r="V175" s="57">
        <f t="shared" si="20"/>
        <v>16</v>
      </c>
      <c r="W175" s="57">
        <f t="shared" si="20"/>
        <v>17</v>
      </c>
      <c r="X175" s="57">
        <f t="shared" si="20"/>
        <v>18</v>
      </c>
      <c r="Y175" s="57">
        <f t="shared" si="20"/>
        <v>19</v>
      </c>
      <c r="Z175" s="57">
        <f t="shared" si="20"/>
        <v>20</v>
      </c>
      <c r="AA175" s="57">
        <f t="shared" si="20"/>
        <v>21</v>
      </c>
      <c r="AB175" s="57">
        <f t="shared" si="20"/>
        <v>22</v>
      </c>
      <c r="AC175" s="57">
        <f t="shared" si="20"/>
        <v>23</v>
      </c>
      <c r="AD175" s="57">
        <f t="shared" si="20"/>
        <v>24</v>
      </c>
      <c r="AE175" s="57">
        <f t="shared" si="20"/>
        <v>25</v>
      </c>
      <c r="AF175" s="57">
        <f t="shared" si="20"/>
        <v>26</v>
      </c>
      <c r="AG175" s="57">
        <f t="shared" si="20"/>
        <v>27</v>
      </c>
      <c r="AH175" s="57">
        <f t="shared" si="20"/>
        <v>28</v>
      </c>
      <c r="AI175" s="57">
        <f t="shared" si="20"/>
        <v>29</v>
      </c>
      <c r="AJ175" s="57">
        <f t="shared" si="20"/>
        <v>30</v>
      </c>
      <c r="AK175" s="57">
        <f t="shared" si="20"/>
        <v>31</v>
      </c>
      <c r="AL175" s="57">
        <f t="shared" si="20"/>
        <v>32</v>
      </c>
      <c r="AM175" s="57">
        <f t="shared" si="20"/>
        <v>33</v>
      </c>
      <c r="AN175" s="57">
        <f t="shared" ref="AN175:BS175" si="21">+AM175+1</f>
        <v>34</v>
      </c>
      <c r="AO175" s="57">
        <f t="shared" si="21"/>
        <v>35</v>
      </c>
      <c r="AP175" s="57">
        <f t="shared" si="21"/>
        <v>36</v>
      </c>
      <c r="AQ175" s="57">
        <f t="shared" si="21"/>
        <v>37</v>
      </c>
      <c r="AR175" s="57">
        <f t="shared" si="21"/>
        <v>38</v>
      </c>
      <c r="AS175" s="57">
        <f t="shared" si="21"/>
        <v>39</v>
      </c>
      <c r="AT175" s="57">
        <f t="shared" si="21"/>
        <v>40</v>
      </c>
      <c r="AU175" s="57">
        <f t="shared" si="21"/>
        <v>41</v>
      </c>
      <c r="AV175" s="57">
        <f t="shared" si="21"/>
        <v>42</v>
      </c>
      <c r="AW175" s="57">
        <f t="shared" si="21"/>
        <v>43</v>
      </c>
      <c r="AX175" s="57">
        <f t="shared" si="21"/>
        <v>44</v>
      </c>
      <c r="AY175" s="57">
        <f t="shared" si="21"/>
        <v>45</v>
      </c>
      <c r="AZ175" s="57">
        <f t="shared" si="21"/>
        <v>46</v>
      </c>
      <c r="BA175" s="57">
        <f t="shared" si="21"/>
        <v>47</v>
      </c>
      <c r="BB175" s="57">
        <f t="shared" si="21"/>
        <v>48</v>
      </c>
      <c r="BC175" s="57">
        <f t="shared" si="21"/>
        <v>49</v>
      </c>
      <c r="BD175" s="57">
        <f t="shared" si="21"/>
        <v>50</v>
      </c>
      <c r="BE175" s="57">
        <f t="shared" si="21"/>
        <v>51</v>
      </c>
      <c r="BF175" s="57">
        <f t="shared" si="21"/>
        <v>52</v>
      </c>
      <c r="BG175" s="57">
        <f t="shared" si="21"/>
        <v>53</v>
      </c>
      <c r="BH175" s="57">
        <f t="shared" si="21"/>
        <v>54</v>
      </c>
      <c r="BI175" s="57">
        <f t="shared" si="21"/>
        <v>55</v>
      </c>
      <c r="BJ175" s="57">
        <f t="shared" si="21"/>
        <v>56</v>
      </c>
      <c r="BK175" s="57">
        <f t="shared" si="21"/>
        <v>57</v>
      </c>
      <c r="BL175" s="57">
        <f t="shared" si="21"/>
        <v>58</v>
      </c>
      <c r="BM175" s="57">
        <f t="shared" si="21"/>
        <v>59</v>
      </c>
      <c r="BN175" s="57">
        <f t="shared" si="21"/>
        <v>60</v>
      </c>
      <c r="BO175" s="57">
        <f t="shared" si="21"/>
        <v>61</v>
      </c>
      <c r="BP175" s="57">
        <f t="shared" si="21"/>
        <v>62</v>
      </c>
      <c r="BQ175" s="57">
        <f t="shared" si="21"/>
        <v>63</v>
      </c>
      <c r="BR175" s="57">
        <f t="shared" si="21"/>
        <v>64</v>
      </c>
      <c r="BS175" s="57">
        <f t="shared" si="21"/>
        <v>65</v>
      </c>
      <c r="BT175" s="57">
        <f t="shared" ref="BT175:CY175" si="22">+BS175+1</f>
        <v>66</v>
      </c>
      <c r="BU175" s="57">
        <f t="shared" si="22"/>
        <v>67</v>
      </c>
      <c r="BV175" s="57">
        <f t="shared" si="22"/>
        <v>68</v>
      </c>
      <c r="BW175" s="57">
        <f t="shared" si="22"/>
        <v>69</v>
      </c>
      <c r="BX175" s="57">
        <f t="shared" si="22"/>
        <v>70</v>
      </c>
      <c r="BY175" s="57">
        <f t="shared" si="22"/>
        <v>71</v>
      </c>
      <c r="BZ175" s="57">
        <f t="shared" si="22"/>
        <v>72</v>
      </c>
      <c r="CA175" s="57">
        <f t="shared" si="22"/>
        <v>73</v>
      </c>
      <c r="CB175" s="57">
        <f t="shared" si="22"/>
        <v>74</v>
      </c>
      <c r="CC175" s="57">
        <f t="shared" si="22"/>
        <v>75</v>
      </c>
      <c r="CD175" s="57">
        <f t="shared" si="22"/>
        <v>76</v>
      </c>
      <c r="CE175" s="57">
        <f t="shared" si="22"/>
        <v>77</v>
      </c>
      <c r="CF175" s="57">
        <f t="shared" si="22"/>
        <v>78</v>
      </c>
      <c r="CG175" s="57">
        <f t="shared" si="22"/>
        <v>79</v>
      </c>
      <c r="CH175" s="57">
        <f t="shared" si="22"/>
        <v>80</v>
      </c>
      <c r="CI175" s="57">
        <f t="shared" si="22"/>
        <v>81</v>
      </c>
      <c r="CJ175" s="57">
        <f t="shared" si="22"/>
        <v>82</v>
      </c>
      <c r="CK175" s="57">
        <f t="shared" si="22"/>
        <v>83</v>
      </c>
      <c r="CL175" s="57">
        <f t="shared" si="22"/>
        <v>84</v>
      </c>
      <c r="CM175" s="57">
        <f t="shared" si="22"/>
        <v>85</v>
      </c>
      <c r="CN175" s="57">
        <f t="shared" si="22"/>
        <v>86</v>
      </c>
      <c r="CO175" s="57">
        <f t="shared" si="22"/>
        <v>87</v>
      </c>
      <c r="CP175" s="57">
        <f t="shared" si="22"/>
        <v>88</v>
      </c>
      <c r="CQ175" s="57">
        <f t="shared" si="22"/>
        <v>89</v>
      </c>
      <c r="CR175" s="57">
        <f t="shared" si="22"/>
        <v>90</v>
      </c>
      <c r="CS175" s="57">
        <f t="shared" si="22"/>
        <v>91</v>
      </c>
      <c r="CT175" s="57">
        <f t="shared" si="22"/>
        <v>92</v>
      </c>
      <c r="CU175" s="57">
        <f t="shared" si="22"/>
        <v>93</v>
      </c>
      <c r="CV175" s="57">
        <f t="shared" si="22"/>
        <v>94</v>
      </c>
      <c r="CW175" s="57">
        <f t="shared" si="22"/>
        <v>95</v>
      </c>
      <c r="CX175" s="57">
        <f t="shared" si="22"/>
        <v>96</v>
      </c>
      <c r="CY175" s="57">
        <f t="shared" si="22"/>
        <v>97</v>
      </c>
      <c r="CZ175" s="57">
        <f t="shared" ref="CZ175:EE175" si="23">+CY175+1</f>
        <v>98</v>
      </c>
      <c r="DA175" s="57">
        <f t="shared" si="23"/>
        <v>99</v>
      </c>
      <c r="DB175" s="57">
        <f t="shared" si="23"/>
        <v>100</v>
      </c>
      <c r="DC175" s="57">
        <f t="shared" si="23"/>
        <v>101</v>
      </c>
      <c r="DD175" s="57">
        <f t="shared" si="23"/>
        <v>102</v>
      </c>
      <c r="DE175" s="57">
        <f t="shared" si="23"/>
        <v>103</v>
      </c>
      <c r="DF175" s="57">
        <f t="shared" si="23"/>
        <v>104</v>
      </c>
      <c r="DG175" s="57">
        <f t="shared" si="23"/>
        <v>105</v>
      </c>
      <c r="DH175" s="57">
        <f t="shared" si="23"/>
        <v>106</v>
      </c>
      <c r="DI175" s="57">
        <f t="shared" si="23"/>
        <v>107</v>
      </c>
      <c r="DJ175" s="57">
        <f t="shared" si="23"/>
        <v>108</v>
      </c>
      <c r="DK175" s="57">
        <f t="shared" si="23"/>
        <v>109</v>
      </c>
      <c r="DL175" s="57">
        <f t="shared" si="23"/>
        <v>110</v>
      </c>
      <c r="DM175" s="57">
        <f t="shared" si="23"/>
        <v>111</v>
      </c>
      <c r="DN175" s="57">
        <f t="shared" si="23"/>
        <v>112</v>
      </c>
      <c r="DO175" s="57">
        <f t="shared" si="23"/>
        <v>113</v>
      </c>
      <c r="DP175" s="57">
        <f t="shared" si="23"/>
        <v>114</v>
      </c>
      <c r="DQ175" s="57">
        <f t="shared" si="23"/>
        <v>115</v>
      </c>
      <c r="DR175" s="57">
        <f t="shared" si="23"/>
        <v>116</v>
      </c>
      <c r="DS175" s="57">
        <f t="shared" si="23"/>
        <v>117</v>
      </c>
      <c r="DT175" s="57">
        <f t="shared" si="23"/>
        <v>118</v>
      </c>
      <c r="DU175" s="57">
        <f t="shared" si="23"/>
        <v>119</v>
      </c>
      <c r="DV175" s="57">
        <f t="shared" si="23"/>
        <v>120</v>
      </c>
      <c r="DW175" s="57">
        <f t="shared" si="23"/>
        <v>121</v>
      </c>
      <c r="DX175" s="57">
        <f t="shared" si="23"/>
        <v>122</v>
      </c>
      <c r="DY175" s="57">
        <f t="shared" si="23"/>
        <v>123</v>
      </c>
      <c r="DZ175" s="57">
        <f t="shared" si="23"/>
        <v>124</v>
      </c>
      <c r="EA175" s="57">
        <f t="shared" si="23"/>
        <v>125</v>
      </c>
      <c r="EB175" s="57">
        <f t="shared" si="23"/>
        <v>126</v>
      </c>
      <c r="EC175" s="57">
        <f t="shared" si="23"/>
        <v>127</v>
      </c>
      <c r="ED175" s="57">
        <f t="shared" si="23"/>
        <v>128</v>
      </c>
      <c r="EE175" s="57">
        <f t="shared" si="23"/>
        <v>129</v>
      </c>
      <c r="EF175" s="57">
        <f t="shared" ref="EF175:FN175" si="24">+EE175+1</f>
        <v>130</v>
      </c>
      <c r="EG175" s="57">
        <f t="shared" si="24"/>
        <v>131</v>
      </c>
      <c r="EH175" s="57">
        <f t="shared" si="24"/>
        <v>132</v>
      </c>
      <c r="EI175" s="57">
        <f t="shared" si="24"/>
        <v>133</v>
      </c>
      <c r="EJ175" s="57">
        <f t="shared" si="24"/>
        <v>134</v>
      </c>
      <c r="EK175" s="57">
        <f t="shared" si="24"/>
        <v>135</v>
      </c>
      <c r="EL175" s="57">
        <f t="shared" si="24"/>
        <v>136</v>
      </c>
      <c r="EM175" s="57">
        <f t="shared" si="24"/>
        <v>137</v>
      </c>
      <c r="EN175" s="57">
        <f t="shared" si="24"/>
        <v>138</v>
      </c>
      <c r="EO175" s="57">
        <f t="shared" si="24"/>
        <v>139</v>
      </c>
      <c r="EP175" s="57">
        <f t="shared" si="24"/>
        <v>140</v>
      </c>
      <c r="EQ175" s="57">
        <f t="shared" si="24"/>
        <v>141</v>
      </c>
      <c r="ER175" s="57">
        <f t="shared" si="24"/>
        <v>142</v>
      </c>
      <c r="ES175" s="57">
        <f t="shared" si="24"/>
        <v>143</v>
      </c>
      <c r="ET175" s="57">
        <f t="shared" si="24"/>
        <v>144</v>
      </c>
      <c r="EU175" s="57">
        <f t="shared" si="24"/>
        <v>145</v>
      </c>
      <c r="EV175" s="57">
        <f t="shared" si="24"/>
        <v>146</v>
      </c>
      <c r="EW175" s="57">
        <f t="shared" si="24"/>
        <v>147</v>
      </c>
      <c r="EX175" s="57">
        <f t="shared" si="24"/>
        <v>148</v>
      </c>
      <c r="EY175" s="57">
        <f t="shared" si="24"/>
        <v>149</v>
      </c>
      <c r="EZ175" s="57">
        <f t="shared" si="24"/>
        <v>150</v>
      </c>
      <c r="FA175" s="57">
        <f t="shared" si="24"/>
        <v>151</v>
      </c>
      <c r="FB175" s="57">
        <f t="shared" si="24"/>
        <v>152</v>
      </c>
      <c r="FC175" s="57">
        <f t="shared" si="24"/>
        <v>153</v>
      </c>
      <c r="FD175" s="57">
        <f t="shared" si="24"/>
        <v>154</v>
      </c>
      <c r="FE175" s="57">
        <f t="shared" si="24"/>
        <v>155</v>
      </c>
      <c r="FF175" s="57">
        <f t="shared" si="24"/>
        <v>156</v>
      </c>
      <c r="FG175" s="57">
        <f t="shared" si="24"/>
        <v>157</v>
      </c>
      <c r="FH175" s="57">
        <f t="shared" si="24"/>
        <v>158</v>
      </c>
      <c r="FI175" s="57">
        <f t="shared" si="24"/>
        <v>159</v>
      </c>
      <c r="FJ175" s="57">
        <f t="shared" si="24"/>
        <v>160</v>
      </c>
      <c r="FK175" s="57">
        <f t="shared" si="24"/>
        <v>161</v>
      </c>
      <c r="FL175" s="57">
        <f t="shared" si="24"/>
        <v>162</v>
      </c>
      <c r="FM175" s="57">
        <f t="shared" si="24"/>
        <v>163</v>
      </c>
      <c r="FN175" s="57">
        <f t="shared" si="24"/>
        <v>164</v>
      </c>
      <c r="FO175" s="13"/>
    </row>
    <row r="176" spans="1:171" outlineLevel="1" x14ac:dyDescent="0.3">
      <c r="A176" s="13"/>
      <c r="B176" s="13"/>
      <c r="C176" s="13"/>
      <c r="D176" s="18"/>
      <c r="E176" s="18"/>
      <c r="F176" s="49" t="s">
        <v>10</v>
      </c>
      <c r="G176" s="57">
        <f t="shared" ref="G176:AL176" si="25">+ROUNDUP(G175/12,0)</f>
        <v>1</v>
      </c>
      <c r="H176" s="57">
        <f t="shared" si="25"/>
        <v>1</v>
      </c>
      <c r="I176" s="57">
        <f t="shared" si="25"/>
        <v>1</v>
      </c>
      <c r="J176" s="57">
        <f t="shared" si="25"/>
        <v>1</v>
      </c>
      <c r="K176" s="57">
        <f t="shared" si="25"/>
        <v>1</v>
      </c>
      <c r="L176" s="57">
        <f t="shared" si="25"/>
        <v>1</v>
      </c>
      <c r="M176" s="57">
        <f t="shared" si="25"/>
        <v>1</v>
      </c>
      <c r="N176" s="57">
        <f t="shared" si="25"/>
        <v>1</v>
      </c>
      <c r="O176" s="57">
        <f t="shared" si="25"/>
        <v>1</v>
      </c>
      <c r="P176" s="57">
        <f t="shared" si="25"/>
        <v>1</v>
      </c>
      <c r="Q176" s="57">
        <f t="shared" si="25"/>
        <v>1</v>
      </c>
      <c r="R176" s="57">
        <f t="shared" si="25"/>
        <v>1</v>
      </c>
      <c r="S176" s="57">
        <f t="shared" si="25"/>
        <v>2</v>
      </c>
      <c r="T176" s="57">
        <f t="shared" si="25"/>
        <v>2</v>
      </c>
      <c r="U176" s="57">
        <f t="shared" si="25"/>
        <v>2</v>
      </c>
      <c r="V176" s="57">
        <f t="shared" si="25"/>
        <v>2</v>
      </c>
      <c r="W176" s="57">
        <f t="shared" si="25"/>
        <v>2</v>
      </c>
      <c r="X176" s="57">
        <f t="shared" si="25"/>
        <v>2</v>
      </c>
      <c r="Y176" s="57">
        <f t="shared" si="25"/>
        <v>2</v>
      </c>
      <c r="Z176" s="57">
        <f t="shared" si="25"/>
        <v>2</v>
      </c>
      <c r="AA176" s="57">
        <f t="shared" si="25"/>
        <v>2</v>
      </c>
      <c r="AB176" s="57">
        <f t="shared" si="25"/>
        <v>2</v>
      </c>
      <c r="AC176" s="57">
        <f t="shared" si="25"/>
        <v>2</v>
      </c>
      <c r="AD176" s="57">
        <f t="shared" si="25"/>
        <v>2</v>
      </c>
      <c r="AE176" s="57">
        <f t="shared" si="25"/>
        <v>3</v>
      </c>
      <c r="AF176" s="57">
        <f t="shared" si="25"/>
        <v>3</v>
      </c>
      <c r="AG176" s="57">
        <f t="shared" si="25"/>
        <v>3</v>
      </c>
      <c r="AH176" s="57">
        <f t="shared" si="25"/>
        <v>3</v>
      </c>
      <c r="AI176" s="57">
        <f t="shared" si="25"/>
        <v>3</v>
      </c>
      <c r="AJ176" s="57">
        <f t="shared" si="25"/>
        <v>3</v>
      </c>
      <c r="AK176" s="57">
        <f t="shared" si="25"/>
        <v>3</v>
      </c>
      <c r="AL176" s="57">
        <f t="shared" si="25"/>
        <v>3</v>
      </c>
      <c r="AM176" s="57">
        <f t="shared" ref="AM176:BR176" si="26">+ROUNDUP(AM175/12,0)</f>
        <v>3</v>
      </c>
      <c r="AN176" s="57">
        <f t="shared" si="26"/>
        <v>3</v>
      </c>
      <c r="AO176" s="57">
        <f t="shared" si="26"/>
        <v>3</v>
      </c>
      <c r="AP176" s="57">
        <f t="shared" si="26"/>
        <v>3</v>
      </c>
      <c r="AQ176" s="57">
        <f t="shared" si="26"/>
        <v>4</v>
      </c>
      <c r="AR176" s="57">
        <f t="shared" si="26"/>
        <v>4</v>
      </c>
      <c r="AS176" s="57">
        <f t="shared" si="26"/>
        <v>4</v>
      </c>
      <c r="AT176" s="57">
        <f t="shared" si="26"/>
        <v>4</v>
      </c>
      <c r="AU176" s="57">
        <f t="shared" si="26"/>
        <v>4</v>
      </c>
      <c r="AV176" s="57">
        <f t="shared" si="26"/>
        <v>4</v>
      </c>
      <c r="AW176" s="57">
        <f t="shared" si="26"/>
        <v>4</v>
      </c>
      <c r="AX176" s="57">
        <f t="shared" si="26"/>
        <v>4</v>
      </c>
      <c r="AY176" s="57">
        <f t="shared" si="26"/>
        <v>4</v>
      </c>
      <c r="AZ176" s="57">
        <f t="shared" si="26"/>
        <v>4</v>
      </c>
      <c r="BA176" s="57">
        <f t="shared" si="26"/>
        <v>4</v>
      </c>
      <c r="BB176" s="57">
        <f t="shared" si="26"/>
        <v>4</v>
      </c>
      <c r="BC176" s="57">
        <f t="shared" si="26"/>
        <v>5</v>
      </c>
      <c r="BD176" s="57">
        <f t="shared" si="26"/>
        <v>5</v>
      </c>
      <c r="BE176" s="57">
        <f t="shared" si="26"/>
        <v>5</v>
      </c>
      <c r="BF176" s="57">
        <f t="shared" si="26"/>
        <v>5</v>
      </c>
      <c r="BG176" s="57">
        <f t="shared" si="26"/>
        <v>5</v>
      </c>
      <c r="BH176" s="57">
        <f t="shared" si="26"/>
        <v>5</v>
      </c>
      <c r="BI176" s="57">
        <f t="shared" si="26"/>
        <v>5</v>
      </c>
      <c r="BJ176" s="57">
        <f t="shared" si="26"/>
        <v>5</v>
      </c>
      <c r="BK176" s="57">
        <f t="shared" si="26"/>
        <v>5</v>
      </c>
      <c r="BL176" s="57">
        <f t="shared" si="26"/>
        <v>5</v>
      </c>
      <c r="BM176" s="57">
        <f t="shared" si="26"/>
        <v>5</v>
      </c>
      <c r="BN176" s="57">
        <f t="shared" si="26"/>
        <v>5</v>
      </c>
      <c r="BO176" s="57">
        <f t="shared" si="26"/>
        <v>6</v>
      </c>
      <c r="BP176" s="57">
        <f t="shared" si="26"/>
        <v>6</v>
      </c>
      <c r="BQ176" s="57">
        <f t="shared" si="26"/>
        <v>6</v>
      </c>
      <c r="BR176" s="57">
        <f t="shared" si="26"/>
        <v>6</v>
      </c>
      <c r="BS176" s="57">
        <f t="shared" ref="BS176:CX176" si="27">+ROUNDUP(BS175/12,0)</f>
        <v>6</v>
      </c>
      <c r="BT176" s="57">
        <f t="shared" si="27"/>
        <v>6</v>
      </c>
      <c r="BU176" s="57">
        <f t="shared" si="27"/>
        <v>6</v>
      </c>
      <c r="BV176" s="57">
        <f t="shared" si="27"/>
        <v>6</v>
      </c>
      <c r="BW176" s="57">
        <f t="shared" si="27"/>
        <v>6</v>
      </c>
      <c r="BX176" s="57">
        <f t="shared" si="27"/>
        <v>6</v>
      </c>
      <c r="BY176" s="57">
        <f t="shared" si="27"/>
        <v>6</v>
      </c>
      <c r="BZ176" s="57">
        <f t="shared" si="27"/>
        <v>6</v>
      </c>
      <c r="CA176" s="57">
        <f t="shared" si="27"/>
        <v>7</v>
      </c>
      <c r="CB176" s="57">
        <f t="shared" si="27"/>
        <v>7</v>
      </c>
      <c r="CC176" s="57">
        <f t="shared" si="27"/>
        <v>7</v>
      </c>
      <c r="CD176" s="57">
        <f t="shared" si="27"/>
        <v>7</v>
      </c>
      <c r="CE176" s="57">
        <f t="shared" si="27"/>
        <v>7</v>
      </c>
      <c r="CF176" s="57">
        <f t="shared" si="27"/>
        <v>7</v>
      </c>
      <c r="CG176" s="57">
        <f t="shared" si="27"/>
        <v>7</v>
      </c>
      <c r="CH176" s="57">
        <f t="shared" si="27"/>
        <v>7</v>
      </c>
      <c r="CI176" s="57">
        <f t="shared" si="27"/>
        <v>7</v>
      </c>
      <c r="CJ176" s="57">
        <f t="shared" si="27"/>
        <v>7</v>
      </c>
      <c r="CK176" s="57">
        <f t="shared" si="27"/>
        <v>7</v>
      </c>
      <c r="CL176" s="57">
        <f t="shared" si="27"/>
        <v>7</v>
      </c>
      <c r="CM176" s="57">
        <f t="shared" si="27"/>
        <v>8</v>
      </c>
      <c r="CN176" s="57">
        <f t="shared" si="27"/>
        <v>8</v>
      </c>
      <c r="CO176" s="57">
        <f t="shared" si="27"/>
        <v>8</v>
      </c>
      <c r="CP176" s="57">
        <f t="shared" si="27"/>
        <v>8</v>
      </c>
      <c r="CQ176" s="57">
        <f t="shared" si="27"/>
        <v>8</v>
      </c>
      <c r="CR176" s="57">
        <f t="shared" si="27"/>
        <v>8</v>
      </c>
      <c r="CS176" s="57">
        <f t="shared" si="27"/>
        <v>8</v>
      </c>
      <c r="CT176" s="57">
        <f t="shared" si="27"/>
        <v>8</v>
      </c>
      <c r="CU176" s="57">
        <f t="shared" si="27"/>
        <v>8</v>
      </c>
      <c r="CV176" s="57">
        <f t="shared" si="27"/>
        <v>8</v>
      </c>
      <c r="CW176" s="57">
        <f t="shared" si="27"/>
        <v>8</v>
      </c>
      <c r="CX176" s="57">
        <f t="shared" si="27"/>
        <v>8</v>
      </c>
      <c r="CY176" s="57">
        <f t="shared" ref="CY176:ED176" si="28">+ROUNDUP(CY175/12,0)</f>
        <v>9</v>
      </c>
      <c r="CZ176" s="57">
        <f t="shared" si="28"/>
        <v>9</v>
      </c>
      <c r="DA176" s="57">
        <f t="shared" si="28"/>
        <v>9</v>
      </c>
      <c r="DB176" s="57">
        <f t="shared" si="28"/>
        <v>9</v>
      </c>
      <c r="DC176" s="57">
        <f t="shared" si="28"/>
        <v>9</v>
      </c>
      <c r="DD176" s="57">
        <f t="shared" si="28"/>
        <v>9</v>
      </c>
      <c r="DE176" s="57">
        <f t="shared" si="28"/>
        <v>9</v>
      </c>
      <c r="DF176" s="57">
        <f t="shared" si="28"/>
        <v>9</v>
      </c>
      <c r="DG176" s="57">
        <f t="shared" si="28"/>
        <v>9</v>
      </c>
      <c r="DH176" s="57">
        <f t="shared" si="28"/>
        <v>9</v>
      </c>
      <c r="DI176" s="57">
        <f t="shared" si="28"/>
        <v>9</v>
      </c>
      <c r="DJ176" s="57">
        <f t="shared" si="28"/>
        <v>9</v>
      </c>
      <c r="DK176" s="57">
        <f t="shared" si="28"/>
        <v>10</v>
      </c>
      <c r="DL176" s="57">
        <f t="shared" si="28"/>
        <v>10</v>
      </c>
      <c r="DM176" s="57">
        <f t="shared" si="28"/>
        <v>10</v>
      </c>
      <c r="DN176" s="57">
        <f t="shared" si="28"/>
        <v>10</v>
      </c>
      <c r="DO176" s="57">
        <f t="shared" si="28"/>
        <v>10</v>
      </c>
      <c r="DP176" s="57">
        <f t="shared" si="28"/>
        <v>10</v>
      </c>
      <c r="DQ176" s="57">
        <f t="shared" si="28"/>
        <v>10</v>
      </c>
      <c r="DR176" s="57">
        <f t="shared" si="28"/>
        <v>10</v>
      </c>
      <c r="DS176" s="57">
        <f t="shared" si="28"/>
        <v>10</v>
      </c>
      <c r="DT176" s="57">
        <f t="shared" si="28"/>
        <v>10</v>
      </c>
      <c r="DU176" s="57">
        <f t="shared" si="28"/>
        <v>10</v>
      </c>
      <c r="DV176" s="57">
        <f t="shared" si="28"/>
        <v>10</v>
      </c>
      <c r="DW176" s="57">
        <f t="shared" si="28"/>
        <v>11</v>
      </c>
      <c r="DX176" s="57">
        <f t="shared" si="28"/>
        <v>11</v>
      </c>
      <c r="DY176" s="57">
        <f t="shared" si="28"/>
        <v>11</v>
      </c>
      <c r="DZ176" s="57">
        <f t="shared" si="28"/>
        <v>11</v>
      </c>
      <c r="EA176" s="57">
        <f t="shared" si="28"/>
        <v>11</v>
      </c>
      <c r="EB176" s="57">
        <f t="shared" si="28"/>
        <v>11</v>
      </c>
      <c r="EC176" s="57">
        <f t="shared" si="28"/>
        <v>11</v>
      </c>
      <c r="ED176" s="57">
        <f t="shared" si="28"/>
        <v>11</v>
      </c>
      <c r="EE176" s="57">
        <f t="shared" ref="EE176:FJ176" si="29">+ROUNDUP(EE175/12,0)</f>
        <v>11</v>
      </c>
      <c r="EF176" s="57">
        <f t="shared" si="29"/>
        <v>11</v>
      </c>
      <c r="EG176" s="57">
        <f t="shared" si="29"/>
        <v>11</v>
      </c>
      <c r="EH176" s="57">
        <f t="shared" si="29"/>
        <v>11</v>
      </c>
      <c r="EI176" s="57">
        <f t="shared" si="29"/>
        <v>12</v>
      </c>
      <c r="EJ176" s="57">
        <f t="shared" si="29"/>
        <v>12</v>
      </c>
      <c r="EK176" s="57">
        <f t="shared" si="29"/>
        <v>12</v>
      </c>
      <c r="EL176" s="57">
        <f t="shared" si="29"/>
        <v>12</v>
      </c>
      <c r="EM176" s="57">
        <f t="shared" si="29"/>
        <v>12</v>
      </c>
      <c r="EN176" s="57">
        <f t="shared" si="29"/>
        <v>12</v>
      </c>
      <c r="EO176" s="57">
        <f t="shared" si="29"/>
        <v>12</v>
      </c>
      <c r="EP176" s="57">
        <f t="shared" si="29"/>
        <v>12</v>
      </c>
      <c r="EQ176" s="57">
        <f t="shared" si="29"/>
        <v>12</v>
      </c>
      <c r="ER176" s="57">
        <f t="shared" si="29"/>
        <v>12</v>
      </c>
      <c r="ES176" s="57">
        <f t="shared" si="29"/>
        <v>12</v>
      </c>
      <c r="ET176" s="57">
        <f t="shared" si="29"/>
        <v>12</v>
      </c>
      <c r="EU176" s="57">
        <f t="shared" si="29"/>
        <v>13</v>
      </c>
      <c r="EV176" s="57">
        <f t="shared" si="29"/>
        <v>13</v>
      </c>
      <c r="EW176" s="57">
        <f t="shared" si="29"/>
        <v>13</v>
      </c>
      <c r="EX176" s="57">
        <f t="shared" si="29"/>
        <v>13</v>
      </c>
      <c r="EY176" s="57">
        <f t="shared" si="29"/>
        <v>13</v>
      </c>
      <c r="EZ176" s="57">
        <f t="shared" si="29"/>
        <v>13</v>
      </c>
      <c r="FA176" s="57">
        <f t="shared" si="29"/>
        <v>13</v>
      </c>
      <c r="FB176" s="57">
        <f t="shared" si="29"/>
        <v>13</v>
      </c>
      <c r="FC176" s="57">
        <f t="shared" si="29"/>
        <v>13</v>
      </c>
      <c r="FD176" s="57">
        <f t="shared" si="29"/>
        <v>13</v>
      </c>
      <c r="FE176" s="57">
        <f t="shared" si="29"/>
        <v>13</v>
      </c>
      <c r="FF176" s="57">
        <f t="shared" si="29"/>
        <v>13</v>
      </c>
      <c r="FG176" s="57">
        <f t="shared" si="29"/>
        <v>14</v>
      </c>
      <c r="FH176" s="57">
        <f t="shared" si="29"/>
        <v>14</v>
      </c>
      <c r="FI176" s="57">
        <f t="shared" si="29"/>
        <v>14</v>
      </c>
      <c r="FJ176" s="57">
        <f t="shared" si="29"/>
        <v>14</v>
      </c>
      <c r="FK176" s="57">
        <f t="shared" ref="FK176:GP176" si="30">+ROUNDUP(FK175/12,0)</f>
        <v>14</v>
      </c>
      <c r="FL176" s="57">
        <f t="shared" si="30"/>
        <v>14</v>
      </c>
      <c r="FM176" s="57">
        <f t="shared" si="30"/>
        <v>14</v>
      </c>
      <c r="FN176" s="57">
        <f t="shared" si="30"/>
        <v>14</v>
      </c>
      <c r="FO176" s="13"/>
    </row>
    <row r="177" spans="1:171" ht="17.399999999999999" outlineLevel="1" x14ac:dyDescent="0.45">
      <c r="A177" s="24"/>
      <c r="B177" s="24"/>
      <c r="C177" s="24"/>
      <c r="D177" s="51" t="s">
        <v>23</v>
      </c>
      <c r="E177" s="51" t="s">
        <v>1</v>
      </c>
      <c r="F177" s="51" t="s">
        <v>3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13"/>
    </row>
    <row r="178" spans="1:171" outlineLevel="1" x14ac:dyDescent="0.3">
      <c r="A178" s="13"/>
      <c r="B178" s="13"/>
      <c r="C178" s="13"/>
      <c r="D178" s="52">
        <f t="shared" ref="D178:D209" si="31">+D8</f>
        <v>40179</v>
      </c>
      <c r="E178" s="53">
        <f t="shared" ref="E178:E209" si="32">+YEAR(D178)</f>
        <v>2010</v>
      </c>
      <c r="F178" s="53">
        <f t="shared" ref="F178:F209" si="33">+F8</f>
        <v>-48</v>
      </c>
      <c r="G178" s="58">
        <f t="shared" ref="G178:AL178" ca="1" si="34">+IF(OR($F178+G$175&lt;1,(G$176-1)*12&lt;-$F178),0,OFFSET(G8,0,$F178))</f>
        <v>0</v>
      </c>
      <c r="H178" s="58">
        <f t="shared" ca="1" si="34"/>
        <v>0</v>
      </c>
      <c r="I178" s="58">
        <f t="shared" ca="1" si="34"/>
        <v>0</v>
      </c>
      <c r="J178" s="58">
        <f t="shared" ca="1" si="34"/>
        <v>0</v>
      </c>
      <c r="K178" s="58">
        <f t="shared" ca="1" si="34"/>
        <v>0</v>
      </c>
      <c r="L178" s="58">
        <f t="shared" ca="1" si="34"/>
        <v>0</v>
      </c>
      <c r="M178" s="58">
        <f t="shared" ca="1" si="34"/>
        <v>0</v>
      </c>
      <c r="N178" s="58">
        <f t="shared" ca="1" si="34"/>
        <v>0</v>
      </c>
      <c r="O178" s="58">
        <f t="shared" ca="1" si="34"/>
        <v>0</v>
      </c>
      <c r="P178" s="58">
        <f t="shared" ca="1" si="34"/>
        <v>0</v>
      </c>
      <c r="Q178" s="58">
        <f t="shared" ca="1" si="34"/>
        <v>0</v>
      </c>
      <c r="R178" s="58">
        <f t="shared" ca="1" si="34"/>
        <v>0</v>
      </c>
      <c r="S178" s="58">
        <f t="shared" ca="1" si="34"/>
        <v>0</v>
      </c>
      <c r="T178" s="58">
        <f t="shared" ca="1" si="34"/>
        <v>0</v>
      </c>
      <c r="U178" s="58">
        <f t="shared" ca="1" si="34"/>
        <v>0</v>
      </c>
      <c r="V178" s="58">
        <f t="shared" ca="1" si="34"/>
        <v>0</v>
      </c>
      <c r="W178" s="58">
        <f t="shared" ca="1" si="34"/>
        <v>0</v>
      </c>
      <c r="X178" s="58">
        <f t="shared" ca="1" si="34"/>
        <v>0</v>
      </c>
      <c r="Y178" s="58">
        <f t="shared" ca="1" si="34"/>
        <v>0</v>
      </c>
      <c r="Z178" s="58">
        <f t="shared" ca="1" si="34"/>
        <v>0</v>
      </c>
      <c r="AA178" s="58">
        <f t="shared" ca="1" si="34"/>
        <v>0</v>
      </c>
      <c r="AB178" s="58">
        <f t="shared" ca="1" si="34"/>
        <v>0</v>
      </c>
      <c r="AC178" s="58">
        <f t="shared" ca="1" si="34"/>
        <v>0</v>
      </c>
      <c r="AD178" s="58">
        <f t="shared" ca="1" si="34"/>
        <v>0</v>
      </c>
      <c r="AE178" s="58">
        <f t="shared" ca="1" si="34"/>
        <v>0</v>
      </c>
      <c r="AF178" s="58">
        <f t="shared" ca="1" si="34"/>
        <v>0</v>
      </c>
      <c r="AG178" s="58">
        <f t="shared" ca="1" si="34"/>
        <v>0</v>
      </c>
      <c r="AH178" s="58">
        <f t="shared" ca="1" si="34"/>
        <v>0</v>
      </c>
      <c r="AI178" s="58">
        <f t="shared" ca="1" si="34"/>
        <v>0</v>
      </c>
      <c r="AJ178" s="58">
        <f t="shared" ca="1" si="34"/>
        <v>0</v>
      </c>
      <c r="AK178" s="58">
        <f t="shared" ca="1" si="34"/>
        <v>0</v>
      </c>
      <c r="AL178" s="58">
        <f t="shared" ca="1" si="34"/>
        <v>0</v>
      </c>
      <c r="AM178" s="58">
        <f t="shared" ref="AM178:BR178" ca="1" si="35">+IF(OR($F178+AM$175&lt;1,(AM$176-1)*12&lt;-$F178),0,OFFSET(AM8,0,$F178))</f>
        <v>0</v>
      </c>
      <c r="AN178" s="58">
        <f t="shared" ca="1" si="35"/>
        <v>0</v>
      </c>
      <c r="AO178" s="58">
        <f t="shared" ca="1" si="35"/>
        <v>0</v>
      </c>
      <c r="AP178" s="58">
        <f t="shared" ca="1" si="35"/>
        <v>0</v>
      </c>
      <c r="AQ178" s="58">
        <f t="shared" ca="1" si="35"/>
        <v>0</v>
      </c>
      <c r="AR178" s="58">
        <f t="shared" ca="1" si="35"/>
        <v>0</v>
      </c>
      <c r="AS178" s="58">
        <f t="shared" ca="1" si="35"/>
        <v>0</v>
      </c>
      <c r="AT178" s="58">
        <f t="shared" ca="1" si="35"/>
        <v>0</v>
      </c>
      <c r="AU178" s="58">
        <f t="shared" ca="1" si="35"/>
        <v>0</v>
      </c>
      <c r="AV178" s="58">
        <f t="shared" ca="1" si="35"/>
        <v>0</v>
      </c>
      <c r="AW178" s="58">
        <f t="shared" ca="1" si="35"/>
        <v>0</v>
      </c>
      <c r="AX178" s="58">
        <f t="shared" ca="1" si="35"/>
        <v>0</v>
      </c>
      <c r="AY178" s="58">
        <f t="shared" ca="1" si="35"/>
        <v>0</v>
      </c>
      <c r="AZ178" s="58">
        <f t="shared" ca="1" si="35"/>
        <v>0</v>
      </c>
      <c r="BA178" s="58">
        <f t="shared" ca="1" si="35"/>
        <v>0</v>
      </c>
      <c r="BB178" s="58">
        <f t="shared" ca="1" si="35"/>
        <v>0</v>
      </c>
      <c r="BC178" s="58">
        <f t="shared" ca="1" si="35"/>
        <v>0</v>
      </c>
      <c r="BD178" s="58">
        <f t="shared" ca="1" si="35"/>
        <v>0</v>
      </c>
      <c r="BE178" s="58">
        <f t="shared" ca="1" si="35"/>
        <v>0</v>
      </c>
      <c r="BF178" s="58">
        <f t="shared" ca="1" si="35"/>
        <v>0</v>
      </c>
      <c r="BG178" s="58">
        <f t="shared" ca="1" si="35"/>
        <v>0</v>
      </c>
      <c r="BH178" s="58">
        <f t="shared" ca="1" si="35"/>
        <v>0</v>
      </c>
      <c r="BI178" s="58">
        <f t="shared" ca="1" si="35"/>
        <v>0</v>
      </c>
      <c r="BJ178" s="58">
        <f t="shared" ca="1" si="35"/>
        <v>0</v>
      </c>
      <c r="BK178" s="58">
        <f t="shared" ca="1" si="35"/>
        <v>0</v>
      </c>
      <c r="BL178" s="58">
        <f t="shared" ca="1" si="35"/>
        <v>0</v>
      </c>
      <c r="BM178" s="58">
        <f t="shared" ca="1" si="35"/>
        <v>0</v>
      </c>
      <c r="BN178" s="58">
        <f t="shared" ca="1" si="35"/>
        <v>0</v>
      </c>
      <c r="BO178" s="58">
        <f t="shared" ca="1" si="35"/>
        <v>0</v>
      </c>
      <c r="BP178" s="58">
        <f t="shared" ca="1" si="35"/>
        <v>0</v>
      </c>
      <c r="BQ178" s="58">
        <f t="shared" ca="1" si="35"/>
        <v>0</v>
      </c>
      <c r="BR178" s="58">
        <f t="shared" ca="1" si="35"/>
        <v>0</v>
      </c>
      <c r="BS178" s="58">
        <f t="shared" ref="BS178:CX178" ca="1" si="36">+IF(OR($F178+BS$175&lt;1,(BS$176-1)*12&lt;-$F178),0,OFFSET(BS8,0,$F178))</f>
        <v>0</v>
      </c>
      <c r="BT178" s="58">
        <f t="shared" ca="1" si="36"/>
        <v>0</v>
      </c>
      <c r="BU178" s="58">
        <f t="shared" ca="1" si="36"/>
        <v>0</v>
      </c>
      <c r="BV178" s="58">
        <f t="shared" ca="1" si="36"/>
        <v>0</v>
      </c>
      <c r="BW178" s="58">
        <f t="shared" ca="1" si="36"/>
        <v>0</v>
      </c>
      <c r="BX178" s="58">
        <f t="shared" ca="1" si="36"/>
        <v>0</v>
      </c>
      <c r="BY178" s="58">
        <f t="shared" ca="1" si="36"/>
        <v>0</v>
      </c>
      <c r="BZ178" s="58">
        <f t="shared" ca="1" si="36"/>
        <v>0</v>
      </c>
      <c r="CA178" s="58">
        <f t="shared" ca="1" si="36"/>
        <v>0</v>
      </c>
      <c r="CB178" s="58">
        <f t="shared" ca="1" si="36"/>
        <v>0</v>
      </c>
      <c r="CC178" s="58">
        <f t="shared" ca="1" si="36"/>
        <v>0</v>
      </c>
      <c r="CD178" s="58">
        <f t="shared" ca="1" si="36"/>
        <v>0</v>
      </c>
      <c r="CE178" s="58">
        <f t="shared" ca="1" si="36"/>
        <v>0</v>
      </c>
      <c r="CF178" s="58">
        <f t="shared" ca="1" si="36"/>
        <v>0</v>
      </c>
      <c r="CG178" s="58">
        <f t="shared" ca="1" si="36"/>
        <v>0</v>
      </c>
      <c r="CH178" s="58">
        <f t="shared" ca="1" si="36"/>
        <v>0</v>
      </c>
      <c r="CI178" s="58">
        <f t="shared" ca="1" si="36"/>
        <v>0</v>
      </c>
      <c r="CJ178" s="58">
        <f t="shared" ca="1" si="36"/>
        <v>0</v>
      </c>
      <c r="CK178" s="58">
        <f t="shared" ca="1" si="36"/>
        <v>0</v>
      </c>
      <c r="CL178" s="58">
        <f t="shared" ca="1" si="36"/>
        <v>0</v>
      </c>
      <c r="CM178" s="58">
        <f t="shared" ca="1" si="36"/>
        <v>0</v>
      </c>
      <c r="CN178" s="58">
        <f t="shared" ca="1" si="36"/>
        <v>0</v>
      </c>
      <c r="CO178" s="58">
        <f t="shared" ca="1" si="36"/>
        <v>0</v>
      </c>
      <c r="CP178" s="58">
        <f t="shared" ca="1" si="36"/>
        <v>0</v>
      </c>
      <c r="CQ178" s="58">
        <f t="shared" ca="1" si="36"/>
        <v>0</v>
      </c>
      <c r="CR178" s="58">
        <f t="shared" ca="1" si="36"/>
        <v>0</v>
      </c>
      <c r="CS178" s="58">
        <f t="shared" ca="1" si="36"/>
        <v>0</v>
      </c>
      <c r="CT178" s="58">
        <f t="shared" ca="1" si="36"/>
        <v>0</v>
      </c>
      <c r="CU178" s="58">
        <f t="shared" ca="1" si="36"/>
        <v>0</v>
      </c>
      <c r="CV178" s="58">
        <f t="shared" ca="1" si="36"/>
        <v>0</v>
      </c>
      <c r="CW178" s="58">
        <f t="shared" ca="1" si="36"/>
        <v>0</v>
      </c>
      <c r="CX178" s="58">
        <f t="shared" ca="1" si="36"/>
        <v>0</v>
      </c>
      <c r="CY178" s="58">
        <f t="shared" ref="CY178:ED178" ca="1" si="37">+IF(OR($F178+CY$175&lt;1,(CY$176-1)*12&lt;-$F178),0,OFFSET(CY8,0,$F178))</f>
        <v>0</v>
      </c>
      <c r="CZ178" s="58">
        <f t="shared" ca="1" si="37"/>
        <v>0</v>
      </c>
      <c r="DA178" s="58">
        <f t="shared" ca="1" si="37"/>
        <v>0</v>
      </c>
      <c r="DB178" s="58">
        <f t="shared" ca="1" si="37"/>
        <v>0</v>
      </c>
      <c r="DC178" s="58">
        <f t="shared" ca="1" si="37"/>
        <v>0</v>
      </c>
      <c r="DD178" s="58">
        <f t="shared" ca="1" si="37"/>
        <v>0</v>
      </c>
      <c r="DE178" s="58">
        <f t="shared" ca="1" si="37"/>
        <v>0</v>
      </c>
      <c r="DF178" s="58">
        <f t="shared" ca="1" si="37"/>
        <v>0</v>
      </c>
      <c r="DG178" s="58">
        <f t="shared" ca="1" si="37"/>
        <v>0</v>
      </c>
      <c r="DH178" s="58">
        <f t="shared" ca="1" si="37"/>
        <v>0</v>
      </c>
      <c r="DI178" s="58">
        <f t="shared" ca="1" si="37"/>
        <v>0</v>
      </c>
      <c r="DJ178" s="58">
        <f t="shared" ca="1" si="37"/>
        <v>0</v>
      </c>
      <c r="DK178" s="58">
        <f t="shared" ca="1" si="37"/>
        <v>0</v>
      </c>
      <c r="DL178" s="58">
        <f t="shared" ca="1" si="37"/>
        <v>0</v>
      </c>
      <c r="DM178" s="58">
        <f t="shared" ca="1" si="37"/>
        <v>0</v>
      </c>
      <c r="DN178" s="58">
        <f t="shared" ca="1" si="37"/>
        <v>0</v>
      </c>
      <c r="DO178" s="58">
        <f t="shared" ca="1" si="37"/>
        <v>0</v>
      </c>
      <c r="DP178" s="58">
        <f t="shared" ca="1" si="37"/>
        <v>0</v>
      </c>
      <c r="DQ178" s="58">
        <f t="shared" ca="1" si="37"/>
        <v>0</v>
      </c>
      <c r="DR178" s="58">
        <f t="shared" ca="1" si="37"/>
        <v>0</v>
      </c>
      <c r="DS178" s="58">
        <f t="shared" ca="1" si="37"/>
        <v>0</v>
      </c>
      <c r="DT178" s="58">
        <f t="shared" ca="1" si="37"/>
        <v>0</v>
      </c>
      <c r="DU178" s="58">
        <f t="shared" ca="1" si="37"/>
        <v>0</v>
      </c>
      <c r="DV178" s="58">
        <f t="shared" ca="1" si="37"/>
        <v>0</v>
      </c>
      <c r="DW178" s="58">
        <f t="shared" ca="1" si="37"/>
        <v>0</v>
      </c>
      <c r="DX178" s="58">
        <f t="shared" ca="1" si="37"/>
        <v>0</v>
      </c>
      <c r="DY178" s="58">
        <f t="shared" ca="1" si="37"/>
        <v>0</v>
      </c>
      <c r="DZ178" s="58">
        <f t="shared" ca="1" si="37"/>
        <v>0</v>
      </c>
      <c r="EA178" s="58">
        <f t="shared" ca="1" si="37"/>
        <v>0</v>
      </c>
      <c r="EB178" s="58">
        <f t="shared" ca="1" si="37"/>
        <v>0</v>
      </c>
      <c r="EC178" s="58">
        <f t="shared" ca="1" si="37"/>
        <v>0</v>
      </c>
      <c r="ED178" s="58">
        <f t="shared" ca="1" si="37"/>
        <v>0</v>
      </c>
      <c r="EE178" s="58">
        <f t="shared" ref="EE178:FN178" ca="1" si="38">+IF(OR($F178+EE$175&lt;1,(EE$176-1)*12&lt;-$F178),0,OFFSET(EE8,0,$F178))</f>
        <v>0</v>
      </c>
      <c r="EF178" s="58">
        <f t="shared" ca="1" si="38"/>
        <v>0</v>
      </c>
      <c r="EG178" s="58">
        <f t="shared" ca="1" si="38"/>
        <v>0</v>
      </c>
      <c r="EH178" s="58">
        <f t="shared" ca="1" si="38"/>
        <v>0</v>
      </c>
      <c r="EI178" s="58">
        <f t="shared" ca="1" si="38"/>
        <v>0</v>
      </c>
      <c r="EJ178" s="58">
        <f t="shared" ca="1" si="38"/>
        <v>0</v>
      </c>
      <c r="EK178" s="58">
        <f t="shared" ca="1" si="38"/>
        <v>0</v>
      </c>
      <c r="EL178" s="58">
        <f t="shared" ca="1" si="38"/>
        <v>0</v>
      </c>
      <c r="EM178" s="58">
        <f t="shared" ca="1" si="38"/>
        <v>0</v>
      </c>
      <c r="EN178" s="58">
        <f t="shared" ca="1" si="38"/>
        <v>0</v>
      </c>
      <c r="EO178" s="58">
        <f t="shared" ca="1" si="38"/>
        <v>0</v>
      </c>
      <c r="EP178" s="58">
        <f t="shared" ca="1" si="38"/>
        <v>0</v>
      </c>
      <c r="EQ178" s="58">
        <f t="shared" ca="1" si="38"/>
        <v>0</v>
      </c>
      <c r="ER178" s="58">
        <f t="shared" ca="1" si="38"/>
        <v>0</v>
      </c>
      <c r="ES178" s="58">
        <f t="shared" ca="1" si="38"/>
        <v>0</v>
      </c>
      <c r="ET178" s="58">
        <f t="shared" ca="1" si="38"/>
        <v>0</v>
      </c>
      <c r="EU178" s="58">
        <f t="shared" ca="1" si="38"/>
        <v>0</v>
      </c>
      <c r="EV178" s="58">
        <f t="shared" ca="1" si="38"/>
        <v>0</v>
      </c>
      <c r="EW178" s="58">
        <f t="shared" ca="1" si="38"/>
        <v>0</v>
      </c>
      <c r="EX178" s="58">
        <f t="shared" ca="1" si="38"/>
        <v>0</v>
      </c>
      <c r="EY178" s="58">
        <f t="shared" ca="1" si="38"/>
        <v>0</v>
      </c>
      <c r="EZ178" s="58">
        <f t="shared" ca="1" si="38"/>
        <v>0</v>
      </c>
      <c r="FA178" s="58">
        <f t="shared" ca="1" si="38"/>
        <v>0</v>
      </c>
      <c r="FB178" s="58">
        <f t="shared" ca="1" si="38"/>
        <v>0</v>
      </c>
      <c r="FC178" s="58">
        <f t="shared" ca="1" si="38"/>
        <v>0</v>
      </c>
      <c r="FD178" s="58">
        <f t="shared" ca="1" si="38"/>
        <v>0</v>
      </c>
      <c r="FE178" s="58">
        <f t="shared" ca="1" si="38"/>
        <v>0</v>
      </c>
      <c r="FF178" s="58">
        <f t="shared" ca="1" si="38"/>
        <v>0</v>
      </c>
      <c r="FG178" s="58">
        <f t="shared" ca="1" si="38"/>
        <v>0</v>
      </c>
      <c r="FH178" s="58">
        <f t="shared" ca="1" si="38"/>
        <v>0</v>
      </c>
      <c r="FI178" s="58">
        <f t="shared" ca="1" si="38"/>
        <v>0</v>
      </c>
      <c r="FJ178" s="58">
        <f t="shared" ca="1" si="38"/>
        <v>0</v>
      </c>
      <c r="FK178" s="58">
        <f t="shared" ca="1" si="38"/>
        <v>0</v>
      </c>
      <c r="FL178" s="58">
        <f t="shared" ca="1" si="38"/>
        <v>0</v>
      </c>
      <c r="FM178" s="58">
        <f t="shared" ca="1" si="38"/>
        <v>0</v>
      </c>
      <c r="FN178" s="58">
        <f t="shared" ca="1" si="38"/>
        <v>0</v>
      </c>
      <c r="FO178" s="13"/>
    </row>
    <row r="179" spans="1:171" outlineLevel="1" x14ac:dyDescent="0.3">
      <c r="A179" s="13"/>
      <c r="B179" s="13"/>
      <c r="C179" s="13"/>
      <c r="D179" s="52">
        <f t="shared" si="31"/>
        <v>40210</v>
      </c>
      <c r="E179" s="53">
        <f t="shared" si="32"/>
        <v>2010</v>
      </c>
      <c r="F179" s="53">
        <f t="shared" si="33"/>
        <v>-47</v>
      </c>
      <c r="G179" s="58">
        <f t="shared" ref="G179:AL179" ca="1" si="39">+IF(OR($F179+G$175&lt;1,(G$176-1)*12&lt;-$F179),0,OFFSET(G9,0,$F179))</f>
        <v>0</v>
      </c>
      <c r="H179" s="58">
        <f t="shared" ca="1" si="39"/>
        <v>0</v>
      </c>
      <c r="I179" s="58">
        <f t="shared" ca="1" si="39"/>
        <v>0</v>
      </c>
      <c r="J179" s="58">
        <f t="shared" ca="1" si="39"/>
        <v>0</v>
      </c>
      <c r="K179" s="58">
        <f t="shared" ca="1" si="39"/>
        <v>0</v>
      </c>
      <c r="L179" s="58">
        <f t="shared" ca="1" si="39"/>
        <v>0</v>
      </c>
      <c r="M179" s="58">
        <f t="shared" ca="1" si="39"/>
        <v>0</v>
      </c>
      <c r="N179" s="58">
        <f t="shared" ca="1" si="39"/>
        <v>0</v>
      </c>
      <c r="O179" s="58">
        <f t="shared" ca="1" si="39"/>
        <v>0</v>
      </c>
      <c r="P179" s="58">
        <f t="shared" ca="1" si="39"/>
        <v>0</v>
      </c>
      <c r="Q179" s="58">
        <f t="shared" ca="1" si="39"/>
        <v>0</v>
      </c>
      <c r="R179" s="58">
        <f t="shared" ca="1" si="39"/>
        <v>0</v>
      </c>
      <c r="S179" s="58">
        <f t="shared" ca="1" si="39"/>
        <v>0</v>
      </c>
      <c r="T179" s="58">
        <f t="shared" ca="1" si="39"/>
        <v>0</v>
      </c>
      <c r="U179" s="58">
        <f t="shared" ca="1" si="39"/>
        <v>0</v>
      </c>
      <c r="V179" s="58">
        <f t="shared" ca="1" si="39"/>
        <v>0</v>
      </c>
      <c r="W179" s="58">
        <f t="shared" ca="1" si="39"/>
        <v>0</v>
      </c>
      <c r="X179" s="58">
        <f t="shared" ca="1" si="39"/>
        <v>0</v>
      </c>
      <c r="Y179" s="58">
        <f t="shared" ca="1" si="39"/>
        <v>0</v>
      </c>
      <c r="Z179" s="58">
        <f t="shared" ca="1" si="39"/>
        <v>0</v>
      </c>
      <c r="AA179" s="58">
        <f t="shared" ca="1" si="39"/>
        <v>0</v>
      </c>
      <c r="AB179" s="58">
        <f t="shared" ca="1" si="39"/>
        <v>0</v>
      </c>
      <c r="AC179" s="58">
        <f t="shared" ca="1" si="39"/>
        <v>0</v>
      </c>
      <c r="AD179" s="58">
        <f t="shared" ca="1" si="39"/>
        <v>0</v>
      </c>
      <c r="AE179" s="58">
        <f t="shared" ca="1" si="39"/>
        <v>0</v>
      </c>
      <c r="AF179" s="58">
        <f t="shared" ca="1" si="39"/>
        <v>0</v>
      </c>
      <c r="AG179" s="58">
        <f t="shared" ca="1" si="39"/>
        <v>0</v>
      </c>
      <c r="AH179" s="58">
        <f t="shared" ca="1" si="39"/>
        <v>0</v>
      </c>
      <c r="AI179" s="58">
        <f t="shared" ca="1" si="39"/>
        <v>0</v>
      </c>
      <c r="AJ179" s="58">
        <f t="shared" ca="1" si="39"/>
        <v>0</v>
      </c>
      <c r="AK179" s="58">
        <f t="shared" ca="1" si="39"/>
        <v>0</v>
      </c>
      <c r="AL179" s="58">
        <f t="shared" ca="1" si="39"/>
        <v>0</v>
      </c>
      <c r="AM179" s="58">
        <f t="shared" ref="AM179:BR179" ca="1" si="40">+IF(OR($F179+AM$175&lt;1,(AM$176-1)*12&lt;-$F179),0,OFFSET(AM9,0,$F179))</f>
        <v>0</v>
      </c>
      <c r="AN179" s="58">
        <f t="shared" ca="1" si="40"/>
        <v>0</v>
      </c>
      <c r="AO179" s="58">
        <f t="shared" ca="1" si="40"/>
        <v>0</v>
      </c>
      <c r="AP179" s="58">
        <f t="shared" ca="1" si="40"/>
        <v>0</v>
      </c>
      <c r="AQ179" s="58">
        <f t="shared" ca="1" si="40"/>
        <v>0</v>
      </c>
      <c r="AR179" s="58">
        <f t="shared" ca="1" si="40"/>
        <v>0</v>
      </c>
      <c r="AS179" s="58">
        <f t="shared" ca="1" si="40"/>
        <v>0</v>
      </c>
      <c r="AT179" s="58">
        <f t="shared" ca="1" si="40"/>
        <v>0</v>
      </c>
      <c r="AU179" s="58">
        <f t="shared" ca="1" si="40"/>
        <v>0</v>
      </c>
      <c r="AV179" s="58">
        <f t="shared" ca="1" si="40"/>
        <v>0</v>
      </c>
      <c r="AW179" s="58">
        <f t="shared" ca="1" si="40"/>
        <v>0</v>
      </c>
      <c r="AX179" s="58">
        <f t="shared" ca="1" si="40"/>
        <v>0</v>
      </c>
      <c r="AY179" s="58">
        <f t="shared" ca="1" si="40"/>
        <v>0</v>
      </c>
      <c r="AZ179" s="58">
        <f t="shared" ca="1" si="40"/>
        <v>0</v>
      </c>
      <c r="BA179" s="58">
        <f t="shared" ca="1" si="40"/>
        <v>0</v>
      </c>
      <c r="BB179" s="58">
        <f t="shared" ca="1" si="40"/>
        <v>0</v>
      </c>
      <c r="BC179" s="58">
        <f t="shared" ca="1" si="40"/>
        <v>0</v>
      </c>
      <c r="BD179" s="58">
        <f t="shared" ca="1" si="40"/>
        <v>0</v>
      </c>
      <c r="BE179" s="58">
        <f t="shared" ca="1" si="40"/>
        <v>0</v>
      </c>
      <c r="BF179" s="58">
        <f t="shared" ca="1" si="40"/>
        <v>0</v>
      </c>
      <c r="BG179" s="58">
        <f t="shared" ca="1" si="40"/>
        <v>0</v>
      </c>
      <c r="BH179" s="58">
        <f t="shared" ca="1" si="40"/>
        <v>0</v>
      </c>
      <c r="BI179" s="58">
        <f t="shared" ca="1" si="40"/>
        <v>0</v>
      </c>
      <c r="BJ179" s="58">
        <f t="shared" ca="1" si="40"/>
        <v>0</v>
      </c>
      <c r="BK179" s="58">
        <f t="shared" ca="1" si="40"/>
        <v>0</v>
      </c>
      <c r="BL179" s="58">
        <f t="shared" ca="1" si="40"/>
        <v>0</v>
      </c>
      <c r="BM179" s="58">
        <f t="shared" ca="1" si="40"/>
        <v>0</v>
      </c>
      <c r="BN179" s="58">
        <f t="shared" ca="1" si="40"/>
        <v>0</v>
      </c>
      <c r="BO179" s="58">
        <f t="shared" ca="1" si="40"/>
        <v>0</v>
      </c>
      <c r="BP179" s="58">
        <f t="shared" ca="1" si="40"/>
        <v>0</v>
      </c>
      <c r="BQ179" s="58">
        <f t="shared" ca="1" si="40"/>
        <v>0</v>
      </c>
      <c r="BR179" s="58">
        <f t="shared" ca="1" si="40"/>
        <v>0</v>
      </c>
      <c r="BS179" s="58">
        <f t="shared" ref="BS179:CX179" ca="1" si="41">+IF(OR($F179+BS$175&lt;1,(BS$176-1)*12&lt;-$F179),0,OFFSET(BS9,0,$F179))</f>
        <v>0</v>
      </c>
      <c r="BT179" s="58">
        <f t="shared" ca="1" si="41"/>
        <v>0</v>
      </c>
      <c r="BU179" s="58">
        <f t="shared" ca="1" si="41"/>
        <v>0</v>
      </c>
      <c r="BV179" s="58">
        <f t="shared" ca="1" si="41"/>
        <v>0</v>
      </c>
      <c r="BW179" s="58">
        <f t="shared" ca="1" si="41"/>
        <v>0</v>
      </c>
      <c r="BX179" s="58">
        <f t="shared" ca="1" si="41"/>
        <v>0</v>
      </c>
      <c r="BY179" s="58">
        <f t="shared" ca="1" si="41"/>
        <v>0</v>
      </c>
      <c r="BZ179" s="58">
        <f t="shared" ca="1" si="41"/>
        <v>0</v>
      </c>
      <c r="CA179" s="58">
        <f t="shared" ca="1" si="41"/>
        <v>0</v>
      </c>
      <c r="CB179" s="58">
        <f t="shared" ca="1" si="41"/>
        <v>0</v>
      </c>
      <c r="CC179" s="58">
        <f t="shared" ca="1" si="41"/>
        <v>0</v>
      </c>
      <c r="CD179" s="58">
        <f t="shared" ca="1" si="41"/>
        <v>0</v>
      </c>
      <c r="CE179" s="58">
        <f t="shared" ca="1" si="41"/>
        <v>0</v>
      </c>
      <c r="CF179" s="58">
        <f t="shared" ca="1" si="41"/>
        <v>0</v>
      </c>
      <c r="CG179" s="58">
        <f t="shared" ca="1" si="41"/>
        <v>0</v>
      </c>
      <c r="CH179" s="58">
        <f t="shared" ca="1" si="41"/>
        <v>0</v>
      </c>
      <c r="CI179" s="58">
        <f t="shared" ca="1" si="41"/>
        <v>0</v>
      </c>
      <c r="CJ179" s="58">
        <f t="shared" ca="1" si="41"/>
        <v>0</v>
      </c>
      <c r="CK179" s="58">
        <f t="shared" ca="1" si="41"/>
        <v>0</v>
      </c>
      <c r="CL179" s="58">
        <f t="shared" ca="1" si="41"/>
        <v>0</v>
      </c>
      <c r="CM179" s="58">
        <f t="shared" ca="1" si="41"/>
        <v>0</v>
      </c>
      <c r="CN179" s="58">
        <f t="shared" ca="1" si="41"/>
        <v>0</v>
      </c>
      <c r="CO179" s="58">
        <f t="shared" ca="1" si="41"/>
        <v>0</v>
      </c>
      <c r="CP179" s="58">
        <f t="shared" ca="1" si="41"/>
        <v>0</v>
      </c>
      <c r="CQ179" s="58">
        <f t="shared" ca="1" si="41"/>
        <v>0</v>
      </c>
      <c r="CR179" s="58">
        <f t="shared" ca="1" si="41"/>
        <v>0</v>
      </c>
      <c r="CS179" s="58">
        <f t="shared" ca="1" si="41"/>
        <v>0</v>
      </c>
      <c r="CT179" s="58">
        <f t="shared" ca="1" si="41"/>
        <v>0</v>
      </c>
      <c r="CU179" s="58">
        <f t="shared" ca="1" si="41"/>
        <v>0</v>
      </c>
      <c r="CV179" s="58">
        <f t="shared" ca="1" si="41"/>
        <v>0</v>
      </c>
      <c r="CW179" s="58">
        <f t="shared" ca="1" si="41"/>
        <v>0</v>
      </c>
      <c r="CX179" s="58">
        <f t="shared" ca="1" si="41"/>
        <v>0</v>
      </c>
      <c r="CY179" s="58">
        <f t="shared" ref="CY179:ED179" ca="1" si="42">+IF(OR($F179+CY$175&lt;1,(CY$176-1)*12&lt;-$F179),0,OFFSET(CY9,0,$F179))</f>
        <v>0</v>
      </c>
      <c r="CZ179" s="58">
        <f t="shared" ca="1" si="42"/>
        <v>0</v>
      </c>
      <c r="DA179" s="58">
        <f t="shared" ca="1" si="42"/>
        <v>0</v>
      </c>
      <c r="DB179" s="58">
        <f t="shared" ca="1" si="42"/>
        <v>0</v>
      </c>
      <c r="DC179" s="58">
        <f t="shared" ca="1" si="42"/>
        <v>0</v>
      </c>
      <c r="DD179" s="58">
        <f t="shared" ca="1" si="42"/>
        <v>0</v>
      </c>
      <c r="DE179" s="58">
        <f t="shared" ca="1" si="42"/>
        <v>0</v>
      </c>
      <c r="DF179" s="58">
        <f t="shared" ca="1" si="42"/>
        <v>0</v>
      </c>
      <c r="DG179" s="58">
        <f t="shared" ca="1" si="42"/>
        <v>0</v>
      </c>
      <c r="DH179" s="58">
        <f t="shared" ca="1" si="42"/>
        <v>0</v>
      </c>
      <c r="DI179" s="58">
        <f t="shared" ca="1" si="42"/>
        <v>0</v>
      </c>
      <c r="DJ179" s="58">
        <f t="shared" ca="1" si="42"/>
        <v>0</v>
      </c>
      <c r="DK179" s="58">
        <f t="shared" ca="1" si="42"/>
        <v>0</v>
      </c>
      <c r="DL179" s="58">
        <f t="shared" ca="1" si="42"/>
        <v>0</v>
      </c>
      <c r="DM179" s="58">
        <f t="shared" ca="1" si="42"/>
        <v>0</v>
      </c>
      <c r="DN179" s="58">
        <f t="shared" ca="1" si="42"/>
        <v>0</v>
      </c>
      <c r="DO179" s="58">
        <f t="shared" ca="1" si="42"/>
        <v>0</v>
      </c>
      <c r="DP179" s="58">
        <f t="shared" ca="1" si="42"/>
        <v>0</v>
      </c>
      <c r="DQ179" s="58">
        <f t="shared" ca="1" si="42"/>
        <v>0</v>
      </c>
      <c r="DR179" s="58">
        <f t="shared" ca="1" si="42"/>
        <v>0</v>
      </c>
      <c r="DS179" s="58">
        <f t="shared" ca="1" si="42"/>
        <v>0</v>
      </c>
      <c r="DT179" s="58">
        <f t="shared" ca="1" si="42"/>
        <v>0</v>
      </c>
      <c r="DU179" s="58">
        <f t="shared" ca="1" si="42"/>
        <v>0</v>
      </c>
      <c r="DV179" s="58">
        <f t="shared" ca="1" si="42"/>
        <v>0</v>
      </c>
      <c r="DW179" s="58">
        <f t="shared" ca="1" si="42"/>
        <v>0</v>
      </c>
      <c r="DX179" s="58">
        <f t="shared" ca="1" si="42"/>
        <v>0</v>
      </c>
      <c r="DY179" s="58">
        <f t="shared" ca="1" si="42"/>
        <v>0</v>
      </c>
      <c r="DZ179" s="58">
        <f t="shared" ca="1" si="42"/>
        <v>0</v>
      </c>
      <c r="EA179" s="58">
        <f t="shared" ca="1" si="42"/>
        <v>0</v>
      </c>
      <c r="EB179" s="58">
        <f t="shared" ca="1" si="42"/>
        <v>0</v>
      </c>
      <c r="EC179" s="58">
        <f t="shared" ca="1" si="42"/>
        <v>0</v>
      </c>
      <c r="ED179" s="58">
        <f t="shared" ca="1" si="42"/>
        <v>0</v>
      </c>
      <c r="EE179" s="58">
        <f t="shared" ref="EE179:FN179" ca="1" si="43">+IF(OR($F179+EE$175&lt;1,(EE$176-1)*12&lt;-$F179),0,OFFSET(EE9,0,$F179))</f>
        <v>0</v>
      </c>
      <c r="EF179" s="58">
        <f t="shared" ca="1" si="43"/>
        <v>0</v>
      </c>
      <c r="EG179" s="58">
        <f t="shared" ca="1" si="43"/>
        <v>0</v>
      </c>
      <c r="EH179" s="58">
        <f t="shared" ca="1" si="43"/>
        <v>0</v>
      </c>
      <c r="EI179" s="58">
        <f t="shared" ca="1" si="43"/>
        <v>0</v>
      </c>
      <c r="EJ179" s="58">
        <f t="shared" ca="1" si="43"/>
        <v>0</v>
      </c>
      <c r="EK179" s="58">
        <f t="shared" ca="1" si="43"/>
        <v>0</v>
      </c>
      <c r="EL179" s="58">
        <f t="shared" ca="1" si="43"/>
        <v>0</v>
      </c>
      <c r="EM179" s="58">
        <f t="shared" ca="1" si="43"/>
        <v>0</v>
      </c>
      <c r="EN179" s="58">
        <f t="shared" ca="1" si="43"/>
        <v>0</v>
      </c>
      <c r="EO179" s="58">
        <f t="shared" ca="1" si="43"/>
        <v>0</v>
      </c>
      <c r="EP179" s="58">
        <f t="shared" ca="1" si="43"/>
        <v>0</v>
      </c>
      <c r="EQ179" s="58">
        <f t="shared" ca="1" si="43"/>
        <v>0</v>
      </c>
      <c r="ER179" s="58">
        <f t="shared" ca="1" si="43"/>
        <v>0</v>
      </c>
      <c r="ES179" s="58">
        <f t="shared" ca="1" si="43"/>
        <v>0</v>
      </c>
      <c r="ET179" s="58">
        <f t="shared" ca="1" si="43"/>
        <v>0</v>
      </c>
      <c r="EU179" s="58">
        <f t="shared" ca="1" si="43"/>
        <v>0</v>
      </c>
      <c r="EV179" s="58">
        <f t="shared" ca="1" si="43"/>
        <v>0</v>
      </c>
      <c r="EW179" s="58">
        <f t="shared" ca="1" si="43"/>
        <v>0</v>
      </c>
      <c r="EX179" s="58">
        <f t="shared" ca="1" si="43"/>
        <v>0</v>
      </c>
      <c r="EY179" s="58">
        <f t="shared" ca="1" si="43"/>
        <v>0</v>
      </c>
      <c r="EZ179" s="58">
        <f t="shared" ca="1" si="43"/>
        <v>0</v>
      </c>
      <c r="FA179" s="58">
        <f t="shared" ca="1" si="43"/>
        <v>0</v>
      </c>
      <c r="FB179" s="58">
        <f t="shared" ca="1" si="43"/>
        <v>0</v>
      </c>
      <c r="FC179" s="58">
        <f t="shared" ca="1" si="43"/>
        <v>0</v>
      </c>
      <c r="FD179" s="58">
        <f t="shared" ca="1" si="43"/>
        <v>0</v>
      </c>
      <c r="FE179" s="58">
        <f t="shared" ca="1" si="43"/>
        <v>0</v>
      </c>
      <c r="FF179" s="58">
        <f t="shared" ca="1" si="43"/>
        <v>0</v>
      </c>
      <c r="FG179" s="58">
        <f t="shared" ca="1" si="43"/>
        <v>0</v>
      </c>
      <c r="FH179" s="58">
        <f t="shared" ca="1" si="43"/>
        <v>0</v>
      </c>
      <c r="FI179" s="58">
        <f t="shared" ca="1" si="43"/>
        <v>0</v>
      </c>
      <c r="FJ179" s="58">
        <f t="shared" ca="1" si="43"/>
        <v>0</v>
      </c>
      <c r="FK179" s="58">
        <f t="shared" ca="1" si="43"/>
        <v>0</v>
      </c>
      <c r="FL179" s="58">
        <f t="shared" ca="1" si="43"/>
        <v>0</v>
      </c>
      <c r="FM179" s="58">
        <f t="shared" ca="1" si="43"/>
        <v>0</v>
      </c>
      <c r="FN179" s="58">
        <f t="shared" ca="1" si="43"/>
        <v>0</v>
      </c>
      <c r="FO179" s="13"/>
    </row>
    <row r="180" spans="1:171" outlineLevel="1" x14ac:dyDescent="0.3">
      <c r="A180" s="13"/>
      <c r="B180" s="13"/>
      <c r="C180" s="13"/>
      <c r="D180" s="52">
        <f t="shared" si="31"/>
        <v>40238</v>
      </c>
      <c r="E180" s="53">
        <f t="shared" si="32"/>
        <v>2010</v>
      </c>
      <c r="F180" s="53">
        <f t="shared" si="33"/>
        <v>-46</v>
      </c>
      <c r="G180" s="58">
        <f t="shared" ref="G180:AL180" ca="1" si="44">+IF(OR($F180+G$175&lt;1,(G$176-1)*12&lt;-$F180),0,OFFSET(G10,0,$F180))</f>
        <v>0</v>
      </c>
      <c r="H180" s="58">
        <f t="shared" ca="1" si="44"/>
        <v>0</v>
      </c>
      <c r="I180" s="58">
        <f t="shared" ca="1" si="44"/>
        <v>0</v>
      </c>
      <c r="J180" s="58">
        <f t="shared" ca="1" si="44"/>
        <v>0</v>
      </c>
      <c r="K180" s="58">
        <f t="shared" ca="1" si="44"/>
        <v>0</v>
      </c>
      <c r="L180" s="58">
        <f t="shared" ca="1" si="44"/>
        <v>0</v>
      </c>
      <c r="M180" s="58">
        <f t="shared" ca="1" si="44"/>
        <v>0</v>
      </c>
      <c r="N180" s="58">
        <f t="shared" ca="1" si="44"/>
        <v>0</v>
      </c>
      <c r="O180" s="58">
        <f t="shared" ca="1" si="44"/>
        <v>0</v>
      </c>
      <c r="P180" s="58">
        <f t="shared" ca="1" si="44"/>
        <v>0</v>
      </c>
      <c r="Q180" s="58">
        <f t="shared" ca="1" si="44"/>
        <v>0</v>
      </c>
      <c r="R180" s="58">
        <f t="shared" ca="1" si="44"/>
        <v>0</v>
      </c>
      <c r="S180" s="58">
        <f t="shared" ca="1" si="44"/>
        <v>0</v>
      </c>
      <c r="T180" s="58">
        <f t="shared" ca="1" si="44"/>
        <v>0</v>
      </c>
      <c r="U180" s="58">
        <f t="shared" ca="1" si="44"/>
        <v>0</v>
      </c>
      <c r="V180" s="58">
        <f t="shared" ca="1" si="44"/>
        <v>0</v>
      </c>
      <c r="W180" s="58">
        <f t="shared" ca="1" si="44"/>
        <v>0</v>
      </c>
      <c r="X180" s="58">
        <f t="shared" ca="1" si="44"/>
        <v>0</v>
      </c>
      <c r="Y180" s="58">
        <f t="shared" ca="1" si="44"/>
        <v>0</v>
      </c>
      <c r="Z180" s="58">
        <f t="shared" ca="1" si="44"/>
        <v>0</v>
      </c>
      <c r="AA180" s="58">
        <f t="shared" ca="1" si="44"/>
        <v>0</v>
      </c>
      <c r="AB180" s="58">
        <f t="shared" ca="1" si="44"/>
        <v>0</v>
      </c>
      <c r="AC180" s="58">
        <f t="shared" ca="1" si="44"/>
        <v>0</v>
      </c>
      <c r="AD180" s="58">
        <f t="shared" ca="1" si="44"/>
        <v>0</v>
      </c>
      <c r="AE180" s="58">
        <f t="shared" ca="1" si="44"/>
        <v>0</v>
      </c>
      <c r="AF180" s="58">
        <f t="shared" ca="1" si="44"/>
        <v>0</v>
      </c>
      <c r="AG180" s="58">
        <f t="shared" ca="1" si="44"/>
        <v>0</v>
      </c>
      <c r="AH180" s="58">
        <f t="shared" ca="1" si="44"/>
        <v>0</v>
      </c>
      <c r="AI180" s="58">
        <f t="shared" ca="1" si="44"/>
        <v>0</v>
      </c>
      <c r="AJ180" s="58">
        <f t="shared" ca="1" si="44"/>
        <v>0</v>
      </c>
      <c r="AK180" s="58">
        <f t="shared" ca="1" si="44"/>
        <v>0</v>
      </c>
      <c r="AL180" s="58">
        <f t="shared" ca="1" si="44"/>
        <v>0</v>
      </c>
      <c r="AM180" s="58">
        <f t="shared" ref="AM180:BR180" ca="1" si="45">+IF(OR($F180+AM$175&lt;1,(AM$176-1)*12&lt;-$F180),0,OFFSET(AM10,0,$F180))</f>
        <v>0</v>
      </c>
      <c r="AN180" s="58">
        <f t="shared" ca="1" si="45"/>
        <v>0</v>
      </c>
      <c r="AO180" s="58">
        <f t="shared" ca="1" si="45"/>
        <v>0</v>
      </c>
      <c r="AP180" s="58">
        <f t="shared" ca="1" si="45"/>
        <v>0</v>
      </c>
      <c r="AQ180" s="58">
        <f t="shared" ca="1" si="45"/>
        <v>0</v>
      </c>
      <c r="AR180" s="58">
        <f t="shared" ca="1" si="45"/>
        <v>0</v>
      </c>
      <c r="AS180" s="58">
        <f t="shared" ca="1" si="45"/>
        <v>0</v>
      </c>
      <c r="AT180" s="58">
        <f t="shared" ca="1" si="45"/>
        <v>0</v>
      </c>
      <c r="AU180" s="58">
        <f t="shared" ca="1" si="45"/>
        <v>0</v>
      </c>
      <c r="AV180" s="58">
        <f t="shared" ca="1" si="45"/>
        <v>0</v>
      </c>
      <c r="AW180" s="58">
        <f t="shared" ca="1" si="45"/>
        <v>0</v>
      </c>
      <c r="AX180" s="58">
        <f t="shared" ca="1" si="45"/>
        <v>0</v>
      </c>
      <c r="AY180" s="58">
        <f t="shared" ca="1" si="45"/>
        <v>0</v>
      </c>
      <c r="AZ180" s="58">
        <f t="shared" ca="1" si="45"/>
        <v>0</v>
      </c>
      <c r="BA180" s="58">
        <f t="shared" ca="1" si="45"/>
        <v>0</v>
      </c>
      <c r="BB180" s="58">
        <f t="shared" ca="1" si="45"/>
        <v>0</v>
      </c>
      <c r="BC180" s="58">
        <f t="shared" ca="1" si="45"/>
        <v>0</v>
      </c>
      <c r="BD180" s="58">
        <f t="shared" ca="1" si="45"/>
        <v>0</v>
      </c>
      <c r="BE180" s="58">
        <f t="shared" ca="1" si="45"/>
        <v>0</v>
      </c>
      <c r="BF180" s="58">
        <f t="shared" ca="1" si="45"/>
        <v>0</v>
      </c>
      <c r="BG180" s="58">
        <f t="shared" ca="1" si="45"/>
        <v>0</v>
      </c>
      <c r="BH180" s="58">
        <f t="shared" ca="1" si="45"/>
        <v>0</v>
      </c>
      <c r="BI180" s="58">
        <f t="shared" ca="1" si="45"/>
        <v>0</v>
      </c>
      <c r="BJ180" s="58">
        <f t="shared" ca="1" si="45"/>
        <v>0</v>
      </c>
      <c r="BK180" s="58">
        <f t="shared" ca="1" si="45"/>
        <v>0</v>
      </c>
      <c r="BL180" s="58">
        <f t="shared" ca="1" si="45"/>
        <v>0</v>
      </c>
      <c r="BM180" s="58">
        <f t="shared" ca="1" si="45"/>
        <v>0</v>
      </c>
      <c r="BN180" s="58">
        <f t="shared" ca="1" si="45"/>
        <v>0</v>
      </c>
      <c r="BO180" s="58">
        <f t="shared" ca="1" si="45"/>
        <v>0</v>
      </c>
      <c r="BP180" s="58">
        <f t="shared" ca="1" si="45"/>
        <v>0</v>
      </c>
      <c r="BQ180" s="58">
        <f t="shared" ca="1" si="45"/>
        <v>0</v>
      </c>
      <c r="BR180" s="58">
        <f t="shared" ca="1" si="45"/>
        <v>0</v>
      </c>
      <c r="BS180" s="58">
        <f t="shared" ref="BS180:CX180" ca="1" si="46">+IF(OR($F180+BS$175&lt;1,(BS$176-1)*12&lt;-$F180),0,OFFSET(BS10,0,$F180))</f>
        <v>0</v>
      </c>
      <c r="BT180" s="58">
        <f t="shared" ca="1" si="46"/>
        <v>0</v>
      </c>
      <c r="BU180" s="58">
        <f t="shared" ca="1" si="46"/>
        <v>0</v>
      </c>
      <c r="BV180" s="58">
        <f t="shared" ca="1" si="46"/>
        <v>0</v>
      </c>
      <c r="BW180" s="58">
        <f t="shared" ca="1" si="46"/>
        <v>0</v>
      </c>
      <c r="BX180" s="58">
        <f t="shared" ca="1" si="46"/>
        <v>0</v>
      </c>
      <c r="BY180" s="58">
        <f t="shared" ca="1" si="46"/>
        <v>0</v>
      </c>
      <c r="BZ180" s="58">
        <f t="shared" ca="1" si="46"/>
        <v>0</v>
      </c>
      <c r="CA180" s="58">
        <f t="shared" ca="1" si="46"/>
        <v>0</v>
      </c>
      <c r="CB180" s="58">
        <f t="shared" ca="1" si="46"/>
        <v>0</v>
      </c>
      <c r="CC180" s="58">
        <f t="shared" ca="1" si="46"/>
        <v>0</v>
      </c>
      <c r="CD180" s="58">
        <f t="shared" ca="1" si="46"/>
        <v>0</v>
      </c>
      <c r="CE180" s="58">
        <f t="shared" ca="1" si="46"/>
        <v>0</v>
      </c>
      <c r="CF180" s="58">
        <f t="shared" ca="1" si="46"/>
        <v>0</v>
      </c>
      <c r="CG180" s="58">
        <f t="shared" ca="1" si="46"/>
        <v>0</v>
      </c>
      <c r="CH180" s="58">
        <f t="shared" ca="1" si="46"/>
        <v>0</v>
      </c>
      <c r="CI180" s="58">
        <f t="shared" ca="1" si="46"/>
        <v>0</v>
      </c>
      <c r="CJ180" s="58">
        <f t="shared" ca="1" si="46"/>
        <v>0</v>
      </c>
      <c r="CK180" s="58">
        <f t="shared" ca="1" si="46"/>
        <v>0</v>
      </c>
      <c r="CL180" s="58">
        <f t="shared" ca="1" si="46"/>
        <v>0</v>
      </c>
      <c r="CM180" s="58">
        <f t="shared" ca="1" si="46"/>
        <v>0</v>
      </c>
      <c r="CN180" s="58">
        <f t="shared" ca="1" si="46"/>
        <v>0</v>
      </c>
      <c r="CO180" s="58">
        <f t="shared" ca="1" si="46"/>
        <v>0</v>
      </c>
      <c r="CP180" s="58">
        <f t="shared" ca="1" si="46"/>
        <v>0</v>
      </c>
      <c r="CQ180" s="58">
        <f t="shared" ca="1" si="46"/>
        <v>0</v>
      </c>
      <c r="CR180" s="58">
        <f t="shared" ca="1" si="46"/>
        <v>0</v>
      </c>
      <c r="CS180" s="58">
        <f t="shared" ca="1" si="46"/>
        <v>0</v>
      </c>
      <c r="CT180" s="58">
        <f t="shared" ca="1" si="46"/>
        <v>0</v>
      </c>
      <c r="CU180" s="58">
        <f t="shared" ca="1" si="46"/>
        <v>0</v>
      </c>
      <c r="CV180" s="58">
        <f t="shared" ca="1" si="46"/>
        <v>0</v>
      </c>
      <c r="CW180" s="58">
        <f t="shared" ca="1" si="46"/>
        <v>0</v>
      </c>
      <c r="CX180" s="58">
        <f t="shared" ca="1" si="46"/>
        <v>0</v>
      </c>
      <c r="CY180" s="58">
        <f t="shared" ref="CY180:ED180" ca="1" si="47">+IF(OR($F180+CY$175&lt;1,(CY$176-1)*12&lt;-$F180),0,OFFSET(CY10,0,$F180))</f>
        <v>0</v>
      </c>
      <c r="CZ180" s="58">
        <f t="shared" ca="1" si="47"/>
        <v>0</v>
      </c>
      <c r="DA180" s="58">
        <f t="shared" ca="1" si="47"/>
        <v>0</v>
      </c>
      <c r="DB180" s="58">
        <f t="shared" ca="1" si="47"/>
        <v>0</v>
      </c>
      <c r="DC180" s="58">
        <f t="shared" ca="1" si="47"/>
        <v>0</v>
      </c>
      <c r="DD180" s="58">
        <f t="shared" ca="1" si="47"/>
        <v>0</v>
      </c>
      <c r="DE180" s="58">
        <f t="shared" ca="1" si="47"/>
        <v>0</v>
      </c>
      <c r="DF180" s="58">
        <f t="shared" ca="1" si="47"/>
        <v>0</v>
      </c>
      <c r="DG180" s="58">
        <f t="shared" ca="1" si="47"/>
        <v>0</v>
      </c>
      <c r="DH180" s="58">
        <f t="shared" ca="1" si="47"/>
        <v>0</v>
      </c>
      <c r="DI180" s="58">
        <f t="shared" ca="1" si="47"/>
        <v>0</v>
      </c>
      <c r="DJ180" s="58">
        <f t="shared" ca="1" si="47"/>
        <v>0</v>
      </c>
      <c r="DK180" s="58">
        <f t="shared" ca="1" si="47"/>
        <v>0</v>
      </c>
      <c r="DL180" s="58">
        <f t="shared" ca="1" si="47"/>
        <v>0</v>
      </c>
      <c r="DM180" s="58">
        <f t="shared" ca="1" si="47"/>
        <v>0</v>
      </c>
      <c r="DN180" s="58">
        <f t="shared" ca="1" si="47"/>
        <v>0</v>
      </c>
      <c r="DO180" s="58">
        <f t="shared" ca="1" si="47"/>
        <v>0</v>
      </c>
      <c r="DP180" s="58">
        <f t="shared" ca="1" si="47"/>
        <v>0</v>
      </c>
      <c r="DQ180" s="58">
        <f t="shared" ca="1" si="47"/>
        <v>0</v>
      </c>
      <c r="DR180" s="58">
        <f t="shared" ca="1" si="47"/>
        <v>0</v>
      </c>
      <c r="DS180" s="58">
        <f t="shared" ca="1" si="47"/>
        <v>0</v>
      </c>
      <c r="DT180" s="58">
        <f t="shared" ca="1" si="47"/>
        <v>0</v>
      </c>
      <c r="DU180" s="58">
        <f t="shared" ca="1" si="47"/>
        <v>0</v>
      </c>
      <c r="DV180" s="58">
        <f t="shared" ca="1" si="47"/>
        <v>0</v>
      </c>
      <c r="DW180" s="58">
        <f t="shared" ca="1" si="47"/>
        <v>0</v>
      </c>
      <c r="DX180" s="58">
        <f t="shared" ca="1" si="47"/>
        <v>0</v>
      </c>
      <c r="DY180" s="58">
        <f t="shared" ca="1" si="47"/>
        <v>0</v>
      </c>
      <c r="DZ180" s="58">
        <f t="shared" ca="1" si="47"/>
        <v>0</v>
      </c>
      <c r="EA180" s="58">
        <f t="shared" ca="1" si="47"/>
        <v>0</v>
      </c>
      <c r="EB180" s="58">
        <f t="shared" ca="1" si="47"/>
        <v>0</v>
      </c>
      <c r="EC180" s="58">
        <f t="shared" ca="1" si="47"/>
        <v>0</v>
      </c>
      <c r="ED180" s="58">
        <f t="shared" ca="1" si="47"/>
        <v>0</v>
      </c>
      <c r="EE180" s="58">
        <f t="shared" ref="EE180:FN180" ca="1" si="48">+IF(OR($F180+EE$175&lt;1,(EE$176-1)*12&lt;-$F180),0,OFFSET(EE10,0,$F180))</f>
        <v>0</v>
      </c>
      <c r="EF180" s="58">
        <f t="shared" ca="1" si="48"/>
        <v>0</v>
      </c>
      <c r="EG180" s="58">
        <f t="shared" ca="1" si="48"/>
        <v>0</v>
      </c>
      <c r="EH180" s="58">
        <f t="shared" ca="1" si="48"/>
        <v>0</v>
      </c>
      <c r="EI180" s="58">
        <f t="shared" ca="1" si="48"/>
        <v>0</v>
      </c>
      <c r="EJ180" s="58">
        <f t="shared" ca="1" si="48"/>
        <v>0</v>
      </c>
      <c r="EK180" s="58">
        <f t="shared" ca="1" si="48"/>
        <v>0</v>
      </c>
      <c r="EL180" s="58">
        <f t="shared" ca="1" si="48"/>
        <v>0</v>
      </c>
      <c r="EM180" s="58">
        <f t="shared" ca="1" si="48"/>
        <v>0</v>
      </c>
      <c r="EN180" s="58">
        <f t="shared" ca="1" si="48"/>
        <v>0</v>
      </c>
      <c r="EO180" s="58">
        <f t="shared" ca="1" si="48"/>
        <v>0</v>
      </c>
      <c r="EP180" s="58">
        <f t="shared" ca="1" si="48"/>
        <v>0</v>
      </c>
      <c r="EQ180" s="58">
        <f t="shared" ca="1" si="48"/>
        <v>0</v>
      </c>
      <c r="ER180" s="58">
        <f t="shared" ca="1" si="48"/>
        <v>0</v>
      </c>
      <c r="ES180" s="58">
        <f t="shared" ca="1" si="48"/>
        <v>0</v>
      </c>
      <c r="ET180" s="58">
        <f t="shared" ca="1" si="48"/>
        <v>0</v>
      </c>
      <c r="EU180" s="58">
        <f t="shared" ca="1" si="48"/>
        <v>0</v>
      </c>
      <c r="EV180" s="58">
        <f t="shared" ca="1" si="48"/>
        <v>0</v>
      </c>
      <c r="EW180" s="58">
        <f t="shared" ca="1" si="48"/>
        <v>0</v>
      </c>
      <c r="EX180" s="58">
        <f t="shared" ca="1" si="48"/>
        <v>0</v>
      </c>
      <c r="EY180" s="58">
        <f t="shared" ca="1" si="48"/>
        <v>0</v>
      </c>
      <c r="EZ180" s="58">
        <f t="shared" ca="1" si="48"/>
        <v>0</v>
      </c>
      <c r="FA180" s="58">
        <f t="shared" ca="1" si="48"/>
        <v>0</v>
      </c>
      <c r="FB180" s="58">
        <f t="shared" ca="1" si="48"/>
        <v>0</v>
      </c>
      <c r="FC180" s="58">
        <f t="shared" ca="1" si="48"/>
        <v>0</v>
      </c>
      <c r="FD180" s="58">
        <f t="shared" ca="1" si="48"/>
        <v>0</v>
      </c>
      <c r="FE180" s="58">
        <f t="shared" ca="1" si="48"/>
        <v>0</v>
      </c>
      <c r="FF180" s="58">
        <f t="shared" ca="1" si="48"/>
        <v>0</v>
      </c>
      <c r="FG180" s="58">
        <f t="shared" ca="1" si="48"/>
        <v>0</v>
      </c>
      <c r="FH180" s="58">
        <f t="shared" ca="1" si="48"/>
        <v>0</v>
      </c>
      <c r="FI180" s="58">
        <f t="shared" ca="1" si="48"/>
        <v>0</v>
      </c>
      <c r="FJ180" s="58">
        <f t="shared" ca="1" si="48"/>
        <v>0</v>
      </c>
      <c r="FK180" s="58">
        <f t="shared" ca="1" si="48"/>
        <v>0</v>
      </c>
      <c r="FL180" s="58">
        <f t="shared" ca="1" si="48"/>
        <v>0</v>
      </c>
      <c r="FM180" s="58">
        <f t="shared" ca="1" si="48"/>
        <v>0</v>
      </c>
      <c r="FN180" s="58">
        <f t="shared" ca="1" si="48"/>
        <v>0</v>
      </c>
      <c r="FO180" s="13"/>
    </row>
    <row r="181" spans="1:171" outlineLevel="1" x14ac:dyDescent="0.3">
      <c r="A181" s="13"/>
      <c r="B181" s="13"/>
      <c r="C181" s="13"/>
      <c r="D181" s="52">
        <f t="shared" si="31"/>
        <v>40269</v>
      </c>
      <c r="E181" s="53">
        <f t="shared" si="32"/>
        <v>2010</v>
      </c>
      <c r="F181" s="53">
        <f t="shared" si="33"/>
        <v>-45</v>
      </c>
      <c r="G181" s="58">
        <f t="shared" ref="G181:AL181" ca="1" si="49">+IF(OR($F181+G$175&lt;1,(G$176-1)*12&lt;-$F181),0,OFFSET(G11,0,$F181))</f>
        <v>0</v>
      </c>
      <c r="H181" s="58">
        <f t="shared" ca="1" si="49"/>
        <v>0</v>
      </c>
      <c r="I181" s="58">
        <f t="shared" ca="1" si="49"/>
        <v>0</v>
      </c>
      <c r="J181" s="58">
        <f t="shared" ca="1" si="49"/>
        <v>0</v>
      </c>
      <c r="K181" s="58">
        <f t="shared" ca="1" si="49"/>
        <v>0</v>
      </c>
      <c r="L181" s="58">
        <f t="shared" ca="1" si="49"/>
        <v>0</v>
      </c>
      <c r="M181" s="58">
        <f t="shared" ca="1" si="49"/>
        <v>0</v>
      </c>
      <c r="N181" s="58">
        <f t="shared" ca="1" si="49"/>
        <v>0</v>
      </c>
      <c r="O181" s="58">
        <f t="shared" ca="1" si="49"/>
        <v>0</v>
      </c>
      <c r="P181" s="58">
        <f t="shared" ca="1" si="49"/>
        <v>0</v>
      </c>
      <c r="Q181" s="58">
        <f t="shared" ca="1" si="49"/>
        <v>0</v>
      </c>
      <c r="R181" s="58">
        <f t="shared" ca="1" si="49"/>
        <v>0</v>
      </c>
      <c r="S181" s="58">
        <f t="shared" ca="1" si="49"/>
        <v>0</v>
      </c>
      <c r="T181" s="58">
        <f t="shared" ca="1" si="49"/>
        <v>0</v>
      </c>
      <c r="U181" s="58">
        <f t="shared" ca="1" si="49"/>
        <v>0</v>
      </c>
      <c r="V181" s="58">
        <f t="shared" ca="1" si="49"/>
        <v>0</v>
      </c>
      <c r="W181" s="58">
        <f t="shared" ca="1" si="49"/>
        <v>0</v>
      </c>
      <c r="X181" s="58">
        <f t="shared" ca="1" si="49"/>
        <v>0</v>
      </c>
      <c r="Y181" s="58">
        <f t="shared" ca="1" si="49"/>
        <v>0</v>
      </c>
      <c r="Z181" s="58">
        <f t="shared" ca="1" si="49"/>
        <v>0</v>
      </c>
      <c r="AA181" s="58">
        <f t="shared" ca="1" si="49"/>
        <v>0</v>
      </c>
      <c r="AB181" s="58">
        <f t="shared" ca="1" si="49"/>
        <v>0</v>
      </c>
      <c r="AC181" s="58">
        <f t="shared" ca="1" si="49"/>
        <v>0</v>
      </c>
      <c r="AD181" s="58">
        <f t="shared" ca="1" si="49"/>
        <v>0</v>
      </c>
      <c r="AE181" s="58">
        <f t="shared" ca="1" si="49"/>
        <v>0</v>
      </c>
      <c r="AF181" s="58">
        <f t="shared" ca="1" si="49"/>
        <v>0</v>
      </c>
      <c r="AG181" s="58">
        <f t="shared" ca="1" si="49"/>
        <v>0</v>
      </c>
      <c r="AH181" s="58">
        <f t="shared" ca="1" si="49"/>
        <v>0</v>
      </c>
      <c r="AI181" s="58">
        <f t="shared" ca="1" si="49"/>
        <v>0</v>
      </c>
      <c r="AJ181" s="58">
        <f t="shared" ca="1" si="49"/>
        <v>0</v>
      </c>
      <c r="AK181" s="58">
        <f t="shared" ca="1" si="49"/>
        <v>0</v>
      </c>
      <c r="AL181" s="58">
        <f t="shared" ca="1" si="49"/>
        <v>0</v>
      </c>
      <c r="AM181" s="58">
        <f t="shared" ref="AM181:BR181" ca="1" si="50">+IF(OR($F181+AM$175&lt;1,(AM$176-1)*12&lt;-$F181),0,OFFSET(AM11,0,$F181))</f>
        <v>0</v>
      </c>
      <c r="AN181" s="58">
        <f t="shared" ca="1" si="50"/>
        <v>0</v>
      </c>
      <c r="AO181" s="58">
        <f t="shared" ca="1" si="50"/>
        <v>0</v>
      </c>
      <c r="AP181" s="58">
        <f t="shared" ca="1" si="50"/>
        <v>0</v>
      </c>
      <c r="AQ181" s="58">
        <f t="shared" ca="1" si="50"/>
        <v>0</v>
      </c>
      <c r="AR181" s="58">
        <f t="shared" ca="1" si="50"/>
        <v>0</v>
      </c>
      <c r="AS181" s="58">
        <f t="shared" ca="1" si="50"/>
        <v>0</v>
      </c>
      <c r="AT181" s="58">
        <f t="shared" ca="1" si="50"/>
        <v>0</v>
      </c>
      <c r="AU181" s="58">
        <f t="shared" ca="1" si="50"/>
        <v>0</v>
      </c>
      <c r="AV181" s="58">
        <f t="shared" ca="1" si="50"/>
        <v>0</v>
      </c>
      <c r="AW181" s="58">
        <f t="shared" ca="1" si="50"/>
        <v>0</v>
      </c>
      <c r="AX181" s="58">
        <f t="shared" ca="1" si="50"/>
        <v>0</v>
      </c>
      <c r="AY181" s="58">
        <f t="shared" ca="1" si="50"/>
        <v>0</v>
      </c>
      <c r="AZ181" s="58">
        <f t="shared" ca="1" si="50"/>
        <v>0</v>
      </c>
      <c r="BA181" s="58">
        <f t="shared" ca="1" si="50"/>
        <v>0</v>
      </c>
      <c r="BB181" s="58">
        <f t="shared" ca="1" si="50"/>
        <v>0</v>
      </c>
      <c r="BC181" s="58">
        <f t="shared" ca="1" si="50"/>
        <v>0</v>
      </c>
      <c r="BD181" s="58">
        <f t="shared" ca="1" si="50"/>
        <v>0</v>
      </c>
      <c r="BE181" s="58">
        <f t="shared" ca="1" si="50"/>
        <v>0</v>
      </c>
      <c r="BF181" s="58">
        <f t="shared" ca="1" si="50"/>
        <v>0</v>
      </c>
      <c r="BG181" s="58">
        <f t="shared" ca="1" si="50"/>
        <v>0</v>
      </c>
      <c r="BH181" s="58">
        <f t="shared" ca="1" si="50"/>
        <v>0</v>
      </c>
      <c r="BI181" s="58">
        <f t="shared" ca="1" si="50"/>
        <v>0</v>
      </c>
      <c r="BJ181" s="58">
        <f t="shared" ca="1" si="50"/>
        <v>0</v>
      </c>
      <c r="BK181" s="58">
        <f t="shared" ca="1" si="50"/>
        <v>0</v>
      </c>
      <c r="BL181" s="58">
        <f t="shared" ca="1" si="50"/>
        <v>0</v>
      </c>
      <c r="BM181" s="58">
        <f t="shared" ca="1" si="50"/>
        <v>0</v>
      </c>
      <c r="BN181" s="58">
        <f t="shared" ca="1" si="50"/>
        <v>0</v>
      </c>
      <c r="BO181" s="58">
        <f t="shared" ca="1" si="50"/>
        <v>0</v>
      </c>
      <c r="BP181" s="58">
        <f t="shared" ca="1" si="50"/>
        <v>0</v>
      </c>
      <c r="BQ181" s="58">
        <f t="shared" ca="1" si="50"/>
        <v>0</v>
      </c>
      <c r="BR181" s="58">
        <f t="shared" ca="1" si="50"/>
        <v>0</v>
      </c>
      <c r="BS181" s="58">
        <f t="shared" ref="BS181:CX181" ca="1" si="51">+IF(OR($F181+BS$175&lt;1,(BS$176-1)*12&lt;-$F181),0,OFFSET(BS11,0,$F181))</f>
        <v>0</v>
      </c>
      <c r="BT181" s="58">
        <f t="shared" ca="1" si="51"/>
        <v>0</v>
      </c>
      <c r="BU181" s="58">
        <f t="shared" ca="1" si="51"/>
        <v>0</v>
      </c>
      <c r="BV181" s="58">
        <f t="shared" ca="1" si="51"/>
        <v>0</v>
      </c>
      <c r="BW181" s="58">
        <f t="shared" ca="1" si="51"/>
        <v>0</v>
      </c>
      <c r="BX181" s="58">
        <f t="shared" ca="1" si="51"/>
        <v>0</v>
      </c>
      <c r="BY181" s="58">
        <f t="shared" ca="1" si="51"/>
        <v>0</v>
      </c>
      <c r="BZ181" s="58">
        <f t="shared" ca="1" si="51"/>
        <v>0</v>
      </c>
      <c r="CA181" s="58">
        <f t="shared" ca="1" si="51"/>
        <v>0</v>
      </c>
      <c r="CB181" s="58">
        <f t="shared" ca="1" si="51"/>
        <v>0</v>
      </c>
      <c r="CC181" s="58">
        <f t="shared" ca="1" si="51"/>
        <v>0</v>
      </c>
      <c r="CD181" s="58">
        <f t="shared" ca="1" si="51"/>
        <v>0</v>
      </c>
      <c r="CE181" s="58">
        <f t="shared" ca="1" si="51"/>
        <v>0</v>
      </c>
      <c r="CF181" s="58">
        <f t="shared" ca="1" si="51"/>
        <v>0</v>
      </c>
      <c r="CG181" s="58">
        <f t="shared" ca="1" si="51"/>
        <v>0</v>
      </c>
      <c r="CH181" s="58">
        <f t="shared" ca="1" si="51"/>
        <v>0</v>
      </c>
      <c r="CI181" s="58">
        <f t="shared" ca="1" si="51"/>
        <v>0</v>
      </c>
      <c r="CJ181" s="58">
        <f t="shared" ca="1" si="51"/>
        <v>0</v>
      </c>
      <c r="CK181" s="58">
        <f t="shared" ca="1" si="51"/>
        <v>0</v>
      </c>
      <c r="CL181" s="58">
        <f t="shared" ca="1" si="51"/>
        <v>0</v>
      </c>
      <c r="CM181" s="58">
        <f t="shared" ca="1" si="51"/>
        <v>0</v>
      </c>
      <c r="CN181" s="58">
        <f t="shared" ca="1" si="51"/>
        <v>0</v>
      </c>
      <c r="CO181" s="58">
        <f t="shared" ca="1" si="51"/>
        <v>0</v>
      </c>
      <c r="CP181" s="58">
        <f t="shared" ca="1" si="51"/>
        <v>0</v>
      </c>
      <c r="CQ181" s="58">
        <f t="shared" ca="1" si="51"/>
        <v>0</v>
      </c>
      <c r="CR181" s="58">
        <f t="shared" ca="1" si="51"/>
        <v>0</v>
      </c>
      <c r="CS181" s="58">
        <f t="shared" ca="1" si="51"/>
        <v>0</v>
      </c>
      <c r="CT181" s="58">
        <f t="shared" ca="1" si="51"/>
        <v>0</v>
      </c>
      <c r="CU181" s="58">
        <f t="shared" ca="1" si="51"/>
        <v>0</v>
      </c>
      <c r="CV181" s="58">
        <f t="shared" ca="1" si="51"/>
        <v>0</v>
      </c>
      <c r="CW181" s="58">
        <f t="shared" ca="1" si="51"/>
        <v>0</v>
      </c>
      <c r="CX181" s="58">
        <f t="shared" ca="1" si="51"/>
        <v>0</v>
      </c>
      <c r="CY181" s="58">
        <f t="shared" ref="CY181:ED181" ca="1" si="52">+IF(OR($F181+CY$175&lt;1,(CY$176-1)*12&lt;-$F181),0,OFFSET(CY11,0,$F181))</f>
        <v>0</v>
      </c>
      <c r="CZ181" s="58">
        <f t="shared" ca="1" si="52"/>
        <v>0</v>
      </c>
      <c r="DA181" s="58">
        <f t="shared" ca="1" si="52"/>
        <v>0</v>
      </c>
      <c r="DB181" s="58">
        <f t="shared" ca="1" si="52"/>
        <v>0</v>
      </c>
      <c r="DC181" s="58">
        <f t="shared" ca="1" si="52"/>
        <v>0</v>
      </c>
      <c r="DD181" s="58">
        <f t="shared" ca="1" si="52"/>
        <v>0</v>
      </c>
      <c r="DE181" s="58">
        <f t="shared" ca="1" si="52"/>
        <v>0</v>
      </c>
      <c r="DF181" s="58">
        <f t="shared" ca="1" si="52"/>
        <v>0</v>
      </c>
      <c r="DG181" s="58">
        <f t="shared" ca="1" si="52"/>
        <v>0</v>
      </c>
      <c r="DH181" s="58">
        <f t="shared" ca="1" si="52"/>
        <v>0</v>
      </c>
      <c r="DI181" s="58">
        <f t="shared" ca="1" si="52"/>
        <v>0</v>
      </c>
      <c r="DJ181" s="58">
        <f t="shared" ca="1" si="52"/>
        <v>0</v>
      </c>
      <c r="DK181" s="58">
        <f t="shared" ca="1" si="52"/>
        <v>0</v>
      </c>
      <c r="DL181" s="58">
        <f t="shared" ca="1" si="52"/>
        <v>0</v>
      </c>
      <c r="DM181" s="58">
        <f t="shared" ca="1" si="52"/>
        <v>0</v>
      </c>
      <c r="DN181" s="58">
        <f t="shared" ca="1" si="52"/>
        <v>0</v>
      </c>
      <c r="DO181" s="58">
        <f t="shared" ca="1" si="52"/>
        <v>0</v>
      </c>
      <c r="DP181" s="58">
        <f t="shared" ca="1" si="52"/>
        <v>0</v>
      </c>
      <c r="DQ181" s="58">
        <f t="shared" ca="1" si="52"/>
        <v>0</v>
      </c>
      <c r="DR181" s="58">
        <f t="shared" ca="1" si="52"/>
        <v>0</v>
      </c>
      <c r="DS181" s="58">
        <f t="shared" ca="1" si="52"/>
        <v>0</v>
      </c>
      <c r="DT181" s="58">
        <f t="shared" ca="1" si="52"/>
        <v>0</v>
      </c>
      <c r="DU181" s="58">
        <f t="shared" ca="1" si="52"/>
        <v>0</v>
      </c>
      <c r="DV181" s="58">
        <f t="shared" ca="1" si="52"/>
        <v>0</v>
      </c>
      <c r="DW181" s="58">
        <f t="shared" ca="1" si="52"/>
        <v>0</v>
      </c>
      <c r="DX181" s="58">
        <f t="shared" ca="1" si="52"/>
        <v>0</v>
      </c>
      <c r="DY181" s="58">
        <f t="shared" ca="1" si="52"/>
        <v>0</v>
      </c>
      <c r="DZ181" s="58">
        <f t="shared" ca="1" si="52"/>
        <v>0</v>
      </c>
      <c r="EA181" s="58">
        <f t="shared" ca="1" si="52"/>
        <v>0</v>
      </c>
      <c r="EB181" s="58">
        <f t="shared" ca="1" si="52"/>
        <v>0</v>
      </c>
      <c r="EC181" s="58">
        <f t="shared" ca="1" si="52"/>
        <v>0</v>
      </c>
      <c r="ED181" s="58">
        <f t="shared" ca="1" si="52"/>
        <v>0</v>
      </c>
      <c r="EE181" s="58">
        <f t="shared" ref="EE181:FN181" ca="1" si="53">+IF(OR($F181+EE$175&lt;1,(EE$176-1)*12&lt;-$F181),0,OFFSET(EE11,0,$F181))</f>
        <v>0</v>
      </c>
      <c r="EF181" s="58">
        <f t="shared" ca="1" si="53"/>
        <v>0</v>
      </c>
      <c r="EG181" s="58">
        <f t="shared" ca="1" si="53"/>
        <v>0</v>
      </c>
      <c r="EH181" s="58">
        <f t="shared" ca="1" si="53"/>
        <v>0</v>
      </c>
      <c r="EI181" s="58">
        <f t="shared" ca="1" si="53"/>
        <v>0</v>
      </c>
      <c r="EJ181" s="58">
        <f t="shared" ca="1" si="53"/>
        <v>0</v>
      </c>
      <c r="EK181" s="58">
        <f t="shared" ca="1" si="53"/>
        <v>0</v>
      </c>
      <c r="EL181" s="58">
        <f t="shared" ca="1" si="53"/>
        <v>0</v>
      </c>
      <c r="EM181" s="58">
        <f t="shared" ca="1" si="53"/>
        <v>0</v>
      </c>
      <c r="EN181" s="58">
        <f t="shared" ca="1" si="53"/>
        <v>0</v>
      </c>
      <c r="EO181" s="58">
        <f t="shared" ca="1" si="53"/>
        <v>0</v>
      </c>
      <c r="EP181" s="58">
        <f t="shared" ca="1" si="53"/>
        <v>0</v>
      </c>
      <c r="EQ181" s="58">
        <f t="shared" ca="1" si="53"/>
        <v>0</v>
      </c>
      <c r="ER181" s="58">
        <f t="shared" ca="1" si="53"/>
        <v>0</v>
      </c>
      <c r="ES181" s="58">
        <f t="shared" ca="1" si="53"/>
        <v>0</v>
      </c>
      <c r="ET181" s="58">
        <f t="shared" ca="1" si="53"/>
        <v>0</v>
      </c>
      <c r="EU181" s="58">
        <f t="shared" ca="1" si="53"/>
        <v>0</v>
      </c>
      <c r="EV181" s="58">
        <f t="shared" ca="1" si="53"/>
        <v>0</v>
      </c>
      <c r="EW181" s="58">
        <f t="shared" ca="1" si="53"/>
        <v>0</v>
      </c>
      <c r="EX181" s="58">
        <f t="shared" ca="1" si="53"/>
        <v>0</v>
      </c>
      <c r="EY181" s="58">
        <f t="shared" ca="1" si="53"/>
        <v>0</v>
      </c>
      <c r="EZ181" s="58">
        <f t="shared" ca="1" si="53"/>
        <v>0</v>
      </c>
      <c r="FA181" s="58">
        <f t="shared" ca="1" si="53"/>
        <v>0</v>
      </c>
      <c r="FB181" s="58">
        <f t="shared" ca="1" si="53"/>
        <v>0</v>
      </c>
      <c r="FC181" s="58">
        <f t="shared" ca="1" si="53"/>
        <v>0</v>
      </c>
      <c r="FD181" s="58">
        <f t="shared" ca="1" si="53"/>
        <v>0</v>
      </c>
      <c r="FE181" s="58">
        <f t="shared" ca="1" si="53"/>
        <v>0</v>
      </c>
      <c r="FF181" s="58">
        <f t="shared" ca="1" si="53"/>
        <v>0</v>
      </c>
      <c r="FG181" s="58">
        <f t="shared" ca="1" si="53"/>
        <v>0</v>
      </c>
      <c r="FH181" s="58">
        <f t="shared" ca="1" si="53"/>
        <v>0</v>
      </c>
      <c r="FI181" s="58">
        <f t="shared" ca="1" si="53"/>
        <v>0</v>
      </c>
      <c r="FJ181" s="58">
        <f t="shared" ca="1" si="53"/>
        <v>0</v>
      </c>
      <c r="FK181" s="58">
        <f t="shared" ca="1" si="53"/>
        <v>0</v>
      </c>
      <c r="FL181" s="58">
        <f t="shared" ca="1" si="53"/>
        <v>0</v>
      </c>
      <c r="FM181" s="58">
        <f t="shared" ca="1" si="53"/>
        <v>0</v>
      </c>
      <c r="FN181" s="58">
        <f t="shared" ca="1" si="53"/>
        <v>0</v>
      </c>
      <c r="FO181" s="13"/>
    </row>
    <row r="182" spans="1:171" outlineLevel="1" x14ac:dyDescent="0.3">
      <c r="A182" s="13"/>
      <c r="B182" s="13"/>
      <c r="C182" s="13"/>
      <c r="D182" s="52">
        <f t="shared" si="31"/>
        <v>40299</v>
      </c>
      <c r="E182" s="53">
        <f t="shared" si="32"/>
        <v>2010</v>
      </c>
      <c r="F182" s="53">
        <f t="shared" si="33"/>
        <v>-44</v>
      </c>
      <c r="G182" s="58">
        <f t="shared" ref="G182:AL182" ca="1" si="54">+IF(OR($F182+G$175&lt;1,(G$176-1)*12&lt;-$F182),0,OFFSET(G12,0,$F182))</f>
        <v>0</v>
      </c>
      <c r="H182" s="58">
        <f t="shared" ca="1" si="54"/>
        <v>0</v>
      </c>
      <c r="I182" s="58">
        <f t="shared" ca="1" si="54"/>
        <v>0</v>
      </c>
      <c r="J182" s="58">
        <f t="shared" ca="1" si="54"/>
        <v>0</v>
      </c>
      <c r="K182" s="58">
        <f t="shared" ca="1" si="54"/>
        <v>0</v>
      </c>
      <c r="L182" s="58">
        <f t="shared" ca="1" si="54"/>
        <v>0</v>
      </c>
      <c r="M182" s="58">
        <f t="shared" ca="1" si="54"/>
        <v>0</v>
      </c>
      <c r="N182" s="58">
        <f t="shared" ca="1" si="54"/>
        <v>0</v>
      </c>
      <c r="O182" s="58">
        <f t="shared" ca="1" si="54"/>
        <v>0</v>
      </c>
      <c r="P182" s="58">
        <f t="shared" ca="1" si="54"/>
        <v>0</v>
      </c>
      <c r="Q182" s="58">
        <f t="shared" ca="1" si="54"/>
        <v>0</v>
      </c>
      <c r="R182" s="58">
        <f t="shared" ca="1" si="54"/>
        <v>0</v>
      </c>
      <c r="S182" s="58">
        <f t="shared" ca="1" si="54"/>
        <v>0</v>
      </c>
      <c r="T182" s="58">
        <f t="shared" ca="1" si="54"/>
        <v>0</v>
      </c>
      <c r="U182" s="58">
        <f t="shared" ca="1" si="54"/>
        <v>0</v>
      </c>
      <c r="V182" s="58">
        <f t="shared" ca="1" si="54"/>
        <v>0</v>
      </c>
      <c r="W182" s="58">
        <f t="shared" ca="1" si="54"/>
        <v>0</v>
      </c>
      <c r="X182" s="58">
        <f t="shared" ca="1" si="54"/>
        <v>0</v>
      </c>
      <c r="Y182" s="58">
        <f t="shared" ca="1" si="54"/>
        <v>0</v>
      </c>
      <c r="Z182" s="58">
        <f t="shared" ca="1" si="54"/>
        <v>0</v>
      </c>
      <c r="AA182" s="58">
        <f t="shared" ca="1" si="54"/>
        <v>0</v>
      </c>
      <c r="AB182" s="58">
        <f t="shared" ca="1" si="54"/>
        <v>0</v>
      </c>
      <c r="AC182" s="58">
        <f t="shared" ca="1" si="54"/>
        <v>0</v>
      </c>
      <c r="AD182" s="58">
        <f t="shared" ca="1" si="54"/>
        <v>0</v>
      </c>
      <c r="AE182" s="58">
        <f t="shared" ca="1" si="54"/>
        <v>0</v>
      </c>
      <c r="AF182" s="58">
        <f t="shared" ca="1" si="54"/>
        <v>0</v>
      </c>
      <c r="AG182" s="58">
        <f t="shared" ca="1" si="54"/>
        <v>0</v>
      </c>
      <c r="AH182" s="58">
        <f t="shared" ca="1" si="54"/>
        <v>0</v>
      </c>
      <c r="AI182" s="58">
        <f t="shared" ca="1" si="54"/>
        <v>0</v>
      </c>
      <c r="AJ182" s="58">
        <f t="shared" ca="1" si="54"/>
        <v>0</v>
      </c>
      <c r="AK182" s="58">
        <f t="shared" ca="1" si="54"/>
        <v>0</v>
      </c>
      <c r="AL182" s="58">
        <f t="shared" ca="1" si="54"/>
        <v>0</v>
      </c>
      <c r="AM182" s="58">
        <f t="shared" ref="AM182:BR182" ca="1" si="55">+IF(OR($F182+AM$175&lt;1,(AM$176-1)*12&lt;-$F182),0,OFFSET(AM12,0,$F182))</f>
        <v>0</v>
      </c>
      <c r="AN182" s="58">
        <f t="shared" ca="1" si="55"/>
        <v>0</v>
      </c>
      <c r="AO182" s="58">
        <f t="shared" ca="1" si="55"/>
        <v>0</v>
      </c>
      <c r="AP182" s="58">
        <f t="shared" ca="1" si="55"/>
        <v>0</v>
      </c>
      <c r="AQ182" s="58">
        <f t="shared" ca="1" si="55"/>
        <v>0</v>
      </c>
      <c r="AR182" s="58">
        <f t="shared" ca="1" si="55"/>
        <v>0</v>
      </c>
      <c r="AS182" s="58">
        <f t="shared" ca="1" si="55"/>
        <v>0</v>
      </c>
      <c r="AT182" s="58">
        <f t="shared" ca="1" si="55"/>
        <v>0</v>
      </c>
      <c r="AU182" s="58">
        <f t="shared" ca="1" si="55"/>
        <v>0</v>
      </c>
      <c r="AV182" s="58">
        <f t="shared" ca="1" si="55"/>
        <v>0</v>
      </c>
      <c r="AW182" s="58">
        <f t="shared" ca="1" si="55"/>
        <v>0</v>
      </c>
      <c r="AX182" s="58">
        <f t="shared" ca="1" si="55"/>
        <v>0</v>
      </c>
      <c r="AY182" s="58">
        <f t="shared" ca="1" si="55"/>
        <v>0</v>
      </c>
      <c r="AZ182" s="58">
        <f t="shared" ca="1" si="55"/>
        <v>0</v>
      </c>
      <c r="BA182" s="58">
        <f t="shared" ca="1" si="55"/>
        <v>0</v>
      </c>
      <c r="BB182" s="58">
        <f t="shared" ca="1" si="55"/>
        <v>0</v>
      </c>
      <c r="BC182" s="58">
        <f t="shared" ca="1" si="55"/>
        <v>0</v>
      </c>
      <c r="BD182" s="58">
        <f t="shared" ca="1" si="55"/>
        <v>0</v>
      </c>
      <c r="BE182" s="58">
        <f t="shared" ca="1" si="55"/>
        <v>0</v>
      </c>
      <c r="BF182" s="58">
        <f t="shared" ca="1" si="55"/>
        <v>0</v>
      </c>
      <c r="BG182" s="58">
        <f t="shared" ca="1" si="55"/>
        <v>0</v>
      </c>
      <c r="BH182" s="58">
        <f t="shared" ca="1" si="55"/>
        <v>0</v>
      </c>
      <c r="BI182" s="58">
        <f t="shared" ca="1" si="55"/>
        <v>0</v>
      </c>
      <c r="BJ182" s="58">
        <f t="shared" ca="1" si="55"/>
        <v>0</v>
      </c>
      <c r="BK182" s="58">
        <f t="shared" ca="1" si="55"/>
        <v>0</v>
      </c>
      <c r="BL182" s="58">
        <f t="shared" ca="1" si="55"/>
        <v>0</v>
      </c>
      <c r="BM182" s="58">
        <f t="shared" ca="1" si="55"/>
        <v>0</v>
      </c>
      <c r="BN182" s="58">
        <f t="shared" ca="1" si="55"/>
        <v>0</v>
      </c>
      <c r="BO182" s="58">
        <f t="shared" ca="1" si="55"/>
        <v>0</v>
      </c>
      <c r="BP182" s="58">
        <f t="shared" ca="1" si="55"/>
        <v>0</v>
      </c>
      <c r="BQ182" s="58">
        <f t="shared" ca="1" si="55"/>
        <v>0</v>
      </c>
      <c r="BR182" s="58">
        <f t="shared" ca="1" si="55"/>
        <v>0</v>
      </c>
      <c r="BS182" s="58">
        <f t="shared" ref="BS182:CX182" ca="1" si="56">+IF(OR($F182+BS$175&lt;1,(BS$176-1)*12&lt;-$F182),0,OFFSET(BS12,0,$F182))</f>
        <v>0</v>
      </c>
      <c r="BT182" s="58">
        <f t="shared" ca="1" si="56"/>
        <v>0</v>
      </c>
      <c r="BU182" s="58">
        <f t="shared" ca="1" si="56"/>
        <v>0</v>
      </c>
      <c r="BV182" s="58">
        <f t="shared" ca="1" si="56"/>
        <v>0</v>
      </c>
      <c r="BW182" s="58">
        <f t="shared" ca="1" si="56"/>
        <v>0</v>
      </c>
      <c r="BX182" s="58">
        <f t="shared" ca="1" si="56"/>
        <v>0</v>
      </c>
      <c r="BY182" s="58">
        <f t="shared" ca="1" si="56"/>
        <v>0</v>
      </c>
      <c r="BZ182" s="58">
        <f t="shared" ca="1" si="56"/>
        <v>0</v>
      </c>
      <c r="CA182" s="58">
        <f t="shared" ca="1" si="56"/>
        <v>0</v>
      </c>
      <c r="CB182" s="58">
        <f t="shared" ca="1" si="56"/>
        <v>0</v>
      </c>
      <c r="CC182" s="58">
        <f t="shared" ca="1" si="56"/>
        <v>0</v>
      </c>
      <c r="CD182" s="58">
        <f t="shared" ca="1" si="56"/>
        <v>0</v>
      </c>
      <c r="CE182" s="58">
        <f t="shared" ca="1" si="56"/>
        <v>0</v>
      </c>
      <c r="CF182" s="58">
        <f t="shared" ca="1" si="56"/>
        <v>0</v>
      </c>
      <c r="CG182" s="58">
        <f t="shared" ca="1" si="56"/>
        <v>0</v>
      </c>
      <c r="CH182" s="58">
        <f t="shared" ca="1" si="56"/>
        <v>0</v>
      </c>
      <c r="CI182" s="58">
        <f t="shared" ca="1" si="56"/>
        <v>0</v>
      </c>
      <c r="CJ182" s="58">
        <f t="shared" ca="1" si="56"/>
        <v>0</v>
      </c>
      <c r="CK182" s="58">
        <f t="shared" ca="1" si="56"/>
        <v>0</v>
      </c>
      <c r="CL182" s="58">
        <f t="shared" ca="1" si="56"/>
        <v>0</v>
      </c>
      <c r="CM182" s="58">
        <f t="shared" ca="1" si="56"/>
        <v>0</v>
      </c>
      <c r="CN182" s="58">
        <f t="shared" ca="1" si="56"/>
        <v>0</v>
      </c>
      <c r="CO182" s="58">
        <f t="shared" ca="1" si="56"/>
        <v>0</v>
      </c>
      <c r="CP182" s="58">
        <f t="shared" ca="1" si="56"/>
        <v>0</v>
      </c>
      <c r="CQ182" s="58">
        <f t="shared" ca="1" si="56"/>
        <v>0</v>
      </c>
      <c r="CR182" s="58">
        <f t="shared" ca="1" si="56"/>
        <v>0</v>
      </c>
      <c r="CS182" s="58">
        <f t="shared" ca="1" si="56"/>
        <v>0</v>
      </c>
      <c r="CT182" s="58">
        <f t="shared" ca="1" si="56"/>
        <v>0</v>
      </c>
      <c r="CU182" s="58">
        <f t="shared" ca="1" si="56"/>
        <v>0</v>
      </c>
      <c r="CV182" s="58">
        <f t="shared" ca="1" si="56"/>
        <v>0</v>
      </c>
      <c r="CW182" s="58">
        <f t="shared" ca="1" si="56"/>
        <v>0</v>
      </c>
      <c r="CX182" s="58">
        <f t="shared" ca="1" si="56"/>
        <v>0</v>
      </c>
      <c r="CY182" s="58">
        <f t="shared" ref="CY182:ED182" ca="1" si="57">+IF(OR($F182+CY$175&lt;1,(CY$176-1)*12&lt;-$F182),0,OFFSET(CY12,0,$F182))</f>
        <v>0</v>
      </c>
      <c r="CZ182" s="58">
        <f t="shared" ca="1" si="57"/>
        <v>0</v>
      </c>
      <c r="DA182" s="58">
        <f t="shared" ca="1" si="57"/>
        <v>0</v>
      </c>
      <c r="DB182" s="58">
        <f t="shared" ca="1" si="57"/>
        <v>0</v>
      </c>
      <c r="DC182" s="58">
        <f t="shared" ca="1" si="57"/>
        <v>0</v>
      </c>
      <c r="DD182" s="58">
        <f t="shared" ca="1" si="57"/>
        <v>0</v>
      </c>
      <c r="DE182" s="58">
        <f t="shared" ca="1" si="57"/>
        <v>0</v>
      </c>
      <c r="DF182" s="58">
        <f t="shared" ca="1" si="57"/>
        <v>0</v>
      </c>
      <c r="DG182" s="58">
        <f t="shared" ca="1" si="57"/>
        <v>0</v>
      </c>
      <c r="DH182" s="58">
        <f t="shared" ca="1" si="57"/>
        <v>0</v>
      </c>
      <c r="DI182" s="58">
        <f t="shared" ca="1" si="57"/>
        <v>0</v>
      </c>
      <c r="DJ182" s="58">
        <f t="shared" ca="1" si="57"/>
        <v>0</v>
      </c>
      <c r="DK182" s="58">
        <f t="shared" ca="1" si="57"/>
        <v>0</v>
      </c>
      <c r="DL182" s="58">
        <f t="shared" ca="1" si="57"/>
        <v>0</v>
      </c>
      <c r="DM182" s="58">
        <f t="shared" ca="1" si="57"/>
        <v>0</v>
      </c>
      <c r="DN182" s="58">
        <f t="shared" ca="1" si="57"/>
        <v>0</v>
      </c>
      <c r="DO182" s="58">
        <f t="shared" ca="1" si="57"/>
        <v>0</v>
      </c>
      <c r="DP182" s="58">
        <f t="shared" ca="1" si="57"/>
        <v>0</v>
      </c>
      <c r="DQ182" s="58">
        <f t="shared" ca="1" si="57"/>
        <v>0</v>
      </c>
      <c r="DR182" s="58">
        <f t="shared" ca="1" si="57"/>
        <v>0</v>
      </c>
      <c r="DS182" s="58">
        <f t="shared" ca="1" si="57"/>
        <v>0</v>
      </c>
      <c r="DT182" s="58">
        <f t="shared" ca="1" si="57"/>
        <v>0</v>
      </c>
      <c r="DU182" s="58">
        <f t="shared" ca="1" si="57"/>
        <v>0</v>
      </c>
      <c r="DV182" s="58">
        <f t="shared" ca="1" si="57"/>
        <v>0</v>
      </c>
      <c r="DW182" s="58">
        <f t="shared" ca="1" si="57"/>
        <v>0</v>
      </c>
      <c r="DX182" s="58">
        <f t="shared" ca="1" si="57"/>
        <v>0</v>
      </c>
      <c r="DY182" s="58">
        <f t="shared" ca="1" si="57"/>
        <v>0</v>
      </c>
      <c r="DZ182" s="58">
        <f t="shared" ca="1" si="57"/>
        <v>0</v>
      </c>
      <c r="EA182" s="58">
        <f t="shared" ca="1" si="57"/>
        <v>0</v>
      </c>
      <c r="EB182" s="58">
        <f t="shared" ca="1" si="57"/>
        <v>0</v>
      </c>
      <c r="EC182" s="58">
        <f t="shared" ca="1" si="57"/>
        <v>0</v>
      </c>
      <c r="ED182" s="58">
        <f t="shared" ca="1" si="57"/>
        <v>0</v>
      </c>
      <c r="EE182" s="58">
        <f t="shared" ref="EE182:FN182" ca="1" si="58">+IF(OR($F182+EE$175&lt;1,(EE$176-1)*12&lt;-$F182),0,OFFSET(EE12,0,$F182))</f>
        <v>0</v>
      </c>
      <c r="EF182" s="58">
        <f t="shared" ca="1" si="58"/>
        <v>0</v>
      </c>
      <c r="EG182" s="58">
        <f t="shared" ca="1" si="58"/>
        <v>0</v>
      </c>
      <c r="EH182" s="58">
        <f t="shared" ca="1" si="58"/>
        <v>0</v>
      </c>
      <c r="EI182" s="58">
        <f t="shared" ca="1" si="58"/>
        <v>0</v>
      </c>
      <c r="EJ182" s="58">
        <f t="shared" ca="1" si="58"/>
        <v>0</v>
      </c>
      <c r="EK182" s="58">
        <f t="shared" ca="1" si="58"/>
        <v>0</v>
      </c>
      <c r="EL182" s="58">
        <f t="shared" ca="1" si="58"/>
        <v>0</v>
      </c>
      <c r="EM182" s="58">
        <f t="shared" ca="1" si="58"/>
        <v>0</v>
      </c>
      <c r="EN182" s="58">
        <f t="shared" ca="1" si="58"/>
        <v>0</v>
      </c>
      <c r="EO182" s="58">
        <f t="shared" ca="1" si="58"/>
        <v>0</v>
      </c>
      <c r="EP182" s="58">
        <f t="shared" ca="1" si="58"/>
        <v>0</v>
      </c>
      <c r="EQ182" s="58">
        <f t="shared" ca="1" si="58"/>
        <v>0</v>
      </c>
      <c r="ER182" s="58">
        <f t="shared" ca="1" si="58"/>
        <v>0</v>
      </c>
      <c r="ES182" s="58">
        <f t="shared" ca="1" si="58"/>
        <v>0</v>
      </c>
      <c r="ET182" s="58">
        <f t="shared" ca="1" si="58"/>
        <v>0</v>
      </c>
      <c r="EU182" s="58">
        <f t="shared" ca="1" si="58"/>
        <v>0</v>
      </c>
      <c r="EV182" s="58">
        <f t="shared" ca="1" si="58"/>
        <v>0</v>
      </c>
      <c r="EW182" s="58">
        <f t="shared" ca="1" si="58"/>
        <v>0</v>
      </c>
      <c r="EX182" s="58">
        <f t="shared" ca="1" si="58"/>
        <v>0</v>
      </c>
      <c r="EY182" s="58">
        <f t="shared" ca="1" si="58"/>
        <v>0</v>
      </c>
      <c r="EZ182" s="58">
        <f t="shared" ca="1" si="58"/>
        <v>0</v>
      </c>
      <c r="FA182" s="58">
        <f t="shared" ca="1" si="58"/>
        <v>0</v>
      </c>
      <c r="FB182" s="58">
        <f t="shared" ca="1" si="58"/>
        <v>0</v>
      </c>
      <c r="FC182" s="58">
        <f t="shared" ca="1" si="58"/>
        <v>0</v>
      </c>
      <c r="FD182" s="58">
        <f t="shared" ca="1" si="58"/>
        <v>0</v>
      </c>
      <c r="FE182" s="58">
        <f t="shared" ca="1" si="58"/>
        <v>0</v>
      </c>
      <c r="FF182" s="58">
        <f t="shared" ca="1" si="58"/>
        <v>0</v>
      </c>
      <c r="FG182" s="58">
        <f t="shared" ca="1" si="58"/>
        <v>0</v>
      </c>
      <c r="FH182" s="58">
        <f t="shared" ca="1" si="58"/>
        <v>0</v>
      </c>
      <c r="FI182" s="58">
        <f t="shared" ca="1" si="58"/>
        <v>0</v>
      </c>
      <c r="FJ182" s="58">
        <f t="shared" ca="1" si="58"/>
        <v>0</v>
      </c>
      <c r="FK182" s="58">
        <f t="shared" ca="1" si="58"/>
        <v>0</v>
      </c>
      <c r="FL182" s="58">
        <f t="shared" ca="1" si="58"/>
        <v>0</v>
      </c>
      <c r="FM182" s="58">
        <f t="shared" ca="1" si="58"/>
        <v>0</v>
      </c>
      <c r="FN182" s="58">
        <f t="shared" ca="1" si="58"/>
        <v>0</v>
      </c>
      <c r="FO182" s="13"/>
    </row>
    <row r="183" spans="1:171" outlineLevel="1" x14ac:dyDescent="0.3">
      <c r="A183" s="13"/>
      <c r="B183" s="13"/>
      <c r="C183" s="13"/>
      <c r="D183" s="52">
        <f t="shared" si="31"/>
        <v>40330</v>
      </c>
      <c r="E183" s="53">
        <f t="shared" si="32"/>
        <v>2010</v>
      </c>
      <c r="F183" s="53">
        <f t="shared" si="33"/>
        <v>-43</v>
      </c>
      <c r="G183" s="58">
        <f t="shared" ref="G183:AL183" ca="1" si="59">+IF(OR($F183+G$175&lt;1,(G$176-1)*12&lt;-$F183),0,OFFSET(G13,0,$F183))</f>
        <v>0</v>
      </c>
      <c r="H183" s="58">
        <f t="shared" ca="1" si="59"/>
        <v>0</v>
      </c>
      <c r="I183" s="58">
        <f t="shared" ca="1" si="59"/>
        <v>0</v>
      </c>
      <c r="J183" s="58">
        <f t="shared" ca="1" si="59"/>
        <v>0</v>
      </c>
      <c r="K183" s="58">
        <f t="shared" ca="1" si="59"/>
        <v>0</v>
      </c>
      <c r="L183" s="58">
        <f t="shared" ca="1" si="59"/>
        <v>0</v>
      </c>
      <c r="M183" s="58">
        <f t="shared" ca="1" si="59"/>
        <v>0</v>
      </c>
      <c r="N183" s="58">
        <f t="shared" ca="1" si="59"/>
        <v>0</v>
      </c>
      <c r="O183" s="58">
        <f t="shared" ca="1" si="59"/>
        <v>0</v>
      </c>
      <c r="P183" s="58">
        <f t="shared" ca="1" si="59"/>
        <v>0</v>
      </c>
      <c r="Q183" s="58">
        <f t="shared" ca="1" si="59"/>
        <v>0</v>
      </c>
      <c r="R183" s="58">
        <f t="shared" ca="1" si="59"/>
        <v>0</v>
      </c>
      <c r="S183" s="58">
        <f t="shared" ca="1" si="59"/>
        <v>0</v>
      </c>
      <c r="T183" s="58">
        <f t="shared" ca="1" si="59"/>
        <v>0</v>
      </c>
      <c r="U183" s="58">
        <f t="shared" ca="1" si="59"/>
        <v>0</v>
      </c>
      <c r="V183" s="58">
        <f t="shared" ca="1" si="59"/>
        <v>0</v>
      </c>
      <c r="W183" s="58">
        <f t="shared" ca="1" si="59"/>
        <v>0</v>
      </c>
      <c r="X183" s="58">
        <f t="shared" ca="1" si="59"/>
        <v>0</v>
      </c>
      <c r="Y183" s="58">
        <f t="shared" ca="1" si="59"/>
        <v>0</v>
      </c>
      <c r="Z183" s="58">
        <f t="shared" ca="1" si="59"/>
        <v>0</v>
      </c>
      <c r="AA183" s="58">
        <f t="shared" ca="1" si="59"/>
        <v>0</v>
      </c>
      <c r="AB183" s="58">
        <f t="shared" ca="1" si="59"/>
        <v>0</v>
      </c>
      <c r="AC183" s="58">
        <f t="shared" ca="1" si="59"/>
        <v>0</v>
      </c>
      <c r="AD183" s="58">
        <f t="shared" ca="1" si="59"/>
        <v>0</v>
      </c>
      <c r="AE183" s="58">
        <f t="shared" ca="1" si="59"/>
        <v>0</v>
      </c>
      <c r="AF183" s="58">
        <f t="shared" ca="1" si="59"/>
        <v>0</v>
      </c>
      <c r="AG183" s="58">
        <f t="shared" ca="1" si="59"/>
        <v>0</v>
      </c>
      <c r="AH183" s="58">
        <f t="shared" ca="1" si="59"/>
        <v>0</v>
      </c>
      <c r="AI183" s="58">
        <f t="shared" ca="1" si="59"/>
        <v>0</v>
      </c>
      <c r="AJ183" s="58">
        <f t="shared" ca="1" si="59"/>
        <v>0</v>
      </c>
      <c r="AK183" s="58">
        <f t="shared" ca="1" si="59"/>
        <v>0</v>
      </c>
      <c r="AL183" s="58">
        <f t="shared" ca="1" si="59"/>
        <v>0</v>
      </c>
      <c r="AM183" s="58">
        <f t="shared" ref="AM183:BR183" ca="1" si="60">+IF(OR($F183+AM$175&lt;1,(AM$176-1)*12&lt;-$F183),0,OFFSET(AM13,0,$F183))</f>
        <v>0</v>
      </c>
      <c r="AN183" s="58">
        <f t="shared" ca="1" si="60"/>
        <v>0</v>
      </c>
      <c r="AO183" s="58">
        <f t="shared" ca="1" si="60"/>
        <v>0</v>
      </c>
      <c r="AP183" s="58">
        <f t="shared" ca="1" si="60"/>
        <v>0</v>
      </c>
      <c r="AQ183" s="58">
        <f t="shared" ca="1" si="60"/>
        <v>0</v>
      </c>
      <c r="AR183" s="58">
        <f t="shared" ca="1" si="60"/>
        <v>0</v>
      </c>
      <c r="AS183" s="58">
        <f t="shared" ca="1" si="60"/>
        <v>0</v>
      </c>
      <c r="AT183" s="58">
        <f t="shared" ca="1" si="60"/>
        <v>0</v>
      </c>
      <c r="AU183" s="58">
        <f t="shared" ca="1" si="60"/>
        <v>0</v>
      </c>
      <c r="AV183" s="58">
        <f t="shared" ca="1" si="60"/>
        <v>0</v>
      </c>
      <c r="AW183" s="58">
        <f t="shared" ca="1" si="60"/>
        <v>0</v>
      </c>
      <c r="AX183" s="58">
        <f t="shared" ca="1" si="60"/>
        <v>0</v>
      </c>
      <c r="AY183" s="58">
        <f t="shared" ca="1" si="60"/>
        <v>0</v>
      </c>
      <c r="AZ183" s="58">
        <f t="shared" ca="1" si="60"/>
        <v>0</v>
      </c>
      <c r="BA183" s="58">
        <f t="shared" ca="1" si="60"/>
        <v>0</v>
      </c>
      <c r="BB183" s="58">
        <f t="shared" ca="1" si="60"/>
        <v>0</v>
      </c>
      <c r="BC183" s="58">
        <f t="shared" ca="1" si="60"/>
        <v>0</v>
      </c>
      <c r="BD183" s="58">
        <f t="shared" ca="1" si="60"/>
        <v>0</v>
      </c>
      <c r="BE183" s="58">
        <f t="shared" ca="1" si="60"/>
        <v>0</v>
      </c>
      <c r="BF183" s="58">
        <f t="shared" ca="1" si="60"/>
        <v>0</v>
      </c>
      <c r="BG183" s="58">
        <f t="shared" ca="1" si="60"/>
        <v>0</v>
      </c>
      <c r="BH183" s="58">
        <f t="shared" ca="1" si="60"/>
        <v>0</v>
      </c>
      <c r="BI183" s="58">
        <f t="shared" ca="1" si="60"/>
        <v>0</v>
      </c>
      <c r="BJ183" s="58">
        <f t="shared" ca="1" si="60"/>
        <v>0</v>
      </c>
      <c r="BK183" s="58">
        <f t="shared" ca="1" si="60"/>
        <v>0</v>
      </c>
      <c r="BL183" s="58">
        <f t="shared" ca="1" si="60"/>
        <v>0</v>
      </c>
      <c r="BM183" s="58">
        <f t="shared" ca="1" si="60"/>
        <v>0</v>
      </c>
      <c r="BN183" s="58">
        <f t="shared" ca="1" si="60"/>
        <v>0</v>
      </c>
      <c r="BO183" s="58">
        <f t="shared" ca="1" si="60"/>
        <v>0</v>
      </c>
      <c r="BP183" s="58">
        <f t="shared" ca="1" si="60"/>
        <v>0</v>
      </c>
      <c r="BQ183" s="58">
        <f t="shared" ca="1" si="60"/>
        <v>0</v>
      </c>
      <c r="BR183" s="58">
        <f t="shared" ca="1" si="60"/>
        <v>0</v>
      </c>
      <c r="BS183" s="58">
        <f t="shared" ref="BS183:CX183" ca="1" si="61">+IF(OR($F183+BS$175&lt;1,(BS$176-1)*12&lt;-$F183),0,OFFSET(BS13,0,$F183))</f>
        <v>0</v>
      </c>
      <c r="BT183" s="58">
        <f t="shared" ca="1" si="61"/>
        <v>0</v>
      </c>
      <c r="BU183" s="58">
        <f t="shared" ca="1" si="61"/>
        <v>0</v>
      </c>
      <c r="BV183" s="58">
        <f t="shared" ca="1" si="61"/>
        <v>0</v>
      </c>
      <c r="BW183" s="58">
        <f t="shared" ca="1" si="61"/>
        <v>0</v>
      </c>
      <c r="BX183" s="58">
        <f t="shared" ca="1" si="61"/>
        <v>0</v>
      </c>
      <c r="BY183" s="58">
        <f t="shared" ca="1" si="61"/>
        <v>0</v>
      </c>
      <c r="BZ183" s="58">
        <f t="shared" ca="1" si="61"/>
        <v>0</v>
      </c>
      <c r="CA183" s="58">
        <f t="shared" ca="1" si="61"/>
        <v>0</v>
      </c>
      <c r="CB183" s="58">
        <f t="shared" ca="1" si="61"/>
        <v>0</v>
      </c>
      <c r="CC183" s="58">
        <f t="shared" ca="1" si="61"/>
        <v>0</v>
      </c>
      <c r="CD183" s="58">
        <f t="shared" ca="1" si="61"/>
        <v>0</v>
      </c>
      <c r="CE183" s="58">
        <f t="shared" ca="1" si="61"/>
        <v>0</v>
      </c>
      <c r="CF183" s="58">
        <f t="shared" ca="1" si="61"/>
        <v>0</v>
      </c>
      <c r="CG183" s="58">
        <f t="shared" ca="1" si="61"/>
        <v>0</v>
      </c>
      <c r="CH183" s="58">
        <f t="shared" ca="1" si="61"/>
        <v>0</v>
      </c>
      <c r="CI183" s="58">
        <f t="shared" ca="1" si="61"/>
        <v>0</v>
      </c>
      <c r="CJ183" s="58">
        <f t="shared" ca="1" si="61"/>
        <v>0</v>
      </c>
      <c r="CK183" s="58">
        <f t="shared" ca="1" si="61"/>
        <v>0</v>
      </c>
      <c r="CL183" s="58">
        <f t="shared" ca="1" si="61"/>
        <v>0</v>
      </c>
      <c r="CM183" s="58">
        <f t="shared" ca="1" si="61"/>
        <v>0</v>
      </c>
      <c r="CN183" s="58">
        <f t="shared" ca="1" si="61"/>
        <v>0</v>
      </c>
      <c r="CO183" s="58">
        <f t="shared" ca="1" si="61"/>
        <v>0</v>
      </c>
      <c r="CP183" s="58">
        <f t="shared" ca="1" si="61"/>
        <v>0</v>
      </c>
      <c r="CQ183" s="58">
        <f t="shared" ca="1" si="61"/>
        <v>0</v>
      </c>
      <c r="CR183" s="58">
        <f t="shared" ca="1" si="61"/>
        <v>0</v>
      </c>
      <c r="CS183" s="58">
        <f t="shared" ca="1" si="61"/>
        <v>0</v>
      </c>
      <c r="CT183" s="58">
        <f t="shared" ca="1" si="61"/>
        <v>0</v>
      </c>
      <c r="CU183" s="58">
        <f t="shared" ca="1" si="61"/>
        <v>0</v>
      </c>
      <c r="CV183" s="58">
        <f t="shared" ca="1" si="61"/>
        <v>0</v>
      </c>
      <c r="CW183" s="58">
        <f t="shared" ca="1" si="61"/>
        <v>0</v>
      </c>
      <c r="CX183" s="58">
        <f t="shared" ca="1" si="61"/>
        <v>0</v>
      </c>
      <c r="CY183" s="58">
        <f t="shared" ref="CY183:ED183" ca="1" si="62">+IF(OR($F183+CY$175&lt;1,(CY$176-1)*12&lt;-$F183),0,OFFSET(CY13,0,$F183))</f>
        <v>0</v>
      </c>
      <c r="CZ183" s="58">
        <f t="shared" ca="1" si="62"/>
        <v>0</v>
      </c>
      <c r="DA183" s="58">
        <f t="shared" ca="1" si="62"/>
        <v>0</v>
      </c>
      <c r="DB183" s="58">
        <f t="shared" ca="1" si="62"/>
        <v>0</v>
      </c>
      <c r="DC183" s="58">
        <f t="shared" ca="1" si="62"/>
        <v>0</v>
      </c>
      <c r="DD183" s="58">
        <f t="shared" ca="1" si="62"/>
        <v>0</v>
      </c>
      <c r="DE183" s="58">
        <f t="shared" ca="1" si="62"/>
        <v>0</v>
      </c>
      <c r="DF183" s="58">
        <f t="shared" ca="1" si="62"/>
        <v>0</v>
      </c>
      <c r="DG183" s="58">
        <f t="shared" ca="1" si="62"/>
        <v>0</v>
      </c>
      <c r="DH183" s="58">
        <f t="shared" ca="1" si="62"/>
        <v>0</v>
      </c>
      <c r="DI183" s="58">
        <f t="shared" ca="1" si="62"/>
        <v>0</v>
      </c>
      <c r="DJ183" s="58">
        <f t="shared" ca="1" si="62"/>
        <v>0</v>
      </c>
      <c r="DK183" s="58">
        <f t="shared" ca="1" si="62"/>
        <v>0</v>
      </c>
      <c r="DL183" s="58">
        <f t="shared" ca="1" si="62"/>
        <v>0</v>
      </c>
      <c r="DM183" s="58">
        <f t="shared" ca="1" si="62"/>
        <v>0</v>
      </c>
      <c r="DN183" s="58">
        <f t="shared" ca="1" si="62"/>
        <v>0</v>
      </c>
      <c r="DO183" s="58">
        <f t="shared" ca="1" si="62"/>
        <v>0</v>
      </c>
      <c r="DP183" s="58">
        <f t="shared" ca="1" si="62"/>
        <v>0</v>
      </c>
      <c r="DQ183" s="58">
        <f t="shared" ca="1" si="62"/>
        <v>0</v>
      </c>
      <c r="DR183" s="58">
        <f t="shared" ca="1" si="62"/>
        <v>0</v>
      </c>
      <c r="DS183" s="58">
        <f t="shared" ca="1" si="62"/>
        <v>0</v>
      </c>
      <c r="DT183" s="58">
        <f t="shared" ca="1" si="62"/>
        <v>0</v>
      </c>
      <c r="DU183" s="58">
        <f t="shared" ca="1" si="62"/>
        <v>0</v>
      </c>
      <c r="DV183" s="58">
        <f t="shared" ca="1" si="62"/>
        <v>0</v>
      </c>
      <c r="DW183" s="58">
        <f t="shared" ca="1" si="62"/>
        <v>0</v>
      </c>
      <c r="DX183" s="58">
        <f t="shared" ca="1" si="62"/>
        <v>0</v>
      </c>
      <c r="DY183" s="58">
        <f t="shared" ca="1" si="62"/>
        <v>0</v>
      </c>
      <c r="DZ183" s="58">
        <f t="shared" ca="1" si="62"/>
        <v>0</v>
      </c>
      <c r="EA183" s="58">
        <f t="shared" ca="1" si="62"/>
        <v>0</v>
      </c>
      <c r="EB183" s="58">
        <f t="shared" ca="1" si="62"/>
        <v>0</v>
      </c>
      <c r="EC183" s="58">
        <f t="shared" ca="1" si="62"/>
        <v>0</v>
      </c>
      <c r="ED183" s="58">
        <f t="shared" ca="1" si="62"/>
        <v>0</v>
      </c>
      <c r="EE183" s="58">
        <f t="shared" ref="EE183:FN183" ca="1" si="63">+IF(OR($F183+EE$175&lt;1,(EE$176-1)*12&lt;-$F183),0,OFFSET(EE13,0,$F183))</f>
        <v>0</v>
      </c>
      <c r="EF183" s="58">
        <f t="shared" ca="1" si="63"/>
        <v>0</v>
      </c>
      <c r="EG183" s="58">
        <f t="shared" ca="1" si="63"/>
        <v>0</v>
      </c>
      <c r="EH183" s="58">
        <f t="shared" ca="1" si="63"/>
        <v>0</v>
      </c>
      <c r="EI183" s="58">
        <f t="shared" ca="1" si="63"/>
        <v>0</v>
      </c>
      <c r="EJ183" s="58">
        <f t="shared" ca="1" si="63"/>
        <v>0</v>
      </c>
      <c r="EK183" s="58">
        <f t="shared" ca="1" si="63"/>
        <v>0</v>
      </c>
      <c r="EL183" s="58">
        <f t="shared" ca="1" si="63"/>
        <v>0</v>
      </c>
      <c r="EM183" s="58">
        <f t="shared" ca="1" si="63"/>
        <v>0</v>
      </c>
      <c r="EN183" s="58">
        <f t="shared" ca="1" si="63"/>
        <v>0</v>
      </c>
      <c r="EO183" s="58">
        <f t="shared" ca="1" si="63"/>
        <v>0</v>
      </c>
      <c r="EP183" s="58">
        <f t="shared" ca="1" si="63"/>
        <v>0</v>
      </c>
      <c r="EQ183" s="58">
        <f t="shared" ca="1" si="63"/>
        <v>0</v>
      </c>
      <c r="ER183" s="58">
        <f t="shared" ca="1" si="63"/>
        <v>0</v>
      </c>
      <c r="ES183" s="58">
        <f t="shared" ca="1" si="63"/>
        <v>0</v>
      </c>
      <c r="ET183" s="58">
        <f t="shared" ca="1" si="63"/>
        <v>0</v>
      </c>
      <c r="EU183" s="58">
        <f t="shared" ca="1" si="63"/>
        <v>0</v>
      </c>
      <c r="EV183" s="58">
        <f t="shared" ca="1" si="63"/>
        <v>0</v>
      </c>
      <c r="EW183" s="58">
        <f t="shared" ca="1" si="63"/>
        <v>0</v>
      </c>
      <c r="EX183" s="58">
        <f t="shared" ca="1" si="63"/>
        <v>0</v>
      </c>
      <c r="EY183" s="58">
        <f t="shared" ca="1" si="63"/>
        <v>0</v>
      </c>
      <c r="EZ183" s="58">
        <f t="shared" ca="1" si="63"/>
        <v>0</v>
      </c>
      <c r="FA183" s="58">
        <f t="shared" ca="1" si="63"/>
        <v>0</v>
      </c>
      <c r="FB183" s="58">
        <f t="shared" ca="1" si="63"/>
        <v>0</v>
      </c>
      <c r="FC183" s="58">
        <f t="shared" ca="1" si="63"/>
        <v>0</v>
      </c>
      <c r="FD183" s="58">
        <f t="shared" ca="1" si="63"/>
        <v>0</v>
      </c>
      <c r="FE183" s="58">
        <f t="shared" ca="1" si="63"/>
        <v>0</v>
      </c>
      <c r="FF183" s="58">
        <f t="shared" ca="1" si="63"/>
        <v>0</v>
      </c>
      <c r="FG183" s="58">
        <f t="shared" ca="1" si="63"/>
        <v>0</v>
      </c>
      <c r="FH183" s="58">
        <f t="shared" ca="1" si="63"/>
        <v>0</v>
      </c>
      <c r="FI183" s="58">
        <f t="shared" ca="1" si="63"/>
        <v>0</v>
      </c>
      <c r="FJ183" s="58">
        <f t="shared" ca="1" si="63"/>
        <v>0</v>
      </c>
      <c r="FK183" s="58">
        <f t="shared" ca="1" si="63"/>
        <v>0</v>
      </c>
      <c r="FL183" s="58">
        <f t="shared" ca="1" si="63"/>
        <v>0</v>
      </c>
      <c r="FM183" s="58">
        <f t="shared" ca="1" si="63"/>
        <v>0</v>
      </c>
      <c r="FN183" s="58">
        <f t="shared" ca="1" si="63"/>
        <v>0</v>
      </c>
      <c r="FO183" s="13"/>
    </row>
    <row r="184" spans="1:171" outlineLevel="1" x14ac:dyDescent="0.3">
      <c r="A184" s="13"/>
      <c r="B184" s="13"/>
      <c r="C184" s="13"/>
      <c r="D184" s="52">
        <f t="shared" si="31"/>
        <v>40360</v>
      </c>
      <c r="E184" s="53">
        <f t="shared" si="32"/>
        <v>2010</v>
      </c>
      <c r="F184" s="53">
        <f t="shared" si="33"/>
        <v>-42</v>
      </c>
      <c r="G184" s="58">
        <f t="shared" ref="G184:AL184" ca="1" si="64">+IF(OR($F184+G$175&lt;1,(G$176-1)*12&lt;-$F184),0,OFFSET(G14,0,$F184))</f>
        <v>0</v>
      </c>
      <c r="H184" s="58">
        <f t="shared" ca="1" si="64"/>
        <v>0</v>
      </c>
      <c r="I184" s="58">
        <f t="shared" ca="1" si="64"/>
        <v>0</v>
      </c>
      <c r="J184" s="58">
        <f t="shared" ca="1" si="64"/>
        <v>0</v>
      </c>
      <c r="K184" s="58">
        <f t="shared" ca="1" si="64"/>
        <v>0</v>
      </c>
      <c r="L184" s="58">
        <f t="shared" ca="1" si="64"/>
        <v>0</v>
      </c>
      <c r="M184" s="58">
        <f t="shared" ca="1" si="64"/>
        <v>0</v>
      </c>
      <c r="N184" s="58">
        <f t="shared" ca="1" si="64"/>
        <v>0</v>
      </c>
      <c r="O184" s="58">
        <f t="shared" ca="1" si="64"/>
        <v>0</v>
      </c>
      <c r="P184" s="58">
        <f t="shared" ca="1" si="64"/>
        <v>0</v>
      </c>
      <c r="Q184" s="58">
        <f t="shared" ca="1" si="64"/>
        <v>0</v>
      </c>
      <c r="R184" s="58">
        <f t="shared" ca="1" si="64"/>
        <v>0</v>
      </c>
      <c r="S184" s="58">
        <f t="shared" ca="1" si="64"/>
        <v>0</v>
      </c>
      <c r="T184" s="58">
        <f t="shared" ca="1" si="64"/>
        <v>0</v>
      </c>
      <c r="U184" s="58">
        <f t="shared" ca="1" si="64"/>
        <v>0</v>
      </c>
      <c r="V184" s="58">
        <f t="shared" ca="1" si="64"/>
        <v>0</v>
      </c>
      <c r="W184" s="58">
        <f t="shared" ca="1" si="64"/>
        <v>0</v>
      </c>
      <c r="X184" s="58">
        <f t="shared" ca="1" si="64"/>
        <v>0</v>
      </c>
      <c r="Y184" s="58">
        <f t="shared" ca="1" si="64"/>
        <v>0</v>
      </c>
      <c r="Z184" s="58">
        <f t="shared" ca="1" si="64"/>
        <v>0</v>
      </c>
      <c r="AA184" s="58">
        <f t="shared" ca="1" si="64"/>
        <v>0</v>
      </c>
      <c r="AB184" s="58">
        <f t="shared" ca="1" si="64"/>
        <v>0</v>
      </c>
      <c r="AC184" s="58">
        <f t="shared" ca="1" si="64"/>
        <v>0</v>
      </c>
      <c r="AD184" s="58">
        <f t="shared" ca="1" si="64"/>
        <v>0</v>
      </c>
      <c r="AE184" s="58">
        <f t="shared" ca="1" si="64"/>
        <v>0</v>
      </c>
      <c r="AF184" s="58">
        <f t="shared" ca="1" si="64"/>
        <v>0</v>
      </c>
      <c r="AG184" s="58">
        <f t="shared" ca="1" si="64"/>
        <v>0</v>
      </c>
      <c r="AH184" s="58">
        <f t="shared" ca="1" si="64"/>
        <v>0</v>
      </c>
      <c r="AI184" s="58">
        <f t="shared" ca="1" si="64"/>
        <v>0</v>
      </c>
      <c r="AJ184" s="58">
        <f t="shared" ca="1" si="64"/>
        <v>0</v>
      </c>
      <c r="AK184" s="58">
        <f t="shared" ca="1" si="64"/>
        <v>0</v>
      </c>
      <c r="AL184" s="58">
        <f t="shared" ca="1" si="64"/>
        <v>0</v>
      </c>
      <c r="AM184" s="58">
        <f t="shared" ref="AM184:BR184" ca="1" si="65">+IF(OR($F184+AM$175&lt;1,(AM$176-1)*12&lt;-$F184),0,OFFSET(AM14,0,$F184))</f>
        <v>0</v>
      </c>
      <c r="AN184" s="58">
        <f t="shared" ca="1" si="65"/>
        <v>0</v>
      </c>
      <c r="AO184" s="58">
        <f t="shared" ca="1" si="65"/>
        <v>0</v>
      </c>
      <c r="AP184" s="58">
        <f t="shared" ca="1" si="65"/>
        <v>0</v>
      </c>
      <c r="AQ184" s="58">
        <f t="shared" ca="1" si="65"/>
        <v>0</v>
      </c>
      <c r="AR184" s="58">
        <f t="shared" ca="1" si="65"/>
        <v>0</v>
      </c>
      <c r="AS184" s="58">
        <f t="shared" ca="1" si="65"/>
        <v>0</v>
      </c>
      <c r="AT184" s="58">
        <f t="shared" ca="1" si="65"/>
        <v>0</v>
      </c>
      <c r="AU184" s="58">
        <f t="shared" ca="1" si="65"/>
        <v>0</v>
      </c>
      <c r="AV184" s="58">
        <f t="shared" ca="1" si="65"/>
        <v>0</v>
      </c>
      <c r="AW184" s="58">
        <f t="shared" ca="1" si="65"/>
        <v>0</v>
      </c>
      <c r="AX184" s="58">
        <f t="shared" ca="1" si="65"/>
        <v>0</v>
      </c>
      <c r="AY184" s="58">
        <f t="shared" ca="1" si="65"/>
        <v>0</v>
      </c>
      <c r="AZ184" s="58">
        <f t="shared" ca="1" si="65"/>
        <v>0</v>
      </c>
      <c r="BA184" s="58">
        <f t="shared" ca="1" si="65"/>
        <v>0</v>
      </c>
      <c r="BB184" s="58">
        <f t="shared" ca="1" si="65"/>
        <v>0</v>
      </c>
      <c r="BC184" s="58">
        <f t="shared" ca="1" si="65"/>
        <v>0</v>
      </c>
      <c r="BD184" s="58">
        <f t="shared" ca="1" si="65"/>
        <v>0</v>
      </c>
      <c r="BE184" s="58">
        <f t="shared" ca="1" si="65"/>
        <v>0</v>
      </c>
      <c r="BF184" s="58">
        <f t="shared" ca="1" si="65"/>
        <v>0</v>
      </c>
      <c r="BG184" s="58">
        <f t="shared" ca="1" si="65"/>
        <v>0</v>
      </c>
      <c r="BH184" s="58">
        <f t="shared" ca="1" si="65"/>
        <v>0</v>
      </c>
      <c r="BI184" s="58">
        <f t="shared" ca="1" si="65"/>
        <v>0</v>
      </c>
      <c r="BJ184" s="58">
        <f t="shared" ca="1" si="65"/>
        <v>0</v>
      </c>
      <c r="BK184" s="58">
        <f t="shared" ca="1" si="65"/>
        <v>0</v>
      </c>
      <c r="BL184" s="58">
        <f t="shared" ca="1" si="65"/>
        <v>0</v>
      </c>
      <c r="BM184" s="58">
        <f t="shared" ca="1" si="65"/>
        <v>0</v>
      </c>
      <c r="BN184" s="58">
        <f t="shared" ca="1" si="65"/>
        <v>0</v>
      </c>
      <c r="BO184" s="58">
        <f t="shared" ca="1" si="65"/>
        <v>0</v>
      </c>
      <c r="BP184" s="58">
        <f t="shared" ca="1" si="65"/>
        <v>0</v>
      </c>
      <c r="BQ184" s="58">
        <f t="shared" ca="1" si="65"/>
        <v>0</v>
      </c>
      <c r="BR184" s="58">
        <f t="shared" ca="1" si="65"/>
        <v>0</v>
      </c>
      <c r="BS184" s="58">
        <f t="shared" ref="BS184:CX184" ca="1" si="66">+IF(OR($F184+BS$175&lt;1,(BS$176-1)*12&lt;-$F184),0,OFFSET(BS14,0,$F184))</f>
        <v>0</v>
      </c>
      <c r="BT184" s="58">
        <f t="shared" ca="1" si="66"/>
        <v>0</v>
      </c>
      <c r="BU184" s="58">
        <f t="shared" ca="1" si="66"/>
        <v>0</v>
      </c>
      <c r="BV184" s="58">
        <f t="shared" ca="1" si="66"/>
        <v>0</v>
      </c>
      <c r="BW184" s="58">
        <f t="shared" ca="1" si="66"/>
        <v>0</v>
      </c>
      <c r="BX184" s="58">
        <f t="shared" ca="1" si="66"/>
        <v>0</v>
      </c>
      <c r="BY184" s="58">
        <f t="shared" ca="1" si="66"/>
        <v>0</v>
      </c>
      <c r="BZ184" s="58">
        <f t="shared" ca="1" si="66"/>
        <v>0</v>
      </c>
      <c r="CA184" s="58">
        <f t="shared" ca="1" si="66"/>
        <v>0</v>
      </c>
      <c r="CB184" s="58">
        <f t="shared" ca="1" si="66"/>
        <v>0</v>
      </c>
      <c r="CC184" s="58">
        <f t="shared" ca="1" si="66"/>
        <v>0</v>
      </c>
      <c r="CD184" s="58">
        <f t="shared" ca="1" si="66"/>
        <v>0</v>
      </c>
      <c r="CE184" s="58">
        <f t="shared" ca="1" si="66"/>
        <v>0</v>
      </c>
      <c r="CF184" s="58">
        <f t="shared" ca="1" si="66"/>
        <v>0</v>
      </c>
      <c r="CG184" s="58">
        <f t="shared" ca="1" si="66"/>
        <v>0</v>
      </c>
      <c r="CH184" s="58">
        <f t="shared" ca="1" si="66"/>
        <v>0</v>
      </c>
      <c r="CI184" s="58">
        <f t="shared" ca="1" si="66"/>
        <v>0</v>
      </c>
      <c r="CJ184" s="58">
        <f t="shared" ca="1" si="66"/>
        <v>0</v>
      </c>
      <c r="CK184" s="58">
        <f t="shared" ca="1" si="66"/>
        <v>0</v>
      </c>
      <c r="CL184" s="58">
        <f t="shared" ca="1" si="66"/>
        <v>0</v>
      </c>
      <c r="CM184" s="58">
        <f t="shared" ca="1" si="66"/>
        <v>0</v>
      </c>
      <c r="CN184" s="58">
        <f t="shared" ca="1" si="66"/>
        <v>0</v>
      </c>
      <c r="CO184" s="58">
        <f t="shared" ca="1" si="66"/>
        <v>0</v>
      </c>
      <c r="CP184" s="58">
        <f t="shared" ca="1" si="66"/>
        <v>0</v>
      </c>
      <c r="CQ184" s="58">
        <f t="shared" ca="1" si="66"/>
        <v>0</v>
      </c>
      <c r="CR184" s="58">
        <f t="shared" ca="1" si="66"/>
        <v>0</v>
      </c>
      <c r="CS184" s="58">
        <f t="shared" ca="1" si="66"/>
        <v>0</v>
      </c>
      <c r="CT184" s="58">
        <f t="shared" ca="1" si="66"/>
        <v>0</v>
      </c>
      <c r="CU184" s="58">
        <f t="shared" ca="1" si="66"/>
        <v>0</v>
      </c>
      <c r="CV184" s="58">
        <f t="shared" ca="1" si="66"/>
        <v>0</v>
      </c>
      <c r="CW184" s="58">
        <f t="shared" ca="1" si="66"/>
        <v>0</v>
      </c>
      <c r="CX184" s="58">
        <f t="shared" ca="1" si="66"/>
        <v>0</v>
      </c>
      <c r="CY184" s="58">
        <f t="shared" ref="CY184:ED184" ca="1" si="67">+IF(OR($F184+CY$175&lt;1,(CY$176-1)*12&lt;-$F184),0,OFFSET(CY14,0,$F184))</f>
        <v>0</v>
      </c>
      <c r="CZ184" s="58">
        <f t="shared" ca="1" si="67"/>
        <v>0</v>
      </c>
      <c r="DA184" s="58">
        <f t="shared" ca="1" si="67"/>
        <v>0</v>
      </c>
      <c r="DB184" s="58">
        <f t="shared" ca="1" si="67"/>
        <v>0</v>
      </c>
      <c r="DC184" s="58">
        <f t="shared" ca="1" si="67"/>
        <v>0</v>
      </c>
      <c r="DD184" s="58">
        <f t="shared" ca="1" si="67"/>
        <v>0</v>
      </c>
      <c r="DE184" s="58">
        <f t="shared" ca="1" si="67"/>
        <v>0</v>
      </c>
      <c r="DF184" s="58">
        <f t="shared" ca="1" si="67"/>
        <v>0</v>
      </c>
      <c r="DG184" s="58">
        <f t="shared" ca="1" si="67"/>
        <v>0</v>
      </c>
      <c r="DH184" s="58">
        <f t="shared" ca="1" si="67"/>
        <v>0</v>
      </c>
      <c r="DI184" s="58">
        <f t="shared" ca="1" si="67"/>
        <v>0</v>
      </c>
      <c r="DJ184" s="58">
        <f t="shared" ca="1" si="67"/>
        <v>0</v>
      </c>
      <c r="DK184" s="58">
        <f t="shared" ca="1" si="67"/>
        <v>0</v>
      </c>
      <c r="DL184" s="58">
        <f t="shared" ca="1" si="67"/>
        <v>0</v>
      </c>
      <c r="DM184" s="58">
        <f t="shared" ca="1" si="67"/>
        <v>0</v>
      </c>
      <c r="DN184" s="58">
        <f t="shared" ca="1" si="67"/>
        <v>0</v>
      </c>
      <c r="DO184" s="58">
        <f t="shared" ca="1" si="67"/>
        <v>0</v>
      </c>
      <c r="DP184" s="58">
        <f t="shared" ca="1" si="67"/>
        <v>0</v>
      </c>
      <c r="DQ184" s="58">
        <f t="shared" ca="1" si="67"/>
        <v>0</v>
      </c>
      <c r="DR184" s="58">
        <f t="shared" ca="1" si="67"/>
        <v>0</v>
      </c>
      <c r="DS184" s="58">
        <f t="shared" ca="1" si="67"/>
        <v>0</v>
      </c>
      <c r="DT184" s="58">
        <f t="shared" ca="1" si="67"/>
        <v>0</v>
      </c>
      <c r="DU184" s="58">
        <f t="shared" ca="1" si="67"/>
        <v>0</v>
      </c>
      <c r="DV184" s="58">
        <f t="shared" ca="1" si="67"/>
        <v>0</v>
      </c>
      <c r="DW184" s="58">
        <f t="shared" ca="1" si="67"/>
        <v>0</v>
      </c>
      <c r="DX184" s="58">
        <f t="shared" ca="1" si="67"/>
        <v>0</v>
      </c>
      <c r="DY184" s="58">
        <f t="shared" ca="1" si="67"/>
        <v>0</v>
      </c>
      <c r="DZ184" s="58">
        <f t="shared" ca="1" si="67"/>
        <v>0</v>
      </c>
      <c r="EA184" s="58">
        <f t="shared" ca="1" si="67"/>
        <v>0</v>
      </c>
      <c r="EB184" s="58">
        <f t="shared" ca="1" si="67"/>
        <v>0</v>
      </c>
      <c r="EC184" s="58">
        <f t="shared" ca="1" si="67"/>
        <v>0</v>
      </c>
      <c r="ED184" s="58">
        <f t="shared" ca="1" si="67"/>
        <v>0</v>
      </c>
      <c r="EE184" s="58">
        <f t="shared" ref="EE184:FN184" ca="1" si="68">+IF(OR($F184+EE$175&lt;1,(EE$176-1)*12&lt;-$F184),0,OFFSET(EE14,0,$F184))</f>
        <v>0</v>
      </c>
      <c r="EF184" s="58">
        <f t="shared" ca="1" si="68"/>
        <v>0</v>
      </c>
      <c r="EG184" s="58">
        <f t="shared" ca="1" si="68"/>
        <v>0</v>
      </c>
      <c r="EH184" s="58">
        <f t="shared" ca="1" si="68"/>
        <v>0</v>
      </c>
      <c r="EI184" s="58">
        <f t="shared" ca="1" si="68"/>
        <v>0</v>
      </c>
      <c r="EJ184" s="58">
        <f t="shared" ca="1" si="68"/>
        <v>0</v>
      </c>
      <c r="EK184" s="58">
        <f t="shared" ca="1" si="68"/>
        <v>0</v>
      </c>
      <c r="EL184" s="58">
        <f t="shared" ca="1" si="68"/>
        <v>0</v>
      </c>
      <c r="EM184" s="58">
        <f t="shared" ca="1" si="68"/>
        <v>0</v>
      </c>
      <c r="EN184" s="58">
        <f t="shared" ca="1" si="68"/>
        <v>0</v>
      </c>
      <c r="EO184" s="58">
        <f t="shared" ca="1" si="68"/>
        <v>0</v>
      </c>
      <c r="EP184" s="58">
        <f t="shared" ca="1" si="68"/>
        <v>0</v>
      </c>
      <c r="EQ184" s="58">
        <f t="shared" ca="1" si="68"/>
        <v>0</v>
      </c>
      <c r="ER184" s="58">
        <f t="shared" ca="1" si="68"/>
        <v>0</v>
      </c>
      <c r="ES184" s="58">
        <f t="shared" ca="1" si="68"/>
        <v>0</v>
      </c>
      <c r="ET184" s="58">
        <f t="shared" ca="1" si="68"/>
        <v>0</v>
      </c>
      <c r="EU184" s="58">
        <f t="shared" ca="1" si="68"/>
        <v>0</v>
      </c>
      <c r="EV184" s="58">
        <f t="shared" ca="1" si="68"/>
        <v>0</v>
      </c>
      <c r="EW184" s="58">
        <f t="shared" ca="1" si="68"/>
        <v>0</v>
      </c>
      <c r="EX184" s="58">
        <f t="shared" ca="1" si="68"/>
        <v>0</v>
      </c>
      <c r="EY184" s="58">
        <f t="shared" ca="1" si="68"/>
        <v>0</v>
      </c>
      <c r="EZ184" s="58">
        <f t="shared" ca="1" si="68"/>
        <v>0</v>
      </c>
      <c r="FA184" s="58">
        <f t="shared" ca="1" si="68"/>
        <v>0</v>
      </c>
      <c r="FB184" s="58">
        <f t="shared" ca="1" si="68"/>
        <v>0</v>
      </c>
      <c r="FC184" s="58">
        <f t="shared" ca="1" si="68"/>
        <v>0</v>
      </c>
      <c r="FD184" s="58">
        <f t="shared" ca="1" si="68"/>
        <v>0</v>
      </c>
      <c r="FE184" s="58">
        <f t="shared" ca="1" si="68"/>
        <v>0</v>
      </c>
      <c r="FF184" s="58">
        <f t="shared" ca="1" si="68"/>
        <v>0</v>
      </c>
      <c r="FG184" s="58">
        <f t="shared" ca="1" si="68"/>
        <v>0</v>
      </c>
      <c r="FH184" s="58">
        <f t="shared" ca="1" si="68"/>
        <v>0</v>
      </c>
      <c r="FI184" s="58">
        <f t="shared" ca="1" si="68"/>
        <v>0</v>
      </c>
      <c r="FJ184" s="58">
        <f t="shared" ca="1" si="68"/>
        <v>0</v>
      </c>
      <c r="FK184" s="58">
        <f t="shared" ca="1" si="68"/>
        <v>0</v>
      </c>
      <c r="FL184" s="58">
        <f t="shared" ca="1" si="68"/>
        <v>0</v>
      </c>
      <c r="FM184" s="58">
        <f t="shared" ca="1" si="68"/>
        <v>0</v>
      </c>
      <c r="FN184" s="58">
        <f t="shared" ca="1" si="68"/>
        <v>0</v>
      </c>
      <c r="FO184" s="13"/>
    </row>
    <row r="185" spans="1:171" outlineLevel="1" x14ac:dyDescent="0.3">
      <c r="A185" s="13"/>
      <c r="B185" s="13"/>
      <c r="C185" s="13"/>
      <c r="D185" s="52">
        <f t="shared" si="31"/>
        <v>40391</v>
      </c>
      <c r="E185" s="53">
        <f t="shared" si="32"/>
        <v>2010</v>
      </c>
      <c r="F185" s="53">
        <f t="shared" si="33"/>
        <v>-41</v>
      </c>
      <c r="G185" s="58">
        <f t="shared" ref="G185:AL185" ca="1" si="69">+IF(OR($F185+G$175&lt;1,(G$176-1)*12&lt;-$F185),0,OFFSET(G15,0,$F185))</f>
        <v>0</v>
      </c>
      <c r="H185" s="58">
        <f t="shared" ca="1" si="69"/>
        <v>0</v>
      </c>
      <c r="I185" s="58">
        <f t="shared" ca="1" si="69"/>
        <v>0</v>
      </c>
      <c r="J185" s="58">
        <f t="shared" ca="1" si="69"/>
        <v>0</v>
      </c>
      <c r="K185" s="58">
        <f t="shared" ca="1" si="69"/>
        <v>0</v>
      </c>
      <c r="L185" s="58">
        <f t="shared" ca="1" si="69"/>
        <v>0</v>
      </c>
      <c r="M185" s="58">
        <f t="shared" ca="1" si="69"/>
        <v>0</v>
      </c>
      <c r="N185" s="58">
        <f t="shared" ca="1" si="69"/>
        <v>0</v>
      </c>
      <c r="O185" s="58">
        <f t="shared" ca="1" si="69"/>
        <v>0</v>
      </c>
      <c r="P185" s="58">
        <f t="shared" ca="1" si="69"/>
        <v>0</v>
      </c>
      <c r="Q185" s="58">
        <f t="shared" ca="1" si="69"/>
        <v>0</v>
      </c>
      <c r="R185" s="58">
        <f t="shared" ca="1" si="69"/>
        <v>0</v>
      </c>
      <c r="S185" s="58">
        <f t="shared" ca="1" si="69"/>
        <v>0</v>
      </c>
      <c r="T185" s="58">
        <f t="shared" ca="1" si="69"/>
        <v>0</v>
      </c>
      <c r="U185" s="58">
        <f t="shared" ca="1" si="69"/>
        <v>0</v>
      </c>
      <c r="V185" s="58">
        <f t="shared" ca="1" si="69"/>
        <v>0</v>
      </c>
      <c r="W185" s="58">
        <f t="shared" ca="1" si="69"/>
        <v>0</v>
      </c>
      <c r="X185" s="58">
        <f t="shared" ca="1" si="69"/>
        <v>0</v>
      </c>
      <c r="Y185" s="58">
        <f t="shared" ca="1" si="69"/>
        <v>0</v>
      </c>
      <c r="Z185" s="58">
        <f t="shared" ca="1" si="69"/>
        <v>0</v>
      </c>
      <c r="AA185" s="58">
        <f t="shared" ca="1" si="69"/>
        <v>0</v>
      </c>
      <c r="AB185" s="58">
        <f t="shared" ca="1" si="69"/>
        <v>0</v>
      </c>
      <c r="AC185" s="58">
        <f t="shared" ca="1" si="69"/>
        <v>0</v>
      </c>
      <c r="AD185" s="58">
        <f t="shared" ca="1" si="69"/>
        <v>0</v>
      </c>
      <c r="AE185" s="58">
        <f t="shared" ca="1" si="69"/>
        <v>0</v>
      </c>
      <c r="AF185" s="58">
        <f t="shared" ca="1" si="69"/>
        <v>0</v>
      </c>
      <c r="AG185" s="58">
        <f t="shared" ca="1" si="69"/>
        <v>0</v>
      </c>
      <c r="AH185" s="58">
        <f t="shared" ca="1" si="69"/>
        <v>0</v>
      </c>
      <c r="AI185" s="58">
        <f t="shared" ca="1" si="69"/>
        <v>0</v>
      </c>
      <c r="AJ185" s="58">
        <f t="shared" ca="1" si="69"/>
        <v>0</v>
      </c>
      <c r="AK185" s="58">
        <f t="shared" ca="1" si="69"/>
        <v>0</v>
      </c>
      <c r="AL185" s="58">
        <f t="shared" ca="1" si="69"/>
        <v>0</v>
      </c>
      <c r="AM185" s="58">
        <f t="shared" ref="AM185:BR185" ca="1" si="70">+IF(OR($F185+AM$175&lt;1,(AM$176-1)*12&lt;-$F185),0,OFFSET(AM15,0,$F185))</f>
        <v>0</v>
      </c>
      <c r="AN185" s="58">
        <f t="shared" ca="1" si="70"/>
        <v>0</v>
      </c>
      <c r="AO185" s="58">
        <f t="shared" ca="1" si="70"/>
        <v>0</v>
      </c>
      <c r="AP185" s="58">
        <f t="shared" ca="1" si="70"/>
        <v>0</v>
      </c>
      <c r="AQ185" s="58">
        <f t="shared" ca="1" si="70"/>
        <v>0</v>
      </c>
      <c r="AR185" s="58">
        <f t="shared" ca="1" si="70"/>
        <v>0</v>
      </c>
      <c r="AS185" s="58">
        <f t="shared" ca="1" si="70"/>
        <v>0</v>
      </c>
      <c r="AT185" s="58">
        <f t="shared" ca="1" si="70"/>
        <v>0</v>
      </c>
      <c r="AU185" s="58">
        <f t="shared" ca="1" si="70"/>
        <v>0</v>
      </c>
      <c r="AV185" s="58">
        <f t="shared" ca="1" si="70"/>
        <v>0</v>
      </c>
      <c r="AW185" s="58">
        <f t="shared" ca="1" si="70"/>
        <v>0</v>
      </c>
      <c r="AX185" s="58">
        <f t="shared" ca="1" si="70"/>
        <v>0</v>
      </c>
      <c r="AY185" s="58">
        <f t="shared" ca="1" si="70"/>
        <v>0</v>
      </c>
      <c r="AZ185" s="58">
        <f t="shared" ca="1" si="70"/>
        <v>0</v>
      </c>
      <c r="BA185" s="58">
        <f t="shared" ca="1" si="70"/>
        <v>0</v>
      </c>
      <c r="BB185" s="58">
        <f t="shared" ca="1" si="70"/>
        <v>0</v>
      </c>
      <c r="BC185" s="58">
        <f t="shared" ca="1" si="70"/>
        <v>0</v>
      </c>
      <c r="BD185" s="58">
        <f t="shared" ca="1" si="70"/>
        <v>0</v>
      </c>
      <c r="BE185" s="58">
        <f t="shared" ca="1" si="70"/>
        <v>0</v>
      </c>
      <c r="BF185" s="58">
        <f t="shared" ca="1" si="70"/>
        <v>0</v>
      </c>
      <c r="BG185" s="58">
        <f t="shared" ca="1" si="70"/>
        <v>0</v>
      </c>
      <c r="BH185" s="58">
        <f t="shared" ca="1" si="70"/>
        <v>0</v>
      </c>
      <c r="BI185" s="58">
        <f t="shared" ca="1" si="70"/>
        <v>0</v>
      </c>
      <c r="BJ185" s="58">
        <f t="shared" ca="1" si="70"/>
        <v>0</v>
      </c>
      <c r="BK185" s="58">
        <f t="shared" ca="1" si="70"/>
        <v>0</v>
      </c>
      <c r="BL185" s="58">
        <f t="shared" ca="1" si="70"/>
        <v>0</v>
      </c>
      <c r="BM185" s="58">
        <f t="shared" ca="1" si="70"/>
        <v>0</v>
      </c>
      <c r="BN185" s="58">
        <f t="shared" ca="1" si="70"/>
        <v>0</v>
      </c>
      <c r="BO185" s="58">
        <f t="shared" ca="1" si="70"/>
        <v>0</v>
      </c>
      <c r="BP185" s="58">
        <f t="shared" ca="1" si="70"/>
        <v>0</v>
      </c>
      <c r="BQ185" s="58">
        <f t="shared" ca="1" si="70"/>
        <v>0</v>
      </c>
      <c r="BR185" s="58">
        <f t="shared" ca="1" si="70"/>
        <v>0</v>
      </c>
      <c r="BS185" s="58">
        <f t="shared" ref="BS185:CX185" ca="1" si="71">+IF(OR($F185+BS$175&lt;1,(BS$176-1)*12&lt;-$F185),0,OFFSET(BS15,0,$F185))</f>
        <v>0</v>
      </c>
      <c r="BT185" s="58">
        <f t="shared" ca="1" si="71"/>
        <v>0</v>
      </c>
      <c r="BU185" s="58">
        <f t="shared" ca="1" si="71"/>
        <v>0</v>
      </c>
      <c r="BV185" s="58">
        <f t="shared" ca="1" si="71"/>
        <v>0</v>
      </c>
      <c r="BW185" s="58">
        <f t="shared" ca="1" si="71"/>
        <v>0</v>
      </c>
      <c r="BX185" s="58">
        <f t="shared" ca="1" si="71"/>
        <v>0</v>
      </c>
      <c r="BY185" s="58">
        <f t="shared" ca="1" si="71"/>
        <v>0</v>
      </c>
      <c r="BZ185" s="58">
        <f t="shared" ca="1" si="71"/>
        <v>0</v>
      </c>
      <c r="CA185" s="58">
        <f t="shared" ca="1" si="71"/>
        <v>0</v>
      </c>
      <c r="CB185" s="58">
        <f t="shared" ca="1" si="71"/>
        <v>0</v>
      </c>
      <c r="CC185" s="58">
        <f t="shared" ca="1" si="71"/>
        <v>0</v>
      </c>
      <c r="CD185" s="58">
        <f t="shared" ca="1" si="71"/>
        <v>0</v>
      </c>
      <c r="CE185" s="58">
        <f t="shared" ca="1" si="71"/>
        <v>0</v>
      </c>
      <c r="CF185" s="58">
        <f t="shared" ca="1" si="71"/>
        <v>0</v>
      </c>
      <c r="CG185" s="58">
        <f t="shared" ca="1" si="71"/>
        <v>0</v>
      </c>
      <c r="CH185" s="58">
        <f t="shared" ca="1" si="71"/>
        <v>0</v>
      </c>
      <c r="CI185" s="58">
        <f t="shared" ca="1" si="71"/>
        <v>0</v>
      </c>
      <c r="CJ185" s="58">
        <f t="shared" ca="1" si="71"/>
        <v>0</v>
      </c>
      <c r="CK185" s="58">
        <f t="shared" ca="1" si="71"/>
        <v>0</v>
      </c>
      <c r="CL185" s="58">
        <f t="shared" ca="1" si="71"/>
        <v>0</v>
      </c>
      <c r="CM185" s="58">
        <f t="shared" ca="1" si="71"/>
        <v>0</v>
      </c>
      <c r="CN185" s="58">
        <f t="shared" ca="1" si="71"/>
        <v>0</v>
      </c>
      <c r="CO185" s="58">
        <f t="shared" ca="1" si="71"/>
        <v>0</v>
      </c>
      <c r="CP185" s="58">
        <f t="shared" ca="1" si="71"/>
        <v>0</v>
      </c>
      <c r="CQ185" s="58">
        <f t="shared" ca="1" si="71"/>
        <v>0</v>
      </c>
      <c r="CR185" s="58">
        <f t="shared" ca="1" si="71"/>
        <v>0</v>
      </c>
      <c r="CS185" s="58">
        <f t="shared" ca="1" si="71"/>
        <v>0</v>
      </c>
      <c r="CT185" s="58">
        <f t="shared" ca="1" si="71"/>
        <v>0</v>
      </c>
      <c r="CU185" s="58">
        <f t="shared" ca="1" si="71"/>
        <v>0</v>
      </c>
      <c r="CV185" s="58">
        <f t="shared" ca="1" si="71"/>
        <v>0</v>
      </c>
      <c r="CW185" s="58">
        <f t="shared" ca="1" si="71"/>
        <v>0</v>
      </c>
      <c r="CX185" s="58">
        <f t="shared" ca="1" si="71"/>
        <v>0</v>
      </c>
      <c r="CY185" s="58">
        <f t="shared" ref="CY185:ED185" ca="1" si="72">+IF(OR($F185+CY$175&lt;1,(CY$176-1)*12&lt;-$F185),0,OFFSET(CY15,0,$F185))</f>
        <v>0</v>
      </c>
      <c r="CZ185" s="58">
        <f t="shared" ca="1" si="72"/>
        <v>0</v>
      </c>
      <c r="DA185" s="58">
        <f t="shared" ca="1" si="72"/>
        <v>0</v>
      </c>
      <c r="DB185" s="58">
        <f t="shared" ca="1" si="72"/>
        <v>0</v>
      </c>
      <c r="DC185" s="58">
        <f t="shared" ca="1" si="72"/>
        <v>0</v>
      </c>
      <c r="DD185" s="58">
        <f t="shared" ca="1" si="72"/>
        <v>0</v>
      </c>
      <c r="DE185" s="58">
        <f t="shared" ca="1" si="72"/>
        <v>0</v>
      </c>
      <c r="DF185" s="58">
        <f t="shared" ca="1" si="72"/>
        <v>0</v>
      </c>
      <c r="DG185" s="58">
        <f t="shared" ca="1" si="72"/>
        <v>0</v>
      </c>
      <c r="DH185" s="58">
        <f t="shared" ca="1" si="72"/>
        <v>0</v>
      </c>
      <c r="DI185" s="58">
        <f t="shared" ca="1" si="72"/>
        <v>0</v>
      </c>
      <c r="DJ185" s="58">
        <f t="shared" ca="1" si="72"/>
        <v>0</v>
      </c>
      <c r="DK185" s="58">
        <f t="shared" ca="1" si="72"/>
        <v>0</v>
      </c>
      <c r="DL185" s="58">
        <f t="shared" ca="1" si="72"/>
        <v>0</v>
      </c>
      <c r="DM185" s="58">
        <f t="shared" ca="1" si="72"/>
        <v>0</v>
      </c>
      <c r="DN185" s="58">
        <f t="shared" ca="1" si="72"/>
        <v>0</v>
      </c>
      <c r="DO185" s="58">
        <f t="shared" ca="1" si="72"/>
        <v>0</v>
      </c>
      <c r="DP185" s="58">
        <f t="shared" ca="1" si="72"/>
        <v>0</v>
      </c>
      <c r="DQ185" s="58">
        <f t="shared" ca="1" si="72"/>
        <v>0</v>
      </c>
      <c r="DR185" s="58">
        <f t="shared" ca="1" si="72"/>
        <v>0</v>
      </c>
      <c r="DS185" s="58">
        <f t="shared" ca="1" si="72"/>
        <v>0</v>
      </c>
      <c r="DT185" s="58">
        <f t="shared" ca="1" si="72"/>
        <v>0</v>
      </c>
      <c r="DU185" s="58">
        <f t="shared" ca="1" si="72"/>
        <v>0</v>
      </c>
      <c r="DV185" s="58">
        <f t="shared" ca="1" si="72"/>
        <v>0</v>
      </c>
      <c r="DW185" s="58">
        <f t="shared" ca="1" si="72"/>
        <v>0</v>
      </c>
      <c r="DX185" s="58">
        <f t="shared" ca="1" si="72"/>
        <v>0</v>
      </c>
      <c r="DY185" s="58">
        <f t="shared" ca="1" si="72"/>
        <v>0</v>
      </c>
      <c r="DZ185" s="58">
        <f t="shared" ca="1" si="72"/>
        <v>0</v>
      </c>
      <c r="EA185" s="58">
        <f t="shared" ca="1" si="72"/>
        <v>0</v>
      </c>
      <c r="EB185" s="58">
        <f t="shared" ca="1" si="72"/>
        <v>0</v>
      </c>
      <c r="EC185" s="58">
        <f t="shared" ca="1" si="72"/>
        <v>0</v>
      </c>
      <c r="ED185" s="58">
        <f t="shared" ca="1" si="72"/>
        <v>0</v>
      </c>
      <c r="EE185" s="58">
        <f t="shared" ref="EE185:FN185" ca="1" si="73">+IF(OR($F185+EE$175&lt;1,(EE$176-1)*12&lt;-$F185),0,OFFSET(EE15,0,$F185))</f>
        <v>0</v>
      </c>
      <c r="EF185" s="58">
        <f t="shared" ca="1" si="73"/>
        <v>0</v>
      </c>
      <c r="EG185" s="58">
        <f t="shared" ca="1" si="73"/>
        <v>0</v>
      </c>
      <c r="EH185" s="58">
        <f t="shared" ca="1" si="73"/>
        <v>0</v>
      </c>
      <c r="EI185" s="58">
        <f t="shared" ca="1" si="73"/>
        <v>0</v>
      </c>
      <c r="EJ185" s="58">
        <f t="shared" ca="1" si="73"/>
        <v>0</v>
      </c>
      <c r="EK185" s="58">
        <f t="shared" ca="1" si="73"/>
        <v>0</v>
      </c>
      <c r="EL185" s="58">
        <f t="shared" ca="1" si="73"/>
        <v>0</v>
      </c>
      <c r="EM185" s="58">
        <f t="shared" ca="1" si="73"/>
        <v>0</v>
      </c>
      <c r="EN185" s="58">
        <f t="shared" ca="1" si="73"/>
        <v>0</v>
      </c>
      <c r="EO185" s="58">
        <f t="shared" ca="1" si="73"/>
        <v>0</v>
      </c>
      <c r="EP185" s="58">
        <f t="shared" ca="1" si="73"/>
        <v>0</v>
      </c>
      <c r="EQ185" s="58">
        <f t="shared" ca="1" si="73"/>
        <v>0</v>
      </c>
      <c r="ER185" s="58">
        <f t="shared" ca="1" si="73"/>
        <v>0</v>
      </c>
      <c r="ES185" s="58">
        <f t="shared" ca="1" si="73"/>
        <v>0</v>
      </c>
      <c r="ET185" s="58">
        <f t="shared" ca="1" si="73"/>
        <v>0</v>
      </c>
      <c r="EU185" s="58">
        <f t="shared" ca="1" si="73"/>
        <v>0</v>
      </c>
      <c r="EV185" s="58">
        <f t="shared" ca="1" si="73"/>
        <v>0</v>
      </c>
      <c r="EW185" s="58">
        <f t="shared" ca="1" si="73"/>
        <v>0</v>
      </c>
      <c r="EX185" s="58">
        <f t="shared" ca="1" si="73"/>
        <v>0</v>
      </c>
      <c r="EY185" s="58">
        <f t="shared" ca="1" si="73"/>
        <v>0</v>
      </c>
      <c r="EZ185" s="58">
        <f t="shared" ca="1" si="73"/>
        <v>0</v>
      </c>
      <c r="FA185" s="58">
        <f t="shared" ca="1" si="73"/>
        <v>0</v>
      </c>
      <c r="FB185" s="58">
        <f t="shared" ca="1" si="73"/>
        <v>0</v>
      </c>
      <c r="FC185" s="58">
        <f t="shared" ca="1" si="73"/>
        <v>0</v>
      </c>
      <c r="FD185" s="58">
        <f t="shared" ca="1" si="73"/>
        <v>0</v>
      </c>
      <c r="FE185" s="58">
        <f t="shared" ca="1" si="73"/>
        <v>0</v>
      </c>
      <c r="FF185" s="58">
        <f t="shared" ca="1" si="73"/>
        <v>0</v>
      </c>
      <c r="FG185" s="58">
        <f t="shared" ca="1" si="73"/>
        <v>0</v>
      </c>
      <c r="FH185" s="58">
        <f t="shared" ca="1" si="73"/>
        <v>0</v>
      </c>
      <c r="FI185" s="58">
        <f t="shared" ca="1" si="73"/>
        <v>0</v>
      </c>
      <c r="FJ185" s="58">
        <f t="shared" ca="1" si="73"/>
        <v>0</v>
      </c>
      <c r="FK185" s="58">
        <f t="shared" ca="1" si="73"/>
        <v>0</v>
      </c>
      <c r="FL185" s="58">
        <f t="shared" ca="1" si="73"/>
        <v>0</v>
      </c>
      <c r="FM185" s="58">
        <f t="shared" ca="1" si="73"/>
        <v>0</v>
      </c>
      <c r="FN185" s="58">
        <f t="shared" ca="1" si="73"/>
        <v>0</v>
      </c>
      <c r="FO185" s="13"/>
    </row>
    <row r="186" spans="1:171" outlineLevel="1" x14ac:dyDescent="0.3">
      <c r="A186" s="13"/>
      <c r="B186" s="13"/>
      <c r="C186" s="13"/>
      <c r="D186" s="52">
        <f t="shared" si="31"/>
        <v>40422</v>
      </c>
      <c r="E186" s="53">
        <f t="shared" si="32"/>
        <v>2010</v>
      </c>
      <c r="F186" s="53">
        <f t="shared" si="33"/>
        <v>-40</v>
      </c>
      <c r="G186" s="58">
        <f t="shared" ref="G186:AL186" ca="1" si="74">+IF(OR($F186+G$175&lt;1,(G$176-1)*12&lt;-$F186),0,OFFSET(G16,0,$F186))</f>
        <v>0</v>
      </c>
      <c r="H186" s="58">
        <f t="shared" ca="1" si="74"/>
        <v>0</v>
      </c>
      <c r="I186" s="58">
        <f t="shared" ca="1" si="74"/>
        <v>0</v>
      </c>
      <c r="J186" s="58">
        <f t="shared" ca="1" si="74"/>
        <v>0</v>
      </c>
      <c r="K186" s="58">
        <f t="shared" ca="1" si="74"/>
        <v>0</v>
      </c>
      <c r="L186" s="58">
        <f t="shared" ca="1" si="74"/>
        <v>0</v>
      </c>
      <c r="M186" s="58">
        <f t="shared" ca="1" si="74"/>
        <v>0</v>
      </c>
      <c r="N186" s="58">
        <f t="shared" ca="1" si="74"/>
        <v>0</v>
      </c>
      <c r="O186" s="58">
        <f t="shared" ca="1" si="74"/>
        <v>0</v>
      </c>
      <c r="P186" s="58">
        <f t="shared" ca="1" si="74"/>
        <v>0</v>
      </c>
      <c r="Q186" s="58">
        <f t="shared" ca="1" si="74"/>
        <v>0</v>
      </c>
      <c r="R186" s="58">
        <f t="shared" ca="1" si="74"/>
        <v>0</v>
      </c>
      <c r="S186" s="58">
        <f t="shared" ca="1" si="74"/>
        <v>0</v>
      </c>
      <c r="T186" s="58">
        <f t="shared" ca="1" si="74"/>
        <v>0</v>
      </c>
      <c r="U186" s="58">
        <f t="shared" ca="1" si="74"/>
        <v>0</v>
      </c>
      <c r="V186" s="58">
        <f t="shared" ca="1" si="74"/>
        <v>0</v>
      </c>
      <c r="W186" s="58">
        <f t="shared" ca="1" si="74"/>
        <v>0</v>
      </c>
      <c r="X186" s="58">
        <f t="shared" ca="1" si="74"/>
        <v>0</v>
      </c>
      <c r="Y186" s="58">
        <f t="shared" ca="1" si="74"/>
        <v>0</v>
      </c>
      <c r="Z186" s="58">
        <f t="shared" ca="1" si="74"/>
        <v>0</v>
      </c>
      <c r="AA186" s="58">
        <f t="shared" ca="1" si="74"/>
        <v>0</v>
      </c>
      <c r="AB186" s="58">
        <f t="shared" ca="1" si="74"/>
        <v>0</v>
      </c>
      <c r="AC186" s="58">
        <f t="shared" ca="1" si="74"/>
        <v>0</v>
      </c>
      <c r="AD186" s="58">
        <f t="shared" ca="1" si="74"/>
        <v>0</v>
      </c>
      <c r="AE186" s="58">
        <f t="shared" ca="1" si="74"/>
        <v>0</v>
      </c>
      <c r="AF186" s="58">
        <f t="shared" ca="1" si="74"/>
        <v>0</v>
      </c>
      <c r="AG186" s="58">
        <f t="shared" ca="1" si="74"/>
        <v>0</v>
      </c>
      <c r="AH186" s="58">
        <f t="shared" ca="1" si="74"/>
        <v>0</v>
      </c>
      <c r="AI186" s="58">
        <f t="shared" ca="1" si="74"/>
        <v>0</v>
      </c>
      <c r="AJ186" s="58">
        <f t="shared" ca="1" si="74"/>
        <v>0</v>
      </c>
      <c r="AK186" s="58">
        <f t="shared" ca="1" si="74"/>
        <v>0</v>
      </c>
      <c r="AL186" s="58">
        <f t="shared" ca="1" si="74"/>
        <v>0</v>
      </c>
      <c r="AM186" s="58">
        <f t="shared" ref="AM186:BR186" ca="1" si="75">+IF(OR($F186+AM$175&lt;1,(AM$176-1)*12&lt;-$F186),0,OFFSET(AM16,0,$F186))</f>
        <v>0</v>
      </c>
      <c r="AN186" s="58">
        <f t="shared" ca="1" si="75"/>
        <v>0</v>
      </c>
      <c r="AO186" s="58">
        <f t="shared" ca="1" si="75"/>
        <v>0</v>
      </c>
      <c r="AP186" s="58">
        <f t="shared" ca="1" si="75"/>
        <v>0</v>
      </c>
      <c r="AQ186" s="58">
        <f t="shared" ca="1" si="75"/>
        <v>0</v>
      </c>
      <c r="AR186" s="58">
        <f t="shared" ca="1" si="75"/>
        <v>0</v>
      </c>
      <c r="AS186" s="58">
        <f t="shared" ca="1" si="75"/>
        <v>0</v>
      </c>
      <c r="AT186" s="58">
        <f t="shared" ca="1" si="75"/>
        <v>0</v>
      </c>
      <c r="AU186" s="58">
        <f t="shared" ca="1" si="75"/>
        <v>0</v>
      </c>
      <c r="AV186" s="58">
        <f t="shared" ca="1" si="75"/>
        <v>0</v>
      </c>
      <c r="AW186" s="58">
        <f t="shared" ca="1" si="75"/>
        <v>0</v>
      </c>
      <c r="AX186" s="58">
        <f t="shared" ca="1" si="75"/>
        <v>0</v>
      </c>
      <c r="AY186" s="58">
        <f t="shared" ca="1" si="75"/>
        <v>0</v>
      </c>
      <c r="AZ186" s="58">
        <f t="shared" ca="1" si="75"/>
        <v>0</v>
      </c>
      <c r="BA186" s="58">
        <f t="shared" ca="1" si="75"/>
        <v>0</v>
      </c>
      <c r="BB186" s="58">
        <f t="shared" ca="1" si="75"/>
        <v>0</v>
      </c>
      <c r="BC186" s="58">
        <f t="shared" ca="1" si="75"/>
        <v>0</v>
      </c>
      <c r="BD186" s="58">
        <f t="shared" ca="1" si="75"/>
        <v>0</v>
      </c>
      <c r="BE186" s="58">
        <f t="shared" ca="1" si="75"/>
        <v>0</v>
      </c>
      <c r="BF186" s="58">
        <f t="shared" ca="1" si="75"/>
        <v>0</v>
      </c>
      <c r="BG186" s="58">
        <f t="shared" ca="1" si="75"/>
        <v>0</v>
      </c>
      <c r="BH186" s="58">
        <f t="shared" ca="1" si="75"/>
        <v>0</v>
      </c>
      <c r="BI186" s="58">
        <f t="shared" ca="1" si="75"/>
        <v>0</v>
      </c>
      <c r="BJ186" s="58">
        <f t="shared" ca="1" si="75"/>
        <v>0</v>
      </c>
      <c r="BK186" s="58">
        <f t="shared" ca="1" si="75"/>
        <v>0</v>
      </c>
      <c r="BL186" s="58">
        <f t="shared" ca="1" si="75"/>
        <v>0</v>
      </c>
      <c r="BM186" s="58">
        <f t="shared" ca="1" si="75"/>
        <v>0</v>
      </c>
      <c r="BN186" s="58">
        <f t="shared" ca="1" si="75"/>
        <v>0</v>
      </c>
      <c r="BO186" s="58">
        <f t="shared" ca="1" si="75"/>
        <v>0</v>
      </c>
      <c r="BP186" s="58">
        <f t="shared" ca="1" si="75"/>
        <v>0</v>
      </c>
      <c r="BQ186" s="58">
        <f t="shared" ca="1" si="75"/>
        <v>0</v>
      </c>
      <c r="BR186" s="58">
        <f t="shared" ca="1" si="75"/>
        <v>0</v>
      </c>
      <c r="BS186" s="58">
        <f t="shared" ref="BS186:CX186" ca="1" si="76">+IF(OR($F186+BS$175&lt;1,(BS$176-1)*12&lt;-$F186),0,OFFSET(BS16,0,$F186))</f>
        <v>0</v>
      </c>
      <c r="BT186" s="58">
        <f t="shared" ca="1" si="76"/>
        <v>0</v>
      </c>
      <c r="BU186" s="58">
        <f t="shared" ca="1" si="76"/>
        <v>0</v>
      </c>
      <c r="BV186" s="58">
        <f t="shared" ca="1" si="76"/>
        <v>0</v>
      </c>
      <c r="BW186" s="58">
        <f t="shared" ca="1" si="76"/>
        <v>0</v>
      </c>
      <c r="BX186" s="58">
        <f t="shared" ca="1" si="76"/>
        <v>0</v>
      </c>
      <c r="BY186" s="58">
        <f t="shared" ca="1" si="76"/>
        <v>0</v>
      </c>
      <c r="BZ186" s="58">
        <f t="shared" ca="1" si="76"/>
        <v>0</v>
      </c>
      <c r="CA186" s="58">
        <f t="shared" ca="1" si="76"/>
        <v>0</v>
      </c>
      <c r="CB186" s="58">
        <f t="shared" ca="1" si="76"/>
        <v>0</v>
      </c>
      <c r="CC186" s="58">
        <f t="shared" ca="1" si="76"/>
        <v>0</v>
      </c>
      <c r="CD186" s="58">
        <f t="shared" ca="1" si="76"/>
        <v>0</v>
      </c>
      <c r="CE186" s="58">
        <f t="shared" ca="1" si="76"/>
        <v>0</v>
      </c>
      <c r="CF186" s="58">
        <f t="shared" ca="1" si="76"/>
        <v>0</v>
      </c>
      <c r="CG186" s="58">
        <f t="shared" ca="1" si="76"/>
        <v>0</v>
      </c>
      <c r="CH186" s="58">
        <f t="shared" ca="1" si="76"/>
        <v>0</v>
      </c>
      <c r="CI186" s="58">
        <f t="shared" ca="1" si="76"/>
        <v>0</v>
      </c>
      <c r="CJ186" s="58">
        <f t="shared" ca="1" si="76"/>
        <v>0</v>
      </c>
      <c r="CK186" s="58">
        <f t="shared" ca="1" si="76"/>
        <v>0</v>
      </c>
      <c r="CL186" s="58">
        <f t="shared" ca="1" si="76"/>
        <v>0</v>
      </c>
      <c r="CM186" s="58">
        <f t="shared" ca="1" si="76"/>
        <v>0</v>
      </c>
      <c r="CN186" s="58">
        <f t="shared" ca="1" si="76"/>
        <v>0</v>
      </c>
      <c r="CO186" s="58">
        <f t="shared" ca="1" si="76"/>
        <v>0</v>
      </c>
      <c r="CP186" s="58">
        <f t="shared" ca="1" si="76"/>
        <v>0</v>
      </c>
      <c r="CQ186" s="58">
        <f t="shared" ca="1" si="76"/>
        <v>0</v>
      </c>
      <c r="CR186" s="58">
        <f t="shared" ca="1" si="76"/>
        <v>0</v>
      </c>
      <c r="CS186" s="58">
        <f t="shared" ca="1" si="76"/>
        <v>0</v>
      </c>
      <c r="CT186" s="58">
        <f t="shared" ca="1" si="76"/>
        <v>0</v>
      </c>
      <c r="CU186" s="58">
        <f t="shared" ca="1" si="76"/>
        <v>0</v>
      </c>
      <c r="CV186" s="58">
        <f t="shared" ca="1" si="76"/>
        <v>0</v>
      </c>
      <c r="CW186" s="58">
        <f t="shared" ca="1" si="76"/>
        <v>0</v>
      </c>
      <c r="CX186" s="58">
        <f t="shared" ca="1" si="76"/>
        <v>0</v>
      </c>
      <c r="CY186" s="58">
        <f t="shared" ref="CY186:ED186" ca="1" si="77">+IF(OR($F186+CY$175&lt;1,(CY$176-1)*12&lt;-$F186),0,OFFSET(CY16,0,$F186))</f>
        <v>0</v>
      </c>
      <c r="CZ186" s="58">
        <f t="shared" ca="1" si="77"/>
        <v>0</v>
      </c>
      <c r="DA186" s="58">
        <f t="shared" ca="1" si="77"/>
        <v>0</v>
      </c>
      <c r="DB186" s="58">
        <f t="shared" ca="1" si="77"/>
        <v>0</v>
      </c>
      <c r="DC186" s="58">
        <f t="shared" ca="1" si="77"/>
        <v>0</v>
      </c>
      <c r="DD186" s="58">
        <f t="shared" ca="1" si="77"/>
        <v>0</v>
      </c>
      <c r="DE186" s="58">
        <f t="shared" ca="1" si="77"/>
        <v>0</v>
      </c>
      <c r="DF186" s="58">
        <f t="shared" ca="1" si="77"/>
        <v>0</v>
      </c>
      <c r="DG186" s="58">
        <f t="shared" ca="1" si="77"/>
        <v>0</v>
      </c>
      <c r="DH186" s="58">
        <f t="shared" ca="1" si="77"/>
        <v>0</v>
      </c>
      <c r="DI186" s="58">
        <f t="shared" ca="1" si="77"/>
        <v>0</v>
      </c>
      <c r="DJ186" s="58">
        <f t="shared" ca="1" si="77"/>
        <v>0</v>
      </c>
      <c r="DK186" s="58">
        <f t="shared" ca="1" si="77"/>
        <v>0</v>
      </c>
      <c r="DL186" s="58">
        <f t="shared" ca="1" si="77"/>
        <v>0</v>
      </c>
      <c r="DM186" s="58">
        <f t="shared" ca="1" si="77"/>
        <v>0</v>
      </c>
      <c r="DN186" s="58">
        <f t="shared" ca="1" si="77"/>
        <v>0</v>
      </c>
      <c r="DO186" s="58">
        <f t="shared" ca="1" si="77"/>
        <v>0</v>
      </c>
      <c r="DP186" s="58">
        <f t="shared" ca="1" si="77"/>
        <v>0</v>
      </c>
      <c r="DQ186" s="58">
        <f t="shared" ca="1" si="77"/>
        <v>0</v>
      </c>
      <c r="DR186" s="58">
        <f t="shared" ca="1" si="77"/>
        <v>0</v>
      </c>
      <c r="DS186" s="58">
        <f t="shared" ca="1" si="77"/>
        <v>0</v>
      </c>
      <c r="DT186" s="58">
        <f t="shared" ca="1" si="77"/>
        <v>0</v>
      </c>
      <c r="DU186" s="58">
        <f t="shared" ca="1" si="77"/>
        <v>0</v>
      </c>
      <c r="DV186" s="58">
        <f t="shared" ca="1" si="77"/>
        <v>0</v>
      </c>
      <c r="DW186" s="58">
        <f t="shared" ca="1" si="77"/>
        <v>0</v>
      </c>
      <c r="DX186" s="58">
        <f t="shared" ca="1" si="77"/>
        <v>0</v>
      </c>
      <c r="DY186" s="58">
        <f t="shared" ca="1" si="77"/>
        <v>0</v>
      </c>
      <c r="DZ186" s="58">
        <f t="shared" ca="1" si="77"/>
        <v>0</v>
      </c>
      <c r="EA186" s="58">
        <f t="shared" ca="1" si="77"/>
        <v>0</v>
      </c>
      <c r="EB186" s="58">
        <f t="shared" ca="1" si="77"/>
        <v>0</v>
      </c>
      <c r="EC186" s="58">
        <f t="shared" ca="1" si="77"/>
        <v>0</v>
      </c>
      <c r="ED186" s="58">
        <f t="shared" ca="1" si="77"/>
        <v>0</v>
      </c>
      <c r="EE186" s="58">
        <f t="shared" ref="EE186:FN186" ca="1" si="78">+IF(OR($F186+EE$175&lt;1,(EE$176-1)*12&lt;-$F186),0,OFFSET(EE16,0,$F186))</f>
        <v>0</v>
      </c>
      <c r="EF186" s="58">
        <f t="shared" ca="1" si="78"/>
        <v>0</v>
      </c>
      <c r="EG186" s="58">
        <f t="shared" ca="1" si="78"/>
        <v>0</v>
      </c>
      <c r="EH186" s="58">
        <f t="shared" ca="1" si="78"/>
        <v>0</v>
      </c>
      <c r="EI186" s="58">
        <f t="shared" ca="1" si="78"/>
        <v>0</v>
      </c>
      <c r="EJ186" s="58">
        <f t="shared" ca="1" si="78"/>
        <v>0</v>
      </c>
      <c r="EK186" s="58">
        <f t="shared" ca="1" si="78"/>
        <v>0</v>
      </c>
      <c r="EL186" s="58">
        <f t="shared" ca="1" si="78"/>
        <v>0</v>
      </c>
      <c r="EM186" s="58">
        <f t="shared" ca="1" si="78"/>
        <v>0</v>
      </c>
      <c r="EN186" s="58">
        <f t="shared" ca="1" si="78"/>
        <v>0</v>
      </c>
      <c r="EO186" s="58">
        <f t="shared" ca="1" si="78"/>
        <v>0</v>
      </c>
      <c r="EP186" s="58">
        <f t="shared" ca="1" si="78"/>
        <v>0</v>
      </c>
      <c r="EQ186" s="58">
        <f t="shared" ca="1" si="78"/>
        <v>0</v>
      </c>
      <c r="ER186" s="58">
        <f t="shared" ca="1" si="78"/>
        <v>0</v>
      </c>
      <c r="ES186" s="58">
        <f t="shared" ca="1" si="78"/>
        <v>0</v>
      </c>
      <c r="ET186" s="58">
        <f t="shared" ca="1" si="78"/>
        <v>0</v>
      </c>
      <c r="EU186" s="58">
        <f t="shared" ca="1" si="78"/>
        <v>0</v>
      </c>
      <c r="EV186" s="58">
        <f t="shared" ca="1" si="78"/>
        <v>0</v>
      </c>
      <c r="EW186" s="58">
        <f t="shared" ca="1" si="78"/>
        <v>0</v>
      </c>
      <c r="EX186" s="58">
        <f t="shared" ca="1" si="78"/>
        <v>0</v>
      </c>
      <c r="EY186" s="58">
        <f t="shared" ca="1" si="78"/>
        <v>0</v>
      </c>
      <c r="EZ186" s="58">
        <f t="shared" ca="1" si="78"/>
        <v>0</v>
      </c>
      <c r="FA186" s="58">
        <f t="shared" ca="1" si="78"/>
        <v>0</v>
      </c>
      <c r="FB186" s="58">
        <f t="shared" ca="1" si="78"/>
        <v>0</v>
      </c>
      <c r="FC186" s="58">
        <f t="shared" ca="1" si="78"/>
        <v>0</v>
      </c>
      <c r="FD186" s="58">
        <f t="shared" ca="1" si="78"/>
        <v>0</v>
      </c>
      <c r="FE186" s="58">
        <f t="shared" ca="1" si="78"/>
        <v>0</v>
      </c>
      <c r="FF186" s="58">
        <f t="shared" ca="1" si="78"/>
        <v>0</v>
      </c>
      <c r="FG186" s="58">
        <f t="shared" ca="1" si="78"/>
        <v>0</v>
      </c>
      <c r="FH186" s="58">
        <f t="shared" ca="1" si="78"/>
        <v>0</v>
      </c>
      <c r="FI186" s="58">
        <f t="shared" ca="1" si="78"/>
        <v>0</v>
      </c>
      <c r="FJ186" s="58">
        <f t="shared" ca="1" si="78"/>
        <v>0</v>
      </c>
      <c r="FK186" s="58">
        <f t="shared" ca="1" si="78"/>
        <v>0</v>
      </c>
      <c r="FL186" s="58">
        <f t="shared" ca="1" si="78"/>
        <v>0</v>
      </c>
      <c r="FM186" s="58">
        <f t="shared" ca="1" si="78"/>
        <v>0</v>
      </c>
      <c r="FN186" s="58">
        <f t="shared" ca="1" si="78"/>
        <v>0</v>
      </c>
      <c r="FO186" s="13"/>
    </row>
    <row r="187" spans="1:171" outlineLevel="1" x14ac:dyDescent="0.3">
      <c r="A187" s="13"/>
      <c r="B187" s="13"/>
      <c r="C187" s="13"/>
      <c r="D187" s="52">
        <f t="shared" si="31"/>
        <v>40452</v>
      </c>
      <c r="E187" s="53">
        <f t="shared" si="32"/>
        <v>2010</v>
      </c>
      <c r="F187" s="53">
        <f t="shared" si="33"/>
        <v>-39</v>
      </c>
      <c r="G187" s="58">
        <f t="shared" ref="G187:AL187" ca="1" si="79">+IF(OR($F187+G$175&lt;1,(G$176-1)*12&lt;-$F187),0,OFFSET(G17,0,$F187))</f>
        <v>0</v>
      </c>
      <c r="H187" s="58">
        <f t="shared" ca="1" si="79"/>
        <v>0</v>
      </c>
      <c r="I187" s="58">
        <f t="shared" ca="1" si="79"/>
        <v>0</v>
      </c>
      <c r="J187" s="58">
        <f t="shared" ca="1" si="79"/>
        <v>0</v>
      </c>
      <c r="K187" s="58">
        <f t="shared" ca="1" si="79"/>
        <v>0</v>
      </c>
      <c r="L187" s="58">
        <f t="shared" ca="1" si="79"/>
        <v>0</v>
      </c>
      <c r="M187" s="58">
        <f t="shared" ca="1" si="79"/>
        <v>0</v>
      </c>
      <c r="N187" s="58">
        <f t="shared" ca="1" si="79"/>
        <v>0</v>
      </c>
      <c r="O187" s="58">
        <f t="shared" ca="1" si="79"/>
        <v>0</v>
      </c>
      <c r="P187" s="58">
        <f t="shared" ca="1" si="79"/>
        <v>0</v>
      </c>
      <c r="Q187" s="58">
        <f t="shared" ca="1" si="79"/>
        <v>0</v>
      </c>
      <c r="R187" s="58">
        <f t="shared" ca="1" si="79"/>
        <v>0</v>
      </c>
      <c r="S187" s="58">
        <f t="shared" ca="1" si="79"/>
        <v>0</v>
      </c>
      <c r="T187" s="58">
        <f t="shared" ca="1" si="79"/>
        <v>0</v>
      </c>
      <c r="U187" s="58">
        <f t="shared" ca="1" si="79"/>
        <v>0</v>
      </c>
      <c r="V187" s="58">
        <f t="shared" ca="1" si="79"/>
        <v>0</v>
      </c>
      <c r="W187" s="58">
        <f t="shared" ca="1" si="79"/>
        <v>0</v>
      </c>
      <c r="X187" s="58">
        <f t="shared" ca="1" si="79"/>
        <v>0</v>
      </c>
      <c r="Y187" s="58">
        <f t="shared" ca="1" si="79"/>
        <v>0</v>
      </c>
      <c r="Z187" s="58">
        <f t="shared" ca="1" si="79"/>
        <v>0</v>
      </c>
      <c r="AA187" s="58">
        <f t="shared" ca="1" si="79"/>
        <v>0</v>
      </c>
      <c r="AB187" s="58">
        <f t="shared" ca="1" si="79"/>
        <v>0</v>
      </c>
      <c r="AC187" s="58">
        <f t="shared" ca="1" si="79"/>
        <v>0</v>
      </c>
      <c r="AD187" s="58">
        <f t="shared" ca="1" si="79"/>
        <v>0</v>
      </c>
      <c r="AE187" s="58">
        <f t="shared" ca="1" si="79"/>
        <v>0</v>
      </c>
      <c r="AF187" s="58">
        <f t="shared" ca="1" si="79"/>
        <v>0</v>
      </c>
      <c r="AG187" s="58">
        <f t="shared" ca="1" si="79"/>
        <v>0</v>
      </c>
      <c r="AH187" s="58">
        <f t="shared" ca="1" si="79"/>
        <v>0</v>
      </c>
      <c r="AI187" s="58">
        <f t="shared" ca="1" si="79"/>
        <v>0</v>
      </c>
      <c r="AJ187" s="58">
        <f t="shared" ca="1" si="79"/>
        <v>0</v>
      </c>
      <c r="AK187" s="58">
        <f t="shared" ca="1" si="79"/>
        <v>0</v>
      </c>
      <c r="AL187" s="58">
        <f t="shared" ca="1" si="79"/>
        <v>0</v>
      </c>
      <c r="AM187" s="58">
        <f t="shared" ref="AM187:BR187" ca="1" si="80">+IF(OR($F187+AM$175&lt;1,(AM$176-1)*12&lt;-$F187),0,OFFSET(AM17,0,$F187))</f>
        <v>0</v>
      </c>
      <c r="AN187" s="58">
        <f t="shared" ca="1" si="80"/>
        <v>0</v>
      </c>
      <c r="AO187" s="58">
        <f t="shared" ca="1" si="80"/>
        <v>0</v>
      </c>
      <c r="AP187" s="58">
        <f t="shared" ca="1" si="80"/>
        <v>0</v>
      </c>
      <c r="AQ187" s="58">
        <f t="shared" ca="1" si="80"/>
        <v>0</v>
      </c>
      <c r="AR187" s="58">
        <f t="shared" ca="1" si="80"/>
        <v>0</v>
      </c>
      <c r="AS187" s="58">
        <f t="shared" ca="1" si="80"/>
        <v>0</v>
      </c>
      <c r="AT187" s="58">
        <f t="shared" ca="1" si="80"/>
        <v>0</v>
      </c>
      <c r="AU187" s="58">
        <f t="shared" ca="1" si="80"/>
        <v>0</v>
      </c>
      <c r="AV187" s="58">
        <f t="shared" ca="1" si="80"/>
        <v>0</v>
      </c>
      <c r="AW187" s="58">
        <f t="shared" ca="1" si="80"/>
        <v>0</v>
      </c>
      <c r="AX187" s="58">
        <f t="shared" ca="1" si="80"/>
        <v>0</v>
      </c>
      <c r="AY187" s="58">
        <f t="shared" ca="1" si="80"/>
        <v>0</v>
      </c>
      <c r="AZ187" s="58">
        <f t="shared" ca="1" si="80"/>
        <v>0</v>
      </c>
      <c r="BA187" s="58">
        <f t="shared" ca="1" si="80"/>
        <v>0</v>
      </c>
      <c r="BB187" s="58">
        <f t="shared" ca="1" si="80"/>
        <v>0</v>
      </c>
      <c r="BC187" s="58">
        <f t="shared" ca="1" si="80"/>
        <v>0</v>
      </c>
      <c r="BD187" s="58">
        <f t="shared" ca="1" si="80"/>
        <v>0</v>
      </c>
      <c r="BE187" s="58">
        <f t="shared" ca="1" si="80"/>
        <v>0</v>
      </c>
      <c r="BF187" s="58">
        <f t="shared" ca="1" si="80"/>
        <v>0</v>
      </c>
      <c r="BG187" s="58">
        <f t="shared" ca="1" si="80"/>
        <v>0</v>
      </c>
      <c r="BH187" s="58">
        <f t="shared" ca="1" si="80"/>
        <v>0</v>
      </c>
      <c r="BI187" s="58">
        <f t="shared" ca="1" si="80"/>
        <v>0</v>
      </c>
      <c r="BJ187" s="58">
        <f t="shared" ca="1" si="80"/>
        <v>0</v>
      </c>
      <c r="BK187" s="58">
        <f t="shared" ca="1" si="80"/>
        <v>0</v>
      </c>
      <c r="BL187" s="58">
        <f t="shared" ca="1" si="80"/>
        <v>0</v>
      </c>
      <c r="BM187" s="58">
        <f t="shared" ca="1" si="80"/>
        <v>0</v>
      </c>
      <c r="BN187" s="58">
        <f t="shared" ca="1" si="80"/>
        <v>0</v>
      </c>
      <c r="BO187" s="58">
        <f t="shared" ca="1" si="80"/>
        <v>0</v>
      </c>
      <c r="BP187" s="58">
        <f t="shared" ca="1" si="80"/>
        <v>0</v>
      </c>
      <c r="BQ187" s="58">
        <f t="shared" ca="1" si="80"/>
        <v>0</v>
      </c>
      <c r="BR187" s="58">
        <f t="shared" ca="1" si="80"/>
        <v>0</v>
      </c>
      <c r="BS187" s="58">
        <f t="shared" ref="BS187:CX187" ca="1" si="81">+IF(OR($F187+BS$175&lt;1,(BS$176-1)*12&lt;-$F187),0,OFFSET(BS17,0,$F187))</f>
        <v>0</v>
      </c>
      <c r="BT187" s="58">
        <f t="shared" ca="1" si="81"/>
        <v>0</v>
      </c>
      <c r="BU187" s="58">
        <f t="shared" ca="1" si="81"/>
        <v>0</v>
      </c>
      <c r="BV187" s="58">
        <f t="shared" ca="1" si="81"/>
        <v>0</v>
      </c>
      <c r="BW187" s="58">
        <f t="shared" ca="1" si="81"/>
        <v>0</v>
      </c>
      <c r="BX187" s="58">
        <f t="shared" ca="1" si="81"/>
        <v>0</v>
      </c>
      <c r="BY187" s="58">
        <f t="shared" ca="1" si="81"/>
        <v>0</v>
      </c>
      <c r="BZ187" s="58">
        <f t="shared" ca="1" si="81"/>
        <v>0</v>
      </c>
      <c r="CA187" s="58">
        <f t="shared" ca="1" si="81"/>
        <v>0</v>
      </c>
      <c r="CB187" s="58">
        <f t="shared" ca="1" si="81"/>
        <v>0</v>
      </c>
      <c r="CC187" s="58">
        <f t="shared" ca="1" si="81"/>
        <v>0</v>
      </c>
      <c r="CD187" s="58">
        <f t="shared" ca="1" si="81"/>
        <v>0</v>
      </c>
      <c r="CE187" s="58">
        <f t="shared" ca="1" si="81"/>
        <v>0</v>
      </c>
      <c r="CF187" s="58">
        <f t="shared" ca="1" si="81"/>
        <v>0</v>
      </c>
      <c r="CG187" s="58">
        <f t="shared" ca="1" si="81"/>
        <v>0</v>
      </c>
      <c r="CH187" s="58">
        <f t="shared" ca="1" si="81"/>
        <v>0</v>
      </c>
      <c r="CI187" s="58">
        <f t="shared" ca="1" si="81"/>
        <v>0</v>
      </c>
      <c r="CJ187" s="58">
        <f t="shared" ca="1" si="81"/>
        <v>0</v>
      </c>
      <c r="CK187" s="58">
        <f t="shared" ca="1" si="81"/>
        <v>0</v>
      </c>
      <c r="CL187" s="58">
        <f t="shared" ca="1" si="81"/>
        <v>0</v>
      </c>
      <c r="CM187" s="58">
        <f t="shared" ca="1" si="81"/>
        <v>0</v>
      </c>
      <c r="CN187" s="58">
        <f t="shared" ca="1" si="81"/>
        <v>0</v>
      </c>
      <c r="CO187" s="58">
        <f t="shared" ca="1" si="81"/>
        <v>0</v>
      </c>
      <c r="CP187" s="58">
        <f t="shared" ca="1" si="81"/>
        <v>0</v>
      </c>
      <c r="CQ187" s="58">
        <f t="shared" ca="1" si="81"/>
        <v>0</v>
      </c>
      <c r="CR187" s="58">
        <f t="shared" ca="1" si="81"/>
        <v>0</v>
      </c>
      <c r="CS187" s="58">
        <f t="shared" ca="1" si="81"/>
        <v>0</v>
      </c>
      <c r="CT187" s="58">
        <f t="shared" ca="1" si="81"/>
        <v>0</v>
      </c>
      <c r="CU187" s="58">
        <f t="shared" ca="1" si="81"/>
        <v>0</v>
      </c>
      <c r="CV187" s="58">
        <f t="shared" ca="1" si="81"/>
        <v>0</v>
      </c>
      <c r="CW187" s="58">
        <f t="shared" ca="1" si="81"/>
        <v>0</v>
      </c>
      <c r="CX187" s="58">
        <f t="shared" ca="1" si="81"/>
        <v>0</v>
      </c>
      <c r="CY187" s="58">
        <f t="shared" ref="CY187:ED187" ca="1" si="82">+IF(OR($F187+CY$175&lt;1,(CY$176-1)*12&lt;-$F187),0,OFFSET(CY17,0,$F187))</f>
        <v>0</v>
      </c>
      <c r="CZ187" s="58">
        <f t="shared" ca="1" si="82"/>
        <v>0</v>
      </c>
      <c r="DA187" s="58">
        <f t="shared" ca="1" si="82"/>
        <v>0</v>
      </c>
      <c r="DB187" s="58">
        <f t="shared" ca="1" si="82"/>
        <v>0</v>
      </c>
      <c r="DC187" s="58">
        <f t="shared" ca="1" si="82"/>
        <v>0</v>
      </c>
      <c r="DD187" s="58">
        <f t="shared" ca="1" si="82"/>
        <v>0</v>
      </c>
      <c r="DE187" s="58">
        <f t="shared" ca="1" si="82"/>
        <v>0</v>
      </c>
      <c r="DF187" s="58">
        <f t="shared" ca="1" si="82"/>
        <v>0</v>
      </c>
      <c r="DG187" s="58">
        <f t="shared" ca="1" si="82"/>
        <v>0</v>
      </c>
      <c r="DH187" s="58">
        <f t="shared" ca="1" si="82"/>
        <v>0</v>
      </c>
      <c r="DI187" s="58">
        <f t="shared" ca="1" si="82"/>
        <v>0</v>
      </c>
      <c r="DJ187" s="58">
        <f t="shared" ca="1" si="82"/>
        <v>0</v>
      </c>
      <c r="DK187" s="58">
        <f t="shared" ca="1" si="82"/>
        <v>0</v>
      </c>
      <c r="DL187" s="58">
        <f t="shared" ca="1" si="82"/>
        <v>0</v>
      </c>
      <c r="DM187" s="58">
        <f t="shared" ca="1" si="82"/>
        <v>0</v>
      </c>
      <c r="DN187" s="58">
        <f t="shared" ca="1" si="82"/>
        <v>0</v>
      </c>
      <c r="DO187" s="58">
        <f t="shared" ca="1" si="82"/>
        <v>0</v>
      </c>
      <c r="DP187" s="58">
        <f t="shared" ca="1" si="82"/>
        <v>0</v>
      </c>
      <c r="DQ187" s="58">
        <f t="shared" ca="1" si="82"/>
        <v>0</v>
      </c>
      <c r="DR187" s="58">
        <f t="shared" ca="1" si="82"/>
        <v>0</v>
      </c>
      <c r="DS187" s="58">
        <f t="shared" ca="1" si="82"/>
        <v>0</v>
      </c>
      <c r="DT187" s="58">
        <f t="shared" ca="1" si="82"/>
        <v>0</v>
      </c>
      <c r="DU187" s="58">
        <f t="shared" ca="1" si="82"/>
        <v>0</v>
      </c>
      <c r="DV187" s="58">
        <f t="shared" ca="1" si="82"/>
        <v>0</v>
      </c>
      <c r="DW187" s="58">
        <f t="shared" ca="1" si="82"/>
        <v>0</v>
      </c>
      <c r="DX187" s="58">
        <f t="shared" ca="1" si="82"/>
        <v>0</v>
      </c>
      <c r="DY187" s="58">
        <f t="shared" ca="1" si="82"/>
        <v>0</v>
      </c>
      <c r="DZ187" s="58">
        <f t="shared" ca="1" si="82"/>
        <v>0</v>
      </c>
      <c r="EA187" s="58">
        <f t="shared" ca="1" si="82"/>
        <v>0</v>
      </c>
      <c r="EB187" s="58">
        <f t="shared" ca="1" si="82"/>
        <v>0</v>
      </c>
      <c r="EC187" s="58">
        <f t="shared" ca="1" si="82"/>
        <v>0</v>
      </c>
      <c r="ED187" s="58">
        <f t="shared" ca="1" si="82"/>
        <v>0</v>
      </c>
      <c r="EE187" s="58">
        <f t="shared" ref="EE187:FN187" ca="1" si="83">+IF(OR($F187+EE$175&lt;1,(EE$176-1)*12&lt;-$F187),0,OFFSET(EE17,0,$F187))</f>
        <v>0</v>
      </c>
      <c r="EF187" s="58">
        <f t="shared" ca="1" si="83"/>
        <v>0</v>
      </c>
      <c r="EG187" s="58">
        <f t="shared" ca="1" si="83"/>
        <v>0</v>
      </c>
      <c r="EH187" s="58">
        <f t="shared" ca="1" si="83"/>
        <v>0</v>
      </c>
      <c r="EI187" s="58">
        <f t="shared" ca="1" si="83"/>
        <v>0</v>
      </c>
      <c r="EJ187" s="58">
        <f t="shared" ca="1" si="83"/>
        <v>0</v>
      </c>
      <c r="EK187" s="58">
        <f t="shared" ca="1" si="83"/>
        <v>0</v>
      </c>
      <c r="EL187" s="58">
        <f t="shared" ca="1" si="83"/>
        <v>0</v>
      </c>
      <c r="EM187" s="58">
        <f t="shared" ca="1" si="83"/>
        <v>0</v>
      </c>
      <c r="EN187" s="58">
        <f t="shared" ca="1" si="83"/>
        <v>0</v>
      </c>
      <c r="EO187" s="58">
        <f t="shared" ca="1" si="83"/>
        <v>0</v>
      </c>
      <c r="EP187" s="58">
        <f t="shared" ca="1" si="83"/>
        <v>0</v>
      </c>
      <c r="EQ187" s="58">
        <f t="shared" ca="1" si="83"/>
        <v>0</v>
      </c>
      <c r="ER187" s="58">
        <f t="shared" ca="1" si="83"/>
        <v>0</v>
      </c>
      <c r="ES187" s="58">
        <f t="shared" ca="1" si="83"/>
        <v>0</v>
      </c>
      <c r="ET187" s="58">
        <f t="shared" ca="1" si="83"/>
        <v>0</v>
      </c>
      <c r="EU187" s="58">
        <f t="shared" ca="1" si="83"/>
        <v>0</v>
      </c>
      <c r="EV187" s="58">
        <f t="shared" ca="1" si="83"/>
        <v>0</v>
      </c>
      <c r="EW187" s="58">
        <f t="shared" ca="1" si="83"/>
        <v>0</v>
      </c>
      <c r="EX187" s="58">
        <f t="shared" ca="1" si="83"/>
        <v>0</v>
      </c>
      <c r="EY187" s="58">
        <f t="shared" ca="1" si="83"/>
        <v>0</v>
      </c>
      <c r="EZ187" s="58">
        <f t="shared" ca="1" si="83"/>
        <v>0</v>
      </c>
      <c r="FA187" s="58">
        <f t="shared" ca="1" si="83"/>
        <v>0</v>
      </c>
      <c r="FB187" s="58">
        <f t="shared" ca="1" si="83"/>
        <v>0</v>
      </c>
      <c r="FC187" s="58">
        <f t="shared" ca="1" si="83"/>
        <v>0</v>
      </c>
      <c r="FD187" s="58">
        <f t="shared" ca="1" si="83"/>
        <v>0</v>
      </c>
      <c r="FE187" s="58">
        <f t="shared" ca="1" si="83"/>
        <v>0</v>
      </c>
      <c r="FF187" s="58">
        <f t="shared" ca="1" si="83"/>
        <v>0</v>
      </c>
      <c r="FG187" s="58">
        <f t="shared" ca="1" si="83"/>
        <v>0</v>
      </c>
      <c r="FH187" s="58">
        <f t="shared" ca="1" si="83"/>
        <v>0</v>
      </c>
      <c r="FI187" s="58">
        <f t="shared" ca="1" si="83"/>
        <v>0</v>
      </c>
      <c r="FJ187" s="58">
        <f t="shared" ca="1" si="83"/>
        <v>0</v>
      </c>
      <c r="FK187" s="58">
        <f t="shared" ca="1" si="83"/>
        <v>0</v>
      </c>
      <c r="FL187" s="58">
        <f t="shared" ca="1" si="83"/>
        <v>0</v>
      </c>
      <c r="FM187" s="58">
        <f t="shared" ca="1" si="83"/>
        <v>0</v>
      </c>
      <c r="FN187" s="58">
        <f t="shared" ca="1" si="83"/>
        <v>0</v>
      </c>
      <c r="FO187" s="13"/>
    </row>
    <row r="188" spans="1:171" outlineLevel="1" x14ac:dyDescent="0.3">
      <c r="A188" s="13"/>
      <c r="B188" s="13"/>
      <c r="C188" s="13"/>
      <c r="D188" s="52">
        <f t="shared" si="31"/>
        <v>40483</v>
      </c>
      <c r="E188" s="53">
        <f t="shared" si="32"/>
        <v>2010</v>
      </c>
      <c r="F188" s="53">
        <f t="shared" si="33"/>
        <v>-38</v>
      </c>
      <c r="G188" s="58">
        <f t="shared" ref="G188:AL188" ca="1" si="84">+IF(OR($F188+G$175&lt;1,(G$176-1)*12&lt;-$F188),0,OFFSET(G18,0,$F188))</f>
        <v>0</v>
      </c>
      <c r="H188" s="58">
        <f t="shared" ca="1" si="84"/>
        <v>0</v>
      </c>
      <c r="I188" s="58">
        <f t="shared" ca="1" si="84"/>
        <v>0</v>
      </c>
      <c r="J188" s="58">
        <f t="shared" ca="1" si="84"/>
        <v>0</v>
      </c>
      <c r="K188" s="58">
        <f t="shared" ca="1" si="84"/>
        <v>0</v>
      </c>
      <c r="L188" s="58">
        <f t="shared" ca="1" si="84"/>
        <v>0</v>
      </c>
      <c r="M188" s="58">
        <f t="shared" ca="1" si="84"/>
        <v>0</v>
      </c>
      <c r="N188" s="58">
        <f t="shared" ca="1" si="84"/>
        <v>0</v>
      </c>
      <c r="O188" s="58">
        <f t="shared" ca="1" si="84"/>
        <v>0</v>
      </c>
      <c r="P188" s="58">
        <f t="shared" ca="1" si="84"/>
        <v>0</v>
      </c>
      <c r="Q188" s="58">
        <f t="shared" ca="1" si="84"/>
        <v>0</v>
      </c>
      <c r="R188" s="58">
        <f t="shared" ca="1" si="84"/>
        <v>0</v>
      </c>
      <c r="S188" s="58">
        <f t="shared" ca="1" si="84"/>
        <v>0</v>
      </c>
      <c r="T188" s="58">
        <f t="shared" ca="1" si="84"/>
        <v>0</v>
      </c>
      <c r="U188" s="58">
        <f t="shared" ca="1" si="84"/>
        <v>0</v>
      </c>
      <c r="V188" s="58">
        <f t="shared" ca="1" si="84"/>
        <v>0</v>
      </c>
      <c r="W188" s="58">
        <f t="shared" ca="1" si="84"/>
        <v>0</v>
      </c>
      <c r="X188" s="58">
        <f t="shared" ca="1" si="84"/>
        <v>0</v>
      </c>
      <c r="Y188" s="58">
        <f t="shared" ca="1" si="84"/>
        <v>0</v>
      </c>
      <c r="Z188" s="58">
        <f t="shared" ca="1" si="84"/>
        <v>0</v>
      </c>
      <c r="AA188" s="58">
        <f t="shared" ca="1" si="84"/>
        <v>0</v>
      </c>
      <c r="AB188" s="58">
        <f t="shared" ca="1" si="84"/>
        <v>0</v>
      </c>
      <c r="AC188" s="58">
        <f t="shared" ca="1" si="84"/>
        <v>0</v>
      </c>
      <c r="AD188" s="58">
        <f t="shared" ca="1" si="84"/>
        <v>0</v>
      </c>
      <c r="AE188" s="58">
        <f t="shared" ca="1" si="84"/>
        <v>0</v>
      </c>
      <c r="AF188" s="58">
        <f t="shared" ca="1" si="84"/>
        <v>0</v>
      </c>
      <c r="AG188" s="58">
        <f t="shared" ca="1" si="84"/>
        <v>0</v>
      </c>
      <c r="AH188" s="58">
        <f t="shared" ca="1" si="84"/>
        <v>0</v>
      </c>
      <c r="AI188" s="58">
        <f t="shared" ca="1" si="84"/>
        <v>0</v>
      </c>
      <c r="AJ188" s="58">
        <f t="shared" ca="1" si="84"/>
        <v>0</v>
      </c>
      <c r="AK188" s="58">
        <f t="shared" ca="1" si="84"/>
        <v>0</v>
      </c>
      <c r="AL188" s="58">
        <f t="shared" ca="1" si="84"/>
        <v>0</v>
      </c>
      <c r="AM188" s="58">
        <f t="shared" ref="AM188:BR188" ca="1" si="85">+IF(OR($F188+AM$175&lt;1,(AM$176-1)*12&lt;-$F188),0,OFFSET(AM18,0,$F188))</f>
        <v>0</v>
      </c>
      <c r="AN188" s="58">
        <f t="shared" ca="1" si="85"/>
        <v>0</v>
      </c>
      <c r="AO188" s="58">
        <f t="shared" ca="1" si="85"/>
        <v>0</v>
      </c>
      <c r="AP188" s="58">
        <f t="shared" ca="1" si="85"/>
        <v>0</v>
      </c>
      <c r="AQ188" s="58">
        <f t="shared" ca="1" si="85"/>
        <v>0</v>
      </c>
      <c r="AR188" s="58">
        <f t="shared" ca="1" si="85"/>
        <v>0</v>
      </c>
      <c r="AS188" s="58">
        <f t="shared" ca="1" si="85"/>
        <v>0</v>
      </c>
      <c r="AT188" s="58">
        <f t="shared" ca="1" si="85"/>
        <v>0</v>
      </c>
      <c r="AU188" s="58">
        <f t="shared" ca="1" si="85"/>
        <v>0</v>
      </c>
      <c r="AV188" s="58">
        <f t="shared" ca="1" si="85"/>
        <v>0</v>
      </c>
      <c r="AW188" s="58">
        <f t="shared" ca="1" si="85"/>
        <v>0</v>
      </c>
      <c r="AX188" s="58">
        <f t="shared" ca="1" si="85"/>
        <v>0</v>
      </c>
      <c r="AY188" s="58">
        <f t="shared" ca="1" si="85"/>
        <v>0</v>
      </c>
      <c r="AZ188" s="58">
        <f t="shared" ca="1" si="85"/>
        <v>0</v>
      </c>
      <c r="BA188" s="58">
        <f t="shared" ca="1" si="85"/>
        <v>0</v>
      </c>
      <c r="BB188" s="58">
        <f t="shared" ca="1" si="85"/>
        <v>0</v>
      </c>
      <c r="BC188" s="58">
        <f t="shared" ca="1" si="85"/>
        <v>0</v>
      </c>
      <c r="BD188" s="58">
        <f t="shared" ca="1" si="85"/>
        <v>0</v>
      </c>
      <c r="BE188" s="58">
        <f t="shared" ca="1" si="85"/>
        <v>0</v>
      </c>
      <c r="BF188" s="58">
        <f t="shared" ca="1" si="85"/>
        <v>0</v>
      </c>
      <c r="BG188" s="58">
        <f t="shared" ca="1" si="85"/>
        <v>0</v>
      </c>
      <c r="BH188" s="58">
        <f t="shared" ca="1" si="85"/>
        <v>0</v>
      </c>
      <c r="BI188" s="58">
        <f t="shared" ca="1" si="85"/>
        <v>0</v>
      </c>
      <c r="BJ188" s="58">
        <f t="shared" ca="1" si="85"/>
        <v>0</v>
      </c>
      <c r="BK188" s="58">
        <f t="shared" ca="1" si="85"/>
        <v>0</v>
      </c>
      <c r="BL188" s="58">
        <f t="shared" ca="1" si="85"/>
        <v>0</v>
      </c>
      <c r="BM188" s="58">
        <f t="shared" ca="1" si="85"/>
        <v>0</v>
      </c>
      <c r="BN188" s="58">
        <f t="shared" ca="1" si="85"/>
        <v>0</v>
      </c>
      <c r="BO188" s="58">
        <f t="shared" ca="1" si="85"/>
        <v>0</v>
      </c>
      <c r="BP188" s="58">
        <f t="shared" ca="1" si="85"/>
        <v>0</v>
      </c>
      <c r="BQ188" s="58">
        <f t="shared" ca="1" si="85"/>
        <v>0</v>
      </c>
      <c r="BR188" s="58">
        <f t="shared" ca="1" si="85"/>
        <v>0</v>
      </c>
      <c r="BS188" s="58">
        <f t="shared" ref="BS188:CX188" ca="1" si="86">+IF(OR($F188+BS$175&lt;1,(BS$176-1)*12&lt;-$F188),0,OFFSET(BS18,0,$F188))</f>
        <v>0</v>
      </c>
      <c r="BT188" s="58">
        <f t="shared" ca="1" si="86"/>
        <v>0</v>
      </c>
      <c r="BU188" s="58">
        <f t="shared" ca="1" si="86"/>
        <v>0</v>
      </c>
      <c r="BV188" s="58">
        <f t="shared" ca="1" si="86"/>
        <v>0</v>
      </c>
      <c r="BW188" s="58">
        <f t="shared" ca="1" si="86"/>
        <v>0</v>
      </c>
      <c r="BX188" s="58">
        <f t="shared" ca="1" si="86"/>
        <v>0</v>
      </c>
      <c r="BY188" s="58">
        <f t="shared" ca="1" si="86"/>
        <v>0</v>
      </c>
      <c r="BZ188" s="58">
        <f t="shared" ca="1" si="86"/>
        <v>0</v>
      </c>
      <c r="CA188" s="58">
        <f t="shared" ca="1" si="86"/>
        <v>0</v>
      </c>
      <c r="CB188" s="58">
        <f t="shared" ca="1" si="86"/>
        <v>0</v>
      </c>
      <c r="CC188" s="58">
        <f t="shared" ca="1" si="86"/>
        <v>0</v>
      </c>
      <c r="CD188" s="58">
        <f t="shared" ca="1" si="86"/>
        <v>0</v>
      </c>
      <c r="CE188" s="58">
        <f t="shared" ca="1" si="86"/>
        <v>0</v>
      </c>
      <c r="CF188" s="58">
        <f t="shared" ca="1" si="86"/>
        <v>0</v>
      </c>
      <c r="CG188" s="58">
        <f t="shared" ca="1" si="86"/>
        <v>0</v>
      </c>
      <c r="CH188" s="58">
        <f t="shared" ca="1" si="86"/>
        <v>0</v>
      </c>
      <c r="CI188" s="58">
        <f t="shared" ca="1" si="86"/>
        <v>0</v>
      </c>
      <c r="CJ188" s="58">
        <f t="shared" ca="1" si="86"/>
        <v>0</v>
      </c>
      <c r="CK188" s="58">
        <f t="shared" ca="1" si="86"/>
        <v>0</v>
      </c>
      <c r="CL188" s="58">
        <f t="shared" ca="1" si="86"/>
        <v>0</v>
      </c>
      <c r="CM188" s="58">
        <f t="shared" ca="1" si="86"/>
        <v>0</v>
      </c>
      <c r="CN188" s="58">
        <f t="shared" ca="1" si="86"/>
        <v>0</v>
      </c>
      <c r="CO188" s="58">
        <f t="shared" ca="1" si="86"/>
        <v>0</v>
      </c>
      <c r="CP188" s="58">
        <f t="shared" ca="1" si="86"/>
        <v>0</v>
      </c>
      <c r="CQ188" s="58">
        <f t="shared" ca="1" si="86"/>
        <v>0</v>
      </c>
      <c r="CR188" s="58">
        <f t="shared" ca="1" si="86"/>
        <v>0</v>
      </c>
      <c r="CS188" s="58">
        <f t="shared" ca="1" si="86"/>
        <v>0</v>
      </c>
      <c r="CT188" s="58">
        <f t="shared" ca="1" si="86"/>
        <v>0</v>
      </c>
      <c r="CU188" s="58">
        <f t="shared" ca="1" si="86"/>
        <v>0</v>
      </c>
      <c r="CV188" s="58">
        <f t="shared" ca="1" si="86"/>
        <v>0</v>
      </c>
      <c r="CW188" s="58">
        <f t="shared" ca="1" si="86"/>
        <v>0</v>
      </c>
      <c r="CX188" s="58">
        <f t="shared" ca="1" si="86"/>
        <v>0</v>
      </c>
      <c r="CY188" s="58">
        <f t="shared" ref="CY188:ED188" ca="1" si="87">+IF(OR($F188+CY$175&lt;1,(CY$176-1)*12&lt;-$F188),0,OFFSET(CY18,0,$F188))</f>
        <v>0</v>
      </c>
      <c r="CZ188" s="58">
        <f t="shared" ca="1" si="87"/>
        <v>0</v>
      </c>
      <c r="DA188" s="58">
        <f t="shared" ca="1" si="87"/>
        <v>0</v>
      </c>
      <c r="DB188" s="58">
        <f t="shared" ca="1" si="87"/>
        <v>0</v>
      </c>
      <c r="DC188" s="58">
        <f t="shared" ca="1" si="87"/>
        <v>0</v>
      </c>
      <c r="DD188" s="58">
        <f t="shared" ca="1" si="87"/>
        <v>0</v>
      </c>
      <c r="DE188" s="58">
        <f t="shared" ca="1" si="87"/>
        <v>0</v>
      </c>
      <c r="DF188" s="58">
        <f t="shared" ca="1" si="87"/>
        <v>0</v>
      </c>
      <c r="DG188" s="58">
        <f t="shared" ca="1" si="87"/>
        <v>0</v>
      </c>
      <c r="DH188" s="58">
        <f t="shared" ca="1" si="87"/>
        <v>0</v>
      </c>
      <c r="DI188" s="58">
        <f t="shared" ca="1" si="87"/>
        <v>0</v>
      </c>
      <c r="DJ188" s="58">
        <f t="shared" ca="1" si="87"/>
        <v>0</v>
      </c>
      <c r="DK188" s="58">
        <f t="shared" ca="1" si="87"/>
        <v>0</v>
      </c>
      <c r="DL188" s="58">
        <f t="shared" ca="1" si="87"/>
        <v>0</v>
      </c>
      <c r="DM188" s="58">
        <f t="shared" ca="1" si="87"/>
        <v>0</v>
      </c>
      <c r="DN188" s="58">
        <f t="shared" ca="1" si="87"/>
        <v>0</v>
      </c>
      <c r="DO188" s="58">
        <f t="shared" ca="1" si="87"/>
        <v>0</v>
      </c>
      <c r="DP188" s="58">
        <f t="shared" ca="1" si="87"/>
        <v>0</v>
      </c>
      <c r="DQ188" s="58">
        <f t="shared" ca="1" si="87"/>
        <v>0</v>
      </c>
      <c r="DR188" s="58">
        <f t="shared" ca="1" si="87"/>
        <v>0</v>
      </c>
      <c r="DS188" s="58">
        <f t="shared" ca="1" si="87"/>
        <v>0</v>
      </c>
      <c r="DT188" s="58">
        <f t="shared" ca="1" si="87"/>
        <v>0</v>
      </c>
      <c r="DU188" s="58">
        <f t="shared" ca="1" si="87"/>
        <v>0</v>
      </c>
      <c r="DV188" s="58">
        <f t="shared" ca="1" si="87"/>
        <v>0</v>
      </c>
      <c r="DW188" s="58">
        <f t="shared" ca="1" si="87"/>
        <v>0</v>
      </c>
      <c r="DX188" s="58">
        <f t="shared" ca="1" si="87"/>
        <v>0</v>
      </c>
      <c r="DY188" s="58">
        <f t="shared" ca="1" si="87"/>
        <v>0</v>
      </c>
      <c r="DZ188" s="58">
        <f t="shared" ca="1" si="87"/>
        <v>0</v>
      </c>
      <c r="EA188" s="58">
        <f t="shared" ca="1" si="87"/>
        <v>0</v>
      </c>
      <c r="EB188" s="58">
        <f t="shared" ca="1" si="87"/>
        <v>0</v>
      </c>
      <c r="EC188" s="58">
        <f t="shared" ca="1" si="87"/>
        <v>0</v>
      </c>
      <c r="ED188" s="58">
        <f t="shared" ca="1" si="87"/>
        <v>0</v>
      </c>
      <c r="EE188" s="58">
        <f t="shared" ref="EE188:FN188" ca="1" si="88">+IF(OR($F188+EE$175&lt;1,(EE$176-1)*12&lt;-$F188),0,OFFSET(EE18,0,$F188))</f>
        <v>0</v>
      </c>
      <c r="EF188" s="58">
        <f t="shared" ca="1" si="88"/>
        <v>0</v>
      </c>
      <c r="EG188" s="58">
        <f t="shared" ca="1" si="88"/>
        <v>0</v>
      </c>
      <c r="EH188" s="58">
        <f t="shared" ca="1" si="88"/>
        <v>0</v>
      </c>
      <c r="EI188" s="58">
        <f t="shared" ca="1" si="88"/>
        <v>0</v>
      </c>
      <c r="EJ188" s="58">
        <f t="shared" ca="1" si="88"/>
        <v>0</v>
      </c>
      <c r="EK188" s="58">
        <f t="shared" ca="1" si="88"/>
        <v>0</v>
      </c>
      <c r="EL188" s="58">
        <f t="shared" ca="1" si="88"/>
        <v>0</v>
      </c>
      <c r="EM188" s="58">
        <f t="shared" ca="1" si="88"/>
        <v>0</v>
      </c>
      <c r="EN188" s="58">
        <f t="shared" ca="1" si="88"/>
        <v>0</v>
      </c>
      <c r="EO188" s="58">
        <f t="shared" ca="1" si="88"/>
        <v>0</v>
      </c>
      <c r="EP188" s="58">
        <f t="shared" ca="1" si="88"/>
        <v>0</v>
      </c>
      <c r="EQ188" s="58">
        <f t="shared" ca="1" si="88"/>
        <v>0</v>
      </c>
      <c r="ER188" s="58">
        <f t="shared" ca="1" si="88"/>
        <v>0</v>
      </c>
      <c r="ES188" s="58">
        <f t="shared" ca="1" si="88"/>
        <v>0</v>
      </c>
      <c r="ET188" s="58">
        <f t="shared" ca="1" si="88"/>
        <v>0</v>
      </c>
      <c r="EU188" s="58">
        <f t="shared" ca="1" si="88"/>
        <v>0</v>
      </c>
      <c r="EV188" s="58">
        <f t="shared" ca="1" si="88"/>
        <v>0</v>
      </c>
      <c r="EW188" s="58">
        <f t="shared" ca="1" si="88"/>
        <v>0</v>
      </c>
      <c r="EX188" s="58">
        <f t="shared" ca="1" si="88"/>
        <v>0</v>
      </c>
      <c r="EY188" s="58">
        <f t="shared" ca="1" si="88"/>
        <v>0</v>
      </c>
      <c r="EZ188" s="58">
        <f t="shared" ca="1" si="88"/>
        <v>0</v>
      </c>
      <c r="FA188" s="58">
        <f t="shared" ca="1" si="88"/>
        <v>0</v>
      </c>
      <c r="FB188" s="58">
        <f t="shared" ca="1" si="88"/>
        <v>0</v>
      </c>
      <c r="FC188" s="58">
        <f t="shared" ca="1" si="88"/>
        <v>0</v>
      </c>
      <c r="FD188" s="58">
        <f t="shared" ca="1" si="88"/>
        <v>0</v>
      </c>
      <c r="FE188" s="58">
        <f t="shared" ca="1" si="88"/>
        <v>0</v>
      </c>
      <c r="FF188" s="58">
        <f t="shared" ca="1" si="88"/>
        <v>0</v>
      </c>
      <c r="FG188" s="58">
        <f t="shared" ca="1" si="88"/>
        <v>0</v>
      </c>
      <c r="FH188" s="58">
        <f t="shared" ca="1" si="88"/>
        <v>0</v>
      </c>
      <c r="FI188" s="58">
        <f t="shared" ca="1" si="88"/>
        <v>0</v>
      </c>
      <c r="FJ188" s="58">
        <f t="shared" ca="1" si="88"/>
        <v>0</v>
      </c>
      <c r="FK188" s="58">
        <f t="shared" ca="1" si="88"/>
        <v>0</v>
      </c>
      <c r="FL188" s="58">
        <f t="shared" ca="1" si="88"/>
        <v>0</v>
      </c>
      <c r="FM188" s="58">
        <f t="shared" ca="1" si="88"/>
        <v>0</v>
      </c>
      <c r="FN188" s="58">
        <f t="shared" ca="1" si="88"/>
        <v>0</v>
      </c>
      <c r="FO188" s="13"/>
    </row>
    <row r="189" spans="1:171" outlineLevel="1" x14ac:dyDescent="0.3">
      <c r="A189" s="13"/>
      <c r="B189" s="13"/>
      <c r="C189" s="13"/>
      <c r="D189" s="52">
        <f t="shared" si="31"/>
        <v>40513</v>
      </c>
      <c r="E189" s="53">
        <f t="shared" si="32"/>
        <v>2010</v>
      </c>
      <c r="F189" s="53">
        <f t="shared" si="33"/>
        <v>-37</v>
      </c>
      <c r="G189" s="58">
        <f t="shared" ref="G189:AL189" ca="1" si="89">+IF(OR($F189+G$175&lt;1,(G$176-1)*12&lt;-$F189),0,OFFSET(G19,0,$F189))</f>
        <v>0</v>
      </c>
      <c r="H189" s="58">
        <f t="shared" ca="1" si="89"/>
        <v>0</v>
      </c>
      <c r="I189" s="58">
        <f t="shared" ca="1" si="89"/>
        <v>0</v>
      </c>
      <c r="J189" s="58">
        <f t="shared" ca="1" si="89"/>
        <v>0</v>
      </c>
      <c r="K189" s="58">
        <f t="shared" ca="1" si="89"/>
        <v>0</v>
      </c>
      <c r="L189" s="58">
        <f t="shared" ca="1" si="89"/>
        <v>0</v>
      </c>
      <c r="M189" s="58">
        <f t="shared" ca="1" si="89"/>
        <v>0</v>
      </c>
      <c r="N189" s="58">
        <f t="shared" ca="1" si="89"/>
        <v>0</v>
      </c>
      <c r="O189" s="58">
        <f t="shared" ca="1" si="89"/>
        <v>0</v>
      </c>
      <c r="P189" s="58">
        <f t="shared" ca="1" si="89"/>
        <v>0</v>
      </c>
      <c r="Q189" s="58">
        <f t="shared" ca="1" si="89"/>
        <v>0</v>
      </c>
      <c r="R189" s="58">
        <f t="shared" ca="1" si="89"/>
        <v>0</v>
      </c>
      <c r="S189" s="58">
        <f t="shared" ca="1" si="89"/>
        <v>0</v>
      </c>
      <c r="T189" s="58">
        <f t="shared" ca="1" si="89"/>
        <v>0</v>
      </c>
      <c r="U189" s="58">
        <f t="shared" ca="1" si="89"/>
        <v>0</v>
      </c>
      <c r="V189" s="58">
        <f t="shared" ca="1" si="89"/>
        <v>0</v>
      </c>
      <c r="W189" s="58">
        <f t="shared" ca="1" si="89"/>
        <v>0</v>
      </c>
      <c r="X189" s="58">
        <f t="shared" ca="1" si="89"/>
        <v>0</v>
      </c>
      <c r="Y189" s="58">
        <f t="shared" ca="1" si="89"/>
        <v>0</v>
      </c>
      <c r="Z189" s="58">
        <f t="shared" ca="1" si="89"/>
        <v>0</v>
      </c>
      <c r="AA189" s="58">
        <f t="shared" ca="1" si="89"/>
        <v>0</v>
      </c>
      <c r="AB189" s="58">
        <f t="shared" ca="1" si="89"/>
        <v>0</v>
      </c>
      <c r="AC189" s="58">
        <f t="shared" ca="1" si="89"/>
        <v>0</v>
      </c>
      <c r="AD189" s="58">
        <f t="shared" ca="1" si="89"/>
        <v>0</v>
      </c>
      <c r="AE189" s="58">
        <f t="shared" ca="1" si="89"/>
        <v>0</v>
      </c>
      <c r="AF189" s="58">
        <f t="shared" ca="1" si="89"/>
        <v>0</v>
      </c>
      <c r="AG189" s="58">
        <f t="shared" ca="1" si="89"/>
        <v>0</v>
      </c>
      <c r="AH189" s="58">
        <f t="shared" ca="1" si="89"/>
        <v>0</v>
      </c>
      <c r="AI189" s="58">
        <f t="shared" ca="1" si="89"/>
        <v>0</v>
      </c>
      <c r="AJ189" s="58">
        <f t="shared" ca="1" si="89"/>
        <v>0</v>
      </c>
      <c r="AK189" s="58">
        <f t="shared" ca="1" si="89"/>
        <v>0</v>
      </c>
      <c r="AL189" s="58">
        <f t="shared" ca="1" si="89"/>
        <v>0</v>
      </c>
      <c r="AM189" s="58">
        <f t="shared" ref="AM189:BR189" ca="1" si="90">+IF(OR($F189+AM$175&lt;1,(AM$176-1)*12&lt;-$F189),0,OFFSET(AM19,0,$F189))</f>
        <v>0</v>
      </c>
      <c r="AN189" s="58">
        <f t="shared" ca="1" si="90"/>
        <v>0</v>
      </c>
      <c r="AO189" s="58">
        <f t="shared" ca="1" si="90"/>
        <v>0</v>
      </c>
      <c r="AP189" s="58">
        <f t="shared" ca="1" si="90"/>
        <v>0</v>
      </c>
      <c r="AQ189" s="58">
        <f t="shared" ca="1" si="90"/>
        <v>0</v>
      </c>
      <c r="AR189" s="58">
        <f t="shared" ca="1" si="90"/>
        <v>0</v>
      </c>
      <c r="AS189" s="58">
        <f t="shared" ca="1" si="90"/>
        <v>0</v>
      </c>
      <c r="AT189" s="58">
        <f t="shared" ca="1" si="90"/>
        <v>0</v>
      </c>
      <c r="AU189" s="58">
        <f t="shared" ca="1" si="90"/>
        <v>0</v>
      </c>
      <c r="AV189" s="58">
        <f t="shared" ca="1" si="90"/>
        <v>0</v>
      </c>
      <c r="AW189" s="58">
        <f t="shared" ca="1" si="90"/>
        <v>0</v>
      </c>
      <c r="AX189" s="58">
        <f t="shared" ca="1" si="90"/>
        <v>0</v>
      </c>
      <c r="AY189" s="58">
        <f t="shared" ca="1" si="90"/>
        <v>0</v>
      </c>
      <c r="AZ189" s="58">
        <f t="shared" ca="1" si="90"/>
        <v>0</v>
      </c>
      <c r="BA189" s="58">
        <f t="shared" ca="1" si="90"/>
        <v>0</v>
      </c>
      <c r="BB189" s="58">
        <f t="shared" ca="1" si="90"/>
        <v>0</v>
      </c>
      <c r="BC189" s="58">
        <f t="shared" ca="1" si="90"/>
        <v>0</v>
      </c>
      <c r="BD189" s="58">
        <f t="shared" ca="1" si="90"/>
        <v>0</v>
      </c>
      <c r="BE189" s="58">
        <f t="shared" ca="1" si="90"/>
        <v>0</v>
      </c>
      <c r="BF189" s="58">
        <f t="shared" ca="1" si="90"/>
        <v>0</v>
      </c>
      <c r="BG189" s="58">
        <f t="shared" ca="1" si="90"/>
        <v>0</v>
      </c>
      <c r="BH189" s="58">
        <f t="shared" ca="1" si="90"/>
        <v>0</v>
      </c>
      <c r="BI189" s="58">
        <f t="shared" ca="1" si="90"/>
        <v>0</v>
      </c>
      <c r="BJ189" s="58">
        <f t="shared" ca="1" si="90"/>
        <v>0</v>
      </c>
      <c r="BK189" s="58">
        <f t="shared" ca="1" si="90"/>
        <v>0</v>
      </c>
      <c r="BL189" s="58">
        <f t="shared" ca="1" si="90"/>
        <v>0</v>
      </c>
      <c r="BM189" s="58">
        <f t="shared" ca="1" si="90"/>
        <v>0</v>
      </c>
      <c r="BN189" s="58">
        <f t="shared" ca="1" si="90"/>
        <v>0</v>
      </c>
      <c r="BO189" s="58">
        <f t="shared" ca="1" si="90"/>
        <v>0</v>
      </c>
      <c r="BP189" s="58">
        <f t="shared" ca="1" si="90"/>
        <v>0</v>
      </c>
      <c r="BQ189" s="58">
        <f t="shared" ca="1" si="90"/>
        <v>0</v>
      </c>
      <c r="BR189" s="58">
        <f t="shared" ca="1" si="90"/>
        <v>0</v>
      </c>
      <c r="BS189" s="58">
        <f t="shared" ref="BS189:CX189" ca="1" si="91">+IF(OR($F189+BS$175&lt;1,(BS$176-1)*12&lt;-$F189),0,OFFSET(BS19,0,$F189))</f>
        <v>0</v>
      </c>
      <c r="BT189" s="58">
        <f t="shared" ca="1" si="91"/>
        <v>0</v>
      </c>
      <c r="BU189" s="58">
        <f t="shared" ca="1" si="91"/>
        <v>0</v>
      </c>
      <c r="BV189" s="58">
        <f t="shared" ca="1" si="91"/>
        <v>0</v>
      </c>
      <c r="BW189" s="58">
        <f t="shared" ca="1" si="91"/>
        <v>0</v>
      </c>
      <c r="BX189" s="58">
        <f t="shared" ca="1" si="91"/>
        <v>0</v>
      </c>
      <c r="BY189" s="58">
        <f t="shared" ca="1" si="91"/>
        <v>0</v>
      </c>
      <c r="BZ189" s="58">
        <f t="shared" ca="1" si="91"/>
        <v>0</v>
      </c>
      <c r="CA189" s="58">
        <f t="shared" ca="1" si="91"/>
        <v>0</v>
      </c>
      <c r="CB189" s="58">
        <f t="shared" ca="1" si="91"/>
        <v>0</v>
      </c>
      <c r="CC189" s="58">
        <f t="shared" ca="1" si="91"/>
        <v>0</v>
      </c>
      <c r="CD189" s="58">
        <f t="shared" ca="1" si="91"/>
        <v>0</v>
      </c>
      <c r="CE189" s="58">
        <f t="shared" ca="1" si="91"/>
        <v>0</v>
      </c>
      <c r="CF189" s="58">
        <f t="shared" ca="1" si="91"/>
        <v>0</v>
      </c>
      <c r="CG189" s="58">
        <f t="shared" ca="1" si="91"/>
        <v>0</v>
      </c>
      <c r="CH189" s="58">
        <f t="shared" ca="1" si="91"/>
        <v>0</v>
      </c>
      <c r="CI189" s="58">
        <f t="shared" ca="1" si="91"/>
        <v>0</v>
      </c>
      <c r="CJ189" s="58">
        <f t="shared" ca="1" si="91"/>
        <v>0</v>
      </c>
      <c r="CK189" s="58">
        <f t="shared" ca="1" si="91"/>
        <v>0</v>
      </c>
      <c r="CL189" s="58">
        <f t="shared" ca="1" si="91"/>
        <v>0</v>
      </c>
      <c r="CM189" s="58">
        <f t="shared" ca="1" si="91"/>
        <v>0</v>
      </c>
      <c r="CN189" s="58">
        <f t="shared" ca="1" si="91"/>
        <v>0</v>
      </c>
      <c r="CO189" s="58">
        <f t="shared" ca="1" si="91"/>
        <v>0</v>
      </c>
      <c r="CP189" s="58">
        <f t="shared" ca="1" si="91"/>
        <v>0</v>
      </c>
      <c r="CQ189" s="58">
        <f t="shared" ca="1" si="91"/>
        <v>0</v>
      </c>
      <c r="CR189" s="58">
        <f t="shared" ca="1" si="91"/>
        <v>0</v>
      </c>
      <c r="CS189" s="58">
        <f t="shared" ca="1" si="91"/>
        <v>0</v>
      </c>
      <c r="CT189" s="58">
        <f t="shared" ca="1" si="91"/>
        <v>0</v>
      </c>
      <c r="CU189" s="58">
        <f t="shared" ca="1" si="91"/>
        <v>0</v>
      </c>
      <c r="CV189" s="58">
        <f t="shared" ca="1" si="91"/>
        <v>0</v>
      </c>
      <c r="CW189" s="58">
        <f t="shared" ca="1" si="91"/>
        <v>0</v>
      </c>
      <c r="CX189" s="58">
        <f t="shared" ca="1" si="91"/>
        <v>0</v>
      </c>
      <c r="CY189" s="58">
        <f t="shared" ref="CY189:ED189" ca="1" si="92">+IF(OR($F189+CY$175&lt;1,(CY$176-1)*12&lt;-$F189),0,OFFSET(CY19,0,$F189))</f>
        <v>0</v>
      </c>
      <c r="CZ189" s="58">
        <f t="shared" ca="1" si="92"/>
        <v>0</v>
      </c>
      <c r="DA189" s="58">
        <f t="shared" ca="1" si="92"/>
        <v>0</v>
      </c>
      <c r="DB189" s="58">
        <f t="shared" ca="1" si="92"/>
        <v>0</v>
      </c>
      <c r="DC189" s="58">
        <f t="shared" ca="1" si="92"/>
        <v>0</v>
      </c>
      <c r="DD189" s="58">
        <f t="shared" ca="1" si="92"/>
        <v>0</v>
      </c>
      <c r="DE189" s="58">
        <f t="shared" ca="1" si="92"/>
        <v>0</v>
      </c>
      <c r="DF189" s="58">
        <f t="shared" ca="1" si="92"/>
        <v>0</v>
      </c>
      <c r="DG189" s="58">
        <f t="shared" ca="1" si="92"/>
        <v>0</v>
      </c>
      <c r="DH189" s="58">
        <f t="shared" ca="1" si="92"/>
        <v>0</v>
      </c>
      <c r="DI189" s="58">
        <f t="shared" ca="1" si="92"/>
        <v>0</v>
      </c>
      <c r="DJ189" s="58">
        <f t="shared" ca="1" si="92"/>
        <v>0</v>
      </c>
      <c r="DK189" s="58">
        <f t="shared" ca="1" si="92"/>
        <v>0</v>
      </c>
      <c r="DL189" s="58">
        <f t="shared" ca="1" si="92"/>
        <v>0</v>
      </c>
      <c r="DM189" s="58">
        <f t="shared" ca="1" si="92"/>
        <v>0</v>
      </c>
      <c r="DN189" s="58">
        <f t="shared" ca="1" si="92"/>
        <v>0</v>
      </c>
      <c r="DO189" s="58">
        <f t="shared" ca="1" si="92"/>
        <v>0</v>
      </c>
      <c r="DP189" s="58">
        <f t="shared" ca="1" si="92"/>
        <v>0</v>
      </c>
      <c r="DQ189" s="58">
        <f t="shared" ca="1" si="92"/>
        <v>0</v>
      </c>
      <c r="DR189" s="58">
        <f t="shared" ca="1" si="92"/>
        <v>0</v>
      </c>
      <c r="DS189" s="58">
        <f t="shared" ca="1" si="92"/>
        <v>0</v>
      </c>
      <c r="DT189" s="58">
        <f t="shared" ca="1" si="92"/>
        <v>0</v>
      </c>
      <c r="DU189" s="58">
        <f t="shared" ca="1" si="92"/>
        <v>0</v>
      </c>
      <c r="DV189" s="58">
        <f t="shared" ca="1" si="92"/>
        <v>0</v>
      </c>
      <c r="DW189" s="58">
        <f t="shared" ca="1" si="92"/>
        <v>0</v>
      </c>
      <c r="DX189" s="58">
        <f t="shared" ca="1" si="92"/>
        <v>0</v>
      </c>
      <c r="DY189" s="58">
        <f t="shared" ca="1" si="92"/>
        <v>0</v>
      </c>
      <c r="DZ189" s="58">
        <f t="shared" ca="1" si="92"/>
        <v>0</v>
      </c>
      <c r="EA189" s="58">
        <f t="shared" ca="1" si="92"/>
        <v>0</v>
      </c>
      <c r="EB189" s="58">
        <f t="shared" ca="1" si="92"/>
        <v>0</v>
      </c>
      <c r="EC189" s="58">
        <f t="shared" ca="1" si="92"/>
        <v>0</v>
      </c>
      <c r="ED189" s="58">
        <f t="shared" ca="1" si="92"/>
        <v>0</v>
      </c>
      <c r="EE189" s="58">
        <f t="shared" ref="EE189:FN189" ca="1" si="93">+IF(OR($F189+EE$175&lt;1,(EE$176-1)*12&lt;-$F189),0,OFFSET(EE19,0,$F189))</f>
        <v>0</v>
      </c>
      <c r="EF189" s="58">
        <f t="shared" ca="1" si="93"/>
        <v>0</v>
      </c>
      <c r="EG189" s="58">
        <f t="shared" ca="1" si="93"/>
        <v>0</v>
      </c>
      <c r="EH189" s="58">
        <f t="shared" ca="1" si="93"/>
        <v>0</v>
      </c>
      <c r="EI189" s="58">
        <f t="shared" ca="1" si="93"/>
        <v>0</v>
      </c>
      <c r="EJ189" s="58">
        <f t="shared" ca="1" si="93"/>
        <v>0</v>
      </c>
      <c r="EK189" s="58">
        <f t="shared" ca="1" si="93"/>
        <v>0</v>
      </c>
      <c r="EL189" s="58">
        <f t="shared" ca="1" si="93"/>
        <v>0</v>
      </c>
      <c r="EM189" s="58">
        <f t="shared" ca="1" si="93"/>
        <v>0</v>
      </c>
      <c r="EN189" s="58">
        <f t="shared" ca="1" si="93"/>
        <v>0</v>
      </c>
      <c r="EO189" s="58">
        <f t="shared" ca="1" si="93"/>
        <v>0</v>
      </c>
      <c r="EP189" s="58">
        <f t="shared" ca="1" si="93"/>
        <v>0</v>
      </c>
      <c r="EQ189" s="58">
        <f t="shared" ca="1" si="93"/>
        <v>0</v>
      </c>
      <c r="ER189" s="58">
        <f t="shared" ca="1" si="93"/>
        <v>0</v>
      </c>
      <c r="ES189" s="58">
        <f t="shared" ca="1" si="93"/>
        <v>0</v>
      </c>
      <c r="ET189" s="58">
        <f t="shared" ca="1" si="93"/>
        <v>0</v>
      </c>
      <c r="EU189" s="58">
        <f t="shared" ca="1" si="93"/>
        <v>0</v>
      </c>
      <c r="EV189" s="58">
        <f t="shared" ca="1" si="93"/>
        <v>0</v>
      </c>
      <c r="EW189" s="58">
        <f t="shared" ca="1" si="93"/>
        <v>0</v>
      </c>
      <c r="EX189" s="58">
        <f t="shared" ca="1" si="93"/>
        <v>0</v>
      </c>
      <c r="EY189" s="58">
        <f t="shared" ca="1" si="93"/>
        <v>0</v>
      </c>
      <c r="EZ189" s="58">
        <f t="shared" ca="1" si="93"/>
        <v>0</v>
      </c>
      <c r="FA189" s="58">
        <f t="shared" ca="1" si="93"/>
        <v>0</v>
      </c>
      <c r="FB189" s="58">
        <f t="shared" ca="1" si="93"/>
        <v>0</v>
      </c>
      <c r="FC189" s="58">
        <f t="shared" ca="1" si="93"/>
        <v>0</v>
      </c>
      <c r="FD189" s="58">
        <f t="shared" ca="1" si="93"/>
        <v>0</v>
      </c>
      <c r="FE189" s="58">
        <f t="shared" ca="1" si="93"/>
        <v>0</v>
      </c>
      <c r="FF189" s="58">
        <f t="shared" ca="1" si="93"/>
        <v>0</v>
      </c>
      <c r="FG189" s="58">
        <f t="shared" ca="1" si="93"/>
        <v>0</v>
      </c>
      <c r="FH189" s="58">
        <f t="shared" ca="1" si="93"/>
        <v>0</v>
      </c>
      <c r="FI189" s="58">
        <f t="shared" ca="1" si="93"/>
        <v>0</v>
      </c>
      <c r="FJ189" s="58">
        <f t="shared" ca="1" si="93"/>
        <v>0</v>
      </c>
      <c r="FK189" s="58">
        <f t="shared" ca="1" si="93"/>
        <v>0</v>
      </c>
      <c r="FL189" s="58">
        <f t="shared" ca="1" si="93"/>
        <v>0</v>
      </c>
      <c r="FM189" s="58">
        <f t="shared" ca="1" si="93"/>
        <v>0</v>
      </c>
      <c r="FN189" s="58">
        <f t="shared" ca="1" si="93"/>
        <v>0</v>
      </c>
      <c r="FO189" s="13"/>
    </row>
    <row r="190" spans="1:171" outlineLevel="1" x14ac:dyDescent="0.3">
      <c r="A190" s="13"/>
      <c r="B190" s="13"/>
      <c r="C190" s="13"/>
      <c r="D190" s="52">
        <f t="shared" si="31"/>
        <v>40544</v>
      </c>
      <c r="E190" s="53">
        <f t="shared" si="32"/>
        <v>2011</v>
      </c>
      <c r="F190" s="53">
        <f t="shared" si="33"/>
        <v>-36</v>
      </c>
      <c r="G190" s="58">
        <f t="shared" ref="G190:AL190" ca="1" si="94">+IF(OR($F190+G$175&lt;1,(G$176-1)*12&lt;-$F190),0,OFFSET(G20,0,$F190))</f>
        <v>0</v>
      </c>
      <c r="H190" s="58">
        <f t="shared" ca="1" si="94"/>
        <v>0</v>
      </c>
      <c r="I190" s="58">
        <f t="shared" ca="1" si="94"/>
        <v>0</v>
      </c>
      <c r="J190" s="58">
        <f t="shared" ca="1" si="94"/>
        <v>0</v>
      </c>
      <c r="K190" s="58">
        <f t="shared" ca="1" si="94"/>
        <v>0</v>
      </c>
      <c r="L190" s="58">
        <f t="shared" ca="1" si="94"/>
        <v>0</v>
      </c>
      <c r="M190" s="58">
        <f t="shared" ca="1" si="94"/>
        <v>0</v>
      </c>
      <c r="N190" s="58">
        <f t="shared" ca="1" si="94"/>
        <v>0</v>
      </c>
      <c r="O190" s="58">
        <f t="shared" ca="1" si="94"/>
        <v>0</v>
      </c>
      <c r="P190" s="58">
        <f t="shared" ca="1" si="94"/>
        <v>0</v>
      </c>
      <c r="Q190" s="58">
        <f t="shared" ca="1" si="94"/>
        <v>0</v>
      </c>
      <c r="R190" s="58">
        <f t="shared" ca="1" si="94"/>
        <v>0</v>
      </c>
      <c r="S190" s="58">
        <f t="shared" ca="1" si="94"/>
        <v>0</v>
      </c>
      <c r="T190" s="58">
        <f t="shared" ca="1" si="94"/>
        <v>0</v>
      </c>
      <c r="U190" s="58">
        <f t="shared" ca="1" si="94"/>
        <v>0</v>
      </c>
      <c r="V190" s="58">
        <f t="shared" ca="1" si="94"/>
        <v>0</v>
      </c>
      <c r="W190" s="58">
        <f t="shared" ca="1" si="94"/>
        <v>0</v>
      </c>
      <c r="X190" s="58">
        <f t="shared" ca="1" si="94"/>
        <v>0</v>
      </c>
      <c r="Y190" s="58">
        <f t="shared" ca="1" si="94"/>
        <v>0</v>
      </c>
      <c r="Z190" s="58">
        <f t="shared" ca="1" si="94"/>
        <v>0</v>
      </c>
      <c r="AA190" s="58">
        <f t="shared" ca="1" si="94"/>
        <v>0</v>
      </c>
      <c r="AB190" s="58">
        <f t="shared" ca="1" si="94"/>
        <v>0</v>
      </c>
      <c r="AC190" s="58">
        <f t="shared" ca="1" si="94"/>
        <v>0</v>
      </c>
      <c r="AD190" s="58">
        <f t="shared" ca="1" si="94"/>
        <v>0</v>
      </c>
      <c r="AE190" s="58">
        <f t="shared" ca="1" si="94"/>
        <v>0</v>
      </c>
      <c r="AF190" s="58">
        <f t="shared" ca="1" si="94"/>
        <v>0</v>
      </c>
      <c r="AG190" s="58">
        <f t="shared" ca="1" si="94"/>
        <v>0</v>
      </c>
      <c r="AH190" s="58">
        <f t="shared" ca="1" si="94"/>
        <v>0</v>
      </c>
      <c r="AI190" s="58">
        <f t="shared" ca="1" si="94"/>
        <v>0</v>
      </c>
      <c r="AJ190" s="58">
        <f t="shared" ca="1" si="94"/>
        <v>0</v>
      </c>
      <c r="AK190" s="58">
        <f t="shared" ca="1" si="94"/>
        <v>0</v>
      </c>
      <c r="AL190" s="58">
        <f t="shared" ca="1" si="94"/>
        <v>0</v>
      </c>
      <c r="AM190" s="58">
        <f t="shared" ref="AM190:BR190" ca="1" si="95">+IF(OR($F190+AM$175&lt;1,(AM$176-1)*12&lt;-$F190),0,OFFSET(AM20,0,$F190))</f>
        <v>0</v>
      </c>
      <c r="AN190" s="58">
        <f t="shared" ca="1" si="95"/>
        <v>0</v>
      </c>
      <c r="AO190" s="58">
        <f t="shared" ca="1" si="95"/>
        <v>0</v>
      </c>
      <c r="AP190" s="58">
        <f t="shared" ca="1" si="95"/>
        <v>0</v>
      </c>
      <c r="AQ190" s="58">
        <f t="shared" ca="1" si="95"/>
        <v>0</v>
      </c>
      <c r="AR190" s="58">
        <f t="shared" ca="1" si="95"/>
        <v>0</v>
      </c>
      <c r="AS190" s="58">
        <f t="shared" ca="1" si="95"/>
        <v>0</v>
      </c>
      <c r="AT190" s="58">
        <f t="shared" ca="1" si="95"/>
        <v>0</v>
      </c>
      <c r="AU190" s="58">
        <f t="shared" ca="1" si="95"/>
        <v>0</v>
      </c>
      <c r="AV190" s="58">
        <f t="shared" ca="1" si="95"/>
        <v>0</v>
      </c>
      <c r="AW190" s="58">
        <f t="shared" ca="1" si="95"/>
        <v>0</v>
      </c>
      <c r="AX190" s="58">
        <f t="shared" ca="1" si="95"/>
        <v>0</v>
      </c>
      <c r="AY190" s="58">
        <f t="shared" ca="1" si="95"/>
        <v>0</v>
      </c>
      <c r="AZ190" s="58">
        <f t="shared" ca="1" si="95"/>
        <v>0</v>
      </c>
      <c r="BA190" s="58">
        <f t="shared" ca="1" si="95"/>
        <v>0</v>
      </c>
      <c r="BB190" s="58">
        <f t="shared" ca="1" si="95"/>
        <v>0</v>
      </c>
      <c r="BC190" s="58">
        <f t="shared" ca="1" si="95"/>
        <v>0</v>
      </c>
      <c r="BD190" s="58">
        <f t="shared" ca="1" si="95"/>
        <v>0</v>
      </c>
      <c r="BE190" s="58">
        <f t="shared" ca="1" si="95"/>
        <v>0</v>
      </c>
      <c r="BF190" s="58">
        <f t="shared" ca="1" si="95"/>
        <v>0</v>
      </c>
      <c r="BG190" s="58">
        <f t="shared" ca="1" si="95"/>
        <v>0</v>
      </c>
      <c r="BH190" s="58">
        <f t="shared" ca="1" si="95"/>
        <v>0</v>
      </c>
      <c r="BI190" s="58">
        <f t="shared" ca="1" si="95"/>
        <v>0</v>
      </c>
      <c r="BJ190" s="58">
        <f t="shared" ca="1" si="95"/>
        <v>0</v>
      </c>
      <c r="BK190" s="58">
        <f t="shared" ca="1" si="95"/>
        <v>0</v>
      </c>
      <c r="BL190" s="58">
        <f t="shared" ca="1" si="95"/>
        <v>0</v>
      </c>
      <c r="BM190" s="58">
        <f t="shared" ca="1" si="95"/>
        <v>0</v>
      </c>
      <c r="BN190" s="58">
        <f t="shared" ca="1" si="95"/>
        <v>0</v>
      </c>
      <c r="BO190" s="58">
        <f t="shared" ca="1" si="95"/>
        <v>0</v>
      </c>
      <c r="BP190" s="58">
        <f t="shared" ca="1" si="95"/>
        <v>0</v>
      </c>
      <c r="BQ190" s="58">
        <f t="shared" ca="1" si="95"/>
        <v>0</v>
      </c>
      <c r="BR190" s="58">
        <f t="shared" ca="1" si="95"/>
        <v>0</v>
      </c>
      <c r="BS190" s="58">
        <f t="shared" ref="BS190:CX190" ca="1" si="96">+IF(OR($F190+BS$175&lt;1,(BS$176-1)*12&lt;-$F190),0,OFFSET(BS20,0,$F190))</f>
        <v>0</v>
      </c>
      <c r="BT190" s="58">
        <f t="shared" ca="1" si="96"/>
        <v>0</v>
      </c>
      <c r="BU190" s="58">
        <f t="shared" ca="1" si="96"/>
        <v>0</v>
      </c>
      <c r="BV190" s="58">
        <f t="shared" ca="1" si="96"/>
        <v>0</v>
      </c>
      <c r="BW190" s="58">
        <f t="shared" ca="1" si="96"/>
        <v>0</v>
      </c>
      <c r="BX190" s="58">
        <f t="shared" ca="1" si="96"/>
        <v>0</v>
      </c>
      <c r="BY190" s="58">
        <f t="shared" ca="1" si="96"/>
        <v>0</v>
      </c>
      <c r="BZ190" s="58">
        <f t="shared" ca="1" si="96"/>
        <v>0</v>
      </c>
      <c r="CA190" s="58">
        <f t="shared" ca="1" si="96"/>
        <v>0</v>
      </c>
      <c r="CB190" s="58">
        <f t="shared" ca="1" si="96"/>
        <v>0</v>
      </c>
      <c r="CC190" s="58">
        <f t="shared" ca="1" si="96"/>
        <v>0</v>
      </c>
      <c r="CD190" s="58">
        <f t="shared" ca="1" si="96"/>
        <v>0</v>
      </c>
      <c r="CE190" s="58">
        <f t="shared" ca="1" si="96"/>
        <v>0</v>
      </c>
      <c r="CF190" s="58">
        <f t="shared" ca="1" si="96"/>
        <v>0</v>
      </c>
      <c r="CG190" s="58">
        <f t="shared" ca="1" si="96"/>
        <v>0</v>
      </c>
      <c r="CH190" s="58">
        <f t="shared" ca="1" si="96"/>
        <v>0</v>
      </c>
      <c r="CI190" s="58">
        <f t="shared" ca="1" si="96"/>
        <v>0</v>
      </c>
      <c r="CJ190" s="58">
        <f t="shared" ca="1" si="96"/>
        <v>0</v>
      </c>
      <c r="CK190" s="58">
        <f t="shared" ca="1" si="96"/>
        <v>0</v>
      </c>
      <c r="CL190" s="58">
        <f t="shared" ca="1" si="96"/>
        <v>0</v>
      </c>
      <c r="CM190" s="58">
        <f t="shared" ca="1" si="96"/>
        <v>0</v>
      </c>
      <c r="CN190" s="58">
        <f t="shared" ca="1" si="96"/>
        <v>0</v>
      </c>
      <c r="CO190" s="58">
        <f t="shared" ca="1" si="96"/>
        <v>0</v>
      </c>
      <c r="CP190" s="58">
        <f t="shared" ca="1" si="96"/>
        <v>0</v>
      </c>
      <c r="CQ190" s="58">
        <f t="shared" ca="1" si="96"/>
        <v>0</v>
      </c>
      <c r="CR190" s="58">
        <f t="shared" ca="1" si="96"/>
        <v>0</v>
      </c>
      <c r="CS190" s="58">
        <f t="shared" ca="1" si="96"/>
        <v>0</v>
      </c>
      <c r="CT190" s="58">
        <f t="shared" ca="1" si="96"/>
        <v>0</v>
      </c>
      <c r="CU190" s="58">
        <f t="shared" ca="1" si="96"/>
        <v>0</v>
      </c>
      <c r="CV190" s="58">
        <f t="shared" ca="1" si="96"/>
        <v>0</v>
      </c>
      <c r="CW190" s="58">
        <f t="shared" ca="1" si="96"/>
        <v>0</v>
      </c>
      <c r="CX190" s="58">
        <f t="shared" ca="1" si="96"/>
        <v>0</v>
      </c>
      <c r="CY190" s="58">
        <f t="shared" ref="CY190:ED190" ca="1" si="97">+IF(OR($F190+CY$175&lt;1,(CY$176-1)*12&lt;-$F190),0,OFFSET(CY20,0,$F190))</f>
        <v>0</v>
      </c>
      <c r="CZ190" s="58">
        <f t="shared" ca="1" si="97"/>
        <v>0</v>
      </c>
      <c r="DA190" s="58">
        <f t="shared" ca="1" si="97"/>
        <v>0</v>
      </c>
      <c r="DB190" s="58">
        <f t="shared" ca="1" si="97"/>
        <v>0</v>
      </c>
      <c r="DC190" s="58">
        <f t="shared" ca="1" si="97"/>
        <v>0</v>
      </c>
      <c r="DD190" s="58">
        <f t="shared" ca="1" si="97"/>
        <v>0</v>
      </c>
      <c r="DE190" s="58">
        <f t="shared" ca="1" si="97"/>
        <v>0</v>
      </c>
      <c r="DF190" s="58">
        <f t="shared" ca="1" si="97"/>
        <v>0</v>
      </c>
      <c r="DG190" s="58">
        <f t="shared" ca="1" si="97"/>
        <v>0</v>
      </c>
      <c r="DH190" s="58">
        <f t="shared" ca="1" si="97"/>
        <v>0</v>
      </c>
      <c r="DI190" s="58">
        <f t="shared" ca="1" si="97"/>
        <v>0</v>
      </c>
      <c r="DJ190" s="58">
        <f t="shared" ca="1" si="97"/>
        <v>0</v>
      </c>
      <c r="DK190" s="58">
        <f t="shared" ca="1" si="97"/>
        <v>0</v>
      </c>
      <c r="DL190" s="58">
        <f t="shared" ca="1" si="97"/>
        <v>0</v>
      </c>
      <c r="DM190" s="58">
        <f t="shared" ca="1" si="97"/>
        <v>0</v>
      </c>
      <c r="DN190" s="58">
        <f t="shared" ca="1" si="97"/>
        <v>0</v>
      </c>
      <c r="DO190" s="58">
        <f t="shared" ca="1" si="97"/>
        <v>0</v>
      </c>
      <c r="DP190" s="58">
        <f t="shared" ca="1" si="97"/>
        <v>0</v>
      </c>
      <c r="DQ190" s="58">
        <f t="shared" ca="1" si="97"/>
        <v>0</v>
      </c>
      <c r="DR190" s="58">
        <f t="shared" ca="1" si="97"/>
        <v>0</v>
      </c>
      <c r="DS190" s="58">
        <f t="shared" ca="1" si="97"/>
        <v>0</v>
      </c>
      <c r="DT190" s="58">
        <f t="shared" ca="1" si="97"/>
        <v>0</v>
      </c>
      <c r="DU190" s="58">
        <f t="shared" ca="1" si="97"/>
        <v>0</v>
      </c>
      <c r="DV190" s="58">
        <f t="shared" ca="1" si="97"/>
        <v>0</v>
      </c>
      <c r="DW190" s="58">
        <f t="shared" ca="1" si="97"/>
        <v>0</v>
      </c>
      <c r="DX190" s="58">
        <f t="shared" ca="1" si="97"/>
        <v>0</v>
      </c>
      <c r="DY190" s="58">
        <f t="shared" ca="1" si="97"/>
        <v>0</v>
      </c>
      <c r="DZ190" s="58">
        <f t="shared" ca="1" si="97"/>
        <v>0</v>
      </c>
      <c r="EA190" s="58">
        <f t="shared" ca="1" si="97"/>
        <v>0</v>
      </c>
      <c r="EB190" s="58">
        <f t="shared" ca="1" si="97"/>
        <v>0</v>
      </c>
      <c r="EC190" s="58">
        <f t="shared" ca="1" si="97"/>
        <v>0</v>
      </c>
      <c r="ED190" s="58">
        <f t="shared" ca="1" si="97"/>
        <v>0</v>
      </c>
      <c r="EE190" s="58">
        <f t="shared" ref="EE190:FN190" ca="1" si="98">+IF(OR($F190+EE$175&lt;1,(EE$176-1)*12&lt;-$F190),0,OFFSET(EE20,0,$F190))</f>
        <v>0</v>
      </c>
      <c r="EF190" s="58">
        <f t="shared" ca="1" si="98"/>
        <v>0</v>
      </c>
      <c r="EG190" s="58">
        <f t="shared" ca="1" si="98"/>
        <v>0</v>
      </c>
      <c r="EH190" s="58">
        <f t="shared" ca="1" si="98"/>
        <v>0</v>
      </c>
      <c r="EI190" s="58">
        <f t="shared" ca="1" si="98"/>
        <v>0</v>
      </c>
      <c r="EJ190" s="58">
        <f t="shared" ca="1" si="98"/>
        <v>0</v>
      </c>
      <c r="EK190" s="58">
        <f t="shared" ca="1" si="98"/>
        <v>0</v>
      </c>
      <c r="EL190" s="58">
        <f t="shared" ca="1" si="98"/>
        <v>0</v>
      </c>
      <c r="EM190" s="58">
        <f t="shared" ca="1" si="98"/>
        <v>0</v>
      </c>
      <c r="EN190" s="58">
        <f t="shared" ca="1" si="98"/>
        <v>0</v>
      </c>
      <c r="EO190" s="58">
        <f t="shared" ca="1" si="98"/>
        <v>0</v>
      </c>
      <c r="EP190" s="58">
        <f t="shared" ca="1" si="98"/>
        <v>0</v>
      </c>
      <c r="EQ190" s="58">
        <f t="shared" ca="1" si="98"/>
        <v>0</v>
      </c>
      <c r="ER190" s="58">
        <f t="shared" ca="1" si="98"/>
        <v>0</v>
      </c>
      <c r="ES190" s="58">
        <f t="shared" ca="1" si="98"/>
        <v>0</v>
      </c>
      <c r="ET190" s="58">
        <f t="shared" ca="1" si="98"/>
        <v>0</v>
      </c>
      <c r="EU190" s="58">
        <f t="shared" ca="1" si="98"/>
        <v>0</v>
      </c>
      <c r="EV190" s="58">
        <f t="shared" ca="1" si="98"/>
        <v>0</v>
      </c>
      <c r="EW190" s="58">
        <f t="shared" ca="1" si="98"/>
        <v>0</v>
      </c>
      <c r="EX190" s="58">
        <f t="shared" ca="1" si="98"/>
        <v>0</v>
      </c>
      <c r="EY190" s="58">
        <f t="shared" ca="1" si="98"/>
        <v>0</v>
      </c>
      <c r="EZ190" s="58">
        <f t="shared" ca="1" si="98"/>
        <v>0</v>
      </c>
      <c r="FA190" s="58">
        <f t="shared" ca="1" si="98"/>
        <v>0</v>
      </c>
      <c r="FB190" s="58">
        <f t="shared" ca="1" si="98"/>
        <v>0</v>
      </c>
      <c r="FC190" s="58">
        <f t="shared" ca="1" si="98"/>
        <v>0</v>
      </c>
      <c r="FD190" s="58">
        <f t="shared" ca="1" si="98"/>
        <v>0</v>
      </c>
      <c r="FE190" s="58">
        <f t="shared" ca="1" si="98"/>
        <v>0</v>
      </c>
      <c r="FF190" s="58">
        <f t="shared" ca="1" si="98"/>
        <v>0</v>
      </c>
      <c r="FG190" s="58">
        <f t="shared" ca="1" si="98"/>
        <v>0</v>
      </c>
      <c r="FH190" s="58">
        <f t="shared" ca="1" si="98"/>
        <v>0</v>
      </c>
      <c r="FI190" s="58">
        <f t="shared" ca="1" si="98"/>
        <v>0</v>
      </c>
      <c r="FJ190" s="58">
        <f t="shared" ca="1" si="98"/>
        <v>0</v>
      </c>
      <c r="FK190" s="58">
        <f t="shared" ca="1" si="98"/>
        <v>0</v>
      </c>
      <c r="FL190" s="58">
        <f t="shared" ca="1" si="98"/>
        <v>0</v>
      </c>
      <c r="FM190" s="58">
        <f t="shared" ca="1" si="98"/>
        <v>0</v>
      </c>
      <c r="FN190" s="58">
        <f t="shared" ca="1" si="98"/>
        <v>0</v>
      </c>
      <c r="FO190" s="13"/>
    </row>
    <row r="191" spans="1:171" outlineLevel="1" x14ac:dyDescent="0.3">
      <c r="A191" s="13"/>
      <c r="B191" s="13"/>
      <c r="C191" s="13"/>
      <c r="D191" s="52">
        <f t="shared" si="31"/>
        <v>40575</v>
      </c>
      <c r="E191" s="53">
        <f t="shared" si="32"/>
        <v>2011</v>
      </c>
      <c r="F191" s="53">
        <f t="shared" si="33"/>
        <v>-35</v>
      </c>
      <c r="G191" s="58">
        <f t="shared" ref="G191:AL191" ca="1" si="99">+IF(OR($F191+G$175&lt;1,(G$176-1)*12&lt;-$F191),0,OFFSET(G21,0,$F191))</f>
        <v>0</v>
      </c>
      <c r="H191" s="58">
        <f t="shared" ca="1" si="99"/>
        <v>0</v>
      </c>
      <c r="I191" s="58">
        <f t="shared" ca="1" si="99"/>
        <v>0</v>
      </c>
      <c r="J191" s="58">
        <f t="shared" ca="1" si="99"/>
        <v>0</v>
      </c>
      <c r="K191" s="58">
        <f t="shared" ca="1" si="99"/>
        <v>0</v>
      </c>
      <c r="L191" s="58">
        <f t="shared" ca="1" si="99"/>
        <v>0</v>
      </c>
      <c r="M191" s="58">
        <f t="shared" ca="1" si="99"/>
        <v>0</v>
      </c>
      <c r="N191" s="58">
        <f t="shared" ca="1" si="99"/>
        <v>0</v>
      </c>
      <c r="O191" s="58">
        <f t="shared" ca="1" si="99"/>
        <v>0</v>
      </c>
      <c r="P191" s="58">
        <f t="shared" ca="1" si="99"/>
        <v>0</v>
      </c>
      <c r="Q191" s="58">
        <f t="shared" ca="1" si="99"/>
        <v>0</v>
      </c>
      <c r="R191" s="58">
        <f t="shared" ca="1" si="99"/>
        <v>0</v>
      </c>
      <c r="S191" s="58">
        <f t="shared" ca="1" si="99"/>
        <v>0</v>
      </c>
      <c r="T191" s="58">
        <f t="shared" ca="1" si="99"/>
        <v>0</v>
      </c>
      <c r="U191" s="58">
        <f t="shared" ca="1" si="99"/>
        <v>0</v>
      </c>
      <c r="V191" s="58">
        <f t="shared" ca="1" si="99"/>
        <v>0</v>
      </c>
      <c r="W191" s="58">
        <f t="shared" ca="1" si="99"/>
        <v>0</v>
      </c>
      <c r="X191" s="58">
        <f t="shared" ca="1" si="99"/>
        <v>0</v>
      </c>
      <c r="Y191" s="58">
        <f t="shared" ca="1" si="99"/>
        <v>0</v>
      </c>
      <c r="Z191" s="58">
        <f t="shared" ca="1" si="99"/>
        <v>0</v>
      </c>
      <c r="AA191" s="58">
        <f t="shared" ca="1" si="99"/>
        <v>0</v>
      </c>
      <c r="AB191" s="58">
        <f t="shared" ca="1" si="99"/>
        <v>0</v>
      </c>
      <c r="AC191" s="58">
        <f t="shared" ca="1" si="99"/>
        <v>0</v>
      </c>
      <c r="AD191" s="58">
        <f t="shared" ca="1" si="99"/>
        <v>0</v>
      </c>
      <c r="AE191" s="58">
        <f t="shared" ca="1" si="99"/>
        <v>0</v>
      </c>
      <c r="AF191" s="58">
        <f t="shared" ca="1" si="99"/>
        <v>0</v>
      </c>
      <c r="AG191" s="58">
        <f t="shared" ca="1" si="99"/>
        <v>0</v>
      </c>
      <c r="AH191" s="58">
        <f t="shared" ca="1" si="99"/>
        <v>0</v>
      </c>
      <c r="AI191" s="58">
        <f t="shared" ca="1" si="99"/>
        <v>0</v>
      </c>
      <c r="AJ191" s="58">
        <f t="shared" ca="1" si="99"/>
        <v>0</v>
      </c>
      <c r="AK191" s="58">
        <f t="shared" ca="1" si="99"/>
        <v>0</v>
      </c>
      <c r="AL191" s="58">
        <f t="shared" ca="1" si="99"/>
        <v>0</v>
      </c>
      <c r="AM191" s="58">
        <f t="shared" ref="AM191:BR191" ca="1" si="100">+IF(OR($F191+AM$175&lt;1,(AM$176-1)*12&lt;-$F191),0,OFFSET(AM21,0,$F191))</f>
        <v>0</v>
      </c>
      <c r="AN191" s="58">
        <f t="shared" ca="1" si="100"/>
        <v>0</v>
      </c>
      <c r="AO191" s="58">
        <f t="shared" ca="1" si="100"/>
        <v>0</v>
      </c>
      <c r="AP191" s="58">
        <f t="shared" ca="1" si="100"/>
        <v>0</v>
      </c>
      <c r="AQ191" s="58">
        <f t="shared" ca="1" si="100"/>
        <v>0</v>
      </c>
      <c r="AR191" s="58">
        <f t="shared" ca="1" si="100"/>
        <v>0</v>
      </c>
      <c r="AS191" s="58">
        <f t="shared" ca="1" si="100"/>
        <v>0</v>
      </c>
      <c r="AT191" s="58">
        <f t="shared" ca="1" si="100"/>
        <v>0</v>
      </c>
      <c r="AU191" s="58">
        <f t="shared" ca="1" si="100"/>
        <v>0</v>
      </c>
      <c r="AV191" s="58">
        <f t="shared" ca="1" si="100"/>
        <v>0</v>
      </c>
      <c r="AW191" s="58">
        <f t="shared" ca="1" si="100"/>
        <v>0</v>
      </c>
      <c r="AX191" s="58">
        <f t="shared" ca="1" si="100"/>
        <v>0</v>
      </c>
      <c r="AY191" s="58">
        <f t="shared" ca="1" si="100"/>
        <v>0</v>
      </c>
      <c r="AZ191" s="58">
        <f t="shared" ca="1" si="100"/>
        <v>0</v>
      </c>
      <c r="BA191" s="58">
        <f t="shared" ca="1" si="100"/>
        <v>0</v>
      </c>
      <c r="BB191" s="58">
        <f t="shared" ca="1" si="100"/>
        <v>0</v>
      </c>
      <c r="BC191" s="58">
        <f t="shared" ca="1" si="100"/>
        <v>0</v>
      </c>
      <c r="BD191" s="58">
        <f t="shared" ca="1" si="100"/>
        <v>0</v>
      </c>
      <c r="BE191" s="58">
        <f t="shared" ca="1" si="100"/>
        <v>0</v>
      </c>
      <c r="BF191" s="58">
        <f t="shared" ca="1" si="100"/>
        <v>0</v>
      </c>
      <c r="BG191" s="58">
        <f t="shared" ca="1" si="100"/>
        <v>0</v>
      </c>
      <c r="BH191" s="58">
        <f t="shared" ca="1" si="100"/>
        <v>0</v>
      </c>
      <c r="BI191" s="58">
        <f t="shared" ca="1" si="100"/>
        <v>0</v>
      </c>
      <c r="BJ191" s="58">
        <f t="shared" ca="1" si="100"/>
        <v>0</v>
      </c>
      <c r="BK191" s="58">
        <f t="shared" ca="1" si="100"/>
        <v>0</v>
      </c>
      <c r="BL191" s="58">
        <f t="shared" ca="1" si="100"/>
        <v>0</v>
      </c>
      <c r="BM191" s="58">
        <f t="shared" ca="1" si="100"/>
        <v>0</v>
      </c>
      <c r="BN191" s="58">
        <f t="shared" ca="1" si="100"/>
        <v>0</v>
      </c>
      <c r="BO191" s="58">
        <f t="shared" ca="1" si="100"/>
        <v>0</v>
      </c>
      <c r="BP191" s="58">
        <f t="shared" ca="1" si="100"/>
        <v>0</v>
      </c>
      <c r="BQ191" s="58">
        <f t="shared" ca="1" si="100"/>
        <v>0</v>
      </c>
      <c r="BR191" s="58">
        <f t="shared" ca="1" si="100"/>
        <v>0</v>
      </c>
      <c r="BS191" s="58">
        <f t="shared" ref="BS191:CX191" ca="1" si="101">+IF(OR($F191+BS$175&lt;1,(BS$176-1)*12&lt;-$F191),0,OFFSET(BS21,0,$F191))</f>
        <v>0</v>
      </c>
      <c r="BT191" s="58">
        <f t="shared" ca="1" si="101"/>
        <v>0</v>
      </c>
      <c r="BU191" s="58">
        <f t="shared" ca="1" si="101"/>
        <v>0</v>
      </c>
      <c r="BV191" s="58">
        <f t="shared" ca="1" si="101"/>
        <v>0</v>
      </c>
      <c r="BW191" s="58">
        <f t="shared" ca="1" si="101"/>
        <v>0</v>
      </c>
      <c r="BX191" s="58">
        <f t="shared" ca="1" si="101"/>
        <v>0</v>
      </c>
      <c r="BY191" s="58">
        <f t="shared" ca="1" si="101"/>
        <v>0</v>
      </c>
      <c r="BZ191" s="58">
        <f t="shared" ca="1" si="101"/>
        <v>0</v>
      </c>
      <c r="CA191" s="58">
        <f t="shared" ca="1" si="101"/>
        <v>0</v>
      </c>
      <c r="CB191" s="58">
        <f t="shared" ca="1" si="101"/>
        <v>0</v>
      </c>
      <c r="CC191" s="58">
        <f t="shared" ca="1" si="101"/>
        <v>0</v>
      </c>
      <c r="CD191" s="58">
        <f t="shared" ca="1" si="101"/>
        <v>0</v>
      </c>
      <c r="CE191" s="58">
        <f t="shared" ca="1" si="101"/>
        <v>0</v>
      </c>
      <c r="CF191" s="58">
        <f t="shared" ca="1" si="101"/>
        <v>0</v>
      </c>
      <c r="CG191" s="58">
        <f t="shared" ca="1" si="101"/>
        <v>0</v>
      </c>
      <c r="CH191" s="58">
        <f t="shared" ca="1" si="101"/>
        <v>0</v>
      </c>
      <c r="CI191" s="58">
        <f t="shared" ca="1" si="101"/>
        <v>0</v>
      </c>
      <c r="CJ191" s="58">
        <f t="shared" ca="1" si="101"/>
        <v>0</v>
      </c>
      <c r="CK191" s="58">
        <f t="shared" ca="1" si="101"/>
        <v>0</v>
      </c>
      <c r="CL191" s="58">
        <f t="shared" ca="1" si="101"/>
        <v>0</v>
      </c>
      <c r="CM191" s="58">
        <f t="shared" ca="1" si="101"/>
        <v>0</v>
      </c>
      <c r="CN191" s="58">
        <f t="shared" ca="1" si="101"/>
        <v>0</v>
      </c>
      <c r="CO191" s="58">
        <f t="shared" ca="1" si="101"/>
        <v>0</v>
      </c>
      <c r="CP191" s="58">
        <f t="shared" ca="1" si="101"/>
        <v>0</v>
      </c>
      <c r="CQ191" s="58">
        <f t="shared" ca="1" si="101"/>
        <v>0</v>
      </c>
      <c r="CR191" s="58">
        <f t="shared" ca="1" si="101"/>
        <v>0</v>
      </c>
      <c r="CS191" s="58">
        <f t="shared" ca="1" si="101"/>
        <v>0</v>
      </c>
      <c r="CT191" s="58">
        <f t="shared" ca="1" si="101"/>
        <v>0</v>
      </c>
      <c r="CU191" s="58">
        <f t="shared" ca="1" si="101"/>
        <v>0</v>
      </c>
      <c r="CV191" s="58">
        <f t="shared" ca="1" si="101"/>
        <v>0</v>
      </c>
      <c r="CW191" s="58">
        <f t="shared" ca="1" si="101"/>
        <v>0</v>
      </c>
      <c r="CX191" s="58">
        <f t="shared" ca="1" si="101"/>
        <v>0</v>
      </c>
      <c r="CY191" s="58">
        <f t="shared" ref="CY191:ED191" ca="1" si="102">+IF(OR($F191+CY$175&lt;1,(CY$176-1)*12&lt;-$F191),0,OFFSET(CY21,0,$F191))</f>
        <v>0</v>
      </c>
      <c r="CZ191" s="58">
        <f t="shared" ca="1" si="102"/>
        <v>0</v>
      </c>
      <c r="DA191" s="58">
        <f t="shared" ca="1" si="102"/>
        <v>0</v>
      </c>
      <c r="DB191" s="58">
        <f t="shared" ca="1" si="102"/>
        <v>0</v>
      </c>
      <c r="DC191" s="58">
        <f t="shared" ca="1" si="102"/>
        <v>0</v>
      </c>
      <c r="DD191" s="58">
        <f t="shared" ca="1" si="102"/>
        <v>0</v>
      </c>
      <c r="DE191" s="58">
        <f t="shared" ca="1" si="102"/>
        <v>0</v>
      </c>
      <c r="DF191" s="58">
        <f t="shared" ca="1" si="102"/>
        <v>0</v>
      </c>
      <c r="DG191" s="58">
        <f t="shared" ca="1" si="102"/>
        <v>0</v>
      </c>
      <c r="DH191" s="58">
        <f t="shared" ca="1" si="102"/>
        <v>0</v>
      </c>
      <c r="DI191" s="58">
        <f t="shared" ca="1" si="102"/>
        <v>0</v>
      </c>
      <c r="DJ191" s="58">
        <f t="shared" ca="1" si="102"/>
        <v>0</v>
      </c>
      <c r="DK191" s="58">
        <f t="shared" ca="1" si="102"/>
        <v>0</v>
      </c>
      <c r="DL191" s="58">
        <f t="shared" ca="1" si="102"/>
        <v>0</v>
      </c>
      <c r="DM191" s="58">
        <f t="shared" ca="1" si="102"/>
        <v>0</v>
      </c>
      <c r="DN191" s="58">
        <f t="shared" ca="1" si="102"/>
        <v>0</v>
      </c>
      <c r="DO191" s="58">
        <f t="shared" ca="1" si="102"/>
        <v>0</v>
      </c>
      <c r="DP191" s="58">
        <f t="shared" ca="1" si="102"/>
        <v>0</v>
      </c>
      <c r="DQ191" s="58">
        <f t="shared" ca="1" si="102"/>
        <v>0</v>
      </c>
      <c r="DR191" s="58">
        <f t="shared" ca="1" si="102"/>
        <v>0</v>
      </c>
      <c r="DS191" s="58">
        <f t="shared" ca="1" si="102"/>
        <v>0</v>
      </c>
      <c r="DT191" s="58">
        <f t="shared" ca="1" si="102"/>
        <v>0</v>
      </c>
      <c r="DU191" s="58">
        <f t="shared" ca="1" si="102"/>
        <v>0</v>
      </c>
      <c r="DV191" s="58">
        <f t="shared" ca="1" si="102"/>
        <v>0</v>
      </c>
      <c r="DW191" s="58">
        <f t="shared" ca="1" si="102"/>
        <v>0</v>
      </c>
      <c r="DX191" s="58">
        <f t="shared" ca="1" si="102"/>
        <v>0</v>
      </c>
      <c r="DY191" s="58">
        <f t="shared" ca="1" si="102"/>
        <v>0</v>
      </c>
      <c r="DZ191" s="58">
        <f t="shared" ca="1" si="102"/>
        <v>0</v>
      </c>
      <c r="EA191" s="58">
        <f t="shared" ca="1" si="102"/>
        <v>0</v>
      </c>
      <c r="EB191" s="58">
        <f t="shared" ca="1" si="102"/>
        <v>0</v>
      </c>
      <c r="EC191" s="58">
        <f t="shared" ca="1" si="102"/>
        <v>0</v>
      </c>
      <c r="ED191" s="58">
        <f t="shared" ca="1" si="102"/>
        <v>0</v>
      </c>
      <c r="EE191" s="58">
        <f t="shared" ref="EE191:FN191" ca="1" si="103">+IF(OR($F191+EE$175&lt;1,(EE$176-1)*12&lt;-$F191),0,OFFSET(EE21,0,$F191))</f>
        <v>0</v>
      </c>
      <c r="EF191" s="58">
        <f t="shared" ca="1" si="103"/>
        <v>0</v>
      </c>
      <c r="EG191" s="58">
        <f t="shared" ca="1" si="103"/>
        <v>0</v>
      </c>
      <c r="EH191" s="58">
        <f t="shared" ca="1" si="103"/>
        <v>0</v>
      </c>
      <c r="EI191" s="58">
        <f t="shared" ca="1" si="103"/>
        <v>0</v>
      </c>
      <c r="EJ191" s="58">
        <f t="shared" ca="1" si="103"/>
        <v>0</v>
      </c>
      <c r="EK191" s="58">
        <f t="shared" ca="1" si="103"/>
        <v>0</v>
      </c>
      <c r="EL191" s="58">
        <f t="shared" ca="1" si="103"/>
        <v>0</v>
      </c>
      <c r="EM191" s="58">
        <f t="shared" ca="1" si="103"/>
        <v>0</v>
      </c>
      <c r="EN191" s="58">
        <f t="shared" ca="1" si="103"/>
        <v>0</v>
      </c>
      <c r="EO191" s="58">
        <f t="shared" ca="1" si="103"/>
        <v>0</v>
      </c>
      <c r="EP191" s="58">
        <f t="shared" ca="1" si="103"/>
        <v>0</v>
      </c>
      <c r="EQ191" s="58">
        <f t="shared" ca="1" si="103"/>
        <v>0</v>
      </c>
      <c r="ER191" s="58">
        <f t="shared" ca="1" si="103"/>
        <v>0</v>
      </c>
      <c r="ES191" s="58">
        <f t="shared" ca="1" si="103"/>
        <v>0</v>
      </c>
      <c r="ET191" s="58">
        <f t="shared" ca="1" si="103"/>
        <v>0</v>
      </c>
      <c r="EU191" s="58">
        <f t="shared" ca="1" si="103"/>
        <v>0</v>
      </c>
      <c r="EV191" s="58">
        <f t="shared" ca="1" si="103"/>
        <v>0</v>
      </c>
      <c r="EW191" s="58">
        <f t="shared" ca="1" si="103"/>
        <v>0</v>
      </c>
      <c r="EX191" s="58">
        <f t="shared" ca="1" si="103"/>
        <v>0</v>
      </c>
      <c r="EY191" s="58">
        <f t="shared" ca="1" si="103"/>
        <v>0</v>
      </c>
      <c r="EZ191" s="58">
        <f t="shared" ca="1" si="103"/>
        <v>0</v>
      </c>
      <c r="FA191" s="58">
        <f t="shared" ca="1" si="103"/>
        <v>0</v>
      </c>
      <c r="FB191" s="58">
        <f t="shared" ca="1" si="103"/>
        <v>0</v>
      </c>
      <c r="FC191" s="58">
        <f t="shared" ca="1" si="103"/>
        <v>0</v>
      </c>
      <c r="FD191" s="58">
        <f t="shared" ca="1" si="103"/>
        <v>0</v>
      </c>
      <c r="FE191" s="58">
        <f t="shared" ca="1" si="103"/>
        <v>0</v>
      </c>
      <c r="FF191" s="58">
        <f t="shared" ca="1" si="103"/>
        <v>0</v>
      </c>
      <c r="FG191" s="58">
        <f t="shared" ca="1" si="103"/>
        <v>0</v>
      </c>
      <c r="FH191" s="58">
        <f t="shared" ca="1" si="103"/>
        <v>0</v>
      </c>
      <c r="FI191" s="58">
        <f t="shared" ca="1" si="103"/>
        <v>0</v>
      </c>
      <c r="FJ191" s="58">
        <f t="shared" ca="1" si="103"/>
        <v>0</v>
      </c>
      <c r="FK191" s="58">
        <f t="shared" ca="1" si="103"/>
        <v>0</v>
      </c>
      <c r="FL191" s="58">
        <f t="shared" ca="1" si="103"/>
        <v>0</v>
      </c>
      <c r="FM191" s="58">
        <f t="shared" ca="1" si="103"/>
        <v>0</v>
      </c>
      <c r="FN191" s="58">
        <f t="shared" ca="1" si="103"/>
        <v>0</v>
      </c>
      <c r="FO191" s="13"/>
    </row>
    <row r="192" spans="1:171" outlineLevel="1" x14ac:dyDescent="0.3">
      <c r="A192" s="13"/>
      <c r="B192" s="13"/>
      <c r="C192" s="13"/>
      <c r="D192" s="52">
        <f t="shared" si="31"/>
        <v>40603</v>
      </c>
      <c r="E192" s="53">
        <f t="shared" si="32"/>
        <v>2011</v>
      </c>
      <c r="F192" s="53">
        <f t="shared" si="33"/>
        <v>-34</v>
      </c>
      <c r="G192" s="58">
        <f t="shared" ref="G192:AL192" ca="1" si="104">+IF(OR($F192+G$175&lt;1,(G$176-1)*12&lt;-$F192),0,OFFSET(G22,0,$F192))</f>
        <v>0</v>
      </c>
      <c r="H192" s="58">
        <f t="shared" ca="1" si="104"/>
        <v>0</v>
      </c>
      <c r="I192" s="58">
        <f t="shared" ca="1" si="104"/>
        <v>0</v>
      </c>
      <c r="J192" s="58">
        <f t="shared" ca="1" si="104"/>
        <v>0</v>
      </c>
      <c r="K192" s="58">
        <f t="shared" ca="1" si="104"/>
        <v>0</v>
      </c>
      <c r="L192" s="58">
        <f t="shared" ca="1" si="104"/>
        <v>0</v>
      </c>
      <c r="M192" s="58">
        <f t="shared" ca="1" si="104"/>
        <v>0</v>
      </c>
      <c r="N192" s="58">
        <f t="shared" ca="1" si="104"/>
        <v>0</v>
      </c>
      <c r="O192" s="58">
        <f t="shared" ca="1" si="104"/>
        <v>0</v>
      </c>
      <c r="P192" s="58">
        <f t="shared" ca="1" si="104"/>
        <v>0</v>
      </c>
      <c r="Q192" s="58">
        <f t="shared" ca="1" si="104"/>
        <v>0</v>
      </c>
      <c r="R192" s="58">
        <f t="shared" ca="1" si="104"/>
        <v>0</v>
      </c>
      <c r="S192" s="58">
        <f t="shared" ca="1" si="104"/>
        <v>0</v>
      </c>
      <c r="T192" s="58">
        <f t="shared" ca="1" si="104"/>
        <v>0</v>
      </c>
      <c r="U192" s="58">
        <f t="shared" ca="1" si="104"/>
        <v>0</v>
      </c>
      <c r="V192" s="58">
        <f t="shared" ca="1" si="104"/>
        <v>0</v>
      </c>
      <c r="W192" s="58">
        <f t="shared" ca="1" si="104"/>
        <v>0</v>
      </c>
      <c r="X192" s="58">
        <f t="shared" ca="1" si="104"/>
        <v>0</v>
      </c>
      <c r="Y192" s="58">
        <f t="shared" ca="1" si="104"/>
        <v>0</v>
      </c>
      <c r="Z192" s="58">
        <f t="shared" ca="1" si="104"/>
        <v>0</v>
      </c>
      <c r="AA192" s="58">
        <f t="shared" ca="1" si="104"/>
        <v>0</v>
      </c>
      <c r="AB192" s="58">
        <f t="shared" ca="1" si="104"/>
        <v>0</v>
      </c>
      <c r="AC192" s="58">
        <f t="shared" ca="1" si="104"/>
        <v>0</v>
      </c>
      <c r="AD192" s="58">
        <f t="shared" ca="1" si="104"/>
        <v>0</v>
      </c>
      <c r="AE192" s="58">
        <f t="shared" ca="1" si="104"/>
        <v>0</v>
      </c>
      <c r="AF192" s="58">
        <f t="shared" ca="1" si="104"/>
        <v>0</v>
      </c>
      <c r="AG192" s="58">
        <f t="shared" ca="1" si="104"/>
        <v>0</v>
      </c>
      <c r="AH192" s="58">
        <f t="shared" ca="1" si="104"/>
        <v>0</v>
      </c>
      <c r="AI192" s="58">
        <f t="shared" ca="1" si="104"/>
        <v>0</v>
      </c>
      <c r="AJ192" s="58">
        <f t="shared" ca="1" si="104"/>
        <v>0</v>
      </c>
      <c r="AK192" s="58">
        <f t="shared" ca="1" si="104"/>
        <v>0</v>
      </c>
      <c r="AL192" s="58">
        <f t="shared" ca="1" si="104"/>
        <v>0</v>
      </c>
      <c r="AM192" s="58">
        <f t="shared" ref="AM192:BR192" ca="1" si="105">+IF(OR($F192+AM$175&lt;1,(AM$176-1)*12&lt;-$F192),0,OFFSET(AM22,0,$F192))</f>
        <v>0</v>
      </c>
      <c r="AN192" s="58">
        <f t="shared" ca="1" si="105"/>
        <v>0</v>
      </c>
      <c r="AO192" s="58">
        <f t="shared" ca="1" si="105"/>
        <v>0</v>
      </c>
      <c r="AP192" s="58">
        <f t="shared" ca="1" si="105"/>
        <v>0</v>
      </c>
      <c r="AQ192" s="58">
        <f t="shared" ca="1" si="105"/>
        <v>0</v>
      </c>
      <c r="AR192" s="58">
        <f t="shared" ca="1" si="105"/>
        <v>0</v>
      </c>
      <c r="AS192" s="58">
        <f t="shared" ca="1" si="105"/>
        <v>0</v>
      </c>
      <c r="AT192" s="58">
        <f t="shared" ca="1" si="105"/>
        <v>0</v>
      </c>
      <c r="AU192" s="58">
        <f t="shared" ca="1" si="105"/>
        <v>0</v>
      </c>
      <c r="AV192" s="58">
        <f t="shared" ca="1" si="105"/>
        <v>0</v>
      </c>
      <c r="AW192" s="58">
        <f t="shared" ca="1" si="105"/>
        <v>0</v>
      </c>
      <c r="AX192" s="58">
        <f t="shared" ca="1" si="105"/>
        <v>0</v>
      </c>
      <c r="AY192" s="58">
        <f t="shared" ca="1" si="105"/>
        <v>0</v>
      </c>
      <c r="AZ192" s="58">
        <f t="shared" ca="1" si="105"/>
        <v>0</v>
      </c>
      <c r="BA192" s="58">
        <f t="shared" ca="1" si="105"/>
        <v>0</v>
      </c>
      <c r="BB192" s="58">
        <f t="shared" ca="1" si="105"/>
        <v>0</v>
      </c>
      <c r="BC192" s="58">
        <f t="shared" ca="1" si="105"/>
        <v>0</v>
      </c>
      <c r="BD192" s="58">
        <f t="shared" ca="1" si="105"/>
        <v>0</v>
      </c>
      <c r="BE192" s="58">
        <f t="shared" ca="1" si="105"/>
        <v>0</v>
      </c>
      <c r="BF192" s="58">
        <f t="shared" ca="1" si="105"/>
        <v>0</v>
      </c>
      <c r="BG192" s="58">
        <f t="shared" ca="1" si="105"/>
        <v>0</v>
      </c>
      <c r="BH192" s="58">
        <f t="shared" ca="1" si="105"/>
        <v>0</v>
      </c>
      <c r="BI192" s="58">
        <f t="shared" ca="1" si="105"/>
        <v>0</v>
      </c>
      <c r="BJ192" s="58">
        <f t="shared" ca="1" si="105"/>
        <v>0</v>
      </c>
      <c r="BK192" s="58">
        <f t="shared" ca="1" si="105"/>
        <v>0</v>
      </c>
      <c r="BL192" s="58">
        <f t="shared" ca="1" si="105"/>
        <v>0</v>
      </c>
      <c r="BM192" s="58">
        <f t="shared" ca="1" si="105"/>
        <v>0</v>
      </c>
      <c r="BN192" s="58">
        <f t="shared" ca="1" si="105"/>
        <v>0</v>
      </c>
      <c r="BO192" s="58">
        <f t="shared" ca="1" si="105"/>
        <v>0</v>
      </c>
      <c r="BP192" s="58">
        <f t="shared" ca="1" si="105"/>
        <v>0</v>
      </c>
      <c r="BQ192" s="58">
        <f t="shared" ca="1" si="105"/>
        <v>0</v>
      </c>
      <c r="BR192" s="58">
        <f t="shared" ca="1" si="105"/>
        <v>0</v>
      </c>
      <c r="BS192" s="58">
        <f t="shared" ref="BS192:CX192" ca="1" si="106">+IF(OR($F192+BS$175&lt;1,(BS$176-1)*12&lt;-$F192),0,OFFSET(BS22,0,$F192))</f>
        <v>0</v>
      </c>
      <c r="BT192" s="58">
        <f t="shared" ca="1" si="106"/>
        <v>0</v>
      </c>
      <c r="BU192" s="58">
        <f t="shared" ca="1" si="106"/>
        <v>0</v>
      </c>
      <c r="BV192" s="58">
        <f t="shared" ca="1" si="106"/>
        <v>0</v>
      </c>
      <c r="BW192" s="58">
        <f t="shared" ca="1" si="106"/>
        <v>0</v>
      </c>
      <c r="BX192" s="58">
        <f t="shared" ca="1" si="106"/>
        <v>0</v>
      </c>
      <c r="BY192" s="58">
        <f t="shared" ca="1" si="106"/>
        <v>0</v>
      </c>
      <c r="BZ192" s="58">
        <f t="shared" ca="1" si="106"/>
        <v>0</v>
      </c>
      <c r="CA192" s="58">
        <f t="shared" ca="1" si="106"/>
        <v>0</v>
      </c>
      <c r="CB192" s="58">
        <f t="shared" ca="1" si="106"/>
        <v>0</v>
      </c>
      <c r="CC192" s="58">
        <f t="shared" ca="1" si="106"/>
        <v>0</v>
      </c>
      <c r="CD192" s="58">
        <f t="shared" ca="1" si="106"/>
        <v>0</v>
      </c>
      <c r="CE192" s="58">
        <f t="shared" ca="1" si="106"/>
        <v>0</v>
      </c>
      <c r="CF192" s="58">
        <f t="shared" ca="1" si="106"/>
        <v>0</v>
      </c>
      <c r="CG192" s="58">
        <f t="shared" ca="1" si="106"/>
        <v>0</v>
      </c>
      <c r="CH192" s="58">
        <f t="shared" ca="1" si="106"/>
        <v>0</v>
      </c>
      <c r="CI192" s="58">
        <f t="shared" ca="1" si="106"/>
        <v>0</v>
      </c>
      <c r="CJ192" s="58">
        <f t="shared" ca="1" si="106"/>
        <v>0</v>
      </c>
      <c r="CK192" s="58">
        <f t="shared" ca="1" si="106"/>
        <v>0</v>
      </c>
      <c r="CL192" s="58">
        <f t="shared" ca="1" si="106"/>
        <v>0</v>
      </c>
      <c r="CM192" s="58">
        <f t="shared" ca="1" si="106"/>
        <v>0</v>
      </c>
      <c r="CN192" s="58">
        <f t="shared" ca="1" si="106"/>
        <v>0</v>
      </c>
      <c r="CO192" s="58">
        <f t="shared" ca="1" si="106"/>
        <v>0</v>
      </c>
      <c r="CP192" s="58">
        <f t="shared" ca="1" si="106"/>
        <v>0</v>
      </c>
      <c r="CQ192" s="58">
        <f t="shared" ca="1" si="106"/>
        <v>0</v>
      </c>
      <c r="CR192" s="58">
        <f t="shared" ca="1" si="106"/>
        <v>0</v>
      </c>
      <c r="CS192" s="58">
        <f t="shared" ca="1" si="106"/>
        <v>0</v>
      </c>
      <c r="CT192" s="58">
        <f t="shared" ca="1" si="106"/>
        <v>0</v>
      </c>
      <c r="CU192" s="58">
        <f t="shared" ca="1" si="106"/>
        <v>0</v>
      </c>
      <c r="CV192" s="58">
        <f t="shared" ca="1" si="106"/>
        <v>0</v>
      </c>
      <c r="CW192" s="58">
        <f t="shared" ca="1" si="106"/>
        <v>0</v>
      </c>
      <c r="CX192" s="58">
        <f t="shared" ca="1" si="106"/>
        <v>0</v>
      </c>
      <c r="CY192" s="58">
        <f t="shared" ref="CY192:ED192" ca="1" si="107">+IF(OR($F192+CY$175&lt;1,(CY$176-1)*12&lt;-$F192),0,OFFSET(CY22,0,$F192))</f>
        <v>0</v>
      </c>
      <c r="CZ192" s="58">
        <f t="shared" ca="1" si="107"/>
        <v>0</v>
      </c>
      <c r="DA192" s="58">
        <f t="shared" ca="1" si="107"/>
        <v>0</v>
      </c>
      <c r="DB192" s="58">
        <f t="shared" ca="1" si="107"/>
        <v>0</v>
      </c>
      <c r="DC192" s="58">
        <f t="shared" ca="1" si="107"/>
        <v>0</v>
      </c>
      <c r="DD192" s="58">
        <f t="shared" ca="1" si="107"/>
        <v>0</v>
      </c>
      <c r="DE192" s="58">
        <f t="shared" ca="1" si="107"/>
        <v>0</v>
      </c>
      <c r="DF192" s="58">
        <f t="shared" ca="1" si="107"/>
        <v>0</v>
      </c>
      <c r="DG192" s="58">
        <f t="shared" ca="1" si="107"/>
        <v>0</v>
      </c>
      <c r="DH192" s="58">
        <f t="shared" ca="1" si="107"/>
        <v>0</v>
      </c>
      <c r="DI192" s="58">
        <f t="shared" ca="1" si="107"/>
        <v>0</v>
      </c>
      <c r="DJ192" s="58">
        <f t="shared" ca="1" si="107"/>
        <v>0</v>
      </c>
      <c r="DK192" s="58">
        <f t="shared" ca="1" si="107"/>
        <v>0</v>
      </c>
      <c r="DL192" s="58">
        <f t="shared" ca="1" si="107"/>
        <v>0</v>
      </c>
      <c r="DM192" s="58">
        <f t="shared" ca="1" si="107"/>
        <v>0</v>
      </c>
      <c r="DN192" s="58">
        <f t="shared" ca="1" si="107"/>
        <v>0</v>
      </c>
      <c r="DO192" s="58">
        <f t="shared" ca="1" si="107"/>
        <v>0</v>
      </c>
      <c r="DP192" s="58">
        <f t="shared" ca="1" si="107"/>
        <v>0</v>
      </c>
      <c r="DQ192" s="58">
        <f t="shared" ca="1" si="107"/>
        <v>0</v>
      </c>
      <c r="DR192" s="58">
        <f t="shared" ca="1" si="107"/>
        <v>0</v>
      </c>
      <c r="DS192" s="58">
        <f t="shared" ca="1" si="107"/>
        <v>0</v>
      </c>
      <c r="DT192" s="58">
        <f t="shared" ca="1" si="107"/>
        <v>0</v>
      </c>
      <c r="DU192" s="58">
        <f t="shared" ca="1" si="107"/>
        <v>0</v>
      </c>
      <c r="DV192" s="58">
        <f t="shared" ca="1" si="107"/>
        <v>0</v>
      </c>
      <c r="DW192" s="58">
        <f t="shared" ca="1" si="107"/>
        <v>0</v>
      </c>
      <c r="DX192" s="58">
        <f t="shared" ca="1" si="107"/>
        <v>0</v>
      </c>
      <c r="DY192" s="58">
        <f t="shared" ca="1" si="107"/>
        <v>0</v>
      </c>
      <c r="DZ192" s="58">
        <f t="shared" ca="1" si="107"/>
        <v>0</v>
      </c>
      <c r="EA192" s="58">
        <f t="shared" ca="1" si="107"/>
        <v>0</v>
      </c>
      <c r="EB192" s="58">
        <f t="shared" ca="1" si="107"/>
        <v>0</v>
      </c>
      <c r="EC192" s="58">
        <f t="shared" ca="1" si="107"/>
        <v>0</v>
      </c>
      <c r="ED192" s="58">
        <f t="shared" ca="1" si="107"/>
        <v>0</v>
      </c>
      <c r="EE192" s="58">
        <f t="shared" ref="EE192:FN192" ca="1" si="108">+IF(OR($F192+EE$175&lt;1,(EE$176-1)*12&lt;-$F192),0,OFFSET(EE22,0,$F192))</f>
        <v>0</v>
      </c>
      <c r="EF192" s="58">
        <f t="shared" ca="1" si="108"/>
        <v>0</v>
      </c>
      <c r="EG192" s="58">
        <f t="shared" ca="1" si="108"/>
        <v>0</v>
      </c>
      <c r="EH192" s="58">
        <f t="shared" ca="1" si="108"/>
        <v>0</v>
      </c>
      <c r="EI192" s="58">
        <f t="shared" ca="1" si="108"/>
        <v>0</v>
      </c>
      <c r="EJ192" s="58">
        <f t="shared" ca="1" si="108"/>
        <v>0</v>
      </c>
      <c r="EK192" s="58">
        <f t="shared" ca="1" si="108"/>
        <v>0</v>
      </c>
      <c r="EL192" s="58">
        <f t="shared" ca="1" si="108"/>
        <v>0</v>
      </c>
      <c r="EM192" s="58">
        <f t="shared" ca="1" si="108"/>
        <v>0</v>
      </c>
      <c r="EN192" s="58">
        <f t="shared" ca="1" si="108"/>
        <v>0</v>
      </c>
      <c r="EO192" s="58">
        <f t="shared" ca="1" si="108"/>
        <v>0</v>
      </c>
      <c r="EP192" s="58">
        <f t="shared" ca="1" si="108"/>
        <v>0</v>
      </c>
      <c r="EQ192" s="58">
        <f t="shared" ca="1" si="108"/>
        <v>0</v>
      </c>
      <c r="ER192" s="58">
        <f t="shared" ca="1" si="108"/>
        <v>0</v>
      </c>
      <c r="ES192" s="58">
        <f t="shared" ca="1" si="108"/>
        <v>0</v>
      </c>
      <c r="ET192" s="58">
        <f t="shared" ca="1" si="108"/>
        <v>0</v>
      </c>
      <c r="EU192" s="58">
        <f t="shared" ca="1" si="108"/>
        <v>0</v>
      </c>
      <c r="EV192" s="58">
        <f t="shared" ca="1" si="108"/>
        <v>0</v>
      </c>
      <c r="EW192" s="58">
        <f t="shared" ca="1" si="108"/>
        <v>0</v>
      </c>
      <c r="EX192" s="58">
        <f t="shared" ca="1" si="108"/>
        <v>0</v>
      </c>
      <c r="EY192" s="58">
        <f t="shared" ca="1" si="108"/>
        <v>0</v>
      </c>
      <c r="EZ192" s="58">
        <f t="shared" ca="1" si="108"/>
        <v>0</v>
      </c>
      <c r="FA192" s="58">
        <f t="shared" ca="1" si="108"/>
        <v>0</v>
      </c>
      <c r="FB192" s="58">
        <f t="shared" ca="1" si="108"/>
        <v>0</v>
      </c>
      <c r="FC192" s="58">
        <f t="shared" ca="1" si="108"/>
        <v>0</v>
      </c>
      <c r="FD192" s="58">
        <f t="shared" ca="1" si="108"/>
        <v>0</v>
      </c>
      <c r="FE192" s="58">
        <f t="shared" ca="1" si="108"/>
        <v>0</v>
      </c>
      <c r="FF192" s="58">
        <f t="shared" ca="1" si="108"/>
        <v>0</v>
      </c>
      <c r="FG192" s="58">
        <f t="shared" ca="1" si="108"/>
        <v>0</v>
      </c>
      <c r="FH192" s="58">
        <f t="shared" ca="1" si="108"/>
        <v>0</v>
      </c>
      <c r="FI192" s="58">
        <f t="shared" ca="1" si="108"/>
        <v>0</v>
      </c>
      <c r="FJ192" s="58">
        <f t="shared" ca="1" si="108"/>
        <v>0</v>
      </c>
      <c r="FK192" s="58">
        <f t="shared" ca="1" si="108"/>
        <v>0</v>
      </c>
      <c r="FL192" s="58">
        <f t="shared" ca="1" si="108"/>
        <v>0</v>
      </c>
      <c r="FM192" s="58">
        <f t="shared" ca="1" si="108"/>
        <v>0</v>
      </c>
      <c r="FN192" s="58">
        <f t="shared" ca="1" si="108"/>
        <v>0</v>
      </c>
      <c r="FO192" s="13"/>
    </row>
    <row r="193" spans="1:171" outlineLevel="1" x14ac:dyDescent="0.3">
      <c r="A193" s="13"/>
      <c r="B193" s="13"/>
      <c r="C193" s="13"/>
      <c r="D193" s="52">
        <f t="shared" si="31"/>
        <v>40634</v>
      </c>
      <c r="E193" s="53">
        <f t="shared" si="32"/>
        <v>2011</v>
      </c>
      <c r="F193" s="53">
        <f t="shared" si="33"/>
        <v>-33</v>
      </c>
      <c r="G193" s="58">
        <f t="shared" ref="G193:AL193" ca="1" si="109">+IF(OR($F193+G$175&lt;1,(G$176-1)*12&lt;-$F193),0,OFFSET(G23,0,$F193))</f>
        <v>0</v>
      </c>
      <c r="H193" s="58">
        <f t="shared" ca="1" si="109"/>
        <v>0</v>
      </c>
      <c r="I193" s="58">
        <f t="shared" ca="1" si="109"/>
        <v>0</v>
      </c>
      <c r="J193" s="58">
        <f t="shared" ca="1" si="109"/>
        <v>0</v>
      </c>
      <c r="K193" s="58">
        <f t="shared" ca="1" si="109"/>
        <v>0</v>
      </c>
      <c r="L193" s="58">
        <f t="shared" ca="1" si="109"/>
        <v>0</v>
      </c>
      <c r="M193" s="58">
        <f t="shared" ca="1" si="109"/>
        <v>0</v>
      </c>
      <c r="N193" s="58">
        <f t="shared" ca="1" si="109"/>
        <v>0</v>
      </c>
      <c r="O193" s="58">
        <f t="shared" ca="1" si="109"/>
        <v>0</v>
      </c>
      <c r="P193" s="58">
        <f t="shared" ca="1" si="109"/>
        <v>0</v>
      </c>
      <c r="Q193" s="58">
        <f t="shared" ca="1" si="109"/>
        <v>0</v>
      </c>
      <c r="R193" s="58">
        <f t="shared" ca="1" si="109"/>
        <v>0</v>
      </c>
      <c r="S193" s="58">
        <f t="shared" ca="1" si="109"/>
        <v>0</v>
      </c>
      <c r="T193" s="58">
        <f t="shared" ca="1" si="109"/>
        <v>0</v>
      </c>
      <c r="U193" s="58">
        <f t="shared" ca="1" si="109"/>
        <v>0</v>
      </c>
      <c r="V193" s="58">
        <f t="shared" ca="1" si="109"/>
        <v>0</v>
      </c>
      <c r="W193" s="58">
        <f t="shared" ca="1" si="109"/>
        <v>0</v>
      </c>
      <c r="X193" s="58">
        <f t="shared" ca="1" si="109"/>
        <v>0</v>
      </c>
      <c r="Y193" s="58">
        <f t="shared" ca="1" si="109"/>
        <v>0</v>
      </c>
      <c r="Z193" s="58">
        <f t="shared" ca="1" si="109"/>
        <v>0</v>
      </c>
      <c r="AA193" s="58">
        <f t="shared" ca="1" si="109"/>
        <v>0</v>
      </c>
      <c r="AB193" s="58">
        <f t="shared" ca="1" si="109"/>
        <v>0</v>
      </c>
      <c r="AC193" s="58">
        <f t="shared" ca="1" si="109"/>
        <v>0</v>
      </c>
      <c r="AD193" s="58">
        <f t="shared" ca="1" si="109"/>
        <v>0</v>
      </c>
      <c r="AE193" s="58">
        <f t="shared" ca="1" si="109"/>
        <v>0</v>
      </c>
      <c r="AF193" s="58">
        <f t="shared" ca="1" si="109"/>
        <v>0</v>
      </c>
      <c r="AG193" s="58">
        <f t="shared" ca="1" si="109"/>
        <v>0</v>
      </c>
      <c r="AH193" s="58">
        <f t="shared" ca="1" si="109"/>
        <v>0</v>
      </c>
      <c r="AI193" s="58">
        <f t="shared" ca="1" si="109"/>
        <v>0</v>
      </c>
      <c r="AJ193" s="58">
        <f t="shared" ca="1" si="109"/>
        <v>0</v>
      </c>
      <c r="AK193" s="58">
        <f t="shared" ca="1" si="109"/>
        <v>0</v>
      </c>
      <c r="AL193" s="58">
        <f t="shared" ca="1" si="109"/>
        <v>0</v>
      </c>
      <c r="AM193" s="58">
        <f t="shared" ref="AM193:BR193" ca="1" si="110">+IF(OR($F193+AM$175&lt;1,(AM$176-1)*12&lt;-$F193),0,OFFSET(AM23,0,$F193))</f>
        <v>0</v>
      </c>
      <c r="AN193" s="58">
        <f t="shared" ca="1" si="110"/>
        <v>0</v>
      </c>
      <c r="AO193" s="58">
        <f t="shared" ca="1" si="110"/>
        <v>0</v>
      </c>
      <c r="AP193" s="58">
        <f t="shared" ca="1" si="110"/>
        <v>0</v>
      </c>
      <c r="AQ193" s="58">
        <f t="shared" ca="1" si="110"/>
        <v>0</v>
      </c>
      <c r="AR193" s="58">
        <f t="shared" ca="1" si="110"/>
        <v>0</v>
      </c>
      <c r="AS193" s="58">
        <f t="shared" ca="1" si="110"/>
        <v>0</v>
      </c>
      <c r="AT193" s="58">
        <f t="shared" ca="1" si="110"/>
        <v>0</v>
      </c>
      <c r="AU193" s="58">
        <f t="shared" ca="1" si="110"/>
        <v>0</v>
      </c>
      <c r="AV193" s="58">
        <f t="shared" ca="1" si="110"/>
        <v>0</v>
      </c>
      <c r="AW193" s="58">
        <f t="shared" ca="1" si="110"/>
        <v>0</v>
      </c>
      <c r="AX193" s="58">
        <f t="shared" ca="1" si="110"/>
        <v>0</v>
      </c>
      <c r="AY193" s="58">
        <f t="shared" ca="1" si="110"/>
        <v>0</v>
      </c>
      <c r="AZ193" s="58">
        <f t="shared" ca="1" si="110"/>
        <v>0</v>
      </c>
      <c r="BA193" s="58">
        <f t="shared" ca="1" si="110"/>
        <v>0</v>
      </c>
      <c r="BB193" s="58">
        <f t="shared" ca="1" si="110"/>
        <v>0</v>
      </c>
      <c r="BC193" s="58">
        <f t="shared" ca="1" si="110"/>
        <v>0</v>
      </c>
      <c r="BD193" s="58">
        <f t="shared" ca="1" si="110"/>
        <v>0</v>
      </c>
      <c r="BE193" s="58">
        <f t="shared" ca="1" si="110"/>
        <v>0</v>
      </c>
      <c r="BF193" s="58">
        <f t="shared" ca="1" si="110"/>
        <v>0</v>
      </c>
      <c r="BG193" s="58">
        <f t="shared" ca="1" si="110"/>
        <v>0</v>
      </c>
      <c r="BH193" s="58">
        <f t="shared" ca="1" si="110"/>
        <v>0</v>
      </c>
      <c r="BI193" s="58">
        <f t="shared" ca="1" si="110"/>
        <v>0</v>
      </c>
      <c r="BJ193" s="58">
        <f t="shared" ca="1" si="110"/>
        <v>0</v>
      </c>
      <c r="BK193" s="58">
        <f t="shared" ca="1" si="110"/>
        <v>0</v>
      </c>
      <c r="BL193" s="58">
        <f t="shared" ca="1" si="110"/>
        <v>0</v>
      </c>
      <c r="BM193" s="58">
        <f t="shared" ca="1" si="110"/>
        <v>0</v>
      </c>
      <c r="BN193" s="58">
        <f t="shared" ca="1" si="110"/>
        <v>0</v>
      </c>
      <c r="BO193" s="58">
        <f t="shared" ca="1" si="110"/>
        <v>0</v>
      </c>
      <c r="BP193" s="58">
        <f t="shared" ca="1" si="110"/>
        <v>0</v>
      </c>
      <c r="BQ193" s="58">
        <f t="shared" ca="1" si="110"/>
        <v>0</v>
      </c>
      <c r="BR193" s="58">
        <f t="shared" ca="1" si="110"/>
        <v>0</v>
      </c>
      <c r="BS193" s="58">
        <f t="shared" ref="BS193:CX193" ca="1" si="111">+IF(OR($F193+BS$175&lt;1,(BS$176-1)*12&lt;-$F193),0,OFFSET(BS23,0,$F193))</f>
        <v>0</v>
      </c>
      <c r="BT193" s="58">
        <f t="shared" ca="1" si="111"/>
        <v>0</v>
      </c>
      <c r="BU193" s="58">
        <f t="shared" ca="1" si="111"/>
        <v>0</v>
      </c>
      <c r="BV193" s="58">
        <f t="shared" ca="1" si="111"/>
        <v>0</v>
      </c>
      <c r="BW193" s="58">
        <f t="shared" ca="1" si="111"/>
        <v>0</v>
      </c>
      <c r="BX193" s="58">
        <f t="shared" ca="1" si="111"/>
        <v>0</v>
      </c>
      <c r="BY193" s="58">
        <f t="shared" ca="1" si="111"/>
        <v>0</v>
      </c>
      <c r="BZ193" s="58">
        <f t="shared" ca="1" si="111"/>
        <v>0</v>
      </c>
      <c r="CA193" s="58">
        <f t="shared" ca="1" si="111"/>
        <v>0</v>
      </c>
      <c r="CB193" s="58">
        <f t="shared" ca="1" si="111"/>
        <v>0</v>
      </c>
      <c r="CC193" s="58">
        <f t="shared" ca="1" si="111"/>
        <v>0</v>
      </c>
      <c r="CD193" s="58">
        <f t="shared" ca="1" si="111"/>
        <v>0</v>
      </c>
      <c r="CE193" s="58">
        <f t="shared" ca="1" si="111"/>
        <v>0</v>
      </c>
      <c r="CF193" s="58">
        <f t="shared" ca="1" si="111"/>
        <v>0</v>
      </c>
      <c r="CG193" s="58">
        <f t="shared" ca="1" si="111"/>
        <v>0</v>
      </c>
      <c r="CH193" s="58">
        <f t="shared" ca="1" si="111"/>
        <v>0</v>
      </c>
      <c r="CI193" s="58">
        <f t="shared" ca="1" si="111"/>
        <v>0</v>
      </c>
      <c r="CJ193" s="58">
        <f t="shared" ca="1" si="111"/>
        <v>0</v>
      </c>
      <c r="CK193" s="58">
        <f t="shared" ca="1" si="111"/>
        <v>0</v>
      </c>
      <c r="CL193" s="58">
        <f t="shared" ca="1" si="111"/>
        <v>0</v>
      </c>
      <c r="CM193" s="58">
        <f t="shared" ca="1" si="111"/>
        <v>0</v>
      </c>
      <c r="CN193" s="58">
        <f t="shared" ca="1" si="111"/>
        <v>0</v>
      </c>
      <c r="CO193" s="58">
        <f t="shared" ca="1" si="111"/>
        <v>0</v>
      </c>
      <c r="CP193" s="58">
        <f t="shared" ca="1" si="111"/>
        <v>0</v>
      </c>
      <c r="CQ193" s="58">
        <f t="shared" ca="1" si="111"/>
        <v>0</v>
      </c>
      <c r="CR193" s="58">
        <f t="shared" ca="1" si="111"/>
        <v>0</v>
      </c>
      <c r="CS193" s="58">
        <f t="shared" ca="1" si="111"/>
        <v>0</v>
      </c>
      <c r="CT193" s="58">
        <f t="shared" ca="1" si="111"/>
        <v>0</v>
      </c>
      <c r="CU193" s="58">
        <f t="shared" ca="1" si="111"/>
        <v>0</v>
      </c>
      <c r="CV193" s="58">
        <f t="shared" ca="1" si="111"/>
        <v>0</v>
      </c>
      <c r="CW193" s="58">
        <f t="shared" ca="1" si="111"/>
        <v>0</v>
      </c>
      <c r="CX193" s="58">
        <f t="shared" ca="1" si="111"/>
        <v>0</v>
      </c>
      <c r="CY193" s="58">
        <f t="shared" ref="CY193:ED193" ca="1" si="112">+IF(OR($F193+CY$175&lt;1,(CY$176-1)*12&lt;-$F193),0,OFFSET(CY23,0,$F193))</f>
        <v>0</v>
      </c>
      <c r="CZ193" s="58">
        <f t="shared" ca="1" si="112"/>
        <v>0</v>
      </c>
      <c r="DA193" s="58">
        <f t="shared" ca="1" si="112"/>
        <v>0</v>
      </c>
      <c r="DB193" s="58">
        <f t="shared" ca="1" si="112"/>
        <v>0</v>
      </c>
      <c r="DC193" s="58">
        <f t="shared" ca="1" si="112"/>
        <v>0</v>
      </c>
      <c r="DD193" s="58">
        <f t="shared" ca="1" si="112"/>
        <v>0</v>
      </c>
      <c r="DE193" s="58">
        <f t="shared" ca="1" si="112"/>
        <v>0</v>
      </c>
      <c r="DF193" s="58">
        <f t="shared" ca="1" si="112"/>
        <v>0</v>
      </c>
      <c r="DG193" s="58">
        <f t="shared" ca="1" si="112"/>
        <v>0</v>
      </c>
      <c r="DH193" s="58">
        <f t="shared" ca="1" si="112"/>
        <v>0</v>
      </c>
      <c r="DI193" s="58">
        <f t="shared" ca="1" si="112"/>
        <v>0</v>
      </c>
      <c r="DJ193" s="58">
        <f t="shared" ca="1" si="112"/>
        <v>0</v>
      </c>
      <c r="DK193" s="58">
        <f t="shared" ca="1" si="112"/>
        <v>0</v>
      </c>
      <c r="DL193" s="58">
        <f t="shared" ca="1" si="112"/>
        <v>0</v>
      </c>
      <c r="DM193" s="58">
        <f t="shared" ca="1" si="112"/>
        <v>0</v>
      </c>
      <c r="DN193" s="58">
        <f t="shared" ca="1" si="112"/>
        <v>0</v>
      </c>
      <c r="DO193" s="58">
        <f t="shared" ca="1" si="112"/>
        <v>0</v>
      </c>
      <c r="DP193" s="58">
        <f t="shared" ca="1" si="112"/>
        <v>0</v>
      </c>
      <c r="DQ193" s="58">
        <f t="shared" ca="1" si="112"/>
        <v>0</v>
      </c>
      <c r="DR193" s="58">
        <f t="shared" ca="1" si="112"/>
        <v>0</v>
      </c>
      <c r="DS193" s="58">
        <f t="shared" ca="1" si="112"/>
        <v>0</v>
      </c>
      <c r="DT193" s="58">
        <f t="shared" ca="1" si="112"/>
        <v>0</v>
      </c>
      <c r="DU193" s="58">
        <f t="shared" ca="1" si="112"/>
        <v>0</v>
      </c>
      <c r="DV193" s="58">
        <f t="shared" ca="1" si="112"/>
        <v>0</v>
      </c>
      <c r="DW193" s="58">
        <f t="shared" ca="1" si="112"/>
        <v>0</v>
      </c>
      <c r="DX193" s="58">
        <f t="shared" ca="1" si="112"/>
        <v>0</v>
      </c>
      <c r="DY193" s="58">
        <f t="shared" ca="1" si="112"/>
        <v>0</v>
      </c>
      <c r="DZ193" s="58">
        <f t="shared" ca="1" si="112"/>
        <v>0</v>
      </c>
      <c r="EA193" s="58">
        <f t="shared" ca="1" si="112"/>
        <v>0</v>
      </c>
      <c r="EB193" s="58">
        <f t="shared" ca="1" si="112"/>
        <v>0</v>
      </c>
      <c r="EC193" s="58">
        <f t="shared" ca="1" si="112"/>
        <v>0</v>
      </c>
      <c r="ED193" s="58">
        <f t="shared" ca="1" si="112"/>
        <v>0</v>
      </c>
      <c r="EE193" s="58">
        <f t="shared" ref="EE193:FN193" ca="1" si="113">+IF(OR($F193+EE$175&lt;1,(EE$176-1)*12&lt;-$F193),0,OFFSET(EE23,0,$F193))</f>
        <v>0</v>
      </c>
      <c r="EF193" s="58">
        <f t="shared" ca="1" si="113"/>
        <v>0</v>
      </c>
      <c r="EG193" s="58">
        <f t="shared" ca="1" si="113"/>
        <v>0</v>
      </c>
      <c r="EH193" s="58">
        <f t="shared" ca="1" si="113"/>
        <v>0</v>
      </c>
      <c r="EI193" s="58">
        <f t="shared" ca="1" si="113"/>
        <v>0</v>
      </c>
      <c r="EJ193" s="58">
        <f t="shared" ca="1" si="113"/>
        <v>0</v>
      </c>
      <c r="EK193" s="58">
        <f t="shared" ca="1" si="113"/>
        <v>0</v>
      </c>
      <c r="EL193" s="58">
        <f t="shared" ca="1" si="113"/>
        <v>0</v>
      </c>
      <c r="EM193" s="58">
        <f t="shared" ca="1" si="113"/>
        <v>0</v>
      </c>
      <c r="EN193" s="58">
        <f t="shared" ca="1" si="113"/>
        <v>0</v>
      </c>
      <c r="EO193" s="58">
        <f t="shared" ca="1" si="113"/>
        <v>0</v>
      </c>
      <c r="EP193" s="58">
        <f t="shared" ca="1" si="113"/>
        <v>0</v>
      </c>
      <c r="EQ193" s="58">
        <f t="shared" ca="1" si="113"/>
        <v>0</v>
      </c>
      <c r="ER193" s="58">
        <f t="shared" ca="1" si="113"/>
        <v>0</v>
      </c>
      <c r="ES193" s="58">
        <f t="shared" ca="1" si="113"/>
        <v>0</v>
      </c>
      <c r="ET193" s="58">
        <f t="shared" ca="1" si="113"/>
        <v>0</v>
      </c>
      <c r="EU193" s="58">
        <f t="shared" ca="1" si="113"/>
        <v>0</v>
      </c>
      <c r="EV193" s="58">
        <f t="shared" ca="1" si="113"/>
        <v>0</v>
      </c>
      <c r="EW193" s="58">
        <f t="shared" ca="1" si="113"/>
        <v>0</v>
      </c>
      <c r="EX193" s="58">
        <f t="shared" ca="1" si="113"/>
        <v>0</v>
      </c>
      <c r="EY193" s="58">
        <f t="shared" ca="1" si="113"/>
        <v>0</v>
      </c>
      <c r="EZ193" s="58">
        <f t="shared" ca="1" si="113"/>
        <v>0</v>
      </c>
      <c r="FA193" s="58">
        <f t="shared" ca="1" si="113"/>
        <v>0</v>
      </c>
      <c r="FB193" s="58">
        <f t="shared" ca="1" si="113"/>
        <v>0</v>
      </c>
      <c r="FC193" s="58">
        <f t="shared" ca="1" si="113"/>
        <v>0</v>
      </c>
      <c r="FD193" s="58">
        <f t="shared" ca="1" si="113"/>
        <v>0</v>
      </c>
      <c r="FE193" s="58">
        <f t="shared" ca="1" si="113"/>
        <v>0</v>
      </c>
      <c r="FF193" s="58">
        <f t="shared" ca="1" si="113"/>
        <v>0</v>
      </c>
      <c r="FG193" s="58">
        <f t="shared" ca="1" si="113"/>
        <v>0</v>
      </c>
      <c r="FH193" s="58">
        <f t="shared" ca="1" si="113"/>
        <v>0</v>
      </c>
      <c r="FI193" s="58">
        <f t="shared" ca="1" si="113"/>
        <v>0</v>
      </c>
      <c r="FJ193" s="58">
        <f t="shared" ca="1" si="113"/>
        <v>0</v>
      </c>
      <c r="FK193" s="58">
        <f t="shared" ca="1" si="113"/>
        <v>0</v>
      </c>
      <c r="FL193" s="58">
        <f t="shared" ca="1" si="113"/>
        <v>0</v>
      </c>
      <c r="FM193" s="58">
        <f t="shared" ca="1" si="113"/>
        <v>0</v>
      </c>
      <c r="FN193" s="58">
        <f t="shared" ca="1" si="113"/>
        <v>0</v>
      </c>
      <c r="FO193" s="13"/>
    </row>
    <row r="194" spans="1:171" outlineLevel="1" x14ac:dyDescent="0.3">
      <c r="A194" s="13"/>
      <c r="B194" s="13"/>
      <c r="C194" s="13"/>
      <c r="D194" s="52">
        <f t="shared" si="31"/>
        <v>40664</v>
      </c>
      <c r="E194" s="53">
        <f t="shared" si="32"/>
        <v>2011</v>
      </c>
      <c r="F194" s="53">
        <f t="shared" si="33"/>
        <v>-32</v>
      </c>
      <c r="G194" s="58">
        <f t="shared" ref="G194:AL194" ca="1" si="114">+IF(OR($F194+G$175&lt;1,(G$176-1)*12&lt;-$F194),0,OFFSET(G24,0,$F194))</f>
        <v>0</v>
      </c>
      <c r="H194" s="58">
        <f t="shared" ca="1" si="114"/>
        <v>0</v>
      </c>
      <c r="I194" s="58">
        <f t="shared" ca="1" si="114"/>
        <v>0</v>
      </c>
      <c r="J194" s="58">
        <f t="shared" ca="1" si="114"/>
        <v>0</v>
      </c>
      <c r="K194" s="58">
        <f t="shared" ca="1" si="114"/>
        <v>0</v>
      </c>
      <c r="L194" s="58">
        <f t="shared" ca="1" si="114"/>
        <v>0</v>
      </c>
      <c r="M194" s="58">
        <f t="shared" ca="1" si="114"/>
        <v>0</v>
      </c>
      <c r="N194" s="58">
        <f t="shared" ca="1" si="114"/>
        <v>0</v>
      </c>
      <c r="O194" s="58">
        <f t="shared" ca="1" si="114"/>
        <v>0</v>
      </c>
      <c r="P194" s="58">
        <f t="shared" ca="1" si="114"/>
        <v>0</v>
      </c>
      <c r="Q194" s="58">
        <f t="shared" ca="1" si="114"/>
        <v>0</v>
      </c>
      <c r="R194" s="58">
        <f t="shared" ca="1" si="114"/>
        <v>0</v>
      </c>
      <c r="S194" s="58">
        <f t="shared" ca="1" si="114"/>
        <v>0</v>
      </c>
      <c r="T194" s="58">
        <f t="shared" ca="1" si="114"/>
        <v>0</v>
      </c>
      <c r="U194" s="58">
        <f t="shared" ca="1" si="114"/>
        <v>0</v>
      </c>
      <c r="V194" s="58">
        <f t="shared" ca="1" si="114"/>
        <v>0</v>
      </c>
      <c r="W194" s="58">
        <f t="shared" ca="1" si="114"/>
        <v>0</v>
      </c>
      <c r="X194" s="58">
        <f t="shared" ca="1" si="114"/>
        <v>0</v>
      </c>
      <c r="Y194" s="58">
        <f t="shared" ca="1" si="114"/>
        <v>0</v>
      </c>
      <c r="Z194" s="58">
        <f t="shared" ca="1" si="114"/>
        <v>0</v>
      </c>
      <c r="AA194" s="58">
        <f t="shared" ca="1" si="114"/>
        <v>0</v>
      </c>
      <c r="AB194" s="58">
        <f t="shared" ca="1" si="114"/>
        <v>0</v>
      </c>
      <c r="AC194" s="58">
        <f t="shared" ca="1" si="114"/>
        <v>0</v>
      </c>
      <c r="AD194" s="58">
        <f t="shared" ca="1" si="114"/>
        <v>0</v>
      </c>
      <c r="AE194" s="58">
        <f t="shared" ca="1" si="114"/>
        <v>0</v>
      </c>
      <c r="AF194" s="58">
        <f t="shared" ca="1" si="114"/>
        <v>0</v>
      </c>
      <c r="AG194" s="58">
        <f t="shared" ca="1" si="114"/>
        <v>0</v>
      </c>
      <c r="AH194" s="58">
        <f t="shared" ca="1" si="114"/>
        <v>0</v>
      </c>
      <c r="AI194" s="58">
        <f t="shared" ca="1" si="114"/>
        <v>0</v>
      </c>
      <c r="AJ194" s="58">
        <f t="shared" ca="1" si="114"/>
        <v>0</v>
      </c>
      <c r="AK194" s="58">
        <f t="shared" ca="1" si="114"/>
        <v>0</v>
      </c>
      <c r="AL194" s="58">
        <f t="shared" ca="1" si="114"/>
        <v>0</v>
      </c>
      <c r="AM194" s="58">
        <f t="shared" ref="AM194:BR194" ca="1" si="115">+IF(OR($F194+AM$175&lt;1,(AM$176-1)*12&lt;-$F194),0,OFFSET(AM24,0,$F194))</f>
        <v>0</v>
      </c>
      <c r="AN194" s="58">
        <f t="shared" ca="1" si="115"/>
        <v>0</v>
      </c>
      <c r="AO194" s="58">
        <f t="shared" ca="1" si="115"/>
        <v>0</v>
      </c>
      <c r="AP194" s="58">
        <f t="shared" ca="1" si="115"/>
        <v>0</v>
      </c>
      <c r="AQ194" s="58">
        <f t="shared" ca="1" si="115"/>
        <v>0</v>
      </c>
      <c r="AR194" s="58">
        <f t="shared" ca="1" si="115"/>
        <v>0</v>
      </c>
      <c r="AS194" s="58">
        <f t="shared" ca="1" si="115"/>
        <v>0</v>
      </c>
      <c r="AT194" s="58">
        <f t="shared" ca="1" si="115"/>
        <v>0</v>
      </c>
      <c r="AU194" s="58">
        <f t="shared" ca="1" si="115"/>
        <v>0</v>
      </c>
      <c r="AV194" s="58">
        <f t="shared" ca="1" si="115"/>
        <v>0</v>
      </c>
      <c r="AW194" s="58">
        <f t="shared" ca="1" si="115"/>
        <v>0</v>
      </c>
      <c r="AX194" s="58">
        <f t="shared" ca="1" si="115"/>
        <v>0</v>
      </c>
      <c r="AY194" s="58">
        <f t="shared" ca="1" si="115"/>
        <v>0</v>
      </c>
      <c r="AZ194" s="58">
        <f t="shared" ca="1" si="115"/>
        <v>0</v>
      </c>
      <c r="BA194" s="58">
        <f t="shared" ca="1" si="115"/>
        <v>0</v>
      </c>
      <c r="BB194" s="58">
        <f t="shared" ca="1" si="115"/>
        <v>0</v>
      </c>
      <c r="BC194" s="58">
        <f t="shared" ca="1" si="115"/>
        <v>0</v>
      </c>
      <c r="BD194" s="58">
        <f t="shared" ca="1" si="115"/>
        <v>0</v>
      </c>
      <c r="BE194" s="58">
        <f t="shared" ca="1" si="115"/>
        <v>0</v>
      </c>
      <c r="BF194" s="58">
        <f t="shared" ca="1" si="115"/>
        <v>0</v>
      </c>
      <c r="BG194" s="58">
        <f t="shared" ca="1" si="115"/>
        <v>0</v>
      </c>
      <c r="BH194" s="58">
        <f t="shared" ca="1" si="115"/>
        <v>0</v>
      </c>
      <c r="BI194" s="58">
        <f t="shared" ca="1" si="115"/>
        <v>0</v>
      </c>
      <c r="BJ194" s="58">
        <f t="shared" ca="1" si="115"/>
        <v>0</v>
      </c>
      <c r="BK194" s="58">
        <f t="shared" ca="1" si="115"/>
        <v>0</v>
      </c>
      <c r="BL194" s="58">
        <f t="shared" ca="1" si="115"/>
        <v>0</v>
      </c>
      <c r="BM194" s="58">
        <f t="shared" ca="1" si="115"/>
        <v>0</v>
      </c>
      <c r="BN194" s="58">
        <f t="shared" ca="1" si="115"/>
        <v>0</v>
      </c>
      <c r="BO194" s="58">
        <f t="shared" ca="1" si="115"/>
        <v>0</v>
      </c>
      <c r="BP194" s="58">
        <f t="shared" ca="1" si="115"/>
        <v>0</v>
      </c>
      <c r="BQ194" s="58">
        <f t="shared" ca="1" si="115"/>
        <v>0</v>
      </c>
      <c r="BR194" s="58">
        <f t="shared" ca="1" si="115"/>
        <v>0</v>
      </c>
      <c r="BS194" s="58">
        <f t="shared" ref="BS194:CX194" ca="1" si="116">+IF(OR($F194+BS$175&lt;1,(BS$176-1)*12&lt;-$F194),0,OFFSET(BS24,0,$F194))</f>
        <v>0</v>
      </c>
      <c r="BT194" s="58">
        <f t="shared" ca="1" si="116"/>
        <v>0</v>
      </c>
      <c r="BU194" s="58">
        <f t="shared" ca="1" si="116"/>
        <v>0</v>
      </c>
      <c r="BV194" s="58">
        <f t="shared" ca="1" si="116"/>
        <v>0</v>
      </c>
      <c r="BW194" s="58">
        <f t="shared" ca="1" si="116"/>
        <v>0</v>
      </c>
      <c r="BX194" s="58">
        <f t="shared" ca="1" si="116"/>
        <v>0</v>
      </c>
      <c r="BY194" s="58">
        <f t="shared" ca="1" si="116"/>
        <v>0</v>
      </c>
      <c r="BZ194" s="58">
        <f t="shared" ca="1" si="116"/>
        <v>0</v>
      </c>
      <c r="CA194" s="58">
        <f t="shared" ca="1" si="116"/>
        <v>0</v>
      </c>
      <c r="CB194" s="58">
        <f t="shared" ca="1" si="116"/>
        <v>0</v>
      </c>
      <c r="CC194" s="58">
        <f t="shared" ca="1" si="116"/>
        <v>0</v>
      </c>
      <c r="CD194" s="58">
        <f t="shared" ca="1" si="116"/>
        <v>0</v>
      </c>
      <c r="CE194" s="58">
        <f t="shared" ca="1" si="116"/>
        <v>0</v>
      </c>
      <c r="CF194" s="58">
        <f t="shared" ca="1" si="116"/>
        <v>0</v>
      </c>
      <c r="CG194" s="58">
        <f t="shared" ca="1" si="116"/>
        <v>0</v>
      </c>
      <c r="CH194" s="58">
        <f t="shared" ca="1" si="116"/>
        <v>0</v>
      </c>
      <c r="CI194" s="58">
        <f t="shared" ca="1" si="116"/>
        <v>0</v>
      </c>
      <c r="CJ194" s="58">
        <f t="shared" ca="1" si="116"/>
        <v>0</v>
      </c>
      <c r="CK194" s="58">
        <f t="shared" ca="1" si="116"/>
        <v>0</v>
      </c>
      <c r="CL194" s="58">
        <f t="shared" ca="1" si="116"/>
        <v>0</v>
      </c>
      <c r="CM194" s="58">
        <f t="shared" ca="1" si="116"/>
        <v>0</v>
      </c>
      <c r="CN194" s="58">
        <f t="shared" ca="1" si="116"/>
        <v>0</v>
      </c>
      <c r="CO194" s="58">
        <f t="shared" ca="1" si="116"/>
        <v>0</v>
      </c>
      <c r="CP194" s="58">
        <f t="shared" ca="1" si="116"/>
        <v>0</v>
      </c>
      <c r="CQ194" s="58">
        <f t="shared" ca="1" si="116"/>
        <v>0</v>
      </c>
      <c r="CR194" s="58">
        <f t="shared" ca="1" si="116"/>
        <v>0</v>
      </c>
      <c r="CS194" s="58">
        <f t="shared" ca="1" si="116"/>
        <v>0</v>
      </c>
      <c r="CT194" s="58">
        <f t="shared" ca="1" si="116"/>
        <v>0</v>
      </c>
      <c r="CU194" s="58">
        <f t="shared" ca="1" si="116"/>
        <v>0</v>
      </c>
      <c r="CV194" s="58">
        <f t="shared" ca="1" si="116"/>
        <v>0</v>
      </c>
      <c r="CW194" s="58">
        <f t="shared" ca="1" si="116"/>
        <v>0</v>
      </c>
      <c r="CX194" s="58">
        <f t="shared" ca="1" si="116"/>
        <v>0</v>
      </c>
      <c r="CY194" s="58">
        <f t="shared" ref="CY194:ED194" ca="1" si="117">+IF(OR($F194+CY$175&lt;1,(CY$176-1)*12&lt;-$F194),0,OFFSET(CY24,0,$F194))</f>
        <v>0</v>
      </c>
      <c r="CZ194" s="58">
        <f t="shared" ca="1" si="117"/>
        <v>0</v>
      </c>
      <c r="DA194" s="58">
        <f t="shared" ca="1" si="117"/>
        <v>0</v>
      </c>
      <c r="DB194" s="58">
        <f t="shared" ca="1" si="117"/>
        <v>0</v>
      </c>
      <c r="DC194" s="58">
        <f t="shared" ca="1" si="117"/>
        <v>0</v>
      </c>
      <c r="DD194" s="58">
        <f t="shared" ca="1" si="117"/>
        <v>0</v>
      </c>
      <c r="DE194" s="58">
        <f t="shared" ca="1" si="117"/>
        <v>0</v>
      </c>
      <c r="DF194" s="58">
        <f t="shared" ca="1" si="117"/>
        <v>0</v>
      </c>
      <c r="DG194" s="58">
        <f t="shared" ca="1" si="117"/>
        <v>0</v>
      </c>
      <c r="DH194" s="58">
        <f t="shared" ca="1" si="117"/>
        <v>0</v>
      </c>
      <c r="DI194" s="58">
        <f t="shared" ca="1" si="117"/>
        <v>0</v>
      </c>
      <c r="DJ194" s="58">
        <f t="shared" ca="1" si="117"/>
        <v>0</v>
      </c>
      <c r="DK194" s="58">
        <f t="shared" ca="1" si="117"/>
        <v>0</v>
      </c>
      <c r="DL194" s="58">
        <f t="shared" ca="1" si="117"/>
        <v>0</v>
      </c>
      <c r="DM194" s="58">
        <f t="shared" ca="1" si="117"/>
        <v>0</v>
      </c>
      <c r="DN194" s="58">
        <f t="shared" ca="1" si="117"/>
        <v>0</v>
      </c>
      <c r="DO194" s="58">
        <f t="shared" ca="1" si="117"/>
        <v>0</v>
      </c>
      <c r="DP194" s="58">
        <f t="shared" ca="1" si="117"/>
        <v>0</v>
      </c>
      <c r="DQ194" s="58">
        <f t="shared" ca="1" si="117"/>
        <v>0</v>
      </c>
      <c r="DR194" s="58">
        <f t="shared" ca="1" si="117"/>
        <v>0</v>
      </c>
      <c r="DS194" s="58">
        <f t="shared" ca="1" si="117"/>
        <v>0</v>
      </c>
      <c r="DT194" s="58">
        <f t="shared" ca="1" si="117"/>
        <v>0</v>
      </c>
      <c r="DU194" s="58">
        <f t="shared" ca="1" si="117"/>
        <v>0</v>
      </c>
      <c r="DV194" s="58">
        <f t="shared" ca="1" si="117"/>
        <v>0</v>
      </c>
      <c r="DW194" s="58">
        <f t="shared" ca="1" si="117"/>
        <v>0</v>
      </c>
      <c r="DX194" s="58">
        <f t="shared" ca="1" si="117"/>
        <v>0</v>
      </c>
      <c r="DY194" s="58">
        <f t="shared" ca="1" si="117"/>
        <v>0</v>
      </c>
      <c r="DZ194" s="58">
        <f t="shared" ca="1" si="117"/>
        <v>0</v>
      </c>
      <c r="EA194" s="58">
        <f t="shared" ca="1" si="117"/>
        <v>0</v>
      </c>
      <c r="EB194" s="58">
        <f t="shared" ca="1" si="117"/>
        <v>0</v>
      </c>
      <c r="EC194" s="58">
        <f t="shared" ca="1" si="117"/>
        <v>0</v>
      </c>
      <c r="ED194" s="58">
        <f t="shared" ca="1" si="117"/>
        <v>0</v>
      </c>
      <c r="EE194" s="58">
        <f t="shared" ref="EE194:FN194" ca="1" si="118">+IF(OR($F194+EE$175&lt;1,(EE$176-1)*12&lt;-$F194),0,OFFSET(EE24,0,$F194))</f>
        <v>0</v>
      </c>
      <c r="EF194" s="58">
        <f t="shared" ca="1" si="118"/>
        <v>0</v>
      </c>
      <c r="EG194" s="58">
        <f t="shared" ca="1" si="118"/>
        <v>0</v>
      </c>
      <c r="EH194" s="58">
        <f t="shared" ca="1" si="118"/>
        <v>0</v>
      </c>
      <c r="EI194" s="58">
        <f t="shared" ca="1" si="118"/>
        <v>0</v>
      </c>
      <c r="EJ194" s="58">
        <f t="shared" ca="1" si="118"/>
        <v>0</v>
      </c>
      <c r="EK194" s="58">
        <f t="shared" ca="1" si="118"/>
        <v>0</v>
      </c>
      <c r="EL194" s="58">
        <f t="shared" ca="1" si="118"/>
        <v>0</v>
      </c>
      <c r="EM194" s="58">
        <f t="shared" ca="1" si="118"/>
        <v>0</v>
      </c>
      <c r="EN194" s="58">
        <f t="shared" ca="1" si="118"/>
        <v>0</v>
      </c>
      <c r="EO194" s="58">
        <f t="shared" ca="1" si="118"/>
        <v>0</v>
      </c>
      <c r="EP194" s="58">
        <f t="shared" ca="1" si="118"/>
        <v>0</v>
      </c>
      <c r="EQ194" s="58">
        <f t="shared" ca="1" si="118"/>
        <v>0</v>
      </c>
      <c r="ER194" s="58">
        <f t="shared" ca="1" si="118"/>
        <v>0</v>
      </c>
      <c r="ES194" s="58">
        <f t="shared" ca="1" si="118"/>
        <v>0</v>
      </c>
      <c r="ET194" s="58">
        <f t="shared" ca="1" si="118"/>
        <v>0</v>
      </c>
      <c r="EU194" s="58">
        <f t="shared" ca="1" si="118"/>
        <v>0</v>
      </c>
      <c r="EV194" s="58">
        <f t="shared" ca="1" si="118"/>
        <v>0</v>
      </c>
      <c r="EW194" s="58">
        <f t="shared" ca="1" si="118"/>
        <v>0</v>
      </c>
      <c r="EX194" s="58">
        <f t="shared" ca="1" si="118"/>
        <v>0</v>
      </c>
      <c r="EY194" s="58">
        <f t="shared" ca="1" si="118"/>
        <v>0</v>
      </c>
      <c r="EZ194" s="58">
        <f t="shared" ca="1" si="118"/>
        <v>0</v>
      </c>
      <c r="FA194" s="58">
        <f t="shared" ca="1" si="118"/>
        <v>0</v>
      </c>
      <c r="FB194" s="58">
        <f t="shared" ca="1" si="118"/>
        <v>0</v>
      </c>
      <c r="FC194" s="58">
        <f t="shared" ca="1" si="118"/>
        <v>0</v>
      </c>
      <c r="FD194" s="58">
        <f t="shared" ca="1" si="118"/>
        <v>0</v>
      </c>
      <c r="FE194" s="58">
        <f t="shared" ca="1" si="118"/>
        <v>0</v>
      </c>
      <c r="FF194" s="58">
        <f t="shared" ca="1" si="118"/>
        <v>0</v>
      </c>
      <c r="FG194" s="58">
        <f t="shared" ca="1" si="118"/>
        <v>0</v>
      </c>
      <c r="FH194" s="58">
        <f t="shared" ca="1" si="118"/>
        <v>0</v>
      </c>
      <c r="FI194" s="58">
        <f t="shared" ca="1" si="118"/>
        <v>0</v>
      </c>
      <c r="FJ194" s="58">
        <f t="shared" ca="1" si="118"/>
        <v>0</v>
      </c>
      <c r="FK194" s="58">
        <f t="shared" ca="1" si="118"/>
        <v>0</v>
      </c>
      <c r="FL194" s="58">
        <f t="shared" ca="1" si="118"/>
        <v>0</v>
      </c>
      <c r="FM194" s="58">
        <f t="shared" ca="1" si="118"/>
        <v>0</v>
      </c>
      <c r="FN194" s="58">
        <f t="shared" ca="1" si="118"/>
        <v>0</v>
      </c>
      <c r="FO194" s="13"/>
    </row>
    <row r="195" spans="1:171" outlineLevel="1" x14ac:dyDescent="0.3">
      <c r="A195" s="13"/>
      <c r="B195" s="13"/>
      <c r="C195" s="13"/>
      <c r="D195" s="52">
        <f t="shared" si="31"/>
        <v>40695</v>
      </c>
      <c r="E195" s="53">
        <f t="shared" si="32"/>
        <v>2011</v>
      </c>
      <c r="F195" s="53">
        <f t="shared" si="33"/>
        <v>-31</v>
      </c>
      <c r="G195" s="58">
        <f t="shared" ref="G195:AL195" ca="1" si="119">+IF(OR($F195+G$175&lt;1,(G$176-1)*12&lt;-$F195),0,OFFSET(G25,0,$F195))</f>
        <v>0</v>
      </c>
      <c r="H195" s="58">
        <f t="shared" ca="1" si="119"/>
        <v>0</v>
      </c>
      <c r="I195" s="58">
        <f t="shared" ca="1" si="119"/>
        <v>0</v>
      </c>
      <c r="J195" s="58">
        <f t="shared" ca="1" si="119"/>
        <v>0</v>
      </c>
      <c r="K195" s="58">
        <f t="shared" ca="1" si="119"/>
        <v>0</v>
      </c>
      <c r="L195" s="58">
        <f t="shared" ca="1" si="119"/>
        <v>0</v>
      </c>
      <c r="M195" s="58">
        <f t="shared" ca="1" si="119"/>
        <v>0</v>
      </c>
      <c r="N195" s="58">
        <f t="shared" ca="1" si="119"/>
        <v>0</v>
      </c>
      <c r="O195" s="58">
        <f t="shared" ca="1" si="119"/>
        <v>0</v>
      </c>
      <c r="P195" s="58">
        <f t="shared" ca="1" si="119"/>
        <v>0</v>
      </c>
      <c r="Q195" s="58">
        <f t="shared" ca="1" si="119"/>
        <v>0</v>
      </c>
      <c r="R195" s="58">
        <f t="shared" ca="1" si="119"/>
        <v>0</v>
      </c>
      <c r="S195" s="58">
        <f t="shared" ca="1" si="119"/>
        <v>0</v>
      </c>
      <c r="T195" s="58">
        <f t="shared" ca="1" si="119"/>
        <v>0</v>
      </c>
      <c r="U195" s="58">
        <f t="shared" ca="1" si="119"/>
        <v>0</v>
      </c>
      <c r="V195" s="58">
        <f t="shared" ca="1" si="119"/>
        <v>0</v>
      </c>
      <c r="W195" s="58">
        <f t="shared" ca="1" si="119"/>
        <v>0</v>
      </c>
      <c r="X195" s="58">
        <f t="shared" ca="1" si="119"/>
        <v>0</v>
      </c>
      <c r="Y195" s="58">
        <f t="shared" ca="1" si="119"/>
        <v>0</v>
      </c>
      <c r="Z195" s="58">
        <f t="shared" ca="1" si="119"/>
        <v>0</v>
      </c>
      <c r="AA195" s="58">
        <f t="shared" ca="1" si="119"/>
        <v>0</v>
      </c>
      <c r="AB195" s="58">
        <f t="shared" ca="1" si="119"/>
        <v>0</v>
      </c>
      <c r="AC195" s="58">
        <f t="shared" ca="1" si="119"/>
        <v>0</v>
      </c>
      <c r="AD195" s="58">
        <f t="shared" ca="1" si="119"/>
        <v>0</v>
      </c>
      <c r="AE195" s="58">
        <f t="shared" ca="1" si="119"/>
        <v>0</v>
      </c>
      <c r="AF195" s="58">
        <f t="shared" ca="1" si="119"/>
        <v>0</v>
      </c>
      <c r="AG195" s="58">
        <f t="shared" ca="1" si="119"/>
        <v>0</v>
      </c>
      <c r="AH195" s="58">
        <f t="shared" ca="1" si="119"/>
        <v>0</v>
      </c>
      <c r="AI195" s="58">
        <f t="shared" ca="1" si="119"/>
        <v>0</v>
      </c>
      <c r="AJ195" s="58">
        <f t="shared" ca="1" si="119"/>
        <v>0</v>
      </c>
      <c r="AK195" s="58">
        <f t="shared" ca="1" si="119"/>
        <v>0</v>
      </c>
      <c r="AL195" s="58">
        <f t="shared" ca="1" si="119"/>
        <v>0</v>
      </c>
      <c r="AM195" s="58">
        <f t="shared" ref="AM195:BR195" ca="1" si="120">+IF(OR($F195+AM$175&lt;1,(AM$176-1)*12&lt;-$F195),0,OFFSET(AM25,0,$F195))</f>
        <v>0</v>
      </c>
      <c r="AN195" s="58">
        <f t="shared" ca="1" si="120"/>
        <v>0</v>
      </c>
      <c r="AO195" s="58">
        <f t="shared" ca="1" si="120"/>
        <v>0</v>
      </c>
      <c r="AP195" s="58">
        <f t="shared" ca="1" si="120"/>
        <v>0</v>
      </c>
      <c r="AQ195" s="58">
        <f t="shared" ca="1" si="120"/>
        <v>0</v>
      </c>
      <c r="AR195" s="58">
        <f t="shared" ca="1" si="120"/>
        <v>0</v>
      </c>
      <c r="AS195" s="58">
        <f t="shared" ca="1" si="120"/>
        <v>0</v>
      </c>
      <c r="AT195" s="58">
        <f t="shared" ca="1" si="120"/>
        <v>0</v>
      </c>
      <c r="AU195" s="58">
        <f t="shared" ca="1" si="120"/>
        <v>0</v>
      </c>
      <c r="AV195" s="58">
        <f t="shared" ca="1" si="120"/>
        <v>0</v>
      </c>
      <c r="AW195" s="58">
        <f t="shared" ca="1" si="120"/>
        <v>0</v>
      </c>
      <c r="AX195" s="58">
        <f t="shared" ca="1" si="120"/>
        <v>0</v>
      </c>
      <c r="AY195" s="58">
        <f t="shared" ca="1" si="120"/>
        <v>0</v>
      </c>
      <c r="AZ195" s="58">
        <f t="shared" ca="1" si="120"/>
        <v>0</v>
      </c>
      <c r="BA195" s="58">
        <f t="shared" ca="1" si="120"/>
        <v>0</v>
      </c>
      <c r="BB195" s="58">
        <f t="shared" ca="1" si="120"/>
        <v>0</v>
      </c>
      <c r="BC195" s="58">
        <f t="shared" ca="1" si="120"/>
        <v>0</v>
      </c>
      <c r="BD195" s="58">
        <f t="shared" ca="1" si="120"/>
        <v>0</v>
      </c>
      <c r="BE195" s="58">
        <f t="shared" ca="1" si="120"/>
        <v>0</v>
      </c>
      <c r="BF195" s="58">
        <f t="shared" ca="1" si="120"/>
        <v>0</v>
      </c>
      <c r="BG195" s="58">
        <f t="shared" ca="1" si="120"/>
        <v>0</v>
      </c>
      <c r="BH195" s="58">
        <f t="shared" ca="1" si="120"/>
        <v>0</v>
      </c>
      <c r="BI195" s="58">
        <f t="shared" ca="1" si="120"/>
        <v>0</v>
      </c>
      <c r="BJ195" s="58">
        <f t="shared" ca="1" si="120"/>
        <v>0</v>
      </c>
      <c r="BK195" s="58">
        <f t="shared" ca="1" si="120"/>
        <v>0</v>
      </c>
      <c r="BL195" s="58">
        <f t="shared" ca="1" si="120"/>
        <v>0</v>
      </c>
      <c r="BM195" s="58">
        <f t="shared" ca="1" si="120"/>
        <v>0</v>
      </c>
      <c r="BN195" s="58">
        <f t="shared" ca="1" si="120"/>
        <v>0</v>
      </c>
      <c r="BO195" s="58">
        <f t="shared" ca="1" si="120"/>
        <v>0</v>
      </c>
      <c r="BP195" s="58">
        <f t="shared" ca="1" si="120"/>
        <v>0</v>
      </c>
      <c r="BQ195" s="58">
        <f t="shared" ca="1" si="120"/>
        <v>0</v>
      </c>
      <c r="BR195" s="58">
        <f t="shared" ca="1" si="120"/>
        <v>0</v>
      </c>
      <c r="BS195" s="58">
        <f t="shared" ref="BS195:CX195" ca="1" si="121">+IF(OR($F195+BS$175&lt;1,(BS$176-1)*12&lt;-$F195),0,OFFSET(BS25,0,$F195))</f>
        <v>0</v>
      </c>
      <c r="BT195" s="58">
        <f t="shared" ca="1" si="121"/>
        <v>0</v>
      </c>
      <c r="BU195" s="58">
        <f t="shared" ca="1" si="121"/>
        <v>0</v>
      </c>
      <c r="BV195" s="58">
        <f t="shared" ca="1" si="121"/>
        <v>0</v>
      </c>
      <c r="BW195" s="58">
        <f t="shared" ca="1" si="121"/>
        <v>0</v>
      </c>
      <c r="BX195" s="58">
        <f t="shared" ca="1" si="121"/>
        <v>0</v>
      </c>
      <c r="BY195" s="58">
        <f t="shared" ca="1" si="121"/>
        <v>0</v>
      </c>
      <c r="BZ195" s="58">
        <f t="shared" ca="1" si="121"/>
        <v>0</v>
      </c>
      <c r="CA195" s="58">
        <f t="shared" ca="1" si="121"/>
        <v>0</v>
      </c>
      <c r="CB195" s="58">
        <f t="shared" ca="1" si="121"/>
        <v>0</v>
      </c>
      <c r="CC195" s="58">
        <f t="shared" ca="1" si="121"/>
        <v>0</v>
      </c>
      <c r="CD195" s="58">
        <f t="shared" ca="1" si="121"/>
        <v>0</v>
      </c>
      <c r="CE195" s="58">
        <f t="shared" ca="1" si="121"/>
        <v>0</v>
      </c>
      <c r="CF195" s="58">
        <f t="shared" ca="1" si="121"/>
        <v>0</v>
      </c>
      <c r="CG195" s="58">
        <f t="shared" ca="1" si="121"/>
        <v>0</v>
      </c>
      <c r="CH195" s="58">
        <f t="shared" ca="1" si="121"/>
        <v>0</v>
      </c>
      <c r="CI195" s="58">
        <f t="shared" ca="1" si="121"/>
        <v>0</v>
      </c>
      <c r="CJ195" s="58">
        <f t="shared" ca="1" si="121"/>
        <v>0</v>
      </c>
      <c r="CK195" s="58">
        <f t="shared" ca="1" si="121"/>
        <v>0</v>
      </c>
      <c r="CL195" s="58">
        <f t="shared" ca="1" si="121"/>
        <v>0</v>
      </c>
      <c r="CM195" s="58">
        <f t="shared" ca="1" si="121"/>
        <v>0</v>
      </c>
      <c r="CN195" s="58">
        <f t="shared" ca="1" si="121"/>
        <v>0</v>
      </c>
      <c r="CO195" s="58">
        <f t="shared" ca="1" si="121"/>
        <v>0</v>
      </c>
      <c r="CP195" s="58">
        <f t="shared" ca="1" si="121"/>
        <v>0</v>
      </c>
      <c r="CQ195" s="58">
        <f t="shared" ca="1" si="121"/>
        <v>0</v>
      </c>
      <c r="CR195" s="58">
        <f t="shared" ca="1" si="121"/>
        <v>0</v>
      </c>
      <c r="CS195" s="58">
        <f t="shared" ca="1" si="121"/>
        <v>0</v>
      </c>
      <c r="CT195" s="58">
        <f t="shared" ca="1" si="121"/>
        <v>0</v>
      </c>
      <c r="CU195" s="58">
        <f t="shared" ca="1" si="121"/>
        <v>0</v>
      </c>
      <c r="CV195" s="58">
        <f t="shared" ca="1" si="121"/>
        <v>0</v>
      </c>
      <c r="CW195" s="58">
        <f t="shared" ca="1" si="121"/>
        <v>0</v>
      </c>
      <c r="CX195" s="58">
        <f t="shared" ca="1" si="121"/>
        <v>0</v>
      </c>
      <c r="CY195" s="58">
        <f t="shared" ref="CY195:ED195" ca="1" si="122">+IF(OR($F195+CY$175&lt;1,(CY$176-1)*12&lt;-$F195),0,OFFSET(CY25,0,$F195))</f>
        <v>0</v>
      </c>
      <c r="CZ195" s="58">
        <f t="shared" ca="1" si="122"/>
        <v>0</v>
      </c>
      <c r="DA195" s="58">
        <f t="shared" ca="1" si="122"/>
        <v>0</v>
      </c>
      <c r="DB195" s="58">
        <f t="shared" ca="1" si="122"/>
        <v>0</v>
      </c>
      <c r="DC195" s="58">
        <f t="shared" ca="1" si="122"/>
        <v>0</v>
      </c>
      <c r="DD195" s="58">
        <f t="shared" ca="1" si="122"/>
        <v>0</v>
      </c>
      <c r="DE195" s="58">
        <f t="shared" ca="1" si="122"/>
        <v>0</v>
      </c>
      <c r="DF195" s="58">
        <f t="shared" ca="1" si="122"/>
        <v>0</v>
      </c>
      <c r="DG195" s="58">
        <f t="shared" ca="1" si="122"/>
        <v>0</v>
      </c>
      <c r="DH195" s="58">
        <f t="shared" ca="1" si="122"/>
        <v>0</v>
      </c>
      <c r="DI195" s="58">
        <f t="shared" ca="1" si="122"/>
        <v>0</v>
      </c>
      <c r="DJ195" s="58">
        <f t="shared" ca="1" si="122"/>
        <v>0</v>
      </c>
      <c r="DK195" s="58">
        <f t="shared" ca="1" si="122"/>
        <v>0</v>
      </c>
      <c r="DL195" s="58">
        <f t="shared" ca="1" si="122"/>
        <v>0</v>
      </c>
      <c r="DM195" s="58">
        <f t="shared" ca="1" si="122"/>
        <v>0</v>
      </c>
      <c r="DN195" s="58">
        <f t="shared" ca="1" si="122"/>
        <v>0</v>
      </c>
      <c r="DO195" s="58">
        <f t="shared" ca="1" si="122"/>
        <v>0</v>
      </c>
      <c r="DP195" s="58">
        <f t="shared" ca="1" si="122"/>
        <v>0</v>
      </c>
      <c r="DQ195" s="58">
        <f t="shared" ca="1" si="122"/>
        <v>0</v>
      </c>
      <c r="DR195" s="58">
        <f t="shared" ca="1" si="122"/>
        <v>0</v>
      </c>
      <c r="DS195" s="58">
        <f t="shared" ca="1" si="122"/>
        <v>0</v>
      </c>
      <c r="DT195" s="58">
        <f t="shared" ca="1" si="122"/>
        <v>0</v>
      </c>
      <c r="DU195" s="58">
        <f t="shared" ca="1" si="122"/>
        <v>0</v>
      </c>
      <c r="DV195" s="58">
        <f t="shared" ca="1" si="122"/>
        <v>0</v>
      </c>
      <c r="DW195" s="58">
        <f t="shared" ca="1" si="122"/>
        <v>0</v>
      </c>
      <c r="DX195" s="58">
        <f t="shared" ca="1" si="122"/>
        <v>0</v>
      </c>
      <c r="DY195" s="58">
        <f t="shared" ca="1" si="122"/>
        <v>0</v>
      </c>
      <c r="DZ195" s="58">
        <f t="shared" ca="1" si="122"/>
        <v>0</v>
      </c>
      <c r="EA195" s="58">
        <f t="shared" ca="1" si="122"/>
        <v>0</v>
      </c>
      <c r="EB195" s="58">
        <f t="shared" ca="1" si="122"/>
        <v>0</v>
      </c>
      <c r="EC195" s="58">
        <f t="shared" ca="1" si="122"/>
        <v>0</v>
      </c>
      <c r="ED195" s="58">
        <f t="shared" ca="1" si="122"/>
        <v>0</v>
      </c>
      <c r="EE195" s="58">
        <f t="shared" ref="EE195:FN195" ca="1" si="123">+IF(OR($F195+EE$175&lt;1,(EE$176-1)*12&lt;-$F195),0,OFFSET(EE25,0,$F195))</f>
        <v>0</v>
      </c>
      <c r="EF195" s="58">
        <f t="shared" ca="1" si="123"/>
        <v>0</v>
      </c>
      <c r="EG195" s="58">
        <f t="shared" ca="1" si="123"/>
        <v>0</v>
      </c>
      <c r="EH195" s="58">
        <f t="shared" ca="1" si="123"/>
        <v>0</v>
      </c>
      <c r="EI195" s="58">
        <f t="shared" ca="1" si="123"/>
        <v>0</v>
      </c>
      <c r="EJ195" s="58">
        <f t="shared" ca="1" si="123"/>
        <v>0</v>
      </c>
      <c r="EK195" s="58">
        <f t="shared" ca="1" si="123"/>
        <v>0</v>
      </c>
      <c r="EL195" s="58">
        <f t="shared" ca="1" si="123"/>
        <v>0</v>
      </c>
      <c r="EM195" s="58">
        <f t="shared" ca="1" si="123"/>
        <v>0</v>
      </c>
      <c r="EN195" s="58">
        <f t="shared" ca="1" si="123"/>
        <v>0</v>
      </c>
      <c r="EO195" s="58">
        <f t="shared" ca="1" si="123"/>
        <v>0</v>
      </c>
      <c r="EP195" s="58">
        <f t="shared" ca="1" si="123"/>
        <v>0</v>
      </c>
      <c r="EQ195" s="58">
        <f t="shared" ca="1" si="123"/>
        <v>0</v>
      </c>
      <c r="ER195" s="58">
        <f t="shared" ca="1" si="123"/>
        <v>0</v>
      </c>
      <c r="ES195" s="58">
        <f t="shared" ca="1" si="123"/>
        <v>0</v>
      </c>
      <c r="ET195" s="58">
        <f t="shared" ca="1" si="123"/>
        <v>0</v>
      </c>
      <c r="EU195" s="58">
        <f t="shared" ca="1" si="123"/>
        <v>0</v>
      </c>
      <c r="EV195" s="58">
        <f t="shared" ca="1" si="123"/>
        <v>0</v>
      </c>
      <c r="EW195" s="58">
        <f t="shared" ca="1" si="123"/>
        <v>0</v>
      </c>
      <c r="EX195" s="58">
        <f t="shared" ca="1" si="123"/>
        <v>0</v>
      </c>
      <c r="EY195" s="58">
        <f t="shared" ca="1" si="123"/>
        <v>0</v>
      </c>
      <c r="EZ195" s="58">
        <f t="shared" ca="1" si="123"/>
        <v>0</v>
      </c>
      <c r="FA195" s="58">
        <f t="shared" ca="1" si="123"/>
        <v>0</v>
      </c>
      <c r="FB195" s="58">
        <f t="shared" ca="1" si="123"/>
        <v>0</v>
      </c>
      <c r="FC195" s="58">
        <f t="shared" ca="1" si="123"/>
        <v>0</v>
      </c>
      <c r="FD195" s="58">
        <f t="shared" ca="1" si="123"/>
        <v>0</v>
      </c>
      <c r="FE195" s="58">
        <f t="shared" ca="1" si="123"/>
        <v>0</v>
      </c>
      <c r="FF195" s="58">
        <f t="shared" ca="1" si="123"/>
        <v>0</v>
      </c>
      <c r="FG195" s="58">
        <f t="shared" ca="1" si="123"/>
        <v>0</v>
      </c>
      <c r="FH195" s="58">
        <f t="shared" ca="1" si="123"/>
        <v>0</v>
      </c>
      <c r="FI195" s="58">
        <f t="shared" ca="1" si="123"/>
        <v>0</v>
      </c>
      <c r="FJ195" s="58">
        <f t="shared" ca="1" si="123"/>
        <v>0</v>
      </c>
      <c r="FK195" s="58">
        <f t="shared" ca="1" si="123"/>
        <v>0</v>
      </c>
      <c r="FL195" s="58">
        <f t="shared" ca="1" si="123"/>
        <v>0</v>
      </c>
      <c r="FM195" s="58">
        <f t="shared" ca="1" si="123"/>
        <v>0</v>
      </c>
      <c r="FN195" s="58">
        <f t="shared" ca="1" si="123"/>
        <v>0</v>
      </c>
      <c r="FO195" s="13"/>
    </row>
    <row r="196" spans="1:171" outlineLevel="1" x14ac:dyDescent="0.3">
      <c r="A196" s="13"/>
      <c r="B196" s="13"/>
      <c r="C196" s="13"/>
      <c r="D196" s="52">
        <f t="shared" si="31"/>
        <v>40725</v>
      </c>
      <c r="E196" s="53">
        <f t="shared" si="32"/>
        <v>2011</v>
      </c>
      <c r="F196" s="53">
        <f t="shared" si="33"/>
        <v>-30</v>
      </c>
      <c r="G196" s="58">
        <f t="shared" ref="G196:AL196" ca="1" si="124">+IF(OR($F196+G$175&lt;1,(G$176-1)*12&lt;-$F196),0,OFFSET(G26,0,$F196))</f>
        <v>0</v>
      </c>
      <c r="H196" s="58">
        <f t="shared" ca="1" si="124"/>
        <v>0</v>
      </c>
      <c r="I196" s="58">
        <f t="shared" ca="1" si="124"/>
        <v>0</v>
      </c>
      <c r="J196" s="58">
        <f t="shared" ca="1" si="124"/>
        <v>0</v>
      </c>
      <c r="K196" s="58">
        <f t="shared" ca="1" si="124"/>
        <v>0</v>
      </c>
      <c r="L196" s="58">
        <f t="shared" ca="1" si="124"/>
        <v>0</v>
      </c>
      <c r="M196" s="58">
        <f t="shared" ca="1" si="124"/>
        <v>0</v>
      </c>
      <c r="N196" s="58">
        <f t="shared" ca="1" si="124"/>
        <v>0</v>
      </c>
      <c r="O196" s="58">
        <f t="shared" ca="1" si="124"/>
        <v>0</v>
      </c>
      <c r="P196" s="58">
        <f t="shared" ca="1" si="124"/>
        <v>0</v>
      </c>
      <c r="Q196" s="58">
        <f t="shared" ca="1" si="124"/>
        <v>0</v>
      </c>
      <c r="R196" s="58">
        <f t="shared" ca="1" si="124"/>
        <v>0</v>
      </c>
      <c r="S196" s="58">
        <f t="shared" ca="1" si="124"/>
        <v>0</v>
      </c>
      <c r="T196" s="58">
        <f t="shared" ca="1" si="124"/>
        <v>0</v>
      </c>
      <c r="U196" s="58">
        <f t="shared" ca="1" si="124"/>
        <v>0</v>
      </c>
      <c r="V196" s="58">
        <f t="shared" ca="1" si="124"/>
        <v>0</v>
      </c>
      <c r="W196" s="58">
        <f t="shared" ca="1" si="124"/>
        <v>0</v>
      </c>
      <c r="X196" s="58">
        <f t="shared" ca="1" si="124"/>
        <v>0</v>
      </c>
      <c r="Y196" s="58">
        <f t="shared" ca="1" si="124"/>
        <v>0</v>
      </c>
      <c r="Z196" s="58">
        <f t="shared" ca="1" si="124"/>
        <v>0</v>
      </c>
      <c r="AA196" s="58">
        <f t="shared" ca="1" si="124"/>
        <v>0</v>
      </c>
      <c r="AB196" s="58">
        <f t="shared" ca="1" si="124"/>
        <v>0</v>
      </c>
      <c r="AC196" s="58">
        <f t="shared" ca="1" si="124"/>
        <v>0</v>
      </c>
      <c r="AD196" s="58">
        <f t="shared" ca="1" si="124"/>
        <v>0</v>
      </c>
      <c r="AE196" s="58">
        <f t="shared" ca="1" si="124"/>
        <v>0</v>
      </c>
      <c r="AF196" s="58">
        <f t="shared" ca="1" si="124"/>
        <v>0</v>
      </c>
      <c r="AG196" s="58">
        <f t="shared" ca="1" si="124"/>
        <v>0</v>
      </c>
      <c r="AH196" s="58">
        <f t="shared" ca="1" si="124"/>
        <v>0</v>
      </c>
      <c r="AI196" s="58">
        <f t="shared" ca="1" si="124"/>
        <v>0</v>
      </c>
      <c r="AJ196" s="58">
        <f t="shared" ca="1" si="124"/>
        <v>0</v>
      </c>
      <c r="AK196" s="58">
        <f t="shared" ca="1" si="124"/>
        <v>0</v>
      </c>
      <c r="AL196" s="58">
        <f t="shared" ca="1" si="124"/>
        <v>0</v>
      </c>
      <c r="AM196" s="58">
        <f t="shared" ref="AM196:BR196" ca="1" si="125">+IF(OR($F196+AM$175&lt;1,(AM$176-1)*12&lt;-$F196),0,OFFSET(AM26,0,$F196))</f>
        <v>0</v>
      </c>
      <c r="AN196" s="58">
        <f t="shared" ca="1" si="125"/>
        <v>0</v>
      </c>
      <c r="AO196" s="58">
        <f t="shared" ca="1" si="125"/>
        <v>0</v>
      </c>
      <c r="AP196" s="58">
        <f t="shared" ca="1" si="125"/>
        <v>0</v>
      </c>
      <c r="AQ196" s="58">
        <f t="shared" ca="1" si="125"/>
        <v>0</v>
      </c>
      <c r="AR196" s="58">
        <f t="shared" ca="1" si="125"/>
        <v>0</v>
      </c>
      <c r="AS196" s="58">
        <f t="shared" ca="1" si="125"/>
        <v>0</v>
      </c>
      <c r="AT196" s="58">
        <f t="shared" ca="1" si="125"/>
        <v>0</v>
      </c>
      <c r="AU196" s="58">
        <f t="shared" ca="1" si="125"/>
        <v>0</v>
      </c>
      <c r="AV196" s="58">
        <f t="shared" ca="1" si="125"/>
        <v>0</v>
      </c>
      <c r="AW196" s="58">
        <f t="shared" ca="1" si="125"/>
        <v>0</v>
      </c>
      <c r="AX196" s="58">
        <f t="shared" ca="1" si="125"/>
        <v>0</v>
      </c>
      <c r="AY196" s="58">
        <f t="shared" ca="1" si="125"/>
        <v>0</v>
      </c>
      <c r="AZ196" s="58">
        <f t="shared" ca="1" si="125"/>
        <v>0</v>
      </c>
      <c r="BA196" s="58">
        <f t="shared" ca="1" si="125"/>
        <v>0</v>
      </c>
      <c r="BB196" s="58">
        <f t="shared" ca="1" si="125"/>
        <v>0</v>
      </c>
      <c r="BC196" s="58">
        <f t="shared" ca="1" si="125"/>
        <v>0</v>
      </c>
      <c r="BD196" s="58">
        <f t="shared" ca="1" si="125"/>
        <v>0</v>
      </c>
      <c r="BE196" s="58">
        <f t="shared" ca="1" si="125"/>
        <v>0</v>
      </c>
      <c r="BF196" s="58">
        <f t="shared" ca="1" si="125"/>
        <v>0</v>
      </c>
      <c r="BG196" s="58">
        <f t="shared" ca="1" si="125"/>
        <v>0</v>
      </c>
      <c r="BH196" s="58">
        <f t="shared" ca="1" si="125"/>
        <v>0</v>
      </c>
      <c r="BI196" s="58">
        <f t="shared" ca="1" si="125"/>
        <v>0</v>
      </c>
      <c r="BJ196" s="58">
        <f t="shared" ca="1" si="125"/>
        <v>0</v>
      </c>
      <c r="BK196" s="58">
        <f t="shared" ca="1" si="125"/>
        <v>0</v>
      </c>
      <c r="BL196" s="58">
        <f t="shared" ca="1" si="125"/>
        <v>0</v>
      </c>
      <c r="BM196" s="58">
        <f t="shared" ca="1" si="125"/>
        <v>0</v>
      </c>
      <c r="BN196" s="58">
        <f t="shared" ca="1" si="125"/>
        <v>0</v>
      </c>
      <c r="BO196" s="58">
        <f t="shared" ca="1" si="125"/>
        <v>0</v>
      </c>
      <c r="BP196" s="58">
        <f t="shared" ca="1" si="125"/>
        <v>0</v>
      </c>
      <c r="BQ196" s="58">
        <f t="shared" ca="1" si="125"/>
        <v>0</v>
      </c>
      <c r="BR196" s="58">
        <f t="shared" ca="1" si="125"/>
        <v>0</v>
      </c>
      <c r="BS196" s="58">
        <f t="shared" ref="BS196:CX196" ca="1" si="126">+IF(OR($F196+BS$175&lt;1,(BS$176-1)*12&lt;-$F196),0,OFFSET(BS26,0,$F196))</f>
        <v>0</v>
      </c>
      <c r="BT196" s="58">
        <f t="shared" ca="1" si="126"/>
        <v>0</v>
      </c>
      <c r="BU196" s="58">
        <f t="shared" ca="1" si="126"/>
        <v>0</v>
      </c>
      <c r="BV196" s="58">
        <f t="shared" ca="1" si="126"/>
        <v>0</v>
      </c>
      <c r="BW196" s="58">
        <f t="shared" ca="1" si="126"/>
        <v>0</v>
      </c>
      <c r="BX196" s="58">
        <f t="shared" ca="1" si="126"/>
        <v>0</v>
      </c>
      <c r="BY196" s="58">
        <f t="shared" ca="1" si="126"/>
        <v>0</v>
      </c>
      <c r="BZ196" s="58">
        <f t="shared" ca="1" si="126"/>
        <v>0</v>
      </c>
      <c r="CA196" s="58">
        <f t="shared" ca="1" si="126"/>
        <v>0</v>
      </c>
      <c r="CB196" s="58">
        <f t="shared" ca="1" si="126"/>
        <v>0</v>
      </c>
      <c r="CC196" s="58">
        <f t="shared" ca="1" si="126"/>
        <v>0</v>
      </c>
      <c r="CD196" s="58">
        <f t="shared" ca="1" si="126"/>
        <v>0</v>
      </c>
      <c r="CE196" s="58">
        <f t="shared" ca="1" si="126"/>
        <v>0</v>
      </c>
      <c r="CF196" s="58">
        <f t="shared" ca="1" si="126"/>
        <v>0</v>
      </c>
      <c r="CG196" s="58">
        <f t="shared" ca="1" si="126"/>
        <v>0</v>
      </c>
      <c r="CH196" s="58">
        <f t="shared" ca="1" si="126"/>
        <v>0</v>
      </c>
      <c r="CI196" s="58">
        <f t="shared" ca="1" si="126"/>
        <v>0</v>
      </c>
      <c r="CJ196" s="58">
        <f t="shared" ca="1" si="126"/>
        <v>0</v>
      </c>
      <c r="CK196" s="58">
        <f t="shared" ca="1" si="126"/>
        <v>0</v>
      </c>
      <c r="CL196" s="58">
        <f t="shared" ca="1" si="126"/>
        <v>0</v>
      </c>
      <c r="CM196" s="58">
        <f t="shared" ca="1" si="126"/>
        <v>0</v>
      </c>
      <c r="CN196" s="58">
        <f t="shared" ca="1" si="126"/>
        <v>0</v>
      </c>
      <c r="CO196" s="58">
        <f t="shared" ca="1" si="126"/>
        <v>0</v>
      </c>
      <c r="CP196" s="58">
        <f t="shared" ca="1" si="126"/>
        <v>0</v>
      </c>
      <c r="CQ196" s="58">
        <f t="shared" ca="1" si="126"/>
        <v>0</v>
      </c>
      <c r="CR196" s="58">
        <f t="shared" ca="1" si="126"/>
        <v>0</v>
      </c>
      <c r="CS196" s="58">
        <f t="shared" ca="1" si="126"/>
        <v>0</v>
      </c>
      <c r="CT196" s="58">
        <f t="shared" ca="1" si="126"/>
        <v>0</v>
      </c>
      <c r="CU196" s="58">
        <f t="shared" ca="1" si="126"/>
        <v>0</v>
      </c>
      <c r="CV196" s="58">
        <f t="shared" ca="1" si="126"/>
        <v>0</v>
      </c>
      <c r="CW196" s="58">
        <f t="shared" ca="1" si="126"/>
        <v>0</v>
      </c>
      <c r="CX196" s="58">
        <f t="shared" ca="1" si="126"/>
        <v>0</v>
      </c>
      <c r="CY196" s="58">
        <f t="shared" ref="CY196:ED196" ca="1" si="127">+IF(OR($F196+CY$175&lt;1,(CY$176-1)*12&lt;-$F196),0,OFFSET(CY26,0,$F196))</f>
        <v>0</v>
      </c>
      <c r="CZ196" s="58">
        <f t="shared" ca="1" si="127"/>
        <v>0</v>
      </c>
      <c r="DA196" s="58">
        <f t="shared" ca="1" si="127"/>
        <v>0</v>
      </c>
      <c r="DB196" s="58">
        <f t="shared" ca="1" si="127"/>
        <v>0</v>
      </c>
      <c r="DC196" s="58">
        <f t="shared" ca="1" si="127"/>
        <v>0</v>
      </c>
      <c r="DD196" s="58">
        <f t="shared" ca="1" si="127"/>
        <v>0</v>
      </c>
      <c r="DE196" s="58">
        <f t="shared" ca="1" si="127"/>
        <v>0</v>
      </c>
      <c r="DF196" s="58">
        <f t="shared" ca="1" si="127"/>
        <v>0</v>
      </c>
      <c r="DG196" s="58">
        <f t="shared" ca="1" si="127"/>
        <v>0</v>
      </c>
      <c r="DH196" s="58">
        <f t="shared" ca="1" si="127"/>
        <v>0</v>
      </c>
      <c r="DI196" s="58">
        <f t="shared" ca="1" si="127"/>
        <v>0</v>
      </c>
      <c r="DJ196" s="58">
        <f t="shared" ca="1" si="127"/>
        <v>0</v>
      </c>
      <c r="DK196" s="58">
        <f t="shared" ca="1" si="127"/>
        <v>0</v>
      </c>
      <c r="DL196" s="58">
        <f t="shared" ca="1" si="127"/>
        <v>0</v>
      </c>
      <c r="DM196" s="58">
        <f t="shared" ca="1" si="127"/>
        <v>0</v>
      </c>
      <c r="DN196" s="58">
        <f t="shared" ca="1" si="127"/>
        <v>0</v>
      </c>
      <c r="DO196" s="58">
        <f t="shared" ca="1" si="127"/>
        <v>0</v>
      </c>
      <c r="DP196" s="58">
        <f t="shared" ca="1" si="127"/>
        <v>0</v>
      </c>
      <c r="DQ196" s="58">
        <f t="shared" ca="1" si="127"/>
        <v>0</v>
      </c>
      <c r="DR196" s="58">
        <f t="shared" ca="1" si="127"/>
        <v>0</v>
      </c>
      <c r="DS196" s="58">
        <f t="shared" ca="1" si="127"/>
        <v>0</v>
      </c>
      <c r="DT196" s="58">
        <f t="shared" ca="1" si="127"/>
        <v>0</v>
      </c>
      <c r="DU196" s="58">
        <f t="shared" ca="1" si="127"/>
        <v>0</v>
      </c>
      <c r="DV196" s="58">
        <f t="shared" ca="1" si="127"/>
        <v>0</v>
      </c>
      <c r="DW196" s="58">
        <f t="shared" ca="1" si="127"/>
        <v>0</v>
      </c>
      <c r="DX196" s="58">
        <f t="shared" ca="1" si="127"/>
        <v>0</v>
      </c>
      <c r="DY196" s="58">
        <f t="shared" ca="1" si="127"/>
        <v>0</v>
      </c>
      <c r="DZ196" s="58">
        <f t="shared" ca="1" si="127"/>
        <v>0</v>
      </c>
      <c r="EA196" s="58">
        <f t="shared" ca="1" si="127"/>
        <v>0</v>
      </c>
      <c r="EB196" s="58">
        <f t="shared" ca="1" si="127"/>
        <v>0</v>
      </c>
      <c r="EC196" s="58">
        <f t="shared" ca="1" si="127"/>
        <v>0</v>
      </c>
      <c r="ED196" s="58">
        <f t="shared" ca="1" si="127"/>
        <v>0</v>
      </c>
      <c r="EE196" s="58">
        <f t="shared" ref="EE196:FN196" ca="1" si="128">+IF(OR($F196+EE$175&lt;1,(EE$176-1)*12&lt;-$F196),0,OFFSET(EE26,0,$F196))</f>
        <v>0</v>
      </c>
      <c r="EF196" s="58">
        <f t="shared" ca="1" si="128"/>
        <v>0</v>
      </c>
      <c r="EG196" s="58">
        <f t="shared" ca="1" si="128"/>
        <v>0</v>
      </c>
      <c r="EH196" s="58">
        <f t="shared" ca="1" si="128"/>
        <v>0</v>
      </c>
      <c r="EI196" s="58">
        <f t="shared" ca="1" si="128"/>
        <v>0</v>
      </c>
      <c r="EJ196" s="58">
        <f t="shared" ca="1" si="128"/>
        <v>0</v>
      </c>
      <c r="EK196" s="58">
        <f t="shared" ca="1" si="128"/>
        <v>0</v>
      </c>
      <c r="EL196" s="58">
        <f t="shared" ca="1" si="128"/>
        <v>0</v>
      </c>
      <c r="EM196" s="58">
        <f t="shared" ca="1" si="128"/>
        <v>0</v>
      </c>
      <c r="EN196" s="58">
        <f t="shared" ca="1" si="128"/>
        <v>0</v>
      </c>
      <c r="EO196" s="58">
        <f t="shared" ca="1" si="128"/>
        <v>0</v>
      </c>
      <c r="EP196" s="58">
        <f t="shared" ca="1" si="128"/>
        <v>0</v>
      </c>
      <c r="EQ196" s="58">
        <f t="shared" ca="1" si="128"/>
        <v>0</v>
      </c>
      <c r="ER196" s="58">
        <f t="shared" ca="1" si="128"/>
        <v>0</v>
      </c>
      <c r="ES196" s="58">
        <f t="shared" ca="1" si="128"/>
        <v>0</v>
      </c>
      <c r="ET196" s="58">
        <f t="shared" ca="1" si="128"/>
        <v>0</v>
      </c>
      <c r="EU196" s="58">
        <f t="shared" ca="1" si="128"/>
        <v>0</v>
      </c>
      <c r="EV196" s="58">
        <f t="shared" ca="1" si="128"/>
        <v>0</v>
      </c>
      <c r="EW196" s="58">
        <f t="shared" ca="1" si="128"/>
        <v>0</v>
      </c>
      <c r="EX196" s="58">
        <f t="shared" ca="1" si="128"/>
        <v>0</v>
      </c>
      <c r="EY196" s="58">
        <f t="shared" ca="1" si="128"/>
        <v>0</v>
      </c>
      <c r="EZ196" s="58">
        <f t="shared" ca="1" si="128"/>
        <v>0</v>
      </c>
      <c r="FA196" s="58">
        <f t="shared" ca="1" si="128"/>
        <v>0</v>
      </c>
      <c r="FB196" s="58">
        <f t="shared" ca="1" si="128"/>
        <v>0</v>
      </c>
      <c r="FC196" s="58">
        <f t="shared" ca="1" si="128"/>
        <v>0</v>
      </c>
      <c r="FD196" s="58">
        <f t="shared" ca="1" si="128"/>
        <v>0</v>
      </c>
      <c r="FE196" s="58">
        <f t="shared" ca="1" si="128"/>
        <v>0</v>
      </c>
      <c r="FF196" s="58">
        <f t="shared" ca="1" si="128"/>
        <v>0</v>
      </c>
      <c r="FG196" s="58">
        <f t="shared" ca="1" si="128"/>
        <v>0</v>
      </c>
      <c r="FH196" s="58">
        <f t="shared" ca="1" si="128"/>
        <v>0</v>
      </c>
      <c r="FI196" s="58">
        <f t="shared" ca="1" si="128"/>
        <v>0</v>
      </c>
      <c r="FJ196" s="58">
        <f t="shared" ca="1" si="128"/>
        <v>0</v>
      </c>
      <c r="FK196" s="58">
        <f t="shared" ca="1" si="128"/>
        <v>0</v>
      </c>
      <c r="FL196" s="58">
        <f t="shared" ca="1" si="128"/>
        <v>0</v>
      </c>
      <c r="FM196" s="58">
        <f t="shared" ca="1" si="128"/>
        <v>0</v>
      </c>
      <c r="FN196" s="58">
        <f t="shared" ca="1" si="128"/>
        <v>0</v>
      </c>
      <c r="FO196" s="13"/>
    </row>
    <row r="197" spans="1:171" outlineLevel="1" x14ac:dyDescent="0.3">
      <c r="A197" s="13"/>
      <c r="B197" s="13"/>
      <c r="C197" s="13"/>
      <c r="D197" s="52">
        <f t="shared" si="31"/>
        <v>40756</v>
      </c>
      <c r="E197" s="53">
        <f t="shared" si="32"/>
        <v>2011</v>
      </c>
      <c r="F197" s="53">
        <f t="shared" si="33"/>
        <v>-29</v>
      </c>
      <c r="G197" s="58">
        <f t="shared" ref="G197:AL197" ca="1" si="129">+IF(OR($F197+G$175&lt;1,(G$176-1)*12&lt;-$F197),0,OFFSET(G27,0,$F197))</f>
        <v>0</v>
      </c>
      <c r="H197" s="58">
        <f t="shared" ca="1" si="129"/>
        <v>0</v>
      </c>
      <c r="I197" s="58">
        <f t="shared" ca="1" si="129"/>
        <v>0</v>
      </c>
      <c r="J197" s="58">
        <f t="shared" ca="1" si="129"/>
        <v>0</v>
      </c>
      <c r="K197" s="58">
        <f t="shared" ca="1" si="129"/>
        <v>0</v>
      </c>
      <c r="L197" s="58">
        <f t="shared" ca="1" si="129"/>
        <v>0</v>
      </c>
      <c r="M197" s="58">
        <f t="shared" ca="1" si="129"/>
        <v>0</v>
      </c>
      <c r="N197" s="58">
        <f t="shared" ca="1" si="129"/>
        <v>0</v>
      </c>
      <c r="O197" s="58">
        <f t="shared" ca="1" si="129"/>
        <v>0</v>
      </c>
      <c r="P197" s="58">
        <f t="shared" ca="1" si="129"/>
        <v>0</v>
      </c>
      <c r="Q197" s="58">
        <f t="shared" ca="1" si="129"/>
        <v>0</v>
      </c>
      <c r="R197" s="58">
        <f t="shared" ca="1" si="129"/>
        <v>0</v>
      </c>
      <c r="S197" s="58">
        <f t="shared" ca="1" si="129"/>
        <v>0</v>
      </c>
      <c r="T197" s="58">
        <f t="shared" ca="1" si="129"/>
        <v>0</v>
      </c>
      <c r="U197" s="58">
        <f t="shared" ca="1" si="129"/>
        <v>0</v>
      </c>
      <c r="V197" s="58">
        <f t="shared" ca="1" si="129"/>
        <v>0</v>
      </c>
      <c r="W197" s="58">
        <f t="shared" ca="1" si="129"/>
        <v>0</v>
      </c>
      <c r="X197" s="58">
        <f t="shared" ca="1" si="129"/>
        <v>0</v>
      </c>
      <c r="Y197" s="58">
        <f t="shared" ca="1" si="129"/>
        <v>0</v>
      </c>
      <c r="Z197" s="58">
        <f t="shared" ca="1" si="129"/>
        <v>0</v>
      </c>
      <c r="AA197" s="58">
        <f t="shared" ca="1" si="129"/>
        <v>0</v>
      </c>
      <c r="AB197" s="58">
        <f t="shared" ca="1" si="129"/>
        <v>0</v>
      </c>
      <c r="AC197" s="58">
        <f t="shared" ca="1" si="129"/>
        <v>0</v>
      </c>
      <c r="AD197" s="58">
        <f t="shared" ca="1" si="129"/>
        <v>0</v>
      </c>
      <c r="AE197" s="58">
        <f t="shared" ca="1" si="129"/>
        <v>0</v>
      </c>
      <c r="AF197" s="58">
        <f t="shared" ca="1" si="129"/>
        <v>0</v>
      </c>
      <c r="AG197" s="58">
        <f t="shared" ca="1" si="129"/>
        <v>0</v>
      </c>
      <c r="AH197" s="58">
        <f t="shared" ca="1" si="129"/>
        <v>0</v>
      </c>
      <c r="AI197" s="58">
        <f t="shared" ca="1" si="129"/>
        <v>0</v>
      </c>
      <c r="AJ197" s="58">
        <f t="shared" ca="1" si="129"/>
        <v>0</v>
      </c>
      <c r="AK197" s="58">
        <f t="shared" ca="1" si="129"/>
        <v>0</v>
      </c>
      <c r="AL197" s="58">
        <f t="shared" ca="1" si="129"/>
        <v>0</v>
      </c>
      <c r="AM197" s="58">
        <f t="shared" ref="AM197:BR197" ca="1" si="130">+IF(OR($F197+AM$175&lt;1,(AM$176-1)*12&lt;-$F197),0,OFFSET(AM27,0,$F197))</f>
        <v>0</v>
      </c>
      <c r="AN197" s="58">
        <f t="shared" ca="1" si="130"/>
        <v>0</v>
      </c>
      <c r="AO197" s="58">
        <f t="shared" ca="1" si="130"/>
        <v>0</v>
      </c>
      <c r="AP197" s="58">
        <f t="shared" ca="1" si="130"/>
        <v>0</v>
      </c>
      <c r="AQ197" s="58">
        <f t="shared" ca="1" si="130"/>
        <v>0</v>
      </c>
      <c r="AR197" s="58">
        <f t="shared" ca="1" si="130"/>
        <v>0</v>
      </c>
      <c r="AS197" s="58">
        <f t="shared" ca="1" si="130"/>
        <v>0</v>
      </c>
      <c r="AT197" s="58">
        <f t="shared" ca="1" si="130"/>
        <v>0</v>
      </c>
      <c r="AU197" s="58">
        <f t="shared" ca="1" si="130"/>
        <v>0</v>
      </c>
      <c r="AV197" s="58">
        <f t="shared" ca="1" si="130"/>
        <v>0</v>
      </c>
      <c r="AW197" s="58">
        <f t="shared" ca="1" si="130"/>
        <v>0</v>
      </c>
      <c r="AX197" s="58">
        <f t="shared" ca="1" si="130"/>
        <v>0</v>
      </c>
      <c r="AY197" s="58">
        <f t="shared" ca="1" si="130"/>
        <v>0</v>
      </c>
      <c r="AZ197" s="58">
        <f t="shared" ca="1" si="130"/>
        <v>0</v>
      </c>
      <c r="BA197" s="58">
        <f t="shared" ca="1" si="130"/>
        <v>0</v>
      </c>
      <c r="BB197" s="58">
        <f t="shared" ca="1" si="130"/>
        <v>0</v>
      </c>
      <c r="BC197" s="58">
        <f t="shared" ca="1" si="130"/>
        <v>0</v>
      </c>
      <c r="BD197" s="58">
        <f t="shared" ca="1" si="130"/>
        <v>0</v>
      </c>
      <c r="BE197" s="58">
        <f t="shared" ca="1" si="130"/>
        <v>0</v>
      </c>
      <c r="BF197" s="58">
        <f t="shared" ca="1" si="130"/>
        <v>0</v>
      </c>
      <c r="BG197" s="58">
        <f t="shared" ca="1" si="130"/>
        <v>0</v>
      </c>
      <c r="BH197" s="58">
        <f t="shared" ca="1" si="130"/>
        <v>0</v>
      </c>
      <c r="BI197" s="58">
        <f t="shared" ca="1" si="130"/>
        <v>0</v>
      </c>
      <c r="BJ197" s="58">
        <f t="shared" ca="1" si="130"/>
        <v>0</v>
      </c>
      <c r="BK197" s="58">
        <f t="shared" ca="1" si="130"/>
        <v>0</v>
      </c>
      <c r="BL197" s="58">
        <f t="shared" ca="1" si="130"/>
        <v>0</v>
      </c>
      <c r="BM197" s="58">
        <f t="shared" ca="1" si="130"/>
        <v>0</v>
      </c>
      <c r="BN197" s="58">
        <f t="shared" ca="1" si="130"/>
        <v>0</v>
      </c>
      <c r="BO197" s="58">
        <f t="shared" ca="1" si="130"/>
        <v>0</v>
      </c>
      <c r="BP197" s="58">
        <f t="shared" ca="1" si="130"/>
        <v>0</v>
      </c>
      <c r="BQ197" s="58">
        <f t="shared" ca="1" si="130"/>
        <v>0</v>
      </c>
      <c r="BR197" s="58">
        <f t="shared" ca="1" si="130"/>
        <v>0</v>
      </c>
      <c r="BS197" s="58">
        <f t="shared" ref="BS197:CX197" ca="1" si="131">+IF(OR($F197+BS$175&lt;1,(BS$176-1)*12&lt;-$F197),0,OFFSET(BS27,0,$F197))</f>
        <v>0</v>
      </c>
      <c r="BT197" s="58">
        <f t="shared" ca="1" si="131"/>
        <v>0</v>
      </c>
      <c r="BU197" s="58">
        <f t="shared" ca="1" si="131"/>
        <v>0</v>
      </c>
      <c r="BV197" s="58">
        <f t="shared" ca="1" si="131"/>
        <v>0</v>
      </c>
      <c r="BW197" s="58">
        <f t="shared" ca="1" si="131"/>
        <v>0</v>
      </c>
      <c r="BX197" s="58">
        <f t="shared" ca="1" si="131"/>
        <v>0</v>
      </c>
      <c r="BY197" s="58">
        <f t="shared" ca="1" si="131"/>
        <v>0</v>
      </c>
      <c r="BZ197" s="58">
        <f t="shared" ca="1" si="131"/>
        <v>0</v>
      </c>
      <c r="CA197" s="58">
        <f t="shared" ca="1" si="131"/>
        <v>0</v>
      </c>
      <c r="CB197" s="58">
        <f t="shared" ca="1" si="131"/>
        <v>0</v>
      </c>
      <c r="CC197" s="58">
        <f t="shared" ca="1" si="131"/>
        <v>0</v>
      </c>
      <c r="CD197" s="58">
        <f t="shared" ca="1" si="131"/>
        <v>0</v>
      </c>
      <c r="CE197" s="58">
        <f t="shared" ca="1" si="131"/>
        <v>0</v>
      </c>
      <c r="CF197" s="58">
        <f t="shared" ca="1" si="131"/>
        <v>0</v>
      </c>
      <c r="CG197" s="58">
        <f t="shared" ca="1" si="131"/>
        <v>0</v>
      </c>
      <c r="CH197" s="58">
        <f t="shared" ca="1" si="131"/>
        <v>0</v>
      </c>
      <c r="CI197" s="58">
        <f t="shared" ca="1" si="131"/>
        <v>0</v>
      </c>
      <c r="CJ197" s="58">
        <f t="shared" ca="1" si="131"/>
        <v>0</v>
      </c>
      <c r="CK197" s="58">
        <f t="shared" ca="1" si="131"/>
        <v>0</v>
      </c>
      <c r="CL197" s="58">
        <f t="shared" ca="1" si="131"/>
        <v>0</v>
      </c>
      <c r="CM197" s="58">
        <f t="shared" ca="1" si="131"/>
        <v>0</v>
      </c>
      <c r="CN197" s="58">
        <f t="shared" ca="1" si="131"/>
        <v>0</v>
      </c>
      <c r="CO197" s="58">
        <f t="shared" ca="1" si="131"/>
        <v>0</v>
      </c>
      <c r="CP197" s="58">
        <f t="shared" ca="1" si="131"/>
        <v>0</v>
      </c>
      <c r="CQ197" s="58">
        <f t="shared" ca="1" si="131"/>
        <v>0</v>
      </c>
      <c r="CR197" s="58">
        <f t="shared" ca="1" si="131"/>
        <v>0</v>
      </c>
      <c r="CS197" s="58">
        <f t="shared" ca="1" si="131"/>
        <v>0</v>
      </c>
      <c r="CT197" s="58">
        <f t="shared" ca="1" si="131"/>
        <v>0</v>
      </c>
      <c r="CU197" s="58">
        <f t="shared" ca="1" si="131"/>
        <v>0</v>
      </c>
      <c r="CV197" s="58">
        <f t="shared" ca="1" si="131"/>
        <v>0</v>
      </c>
      <c r="CW197" s="58">
        <f t="shared" ca="1" si="131"/>
        <v>0</v>
      </c>
      <c r="CX197" s="58">
        <f t="shared" ca="1" si="131"/>
        <v>0</v>
      </c>
      <c r="CY197" s="58">
        <f t="shared" ref="CY197:ED197" ca="1" si="132">+IF(OR($F197+CY$175&lt;1,(CY$176-1)*12&lt;-$F197),0,OFFSET(CY27,0,$F197))</f>
        <v>0</v>
      </c>
      <c r="CZ197" s="58">
        <f t="shared" ca="1" si="132"/>
        <v>0</v>
      </c>
      <c r="DA197" s="58">
        <f t="shared" ca="1" si="132"/>
        <v>0</v>
      </c>
      <c r="DB197" s="58">
        <f t="shared" ca="1" si="132"/>
        <v>0</v>
      </c>
      <c r="DC197" s="58">
        <f t="shared" ca="1" si="132"/>
        <v>0</v>
      </c>
      <c r="DD197" s="58">
        <f t="shared" ca="1" si="132"/>
        <v>0</v>
      </c>
      <c r="DE197" s="58">
        <f t="shared" ca="1" si="132"/>
        <v>0</v>
      </c>
      <c r="DF197" s="58">
        <f t="shared" ca="1" si="132"/>
        <v>0</v>
      </c>
      <c r="DG197" s="58">
        <f t="shared" ca="1" si="132"/>
        <v>0</v>
      </c>
      <c r="DH197" s="58">
        <f t="shared" ca="1" si="132"/>
        <v>0</v>
      </c>
      <c r="DI197" s="58">
        <f t="shared" ca="1" si="132"/>
        <v>0</v>
      </c>
      <c r="DJ197" s="58">
        <f t="shared" ca="1" si="132"/>
        <v>0</v>
      </c>
      <c r="DK197" s="58">
        <f t="shared" ca="1" si="132"/>
        <v>0</v>
      </c>
      <c r="DL197" s="58">
        <f t="shared" ca="1" si="132"/>
        <v>0</v>
      </c>
      <c r="DM197" s="58">
        <f t="shared" ca="1" si="132"/>
        <v>0</v>
      </c>
      <c r="DN197" s="58">
        <f t="shared" ca="1" si="132"/>
        <v>0</v>
      </c>
      <c r="DO197" s="58">
        <f t="shared" ca="1" si="132"/>
        <v>0</v>
      </c>
      <c r="DP197" s="58">
        <f t="shared" ca="1" si="132"/>
        <v>0</v>
      </c>
      <c r="DQ197" s="58">
        <f t="shared" ca="1" si="132"/>
        <v>0</v>
      </c>
      <c r="DR197" s="58">
        <f t="shared" ca="1" si="132"/>
        <v>0</v>
      </c>
      <c r="DS197" s="58">
        <f t="shared" ca="1" si="132"/>
        <v>0</v>
      </c>
      <c r="DT197" s="58">
        <f t="shared" ca="1" si="132"/>
        <v>0</v>
      </c>
      <c r="DU197" s="58">
        <f t="shared" ca="1" si="132"/>
        <v>0</v>
      </c>
      <c r="DV197" s="58">
        <f t="shared" ca="1" si="132"/>
        <v>0</v>
      </c>
      <c r="DW197" s="58">
        <f t="shared" ca="1" si="132"/>
        <v>0</v>
      </c>
      <c r="DX197" s="58">
        <f t="shared" ca="1" si="132"/>
        <v>0</v>
      </c>
      <c r="DY197" s="58">
        <f t="shared" ca="1" si="132"/>
        <v>0</v>
      </c>
      <c r="DZ197" s="58">
        <f t="shared" ca="1" si="132"/>
        <v>0</v>
      </c>
      <c r="EA197" s="58">
        <f t="shared" ca="1" si="132"/>
        <v>0</v>
      </c>
      <c r="EB197" s="58">
        <f t="shared" ca="1" si="132"/>
        <v>0</v>
      </c>
      <c r="EC197" s="58">
        <f t="shared" ca="1" si="132"/>
        <v>0</v>
      </c>
      <c r="ED197" s="58">
        <f t="shared" ca="1" si="132"/>
        <v>0</v>
      </c>
      <c r="EE197" s="58">
        <f t="shared" ref="EE197:FN197" ca="1" si="133">+IF(OR($F197+EE$175&lt;1,(EE$176-1)*12&lt;-$F197),0,OFFSET(EE27,0,$F197))</f>
        <v>0</v>
      </c>
      <c r="EF197" s="58">
        <f t="shared" ca="1" si="133"/>
        <v>0</v>
      </c>
      <c r="EG197" s="58">
        <f t="shared" ca="1" si="133"/>
        <v>0</v>
      </c>
      <c r="EH197" s="58">
        <f t="shared" ca="1" si="133"/>
        <v>0</v>
      </c>
      <c r="EI197" s="58">
        <f t="shared" ca="1" si="133"/>
        <v>0</v>
      </c>
      <c r="EJ197" s="58">
        <f t="shared" ca="1" si="133"/>
        <v>0</v>
      </c>
      <c r="EK197" s="58">
        <f t="shared" ca="1" si="133"/>
        <v>0</v>
      </c>
      <c r="EL197" s="58">
        <f t="shared" ca="1" si="133"/>
        <v>0</v>
      </c>
      <c r="EM197" s="58">
        <f t="shared" ca="1" si="133"/>
        <v>0</v>
      </c>
      <c r="EN197" s="58">
        <f t="shared" ca="1" si="133"/>
        <v>0</v>
      </c>
      <c r="EO197" s="58">
        <f t="shared" ca="1" si="133"/>
        <v>0</v>
      </c>
      <c r="EP197" s="58">
        <f t="shared" ca="1" si="133"/>
        <v>0</v>
      </c>
      <c r="EQ197" s="58">
        <f t="shared" ca="1" si="133"/>
        <v>0</v>
      </c>
      <c r="ER197" s="58">
        <f t="shared" ca="1" si="133"/>
        <v>0</v>
      </c>
      <c r="ES197" s="58">
        <f t="shared" ca="1" si="133"/>
        <v>0</v>
      </c>
      <c r="ET197" s="58">
        <f t="shared" ca="1" si="133"/>
        <v>0</v>
      </c>
      <c r="EU197" s="58">
        <f t="shared" ca="1" si="133"/>
        <v>0</v>
      </c>
      <c r="EV197" s="58">
        <f t="shared" ca="1" si="133"/>
        <v>0</v>
      </c>
      <c r="EW197" s="58">
        <f t="shared" ca="1" si="133"/>
        <v>0</v>
      </c>
      <c r="EX197" s="58">
        <f t="shared" ca="1" si="133"/>
        <v>0</v>
      </c>
      <c r="EY197" s="58">
        <f t="shared" ca="1" si="133"/>
        <v>0</v>
      </c>
      <c r="EZ197" s="58">
        <f t="shared" ca="1" si="133"/>
        <v>0</v>
      </c>
      <c r="FA197" s="58">
        <f t="shared" ca="1" si="133"/>
        <v>0</v>
      </c>
      <c r="FB197" s="58">
        <f t="shared" ca="1" si="133"/>
        <v>0</v>
      </c>
      <c r="FC197" s="58">
        <f t="shared" ca="1" si="133"/>
        <v>0</v>
      </c>
      <c r="FD197" s="58">
        <f t="shared" ca="1" si="133"/>
        <v>0</v>
      </c>
      <c r="FE197" s="58">
        <f t="shared" ca="1" si="133"/>
        <v>0</v>
      </c>
      <c r="FF197" s="58">
        <f t="shared" ca="1" si="133"/>
        <v>0</v>
      </c>
      <c r="FG197" s="58">
        <f t="shared" ca="1" si="133"/>
        <v>0</v>
      </c>
      <c r="FH197" s="58">
        <f t="shared" ca="1" si="133"/>
        <v>0</v>
      </c>
      <c r="FI197" s="58">
        <f t="shared" ca="1" si="133"/>
        <v>0</v>
      </c>
      <c r="FJ197" s="58">
        <f t="shared" ca="1" si="133"/>
        <v>0</v>
      </c>
      <c r="FK197" s="58">
        <f t="shared" ca="1" si="133"/>
        <v>0</v>
      </c>
      <c r="FL197" s="58">
        <f t="shared" ca="1" si="133"/>
        <v>0</v>
      </c>
      <c r="FM197" s="58">
        <f t="shared" ca="1" si="133"/>
        <v>0</v>
      </c>
      <c r="FN197" s="58">
        <f t="shared" ca="1" si="133"/>
        <v>0</v>
      </c>
      <c r="FO197" s="13"/>
    </row>
    <row r="198" spans="1:171" outlineLevel="1" x14ac:dyDescent="0.3">
      <c r="A198" s="13"/>
      <c r="B198" s="13"/>
      <c r="C198" s="13"/>
      <c r="D198" s="52">
        <f t="shared" si="31"/>
        <v>40787</v>
      </c>
      <c r="E198" s="53">
        <f t="shared" si="32"/>
        <v>2011</v>
      </c>
      <c r="F198" s="53">
        <f t="shared" si="33"/>
        <v>-28</v>
      </c>
      <c r="G198" s="58">
        <f t="shared" ref="G198:AL198" ca="1" si="134">+IF(OR($F198+G$175&lt;1,(G$176-1)*12&lt;-$F198),0,OFFSET(G28,0,$F198))</f>
        <v>0</v>
      </c>
      <c r="H198" s="58">
        <f t="shared" ca="1" si="134"/>
        <v>0</v>
      </c>
      <c r="I198" s="58">
        <f t="shared" ca="1" si="134"/>
        <v>0</v>
      </c>
      <c r="J198" s="58">
        <f t="shared" ca="1" si="134"/>
        <v>0</v>
      </c>
      <c r="K198" s="58">
        <f t="shared" ca="1" si="134"/>
        <v>0</v>
      </c>
      <c r="L198" s="58">
        <f t="shared" ca="1" si="134"/>
        <v>0</v>
      </c>
      <c r="M198" s="58">
        <f t="shared" ca="1" si="134"/>
        <v>0</v>
      </c>
      <c r="N198" s="58">
        <f t="shared" ca="1" si="134"/>
        <v>0</v>
      </c>
      <c r="O198" s="58">
        <f t="shared" ca="1" si="134"/>
        <v>0</v>
      </c>
      <c r="P198" s="58">
        <f t="shared" ca="1" si="134"/>
        <v>0</v>
      </c>
      <c r="Q198" s="58">
        <f t="shared" ca="1" si="134"/>
        <v>0</v>
      </c>
      <c r="R198" s="58">
        <f t="shared" ca="1" si="134"/>
        <v>0</v>
      </c>
      <c r="S198" s="58">
        <f t="shared" ca="1" si="134"/>
        <v>0</v>
      </c>
      <c r="T198" s="58">
        <f t="shared" ca="1" si="134"/>
        <v>0</v>
      </c>
      <c r="U198" s="58">
        <f t="shared" ca="1" si="134"/>
        <v>0</v>
      </c>
      <c r="V198" s="58">
        <f t="shared" ca="1" si="134"/>
        <v>0</v>
      </c>
      <c r="W198" s="58">
        <f t="shared" ca="1" si="134"/>
        <v>0</v>
      </c>
      <c r="X198" s="58">
        <f t="shared" ca="1" si="134"/>
        <v>0</v>
      </c>
      <c r="Y198" s="58">
        <f t="shared" ca="1" si="134"/>
        <v>0</v>
      </c>
      <c r="Z198" s="58">
        <f t="shared" ca="1" si="134"/>
        <v>0</v>
      </c>
      <c r="AA198" s="58">
        <f t="shared" ca="1" si="134"/>
        <v>0</v>
      </c>
      <c r="AB198" s="58">
        <f t="shared" ca="1" si="134"/>
        <v>0</v>
      </c>
      <c r="AC198" s="58">
        <f t="shared" ca="1" si="134"/>
        <v>0</v>
      </c>
      <c r="AD198" s="58">
        <f t="shared" ca="1" si="134"/>
        <v>0</v>
      </c>
      <c r="AE198" s="58">
        <f t="shared" ca="1" si="134"/>
        <v>0</v>
      </c>
      <c r="AF198" s="58">
        <f t="shared" ca="1" si="134"/>
        <v>0</v>
      </c>
      <c r="AG198" s="58">
        <f t="shared" ca="1" si="134"/>
        <v>0</v>
      </c>
      <c r="AH198" s="58">
        <f t="shared" ca="1" si="134"/>
        <v>0</v>
      </c>
      <c r="AI198" s="58">
        <f t="shared" ca="1" si="134"/>
        <v>0</v>
      </c>
      <c r="AJ198" s="58">
        <f t="shared" ca="1" si="134"/>
        <v>0</v>
      </c>
      <c r="AK198" s="58">
        <f t="shared" ca="1" si="134"/>
        <v>0</v>
      </c>
      <c r="AL198" s="58">
        <f t="shared" ca="1" si="134"/>
        <v>0</v>
      </c>
      <c r="AM198" s="58">
        <f t="shared" ref="AM198:BR198" ca="1" si="135">+IF(OR($F198+AM$175&lt;1,(AM$176-1)*12&lt;-$F198),0,OFFSET(AM28,0,$F198))</f>
        <v>0</v>
      </c>
      <c r="AN198" s="58">
        <f t="shared" ca="1" si="135"/>
        <v>0</v>
      </c>
      <c r="AO198" s="58">
        <f t="shared" ca="1" si="135"/>
        <v>0</v>
      </c>
      <c r="AP198" s="58">
        <f t="shared" ca="1" si="135"/>
        <v>0</v>
      </c>
      <c r="AQ198" s="58">
        <f t="shared" ca="1" si="135"/>
        <v>0</v>
      </c>
      <c r="AR198" s="58">
        <f t="shared" ca="1" si="135"/>
        <v>0</v>
      </c>
      <c r="AS198" s="58">
        <f t="shared" ca="1" si="135"/>
        <v>0</v>
      </c>
      <c r="AT198" s="58">
        <f t="shared" ca="1" si="135"/>
        <v>0</v>
      </c>
      <c r="AU198" s="58">
        <f t="shared" ca="1" si="135"/>
        <v>0</v>
      </c>
      <c r="AV198" s="58">
        <f t="shared" ca="1" si="135"/>
        <v>0</v>
      </c>
      <c r="AW198" s="58">
        <f t="shared" ca="1" si="135"/>
        <v>0</v>
      </c>
      <c r="AX198" s="58">
        <f t="shared" ca="1" si="135"/>
        <v>0</v>
      </c>
      <c r="AY198" s="58">
        <f t="shared" ca="1" si="135"/>
        <v>0</v>
      </c>
      <c r="AZ198" s="58">
        <f t="shared" ca="1" si="135"/>
        <v>0</v>
      </c>
      <c r="BA198" s="58">
        <f t="shared" ca="1" si="135"/>
        <v>0</v>
      </c>
      <c r="BB198" s="58">
        <f t="shared" ca="1" si="135"/>
        <v>0</v>
      </c>
      <c r="BC198" s="58">
        <f t="shared" ca="1" si="135"/>
        <v>0</v>
      </c>
      <c r="BD198" s="58">
        <f t="shared" ca="1" si="135"/>
        <v>0</v>
      </c>
      <c r="BE198" s="58">
        <f t="shared" ca="1" si="135"/>
        <v>0</v>
      </c>
      <c r="BF198" s="58">
        <f t="shared" ca="1" si="135"/>
        <v>0</v>
      </c>
      <c r="BG198" s="58">
        <f t="shared" ca="1" si="135"/>
        <v>0</v>
      </c>
      <c r="BH198" s="58">
        <f t="shared" ca="1" si="135"/>
        <v>0</v>
      </c>
      <c r="BI198" s="58">
        <f t="shared" ca="1" si="135"/>
        <v>0</v>
      </c>
      <c r="BJ198" s="58">
        <f t="shared" ca="1" si="135"/>
        <v>0</v>
      </c>
      <c r="BK198" s="58">
        <f t="shared" ca="1" si="135"/>
        <v>0</v>
      </c>
      <c r="BL198" s="58">
        <f t="shared" ca="1" si="135"/>
        <v>0</v>
      </c>
      <c r="BM198" s="58">
        <f t="shared" ca="1" si="135"/>
        <v>0</v>
      </c>
      <c r="BN198" s="58">
        <f t="shared" ca="1" si="135"/>
        <v>0</v>
      </c>
      <c r="BO198" s="58">
        <f t="shared" ca="1" si="135"/>
        <v>0</v>
      </c>
      <c r="BP198" s="58">
        <f t="shared" ca="1" si="135"/>
        <v>0</v>
      </c>
      <c r="BQ198" s="58">
        <f t="shared" ca="1" si="135"/>
        <v>0</v>
      </c>
      <c r="BR198" s="58">
        <f t="shared" ca="1" si="135"/>
        <v>0</v>
      </c>
      <c r="BS198" s="58">
        <f t="shared" ref="BS198:CX198" ca="1" si="136">+IF(OR($F198+BS$175&lt;1,(BS$176-1)*12&lt;-$F198),0,OFFSET(BS28,0,$F198))</f>
        <v>0</v>
      </c>
      <c r="BT198" s="58">
        <f t="shared" ca="1" si="136"/>
        <v>0</v>
      </c>
      <c r="BU198" s="58">
        <f t="shared" ca="1" si="136"/>
        <v>0</v>
      </c>
      <c r="BV198" s="58">
        <f t="shared" ca="1" si="136"/>
        <v>0</v>
      </c>
      <c r="BW198" s="58">
        <f t="shared" ca="1" si="136"/>
        <v>0</v>
      </c>
      <c r="BX198" s="58">
        <f t="shared" ca="1" si="136"/>
        <v>0</v>
      </c>
      <c r="BY198" s="58">
        <f t="shared" ca="1" si="136"/>
        <v>0</v>
      </c>
      <c r="BZ198" s="58">
        <f t="shared" ca="1" si="136"/>
        <v>0</v>
      </c>
      <c r="CA198" s="58">
        <f t="shared" ca="1" si="136"/>
        <v>0</v>
      </c>
      <c r="CB198" s="58">
        <f t="shared" ca="1" si="136"/>
        <v>0</v>
      </c>
      <c r="CC198" s="58">
        <f t="shared" ca="1" si="136"/>
        <v>0</v>
      </c>
      <c r="CD198" s="58">
        <f t="shared" ca="1" si="136"/>
        <v>0</v>
      </c>
      <c r="CE198" s="58">
        <f t="shared" ca="1" si="136"/>
        <v>0</v>
      </c>
      <c r="CF198" s="58">
        <f t="shared" ca="1" si="136"/>
        <v>0</v>
      </c>
      <c r="CG198" s="58">
        <f t="shared" ca="1" si="136"/>
        <v>0</v>
      </c>
      <c r="CH198" s="58">
        <f t="shared" ca="1" si="136"/>
        <v>0</v>
      </c>
      <c r="CI198" s="58">
        <f t="shared" ca="1" si="136"/>
        <v>0</v>
      </c>
      <c r="CJ198" s="58">
        <f t="shared" ca="1" si="136"/>
        <v>0</v>
      </c>
      <c r="CK198" s="58">
        <f t="shared" ca="1" si="136"/>
        <v>0</v>
      </c>
      <c r="CL198" s="58">
        <f t="shared" ca="1" si="136"/>
        <v>0</v>
      </c>
      <c r="CM198" s="58">
        <f t="shared" ca="1" si="136"/>
        <v>0</v>
      </c>
      <c r="CN198" s="58">
        <f t="shared" ca="1" si="136"/>
        <v>0</v>
      </c>
      <c r="CO198" s="58">
        <f t="shared" ca="1" si="136"/>
        <v>0</v>
      </c>
      <c r="CP198" s="58">
        <f t="shared" ca="1" si="136"/>
        <v>0</v>
      </c>
      <c r="CQ198" s="58">
        <f t="shared" ca="1" si="136"/>
        <v>0</v>
      </c>
      <c r="CR198" s="58">
        <f t="shared" ca="1" si="136"/>
        <v>0</v>
      </c>
      <c r="CS198" s="58">
        <f t="shared" ca="1" si="136"/>
        <v>0</v>
      </c>
      <c r="CT198" s="58">
        <f t="shared" ca="1" si="136"/>
        <v>0</v>
      </c>
      <c r="CU198" s="58">
        <f t="shared" ca="1" si="136"/>
        <v>0</v>
      </c>
      <c r="CV198" s="58">
        <f t="shared" ca="1" si="136"/>
        <v>0</v>
      </c>
      <c r="CW198" s="58">
        <f t="shared" ca="1" si="136"/>
        <v>0</v>
      </c>
      <c r="CX198" s="58">
        <f t="shared" ca="1" si="136"/>
        <v>0</v>
      </c>
      <c r="CY198" s="58">
        <f t="shared" ref="CY198:ED198" ca="1" si="137">+IF(OR($F198+CY$175&lt;1,(CY$176-1)*12&lt;-$F198),0,OFFSET(CY28,0,$F198))</f>
        <v>0</v>
      </c>
      <c r="CZ198" s="58">
        <f t="shared" ca="1" si="137"/>
        <v>0</v>
      </c>
      <c r="DA198" s="58">
        <f t="shared" ca="1" si="137"/>
        <v>0</v>
      </c>
      <c r="DB198" s="58">
        <f t="shared" ca="1" si="137"/>
        <v>0</v>
      </c>
      <c r="DC198" s="58">
        <f t="shared" ca="1" si="137"/>
        <v>0</v>
      </c>
      <c r="DD198" s="58">
        <f t="shared" ca="1" si="137"/>
        <v>0</v>
      </c>
      <c r="DE198" s="58">
        <f t="shared" ca="1" si="137"/>
        <v>0</v>
      </c>
      <c r="DF198" s="58">
        <f t="shared" ca="1" si="137"/>
        <v>0</v>
      </c>
      <c r="DG198" s="58">
        <f t="shared" ca="1" si="137"/>
        <v>0</v>
      </c>
      <c r="DH198" s="58">
        <f t="shared" ca="1" si="137"/>
        <v>0</v>
      </c>
      <c r="DI198" s="58">
        <f t="shared" ca="1" si="137"/>
        <v>0</v>
      </c>
      <c r="DJ198" s="58">
        <f t="shared" ca="1" si="137"/>
        <v>0</v>
      </c>
      <c r="DK198" s="58">
        <f t="shared" ca="1" si="137"/>
        <v>0</v>
      </c>
      <c r="DL198" s="58">
        <f t="shared" ca="1" si="137"/>
        <v>0</v>
      </c>
      <c r="DM198" s="58">
        <f t="shared" ca="1" si="137"/>
        <v>0</v>
      </c>
      <c r="DN198" s="58">
        <f t="shared" ca="1" si="137"/>
        <v>0</v>
      </c>
      <c r="DO198" s="58">
        <f t="shared" ca="1" si="137"/>
        <v>0</v>
      </c>
      <c r="DP198" s="58">
        <f t="shared" ca="1" si="137"/>
        <v>0</v>
      </c>
      <c r="DQ198" s="58">
        <f t="shared" ca="1" si="137"/>
        <v>0</v>
      </c>
      <c r="DR198" s="58">
        <f t="shared" ca="1" si="137"/>
        <v>0</v>
      </c>
      <c r="DS198" s="58">
        <f t="shared" ca="1" si="137"/>
        <v>0</v>
      </c>
      <c r="DT198" s="58">
        <f t="shared" ca="1" si="137"/>
        <v>0</v>
      </c>
      <c r="DU198" s="58">
        <f t="shared" ca="1" si="137"/>
        <v>0</v>
      </c>
      <c r="DV198" s="58">
        <f t="shared" ca="1" si="137"/>
        <v>0</v>
      </c>
      <c r="DW198" s="58">
        <f t="shared" ca="1" si="137"/>
        <v>0</v>
      </c>
      <c r="DX198" s="58">
        <f t="shared" ca="1" si="137"/>
        <v>0</v>
      </c>
      <c r="DY198" s="58">
        <f t="shared" ca="1" si="137"/>
        <v>0</v>
      </c>
      <c r="DZ198" s="58">
        <f t="shared" ca="1" si="137"/>
        <v>0</v>
      </c>
      <c r="EA198" s="58">
        <f t="shared" ca="1" si="137"/>
        <v>0</v>
      </c>
      <c r="EB198" s="58">
        <f t="shared" ca="1" si="137"/>
        <v>0</v>
      </c>
      <c r="EC198" s="58">
        <f t="shared" ca="1" si="137"/>
        <v>0</v>
      </c>
      <c r="ED198" s="58">
        <f t="shared" ca="1" si="137"/>
        <v>0</v>
      </c>
      <c r="EE198" s="58">
        <f t="shared" ref="EE198:FN198" ca="1" si="138">+IF(OR($F198+EE$175&lt;1,(EE$176-1)*12&lt;-$F198),0,OFFSET(EE28,0,$F198))</f>
        <v>0</v>
      </c>
      <c r="EF198" s="58">
        <f t="shared" ca="1" si="138"/>
        <v>0</v>
      </c>
      <c r="EG198" s="58">
        <f t="shared" ca="1" si="138"/>
        <v>0</v>
      </c>
      <c r="EH198" s="58">
        <f t="shared" ca="1" si="138"/>
        <v>0</v>
      </c>
      <c r="EI198" s="58">
        <f t="shared" ca="1" si="138"/>
        <v>0</v>
      </c>
      <c r="EJ198" s="58">
        <f t="shared" ca="1" si="138"/>
        <v>0</v>
      </c>
      <c r="EK198" s="58">
        <f t="shared" ca="1" si="138"/>
        <v>0</v>
      </c>
      <c r="EL198" s="58">
        <f t="shared" ca="1" si="138"/>
        <v>0</v>
      </c>
      <c r="EM198" s="58">
        <f t="shared" ca="1" si="138"/>
        <v>0</v>
      </c>
      <c r="EN198" s="58">
        <f t="shared" ca="1" si="138"/>
        <v>0</v>
      </c>
      <c r="EO198" s="58">
        <f t="shared" ca="1" si="138"/>
        <v>0</v>
      </c>
      <c r="EP198" s="58">
        <f t="shared" ca="1" si="138"/>
        <v>0</v>
      </c>
      <c r="EQ198" s="58">
        <f t="shared" ca="1" si="138"/>
        <v>0</v>
      </c>
      <c r="ER198" s="58">
        <f t="shared" ca="1" si="138"/>
        <v>0</v>
      </c>
      <c r="ES198" s="58">
        <f t="shared" ca="1" si="138"/>
        <v>0</v>
      </c>
      <c r="ET198" s="58">
        <f t="shared" ca="1" si="138"/>
        <v>0</v>
      </c>
      <c r="EU198" s="58">
        <f t="shared" ca="1" si="138"/>
        <v>0</v>
      </c>
      <c r="EV198" s="58">
        <f t="shared" ca="1" si="138"/>
        <v>0</v>
      </c>
      <c r="EW198" s="58">
        <f t="shared" ca="1" si="138"/>
        <v>0</v>
      </c>
      <c r="EX198" s="58">
        <f t="shared" ca="1" si="138"/>
        <v>0</v>
      </c>
      <c r="EY198" s="58">
        <f t="shared" ca="1" si="138"/>
        <v>0</v>
      </c>
      <c r="EZ198" s="58">
        <f t="shared" ca="1" si="138"/>
        <v>0</v>
      </c>
      <c r="FA198" s="58">
        <f t="shared" ca="1" si="138"/>
        <v>0</v>
      </c>
      <c r="FB198" s="58">
        <f t="shared" ca="1" si="138"/>
        <v>0</v>
      </c>
      <c r="FC198" s="58">
        <f t="shared" ca="1" si="138"/>
        <v>0</v>
      </c>
      <c r="FD198" s="58">
        <f t="shared" ca="1" si="138"/>
        <v>0</v>
      </c>
      <c r="FE198" s="58">
        <f t="shared" ca="1" si="138"/>
        <v>0</v>
      </c>
      <c r="FF198" s="58">
        <f t="shared" ca="1" si="138"/>
        <v>0</v>
      </c>
      <c r="FG198" s="58">
        <f t="shared" ca="1" si="138"/>
        <v>0</v>
      </c>
      <c r="FH198" s="58">
        <f t="shared" ca="1" si="138"/>
        <v>0</v>
      </c>
      <c r="FI198" s="58">
        <f t="shared" ca="1" si="138"/>
        <v>0</v>
      </c>
      <c r="FJ198" s="58">
        <f t="shared" ca="1" si="138"/>
        <v>0</v>
      </c>
      <c r="FK198" s="58">
        <f t="shared" ca="1" si="138"/>
        <v>0</v>
      </c>
      <c r="FL198" s="58">
        <f t="shared" ca="1" si="138"/>
        <v>0</v>
      </c>
      <c r="FM198" s="58">
        <f t="shared" ca="1" si="138"/>
        <v>0</v>
      </c>
      <c r="FN198" s="58">
        <f t="shared" ca="1" si="138"/>
        <v>0</v>
      </c>
      <c r="FO198" s="13"/>
    </row>
    <row r="199" spans="1:171" outlineLevel="1" x14ac:dyDescent="0.3">
      <c r="A199" s="13"/>
      <c r="B199" s="13"/>
      <c r="C199" s="13"/>
      <c r="D199" s="52">
        <f t="shared" si="31"/>
        <v>40817</v>
      </c>
      <c r="E199" s="53">
        <f t="shared" si="32"/>
        <v>2011</v>
      </c>
      <c r="F199" s="53">
        <f t="shared" si="33"/>
        <v>-27</v>
      </c>
      <c r="G199" s="58">
        <f t="shared" ref="G199:AL199" ca="1" si="139">+IF(OR($F199+G$175&lt;1,(G$176-1)*12&lt;-$F199),0,OFFSET(G29,0,$F199))</f>
        <v>0</v>
      </c>
      <c r="H199" s="58">
        <f t="shared" ca="1" si="139"/>
        <v>0</v>
      </c>
      <c r="I199" s="58">
        <f t="shared" ca="1" si="139"/>
        <v>0</v>
      </c>
      <c r="J199" s="58">
        <f t="shared" ca="1" si="139"/>
        <v>0</v>
      </c>
      <c r="K199" s="58">
        <f t="shared" ca="1" si="139"/>
        <v>0</v>
      </c>
      <c r="L199" s="58">
        <f t="shared" ca="1" si="139"/>
        <v>0</v>
      </c>
      <c r="M199" s="58">
        <f t="shared" ca="1" si="139"/>
        <v>0</v>
      </c>
      <c r="N199" s="58">
        <f t="shared" ca="1" si="139"/>
        <v>0</v>
      </c>
      <c r="O199" s="58">
        <f t="shared" ca="1" si="139"/>
        <v>0</v>
      </c>
      <c r="P199" s="58">
        <f t="shared" ca="1" si="139"/>
        <v>0</v>
      </c>
      <c r="Q199" s="58">
        <f t="shared" ca="1" si="139"/>
        <v>0</v>
      </c>
      <c r="R199" s="58">
        <f t="shared" ca="1" si="139"/>
        <v>0</v>
      </c>
      <c r="S199" s="58">
        <f t="shared" ca="1" si="139"/>
        <v>0</v>
      </c>
      <c r="T199" s="58">
        <f t="shared" ca="1" si="139"/>
        <v>0</v>
      </c>
      <c r="U199" s="58">
        <f t="shared" ca="1" si="139"/>
        <v>0</v>
      </c>
      <c r="V199" s="58">
        <f t="shared" ca="1" si="139"/>
        <v>0</v>
      </c>
      <c r="W199" s="58">
        <f t="shared" ca="1" si="139"/>
        <v>0</v>
      </c>
      <c r="X199" s="58">
        <f t="shared" ca="1" si="139"/>
        <v>0</v>
      </c>
      <c r="Y199" s="58">
        <f t="shared" ca="1" si="139"/>
        <v>0</v>
      </c>
      <c r="Z199" s="58">
        <f t="shared" ca="1" si="139"/>
        <v>0</v>
      </c>
      <c r="AA199" s="58">
        <f t="shared" ca="1" si="139"/>
        <v>0</v>
      </c>
      <c r="AB199" s="58">
        <f t="shared" ca="1" si="139"/>
        <v>0</v>
      </c>
      <c r="AC199" s="58">
        <f t="shared" ca="1" si="139"/>
        <v>0</v>
      </c>
      <c r="AD199" s="58">
        <f t="shared" ca="1" si="139"/>
        <v>0</v>
      </c>
      <c r="AE199" s="58">
        <f t="shared" ca="1" si="139"/>
        <v>0</v>
      </c>
      <c r="AF199" s="58">
        <f t="shared" ca="1" si="139"/>
        <v>0</v>
      </c>
      <c r="AG199" s="58">
        <f t="shared" ca="1" si="139"/>
        <v>0</v>
      </c>
      <c r="AH199" s="58">
        <f t="shared" ca="1" si="139"/>
        <v>0</v>
      </c>
      <c r="AI199" s="58">
        <f t="shared" ca="1" si="139"/>
        <v>0</v>
      </c>
      <c r="AJ199" s="58">
        <f t="shared" ca="1" si="139"/>
        <v>0</v>
      </c>
      <c r="AK199" s="58">
        <f t="shared" ca="1" si="139"/>
        <v>0</v>
      </c>
      <c r="AL199" s="58">
        <f t="shared" ca="1" si="139"/>
        <v>0</v>
      </c>
      <c r="AM199" s="58">
        <f t="shared" ref="AM199:BR199" ca="1" si="140">+IF(OR($F199+AM$175&lt;1,(AM$176-1)*12&lt;-$F199),0,OFFSET(AM29,0,$F199))</f>
        <v>0</v>
      </c>
      <c r="AN199" s="58">
        <f t="shared" ca="1" si="140"/>
        <v>0</v>
      </c>
      <c r="AO199" s="58">
        <f t="shared" ca="1" si="140"/>
        <v>0</v>
      </c>
      <c r="AP199" s="58">
        <f t="shared" ca="1" si="140"/>
        <v>0</v>
      </c>
      <c r="AQ199" s="58">
        <f t="shared" ca="1" si="140"/>
        <v>0</v>
      </c>
      <c r="AR199" s="58">
        <f t="shared" ca="1" si="140"/>
        <v>0</v>
      </c>
      <c r="AS199" s="58">
        <f t="shared" ca="1" si="140"/>
        <v>0</v>
      </c>
      <c r="AT199" s="58">
        <f t="shared" ca="1" si="140"/>
        <v>0</v>
      </c>
      <c r="AU199" s="58">
        <f t="shared" ca="1" si="140"/>
        <v>0</v>
      </c>
      <c r="AV199" s="58">
        <f t="shared" ca="1" si="140"/>
        <v>0</v>
      </c>
      <c r="AW199" s="58">
        <f t="shared" ca="1" si="140"/>
        <v>0</v>
      </c>
      <c r="AX199" s="58">
        <f t="shared" ca="1" si="140"/>
        <v>0</v>
      </c>
      <c r="AY199" s="58">
        <f t="shared" ca="1" si="140"/>
        <v>0</v>
      </c>
      <c r="AZ199" s="58">
        <f t="shared" ca="1" si="140"/>
        <v>0</v>
      </c>
      <c r="BA199" s="58">
        <f t="shared" ca="1" si="140"/>
        <v>0</v>
      </c>
      <c r="BB199" s="58">
        <f t="shared" ca="1" si="140"/>
        <v>0</v>
      </c>
      <c r="BC199" s="58">
        <f t="shared" ca="1" si="140"/>
        <v>0</v>
      </c>
      <c r="BD199" s="58">
        <f t="shared" ca="1" si="140"/>
        <v>0</v>
      </c>
      <c r="BE199" s="58">
        <f t="shared" ca="1" si="140"/>
        <v>0</v>
      </c>
      <c r="BF199" s="58">
        <f t="shared" ca="1" si="140"/>
        <v>0</v>
      </c>
      <c r="BG199" s="58">
        <f t="shared" ca="1" si="140"/>
        <v>0</v>
      </c>
      <c r="BH199" s="58">
        <f t="shared" ca="1" si="140"/>
        <v>0</v>
      </c>
      <c r="BI199" s="58">
        <f t="shared" ca="1" si="140"/>
        <v>0</v>
      </c>
      <c r="BJ199" s="58">
        <f t="shared" ca="1" si="140"/>
        <v>0</v>
      </c>
      <c r="BK199" s="58">
        <f t="shared" ca="1" si="140"/>
        <v>0</v>
      </c>
      <c r="BL199" s="58">
        <f t="shared" ca="1" si="140"/>
        <v>0</v>
      </c>
      <c r="BM199" s="58">
        <f t="shared" ca="1" si="140"/>
        <v>0</v>
      </c>
      <c r="BN199" s="58">
        <f t="shared" ca="1" si="140"/>
        <v>0</v>
      </c>
      <c r="BO199" s="58">
        <f t="shared" ca="1" si="140"/>
        <v>0</v>
      </c>
      <c r="BP199" s="58">
        <f t="shared" ca="1" si="140"/>
        <v>0</v>
      </c>
      <c r="BQ199" s="58">
        <f t="shared" ca="1" si="140"/>
        <v>0</v>
      </c>
      <c r="BR199" s="58">
        <f t="shared" ca="1" si="140"/>
        <v>0</v>
      </c>
      <c r="BS199" s="58">
        <f t="shared" ref="BS199:CX199" ca="1" si="141">+IF(OR($F199+BS$175&lt;1,(BS$176-1)*12&lt;-$F199),0,OFFSET(BS29,0,$F199))</f>
        <v>0</v>
      </c>
      <c r="BT199" s="58">
        <f t="shared" ca="1" si="141"/>
        <v>0</v>
      </c>
      <c r="BU199" s="58">
        <f t="shared" ca="1" si="141"/>
        <v>0</v>
      </c>
      <c r="BV199" s="58">
        <f t="shared" ca="1" si="141"/>
        <v>0</v>
      </c>
      <c r="BW199" s="58">
        <f t="shared" ca="1" si="141"/>
        <v>0</v>
      </c>
      <c r="BX199" s="58">
        <f t="shared" ca="1" si="141"/>
        <v>0</v>
      </c>
      <c r="BY199" s="58">
        <f t="shared" ca="1" si="141"/>
        <v>0</v>
      </c>
      <c r="BZ199" s="58">
        <f t="shared" ca="1" si="141"/>
        <v>0</v>
      </c>
      <c r="CA199" s="58">
        <f t="shared" ca="1" si="141"/>
        <v>0</v>
      </c>
      <c r="CB199" s="58">
        <f t="shared" ca="1" si="141"/>
        <v>0</v>
      </c>
      <c r="CC199" s="58">
        <f t="shared" ca="1" si="141"/>
        <v>0</v>
      </c>
      <c r="CD199" s="58">
        <f t="shared" ca="1" si="141"/>
        <v>0</v>
      </c>
      <c r="CE199" s="58">
        <f t="shared" ca="1" si="141"/>
        <v>0</v>
      </c>
      <c r="CF199" s="58">
        <f t="shared" ca="1" si="141"/>
        <v>0</v>
      </c>
      <c r="CG199" s="58">
        <f t="shared" ca="1" si="141"/>
        <v>0</v>
      </c>
      <c r="CH199" s="58">
        <f t="shared" ca="1" si="141"/>
        <v>0</v>
      </c>
      <c r="CI199" s="58">
        <f t="shared" ca="1" si="141"/>
        <v>0</v>
      </c>
      <c r="CJ199" s="58">
        <f t="shared" ca="1" si="141"/>
        <v>0</v>
      </c>
      <c r="CK199" s="58">
        <f t="shared" ca="1" si="141"/>
        <v>0</v>
      </c>
      <c r="CL199" s="58">
        <f t="shared" ca="1" si="141"/>
        <v>0</v>
      </c>
      <c r="CM199" s="58">
        <f t="shared" ca="1" si="141"/>
        <v>0</v>
      </c>
      <c r="CN199" s="58">
        <f t="shared" ca="1" si="141"/>
        <v>0</v>
      </c>
      <c r="CO199" s="58">
        <f t="shared" ca="1" si="141"/>
        <v>0</v>
      </c>
      <c r="CP199" s="58">
        <f t="shared" ca="1" si="141"/>
        <v>0</v>
      </c>
      <c r="CQ199" s="58">
        <f t="shared" ca="1" si="141"/>
        <v>0</v>
      </c>
      <c r="CR199" s="58">
        <f t="shared" ca="1" si="141"/>
        <v>0</v>
      </c>
      <c r="CS199" s="58">
        <f t="shared" ca="1" si="141"/>
        <v>0</v>
      </c>
      <c r="CT199" s="58">
        <f t="shared" ca="1" si="141"/>
        <v>0</v>
      </c>
      <c r="CU199" s="58">
        <f t="shared" ca="1" si="141"/>
        <v>0</v>
      </c>
      <c r="CV199" s="58">
        <f t="shared" ca="1" si="141"/>
        <v>0</v>
      </c>
      <c r="CW199" s="58">
        <f t="shared" ca="1" si="141"/>
        <v>0</v>
      </c>
      <c r="CX199" s="58">
        <f t="shared" ca="1" si="141"/>
        <v>0</v>
      </c>
      <c r="CY199" s="58">
        <f t="shared" ref="CY199:ED199" ca="1" si="142">+IF(OR($F199+CY$175&lt;1,(CY$176-1)*12&lt;-$F199),0,OFFSET(CY29,0,$F199))</f>
        <v>0</v>
      </c>
      <c r="CZ199" s="58">
        <f t="shared" ca="1" si="142"/>
        <v>0</v>
      </c>
      <c r="DA199" s="58">
        <f t="shared" ca="1" si="142"/>
        <v>0</v>
      </c>
      <c r="DB199" s="58">
        <f t="shared" ca="1" si="142"/>
        <v>0</v>
      </c>
      <c r="DC199" s="58">
        <f t="shared" ca="1" si="142"/>
        <v>0</v>
      </c>
      <c r="DD199" s="58">
        <f t="shared" ca="1" si="142"/>
        <v>0</v>
      </c>
      <c r="DE199" s="58">
        <f t="shared" ca="1" si="142"/>
        <v>0</v>
      </c>
      <c r="DF199" s="58">
        <f t="shared" ca="1" si="142"/>
        <v>0</v>
      </c>
      <c r="DG199" s="58">
        <f t="shared" ca="1" si="142"/>
        <v>0</v>
      </c>
      <c r="DH199" s="58">
        <f t="shared" ca="1" si="142"/>
        <v>0</v>
      </c>
      <c r="DI199" s="58">
        <f t="shared" ca="1" si="142"/>
        <v>0</v>
      </c>
      <c r="DJ199" s="58">
        <f t="shared" ca="1" si="142"/>
        <v>0</v>
      </c>
      <c r="DK199" s="58">
        <f t="shared" ca="1" si="142"/>
        <v>0</v>
      </c>
      <c r="DL199" s="58">
        <f t="shared" ca="1" si="142"/>
        <v>0</v>
      </c>
      <c r="DM199" s="58">
        <f t="shared" ca="1" si="142"/>
        <v>0</v>
      </c>
      <c r="DN199" s="58">
        <f t="shared" ca="1" si="142"/>
        <v>0</v>
      </c>
      <c r="DO199" s="58">
        <f t="shared" ca="1" si="142"/>
        <v>0</v>
      </c>
      <c r="DP199" s="58">
        <f t="shared" ca="1" si="142"/>
        <v>0</v>
      </c>
      <c r="DQ199" s="58">
        <f t="shared" ca="1" si="142"/>
        <v>0</v>
      </c>
      <c r="DR199" s="58">
        <f t="shared" ca="1" si="142"/>
        <v>0</v>
      </c>
      <c r="DS199" s="58">
        <f t="shared" ca="1" si="142"/>
        <v>0</v>
      </c>
      <c r="DT199" s="58">
        <f t="shared" ca="1" si="142"/>
        <v>0</v>
      </c>
      <c r="DU199" s="58">
        <f t="shared" ca="1" si="142"/>
        <v>0</v>
      </c>
      <c r="DV199" s="58">
        <f t="shared" ca="1" si="142"/>
        <v>0</v>
      </c>
      <c r="DW199" s="58">
        <f t="shared" ca="1" si="142"/>
        <v>0</v>
      </c>
      <c r="DX199" s="58">
        <f t="shared" ca="1" si="142"/>
        <v>0</v>
      </c>
      <c r="DY199" s="58">
        <f t="shared" ca="1" si="142"/>
        <v>0</v>
      </c>
      <c r="DZ199" s="58">
        <f t="shared" ca="1" si="142"/>
        <v>0</v>
      </c>
      <c r="EA199" s="58">
        <f t="shared" ca="1" si="142"/>
        <v>0</v>
      </c>
      <c r="EB199" s="58">
        <f t="shared" ca="1" si="142"/>
        <v>0</v>
      </c>
      <c r="EC199" s="58">
        <f t="shared" ca="1" si="142"/>
        <v>0</v>
      </c>
      <c r="ED199" s="58">
        <f t="shared" ca="1" si="142"/>
        <v>0</v>
      </c>
      <c r="EE199" s="58">
        <f t="shared" ref="EE199:FN199" ca="1" si="143">+IF(OR($F199+EE$175&lt;1,(EE$176-1)*12&lt;-$F199),0,OFFSET(EE29,0,$F199))</f>
        <v>0</v>
      </c>
      <c r="EF199" s="58">
        <f t="shared" ca="1" si="143"/>
        <v>0</v>
      </c>
      <c r="EG199" s="58">
        <f t="shared" ca="1" si="143"/>
        <v>0</v>
      </c>
      <c r="EH199" s="58">
        <f t="shared" ca="1" si="143"/>
        <v>0</v>
      </c>
      <c r="EI199" s="58">
        <f t="shared" ca="1" si="143"/>
        <v>0</v>
      </c>
      <c r="EJ199" s="58">
        <f t="shared" ca="1" si="143"/>
        <v>0</v>
      </c>
      <c r="EK199" s="58">
        <f t="shared" ca="1" si="143"/>
        <v>0</v>
      </c>
      <c r="EL199" s="58">
        <f t="shared" ca="1" si="143"/>
        <v>0</v>
      </c>
      <c r="EM199" s="58">
        <f t="shared" ca="1" si="143"/>
        <v>0</v>
      </c>
      <c r="EN199" s="58">
        <f t="shared" ca="1" si="143"/>
        <v>0</v>
      </c>
      <c r="EO199" s="58">
        <f t="shared" ca="1" si="143"/>
        <v>0</v>
      </c>
      <c r="EP199" s="58">
        <f t="shared" ca="1" si="143"/>
        <v>0</v>
      </c>
      <c r="EQ199" s="58">
        <f t="shared" ca="1" si="143"/>
        <v>0</v>
      </c>
      <c r="ER199" s="58">
        <f t="shared" ca="1" si="143"/>
        <v>0</v>
      </c>
      <c r="ES199" s="58">
        <f t="shared" ca="1" si="143"/>
        <v>0</v>
      </c>
      <c r="ET199" s="58">
        <f t="shared" ca="1" si="143"/>
        <v>0</v>
      </c>
      <c r="EU199" s="58">
        <f t="shared" ca="1" si="143"/>
        <v>0</v>
      </c>
      <c r="EV199" s="58">
        <f t="shared" ca="1" si="143"/>
        <v>0</v>
      </c>
      <c r="EW199" s="58">
        <f t="shared" ca="1" si="143"/>
        <v>0</v>
      </c>
      <c r="EX199" s="58">
        <f t="shared" ca="1" si="143"/>
        <v>0</v>
      </c>
      <c r="EY199" s="58">
        <f t="shared" ca="1" si="143"/>
        <v>0</v>
      </c>
      <c r="EZ199" s="58">
        <f t="shared" ca="1" si="143"/>
        <v>0</v>
      </c>
      <c r="FA199" s="58">
        <f t="shared" ca="1" si="143"/>
        <v>0</v>
      </c>
      <c r="FB199" s="58">
        <f t="shared" ca="1" si="143"/>
        <v>0</v>
      </c>
      <c r="FC199" s="58">
        <f t="shared" ca="1" si="143"/>
        <v>0</v>
      </c>
      <c r="FD199" s="58">
        <f t="shared" ca="1" si="143"/>
        <v>0</v>
      </c>
      <c r="FE199" s="58">
        <f t="shared" ca="1" si="143"/>
        <v>0</v>
      </c>
      <c r="FF199" s="58">
        <f t="shared" ca="1" si="143"/>
        <v>0</v>
      </c>
      <c r="FG199" s="58">
        <f t="shared" ca="1" si="143"/>
        <v>0</v>
      </c>
      <c r="FH199" s="58">
        <f t="shared" ca="1" si="143"/>
        <v>0</v>
      </c>
      <c r="FI199" s="58">
        <f t="shared" ca="1" si="143"/>
        <v>0</v>
      </c>
      <c r="FJ199" s="58">
        <f t="shared" ca="1" si="143"/>
        <v>0</v>
      </c>
      <c r="FK199" s="58">
        <f t="shared" ca="1" si="143"/>
        <v>0</v>
      </c>
      <c r="FL199" s="58">
        <f t="shared" ca="1" si="143"/>
        <v>0</v>
      </c>
      <c r="FM199" s="58">
        <f t="shared" ca="1" si="143"/>
        <v>0</v>
      </c>
      <c r="FN199" s="58">
        <f t="shared" ca="1" si="143"/>
        <v>0</v>
      </c>
      <c r="FO199" s="13"/>
    </row>
    <row r="200" spans="1:171" outlineLevel="1" x14ac:dyDescent="0.3">
      <c r="A200" s="13"/>
      <c r="B200" s="13"/>
      <c r="C200" s="13"/>
      <c r="D200" s="52">
        <f t="shared" si="31"/>
        <v>40848</v>
      </c>
      <c r="E200" s="53">
        <f t="shared" si="32"/>
        <v>2011</v>
      </c>
      <c r="F200" s="53">
        <f t="shared" si="33"/>
        <v>-26</v>
      </c>
      <c r="G200" s="58">
        <f t="shared" ref="G200:AL200" ca="1" si="144">+IF(OR($F200+G$175&lt;1,(G$176-1)*12&lt;-$F200),0,OFFSET(G30,0,$F200))</f>
        <v>0</v>
      </c>
      <c r="H200" s="58">
        <f t="shared" ca="1" si="144"/>
        <v>0</v>
      </c>
      <c r="I200" s="58">
        <f t="shared" ca="1" si="144"/>
        <v>0</v>
      </c>
      <c r="J200" s="58">
        <f t="shared" ca="1" si="144"/>
        <v>0</v>
      </c>
      <c r="K200" s="58">
        <f t="shared" ca="1" si="144"/>
        <v>0</v>
      </c>
      <c r="L200" s="58">
        <f t="shared" ca="1" si="144"/>
        <v>0</v>
      </c>
      <c r="M200" s="58">
        <f t="shared" ca="1" si="144"/>
        <v>0</v>
      </c>
      <c r="N200" s="58">
        <f t="shared" ca="1" si="144"/>
        <v>0</v>
      </c>
      <c r="O200" s="58">
        <f t="shared" ca="1" si="144"/>
        <v>0</v>
      </c>
      <c r="P200" s="58">
        <f t="shared" ca="1" si="144"/>
        <v>0</v>
      </c>
      <c r="Q200" s="58">
        <f t="shared" ca="1" si="144"/>
        <v>0</v>
      </c>
      <c r="R200" s="58">
        <f t="shared" ca="1" si="144"/>
        <v>0</v>
      </c>
      <c r="S200" s="58">
        <f t="shared" ca="1" si="144"/>
        <v>0</v>
      </c>
      <c r="T200" s="58">
        <f t="shared" ca="1" si="144"/>
        <v>0</v>
      </c>
      <c r="U200" s="58">
        <f t="shared" ca="1" si="144"/>
        <v>0</v>
      </c>
      <c r="V200" s="58">
        <f t="shared" ca="1" si="144"/>
        <v>0</v>
      </c>
      <c r="W200" s="58">
        <f t="shared" ca="1" si="144"/>
        <v>0</v>
      </c>
      <c r="X200" s="58">
        <f t="shared" ca="1" si="144"/>
        <v>0</v>
      </c>
      <c r="Y200" s="58">
        <f t="shared" ca="1" si="144"/>
        <v>0</v>
      </c>
      <c r="Z200" s="58">
        <f t="shared" ca="1" si="144"/>
        <v>0</v>
      </c>
      <c r="AA200" s="58">
        <f t="shared" ca="1" si="144"/>
        <v>0</v>
      </c>
      <c r="AB200" s="58">
        <f t="shared" ca="1" si="144"/>
        <v>0</v>
      </c>
      <c r="AC200" s="58">
        <f t="shared" ca="1" si="144"/>
        <v>0</v>
      </c>
      <c r="AD200" s="58">
        <f t="shared" ca="1" si="144"/>
        <v>0</v>
      </c>
      <c r="AE200" s="58">
        <f t="shared" ca="1" si="144"/>
        <v>0</v>
      </c>
      <c r="AF200" s="58">
        <f t="shared" ca="1" si="144"/>
        <v>0</v>
      </c>
      <c r="AG200" s="58">
        <f t="shared" ca="1" si="144"/>
        <v>0</v>
      </c>
      <c r="AH200" s="58">
        <f t="shared" ca="1" si="144"/>
        <v>0</v>
      </c>
      <c r="AI200" s="58">
        <f t="shared" ca="1" si="144"/>
        <v>0</v>
      </c>
      <c r="AJ200" s="58">
        <f t="shared" ca="1" si="144"/>
        <v>0</v>
      </c>
      <c r="AK200" s="58">
        <f t="shared" ca="1" si="144"/>
        <v>0</v>
      </c>
      <c r="AL200" s="58">
        <f t="shared" ca="1" si="144"/>
        <v>0</v>
      </c>
      <c r="AM200" s="58">
        <f t="shared" ref="AM200:BR200" ca="1" si="145">+IF(OR($F200+AM$175&lt;1,(AM$176-1)*12&lt;-$F200),0,OFFSET(AM30,0,$F200))</f>
        <v>0</v>
      </c>
      <c r="AN200" s="58">
        <f t="shared" ca="1" si="145"/>
        <v>0</v>
      </c>
      <c r="AO200" s="58">
        <f t="shared" ca="1" si="145"/>
        <v>0</v>
      </c>
      <c r="AP200" s="58">
        <f t="shared" ca="1" si="145"/>
        <v>0</v>
      </c>
      <c r="AQ200" s="58">
        <f t="shared" ca="1" si="145"/>
        <v>0</v>
      </c>
      <c r="AR200" s="58">
        <f t="shared" ca="1" si="145"/>
        <v>0</v>
      </c>
      <c r="AS200" s="58">
        <f t="shared" ca="1" si="145"/>
        <v>0</v>
      </c>
      <c r="AT200" s="58">
        <f t="shared" ca="1" si="145"/>
        <v>0</v>
      </c>
      <c r="AU200" s="58">
        <f t="shared" ca="1" si="145"/>
        <v>0</v>
      </c>
      <c r="AV200" s="58">
        <f t="shared" ca="1" si="145"/>
        <v>0</v>
      </c>
      <c r="AW200" s="58">
        <f t="shared" ca="1" si="145"/>
        <v>0</v>
      </c>
      <c r="AX200" s="58">
        <f t="shared" ca="1" si="145"/>
        <v>0</v>
      </c>
      <c r="AY200" s="58">
        <f t="shared" ca="1" si="145"/>
        <v>0</v>
      </c>
      <c r="AZ200" s="58">
        <f t="shared" ca="1" si="145"/>
        <v>0</v>
      </c>
      <c r="BA200" s="58">
        <f t="shared" ca="1" si="145"/>
        <v>0</v>
      </c>
      <c r="BB200" s="58">
        <f t="shared" ca="1" si="145"/>
        <v>0</v>
      </c>
      <c r="BC200" s="58">
        <f t="shared" ca="1" si="145"/>
        <v>0</v>
      </c>
      <c r="BD200" s="58">
        <f t="shared" ca="1" si="145"/>
        <v>0</v>
      </c>
      <c r="BE200" s="58">
        <f t="shared" ca="1" si="145"/>
        <v>0</v>
      </c>
      <c r="BF200" s="58">
        <f t="shared" ca="1" si="145"/>
        <v>0</v>
      </c>
      <c r="BG200" s="58">
        <f t="shared" ca="1" si="145"/>
        <v>0</v>
      </c>
      <c r="BH200" s="58">
        <f t="shared" ca="1" si="145"/>
        <v>0</v>
      </c>
      <c r="BI200" s="58">
        <f t="shared" ca="1" si="145"/>
        <v>0</v>
      </c>
      <c r="BJ200" s="58">
        <f t="shared" ca="1" si="145"/>
        <v>0</v>
      </c>
      <c r="BK200" s="58">
        <f t="shared" ca="1" si="145"/>
        <v>0</v>
      </c>
      <c r="BL200" s="58">
        <f t="shared" ca="1" si="145"/>
        <v>0</v>
      </c>
      <c r="BM200" s="58">
        <f t="shared" ca="1" si="145"/>
        <v>0</v>
      </c>
      <c r="BN200" s="58">
        <f t="shared" ca="1" si="145"/>
        <v>0</v>
      </c>
      <c r="BO200" s="58">
        <f t="shared" ca="1" si="145"/>
        <v>0</v>
      </c>
      <c r="BP200" s="58">
        <f t="shared" ca="1" si="145"/>
        <v>0</v>
      </c>
      <c r="BQ200" s="58">
        <f t="shared" ca="1" si="145"/>
        <v>0</v>
      </c>
      <c r="BR200" s="58">
        <f t="shared" ca="1" si="145"/>
        <v>0</v>
      </c>
      <c r="BS200" s="58">
        <f t="shared" ref="BS200:CX200" ca="1" si="146">+IF(OR($F200+BS$175&lt;1,(BS$176-1)*12&lt;-$F200),0,OFFSET(BS30,0,$F200))</f>
        <v>0</v>
      </c>
      <c r="BT200" s="58">
        <f t="shared" ca="1" si="146"/>
        <v>0</v>
      </c>
      <c r="BU200" s="58">
        <f t="shared" ca="1" si="146"/>
        <v>0</v>
      </c>
      <c r="BV200" s="58">
        <f t="shared" ca="1" si="146"/>
        <v>0</v>
      </c>
      <c r="BW200" s="58">
        <f t="shared" ca="1" si="146"/>
        <v>0</v>
      </c>
      <c r="BX200" s="58">
        <f t="shared" ca="1" si="146"/>
        <v>0</v>
      </c>
      <c r="BY200" s="58">
        <f t="shared" ca="1" si="146"/>
        <v>0</v>
      </c>
      <c r="BZ200" s="58">
        <f t="shared" ca="1" si="146"/>
        <v>0</v>
      </c>
      <c r="CA200" s="58">
        <f t="shared" ca="1" si="146"/>
        <v>0</v>
      </c>
      <c r="CB200" s="58">
        <f t="shared" ca="1" si="146"/>
        <v>0</v>
      </c>
      <c r="CC200" s="58">
        <f t="shared" ca="1" si="146"/>
        <v>0</v>
      </c>
      <c r="CD200" s="58">
        <f t="shared" ca="1" si="146"/>
        <v>0</v>
      </c>
      <c r="CE200" s="58">
        <f t="shared" ca="1" si="146"/>
        <v>0</v>
      </c>
      <c r="CF200" s="58">
        <f t="shared" ca="1" si="146"/>
        <v>0</v>
      </c>
      <c r="CG200" s="58">
        <f t="shared" ca="1" si="146"/>
        <v>0</v>
      </c>
      <c r="CH200" s="58">
        <f t="shared" ca="1" si="146"/>
        <v>0</v>
      </c>
      <c r="CI200" s="58">
        <f t="shared" ca="1" si="146"/>
        <v>0</v>
      </c>
      <c r="CJ200" s="58">
        <f t="shared" ca="1" si="146"/>
        <v>0</v>
      </c>
      <c r="CK200" s="58">
        <f t="shared" ca="1" si="146"/>
        <v>0</v>
      </c>
      <c r="CL200" s="58">
        <f t="shared" ca="1" si="146"/>
        <v>0</v>
      </c>
      <c r="CM200" s="58">
        <f t="shared" ca="1" si="146"/>
        <v>0</v>
      </c>
      <c r="CN200" s="58">
        <f t="shared" ca="1" si="146"/>
        <v>0</v>
      </c>
      <c r="CO200" s="58">
        <f t="shared" ca="1" si="146"/>
        <v>0</v>
      </c>
      <c r="CP200" s="58">
        <f t="shared" ca="1" si="146"/>
        <v>0</v>
      </c>
      <c r="CQ200" s="58">
        <f t="shared" ca="1" si="146"/>
        <v>0</v>
      </c>
      <c r="CR200" s="58">
        <f t="shared" ca="1" si="146"/>
        <v>0</v>
      </c>
      <c r="CS200" s="58">
        <f t="shared" ca="1" si="146"/>
        <v>0</v>
      </c>
      <c r="CT200" s="58">
        <f t="shared" ca="1" si="146"/>
        <v>0</v>
      </c>
      <c r="CU200" s="58">
        <f t="shared" ca="1" si="146"/>
        <v>0</v>
      </c>
      <c r="CV200" s="58">
        <f t="shared" ca="1" si="146"/>
        <v>0</v>
      </c>
      <c r="CW200" s="58">
        <f t="shared" ca="1" si="146"/>
        <v>0</v>
      </c>
      <c r="CX200" s="58">
        <f t="shared" ca="1" si="146"/>
        <v>0</v>
      </c>
      <c r="CY200" s="58">
        <f t="shared" ref="CY200:ED200" ca="1" si="147">+IF(OR($F200+CY$175&lt;1,(CY$176-1)*12&lt;-$F200),0,OFFSET(CY30,0,$F200))</f>
        <v>0</v>
      </c>
      <c r="CZ200" s="58">
        <f t="shared" ca="1" si="147"/>
        <v>0</v>
      </c>
      <c r="DA200" s="58">
        <f t="shared" ca="1" si="147"/>
        <v>0</v>
      </c>
      <c r="DB200" s="58">
        <f t="shared" ca="1" si="147"/>
        <v>0</v>
      </c>
      <c r="DC200" s="58">
        <f t="shared" ca="1" si="147"/>
        <v>0</v>
      </c>
      <c r="DD200" s="58">
        <f t="shared" ca="1" si="147"/>
        <v>0</v>
      </c>
      <c r="DE200" s="58">
        <f t="shared" ca="1" si="147"/>
        <v>0</v>
      </c>
      <c r="DF200" s="58">
        <f t="shared" ca="1" si="147"/>
        <v>0</v>
      </c>
      <c r="DG200" s="58">
        <f t="shared" ca="1" si="147"/>
        <v>0</v>
      </c>
      <c r="DH200" s="58">
        <f t="shared" ca="1" si="147"/>
        <v>0</v>
      </c>
      <c r="DI200" s="58">
        <f t="shared" ca="1" si="147"/>
        <v>0</v>
      </c>
      <c r="DJ200" s="58">
        <f t="shared" ca="1" si="147"/>
        <v>0</v>
      </c>
      <c r="DK200" s="58">
        <f t="shared" ca="1" si="147"/>
        <v>0</v>
      </c>
      <c r="DL200" s="58">
        <f t="shared" ca="1" si="147"/>
        <v>0</v>
      </c>
      <c r="DM200" s="58">
        <f t="shared" ca="1" si="147"/>
        <v>0</v>
      </c>
      <c r="DN200" s="58">
        <f t="shared" ca="1" si="147"/>
        <v>0</v>
      </c>
      <c r="DO200" s="58">
        <f t="shared" ca="1" si="147"/>
        <v>0</v>
      </c>
      <c r="DP200" s="58">
        <f t="shared" ca="1" si="147"/>
        <v>0</v>
      </c>
      <c r="DQ200" s="58">
        <f t="shared" ca="1" si="147"/>
        <v>0</v>
      </c>
      <c r="DR200" s="58">
        <f t="shared" ca="1" si="147"/>
        <v>0</v>
      </c>
      <c r="DS200" s="58">
        <f t="shared" ca="1" si="147"/>
        <v>0</v>
      </c>
      <c r="DT200" s="58">
        <f t="shared" ca="1" si="147"/>
        <v>0</v>
      </c>
      <c r="DU200" s="58">
        <f t="shared" ca="1" si="147"/>
        <v>0</v>
      </c>
      <c r="DV200" s="58">
        <f t="shared" ca="1" si="147"/>
        <v>0</v>
      </c>
      <c r="DW200" s="58">
        <f t="shared" ca="1" si="147"/>
        <v>0</v>
      </c>
      <c r="DX200" s="58">
        <f t="shared" ca="1" si="147"/>
        <v>0</v>
      </c>
      <c r="DY200" s="58">
        <f t="shared" ca="1" si="147"/>
        <v>0</v>
      </c>
      <c r="DZ200" s="58">
        <f t="shared" ca="1" si="147"/>
        <v>0</v>
      </c>
      <c r="EA200" s="58">
        <f t="shared" ca="1" si="147"/>
        <v>0</v>
      </c>
      <c r="EB200" s="58">
        <f t="shared" ca="1" si="147"/>
        <v>0</v>
      </c>
      <c r="EC200" s="58">
        <f t="shared" ca="1" si="147"/>
        <v>0</v>
      </c>
      <c r="ED200" s="58">
        <f t="shared" ca="1" si="147"/>
        <v>0</v>
      </c>
      <c r="EE200" s="58">
        <f t="shared" ref="EE200:FN200" ca="1" si="148">+IF(OR($F200+EE$175&lt;1,(EE$176-1)*12&lt;-$F200),0,OFFSET(EE30,0,$F200))</f>
        <v>0</v>
      </c>
      <c r="EF200" s="58">
        <f t="shared" ca="1" si="148"/>
        <v>0</v>
      </c>
      <c r="EG200" s="58">
        <f t="shared" ca="1" si="148"/>
        <v>0</v>
      </c>
      <c r="EH200" s="58">
        <f t="shared" ca="1" si="148"/>
        <v>0</v>
      </c>
      <c r="EI200" s="58">
        <f t="shared" ca="1" si="148"/>
        <v>0</v>
      </c>
      <c r="EJ200" s="58">
        <f t="shared" ca="1" si="148"/>
        <v>0</v>
      </c>
      <c r="EK200" s="58">
        <f t="shared" ca="1" si="148"/>
        <v>0</v>
      </c>
      <c r="EL200" s="58">
        <f t="shared" ca="1" si="148"/>
        <v>0</v>
      </c>
      <c r="EM200" s="58">
        <f t="shared" ca="1" si="148"/>
        <v>0</v>
      </c>
      <c r="EN200" s="58">
        <f t="shared" ca="1" si="148"/>
        <v>0</v>
      </c>
      <c r="EO200" s="58">
        <f t="shared" ca="1" si="148"/>
        <v>0</v>
      </c>
      <c r="EP200" s="58">
        <f t="shared" ca="1" si="148"/>
        <v>0</v>
      </c>
      <c r="EQ200" s="58">
        <f t="shared" ca="1" si="148"/>
        <v>0</v>
      </c>
      <c r="ER200" s="58">
        <f t="shared" ca="1" si="148"/>
        <v>0</v>
      </c>
      <c r="ES200" s="58">
        <f t="shared" ca="1" si="148"/>
        <v>0</v>
      </c>
      <c r="ET200" s="58">
        <f t="shared" ca="1" si="148"/>
        <v>0</v>
      </c>
      <c r="EU200" s="58">
        <f t="shared" ca="1" si="148"/>
        <v>0</v>
      </c>
      <c r="EV200" s="58">
        <f t="shared" ca="1" si="148"/>
        <v>0</v>
      </c>
      <c r="EW200" s="58">
        <f t="shared" ca="1" si="148"/>
        <v>0</v>
      </c>
      <c r="EX200" s="58">
        <f t="shared" ca="1" si="148"/>
        <v>0</v>
      </c>
      <c r="EY200" s="58">
        <f t="shared" ca="1" si="148"/>
        <v>0</v>
      </c>
      <c r="EZ200" s="58">
        <f t="shared" ca="1" si="148"/>
        <v>0</v>
      </c>
      <c r="FA200" s="58">
        <f t="shared" ca="1" si="148"/>
        <v>0</v>
      </c>
      <c r="FB200" s="58">
        <f t="shared" ca="1" si="148"/>
        <v>0</v>
      </c>
      <c r="FC200" s="58">
        <f t="shared" ca="1" si="148"/>
        <v>0</v>
      </c>
      <c r="FD200" s="58">
        <f t="shared" ca="1" si="148"/>
        <v>0</v>
      </c>
      <c r="FE200" s="58">
        <f t="shared" ca="1" si="148"/>
        <v>0</v>
      </c>
      <c r="FF200" s="58">
        <f t="shared" ca="1" si="148"/>
        <v>0</v>
      </c>
      <c r="FG200" s="58">
        <f t="shared" ca="1" si="148"/>
        <v>0</v>
      </c>
      <c r="FH200" s="58">
        <f t="shared" ca="1" si="148"/>
        <v>0</v>
      </c>
      <c r="FI200" s="58">
        <f t="shared" ca="1" si="148"/>
        <v>0</v>
      </c>
      <c r="FJ200" s="58">
        <f t="shared" ca="1" si="148"/>
        <v>0</v>
      </c>
      <c r="FK200" s="58">
        <f t="shared" ca="1" si="148"/>
        <v>0</v>
      </c>
      <c r="FL200" s="58">
        <f t="shared" ca="1" si="148"/>
        <v>0</v>
      </c>
      <c r="FM200" s="58">
        <f t="shared" ca="1" si="148"/>
        <v>0</v>
      </c>
      <c r="FN200" s="58">
        <f t="shared" ca="1" si="148"/>
        <v>0</v>
      </c>
      <c r="FO200" s="13"/>
    </row>
    <row r="201" spans="1:171" outlineLevel="1" x14ac:dyDescent="0.3">
      <c r="A201" s="13"/>
      <c r="B201" s="13"/>
      <c r="C201" s="13"/>
      <c r="D201" s="52">
        <f t="shared" si="31"/>
        <v>40878</v>
      </c>
      <c r="E201" s="53">
        <f t="shared" si="32"/>
        <v>2011</v>
      </c>
      <c r="F201" s="53">
        <f t="shared" si="33"/>
        <v>-25</v>
      </c>
      <c r="G201" s="58">
        <f t="shared" ref="G201:AL201" ca="1" si="149">+IF(OR($F201+G$175&lt;1,(G$176-1)*12&lt;-$F201),0,OFFSET(G31,0,$F201))</f>
        <v>0</v>
      </c>
      <c r="H201" s="58">
        <f t="shared" ca="1" si="149"/>
        <v>0</v>
      </c>
      <c r="I201" s="58">
        <f t="shared" ca="1" si="149"/>
        <v>0</v>
      </c>
      <c r="J201" s="58">
        <f t="shared" ca="1" si="149"/>
        <v>0</v>
      </c>
      <c r="K201" s="58">
        <f t="shared" ca="1" si="149"/>
        <v>0</v>
      </c>
      <c r="L201" s="58">
        <f t="shared" ca="1" si="149"/>
        <v>0</v>
      </c>
      <c r="M201" s="58">
        <f t="shared" ca="1" si="149"/>
        <v>0</v>
      </c>
      <c r="N201" s="58">
        <f t="shared" ca="1" si="149"/>
        <v>0</v>
      </c>
      <c r="O201" s="58">
        <f t="shared" ca="1" si="149"/>
        <v>0</v>
      </c>
      <c r="P201" s="58">
        <f t="shared" ca="1" si="149"/>
        <v>0</v>
      </c>
      <c r="Q201" s="58">
        <f t="shared" ca="1" si="149"/>
        <v>0</v>
      </c>
      <c r="R201" s="58">
        <f t="shared" ca="1" si="149"/>
        <v>0</v>
      </c>
      <c r="S201" s="58">
        <f t="shared" ca="1" si="149"/>
        <v>0</v>
      </c>
      <c r="T201" s="58">
        <f t="shared" ca="1" si="149"/>
        <v>0</v>
      </c>
      <c r="U201" s="58">
        <f t="shared" ca="1" si="149"/>
        <v>0</v>
      </c>
      <c r="V201" s="58">
        <f t="shared" ca="1" si="149"/>
        <v>0</v>
      </c>
      <c r="W201" s="58">
        <f t="shared" ca="1" si="149"/>
        <v>0</v>
      </c>
      <c r="X201" s="58">
        <f t="shared" ca="1" si="149"/>
        <v>0</v>
      </c>
      <c r="Y201" s="58">
        <f t="shared" ca="1" si="149"/>
        <v>0</v>
      </c>
      <c r="Z201" s="58">
        <f t="shared" ca="1" si="149"/>
        <v>0</v>
      </c>
      <c r="AA201" s="58">
        <f t="shared" ca="1" si="149"/>
        <v>0</v>
      </c>
      <c r="AB201" s="58">
        <f t="shared" ca="1" si="149"/>
        <v>0</v>
      </c>
      <c r="AC201" s="58">
        <f t="shared" ca="1" si="149"/>
        <v>0</v>
      </c>
      <c r="AD201" s="58">
        <f t="shared" ca="1" si="149"/>
        <v>0</v>
      </c>
      <c r="AE201" s="58">
        <f t="shared" ca="1" si="149"/>
        <v>0</v>
      </c>
      <c r="AF201" s="58">
        <f t="shared" ca="1" si="149"/>
        <v>0</v>
      </c>
      <c r="AG201" s="58">
        <f t="shared" ca="1" si="149"/>
        <v>0</v>
      </c>
      <c r="AH201" s="58">
        <f t="shared" ca="1" si="149"/>
        <v>0</v>
      </c>
      <c r="AI201" s="58">
        <f t="shared" ca="1" si="149"/>
        <v>0</v>
      </c>
      <c r="AJ201" s="58">
        <f t="shared" ca="1" si="149"/>
        <v>0</v>
      </c>
      <c r="AK201" s="58">
        <f t="shared" ca="1" si="149"/>
        <v>0</v>
      </c>
      <c r="AL201" s="58">
        <f t="shared" ca="1" si="149"/>
        <v>0</v>
      </c>
      <c r="AM201" s="58">
        <f t="shared" ref="AM201:BR201" ca="1" si="150">+IF(OR($F201+AM$175&lt;1,(AM$176-1)*12&lt;-$F201),0,OFFSET(AM31,0,$F201))</f>
        <v>0</v>
      </c>
      <c r="AN201" s="58">
        <f t="shared" ca="1" si="150"/>
        <v>0</v>
      </c>
      <c r="AO201" s="58">
        <f t="shared" ca="1" si="150"/>
        <v>0</v>
      </c>
      <c r="AP201" s="58">
        <f t="shared" ca="1" si="150"/>
        <v>0</v>
      </c>
      <c r="AQ201" s="58">
        <f t="shared" ca="1" si="150"/>
        <v>0</v>
      </c>
      <c r="AR201" s="58">
        <f t="shared" ca="1" si="150"/>
        <v>0</v>
      </c>
      <c r="AS201" s="58">
        <f t="shared" ca="1" si="150"/>
        <v>0</v>
      </c>
      <c r="AT201" s="58">
        <f t="shared" ca="1" si="150"/>
        <v>0</v>
      </c>
      <c r="AU201" s="58">
        <f t="shared" ca="1" si="150"/>
        <v>0</v>
      </c>
      <c r="AV201" s="58">
        <f t="shared" ca="1" si="150"/>
        <v>0</v>
      </c>
      <c r="AW201" s="58">
        <f t="shared" ca="1" si="150"/>
        <v>0</v>
      </c>
      <c r="AX201" s="58">
        <f t="shared" ca="1" si="150"/>
        <v>0</v>
      </c>
      <c r="AY201" s="58">
        <f t="shared" ca="1" si="150"/>
        <v>0</v>
      </c>
      <c r="AZ201" s="58">
        <f t="shared" ca="1" si="150"/>
        <v>0</v>
      </c>
      <c r="BA201" s="58">
        <f t="shared" ca="1" si="150"/>
        <v>0</v>
      </c>
      <c r="BB201" s="58">
        <f t="shared" ca="1" si="150"/>
        <v>0</v>
      </c>
      <c r="BC201" s="58">
        <f t="shared" ca="1" si="150"/>
        <v>0</v>
      </c>
      <c r="BD201" s="58">
        <f t="shared" ca="1" si="150"/>
        <v>0</v>
      </c>
      <c r="BE201" s="58">
        <f t="shared" ca="1" si="150"/>
        <v>0</v>
      </c>
      <c r="BF201" s="58">
        <f t="shared" ca="1" si="150"/>
        <v>0</v>
      </c>
      <c r="BG201" s="58">
        <f t="shared" ca="1" si="150"/>
        <v>0</v>
      </c>
      <c r="BH201" s="58">
        <f t="shared" ca="1" si="150"/>
        <v>0</v>
      </c>
      <c r="BI201" s="58">
        <f t="shared" ca="1" si="150"/>
        <v>0</v>
      </c>
      <c r="BJ201" s="58">
        <f t="shared" ca="1" si="150"/>
        <v>0</v>
      </c>
      <c r="BK201" s="58">
        <f t="shared" ca="1" si="150"/>
        <v>0</v>
      </c>
      <c r="BL201" s="58">
        <f t="shared" ca="1" si="150"/>
        <v>0</v>
      </c>
      <c r="BM201" s="58">
        <f t="shared" ca="1" si="150"/>
        <v>0</v>
      </c>
      <c r="BN201" s="58">
        <f t="shared" ca="1" si="150"/>
        <v>0</v>
      </c>
      <c r="BO201" s="58">
        <f t="shared" ca="1" si="150"/>
        <v>0</v>
      </c>
      <c r="BP201" s="58">
        <f t="shared" ca="1" si="150"/>
        <v>0</v>
      </c>
      <c r="BQ201" s="58">
        <f t="shared" ca="1" si="150"/>
        <v>0</v>
      </c>
      <c r="BR201" s="58">
        <f t="shared" ca="1" si="150"/>
        <v>0</v>
      </c>
      <c r="BS201" s="58">
        <f t="shared" ref="BS201:CX201" ca="1" si="151">+IF(OR($F201+BS$175&lt;1,(BS$176-1)*12&lt;-$F201),0,OFFSET(BS31,0,$F201))</f>
        <v>0</v>
      </c>
      <c r="BT201" s="58">
        <f t="shared" ca="1" si="151"/>
        <v>0</v>
      </c>
      <c r="BU201" s="58">
        <f t="shared" ca="1" si="151"/>
        <v>0</v>
      </c>
      <c r="BV201" s="58">
        <f t="shared" ca="1" si="151"/>
        <v>0</v>
      </c>
      <c r="BW201" s="58">
        <f t="shared" ca="1" si="151"/>
        <v>0</v>
      </c>
      <c r="BX201" s="58">
        <f t="shared" ca="1" si="151"/>
        <v>0</v>
      </c>
      <c r="BY201" s="58">
        <f t="shared" ca="1" si="151"/>
        <v>0</v>
      </c>
      <c r="BZ201" s="58">
        <f t="shared" ca="1" si="151"/>
        <v>0</v>
      </c>
      <c r="CA201" s="58">
        <f t="shared" ca="1" si="151"/>
        <v>0</v>
      </c>
      <c r="CB201" s="58">
        <f t="shared" ca="1" si="151"/>
        <v>0</v>
      </c>
      <c r="CC201" s="58">
        <f t="shared" ca="1" si="151"/>
        <v>0</v>
      </c>
      <c r="CD201" s="58">
        <f t="shared" ca="1" si="151"/>
        <v>0</v>
      </c>
      <c r="CE201" s="58">
        <f t="shared" ca="1" si="151"/>
        <v>0</v>
      </c>
      <c r="CF201" s="58">
        <f t="shared" ca="1" si="151"/>
        <v>0</v>
      </c>
      <c r="CG201" s="58">
        <f t="shared" ca="1" si="151"/>
        <v>0</v>
      </c>
      <c r="CH201" s="58">
        <f t="shared" ca="1" si="151"/>
        <v>0</v>
      </c>
      <c r="CI201" s="58">
        <f t="shared" ca="1" si="151"/>
        <v>0</v>
      </c>
      <c r="CJ201" s="58">
        <f t="shared" ca="1" si="151"/>
        <v>0</v>
      </c>
      <c r="CK201" s="58">
        <f t="shared" ca="1" si="151"/>
        <v>0</v>
      </c>
      <c r="CL201" s="58">
        <f t="shared" ca="1" si="151"/>
        <v>0</v>
      </c>
      <c r="CM201" s="58">
        <f t="shared" ca="1" si="151"/>
        <v>0</v>
      </c>
      <c r="CN201" s="58">
        <f t="shared" ca="1" si="151"/>
        <v>0</v>
      </c>
      <c r="CO201" s="58">
        <f t="shared" ca="1" si="151"/>
        <v>0</v>
      </c>
      <c r="CP201" s="58">
        <f t="shared" ca="1" si="151"/>
        <v>0</v>
      </c>
      <c r="CQ201" s="58">
        <f t="shared" ca="1" si="151"/>
        <v>0</v>
      </c>
      <c r="CR201" s="58">
        <f t="shared" ca="1" si="151"/>
        <v>0</v>
      </c>
      <c r="CS201" s="58">
        <f t="shared" ca="1" si="151"/>
        <v>0</v>
      </c>
      <c r="CT201" s="58">
        <f t="shared" ca="1" si="151"/>
        <v>0</v>
      </c>
      <c r="CU201" s="58">
        <f t="shared" ca="1" si="151"/>
        <v>0</v>
      </c>
      <c r="CV201" s="58">
        <f t="shared" ca="1" si="151"/>
        <v>0</v>
      </c>
      <c r="CW201" s="58">
        <f t="shared" ca="1" si="151"/>
        <v>0</v>
      </c>
      <c r="CX201" s="58">
        <f t="shared" ca="1" si="151"/>
        <v>0</v>
      </c>
      <c r="CY201" s="58">
        <f t="shared" ref="CY201:ED201" ca="1" si="152">+IF(OR($F201+CY$175&lt;1,(CY$176-1)*12&lt;-$F201),0,OFFSET(CY31,0,$F201))</f>
        <v>0</v>
      </c>
      <c r="CZ201" s="58">
        <f t="shared" ca="1" si="152"/>
        <v>0</v>
      </c>
      <c r="DA201" s="58">
        <f t="shared" ca="1" si="152"/>
        <v>0</v>
      </c>
      <c r="DB201" s="58">
        <f t="shared" ca="1" si="152"/>
        <v>0</v>
      </c>
      <c r="DC201" s="58">
        <f t="shared" ca="1" si="152"/>
        <v>0</v>
      </c>
      <c r="DD201" s="58">
        <f t="shared" ca="1" si="152"/>
        <v>0</v>
      </c>
      <c r="DE201" s="58">
        <f t="shared" ca="1" si="152"/>
        <v>0</v>
      </c>
      <c r="DF201" s="58">
        <f t="shared" ca="1" si="152"/>
        <v>0</v>
      </c>
      <c r="DG201" s="58">
        <f t="shared" ca="1" si="152"/>
        <v>0</v>
      </c>
      <c r="DH201" s="58">
        <f t="shared" ca="1" si="152"/>
        <v>0</v>
      </c>
      <c r="DI201" s="58">
        <f t="shared" ca="1" si="152"/>
        <v>0</v>
      </c>
      <c r="DJ201" s="58">
        <f t="shared" ca="1" si="152"/>
        <v>0</v>
      </c>
      <c r="DK201" s="58">
        <f t="shared" ca="1" si="152"/>
        <v>0</v>
      </c>
      <c r="DL201" s="58">
        <f t="shared" ca="1" si="152"/>
        <v>0</v>
      </c>
      <c r="DM201" s="58">
        <f t="shared" ca="1" si="152"/>
        <v>0</v>
      </c>
      <c r="DN201" s="58">
        <f t="shared" ca="1" si="152"/>
        <v>0</v>
      </c>
      <c r="DO201" s="58">
        <f t="shared" ca="1" si="152"/>
        <v>0</v>
      </c>
      <c r="DP201" s="58">
        <f t="shared" ca="1" si="152"/>
        <v>0</v>
      </c>
      <c r="DQ201" s="58">
        <f t="shared" ca="1" si="152"/>
        <v>0</v>
      </c>
      <c r="DR201" s="58">
        <f t="shared" ca="1" si="152"/>
        <v>0</v>
      </c>
      <c r="DS201" s="58">
        <f t="shared" ca="1" si="152"/>
        <v>0</v>
      </c>
      <c r="DT201" s="58">
        <f t="shared" ca="1" si="152"/>
        <v>0</v>
      </c>
      <c r="DU201" s="58">
        <f t="shared" ca="1" si="152"/>
        <v>0</v>
      </c>
      <c r="DV201" s="58">
        <f t="shared" ca="1" si="152"/>
        <v>0</v>
      </c>
      <c r="DW201" s="58">
        <f t="shared" ca="1" si="152"/>
        <v>0</v>
      </c>
      <c r="DX201" s="58">
        <f t="shared" ca="1" si="152"/>
        <v>0</v>
      </c>
      <c r="DY201" s="58">
        <f t="shared" ca="1" si="152"/>
        <v>0</v>
      </c>
      <c r="DZ201" s="58">
        <f t="shared" ca="1" si="152"/>
        <v>0</v>
      </c>
      <c r="EA201" s="58">
        <f t="shared" ca="1" si="152"/>
        <v>0</v>
      </c>
      <c r="EB201" s="58">
        <f t="shared" ca="1" si="152"/>
        <v>0</v>
      </c>
      <c r="EC201" s="58">
        <f t="shared" ca="1" si="152"/>
        <v>0</v>
      </c>
      <c r="ED201" s="58">
        <f t="shared" ca="1" si="152"/>
        <v>0</v>
      </c>
      <c r="EE201" s="58">
        <f t="shared" ref="EE201:FN201" ca="1" si="153">+IF(OR($F201+EE$175&lt;1,(EE$176-1)*12&lt;-$F201),0,OFFSET(EE31,0,$F201))</f>
        <v>0</v>
      </c>
      <c r="EF201" s="58">
        <f t="shared" ca="1" si="153"/>
        <v>0</v>
      </c>
      <c r="EG201" s="58">
        <f t="shared" ca="1" si="153"/>
        <v>0</v>
      </c>
      <c r="EH201" s="58">
        <f t="shared" ca="1" si="153"/>
        <v>0</v>
      </c>
      <c r="EI201" s="58">
        <f t="shared" ca="1" si="153"/>
        <v>0</v>
      </c>
      <c r="EJ201" s="58">
        <f t="shared" ca="1" si="153"/>
        <v>0</v>
      </c>
      <c r="EK201" s="58">
        <f t="shared" ca="1" si="153"/>
        <v>0</v>
      </c>
      <c r="EL201" s="58">
        <f t="shared" ca="1" si="153"/>
        <v>0</v>
      </c>
      <c r="EM201" s="58">
        <f t="shared" ca="1" si="153"/>
        <v>0</v>
      </c>
      <c r="EN201" s="58">
        <f t="shared" ca="1" si="153"/>
        <v>0</v>
      </c>
      <c r="EO201" s="58">
        <f t="shared" ca="1" si="153"/>
        <v>0</v>
      </c>
      <c r="EP201" s="58">
        <f t="shared" ca="1" si="153"/>
        <v>0</v>
      </c>
      <c r="EQ201" s="58">
        <f t="shared" ca="1" si="153"/>
        <v>0</v>
      </c>
      <c r="ER201" s="58">
        <f t="shared" ca="1" si="153"/>
        <v>0</v>
      </c>
      <c r="ES201" s="58">
        <f t="shared" ca="1" si="153"/>
        <v>0</v>
      </c>
      <c r="ET201" s="58">
        <f t="shared" ca="1" si="153"/>
        <v>0</v>
      </c>
      <c r="EU201" s="58">
        <f t="shared" ca="1" si="153"/>
        <v>0</v>
      </c>
      <c r="EV201" s="58">
        <f t="shared" ca="1" si="153"/>
        <v>0</v>
      </c>
      <c r="EW201" s="58">
        <f t="shared" ca="1" si="153"/>
        <v>0</v>
      </c>
      <c r="EX201" s="58">
        <f t="shared" ca="1" si="153"/>
        <v>0</v>
      </c>
      <c r="EY201" s="58">
        <f t="shared" ca="1" si="153"/>
        <v>0</v>
      </c>
      <c r="EZ201" s="58">
        <f t="shared" ca="1" si="153"/>
        <v>0</v>
      </c>
      <c r="FA201" s="58">
        <f t="shared" ca="1" si="153"/>
        <v>0</v>
      </c>
      <c r="FB201" s="58">
        <f t="shared" ca="1" si="153"/>
        <v>0</v>
      </c>
      <c r="FC201" s="58">
        <f t="shared" ca="1" si="153"/>
        <v>0</v>
      </c>
      <c r="FD201" s="58">
        <f t="shared" ca="1" si="153"/>
        <v>0</v>
      </c>
      <c r="FE201" s="58">
        <f t="shared" ca="1" si="153"/>
        <v>0</v>
      </c>
      <c r="FF201" s="58">
        <f t="shared" ca="1" si="153"/>
        <v>0</v>
      </c>
      <c r="FG201" s="58">
        <f t="shared" ca="1" si="153"/>
        <v>0</v>
      </c>
      <c r="FH201" s="58">
        <f t="shared" ca="1" si="153"/>
        <v>0</v>
      </c>
      <c r="FI201" s="58">
        <f t="shared" ca="1" si="153"/>
        <v>0</v>
      </c>
      <c r="FJ201" s="58">
        <f t="shared" ca="1" si="153"/>
        <v>0</v>
      </c>
      <c r="FK201" s="58">
        <f t="shared" ca="1" si="153"/>
        <v>0</v>
      </c>
      <c r="FL201" s="58">
        <f t="shared" ca="1" si="153"/>
        <v>0</v>
      </c>
      <c r="FM201" s="58">
        <f t="shared" ca="1" si="153"/>
        <v>0</v>
      </c>
      <c r="FN201" s="58">
        <f t="shared" ca="1" si="153"/>
        <v>0</v>
      </c>
      <c r="FO201" s="13"/>
    </row>
    <row r="202" spans="1:171" outlineLevel="1" x14ac:dyDescent="0.3">
      <c r="A202" s="13"/>
      <c r="B202" s="13"/>
      <c r="C202" s="13"/>
      <c r="D202" s="52">
        <f t="shared" si="31"/>
        <v>40909</v>
      </c>
      <c r="E202" s="53">
        <f t="shared" si="32"/>
        <v>2012</v>
      </c>
      <c r="F202" s="53">
        <f t="shared" si="33"/>
        <v>-24</v>
      </c>
      <c r="G202" s="58">
        <f t="shared" ref="G202:AL202" ca="1" si="154">+IF(OR($F202+G$175&lt;1,(G$176-1)*12&lt;-$F202),0,OFFSET(G32,0,$F202))</f>
        <v>0</v>
      </c>
      <c r="H202" s="58">
        <f t="shared" ca="1" si="154"/>
        <v>0</v>
      </c>
      <c r="I202" s="58">
        <f t="shared" ca="1" si="154"/>
        <v>0</v>
      </c>
      <c r="J202" s="58">
        <f t="shared" ca="1" si="154"/>
        <v>0</v>
      </c>
      <c r="K202" s="58">
        <f t="shared" ca="1" si="154"/>
        <v>0</v>
      </c>
      <c r="L202" s="58">
        <f t="shared" ca="1" si="154"/>
        <v>0</v>
      </c>
      <c r="M202" s="58">
        <f t="shared" ca="1" si="154"/>
        <v>0</v>
      </c>
      <c r="N202" s="58">
        <f t="shared" ca="1" si="154"/>
        <v>0</v>
      </c>
      <c r="O202" s="58">
        <f t="shared" ca="1" si="154"/>
        <v>0</v>
      </c>
      <c r="P202" s="58">
        <f t="shared" ca="1" si="154"/>
        <v>0</v>
      </c>
      <c r="Q202" s="58">
        <f t="shared" ca="1" si="154"/>
        <v>0</v>
      </c>
      <c r="R202" s="58">
        <f t="shared" ca="1" si="154"/>
        <v>0</v>
      </c>
      <c r="S202" s="58">
        <f t="shared" ca="1" si="154"/>
        <v>0</v>
      </c>
      <c r="T202" s="58">
        <f t="shared" ca="1" si="154"/>
        <v>0</v>
      </c>
      <c r="U202" s="58">
        <f t="shared" ca="1" si="154"/>
        <v>0</v>
      </c>
      <c r="V202" s="58">
        <f t="shared" ca="1" si="154"/>
        <v>0</v>
      </c>
      <c r="W202" s="58">
        <f t="shared" ca="1" si="154"/>
        <v>0</v>
      </c>
      <c r="X202" s="58">
        <f t="shared" ca="1" si="154"/>
        <v>0</v>
      </c>
      <c r="Y202" s="58">
        <f t="shared" ca="1" si="154"/>
        <v>0</v>
      </c>
      <c r="Z202" s="58">
        <f t="shared" ca="1" si="154"/>
        <v>0</v>
      </c>
      <c r="AA202" s="58">
        <f t="shared" ca="1" si="154"/>
        <v>0</v>
      </c>
      <c r="AB202" s="58">
        <f t="shared" ca="1" si="154"/>
        <v>0</v>
      </c>
      <c r="AC202" s="58">
        <f t="shared" ca="1" si="154"/>
        <v>0</v>
      </c>
      <c r="AD202" s="58">
        <f t="shared" ca="1" si="154"/>
        <v>0</v>
      </c>
      <c r="AE202" s="58">
        <f t="shared" ca="1" si="154"/>
        <v>0</v>
      </c>
      <c r="AF202" s="58">
        <f t="shared" ca="1" si="154"/>
        <v>0</v>
      </c>
      <c r="AG202" s="58">
        <f t="shared" ca="1" si="154"/>
        <v>0</v>
      </c>
      <c r="AH202" s="58">
        <f t="shared" ca="1" si="154"/>
        <v>0</v>
      </c>
      <c r="AI202" s="58">
        <f t="shared" ca="1" si="154"/>
        <v>0</v>
      </c>
      <c r="AJ202" s="58">
        <f t="shared" ca="1" si="154"/>
        <v>0</v>
      </c>
      <c r="AK202" s="58">
        <f t="shared" ca="1" si="154"/>
        <v>0</v>
      </c>
      <c r="AL202" s="58">
        <f t="shared" ca="1" si="154"/>
        <v>0</v>
      </c>
      <c r="AM202" s="58">
        <f t="shared" ref="AM202:BR202" ca="1" si="155">+IF(OR($F202+AM$175&lt;1,(AM$176-1)*12&lt;-$F202),0,OFFSET(AM32,0,$F202))</f>
        <v>0</v>
      </c>
      <c r="AN202" s="58">
        <f t="shared" ca="1" si="155"/>
        <v>0</v>
      </c>
      <c r="AO202" s="58">
        <f t="shared" ca="1" si="155"/>
        <v>0</v>
      </c>
      <c r="AP202" s="58">
        <f t="shared" ca="1" si="155"/>
        <v>0</v>
      </c>
      <c r="AQ202" s="58">
        <f t="shared" ca="1" si="155"/>
        <v>0</v>
      </c>
      <c r="AR202" s="58">
        <f t="shared" ca="1" si="155"/>
        <v>0</v>
      </c>
      <c r="AS202" s="58">
        <f t="shared" ca="1" si="155"/>
        <v>0</v>
      </c>
      <c r="AT202" s="58">
        <f t="shared" ca="1" si="155"/>
        <v>0</v>
      </c>
      <c r="AU202" s="58">
        <f t="shared" ca="1" si="155"/>
        <v>0</v>
      </c>
      <c r="AV202" s="58">
        <f t="shared" ca="1" si="155"/>
        <v>0</v>
      </c>
      <c r="AW202" s="58">
        <f t="shared" ca="1" si="155"/>
        <v>0</v>
      </c>
      <c r="AX202" s="58">
        <f t="shared" ca="1" si="155"/>
        <v>0</v>
      </c>
      <c r="AY202" s="58">
        <f t="shared" ca="1" si="155"/>
        <v>0</v>
      </c>
      <c r="AZ202" s="58">
        <f t="shared" ca="1" si="155"/>
        <v>0</v>
      </c>
      <c r="BA202" s="58">
        <f t="shared" ca="1" si="155"/>
        <v>0</v>
      </c>
      <c r="BB202" s="58">
        <f t="shared" ca="1" si="155"/>
        <v>0</v>
      </c>
      <c r="BC202" s="58">
        <f t="shared" ca="1" si="155"/>
        <v>0</v>
      </c>
      <c r="BD202" s="58">
        <f t="shared" ca="1" si="155"/>
        <v>0</v>
      </c>
      <c r="BE202" s="58">
        <f t="shared" ca="1" si="155"/>
        <v>0</v>
      </c>
      <c r="BF202" s="58">
        <f t="shared" ca="1" si="155"/>
        <v>0</v>
      </c>
      <c r="BG202" s="58">
        <f t="shared" ca="1" si="155"/>
        <v>0</v>
      </c>
      <c r="BH202" s="58">
        <f t="shared" ca="1" si="155"/>
        <v>0</v>
      </c>
      <c r="BI202" s="58">
        <f t="shared" ca="1" si="155"/>
        <v>0</v>
      </c>
      <c r="BJ202" s="58">
        <f t="shared" ca="1" si="155"/>
        <v>0</v>
      </c>
      <c r="BK202" s="58">
        <f t="shared" ca="1" si="155"/>
        <v>0</v>
      </c>
      <c r="BL202" s="58">
        <f t="shared" ca="1" si="155"/>
        <v>0</v>
      </c>
      <c r="BM202" s="58">
        <f t="shared" ca="1" si="155"/>
        <v>0</v>
      </c>
      <c r="BN202" s="58">
        <f t="shared" ca="1" si="155"/>
        <v>0</v>
      </c>
      <c r="BO202" s="58">
        <f t="shared" ca="1" si="155"/>
        <v>0</v>
      </c>
      <c r="BP202" s="58">
        <f t="shared" ca="1" si="155"/>
        <v>0</v>
      </c>
      <c r="BQ202" s="58">
        <f t="shared" ca="1" si="155"/>
        <v>0</v>
      </c>
      <c r="BR202" s="58">
        <f t="shared" ca="1" si="155"/>
        <v>0</v>
      </c>
      <c r="BS202" s="58">
        <f t="shared" ref="BS202:CX202" ca="1" si="156">+IF(OR($F202+BS$175&lt;1,(BS$176-1)*12&lt;-$F202),0,OFFSET(BS32,0,$F202))</f>
        <v>0</v>
      </c>
      <c r="BT202" s="58">
        <f t="shared" ca="1" si="156"/>
        <v>0</v>
      </c>
      <c r="BU202" s="58">
        <f t="shared" ca="1" si="156"/>
        <v>0</v>
      </c>
      <c r="BV202" s="58">
        <f t="shared" ca="1" si="156"/>
        <v>0</v>
      </c>
      <c r="BW202" s="58">
        <f t="shared" ca="1" si="156"/>
        <v>0</v>
      </c>
      <c r="BX202" s="58">
        <f t="shared" ca="1" si="156"/>
        <v>0</v>
      </c>
      <c r="BY202" s="58">
        <f t="shared" ca="1" si="156"/>
        <v>0</v>
      </c>
      <c r="BZ202" s="58">
        <f t="shared" ca="1" si="156"/>
        <v>0</v>
      </c>
      <c r="CA202" s="58">
        <f t="shared" ca="1" si="156"/>
        <v>0</v>
      </c>
      <c r="CB202" s="58">
        <f t="shared" ca="1" si="156"/>
        <v>0</v>
      </c>
      <c r="CC202" s="58">
        <f t="shared" ca="1" si="156"/>
        <v>0</v>
      </c>
      <c r="CD202" s="58">
        <f t="shared" ca="1" si="156"/>
        <v>0</v>
      </c>
      <c r="CE202" s="58">
        <f t="shared" ca="1" si="156"/>
        <v>0</v>
      </c>
      <c r="CF202" s="58">
        <f t="shared" ca="1" si="156"/>
        <v>0</v>
      </c>
      <c r="CG202" s="58">
        <f t="shared" ca="1" si="156"/>
        <v>0</v>
      </c>
      <c r="CH202" s="58">
        <f t="shared" ca="1" si="156"/>
        <v>0</v>
      </c>
      <c r="CI202" s="58">
        <f t="shared" ca="1" si="156"/>
        <v>0</v>
      </c>
      <c r="CJ202" s="58">
        <f t="shared" ca="1" si="156"/>
        <v>0</v>
      </c>
      <c r="CK202" s="58">
        <f t="shared" ca="1" si="156"/>
        <v>0</v>
      </c>
      <c r="CL202" s="58">
        <f t="shared" ca="1" si="156"/>
        <v>0</v>
      </c>
      <c r="CM202" s="58">
        <f t="shared" ca="1" si="156"/>
        <v>0</v>
      </c>
      <c r="CN202" s="58">
        <f t="shared" ca="1" si="156"/>
        <v>0</v>
      </c>
      <c r="CO202" s="58">
        <f t="shared" ca="1" si="156"/>
        <v>0</v>
      </c>
      <c r="CP202" s="58">
        <f t="shared" ca="1" si="156"/>
        <v>0</v>
      </c>
      <c r="CQ202" s="58">
        <f t="shared" ca="1" si="156"/>
        <v>0</v>
      </c>
      <c r="CR202" s="58">
        <f t="shared" ca="1" si="156"/>
        <v>0</v>
      </c>
      <c r="CS202" s="58">
        <f t="shared" ca="1" si="156"/>
        <v>0</v>
      </c>
      <c r="CT202" s="58">
        <f t="shared" ca="1" si="156"/>
        <v>0</v>
      </c>
      <c r="CU202" s="58">
        <f t="shared" ca="1" si="156"/>
        <v>0</v>
      </c>
      <c r="CV202" s="58">
        <f t="shared" ca="1" si="156"/>
        <v>0</v>
      </c>
      <c r="CW202" s="58">
        <f t="shared" ca="1" si="156"/>
        <v>0</v>
      </c>
      <c r="CX202" s="58">
        <f t="shared" ca="1" si="156"/>
        <v>0</v>
      </c>
      <c r="CY202" s="58">
        <f t="shared" ref="CY202:ED202" ca="1" si="157">+IF(OR($F202+CY$175&lt;1,(CY$176-1)*12&lt;-$F202),0,OFFSET(CY32,0,$F202))</f>
        <v>0</v>
      </c>
      <c r="CZ202" s="58">
        <f t="shared" ca="1" si="157"/>
        <v>0</v>
      </c>
      <c r="DA202" s="58">
        <f t="shared" ca="1" si="157"/>
        <v>0</v>
      </c>
      <c r="DB202" s="58">
        <f t="shared" ca="1" si="157"/>
        <v>0</v>
      </c>
      <c r="DC202" s="58">
        <f t="shared" ca="1" si="157"/>
        <v>0</v>
      </c>
      <c r="DD202" s="58">
        <f t="shared" ca="1" si="157"/>
        <v>0</v>
      </c>
      <c r="DE202" s="58">
        <f t="shared" ca="1" si="157"/>
        <v>0</v>
      </c>
      <c r="DF202" s="58">
        <f t="shared" ca="1" si="157"/>
        <v>0</v>
      </c>
      <c r="DG202" s="58">
        <f t="shared" ca="1" si="157"/>
        <v>0</v>
      </c>
      <c r="DH202" s="58">
        <f t="shared" ca="1" si="157"/>
        <v>0</v>
      </c>
      <c r="DI202" s="58">
        <f t="shared" ca="1" si="157"/>
        <v>0</v>
      </c>
      <c r="DJ202" s="58">
        <f t="shared" ca="1" si="157"/>
        <v>0</v>
      </c>
      <c r="DK202" s="58">
        <f t="shared" ca="1" si="157"/>
        <v>0</v>
      </c>
      <c r="DL202" s="58">
        <f t="shared" ca="1" si="157"/>
        <v>0</v>
      </c>
      <c r="DM202" s="58">
        <f t="shared" ca="1" si="157"/>
        <v>0</v>
      </c>
      <c r="DN202" s="58">
        <f t="shared" ca="1" si="157"/>
        <v>0</v>
      </c>
      <c r="DO202" s="58">
        <f t="shared" ca="1" si="157"/>
        <v>0</v>
      </c>
      <c r="DP202" s="58">
        <f t="shared" ca="1" si="157"/>
        <v>0</v>
      </c>
      <c r="DQ202" s="58">
        <f t="shared" ca="1" si="157"/>
        <v>0</v>
      </c>
      <c r="DR202" s="58">
        <f t="shared" ca="1" si="157"/>
        <v>0</v>
      </c>
      <c r="DS202" s="58">
        <f t="shared" ca="1" si="157"/>
        <v>0</v>
      </c>
      <c r="DT202" s="58">
        <f t="shared" ca="1" si="157"/>
        <v>0</v>
      </c>
      <c r="DU202" s="58">
        <f t="shared" ca="1" si="157"/>
        <v>0</v>
      </c>
      <c r="DV202" s="58">
        <f t="shared" ca="1" si="157"/>
        <v>0</v>
      </c>
      <c r="DW202" s="58">
        <f t="shared" ca="1" si="157"/>
        <v>0</v>
      </c>
      <c r="DX202" s="58">
        <f t="shared" ca="1" si="157"/>
        <v>0</v>
      </c>
      <c r="DY202" s="58">
        <f t="shared" ca="1" si="157"/>
        <v>0</v>
      </c>
      <c r="DZ202" s="58">
        <f t="shared" ca="1" si="157"/>
        <v>0</v>
      </c>
      <c r="EA202" s="58">
        <f t="shared" ca="1" si="157"/>
        <v>0</v>
      </c>
      <c r="EB202" s="58">
        <f t="shared" ca="1" si="157"/>
        <v>0</v>
      </c>
      <c r="EC202" s="58">
        <f t="shared" ca="1" si="157"/>
        <v>0</v>
      </c>
      <c r="ED202" s="58">
        <f t="shared" ca="1" si="157"/>
        <v>0</v>
      </c>
      <c r="EE202" s="58">
        <f t="shared" ref="EE202:FN202" ca="1" si="158">+IF(OR($F202+EE$175&lt;1,(EE$176-1)*12&lt;-$F202),0,OFFSET(EE32,0,$F202))</f>
        <v>0</v>
      </c>
      <c r="EF202" s="58">
        <f t="shared" ca="1" si="158"/>
        <v>0</v>
      </c>
      <c r="EG202" s="58">
        <f t="shared" ca="1" si="158"/>
        <v>0</v>
      </c>
      <c r="EH202" s="58">
        <f t="shared" ca="1" si="158"/>
        <v>0</v>
      </c>
      <c r="EI202" s="58">
        <f t="shared" ca="1" si="158"/>
        <v>0</v>
      </c>
      <c r="EJ202" s="58">
        <f t="shared" ca="1" si="158"/>
        <v>0</v>
      </c>
      <c r="EK202" s="58">
        <f t="shared" ca="1" si="158"/>
        <v>0</v>
      </c>
      <c r="EL202" s="58">
        <f t="shared" ca="1" si="158"/>
        <v>0</v>
      </c>
      <c r="EM202" s="58">
        <f t="shared" ca="1" si="158"/>
        <v>0</v>
      </c>
      <c r="EN202" s="58">
        <f t="shared" ca="1" si="158"/>
        <v>0</v>
      </c>
      <c r="EO202" s="58">
        <f t="shared" ca="1" si="158"/>
        <v>0</v>
      </c>
      <c r="EP202" s="58">
        <f t="shared" ca="1" si="158"/>
        <v>0</v>
      </c>
      <c r="EQ202" s="58">
        <f t="shared" ca="1" si="158"/>
        <v>0</v>
      </c>
      <c r="ER202" s="58">
        <f t="shared" ca="1" si="158"/>
        <v>0</v>
      </c>
      <c r="ES202" s="58">
        <f t="shared" ca="1" si="158"/>
        <v>0</v>
      </c>
      <c r="ET202" s="58">
        <f t="shared" ca="1" si="158"/>
        <v>0</v>
      </c>
      <c r="EU202" s="58">
        <f t="shared" ca="1" si="158"/>
        <v>0</v>
      </c>
      <c r="EV202" s="58">
        <f t="shared" ca="1" si="158"/>
        <v>0</v>
      </c>
      <c r="EW202" s="58">
        <f t="shared" ca="1" si="158"/>
        <v>0</v>
      </c>
      <c r="EX202" s="58">
        <f t="shared" ca="1" si="158"/>
        <v>0</v>
      </c>
      <c r="EY202" s="58">
        <f t="shared" ca="1" si="158"/>
        <v>0</v>
      </c>
      <c r="EZ202" s="58">
        <f t="shared" ca="1" si="158"/>
        <v>0</v>
      </c>
      <c r="FA202" s="58">
        <f t="shared" ca="1" si="158"/>
        <v>0</v>
      </c>
      <c r="FB202" s="58">
        <f t="shared" ca="1" si="158"/>
        <v>0</v>
      </c>
      <c r="FC202" s="58">
        <f t="shared" ca="1" si="158"/>
        <v>0</v>
      </c>
      <c r="FD202" s="58">
        <f t="shared" ca="1" si="158"/>
        <v>0</v>
      </c>
      <c r="FE202" s="58">
        <f t="shared" ca="1" si="158"/>
        <v>0</v>
      </c>
      <c r="FF202" s="58">
        <f t="shared" ca="1" si="158"/>
        <v>0</v>
      </c>
      <c r="FG202" s="58">
        <f t="shared" ca="1" si="158"/>
        <v>0</v>
      </c>
      <c r="FH202" s="58">
        <f t="shared" ca="1" si="158"/>
        <v>0</v>
      </c>
      <c r="FI202" s="58">
        <f t="shared" ca="1" si="158"/>
        <v>0</v>
      </c>
      <c r="FJ202" s="58">
        <f t="shared" ca="1" si="158"/>
        <v>0</v>
      </c>
      <c r="FK202" s="58">
        <f t="shared" ca="1" si="158"/>
        <v>0</v>
      </c>
      <c r="FL202" s="58">
        <f t="shared" ca="1" si="158"/>
        <v>0</v>
      </c>
      <c r="FM202" s="58">
        <f t="shared" ca="1" si="158"/>
        <v>0</v>
      </c>
      <c r="FN202" s="58">
        <f t="shared" ca="1" si="158"/>
        <v>0</v>
      </c>
      <c r="FO202" s="13"/>
    </row>
    <row r="203" spans="1:171" outlineLevel="1" x14ac:dyDescent="0.3">
      <c r="A203" s="13"/>
      <c r="B203" s="13"/>
      <c r="C203" s="13"/>
      <c r="D203" s="52">
        <f t="shared" si="31"/>
        <v>40940</v>
      </c>
      <c r="E203" s="53">
        <f t="shared" si="32"/>
        <v>2012</v>
      </c>
      <c r="F203" s="53">
        <f t="shared" si="33"/>
        <v>-23</v>
      </c>
      <c r="G203" s="58">
        <f t="shared" ref="G203:AL203" ca="1" si="159">+IF(OR($F203+G$175&lt;1,(G$176-1)*12&lt;-$F203),0,OFFSET(G33,0,$F203))</f>
        <v>0</v>
      </c>
      <c r="H203" s="58">
        <f t="shared" ca="1" si="159"/>
        <v>0</v>
      </c>
      <c r="I203" s="58">
        <f t="shared" ca="1" si="159"/>
        <v>0</v>
      </c>
      <c r="J203" s="58">
        <f t="shared" ca="1" si="159"/>
        <v>0</v>
      </c>
      <c r="K203" s="58">
        <f t="shared" ca="1" si="159"/>
        <v>0</v>
      </c>
      <c r="L203" s="58">
        <f t="shared" ca="1" si="159"/>
        <v>0</v>
      </c>
      <c r="M203" s="58">
        <f t="shared" ca="1" si="159"/>
        <v>0</v>
      </c>
      <c r="N203" s="58">
        <f t="shared" ca="1" si="159"/>
        <v>0</v>
      </c>
      <c r="O203" s="58">
        <f t="shared" ca="1" si="159"/>
        <v>0</v>
      </c>
      <c r="P203" s="58">
        <f t="shared" ca="1" si="159"/>
        <v>0</v>
      </c>
      <c r="Q203" s="58">
        <f t="shared" ca="1" si="159"/>
        <v>0</v>
      </c>
      <c r="R203" s="58">
        <f t="shared" ca="1" si="159"/>
        <v>0</v>
      </c>
      <c r="S203" s="58">
        <f t="shared" ca="1" si="159"/>
        <v>0</v>
      </c>
      <c r="T203" s="58">
        <f t="shared" ca="1" si="159"/>
        <v>0</v>
      </c>
      <c r="U203" s="58">
        <f t="shared" ca="1" si="159"/>
        <v>0</v>
      </c>
      <c r="V203" s="58">
        <f t="shared" ca="1" si="159"/>
        <v>0</v>
      </c>
      <c r="W203" s="58">
        <f t="shared" ca="1" si="159"/>
        <v>0</v>
      </c>
      <c r="X203" s="58">
        <f t="shared" ca="1" si="159"/>
        <v>0</v>
      </c>
      <c r="Y203" s="58">
        <f t="shared" ca="1" si="159"/>
        <v>0</v>
      </c>
      <c r="Z203" s="58">
        <f t="shared" ca="1" si="159"/>
        <v>0</v>
      </c>
      <c r="AA203" s="58">
        <f t="shared" ca="1" si="159"/>
        <v>0</v>
      </c>
      <c r="AB203" s="58">
        <f t="shared" ca="1" si="159"/>
        <v>0</v>
      </c>
      <c r="AC203" s="58">
        <f t="shared" ca="1" si="159"/>
        <v>0</v>
      </c>
      <c r="AD203" s="58">
        <f t="shared" ca="1" si="159"/>
        <v>0</v>
      </c>
      <c r="AE203" s="58">
        <f t="shared" ca="1" si="159"/>
        <v>0</v>
      </c>
      <c r="AF203" s="58">
        <f t="shared" ca="1" si="159"/>
        <v>0</v>
      </c>
      <c r="AG203" s="58">
        <f t="shared" ca="1" si="159"/>
        <v>0</v>
      </c>
      <c r="AH203" s="58">
        <f t="shared" ca="1" si="159"/>
        <v>0</v>
      </c>
      <c r="AI203" s="58">
        <f t="shared" ca="1" si="159"/>
        <v>0</v>
      </c>
      <c r="AJ203" s="58">
        <f t="shared" ca="1" si="159"/>
        <v>0</v>
      </c>
      <c r="AK203" s="58">
        <f t="shared" ca="1" si="159"/>
        <v>0</v>
      </c>
      <c r="AL203" s="58">
        <f t="shared" ca="1" si="159"/>
        <v>0</v>
      </c>
      <c r="AM203" s="58">
        <f t="shared" ref="AM203:BR203" ca="1" si="160">+IF(OR($F203+AM$175&lt;1,(AM$176-1)*12&lt;-$F203),0,OFFSET(AM33,0,$F203))</f>
        <v>0</v>
      </c>
      <c r="AN203" s="58">
        <f t="shared" ca="1" si="160"/>
        <v>0</v>
      </c>
      <c r="AO203" s="58">
        <f t="shared" ca="1" si="160"/>
        <v>0</v>
      </c>
      <c r="AP203" s="58">
        <f t="shared" ca="1" si="160"/>
        <v>0</v>
      </c>
      <c r="AQ203" s="58">
        <f t="shared" ca="1" si="160"/>
        <v>0</v>
      </c>
      <c r="AR203" s="58">
        <f t="shared" ca="1" si="160"/>
        <v>0</v>
      </c>
      <c r="AS203" s="58">
        <f t="shared" ca="1" si="160"/>
        <v>0</v>
      </c>
      <c r="AT203" s="58">
        <f t="shared" ca="1" si="160"/>
        <v>0</v>
      </c>
      <c r="AU203" s="58">
        <f t="shared" ca="1" si="160"/>
        <v>0</v>
      </c>
      <c r="AV203" s="58">
        <f t="shared" ca="1" si="160"/>
        <v>0</v>
      </c>
      <c r="AW203" s="58">
        <f t="shared" ca="1" si="160"/>
        <v>0</v>
      </c>
      <c r="AX203" s="58">
        <f t="shared" ca="1" si="160"/>
        <v>0</v>
      </c>
      <c r="AY203" s="58">
        <f t="shared" ca="1" si="160"/>
        <v>0</v>
      </c>
      <c r="AZ203" s="58">
        <f t="shared" ca="1" si="160"/>
        <v>0</v>
      </c>
      <c r="BA203" s="58">
        <f t="shared" ca="1" si="160"/>
        <v>0</v>
      </c>
      <c r="BB203" s="58">
        <f t="shared" ca="1" si="160"/>
        <v>0</v>
      </c>
      <c r="BC203" s="58">
        <f t="shared" ca="1" si="160"/>
        <v>0</v>
      </c>
      <c r="BD203" s="58">
        <f t="shared" ca="1" si="160"/>
        <v>0</v>
      </c>
      <c r="BE203" s="58">
        <f t="shared" ca="1" si="160"/>
        <v>0</v>
      </c>
      <c r="BF203" s="58">
        <f t="shared" ca="1" si="160"/>
        <v>0</v>
      </c>
      <c r="BG203" s="58">
        <f t="shared" ca="1" si="160"/>
        <v>0</v>
      </c>
      <c r="BH203" s="58">
        <f t="shared" ca="1" si="160"/>
        <v>0</v>
      </c>
      <c r="BI203" s="58">
        <f t="shared" ca="1" si="160"/>
        <v>0</v>
      </c>
      <c r="BJ203" s="58">
        <f t="shared" ca="1" si="160"/>
        <v>0</v>
      </c>
      <c r="BK203" s="58">
        <f t="shared" ca="1" si="160"/>
        <v>0</v>
      </c>
      <c r="BL203" s="58">
        <f t="shared" ca="1" si="160"/>
        <v>0</v>
      </c>
      <c r="BM203" s="58">
        <f t="shared" ca="1" si="160"/>
        <v>0</v>
      </c>
      <c r="BN203" s="58">
        <f t="shared" ca="1" si="160"/>
        <v>0</v>
      </c>
      <c r="BO203" s="58">
        <f t="shared" ca="1" si="160"/>
        <v>0</v>
      </c>
      <c r="BP203" s="58">
        <f t="shared" ca="1" si="160"/>
        <v>0</v>
      </c>
      <c r="BQ203" s="58">
        <f t="shared" ca="1" si="160"/>
        <v>0</v>
      </c>
      <c r="BR203" s="58">
        <f t="shared" ca="1" si="160"/>
        <v>0</v>
      </c>
      <c r="BS203" s="58">
        <f t="shared" ref="BS203:CX203" ca="1" si="161">+IF(OR($F203+BS$175&lt;1,(BS$176-1)*12&lt;-$F203),0,OFFSET(BS33,0,$F203))</f>
        <v>0</v>
      </c>
      <c r="BT203" s="58">
        <f t="shared" ca="1" si="161"/>
        <v>0</v>
      </c>
      <c r="BU203" s="58">
        <f t="shared" ca="1" si="161"/>
        <v>0</v>
      </c>
      <c r="BV203" s="58">
        <f t="shared" ca="1" si="161"/>
        <v>0</v>
      </c>
      <c r="BW203" s="58">
        <f t="shared" ca="1" si="161"/>
        <v>0</v>
      </c>
      <c r="BX203" s="58">
        <f t="shared" ca="1" si="161"/>
        <v>0</v>
      </c>
      <c r="BY203" s="58">
        <f t="shared" ca="1" si="161"/>
        <v>0</v>
      </c>
      <c r="BZ203" s="58">
        <f t="shared" ca="1" si="161"/>
        <v>0</v>
      </c>
      <c r="CA203" s="58">
        <f t="shared" ca="1" si="161"/>
        <v>0</v>
      </c>
      <c r="CB203" s="58">
        <f t="shared" ca="1" si="161"/>
        <v>0</v>
      </c>
      <c r="CC203" s="58">
        <f t="shared" ca="1" si="161"/>
        <v>0</v>
      </c>
      <c r="CD203" s="58">
        <f t="shared" ca="1" si="161"/>
        <v>0</v>
      </c>
      <c r="CE203" s="58">
        <f t="shared" ca="1" si="161"/>
        <v>0</v>
      </c>
      <c r="CF203" s="58">
        <f t="shared" ca="1" si="161"/>
        <v>0</v>
      </c>
      <c r="CG203" s="58">
        <f t="shared" ca="1" si="161"/>
        <v>0</v>
      </c>
      <c r="CH203" s="58">
        <f t="shared" ca="1" si="161"/>
        <v>0</v>
      </c>
      <c r="CI203" s="58">
        <f t="shared" ca="1" si="161"/>
        <v>0</v>
      </c>
      <c r="CJ203" s="58">
        <f t="shared" ca="1" si="161"/>
        <v>0</v>
      </c>
      <c r="CK203" s="58">
        <f t="shared" ca="1" si="161"/>
        <v>0</v>
      </c>
      <c r="CL203" s="58">
        <f t="shared" ca="1" si="161"/>
        <v>0</v>
      </c>
      <c r="CM203" s="58">
        <f t="shared" ca="1" si="161"/>
        <v>0</v>
      </c>
      <c r="CN203" s="58">
        <f t="shared" ca="1" si="161"/>
        <v>0</v>
      </c>
      <c r="CO203" s="58">
        <f t="shared" ca="1" si="161"/>
        <v>0</v>
      </c>
      <c r="CP203" s="58">
        <f t="shared" ca="1" si="161"/>
        <v>0</v>
      </c>
      <c r="CQ203" s="58">
        <f t="shared" ca="1" si="161"/>
        <v>0</v>
      </c>
      <c r="CR203" s="58">
        <f t="shared" ca="1" si="161"/>
        <v>0</v>
      </c>
      <c r="CS203" s="58">
        <f t="shared" ca="1" si="161"/>
        <v>0</v>
      </c>
      <c r="CT203" s="58">
        <f t="shared" ca="1" si="161"/>
        <v>0</v>
      </c>
      <c r="CU203" s="58">
        <f t="shared" ca="1" si="161"/>
        <v>0</v>
      </c>
      <c r="CV203" s="58">
        <f t="shared" ca="1" si="161"/>
        <v>0</v>
      </c>
      <c r="CW203" s="58">
        <f t="shared" ca="1" si="161"/>
        <v>0</v>
      </c>
      <c r="CX203" s="58">
        <f t="shared" ca="1" si="161"/>
        <v>0</v>
      </c>
      <c r="CY203" s="58">
        <f t="shared" ref="CY203:ED203" ca="1" si="162">+IF(OR($F203+CY$175&lt;1,(CY$176-1)*12&lt;-$F203),0,OFFSET(CY33,0,$F203))</f>
        <v>0</v>
      </c>
      <c r="CZ203" s="58">
        <f t="shared" ca="1" si="162"/>
        <v>0</v>
      </c>
      <c r="DA203" s="58">
        <f t="shared" ca="1" si="162"/>
        <v>0</v>
      </c>
      <c r="DB203" s="58">
        <f t="shared" ca="1" si="162"/>
        <v>0</v>
      </c>
      <c r="DC203" s="58">
        <f t="shared" ca="1" si="162"/>
        <v>0</v>
      </c>
      <c r="DD203" s="58">
        <f t="shared" ca="1" si="162"/>
        <v>0</v>
      </c>
      <c r="DE203" s="58">
        <f t="shared" ca="1" si="162"/>
        <v>0</v>
      </c>
      <c r="DF203" s="58">
        <f t="shared" ca="1" si="162"/>
        <v>0</v>
      </c>
      <c r="DG203" s="58">
        <f t="shared" ca="1" si="162"/>
        <v>0</v>
      </c>
      <c r="DH203" s="58">
        <f t="shared" ca="1" si="162"/>
        <v>0</v>
      </c>
      <c r="DI203" s="58">
        <f t="shared" ca="1" si="162"/>
        <v>0</v>
      </c>
      <c r="DJ203" s="58">
        <f t="shared" ca="1" si="162"/>
        <v>0</v>
      </c>
      <c r="DK203" s="58">
        <f t="shared" ca="1" si="162"/>
        <v>0</v>
      </c>
      <c r="DL203" s="58">
        <f t="shared" ca="1" si="162"/>
        <v>0</v>
      </c>
      <c r="DM203" s="58">
        <f t="shared" ca="1" si="162"/>
        <v>0</v>
      </c>
      <c r="DN203" s="58">
        <f t="shared" ca="1" si="162"/>
        <v>0</v>
      </c>
      <c r="DO203" s="58">
        <f t="shared" ca="1" si="162"/>
        <v>0</v>
      </c>
      <c r="DP203" s="58">
        <f t="shared" ca="1" si="162"/>
        <v>0</v>
      </c>
      <c r="DQ203" s="58">
        <f t="shared" ca="1" si="162"/>
        <v>0</v>
      </c>
      <c r="DR203" s="58">
        <f t="shared" ca="1" si="162"/>
        <v>0</v>
      </c>
      <c r="DS203" s="58">
        <f t="shared" ca="1" si="162"/>
        <v>0</v>
      </c>
      <c r="DT203" s="58">
        <f t="shared" ca="1" si="162"/>
        <v>0</v>
      </c>
      <c r="DU203" s="58">
        <f t="shared" ca="1" si="162"/>
        <v>0</v>
      </c>
      <c r="DV203" s="58">
        <f t="shared" ca="1" si="162"/>
        <v>0</v>
      </c>
      <c r="DW203" s="58">
        <f t="shared" ca="1" si="162"/>
        <v>0</v>
      </c>
      <c r="DX203" s="58">
        <f t="shared" ca="1" si="162"/>
        <v>0</v>
      </c>
      <c r="DY203" s="58">
        <f t="shared" ca="1" si="162"/>
        <v>0</v>
      </c>
      <c r="DZ203" s="58">
        <f t="shared" ca="1" si="162"/>
        <v>0</v>
      </c>
      <c r="EA203" s="58">
        <f t="shared" ca="1" si="162"/>
        <v>0</v>
      </c>
      <c r="EB203" s="58">
        <f t="shared" ca="1" si="162"/>
        <v>0</v>
      </c>
      <c r="EC203" s="58">
        <f t="shared" ca="1" si="162"/>
        <v>0</v>
      </c>
      <c r="ED203" s="58">
        <f t="shared" ca="1" si="162"/>
        <v>0</v>
      </c>
      <c r="EE203" s="58">
        <f t="shared" ref="EE203:FN203" ca="1" si="163">+IF(OR($F203+EE$175&lt;1,(EE$176-1)*12&lt;-$F203),0,OFFSET(EE33,0,$F203))</f>
        <v>0</v>
      </c>
      <c r="EF203" s="58">
        <f t="shared" ca="1" si="163"/>
        <v>0</v>
      </c>
      <c r="EG203" s="58">
        <f t="shared" ca="1" si="163"/>
        <v>0</v>
      </c>
      <c r="EH203" s="58">
        <f t="shared" ca="1" si="163"/>
        <v>0</v>
      </c>
      <c r="EI203" s="58">
        <f t="shared" ca="1" si="163"/>
        <v>0</v>
      </c>
      <c r="EJ203" s="58">
        <f t="shared" ca="1" si="163"/>
        <v>0</v>
      </c>
      <c r="EK203" s="58">
        <f t="shared" ca="1" si="163"/>
        <v>0</v>
      </c>
      <c r="EL203" s="58">
        <f t="shared" ca="1" si="163"/>
        <v>0</v>
      </c>
      <c r="EM203" s="58">
        <f t="shared" ca="1" si="163"/>
        <v>0</v>
      </c>
      <c r="EN203" s="58">
        <f t="shared" ca="1" si="163"/>
        <v>0</v>
      </c>
      <c r="EO203" s="58">
        <f t="shared" ca="1" si="163"/>
        <v>0</v>
      </c>
      <c r="EP203" s="58">
        <f t="shared" ca="1" si="163"/>
        <v>0</v>
      </c>
      <c r="EQ203" s="58">
        <f t="shared" ca="1" si="163"/>
        <v>0</v>
      </c>
      <c r="ER203" s="58">
        <f t="shared" ca="1" si="163"/>
        <v>0</v>
      </c>
      <c r="ES203" s="58">
        <f t="shared" ca="1" si="163"/>
        <v>0</v>
      </c>
      <c r="ET203" s="58">
        <f t="shared" ca="1" si="163"/>
        <v>0</v>
      </c>
      <c r="EU203" s="58">
        <f t="shared" ca="1" si="163"/>
        <v>0</v>
      </c>
      <c r="EV203" s="58">
        <f t="shared" ca="1" si="163"/>
        <v>0</v>
      </c>
      <c r="EW203" s="58">
        <f t="shared" ca="1" si="163"/>
        <v>0</v>
      </c>
      <c r="EX203" s="58">
        <f t="shared" ca="1" si="163"/>
        <v>0</v>
      </c>
      <c r="EY203" s="58">
        <f t="shared" ca="1" si="163"/>
        <v>0</v>
      </c>
      <c r="EZ203" s="58">
        <f t="shared" ca="1" si="163"/>
        <v>0</v>
      </c>
      <c r="FA203" s="58">
        <f t="shared" ca="1" si="163"/>
        <v>0</v>
      </c>
      <c r="FB203" s="58">
        <f t="shared" ca="1" si="163"/>
        <v>0</v>
      </c>
      <c r="FC203" s="58">
        <f t="shared" ca="1" si="163"/>
        <v>0</v>
      </c>
      <c r="FD203" s="58">
        <f t="shared" ca="1" si="163"/>
        <v>0</v>
      </c>
      <c r="FE203" s="58">
        <f t="shared" ca="1" si="163"/>
        <v>0</v>
      </c>
      <c r="FF203" s="58">
        <f t="shared" ca="1" si="163"/>
        <v>0</v>
      </c>
      <c r="FG203" s="58">
        <f t="shared" ca="1" si="163"/>
        <v>0</v>
      </c>
      <c r="FH203" s="58">
        <f t="shared" ca="1" si="163"/>
        <v>0</v>
      </c>
      <c r="FI203" s="58">
        <f t="shared" ca="1" si="163"/>
        <v>0</v>
      </c>
      <c r="FJ203" s="58">
        <f t="shared" ca="1" si="163"/>
        <v>0</v>
      </c>
      <c r="FK203" s="58">
        <f t="shared" ca="1" si="163"/>
        <v>0</v>
      </c>
      <c r="FL203" s="58">
        <f t="shared" ca="1" si="163"/>
        <v>0</v>
      </c>
      <c r="FM203" s="58">
        <f t="shared" ca="1" si="163"/>
        <v>0</v>
      </c>
      <c r="FN203" s="58">
        <f t="shared" ca="1" si="163"/>
        <v>0</v>
      </c>
      <c r="FO203" s="13"/>
    </row>
    <row r="204" spans="1:171" outlineLevel="1" x14ac:dyDescent="0.3">
      <c r="A204" s="13"/>
      <c r="B204" s="13"/>
      <c r="C204" s="13"/>
      <c r="D204" s="52">
        <f t="shared" si="31"/>
        <v>40969</v>
      </c>
      <c r="E204" s="53">
        <f t="shared" si="32"/>
        <v>2012</v>
      </c>
      <c r="F204" s="53">
        <f t="shared" si="33"/>
        <v>-22</v>
      </c>
      <c r="G204" s="58">
        <f t="shared" ref="G204:AL204" ca="1" si="164">+IF(OR($F204+G$175&lt;1,(G$176-1)*12&lt;-$F204),0,OFFSET(G34,0,$F204))</f>
        <v>0</v>
      </c>
      <c r="H204" s="58">
        <f t="shared" ca="1" si="164"/>
        <v>0</v>
      </c>
      <c r="I204" s="58">
        <f t="shared" ca="1" si="164"/>
        <v>0</v>
      </c>
      <c r="J204" s="58">
        <f t="shared" ca="1" si="164"/>
        <v>0</v>
      </c>
      <c r="K204" s="58">
        <f t="shared" ca="1" si="164"/>
        <v>0</v>
      </c>
      <c r="L204" s="58">
        <f t="shared" ca="1" si="164"/>
        <v>0</v>
      </c>
      <c r="M204" s="58">
        <f t="shared" ca="1" si="164"/>
        <v>0</v>
      </c>
      <c r="N204" s="58">
        <f t="shared" ca="1" si="164"/>
        <v>0</v>
      </c>
      <c r="O204" s="58">
        <f t="shared" ca="1" si="164"/>
        <v>0</v>
      </c>
      <c r="P204" s="58">
        <f t="shared" ca="1" si="164"/>
        <v>0</v>
      </c>
      <c r="Q204" s="58">
        <f t="shared" ca="1" si="164"/>
        <v>0</v>
      </c>
      <c r="R204" s="58">
        <f t="shared" ca="1" si="164"/>
        <v>0</v>
      </c>
      <c r="S204" s="58">
        <f t="shared" ca="1" si="164"/>
        <v>0</v>
      </c>
      <c r="T204" s="58">
        <f t="shared" ca="1" si="164"/>
        <v>0</v>
      </c>
      <c r="U204" s="58">
        <f t="shared" ca="1" si="164"/>
        <v>0</v>
      </c>
      <c r="V204" s="58">
        <f t="shared" ca="1" si="164"/>
        <v>0</v>
      </c>
      <c r="W204" s="58">
        <f t="shared" ca="1" si="164"/>
        <v>0</v>
      </c>
      <c r="X204" s="58">
        <f t="shared" ca="1" si="164"/>
        <v>0</v>
      </c>
      <c r="Y204" s="58">
        <f t="shared" ca="1" si="164"/>
        <v>0</v>
      </c>
      <c r="Z204" s="58">
        <f t="shared" ca="1" si="164"/>
        <v>0</v>
      </c>
      <c r="AA204" s="58">
        <f t="shared" ca="1" si="164"/>
        <v>0</v>
      </c>
      <c r="AB204" s="58">
        <f t="shared" ca="1" si="164"/>
        <v>0</v>
      </c>
      <c r="AC204" s="58">
        <f t="shared" ca="1" si="164"/>
        <v>0</v>
      </c>
      <c r="AD204" s="58">
        <f t="shared" ca="1" si="164"/>
        <v>0</v>
      </c>
      <c r="AE204" s="58">
        <f t="shared" ca="1" si="164"/>
        <v>0</v>
      </c>
      <c r="AF204" s="58">
        <f t="shared" ca="1" si="164"/>
        <v>0</v>
      </c>
      <c r="AG204" s="58">
        <f t="shared" ca="1" si="164"/>
        <v>0</v>
      </c>
      <c r="AH204" s="58">
        <f t="shared" ca="1" si="164"/>
        <v>0</v>
      </c>
      <c r="AI204" s="58">
        <f t="shared" ca="1" si="164"/>
        <v>0</v>
      </c>
      <c r="AJ204" s="58">
        <f t="shared" ca="1" si="164"/>
        <v>0</v>
      </c>
      <c r="AK204" s="58">
        <f t="shared" ca="1" si="164"/>
        <v>0</v>
      </c>
      <c r="AL204" s="58">
        <f t="shared" ca="1" si="164"/>
        <v>0</v>
      </c>
      <c r="AM204" s="58">
        <f t="shared" ref="AM204:BR204" ca="1" si="165">+IF(OR($F204+AM$175&lt;1,(AM$176-1)*12&lt;-$F204),0,OFFSET(AM34,0,$F204))</f>
        <v>0</v>
      </c>
      <c r="AN204" s="58">
        <f t="shared" ca="1" si="165"/>
        <v>0</v>
      </c>
      <c r="AO204" s="58">
        <f t="shared" ca="1" si="165"/>
        <v>0</v>
      </c>
      <c r="AP204" s="58">
        <f t="shared" ca="1" si="165"/>
        <v>0</v>
      </c>
      <c r="AQ204" s="58">
        <f t="shared" ca="1" si="165"/>
        <v>0</v>
      </c>
      <c r="AR204" s="58">
        <f t="shared" ca="1" si="165"/>
        <v>0</v>
      </c>
      <c r="AS204" s="58">
        <f t="shared" ca="1" si="165"/>
        <v>0</v>
      </c>
      <c r="AT204" s="58">
        <f t="shared" ca="1" si="165"/>
        <v>0</v>
      </c>
      <c r="AU204" s="58">
        <f t="shared" ca="1" si="165"/>
        <v>0</v>
      </c>
      <c r="AV204" s="58">
        <f t="shared" ca="1" si="165"/>
        <v>0</v>
      </c>
      <c r="AW204" s="58">
        <f t="shared" ca="1" si="165"/>
        <v>0</v>
      </c>
      <c r="AX204" s="58">
        <f t="shared" ca="1" si="165"/>
        <v>0</v>
      </c>
      <c r="AY204" s="58">
        <f t="shared" ca="1" si="165"/>
        <v>0</v>
      </c>
      <c r="AZ204" s="58">
        <f t="shared" ca="1" si="165"/>
        <v>0</v>
      </c>
      <c r="BA204" s="58">
        <f t="shared" ca="1" si="165"/>
        <v>0</v>
      </c>
      <c r="BB204" s="58">
        <f t="shared" ca="1" si="165"/>
        <v>0</v>
      </c>
      <c r="BC204" s="58">
        <f t="shared" ca="1" si="165"/>
        <v>0</v>
      </c>
      <c r="BD204" s="58">
        <f t="shared" ca="1" si="165"/>
        <v>0</v>
      </c>
      <c r="BE204" s="58">
        <f t="shared" ca="1" si="165"/>
        <v>0</v>
      </c>
      <c r="BF204" s="58">
        <f t="shared" ca="1" si="165"/>
        <v>0</v>
      </c>
      <c r="BG204" s="58">
        <f t="shared" ca="1" si="165"/>
        <v>0</v>
      </c>
      <c r="BH204" s="58">
        <f t="shared" ca="1" si="165"/>
        <v>0</v>
      </c>
      <c r="BI204" s="58">
        <f t="shared" ca="1" si="165"/>
        <v>0</v>
      </c>
      <c r="BJ204" s="58">
        <f t="shared" ca="1" si="165"/>
        <v>0</v>
      </c>
      <c r="BK204" s="58">
        <f t="shared" ca="1" si="165"/>
        <v>0</v>
      </c>
      <c r="BL204" s="58">
        <f t="shared" ca="1" si="165"/>
        <v>0</v>
      </c>
      <c r="BM204" s="58">
        <f t="shared" ca="1" si="165"/>
        <v>0</v>
      </c>
      <c r="BN204" s="58">
        <f t="shared" ca="1" si="165"/>
        <v>0</v>
      </c>
      <c r="BO204" s="58">
        <f t="shared" ca="1" si="165"/>
        <v>0</v>
      </c>
      <c r="BP204" s="58">
        <f t="shared" ca="1" si="165"/>
        <v>0</v>
      </c>
      <c r="BQ204" s="58">
        <f t="shared" ca="1" si="165"/>
        <v>0</v>
      </c>
      <c r="BR204" s="58">
        <f t="shared" ca="1" si="165"/>
        <v>0</v>
      </c>
      <c r="BS204" s="58">
        <f t="shared" ref="BS204:CX204" ca="1" si="166">+IF(OR($F204+BS$175&lt;1,(BS$176-1)*12&lt;-$F204),0,OFFSET(BS34,0,$F204))</f>
        <v>0</v>
      </c>
      <c r="BT204" s="58">
        <f t="shared" ca="1" si="166"/>
        <v>0</v>
      </c>
      <c r="BU204" s="58">
        <f t="shared" ca="1" si="166"/>
        <v>0</v>
      </c>
      <c r="BV204" s="58">
        <f t="shared" ca="1" si="166"/>
        <v>0</v>
      </c>
      <c r="BW204" s="58">
        <f t="shared" ca="1" si="166"/>
        <v>0</v>
      </c>
      <c r="BX204" s="58">
        <f t="shared" ca="1" si="166"/>
        <v>0</v>
      </c>
      <c r="BY204" s="58">
        <f t="shared" ca="1" si="166"/>
        <v>0</v>
      </c>
      <c r="BZ204" s="58">
        <f t="shared" ca="1" si="166"/>
        <v>0</v>
      </c>
      <c r="CA204" s="58">
        <f t="shared" ca="1" si="166"/>
        <v>0</v>
      </c>
      <c r="CB204" s="58">
        <f t="shared" ca="1" si="166"/>
        <v>0</v>
      </c>
      <c r="CC204" s="58">
        <f t="shared" ca="1" si="166"/>
        <v>0</v>
      </c>
      <c r="CD204" s="58">
        <f t="shared" ca="1" si="166"/>
        <v>0</v>
      </c>
      <c r="CE204" s="58">
        <f t="shared" ca="1" si="166"/>
        <v>0</v>
      </c>
      <c r="CF204" s="58">
        <f t="shared" ca="1" si="166"/>
        <v>0</v>
      </c>
      <c r="CG204" s="58">
        <f t="shared" ca="1" si="166"/>
        <v>0</v>
      </c>
      <c r="CH204" s="58">
        <f t="shared" ca="1" si="166"/>
        <v>0</v>
      </c>
      <c r="CI204" s="58">
        <f t="shared" ca="1" si="166"/>
        <v>0</v>
      </c>
      <c r="CJ204" s="58">
        <f t="shared" ca="1" si="166"/>
        <v>0</v>
      </c>
      <c r="CK204" s="58">
        <f t="shared" ca="1" si="166"/>
        <v>0</v>
      </c>
      <c r="CL204" s="58">
        <f t="shared" ca="1" si="166"/>
        <v>0</v>
      </c>
      <c r="CM204" s="58">
        <f t="shared" ca="1" si="166"/>
        <v>0</v>
      </c>
      <c r="CN204" s="58">
        <f t="shared" ca="1" si="166"/>
        <v>0</v>
      </c>
      <c r="CO204" s="58">
        <f t="shared" ca="1" si="166"/>
        <v>0</v>
      </c>
      <c r="CP204" s="58">
        <f t="shared" ca="1" si="166"/>
        <v>0</v>
      </c>
      <c r="CQ204" s="58">
        <f t="shared" ca="1" si="166"/>
        <v>0</v>
      </c>
      <c r="CR204" s="58">
        <f t="shared" ca="1" si="166"/>
        <v>0</v>
      </c>
      <c r="CS204" s="58">
        <f t="shared" ca="1" si="166"/>
        <v>0</v>
      </c>
      <c r="CT204" s="58">
        <f t="shared" ca="1" si="166"/>
        <v>0</v>
      </c>
      <c r="CU204" s="58">
        <f t="shared" ca="1" si="166"/>
        <v>0</v>
      </c>
      <c r="CV204" s="58">
        <f t="shared" ca="1" si="166"/>
        <v>0</v>
      </c>
      <c r="CW204" s="58">
        <f t="shared" ca="1" si="166"/>
        <v>0</v>
      </c>
      <c r="CX204" s="58">
        <f t="shared" ca="1" si="166"/>
        <v>0</v>
      </c>
      <c r="CY204" s="58">
        <f t="shared" ref="CY204:ED204" ca="1" si="167">+IF(OR($F204+CY$175&lt;1,(CY$176-1)*12&lt;-$F204),0,OFFSET(CY34,0,$F204))</f>
        <v>0</v>
      </c>
      <c r="CZ204" s="58">
        <f t="shared" ca="1" si="167"/>
        <v>0</v>
      </c>
      <c r="DA204" s="58">
        <f t="shared" ca="1" si="167"/>
        <v>0</v>
      </c>
      <c r="DB204" s="58">
        <f t="shared" ca="1" si="167"/>
        <v>0</v>
      </c>
      <c r="DC204" s="58">
        <f t="shared" ca="1" si="167"/>
        <v>0</v>
      </c>
      <c r="DD204" s="58">
        <f t="shared" ca="1" si="167"/>
        <v>0</v>
      </c>
      <c r="DE204" s="58">
        <f t="shared" ca="1" si="167"/>
        <v>0</v>
      </c>
      <c r="DF204" s="58">
        <f t="shared" ca="1" si="167"/>
        <v>0</v>
      </c>
      <c r="DG204" s="58">
        <f t="shared" ca="1" si="167"/>
        <v>0</v>
      </c>
      <c r="DH204" s="58">
        <f t="shared" ca="1" si="167"/>
        <v>0</v>
      </c>
      <c r="DI204" s="58">
        <f t="shared" ca="1" si="167"/>
        <v>0</v>
      </c>
      <c r="DJ204" s="58">
        <f t="shared" ca="1" si="167"/>
        <v>0</v>
      </c>
      <c r="DK204" s="58">
        <f t="shared" ca="1" si="167"/>
        <v>0</v>
      </c>
      <c r="DL204" s="58">
        <f t="shared" ca="1" si="167"/>
        <v>0</v>
      </c>
      <c r="DM204" s="58">
        <f t="shared" ca="1" si="167"/>
        <v>0</v>
      </c>
      <c r="DN204" s="58">
        <f t="shared" ca="1" si="167"/>
        <v>0</v>
      </c>
      <c r="DO204" s="58">
        <f t="shared" ca="1" si="167"/>
        <v>0</v>
      </c>
      <c r="DP204" s="58">
        <f t="shared" ca="1" si="167"/>
        <v>0</v>
      </c>
      <c r="DQ204" s="58">
        <f t="shared" ca="1" si="167"/>
        <v>0</v>
      </c>
      <c r="DR204" s="58">
        <f t="shared" ca="1" si="167"/>
        <v>0</v>
      </c>
      <c r="DS204" s="58">
        <f t="shared" ca="1" si="167"/>
        <v>0</v>
      </c>
      <c r="DT204" s="58">
        <f t="shared" ca="1" si="167"/>
        <v>0</v>
      </c>
      <c r="DU204" s="58">
        <f t="shared" ca="1" si="167"/>
        <v>0</v>
      </c>
      <c r="DV204" s="58">
        <f t="shared" ca="1" si="167"/>
        <v>0</v>
      </c>
      <c r="DW204" s="58">
        <f t="shared" ca="1" si="167"/>
        <v>0</v>
      </c>
      <c r="DX204" s="58">
        <f t="shared" ca="1" si="167"/>
        <v>0</v>
      </c>
      <c r="DY204" s="58">
        <f t="shared" ca="1" si="167"/>
        <v>0</v>
      </c>
      <c r="DZ204" s="58">
        <f t="shared" ca="1" si="167"/>
        <v>0</v>
      </c>
      <c r="EA204" s="58">
        <f t="shared" ca="1" si="167"/>
        <v>0</v>
      </c>
      <c r="EB204" s="58">
        <f t="shared" ca="1" si="167"/>
        <v>0</v>
      </c>
      <c r="EC204" s="58">
        <f t="shared" ca="1" si="167"/>
        <v>0</v>
      </c>
      <c r="ED204" s="58">
        <f t="shared" ca="1" si="167"/>
        <v>0</v>
      </c>
      <c r="EE204" s="58">
        <f t="shared" ref="EE204:FN204" ca="1" si="168">+IF(OR($F204+EE$175&lt;1,(EE$176-1)*12&lt;-$F204),0,OFFSET(EE34,0,$F204))</f>
        <v>0</v>
      </c>
      <c r="EF204" s="58">
        <f t="shared" ca="1" si="168"/>
        <v>0</v>
      </c>
      <c r="EG204" s="58">
        <f t="shared" ca="1" si="168"/>
        <v>0</v>
      </c>
      <c r="EH204" s="58">
        <f t="shared" ca="1" si="168"/>
        <v>0</v>
      </c>
      <c r="EI204" s="58">
        <f t="shared" ca="1" si="168"/>
        <v>0</v>
      </c>
      <c r="EJ204" s="58">
        <f t="shared" ca="1" si="168"/>
        <v>0</v>
      </c>
      <c r="EK204" s="58">
        <f t="shared" ca="1" si="168"/>
        <v>0</v>
      </c>
      <c r="EL204" s="58">
        <f t="shared" ca="1" si="168"/>
        <v>0</v>
      </c>
      <c r="EM204" s="58">
        <f t="shared" ca="1" si="168"/>
        <v>0</v>
      </c>
      <c r="EN204" s="58">
        <f t="shared" ca="1" si="168"/>
        <v>0</v>
      </c>
      <c r="EO204" s="58">
        <f t="shared" ca="1" si="168"/>
        <v>0</v>
      </c>
      <c r="EP204" s="58">
        <f t="shared" ca="1" si="168"/>
        <v>0</v>
      </c>
      <c r="EQ204" s="58">
        <f t="shared" ca="1" si="168"/>
        <v>0</v>
      </c>
      <c r="ER204" s="58">
        <f t="shared" ca="1" si="168"/>
        <v>0</v>
      </c>
      <c r="ES204" s="58">
        <f t="shared" ca="1" si="168"/>
        <v>0</v>
      </c>
      <c r="ET204" s="58">
        <f t="shared" ca="1" si="168"/>
        <v>0</v>
      </c>
      <c r="EU204" s="58">
        <f t="shared" ca="1" si="168"/>
        <v>0</v>
      </c>
      <c r="EV204" s="58">
        <f t="shared" ca="1" si="168"/>
        <v>0</v>
      </c>
      <c r="EW204" s="58">
        <f t="shared" ca="1" si="168"/>
        <v>0</v>
      </c>
      <c r="EX204" s="58">
        <f t="shared" ca="1" si="168"/>
        <v>0</v>
      </c>
      <c r="EY204" s="58">
        <f t="shared" ca="1" si="168"/>
        <v>0</v>
      </c>
      <c r="EZ204" s="58">
        <f t="shared" ca="1" si="168"/>
        <v>0</v>
      </c>
      <c r="FA204" s="58">
        <f t="shared" ca="1" si="168"/>
        <v>0</v>
      </c>
      <c r="FB204" s="58">
        <f t="shared" ca="1" si="168"/>
        <v>0</v>
      </c>
      <c r="FC204" s="58">
        <f t="shared" ca="1" si="168"/>
        <v>0</v>
      </c>
      <c r="FD204" s="58">
        <f t="shared" ca="1" si="168"/>
        <v>0</v>
      </c>
      <c r="FE204" s="58">
        <f t="shared" ca="1" si="168"/>
        <v>0</v>
      </c>
      <c r="FF204" s="58">
        <f t="shared" ca="1" si="168"/>
        <v>0</v>
      </c>
      <c r="FG204" s="58">
        <f t="shared" ca="1" si="168"/>
        <v>0</v>
      </c>
      <c r="FH204" s="58">
        <f t="shared" ca="1" si="168"/>
        <v>0</v>
      </c>
      <c r="FI204" s="58">
        <f t="shared" ca="1" si="168"/>
        <v>0</v>
      </c>
      <c r="FJ204" s="58">
        <f t="shared" ca="1" si="168"/>
        <v>0</v>
      </c>
      <c r="FK204" s="58">
        <f t="shared" ca="1" si="168"/>
        <v>0</v>
      </c>
      <c r="FL204" s="58">
        <f t="shared" ca="1" si="168"/>
        <v>0</v>
      </c>
      <c r="FM204" s="58">
        <f t="shared" ca="1" si="168"/>
        <v>0</v>
      </c>
      <c r="FN204" s="58">
        <f t="shared" ca="1" si="168"/>
        <v>0</v>
      </c>
      <c r="FO204" s="13"/>
    </row>
    <row r="205" spans="1:171" outlineLevel="1" x14ac:dyDescent="0.3">
      <c r="A205" s="13"/>
      <c r="B205" s="13"/>
      <c r="C205" s="13"/>
      <c r="D205" s="52">
        <f t="shared" si="31"/>
        <v>41000</v>
      </c>
      <c r="E205" s="53">
        <f t="shared" si="32"/>
        <v>2012</v>
      </c>
      <c r="F205" s="53">
        <f t="shared" si="33"/>
        <v>-21</v>
      </c>
      <c r="G205" s="58">
        <f t="shared" ref="G205:AL205" ca="1" si="169">+IF(OR($F205+G$175&lt;1,(G$176-1)*12&lt;-$F205),0,OFFSET(G35,0,$F205))</f>
        <v>0</v>
      </c>
      <c r="H205" s="58">
        <f t="shared" ca="1" si="169"/>
        <v>0</v>
      </c>
      <c r="I205" s="58">
        <f t="shared" ca="1" si="169"/>
        <v>0</v>
      </c>
      <c r="J205" s="58">
        <f t="shared" ca="1" si="169"/>
        <v>0</v>
      </c>
      <c r="K205" s="58">
        <f t="shared" ca="1" si="169"/>
        <v>0</v>
      </c>
      <c r="L205" s="58">
        <f t="shared" ca="1" si="169"/>
        <v>0</v>
      </c>
      <c r="M205" s="58">
        <f t="shared" ca="1" si="169"/>
        <v>0</v>
      </c>
      <c r="N205" s="58">
        <f t="shared" ca="1" si="169"/>
        <v>0</v>
      </c>
      <c r="O205" s="58">
        <f t="shared" ca="1" si="169"/>
        <v>0</v>
      </c>
      <c r="P205" s="58">
        <f t="shared" ca="1" si="169"/>
        <v>0</v>
      </c>
      <c r="Q205" s="58">
        <f t="shared" ca="1" si="169"/>
        <v>0</v>
      </c>
      <c r="R205" s="58">
        <f t="shared" ca="1" si="169"/>
        <v>0</v>
      </c>
      <c r="S205" s="58">
        <f t="shared" ca="1" si="169"/>
        <v>0</v>
      </c>
      <c r="T205" s="58">
        <f t="shared" ca="1" si="169"/>
        <v>0</v>
      </c>
      <c r="U205" s="58">
        <f t="shared" ca="1" si="169"/>
        <v>0</v>
      </c>
      <c r="V205" s="58">
        <f t="shared" ca="1" si="169"/>
        <v>0</v>
      </c>
      <c r="W205" s="58">
        <f t="shared" ca="1" si="169"/>
        <v>0</v>
      </c>
      <c r="X205" s="58">
        <f t="shared" ca="1" si="169"/>
        <v>0</v>
      </c>
      <c r="Y205" s="58">
        <f t="shared" ca="1" si="169"/>
        <v>0</v>
      </c>
      <c r="Z205" s="58">
        <f t="shared" ca="1" si="169"/>
        <v>0</v>
      </c>
      <c r="AA205" s="58">
        <f t="shared" ca="1" si="169"/>
        <v>0</v>
      </c>
      <c r="AB205" s="58">
        <f t="shared" ca="1" si="169"/>
        <v>0</v>
      </c>
      <c r="AC205" s="58">
        <f t="shared" ca="1" si="169"/>
        <v>0</v>
      </c>
      <c r="AD205" s="58">
        <f t="shared" ca="1" si="169"/>
        <v>0</v>
      </c>
      <c r="AE205" s="58">
        <f t="shared" ca="1" si="169"/>
        <v>0</v>
      </c>
      <c r="AF205" s="58">
        <f t="shared" ca="1" si="169"/>
        <v>0</v>
      </c>
      <c r="AG205" s="58">
        <f t="shared" ca="1" si="169"/>
        <v>0</v>
      </c>
      <c r="AH205" s="58">
        <f t="shared" ca="1" si="169"/>
        <v>0</v>
      </c>
      <c r="AI205" s="58">
        <f t="shared" ca="1" si="169"/>
        <v>0</v>
      </c>
      <c r="AJ205" s="58">
        <f t="shared" ca="1" si="169"/>
        <v>0</v>
      </c>
      <c r="AK205" s="58">
        <f t="shared" ca="1" si="169"/>
        <v>0</v>
      </c>
      <c r="AL205" s="58">
        <f t="shared" ca="1" si="169"/>
        <v>0</v>
      </c>
      <c r="AM205" s="58">
        <f t="shared" ref="AM205:BR205" ca="1" si="170">+IF(OR($F205+AM$175&lt;1,(AM$176-1)*12&lt;-$F205),0,OFFSET(AM35,0,$F205))</f>
        <v>0</v>
      </c>
      <c r="AN205" s="58">
        <f t="shared" ca="1" si="170"/>
        <v>0</v>
      </c>
      <c r="AO205" s="58">
        <f t="shared" ca="1" si="170"/>
        <v>0</v>
      </c>
      <c r="AP205" s="58">
        <f t="shared" ca="1" si="170"/>
        <v>0</v>
      </c>
      <c r="AQ205" s="58">
        <f t="shared" ca="1" si="170"/>
        <v>0</v>
      </c>
      <c r="AR205" s="58">
        <f t="shared" ca="1" si="170"/>
        <v>0</v>
      </c>
      <c r="AS205" s="58">
        <f t="shared" ca="1" si="170"/>
        <v>0</v>
      </c>
      <c r="AT205" s="58">
        <f t="shared" ca="1" si="170"/>
        <v>0</v>
      </c>
      <c r="AU205" s="58">
        <f t="shared" ca="1" si="170"/>
        <v>0</v>
      </c>
      <c r="AV205" s="58">
        <f t="shared" ca="1" si="170"/>
        <v>0</v>
      </c>
      <c r="AW205" s="58">
        <f t="shared" ca="1" si="170"/>
        <v>0</v>
      </c>
      <c r="AX205" s="58">
        <f t="shared" ca="1" si="170"/>
        <v>0</v>
      </c>
      <c r="AY205" s="58">
        <f t="shared" ca="1" si="170"/>
        <v>0</v>
      </c>
      <c r="AZ205" s="58">
        <f t="shared" ca="1" si="170"/>
        <v>0</v>
      </c>
      <c r="BA205" s="58">
        <f t="shared" ca="1" si="170"/>
        <v>0</v>
      </c>
      <c r="BB205" s="58">
        <f t="shared" ca="1" si="170"/>
        <v>0</v>
      </c>
      <c r="BC205" s="58">
        <f t="shared" ca="1" si="170"/>
        <v>0</v>
      </c>
      <c r="BD205" s="58">
        <f t="shared" ca="1" si="170"/>
        <v>0</v>
      </c>
      <c r="BE205" s="58">
        <f t="shared" ca="1" si="170"/>
        <v>0</v>
      </c>
      <c r="BF205" s="58">
        <f t="shared" ca="1" si="170"/>
        <v>0</v>
      </c>
      <c r="BG205" s="58">
        <f t="shared" ca="1" si="170"/>
        <v>0</v>
      </c>
      <c r="BH205" s="58">
        <f t="shared" ca="1" si="170"/>
        <v>0</v>
      </c>
      <c r="BI205" s="58">
        <f t="shared" ca="1" si="170"/>
        <v>0</v>
      </c>
      <c r="BJ205" s="58">
        <f t="shared" ca="1" si="170"/>
        <v>0</v>
      </c>
      <c r="BK205" s="58">
        <f t="shared" ca="1" si="170"/>
        <v>0</v>
      </c>
      <c r="BL205" s="58">
        <f t="shared" ca="1" si="170"/>
        <v>0</v>
      </c>
      <c r="BM205" s="58">
        <f t="shared" ca="1" si="170"/>
        <v>0</v>
      </c>
      <c r="BN205" s="58">
        <f t="shared" ca="1" si="170"/>
        <v>0</v>
      </c>
      <c r="BO205" s="58">
        <f t="shared" ca="1" si="170"/>
        <v>0</v>
      </c>
      <c r="BP205" s="58">
        <f t="shared" ca="1" si="170"/>
        <v>0</v>
      </c>
      <c r="BQ205" s="58">
        <f t="shared" ca="1" si="170"/>
        <v>0</v>
      </c>
      <c r="BR205" s="58">
        <f t="shared" ca="1" si="170"/>
        <v>0</v>
      </c>
      <c r="BS205" s="58">
        <f t="shared" ref="BS205:CX205" ca="1" si="171">+IF(OR($F205+BS$175&lt;1,(BS$176-1)*12&lt;-$F205),0,OFFSET(BS35,0,$F205))</f>
        <v>0</v>
      </c>
      <c r="BT205" s="58">
        <f t="shared" ca="1" si="171"/>
        <v>0</v>
      </c>
      <c r="BU205" s="58">
        <f t="shared" ca="1" si="171"/>
        <v>0</v>
      </c>
      <c r="BV205" s="58">
        <f t="shared" ca="1" si="171"/>
        <v>0</v>
      </c>
      <c r="BW205" s="58">
        <f t="shared" ca="1" si="171"/>
        <v>0</v>
      </c>
      <c r="BX205" s="58">
        <f t="shared" ca="1" si="171"/>
        <v>0</v>
      </c>
      <c r="BY205" s="58">
        <f t="shared" ca="1" si="171"/>
        <v>0</v>
      </c>
      <c r="BZ205" s="58">
        <f t="shared" ca="1" si="171"/>
        <v>0</v>
      </c>
      <c r="CA205" s="58">
        <f t="shared" ca="1" si="171"/>
        <v>0</v>
      </c>
      <c r="CB205" s="58">
        <f t="shared" ca="1" si="171"/>
        <v>0</v>
      </c>
      <c r="CC205" s="58">
        <f t="shared" ca="1" si="171"/>
        <v>0</v>
      </c>
      <c r="CD205" s="58">
        <f t="shared" ca="1" si="171"/>
        <v>0</v>
      </c>
      <c r="CE205" s="58">
        <f t="shared" ca="1" si="171"/>
        <v>0</v>
      </c>
      <c r="CF205" s="58">
        <f t="shared" ca="1" si="171"/>
        <v>0</v>
      </c>
      <c r="CG205" s="58">
        <f t="shared" ca="1" si="171"/>
        <v>0</v>
      </c>
      <c r="CH205" s="58">
        <f t="shared" ca="1" si="171"/>
        <v>0</v>
      </c>
      <c r="CI205" s="58">
        <f t="shared" ca="1" si="171"/>
        <v>0</v>
      </c>
      <c r="CJ205" s="58">
        <f t="shared" ca="1" si="171"/>
        <v>0</v>
      </c>
      <c r="CK205" s="58">
        <f t="shared" ca="1" si="171"/>
        <v>0</v>
      </c>
      <c r="CL205" s="58">
        <f t="shared" ca="1" si="171"/>
        <v>0</v>
      </c>
      <c r="CM205" s="58">
        <f t="shared" ca="1" si="171"/>
        <v>0</v>
      </c>
      <c r="CN205" s="58">
        <f t="shared" ca="1" si="171"/>
        <v>0</v>
      </c>
      <c r="CO205" s="58">
        <f t="shared" ca="1" si="171"/>
        <v>0</v>
      </c>
      <c r="CP205" s="58">
        <f t="shared" ca="1" si="171"/>
        <v>0</v>
      </c>
      <c r="CQ205" s="58">
        <f t="shared" ca="1" si="171"/>
        <v>0</v>
      </c>
      <c r="CR205" s="58">
        <f t="shared" ca="1" si="171"/>
        <v>0</v>
      </c>
      <c r="CS205" s="58">
        <f t="shared" ca="1" si="171"/>
        <v>0</v>
      </c>
      <c r="CT205" s="58">
        <f t="shared" ca="1" si="171"/>
        <v>0</v>
      </c>
      <c r="CU205" s="58">
        <f t="shared" ca="1" si="171"/>
        <v>0</v>
      </c>
      <c r="CV205" s="58">
        <f t="shared" ca="1" si="171"/>
        <v>0</v>
      </c>
      <c r="CW205" s="58">
        <f t="shared" ca="1" si="171"/>
        <v>0</v>
      </c>
      <c r="CX205" s="58">
        <f t="shared" ca="1" si="171"/>
        <v>0</v>
      </c>
      <c r="CY205" s="58">
        <f t="shared" ref="CY205:ED205" ca="1" si="172">+IF(OR($F205+CY$175&lt;1,(CY$176-1)*12&lt;-$F205),0,OFFSET(CY35,0,$F205))</f>
        <v>0</v>
      </c>
      <c r="CZ205" s="58">
        <f t="shared" ca="1" si="172"/>
        <v>0</v>
      </c>
      <c r="DA205" s="58">
        <f t="shared" ca="1" si="172"/>
        <v>0</v>
      </c>
      <c r="DB205" s="58">
        <f t="shared" ca="1" si="172"/>
        <v>0</v>
      </c>
      <c r="DC205" s="58">
        <f t="shared" ca="1" si="172"/>
        <v>0</v>
      </c>
      <c r="DD205" s="58">
        <f t="shared" ca="1" si="172"/>
        <v>0</v>
      </c>
      <c r="DE205" s="58">
        <f t="shared" ca="1" si="172"/>
        <v>0</v>
      </c>
      <c r="DF205" s="58">
        <f t="shared" ca="1" si="172"/>
        <v>0</v>
      </c>
      <c r="DG205" s="58">
        <f t="shared" ca="1" si="172"/>
        <v>0</v>
      </c>
      <c r="DH205" s="58">
        <f t="shared" ca="1" si="172"/>
        <v>0</v>
      </c>
      <c r="DI205" s="58">
        <f t="shared" ca="1" si="172"/>
        <v>0</v>
      </c>
      <c r="DJ205" s="58">
        <f t="shared" ca="1" si="172"/>
        <v>0</v>
      </c>
      <c r="DK205" s="58">
        <f t="shared" ca="1" si="172"/>
        <v>0</v>
      </c>
      <c r="DL205" s="58">
        <f t="shared" ca="1" si="172"/>
        <v>0</v>
      </c>
      <c r="DM205" s="58">
        <f t="shared" ca="1" si="172"/>
        <v>0</v>
      </c>
      <c r="DN205" s="58">
        <f t="shared" ca="1" si="172"/>
        <v>0</v>
      </c>
      <c r="DO205" s="58">
        <f t="shared" ca="1" si="172"/>
        <v>0</v>
      </c>
      <c r="DP205" s="58">
        <f t="shared" ca="1" si="172"/>
        <v>0</v>
      </c>
      <c r="DQ205" s="58">
        <f t="shared" ca="1" si="172"/>
        <v>0</v>
      </c>
      <c r="DR205" s="58">
        <f t="shared" ca="1" si="172"/>
        <v>0</v>
      </c>
      <c r="DS205" s="58">
        <f t="shared" ca="1" si="172"/>
        <v>0</v>
      </c>
      <c r="DT205" s="58">
        <f t="shared" ca="1" si="172"/>
        <v>0</v>
      </c>
      <c r="DU205" s="58">
        <f t="shared" ca="1" si="172"/>
        <v>0</v>
      </c>
      <c r="DV205" s="58">
        <f t="shared" ca="1" si="172"/>
        <v>0</v>
      </c>
      <c r="DW205" s="58">
        <f t="shared" ca="1" si="172"/>
        <v>0</v>
      </c>
      <c r="DX205" s="58">
        <f t="shared" ca="1" si="172"/>
        <v>0</v>
      </c>
      <c r="DY205" s="58">
        <f t="shared" ca="1" si="172"/>
        <v>0</v>
      </c>
      <c r="DZ205" s="58">
        <f t="shared" ca="1" si="172"/>
        <v>0</v>
      </c>
      <c r="EA205" s="58">
        <f t="shared" ca="1" si="172"/>
        <v>0</v>
      </c>
      <c r="EB205" s="58">
        <f t="shared" ca="1" si="172"/>
        <v>0</v>
      </c>
      <c r="EC205" s="58">
        <f t="shared" ca="1" si="172"/>
        <v>0</v>
      </c>
      <c r="ED205" s="58">
        <f t="shared" ca="1" si="172"/>
        <v>0</v>
      </c>
      <c r="EE205" s="58">
        <f t="shared" ref="EE205:FN205" ca="1" si="173">+IF(OR($F205+EE$175&lt;1,(EE$176-1)*12&lt;-$F205),0,OFFSET(EE35,0,$F205))</f>
        <v>0</v>
      </c>
      <c r="EF205" s="58">
        <f t="shared" ca="1" si="173"/>
        <v>0</v>
      </c>
      <c r="EG205" s="58">
        <f t="shared" ca="1" si="173"/>
        <v>0</v>
      </c>
      <c r="EH205" s="58">
        <f t="shared" ca="1" si="173"/>
        <v>0</v>
      </c>
      <c r="EI205" s="58">
        <f t="shared" ca="1" si="173"/>
        <v>0</v>
      </c>
      <c r="EJ205" s="58">
        <f t="shared" ca="1" si="173"/>
        <v>0</v>
      </c>
      <c r="EK205" s="58">
        <f t="shared" ca="1" si="173"/>
        <v>0</v>
      </c>
      <c r="EL205" s="58">
        <f t="shared" ca="1" si="173"/>
        <v>0</v>
      </c>
      <c r="EM205" s="58">
        <f t="shared" ca="1" si="173"/>
        <v>0</v>
      </c>
      <c r="EN205" s="58">
        <f t="shared" ca="1" si="173"/>
        <v>0</v>
      </c>
      <c r="EO205" s="58">
        <f t="shared" ca="1" si="173"/>
        <v>0</v>
      </c>
      <c r="EP205" s="58">
        <f t="shared" ca="1" si="173"/>
        <v>0</v>
      </c>
      <c r="EQ205" s="58">
        <f t="shared" ca="1" si="173"/>
        <v>0</v>
      </c>
      <c r="ER205" s="58">
        <f t="shared" ca="1" si="173"/>
        <v>0</v>
      </c>
      <c r="ES205" s="58">
        <f t="shared" ca="1" si="173"/>
        <v>0</v>
      </c>
      <c r="ET205" s="58">
        <f t="shared" ca="1" si="173"/>
        <v>0</v>
      </c>
      <c r="EU205" s="58">
        <f t="shared" ca="1" si="173"/>
        <v>0</v>
      </c>
      <c r="EV205" s="58">
        <f t="shared" ca="1" si="173"/>
        <v>0</v>
      </c>
      <c r="EW205" s="58">
        <f t="shared" ca="1" si="173"/>
        <v>0</v>
      </c>
      <c r="EX205" s="58">
        <f t="shared" ca="1" si="173"/>
        <v>0</v>
      </c>
      <c r="EY205" s="58">
        <f t="shared" ca="1" si="173"/>
        <v>0</v>
      </c>
      <c r="EZ205" s="58">
        <f t="shared" ca="1" si="173"/>
        <v>0</v>
      </c>
      <c r="FA205" s="58">
        <f t="shared" ca="1" si="173"/>
        <v>0</v>
      </c>
      <c r="FB205" s="58">
        <f t="shared" ca="1" si="173"/>
        <v>0</v>
      </c>
      <c r="FC205" s="58">
        <f t="shared" ca="1" si="173"/>
        <v>0</v>
      </c>
      <c r="FD205" s="58">
        <f t="shared" ca="1" si="173"/>
        <v>0</v>
      </c>
      <c r="FE205" s="58">
        <f t="shared" ca="1" si="173"/>
        <v>0</v>
      </c>
      <c r="FF205" s="58">
        <f t="shared" ca="1" si="173"/>
        <v>0</v>
      </c>
      <c r="FG205" s="58">
        <f t="shared" ca="1" si="173"/>
        <v>0</v>
      </c>
      <c r="FH205" s="58">
        <f t="shared" ca="1" si="173"/>
        <v>0</v>
      </c>
      <c r="FI205" s="58">
        <f t="shared" ca="1" si="173"/>
        <v>0</v>
      </c>
      <c r="FJ205" s="58">
        <f t="shared" ca="1" si="173"/>
        <v>0</v>
      </c>
      <c r="FK205" s="58">
        <f t="shared" ca="1" si="173"/>
        <v>0</v>
      </c>
      <c r="FL205" s="58">
        <f t="shared" ca="1" si="173"/>
        <v>0</v>
      </c>
      <c r="FM205" s="58">
        <f t="shared" ca="1" si="173"/>
        <v>0</v>
      </c>
      <c r="FN205" s="58">
        <f t="shared" ca="1" si="173"/>
        <v>0</v>
      </c>
      <c r="FO205" s="13"/>
    </row>
    <row r="206" spans="1:171" outlineLevel="1" x14ac:dyDescent="0.3">
      <c r="A206" s="13"/>
      <c r="B206" s="13"/>
      <c r="C206" s="13"/>
      <c r="D206" s="52">
        <f t="shared" si="31"/>
        <v>41030</v>
      </c>
      <c r="E206" s="53">
        <f t="shared" si="32"/>
        <v>2012</v>
      </c>
      <c r="F206" s="53">
        <f t="shared" si="33"/>
        <v>-20</v>
      </c>
      <c r="G206" s="58">
        <f t="shared" ref="G206:AL206" ca="1" si="174">+IF(OR($F206+G$175&lt;1,(G$176-1)*12&lt;-$F206),0,OFFSET(G36,0,$F206))</f>
        <v>0</v>
      </c>
      <c r="H206" s="58">
        <f t="shared" ca="1" si="174"/>
        <v>0</v>
      </c>
      <c r="I206" s="58">
        <f t="shared" ca="1" si="174"/>
        <v>0</v>
      </c>
      <c r="J206" s="58">
        <f t="shared" ca="1" si="174"/>
        <v>0</v>
      </c>
      <c r="K206" s="58">
        <f t="shared" ca="1" si="174"/>
        <v>0</v>
      </c>
      <c r="L206" s="58">
        <f t="shared" ca="1" si="174"/>
        <v>0</v>
      </c>
      <c r="M206" s="58">
        <f t="shared" ca="1" si="174"/>
        <v>0</v>
      </c>
      <c r="N206" s="58">
        <f t="shared" ca="1" si="174"/>
        <v>0</v>
      </c>
      <c r="O206" s="58">
        <f t="shared" ca="1" si="174"/>
        <v>0</v>
      </c>
      <c r="P206" s="58">
        <f t="shared" ca="1" si="174"/>
        <v>0</v>
      </c>
      <c r="Q206" s="58">
        <f t="shared" ca="1" si="174"/>
        <v>0</v>
      </c>
      <c r="R206" s="58">
        <f t="shared" ca="1" si="174"/>
        <v>0</v>
      </c>
      <c r="S206" s="58">
        <f t="shared" ca="1" si="174"/>
        <v>0</v>
      </c>
      <c r="T206" s="58">
        <f t="shared" ca="1" si="174"/>
        <v>0</v>
      </c>
      <c r="U206" s="58">
        <f t="shared" ca="1" si="174"/>
        <v>0</v>
      </c>
      <c r="V206" s="58">
        <f t="shared" ca="1" si="174"/>
        <v>0</v>
      </c>
      <c r="W206" s="58">
        <f t="shared" ca="1" si="174"/>
        <v>0</v>
      </c>
      <c r="X206" s="58">
        <f t="shared" ca="1" si="174"/>
        <v>0</v>
      </c>
      <c r="Y206" s="58">
        <f t="shared" ca="1" si="174"/>
        <v>0</v>
      </c>
      <c r="Z206" s="58">
        <f t="shared" ca="1" si="174"/>
        <v>0</v>
      </c>
      <c r="AA206" s="58">
        <f t="shared" ca="1" si="174"/>
        <v>0</v>
      </c>
      <c r="AB206" s="58">
        <f t="shared" ca="1" si="174"/>
        <v>0</v>
      </c>
      <c r="AC206" s="58">
        <f t="shared" ca="1" si="174"/>
        <v>0</v>
      </c>
      <c r="AD206" s="58">
        <f t="shared" ca="1" si="174"/>
        <v>0</v>
      </c>
      <c r="AE206" s="58">
        <f t="shared" ca="1" si="174"/>
        <v>0</v>
      </c>
      <c r="AF206" s="58">
        <f t="shared" ca="1" si="174"/>
        <v>0</v>
      </c>
      <c r="AG206" s="58">
        <f t="shared" ca="1" si="174"/>
        <v>0</v>
      </c>
      <c r="AH206" s="58">
        <f t="shared" ca="1" si="174"/>
        <v>0</v>
      </c>
      <c r="AI206" s="58">
        <f t="shared" ca="1" si="174"/>
        <v>0</v>
      </c>
      <c r="AJ206" s="58">
        <f t="shared" ca="1" si="174"/>
        <v>0</v>
      </c>
      <c r="AK206" s="58">
        <f t="shared" ca="1" si="174"/>
        <v>0</v>
      </c>
      <c r="AL206" s="58">
        <f t="shared" ca="1" si="174"/>
        <v>0</v>
      </c>
      <c r="AM206" s="58">
        <f t="shared" ref="AM206:BR206" ca="1" si="175">+IF(OR($F206+AM$175&lt;1,(AM$176-1)*12&lt;-$F206),0,OFFSET(AM36,0,$F206))</f>
        <v>0</v>
      </c>
      <c r="AN206" s="58">
        <f t="shared" ca="1" si="175"/>
        <v>0</v>
      </c>
      <c r="AO206" s="58">
        <f t="shared" ca="1" si="175"/>
        <v>0</v>
      </c>
      <c r="AP206" s="58">
        <f t="shared" ca="1" si="175"/>
        <v>0</v>
      </c>
      <c r="AQ206" s="58">
        <f t="shared" ca="1" si="175"/>
        <v>0</v>
      </c>
      <c r="AR206" s="58">
        <f t="shared" ca="1" si="175"/>
        <v>0</v>
      </c>
      <c r="AS206" s="58">
        <f t="shared" ca="1" si="175"/>
        <v>0</v>
      </c>
      <c r="AT206" s="58">
        <f t="shared" ca="1" si="175"/>
        <v>0</v>
      </c>
      <c r="AU206" s="58">
        <f t="shared" ca="1" si="175"/>
        <v>0</v>
      </c>
      <c r="AV206" s="58">
        <f t="shared" ca="1" si="175"/>
        <v>0</v>
      </c>
      <c r="AW206" s="58">
        <f t="shared" ca="1" si="175"/>
        <v>0</v>
      </c>
      <c r="AX206" s="58">
        <f t="shared" ca="1" si="175"/>
        <v>0</v>
      </c>
      <c r="AY206" s="58">
        <f t="shared" ca="1" si="175"/>
        <v>0</v>
      </c>
      <c r="AZ206" s="58">
        <f t="shared" ca="1" si="175"/>
        <v>0</v>
      </c>
      <c r="BA206" s="58">
        <f t="shared" ca="1" si="175"/>
        <v>0</v>
      </c>
      <c r="BB206" s="58">
        <f t="shared" ca="1" si="175"/>
        <v>0</v>
      </c>
      <c r="BC206" s="58">
        <f t="shared" ca="1" si="175"/>
        <v>0</v>
      </c>
      <c r="BD206" s="58">
        <f t="shared" ca="1" si="175"/>
        <v>0</v>
      </c>
      <c r="BE206" s="58">
        <f t="shared" ca="1" si="175"/>
        <v>0</v>
      </c>
      <c r="BF206" s="58">
        <f t="shared" ca="1" si="175"/>
        <v>0</v>
      </c>
      <c r="BG206" s="58">
        <f t="shared" ca="1" si="175"/>
        <v>0</v>
      </c>
      <c r="BH206" s="58">
        <f t="shared" ca="1" si="175"/>
        <v>0</v>
      </c>
      <c r="BI206" s="58">
        <f t="shared" ca="1" si="175"/>
        <v>0</v>
      </c>
      <c r="BJ206" s="58">
        <f t="shared" ca="1" si="175"/>
        <v>0</v>
      </c>
      <c r="BK206" s="58">
        <f t="shared" ca="1" si="175"/>
        <v>0</v>
      </c>
      <c r="BL206" s="58">
        <f t="shared" ca="1" si="175"/>
        <v>0</v>
      </c>
      <c r="BM206" s="58">
        <f t="shared" ca="1" si="175"/>
        <v>0</v>
      </c>
      <c r="BN206" s="58">
        <f t="shared" ca="1" si="175"/>
        <v>0</v>
      </c>
      <c r="BO206" s="58">
        <f t="shared" ca="1" si="175"/>
        <v>0</v>
      </c>
      <c r="BP206" s="58">
        <f t="shared" ca="1" si="175"/>
        <v>0</v>
      </c>
      <c r="BQ206" s="58">
        <f t="shared" ca="1" si="175"/>
        <v>0</v>
      </c>
      <c r="BR206" s="58">
        <f t="shared" ca="1" si="175"/>
        <v>0</v>
      </c>
      <c r="BS206" s="58">
        <f t="shared" ref="BS206:CX206" ca="1" si="176">+IF(OR($F206+BS$175&lt;1,(BS$176-1)*12&lt;-$F206),0,OFFSET(BS36,0,$F206))</f>
        <v>0</v>
      </c>
      <c r="BT206" s="58">
        <f t="shared" ca="1" si="176"/>
        <v>0</v>
      </c>
      <c r="BU206" s="58">
        <f t="shared" ca="1" si="176"/>
        <v>0</v>
      </c>
      <c r="BV206" s="58">
        <f t="shared" ca="1" si="176"/>
        <v>0</v>
      </c>
      <c r="BW206" s="58">
        <f t="shared" ca="1" si="176"/>
        <v>0</v>
      </c>
      <c r="BX206" s="58">
        <f t="shared" ca="1" si="176"/>
        <v>0</v>
      </c>
      <c r="BY206" s="58">
        <f t="shared" ca="1" si="176"/>
        <v>0</v>
      </c>
      <c r="BZ206" s="58">
        <f t="shared" ca="1" si="176"/>
        <v>0</v>
      </c>
      <c r="CA206" s="58">
        <f t="shared" ca="1" si="176"/>
        <v>0</v>
      </c>
      <c r="CB206" s="58">
        <f t="shared" ca="1" si="176"/>
        <v>0</v>
      </c>
      <c r="CC206" s="58">
        <f t="shared" ca="1" si="176"/>
        <v>0</v>
      </c>
      <c r="CD206" s="58">
        <f t="shared" ca="1" si="176"/>
        <v>0</v>
      </c>
      <c r="CE206" s="58">
        <f t="shared" ca="1" si="176"/>
        <v>0</v>
      </c>
      <c r="CF206" s="58">
        <f t="shared" ca="1" si="176"/>
        <v>0</v>
      </c>
      <c r="CG206" s="58">
        <f t="shared" ca="1" si="176"/>
        <v>0</v>
      </c>
      <c r="CH206" s="58">
        <f t="shared" ca="1" si="176"/>
        <v>0</v>
      </c>
      <c r="CI206" s="58">
        <f t="shared" ca="1" si="176"/>
        <v>0</v>
      </c>
      <c r="CJ206" s="58">
        <f t="shared" ca="1" si="176"/>
        <v>0</v>
      </c>
      <c r="CK206" s="58">
        <f t="shared" ca="1" si="176"/>
        <v>0</v>
      </c>
      <c r="CL206" s="58">
        <f t="shared" ca="1" si="176"/>
        <v>0</v>
      </c>
      <c r="CM206" s="58">
        <f t="shared" ca="1" si="176"/>
        <v>0</v>
      </c>
      <c r="CN206" s="58">
        <f t="shared" ca="1" si="176"/>
        <v>0</v>
      </c>
      <c r="CO206" s="58">
        <f t="shared" ca="1" si="176"/>
        <v>0</v>
      </c>
      <c r="CP206" s="58">
        <f t="shared" ca="1" si="176"/>
        <v>0</v>
      </c>
      <c r="CQ206" s="58">
        <f t="shared" ca="1" si="176"/>
        <v>0</v>
      </c>
      <c r="CR206" s="58">
        <f t="shared" ca="1" si="176"/>
        <v>0</v>
      </c>
      <c r="CS206" s="58">
        <f t="shared" ca="1" si="176"/>
        <v>0</v>
      </c>
      <c r="CT206" s="58">
        <f t="shared" ca="1" si="176"/>
        <v>0</v>
      </c>
      <c r="CU206" s="58">
        <f t="shared" ca="1" si="176"/>
        <v>0</v>
      </c>
      <c r="CV206" s="58">
        <f t="shared" ca="1" si="176"/>
        <v>0</v>
      </c>
      <c r="CW206" s="58">
        <f t="shared" ca="1" si="176"/>
        <v>0</v>
      </c>
      <c r="CX206" s="58">
        <f t="shared" ca="1" si="176"/>
        <v>0</v>
      </c>
      <c r="CY206" s="58">
        <f t="shared" ref="CY206:ED206" ca="1" si="177">+IF(OR($F206+CY$175&lt;1,(CY$176-1)*12&lt;-$F206),0,OFFSET(CY36,0,$F206))</f>
        <v>0</v>
      </c>
      <c r="CZ206" s="58">
        <f t="shared" ca="1" si="177"/>
        <v>0</v>
      </c>
      <c r="DA206" s="58">
        <f t="shared" ca="1" si="177"/>
        <v>0</v>
      </c>
      <c r="DB206" s="58">
        <f t="shared" ca="1" si="177"/>
        <v>0</v>
      </c>
      <c r="DC206" s="58">
        <f t="shared" ca="1" si="177"/>
        <v>0</v>
      </c>
      <c r="DD206" s="58">
        <f t="shared" ca="1" si="177"/>
        <v>0</v>
      </c>
      <c r="DE206" s="58">
        <f t="shared" ca="1" si="177"/>
        <v>0</v>
      </c>
      <c r="DF206" s="58">
        <f t="shared" ca="1" si="177"/>
        <v>0</v>
      </c>
      <c r="DG206" s="58">
        <f t="shared" ca="1" si="177"/>
        <v>0</v>
      </c>
      <c r="DH206" s="58">
        <f t="shared" ca="1" si="177"/>
        <v>0</v>
      </c>
      <c r="DI206" s="58">
        <f t="shared" ca="1" si="177"/>
        <v>0</v>
      </c>
      <c r="DJ206" s="58">
        <f t="shared" ca="1" si="177"/>
        <v>0</v>
      </c>
      <c r="DK206" s="58">
        <f t="shared" ca="1" si="177"/>
        <v>0</v>
      </c>
      <c r="DL206" s="58">
        <f t="shared" ca="1" si="177"/>
        <v>0</v>
      </c>
      <c r="DM206" s="58">
        <f t="shared" ca="1" si="177"/>
        <v>0</v>
      </c>
      <c r="DN206" s="58">
        <f t="shared" ca="1" si="177"/>
        <v>0</v>
      </c>
      <c r="DO206" s="58">
        <f t="shared" ca="1" si="177"/>
        <v>0</v>
      </c>
      <c r="DP206" s="58">
        <f t="shared" ca="1" si="177"/>
        <v>0</v>
      </c>
      <c r="DQ206" s="58">
        <f t="shared" ca="1" si="177"/>
        <v>0</v>
      </c>
      <c r="DR206" s="58">
        <f t="shared" ca="1" si="177"/>
        <v>0</v>
      </c>
      <c r="DS206" s="58">
        <f t="shared" ca="1" si="177"/>
        <v>0</v>
      </c>
      <c r="DT206" s="58">
        <f t="shared" ca="1" si="177"/>
        <v>0</v>
      </c>
      <c r="DU206" s="58">
        <f t="shared" ca="1" si="177"/>
        <v>0</v>
      </c>
      <c r="DV206" s="58">
        <f t="shared" ca="1" si="177"/>
        <v>0</v>
      </c>
      <c r="DW206" s="58">
        <f t="shared" ca="1" si="177"/>
        <v>0</v>
      </c>
      <c r="DX206" s="58">
        <f t="shared" ca="1" si="177"/>
        <v>0</v>
      </c>
      <c r="DY206" s="58">
        <f t="shared" ca="1" si="177"/>
        <v>0</v>
      </c>
      <c r="DZ206" s="58">
        <f t="shared" ca="1" si="177"/>
        <v>0</v>
      </c>
      <c r="EA206" s="58">
        <f t="shared" ca="1" si="177"/>
        <v>0</v>
      </c>
      <c r="EB206" s="58">
        <f t="shared" ca="1" si="177"/>
        <v>0</v>
      </c>
      <c r="EC206" s="58">
        <f t="shared" ca="1" si="177"/>
        <v>0</v>
      </c>
      <c r="ED206" s="58">
        <f t="shared" ca="1" si="177"/>
        <v>0</v>
      </c>
      <c r="EE206" s="58">
        <f t="shared" ref="EE206:FN206" ca="1" si="178">+IF(OR($F206+EE$175&lt;1,(EE$176-1)*12&lt;-$F206),0,OFFSET(EE36,0,$F206))</f>
        <v>0</v>
      </c>
      <c r="EF206" s="58">
        <f t="shared" ca="1" si="178"/>
        <v>0</v>
      </c>
      <c r="EG206" s="58">
        <f t="shared" ca="1" si="178"/>
        <v>0</v>
      </c>
      <c r="EH206" s="58">
        <f t="shared" ca="1" si="178"/>
        <v>0</v>
      </c>
      <c r="EI206" s="58">
        <f t="shared" ca="1" si="178"/>
        <v>0</v>
      </c>
      <c r="EJ206" s="58">
        <f t="shared" ca="1" si="178"/>
        <v>0</v>
      </c>
      <c r="EK206" s="58">
        <f t="shared" ca="1" si="178"/>
        <v>0</v>
      </c>
      <c r="EL206" s="58">
        <f t="shared" ca="1" si="178"/>
        <v>0</v>
      </c>
      <c r="EM206" s="58">
        <f t="shared" ca="1" si="178"/>
        <v>0</v>
      </c>
      <c r="EN206" s="58">
        <f t="shared" ca="1" si="178"/>
        <v>0</v>
      </c>
      <c r="EO206" s="58">
        <f t="shared" ca="1" si="178"/>
        <v>0</v>
      </c>
      <c r="EP206" s="58">
        <f t="shared" ca="1" si="178"/>
        <v>0</v>
      </c>
      <c r="EQ206" s="58">
        <f t="shared" ca="1" si="178"/>
        <v>0</v>
      </c>
      <c r="ER206" s="58">
        <f t="shared" ca="1" si="178"/>
        <v>0</v>
      </c>
      <c r="ES206" s="58">
        <f t="shared" ca="1" si="178"/>
        <v>0</v>
      </c>
      <c r="ET206" s="58">
        <f t="shared" ca="1" si="178"/>
        <v>0</v>
      </c>
      <c r="EU206" s="58">
        <f t="shared" ca="1" si="178"/>
        <v>0</v>
      </c>
      <c r="EV206" s="58">
        <f t="shared" ca="1" si="178"/>
        <v>0</v>
      </c>
      <c r="EW206" s="58">
        <f t="shared" ca="1" si="178"/>
        <v>0</v>
      </c>
      <c r="EX206" s="58">
        <f t="shared" ca="1" si="178"/>
        <v>0</v>
      </c>
      <c r="EY206" s="58">
        <f t="shared" ca="1" si="178"/>
        <v>0</v>
      </c>
      <c r="EZ206" s="58">
        <f t="shared" ca="1" si="178"/>
        <v>0</v>
      </c>
      <c r="FA206" s="58">
        <f t="shared" ca="1" si="178"/>
        <v>0</v>
      </c>
      <c r="FB206" s="58">
        <f t="shared" ca="1" si="178"/>
        <v>0</v>
      </c>
      <c r="FC206" s="58">
        <f t="shared" ca="1" si="178"/>
        <v>0</v>
      </c>
      <c r="FD206" s="58">
        <f t="shared" ca="1" si="178"/>
        <v>0</v>
      </c>
      <c r="FE206" s="58">
        <f t="shared" ca="1" si="178"/>
        <v>0</v>
      </c>
      <c r="FF206" s="58">
        <f t="shared" ca="1" si="178"/>
        <v>0</v>
      </c>
      <c r="FG206" s="58">
        <f t="shared" ca="1" si="178"/>
        <v>0</v>
      </c>
      <c r="FH206" s="58">
        <f t="shared" ca="1" si="178"/>
        <v>0</v>
      </c>
      <c r="FI206" s="58">
        <f t="shared" ca="1" si="178"/>
        <v>0</v>
      </c>
      <c r="FJ206" s="58">
        <f t="shared" ca="1" si="178"/>
        <v>0</v>
      </c>
      <c r="FK206" s="58">
        <f t="shared" ca="1" si="178"/>
        <v>0</v>
      </c>
      <c r="FL206" s="58">
        <f t="shared" ca="1" si="178"/>
        <v>0</v>
      </c>
      <c r="FM206" s="58">
        <f t="shared" ca="1" si="178"/>
        <v>0</v>
      </c>
      <c r="FN206" s="58">
        <f t="shared" ca="1" si="178"/>
        <v>0</v>
      </c>
      <c r="FO206" s="13"/>
    </row>
    <row r="207" spans="1:171" outlineLevel="1" x14ac:dyDescent="0.3">
      <c r="A207" s="13"/>
      <c r="B207" s="13"/>
      <c r="C207" s="13"/>
      <c r="D207" s="52">
        <f t="shared" si="31"/>
        <v>41061</v>
      </c>
      <c r="E207" s="53">
        <f t="shared" si="32"/>
        <v>2012</v>
      </c>
      <c r="F207" s="53">
        <f t="shared" si="33"/>
        <v>-19</v>
      </c>
      <c r="G207" s="58">
        <f t="shared" ref="G207:AL207" ca="1" si="179">+IF(OR($F207+G$175&lt;1,(G$176-1)*12&lt;-$F207),0,OFFSET(G37,0,$F207))</f>
        <v>0</v>
      </c>
      <c r="H207" s="58">
        <f t="shared" ca="1" si="179"/>
        <v>0</v>
      </c>
      <c r="I207" s="58">
        <f t="shared" ca="1" si="179"/>
        <v>0</v>
      </c>
      <c r="J207" s="58">
        <f t="shared" ca="1" si="179"/>
        <v>0</v>
      </c>
      <c r="K207" s="58">
        <f t="shared" ca="1" si="179"/>
        <v>0</v>
      </c>
      <c r="L207" s="58">
        <f t="shared" ca="1" si="179"/>
        <v>0</v>
      </c>
      <c r="M207" s="58">
        <f t="shared" ca="1" si="179"/>
        <v>0</v>
      </c>
      <c r="N207" s="58">
        <f t="shared" ca="1" si="179"/>
        <v>0</v>
      </c>
      <c r="O207" s="58">
        <f t="shared" ca="1" si="179"/>
        <v>0</v>
      </c>
      <c r="P207" s="58">
        <f t="shared" ca="1" si="179"/>
        <v>0</v>
      </c>
      <c r="Q207" s="58">
        <f t="shared" ca="1" si="179"/>
        <v>0</v>
      </c>
      <c r="R207" s="58">
        <f t="shared" ca="1" si="179"/>
        <v>0</v>
      </c>
      <c r="S207" s="58">
        <f t="shared" ca="1" si="179"/>
        <v>0</v>
      </c>
      <c r="T207" s="58">
        <f t="shared" ca="1" si="179"/>
        <v>0</v>
      </c>
      <c r="U207" s="58">
        <f t="shared" ca="1" si="179"/>
        <v>0</v>
      </c>
      <c r="V207" s="58">
        <f t="shared" ca="1" si="179"/>
        <v>0</v>
      </c>
      <c r="W207" s="58">
        <f t="shared" ca="1" si="179"/>
        <v>0</v>
      </c>
      <c r="X207" s="58">
        <f t="shared" ca="1" si="179"/>
        <v>0</v>
      </c>
      <c r="Y207" s="58">
        <f t="shared" ca="1" si="179"/>
        <v>0</v>
      </c>
      <c r="Z207" s="58">
        <f t="shared" ca="1" si="179"/>
        <v>0</v>
      </c>
      <c r="AA207" s="58">
        <f t="shared" ca="1" si="179"/>
        <v>0</v>
      </c>
      <c r="AB207" s="58">
        <f t="shared" ca="1" si="179"/>
        <v>0</v>
      </c>
      <c r="AC207" s="58">
        <f t="shared" ca="1" si="179"/>
        <v>0</v>
      </c>
      <c r="AD207" s="58">
        <f t="shared" ca="1" si="179"/>
        <v>0</v>
      </c>
      <c r="AE207" s="58">
        <f t="shared" ca="1" si="179"/>
        <v>0</v>
      </c>
      <c r="AF207" s="58">
        <f t="shared" ca="1" si="179"/>
        <v>0</v>
      </c>
      <c r="AG207" s="58">
        <f t="shared" ca="1" si="179"/>
        <v>0</v>
      </c>
      <c r="AH207" s="58">
        <f t="shared" ca="1" si="179"/>
        <v>0</v>
      </c>
      <c r="AI207" s="58">
        <f t="shared" ca="1" si="179"/>
        <v>0</v>
      </c>
      <c r="AJ207" s="58">
        <f t="shared" ca="1" si="179"/>
        <v>0</v>
      </c>
      <c r="AK207" s="58">
        <f t="shared" ca="1" si="179"/>
        <v>0</v>
      </c>
      <c r="AL207" s="58">
        <f t="shared" ca="1" si="179"/>
        <v>0</v>
      </c>
      <c r="AM207" s="58">
        <f t="shared" ref="AM207:BR207" ca="1" si="180">+IF(OR($F207+AM$175&lt;1,(AM$176-1)*12&lt;-$F207),0,OFFSET(AM37,0,$F207))</f>
        <v>0</v>
      </c>
      <c r="AN207" s="58">
        <f t="shared" ca="1" si="180"/>
        <v>0</v>
      </c>
      <c r="AO207" s="58">
        <f t="shared" ca="1" si="180"/>
        <v>0</v>
      </c>
      <c r="AP207" s="58">
        <f t="shared" ca="1" si="180"/>
        <v>0</v>
      </c>
      <c r="AQ207" s="58">
        <f t="shared" ca="1" si="180"/>
        <v>0</v>
      </c>
      <c r="AR207" s="58">
        <f t="shared" ca="1" si="180"/>
        <v>0</v>
      </c>
      <c r="AS207" s="58">
        <f t="shared" ca="1" si="180"/>
        <v>0</v>
      </c>
      <c r="AT207" s="58">
        <f t="shared" ca="1" si="180"/>
        <v>0</v>
      </c>
      <c r="AU207" s="58">
        <f t="shared" ca="1" si="180"/>
        <v>0</v>
      </c>
      <c r="AV207" s="58">
        <f t="shared" ca="1" si="180"/>
        <v>0</v>
      </c>
      <c r="AW207" s="58">
        <f t="shared" ca="1" si="180"/>
        <v>0</v>
      </c>
      <c r="AX207" s="58">
        <f t="shared" ca="1" si="180"/>
        <v>0</v>
      </c>
      <c r="AY207" s="58">
        <f t="shared" ca="1" si="180"/>
        <v>0</v>
      </c>
      <c r="AZ207" s="58">
        <f t="shared" ca="1" si="180"/>
        <v>0</v>
      </c>
      <c r="BA207" s="58">
        <f t="shared" ca="1" si="180"/>
        <v>0</v>
      </c>
      <c r="BB207" s="58">
        <f t="shared" ca="1" si="180"/>
        <v>0</v>
      </c>
      <c r="BC207" s="58">
        <f t="shared" ca="1" si="180"/>
        <v>0</v>
      </c>
      <c r="BD207" s="58">
        <f t="shared" ca="1" si="180"/>
        <v>0</v>
      </c>
      <c r="BE207" s="58">
        <f t="shared" ca="1" si="180"/>
        <v>0</v>
      </c>
      <c r="BF207" s="58">
        <f t="shared" ca="1" si="180"/>
        <v>0</v>
      </c>
      <c r="BG207" s="58">
        <f t="shared" ca="1" si="180"/>
        <v>0</v>
      </c>
      <c r="BH207" s="58">
        <f t="shared" ca="1" si="180"/>
        <v>0</v>
      </c>
      <c r="BI207" s="58">
        <f t="shared" ca="1" si="180"/>
        <v>0</v>
      </c>
      <c r="BJ207" s="58">
        <f t="shared" ca="1" si="180"/>
        <v>0</v>
      </c>
      <c r="BK207" s="58">
        <f t="shared" ca="1" si="180"/>
        <v>0</v>
      </c>
      <c r="BL207" s="58">
        <f t="shared" ca="1" si="180"/>
        <v>0</v>
      </c>
      <c r="BM207" s="58">
        <f t="shared" ca="1" si="180"/>
        <v>0</v>
      </c>
      <c r="BN207" s="58">
        <f t="shared" ca="1" si="180"/>
        <v>0</v>
      </c>
      <c r="BO207" s="58">
        <f t="shared" ca="1" si="180"/>
        <v>0</v>
      </c>
      <c r="BP207" s="58">
        <f t="shared" ca="1" si="180"/>
        <v>0</v>
      </c>
      <c r="BQ207" s="58">
        <f t="shared" ca="1" si="180"/>
        <v>0</v>
      </c>
      <c r="BR207" s="58">
        <f t="shared" ca="1" si="180"/>
        <v>0</v>
      </c>
      <c r="BS207" s="58">
        <f t="shared" ref="BS207:CX207" ca="1" si="181">+IF(OR($F207+BS$175&lt;1,(BS$176-1)*12&lt;-$F207),0,OFFSET(BS37,0,$F207))</f>
        <v>0</v>
      </c>
      <c r="BT207" s="58">
        <f t="shared" ca="1" si="181"/>
        <v>0</v>
      </c>
      <c r="BU207" s="58">
        <f t="shared" ca="1" si="181"/>
        <v>0</v>
      </c>
      <c r="BV207" s="58">
        <f t="shared" ca="1" si="181"/>
        <v>0</v>
      </c>
      <c r="BW207" s="58">
        <f t="shared" ca="1" si="181"/>
        <v>0</v>
      </c>
      <c r="BX207" s="58">
        <f t="shared" ca="1" si="181"/>
        <v>0</v>
      </c>
      <c r="BY207" s="58">
        <f t="shared" ca="1" si="181"/>
        <v>0</v>
      </c>
      <c r="BZ207" s="58">
        <f t="shared" ca="1" si="181"/>
        <v>0</v>
      </c>
      <c r="CA207" s="58">
        <f t="shared" ca="1" si="181"/>
        <v>0</v>
      </c>
      <c r="CB207" s="58">
        <f t="shared" ca="1" si="181"/>
        <v>0</v>
      </c>
      <c r="CC207" s="58">
        <f t="shared" ca="1" si="181"/>
        <v>0</v>
      </c>
      <c r="CD207" s="58">
        <f t="shared" ca="1" si="181"/>
        <v>0</v>
      </c>
      <c r="CE207" s="58">
        <f t="shared" ca="1" si="181"/>
        <v>0</v>
      </c>
      <c r="CF207" s="58">
        <f t="shared" ca="1" si="181"/>
        <v>0</v>
      </c>
      <c r="CG207" s="58">
        <f t="shared" ca="1" si="181"/>
        <v>0</v>
      </c>
      <c r="CH207" s="58">
        <f t="shared" ca="1" si="181"/>
        <v>0</v>
      </c>
      <c r="CI207" s="58">
        <f t="shared" ca="1" si="181"/>
        <v>0</v>
      </c>
      <c r="CJ207" s="58">
        <f t="shared" ca="1" si="181"/>
        <v>0</v>
      </c>
      <c r="CK207" s="58">
        <f t="shared" ca="1" si="181"/>
        <v>0</v>
      </c>
      <c r="CL207" s="58">
        <f t="shared" ca="1" si="181"/>
        <v>0</v>
      </c>
      <c r="CM207" s="58">
        <f t="shared" ca="1" si="181"/>
        <v>0</v>
      </c>
      <c r="CN207" s="58">
        <f t="shared" ca="1" si="181"/>
        <v>0</v>
      </c>
      <c r="CO207" s="58">
        <f t="shared" ca="1" si="181"/>
        <v>0</v>
      </c>
      <c r="CP207" s="58">
        <f t="shared" ca="1" si="181"/>
        <v>0</v>
      </c>
      <c r="CQ207" s="58">
        <f t="shared" ca="1" si="181"/>
        <v>0</v>
      </c>
      <c r="CR207" s="58">
        <f t="shared" ca="1" si="181"/>
        <v>0</v>
      </c>
      <c r="CS207" s="58">
        <f t="shared" ca="1" si="181"/>
        <v>0</v>
      </c>
      <c r="CT207" s="58">
        <f t="shared" ca="1" si="181"/>
        <v>0</v>
      </c>
      <c r="CU207" s="58">
        <f t="shared" ca="1" si="181"/>
        <v>0</v>
      </c>
      <c r="CV207" s="58">
        <f t="shared" ca="1" si="181"/>
        <v>0</v>
      </c>
      <c r="CW207" s="58">
        <f t="shared" ca="1" si="181"/>
        <v>0</v>
      </c>
      <c r="CX207" s="58">
        <f t="shared" ca="1" si="181"/>
        <v>0</v>
      </c>
      <c r="CY207" s="58">
        <f t="shared" ref="CY207:ED207" ca="1" si="182">+IF(OR($F207+CY$175&lt;1,(CY$176-1)*12&lt;-$F207),0,OFFSET(CY37,0,$F207))</f>
        <v>0</v>
      </c>
      <c r="CZ207" s="58">
        <f t="shared" ca="1" si="182"/>
        <v>0</v>
      </c>
      <c r="DA207" s="58">
        <f t="shared" ca="1" si="182"/>
        <v>0</v>
      </c>
      <c r="DB207" s="58">
        <f t="shared" ca="1" si="182"/>
        <v>0</v>
      </c>
      <c r="DC207" s="58">
        <f t="shared" ca="1" si="182"/>
        <v>0</v>
      </c>
      <c r="DD207" s="58">
        <f t="shared" ca="1" si="182"/>
        <v>0</v>
      </c>
      <c r="DE207" s="58">
        <f t="shared" ca="1" si="182"/>
        <v>0</v>
      </c>
      <c r="DF207" s="58">
        <f t="shared" ca="1" si="182"/>
        <v>0</v>
      </c>
      <c r="DG207" s="58">
        <f t="shared" ca="1" si="182"/>
        <v>0</v>
      </c>
      <c r="DH207" s="58">
        <f t="shared" ca="1" si="182"/>
        <v>0</v>
      </c>
      <c r="DI207" s="58">
        <f t="shared" ca="1" si="182"/>
        <v>0</v>
      </c>
      <c r="DJ207" s="58">
        <f t="shared" ca="1" si="182"/>
        <v>0</v>
      </c>
      <c r="DK207" s="58">
        <f t="shared" ca="1" si="182"/>
        <v>0</v>
      </c>
      <c r="DL207" s="58">
        <f t="shared" ca="1" si="182"/>
        <v>0</v>
      </c>
      <c r="DM207" s="58">
        <f t="shared" ca="1" si="182"/>
        <v>0</v>
      </c>
      <c r="DN207" s="58">
        <f t="shared" ca="1" si="182"/>
        <v>0</v>
      </c>
      <c r="DO207" s="58">
        <f t="shared" ca="1" si="182"/>
        <v>0</v>
      </c>
      <c r="DP207" s="58">
        <f t="shared" ca="1" si="182"/>
        <v>0</v>
      </c>
      <c r="DQ207" s="58">
        <f t="shared" ca="1" si="182"/>
        <v>0</v>
      </c>
      <c r="DR207" s="58">
        <f t="shared" ca="1" si="182"/>
        <v>0</v>
      </c>
      <c r="DS207" s="58">
        <f t="shared" ca="1" si="182"/>
        <v>0</v>
      </c>
      <c r="DT207" s="58">
        <f t="shared" ca="1" si="182"/>
        <v>0</v>
      </c>
      <c r="DU207" s="58">
        <f t="shared" ca="1" si="182"/>
        <v>0</v>
      </c>
      <c r="DV207" s="58">
        <f t="shared" ca="1" si="182"/>
        <v>0</v>
      </c>
      <c r="DW207" s="58">
        <f t="shared" ca="1" si="182"/>
        <v>0</v>
      </c>
      <c r="DX207" s="58">
        <f t="shared" ca="1" si="182"/>
        <v>0</v>
      </c>
      <c r="DY207" s="58">
        <f t="shared" ca="1" si="182"/>
        <v>0</v>
      </c>
      <c r="DZ207" s="58">
        <f t="shared" ca="1" si="182"/>
        <v>0</v>
      </c>
      <c r="EA207" s="58">
        <f t="shared" ca="1" si="182"/>
        <v>0</v>
      </c>
      <c r="EB207" s="58">
        <f t="shared" ca="1" si="182"/>
        <v>0</v>
      </c>
      <c r="EC207" s="58">
        <f t="shared" ca="1" si="182"/>
        <v>0</v>
      </c>
      <c r="ED207" s="58">
        <f t="shared" ca="1" si="182"/>
        <v>0</v>
      </c>
      <c r="EE207" s="58">
        <f t="shared" ref="EE207:FN207" ca="1" si="183">+IF(OR($F207+EE$175&lt;1,(EE$176-1)*12&lt;-$F207),0,OFFSET(EE37,0,$F207))</f>
        <v>0</v>
      </c>
      <c r="EF207" s="58">
        <f t="shared" ca="1" si="183"/>
        <v>0</v>
      </c>
      <c r="EG207" s="58">
        <f t="shared" ca="1" si="183"/>
        <v>0</v>
      </c>
      <c r="EH207" s="58">
        <f t="shared" ca="1" si="183"/>
        <v>0</v>
      </c>
      <c r="EI207" s="58">
        <f t="shared" ca="1" si="183"/>
        <v>0</v>
      </c>
      <c r="EJ207" s="58">
        <f t="shared" ca="1" si="183"/>
        <v>0</v>
      </c>
      <c r="EK207" s="58">
        <f t="shared" ca="1" si="183"/>
        <v>0</v>
      </c>
      <c r="EL207" s="58">
        <f t="shared" ca="1" si="183"/>
        <v>0</v>
      </c>
      <c r="EM207" s="58">
        <f t="shared" ca="1" si="183"/>
        <v>0</v>
      </c>
      <c r="EN207" s="58">
        <f t="shared" ca="1" si="183"/>
        <v>0</v>
      </c>
      <c r="EO207" s="58">
        <f t="shared" ca="1" si="183"/>
        <v>0</v>
      </c>
      <c r="EP207" s="58">
        <f t="shared" ca="1" si="183"/>
        <v>0</v>
      </c>
      <c r="EQ207" s="58">
        <f t="shared" ca="1" si="183"/>
        <v>0</v>
      </c>
      <c r="ER207" s="58">
        <f t="shared" ca="1" si="183"/>
        <v>0</v>
      </c>
      <c r="ES207" s="58">
        <f t="shared" ca="1" si="183"/>
        <v>0</v>
      </c>
      <c r="ET207" s="58">
        <f t="shared" ca="1" si="183"/>
        <v>0</v>
      </c>
      <c r="EU207" s="58">
        <f t="shared" ca="1" si="183"/>
        <v>0</v>
      </c>
      <c r="EV207" s="58">
        <f t="shared" ca="1" si="183"/>
        <v>0</v>
      </c>
      <c r="EW207" s="58">
        <f t="shared" ca="1" si="183"/>
        <v>0</v>
      </c>
      <c r="EX207" s="58">
        <f t="shared" ca="1" si="183"/>
        <v>0</v>
      </c>
      <c r="EY207" s="58">
        <f t="shared" ca="1" si="183"/>
        <v>0</v>
      </c>
      <c r="EZ207" s="58">
        <f t="shared" ca="1" si="183"/>
        <v>0</v>
      </c>
      <c r="FA207" s="58">
        <f t="shared" ca="1" si="183"/>
        <v>0</v>
      </c>
      <c r="FB207" s="58">
        <f t="shared" ca="1" si="183"/>
        <v>0</v>
      </c>
      <c r="FC207" s="58">
        <f t="shared" ca="1" si="183"/>
        <v>0</v>
      </c>
      <c r="FD207" s="58">
        <f t="shared" ca="1" si="183"/>
        <v>0</v>
      </c>
      <c r="FE207" s="58">
        <f t="shared" ca="1" si="183"/>
        <v>0</v>
      </c>
      <c r="FF207" s="58">
        <f t="shared" ca="1" si="183"/>
        <v>0</v>
      </c>
      <c r="FG207" s="58">
        <f t="shared" ca="1" si="183"/>
        <v>0</v>
      </c>
      <c r="FH207" s="58">
        <f t="shared" ca="1" si="183"/>
        <v>0</v>
      </c>
      <c r="FI207" s="58">
        <f t="shared" ca="1" si="183"/>
        <v>0</v>
      </c>
      <c r="FJ207" s="58">
        <f t="shared" ca="1" si="183"/>
        <v>0</v>
      </c>
      <c r="FK207" s="58">
        <f t="shared" ca="1" si="183"/>
        <v>0</v>
      </c>
      <c r="FL207" s="58">
        <f t="shared" ca="1" si="183"/>
        <v>0</v>
      </c>
      <c r="FM207" s="58">
        <f t="shared" ca="1" si="183"/>
        <v>0</v>
      </c>
      <c r="FN207" s="58">
        <f t="shared" ca="1" si="183"/>
        <v>0</v>
      </c>
      <c r="FO207" s="13"/>
    </row>
    <row r="208" spans="1:171" outlineLevel="1" x14ac:dyDescent="0.3">
      <c r="A208" s="13"/>
      <c r="B208" s="13"/>
      <c r="C208" s="13"/>
      <c r="D208" s="52">
        <f t="shared" si="31"/>
        <v>41091</v>
      </c>
      <c r="E208" s="53">
        <f t="shared" si="32"/>
        <v>2012</v>
      </c>
      <c r="F208" s="53">
        <f t="shared" si="33"/>
        <v>-18</v>
      </c>
      <c r="G208" s="58">
        <f t="shared" ref="G208:AL208" ca="1" si="184">+IF(OR($F208+G$175&lt;1,(G$176-1)*12&lt;-$F208),0,OFFSET(G38,0,$F208))</f>
        <v>0</v>
      </c>
      <c r="H208" s="58">
        <f t="shared" ca="1" si="184"/>
        <v>0</v>
      </c>
      <c r="I208" s="58">
        <f t="shared" ca="1" si="184"/>
        <v>0</v>
      </c>
      <c r="J208" s="58">
        <f t="shared" ca="1" si="184"/>
        <v>0</v>
      </c>
      <c r="K208" s="58">
        <f t="shared" ca="1" si="184"/>
        <v>0</v>
      </c>
      <c r="L208" s="58">
        <f t="shared" ca="1" si="184"/>
        <v>0</v>
      </c>
      <c r="M208" s="58">
        <f t="shared" ca="1" si="184"/>
        <v>0</v>
      </c>
      <c r="N208" s="58">
        <f t="shared" ca="1" si="184"/>
        <v>0</v>
      </c>
      <c r="O208" s="58">
        <f t="shared" ca="1" si="184"/>
        <v>0</v>
      </c>
      <c r="P208" s="58">
        <f t="shared" ca="1" si="184"/>
        <v>0</v>
      </c>
      <c r="Q208" s="58">
        <f t="shared" ca="1" si="184"/>
        <v>0</v>
      </c>
      <c r="R208" s="58">
        <f t="shared" ca="1" si="184"/>
        <v>0</v>
      </c>
      <c r="S208" s="58">
        <f t="shared" ca="1" si="184"/>
        <v>0</v>
      </c>
      <c r="T208" s="58">
        <f t="shared" ca="1" si="184"/>
        <v>0</v>
      </c>
      <c r="U208" s="58">
        <f t="shared" ca="1" si="184"/>
        <v>0</v>
      </c>
      <c r="V208" s="58">
        <f t="shared" ca="1" si="184"/>
        <v>0</v>
      </c>
      <c r="W208" s="58">
        <f t="shared" ca="1" si="184"/>
        <v>0</v>
      </c>
      <c r="X208" s="58">
        <f t="shared" ca="1" si="184"/>
        <v>0</v>
      </c>
      <c r="Y208" s="58">
        <f t="shared" ca="1" si="184"/>
        <v>0</v>
      </c>
      <c r="Z208" s="58">
        <f t="shared" ca="1" si="184"/>
        <v>0</v>
      </c>
      <c r="AA208" s="58">
        <f t="shared" ca="1" si="184"/>
        <v>0</v>
      </c>
      <c r="AB208" s="58">
        <f t="shared" ca="1" si="184"/>
        <v>0</v>
      </c>
      <c r="AC208" s="58">
        <f t="shared" ca="1" si="184"/>
        <v>0</v>
      </c>
      <c r="AD208" s="58">
        <f t="shared" ca="1" si="184"/>
        <v>0</v>
      </c>
      <c r="AE208" s="58">
        <f t="shared" ca="1" si="184"/>
        <v>0</v>
      </c>
      <c r="AF208" s="58">
        <f t="shared" ca="1" si="184"/>
        <v>0</v>
      </c>
      <c r="AG208" s="58">
        <f t="shared" ca="1" si="184"/>
        <v>0</v>
      </c>
      <c r="AH208" s="58">
        <f t="shared" ca="1" si="184"/>
        <v>0</v>
      </c>
      <c r="AI208" s="58">
        <f t="shared" ca="1" si="184"/>
        <v>0</v>
      </c>
      <c r="AJ208" s="58">
        <f t="shared" ca="1" si="184"/>
        <v>0</v>
      </c>
      <c r="AK208" s="58">
        <f t="shared" ca="1" si="184"/>
        <v>0</v>
      </c>
      <c r="AL208" s="58">
        <f t="shared" ca="1" si="184"/>
        <v>0</v>
      </c>
      <c r="AM208" s="58">
        <f t="shared" ref="AM208:BR208" ca="1" si="185">+IF(OR($F208+AM$175&lt;1,(AM$176-1)*12&lt;-$F208),0,OFFSET(AM38,0,$F208))</f>
        <v>0</v>
      </c>
      <c r="AN208" s="58">
        <f t="shared" ca="1" si="185"/>
        <v>0</v>
      </c>
      <c r="AO208" s="58">
        <f t="shared" ca="1" si="185"/>
        <v>0</v>
      </c>
      <c r="AP208" s="58">
        <f t="shared" ca="1" si="185"/>
        <v>0</v>
      </c>
      <c r="AQ208" s="58">
        <f t="shared" ca="1" si="185"/>
        <v>0</v>
      </c>
      <c r="AR208" s="58">
        <f t="shared" ca="1" si="185"/>
        <v>0</v>
      </c>
      <c r="AS208" s="58">
        <f t="shared" ca="1" si="185"/>
        <v>0</v>
      </c>
      <c r="AT208" s="58">
        <f t="shared" ca="1" si="185"/>
        <v>0</v>
      </c>
      <c r="AU208" s="58">
        <f t="shared" ca="1" si="185"/>
        <v>0</v>
      </c>
      <c r="AV208" s="58">
        <f t="shared" ca="1" si="185"/>
        <v>0</v>
      </c>
      <c r="AW208" s="58">
        <f t="shared" ca="1" si="185"/>
        <v>0</v>
      </c>
      <c r="AX208" s="58">
        <f t="shared" ca="1" si="185"/>
        <v>0</v>
      </c>
      <c r="AY208" s="58">
        <f t="shared" ca="1" si="185"/>
        <v>0</v>
      </c>
      <c r="AZ208" s="58">
        <f t="shared" ca="1" si="185"/>
        <v>0</v>
      </c>
      <c r="BA208" s="58">
        <f t="shared" ca="1" si="185"/>
        <v>0</v>
      </c>
      <c r="BB208" s="58">
        <f t="shared" ca="1" si="185"/>
        <v>0</v>
      </c>
      <c r="BC208" s="58">
        <f t="shared" ca="1" si="185"/>
        <v>0</v>
      </c>
      <c r="BD208" s="58">
        <f t="shared" ca="1" si="185"/>
        <v>0</v>
      </c>
      <c r="BE208" s="58">
        <f t="shared" ca="1" si="185"/>
        <v>0</v>
      </c>
      <c r="BF208" s="58">
        <f t="shared" ca="1" si="185"/>
        <v>0</v>
      </c>
      <c r="BG208" s="58">
        <f t="shared" ca="1" si="185"/>
        <v>0</v>
      </c>
      <c r="BH208" s="58">
        <f t="shared" ca="1" si="185"/>
        <v>0</v>
      </c>
      <c r="BI208" s="58">
        <f t="shared" ca="1" si="185"/>
        <v>0</v>
      </c>
      <c r="BJ208" s="58">
        <f t="shared" ca="1" si="185"/>
        <v>0</v>
      </c>
      <c r="BK208" s="58">
        <f t="shared" ca="1" si="185"/>
        <v>0</v>
      </c>
      <c r="BL208" s="58">
        <f t="shared" ca="1" si="185"/>
        <v>0</v>
      </c>
      <c r="BM208" s="58">
        <f t="shared" ca="1" si="185"/>
        <v>0</v>
      </c>
      <c r="BN208" s="58">
        <f t="shared" ca="1" si="185"/>
        <v>0</v>
      </c>
      <c r="BO208" s="58">
        <f t="shared" ca="1" si="185"/>
        <v>0</v>
      </c>
      <c r="BP208" s="58">
        <f t="shared" ca="1" si="185"/>
        <v>0</v>
      </c>
      <c r="BQ208" s="58">
        <f t="shared" ca="1" si="185"/>
        <v>0</v>
      </c>
      <c r="BR208" s="58">
        <f t="shared" ca="1" si="185"/>
        <v>0</v>
      </c>
      <c r="BS208" s="58">
        <f t="shared" ref="BS208:CX208" ca="1" si="186">+IF(OR($F208+BS$175&lt;1,(BS$176-1)*12&lt;-$F208),0,OFFSET(BS38,0,$F208))</f>
        <v>0</v>
      </c>
      <c r="BT208" s="58">
        <f t="shared" ca="1" si="186"/>
        <v>0</v>
      </c>
      <c r="BU208" s="58">
        <f t="shared" ca="1" si="186"/>
        <v>0</v>
      </c>
      <c r="BV208" s="58">
        <f t="shared" ca="1" si="186"/>
        <v>0</v>
      </c>
      <c r="BW208" s="58">
        <f t="shared" ca="1" si="186"/>
        <v>0</v>
      </c>
      <c r="BX208" s="58">
        <f t="shared" ca="1" si="186"/>
        <v>0</v>
      </c>
      <c r="BY208" s="58">
        <f t="shared" ca="1" si="186"/>
        <v>0</v>
      </c>
      <c r="BZ208" s="58">
        <f t="shared" ca="1" si="186"/>
        <v>0</v>
      </c>
      <c r="CA208" s="58">
        <f t="shared" ca="1" si="186"/>
        <v>0</v>
      </c>
      <c r="CB208" s="58">
        <f t="shared" ca="1" si="186"/>
        <v>0</v>
      </c>
      <c r="CC208" s="58">
        <f t="shared" ca="1" si="186"/>
        <v>0</v>
      </c>
      <c r="CD208" s="58">
        <f t="shared" ca="1" si="186"/>
        <v>0</v>
      </c>
      <c r="CE208" s="58">
        <f t="shared" ca="1" si="186"/>
        <v>0</v>
      </c>
      <c r="CF208" s="58">
        <f t="shared" ca="1" si="186"/>
        <v>0</v>
      </c>
      <c r="CG208" s="58">
        <f t="shared" ca="1" si="186"/>
        <v>0</v>
      </c>
      <c r="CH208" s="58">
        <f t="shared" ca="1" si="186"/>
        <v>0</v>
      </c>
      <c r="CI208" s="58">
        <f t="shared" ca="1" si="186"/>
        <v>0</v>
      </c>
      <c r="CJ208" s="58">
        <f t="shared" ca="1" si="186"/>
        <v>0</v>
      </c>
      <c r="CK208" s="58">
        <f t="shared" ca="1" si="186"/>
        <v>0</v>
      </c>
      <c r="CL208" s="58">
        <f t="shared" ca="1" si="186"/>
        <v>0</v>
      </c>
      <c r="CM208" s="58">
        <f t="shared" ca="1" si="186"/>
        <v>0</v>
      </c>
      <c r="CN208" s="58">
        <f t="shared" ca="1" si="186"/>
        <v>0</v>
      </c>
      <c r="CO208" s="58">
        <f t="shared" ca="1" si="186"/>
        <v>0</v>
      </c>
      <c r="CP208" s="58">
        <f t="shared" ca="1" si="186"/>
        <v>0</v>
      </c>
      <c r="CQ208" s="58">
        <f t="shared" ca="1" si="186"/>
        <v>0</v>
      </c>
      <c r="CR208" s="58">
        <f t="shared" ca="1" si="186"/>
        <v>0</v>
      </c>
      <c r="CS208" s="58">
        <f t="shared" ca="1" si="186"/>
        <v>0</v>
      </c>
      <c r="CT208" s="58">
        <f t="shared" ca="1" si="186"/>
        <v>0</v>
      </c>
      <c r="CU208" s="58">
        <f t="shared" ca="1" si="186"/>
        <v>0</v>
      </c>
      <c r="CV208" s="58">
        <f t="shared" ca="1" si="186"/>
        <v>0</v>
      </c>
      <c r="CW208" s="58">
        <f t="shared" ca="1" si="186"/>
        <v>0</v>
      </c>
      <c r="CX208" s="58">
        <f t="shared" ca="1" si="186"/>
        <v>0</v>
      </c>
      <c r="CY208" s="58">
        <f t="shared" ref="CY208:ED208" ca="1" si="187">+IF(OR($F208+CY$175&lt;1,(CY$176-1)*12&lt;-$F208),0,OFFSET(CY38,0,$F208))</f>
        <v>0</v>
      </c>
      <c r="CZ208" s="58">
        <f t="shared" ca="1" si="187"/>
        <v>0</v>
      </c>
      <c r="DA208" s="58">
        <f t="shared" ca="1" si="187"/>
        <v>0</v>
      </c>
      <c r="DB208" s="58">
        <f t="shared" ca="1" si="187"/>
        <v>0</v>
      </c>
      <c r="DC208" s="58">
        <f t="shared" ca="1" si="187"/>
        <v>0</v>
      </c>
      <c r="DD208" s="58">
        <f t="shared" ca="1" si="187"/>
        <v>0</v>
      </c>
      <c r="DE208" s="58">
        <f t="shared" ca="1" si="187"/>
        <v>0</v>
      </c>
      <c r="DF208" s="58">
        <f t="shared" ca="1" si="187"/>
        <v>0</v>
      </c>
      <c r="DG208" s="58">
        <f t="shared" ca="1" si="187"/>
        <v>0</v>
      </c>
      <c r="DH208" s="58">
        <f t="shared" ca="1" si="187"/>
        <v>0</v>
      </c>
      <c r="DI208" s="58">
        <f t="shared" ca="1" si="187"/>
        <v>0</v>
      </c>
      <c r="DJ208" s="58">
        <f t="shared" ca="1" si="187"/>
        <v>0</v>
      </c>
      <c r="DK208" s="58">
        <f t="shared" ca="1" si="187"/>
        <v>0</v>
      </c>
      <c r="DL208" s="58">
        <f t="shared" ca="1" si="187"/>
        <v>0</v>
      </c>
      <c r="DM208" s="58">
        <f t="shared" ca="1" si="187"/>
        <v>0</v>
      </c>
      <c r="DN208" s="58">
        <f t="shared" ca="1" si="187"/>
        <v>0</v>
      </c>
      <c r="DO208" s="58">
        <f t="shared" ca="1" si="187"/>
        <v>0</v>
      </c>
      <c r="DP208" s="58">
        <f t="shared" ca="1" si="187"/>
        <v>0</v>
      </c>
      <c r="DQ208" s="58">
        <f t="shared" ca="1" si="187"/>
        <v>0</v>
      </c>
      <c r="DR208" s="58">
        <f t="shared" ca="1" si="187"/>
        <v>0</v>
      </c>
      <c r="DS208" s="58">
        <f t="shared" ca="1" si="187"/>
        <v>0</v>
      </c>
      <c r="DT208" s="58">
        <f t="shared" ca="1" si="187"/>
        <v>0</v>
      </c>
      <c r="DU208" s="58">
        <f t="shared" ca="1" si="187"/>
        <v>0</v>
      </c>
      <c r="DV208" s="58">
        <f t="shared" ca="1" si="187"/>
        <v>0</v>
      </c>
      <c r="DW208" s="58">
        <f t="shared" ca="1" si="187"/>
        <v>0</v>
      </c>
      <c r="DX208" s="58">
        <f t="shared" ca="1" si="187"/>
        <v>0</v>
      </c>
      <c r="DY208" s="58">
        <f t="shared" ca="1" si="187"/>
        <v>0</v>
      </c>
      <c r="DZ208" s="58">
        <f t="shared" ca="1" si="187"/>
        <v>0</v>
      </c>
      <c r="EA208" s="58">
        <f t="shared" ca="1" si="187"/>
        <v>0</v>
      </c>
      <c r="EB208" s="58">
        <f t="shared" ca="1" si="187"/>
        <v>0</v>
      </c>
      <c r="EC208" s="58">
        <f t="shared" ca="1" si="187"/>
        <v>0</v>
      </c>
      <c r="ED208" s="58">
        <f t="shared" ca="1" si="187"/>
        <v>0</v>
      </c>
      <c r="EE208" s="58">
        <f t="shared" ref="EE208:FN208" ca="1" si="188">+IF(OR($F208+EE$175&lt;1,(EE$176-1)*12&lt;-$F208),0,OFFSET(EE38,0,$F208))</f>
        <v>0</v>
      </c>
      <c r="EF208" s="58">
        <f t="shared" ca="1" si="188"/>
        <v>0</v>
      </c>
      <c r="EG208" s="58">
        <f t="shared" ca="1" si="188"/>
        <v>0</v>
      </c>
      <c r="EH208" s="58">
        <f t="shared" ca="1" si="188"/>
        <v>0</v>
      </c>
      <c r="EI208" s="58">
        <f t="shared" ca="1" si="188"/>
        <v>0</v>
      </c>
      <c r="EJ208" s="58">
        <f t="shared" ca="1" si="188"/>
        <v>0</v>
      </c>
      <c r="EK208" s="58">
        <f t="shared" ca="1" si="188"/>
        <v>0</v>
      </c>
      <c r="EL208" s="58">
        <f t="shared" ca="1" si="188"/>
        <v>0</v>
      </c>
      <c r="EM208" s="58">
        <f t="shared" ca="1" si="188"/>
        <v>0</v>
      </c>
      <c r="EN208" s="58">
        <f t="shared" ca="1" si="188"/>
        <v>0</v>
      </c>
      <c r="EO208" s="58">
        <f t="shared" ca="1" si="188"/>
        <v>0</v>
      </c>
      <c r="EP208" s="58">
        <f t="shared" ca="1" si="188"/>
        <v>0</v>
      </c>
      <c r="EQ208" s="58">
        <f t="shared" ca="1" si="188"/>
        <v>0</v>
      </c>
      <c r="ER208" s="58">
        <f t="shared" ca="1" si="188"/>
        <v>0</v>
      </c>
      <c r="ES208" s="58">
        <f t="shared" ca="1" si="188"/>
        <v>0</v>
      </c>
      <c r="ET208" s="58">
        <f t="shared" ca="1" si="188"/>
        <v>0</v>
      </c>
      <c r="EU208" s="58">
        <f t="shared" ca="1" si="188"/>
        <v>0</v>
      </c>
      <c r="EV208" s="58">
        <f t="shared" ca="1" si="188"/>
        <v>0</v>
      </c>
      <c r="EW208" s="58">
        <f t="shared" ca="1" si="188"/>
        <v>0</v>
      </c>
      <c r="EX208" s="58">
        <f t="shared" ca="1" si="188"/>
        <v>0</v>
      </c>
      <c r="EY208" s="58">
        <f t="shared" ca="1" si="188"/>
        <v>0</v>
      </c>
      <c r="EZ208" s="58">
        <f t="shared" ca="1" si="188"/>
        <v>0</v>
      </c>
      <c r="FA208" s="58">
        <f t="shared" ca="1" si="188"/>
        <v>0</v>
      </c>
      <c r="FB208" s="58">
        <f t="shared" ca="1" si="188"/>
        <v>0</v>
      </c>
      <c r="FC208" s="58">
        <f t="shared" ca="1" si="188"/>
        <v>0</v>
      </c>
      <c r="FD208" s="58">
        <f t="shared" ca="1" si="188"/>
        <v>0</v>
      </c>
      <c r="FE208" s="58">
        <f t="shared" ca="1" si="188"/>
        <v>0</v>
      </c>
      <c r="FF208" s="58">
        <f t="shared" ca="1" si="188"/>
        <v>0</v>
      </c>
      <c r="FG208" s="58">
        <f t="shared" ca="1" si="188"/>
        <v>0</v>
      </c>
      <c r="FH208" s="58">
        <f t="shared" ca="1" si="188"/>
        <v>0</v>
      </c>
      <c r="FI208" s="58">
        <f t="shared" ca="1" si="188"/>
        <v>0</v>
      </c>
      <c r="FJ208" s="58">
        <f t="shared" ca="1" si="188"/>
        <v>0</v>
      </c>
      <c r="FK208" s="58">
        <f t="shared" ca="1" si="188"/>
        <v>0</v>
      </c>
      <c r="FL208" s="58">
        <f t="shared" ca="1" si="188"/>
        <v>0</v>
      </c>
      <c r="FM208" s="58">
        <f t="shared" ca="1" si="188"/>
        <v>0</v>
      </c>
      <c r="FN208" s="58">
        <f t="shared" ca="1" si="188"/>
        <v>0</v>
      </c>
      <c r="FO208" s="13"/>
    </row>
    <row r="209" spans="1:171" outlineLevel="1" x14ac:dyDescent="0.3">
      <c r="A209" s="13"/>
      <c r="B209" s="13"/>
      <c r="C209" s="13"/>
      <c r="D209" s="52">
        <f t="shared" si="31"/>
        <v>41122</v>
      </c>
      <c r="E209" s="53">
        <f t="shared" si="32"/>
        <v>2012</v>
      </c>
      <c r="F209" s="53">
        <f t="shared" si="33"/>
        <v>-17</v>
      </c>
      <c r="G209" s="58">
        <f t="shared" ref="G209:AL209" ca="1" si="189">+IF(OR($F209+G$175&lt;1,(G$176-1)*12&lt;-$F209),0,OFFSET(G39,0,$F209))</f>
        <v>0</v>
      </c>
      <c r="H209" s="58">
        <f t="shared" ca="1" si="189"/>
        <v>0</v>
      </c>
      <c r="I209" s="58">
        <f t="shared" ca="1" si="189"/>
        <v>0</v>
      </c>
      <c r="J209" s="58">
        <f t="shared" ca="1" si="189"/>
        <v>0</v>
      </c>
      <c r="K209" s="58">
        <f t="shared" ca="1" si="189"/>
        <v>0</v>
      </c>
      <c r="L209" s="58">
        <f t="shared" ca="1" si="189"/>
        <v>0</v>
      </c>
      <c r="M209" s="58">
        <f t="shared" ca="1" si="189"/>
        <v>0</v>
      </c>
      <c r="N209" s="58">
        <f t="shared" ca="1" si="189"/>
        <v>0</v>
      </c>
      <c r="O209" s="58">
        <f t="shared" ca="1" si="189"/>
        <v>0</v>
      </c>
      <c r="P209" s="58">
        <f t="shared" ca="1" si="189"/>
        <v>0</v>
      </c>
      <c r="Q209" s="58">
        <f t="shared" ca="1" si="189"/>
        <v>0</v>
      </c>
      <c r="R209" s="58">
        <f t="shared" ca="1" si="189"/>
        <v>0</v>
      </c>
      <c r="S209" s="58">
        <f t="shared" ca="1" si="189"/>
        <v>0</v>
      </c>
      <c r="T209" s="58">
        <f t="shared" ca="1" si="189"/>
        <v>0</v>
      </c>
      <c r="U209" s="58">
        <f t="shared" ca="1" si="189"/>
        <v>0</v>
      </c>
      <c r="V209" s="58">
        <f t="shared" ca="1" si="189"/>
        <v>0</v>
      </c>
      <c r="W209" s="58">
        <f t="shared" ca="1" si="189"/>
        <v>0</v>
      </c>
      <c r="X209" s="58">
        <f t="shared" ca="1" si="189"/>
        <v>0</v>
      </c>
      <c r="Y209" s="58">
        <f t="shared" ca="1" si="189"/>
        <v>0</v>
      </c>
      <c r="Z209" s="58">
        <f t="shared" ca="1" si="189"/>
        <v>0</v>
      </c>
      <c r="AA209" s="58">
        <f t="shared" ca="1" si="189"/>
        <v>0</v>
      </c>
      <c r="AB209" s="58">
        <f t="shared" ca="1" si="189"/>
        <v>0</v>
      </c>
      <c r="AC209" s="58">
        <f t="shared" ca="1" si="189"/>
        <v>0</v>
      </c>
      <c r="AD209" s="58">
        <f t="shared" ca="1" si="189"/>
        <v>0</v>
      </c>
      <c r="AE209" s="58">
        <f t="shared" ca="1" si="189"/>
        <v>0</v>
      </c>
      <c r="AF209" s="58">
        <f t="shared" ca="1" si="189"/>
        <v>0</v>
      </c>
      <c r="AG209" s="58">
        <f t="shared" ca="1" si="189"/>
        <v>0</v>
      </c>
      <c r="AH209" s="58">
        <f t="shared" ca="1" si="189"/>
        <v>0</v>
      </c>
      <c r="AI209" s="58">
        <f t="shared" ca="1" si="189"/>
        <v>0</v>
      </c>
      <c r="AJ209" s="58">
        <f t="shared" ca="1" si="189"/>
        <v>0</v>
      </c>
      <c r="AK209" s="58">
        <f t="shared" ca="1" si="189"/>
        <v>0</v>
      </c>
      <c r="AL209" s="58">
        <f t="shared" ca="1" si="189"/>
        <v>0</v>
      </c>
      <c r="AM209" s="58">
        <f t="shared" ref="AM209:BR209" ca="1" si="190">+IF(OR($F209+AM$175&lt;1,(AM$176-1)*12&lt;-$F209),0,OFFSET(AM39,0,$F209))</f>
        <v>0</v>
      </c>
      <c r="AN209" s="58">
        <f t="shared" ca="1" si="190"/>
        <v>0</v>
      </c>
      <c r="AO209" s="58">
        <f t="shared" ca="1" si="190"/>
        <v>0</v>
      </c>
      <c r="AP209" s="58">
        <f t="shared" ca="1" si="190"/>
        <v>0</v>
      </c>
      <c r="AQ209" s="58">
        <f t="shared" ca="1" si="190"/>
        <v>0</v>
      </c>
      <c r="AR209" s="58">
        <f t="shared" ca="1" si="190"/>
        <v>0</v>
      </c>
      <c r="AS209" s="58">
        <f t="shared" ca="1" si="190"/>
        <v>0</v>
      </c>
      <c r="AT209" s="58">
        <f t="shared" ca="1" si="190"/>
        <v>0</v>
      </c>
      <c r="AU209" s="58">
        <f t="shared" ca="1" si="190"/>
        <v>0</v>
      </c>
      <c r="AV209" s="58">
        <f t="shared" ca="1" si="190"/>
        <v>0</v>
      </c>
      <c r="AW209" s="58">
        <f t="shared" ca="1" si="190"/>
        <v>0</v>
      </c>
      <c r="AX209" s="58">
        <f t="shared" ca="1" si="190"/>
        <v>0</v>
      </c>
      <c r="AY209" s="58">
        <f t="shared" ca="1" si="190"/>
        <v>0</v>
      </c>
      <c r="AZ209" s="58">
        <f t="shared" ca="1" si="190"/>
        <v>0</v>
      </c>
      <c r="BA209" s="58">
        <f t="shared" ca="1" si="190"/>
        <v>0</v>
      </c>
      <c r="BB209" s="58">
        <f t="shared" ca="1" si="190"/>
        <v>0</v>
      </c>
      <c r="BC209" s="58">
        <f t="shared" ca="1" si="190"/>
        <v>0</v>
      </c>
      <c r="BD209" s="58">
        <f t="shared" ca="1" si="190"/>
        <v>0</v>
      </c>
      <c r="BE209" s="58">
        <f t="shared" ca="1" si="190"/>
        <v>0</v>
      </c>
      <c r="BF209" s="58">
        <f t="shared" ca="1" si="190"/>
        <v>0</v>
      </c>
      <c r="BG209" s="58">
        <f t="shared" ca="1" si="190"/>
        <v>0</v>
      </c>
      <c r="BH209" s="58">
        <f t="shared" ca="1" si="190"/>
        <v>0</v>
      </c>
      <c r="BI209" s="58">
        <f t="shared" ca="1" si="190"/>
        <v>0</v>
      </c>
      <c r="BJ209" s="58">
        <f t="shared" ca="1" si="190"/>
        <v>0</v>
      </c>
      <c r="BK209" s="58">
        <f t="shared" ca="1" si="190"/>
        <v>0</v>
      </c>
      <c r="BL209" s="58">
        <f t="shared" ca="1" si="190"/>
        <v>0</v>
      </c>
      <c r="BM209" s="58">
        <f t="shared" ca="1" si="190"/>
        <v>0</v>
      </c>
      <c r="BN209" s="58">
        <f t="shared" ca="1" si="190"/>
        <v>0</v>
      </c>
      <c r="BO209" s="58">
        <f t="shared" ca="1" si="190"/>
        <v>0</v>
      </c>
      <c r="BP209" s="58">
        <f t="shared" ca="1" si="190"/>
        <v>0</v>
      </c>
      <c r="BQ209" s="58">
        <f t="shared" ca="1" si="190"/>
        <v>0</v>
      </c>
      <c r="BR209" s="58">
        <f t="shared" ca="1" si="190"/>
        <v>0</v>
      </c>
      <c r="BS209" s="58">
        <f t="shared" ref="BS209:CX209" ca="1" si="191">+IF(OR($F209+BS$175&lt;1,(BS$176-1)*12&lt;-$F209),0,OFFSET(BS39,0,$F209))</f>
        <v>0</v>
      </c>
      <c r="BT209" s="58">
        <f t="shared" ca="1" si="191"/>
        <v>0</v>
      </c>
      <c r="BU209" s="58">
        <f t="shared" ca="1" si="191"/>
        <v>0</v>
      </c>
      <c r="BV209" s="58">
        <f t="shared" ca="1" si="191"/>
        <v>0</v>
      </c>
      <c r="BW209" s="58">
        <f t="shared" ca="1" si="191"/>
        <v>0</v>
      </c>
      <c r="BX209" s="58">
        <f t="shared" ca="1" si="191"/>
        <v>0</v>
      </c>
      <c r="BY209" s="58">
        <f t="shared" ca="1" si="191"/>
        <v>0</v>
      </c>
      <c r="BZ209" s="58">
        <f t="shared" ca="1" si="191"/>
        <v>0</v>
      </c>
      <c r="CA209" s="58">
        <f t="shared" ca="1" si="191"/>
        <v>0</v>
      </c>
      <c r="CB209" s="58">
        <f t="shared" ca="1" si="191"/>
        <v>0</v>
      </c>
      <c r="CC209" s="58">
        <f t="shared" ca="1" si="191"/>
        <v>0</v>
      </c>
      <c r="CD209" s="58">
        <f t="shared" ca="1" si="191"/>
        <v>0</v>
      </c>
      <c r="CE209" s="58">
        <f t="shared" ca="1" si="191"/>
        <v>0</v>
      </c>
      <c r="CF209" s="58">
        <f t="shared" ca="1" si="191"/>
        <v>0</v>
      </c>
      <c r="CG209" s="58">
        <f t="shared" ca="1" si="191"/>
        <v>0</v>
      </c>
      <c r="CH209" s="58">
        <f t="shared" ca="1" si="191"/>
        <v>0</v>
      </c>
      <c r="CI209" s="58">
        <f t="shared" ca="1" si="191"/>
        <v>0</v>
      </c>
      <c r="CJ209" s="58">
        <f t="shared" ca="1" si="191"/>
        <v>0</v>
      </c>
      <c r="CK209" s="58">
        <f t="shared" ca="1" si="191"/>
        <v>0</v>
      </c>
      <c r="CL209" s="58">
        <f t="shared" ca="1" si="191"/>
        <v>0</v>
      </c>
      <c r="CM209" s="58">
        <f t="shared" ca="1" si="191"/>
        <v>0</v>
      </c>
      <c r="CN209" s="58">
        <f t="shared" ca="1" si="191"/>
        <v>0</v>
      </c>
      <c r="CO209" s="58">
        <f t="shared" ca="1" si="191"/>
        <v>0</v>
      </c>
      <c r="CP209" s="58">
        <f t="shared" ca="1" si="191"/>
        <v>0</v>
      </c>
      <c r="CQ209" s="58">
        <f t="shared" ca="1" si="191"/>
        <v>0</v>
      </c>
      <c r="CR209" s="58">
        <f t="shared" ca="1" si="191"/>
        <v>0</v>
      </c>
      <c r="CS209" s="58">
        <f t="shared" ca="1" si="191"/>
        <v>0</v>
      </c>
      <c r="CT209" s="58">
        <f t="shared" ca="1" si="191"/>
        <v>0</v>
      </c>
      <c r="CU209" s="58">
        <f t="shared" ca="1" si="191"/>
        <v>0</v>
      </c>
      <c r="CV209" s="58">
        <f t="shared" ca="1" si="191"/>
        <v>0</v>
      </c>
      <c r="CW209" s="58">
        <f t="shared" ca="1" si="191"/>
        <v>0</v>
      </c>
      <c r="CX209" s="58">
        <f t="shared" ca="1" si="191"/>
        <v>0</v>
      </c>
      <c r="CY209" s="58">
        <f t="shared" ref="CY209:ED209" ca="1" si="192">+IF(OR($F209+CY$175&lt;1,(CY$176-1)*12&lt;-$F209),0,OFFSET(CY39,0,$F209))</f>
        <v>0</v>
      </c>
      <c r="CZ209" s="58">
        <f t="shared" ca="1" si="192"/>
        <v>0</v>
      </c>
      <c r="DA209" s="58">
        <f t="shared" ca="1" si="192"/>
        <v>0</v>
      </c>
      <c r="DB209" s="58">
        <f t="shared" ca="1" si="192"/>
        <v>0</v>
      </c>
      <c r="DC209" s="58">
        <f t="shared" ca="1" si="192"/>
        <v>0</v>
      </c>
      <c r="DD209" s="58">
        <f t="shared" ca="1" si="192"/>
        <v>0</v>
      </c>
      <c r="DE209" s="58">
        <f t="shared" ca="1" si="192"/>
        <v>0</v>
      </c>
      <c r="DF209" s="58">
        <f t="shared" ca="1" si="192"/>
        <v>0</v>
      </c>
      <c r="DG209" s="58">
        <f t="shared" ca="1" si="192"/>
        <v>0</v>
      </c>
      <c r="DH209" s="58">
        <f t="shared" ca="1" si="192"/>
        <v>0</v>
      </c>
      <c r="DI209" s="58">
        <f t="shared" ca="1" si="192"/>
        <v>0</v>
      </c>
      <c r="DJ209" s="58">
        <f t="shared" ca="1" si="192"/>
        <v>0</v>
      </c>
      <c r="DK209" s="58">
        <f t="shared" ca="1" si="192"/>
        <v>0</v>
      </c>
      <c r="DL209" s="58">
        <f t="shared" ca="1" si="192"/>
        <v>0</v>
      </c>
      <c r="DM209" s="58">
        <f t="shared" ca="1" si="192"/>
        <v>0</v>
      </c>
      <c r="DN209" s="58">
        <f t="shared" ca="1" si="192"/>
        <v>0</v>
      </c>
      <c r="DO209" s="58">
        <f t="shared" ca="1" si="192"/>
        <v>0</v>
      </c>
      <c r="DP209" s="58">
        <f t="shared" ca="1" si="192"/>
        <v>0</v>
      </c>
      <c r="DQ209" s="58">
        <f t="shared" ca="1" si="192"/>
        <v>0</v>
      </c>
      <c r="DR209" s="58">
        <f t="shared" ca="1" si="192"/>
        <v>0</v>
      </c>
      <c r="DS209" s="58">
        <f t="shared" ca="1" si="192"/>
        <v>0</v>
      </c>
      <c r="DT209" s="58">
        <f t="shared" ca="1" si="192"/>
        <v>0</v>
      </c>
      <c r="DU209" s="58">
        <f t="shared" ca="1" si="192"/>
        <v>0</v>
      </c>
      <c r="DV209" s="58">
        <f t="shared" ca="1" si="192"/>
        <v>0</v>
      </c>
      <c r="DW209" s="58">
        <f t="shared" ca="1" si="192"/>
        <v>0</v>
      </c>
      <c r="DX209" s="58">
        <f t="shared" ca="1" si="192"/>
        <v>0</v>
      </c>
      <c r="DY209" s="58">
        <f t="shared" ca="1" si="192"/>
        <v>0</v>
      </c>
      <c r="DZ209" s="58">
        <f t="shared" ca="1" si="192"/>
        <v>0</v>
      </c>
      <c r="EA209" s="58">
        <f t="shared" ca="1" si="192"/>
        <v>0</v>
      </c>
      <c r="EB209" s="58">
        <f t="shared" ca="1" si="192"/>
        <v>0</v>
      </c>
      <c r="EC209" s="58">
        <f t="shared" ca="1" si="192"/>
        <v>0</v>
      </c>
      <c r="ED209" s="58">
        <f t="shared" ca="1" si="192"/>
        <v>0</v>
      </c>
      <c r="EE209" s="58">
        <f t="shared" ref="EE209:FN209" ca="1" si="193">+IF(OR($F209+EE$175&lt;1,(EE$176-1)*12&lt;-$F209),0,OFFSET(EE39,0,$F209))</f>
        <v>0</v>
      </c>
      <c r="EF209" s="58">
        <f t="shared" ca="1" si="193"/>
        <v>0</v>
      </c>
      <c r="EG209" s="58">
        <f t="shared" ca="1" si="193"/>
        <v>0</v>
      </c>
      <c r="EH209" s="58">
        <f t="shared" ca="1" si="193"/>
        <v>0</v>
      </c>
      <c r="EI209" s="58">
        <f t="shared" ca="1" si="193"/>
        <v>0</v>
      </c>
      <c r="EJ209" s="58">
        <f t="shared" ca="1" si="193"/>
        <v>0</v>
      </c>
      <c r="EK209" s="58">
        <f t="shared" ca="1" si="193"/>
        <v>0</v>
      </c>
      <c r="EL209" s="58">
        <f t="shared" ca="1" si="193"/>
        <v>0</v>
      </c>
      <c r="EM209" s="58">
        <f t="shared" ca="1" si="193"/>
        <v>0</v>
      </c>
      <c r="EN209" s="58">
        <f t="shared" ca="1" si="193"/>
        <v>0</v>
      </c>
      <c r="EO209" s="58">
        <f t="shared" ca="1" si="193"/>
        <v>0</v>
      </c>
      <c r="EP209" s="58">
        <f t="shared" ca="1" si="193"/>
        <v>0</v>
      </c>
      <c r="EQ209" s="58">
        <f t="shared" ca="1" si="193"/>
        <v>0</v>
      </c>
      <c r="ER209" s="58">
        <f t="shared" ca="1" si="193"/>
        <v>0</v>
      </c>
      <c r="ES209" s="58">
        <f t="shared" ca="1" si="193"/>
        <v>0</v>
      </c>
      <c r="ET209" s="58">
        <f t="shared" ca="1" si="193"/>
        <v>0</v>
      </c>
      <c r="EU209" s="58">
        <f t="shared" ca="1" si="193"/>
        <v>0</v>
      </c>
      <c r="EV209" s="58">
        <f t="shared" ca="1" si="193"/>
        <v>0</v>
      </c>
      <c r="EW209" s="58">
        <f t="shared" ca="1" si="193"/>
        <v>0</v>
      </c>
      <c r="EX209" s="58">
        <f t="shared" ca="1" si="193"/>
        <v>0</v>
      </c>
      <c r="EY209" s="58">
        <f t="shared" ca="1" si="193"/>
        <v>0</v>
      </c>
      <c r="EZ209" s="58">
        <f t="shared" ca="1" si="193"/>
        <v>0</v>
      </c>
      <c r="FA209" s="58">
        <f t="shared" ca="1" si="193"/>
        <v>0</v>
      </c>
      <c r="FB209" s="58">
        <f t="shared" ca="1" si="193"/>
        <v>0</v>
      </c>
      <c r="FC209" s="58">
        <f t="shared" ca="1" si="193"/>
        <v>0</v>
      </c>
      <c r="FD209" s="58">
        <f t="shared" ca="1" si="193"/>
        <v>0</v>
      </c>
      <c r="FE209" s="58">
        <f t="shared" ca="1" si="193"/>
        <v>0</v>
      </c>
      <c r="FF209" s="58">
        <f t="shared" ca="1" si="193"/>
        <v>0</v>
      </c>
      <c r="FG209" s="58">
        <f t="shared" ca="1" si="193"/>
        <v>0</v>
      </c>
      <c r="FH209" s="58">
        <f t="shared" ca="1" si="193"/>
        <v>0</v>
      </c>
      <c r="FI209" s="58">
        <f t="shared" ca="1" si="193"/>
        <v>0</v>
      </c>
      <c r="FJ209" s="58">
        <f t="shared" ca="1" si="193"/>
        <v>0</v>
      </c>
      <c r="FK209" s="58">
        <f t="shared" ca="1" si="193"/>
        <v>0</v>
      </c>
      <c r="FL209" s="58">
        <f t="shared" ca="1" si="193"/>
        <v>0</v>
      </c>
      <c r="FM209" s="58">
        <f t="shared" ca="1" si="193"/>
        <v>0</v>
      </c>
      <c r="FN209" s="58">
        <f t="shared" ca="1" si="193"/>
        <v>0</v>
      </c>
      <c r="FO209" s="13"/>
    </row>
    <row r="210" spans="1:171" outlineLevel="1" x14ac:dyDescent="0.3">
      <c r="A210" s="13"/>
      <c r="B210" s="13"/>
      <c r="C210" s="13"/>
      <c r="D210" s="52">
        <f t="shared" ref="D210:D241" si="194">+D40</f>
        <v>41153</v>
      </c>
      <c r="E210" s="53">
        <f t="shared" ref="E210:E241" si="195">+YEAR(D210)</f>
        <v>2012</v>
      </c>
      <c r="F210" s="53">
        <f t="shared" ref="F210:F241" si="196">+F40</f>
        <v>-16</v>
      </c>
      <c r="G210" s="58">
        <f t="shared" ref="G210:AL210" ca="1" si="197">+IF(OR($F210+G$175&lt;1,(G$176-1)*12&lt;-$F210),0,OFFSET(G40,0,$F210))</f>
        <v>0</v>
      </c>
      <c r="H210" s="58">
        <f t="shared" ca="1" si="197"/>
        <v>0</v>
      </c>
      <c r="I210" s="58">
        <f t="shared" ca="1" si="197"/>
        <v>0</v>
      </c>
      <c r="J210" s="58">
        <f t="shared" ca="1" si="197"/>
        <v>0</v>
      </c>
      <c r="K210" s="58">
        <f t="shared" ca="1" si="197"/>
        <v>0</v>
      </c>
      <c r="L210" s="58">
        <f t="shared" ca="1" si="197"/>
        <v>0</v>
      </c>
      <c r="M210" s="58">
        <f t="shared" ca="1" si="197"/>
        <v>0</v>
      </c>
      <c r="N210" s="58">
        <f t="shared" ca="1" si="197"/>
        <v>0</v>
      </c>
      <c r="O210" s="58">
        <f t="shared" ca="1" si="197"/>
        <v>0</v>
      </c>
      <c r="P210" s="58">
        <f t="shared" ca="1" si="197"/>
        <v>0</v>
      </c>
      <c r="Q210" s="58">
        <f t="shared" ca="1" si="197"/>
        <v>0</v>
      </c>
      <c r="R210" s="58">
        <f t="shared" ca="1" si="197"/>
        <v>0</v>
      </c>
      <c r="S210" s="58">
        <f t="shared" ca="1" si="197"/>
        <v>0</v>
      </c>
      <c r="T210" s="58">
        <f t="shared" ca="1" si="197"/>
        <v>0</v>
      </c>
      <c r="U210" s="58">
        <f t="shared" ca="1" si="197"/>
        <v>0</v>
      </c>
      <c r="V210" s="58">
        <f t="shared" ca="1" si="197"/>
        <v>0</v>
      </c>
      <c r="W210" s="58">
        <f t="shared" ca="1" si="197"/>
        <v>0</v>
      </c>
      <c r="X210" s="58">
        <f t="shared" ca="1" si="197"/>
        <v>0</v>
      </c>
      <c r="Y210" s="58">
        <f t="shared" ca="1" si="197"/>
        <v>0</v>
      </c>
      <c r="Z210" s="58">
        <f t="shared" ca="1" si="197"/>
        <v>0</v>
      </c>
      <c r="AA210" s="58">
        <f t="shared" ca="1" si="197"/>
        <v>0</v>
      </c>
      <c r="AB210" s="58">
        <f t="shared" ca="1" si="197"/>
        <v>0</v>
      </c>
      <c r="AC210" s="58">
        <f t="shared" ca="1" si="197"/>
        <v>0</v>
      </c>
      <c r="AD210" s="58">
        <f t="shared" ca="1" si="197"/>
        <v>0</v>
      </c>
      <c r="AE210" s="58">
        <f t="shared" ca="1" si="197"/>
        <v>0</v>
      </c>
      <c r="AF210" s="58">
        <f t="shared" ca="1" si="197"/>
        <v>0</v>
      </c>
      <c r="AG210" s="58">
        <f t="shared" ca="1" si="197"/>
        <v>0</v>
      </c>
      <c r="AH210" s="58">
        <f t="shared" ca="1" si="197"/>
        <v>0</v>
      </c>
      <c r="AI210" s="58">
        <f t="shared" ca="1" si="197"/>
        <v>0</v>
      </c>
      <c r="AJ210" s="58">
        <f t="shared" ca="1" si="197"/>
        <v>0</v>
      </c>
      <c r="AK210" s="58">
        <f t="shared" ca="1" si="197"/>
        <v>0</v>
      </c>
      <c r="AL210" s="58">
        <f t="shared" ca="1" si="197"/>
        <v>0</v>
      </c>
      <c r="AM210" s="58">
        <f t="shared" ref="AM210:BR210" ca="1" si="198">+IF(OR($F210+AM$175&lt;1,(AM$176-1)*12&lt;-$F210),0,OFFSET(AM40,0,$F210))</f>
        <v>0</v>
      </c>
      <c r="AN210" s="58">
        <f t="shared" ca="1" si="198"/>
        <v>0</v>
      </c>
      <c r="AO210" s="58">
        <f t="shared" ca="1" si="198"/>
        <v>0</v>
      </c>
      <c r="AP210" s="58">
        <f t="shared" ca="1" si="198"/>
        <v>0</v>
      </c>
      <c r="AQ210" s="58">
        <f t="shared" ca="1" si="198"/>
        <v>0</v>
      </c>
      <c r="AR210" s="58">
        <f t="shared" ca="1" si="198"/>
        <v>0</v>
      </c>
      <c r="AS210" s="58">
        <f t="shared" ca="1" si="198"/>
        <v>0</v>
      </c>
      <c r="AT210" s="58">
        <f t="shared" ca="1" si="198"/>
        <v>0</v>
      </c>
      <c r="AU210" s="58">
        <f t="shared" ca="1" si="198"/>
        <v>0</v>
      </c>
      <c r="AV210" s="58">
        <f t="shared" ca="1" si="198"/>
        <v>0</v>
      </c>
      <c r="AW210" s="58">
        <f t="shared" ca="1" si="198"/>
        <v>0</v>
      </c>
      <c r="AX210" s="58">
        <f t="shared" ca="1" si="198"/>
        <v>0</v>
      </c>
      <c r="AY210" s="58">
        <f t="shared" ca="1" si="198"/>
        <v>0</v>
      </c>
      <c r="AZ210" s="58">
        <f t="shared" ca="1" si="198"/>
        <v>0</v>
      </c>
      <c r="BA210" s="58">
        <f t="shared" ca="1" si="198"/>
        <v>0</v>
      </c>
      <c r="BB210" s="58">
        <f t="shared" ca="1" si="198"/>
        <v>0</v>
      </c>
      <c r="BC210" s="58">
        <f t="shared" ca="1" si="198"/>
        <v>0</v>
      </c>
      <c r="BD210" s="58">
        <f t="shared" ca="1" si="198"/>
        <v>0</v>
      </c>
      <c r="BE210" s="58">
        <f t="shared" ca="1" si="198"/>
        <v>0</v>
      </c>
      <c r="BF210" s="58">
        <f t="shared" ca="1" si="198"/>
        <v>0</v>
      </c>
      <c r="BG210" s="58">
        <f t="shared" ca="1" si="198"/>
        <v>0</v>
      </c>
      <c r="BH210" s="58">
        <f t="shared" ca="1" si="198"/>
        <v>0</v>
      </c>
      <c r="BI210" s="58">
        <f t="shared" ca="1" si="198"/>
        <v>0</v>
      </c>
      <c r="BJ210" s="58">
        <f t="shared" ca="1" si="198"/>
        <v>0</v>
      </c>
      <c r="BK210" s="58">
        <f t="shared" ca="1" si="198"/>
        <v>0</v>
      </c>
      <c r="BL210" s="58">
        <f t="shared" ca="1" si="198"/>
        <v>0</v>
      </c>
      <c r="BM210" s="58">
        <f t="shared" ca="1" si="198"/>
        <v>0</v>
      </c>
      <c r="BN210" s="58">
        <f t="shared" ca="1" si="198"/>
        <v>0</v>
      </c>
      <c r="BO210" s="58">
        <f t="shared" ca="1" si="198"/>
        <v>0</v>
      </c>
      <c r="BP210" s="58">
        <f t="shared" ca="1" si="198"/>
        <v>0</v>
      </c>
      <c r="BQ210" s="58">
        <f t="shared" ca="1" si="198"/>
        <v>0</v>
      </c>
      <c r="BR210" s="58">
        <f t="shared" ca="1" si="198"/>
        <v>0</v>
      </c>
      <c r="BS210" s="58">
        <f t="shared" ref="BS210:CX210" ca="1" si="199">+IF(OR($F210+BS$175&lt;1,(BS$176-1)*12&lt;-$F210),0,OFFSET(BS40,0,$F210))</f>
        <v>0</v>
      </c>
      <c r="BT210" s="58">
        <f t="shared" ca="1" si="199"/>
        <v>0</v>
      </c>
      <c r="BU210" s="58">
        <f t="shared" ca="1" si="199"/>
        <v>0</v>
      </c>
      <c r="BV210" s="58">
        <f t="shared" ca="1" si="199"/>
        <v>0</v>
      </c>
      <c r="BW210" s="58">
        <f t="shared" ca="1" si="199"/>
        <v>0</v>
      </c>
      <c r="BX210" s="58">
        <f t="shared" ca="1" si="199"/>
        <v>0</v>
      </c>
      <c r="BY210" s="58">
        <f t="shared" ca="1" si="199"/>
        <v>0</v>
      </c>
      <c r="BZ210" s="58">
        <f t="shared" ca="1" si="199"/>
        <v>0</v>
      </c>
      <c r="CA210" s="58">
        <f t="shared" ca="1" si="199"/>
        <v>0</v>
      </c>
      <c r="CB210" s="58">
        <f t="shared" ca="1" si="199"/>
        <v>0</v>
      </c>
      <c r="CC210" s="58">
        <f t="shared" ca="1" si="199"/>
        <v>0</v>
      </c>
      <c r="CD210" s="58">
        <f t="shared" ca="1" si="199"/>
        <v>0</v>
      </c>
      <c r="CE210" s="58">
        <f t="shared" ca="1" si="199"/>
        <v>0</v>
      </c>
      <c r="CF210" s="58">
        <f t="shared" ca="1" si="199"/>
        <v>0</v>
      </c>
      <c r="CG210" s="58">
        <f t="shared" ca="1" si="199"/>
        <v>0</v>
      </c>
      <c r="CH210" s="58">
        <f t="shared" ca="1" si="199"/>
        <v>0</v>
      </c>
      <c r="CI210" s="58">
        <f t="shared" ca="1" si="199"/>
        <v>0</v>
      </c>
      <c r="CJ210" s="58">
        <f t="shared" ca="1" si="199"/>
        <v>0</v>
      </c>
      <c r="CK210" s="58">
        <f t="shared" ca="1" si="199"/>
        <v>0</v>
      </c>
      <c r="CL210" s="58">
        <f t="shared" ca="1" si="199"/>
        <v>0</v>
      </c>
      <c r="CM210" s="58">
        <f t="shared" ca="1" si="199"/>
        <v>0</v>
      </c>
      <c r="CN210" s="58">
        <f t="shared" ca="1" si="199"/>
        <v>0</v>
      </c>
      <c r="CO210" s="58">
        <f t="shared" ca="1" si="199"/>
        <v>0</v>
      </c>
      <c r="CP210" s="58">
        <f t="shared" ca="1" si="199"/>
        <v>0</v>
      </c>
      <c r="CQ210" s="58">
        <f t="shared" ca="1" si="199"/>
        <v>0</v>
      </c>
      <c r="CR210" s="58">
        <f t="shared" ca="1" si="199"/>
        <v>0</v>
      </c>
      <c r="CS210" s="58">
        <f t="shared" ca="1" si="199"/>
        <v>0</v>
      </c>
      <c r="CT210" s="58">
        <f t="shared" ca="1" si="199"/>
        <v>0</v>
      </c>
      <c r="CU210" s="58">
        <f t="shared" ca="1" si="199"/>
        <v>0</v>
      </c>
      <c r="CV210" s="58">
        <f t="shared" ca="1" si="199"/>
        <v>0</v>
      </c>
      <c r="CW210" s="58">
        <f t="shared" ca="1" si="199"/>
        <v>0</v>
      </c>
      <c r="CX210" s="58">
        <f t="shared" ca="1" si="199"/>
        <v>0</v>
      </c>
      <c r="CY210" s="58">
        <f t="shared" ref="CY210:ED210" ca="1" si="200">+IF(OR($F210+CY$175&lt;1,(CY$176-1)*12&lt;-$F210),0,OFFSET(CY40,0,$F210))</f>
        <v>0</v>
      </c>
      <c r="CZ210" s="58">
        <f t="shared" ca="1" si="200"/>
        <v>0</v>
      </c>
      <c r="DA210" s="58">
        <f t="shared" ca="1" si="200"/>
        <v>0</v>
      </c>
      <c r="DB210" s="58">
        <f t="shared" ca="1" si="200"/>
        <v>0</v>
      </c>
      <c r="DC210" s="58">
        <f t="shared" ca="1" si="200"/>
        <v>0</v>
      </c>
      <c r="DD210" s="58">
        <f t="shared" ca="1" si="200"/>
        <v>0</v>
      </c>
      <c r="DE210" s="58">
        <f t="shared" ca="1" si="200"/>
        <v>0</v>
      </c>
      <c r="DF210" s="58">
        <f t="shared" ca="1" si="200"/>
        <v>0</v>
      </c>
      <c r="DG210" s="58">
        <f t="shared" ca="1" si="200"/>
        <v>0</v>
      </c>
      <c r="DH210" s="58">
        <f t="shared" ca="1" si="200"/>
        <v>0</v>
      </c>
      <c r="DI210" s="58">
        <f t="shared" ca="1" si="200"/>
        <v>0</v>
      </c>
      <c r="DJ210" s="58">
        <f t="shared" ca="1" si="200"/>
        <v>0</v>
      </c>
      <c r="DK210" s="58">
        <f t="shared" ca="1" si="200"/>
        <v>0</v>
      </c>
      <c r="DL210" s="58">
        <f t="shared" ca="1" si="200"/>
        <v>0</v>
      </c>
      <c r="DM210" s="58">
        <f t="shared" ca="1" si="200"/>
        <v>0</v>
      </c>
      <c r="DN210" s="58">
        <f t="shared" ca="1" si="200"/>
        <v>0</v>
      </c>
      <c r="DO210" s="58">
        <f t="shared" ca="1" si="200"/>
        <v>0</v>
      </c>
      <c r="DP210" s="58">
        <f t="shared" ca="1" si="200"/>
        <v>0</v>
      </c>
      <c r="DQ210" s="58">
        <f t="shared" ca="1" si="200"/>
        <v>0</v>
      </c>
      <c r="DR210" s="58">
        <f t="shared" ca="1" si="200"/>
        <v>0</v>
      </c>
      <c r="DS210" s="58">
        <f t="shared" ca="1" si="200"/>
        <v>0</v>
      </c>
      <c r="DT210" s="58">
        <f t="shared" ca="1" si="200"/>
        <v>0</v>
      </c>
      <c r="DU210" s="58">
        <f t="shared" ca="1" si="200"/>
        <v>0</v>
      </c>
      <c r="DV210" s="58">
        <f t="shared" ca="1" si="200"/>
        <v>0</v>
      </c>
      <c r="DW210" s="58">
        <f t="shared" ca="1" si="200"/>
        <v>0</v>
      </c>
      <c r="DX210" s="58">
        <f t="shared" ca="1" si="200"/>
        <v>0</v>
      </c>
      <c r="DY210" s="58">
        <f t="shared" ca="1" si="200"/>
        <v>0</v>
      </c>
      <c r="DZ210" s="58">
        <f t="shared" ca="1" si="200"/>
        <v>0</v>
      </c>
      <c r="EA210" s="58">
        <f t="shared" ca="1" si="200"/>
        <v>0</v>
      </c>
      <c r="EB210" s="58">
        <f t="shared" ca="1" si="200"/>
        <v>0</v>
      </c>
      <c r="EC210" s="58">
        <f t="shared" ca="1" si="200"/>
        <v>0</v>
      </c>
      <c r="ED210" s="58">
        <f t="shared" ca="1" si="200"/>
        <v>0</v>
      </c>
      <c r="EE210" s="58">
        <f t="shared" ref="EE210:FN210" ca="1" si="201">+IF(OR($F210+EE$175&lt;1,(EE$176-1)*12&lt;-$F210),0,OFFSET(EE40,0,$F210))</f>
        <v>0</v>
      </c>
      <c r="EF210" s="58">
        <f t="shared" ca="1" si="201"/>
        <v>0</v>
      </c>
      <c r="EG210" s="58">
        <f t="shared" ca="1" si="201"/>
        <v>0</v>
      </c>
      <c r="EH210" s="58">
        <f t="shared" ca="1" si="201"/>
        <v>0</v>
      </c>
      <c r="EI210" s="58">
        <f t="shared" ca="1" si="201"/>
        <v>0</v>
      </c>
      <c r="EJ210" s="58">
        <f t="shared" ca="1" si="201"/>
        <v>0</v>
      </c>
      <c r="EK210" s="58">
        <f t="shared" ca="1" si="201"/>
        <v>0</v>
      </c>
      <c r="EL210" s="58">
        <f t="shared" ca="1" si="201"/>
        <v>0</v>
      </c>
      <c r="EM210" s="58">
        <f t="shared" ca="1" si="201"/>
        <v>0</v>
      </c>
      <c r="EN210" s="58">
        <f t="shared" ca="1" si="201"/>
        <v>0</v>
      </c>
      <c r="EO210" s="58">
        <f t="shared" ca="1" si="201"/>
        <v>0</v>
      </c>
      <c r="EP210" s="58">
        <f t="shared" ca="1" si="201"/>
        <v>0</v>
      </c>
      <c r="EQ210" s="58">
        <f t="shared" ca="1" si="201"/>
        <v>0</v>
      </c>
      <c r="ER210" s="58">
        <f t="shared" ca="1" si="201"/>
        <v>0</v>
      </c>
      <c r="ES210" s="58">
        <f t="shared" ca="1" si="201"/>
        <v>0</v>
      </c>
      <c r="ET210" s="58">
        <f t="shared" ca="1" si="201"/>
        <v>0</v>
      </c>
      <c r="EU210" s="58">
        <f t="shared" ca="1" si="201"/>
        <v>0</v>
      </c>
      <c r="EV210" s="58">
        <f t="shared" ca="1" si="201"/>
        <v>0</v>
      </c>
      <c r="EW210" s="58">
        <f t="shared" ca="1" si="201"/>
        <v>0</v>
      </c>
      <c r="EX210" s="58">
        <f t="shared" ca="1" si="201"/>
        <v>0</v>
      </c>
      <c r="EY210" s="58">
        <f t="shared" ca="1" si="201"/>
        <v>0</v>
      </c>
      <c r="EZ210" s="58">
        <f t="shared" ca="1" si="201"/>
        <v>0</v>
      </c>
      <c r="FA210" s="58">
        <f t="shared" ca="1" si="201"/>
        <v>0</v>
      </c>
      <c r="FB210" s="58">
        <f t="shared" ca="1" si="201"/>
        <v>0</v>
      </c>
      <c r="FC210" s="58">
        <f t="shared" ca="1" si="201"/>
        <v>0</v>
      </c>
      <c r="FD210" s="58">
        <f t="shared" ca="1" si="201"/>
        <v>0</v>
      </c>
      <c r="FE210" s="58">
        <f t="shared" ca="1" si="201"/>
        <v>0</v>
      </c>
      <c r="FF210" s="58">
        <f t="shared" ca="1" si="201"/>
        <v>0</v>
      </c>
      <c r="FG210" s="58">
        <f t="shared" ca="1" si="201"/>
        <v>0</v>
      </c>
      <c r="FH210" s="58">
        <f t="shared" ca="1" si="201"/>
        <v>0</v>
      </c>
      <c r="FI210" s="58">
        <f t="shared" ca="1" si="201"/>
        <v>0</v>
      </c>
      <c r="FJ210" s="58">
        <f t="shared" ca="1" si="201"/>
        <v>0</v>
      </c>
      <c r="FK210" s="58">
        <f t="shared" ca="1" si="201"/>
        <v>0</v>
      </c>
      <c r="FL210" s="58">
        <f t="shared" ca="1" si="201"/>
        <v>0</v>
      </c>
      <c r="FM210" s="58">
        <f t="shared" ca="1" si="201"/>
        <v>0</v>
      </c>
      <c r="FN210" s="58">
        <f t="shared" ca="1" si="201"/>
        <v>0</v>
      </c>
      <c r="FO210" s="13"/>
    </row>
    <row r="211" spans="1:171" outlineLevel="1" x14ac:dyDescent="0.3">
      <c r="A211" s="13"/>
      <c r="B211" s="13"/>
      <c r="C211" s="13"/>
      <c r="D211" s="52">
        <f t="shared" si="194"/>
        <v>41183</v>
      </c>
      <c r="E211" s="53">
        <f t="shared" si="195"/>
        <v>2012</v>
      </c>
      <c r="F211" s="53">
        <f t="shared" si="196"/>
        <v>-15</v>
      </c>
      <c r="G211" s="58">
        <f t="shared" ref="G211:AL211" ca="1" si="202">+IF(OR($F211+G$175&lt;1,(G$176-1)*12&lt;-$F211),0,OFFSET(G41,0,$F211))</f>
        <v>0</v>
      </c>
      <c r="H211" s="58">
        <f t="shared" ca="1" si="202"/>
        <v>0</v>
      </c>
      <c r="I211" s="58">
        <f t="shared" ca="1" si="202"/>
        <v>0</v>
      </c>
      <c r="J211" s="58">
        <f t="shared" ca="1" si="202"/>
        <v>0</v>
      </c>
      <c r="K211" s="58">
        <f t="shared" ca="1" si="202"/>
        <v>0</v>
      </c>
      <c r="L211" s="58">
        <f t="shared" ca="1" si="202"/>
        <v>0</v>
      </c>
      <c r="M211" s="58">
        <f t="shared" ca="1" si="202"/>
        <v>0</v>
      </c>
      <c r="N211" s="58">
        <f t="shared" ca="1" si="202"/>
        <v>0</v>
      </c>
      <c r="O211" s="58">
        <f t="shared" ca="1" si="202"/>
        <v>0</v>
      </c>
      <c r="P211" s="58">
        <f t="shared" ca="1" si="202"/>
        <v>0</v>
      </c>
      <c r="Q211" s="58">
        <f t="shared" ca="1" si="202"/>
        <v>0</v>
      </c>
      <c r="R211" s="58">
        <f t="shared" ca="1" si="202"/>
        <v>0</v>
      </c>
      <c r="S211" s="58">
        <f t="shared" ca="1" si="202"/>
        <v>0</v>
      </c>
      <c r="T211" s="58">
        <f t="shared" ca="1" si="202"/>
        <v>0</v>
      </c>
      <c r="U211" s="58">
        <f t="shared" ca="1" si="202"/>
        <v>0</v>
      </c>
      <c r="V211" s="58">
        <f t="shared" ca="1" si="202"/>
        <v>0</v>
      </c>
      <c r="W211" s="58">
        <f t="shared" ca="1" si="202"/>
        <v>0</v>
      </c>
      <c r="X211" s="58">
        <f t="shared" ca="1" si="202"/>
        <v>0</v>
      </c>
      <c r="Y211" s="58">
        <f t="shared" ca="1" si="202"/>
        <v>0</v>
      </c>
      <c r="Z211" s="58">
        <f t="shared" ca="1" si="202"/>
        <v>0</v>
      </c>
      <c r="AA211" s="58">
        <f t="shared" ca="1" si="202"/>
        <v>0</v>
      </c>
      <c r="AB211" s="58">
        <f t="shared" ca="1" si="202"/>
        <v>0</v>
      </c>
      <c r="AC211" s="58">
        <f t="shared" ca="1" si="202"/>
        <v>0</v>
      </c>
      <c r="AD211" s="58">
        <f t="shared" ca="1" si="202"/>
        <v>0</v>
      </c>
      <c r="AE211" s="58">
        <f t="shared" ca="1" si="202"/>
        <v>0</v>
      </c>
      <c r="AF211" s="58">
        <f t="shared" ca="1" si="202"/>
        <v>0</v>
      </c>
      <c r="AG211" s="58">
        <f t="shared" ca="1" si="202"/>
        <v>0</v>
      </c>
      <c r="AH211" s="58">
        <f t="shared" ca="1" si="202"/>
        <v>0</v>
      </c>
      <c r="AI211" s="58">
        <f t="shared" ca="1" si="202"/>
        <v>0</v>
      </c>
      <c r="AJ211" s="58">
        <f t="shared" ca="1" si="202"/>
        <v>0</v>
      </c>
      <c r="AK211" s="58">
        <f t="shared" ca="1" si="202"/>
        <v>0</v>
      </c>
      <c r="AL211" s="58">
        <f t="shared" ca="1" si="202"/>
        <v>0</v>
      </c>
      <c r="AM211" s="58">
        <f t="shared" ref="AM211:BR211" ca="1" si="203">+IF(OR($F211+AM$175&lt;1,(AM$176-1)*12&lt;-$F211),0,OFFSET(AM41,0,$F211))</f>
        <v>0</v>
      </c>
      <c r="AN211" s="58">
        <f t="shared" ca="1" si="203"/>
        <v>0</v>
      </c>
      <c r="AO211" s="58">
        <f t="shared" ca="1" si="203"/>
        <v>0</v>
      </c>
      <c r="AP211" s="58">
        <f t="shared" ca="1" si="203"/>
        <v>0</v>
      </c>
      <c r="AQ211" s="58">
        <f t="shared" ca="1" si="203"/>
        <v>0</v>
      </c>
      <c r="AR211" s="58">
        <f t="shared" ca="1" si="203"/>
        <v>0</v>
      </c>
      <c r="AS211" s="58">
        <f t="shared" ca="1" si="203"/>
        <v>0</v>
      </c>
      <c r="AT211" s="58">
        <f t="shared" ca="1" si="203"/>
        <v>0</v>
      </c>
      <c r="AU211" s="58">
        <f t="shared" ca="1" si="203"/>
        <v>0</v>
      </c>
      <c r="AV211" s="58">
        <f t="shared" ca="1" si="203"/>
        <v>0</v>
      </c>
      <c r="AW211" s="58">
        <f t="shared" ca="1" si="203"/>
        <v>0</v>
      </c>
      <c r="AX211" s="58">
        <f t="shared" ca="1" si="203"/>
        <v>0</v>
      </c>
      <c r="AY211" s="58">
        <f t="shared" ca="1" si="203"/>
        <v>0</v>
      </c>
      <c r="AZ211" s="58">
        <f t="shared" ca="1" si="203"/>
        <v>0</v>
      </c>
      <c r="BA211" s="58">
        <f t="shared" ca="1" si="203"/>
        <v>0</v>
      </c>
      <c r="BB211" s="58">
        <f t="shared" ca="1" si="203"/>
        <v>0</v>
      </c>
      <c r="BC211" s="58">
        <f t="shared" ca="1" si="203"/>
        <v>0</v>
      </c>
      <c r="BD211" s="58">
        <f t="shared" ca="1" si="203"/>
        <v>0</v>
      </c>
      <c r="BE211" s="58">
        <f t="shared" ca="1" si="203"/>
        <v>0</v>
      </c>
      <c r="BF211" s="58">
        <f t="shared" ca="1" si="203"/>
        <v>0</v>
      </c>
      <c r="BG211" s="58">
        <f t="shared" ca="1" si="203"/>
        <v>0</v>
      </c>
      <c r="BH211" s="58">
        <f t="shared" ca="1" si="203"/>
        <v>0</v>
      </c>
      <c r="BI211" s="58">
        <f t="shared" ca="1" si="203"/>
        <v>0</v>
      </c>
      <c r="BJ211" s="58">
        <f t="shared" ca="1" si="203"/>
        <v>0</v>
      </c>
      <c r="BK211" s="58">
        <f t="shared" ca="1" si="203"/>
        <v>0</v>
      </c>
      <c r="BL211" s="58">
        <f t="shared" ca="1" si="203"/>
        <v>0</v>
      </c>
      <c r="BM211" s="58">
        <f t="shared" ca="1" si="203"/>
        <v>0</v>
      </c>
      <c r="BN211" s="58">
        <f t="shared" ca="1" si="203"/>
        <v>0</v>
      </c>
      <c r="BO211" s="58">
        <f t="shared" ca="1" si="203"/>
        <v>0</v>
      </c>
      <c r="BP211" s="58">
        <f t="shared" ca="1" si="203"/>
        <v>0</v>
      </c>
      <c r="BQ211" s="58">
        <f t="shared" ca="1" si="203"/>
        <v>0</v>
      </c>
      <c r="BR211" s="58">
        <f t="shared" ca="1" si="203"/>
        <v>0</v>
      </c>
      <c r="BS211" s="58">
        <f t="shared" ref="BS211:CX211" ca="1" si="204">+IF(OR($F211+BS$175&lt;1,(BS$176-1)*12&lt;-$F211),0,OFFSET(BS41,0,$F211))</f>
        <v>0</v>
      </c>
      <c r="BT211" s="58">
        <f t="shared" ca="1" si="204"/>
        <v>0</v>
      </c>
      <c r="BU211" s="58">
        <f t="shared" ca="1" si="204"/>
        <v>0</v>
      </c>
      <c r="BV211" s="58">
        <f t="shared" ca="1" si="204"/>
        <v>0</v>
      </c>
      <c r="BW211" s="58">
        <f t="shared" ca="1" si="204"/>
        <v>0</v>
      </c>
      <c r="BX211" s="58">
        <f t="shared" ca="1" si="204"/>
        <v>0</v>
      </c>
      <c r="BY211" s="58">
        <f t="shared" ca="1" si="204"/>
        <v>0</v>
      </c>
      <c r="BZ211" s="58">
        <f t="shared" ca="1" si="204"/>
        <v>0</v>
      </c>
      <c r="CA211" s="58">
        <f t="shared" ca="1" si="204"/>
        <v>0</v>
      </c>
      <c r="CB211" s="58">
        <f t="shared" ca="1" si="204"/>
        <v>0</v>
      </c>
      <c r="CC211" s="58">
        <f t="shared" ca="1" si="204"/>
        <v>0</v>
      </c>
      <c r="CD211" s="58">
        <f t="shared" ca="1" si="204"/>
        <v>0</v>
      </c>
      <c r="CE211" s="58">
        <f t="shared" ca="1" si="204"/>
        <v>0</v>
      </c>
      <c r="CF211" s="58">
        <f t="shared" ca="1" si="204"/>
        <v>0</v>
      </c>
      <c r="CG211" s="58">
        <f t="shared" ca="1" si="204"/>
        <v>0</v>
      </c>
      <c r="CH211" s="58">
        <f t="shared" ca="1" si="204"/>
        <v>0</v>
      </c>
      <c r="CI211" s="58">
        <f t="shared" ca="1" si="204"/>
        <v>0</v>
      </c>
      <c r="CJ211" s="58">
        <f t="shared" ca="1" si="204"/>
        <v>0</v>
      </c>
      <c r="CK211" s="58">
        <f t="shared" ca="1" si="204"/>
        <v>0</v>
      </c>
      <c r="CL211" s="58">
        <f t="shared" ca="1" si="204"/>
        <v>0</v>
      </c>
      <c r="CM211" s="58">
        <f t="shared" ca="1" si="204"/>
        <v>0</v>
      </c>
      <c r="CN211" s="58">
        <f t="shared" ca="1" si="204"/>
        <v>0</v>
      </c>
      <c r="CO211" s="58">
        <f t="shared" ca="1" si="204"/>
        <v>0</v>
      </c>
      <c r="CP211" s="58">
        <f t="shared" ca="1" si="204"/>
        <v>0</v>
      </c>
      <c r="CQ211" s="58">
        <f t="shared" ca="1" si="204"/>
        <v>0</v>
      </c>
      <c r="CR211" s="58">
        <f t="shared" ca="1" si="204"/>
        <v>0</v>
      </c>
      <c r="CS211" s="58">
        <f t="shared" ca="1" si="204"/>
        <v>0</v>
      </c>
      <c r="CT211" s="58">
        <f t="shared" ca="1" si="204"/>
        <v>0</v>
      </c>
      <c r="CU211" s="58">
        <f t="shared" ca="1" si="204"/>
        <v>0</v>
      </c>
      <c r="CV211" s="58">
        <f t="shared" ca="1" si="204"/>
        <v>0</v>
      </c>
      <c r="CW211" s="58">
        <f t="shared" ca="1" si="204"/>
        <v>0</v>
      </c>
      <c r="CX211" s="58">
        <f t="shared" ca="1" si="204"/>
        <v>0</v>
      </c>
      <c r="CY211" s="58">
        <f t="shared" ref="CY211:ED211" ca="1" si="205">+IF(OR($F211+CY$175&lt;1,(CY$176-1)*12&lt;-$F211),0,OFFSET(CY41,0,$F211))</f>
        <v>0</v>
      </c>
      <c r="CZ211" s="58">
        <f t="shared" ca="1" si="205"/>
        <v>0</v>
      </c>
      <c r="DA211" s="58">
        <f t="shared" ca="1" si="205"/>
        <v>0</v>
      </c>
      <c r="DB211" s="58">
        <f t="shared" ca="1" si="205"/>
        <v>0</v>
      </c>
      <c r="DC211" s="58">
        <f t="shared" ca="1" si="205"/>
        <v>0</v>
      </c>
      <c r="DD211" s="58">
        <f t="shared" ca="1" si="205"/>
        <v>0</v>
      </c>
      <c r="DE211" s="58">
        <f t="shared" ca="1" si="205"/>
        <v>0</v>
      </c>
      <c r="DF211" s="58">
        <f t="shared" ca="1" si="205"/>
        <v>0</v>
      </c>
      <c r="DG211" s="58">
        <f t="shared" ca="1" si="205"/>
        <v>0</v>
      </c>
      <c r="DH211" s="58">
        <f t="shared" ca="1" si="205"/>
        <v>0</v>
      </c>
      <c r="DI211" s="58">
        <f t="shared" ca="1" si="205"/>
        <v>0</v>
      </c>
      <c r="DJ211" s="58">
        <f t="shared" ca="1" si="205"/>
        <v>0</v>
      </c>
      <c r="DK211" s="58">
        <f t="shared" ca="1" si="205"/>
        <v>0</v>
      </c>
      <c r="DL211" s="58">
        <f t="shared" ca="1" si="205"/>
        <v>0</v>
      </c>
      <c r="DM211" s="58">
        <f t="shared" ca="1" si="205"/>
        <v>0</v>
      </c>
      <c r="DN211" s="58">
        <f t="shared" ca="1" si="205"/>
        <v>0</v>
      </c>
      <c r="DO211" s="58">
        <f t="shared" ca="1" si="205"/>
        <v>0</v>
      </c>
      <c r="DP211" s="58">
        <f t="shared" ca="1" si="205"/>
        <v>0</v>
      </c>
      <c r="DQ211" s="58">
        <f t="shared" ca="1" si="205"/>
        <v>0</v>
      </c>
      <c r="DR211" s="58">
        <f t="shared" ca="1" si="205"/>
        <v>0</v>
      </c>
      <c r="DS211" s="58">
        <f t="shared" ca="1" si="205"/>
        <v>0</v>
      </c>
      <c r="DT211" s="58">
        <f t="shared" ca="1" si="205"/>
        <v>0</v>
      </c>
      <c r="DU211" s="58">
        <f t="shared" ca="1" si="205"/>
        <v>0</v>
      </c>
      <c r="DV211" s="58">
        <f t="shared" ca="1" si="205"/>
        <v>0</v>
      </c>
      <c r="DW211" s="58">
        <f t="shared" ca="1" si="205"/>
        <v>0</v>
      </c>
      <c r="DX211" s="58">
        <f t="shared" ca="1" si="205"/>
        <v>0</v>
      </c>
      <c r="DY211" s="58">
        <f t="shared" ca="1" si="205"/>
        <v>0</v>
      </c>
      <c r="DZ211" s="58">
        <f t="shared" ca="1" si="205"/>
        <v>0</v>
      </c>
      <c r="EA211" s="58">
        <f t="shared" ca="1" si="205"/>
        <v>0</v>
      </c>
      <c r="EB211" s="58">
        <f t="shared" ca="1" si="205"/>
        <v>0</v>
      </c>
      <c r="EC211" s="58">
        <f t="shared" ca="1" si="205"/>
        <v>0</v>
      </c>
      <c r="ED211" s="58">
        <f t="shared" ca="1" si="205"/>
        <v>0</v>
      </c>
      <c r="EE211" s="58">
        <f t="shared" ref="EE211:FN211" ca="1" si="206">+IF(OR($F211+EE$175&lt;1,(EE$176-1)*12&lt;-$F211),0,OFFSET(EE41,0,$F211))</f>
        <v>0</v>
      </c>
      <c r="EF211" s="58">
        <f t="shared" ca="1" si="206"/>
        <v>0</v>
      </c>
      <c r="EG211" s="58">
        <f t="shared" ca="1" si="206"/>
        <v>0</v>
      </c>
      <c r="EH211" s="58">
        <f t="shared" ca="1" si="206"/>
        <v>0</v>
      </c>
      <c r="EI211" s="58">
        <f t="shared" ca="1" si="206"/>
        <v>0</v>
      </c>
      <c r="EJ211" s="58">
        <f t="shared" ca="1" si="206"/>
        <v>0</v>
      </c>
      <c r="EK211" s="58">
        <f t="shared" ca="1" si="206"/>
        <v>0</v>
      </c>
      <c r="EL211" s="58">
        <f t="shared" ca="1" si="206"/>
        <v>0</v>
      </c>
      <c r="EM211" s="58">
        <f t="shared" ca="1" si="206"/>
        <v>0</v>
      </c>
      <c r="EN211" s="58">
        <f t="shared" ca="1" si="206"/>
        <v>0</v>
      </c>
      <c r="EO211" s="58">
        <f t="shared" ca="1" si="206"/>
        <v>0</v>
      </c>
      <c r="EP211" s="58">
        <f t="shared" ca="1" si="206"/>
        <v>0</v>
      </c>
      <c r="EQ211" s="58">
        <f t="shared" ca="1" si="206"/>
        <v>0</v>
      </c>
      <c r="ER211" s="58">
        <f t="shared" ca="1" si="206"/>
        <v>0</v>
      </c>
      <c r="ES211" s="58">
        <f t="shared" ca="1" si="206"/>
        <v>0</v>
      </c>
      <c r="ET211" s="58">
        <f t="shared" ca="1" si="206"/>
        <v>0</v>
      </c>
      <c r="EU211" s="58">
        <f t="shared" ca="1" si="206"/>
        <v>0</v>
      </c>
      <c r="EV211" s="58">
        <f t="shared" ca="1" si="206"/>
        <v>0</v>
      </c>
      <c r="EW211" s="58">
        <f t="shared" ca="1" si="206"/>
        <v>0</v>
      </c>
      <c r="EX211" s="58">
        <f t="shared" ca="1" si="206"/>
        <v>0</v>
      </c>
      <c r="EY211" s="58">
        <f t="shared" ca="1" si="206"/>
        <v>0</v>
      </c>
      <c r="EZ211" s="58">
        <f t="shared" ca="1" si="206"/>
        <v>0</v>
      </c>
      <c r="FA211" s="58">
        <f t="shared" ca="1" si="206"/>
        <v>0</v>
      </c>
      <c r="FB211" s="58">
        <f t="shared" ca="1" si="206"/>
        <v>0</v>
      </c>
      <c r="FC211" s="58">
        <f t="shared" ca="1" si="206"/>
        <v>0</v>
      </c>
      <c r="FD211" s="58">
        <f t="shared" ca="1" si="206"/>
        <v>0</v>
      </c>
      <c r="FE211" s="58">
        <f t="shared" ca="1" si="206"/>
        <v>0</v>
      </c>
      <c r="FF211" s="58">
        <f t="shared" ca="1" si="206"/>
        <v>0</v>
      </c>
      <c r="FG211" s="58">
        <f t="shared" ca="1" si="206"/>
        <v>0</v>
      </c>
      <c r="FH211" s="58">
        <f t="shared" ca="1" si="206"/>
        <v>0</v>
      </c>
      <c r="FI211" s="58">
        <f t="shared" ca="1" si="206"/>
        <v>0</v>
      </c>
      <c r="FJ211" s="58">
        <f t="shared" ca="1" si="206"/>
        <v>0</v>
      </c>
      <c r="FK211" s="58">
        <f t="shared" ca="1" si="206"/>
        <v>0</v>
      </c>
      <c r="FL211" s="58">
        <f t="shared" ca="1" si="206"/>
        <v>0</v>
      </c>
      <c r="FM211" s="58">
        <f t="shared" ca="1" si="206"/>
        <v>0</v>
      </c>
      <c r="FN211" s="58">
        <f t="shared" ca="1" si="206"/>
        <v>0</v>
      </c>
      <c r="FO211" s="13"/>
    </row>
    <row r="212" spans="1:171" outlineLevel="1" x14ac:dyDescent="0.3">
      <c r="A212" s="13"/>
      <c r="B212" s="13"/>
      <c r="C212" s="13"/>
      <c r="D212" s="52">
        <f t="shared" si="194"/>
        <v>41214</v>
      </c>
      <c r="E212" s="53">
        <f t="shared" si="195"/>
        <v>2012</v>
      </c>
      <c r="F212" s="53">
        <f t="shared" si="196"/>
        <v>-14</v>
      </c>
      <c r="G212" s="58">
        <f t="shared" ref="G212:AL212" ca="1" si="207">+IF(OR($F212+G$175&lt;1,(G$176-1)*12&lt;-$F212),0,OFFSET(G42,0,$F212))</f>
        <v>0</v>
      </c>
      <c r="H212" s="58">
        <f t="shared" ca="1" si="207"/>
        <v>0</v>
      </c>
      <c r="I212" s="58">
        <f t="shared" ca="1" si="207"/>
        <v>0</v>
      </c>
      <c r="J212" s="58">
        <f t="shared" ca="1" si="207"/>
        <v>0</v>
      </c>
      <c r="K212" s="58">
        <f t="shared" ca="1" si="207"/>
        <v>0</v>
      </c>
      <c r="L212" s="58">
        <f t="shared" ca="1" si="207"/>
        <v>0</v>
      </c>
      <c r="M212" s="58">
        <f t="shared" ca="1" si="207"/>
        <v>0</v>
      </c>
      <c r="N212" s="58">
        <f t="shared" ca="1" si="207"/>
        <v>0</v>
      </c>
      <c r="O212" s="58">
        <f t="shared" ca="1" si="207"/>
        <v>0</v>
      </c>
      <c r="P212" s="58">
        <f t="shared" ca="1" si="207"/>
        <v>0</v>
      </c>
      <c r="Q212" s="58">
        <f t="shared" ca="1" si="207"/>
        <v>0</v>
      </c>
      <c r="R212" s="58">
        <f t="shared" ca="1" si="207"/>
        <v>0</v>
      </c>
      <c r="S212" s="58">
        <f t="shared" ca="1" si="207"/>
        <v>0</v>
      </c>
      <c r="T212" s="58">
        <f t="shared" ca="1" si="207"/>
        <v>0</v>
      </c>
      <c r="U212" s="58">
        <f t="shared" ca="1" si="207"/>
        <v>0</v>
      </c>
      <c r="V212" s="58">
        <f t="shared" ca="1" si="207"/>
        <v>0</v>
      </c>
      <c r="W212" s="58">
        <f t="shared" ca="1" si="207"/>
        <v>0</v>
      </c>
      <c r="X212" s="58">
        <f t="shared" ca="1" si="207"/>
        <v>0</v>
      </c>
      <c r="Y212" s="58">
        <f t="shared" ca="1" si="207"/>
        <v>0</v>
      </c>
      <c r="Z212" s="58">
        <f t="shared" ca="1" si="207"/>
        <v>0</v>
      </c>
      <c r="AA212" s="58">
        <f t="shared" ca="1" si="207"/>
        <v>0</v>
      </c>
      <c r="AB212" s="58">
        <f t="shared" ca="1" si="207"/>
        <v>0</v>
      </c>
      <c r="AC212" s="58">
        <f t="shared" ca="1" si="207"/>
        <v>0</v>
      </c>
      <c r="AD212" s="58">
        <f t="shared" ca="1" si="207"/>
        <v>0</v>
      </c>
      <c r="AE212" s="58">
        <f t="shared" ca="1" si="207"/>
        <v>0</v>
      </c>
      <c r="AF212" s="58">
        <f t="shared" ca="1" si="207"/>
        <v>0</v>
      </c>
      <c r="AG212" s="58">
        <f t="shared" ca="1" si="207"/>
        <v>0</v>
      </c>
      <c r="AH212" s="58">
        <f t="shared" ca="1" si="207"/>
        <v>0</v>
      </c>
      <c r="AI212" s="58">
        <f t="shared" ca="1" si="207"/>
        <v>0</v>
      </c>
      <c r="AJ212" s="58">
        <f t="shared" ca="1" si="207"/>
        <v>0</v>
      </c>
      <c r="AK212" s="58">
        <f t="shared" ca="1" si="207"/>
        <v>0</v>
      </c>
      <c r="AL212" s="58">
        <f t="shared" ca="1" si="207"/>
        <v>0</v>
      </c>
      <c r="AM212" s="58">
        <f t="shared" ref="AM212:BR212" ca="1" si="208">+IF(OR($F212+AM$175&lt;1,(AM$176-1)*12&lt;-$F212),0,OFFSET(AM42,0,$F212))</f>
        <v>0</v>
      </c>
      <c r="AN212" s="58">
        <f t="shared" ca="1" si="208"/>
        <v>0</v>
      </c>
      <c r="AO212" s="58">
        <f t="shared" ca="1" si="208"/>
        <v>0</v>
      </c>
      <c r="AP212" s="58">
        <f t="shared" ca="1" si="208"/>
        <v>0</v>
      </c>
      <c r="AQ212" s="58">
        <f t="shared" ca="1" si="208"/>
        <v>0</v>
      </c>
      <c r="AR212" s="58">
        <f t="shared" ca="1" si="208"/>
        <v>0</v>
      </c>
      <c r="AS212" s="58">
        <f t="shared" ca="1" si="208"/>
        <v>0</v>
      </c>
      <c r="AT212" s="58">
        <f t="shared" ca="1" si="208"/>
        <v>0</v>
      </c>
      <c r="AU212" s="58">
        <f t="shared" ca="1" si="208"/>
        <v>0</v>
      </c>
      <c r="AV212" s="58">
        <f t="shared" ca="1" si="208"/>
        <v>0</v>
      </c>
      <c r="AW212" s="58">
        <f t="shared" ca="1" si="208"/>
        <v>0</v>
      </c>
      <c r="AX212" s="58">
        <f t="shared" ca="1" si="208"/>
        <v>0</v>
      </c>
      <c r="AY212" s="58">
        <f t="shared" ca="1" si="208"/>
        <v>0</v>
      </c>
      <c r="AZ212" s="58">
        <f t="shared" ca="1" si="208"/>
        <v>0</v>
      </c>
      <c r="BA212" s="58">
        <f t="shared" ca="1" si="208"/>
        <v>0</v>
      </c>
      <c r="BB212" s="58">
        <f t="shared" ca="1" si="208"/>
        <v>0</v>
      </c>
      <c r="BC212" s="58">
        <f t="shared" ca="1" si="208"/>
        <v>0</v>
      </c>
      <c r="BD212" s="58">
        <f t="shared" ca="1" si="208"/>
        <v>0</v>
      </c>
      <c r="BE212" s="58">
        <f t="shared" ca="1" si="208"/>
        <v>0</v>
      </c>
      <c r="BF212" s="58">
        <f t="shared" ca="1" si="208"/>
        <v>0</v>
      </c>
      <c r="BG212" s="58">
        <f t="shared" ca="1" si="208"/>
        <v>0</v>
      </c>
      <c r="BH212" s="58">
        <f t="shared" ca="1" si="208"/>
        <v>0</v>
      </c>
      <c r="BI212" s="58">
        <f t="shared" ca="1" si="208"/>
        <v>0</v>
      </c>
      <c r="BJ212" s="58">
        <f t="shared" ca="1" si="208"/>
        <v>0</v>
      </c>
      <c r="BK212" s="58">
        <f t="shared" ca="1" si="208"/>
        <v>0</v>
      </c>
      <c r="BL212" s="58">
        <f t="shared" ca="1" si="208"/>
        <v>0</v>
      </c>
      <c r="BM212" s="58">
        <f t="shared" ca="1" si="208"/>
        <v>0</v>
      </c>
      <c r="BN212" s="58">
        <f t="shared" ca="1" si="208"/>
        <v>0</v>
      </c>
      <c r="BO212" s="58">
        <f t="shared" ca="1" si="208"/>
        <v>0</v>
      </c>
      <c r="BP212" s="58">
        <f t="shared" ca="1" si="208"/>
        <v>0</v>
      </c>
      <c r="BQ212" s="58">
        <f t="shared" ca="1" si="208"/>
        <v>0</v>
      </c>
      <c r="BR212" s="58">
        <f t="shared" ca="1" si="208"/>
        <v>0</v>
      </c>
      <c r="BS212" s="58">
        <f t="shared" ref="BS212:CX212" ca="1" si="209">+IF(OR($F212+BS$175&lt;1,(BS$176-1)*12&lt;-$F212),0,OFFSET(BS42,0,$F212))</f>
        <v>0</v>
      </c>
      <c r="BT212" s="58">
        <f t="shared" ca="1" si="209"/>
        <v>0</v>
      </c>
      <c r="BU212" s="58">
        <f t="shared" ca="1" si="209"/>
        <v>0</v>
      </c>
      <c r="BV212" s="58">
        <f t="shared" ca="1" si="209"/>
        <v>0</v>
      </c>
      <c r="BW212" s="58">
        <f t="shared" ca="1" si="209"/>
        <v>0</v>
      </c>
      <c r="BX212" s="58">
        <f t="shared" ca="1" si="209"/>
        <v>0</v>
      </c>
      <c r="BY212" s="58">
        <f t="shared" ca="1" si="209"/>
        <v>0</v>
      </c>
      <c r="BZ212" s="58">
        <f t="shared" ca="1" si="209"/>
        <v>0</v>
      </c>
      <c r="CA212" s="58">
        <f t="shared" ca="1" si="209"/>
        <v>0</v>
      </c>
      <c r="CB212" s="58">
        <f t="shared" ca="1" si="209"/>
        <v>0</v>
      </c>
      <c r="CC212" s="58">
        <f t="shared" ca="1" si="209"/>
        <v>0</v>
      </c>
      <c r="CD212" s="58">
        <f t="shared" ca="1" si="209"/>
        <v>0</v>
      </c>
      <c r="CE212" s="58">
        <f t="shared" ca="1" si="209"/>
        <v>0</v>
      </c>
      <c r="CF212" s="58">
        <f t="shared" ca="1" si="209"/>
        <v>0</v>
      </c>
      <c r="CG212" s="58">
        <f t="shared" ca="1" si="209"/>
        <v>0</v>
      </c>
      <c r="CH212" s="58">
        <f t="shared" ca="1" si="209"/>
        <v>0</v>
      </c>
      <c r="CI212" s="58">
        <f t="shared" ca="1" si="209"/>
        <v>0</v>
      </c>
      <c r="CJ212" s="58">
        <f t="shared" ca="1" si="209"/>
        <v>0</v>
      </c>
      <c r="CK212" s="58">
        <f t="shared" ca="1" si="209"/>
        <v>0</v>
      </c>
      <c r="CL212" s="58">
        <f t="shared" ca="1" si="209"/>
        <v>0</v>
      </c>
      <c r="CM212" s="58">
        <f t="shared" ca="1" si="209"/>
        <v>0</v>
      </c>
      <c r="CN212" s="58">
        <f t="shared" ca="1" si="209"/>
        <v>0</v>
      </c>
      <c r="CO212" s="58">
        <f t="shared" ca="1" si="209"/>
        <v>0</v>
      </c>
      <c r="CP212" s="58">
        <f t="shared" ca="1" si="209"/>
        <v>0</v>
      </c>
      <c r="CQ212" s="58">
        <f t="shared" ca="1" si="209"/>
        <v>0</v>
      </c>
      <c r="CR212" s="58">
        <f t="shared" ca="1" si="209"/>
        <v>0</v>
      </c>
      <c r="CS212" s="58">
        <f t="shared" ca="1" si="209"/>
        <v>0</v>
      </c>
      <c r="CT212" s="58">
        <f t="shared" ca="1" si="209"/>
        <v>0</v>
      </c>
      <c r="CU212" s="58">
        <f t="shared" ca="1" si="209"/>
        <v>0</v>
      </c>
      <c r="CV212" s="58">
        <f t="shared" ca="1" si="209"/>
        <v>0</v>
      </c>
      <c r="CW212" s="58">
        <f t="shared" ca="1" si="209"/>
        <v>0</v>
      </c>
      <c r="CX212" s="58">
        <f t="shared" ca="1" si="209"/>
        <v>0</v>
      </c>
      <c r="CY212" s="58">
        <f t="shared" ref="CY212:ED212" ca="1" si="210">+IF(OR($F212+CY$175&lt;1,(CY$176-1)*12&lt;-$F212),0,OFFSET(CY42,0,$F212))</f>
        <v>0</v>
      </c>
      <c r="CZ212" s="58">
        <f t="shared" ca="1" si="210"/>
        <v>0</v>
      </c>
      <c r="DA212" s="58">
        <f t="shared" ca="1" si="210"/>
        <v>0</v>
      </c>
      <c r="DB212" s="58">
        <f t="shared" ca="1" si="210"/>
        <v>0</v>
      </c>
      <c r="DC212" s="58">
        <f t="shared" ca="1" si="210"/>
        <v>0</v>
      </c>
      <c r="DD212" s="58">
        <f t="shared" ca="1" si="210"/>
        <v>0</v>
      </c>
      <c r="DE212" s="58">
        <f t="shared" ca="1" si="210"/>
        <v>0</v>
      </c>
      <c r="DF212" s="58">
        <f t="shared" ca="1" si="210"/>
        <v>0</v>
      </c>
      <c r="DG212" s="58">
        <f t="shared" ca="1" si="210"/>
        <v>0</v>
      </c>
      <c r="DH212" s="58">
        <f t="shared" ca="1" si="210"/>
        <v>0</v>
      </c>
      <c r="DI212" s="58">
        <f t="shared" ca="1" si="210"/>
        <v>0</v>
      </c>
      <c r="DJ212" s="58">
        <f t="shared" ca="1" si="210"/>
        <v>0</v>
      </c>
      <c r="DK212" s="58">
        <f t="shared" ca="1" si="210"/>
        <v>0</v>
      </c>
      <c r="DL212" s="58">
        <f t="shared" ca="1" si="210"/>
        <v>0</v>
      </c>
      <c r="DM212" s="58">
        <f t="shared" ca="1" si="210"/>
        <v>0</v>
      </c>
      <c r="DN212" s="58">
        <f t="shared" ca="1" si="210"/>
        <v>0</v>
      </c>
      <c r="DO212" s="58">
        <f t="shared" ca="1" si="210"/>
        <v>0</v>
      </c>
      <c r="DP212" s="58">
        <f t="shared" ca="1" si="210"/>
        <v>0</v>
      </c>
      <c r="DQ212" s="58">
        <f t="shared" ca="1" si="210"/>
        <v>0</v>
      </c>
      <c r="DR212" s="58">
        <f t="shared" ca="1" si="210"/>
        <v>0</v>
      </c>
      <c r="DS212" s="58">
        <f t="shared" ca="1" si="210"/>
        <v>0</v>
      </c>
      <c r="DT212" s="58">
        <f t="shared" ca="1" si="210"/>
        <v>0</v>
      </c>
      <c r="DU212" s="58">
        <f t="shared" ca="1" si="210"/>
        <v>0</v>
      </c>
      <c r="DV212" s="58">
        <f t="shared" ca="1" si="210"/>
        <v>0</v>
      </c>
      <c r="DW212" s="58">
        <f t="shared" ca="1" si="210"/>
        <v>0</v>
      </c>
      <c r="DX212" s="58">
        <f t="shared" ca="1" si="210"/>
        <v>0</v>
      </c>
      <c r="DY212" s="58">
        <f t="shared" ca="1" si="210"/>
        <v>0</v>
      </c>
      <c r="DZ212" s="58">
        <f t="shared" ca="1" si="210"/>
        <v>0</v>
      </c>
      <c r="EA212" s="58">
        <f t="shared" ca="1" si="210"/>
        <v>0</v>
      </c>
      <c r="EB212" s="58">
        <f t="shared" ca="1" si="210"/>
        <v>0</v>
      </c>
      <c r="EC212" s="58">
        <f t="shared" ca="1" si="210"/>
        <v>0</v>
      </c>
      <c r="ED212" s="58">
        <f t="shared" ca="1" si="210"/>
        <v>0</v>
      </c>
      <c r="EE212" s="58">
        <f t="shared" ref="EE212:FN212" ca="1" si="211">+IF(OR($F212+EE$175&lt;1,(EE$176-1)*12&lt;-$F212),0,OFFSET(EE42,0,$F212))</f>
        <v>0</v>
      </c>
      <c r="EF212" s="58">
        <f t="shared" ca="1" si="211"/>
        <v>0</v>
      </c>
      <c r="EG212" s="58">
        <f t="shared" ca="1" si="211"/>
        <v>0</v>
      </c>
      <c r="EH212" s="58">
        <f t="shared" ca="1" si="211"/>
        <v>0</v>
      </c>
      <c r="EI212" s="58">
        <f t="shared" ca="1" si="211"/>
        <v>0</v>
      </c>
      <c r="EJ212" s="58">
        <f t="shared" ca="1" si="211"/>
        <v>0</v>
      </c>
      <c r="EK212" s="58">
        <f t="shared" ca="1" si="211"/>
        <v>0</v>
      </c>
      <c r="EL212" s="58">
        <f t="shared" ca="1" si="211"/>
        <v>0</v>
      </c>
      <c r="EM212" s="58">
        <f t="shared" ca="1" si="211"/>
        <v>0</v>
      </c>
      <c r="EN212" s="58">
        <f t="shared" ca="1" si="211"/>
        <v>0</v>
      </c>
      <c r="EO212" s="58">
        <f t="shared" ca="1" si="211"/>
        <v>0</v>
      </c>
      <c r="EP212" s="58">
        <f t="shared" ca="1" si="211"/>
        <v>0</v>
      </c>
      <c r="EQ212" s="58">
        <f t="shared" ca="1" si="211"/>
        <v>0</v>
      </c>
      <c r="ER212" s="58">
        <f t="shared" ca="1" si="211"/>
        <v>0</v>
      </c>
      <c r="ES212" s="58">
        <f t="shared" ca="1" si="211"/>
        <v>0</v>
      </c>
      <c r="ET212" s="58">
        <f t="shared" ca="1" si="211"/>
        <v>0</v>
      </c>
      <c r="EU212" s="58">
        <f t="shared" ca="1" si="211"/>
        <v>0</v>
      </c>
      <c r="EV212" s="58">
        <f t="shared" ca="1" si="211"/>
        <v>0</v>
      </c>
      <c r="EW212" s="58">
        <f t="shared" ca="1" si="211"/>
        <v>0</v>
      </c>
      <c r="EX212" s="58">
        <f t="shared" ca="1" si="211"/>
        <v>0</v>
      </c>
      <c r="EY212" s="58">
        <f t="shared" ca="1" si="211"/>
        <v>0</v>
      </c>
      <c r="EZ212" s="58">
        <f t="shared" ca="1" si="211"/>
        <v>0</v>
      </c>
      <c r="FA212" s="58">
        <f t="shared" ca="1" si="211"/>
        <v>0</v>
      </c>
      <c r="FB212" s="58">
        <f t="shared" ca="1" si="211"/>
        <v>0</v>
      </c>
      <c r="FC212" s="58">
        <f t="shared" ca="1" si="211"/>
        <v>0</v>
      </c>
      <c r="FD212" s="58">
        <f t="shared" ca="1" si="211"/>
        <v>0</v>
      </c>
      <c r="FE212" s="58">
        <f t="shared" ca="1" si="211"/>
        <v>0</v>
      </c>
      <c r="FF212" s="58">
        <f t="shared" ca="1" si="211"/>
        <v>0</v>
      </c>
      <c r="FG212" s="58">
        <f t="shared" ca="1" si="211"/>
        <v>0</v>
      </c>
      <c r="FH212" s="58">
        <f t="shared" ca="1" si="211"/>
        <v>0</v>
      </c>
      <c r="FI212" s="58">
        <f t="shared" ca="1" si="211"/>
        <v>0</v>
      </c>
      <c r="FJ212" s="58">
        <f t="shared" ca="1" si="211"/>
        <v>0</v>
      </c>
      <c r="FK212" s="58">
        <f t="shared" ca="1" si="211"/>
        <v>0</v>
      </c>
      <c r="FL212" s="58">
        <f t="shared" ca="1" si="211"/>
        <v>0</v>
      </c>
      <c r="FM212" s="58">
        <f t="shared" ca="1" si="211"/>
        <v>0</v>
      </c>
      <c r="FN212" s="58">
        <f t="shared" ca="1" si="211"/>
        <v>0</v>
      </c>
      <c r="FO212" s="13"/>
    </row>
    <row r="213" spans="1:171" outlineLevel="1" x14ac:dyDescent="0.3">
      <c r="A213" s="13"/>
      <c r="B213" s="13"/>
      <c r="C213" s="13"/>
      <c r="D213" s="52">
        <f t="shared" si="194"/>
        <v>41244</v>
      </c>
      <c r="E213" s="53">
        <f t="shared" si="195"/>
        <v>2012</v>
      </c>
      <c r="F213" s="53">
        <f t="shared" si="196"/>
        <v>-13</v>
      </c>
      <c r="G213" s="58">
        <f t="shared" ref="G213:AL213" ca="1" si="212">+IF(OR($F213+G$175&lt;1,(G$176-1)*12&lt;-$F213),0,OFFSET(G43,0,$F213))</f>
        <v>0</v>
      </c>
      <c r="H213" s="58">
        <f t="shared" ca="1" si="212"/>
        <v>0</v>
      </c>
      <c r="I213" s="58">
        <f t="shared" ca="1" si="212"/>
        <v>0</v>
      </c>
      <c r="J213" s="58">
        <f t="shared" ca="1" si="212"/>
        <v>0</v>
      </c>
      <c r="K213" s="58">
        <f t="shared" ca="1" si="212"/>
        <v>0</v>
      </c>
      <c r="L213" s="58">
        <f t="shared" ca="1" si="212"/>
        <v>0</v>
      </c>
      <c r="M213" s="58">
        <f t="shared" ca="1" si="212"/>
        <v>0</v>
      </c>
      <c r="N213" s="58">
        <f t="shared" ca="1" si="212"/>
        <v>0</v>
      </c>
      <c r="O213" s="58">
        <f t="shared" ca="1" si="212"/>
        <v>0</v>
      </c>
      <c r="P213" s="58">
        <f t="shared" ca="1" si="212"/>
        <v>0</v>
      </c>
      <c r="Q213" s="58">
        <f t="shared" ca="1" si="212"/>
        <v>0</v>
      </c>
      <c r="R213" s="58">
        <f t="shared" ca="1" si="212"/>
        <v>0</v>
      </c>
      <c r="S213" s="58">
        <f t="shared" ca="1" si="212"/>
        <v>0</v>
      </c>
      <c r="T213" s="58">
        <f t="shared" ca="1" si="212"/>
        <v>0</v>
      </c>
      <c r="U213" s="58">
        <f t="shared" ca="1" si="212"/>
        <v>0</v>
      </c>
      <c r="V213" s="58">
        <f t="shared" ca="1" si="212"/>
        <v>0</v>
      </c>
      <c r="W213" s="58">
        <f t="shared" ca="1" si="212"/>
        <v>0</v>
      </c>
      <c r="X213" s="58">
        <f t="shared" ca="1" si="212"/>
        <v>0</v>
      </c>
      <c r="Y213" s="58">
        <f t="shared" ca="1" si="212"/>
        <v>0</v>
      </c>
      <c r="Z213" s="58">
        <f t="shared" ca="1" si="212"/>
        <v>0</v>
      </c>
      <c r="AA213" s="58">
        <f t="shared" ca="1" si="212"/>
        <v>0</v>
      </c>
      <c r="AB213" s="58">
        <f t="shared" ca="1" si="212"/>
        <v>0</v>
      </c>
      <c r="AC213" s="58">
        <f t="shared" ca="1" si="212"/>
        <v>0</v>
      </c>
      <c r="AD213" s="58">
        <f t="shared" ca="1" si="212"/>
        <v>0</v>
      </c>
      <c r="AE213" s="58">
        <f t="shared" ca="1" si="212"/>
        <v>0</v>
      </c>
      <c r="AF213" s="58">
        <f t="shared" ca="1" si="212"/>
        <v>0</v>
      </c>
      <c r="AG213" s="58">
        <f t="shared" ca="1" si="212"/>
        <v>0</v>
      </c>
      <c r="AH213" s="58">
        <f t="shared" ca="1" si="212"/>
        <v>0</v>
      </c>
      <c r="AI213" s="58">
        <f t="shared" ca="1" si="212"/>
        <v>0</v>
      </c>
      <c r="AJ213" s="58">
        <f t="shared" ca="1" si="212"/>
        <v>0</v>
      </c>
      <c r="AK213" s="58">
        <f t="shared" ca="1" si="212"/>
        <v>0</v>
      </c>
      <c r="AL213" s="58">
        <f t="shared" ca="1" si="212"/>
        <v>0</v>
      </c>
      <c r="AM213" s="58">
        <f t="shared" ref="AM213:BR213" ca="1" si="213">+IF(OR($F213+AM$175&lt;1,(AM$176-1)*12&lt;-$F213),0,OFFSET(AM43,0,$F213))</f>
        <v>0</v>
      </c>
      <c r="AN213" s="58">
        <f t="shared" ca="1" si="213"/>
        <v>0</v>
      </c>
      <c r="AO213" s="58">
        <f t="shared" ca="1" si="213"/>
        <v>0</v>
      </c>
      <c r="AP213" s="58">
        <f t="shared" ca="1" si="213"/>
        <v>0</v>
      </c>
      <c r="AQ213" s="58">
        <f t="shared" ca="1" si="213"/>
        <v>0</v>
      </c>
      <c r="AR213" s="58">
        <f t="shared" ca="1" si="213"/>
        <v>0</v>
      </c>
      <c r="AS213" s="58">
        <f t="shared" ca="1" si="213"/>
        <v>0</v>
      </c>
      <c r="AT213" s="58">
        <f t="shared" ca="1" si="213"/>
        <v>0</v>
      </c>
      <c r="AU213" s="58">
        <f t="shared" ca="1" si="213"/>
        <v>0</v>
      </c>
      <c r="AV213" s="58">
        <f t="shared" ca="1" si="213"/>
        <v>0</v>
      </c>
      <c r="AW213" s="58">
        <f t="shared" ca="1" si="213"/>
        <v>0</v>
      </c>
      <c r="AX213" s="58">
        <f t="shared" ca="1" si="213"/>
        <v>0</v>
      </c>
      <c r="AY213" s="58">
        <f t="shared" ca="1" si="213"/>
        <v>0</v>
      </c>
      <c r="AZ213" s="58">
        <f t="shared" ca="1" si="213"/>
        <v>0</v>
      </c>
      <c r="BA213" s="58">
        <f t="shared" ca="1" si="213"/>
        <v>0</v>
      </c>
      <c r="BB213" s="58">
        <f t="shared" ca="1" si="213"/>
        <v>0</v>
      </c>
      <c r="BC213" s="58">
        <f t="shared" ca="1" si="213"/>
        <v>0</v>
      </c>
      <c r="BD213" s="58">
        <f t="shared" ca="1" si="213"/>
        <v>0</v>
      </c>
      <c r="BE213" s="58">
        <f t="shared" ca="1" si="213"/>
        <v>0</v>
      </c>
      <c r="BF213" s="58">
        <f t="shared" ca="1" si="213"/>
        <v>0</v>
      </c>
      <c r="BG213" s="58">
        <f t="shared" ca="1" si="213"/>
        <v>0</v>
      </c>
      <c r="BH213" s="58">
        <f t="shared" ca="1" si="213"/>
        <v>0</v>
      </c>
      <c r="BI213" s="58">
        <f t="shared" ca="1" si="213"/>
        <v>0</v>
      </c>
      <c r="BJ213" s="58">
        <f t="shared" ca="1" si="213"/>
        <v>0</v>
      </c>
      <c r="BK213" s="58">
        <f t="shared" ca="1" si="213"/>
        <v>0</v>
      </c>
      <c r="BL213" s="58">
        <f t="shared" ca="1" si="213"/>
        <v>0</v>
      </c>
      <c r="BM213" s="58">
        <f t="shared" ca="1" si="213"/>
        <v>0</v>
      </c>
      <c r="BN213" s="58">
        <f t="shared" ca="1" si="213"/>
        <v>0</v>
      </c>
      <c r="BO213" s="58">
        <f t="shared" ca="1" si="213"/>
        <v>0</v>
      </c>
      <c r="BP213" s="58">
        <f t="shared" ca="1" si="213"/>
        <v>0</v>
      </c>
      <c r="BQ213" s="58">
        <f t="shared" ca="1" si="213"/>
        <v>0</v>
      </c>
      <c r="BR213" s="58">
        <f t="shared" ca="1" si="213"/>
        <v>0</v>
      </c>
      <c r="BS213" s="58">
        <f t="shared" ref="BS213:CX213" ca="1" si="214">+IF(OR($F213+BS$175&lt;1,(BS$176-1)*12&lt;-$F213),0,OFFSET(BS43,0,$F213))</f>
        <v>0</v>
      </c>
      <c r="BT213" s="58">
        <f t="shared" ca="1" si="214"/>
        <v>0</v>
      </c>
      <c r="BU213" s="58">
        <f t="shared" ca="1" si="214"/>
        <v>0</v>
      </c>
      <c r="BV213" s="58">
        <f t="shared" ca="1" si="214"/>
        <v>0</v>
      </c>
      <c r="BW213" s="58">
        <f t="shared" ca="1" si="214"/>
        <v>0</v>
      </c>
      <c r="BX213" s="58">
        <f t="shared" ca="1" si="214"/>
        <v>0</v>
      </c>
      <c r="BY213" s="58">
        <f t="shared" ca="1" si="214"/>
        <v>0</v>
      </c>
      <c r="BZ213" s="58">
        <f t="shared" ca="1" si="214"/>
        <v>0</v>
      </c>
      <c r="CA213" s="58">
        <f t="shared" ca="1" si="214"/>
        <v>0</v>
      </c>
      <c r="CB213" s="58">
        <f t="shared" ca="1" si="214"/>
        <v>0</v>
      </c>
      <c r="CC213" s="58">
        <f t="shared" ca="1" si="214"/>
        <v>0</v>
      </c>
      <c r="CD213" s="58">
        <f t="shared" ca="1" si="214"/>
        <v>0</v>
      </c>
      <c r="CE213" s="58">
        <f t="shared" ca="1" si="214"/>
        <v>0</v>
      </c>
      <c r="CF213" s="58">
        <f t="shared" ca="1" si="214"/>
        <v>0</v>
      </c>
      <c r="CG213" s="58">
        <f t="shared" ca="1" si="214"/>
        <v>0</v>
      </c>
      <c r="CH213" s="58">
        <f t="shared" ca="1" si="214"/>
        <v>0</v>
      </c>
      <c r="CI213" s="58">
        <f t="shared" ca="1" si="214"/>
        <v>0</v>
      </c>
      <c r="CJ213" s="58">
        <f t="shared" ca="1" si="214"/>
        <v>0</v>
      </c>
      <c r="CK213" s="58">
        <f t="shared" ca="1" si="214"/>
        <v>0</v>
      </c>
      <c r="CL213" s="58">
        <f t="shared" ca="1" si="214"/>
        <v>0</v>
      </c>
      <c r="CM213" s="58">
        <f t="shared" ca="1" si="214"/>
        <v>0</v>
      </c>
      <c r="CN213" s="58">
        <f t="shared" ca="1" si="214"/>
        <v>0</v>
      </c>
      <c r="CO213" s="58">
        <f t="shared" ca="1" si="214"/>
        <v>0</v>
      </c>
      <c r="CP213" s="58">
        <f t="shared" ca="1" si="214"/>
        <v>0</v>
      </c>
      <c r="CQ213" s="58">
        <f t="shared" ca="1" si="214"/>
        <v>0</v>
      </c>
      <c r="CR213" s="58">
        <f t="shared" ca="1" si="214"/>
        <v>0</v>
      </c>
      <c r="CS213" s="58">
        <f t="shared" ca="1" si="214"/>
        <v>0</v>
      </c>
      <c r="CT213" s="58">
        <f t="shared" ca="1" si="214"/>
        <v>0</v>
      </c>
      <c r="CU213" s="58">
        <f t="shared" ca="1" si="214"/>
        <v>0</v>
      </c>
      <c r="CV213" s="58">
        <f t="shared" ca="1" si="214"/>
        <v>0</v>
      </c>
      <c r="CW213" s="58">
        <f t="shared" ca="1" si="214"/>
        <v>0</v>
      </c>
      <c r="CX213" s="58">
        <f t="shared" ca="1" si="214"/>
        <v>0</v>
      </c>
      <c r="CY213" s="58">
        <f t="shared" ref="CY213:ED213" ca="1" si="215">+IF(OR($F213+CY$175&lt;1,(CY$176-1)*12&lt;-$F213),0,OFFSET(CY43,0,$F213))</f>
        <v>0</v>
      </c>
      <c r="CZ213" s="58">
        <f t="shared" ca="1" si="215"/>
        <v>0</v>
      </c>
      <c r="DA213" s="58">
        <f t="shared" ca="1" si="215"/>
        <v>0</v>
      </c>
      <c r="DB213" s="58">
        <f t="shared" ca="1" si="215"/>
        <v>0</v>
      </c>
      <c r="DC213" s="58">
        <f t="shared" ca="1" si="215"/>
        <v>0</v>
      </c>
      <c r="DD213" s="58">
        <f t="shared" ca="1" si="215"/>
        <v>0</v>
      </c>
      <c r="DE213" s="58">
        <f t="shared" ca="1" si="215"/>
        <v>0</v>
      </c>
      <c r="DF213" s="58">
        <f t="shared" ca="1" si="215"/>
        <v>0</v>
      </c>
      <c r="DG213" s="58">
        <f t="shared" ca="1" si="215"/>
        <v>0</v>
      </c>
      <c r="DH213" s="58">
        <f t="shared" ca="1" si="215"/>
        <v>0</v>
      </c>
      <c r="DI213" s="58">
        <f t="shared" ca="1" si="215"/>
        <v>0</v>
      </c>
      <c r="DJ213" s="58">
        <f t="shared" ca="1" si="215"/>
        <v>0</v>
      </c>
      <c r="DK213" s="58">
        <f t="shared" ca="1" si="215"/>
        <v>0</v>
      </c>
      <c r="DL213" s="58">
        <f t="shared" ca="1" si="215"/>
        <v>0</v>
      </c>
      <c r="DM213" s="58">
        <f t="shared" ca="1" si="215"/>
        <v>0</v>
      </c>
      <c r="DN213" s="58">
        <f t="shared" ca="1" si="215"/>
        <v>0</v>
      </c>
      <c r="DO213" s="58">
        <f t="shared" ca="1" si="215"/>
        <v>0</v>
      </c>
      <c r="DP213" s="58">
        <f t="shared" ca="1" si="215"/>
        <v>0</v>
      </c>
      <c r="DQ213" s="58">
        <f t="shared" ca="1" si="215"/>
        <v>0</v>
      </c>
      <c r="DR213" s="58">
        <f t="shared" ca="1" si="215"/>
        <v>0</v>
      </c>
      <c r="DS213" s="58">
        <f t="shared" ca="1" si="215"/>
        <v>0</v>
      </c>
      <c r="DT213" s="58">
        <f t="shared" ca="1" si="215"/>
        <v>0</v>
      </c>
      <c r="DU213" s="58">
        <f t="shared" ca="1" si="215"/>
        <v>0</v>
      </c>
      <c r="DV213" s="58">
        <f t="shared" ca="1" si="215"/>
        <v>0</v>
      </c>
      <c r="DW213" s="58">
        <f t="shared" ca="1" si="215"/>
        <v>0</v>
      </c>
      <c r="DX213" s="58">
        <f t="shared" ca="1" si="215"/>
        <v>0</v>
      </c>
      <c r="DY213" s="58">
        <f t="shared" ca="1" si="215"/>
        <v>0</v>
      </c>
      <c r="DZ213" s="58">
        <f t="shared" ca="1" si="215"/>
        <v>0</v>
      </c>
      <c r="EA213" s="58">
        <f t="shared" ca="1" si="215"/>
        <v>0</v>
      </c>
      <c r="EB213" s="58">
        <f t="shared" ca="1" si="215"/>
        <v>0</v>
      </c>
      <c r="EC213" s="58">
        <f t="shared" ca="1" si="215"/>
        <v>0</v>
      </c>
      <c r="ED213" s="58">
        <f t="shared" ca="1" si="215"/>
        <v>0</v>
      </c>
      <c r="EE213" s="58">
        <f t="shared" ref="EE213:FN213" ca="1" si="216">+IF(OR($F213+EE$175&lt;1,(EE$176-1)*12&lt;-$F213),0,OFFSET(EE43,0,$F213))</f>
        <v>0</v>
      </c>
      <c r="EF213" s="58">
        <f t="shared" ca="1" si="216"/>
        <v>0</v>
      </c>
      <c r="EG213" s="58">
        <f t="shared" ca="1" si="216"/>
        <v>0</v>
      </c>
      <c r="EH213" s="58">
        <f t="shared" ca="1" si="216"/>
        <v>0</v>
      </c>
      <c r="EI213" s="58">
        <f t="shared" ca="1" si="216"/>
        <v>0</v>
      </c>
      <c r="EJ213" s="58">
        <f t="shared" ca="1" si="216"/>
        <v>0</v>
      </c>
      <c r="EK213" s="58">
        <f t="shared" ca="1" si="216"/>
        <v>0</v>
      </c>
      <c r="EL213" s="58">
        <f t="shared" ca="1" si="216"/>
        <v>0</v>
      </c>
      <c r="EM213" s="58">
        <f t="shared" ca="1" si="216"/>
        <v>0</v>
      </c>
      <c r="EN213" s="58">
        <f t="shared" ca="1" si="216"/>
        <v>0</v>
      </c>
      <c r="EO213" s="58">
        <f t="shared" ca="1" si="216"/>
        <v>0</v>
      </c>
      <c r="EP213" s="58">
        <f t="shared" ca="1" si="216"/>
        <v>0</v>
      </c>
      <c r="EQ213" s="58">
        <f t="shared" ca="1" si="216"/>
        <v>0</v>
      </c>
      <c r="ER213" s="58">
        <f t="shared" ca="1" si="216"/>
        <v>0</v>
      </c>
      <c r="ES213" s="58">
        <f t="shared" ca="1" si="216"/>
        <v>0</v>
      </c>
      <c r="ET213" s="58">
        <f t="shared" ca="1" si="216"/>
        <v>0</v>
      </c>
      <c r="EU213" s="58">
        <f t="shared" ca="1" si="216"/>
        <v>0</v>
      </c>
      <c r="EV213" s="58">
        <f t="shared" ca="1" si="216"/>
        <v>0</v>
      </c>
      <c r="EW213" s="58">
        <f t="shared" ca="1" si="216"/>
        <v>0</v>
      </c>
      <c r="EX213" s="58">
        <f t="shared" ca="1" si="216"/>
        <v>0</v>
      </c>
      <c r="EY213" s="58">
        <f t="shared" ca="1" si="216"/>
        <v>0</v>
      </c>
      <c r="EZ213" s="58">
        <f t="shared" ca="1" si="216"/>
        <v>0</v>
      </c>
      <c r="FA213" s="58">
        <f t="shared" ca="1" si="216"/>
        <v>0</v>
      </c>
      <c r="FB213" s="58">
        <f t="shared" ca="1" si="216"/>
        <v>0</v>
      </c>
      <c r="FC213" s="58">
        <f t="shared" ca="1" si="216"/>
        <v>0</v>
      </c>
      <c r="FD213" s="58">
        <f t="shared" ca="1" si="216"/>
        <v>0</v>
      </c>
      <c r="FE213" s="58">
        <f t="shared" ca="1" si="216"/>
        <v>0</v>
      </c>
      <c r="FF213" s="58">
        <f t="shared" ca="1" si="216"/>
        <v>0</v>
      </c>
      <c r="FG213" s="58">
        <f t="shared" ca="1" si="216"/>
        <v>0</v>
      </c>
      <c r="FH213" s="58">
        <f t="shared" ca="1" si="216"/>
        <v>0</v>
      </c>
      <c r="FI213" s="58">
        <f t="shared" ca="1" si="216"/>
        <v>0</v>
      </c>
      <c r="FJ213" s="58">
        <f t="shared" ca="1" si="216"/>
        <v>0</v>
      </c>
      <c r="FK213" s="58">
        <f t="shared" ca="1" si="216"/>
        <v>0</v>
      </c>
      <c r="FL213" s="58">
        <f t="shared" ca="1" si="216"/>
        <v>0</v>
      </c>
      <c r="FM213" s="58">
        <f t="shared" ca="1" si="216"/>
        <v>0</v>
      </c>
      <c r="FN213" s="58">
        <f t="shared" ca="1" si="216"/>
        <v>0</v>
      </c>
      <c r="FO213" s="13"/>
    </row>
    <row r="214" spans="1:171" outlineLevel="1" x14ac:dyDescent="0.3">
      <c r="A214" s="13"/>
      <c r="B214" s="13"/>
      <c r="C214" s="13"/>
      <c r="D214" s="52">
        <f t="shared" si="194"/>
        <v>41275</v>
      </c>
      <c r="E214" s="53">
        <f t="shared" si="195"/>
        <v>2013</v>
      </c>
      <c r="F214" s="53">
        <f t="shared" si="196"/>
        <v>-12</v>
      </c>
      <c r="G214" s="58">
        <f t="shared" ref="G214:AL214" ca="1" si="217">+IF(OR($F214+G$175&lt;1,(G$176-1)*12&lt;-$F214),0,OFFSET(G44,0,$F214))</f>
        <v>0</v>
      </c>
      <c r="H214" s="58">
        <f t="shared" ca="1" si="217"/>
        <v>0</v>
      </c>
      <c r="I214" s="58">
        <f t="shared" ca="1" si="217"/>
        <v>0</v>
      </c>
      <c r="J214" s="58">
        <f t="shared" ca="1" si="217"/>
        <v>0</v>
      </c>
      <c r="K214" s="58">
        <f t="shared" ca="1" si="217"/>
        <v>0</v>
      </c>
      <c r="L214" s="58">
        <f t="shared" ca="1" si="217"/>
        <v>0</v>
      </c>
      <c r="M214" s="58">
        <f t="shared" ca="1" si="217"/>
        <v>0</v>
      </c>
      <c r="N214" s="58">
        <f t="shared" ca="1" si="217"/>
        <v>0</v>
      </c>
      <c r="O214" s="58">
        <f t="shared" ca="1" si="217"/>
        <v>0</v>
      </c>
      <c r="P214" s="58">
        <f t="shared" ca="1" si="217"/>
        <v>0</v>
      </c>
      <c r="Q214" s="58">
        <f t="shared" ca="1" si="217"/>
        <v>0</v>
      </c>
      <c r="R214" s="58">
        <f t="shared" ca="1" si="217"/>
        <v>0</v>
      </c>
      <c r="S214" s="58">
        <f t="shared" ca="1" si="217"/>
        <v>0</v>
      </c>
      <c r="T214" s="58">
        <f t="shared" ca="1" si="217"/>
        <v>0</v>
      </c>
      <c r="U214" s="58">
        <f t="shared" ca="1" si="217"/>
        <v>0</v>
      </c>
      <c r="V214" s="58">
        <f t="shared" ca="1" si="217"/>
        <v>0</v>
      </c>
      <c r="W214" s="58">
        <f t="shared" ca="1" si="217"/>
        <v>0</v>
      </c>
      <c r="X214" s="58">
        <f t="shared" ca="1" si="217"/>
        <v>0</v>
      </c>
      <c r="Y214" s="58">
        <f t="shared" ca="1" si="217"/>
        <v>0</v>
      </c>
      <c r="Z214" s="58">
        <f t="shared" ca="1" si="217"/>
        <v>0</v>
      </c>
      <c r="AA214" s="58">
        <f t="shared" ca="1" si="217"/>
        <v>0</v>
      </c>
      <c r="AB214" s="58">
        <f t="shared" ca="1" si="217"/>
        <v>0</v>
      </c>
      <c r="AC214" s="58">
        <f t="shared" ca="1" si="217"/>
        <v>0</v>
      </c>
      <c r="AD214" s="58">
        <f t="shared" ca="1" si="217"/>
        <v>0</v>
      </c>
      <c r="AE214" s="58">
        <f t="shared" ca="1" si="217"/>
        <v>0</v>
      </c>
      <c r="AF214" s="58">
        <f t="shared" ca="1" si="217"/>
        <v>0</v>
      </c>
      <c r="AG214" s="58">
        <f t="shared" ca="1" si="217"/>
        <v>0</v>
      </c>
      <c r="AH214" s="58">
        <f t="shared" ca="1" si="217"/>
        <v>0</v>
      </c>
      <c r="AI214" s="58">
        <f t="shared" ca="1" si="217"/>
        <v>0</v>
      </c>
      <c r="AJ214" s="58">
        <f t="shared" ca="1" si="217"/>
        <v>0</v>
      </c>
      <c r="AK214" s="58">
        <f t="shared" ca="1" si="217"/>
        <v>0</v>
      </c>
      <c r="AL214" s="58">
        <f t="shared" ca="1" si="217"/>
        <v>0</v>
      </c>
      <c r="AM214" s="58">
        <f t="shared" ref="AM214:BR214" ca="1" si="218">+IF(OR($F214+AM$175&lt;1,(AM$176-1)*12&lt;-$F214),0,OFFSET(AM44,0,$F214))</f>
        <v>0</v>
      </c>
      <c r="AN214" s="58">
        <f t="shared" ca="1" si="218"/>
        <v>0</v>
      </c>
      <c r="AO214" s="58">
        <f t="shared" ca="1" si="218"/>
        <v>0</v>
      </c>
      <c r="AP214" s="58">
        <f t="shared" ca="1" si="218"/>
        <v>0</v>
      </c>
      <c r="AQ214" s="58">
        <f t="shared" ca="1" si="218"/>
        <v>0</v>
      </c>
      <c r="AR214" s="58">
        <f t="shared" ca="1" si="218"/>
        <v>0</v>
      </c>
      <c r="AS214" s="58">
        <f t="shared" ca="1" si="218"/>
        <v>0</v>
      </c>
      <c r="AT214" s="58">
        <f t="shared" ca="1" si="218"/>
        <v>0</v>
      </c>
      <c r="AU214" s="58">
        <f t="shared" ca="1" si="218"/>
        <v>0</v>
      </c>
      <c r="AV214" s="58">
        <f t="shared" ca="1" si="218"/>
        <v>0</v>
      </c>
      <c r="AW214" s="58">
        <f t="shared" ca="1" si="218"/>
        <v>0</v>
      </c>
      <c r="AX214" s="58">
        <f t="shared" ca="1" si="218"/>
        <v>0</v>
      </c>
      <c r="AY214" s="58">
        <f t="shared" ca="1" si="218"/>
        <v>0</v>
      </c>
      <c r="AZ214" s="58">
        <f t="shared" ca="1" si="218"/>
        <v>0</v>
      </c>
      <c r="BA214" s="58">
        <f t="shared" ca="1" si="218"/>
        <v>0</v>
      </c>
      <c r="BB214" s="58">
        <f t="shared" ca="1" si="218"/>
        <v>0</v>
      </c>
      <c r="BC214" s="58">
        <f t="shared" ca="1" si="218"/>
        <v>0</v>
      </c>
      <c r="BD214" s="58">
        <f t="shared" ca="1" si="218"/>
        <v>0</v>
      </c>
      <c r="BE214" s="58">
        <f t="shared" ca="1" si="218"/>
        <v>0</v>
      </c>
      <c r="BF214" s="58">
        <f t="shared" ca="1" si="218"/>
        <v>0</v>
      </c>
      <c r="BG214" s="58">
        <f t="shared" ca="1" si="218"/>
        <v>0</v>
      </c>
      <c r="BH214" s="58">
        <f t="shared" ca="1" si="218"/>
        <v>0</v>
      </c>
      <c r="BI214" s="58">
        <f t="shared" ca="1" si="218"/>
        <v>0</v>
      </c>
      <c r="BJ214" s="58">
        <f t="shared" ca="1" si="218"/>
        <v>0</v>
      </c>
      <c r="BK214" s="58">
        <f t="shared" ca="1" si="218"/>
        <v>0</v>
      </c>
      <c r="BL214" s="58">
        <f t="shared" ca="1" si="218"/>
        <v>0</v>
      </c>
      <c r="BM214" s="58">
        <f t="shared" ca="1" si="218"/>
        <v>0</v>
      </c>
      <c r="BN214" s="58">
        <f t="shared" ca="1" si="218"/>
        <v>0</v>
      </c>
      <c r="BO214" s="58">
        <f t="shared" ca="1" si="218"/>
        <v>0</v>
      </c>
      <c r="BP214" s="58">
        <f t="shared" ca="1" si="218"/>
        <v>0</v>
      </c>
      <c r="BQ214" s="58">
        <f t="shared" ca="1" si="218"/>
        <v>0</v>
      </c>
      <c r="BR214" s="58">
        <f t="shared" ca="1" si="218"/>
        <v>0</v>
      </c>
      <c r="BS214" s="58">
        <f t="shared" ref="BS214:CX214" ca="1" si="219">+IF(OR($F214+BS$175&lt;1,(BS$176-1)*12&lt;-$F214),0,OFFSET(BS44,0,$F214))</f>
        <v>0</v>
      </c>
      <c r="BT214" s="58">
        <f t="shared" ca="1" si="219"/>
        <v>0</v>
      </c>
      <c r="BU214" s="58">
        <f t="shared" ca="1" si="219"/>
        <v>0</v>
      </c>
      <c r="BV214" s="58">
        <f t="shared" ca="1" si="219"/>
        <v>0</v>
      </c>
      <c r="BW214" s="58">
        <f t="shared" ca="1" si="219"/>
        <v>0</v>
      </c>
      <c r="BX214" s="58">
        <f t="shared" ca="1" si="219"/>
        <v>0</v>
      </c>
      <c r="BY214" s="58">
        <f t="shared" ca="1" si="219"/>
        <v>0</v>
      </c>
      <c r="BZ214" s="58">
        <f t="shared" ca="1" si="219"/>
        <v>0</v>
      </c>
      <c r="CA214" s="58">
        <f t="shared" ca="1" si="219"/>
        <v>0</v>
      </c>
      <c r="CB214" s="58">
        <f t="shared" ca="1" si="219"/>
        <v>0</v>
      </c>
      <c r="CC214" s="58">
        <f t="shared" ca="1" si="219"/>
        <v>0</v>
      </c>
      <c r="CD214" s="58">
        <f t="shared" ca="1" si="219"/>
        <v>0</v>
      </c>
      <c r="CE214" s="58">
        <f t="shared" ca="1" si="219"/>
        <v>0</v>
      </c>
      <c r="CF214" s="58">
        <f t="shared" ca="1" si="219"/>
        <v>0</v>
      </c>
      <c r="CG214" s="58">
        <f t="shared" ca="1" si="219"/>
        <v>0</v>
      </c>
      <c r="CH214" s="58">
        <f t="shared" ca="1" si="219"/>
        <v>0</v>
      </c>
      <c r="CI214" s="58">
        <f t="shared" ca="1" si="219"/>
        <v>0</v>
      </c>
      <c r="CJ214" s="58">
        <f t="shared" ca="1" si="219"/>
        <v>0</v>
      </c>
      <c r="CK214" s="58">
        <f t="shared" ca="1" si="219"/>
        <v>0</v>
      </c>
      <c r="CL214" s="58">
        <f t="shared" ca="1" si="219"/>
        <v>0</v>
      </c>
      <c r="CM214" s="58">
        <f t="shared" ca="1" si="219"/>
        <v>0</v>
      </c>
      <c r="CN214" s="58">
        <f t="shared" ca="1" si="219"/>
        <v>0</v>
      </c>
      <c r="CO214" s="58">
        <f t="shared" ca="1" si="219"/>
        <v>0</v>
      </c>
      <c r="CP214" s="58">
        <f t="shared" ca="1" si="219"/>
        <v>0</v>
      </c>
      <c r="CQ214" s="58">
        <f t="shared" ca="1" si="219"/>
        <v>0</v>
      </c>
      <c r="CR214" s="58">
        <f t="shared" ca="1" si="219"/>
        <v>0</v>
      </c>
      <c r="CS214" s="58">
        <f t="shared" ca="1" si="219"/>
        <v>0</v>
      </c>
      <c r="CT214" s="58">
        <f t="shared" ca="1" si="219"/>
        <v>0</v>
      </c>
      <c r="CU214" s="58">
        <f t="shared" ca="1" si="219"/>
        <v>0</v>
      </c>
      <c r="CV214" s="58">
        <f t="shared" ca="1" si="219"/>
        <v>0</v>
      </c>
      <c r="CW214" s="58">
        <f t="shared" ca="1" si="219"/>
        <v>0</v>
      </c>
      <c r="CX214" s="58">
        <f t="shared" ca="1" si="219"/>
        <v>0</v>
      </c>
      <c r="CY214" s="58">
        <f t="shared" ref="CY214:ED214" ca="1" si="220">+IF(OR($F214+CY$175&lt;1,(CY$176-1)*12&lt;-$F214),0,OFFSET(CY44,0,$F214))</f>
        <v>0</v>
      </c>
      <c r="CZ214" s="58">
        <f t="shared" ca="1" si="220"/>
        <v>0</v>
      </c>
      <c r="DA214" s="58">
        <f t="shared" ca="1" si="220"/>
        <v>0</v>
      </c>
      <c r="DB214" s="58">
        <f t="shared" ca="1" si="220"/>
        <v>0</v>
      </c>
      <c r="DC214" s="58">
        <f t="shared" ca="1" si="220"/>
        <v>0</v>
      </c>
      <c r="DD214" s="58">
        <f t="shared" ca="1" si="220"/>
        <v>0</v>
      </c>
      <c r="DE214" s="58">
        <f t="shared" ca="1" si="220"/>
        <v>0</v>
      </c>
      <c r="DF214" s="58">
        <f t="shared" ca="1" si="220"/>
        <v>0</v>
      </c>
      <c r="DG214" s="58">
        <f t="shared" ca="1" si="220"/>
        <v>0</v>
      </c>
      <c r="DH214" s="58">
        <f t="shared" ca="1" si="220"/>
        <v>0</v>
      </c>
      <c r="DI214" s="58">
        <f t="shared" ca="1" si="220"/>
        <v>0</v>
      </c>
      <c r="DJ214" s="58">
        <f t="shared" ca="1" si="220"/>
        <v>0</v>
      </c>
      <c r="DK214" s="58">
        <f t="shared" ca="1" si="220"/>
        <v>0</v>
      </c>
      <c r="DL214" s="58">
        <f t="shared" ca="1" si="220"/>
        <v>0</v>
      </c>
      <c r="DM214" s="58">
        <f t="shared" ca="1" si="220"/>
        <v>0</v>
      </c>
      <c r="DN214" s="58">
        <f t="shared" ca="1" si="220"/>
        <v>0</v>
      </c>
      <c r="DO214" s="58">
        <f t="shared" ca="1" si="220"/>
        <v>0</v>
      </c>
      <c r="DP214" s="58">
        <f t="shared" ca="1" si="220"/>
        <v>0</v>
      </c>
      <c r="DQ214" s="58">
        <f t="shared" ca="1" si="220"/>
        <v>0</v>
      </c>
      <c r="DR214" s="58">
        <f t="shared" ca="1" si="220"/>
        <v>0</v>
      </c>
      <c r="DS214" s="58">
        <f t="shared" ca="1" si="220"/>
        <v>0</v>
      </c>
      <c r="DT214" s="58">
        <f t="shared" ca="1" si="220"/>
        <v>0</v>
      </c>
      <c r="DU214" s="58">
        <f t="shared" ca="1" si="220"/>
        <v>0</v>
      </c>
      <c r="DV214" s="58">
        <f t="shared" ca="1" si="220"/>
        <v>0</v>
      </c>
      <c r="DW214" s="58">
        <f t="shared" ca="1" si="220"/>
        <v>0</v>
      </c>
      <c r="DX214" s="58">
        <f t="shared" ca="1" si="220"/>
        <v>0</v>
      </c>
      <c r="DY214" s="58">
        <f t="shared" ca="1" si="220"/>
        <v>0</v>
      </c>
      <c r="DZ214" s="58">
        <f t="shared" ca="1" si="220"/>
        <v>0</v>
      </c>
      <c r="EA214" s="58">
        <f t="shared" ca="1" si="220"/>
        <v>0</v>
      </c>
      <c r="EB214" s="58">
        <f t="shared" ca="1" si="220"/>
        <v>0</v>
      </c>
      <c r="EC214" s="58">
        <f t="shared" ca="1" si="220"/>
        <v>0</v>
      </c>
      <c r="ED214" s="58">
        <f t="shared" ca="1" si="220"/>
        <v>0</v>
      </c>
      <c r="EE214" s="58">
        <f t="shared" ref="EE214:FN214" ca="1" si="221">+IF(OR($F214+EE$175&lt;1,(EE$176-1)*12&lt;-$F214),0,OFFSET(EE44,0,$F214))</f>
        <v>0</v>
      </c>
      <c r="EF214" s="58">
        <f t="shared" ca="1" si="221"/>
        <v>0</v>
      </c>
      <c r="EG214" s="58">
        <f t="shared" ca="1" si="221"/>
        <v>0</v>
      </c>
      <c r="EH214" s="58">
        <f t="shared" ca="1" si="221"/>
        <v>0</v>
      </c>
      <c r="EI214" s="58">
        <f t="shared" ca="1" si="221"/>
        <v>0</v>
      </c>
      <c r="EJ214" s="58">
        <f t="shared" ca="1" si="221"/>
        <v>0</v>
      </c>
      <c r="EK214" s="58">
        <f t="shared" ca="1" si="221"/>
        <v>0</v>
      </c>
      <c r="EL214" s="58">
        <f t="shared" ca="1" si="221"/>
        <v>0</v>
      </c>
      <c r="EM214" s="58">
        <f t="shared" ca="1" si="221"/>
        <v>0</v>
      </c>
      <c r="EN214" s="58">
        <f t="shared" ca="1" si="221"/>
        <v>0</v>
      </c>
      <c r="EO214" s="58">
        <f t="shared" ca="1" si="221"/>
        <v>0</v>
      </c>
      <c r="EP214" s="58">
        <f t="shared" ca="1" si="221"/>
        <v>0</v>
      </c>
      <c r="EQ214" s="58">
        <f t="shared" ca="1" si="221"/>
        <v>0</v>
      </c>
      <c r="ER214" s="58">
        <f t="shared" ca="1" si="221"/>
        <v>0</v>
      </c>
      <c r="ES214" s="58">
        <f t="shared" ca="1" si="221"/>
        <v>0</v>
      </c>
      <c r="ET214" s="58">
        <f t="shared" ca="1" si="221"/>
        <v>0</v>
      </c>
      <c r="EU214" s="58">
        <f t="shared" ca="1" si="221"/>
        <v>0</v>
      </c>
      <c r="EV214" s="58">
        <f t="shared" ca="1" si="221"/>
        <v>0</v>
      </c>
      <c r="EW214" s="58">
        <f t="shared" ca="1" si="221"/>
        <v>0</v>
      </c>
      <c r="EX214" s="58">
        <f t="shared" ca="1" si="221"/>
        <v>0</v>
      </c>
      <c r="EY214" s="58">
        <f t="shared" ca="1" si="221"/>
        <v>0</v>
      </c>
      <c r="EZ214" s="58">
        <f t="shared" ca="1" si="221"/>
        <v>0</v>
      </c>
      <c r="FA214" s="58">
        <f t="shared" ca="1" si="221"/>
        <v>0</v>
      </c>
      <c r="FB214" s="58">
        <f t="shared" ca="1" si="221"/>
        <v>0</v>
      </c>
      <c r="FC214" s="58">
        <f t="shared" ca="1" si="221"/>
        <v>0</v>
      </c>
      <c r="FD214" s="58">
        <f t="shared" ca="1" si="221"/>
        <v>0</v>
      </c>
      <c r="FE214" s="58">
        <f t="shared" ca="1" si="221"/>
        <v>0</v>
      </c>
      <c r="FF214" s="58">
        <f t="shared" ca="1" si="221"/>
        <v>0</v>
      </c>
      <c r="FG214" s="58">
        <f t="shared" ca="1" si="221"/>
        <v>0</v>
      </c>
      <c r="FH214" s="58">
        <f t="shared" ca="1" si="221"/>
        <v>0</v>
      </c>
      <c r="FI214" s="58">
        <f t="shared" ca="1" si="221"/>
        <v>0</v>
      </c>
      <c r="FJ214" s="58">
        <f t="shared" ca="1" si="221"/>
        <v>0</v>
      </c>
      <c r="FK214" s="58">
        <f t="shared" ca="1" si="221"/>
        <v>0</v>
      </c>
      <c r="FL214" s="58">
        <f t="shared" ca="1" si="221"/>
        <v>0</v>
      </c>
      <c r="FM214" s="58">
        <f t="shared" ca="1" si="221"/>
        <v>0</v>
      </c>
      <c r="FN214" s="58">
        <f t="shared" ca="1" si="221"/>
        <v>0</v>
      </c>
      <c r="FO214" s="13"/>
    </row>
    <row r="215" spans="1:171" outlineLevel="1" x14ac:dyDescent="0.3">
      <c r="A215" s="13"/>
      <c r="B215" s="13"/>
      <c r="C215" s="13"/>
      <c r="D215" s="52">
        <f t="shared" si="194"/>
        <v>41306</v>
      </c>
      <c r="E215" s="53">
        <f t="shared" si="195"/>
        <v>2013</v>
      </c>
      <c r="F215" s="53">
        <f t="shared" si="196"/>
        <v>-11</v>
      </c>
      <c r="G215" s="58">
        <f t="shared" ref="G215:AL215" ca="1" si="222">+IF(OR($F215+G$175&lt;1,(G$176-1)*12&lt;-$F215),0,OFFSET(G45,0,$F215))</f>
        <v>0</v>
      </c>
      <c r="H215" s="58">
        <f t="shared" ca="1" si="222"/>
        <v>0</v>
      </c>
      <c r="I215" s="58">
        <f t="shared" ca="1" si="222"/>
        <v>0</v>
      </c>
      <c r="J215" s="58">
        <f t="shared" ca="1" si="222"/>
        <v>0</v>
      </c>
      <c r="K215" s="58">
        <f t="shared" ca="1" si="222"/>
        <v>0</v>
      </c>
      <c r="L215" s="58">
        <f t="shared" ca="1" si="222"/>
        <v>0</v>
      </c>
      <c r="M215" s="58">
        <f t="shared" ca="1" si="222"/>
        <v>0</v>
      </c>
      <c r="N215" s="58">
        <f t="shared" ca="1" si="222"/>
        <v>0</v>
      </c>
      <c r="O215" s="58">
        <f t="shared" ca="1" si="222"/>
        <v>0</v>
      </c>
      <c r="P215" s="58">
        <f t="shared" ca="1" si="222"/>
        <v>0</v>
      </c>
      <c r="Q215" s="58">
        <f t="shared" ca="1" si="222"/>
        <v>0</v>
      </c>
      <c r="R215" s="58">
        <f t="shared" ca="1" si="222"/>
        <v>0</v>
      </c>
      <c r="S215" s="58">
        <f t="shared" ca="1" si="222"/>
        <v>0</v>
      </c>
      <c r="T215" s="58">
        <f t="shared" ca="1" si="222"/>
        <v>0</v>
      </c>
      <c r="U215" s="58">
        <f t="shared" ca="1" si="222"/>
        <v>0</v>
      </c>
      <c r="V215" s="58">
        <f t="shared" ca="1" si="222"/>
        <v>0</v>
      </c>
      <c r="W215" s="58">
        <f t="shared" ca="1" si="222"/>
        <v>0</v>
      </c>
      <c r="X215" s="58">
        <f t="shared" ca="1" si="222"/>
        <v>0</v>
      </c>
      <c r="Y215" s="58">
        <f t="shared" ca="1" si="222"/>
        <v>0</v>
      </c>
      <c r="Z215" s="58">
        <f t="shared" ca="1" si="222"/>
        <v>0</v>
      </c>
      <c r="AA215" s="58">
        <f t="shared" ca="1" si="222"/>
        <v>0</v>
      </c>
      <c r="AB215" s="58">
        <f t="shared" ca="1" si="222"/>
        <v>0</v>
      </c>
      <c r="AC215" s="58">
        <f t="shared" ca="1" si="222"/>
        <v>0</v>
      </c>
      <c r="AD215" s="58">
        <f t="shared" ca="1" si="222"/>
        <v>0</v>
      </c>
      <c r="AE215" s="58">
        <f t="shared" ca="1" si="222"/>
        <v>0</v>
      </c>
      <c r="AF215" s="58">
        <f t="shared" ca="1" si="222"/>
        <v>0</v>
      </c>
      <c r="AG215" s="58">
        <f t="shared" ca="1" si="222"/>
        <v>0</v>
      </c>
      <c r="AH215" s="58">
        <f t="shared" ca="1" si="222"/>
        <v>0</v>
      </c>
      <c r="AI215" s="58">
        <f t="shared" ca="1" si="222"/>
        <v>0</v>
      </c>
      <c r="AJ215" s="58">
        <f t="shared" ca="1" si="222"/>
        <v>0</v>
      </c>
      <c r="AK215" s="58">
        <f t="shared" ca="1" si="222"/>
        <v>0</v>
      </c>
      <c r="AL215" s="58">
        <f t="shared" ca="1" si="222"/>
        <v>0</v>
      </c>
      <c r="AM215" s="58">
        <f t="shared" ref="AM215:BR215" ca="1" si="223">+IF(OR($F215+AM$175&lt;1,(AM$176-1)*12&lt;-$F215),0,OFFSET(AM45,0,$F215))</f>
        <v>0</v>
      </c>
      <c r="AN215" s="58">
        <f t="shared" ca="1" si="223"/>
        <v>0</v>
      </c>
      <c r="AO215" s="58">
        <f t="shared" ca="1" si="223"/>
        <v>0</v>
      </c>
      <c r="AP215" s="58">
        <f t="shared" ca="1" si="223"/>
        <v>0</v>
      </c>
      <c r="AQ215" s="58">
        <f t="shared" ca="1" si="223"/>
        <v>0</v>
      </c>
      <c r="AR215" s="58">
        <f t="shared" ca="1" si="223"/>
        <v>0</v>
      </c>
      <c r="AS215" s="58">
        <f t="shared" ca="1" si="223"/>
        <v>0</v>
      </c>
      <c r="AT215" s="58">
        <f t="shared" ca="1" si="223"/>
        <v>0</v>
      </c>
      <c r="AU215" s="58">
        <f t="shared" ca="1" si="223"/>
        <v>0</v>
      </c>
      <c r="AV215" s="58">
        <f t="shared" ca="1" si="223"/>
        <v>0</v>
      </c>
      <c r="AW215" s="58">
        <f t="shared" ca="1" si="223"/>
        <v>0</v>
      </c>
      <c r="AX215" s="58">
        <f t="shared" ca="1" si="223"/>
        <v>0</v>
      </c>
      <c r="AY215" s="58">
        <f t="shared" ca="1" si="223"/>
        <v>0</v>
      </c>
      <c r="AZ215" s="58">
        <f t="shared" ca="1" si="223"/>
        <v>0</v>
      </c>
      <c r="BA215" s="58">
        <f t="shared" ca="1" si="223"/>
        <v>0</v>
      </c>
      <c r="BB215" s="58">
        <f t="shared" ca="1" si="223"/>
        <v>0</v>
      </c>
      <c r="BC215" s="58">
        <f t="shared" ca="1" si="223"/>
        <v>0</v>
      </c>
      <c r="BD215" s="58">
        <f t="shared" ca="1" si="223"/>
        <v>0</v>
      </c>
      <c r="BE215" s="58">
        <f t="shared" ca="1" si="223"/>
        <v>0</v>
      </c>
      <c r="BF215" s="58">
        <f t="shared" ca="1" si="223"/>
        <v>0</v>
      </c>
      <c r="BG215" s="58">
        <f t="shared" ca="1" si="223"/>
        <v>0</v>
      </c>
      <c r="BH215" s="58">
        <f t="shared" ca="1" si="223"/>
        <v>0</v>
      </c>
      <c r="BI215" s="58">
        <f t="shared" ca="1" si="223"/>
        <v>0</v>
      </c>
      <c r="BJ215" s="58">
        <f t="shared" ca="1" si="223"/>
        <v>0</v>
      </c>
      <c r="BK215" s="58">
        <f t="shared" ca="1" si="223"/>
        <v>0</v>
      </c>
      <c r="BL215" s="58">
        <f t="shared" ca="1" si="223"/>
        <v>0</v>
      </c>
      <c r="BM215" s="58">
        <f t="shared" ca="1" si="223"/>
        <v>0</v>
      </c>
      <c r="BN215" s="58">
        <f t="shared" ca="1" si="223"/>
        <v>0</v>
      </c>
      <c r="BO215" s="58">
        <f t="shared" ca="1" si="223"/>
        <v>0</v>
      </c>
      <c r="BP215" s="58">
        <f t="shared" ca="1" si="223"/>
        <v>0</v>
      </c>
      <c r="BQ215" s="58">
        <f t="shared" ca="1" si="223"/>
        <v>0</v>
      </c>
      <c r="BR215" s="58">
        <f t="shared" ca="1" si="223"/>
        <v>0</v>
      </c>
      <c r="BS215" s="58">
        <f t="shared" ref="BS215:CX215" ca="1" si="224">+IF(OR($F215+BS$175&lt;1,(BS$176-1)*12&lt;-$F215),0,OFFSET(BS45,0,$F215))</f>
        <v>0</v>
      </c>
      <c r="BT215" s="58">
        <f t="shared" ca="1" si="224"/>
        <v>0</v>
      </c>
      <c r="BU215" s="58">
        <f t="shared" ca="1" si="224"/>
        <v>0</v>
      </c>
      <c r="BV215" s="58">
        <f t="shared" ca="1" si="224"/>
        <v>0</v>
      </c>
      <c r="BW215" s="58">
        <f t="shared" ca="1" si="224"/>
        <v>0</v>
      </c>
      <c r="BX215" s="58">
        <f t="shared" ca="1" si="224"/>
        <v>0</v>
      </c>
      <c r="BY215" s="58">
        <f t="shared" ca="1" si="224"/>
        <v>0</v>
      </c>
      <c r="BZ215" s="58">
        <f t="shared" ca="1" si="224"/>
        <v>0</v>
      </c>
      <c r="CA215" s="58">
        <f t="shared" ca="1" si="224"/>
        <v>0</v>
      </c>
      <c r="CB215" s="58">
        <f t="shared" ca="1" si="224"/>
        <v>0</v>
      </c>
      <c r="CC215" s="58">
        <f t="shared" ca="1" si="224"/>
        <v>0</v>
      </c>
      <c r="CD215" s="58">
        <f t="shared" ca="1" si="224"/>
        <v>0</v>
      </c>
      <c r="CE215" s="58">
        <f t="shared" ca="1" si="224"/>
        <v>0</v>
      </c>
      <c r="CF215" s="58">
        <f t="shared" ca="1" si="224"/>
        <v>0</v>
      </c>
      <c r="CG215" s="58">
        <f t="shared" ca="1" si="224"/>
        <v>0</v>
      </c>
      <c r="CH215" s="58">
        <f t="shared" ca="1" si="224"/>
        <v>0</v>
      </c>
      <c r="CI215" s="58">
        <f t="shared" ca="1" si="224"/>
        <v>0</v>
      </c>
      <c r="CJ215" s="58">
        <f t="shared" ca="1" si="224"/>
        <v>0</v>
      </c>
      <c r="CK215" s="58">
        <f t="shared" ca="1" si="224"/>
        <v>0</v>
      </c>
      <c r="CL215" s="58">
        <f t="shared" ca="1" si="224"/>
        <v>0</v>
      </c>
      <c r="CM215" s="58">
        <f t="shared" ca="1" si="224"/>
        <v>0</v>
      </c>
      <c r="CN215" s="58">
        <f t="shared" ca="1" si="224"/>
        <v>0</v>
      </c>
      <c r="CO215" s="58">
        <f t="shared" ca="1" si="224"/>
        <v>0</v>
      </c>
      <c r="CP215" s="58">
        <f t="shared" ca="1" si="224"/>
        <v>0</v>
      </c>
      <c r="CQ215" s="58">
        <f t="shared" ca="1" si="224"/>
        <v>0</v>
      </c>
      <c r="CR215" s="58">
        <f t="shared" ca="1" si="224"/>
        <v>0</v>
      </c>
      <c r="CS215" s="58">
        <f t="shared" ca="1" si="224"/>
        <v>0</v>
      </c>
      <c r="CT215" s="58">
        <f t="shared" ca="1" si="224"/>
        <v>0</v>
      </c>
      <c r="CU215" s="58">
        <f t="shared" ca="1" si="224"/>
        <v>0</v>
      </c>
      <c r="CV215" s="58">
        <f t="shared" ca="1" si="224"/>
        <v>0</v>
      </c>
      <c r="CW215" s="58">
        <f t="shared" ca="1" si="224"/>
        <v>0</v>
      </c>
      <c r="CX215" s="58">
        <f t="shared" ca="1" si="224"/>
        <v>0</v>
      </c>
      <c r="CY215" s="58">
        <f t="shared" ref="CY215:ED215" ca="1" si="225">+IF(OR($F215+CY$175&lt;1,(CY$176-1)*12&lt;-$F215),0,OFFSET(CY45,0,$F215))</f>
        <v>0</v>
      </c>
      <c r="CZ215" s="58">
        <f t="shared" ca="1" si="225"/>
        <v>0</v>
      </c>
      <c r="DA215" s="58">
        <f t="shared" ca="1" si="225"/>
        <v>0</v>
      </c>
      <c r="DB215" s="58">
        <f t="shared" ca="1" si="225"/>
        <v>0</v>
      </c>
      <c r="DC215" s="58">
        <f t="shared" ca="1" si="225"/>
        <v>0</v>
      </c>
      <c r="DD215" s="58">
        <f t="shared" ca="1" si="225"/>
        <v>0</v>
      </c>
      <c r="DE215" s="58">
        <f t="shared" ca="1" si="225"/>
        <v>0</v>
      </c>
      <c r="DF215" s="58">
        <f t="shared" ca="1" si="225"/>
        <v>0</v>
      </c>
      <c r="DG215" s="58">
        <f t="shared" ca="1" si="225"/>
        <v>0</v>
      </c>
      <c r="DH215" s="58">
        <f t="shared" ca="1" si="225"/>
        <v>0</v>
      </c>
      <c r="DI215" s="58">
        <f t="shared" ca="1" si="225"/>
        <v>0</v>
      </c>
      <c r="DJ215" s="58">
        <f t="shared" ca="1" si="225"/>
        <v>0</v>
      </c>
      <c r="DK215" s="58">
        <f t="shared" ca="1" si="225"/>
        <v>0</v>
      </c>
      <c r="DL215" s="58">
        <f t="shared" ca="1" si="225"/>
        <v>0</v>
      </c>
      <c r="DM215" s="58">
        <f t="shared" ca="1" si="225"/>
        <v>0</v>
      </c>
      <c r="DN215" s="58">
        <f t="shared" ca="1" si="225"/>
        <v>0</v>
      </c>
      <c r="DO215" s="58">
        <f t="shared" ca="1" si="225"/>
        <v>0</v>
      </c>
      <c r="DP215" s="58">
        <f t="shared" ca="1" si="225"/>
        <v>0</v>
      </c>
      <c r="DQ215" s="58">
        <f t="shared" ca="1" si="225"/>
        <v>0</v>
      </c>
      <c r="DR215" s="58">
        <f t="shared" ca="1" si="225"/>
        <v>0</v>
      </c>
      <c r="DS215" s="58">
        <f t="shared" ca="1" si="225"/>
        <v>0</v>
      </c>
      <c r="DT215" s="58">
        <f t="shared" ca="1" si="225"/>
        <v>0</v>
      </c>
      <c r="DU215" s="58">
        <f t="shared" ca="1" si="225"/>
        <v>0</v>
      </c>
      <c r="DV215" s="58">
        <f t="shared" ca="1" si="225"/>
        <v>0</v>
      </c>
      <c r="DW215" s="58">
        <f t="shared" ca="1" si="225"/>
        <v>0</v>
      </c>
      <c r="DX215" s="58">
        <f t="shared" ca="1" si="225"/>
        <v>0</v>
      </c>
      <c r="DY215" s="58">
        <f t="shared" ca="1" si="225"/>
        <v>0</v>
      </c>
      <c r="DZ215" s="58">
        <f t="shared" ca="1" si="225"/>
        <v>0</v>
      </c>
      <c r="EA215" s="58">
        <f t="shared" ca="1" si="225"/>
        <v>0</v>
      </c>
      <c r="EB215" s="58">
        <f t="shared" ca="1" si="225"/>
        <v>0</v>
      </c>
      <c r="EC215" s="58">
        <f t="shared" ca="1" si="225"/>
        <v>0</v>
      </c>
      <c r="ED215" s="58">
        <f t="shared" ca="1" si="225"/>
        <v>0</v>
      </c>
      <c r="EE215" s="58">
        <f t="shared" ref="EE215:FN215" ca="1" si="226">+IF(OR($F215+EE$175&lt;1,(EE$176-1)*12&lt;-$F215),0,OFFSET(EE45,0,$F215))</f>
        <v>0</v>
      </c>
      <c r="EF215" s="58">
        <f t="shared" ca="1" si="226"/>
        <v>0</v>
      </c>
      <c r="EG215" s="58">
        <f t="shared" ca="1" si="226"/>
        <v>0</v>
      </c>
      <c r="EH215" s="58">
        <f t="shared" ca="1" si="226"/>
        <v>0</v>
      </c>
      <c r="EI215" s="58">
        <f t="shared" ca="1" si="226"/>
        <v>0</v>
      </c>
      <c r="EJ215" s="58">
        <f t="shared" ca="1" si="226"/>
        <v>0</v>
      </c>
      <c r="EK215" s="58">
        <f t="shared" ca="1" si="226"/>
        <v>0</v>
      </c>
      <c r="EL215" s="58">
        <f t="shared" ca="1" si="226"/>
        <v>0</v>
      </c>
      <c r="EM215" s="58">
        <f t="shared" ca="1" si="226"/>
        <v>0</v>
      </c>
      <c r="EN215" s="58">
        <f t="shared" ca="1" si="226"/>
        <v>0</v>
      </c>
      <c r="EO215" s="58">
        <f t="shared" ca="1" si="226"/>
        <v>0</v>
      </c>
      <c r="EP215" s="58">
        <f t="shared" ca="1" si="226"/>
        <v>0</v>
      </c>
      <c r="EQ215" s="58">
        <f t="shared" ca="1" si="226"/>
        <v>0</v>
      </c>
      <c r="ER215" s="58">
        <f t="shared" ca="1" si="226"/>
        <v>0</v>
      </c>
      <c r="ES215" s="58">
        <f t="shared" ca="1" si="226"/>
        <v>0</v>
      </c>
      <c r="ET215" s="58">
        <f t="shared" ca="1" si="226"/>
        <v>0</v>
      </c>
      <c r="EU215" s="58">
        <f t="shared" ca="1" si="226"/>
        <v>0</v>
      </c>
      <c r="EV215" s="58">
        <f t="shared" ca="1" si="226"/>
        <v>0</v>
      </c>
      <c r="EW215" s="58">
        <f t="shared" ca="1" si="226"/>
        <v>0</v>
      </c>
      <c r="EX215" s="58">
        <f t="shared" ca="1" si="226"/>
        <v>0</v>
      </c>
      <c r="EY215" s="58">
        <f t="shared" ca="1" si="226"/>
        <v>0</v>
      </c>
      <c r="EZ215" s="58">
        <f t="shared" ca="1" si="226"/>
        <v>0</v>
      </c>
      <c r="FA215" s="58">
        <f t="shared" ca="1" si="226"/>
        <v>0</v>
      </c>
      <c r="FB215" s="58">
        <f t="shared" ca="1" si="226"/>
        <v>0</v>
      </c>
      <c r="FC215" s="58">
        <f t="shared" ca="1" si="226"/>
        <v>0</v>
      </c>
      <c r="FD215" s="58">
        <f t="shared" ca="1" si="226"/>
        <v>0</v>
      </c>
      <c r="FE215" s="58">
        <f t="shared" ca="1" si="226"/>
        <v>0</v>
      </c>
      <c r="FF215" s="58">
        <f t="shared" ca="1" si="226"/>
        <v>0</v>
      </c>
      <c r="FG215" s="58">
        <f t="shared" ca="1" si="226"/>
        <v>0</v>
      </c>
      <c r="FH215" s="58">
        <f t="shared" ca="1" si="226"/>
        <v>0</v>
      </c>
      <c r="FI215" s="58">
        <f t="shared" ca="1" si="226"/>
        <v>0</v>
      </c>
      <c r="FJ215" s="58">
        <f t="shared" ca="1" si="226"/>
        <v>0</v>
      </c>
      <c r="FK215" s="58">
        <f t="shared" ca="1" si="226"/>
        <v>0</v>
      </c>
      <c r="FL215" s="58">
        <f t="shared" ca="1" si="226"/>
        <v>0</v>
      </c>
      <c r="FM215" s="58">
        <f t="shared" ca="1" si="226"/>
        <v>0</v>
      </c>
      <c r="FN215" s="58">
        <f t="shared" ca="1" si="226"/>
        <v>0</v>
      </c>
      <c r="FO215" s="13"/>
    </row>
    <row r="216" spans="1:171" outlineLevel="1" x14ac:dyDescent="0.3">
      <c r="A216" s="13"/>
      <c r="B216" s="13"/>
      <c r="C216" s="13"/>
      <c r="D216" s="52">
        <f t="shared" si="194"/>
        <v>41334</v>
      </c>
      <c r="E216" s="53">
        <f t="shared" si="195"/>
        <v>2013</v>
      </c>
      <c r="F216" s="53">
        <f t="shared" si="196"/>
        <v>-10</v>
      </c>
      <c r="G216" s="58">
        <f t="shared" ref="G216:AL216" ca="1" si="227">+IF(OR($F216+G$175&lt;1,(G$176-1)*12&lt;-$F216),0,OFFSET(G46,0,$F216))</f>
        <v>0</v>
      </c>
      <c r="H216" s="58">
        <f t="shared" ca="1" si="227"/>
        <v>0</v>
      </c>
      <c r="I216" s="58">
        <f t="shared" ca="1" si="227"/>
        <v>0</v>
      </c>
      <c r="J216" s="58">
        <f t="shared" ca="1" si="227"/>
        <v>0</v>
      </c>
      <c r="K216" s="58">
        <f t="shared" ca="1" si="227"/>
        <v>0</v>
      </c>
      <c r="L216" s="58">
        <f t="shared" ca="1" si="227"/>
        <v>0</v>
      </c>
      <c r="M216" s="58">
        <f t="shared" ca="1" si="227"/>
        <v>0</v>
      </c>
      <c r="N216" s="58">
        <f t="shared" ca="1" si="227"/>
        <v>0</v>
      </c>
      <c r="O216" s="58">
        <f t="shared" ca="1" si="227"/>
        <v>0</v>
      </c>
      <c r="P216" s="58">
        <f t="shared" ca="1" si="227"/>
        <v>0</v>
      </c>
      <c r="Q216" s="58">
        <f t="shared" ca="1" si="227"/>
        <v>0</v>
      </c>
      <c r="R216" s="58">
        <f t="shared" ca="1" si="227"/>
        <v>0</v>
      </c>
      <c r="S216" s="58">
        <f t="shared" ca="1" si="227"/>
        <v>0</v>
      </c>
      <c r="T216" s="58">
        <f t="shared" ca="1" si="227"/>
        <v>0</v>
      </c>
      <c r="U216" s="58">
        <f t="shared" ca="1" si="227"/>
        <v>0</v>
      </c>
      <c r="V216" s="58">
        <f t="shared" ca="1" si="227"/>
        <v>0</v>
      </c>
      <c r="W216" s="58">
        <f t="shared" ca="1" si="227"/>
        <v>0</v>
      </c>
      <c r="X216" s="58">
        <f t="shared" ca="1" si="227"/>
        <v>0</v>
      </c>
      <c r="Y216" s="58">
        <f t="shared" ca="1" si="227"/>
        <v>0</v>
      </c>
      <c r="Z216" s="58">
        <f t="shared" ca="1" si="227"/>
        <v>0</v>
      </c>
      <c r="AA216" s="58">
        <f t="shared" ca="1" si="227"/>
        <v>0</v>
      </c>
      <c r="AB216" s="58">
        <f t="shared" ca="1" si="227"/>
        <v>0</v>
      </c>
      <c r="AC216" s="58">
        <f t="shared" ca="1" si="227"/>
        <v>0</v>
      </c>
      <c r="AD216" s="58">
        <f t="shared" ca="1" si="227"/>
        <v>0</v>
      </c>
      <c r="AE216" s="58">
        <f t="shared" ca="1" si="227"/>
        <v>0</v>
      </c>
      <c r="AF216" s="58">
        <f t="shared" ca="1" si="227"/>
        <v>0</v>
      </c>
      <c r="AG216" s="58">
        <f t="shared" ca="1" si="227"/>
        <v>0</v>
      </c>
      <c r="AH216" s="58">
        <f t="shared" ca="1" si="227"/>
        <v>0</v>
      </c>
      <c r="AI216" s="58">
        <f t="shared" ca="1" si="227"/>
        <v>0</v>
      </c>
      <c r="AJ216" s="58">
        <f t="shared" ca="1" si="227"/>
        <v>0</v>
      </c>
      <c r="AK216" s="58">
        <f t="shared" ca="1" si="227"/>
        <v>0</v>
      </c>
      <c r="AL216" s="58">
        <f t="shared" ca="1" si="227"/>
        <v>0</v>
      </c>
      <c r="AM216" s="58">
        <f t="shared" ref="AM216:BR216" ca="1" si="228">+IF(OR($F216+AM$175&lt;1,(AM$176-1)*12&lt;-$F216),0,OFFSET(AM46,0,$F216))</f>
        <v>0</v>
      </c>
      <c r="AN216" s="58">
        <f t="shared" ca="1" si="228"/>
        <v>0</v>
      </c>
      <c r="AO216" s="58">
        <f t="shared" ca="1" si="228"/>
        <v>0</v>
      </c>
      <c r="AP216" s="58">
        <f t="shared" ca="1" si="228"/>
        <v>0</v>
      </c>
      <c r="AQ216" s="58">
        <f t="shared" ca="1" si="228"/>
        <v>0</v>
      </c>
      <c r="AR216" s="58">
        <f t="shared" ca="1" si="228"/>
        <v>0</v>
      </c>
      <c r="AS216" s="58">
        <f t="shared" ca="1" si="228"/>
        <v>0</v>
      </c>
      <c r="AT216" s="58">
        <f t="shared" ca="1" si="228"/>
        <v>0</v>
      </c>
      <c r="AU216" s="58">
        <f t="shared" ca="1" si="228"/>
        <v>0</v>
      </c>
      <c r="AV216" s="58">
        <f t="shared" ca="1" si="228"/>
        <v>0</v>
      </c>
      <c r="AW216" s="58">
        <f t="shared" ca="1" si="228"/>
        <v>0</v>
      </c>
      <c r="AX216" s="58">
        <f t="shared" ca="1" si="228"/>
        <v>0</v>
      </c>
      <c r="AY216" s="58">
        <f t="shared" ca="1" si="228"/>
        <v>0</v>
      </c>
      <c r="AZ216" s="58">
        <f t="shared" ca="1" si="228"/>
        <v>0</v>
      </c>
      <c r="BA216" s="58">
        <f t="shared" ca="1" si="228"/>
        <v>0</v>
      </c>
      <c r="BB216" s="58">
        <f t="shared" ca="1" si="228"/>
        <v>0</v>
      </c>
      <c r="BC216" s="58">
        <f t="shared" ca="1" si="228"/>
        <v>0</v>
      </c>
      <c r="BD216" s="58">
        <f t="shared" ca="1" si="228"/>
        <v>0</v>
      </c>
      <c r="BE216" s="58">
        <f t="shared" ca="1" si="228"/>
        <v>0</v>
      </c>
      <c r="BF216" s="58">
        <f t="shared" ca="1" si="228"/>
        <v>0</v>
      </c>
      <c r="BG216" s="58">
        <f t="shared" ca="1" si="228"/>
        <v>0</v>
      </c>
      <c r="BH216" s="58">
        <f t="shared" ca="1" si="228"/>
        <v>0</v>
      </c>
      <c r="BI216" s="58">
        <f t="shared" ca="1" si="228"/>
        <v>0</v>
      </c>
      <c r="BJ216" s="58">
        <f t="shared" ca="1" si="228"/>
        <v>0</v>
      </c>
      <c r="BK216" s="58">
        <f t="shared" ca="1" si="228"/>
        <v>0</v>
      </c>
      <c r="BL216" s="58">
        <f t="shared" ca="1" si="228"/>
        <v>0</v>
      </c>
      <c r="BM216" s="58">
        <f t="shared" ca="1" si="228"/>
        <v>0</v>
      </c>
      <c r="BN216" s="58">
        <f t="shared" ca="1" si="228"/>
        <v>0</v>
      </c>
      <c r="BO216" s="58">
        <f t="shared" ca="1" si="228"/>
        <v>0</v>
      </c>
      <c r="BP216" s="58">
        <f t="shared" ca="1" si="228"/>
        <v>0</v>
      </c>
      <c r="BQ216" s="58">
        <f t="shared" ca="1" si="228"/>
        <v>0</v>
      </c>
      <c r="BR216" s="58">
        <f t="shared" ca="1" si="228"/>
        <v>0</v>
      </c>
      <c r="BS216" s="58">
        <f t="shared" ref="BS216:CX216" ca="1" si="229">+IF(OR($F216+BS$175&lt;1,(BS$176-1)*12&lt;-$F216),0,OFFSET(BS46,0,$F216))</f>
        <v>0</v>
      </c>
      <c r="BT216" s="58">
        <f t="shared" ca="1" si="229"/>
        <v>0</v>
      </c>
      <c r="BU216" s="58">
        <f t="shared" ca="1" si="229"/>
        <v>0</v>
      </c>
      <c r="BV216" s="58">
        <f t="shared" ca="1" si="229"/>
        <v>0</v>
      </c>
      <c r="BW216" s="58">
        <f t="shared" ca="1" si="229"/>
        <v>0</v>
      </c>
      <c r="BX216" s="58">
        <f t="shared" ca="1" si="229"/>
        <v>0</v>
      </c>
      <c r="BY216" s="58">
        <f t="shared" ca="1" si="229"/>
        <v>0</v>
      </c>
      <c r="BZ216" s="58">
        <f t="shared" ca="1" si="229"/>
        <v>0</v>
      </c>
      <c r="CA216" s="58">
        <f t="shared" ca="1" si="229"/>
        <v>0</v>
      </c>
      <c r="CB216" s="58">
        <f t="shared" ca="1" si="229"/>
        <v>0</v>
      </c>
      <c r="CC216" s="58">
        <f t="shared" ca="1" si="229"/>
        <v>0</v>
      </c>
      <c r="CD216" s="58">
        <f t="shared" ca="1" si="229"/>
        <v>0</v>
      </c>
      <c r="CE216" s="58">
        <f t="shared" ca="1" si="229"/>
        <v>0</v>
      </c>
      <c r="CF216" s="58">
        <f t="shared" ca="1" si="229"/>
        <v>0</v>
      </c>
      <c r="CG216" s="58">
        <f t="shared" ca="1" si="229"/>
        <v>0</v>
      </c>
      <c r="CH216" s="58">
        <f t="shared" ca="1" si="229"/>
        <v>0</v>
      </c>
      <c r="CI216" s="58">
        <f t="shared" ca="1" si="229"/>
        <v>0</v>
      </c>
      <c r="CJ216" s="58">
        <f t="shared" ca="1" si="229"/>
        <v>0</v>
      </c>
      <c r="CK216" s="58">
        <f t="shared" ca="1" si="229"/>
        <v>0</v>
      </c>
      <c r="CL216" s="58">
        <f t="shared" ca="1" si="229"/>
        <v>0</v>
      </c>
      <c r="CM216" s="58">
        <f t="shared" ca="1" si="229"/>
        <v>0</v>
      </c>
      <c r="CN216" s="58">
        <f t="shared" ca="1" si="229"/>
        <v>0</v>
      </c>
      <c r="CO216" s="58">
        <f t="shared" ca="1" si="229"/>
        <v>0</v>
      </c>
      <c r="CP216" s="58">
        <f t="shared" ca="1" si="229"/>
        <v>0</v>
      </c>
      <c r="CQ216" s="58">
        <f t="shared" ca="1" si="229"/>
        <v>0</v>
      </c>
      <c r="CR216" s="58">
        <f t="shared" ca="1" si="229"/>
        <v>0</v>
      </c>
      <c r="CS216" s="58">
        <f t="shared" ca="1" si="229"/>
        <v>0</v>
      </c>
      <c r="CT216" s="58">
        <f t="shared" ca="1" si="229"/>
        <v>0</v>
      </c>
      <c r="CU216" s="58">
        <f t="shared" ca="1" si="229"/>
        <v>0</v>
      </c>
      <c r="CV216" s="58">
        <f t="shared" ca="1" si="229"/>
        <v>0</v>
      </c>
      <c r="CW216" s="58">
        <f t="shared" ca="1" si="229"/>
        <v>0</v>
      </c>
      <c r="CX216" s="58">
        <f t="shared" ca="1" si="229"/>
        <v>0</v>
      </c>
      <c r="CY216" s="58">
        <f t="shared" ref="CY216:ED216" ca="1" si="230">+IF(OR($F216+CY$175&lt;1,(CY$176-1)*12&lt;-$F216),0,OFFSET(CY46,0,$F216))</f>
        <v>0</v>
      </c>
      <c r="CZ216" s="58">
        <f t="shared" ca="1" si="230"/>
        <v>0</v>
      </c>
      <c r="DA216" s="58">
        <f t="shared" ca="1" si="230"/>
        <v>0</v>
      </c>
      <c r="DB216" s="58">
        <f t="shared" ca="1" si="230"/>
        <v>0</v>
      </c>
      <c r="DC216" s="58">
        <f t="shared" ca="1" si="230"/>
        <v>0</v>
      </c>
      <c r="DD216" s="58">
        <f t="shared" ca="1" si="230"/>
        <v>0</v>
      </c>
      <c r="DE216" s="58">
        <f t="shared" ca="1" si="230"/>
        <v>0</v>
      </c>
      <c r="DF216" s="58">
        <f t="shared" ca="1" si="230"/>
        <v>0</v>
      </c>
      <c r="DG216" s="58">
        <f t="shared" ca="1" si="230"/>
        <v>0</v>
      </c>
      <c r="DH216" s="58">
        <f t="shared" ca="1" si="230"/>
        <v>0</v>
      </c>
      <c r="DI216" s="58">
        <f t="shared" ca="1" si="230"/>
        <v>0</v>
      </c>
      <c r="DJ216" s="58">
        <f t="shared" ca="1" si="230"/>
        <v>0</v>
      </c>
      <c r="DK216" s="58">
        <f t="shared" ca="1" si="230"/>
        <v>0</v>
      </c>
      <c r="DL216" s="58">
        <f t="shared" ca="1" si="230"/>
        <v>0</v>
      </c>
      <c r="DM216" s="58">
        <f t="shared" ca="1" si="230"/>
        <v>0</v>
      </c>
      <c r="DN216" s="58">
        <f t="shared" ca="1" si="230"/>
        <v>0</v>
      </c>
      <c r="DO216" s="58">
        <f t="shared" ca="1" si="230"/>
        <v>0</v>
      </c>
      <c r="DP216" s="58">
        <f t="shared" ca="1" si="230"/>
        <v>0</v>
      </c>
      <c r="DQ216" s="58">
        <f t="shared" ca="1" si="230"/>
        <v>0</v>
      </c>
      <c r="DR216" s="58">
        <f t="shared" ca="1" si="230"/>
        <v>0</v>
      </c>
      <c r="DS216" s="58">
        <f t="shared" ca="1" si="230"/>
        <v>0</v>
      </c>
      <c r="DT216" s="58">
        <f t="shared" ca="1" si="230"/>
        <v>0</v>
      </c>
      <c r="DU216" s="58">
        <f t="shared" ca="1" si="230"/>
        <v>0</v>
      </c>
      <c r="DV216" s="58">
        <f t="shared" ca="1" si="230"/>
        <v>0</v>
      </c>
      <c r="DW216" s="58">
        <f t="shared" ca="1" si="230"/>
        <v>0</v>
      </c>
      <c r="DX216" s="58">
        <f t="shared" ca="1" si="230"/>
        <v>0</v>
      </c>
      <c r="DY216" s="58">
        <f t="shared" ca="1" si="230"/>
        <v>0</v>
      </c>
      <c r="DZ216" s="58">
        <f t="shared" ca="1" si="230"/>
        <v>0</v>
      </c>
      <c r="EA216" s="58">
        <f t="shared" ca="1" si="230"/>
        <v>0</v>
      </c>
      <c r="EB216" s="58">
        <f t="shared" ca="1" si="230"/>
        <v>0</v>
      </c>
      <c r="EC216" s="58">
        <f t="shared" ca="1" si="230"/>
        <v>0</v>
      </c>
      <c r="ED216" s="58">
        <f t="shared" ca="1" si="230"/>
        <v>0</v>
      </c>
      <c r="EE216" s="58">
        <f t="shared" ref="EE216:FN216" ca="1" si="231">+IF(OR($F216+EE$175&lt;1,(EE$176-1)*12&lt;-$F216),0,OFFSET(EE46,0,$F216))</f>
        <v>0</v>
      </c>
      <c r="EF216" s="58">
        <f t="shared" ca="1" si="231"/>
        <v>0</v>
      </c>
      <c r="EG216" s="58">
        <f t="shared" ca="1" si="231"/>
        <v>0</v>
      </c>
      <c r="EH216" s="58">
        <f t="shared" ca="1" si="231"/>
        <v>0</v>
      </c>
      <c r="EI216" s="58">
        <f t="shared" ca="1" si="231"/>
        <v>0</v>
      </c>
      <c r="EJ216" s="58">
        <f t="shared" ca="1" si="231"/>
        <v>0</v>
      </c>
      <c r="EK216" s="58">
        <f t="shared" ca="1" si="231"/>
        <v>0</v>
      </c>
      <c r="EL216" s="58">
        <f t="shared" ca="1" si="231"/>
        <v>0</v>
      </c>
      <c r="EM216" s="58">
        <f t="shared" ca="1" si="231"/>
        <v>0</v>
      </c>
      <c r="EN216" s="58">
        <f t="shared" ca="1" si="231"/>
        <v>0</v>
      </c>
      <c r="EO216" s="58">
        <f t="shared" ca="1" si="231"/>
        <v>0</v>
      </c>
      <c r="EP216" s="58">
        <f t="shared" ca="1" si="231"/>
        <v>0</v>
      </c>
      <c r="EQ216" s="58">
        <f t="shared" ca="1" si="231"/>
        <v>0</v>
      </c>
      <c r="ER216" s="58">
        <f t="shared" ca="1" si="231"/>
        <v>0</v>
      </c>
      <c r="ES216" s="58">
        <f t="shared" ca="1" si="231"/>
        <v>0</v>
      </c>
      <c r="ET216" s="58">
        <f t="shared" ca="1" si="231"/>
        <v>0</v>
      </c>
      <c r="EU216" s="58">
        <f t="shared" ca="1" si="231"/>
        <v>0</v>
      </c>
      <c r="EV216" s="58">
        <f t="shared" ca="1" si="231"/>
        <v>0</v>
      </c>
      <c r="EW216" s="58">
        <f t="shared" ca="1" si="231"/>
        <v>0</v>
      </c>
      <c r="EX216" s="58">
        <f t="shared" ca="1" si="231"/>
        <v>0</v>
      </c>
      <c r="EY216" s="58">
        <f t="shared" ca="1" si="231"/>
        <v>0</v>
      </c>
      <c r="EZ216" s="58">
        <f t="shared" ca="1" si="231"/>
        <v>0</v>
      </c>
      <c r="FA216" s="58">
        <f t="shared" ca="1" si="231"/>
        <v>0</v>
      </c>
      <c r="FB216" s="58">
        <f t="shared" ca="1" si="231"/>
        <v>0</v>
      </c>
      <c r="FC216" s="58">
        <f t="shared" ca="1" si="231"/>
        <v>0</v>
      </c>
      <c r="FD216" s="58">
        <f t="shared" ca="1" si="231"/>
        <v>0</v>
      </c>
      <c r="FE216" s="58">
        <f t="shared" ca="1" si="231"/>
        <v>0</v>
      </c>
      <c r="FF216" s="58">
        <f t="shared" ca="1" si="231"/>
        <v>0</v>
      </c>
      <c r="FG216" s="58">
        <f t="shared" ca="1" si="231"/>
        <v>0</v>
      </c>
      <c r="FH216" s="58">
        <f t="shared" ca="1" si="231"/>
        <v>0</v>
      </c>
      <c r="FI216" s="58">
        <f t="shared" ca="1" si="231"/>
        <v>0</v>
      </c>
      <c r="FJ216" s="58">
        <f t="shared" ca="1" si="231"/>
        <v>0</v>
      </c>
      <c r="FK216" s="58">
        <f t="shared" ca="1" si="231"/>
        <v>0</v>
      </c>
      <c r="FL216" s="58">
        <f t="shared" ca="1" si="231"/>
        <v>0</v>
      </c>
      <c r="FM216" s="58">
        <f t="shared" ca="1" si="231"/>
        <v>0</v>
      </c>
      <c r="FN216" s="58">
        <f t="shared" ca="1" si="231"/>
        <v>0</v>
      </c>
      <c r="FO216" s="13"/>
    </row>
    <row r="217" spans="1:171" outlineLevel="1" x14ac:dyDescent="0.3">
      <c r="A217" s="13"/>
      <c r="B217" s="13"/>
      <c r="C217" s="13"/>
      <c r="D217" s="52">
        <f t="shared" si="194"/>
        <v>41365</v>
      </c>
      <c r="E217" s="53">
        <f t="shared" si="195"/>
        <v>2013</v>
      </c>
      <c r="F217" s="53">
        <f t="shared" si="196"/>
        <v>-9</v>
      </c>
      <c r="G217" s="58">
        <f t="shared" ref="G217:AL217" ca="1" si="232">+IF(OR($F217+G$175&lt;1,(G$176-1)*12&lt;-$F217),0,OFFSET(G47,0,$F217))</f>
        <v>0</v>
      </c>
      <c r="H217" s="58">
        <f t="shared" ca="1" si="232"/>
        <v>0</v>
      </c>
      <c r="I217" s="58">
        <f t="shared" ca="1" si="232"/>
        <v>0</v>
      </c>
      <c r="J217" s="58">
        <f t="shared" ca="1" si="232"/>
        <v>0</v>
      </c>
      <c r="K217" s="58">
        <f t="shared" ca="1" si="232"/>
        <v>0</v>
      </c>
      <c r="L217" s="58">
        <f t="shared" ca="1" si="232"/>
        <v>0</v>
      </c>
      <c r="M217" s="58">
        <f t="shared" ca="1" si="232"/>
        <v>0</v>
      </c>
      <c r="N217" s="58">
        <f t="shared" ca="1" si="232"/>
        <v>0</v>
      </c>
      <c r="O217" s="58">
        <f t="shared" ca="1" si="232"/>
        <v>0</v>
      </c>
      <c r="P217" s="58">
        <f t="shared" ca="1" si="232"/>
        <v>0</v>
      </c>
      <c r="Q217" s="58">
        <f t="shared" ca="1" si="232"/>
        <v>0</v>
      </c>
      <c r="R217" s="58">
        <f t="shared" ca="1" si="232"/>
        <v>0</v>
      </c>
      <c r="S217" s="58">
        <f t="shared" ca="1" si="232"/>
        <v>0</v>
      </c>
      <c r="T217" s="58">
        <f t="shared" ca="1" si="232"/>
        <v>0</v>
      </c>
      <c r="U217" s="58">
        <f t="shared" ca="1" si="232"/>
        <v>0</v>
      </c>
      <c r="V217" s="58">
        <f t="shared" ca="1" si="232"/>
        <v>0</v>
      </c>
      <c r="W217" s="58">
        <f t="shared" ca="1" si="232"/>
        <v>0</v>
      </c>
      <c r="X217" s="58">
        <f t="shared" ca="1" si="232"/>
        <v>0</v>
      </c>
      <c r="Y217" s="58">
        <f t="shared" ca="1" si="232"/>
        <v>0</v>
      </c>
      <c r="Z217" s="58">
        <f t="shared" ca="1" si="232"/>
        <v>0</v>
      </c>
      <c r="AA217" s="58">
        <f t="shared" ca="1" si="232"/>
        <v>0</v>
      </c>
      <c r="AB217" s="58">
        <f t="shared" ca="1" si="232"/>
        <v>0</v>
      </c>
      <c r="AC217" s="58">
        <f t="shared" ca="1" si="232"/>
        <v>0</v>
      </c>
      <c r="AD217" s="58">
        <f t="shared" ca="1" si="232"/>
        <v>0</v>
      </c>
      <c r="AE217" s="58">
        <f t="shared" ca="1" si="232"/>
        <v>0</v>
      </c>
      <c r="AF217" s="58">
        <f t="shared" ca="1" si="232"/>
        <v>0</v>
      </c>
      <c r="AG217" s="58">
        <f t="shared" ca="1" si="232"/>
        <v>0</v>
      </c>
      <c r="AH217" s="58">
        <f t="shared" ca="1" si="232"/>
        <v>0</v>
      </c>
      <c r="AI217" s="58">
        <f t="shared" ca="1" si="232"/>
        <v>0</v>
      </c>
      <c r="AJ217" s="58">
        <f t="shared" ca="1" si="232"/>
        <v>0</v>
      </c>
      <c r="AK217" s="58">
        <f t="shared" ca="1" si="232"/>
        <v>0</v>
      </c>
      <c r="AL217" s="58">
        <f t="shared" ca="1" si="232"/>
        <v>0</v>
      </c>
      <c r="AM217" s="58">
        <f t="shared" ref="AM217:BR217" ca="1" si="233">+IF(OR($F217+AM$175&lt;1,(AM$176-1)*12&lt;-$F217),0,OFFSET(AM47,0,$F217))</f>
        <v>0</v>
      </c>
      <c r="AN217" s="58">
        <f t="shared" ca="1" si="233"/>
        <v>0</v>
      </c>
      <c r="AO217" s="58">
        <f t="shared" ca="1" si="233"/>
        <v>0</v>
      </c>
      <c r="AP217" s="58">
        <f t="shared" ca="1" si="233"/>
        <v>0</v>
      </c>
      <c r="AQ217" s="58">
        <f t="shared" ca="1" si="233"/>
        <v>0</v>
      </c>
      <c r="AR217" s="58">
        <f t="shared" ca="1" si="233"/>
        <v>0</v>
      </c>
      <c r="AS217" s="58">
        <f t="shared" ca="1" si="233"/>
        <v>0</v>
      </c>
      <c r="AT217" s="58">
        <f t="shared" ca="1" si="233"/>
        <v>0</v>
      </c>
      <c r="AU217" s="58">
        <f t="shared" ca="1" si="233"/>
        <v>0</v>
      </c>
      <c r="AV217" s="58">
        <f t="shared" ca="1" si="233"/>
        <v>0</v>
      </c>
      <c r="AW217" s="58">
        <f t="shared" ca="1" si="233"/>
        <v>0</v>
      </c>
      <c r="AX217" s="58">
        <f t="shared" ca="1" si="233"/>
        <v>0</v>
      </c>
      <c r="AY217" s="58">
        <f t="shared" ca="1" si="233"/>
        <v>0</v>
      </c>
      <c r="AZ217" s="58">
        <f t="shared" ca="1" si="233"/>
        <v>0</v>
      </c>
      <c r="BA217" s="58">
        <f t="shared" ca="1" si="233"/>
        <v>0</v>
      </c>
      <c r="BB217" s="58">
        <f t="shared" ca="1" si="233"/>
        <v>0</v>
      </c>
      <c r="BC217" s="58">
        <f t="shared" ca="1" si="233"/>
        <v>0</v>
      </c>
      <c r="BD217" s="58">
        <f t="shared" ca="1" si="233"/>
        <v>0</v>
      </c>
      <c r="BE217" s="58">
        <f t="shared" ca="1" si="233"/>
        <v>0</v>
      </c>
      <c r="BF217" s="58">
        <f t="shared" ca="1" si="233"/>
        <v>0</v>
      </c>
      <c r="BG217" s="58">
        <f t="shared" ca="1" si="233"/>
        <v>0</v>
      </c>
      <c r="BH217" s="58">
        <f t="shared" ca="1" si="233"/>
        <v>0</v>
      </c>
      <c r="BI217" s="58">
        <f t="shared" ca="1" si="233"/>
        <v>0</v>
      </c>
      <c r="BJ217" s="58">
        <f t="shared" ca="1" si="233"/>
        <v>0</v>
      </c>
      <c r="BK217" s="58">
        <f t="shared" ca="1" si="233"/>
        <v>0</v>
      </c>
      <c r="BL217" s="58">
        <f t="shared" ca="1" si="233"/>
        <v>0</v>
      </c>
      <c r="BM217" s="58">
        <f t="shared" ca="1" si="233"/>
        <v>0</v>
      </c>
      <c r="BN217" s="58">
        <f t="shared" ca="1" si="233"/>
        <v>0</v>
      </c>
      <c r="BO217" s="58">
        <f t="shared" ca="1" si="233"/>
        <v>0</v>
      </c>
      <c r="BP217" s="58">
        <f t="shared" ca="1" si="233"/>
        <v>0</v>
      </c>
      <c r="BQ217" s="58">
        <f t="shared" ca="1" si="233"/>
        <v>0</v>
      </c>
      <c r="BR217" s="58">
        <f t="shared" ca="1" si="233"/>
        <v>0</v>
      </c>
      <c r="BS217" s="58">
        <f t="shared" ref="BS217:CX217" ca="1" si="234">+IF(OR($F217+BS$175&lt;1,(BS$176-1)*12&lt;-$F217),0,OFFSET(BS47,0,$F217))</f>
        <v>0</v>
      </c>
      <c r="BT217" s="58">
        <f t="shared" ca="1" si="234"/>
        <v>0</v>
      </c>
      <c r="BU217" s="58">
        <f t="shared" ca="1" si="234"/>
        <v>0</v>
      </c>
      <c r="BV217" s="58">
        <f t="shared" ca="1" si="234"/>
        <v>0</v>
      </c>
      <c r="BW217" s="58">
        <f t="shared" ca="1" si="234"/>
        <v>0</v>
      </c>
      <c r="BX217" s="58">
        <f t="shared" ca="1" si="234"/>
        <v>0</v>
      </c>
      <c r="BY217" s="58">
        <f t="shared" ca="1" si="234"/>
        <v>0</v>
      </c>
      <c r="BZ217" s="58">
        <f t="shared" ca="1" si="234"/>
        <v>0</v>
      </c>
      <c r="CA217" s="58">
        <f t="shared" ca="1" si="234"/>
        <v>0</v>
      </c>
      <c r="CB217" s="58">
        <f t="shared" ca="1" si="234"/>
        <v>0</v>
      </c>
      <c r="CC217" s="58">
        <f t="shared" ca="1" si="234"/>
        <v>0</v>
      </c>
      <c r="CD217" s="58">
        <f t="shared" ca="1" si="234"/>
        <v>0</v>
      </c>
      <c r="CE217" s="58">
        <f t="shared" ca="1" si="234"/>
        <v>0</v>
      </c>
      <c r="CF217" s="58">
        <f t="shared" ca="1" si="234"/>
        <v>0</v>
      </c>
      <c r="CG217" s="58">
        <f t="shared" ca="1" si="234"/>
        <v>0</v>
      </c>
      <c r="CH217" s="58">
        <f t="shared" ca="1" si="234"/>
        <v>0</v>
      </c>
      <c r="CI217" s="58">
        <f t="shared" ca="1" si="234"/>
        <v>0</v>
      </c>
      <c r="CJ217" s="58">
        <f t="shared" ca="1" si="234"/>
        <v>0</v>
      </c>
      <c r="CK217" s="58">
        <f t="shared" ca="1" si="234"/>
        <v>0</v>
      </c>
      <c r="CL217" s="58">
        <f t="shared" ca="1" si="234"/>
        <v>0</v>
      </c>
      <c r="CM217" s="58">
        <f t="shared" ca="1" si="234"/>
        <v>0</v>
      </c>
      <c r="CN217" s="58">
        <f t="shared" ca="1" si="234"/>
        <v>0</v>
      </c>
      <c r="CO217" s="58">
        <f t="shared" ca="1" si="234"/>
        <v>0</v>
      </c>
      <c r="CP217" s="58">
        <f t="shared" ca="1" si="234"/>
        <v>0</v>
      </c>
      <c r="CQ217" s="58">
        <f t="shared" ca="1" si="234"/>
        <v>0</v>
      </c>
      <c r="CR217" s="58">
        <f t="shared" ca="1" si="234"/>
        <v>0</v>
      </c>
      <c r="CS217" s="58">
        <f t="shared" ca="1" si="234"/>
        <v>0</v>
      </c>
      <c r="CT217" s="58">
        <f t="shared" ca="1" si="234"/>
        <v>0</v>
      </c>
      <c r="CU217" s="58">
        <f t="shared" ca="1" si="234"/>
        <v>0</v>
      </c>
      <c r="CV217" s="58">
        <f t="shared" ca="1" si="234"/>
        <v>0</v>
      </c>
      <c r="CW217" s="58">
        <f t="shared" ca="1" si="234"/>
        <v>0</v>
      </c>
      <c r="CX217" s="58">
        <f t="shared" ca="1" si="234"/>
        <v>0</v>
      </c>
      <c r="CY217" s="58">
        <f t="shared" ref="CY217:ED217" ca="1" si="235">+IF(OR($F217+CY$175&lt;1,(CY$176-1)*12&lt;-$F217),0,OFFSET(CY47,0,$F217))</f>
        <v>0</v>
      </c>
      <c r="CZ217" s="58">
        <f t="shared" ca="1" si="235"/>
        <v>0</v>
      </c>
      <c r="DA217" s="58">
        <f t="shared" ca="1" si="235"/>
        <v>0</v>
      </c>
      <c r="DB217" s="58">
        <f t="shared" ca="1" si="235"/>
        <v>0</v>
      </c>
      <c r="DC217" s="58">
        <f t="shared" ca="1" si="235"/>
        <v>0</v>
      </c>
      <c r="DD217" s="58">
        <f t="shared" ca="1" si="235"/>
        <v>0</v>
      </c>
      <c r="DE217" s="58">
        <f t="shared" ca="1" si="235"/>
        <v>0</v>
      </c>
      <c r="DF217" s="58">
        <f t="shared" ca="1" si="235"/>
        <v>0</v>
      </c>
      <c r="DG217" s="58">
        <f t="shared" ca="1" si="235"/>
        <v>0</v>
      </c>
      <c r="DH217" s="58">
        <f t="shared" ca="1" si="235"/>
        <v>0</v>
      </c>
      <c r="DI217" s="58">
        <f t="shared" ca="1" si="235"/>
        <v>0</v>
      </c>
      <c r="DJ217" s="58">
        <f t="shared" ca="1" si="235"/>
        <v>0</v>
      </c>
      <c r="DK217" s="58">
        <f t="shared" ca="1" si="235"/>
        <v>0</v>
      </c>
      <c r="DL217" s="58">
        <f t="shared" ca="1" si="235"/>
        <v>0</v>
      </c>
      <c r="DM217" s="58">
        <f t="shared" ca="1" si="235"/>
        <v>0</v>
      </c>
      <c r="DN217" s="58">
        <f t="shared" ca="1" si="235"/>
        <v>0</v>
      </c>
      <c r="DO217" s="58">
        <f t="shared" ca="1" si="235"/>
        <v>0</v>
      </c>
      <c r="DP217" s="58">
        <f t="shared" ca="1" si="235"/>
        <v>0</v>
      </c>
      <c r="DQ217" s="58">
        <f t="shared" ca="1" si="235"/>
        <v>0</v>
      </c>
      <c r="DR217" s="58">
        <f t="shared" ca="1" si="235"/>
        <v>0</v>
      </c>
      <c r="DS217" s="58">
        <f t="shared" ca="1" si="235"/>
        <v>0</v>
      </c>
      <c r="DT217" s="58">
        <f t="shared" ca="1" si="235"/>
        <v>0</v>
      </c>
      <c r="DU217" s="58">
        <f t="shared" ca="1" si="235"/>
        <v>0</v>
      </c>
      <c r="DV217" s="58">
        <f t="shared" ca="1" si="235"/>
        <v>0</v>
      </c>
      <c r="DW217" s="58">
        <f t="shared" ca="1" si="235"/>
        <v>0</v>
      </c>
      <c r="DX217" s="58">
        <f t="shared" ca="1" si="235"/>
        <v>0</v>
      </c>
      <c r="DY217" s="58">
        <f t="shared" ca="1" si="235"/>
        <v>0</v>
      </c>
      <c r="DZ217" s="58">
        <f t="shared" ca="1" si="235"/>
        <v>0</v>
      </c>
      <c r="EA217" s="58">
        <f t="shared" ca="1" si="235"/>
        <v>0</v>
      </c>
      <c r="EB217" s="58">
        <f t="shared" ca="1" si="235"/>
        <v>0</v>
      </c>
      <c r="EC217" s="58">
        <f t="shared" ca="1" si="235"/>
        <v>0</v>
      </c>
      <c r="ED217" s="58">
        <f t="shared" ca="1" si="235"/>
        <v>0</v>
      </c>
      <c r="EE217" s="58">
        <f t="shared" ref="EE217:FN217" ca="1" si="236">+IF(OR($F217+EE$175&lt;1,(EE$176-1)*12&lt;-$F217),0,OFFSET(EE47,0,$F217))</f>
        <v>0</v>
      </c>
      <c r="EF217" s="58">
        <f t="shared" ca="1" si="236"/>
        <v>0</v>
      </c>
      <c r="EG217" s="58">
        <f t="shared" ca="1" si="236"/>
        <v>0</v>
      </c>
      <c r="EH217" s="58">
        <f t="shared" ca="1" si="236"/>
        <v>0</v>
      </c>
      <c r="EI217" s="58">
        <f t="shared" ca="1" si="236"/>
        <v>0</v>
      </c>
      <c r="EJ217" s="58">
        <f t="shared" ca="1" si="236"/>
        <v>0</v>
      </c>
      <c r="EK217" s="58">
        <f t="shared" ca="1" si="236"/>
        <v>0</v>
      </c>
      <c r="EL217" s="58">
        <f t="shared" ca="1" si="236"/>
        <v>0</v>
      </c>
      <c r="EM217" s="58">
        <f t="shared" ca="1" si="236"/>
        <v>0</v>
      </c>
      <c r="EN217" s="58">
        <f t="shared" ca="1" si="236"/>
        <v>0</v>
      </c>
      <c r="EO217" s="58">
        <f t="shared" ca="1" si="236"/>
        <v>0</v>
      </c>
      <c r="EP217" s="58">
        <f t="shared" ca="1" si="236"/>
        <v>0</v>
      </c>
      <c r="EQ217" s="58">
        <f t="shared" ca="1" si="236"/>
        <v>0</v>
      </c>
      <c r="ER217" s="58">
        <f t="shared" ca="1" si="236"/>
        <v>0</v>
      </c>
      <c r="ES217" s="58">
        <f t="shared" ca="1" si="236"/>
        <v>0</v>
      </c>
      <c r="ET217" s="58">
        <f t="shared" ca="1" si="236"/>
        <v>0</v>
      </c>
      <c r="EU217" s="58">
        <f t="shared" ca="1" si="236"/>
        <v>0</v>
      </c>
      <c r="EV217" s="58">
        <f t="shared" ca="1" si="236"/>
        <v>0</v>
      </c>
      <c r="EW217" s="58">
        <f t="shared" ca="1" si="236"/>
        <v>0</v>
      </c>
      <c r="EX217" s="58">
        <f t="shared" ca="1" si="236"/>
        <v>0</v>
      </c>
      <c r="EY217" s="58">
        <f t="shared" ca="1" si="236"/>
        <v>0</v>
      </c>
      <c r="EZ217" s="58">
        <f t="shared" ca="1" si="236"/>
        <v>0</v>
      </c>
      <c r="FA217" s="58">
        <f t="shared" ca="1" si="236"/>
        <v>0</v>
      </c>
      <c r="FB217" s="58">
        <f t="shared" ca="1" si="236"/>
        <v>0</v>
      </c>
      <c r="FC217" s="58">
        <f t="shared" ca="1" si="236"/>
        <v>0</v>
      </c>
      <c r="FD217" s="58">
        <f t="shared" ca="1" si="236"/>
        <v>0</v>
      </c>
      <c r="FE217" s="58">
        <f t="shared" ca="1" si="236"/>
        <v>0</v>
      </c>
      <c r="FF217" s="58">
        <f t="shared" ca="1" si="236"/>
        <v>0</v>
      </c>
      <c r="FG217" s="58">
        <f t="shared" ca="1" si="236"/>
        <v>0</v>
      </c>
      <c r="FH217" s="58">
        <f t="shared" ca="1" si="236"/>
        <v>0</v>
      </c>
      <c r="FI217" s="58">
        <f t="shared" ca="1" si="236"/>
        <v>0</v>
      </c>
      <c r="FJ217" s="58">
        <f t="shared" ca="1" si="236"/>
        <v>0</v>
      </c>
      <c r="FK217" s="58">
        <f t="shared" ca="1" si="236"/>
        <v>0</v>
      </c>
      <c r="FL217" s="58">
        <f t="shared" ca="1" si="236"/>
        <v>0</v>
      </c>
      <c r="FM217" s="58">
        <f t="shared" ca="1" si="236"/>
        <v>0</v>
      </c>
      <c r="FN217" s="58">
        <f t="shared" ca="1" si="236"/>
        <v>0</v>
      </c>
      <c r="FO217" s="13"/>
    </row>
    <row r="218" spans="1:171" outlineLevel="1" x14ac:dyDescent="0.3">
      <c r="A218" s="13"/>
      <c r="B218" s="13"/>
      <c r="C218" s="13"/>
      <c r="D218" s="52">
        <f t="shared" si="194"/>
        <v>41395</v>
      </c>
      <c r="E218" s="53">
        <f t="shared" si="195"/>
        <v>2013</v>
      </c>
      <c r="F218" s="53">
        <f t="shared" si="196"/>
        <v>-8</v>
      </c>
      <c r="G218" s="58">
        <f t="shared" ref="G218:AL218" ca="1" si="237">+IF(OR($F218+G$175&lt;1,(G$176-1)*12&lt;-$F218),0,OFFSET(G48,0,$F218))</f>
        <v>0</v>
      </c>
      <c r="H218" s="58">
        <f t="shared" ca="1" si="237"/>
        <v>0</v>
      </c>
      <c r="I218" s="58">
        <f t="shared" ca="1" si="237"/>
        <v>0</v>
      </c>
      <c r="J218" s="58">
        <f t="shared" ca="1" si="237"/>
        <v>0</v>
      </c>
      <c r="K218" s="58">
        <f t="shared" ca="1" si="237"/>
        <v>0</v>
      </c>
      <c r="L218" s="58">
        <f t="shared" ca="1" si="237"/>
        <v>0</v>
      </c>
      <c r="M218" s="58">
        <f t="shared" ca="1" si="237"/>
        <v>0</v>
      </c>
      <c r="N218" s="58">
        <f t="shared" ca="1" si="237"/>
        <v>0</v>
      </c>
      <c r="O218" s="58">
        <f t="shared" ca="1" si="237"/>
        <v>0</v>
      </c>
      <c r="P218" s="58">
        <f t="shared" ca="1" si="237"/>
        <v>0</v>
      </c>
      <c r="Q218" s="58">
        <f t="shared" ca="1" si="237"/>
        <v>0</v>
      </c>
      <c r="R218" s="58">
        <f t="shared" ca="1" si="237"/>
        <v>0</v>
      </c>
      <c r="S218" s="58">
        <f t="shared" ca="1" si="237"/>
        <v>0</v>
      </c>
      <c r="T218" s="58">
        <f t="shared" ca="1" si="237"/>
        <v>0</v>
      </c>
      <c r="U218" s="58">
        <f t="shared" ca="1" si="237"/>
        <v>0</v>
      </c>
      <c r="V218" s="58">
        <f t="shared" ca="1" si="237"/>
        <v>0</v>
      </c>
      <c r="W218" s="58">
        <f t="shared" ca="1" si="237"/>
        <v>0</v>
      </c>
      <c r="X218" s="58">
        <f t="shared" ca="1" si="237"/>
        <v>0</v>
      </c>
      <c r="Y218" s="58">
        <f t="shared" ca="1" si="237"/>
        <v>0</v>
      </c>
      <c r="Z218" s="58">
        <f t="shared" ca="1" si="237"/>
        <v>0</v>
      </c>
      <c r="AA218" s="58">
        <f t="shared" ca="1" si="237"/>
        <v>0</v>
      </c>
      <c r="AB218" s="58">
        <f t="shared" ca="1" si="237"/>
        <v>0</v>
      </c>
      <c r="AC218" s="58">
        <f t="shared" ca="1" si="237"/>
        <v>0</v>
      </c>
      <c r="AD218" s="58">
        <f t="shared" ca="1" si="237"/>
        <v>0</v>
      </c>
      <c r="AE218" s="58">
        <f t="shared" ca="1" si="237"/>
        <v>0</v>
      </c>
      <c r="AF218" s="58">
        <f t="shared" ca="1" si="237"/>
        <v>0</v>
      </c>
      <c r="AG218" s="58">
        <f t="shared" ca="1" si="237"/>
        <v>0</v>
      </c>
      <c r="AH218" s="58">
        <f t="shared" ca="1" si="237"/>
        <v>0</v>
      </c>
      <c r="AI218" s="58">
        <f t="shared" ca="1" si="237"/>
        <v>0</v>
      </c>
      <c r="AJ218" s="58">
        <f t="shared" ca="1" si="237"/>
        <v>0</v>
      </c>
      <c r="AK218" s="58">
        <f t="shared" ca="1" si="237"/>
        <v>0</v>
      </c>
      <c r="AL218" s="58">
        <f t="shared" ca="1" si="237"/>
        <v>0</v>
      </c>
      <c r="AM218" s="58">
        <f t="shared" ref="AM218:BR218" ca="1" si="238">+IF(OR($F218+AM$175&lt;1,(AM$176-1)*12&lt;-$F218),0,OFFSET(AM48,0,$F218))</f>
        <v>0</v>
      </c>
      <c r="AN218" s="58">
        <f t="shared" ca="1" si="238"/>
        <v>0</v>
      </c>
      <c r="AO218" s="58">
        <f t="shared" ca="1" si="238"/>
        <v>0</v>
      </c>
      <c r="AP218" s="58">
        <f t="shared" ca="1" si="238"/>
        <v>0</v>
      </c>
      <c r="AQ218" s="58">
        <f t="shared" ca="1" si="238"/>
        <v>0</v>
      </c>
      <c r="AR218" s="58">
        <f t="shared" ca="1" si="238"/>
        <v>0</v>
      </c>
      <c r="AS218" s="58">
        <f t="shared" ca="1" si="238"/>
        <v>0</v>
      </c>
      <c r="AT218" s="58">
        <f t="shared" ca="1" si="238"/>
        <v>0</v>
      </c>
      <c r="AU218" s="58">
        <f t="shared" ca="1" si="238"/>
        <v>0</v>
      </c>
      <c r="AV218" s="58">
        <f t="shared" ca="1" si="238"/>
        <v>0</v>
      </c>
      <c r="AW218" s="58">
        <f t="shared" ca="1" si="238"/>
        <v>0</v>
      </c>
      <c r="AX218" s="58">
        <f t="shared" ca="1" si="238"/>
        <v>0</v>
      </c>
      <c r="AY218" s="58">
        <f t="shared" ca="1" si="238"/>
        <v>0</v>
      </c>
      <c r="AZ218" s="58">
        <f t="shared" ca="1" si="238"/>
        <v>0</v>
      </c>
      <c r="BA218" s="58">
        <f t="shared" ca="1" si="238"/>
        <v>0</v>
      </c>
      <c r="BB218" s="58">
        <f t="shared" ca="1" si="238"/>
        <v>0</v>
      </c>
      <c r="BC218" s="58">
        <f t="shared" ca="1" si="238"/>
        <v>0</v>
      </c>
      <c r="BD218" s="58">
        <f t="shared" ca="1" si="238"/>
        <v>0</v>
      </c>
      <c r="BE218" s="58">
        <f t="shared" ca="1" si="238"/>
        <v>0</v>
      </c>
      <c r="BF218" s="58">
        <f t="shared" ca="1" si="238"/>
        <v>0</v>
      </c>
      <c r="BG218" s="58">
        <f t="shared" ca="1" si="238"/>
        <v>0</v>
      </c>
      <c r="BH218" s="58">
        <f t="shared" ca="1" si="238"/>
        <v>0</v>
      </c>
      <c r="BI218" s="58">
        <f t="shared" ca="1" si="238"/>
        <v>0</v>
      </c>
      <c r="BJ218" s="58">
        <f t="shared" ca="1" si="238"/>
        <v>0</v>
      </c>
      <c r="BK218" s="58">
        <f t="shared" ca="1" si="238"/>
        <v>0</v>
      </c>
      <c r="BL218" s="58">
        <f t="shared" ca="1" si="238"/>
        <v>0</v>
      </c>
      <c r="BM218" s="58">
        <f t="shared" ca="1" si="238"/>
        <v>0</v>
      </c>
      <c r="BN218" s="58">
        <f t="shared" ca="1" si="238"/>
        <v>0</v>
      </c>
      <c r="BO218" s="58">
        <f t="shared" ca="1" si="238"/>
        <v>0</v>
      </c>
      <c r="BP218" s="58">
        <f t="shared" ca="1" si="238"/>
        <v>0</v>
      </c>
      <c r="BQ218" s="58">
        <f t="shared" ca="1" si="238"/>
        <v>0</v>
      </c>
      <c r="BR218" s="58">
        <f t="shared" ca="1" si="238"/>
        <v>0</v>
      </c>
      <c r="BS218" s="58">
        <f t="shared" ref="BS218:CX218" ca="1" si="239">+IF(OR($F218+BS$175&lt;1,(BS$176-1)*12&lt;-$F218),0,OFFSET(BS48,0,$F218))</f>
        <v>0</v>
      </c>
      <c r="BT218" s="58">
        <f t="shared" ca="1" si="239"/>
        <v>0</v>
      </c>
      <c r="BU218" s="58">
        <f t="shared" ca="1" si="239"/>
        <v>0</v>
      </c>
      <c r="BV218" s="58">
        <f t="shared" ca="1" si="239"/>
        <v>0</v>
      </c>
      <c r="BW218" s="58">
        <f t="shared" ca="1" si="239"/>
        <v>0</v>
      </c>
      <c r="BX218" s="58">
        <f t="shared" ca="1" si="239"/>
        <v>0</v>
      </c>
      <c r="BY218" s="58">
        <f t="shared" ca="1" si="239"/>
        <v>0</v>
      </c>
      <c r="BZ218" s="58">
        <f t="shared" ca="1" si="239"/>
        <v>0</v>
      </c>
      <c r="CA218" s="58">
        <f t="shared" ca="1" si="239"/>
        <v>0</v>
      </c>
      <c r="CB218" s="58">
        <f t="shared" ca="1" si="239"/>
        <v>0</v>
      </c>
      <c r="CC218" s="58">
        <f t="shared" ca="1" si="239"/>
        <v>0</v>
      </c>
      <c r="CD218" s="58">
        <f t="shared" ca="1" si="239"/>
        <v>0</v>
      </c>
      <c r="CE218" s="58">
        <f t="shared" ca="1" si="239"/>
        <v>0</v>
      </c>
      <c r="CF218" s="58">
        <f t="shared" ca="1" si="239"/>
        <v>0</v>
      </c>
      <c r="CG218" s="58">
        <f t="shared" ca="1" si="239"/>
        <v>0</v>
      </c>
      <c r="CH218" s="58">
        <f t="shared" ca="1" si="239"/>
        <v>0</v>
      </c>
      <c r="CI218" s="58">
        <f t="shared" ca="1" si="239"/>
        <v>0</v>
      </c>
      <c r="CJ218" s="58">
        <f t="shared" ca="1" si="239"/>
        <v>0</v>
      </c>
      <c r="CK218" s="58">
        <f t="shared" ca="1" si="239"/>
        <v>0</v>
      </c>
      <c r="CL218" s="58">
        <f t="shared" ca="1" si="239"/>
        <v>0</v>
      </c>
      <c r="CM218" s="58">
        <f t="shared" ca="1" si="239"/>
        <v>0</v>
      </c>
      <c r="CN218" s="58">
        <f t="shared" ca="1" si="239"/>
        <v>0</v>
      </c>
      <c r="CO218" s="58">
        <f t="shared" ca="1" si="239"/>
        <v>0</v>
      </c>
      <c r="CP218" s="58">
        <f t="shared" ca="1" si="239"/>
        <v>0</v>
      </c>
      <c r="CQ218" s="58">
        <f t="shared" ca="1" si="239"/>
        <v>0</v>
      </c>
      <c r="CR218" s="58">
        <f t="shared" ca="1" si="239"/>
        <v>0</v>
      </c>
      <c r="CS218" s="58">
        <f t="shared" ca="1" si="239"/>
        <v>0</v>
      </c>
      <c r="CT218" s="58">
        <f t="shared" ca="1" si="239"/>
        <v>0</v>
      </c>
      <c r="CU218" s="58">
        <f t="shared" ca="1" si="239"/>
        <v>0</v>
      </c>
      <c r="CV218" s="58">
        <f t="shared" ca="1" si="239"/>
        <v>0</v>
      </c>
      <c r="CW218" s="58">
        <f t="shared" ca="1" si="239"/>
        <v>0</v>
      </c>
      <c r="CX218" s="58">
        <f t="shared" ca="1" si="239"/>
        <v>0</v>
      </c>
      <c r="CY218" s="58">
        <f t="shared" ref="CY218:ED218" ca="1" si="240">+IF(OR($F218+CY$175&lt;1,(CY$176-1)*12&lt;-$F218),0,OFFSET(CY48,0,$F218))</f>
        <v>0</v>
      </c>
      <c r="CZ218" s="58">
        <f t="shared" ca="1" si="240"/>
        <v>0</v>
      </c>
      <c r="DA218" s="58">
        <f t="shared" ca="1" si="240"/>
        <v>0</v>
      </c>
      <c r="DB218" s="58">
        <f t="shared" ca="1" si="240"/>
        <v>0</v>
      </c>
      <c r="DC218" s="58">
        <f t="shared" ca="1" si="240"/>
        <v>0</v>
      </c>
      <c r="DD218" s="58">
        <f t="shared" ca="1" si="240"/>
        <v>0</v>
      </c>
      <c r="DE218" s="58">
        <f t="shared" ca="1" si="240"/>
        <v>0</v>
      </c>
      <c r="DF218" s="58">
        <f t="shared" ca="1" si="240"/>
        <v>0</v>
      </c>
      <c r="DG218" s="58">
        <f t="shared" ca="1" si="240"/>
        <v>0</v>
      </c>
      <c r="DH218" s="58">
        <f t="shared" ca="1" si="240"/>
        <v>0</v>
      </c>
      <c r="DI218" s="58">
        <f t="shared" ca="1" si="240"/>
        <v>0</v>
      </c>
      <c r="DJ218" s="58">
        <f t="shared" ca="1" si="240"/>
        <v>0</v>
      </c>
      <c r="DK218" s="58">
        <f t="shared" ca="1" si="240"/>
        <v>0</v>
      </c>
      <c r="DL218" s="58">
        <f t="shared" ca="1" si="240"/>
        <v>0</v>
      </c>
      <c r="DM218" s="58">
        <f t="shared" ca="1" si="240"/>
        <v>0</v>
      </c>
      <c r="DN218" s="58">
        <f t="shared" ca="1" si="240"/>
        <v>0</v>
      </c>
      <c r="DO218" s="58">
        <f t="shared" ca="1" si="240"/>
        <v>0</v>
      </c>
      <c r="DP218" s="58">
        <f t="shared" ca="1" si="240"/>
        <v>0</v>
      </c>
      <c r="DQ218" s="58">
        <f t="shared" ca="1" si="240"/>
        <v>0</v>
      </c>
      <c r="DR218" s="58">
        <f t="shared" ca="1" si="240"/>
        <v>0</v>
      </c>
      <c r="DS218" s="58">
        <f t="shared" ca="1" si="240"/>
        <v>0</v>
      </c>
      <c r="DT218" s="58">
        <f t="shared" ca="1" si="240"/>
        <v>0</v>
      </c>
      <c r="DU218" s="58">
        <f t="shared" ca="1" si="240"/>
        <v>0</v>
      </c>
      <c r="DV218" s="58">
        <f t="shared" ca="1" si="240"/>
        <v>0</v>
      </c>
      <c r="DW218" s="58">
        <f t="shared" ca="1" si="240"/>
        <v>0</v>
      </c>
      <c r="DX218" s="58">
        <f t="shared" ca="1" si="240"/>
        <v>0</v>
      </c>
      <c r="DY218" s="58">
        <f t="shared" ca="1" si="240"/>
        <v>0</v>
      </c>
      <c r="DZ218" s="58">
        <f t="shared" ca="1" si="240"/>
        <v>0</v>
      </c>
      <c r="EA218" s="58">
        <f t="shared" ca="1" si="240"/>
        <v>0</v>
      </c>
      <c r="EB218" s="58">
        <f t="shared" ca="1" si="240"/>
        <v>0</v>
      </c>
      <c r="EC218" s="58">
        <f t="shared" ca="1" si="240"/>
        <v>0</v>
      </c>
      <c r="ED218" s="58">
        <f t="shared" ca="1" si="240"/>
        <v>0</v>
      </c>
      <c r="EE218" s="58">
        <f t="shared" ref="EE218:FN218" ca="1" si="241">+IF(OR($F218+EE$175&lt;1,(EE$176-1)*12&lt;-$F218),0,OFFSET(EE48,0,$F218))</f>
        <v>0</v>
      </c>
      <c r="EF218" s="58">
        <f t="shared" ca="1" si="241"/>
        <v>0</v>
      </c>
      <c r="EG218" s="58">
        <f t="shared" ca="1" si="241"/>
        <v>0</v>
      </c>
      <c r="EH218" s="58">
        <f t="shared" ca="1" si="241"/>
        <v>0</v>
      </c>
      <c r="EI218" s="58">
        <f t="shared" ca="1" si="241"/>
        <v>0</v>
      </c>
      <c r="EJ218" s="58">
        <f t="shared" ca="1" si="241"/>
        <v>0</v>
      </c>
      <c r="EK218" s="58">
        <f t="shared" ca="1" si="241"/>
        <v>0</v>
      </c>
      <c r="EL218" s="58">
        <f t="shared" ca="1" si="241"/>
        <v>0</v>
      </c>
      <c r="EM218" s="58">
        <f t="shared" ca="1" si="241"/>
        <v>0</v>
      </c>
      <c r="EN218" s="58">
        <f t="shared" ca="1" si="241"/>
        <v>0</v>
      </c>
      <c r="EO218" s="58">
        <f t="shared" ca="1" si="241"/>
        <v>0</v>
      </c>
      <c r="EP218" s="58">
        <f t="shared" ca="1" si="241"/>
        <v>0</v>
      </c>
      <c r="EQ218" s="58">
        <f t="shared" ca="1" si="241"/>
        <v>0</v>
      </c>
      <c r="ER218" s="58">
        <f t="shared" ca="1" si="241"/>
        <v>0</v>
      </c>
      <c r="ES218" s="58">
        <f t="shared" ca="1" si="241"/>
        <v>0</v>
      </c>
      <c r="ET218" s="58">
        <f t="shared" ca="1" si="241"/>
        <v>0</v>
      </c>
      <c r="EU218" s="58">
        <f t="shared" ca="1" si="241"/>
        <v>0</v>
      </c>
      <c r="EV218" s="58">
        <f t="shared" ca="1" si="241"/>
        <v>0</v>
      </c>
      <c r="EW218" s="58">
        <f t="shared" ca="1" si="241"/>
        <v>0</v>
      </c>
      <c r="EX218" s="58">
        <f t="shared" ca="1" si="241"/>
        <v>0</v>
      </c>
      <c r="EY218" s="58">
        <f t="shared" ca="1" si="241"/>
        <v>0</v>
      </c>
      <c r="EZ218" s="58">
        <f t="shared" ca="1" si="241"/>
        <v>0</v>
      </c>
      <c r="FA218" s="58">
        <f t="shared" ca="1" si="241"/>
        <v>0</v>
      </c>
      <c r="FB218" s="58">
        <f t="shared" ca="1" si="241"/>
        <v>0</v>
      </c>
      <c r="FC218" s="58">
        <f t="shared" ca="1" si="241"/>
        <v>0</v>
      </c>
      <c r="FD218" s="58">
        <f t="shared" ca="1" si="241"/>
        <v>0</v>
      </c>
      <c r="FE218" s="58">
        <f t="shared" ca="1" si="241"/>
        <v>0</v>
      </c>
      <c r="FF218" s="58">
        <f t="shared" ca="1" si="241"/>
        <v>0</v>
      </c>
      <c r="FG218" s="58">
        <f t="shared" ca="1" si="241"/>
        <v>0</v>
      </c>
      <c r="FH218" s="58">
        <f t="shared" ca="1" si="241"/>
        <v>0</v>
      </c>
      <c r="FI218" s="58">
        <f t="shared" ca="1" si="241"/>
        <v>0</v>
      </c>
      <c r="FJ218" s="58">
        <f t="shared" ca="1" si="241"/>
        <v>0</v>
      </c>
      <c r="FK218" s="58">
        <f t="shared" ca="1" si="241"/>
        <v>0</v>
      </c>
      <c r="FL218" s="58">
        <f t="shared" ca="1" si="241"/>
        <v>0</v>
      </c>
      <c r="FM218" s="58">
        <f t="shared" ca="1" si="241"/>
        <v>0</v>
      </c>
      <c r="FN218" s="58">
        <f t="shared" ca="1" si="241"/>
        <v>0</v>
      </c>
      <c r="FO218" s="13"/>
    </row>
    <row r="219" spans="1:171" outlineLevel="1" x14ac:dyDescent="0.3">
      <c r="A219" s="13"/>
      <c r="B219" s="13"/>
      <c r="C219" s="13"/>
      <c r="D219" s="52">
        <f t="shared" si="194"/>
        <v>41426</v>
      </c>
      <c r="E219" s="53">
        <f t="shared" si="195"/>
        <v>2013</v>
      </c>
      <c r="F219" s="53">
        <f t="shared" si="196"/>
        <v>-7</v>
      </c>
      <c r="G219" s="58">
        <f t="shared" ref="G219:AL219" ca="1" si="242">+IF(OR($F219+G$175&lt;1,(G$176-1)*12&lt;-$F219),0,OFFSET(G49,0,$F219))</f>
        <v>0</v>
      </c>
      <c r="H219" s="58">
        <f t="shared" ca="1" si="242"/>
        <v>0</v>
      </c>
      <c r="I219" s="58">
        <f t="shared" ca="1" si="242"/>
        <v>0</v>
      </c>
      <c r="J219" s="58">
        <f t="shared" ca="1" si="242"/>
        <v>0</v>
      </c>
      <c r="K219" s="58">
        <f t="shared" ca="1" si="242"/>
        <v>0</v>
      </c>
      <c r="L219" s="58">
        <f t="shared" ca="1" si="242"/>
        <v>0</v>
      </c>
      <c r="M219" s="58">
        <f t="shared" ca="1" si="242"/>
        <v>0</v>
      </c>
      <c r="N219" s="58">
        <f t="shared" ca="1" si="242"/>
        <v>0</v>
      </c>
      <c r="O219" s="58">
        <f t="shared" ca="1" si="242"/>
        <v>0</v>
      </c>
      <c r="P219" s="58">
        <f t="shared" ca="1" si="242"/>
        <v>0</v>
      </c>
      <c r="Q219" s="58">
        <f t="shared" ca="1" si="242"/>
        <v>0</v>
      </c>
      <c r="R219" s="58">
        <f t="shared" ca="1" si="242"/>
        <v>0</v>
      </c>
      <c r="S219" s="58">
        <f t="shared" ca="1" si="242"/>
        <v>0</v>
      </c>
      <c r="T219" s="58">
        <f t="shared" ca="1" si="242"/>
        <v>0</v>
      </c>
      <c r="U219" s="58">
        <f t="shared" ca="1" si="242"/>
        <v>0</v>
      </c>
      <c r="V219" s="58">
        <f t="shared" ca="1" si="242"/>
        <v>0</v>
      </c>
      <c r="W219" s="58">
        <f t="shared" ca="1" si="242"/>
        <v>0</v>
      </c>
      <c r="X219" s="58">
        <f t="shared" ca="1" si="242"/>
        <v>0</v>
      </c>
      <c r="Y219" s="58">
        <f t="shared" ca="1" si="242"/>
        <v>0</v>
      </c>
      <c r="Z219" s="58">
        <f t="shared" ca="1" si="242"/>
        <v>0</v>
      </c>
      <c r="AA219" s="58">
        <f t="shared" ca="1" si="242"/>
        <v>0</v>
      </c>
      <c r="AB219" s="58">
        <f t="shared" ca="1" si="242"/>
        <v>0</v>
      </c>
      <c r="AC219" s="58">
        <f t="shared" ca="1" si="242"/>
        <v>0</v>
      </c>
      <c r="AD219" s="58">
        <f t="shared" ca="1" si="242"/>
        <v>0</v>
      </c>
      <c r="AE219" s="58">
        <f t="shared" ca="1" si="242"/>
        <v>0</v>
      </c>
      <c r="AF219" s="58">
        <f t="shared" ca="1" si="242"/>
        <v>0</v>
      </c>
      <c r="AG219" s="58">
        <f t="shared" ca="1" si="242"/>
        <v>0</v>
      </c>
      <c r="AH219" s="58">
        <f t="shared" ca="1" si="242"/>
        <v>0</v>
      </c>
      <c r="AI219" s="58">
        <f t="shared" ca="1" si="242"/>
        <v>0</v>
      </c>
      <c r="AJ219" s="58">
        <f t="shared" ca="1" si="242"/>
        <v>0</v>
      </c>
      <c r="AK219" s="58">
        <f t="shared" ca="1" si="242"/>
        <v>0</v>
      </c>
      <c r="AL219" s="58">
        <f t="shared" ca="1" si="242"/>
        <v>0</v>
      </c>
      <c r="AM219" s="58">
        <f t="shared" ref="AM219:BR219" ca="1" si="243">+IF(OR($F219+AM$175&lt;1,(AM$176-1)*12&lt;-$F219),0,OFFSET(AM49,0,$F219))</f>
        <v>0</v>
      </c>
      <c r="AN219" s="58">
        <f t="shared" ca="1" si="243"/>
        <v>0</v>
      </c>
      <c r="AO219" s="58">
        <f t="shared" ca="1" si="243"/>
        <v>0</v>
      </c>
      <c r="AP219" s="58">
        <f t="shared" ca="1" si="243"/>
        <v>0</v>
      </c>
      <c r="AQ219" s="58">
        <f t="shared" ca="1" si="243"/>
        <v>0</v>
      </c>
      <c r="AR219" s="58">
        <f t="shared" ca="1" si="243"/>
        <v>0</v>
      </c>
      <c r="AS219" s="58">
        <f t="shared" ca="1" si="243"/>
        <v>0</v>
      </c>
      <c r="AT219" s="58">
        <f t="shared" ca="1" si="243"/>
        <v>0</v>
      </c>
      <c r="AU219" s="58">
        <f t="shared" ca="1" si="243"/>
        <v>0</v>
      </c>
      <c r="AV219" s="58">
        <f t="shared" ca="1" si="243"/>
        <v>0</v>
      </c>
      <c r="AW219" s="58">
        <f t="shared" ca="1" si="243"/>
        <v>0</v>
      </c>
      <c r="AX219" s="58">
        <f t="shared" ca="1" si="243"/>
        <v>0</v>
      </c>
      <c r="AY219" s="58">
        <f t="shared" ca="1" si="243"/>
        <v>0</v>
      </c>
      <c r="AZ219" s="58">
        <f t="shared" ca="1" si="243"/>
        <v>0</v>
      </c>
      <c r="BA219" s="58">
        <f t="shared" ca="1" si="243"/>
        <v>0</v>
      </c>
      <c r="BB219" s="58">
        <f t="shared" ca="1" si="243"/>
        <v>0</v>
      </c>
      <c r="BC219" s="58">
        <f t="shared" ca="1" si="243"/>
        <v>0</v>
      </c>
      <c r="BD219" s="58">
        <f t="shared" ca="1" si="243"/>
        <v>0</v>
      </c>
      <c r="BE219" s="58">
        <f t="shared" ca="1" si="243"/>
        <v>0</v>
      </c>
      <c r="BF219" s="58">
        <f t="shared" ca="1" si="243"/>
        <v>0</v>
      </c>
      <c r="BG219" s="58">
        <f t="shared" ca="1" si="243"/>
        <v>0</v>
      </c>
      <c r="BH219" s="58">
        <f t="shared" ca="1" si="243"/>
        <v>0</v>
      </c>
      <c r="BI219" s="58">
        <f t="shared" ca="1" si="243"/>
        <v>0</v>
      </c>
      <c r="BJ219" s="58">
        <f t="shared" ca="1" si="243"/>
        <v>0</v>
      </c>
      <c r="BK219" s="58">
        <f t="shared" ca="1" si="243"/>
        <v>0</v>
      </c>
      <c r="BL219" s="58">
        <f t="shared" ca="1" si="243"/>
        <v>0</v>
      </c>
      <c r="BM219" s="58">
        <f t="shared" ca="1" si="243"/>
        <v>0</v>
      </c>
      <c r="BN219" s="58">
        <f t="shared" ca="1" si="243"/>
        <v>0</v>
      </c>
      <c r="BO219" s="58">
        <f t="shared" ca="1" si="243"/>
        <v>0</v>
      </c>
      <c r="BP219" s="58">
        <f t="shared" ca="1" si="243"/>
        <v>0</v>
      </c>
      <c r="BQ219" s="58">
        <f t="shared" ca="1" si="243"/>
        <v>0</v>
      </c>
      <c r="BR219" s="58">
        <f t="shared" ca="1" si="243"/>
        <v>0</v>
      </c>
      <c r="BS219" s="58">
        <f t="shared" ref="BS219:CX219" ca="1" si="244">+IF(OR($F219+BS$175&lt;1,(BS$176-1)*12&lt;-$F219),0,OFFSET(BS49,0,$F219))</f>
        <v>0</v>
      </c>
      <c r="BT219" s="58">
        <f t="shared" ca="1" si="244"/>
        <v>0</v>
      </c>
      <c r="BU219" s="58">
        <f t="shared" ca="1" si="244"/>
        <v>0</v>
      </c>
      <c r="BV219" s="58">
        <f t="shared" ca="1" si="244"/>
        <v>0</v>
      </c>
      <c r="BW219" s="58">
        <f t="shared" ca="1" si="244"/>
        <v>0</v>
      </c>
      <c r="BX219" s="58">
        <f t="shared" ca="1" si="244"/>
        <v>0</v>
      </c>
      <c r="BY219" s="58">
        <f t="shared" ca="1" si="244"/>
        <v>0</v>
      </c>
      <c r="BZ219" s="58">
        <f t="shared" ca="1" si="244"/>
        <v>0</v>
      </c>
      <c r="CA219" s="58">
        <f t="shared" ca="1" si="244"/>
        <v>0</v>
      </c>
      <c r="CB219" s="58">
        <f t="shared" ca="1" si="244"/>
        <v>0</v>
      </c>
      <c r="CC219" s="58">
        <f t="shared" ca="1" si="244"/>
        <v>0</v>
      </c>
      <c r="CD219" s="58">
        <f t="shared" ca="1" si="244"/>
        <v>0</v>
      </c>
      <c r="CE219" s="58">
        <f t="shared" ca="1" si="244"/>
        <v>0</v>
      </c>
      <c r="CF219" s="58">
        <f t="shared" ca="1" si="244"/>
        <v>0</v>
      </c>
      <c r="CG219" s="58">
        <f t="shared" ca="1" si="244"/>
        <v>0</v>
      </c>
      <c r="CH219" s="58">
        <f t="shared" ca="1" si="244"/>
        <v>0</v>
      </c>
      <c r="CI219" s="58">
        <f t="shared" ca="1" si="244"/>
        <v>0</v>
      </c>
      <c r="CJ219" s="58">
        <f t="shared" ca="1" si="244"/>
        <v>0</v>
      </c>
      <c r="CK219" s="58">
        <f t="shared" ca="1" si="244"/>
        <v>0</v>
      </c>
      <c r="CL219" s="58">
        <f t="shared" ca="1" si="244"/>
        <v>0</v>
      </c>
      <c r="CM219" s="58">
        <f t="shared" ca="1" si="244"/>
        <v>0</v>
      </c>
      <c r="CN219" s="58">
        <f t="shared" ca="1" si="244"/>
        <v>0</v>
      </c>
      <c r="CO219" s="58">
        <f t="shared" ca="1" si="244"/>
        <v>0</v>
      </c>
      <c r="CP219" s="58">
        <f t="shared" ca="1" si="244"/>
        <v>0</v>
      </c>
      <c r="CQ219" s="58">
        <f t="shared" ca="1" si="244"/>
        <v>0</v>
      </c>
      <c r="CR219" s="58">
        <f t="shared" ca="1" si="244"/>
        <v>0</v>
      </c>
      <c r="CS219" s="58">
        <f t="shared" ca="1" si="244"/>
        <v>0</v>
      </c>
      <c r="CT219" s="58">
        <f t="shared" ca="1" si="244"/>
        <v>0</v>
      </c>
      <c r="CU219" s="58">
        <f t="shared" ca="1" si="244"/>
        <v>0</v>
      </c>
      <c r="CV219" s="58">
        <f t="shared" ca="1" si="244"/>
        <v>0</v>
      </c>
      <c r="CW219" s="58">
        <f t="shared" ca="1" si="244"/>
        <v>0</v>
      </c>
      <c r="CX219" s="58">
        <f t="shared" ca="1" si="244"/>
        <v>0</v>
      </c>
      <c r="CY219" s="58">
        <f t="shared" ref="CY219:ED219" ca="1" si="245">+IF(OR($F219+CY$175&lt;1,(CY$176-1)*12&lt;-$F219),0,OFFSET(CY49,0,$F219))</f>
        <v>0</v>
      </c>
      <c r="CZ219" s="58">
        <f t="shared" ca="1" si="245"/>
        <v>0</v>
      </c>
      <c r="DA219" s="58">
        <f t="shared" ca="1" si="245"/>
        <v>0</v>
      </c>
      <c r="DB219" s="58">
        <f t="shared" ca="1" si="245"/>
        <v>0</v>
      </c>
      <c r="DC219" s="58">
        <f t="shared" ca="1" si="245"/>
        <v>0</v>
      </c>
      <c r="DD219" s="58">
        <f t="shared" ca="1" si="245"/>
        <v>0</v>
      </c>
      <c r="DE219" s="58">
        <f t="shared" ca="1" si="245"/>
        <v>0</v>
      </c>
      <c r="DF219" s="58">
        <f t="shared" ca="1" si="245"/>
        <v>0</v>
      </c>
      <c r="DG219" s="58">
        <f t="shared" ca="1" si="245"/>
        <v>0</v>
      </c>
      <c r="DH219" s="58">
        <f t="shared" ca="1" si="245"/>
        <v>0</v>
      </c>
      <c r="DI219" s="58">
        <f t="shared" ca="1" si="245"/>
        <v>0</v>
      </c>
      <c r="DJ219" s="58">
        <f t="shared" ca="1" si="245"/>
        <v>0</v>
      </c>
      <c r="DK219" s="58">
        <f t="shared" ca="1" si="245"/>
        <v>0</v>
      </c>
      <c r="DL219" s="58">
        <f t="shared" ca="1" si="245"/>
        <v>0</v>
      </c>
      <c r="DM219" s="58">
        <f t="shared" ca="1" si="245"/>
        <v>0</v>
      </c>
      <c r="DN219" s="58">
        <f t="shared" ca="1" si="245"/>
        <v>0</v>
      </c>
      <c r="DO219" s="58">
        <f t="shared" ca="1" si="245"/>
        <v>0</v>
      </c>
      <c r="DP219" s="58">
        <f t="shared" ca="1" si="245"/>
        <v>0</v>
      </c>
      <c r="DQ219" s="58">
        <f t="shared" ca="1" si="245"/>
        <v>0</v>
      </c>
      <c r="DR219" s="58">
        <f t="shared" ca="1" si="245"/>
        <v>0</v>
      </c>
      <c r="DS219" s="58">
        <f t="shared" ca="1" si="245"/>
        <v>0</v>
      </c>
      <c r="DT219" s="58">
        <f t="shared" ca="1" si="245"/>
        <v>0</v>
      </c>
      <c r="DU219" s="58">
        <f t="shared" ca="1" si="245"/>
        <v>0</v>
      </c>
      <c r="DV219" s="58">
        <f t="shared" ca="1" si="245"/>
        <v>0</v>
      </c>
      <c r="DW219" s="58">
        <f t="shared" ca="1" si="245"/>
        <v>0</v>
      </c>
      <c r="DX219" s="58">
        <f t="shared" ca="1" si="245"/>
        <v>0</v>
      </c>
      <c r="DY219" s="58">
        <f t="shared" ca="1" si="245"/>
        <v>0</v>
      </c>
      <c r="DZ219" s="58">
        <f t="shared" ca="1" si="245"/>
        <v>0</v>
      </c>
      <c r="EA219" s="58">
        <f t="shared" ca="1" si="245"/>
        <v>0</v>
      </c>
      <c r="EB219" s="58">
        <f t="shared" ca="1" si="245"/>
        <v>0</v>
      </c>
      <c r="EC219" s="58">
        <f t="shared" ca="1" si="245"/>
        <v>0</v>
      </c>
      <c r="ED219" s="58">
        <f t="shared" ca="1" si="245"/>
        <v>0</v>
      </c>
      <c r="EE219" s="58">
        <f t="shared" ref="EE219:FN219" ca="1" si="246">+IF(OR($F219+EE$175&lt;1,(EE$176-1)*12&lt;-$F219),0,OFFSET(EE49,0,$F219))</f>
        <v>0</v>
      </c>
      <c r="EF219" s="58">
        <f t="shared" ca="1" si="246"/>
        <v>0</v>
      </c>
      <c r="EG219" s="58">
        <f t="shared" ca="1" si="246"/>
        <v>0</v>
      </c>
      <c r="EH219" s="58">
        <f t="shared" ca="1" si="246"/>
        <v>0</v>
      </c>
      <c r="EI219" s="58">
        <f t="shared" ca="1" si="246"/>
        <v>0</v>
      </c>
      <c r="EJ219" s="58">
        <f t="shared" ca="1" si="246"/>
        <v>0</v>
      </c>
      <c r="EK219" s="58">
        <f t="shared" ca="1" si="246"/>
        <v>0</v>
      </c>
      <c r="EL219" s="58">
        <f t="shared" ca="1" si="246"/>
        <v>0</v>
      </c>
      <c r="EM219" s="58">
        <f t="shared" ca="1" si="246"/>
        <v>0</v>
      </c>
      <c r="EN219" s="58">
        <f t="shared" ca="1" si="246"/>
        <v>0</v>
      </c>
      <c r="EO219" s="58">
        <f t="shared" ca="1" si="246"/>
        <v>0</v>
      </c>
      <c r="EP219" s="58">
        <f t="shared" ca="1" si="246"/>
        <v>0</v>
      </c>
      <c r="EQ219" s="58">
        <f t="shared" ca="1" si="246"/>
        <v>0</v>
      </c>
      <c r="ER219" s="58">
        <f t="shared" ca="1" si="246"/>
        <v>0</v>
      </c>
      <c r="ES219" s="58">
        <f t="shared" ca="1" si="246"/>
        <v>0</v>
      </c>
      <c r="ET219" s="58">
        <f t="shared" ca="1" si="246"/>
        <v>0</v>
      </c>
      <c r="EU219" s="58">
        <f t="shared" ca="1" si="246"/>
        <v>0</v>
      </c>
      <c r="EV219" s="58">
        <f t="shared" ca="1" si="246"/>
        <v>0</v>
      </c>
      <c r="EW219" s="58">
        <f t="shared" ca="1" si="246"/>
        <v>0</v>
      </c>
      <c r="EX219" s="58">
        <f t="shared" ca="1" si="246"/>
        <v>0</v>
      </c>
      <c r="EY219" s="58">
        <f t="shared" ca="1" si="246"/>
        <v>0</v>
      </c>
      <c r="EZ219" s="58">
        <f t="shared" ca="1" si="246"/>
        <v>0</v>
      </c>
      <c r="FA219" s="58">
        <f t="shared" ca="1" si="246"/>
        <v>0</v>
      </c>
      <c r="FB219" s="58">
        <f t="shared" ca="1" si="246"/>
        <v>0</v>
      </c>
      <c r="FC219" s="58">
        <f t="shared" ca="1" si="246"/>
        <v>0</v>
      </c>
      <c r="FD219" s="58">
        <f t="shared" ca="1" si="246"/>
        <v>0</v>
      </c>
      <c r="FE219" s="58">
        <f t="shared" ca="1" si="246"/>
        <v>0</v>
      </c>
      <c r="FF219" s="58">
        <f t="shared" ca="1" si="246"/>
        <v>0</v>
      </c>
      <c r="FG219" s="58">
        <f t="shared" ca="1" si="246"/>
        <v>0</v>
      </c>
      <c r="FH219" s="58">
        <f t="shared" ca="1" si="246"/>
        <v>0</v>
      </c>
      <c r="FI219" s="58">
        <f t="shared" ca="1" si="246"/>
        <v>0</v>
      </c>
      <c r="FJ219" s="58">
        <f t="shared" ca="1" si="246"/>
        <v>0</v>
      </c>
      <c r="FK219" s="58">
        <f t="shared" ca="1" si="246"/>
        <v>0</v>
      </c>
      <c r="FL219" s="58">
        <f t="shared" ca="1" si="246"/>
        <v>0</v>
      </c>
      <c r="FM219" s="58">
        <f t="shared" ca="1" si="246"/>
        <v>0</v>
      </c>
      <c r="FN219" s="58">
        <f t="shared" ca="1" si="246"/>
        <v>0</v>
      </c>
      <c r="FO219" s="13"/>
    </row>
    <row r="220" spans="1:171" outlineLevel="1" x14ac:dyDescent="0.3">
      <c r="A220" s="13"/>
      <c r="B220" s="13"/>
      <c r="C220" s="13"/>
      <c r="D220" s="52">
        <f t="shared" si="194"/>
        <v>41456</v>
      </c>
      <c r="E220" s="53">
        <f t="shared" si="195"/>
        <v>2013</v>
      </c>
      <c r="F220" s="53">
        <f t="shared" si="196"/>
        <v>-6</v>
      </c>
      <c r="G220" s="58">
        <f t="shared" ref="G220:AL220" ca="1" si="247">+IF(OR($F220+G$175&lt;1,(G$176-1)*12&lt;-$F220),0,OFFSET(G50,0,$F220))</f>
        <v>0</v>
      </c>
      <c r="H220" s="58">
        <f t="shared" ca="1" si="247"/>
        <v>0</v>
      </c>
      <c r="I220" s="58">
        <f t="shared" ca="1" si="247"/>
        <v>0</v>
      </c>
      <c r="J220" s="58">
        <f t="shared" ca="1" si="247"/>
        <v>0</v>
      </c>
      <c r="K220" s="58">
        <f t="shared" ca="1" si="247"/>
        <v>0</v>
      </c>
      <c r="L220" s="58">
        <f t="shared" ca="1" si="247"/>
        <v>0</v>
      </c>
      <c r="M220" s="58">
        <f t="shared" ca="1" si="247"/>
        <v>0</v>
      </c>
      <c r="N220" s="58">
        <f t="shared" ca="1" si="247"/>
        <v>0</v>
      </c>
      <c r="O220" s="58">
        <f t="shared" ca="1" si="247"/>
        <v>0</v>
      </c>
      <c r="P220" s="58">
        <f t="shared" ca="1" si="247"/>
        <v>0</v>
      </c>
      <c r="Q220" s="58">
        <f t="shared" ca="1" si="247"/>
        <v>0</v>
      </c>
      <c r="R220" s="58">
        <f t="shared" ca="1" si="247"/>
        <v>0</v>
      </c>
      <c r="S220" s="58">
        <f t="shared" ca="1" si="247"/>
        <v>0</v>
      </c>
      <c r="T220" s="58">
        <f t="shared" ca="1" si="247"/>
        <v>0</v>
      </c>
      <c r="U220" s="58">
        <f t="shared" ca="1" si="247"/>
        <v>0</v>
      </c>
      <c r="V220" s="58">
        <f t="shared" ca="1" si="247"/>
        <v>0</v>
      </c>
      <c r="W220" s="58">
        <f t="shared" ca="1" si="247"/>
        <v>0</v>
      </c>
      <c r="X220" s="58">
        <f t="shared" ca="1" si="247"/>
        <v>0</v>
      </c>
      <c r="Y220" s="58">
        <f t="shared" ca="1" si="247"/>
        <v>0</v>
      </c>
      <c r="Z220" s="58">
        <f t="shared" ca="1" si="247"/>
        <v>0</v>
      </c>
      <c r="AA220" s="58">
        <f t="shared" ca="1" si="247"/>
        <v>0</v>
      </c>
      <c r="AB220" s="58">
        <f t="shared" ca="1" si="247"/>
        <v>0</v>
      </c>
      <c r="AC220" s="58">
        <f t="shared" ca="1" si="247"/>
        <v>0</v>
      </c>
      <c r="AD220" s="58">
        <f t="shared" ca="1" si="247"/>
        <v>0</v>
      </c>
      <c r="AE220" s="58">
        <f t="shared" ca="1" si="247"/>
        <v>0</v>
      </c>
      <c r="AF220" s="58">
        <f t="shared" ca="1" si="247"/>
        <v>0</v>
      </c>
      <c r="AG220" s="58">
        <f t="shared" ca="1" si="247"/>
        <v>0</v>
      </c>
      <c r="AH220" s="58">
        <f t="shared" ca="1" si="247"/>
        <v>0</v>
      </c>
      <c r="AI220" s="58">
        <f t="shared" ca="1" si="247"/>
        <v>0</v>
      </c>
      <c r="AJ220" s="58">
        <f t="shared" ca="1" si="247"/>
        <v>0</v>
      </c>
      <c r="AK220" s="58">
        <f t="shared" ca="1" si="247"/>
        <v>0</v>
      </c>
      <c r="AL220" s="58">
        <f t="shared" ca="1" si="247"/>
        <v>0</v>
      </c>
      <c r="AM220" s="58">
        <f t="shared" ref="AM220:BR220" ca="1" si="248">+IF(OR($F220+AM$175&lt;1,(AM$176-1)*12&lt;-$F220),0,OFFSET(AM50,0,$F220))</f>
        <v>0</v>
      </c>
      <c r="AN220" s="58">
        <f t="shared" ca="1" si="248"/>
        <v>0</v>
      </c>
      <c r="AO220" s="58">
        <f t="shared" ca="1" si="248"/>
        <v>0</v>
      </c>
      <c r="AP220" s="58">
        <f t="shared" ca="1" si="248"/>
        <v>0</v>
      </c>
      <c r="AQ220" s="58">
        <f t="shared" ca="1" si="248"/>
        <v>0</v>
      </c>
      <c r="AR220" s="58">
        <f t="shared" ca="1" si="248"/>
        <v>0</v>
      </c>
      <c r="AS220" s="58">
        <f t="shared" ca="1" si="248"/>
        <v>0</v>
      </c>
      <c r="AT220" s="58">
        <f t="shared" ca="1" si="248"/>
        <v>0</v>
      </c>
      <c r="AU220" s="58">
        <f t="shared" ca="1" si="248"/>
        <v>0</v>
      </c>
      <c r="AV220" s="58">
        <f t="shared" ca="1" si="248"/>
        <v>0</v>
      </c>
      <c r="AW220" s="58">
        <f t="shared" ca="1" si="248"/>
        <v>0</v>
      </c>
      <c r="AX220" s="58">
        <f t="shared" ca="1" si="248"/>
        <v>0</v>
      </c>
      <c r="AY220" s="58">
        <f t="shared" ca="1" si="248"/>
        <v>0</v>
      </c>
      <c r="AZ220" s="58">
        <f t="shared" ca="1" si="248"/>
        <v>0</v>
      </c>
      <c r="BA220" s="58">
        <f t="shared" ca="1" si="248"/>
        <v>0</v>
      </c>
      <c r="BB220" s="58">
        <f t="shared" ca="1" si="248"/>
        <v>0</v>
      </c>
      <c r="BC220" s="58">
        <f t="shared" ca="1" si="248"/>
        <v>0</v>
      </c>
      <c r="BD220" s="58">
        <f t="shared" ca="1" si="248"/>
        <v>0</v>
      </c>
      <c r="BE220" s="58">
        <f t="shared" ca="1" si="248"/>
        <v>0</v>
      </c>
      <c r="BF220" s="58">
        <f t="shared" ca="1" si="248"/>
        <v>0</v>
      </c>
      <c r="BG220" s="58">
        <f t="shared" ca="1" si="248"/>
        <v>0</v>
      </c>
      <c r="BH220" s="58">
        <f t="shared" ca="1" si="248"/>
        <v>0</v>
      </c>
      <c r="BI220" s="58">
        <f t="shared" ca="1" si="248"/>
        <v>0</v>
      </c>
      <c r="BJ220" s="58">
        <f t="shared" ca="1" si="248"/>
        <v>0</v>
      </c>
      <c r="BK220" s="58">
        <f t="shared" ca="1" si="248"/>
        <v>0</v>
      </c>
      <c r="BL220" s="58">
        <f t="shared" ca="1" si="248"/>
        <v>0</v>
      </c>
      <c r="BM220" s="58">
        <f t="shared" ca="1" si="248"/>
        <v>0</v>
      </c>
      <c r="BN220" s="58">
        <f t="shared" ca="1" si="248"/>
        <v>0</v>
      </c>
      <c r="BO220" s="58">
        <f t="shared" ca="1" si="248"/>
        <v>0</v>
      </c>
      <c r="BP220" s="58">
        <f t="shared" ca="1" si="248"/>
        <v>0</v>
      </c>
      <c r="BQ220" s="58">
        <f t="shared" ca="1" si="248"/>
        <v>0</v>
      </c>
      <c r="BR220" s="58">
        <f t="shared" ca="1" si="248"/>
        <v>0</v>
      </c>
      <c r="BS220" s="58">
        <f t="shared" ref="BS220:CX220" ca="1" si="249">+IF(OR($F220+BS$175&lt;1,(BS$176-1)*12&lt;-$F220),0,OFFSET(BS50,0,$F220))</f>
        <v>0</v>
      </c>
      <c r="BT220" s="58">
        <f t="shared" ca="1" si="249"/>
        <v>0</v>
      </c>
      <c r="BU220" s="58">
        <f t="shared" ca="1" si="249"/>
        <v>0</v>
      </c>
      <c r="BV220" s="58">
        <f t="shared" ca="1" si="249"/>
        <v>0</v>
      </c>
      <c r="BW220" s="58">
        <f t="shared" ca="1" si="249"/>
        <v>0</v>
      </c>
      <c r="BX220" s="58">
        <f t="shared" ca="1" si="249"/>
        <v>0</v>
      </c>
      <c r="BY220" s="58">
        <f t="shared" ca="1" si="249"/>
        <v>0</v>
      </c>
      <c r="BZ220" s="58">
        <f t="shared" ca="1" si="249"/>
        <v>0</v>
      </c>
      <c r="CA220" s="58">
        <f t="shared" ca="1" si="249"/>
        <v>0</v>
      </c>
      <c r="CB220" s="58">
        <f t="shared" ca="1" si="249"/>
        <v>0</v>
      </c>
      <c r="CC220" s="58">
        <f t="shared" ca="1" si="249"/>
        <v>0</v>
      </c>
      <c r="CD220" s="58">
        <f t="shared" ca="1" si="249"/>
        <v>0</v>
      </c>
      <c r="CE220" s="58">
        <f t="shared" ca="1" si="249"/>
        <v>0</v>
      </c>
      <c r="CF220" s="58">
        <f t="shared" ca="1" si="249"/>
        <v>0</v>
      </c>
      <c r="CG220" s="58">
        <f t="shared" ca="1" si="249"/>
        <v>0</v>
      </c>
      <c r="CH220" s="58">
        <f t="shared" ca="1" si="249"/>
        <v>0</v>
      </c>
      <c r="CI220" s="58">
        <f t="shared" ca="1" si="249"/>
        <v>0</v>
      </c>
      <c r="CJ220" s="58">
        <f t="shared" ca="1" si="249"/>
        <v>0</v>
      </c>
      <c r="CK220" s="58">
        <f t="shared" ca="1" si="249"/>
        <v>0</v>
      </c>
      <c r="CL220" s="58">
        <f t="shared" ca="1" si="249"/>
        <v>0</v>
      </c>
      <c r="CM220" s="58">
        <f t="shared" ca="1" si="249"/>
        <v>0</v>
      </c>
      <c r="CN220" s="58">
        <f t="shared" ca="1" si="249"/>
        <v>0</v>
      </c>
      <c r="CO220" s="58">
        <f t="shared" ca="1" si="249"/>
        <v>0</v>
      </c>
      <c r="CP220" s="58">
        <f t="shared" ca="1" si="249"/>
        <v>0</v>
      </c>
      <c r="CQ220" s="58">
        <f t="shared" ca="1" si="249"/>
        <v>0</v>
      </c>
      <c r="CR220" s="58">
        <f t="shared" ca="1" si="249"/>
        <v>0</v>
      </c>
      <c r="CS220" s="58">
        <f t="shared" ca="1" si="249"/>
        <v>0</v>
      </c>
      <c r="CT220" s="58">
        <f t="shared" ca="1" si="249"/>
        <v>0</v>
      </c>
      <c r="CU220" s="58">
        <f t="shared" ca="1" si="249"/>
        <v>0</v>
      </c>
      <c r="CV220" s="58">
        <f t="shared" ca="1" si="249"/>
        <v>0</v>
      </c>
      <c r="CW220" s="58">
        <f t="shared" ca="1" si="249"/>
        <v>0</v>
      </c>
      <c r="CX220" s="58">
        <f t="shared" ca="1" si="249"/>
        <v>0</v>
      </c>
      <c r="CY220" s="58">
        <f t="shared" ref="CY220:ED220" ca="1" si="250">+IF(OR($F220+CY$175&lt;1,(CY$176-1)*12&lt;-$F220),0,OFFSET(CY50,0,$F220))</f>
        <v>0</v>
      </c>
      <c r="CZ220" s="58">
        <f t="shared" ca="1" si="250"/>
        <v>0</v>
      </c>
      <c r="DA220" s="58">
        <f t="shared" ca="1" si="250"/>
        <v>0</v>
      </c>
      <c r="DB220" s="58">
        <f t="shared" ca="1" si="250"/>
        <v>0</v>
      </c>
      <c r="DC220" s="58">
        <f t="shared" ca="1" si="250"/>
        <v>0</v>
      </c>
      <c r="DD220" s="58">
        <f t="shared" ca="1" si="250"/>
        <v>0</v>
      </c>
      <c r="DE220" s="58">
        <f t="shared" ca="1" si="250"/>
        <v>0</v>
      </c>
      <c r="DF220" s="58">
        <f t="shared" ca="1" si="250"/>
        <v>0</v>
      </c>
      <c r="DG220" s="58">
        <f t="shared" ca="1" si="250"/>
        <v>0</v>
      </c>
      <c r="DH220" s="58">
        <f t="shared" ca="1" si="250"/>
        <v>0</v>
      </c>
      <c r="DI220" s="58">
        <f t="shared" ca="1" si="250"/>
        <v>0</v>
      </c>
      <c r="DJ220" s="58">
        <f t="shared" ca="1" si="250"/>
        <v>0</v>
      </c>
      <c r="DK220" s="58">
        <f t="shared" ca="1" si="250"/>
        <v>0</v>
      </c>
      <c r="DL220" s="58">
        <f t="shared" ca="1" si="250"/>
        <v>0</v>
      </c>
      <c r="DM220" s="58">
        <f t="shared" ca="1" si="250"/>
        <v>0</v>
      </c>
      <c r="DN220" s="58">
        <f t="shared" ca="1" si="250"/>
        <v>0</v>
      </c>
      <c r="DO220" s="58">
        <f t="shared" ca="1" si="250"/>
        <v>0</v>
      </c>
      <c r="DP220" s="58">
        <f t="shared" ca="1" si="250"/>
        <v>0</v>
      </c>
      <c r="DQ220" s="58">
        <f t="shared" ca="1" si="250"/>
        <v>0</v>
      </c>
      <c r="DR220" s="58">
        <f t="shared" ca="1" si="250"/>
        <v>0</v>
      </c>
      <c r="DS220" s="58">
        <f t="shared" ca="1" si="250"/>
        <v>0</v>
      </c>
      <c r="DT220" s="58">
        <f t="shared" ca="1" si="250"/>
        <v>0</v>
      </c>
      <c r="DU220" s="58">
        <f t="shared" ca="1" si="250"/>
        <v>0</v>
      </c>
      <c r="DV220" s="58">
        <f t="shared" ca="1" si="250"/>
        <v>0</v>
      </c>
      <c r="DW220" s="58">
        <f t="shared" ca="1" si="250"/>
        <v>0</v>
      </c>
      <c r="DX220" s="58">
        <f t="shared" ca="1" si="250"/>
        <v>0</v>
      </c>
      <c r="DY220" s="58">
        <f t="shared" ca="1" si="250"/>
        <v>0</v>
      </c>
      <c r="DZ220" s="58">
        <f t="shared" ca="1" si="250"/>
        <v>0</v>
      </c>
      <c r="EA220" s="58">
        <f t="shared" ca="1" si="250"/>
        <v>0</v>
      </c>
      <c r="EB220" s="58">
        <f t="shared" ca="1" si="250"/>
        <v>0</v>
      </c>
      <c r="EC220" s="58">
        <f t="shared" ca="1" si="250"/>
        <v>0</v>
      </c>
      <c r="ED220" s="58">
        <f t="shared" ca="1" si="250"/>
        <v>0</v>
      </c>
      <c r="EE220" s="58">
        <f t="shared" ref="EE220:FN220" ca="1" si="251">+IF(OR($F220+EE$175&lt;1,(EE$176-1)*12&lt;-$F220),0,OFFSET(EE50,0,$F220))</f>
        <v>0</v>
      </c>
      <c r="EF220" s="58">
        <f t="shared" ca="1" si="251"/>
        <v>0</v>
      </c>
      <c r="EG220" s="58">
        <f t="shared" ca="1" si="251"/>
        <v>0</v>
      </c>
      <c r="EH220" s="58">
        <f t="shared" ca="1" si="251"/>
        <v>0</v>
      </c>
      <c r="EI220" s="58">
        <f t="shared" ca="1" si="251"/>
        <v>0</v>
      </c>
      <c r="EJ220" s="58">
        <f t="shared" ca="1" si="251"/>
        <v>0</v>
      </c>
      <c r="EK220" s="58">
        <f t="shared" ca="1" si="251"/>
        <v>0</v>
      </c>
      <c r="EL220" s="58">
        <f t="shared" ca="1" si="251"/>
        <v>0</v>
      </c>
      <c r="EM220" s="58">
        <f t="shared" ca="1" si="251"/>
        <v>0</v>
      </c>
      <c r="EN220" s="58">
        <f t="shared" ca="1" si="251"/>
        <v>0</v>
      </c>
      <c r="EO220" s="58">
        <f t="shared" ca="1" si="251"/>
        <v>0</v>
      </c>
      <c r="EP220" s="58">
        <f t="shared" ca="1" si="251"/>
        <v>0</v>
      </c>
      <c r="EQ220" s="58">
        <f t="shared" ca="1" si="251"/>
        <v>0</v>
      </c>
      <c r="ER220" s="58">
        <f t="shared" ca="1" si="251"/>
        <v>0</v>
      </c>
      <c r="ES220" s="58">
        <f t="shared" ca="1" si="251"/>
        <v>0</v>
      </c>
      <c r="ET220" s="58">
        <f t="shared" ca="1" si="251"/>
        <v>0</v>
      </c>
      <c r="EU220" s="58">
        <f t="shared" ca="1" si="251"/>
        <v>0</v>
      </c>
      <c r="EV220" s="58">
        <f t="shared" ca="1" si="251"/>
        <v>0</v>
      </c>
      <c r="EW220" s="58">
        <f t="shared" ca="1" si="251"/>
        <v>0</v>
      </c>
      <c r="EX220" s="58">
        <f t="shared" ca="1" si="251"/>
        <v>0</v>
      </c>
      <c r="EY220" s="58">
        <f t="shared" ca="1" si="251"/>
        <v>0</v>
      </c>
      <c r="EZ220" s="58">
        <f t="shared" ca="1" si="251"/>
        <v>0</v>
      </c>
      <c r="FA220" s="58">
        <f t="shared" ca="1" si="251"/>
        <v>0</v>
      </c>
      <c r="FB220" s="58">
        <f t="shared" ca="1" si="251"/>
        <v>0</v>
      </c>
      <c r="FC220" s="58">
        <f t="shared" ca="1" si="251"/>
        <v>0</v>
      </c>
      <c r="FD220" s="58">
        <f t="shared" ca="1" si="251"/>
        <v>0</v>
      </c>
      <c r="FE220" s="58">
        <f t="shared" ca="1" si="251"/>
        <v>0</v>
      </c>
      <c r="FF220" s="58">
        <f t="shared" ca="1" si="251"/>
        <v>0</v>
      </c>
      <c r="FG220" s="58">
        <f t="shared" ca="1" si="251"/>
        <v>0</v>
      </c>
      <c r="FH220" s="58">
        <f t="shared" ca="1" si="251"/>
        <v>0</v>
      </c>
      <c r="FI220" s="58">
        <f t="shared" ca="1" si="251"/>
        <v>0</v>
      </c>
      <c r="FJ220" s="58">
        <f t="shared" ca="1" si="251"/>
        <v>0</v>
      </c>
      <c r="FK220" s="58">
        <f t="shared" ca="1" si="251"/>
        <v>0</v>
      </c>
      <c r="FL220" s="58">
        <f t="shared" ca="1" si="251"/>
        <v>0</v>
      </c>
      <c r="FM220" s="58">
        <f t="shared" ca="1" si="251"/>
        <v>0</v>
      </c>
      <c r="FN220" s="58">
        <f t="shared" ca="1" si="251"/>
        <v>0</v>
      </c>
      <c r="FO220" s="13"/>
    </row>
    <row r="221" spans="1:171" outlineLevel="1" x14ac:dyDescent="0.3">
      <c r="A221" s="13"/>
      <c r="B221" s="13"/>
      <c r="C221" s="13"/>
      <c r="D221" s="52">
        <f t="shared" si="194"/>
        <v>41487</v>
      </c>
      <c r="E221" s="53">
        <f t="shared" si="195"/>
        <v>2013</v>
      </c>
      <c r="F221" s="53">
        <f t="shared" si="196"/>
        <v>-5</v>
      </c>
      <c r="G221" s="58">
        <f t="shared" ref="G221:AL221" ca="1" si="252">+IF(OR($F221+G$175&lt;1,(G$176-1)*12&lt;-$F221),0,OFFSET(G51,0,$F221))</f>
        <v>0</v>
      </c>
      <c r="H221" s="58">
        <f t="shared" ca="1" si="252"/>
        <v>0</v>
      </c>
      <c r="I221" s="58">
        <f t="shared" ca="1" si="252"/>
        <v>0</v>
      </c>
      <c r="J221" s="58">
        <f t="shared" ca="1" si="252"/>
        <v>0</v>
      </c>
      <c r="K221" s="58">
        <f t="shared" ca="1" si="252"/>
        <v>0</v>
      </c>
      <c r="L221" s="58">
        <f t="shared" ca="1" si="252"/>
        <v>0</v>
      </c>
      <c r="M221" s="58">
        <f t="shared" ca="1" si="252"/>
        <v>0</v>
      </c>
      <c r="N221" s="58">
        <f t="shared" ca="1" si="252"/>
        <v>0</v>
      </c>
      <c r="O221" s="58">
        <f t="shared" ca="1" si="252"/>
        <v>0</v>
      </c>
      <c r="P221" s="58">
        <f t="shared" ca="1" si="252"/>
        <v>0</v>
      </c>
      <c r="Q221" s="58">
        <f t="shared" ca="1" si="252"/>
        <v>0</v>
      </c>
      <c r="R221" s="58">
        <f t="shared" ca="1" si="252"/>
        <v>0</v>
      </c>
      <c r="S221" s="58">
        <f t="shared" ca="1" si="252"/>
        <v>0</v>
      </c>
      <c r="T221" s="58">
        <f t="shared" ca="1" si="252"/>
        <v>0</v>
      </c>
      <c r="U221" s="58">
        <f t="shared" ca="1" si="252"/>
        <v>0</v>
      </c>
      <c r="V221" s="58">
        <f t="shared" ca="1" si="252"/>
        <v>0</v>
      </c>
      <c r="W221" s="58">
        <f t="shared" ca="1" si="252"/>
        <v>0</v>
      </c>
      <c r="X221" s="58">
        <f t="shared" ca="1" si="252"/>
        <v>0</v>
      </c>
      <c r="Y221" s="58">
        <f t="shared" ca="1" si="252"/>
        <v>0</v>
      </c>
      <c r="Z221" s="58">
        <f t="shared" ca="1" si="252"/>
        <v>0</v>
      </c>
      <c r="AA221" s="58">
        <f t="shared" ca="1" si="252"/>
        <v>0</v>
      </c>
      <c r="AB221" s="58">
        <f t="shared" ca="1" si="252"/>
        <v>0</v>
      </c>
      <c r="AC221" s="58">
        <f t="shared" ca="1" si="252"/>
        <v>0</v>
      </c>
      <c r="AD221" s="58">
        <f t="shared" ca="1" si="252"/>
        <v>0</v>
      </c>
      <c r="AE221" s="58">
        <f t="shared" ca="1" si="252"/>
        <v>0</v>
      </c>
      <c r="AF221" s="58">
        <f t="shared" ca="1" si="252"/>
        <v>0</v>
      </c>
      <c r="AG221" s="58">
        <f t="shared" ca="1" si="252"/>
        <v>0</v>
      </c>
      <c r="AH221" s="58">
        <f t="shared" ca="1" si="252"/>
        <v>0</v>
      </c>
      <c r="AI221" s="58">
        <f t="shared" ca="1" si="252"/>
        <v>0</v>
      </c>
      <c r="AJ221" s="58">
        <f t="shared" ca="1" si="252"/>
        <v>0</v>
      </c>
      <c r="AK221" s="58">
        <f t="shared" ca="1" si="252"/>
        <v>0</v>
      </c>
      <c r="AL221" s="58">
        <f t="shared" ca="1" si="252"/>
        <v>0</v>
      </c>
      <c r="AM221" s="58">
        <f t="shared" ref="AM221:BR221" ca="1" si="253">+IF(OR($F221+AM$175&lt;1,(AM$176-1)*12&lt;-$F221),0,OFFSET(AM51,0,$F221))</f>
        <v>0</v>
      </c>
      <c r="AN221" s="58">
        <f t="shared" ca="1" si="253"/>
        <v>0</v>
      </c>
      <c r="AO221" s="58">
        <f t="shared" ca="1" si="253"/>
        <v>0</v>
      </c>
      <c r="AP221" s="58">
        <f t="shared" ca="1" si="253"/>
        <v>0</v>
      </c>
      <c r="AQ221" s="58">
        <f t="shared" ca="1" si="253"/>
        <v>0</v>
      </c>
      <c r="AR221" s="58">
        <f t="shared" ca="1" si="253"/>
        <v>0</v>
      </c>
      <c r="AS221" s="58">
        <f t="shared" ca="1" si="253"/>
        <v>0</v>
      </c>
      <c r="AT221" s="58">
        <f t="shared" ca="1" si="253"/>
        <v>0</v>
      </c>
      <c r="AU221" s="58">
        <f t="shared" ca="1" si="253"/>
        <v>0</v>
      </c>
      <c r="AV221" s="58">
        <f t="shared" ca="1" si="253"/>
        <v>0</v>
      </c>
      <c r="AW221" s="58">
        <f t="shared" ca="1" si="253"/>
        <v>0</v>
      </c>
      <c r="AX221" s="58">
        <f t="shared" ca="1" si="253"/>
        <v>0</v>
      </c>
      <c r="AY221" s="58">
        <f t="shared" ca="1" si="253"/>
        <v>0</v>
      </c>
      <c r="AZ221" s="58">
        <f t="shared" ca="1" si="253"/>
        <v>0</v>
      </c>
      <c r="BA221" s="58">
        <f t="shared" ca="1" si="253"/>
        <v>0</v>
      </c>
      <c r="BB221" s="58">
        <f t="shared" ca="1" si="253"/>
        <v>0</v>
      </c>
      <c r="BC221" s="58">
        <f t="shared" ca="1" si="253"/>
        <v>0</v>
      </c>
      <c r="BD221" s="58">
        <f t="shared" ca="1" si="253"/>
        <v>0</v>
      </c>
      <c r="BE221" s="58">
        <f t="shared" ca="1" si="253"/>
        <v>0</v>
      </c>
      <c r="BF221" s="58">
        <f t="shared" ca="1" si="253"/>
        <v>0</v>
      </c>
      <c r="BG221" s="58">
        <f t="shared" ca="1" si="253"/>
        <v>0</v>
      </c>
      <c r="BH221" s="58">
        <f t="shared" ca="1" si="253"/>
        <v>0</v>
      </c>
      <c r="BI221" s="58">
        <f t="shared" ca="1" si="253"/>
        <v>0</v>
      </c>
      <c r="BJ221" s="58">
        <f t="shared" ca="1" si="253"/>
        <v>0</v>
      </c>
      <c r="BK221" s="58">
        <f t="shared" ca="1" si="253"/>
        <v>0</v>
      </c>
      <c r="BL221" s="58">
        <f t="shared" ca="1" si="253"/>
        <v>0</v>
      </c>
      <c r="BM221" s="58">
        <f t="shared" ca="1" si="253"/>
        <v>0</v>
      </c>
      <c r="BN221" s="58">
        <f t="shared" ca="1" si="253"/>
        <v>0</v>
      </c>
      <c r="BO221" s="58">
        <f t="shared" ca="1" si="253"/>
        <v>0</v>
      </c>
      <c r="BP221" s="58">
        <f t="shared" ca="1" si="253"/>
        <v>0</v>
      </c>
      <c r="BQ221" s="58">
        <f t="shared" ca="1" si="253"/>
        <v>0</v>
      </c>
      <c r="BR221" s="58">
        <f t="shared" ca="1" si="253"/>
        <v>0</v>
      </c>
      <c r="BS221" s="58">
        <f t="shared" ref="BS221:CX221" ca="1" si="254">+IF(OR($F221+BS$175&lt;1,(BS$176-1)*12&lt;-$F221),0,OFFSET(BS51,0,$F221))</f>
        <v>0</v>
      </c>
      <c r="BT221" s="58">
        <f t="shared" ca="1" si="254"/>
        <v>0</v>
      </c>
      <c r="BU221" s="58">
        <f t="shared" ca="1" si="254"/>
        <v>0</v>
      </c>
      <c r="BV221" s="58">
        <f t="shared" ca="1" si="254"/>
        <v>0</v>
      </c>
      <c r="BW221" s="58">
        <f t="shared" ca="1" si="254"/>
        <v>0</v>
      </c>
      <c r="BX221" s="58">
        <f t="shared" ca="1" si="254"/>
        <v>0</v>
      </c>
      <c r="BY221" s="58">
        <f t="shared" ca="1" si="254"/>
        <v>0</v>
      </c>
      <c r="BZ221" s="58">
        <f t="shared" ca="1" si="254"/>
        <v>0</v>
      </c>
      <c r="CA221" s="58">
        <f t="shared" ca="1" si="254"/>
        <v>0</v>
      </c>
      <c r="CB221" s="58">
        <f t="shared" ca="1" si="254"/>
        <v>0</v>
      </c>
      <c r="CC221" s="58">
        <f t="shared" ca="1" si="254"/>
        <v>0</v>
      </c>
      <c r="CD221" s="58">
        <f t="shared" ca="1" si="254"/>
        <v>0</v>
      </c>
      <c r="CE221" s="58">
        <f t="shared" ca="1" si="254"/>
        <v>0</v>
      </c>
      <c r="CF221" s="58">
        <f t="shared" ca="1" si="254"/>
        <v>0</v>
      </c>
      <c r="CG221" s="58">
        <f t="shared" ca="1" si="254"/>
        <v>0</v>
      </c>
      <c r="CH221" s="58">
        <f t="shared" ca="1" si="254"/>
        <v>0</v>
      </c>
      <c r="CI221" s="58">
        <f t="shared" ca="1" si="254"/>
        <v>0</v>
      </c>
      <c r="CJ221" s="58">
        <f t="shared" ca="1" si="254"/>
        <v>0</v>
      </c>
      <c r="CK221" s="58">
        <f t="shared" ca="1" si="254"/>
        <v>0</v>
      </c>
      <c r="CL221" s="58">
        <f t="shared" ca="1" si="254"/>
        <v>0</v>
      </c>
      <c r="CM221" s="58">
        <f t="shared" ca="1" si="254"/>
        <v>0</v>
      </c>
      <c r="CN221" s="58">
        <f t="shared" ca="1" si="254"/>
        <v>0</v>
      </c>
      <c r="CO221" s="58">
        <f t="shared" ca="1" si="254"/>
        <v>0</v>
      </c>
      <c r="CP221" s="58">
        <f t="shared" ca="1" si="254"/>
        <v>0</v>
      </c>
      <c r="CQ221" s="58">
        <f t="shared" ca="1" si="254"/>
        <v>0</v>
      </c>
      <c r="CR221" s="58">
        <f t="shared" ca="1" si="254"/>
        <v>0</v>
      </c>
      <c r="CS221" s="58">
        <f t="shared" ca="1" si="254"/>
        <v>0</v>
      </c>
      <c r="CT221" s="58">
        <f t="shared" ca="1" si="254"/>
        <v>0</v>
      </c>
      <c r="CU221" s="58">
        <f t="shared" ca="1" si="254"/>
        <v>0</v>
      </c>
      <c r="CV221" s="58">
        <f t="shared" ca="1" si="254"/>
        <v>0</v>
      </c>
      <c r="CW221" s="58">
        <f t="shared" ca="1" si="254"/>
        <v>0</v>
      </c>
      <c r="CX221" s="58">
        <f t="shared" ca="1" si="254"/>
        <v>0</v>
      </c>
      <c r="CY221" s="58">
        <f t="shared" ref="CY221:ED221" ca="1" si="255">+IF(OR($F221+CY$175&lt;1,(CY$176-1)*12&lt;-$F221),0,OFFSET(CY51,0,$F221))</f>
        <v>0</v>
      </c>
      <c r="CZ221" s="58">
        <f t="shared" ca="1" si="255"/>
        <v>0</v>
      </c>
      <c r="DA221" s="58">
        <f t="shared" ca="1" si="255"/>
        <v>0</v>
      </c>
      <c r="DB221" s="58">
        <f t="shared" ca="1" si="255"/>
        <v>0</v>
      </c>
      <c r="DC221" s="58">
        <f t="shared" ca="1" si="255"/>
        <v>0</v>
      </c>
      <c r="DD221" s="58">
        <f t="shared" ca="1" si="255"/>
        <v>0</v>
      </c>
      <c r="DE221" s="58">
        <f t="shared" ca="1" si="255"/>
        <v>0</v>
      </c>
      <c r="DF221" s="58">
        <f t="shared" ca="1" si="255"/>
        <v>0</v>
      </c>
      <c r="DG221" s="58">
        <f t="shared" ca="1" si="255"/>
        <v>0</v>
      </c>
      <c r="DH221" s="58">
        <f t="shared" ca="1" si="255"/>
        <v>0</v>
      </c>
      <c r="DI221" s="58">
        <f t="shared" ca="1" si="255"/>
        <v>0</v>
      </c>
      <c r="DJ221" s="58">
        <f t="shared" ca="1" si="255"/>
        <v>0</v>
      </c>
      <c r="DK221" s="58">
        <f t="shared" ca="1" si="255"/>
        <v>0</v>
      </c>
      <c r="DL221" s="58">
        <f t="shared" ca="1" si="255"/>
        <v>0</v>
      </c>
      <c r="DM221" s="58">
        <f t="shared" ca="1" si="255"/>
        <v>0</v>
      </c>
      <c r="DN221" s="58">
        <f t="shared" ca="1" si="255"/>
        <v>0</v>
      </c>
      <c r="DO221" s="58">
        <f t="shared" ca="1" si="255"/>
        <v>0</v>
      </c>
      <c r="DP221" s="58">
        <f t="shared" ca="1" si="255"/>
        <v>0</v>
      </c>
      <c r="DQ221" s="58">
        <f t="shared" ca="1" si="255"/>
        <v>0</v>
      </c>
      <c r="DR221" s="58">
        <f t="shared" ca="1" si="255"/>
        <v>0</v>
      </c>
      <c r="DS221" s="58">
        <f t="shared" ca="1" si="255"/>
        <v>0</v>
      </c>
      <c r="DT221" s="58">
        <f t="shared" ca="1" si="255"/>
        <v>0</v>
      </c>
      <c r="DU221" s="58">
        <f t="shared" ca="1" si="255"/>
        <v>0</v>
      </c>
      <c r="DV221" s="58">
        <f t="shared" ca="1" si="255"/>
        <v>0</v>
      </c>
      <c r="DW221" s="58">
        <f t="shared" ca="1" si="255"/>
        <v>0</v>
      </c>
      <c r="DX221" s="58">
        <f t="shared" ca="1" si="255"/>
        <v>0</v>
      </c>
      <c r="DY221" s="58">
        <f t="shared" ca="1" si="255"/>
        <v>0</v>
      </c>
      <c r="DZ221" s="58">
        <f t="shared" ca="1" si="255"/>
        <v>0</v>
      </c>
      <c r="EA221" s="58">
        <f t="shared" ca="1" si="255"/>
        <v>0</v>
      </c>
      <c r="EB221" s="58">
        <f t="shared" ca="1" si="255"/>
        <v>0</v>
      </c>
      <c r="EC221" s="58">
        <f t="shared" ca="1" si="255"/>
        <v>0</v>
      </c>
      <c r="ED221" s="58">
        <f t="shared" ca="1" si="255"/>
        <v>0</v>
      </c>
      <c r="EE221" s="58">
        <f t="shared" ref="EE221:FN221" ca="1" si="256">+IF(OR($F221+EE$175&lt;1,(EE$176-1)*12&lt;-$F221),0,OFFSET(EE51,0,$F221))</f>
        <v>0</v>
      </c>
      <c r="EF221" s="58">
        <f t="shared" ca="1" si="256"/>
        <v>0</v>
      </c>
      <c r="EG221" s="58">
        <f t="shared" ca="1" si="256"/>
        <v>0</v>
      </c>
      <c r="EH221" s="58">
        <f t="shared" ca="1" si="256"/>
        <v>0</v>
      </c>
      <c r="EI221" s="58">
        <f t="shared" ca="1" si="256"/>
        <v>0</v>
      </c>
      <c r="EJ221" s="58">
        <f t="shared" ca="1" si="256"/>
        <v>0</v>
      </c>
      <c r="EK221" s="58">
        <f t="shared" ca="1" si="256"/>
        <v>0</v>
      </c>
      <c r="EL221" s="58">
        <f t="shared" ca="1" si="256"/>
        <v>0</v>
      </c>
      <c r="EM221" s="58">
        <f t="shared" ca="1" si="256"/>
        <v>0</v>
      </c>
      <c r="EN221" s="58">
        <f t="shared" ca="1" si="256"/>
        <v>0</v>
      </c>
      <c r="EO221" s="58">
        <f t="shared" ca="1" si="256"/>
        <v>0</v>
      </c>
      <c r="EP221" s="58">
        <f t="shared" ca="1" si="256"/>
        <v>0</v>
      </c>
      <c r="EQ221" s="58">
        <f t="shared" ca="1" si="256"/>
        <v>0</v>
      </c>
      <c r="ER221" s="58">
        <f t="shared" ca="1" si="256"/>
        <v>0</v>
      </c>
      <c r="ES221" s="58">
        <f t="shared" ca="1" si="256"/>
        <v>0</v>
      </c>
      <c r="ET221" s="58">
        <f t="shared" ca="1" si="256"/>
        <v>0</v>
      </c>
      <c r="EU221" s="58">
        <f t="shared" ca="1" si="256"/>
        <v>0</v>
      </c>
      <c r="EV221" s="58">
        <f t="shared" ca="1" si="256"/>
        <v>0</v>
      </c>
      <c r="EW221" s="58">
        <f t="shared" ca="1" si="256"/>
        <v>0</v>
      </c>
      <c r="EX221" s="58">
        <f t="shared" ca="1" si="256"/>
        <v>0</v>
      </c>
      <c r="EY221" s="58">
        <f t="shared" ca="1" si="256"/>
        <v>0</v>
      </c>
      <c r="EZ221" s="58">
        <f t="shared" ca="1" si="256"/>
        <v>0</v>
      </c>
      <c r="FA221" s="58">
        <f t="shared" ca="1" si="256"/>
        <v>0</v>
      </c>
      <c r="FB221" s="58">
        <f t="shared" ca="1" si="256"/>
        <v>0</v>
      </c>
      <c r="FC221" s="58">
        <f t="shared" ca="1" si="256"/>
        <v>0</v>
      </c>
      <c r="FD221" s="58">
        <f t="shared" ca="1" si="256"/>
        <v>0</v>
      </c>
      <c r="FE221" s="58">
        <f t="shared" ca="1" si="256"/>
        <v>0</v>
      </c>
      <c r="FF221" s="58">
        <f t="shared" ca="1" si="256"/>
        <v>0</v>
      </c>
      <c r="FG221" s="58">
        <f t="shared" ca="1" si="256"/>
        <v>0</v>
      </c>
      <c r="FH221" s="58">
        <f t="shared" ca="1" si="256"/>
        <v>0</v>
      </c>
      <c r="FI221" s="58">
        <f t="shared" ca="1" si="256"/>
        <v>0</v>
      </c>
      <c r="FJ221" s="58">
        <f t="shared" ca="1" si="256"/>
        <v>0</v>
      </c>
      <c r="FK221" s="58">
        <f t="shared" ca="1" si="256"/>
        <v>0</v>
      </c>
      <c r="FL221" s="58">
        <f t="shared" ca="1" si="256"/>
        <v>0</v>
      </c>
      <c r="FM221" s="58">
        <f t="shared" ca="1" si="256"/>
        <v>0</v>
      </c>
      <c r="FN221" s="58">
        <f t="shared" ca="1" si="256"/>
        <v>0</v>
      </c>
      <c r="FO221" s="13"/>
    </row>
    <row r="222" spans="1:171" outlineLevel="1" x14ac:dyDescent="0.3">
      <c r="A222" s="13"/>
      <c r="B222" s="13"/>
      <c r="C222" s="13"/>
      <c r="D222" s="52">
        <f t="shared" si="194"/>
        <v>41518</v>
      </c>
      <c r="E222" s="53">
        <f t="shared" si="195"/>
        <v>2013</v>
      </c>
      <c r="F222" s="53">
        <f t="shared" si="196"/>
        <v>-4</v>
      </c>
      <c r="G222" s="58">
        <f t="shared" ref="G222:AL222" ca="1" si="257">+IF(OR($F222+G$175&lt;1,(G$176-1)*12&lt;-$F222),0,OFFSET(G52,0,$F222))</f>
        <v>0</v>
      </c>
      <c r="H222" s="58">
        <f t="shared" ca="1" si="257"/>
        <v>0</v>
      </c>
      <c r="I222" s="58">
        <f t="shared" ca="1" si="257"/>
        <v>0</v>
      </c>
      <c r="J222" s="58">
        <f t="shared" ca="1" si="257"/>
        <v>0</v>
      </c>
      <c r="K222" s="58">
        <f t="shared" ca="1" si="257"/>
        <v>0</v>
      </c>
      <c r="L222" s="58">
        <f t="shared" ca="1" si="257"/>
        <v>0</v>
      </c>
      <c r="M222" s="58">
        <f t="shared" ca="1" si="257"/>
        <v>0</v>
      </c>
      <c r="N222" s="58">
        <f t="shared" ca="1" si="257"/>
        <v>0</v>
      </c>
      <c r="O222" s="58">
        <f t="shared" ca="1" si="257"/>
        <v>0</v>
      </c>
      <c r="P222" s="58">
        <f t="shared" ca="1" si="257"/>
        <v>0</v>
      </c>
      <c r="Q222" s="58">
        <f t="shared" ca="1" si="257"/>
        <v>0</v>
      </c>
      <c r="R222" s="58">
        <f t="shared" ca="1" si="257"/>
        <v>0</v>
      </c>
      <c r="S222" s="58">
        <f t="shared" ca="1" si="257"/>
        <v>0</v>
      </c>
      <c r="T222" s="58">
        <f t="shared" ca="1" si="257"/>
        <v>0</v>
      </c>
      <c r="U222" s="58">
        <f t="shared" ca="1" si="257"/>
        <v>0</v>
      </c>
      <c r="V222" s="58">
        <f t="shared" ca="1" si="257"/>
        <v>0</v>
      </c>
      <c r="W222" s="58">
        <f t="shared" ca="1" si="257"/>
        <v>0</v>
      </c>
      <c r="X222" s="58">
        <f t="shared" ca="1" si="257"/>
        <v>0</v>
      </c>
      <c r="Y222" s="58">
        <f t="shared" ca="1" si="257"/>
        <v>0</v>
      </c>
      <c r="Z222" s="58">
        <f t="shared" ca="1" si="257"/>
        <v>0</v>
      </c>
      <c r="AA222" s="58">
        <f t="shared" ca="1" si="257"/>
        <v>0</v>
      </c>
      <c r="AB222" s="58">
        <f t="shared" ca="1" si="257"/>
        <v>0</v>
      </c>
      <c r="AC222" s="58">
        <f t="shared" ca="1" si="257"/>
        <v>0</v>
      </c>
      <c r="AD222" s="58">
        <f t="shared" ca="1" si="257"/>
        <v>0</v>
      </c>
      <c r="AE222" s="58">
        <f t="shared" ca="1" si="257"/>
        <v>0</v>
      </c>
      <c r="AF222" s="58">
        <f t="shared" ca="1" si="257"/>
        <v>0</v>
      </c>
      <c r="AG222" s="58">
        <f t="shared" ca="1" si="257"/>
        <v>0</v>
      </c>
      <c r="AH222" s="58">
        <f t="shared" ca="1" si="257"/>
        <v>0</v>
      </c>
      <c r="AI222" s="58">
        <f t="shared" ca="1" si="257"/>
        <v>0</v>
      </c>
      <c r="AJ222" s="58">
        <f t="shared" ca="1" si="257"/>
        <v>0</v>
      </c>
      <c r="AK222" s="58">
        <f t="shared" ca="1" si="257"/>
        <v>0</v>
      </c>
      <c r="AL222" s="58">
        <f t="shared" ca="1" si="257"/>
        <v>0</v>
      </c>
      <c r="AM222" s="58">
        <f t="shared" ref="AM222:BR222" ca="1" si="258">+IF(OR($F222+AM$175&lt;1,(AM$176-1)*12&lt;-$F222),0,OFFSET(AM52,0,$F222))</f>
        <v>0</v>
      </c>
      <c r="AN222" s="58">
        <f t="shared" ca="1" si="258"/>
        <v>0</v>
      </c>
      <c r="AO222" s="58">
        <f t="shared" ca="1" si="258"/>
        <v>0</v>
      </c>
      <c r="AP222" s="58">
        <f t="shared" ca="1" si="258"/>
        <v>0</v>
      </c>
      <c r="AQ222" s="58">
        <f t="shared" ca="1" si="258"/>
        <v>0</v>
      </c>
      <c r="AR222" s="58">
        <f t="shared" ca="1" si="258"/>
        <v>0</v>
      </c>
      <c r="AS222" s="58">
        <f t="shared" ca="1" si="258"/>
        <v>0</v>
      </c>
      <c r="AT222" s="58">
        <f t="shared" ca="1" si="258"/>
        <v>0</v>
      </c>
      <c r="AU222" s="58">
        <f t="shared" ca="1" si="258"/>
        <v>0</v>
      </c>
      <c r="AV222" s="58">
        <f t="shared" ca="1" si="258"/>
        <v>0</v>
      </c>
      <c r="AW222" s="58">
        <f t="shared" ca="1" si="258"/>
        <v>0</v>
      </c>
      <c r="AX222" s="58">
        <f t="shared" ca="1" si="258"/>
        <v>0</v>
      </c>
      <c r="AY222" s="58">
        <f t="shared" ca="1" si="258"/>
        <v>0</v>
      </c>
      <c r="AZ222" s="58">
        <f t="shared" ca="1" si="258"/>
        <v>0</v>
      </c>
      <c r="BA222" s="58">
        <f t="shared" ca="1" si="258"/>
        <v>0</v>
      </c>
      <c r="BB222" s="58">
        <f t="shared" ca="1" si="258"/>
        <v>0</v>
      </c>
      <c r="BC222" s="58">
        <f t="shared" ca="1" si="258"/>
        <v>0</v>
      </c>
      <c r="BD222" s="58">
        <f t="shared" ca="1" si="258"/>
        <v>0</v>
      </c>
      <c r="BE222" s="58">
        <f t="shared" ca="1" si="258"/>
        <v>0</v>
      </c>
      <c r="BF222" s="58">
        <f t="shared" ca="1" si="258"/>
        <v>0</v>
      </c>
      <c r="BG222" s="58">
        <f t="shared" ca="1" si="258"/>
        <v>0</v>
      </c>
      <c r="BH222" s="58">
        <f t="shared" ca="1" si="258"/>
        <v>0</v>
      </c>
      <c r="BI222" s="58">
        <f t="shared" ca="1" si="258"/>
        <v>0</v>
      </c>
      <c r="BJ222" s="58">
        <f t="shared" ca="1" si="258"/>
        <v>0</v>
      </c>
      <c r="BK222" s="58">
        <f t="shared" ca="1" si="258"/>
        <v>0</v>
      </c>
      <c r="BL222" s="58">
        <f t="shared" ca="1" si="258"/>
        <v>0</v>
      </c>
      <c r="BM222" s="58">
        <f t="shared" ca="1" si="258"/>
        <v>0</v>
      </c>
      <c r="BN222" s="58">
        <f t="shared" ca="1" si="258"/>
        <v>0</v>
      </c>
      <c r="BO222" s="58">
        <f t="shared" ca="1" si="258"/>
        <v>0</v>
      </c>
      <c r="BP222" s="58">
        <f t="shared" ca="1" si="258"/>
        <v>0</v>
      </c>
      <c r="BQ222" s="58">
        <f t="shared" ca="1" si="258"/>
        <v>0</v>
      </c>
      <c r="BR222" s="58">
        <f t="shared" ca="1" si="258"/>
        <v>0</v>
      </c>
      <c r="BS222" s="58">
        <f t="shared" ref="BS222:CX222" ca="1" si="259">+IF(OR($F222+BS$175&lt;1,(BS$176-1)*12&lt;-$F222),0,OFFSET(BS52,0,$F222))</f>
        <v>0</v>
      </c>
      <c r="BT222" s="58">
        <f t="shared" ca="1" si="259"/>
        <v>0</v>
      </c>
      <c r="BU222" s="58">
        <f t="shared" ca="1" si="259"/>
        <v>0</v>
      </c>
      <c r="BV222" s="58">
        <f t="shared" ca="1" si="259"/>
        <v>0</v>
      </c>
      <c r="BW222" s="58">
        <f t="shared" ca="1" si="259"/>
        <v>0</v>
      </c>
      <c r="BX222" s="58">
        <f t="shared" ca="1" si="259"/>
        <v>0</v>
      </c>
      <c r="BY222" s="58">
        <f t="shared" ca="1" si="259"/>
        <v>0</v>
      </c>
      <c r="BZ222" s="58">
        <f t="shared" ca="1" si="259"/>
        <v>0</v>
      </c>
      <c r="CA222" s="58">
        <f t="shared" ca="1" si="259"/>
        <v>0</v>
      </c>
      <c r="CB222" s="58">
        <f t="shared" ca="1" si="259"/>
        <v>0</v>
      </c>
      <c r="CC222" s="58">
        <f t="shared" ca="1" si="259"/>
        <v>0</v>
      </c>
      <c r="CD222" s="58">
        <f t="shared" ca="1" si="259"/>
        <v>0</v>
      </c>
      <c r="CE222" s="58">
        <f t="shared" ca="1" si="259"/>
        <v>0</v>
      </c>
      <c r="CF222" s="58">
        <f t="shared" ca="1" si="259"/>
        <v>0</v>
      </c>
      <c r="CG222" s="58">
        <f t="shared" ca="1" si="259"/>
        <v>0</v>
      </c>
      <c r="CH222" s="58">
        <f t="shared" ca="1" si="259"/>
        <v>0</v>
      </c>
      <c r="CI222" s="58">
        <f t="shared" ca="1" si="259"/>
        <v>0</v>
      </c>
      <c r="CJ222" s="58">
        <f t="shared" ca="1" si="259"/>
        <v>0</v>
      </c>
      <c r="CK222" s="58">
        <f t="shared" ca="1" si="259"/>
        <v>0</v>
      </c>
      <c r="CL222" s="58">
        <f t="shared" ca="1" si="259"/>
        <v>0</v>
      </c>
      <c r="CM222" s="58">
        <f t="shared" ca="1" si="259"/>
        <v>0</v>
      </c>
      <c r="CN222" s="58">
        <f t="shared" ca="1" si="259"/>
        <v>0</v>
      </c>
      <c r="CO222" s="58">
        <f t="shared" ca="1" si="259"/>
        <v>0</v>
      </c>
      <c r="CP222" s="58">
        <f t="shared" ca="1" si="259"/>
        <v>0</v>
      </c>
      <c r="CQ222" s="58">
        <f t="shared" ca="1" si="259"/>
        <v>0</v>
      </c>
      <c r="CR222" s="58">
        <f t="shared" ca="1" si="259"/>
        <v>0</v>
      </c>
      <c r="CS222" s="58">
        <f t="shared" ca="1" si="259"/>
        <v>0</v>
      </c>
      <c r="CT222" s="58">
        <f t="shared" ca="1" si="259"/>
        <v>0</v>
      </c>
      <c r="CU222" s="58">
        <f t="shared" ca="1" si="259"/>
        <v>0</v>
      </c>
      <c r="CV222" s="58">
        <f t="shared" ca="1" si="259"/>
        <v>0</v>
      </c>
      <c r="CW222" s="58">
        <f t="shared" ca="1" si="259"/>
        <v>0</v>
      </c>
      <c r="CX222" s="58">
        <f t="shared" ca="1" si="259"/>
        <v>0</v>
      </c>
      <c r="CY222" s="58">
        <f t="shared" ref="CY222:ED222" ca="1" si="260">+IF(OR($F222+CY$175&lt;1,(CY$176-1)*12&lt;-$F222),0,OFFSET(CY52,0,$F222))</f>
        <v>0</v>
      </c>
      <c r="CZ222" s="58">
        <f t="shared" ca="1" si="260"/>
        <v>0</v>
      </c>
      <c r="DA222" s="58">
        <f t="shared" ca="1" si="260"/>
        <v>0</v>
      </c>
      <c r="DB222" s="58">
        <f t="shared" ca="1" si="260"/>
        <v>0</v>
      </c>
      <c r="DC222" s="58">
        <f t="shared" ca="1" si="260"/>
        <v>0</v>
      </c>
      <c r="DD222" s="58">
        <f t="shared" ca="1" si="260"/>
        <v>0</v>
      </c>
      <c r="DE222" s="58">
        <f t="shared" ca="1" si="260"/>
        <v>0</v>
      </c>
      <c r="DF222" s="58">
        <f t="shared" ca="1" si="260"/>
        <v>0</v>
      </c>
      <c r="DG222" s="58">
        <f t="shared" ca="1" si="260"/>
        <v>0</v>
      </c>
      <c r="DH222" s="58">
        <f t="shared" ca="1" si="260"/>
        <v>0</v>
      </c>
      <c r="DI222" s="58">
        <f t="shared" ca="1" si="260"/>
        <v>0</v>
      </c>
      <c r="DJ222" s="58">
        <f t="shared" ca="1" si="260"/>
        <v>0</v>
      </c>
      <c r="DK222" s="58">
        <f t="shared" ca="1" si="260"/>
        <v>0</v>
      </c>
      <c r="DL222" s="58">
        <f t="shared" ca="1" si="260"/>
        <v>0</v>
      </c>
      <c r="DM222" s="58">
        <f t="shared" ca="1" si="260"/>
        <v>0</v>
      </c>
      <c r="DN222" s="58">
        <f t="shared" ca="1" si="260"/>
        <v>0</v>
      </c>
      <c r="DO222" s="58">
        <f t="shared" ca="1" si="260"/>
        <v>0</v>
      </c>
      <c r="DP222" s="58">
        <f t="shared" ca="1" si="260"/>
        <v>0</v>
      </c>
      <c r="DQ222" s="58">
        <f t="shared" ca="1" si="260"/>
        <v>0</v>
      </c>
      <c r="DR222" s="58">
        <f t="shared" ca="1" si="260"/>
        <v>0</v>
      </c>
      <c r="DS222" s="58">
        <f t="shared" ca="1" si="260"/>
        <v>0</v>
      </c>
      <c r="DT222" s="58">
        <f t="shared" ca="1" si="260"/>
        <v>0</v>
      </c>
      <c r="DU222" s="58">
        <f t="shared" ca="1" si="260"/>
        <v>0</v>
      </c>
      <c r="DV222" s="58">
        <f t="shared" ca="1" si="260"/>
        <v>0</v>
      </c>
      <c r="DW222" s="58">
        <f t="shared" ca="1" si="260"/>
        <v>0</v>
      </c>
      <c r="DX222" s="58">
        <f t="shared" ca="1" si="260"/>
        <v>0</v>
      </c>
      <c r="DY222" s="58">
        <f t="shared" ca="1" si="260"/>
        <v>0</v>
      </c>
      <c r="DZ222" s="58">
        <f t="shared" ca="1" si="260"/>
        <v>0</v>
      </c>
      <c r="EA222" s="58">
        <f t="shared" ca="1" si="260"/>
        <v>0</v>
      </c>
      <c r="EB222" s="58">
        <f t="shared" ca="1" si="260"/>
        <v>0</v>
      </c>
      <c r="EC222" s="58">
        <f t="shared" ca="1" si="260"/>
        <v>0</v>
      </c>
      <c r="ED222" s="58">
        <f t="shared" ca="1" si="260"/>
        <v>0</v>
      </c>
      <c r="EE222" s="58">
        <f t="shared" ref="EE222:FN222" ca="1" si="261">+IF(OR($F222+EE$175&lt;1,(EE$176-1)*12&lt;-$F222),0,OFFSET(EE52,0,$F222))</f>
        <v>0</v>
      </c>
      <c r="EF222" s="58">
        <f t="shared" ca="1" si="261"/>
        <v>0</v>
      </c>
      <c r="EG222" s="58">
        <f t="shared" ca="1" si="261"/>
        <v>0</v>
      </c>
      <c r="EH222" s="58">
        <f t="shared" ca="1" si="261"/>
        <v>0</v>
      </c>
      <c r="EI222" s="58">
        <f t="shared" ca="1" si="261"/>
        <v>0</v>
      </c>
      <c r="EJ222" s="58">
        <f t="shared" ca="1" si="261"/>
        <v>0</v>
      </c>
      <c r="EK222" s="58">
        <f t="shared" ca="1" si="261"/>
        <v>0</v>
      </c>
      <c r="EL222" s="58">
        <f t="shared" ca="1" si="261"/>
        <v>0</v>
      </c>
      <c r="EM222" s="58">
        <f t="shared" ca="1" si="261"/>
        <v>0</v>
      </c>
      <c r="EN222" s="58">
        <f t="shared" ca="1" si="261"/>
        <v>0</v>
      </c>
      <c r="EO222" s="58">
        <f t="shared" ca="1" si="261"/>
        <v>0</v>
      </c>
      <c r="EP222" s="58">
        <f t="shared" ca="1" si="261"/>
        <v>0</v>
      </c>
      <c r="EQ222" s="58">
        <f t="shared" ca="1" si="261"/>
        <v>0</v>
      </c>
      <c r="ER222" s="58">
        <f t="shared" ca="1" si="261"/>
        <v>0</v>
      </c>
      <c r="ES222" s="58">
        <f t="shared" ca="1" si="261"/>
        <v>0</v>
      </c>
      <c r="ET222" s="58">
        <f t="shared" ca="1" si="261"/>
        <v>0</v>
      </c>
      <c r="EU222" s="58">
        <f t="shared" ca="1" si="261"/>
        <v>0</v>
      </c>
      <c r="EV222" s="58">
        <f t="shared" ca="1" si="261"/>
        <v>0</v>
      </c>
      <c r="EW222" s="58">
        <f t="shared" ca="1" si="261"/>
        <v>0</v>
      </c>
      <c r="EX222" s="58">
        <f t="shared" ca="1" si="261"/>
        <v>0</v>
      </c>
      <c r="EY222" s="58">
        <f t="shared" ca="1" si="261"/>
        <v>0</v>
      </c>
      <c r="EZ222" s="58">
        <f t="shared" ca="1" si="261"/>
        <v>0</v>
      </c>
      <c r="FA222" s="58">
        <f t="shared" ca="1" si="261"/>
        <v>0</v>
      </c>
      <c r="FB222" s="58">
        <f t="shared" ca="1" si="261"/>
        <v>0</v>
      </c>
      <c r="FC222" s="58">
        <f t="shared" ca="1" si="261"/>
        <v>0</v>
      </c>
      <c r="FD222" s="58">
        <f t="shared" ca="1" si="261"/>
        <v>0</v>
      </c>
      <c r="FE222" s="58">
        <f t="shared" ca="1" si="261"/>
        <v>0</v>
      </c>
      <c r="FF222" s="58">
        <f t="shared" ca="1" si="261"/>
        <v>0</v>
      </c>
      <c r="FG222" s="58">
        <f t="shared" ca="1" si="261"/>
        <v>0</v>
      </c>
      <c r="FH222" s="58">
        <f t="shared" ca="1" si="261"/>
        <v>0</v>
      </c>
      <c r="FI222" s="58">
        <f t="shared" ca="1" si="261"/>
        <v>0</v>
      </c>
      <c r="FJ222" s="58">
        <f t="shared" ca="1" si="261"/>
        <v>0</v>
      </c>
      <c r="FK222" s="58">
        <f t="shared" ca="1" si="261"/>
        <v>0</v>
      </c>
      <c r="FL222" s="58">
        <f t="shared" ca="1" si="261"/>
        <v>0</v>
      </c>
      <c r="FM222" s="58">
        <f t="shared" ca="1" si="261"/>
        <v>0</v>
      </c>
      <c r="FN222" s="58">
        <f t="shared" ca="1" si="261"/>
        <v>0</v>
      </c>
      <c r="FO222" s="13"/>
    </row>
    <row r="223" spans="1:171" outlineLevel="1" x14ac:dyDescent="0.3">
      <c r="A223" s="13"/>
      <c r="B223" s="13"/>
      <c r="C223" s="13"/>
      <c r="D223" s="52">
        <f t="shared" si="194"/>
        <v>41548</v>
      </c>
      <c r="E223" s="53">
        <f t="shared" si="195"/>
        <v>2013</v>
      </c>
      <c r="F223" s="53">
        <f t="shared" si="196"/>
        <v>-3</v>
      </c>
      <c r="G223" s="58">
        <f t="shared" ref="G223:AL223" ca="1" si="262">+IF(OR($F223+G$175&lt;1,(G$176-1)*12&lt;-$F223),0,OFFSET(G53,0,$F223))</f>
        <v>0</v>
      </c>
      <c r="H223" s="58">
        <f t="shared" ca="1" si="262"/>
        <v>0</v>
      </c>
      <c r="I223" s="58">
        <f t="shared" ca="1" si="262"/>
        <v>0</v>
      </c>
      <c r="J223" s="58">
        <f t="shared" ca="1" si="262"/>
        <v>0</v>
      </c>
      <c r="K223" s="58">
        <f t="shared" ca="1" si="262"/>
        <v>0</v>
      </c>
      <c r="L223" s="58">
        <f t="shared" ca="1" si="262"/>
        <v>0</v>
      </c>
      <c r="M223" s="58">
        <f t="shared" ca="1" si="262"/>
        <v>0</v>
      </c>
      <c r="N223" s="58">
        <f t="shared" ca="1" si="262"/>
        <v>0</v>
      </c>
      <c r="O223" s="58">
        <f t="shared" ca="1" si="262"/>
        <v>0</v>
      </c>
      <c r="P223" s="58">
        <f t="shared" ca="1" si="262"/>
        <v>0</v>
      </c>
      <c r="Q223" s="58">
        <f t="shared" ca="1" si="262"/>
        <v>0</v>
      </c>
      <c r="R223" s="58">
        <f t="shared" ca="1" si="262"/>
        <v>0</v>
      </c>
      <c r="S223" s="58">
        <f t="shared" ca="1" si="262"/>
        <v>0</v>
      </c>
      <c r="T223" s="58">
        <f t="shared" ca="1" si="262"/>
        <v>0</v>
      </c>
      <c r="U223" s="58">
        <f t="shared" ca="1" si="262"/>
        <v>0</v>
      </c>
      <c r="V223" s="58">
        <f t="shared" ca="1" si="262"/>
        <v>0</v>
      </c>
      <c r="W223" s="58">
        <f t="shared" ca="1" si="262"/>
        <v>0</v>
      </c>
      <c r="X223" s="58">
        <f t="shared" ca="1" si="262"/>
        <v>0</v>
      </c>
      <c r="Y223" s="58">
        <f t="shared" ca="1" si="262"/>
        <v>0</v>
      </c>
      <c r="Z223" s="58">
        <f t="shared" ca="1" si="262"/>
        <v>0</v>
      </c>
      <c r="AA223" s="58">
        <f t="shared" ca="1" si="262"/>
        <v>0</v>
      </c>
      <c r="AB223" s="58">
        <f t="shared" ca="1" si="262"/>
        <v>0</v>
      </c>
      <c r="AC223" s="58">
        <f t="shared" ca="1" si="262"/>
        <v>0</v>
      </c>
      <c r="AD223" s="58">
        <f t="shared" ca="1" si="262"/>
        <v>0</v>
      </c>
      <c r="AE223" s="58">
        <f t="shared" ca="1" si="262"/>
        <v>0</v>
      </c>
      <c r="AF223" s="58">
        <f t="shared" ca="1" si="262"/>
        <v>0</v>
      </c>
      <c r="AG223" s="58">
        <f t="shared" ca="1" si="262"/>
        <v>0</v>
      </c>
      <c r="AH223" s="58">
        <f t="shared" ca="1" si="262"/>
        <v>0</v>
      </c>
      <c r="AI223" s="58">
        <f t="shared" ca="1" si="262"/>
        <v>0</v>
      </c>
      <c r="AJ223" s="58">
        <f t="shared" ca="1" si="262"/>
        <v>0</v>
      </c>
      <c r="AK223" s="58">
        <f t="shared" ca="1" si="262"/>
        <v>0</v>
      </c>
      <c r="AL223" s="58">
        <f t="shared" ca="1" si="262"/>
        <v>0</v>
      </c>
      <c r="AM223" s="58">
        <f t="shared" ref="AM223:BR223" ca="1" si="263">+IF(OR($F223+AM$175&lt;1,(AM$176-1)*12&lt;-$F223),0,OFFSET(AM53,0,$F223))</f>
        <v>0</v>
      </c>
      <c r="AN223" s="58">
        <f t="shared" ca="1" si="263"/>
        <v>0</v>
      </c>
      <c r="AO223" s="58">
        <f t="shared" ca="1" si="263"/>
        <v>0</v>
      </c>
      <c r="AP223" s="58">
        <f t="shared" ca="1" si="263"/>
        <v>0</v>
      </c>
      <c r="AQ223" s="58">
        <f t="shared" ca="1" si="263"/>
        <v>0</v>
      </c>
      <c r="AR223" s="58">
        <f t="shared" ca="1" si="263"/>
        <v>0</v>
      </c>
      <c r="AS223" s="58">
        <f t="shared" ca="1" si="263"/>
        <v>0</v>
      </c>
      <c r="AT223" s="58">
        <f t="shared" ca="1" si="263"/>
        <v>0</v>
      </c>
      <c r="AU223" s="58">
        <f t="shared" ca="1" si="263"/>
        <v>0</v>
      </c>
      <c r="AV223" s="58">
        <f t="shared" ca="1" si="263"/>
        <v>0</v>
      </c>
      <c r="AW223" s="58">
        <f t="shared" ca="1" si="263"/>
        <v>0</v>
      </c>
      <c r="AX223" s="58">
        <f t="shared" ca="1" si="263"/>
        <v>0</v>
      </c>
      <c r="AY223" s="58">
        <f t="shared" ca="1" si="263"/>
        <v>0</v>
      </c>
      <c r="AZ223" s="58">
        <f t="shared" ca="1" si="263"/>
        <v>0</v>
      </c>
      <c r="BA223" s="58">
        <f t="shared" ca="1" si="263"/>
        <v>0</v>
      </c>
      <c r="BB223" s="58">
        <f t="shared" ca="1" si="263"/>
        <v>0</v>
      </c>
      <c r="BC223" s="58">
        <f t="shared" ca="1" si="263"/>
        <v>0</v>
      </c>
      <c r="BD223" s="58">
        <f t="shared" ca="1" si="263"/>
        <v>0</v>
      </c>
      <c r="BE223" s="58">
        <f t="shared" ca="1" si="263"/>
        <v>0</v>
      </c>
      <c r="BF223" s="58">
        <f t="shared" ca="1" si="263"/>
        <v>0</v>
      </c>
      <c r="BG223" s="58">
        <f t="shared" ca="1" si="263"/>
        <v>0</v>
      </c>
      <c r="BH223" s="58">
        <f t="shared" ca="1" si="263"/>
        <v>0</v>
      </c>
      <c r="BI223" s="58">
        <f t="shared" ca="1" si="263"/>
        <v>0</v>
      </c>
      <c r="BJ223" s="58">
        <f t="shared" ca="1" si="263"/>
        <v>0</v>
      </c>
      <c r="BK223" s="58">
        <f t="shared" ca="1" si="263"/>
        <v>0</v>
      </c>
      <c r="BL223" s="58">
        <f t="shared" ca="1" si="263"/>
        <v>0</v>
      </c>
      <c r="BM223" s="58">
        <f t="shared" ca="1" si="263"/>
        <v>0</v>
      </c>
      <c r="BN223" s="58">
        <f t="shared" ca="1" si="263"/>
        <v>0</v>
      </c>
      <c r="BO223" s="58">
        <f t="shared" ca="1" si="263"/>
        <v>0</v>
      </c>
      <c r="BP223" s="58">
        <f t="shared" ca="1" si="263"/>
        <v>0</v>
      </c>
      <c r="BQ223" s="58">
        <f t="shared" ca="1" si="263"/>
        <v>0</v>
      </c>
      <c r="BR223" s="58">
        <f t="shared" ca="1" si="263"/>
        <v>0</v>
      </c>
      <c r="BS223" s="58">
        <f t="shared" ref="BS223:CX223" ca="1" si="264">+IF(OR($F223+BS$175&lt;1,(BS$176-1)*12&lt;-$F223),0,OFFSET(BS53,0,$F223))</f>
        <v>0</v>
      </c>
      <c r="BT223" s="58">
        <f t="shared" ca="1" si="264"/>
        <v>0</v>
      </c>
      <c r="BU223" s="58">
        <f t="shared" ca="1" si="264"/>
        <v>0</v>
      </c>
      <c r="BV223" s="58">
        <f t="shared" ca="1" si="264"/>
        <v>0</v>
      </c>
      <c r="BW223" s="58">
        <f t="shared" ca="1" si="264"/>
        <v>0</v>
      </c>
      <c r="BX223" s="58">
        <f t="shared" ca="1" si="264"/>
        <v>0</v>
      </c>
      <c r="BY223" s="58">
        <f t="shared" ca="1" si="264"/>
        <v>0</v>
      </c>
      <c r="BZ223" s="58">
        <f t="shared" ca="1" si="264"/>
        <v>0</v>
      </c>
      <c r="CA223" s="58">
        <f t="shared" ca="1" si="264"/>
        <v>0</v>
      </c>
      <c r="CB223" s="58">
        <f t="shared" ca="1" si="264"/>
        <v>0</v>
      </c>
      <c r="CC223" s="58">
        <f t="shared" ca="1" si="264"/>
        <v>0</v>
      </c>
      <c r="CD223" s="58">
        <f t="shared" ca="1" si="264"/>
        <v>0</v>
      </c>
      <c r="CE223" s="58">
        <f t="shared" ca="1" si="264"/>
        <v>0</v>
      </c>
      <c r="CF223" s="58">
        <f t="shared" ca="1" si="264"/>
        <v>0</v>
      </c>
      <c r="CG223" s="58">
        <f t="shared" ca="1" si="264"/>
        <v>0</v>
      </c>
      <c r="CH223" s="58">
        <f t="shared" ca="1" si="264"/>
        <v>0</v>
      </c>
      <c r="CI223" s="58">
        <f t="shared" ca="1" si="264"/>
        <v>0</v>
      </c>
      <c r="CJ223" s="58">
        <f t="shared" ca="1" si="264"/>
        <v>0</v>
      </c>
      <c r="CK223" s="58">
        <f t="shared" ca="1" si="264"/>
        <v>0</v>
      </c>
      <c r="CL223" s="58">
        <f t="shared" ca="1" si="264"/>
        <v>0</v>
      </c>
      <c r="CM223" s="58">
        <f t="shared" ca="1" si="264"/>
        <v>0</v>
      </c>
      <c r="CN223" s="58">
        <f t="shared" ca="1" si="264"/>
        <v>0</v>
      </c>
      <c r="CO223" s="58">
        <f t="shared" ca="1" si="264"/>
        <v>0</v>
      </c>
      <c r="CP223" s="58">
        <f t="shared" ca="1" si="264"/>
        <v>0</v>
      </c>
      <c r="CQ223" s="58">
        <f t="shared" ca="1" si="264"/>
        <v>0</v>
      </c>
      <c r="CR223" s="58">
        <f t="shared" ca="1" si="264"/>
        <v>0</v>
      </c>
      <c r="CS223" s="58">
        <f t="shared" ca="1" si="264"/>
        <v>0</v>
      </c>
      <c r="CT223" s="58">
        <f t="shared" ca="1" si="264"/>
        <v>0</v>
      </c>
      <c r="CU223" s="58">
        <f t="shared" ca="1" si="264"/>
        <v>0</v>
      </c>
      <c r="CV223" s="58">
        <f t="shared" ca="1" si="264"/>
        <v>0</v>
      </c>
      <c r="CW223" s="58">
        <f t="shared" ca="1" si="264"/>
        <v>0</v>
      </c>
      <c r="CX223" s="58">
        <f t="shared" ca="1" si="264"/>
        <v>0</v>
      </c>
      <c r="CY223" s="58">
        <f t="shared" ref="CY223:ED223" ca="1" si="265">+IF(OR($F223+CY$175&lt;1,(CY$176-1)*12&lt;-$F223),0,OFFSET(CY53,0,$F223))</f>
        <v>0</v>
      </c>
      <c r="CZ223" s="58">
        <f t="shared" ca="1" si="265"/>
        <v>0</v>
      </c>
      <c r="DA223" s="58">
        <f t="shared" ca="1" si="265"/>
        <v>0</v>
      </c>
      <c r="DB223" s="58">
        <f t="shared" ca="1" si="265"/>
        <v>0</v>
      </c>
      <c r="DC223" s="58">
        <f t="shared" ca="1" si="265"/>
        <v>0</v>
      </c>
      <c r="DD223" s="58">
        <f t="shared" ca="1" si="265"/>
        <v>0</v>
      </c>
      <c r="DE223" s="58">
        <f t="shared" ca="1" si="265"/>
        <v>0</v>
      </c>
      <c r="DF223" s="58">
        <f t="shared" ca="1" si="265"/>
        <v>0</v>
      </c>
      <c r="DG223" s="58">
        <f t="shared" ca="1" si="265"/>
        <v>0</v>
      </c>
      <c r="DH223" s="58">
        <f t="shared" ca="1" si="265"/>
        <v>0</v>
      </c>
      <c r="DI223" s="58">
        <f t="shared" ca="1" si="265"/>
        <v>0</v>
      </c>
      <c r="DJ223" s="58">
        <f t="shared" ca="1" si="265"/>
        <v>0</v>
      </c>
      <c r="DK223" s="58">
        <f t="shared" ca="1" si="265"/>
        <v>0</v>
      </c>
      <c r="DL223" s="58">
        <f t="shared" ca="1" si="265"/>
        <v>0</v>
      </c>
      <c r="DM223" s="58">
        <f t="shared" ca="1" si="265"/>
        <v>0</v>
      </c>
      <c r="DN223" s="58">
        <f t="shared" ca="1" si="265"/>
        <v>0</v>
      </c>
      <c r="DO223" s="58">
        <f t="shared" ca="1" si="265"/>
        <v>0</v>
      </c>
      <c r="DP223" s="58">
        <f t="shared" ca="1" si="265"/>
        <v>0</v>
      </c>
      <c r="DQ223" s="58">
        <f t="shared" ca="1" si="265"/>
        <v>0</v>
      </c>
      <c r="DR223" s="58">
        <f t="shared" ca="1" si="265"/>
        <v>0</v>
      </c>
      <c r="DS223" s="58">
        <f t="shared" ca="1" si="265"/>
        <v>0</v>
      </c>
      <c r="DT223" s="58">
        <f t="shared" ca="1" si="265"/>
        <v>0</v>
      </c>
      <c r="DU223" s="58">
        <f t="shared" ca="1" si="265"/>
        <v>0</v>
      </c>
      <c r="DV223" s="58">
        <f t="shared" ca="1" si="265"/>
        <v>0</v>
      </c>
      <c r="DW223" s="58">
        <f t="shared" ca="1" si="265"/>
        <v>0</v>
      </c>
      <c r="DX223" s="58">
        <f t="shared" ca="1" si="265"/>
        <v>0</v>
      </c>
      <c r="DY223" s="58">
        <f t="shared" ca="1" si="265"/>
        <v>0</v>
      </c>
      <c r="DZ223" s="58">
        <f t="shared" ca="1" si="265"/>
        <v>0</v>
      </c>
      <c r="EA223" s="58">
        <f t="shared" ca="1" si="265"/>
        <v>0</v>
      </c>
      <c r="EB223" s="58">
        <f t="shared" ca="1" si="265"/>
        <v>0</v>
      </c>
      <c r="EC223" s="58">
        <f t="shared" ca="1" si="265"/>
        <v>0</v>
      </c>
      <c r="ED223" s="58">
        <f t="shared" ca="1" si="265"/>
        <v>0</v>
      </c>
      <c r="EE223" s="58">
        <f t="shared" ref="EE223:FN223" ca="1" si="266">+IF(OR($F223+EE$175&lt;1,(EE$176-1)*12&lt;-$F223),0,OFFSET(EE53,0,$F223))</f>
        <v>0</v>
      </c>
      <c r="EF223" s="58">
        <f t="shared" ca="1" si="266"/>
        <v>0</v>
      </c>
      <c r="EG223" s="58">
        <f t="shared" ca="1" si="266"/>
        <v>0</v>
      </c>
      <c r="EH223" s="58">
        <f t="shared" ca="1" si="266"/>
        <v>0</v>
      </c>
      <c r="EI223" s="58">
        <f t="shared" ca="1" si="266"/>
        <v>0</v>
      </c>
      <c r="EJ223" s="58">
        <f t="shared" ca="1" si="266"/>
        <v>0</v>
      </c>
      <c r="EK223" s="58">
        <f t="shared" ca="1" si="266"/>
        <v>0</v>
      </c>
      <c r="EL223" s="58">
        <f t="shared" ca="1" si="266"/>
        <v>0</v>
      </c>
      <c r="EM223" s="58">
        <f t="shared" ca="1" si="266"/>
        <v>0</v>
      </c>
      <c r="EN223" s="58">
        <f t="shared" ca="1" si="266"/>
        <v>0</v>
      </c>
      <c r="EO223" s="58">
        <f t="shared" ca="1" si="266"/>
        <v>0</v>
      </c>
      <c r="EP223" s="58">
        <f t="shared" ca="1" si="266"/>
        <v>0</v>
      </c>
      <c r="EQ223" s="58">
        <f t="shared" ca="1" si="266"/>
        <v>0</v>
      </c>
      <c r="ER223" s="58">
        <f t="shared" ca="1" si="266"/>
        <v>0</v>
      </c>
      <c r="ES223" s="58">
        <f t="shared" ca="1" si="266"/>
        <v>0</v>
      </c>
      <c r="ET223" s="58">
        <f t="shared" ca="1" si="266"/>
        <v>0</v>
      </c>
      <c r="EU223" s="58">
        <f t="shared" ca="1" si="266"/>
        <v>0</v>
      </c>
      <c r="EV223" s="58">
        <f t="shared" ca="1" si="266"/>
        <v>0</v>
      </c>
      <c r="EW223" s="58">
        <f t="shared" ca="1" si="266"/>
        <v>0</v>
      </c>
      <c r="EX223" s="58">
        <f t="shared" ca="1" si="266"/>
        <v>0</v>
      </c>
      <c r="EY223" s="58">
        <f t="shared" ca="1" si="266"/>
        <v>0</v>
      </c>
      <c r="EZ223" s="58">
        <f t="shared" ca="1" si="266"/>
        <v>0</v>
      </c>
      <c r="FA223" s="58">
        <f t="shared" ca="1" si="266"/>
        <v>0</v>
      </c>
      <c r="FB223" s="58">
        <f t="shared" ca="1" si="266"/>
        <v>0</v>
      </c>
      <c r="FC223" s="58">
        <f t="shared" ca="1" si="266"/>
        <v>0</v>
      </c>
      <c r="FD223" s="58">
        <f t="shared" ca="1" si="266"/>
        <v>0</v>
      </c>
      <c r="FE223" s="58">
        <f t="shared" ca="1" si="266"/>
        <v>0</v>
      </c>
      <c r="FF223" s="58">
        <f t="shared" ca="1" si="266"/>
        <v>0</v>
      </c>
      <c r="FG223" s="58">
        <f t="shared" ca="1" si="266"/>
        <v>0</v>
      </c>
      <c r="FH223" s="58">
        <f t="shared" ca="1" si="266"/>
        <v>0</v>
      </c>
      <c r="FI223" s="58">
        <f t="shared" ca="1" si="266"/>
        <v>0</v>
      </c>
      <c r="FJ223" s="58">
        <f t="shared" ca="1" si="266"/>
        <v>0</v>
      </c>
      <c r="FK223" s="58">
        <f t="shared" ca="1" si="266"/>
        <v>0</v>
      </c>
      <c r="FL223" s="58">
        <f t="shared" ca="1" si="266"/>
        <v>0</v>
      </c>
      <c r="FM223" s="58">
        <f t="shared" ca="1" si="266"/>
        <v>0</v>
      </c>
      <c r="FN223" s="58">
        <f t="shared" ca="1" si="266"/>
        <v>0</v>
      </c>
      <c r="FO223" s="13"/>
    </row>
    <row r="224" spans="1:171" outlineLevel="1" x14ac:dyDescent="0.3">
      <c r="A224" s="13"/>
      <c r="B224" s="13"/>
      <c r="C224" s="13"/>
      <c r="D224" s="52">
        <f t="shared" si="194"/>
        <v>41579</v>
      </c>
      <c r="E224" s="53">
        <f t="shared" si="195"/>
        <v>2013</v>
      </c>
      <c r="F224" s="53">
        <f t="shared" si="196"/>
        <v>-2</v>
      </c>
      <c r="G224" s="58">
        <f t="shared" ref="G224:AL224" ca="1" si="267">+IF(OR($F224+G$175&lt;1,(G$176-1)*12&lt;-$F224),0,OFFSET(G54,0,$F224))</f>
        <v>0</v>
      </c>
      <c r="H224" s="58">
        <f t="shared" ca="1" si="267"/>
        <v>0</v>
      </c>
      <c r="I224" s="58">
        <f t="shared" ca="1" si="267"/>
        <v>0</v>
      </c>
      <c r="J224" s="58">
        <f t="shared" ca="1" si="267"/>
        <v>0</v>
      </c>
      <c r="K224" s="58">
        <f t="shared" ca="1" si="267"/>
        <v>0</v>
      </c>
      <c r="L224" s="58">
        <f t="shared" ca="1" si="267"/>
        <v>0</v>
      </c>
      <c r="M224" s="58">
        <f t="shared" ca="1" si="267"/>
        <v>0</v>
      </c>
      <c r="N224" s="58">
        <f t="shared" ca="1" si="267"/>
        <v>0</v>
      </c>
      <c r="O224" s="58">
        <f t="shared" ca="1" si="267"/>
        <v>0</v>
      </c>
      <c r="P224" s="58">
        <f t="shared" ca="1" si="267"/>
        <v>0</v>
      </c>
      <c r="Q224" s="58">
        <f t="shared" ca="1" si="267"/>
        <v>0</v>
      </c>
      <c r="R224" s="58">
        <f t="shared" ca="1" si="267"/>
        <v>0</v>
      </c>
      <c r="S224" s="58">
        <f t="shared" ca="1" si="267"/>
        <v>0</v>
      </c>
      <c r="T224" s="58">
        <f t="shared" ca="1" si="267"/>
        <v>0</v>
      </c>
      <c r="U224" s="58">
        <f t="shared" ca="1" si="267"/>
        <v>0</v>
      </c>
      <c r="V224" s="58">
        <f t="shared" ca="1" si="267"/>
        <v>0</v>
      </c>
      <c r="W224" s="58">
        <f t="shared" ca="1" si="267"/>
        <v>0</v>
      </c>
      <c r="X224" s="58">
        <f t="shared" ca="1" si="267"/>
        <v>0</v>
      </c>
      <c r="Y224" s="58">
        <f t="shared" ca="1" si="267"/>
        <v>0</v>
      </c>
      <c r="Z224" s="58">
        <f t="shared" ca="1" si="267"/>
        <v>0</v>
      </c>
      <c r="AA224" s="58">
        <f t="shared" ca="1" si="267"/>
        <v>0</v>
      </c>
      <c r="AB224" s="58">
        <f t="shared" ca="1" si="267"/>
        <v>0</v>
      </c>
      <c r="AC224" s="58">
        <f t="shared" ca="1" si="267"/>
        <v>0</v>
      </c>
      <c r="AD224" s="58">
        <f t="shared" ca="1" si="267"/>
        <v>0</v>
      </c>
      <c r="AE224" s="58">
        <f t="shared" ca="1" si="267"/>
        <v>0</v>
      </c>
      <c r="AF224" s="58">
        <f t="shared" ca="1" si="267"/>
        <v>0</v>
      </c>
      <c r="AG224" s="58">
        <f t="shared" ca="1" si="267"/>
        <v>0</v>
      </c>
      <c r="AH224" s="58">
        <f t="shared" ca="1" si="267"/>
        <v>0</v>
      </c>
      <c r="AI224" s="58">
        <f t="shared" ca="1" si="267"/>
        <v>0</v>
      </c>
      <c r="AJ224" s="58">
        <f t="shared" ca="1" si="267"/>
        <v>0</v>
      </c>
      <c r="AK224" s="58">
        <f t="shared" ca="1" si="267"/>
        <v>0</v>
      </c>
      <c r="AL224" s="58">
        <f t="shared" ca="1" si="267"/>
        <v>0</v>
      </c>
      <c r="AM224" s="58">
        <f t="shared" ref="AM224:BR224" ca="1" si="268">+IF(OR($F224+AM$175&lt;1,(AM$176-1)*12&lt;-$F224),0,OFFSET(AM54,0,$F224))</f>
        <v>0</v>
      </c>
      <c r="AN224" s="58">
        <f t="shared" ca="1" si="268"/>
        <v>0</v>
      </c>
      <c r="AO224" s="58">
        <f t="shared" ca="1" si="268"/>
        <v>0</v>
      </c>
      <c r="AP224" s="58">
        <f t="shared" ca="1" si="268"/>
        <v>0</v>
      </c>
      <c r="AQ224" s="58">
        <f t="shared" ca="1" si="268"/>
        <v>0</v>
      </c>
      <c r="AR224" s="58">
        <f t="shared" ca="1" si="268"/>
        <v>0</v>
      </c>
      <c r="AS224" s="58">
        <f t="shared" ca="1" si="268"/>
        <v>0</v>
      </c>
      <c r="AT224" s="58">
        <f t="shared" ca="1" si="268"/>
        <v>0</v>
      </c>
      <c r="AU224" s="58">
        <f t="shared" ca="1" si="268"/>
        <v>0</v>
      </c>
      <c r="AV224" s="58">
        <f t="shared" ca="1" si="268"/>
        <v>0</v>
      </c>
      <c r="AW224" s="58">
        <f t="shared" ca="1" si="268"/>
        <v>0</v>
      </c>
      <c r="AX224" s="58">
        <f t="shared" ca="1" si="268"/>
        <v>0</v>
      </c>
      <c r="AY224" s="58">
        <f t="shared" ca="1" si="268"/>
        <v>0</v>
      </c>
      <c r="AZ224" s="58">
        <f t="shared" ca="1" si="268"/>
        <v>0</v>
      </c>
      <c r="BA224" s="58">
        <f t="shared" ca="1" si="268"/>
        <v>0</v>
      </c>
      <c r="BB224" s="58">
        <f t="shared" ca="1" si="268"/>
        <v>0</v>
      </c>
      <c r="BC224" s="58">
        <f t="shared" ca="1" si="268"/>
        <v>0</v>
      </c>
      <c r="BD224" s="58">
        <f t="shared" ca="1" si="268"/>
        <v>0</v>
      </c>
      <c r="BE224" s="58">
        <f t="shared" ca="1" si="268"/>
        <v>0</v>
      </c>
      <c r="BF224" s="58">
        <f t="shared" ca="1" si="268"/>
        <v>0</v>
      </c>
      <c r="BG224" s="58">
        <f t="shared" ca="1" si="268"/>
        <v>0</v>
      </c>
      <c r="BH224" s="58">
        <f t="shared" ca="1" si="268"/>
        <v>0</v>
      </c>
      <c r="BI224" s="58">
        <f t="shared" ca="1" si="268"/>
        <v>0</v>
      </c>
      <c r="BJ224" s="58">
        <f t="shared" ca="1" si="268"/>
        <v>0</v>
      </c>
      <c r="BK224" s="58">
        <f t="shared" ca="1" si="268"/>
        <v>0</v>
      </c>
      <c r="BL224" s="58">
        <f t="shared" ca="1" si="268"/>
        <v>0</v>
      </c>
      <c r="BM224" s="58">
        <f t="shared" ca="1" si="268"/>
        <v>0</v>
      </c>
      <c r="BN224" s="58">
        <f t="shared" ca="1" si="268"/>
        <v>0</v>
      </c>
      <c r="BO224" s="58">
        <f t="shared" ca="1" si="268"/>
        <v>0</v>
      </c>
      <c r="BP224" s="58">
        <f t="shared" ca="1" si="268"/>
        <v>0</v>
      </c>
      <c r="BQ224" s="58">
        <f t="shared" ca="1" si="268"/>
        <v>0</v>
      </c>
      <c r="BR224" s="58">
        <f t="shared" ca="1" si="268"/>
        <v>0</v>
      </c>
      <c r="BS224" s="58">
        <f t="shared" ref="BS224:CX224" ca="1" si="269">+IF(OR($F224+BS$175&lt;1,(BS$176-1)*12&lt;-$F224),0,OFFSET(BS54,0,$F224))</f>
        <v>0</v>
      </c>
      <c r="BT224" s="58">
        <f t="shared" ca="1" si="269"/>
        <v>0</v>
      </c>
      <c r="BU224" s="58">
        <f t="shared" ca="1" si="269"/>
        <v>0</v>
      </c>
      <c r="BV224" s="58">
        <f t="shared" ca="1" si="269"/>
        <v>0</v>
      </c>
      <c r="BW224" s="58">
        <f t="shared" ca="1" si="269"/>
        <v>0</v>
      </c>
      <c r="BX224" s="58">
        <f t="shared" ca="1" si="269"/>
        <v>0</v>
      </c>
      <c r="BY224" s="58">
        <f t="shared" ca="1" si="269"/>
        <v>0</v>
      </c>
      <c r="BZ224" s="58">
        <f t="shared" ca="1" si="269"/>
        <v>0</v>
      </c>
      <c r="CA224" s="58">
        <f t="shared" ca="1" si="269"/>
        <v>0</v>
      </c>
      <c r="CB224" s="58">
        <f t="shared" ca="1" si="269"/>
        <v>0</v>
      </c>
      <c r="CC224" s="58">
        <f t="shared" ca="1" si="269"/>
        <v>0</v>
      </c>
      <c r="CD224" s="58">
        <f t="shared" ca="1" si="269"/>
        <v>0</v>
      </c>
      <c r="CE224" s="58">
        <f t="shared" ca="1" si="269"/>
        <v>0</v>
      </c>
      <c r="CF224" s="58">
        <f t="shared" ca="1" si="269"/>
        <v>0</v>
      </c>
      <c r="CG224" s="58">
        <f t="shared" ca="1" si="269"/>
        <v>0</v>
      </c>
      <c r="CH224" s="58">
        <f t="shared" ca="1" si="269"/>
        <v>0</v>
      </c>
      <c r="CI224" s="58">
        <f t="shared" ca="1" si="269"/>
        <v>0</v>
      </c>
      <c r="CJ224" s="58">
        <f t="shared" ca="1" si="269"/>
        <v>0</v>
      </c>
      <c r="CK224" s="58">
        <f t="shared" ca="1" si="269"/>
        <v>0</v>
      </c>
      <c r="CL224" s="58">
        <f t="shared" ca="1" si="269"/>
        <v>0</v>
      </c>
      <c r="CM224" s="58">
        <f t="shared" ca="1" si="269"/>
        <v>0</v>
      </c>
      <c r="CN224" s="58">
        <f t="shared" ca="1" si="269"/>
        <v>0</v>
      </c>
      <c r="CO224" s="58">
        <f t="shared" ca="1" si="269"/>
        <v>0</v>
      </c>
      <c r="CP224" s="58">
        <f t="shared" ca="1" si="269"/>
        <v>0</v>
      </c>
      <c r="CQ224" s="58">
        <f t="shared" ca="1" si="269"/>
        <v>0</v>
      </c>
      <c r="CR224" s="58">
        <f t="shared" ca="1" si="269"/>
        <v>0</v>
      </c>
      <c r="CS224" s="58">
        <f t="shared" ca="1" si="269"/>
        <v>0</v>
      </c>
      <c r="CT224" s="58">
        <f t="shared" ca="1" si="269"/>
        <v>0</v>
      </c>
      <c r="CU224" s="58">
        <f t="shared" ca="1" si="269"/>
        <v>0</v>
      </c>
      <c r="CV224" s="58">
        <f t="shared" ca="1" si="269"/>
        <v>0</v>
      </c>
      <c r="CW224" s="58">
        <f t="shared" ca="1" si="269"/>
        <v>0</v>
      </c>
      <c r="CX224" s="58">
        <f t="shared" ca="1" si="269"/>
        <v>0</v>
      </c>
      <c r="CY224" s="58">
        <f t="shared" ref="CY224:ED224" ca="1" si="270">+IF(OR($F224+CY$175&lt;1,(CY$176-1)*12&lt;-$F224),0,OFFSET(CY54,0,$F224))</f>
        <v>0</v>
      </c>
      <c r="CZ224" s="58">
        <f t="shared" ca="1" si="270"/>
        <v>0</v>
      </c>
      <c r="DA224" s="58">
        <f t="shared" ca="1" si="270"/>
        <v>0</v>
      </c>
      <c r="DB224" s="58">
        <f t="shared" ca="1" si="270"/>
        <v>0</v>
      </c>
      <c r="DC224" s="58">
        <f t="shared" ca="1" si="270"/>
        <v>0</v>
      </c>
      <c r="DD224" s="58">
        <f t="shared" ca="1" si="270"/>
        <v>0</v>
      </c>
      <c r="DE224" s="58">
        <f t="shared" ca="1" si="270"/>
        <v>0</v>
      </c>
      <c r="DF224" s="58">
        <f t="shared" ca="1" si="270"/>
        <v>0</v>
      </c>
      <c r="DG224" s="58">
        <f t="shared" ca="1" si="270"/>
        <v>0</v>
      </c>
      <c r="DH224" s="58">
        <f t="shared" ca="1" si="270"/>
        <v>0</v>
      </c>
      <c r="DI224" s="58">
        <f t="shared" ca="1" si="270"/>
        <v>0</v>
      </c>
      <c r="DJ224" s="58">
        <f t="shared" ca="1" si="270"/>
        <v>0</v>
      </c>
      <c r="DK224" s="58">
        <f t="shared" ca="1" si="270"/>
        <v>0</v>
      </c>
      <c r="DL224" s="58">
        <f t="shared" ca="1" si="270"/>
        <v>0</v>
      </c>
      <c r="DM224" s="58">
        <f t="shared" ca="1" si="270"/>
        <v>0</v>
      </c>
      <c r="DN224" s="58">
        <f t="shared" ca="1" si="270"/>
        <v>0</v>
      </c>
      <c r="DO224" s="58">
        <f t="shared" ca="1" si="270"/>
        <v>0</v>
      </c>
      <c r="DP224" s="58">
        <f t="shared" ca="1" si="270"/>
        <v>0</v>
      </c>
      <c r="DQ224" s="58">
        <f t="shared" ca="1" si="270"/>
        <v>0</v>
      </c>
      <c r="DR224" s="58">
        <f t="shared" ca="1" si="270"/>
        <v>0</v>
      </c>
      <c r="DS224" s="58">
        <f t="shared" ca="1" si="270"/>
        <v>0</v>
      </c>
      <c r="DT224" s="58">
        <f t="shared" ca="1" si="270"/>
        <v>0</v>
      </c>
      <c r="DU224" s="58">
        <f t="shared" ca="1" si="270"/>
        <v>0</v>
      </c>
      <c r="DV224" s="58">
        <f t="shared" ca="1" si="270"/>
        <v>0</v>
      </c>
      <c r="DW224" s="58">
        <f t="shared" ca="1" si="270"/>
        <v>0</v>
      </c>
      <c r="DX224" s="58">
        <f t="shared" ca="1" si="270"/>
        <v>0</v>
      </c>
      <c r="DY224" s="58">
        <f t="shared" ca="1" si="270"/>
        <v>0</v>
      </c>
      <c r="DZ224" s="58">
        <f t="shared" ca="1" si="270"/>
        <v>0</v>
      </c>
      <c r="EA224" s="58">
        <f t="shared" ca="1" si="270"/>
        <v>0</v>
      </c>
      <c r="EB224" s="58">
        <f t="shared" ca="1" si="270"/>
        <v>0</v>
      </c>
      <c r="EC224" s="58">
        <f t="shared" ca="1" si="270"/>
        <v>0</v>
      </c>
      <c r="ED224" s="58">
        <f t="shared" ca="1" si="270"/>
        <v>0</v>
      </c>
      <c r="EE224" s="58">
        <f t="shared" ref="EE224:FN224" ca="1" si="271">+IF(OR($F224+EE$175&lt;1,(EE$176-1)*12&lt;-$F224),0,OFFSET(EE54,0,$F224))</f>
        <v>0</v>
      </c>
      <c r="EF224" s="58">
        <f t="shared" ca="1" si="271"/>
        <v>0</v>
      </c>
      <c r="EG224" s="58">
        <f t="shared" ca="1" si="271"/>
        <v>0</v>
      </c>
      <c r="EH224" s="58">
        <f t="shared" ca="1" si="271"/>
        <v>0</v>
      </c>
      <c r="EI224" s="58">
        <f t="shared" ca="1" si="271"/>
        <v>0</v>
      </c>
      <c r="EJ224" s="58">
        <f t="shared" ca="1" si="271"/>
        <v>0</v>
      </c>
      <c r="EK224" s="58">
        <f t="shared" ca="1" si="271"/>
        <v>0</v>
      </c>
      <c r="EL224" s="58">
        <f t="shared" ca="1" si="271"/>
        <v>0</v>
      </c>
      <c r="EM224" s="58">
        <f t="shared" ca="1" si="271"/>
        <v>0</v>
      </c>
      <c r="EN224" s="58">
        <f t="shared" ca="1" si="271"/>
        <v>0</v>
      </c>
      <c r="EO224" s="58">
        <f t="shared" ca="1" si="271"/>
        <v>0</v>
      </c>
      <c r="EP224" s="58">
        <f t="shared" ca="1" si="271"/>
        <v>0</v>
      </c>
      <c r="EQ224" s="58">
        <f t="shared" ca="1" si="271"/>
        <v>0</v>
      </c>
      <c r="ER224" s="58">
        <f t="shared" ca="1" si="271"/>
        <v>0</v>
      </c>
      <c r="ES224" s="58">
        <f t="shared" ca="1" si="271"/>
        <v>0</v>
      </c>
      <c r="ET224" s="58">
        <f t="shared" ca="1" si="271"/>
        <v>0</v>
      </c>
      <c r="EU224" s="58">
        <f t="shared" ca="1" si="271"/>
        <v>0</v>
      </c>
      <c r="EV224" s="58">
        <f t="shared" ca="1" si="271"/>
        <v>0</v>
      </c>
      <c r="EW224" s="58">
        <f t="shared" ca="1" si="271"/>
        <v>0</v>
      </c>
      <c r="EX224" s="58">
        <f t="shared" ca="1" si="271"/>
        <v>0</v>
      </c>
      <c r="EY224" s="58">
        <f t="shared" ca="1" si="271"/>
        <v>0</v>
      </c>
      <c r="EZ224" s="58">
        <f t="shared" ca="1" si="271"/>
        <v>0</v>
      </c>
      <c r="FA224" s="58">
        <f t="shared" ca="1" si="271"/>
        <v>0</v>
      </c>
      <c r="FB224" s="58">
        <f t="shared" ca="1" si="271"/>
        <v>0</v>
      </c>
      <c r="FC224" s="58">
        <f t="shared" ca="1" si="271"/>
        <v>0</v>
      </c>
      <c r="FD224" s="58">
        <f t="shared" ca="1" si="271"/>
        <v>0</v>
      </c>
      <c r="FE224" s="58">
        <f t="shared" ca="1" si="271"/>
        <v>0</v>
      </c>
      <c r="FF224" s="58">
        <f t="shared" ca="1" si="271"/>
        <v>0</v>
      </c>
      <c r="FG224" s="58">
        <f t="shared" ca="1" si="271"/>
        <v>0</v>
      </c>
      <c r="FH224" s="58">
        <f t="shared" ca="1" si="271"/>
        <v>0</v>
      </c>
      <c r="FI224" s="58">
        <f t="shared" ca="1" si="271"/>
        <v>0</v>
      </c>
      <c r="FJ224" s="58">
        <f t="shared" ca="1" si="271"/>
        <v>0</v>
      </c>
      <c r="FK224" s="58">
        <f t="shared" ca="1" si="271"/>
        <v>0</v>
      </c>
      <c r="FL224" s="58">
        <f t="shared" ca="1" si="271"/>
        <v>0</v>
      </c>
      <c r="FM224" s="58">
        <f t="shared" ca="1" si="271"/>
        <v>0</v>
      </c>
      <c r="FN224" s="58">
        <f t="shared" ca="1" si="271"/>
        <v>0</v>
      </c>
      <c r="FO224" s="13"/>
    </row>
    <row r="225" spans="1:171" outlineLevel="1" x14ac:dyDescent="0.3">
      <c r="A225" s="13"/>
      <c r="B225" s="13"/>
      <c r="C225" s="13"/>
      <c r="D225" s="52">
        <f t="shared" si="194"/>
        <v>41609</v>
      </c>
      <c r="E225" s="53">
        <f t="shared" si="195"/>
        <v>2013</v>
      </c>
      <c r="F225" s="53">
        <f t="shared" si="196"/>
        <v>-1</v>
      </c>
      <c r="G225" s="58">
        <f t="shared" ref="G225:AL225" ca="1" si="272">+IF(OR($F225+G$175&lt;1,(G$176-1)*12&lt;-$F225),0,OFFSET(G55,0,$F225))</f>
        <v>0</v>
      </c>
      <c r="H225" s="58">
        <f t="shared" ca="1" si="272"/>
        <v>0</v>
      </c>
      <c r="I225" s="58">
        <f t="shared" ca="1" si="272"/>
        <v>0</v>
      </c>
      <c r="J225" s="58">
        <f t="shared" ca="1" si="272"/>
        <v>0</v>
      </c>
      <c r="K225" s="58">
        <f t="shared" ca="1" si="272"/>
        <v>0</v>
      </c>
      <c r="L225" s="58">
        <f t="shared" ca="1" si="272"/>
        <v>0</v>
      </c>
      <c r="M225" s="58">
        <f t="shared" ca="1" si="272"/>
        <v>0</v>
      </c>
      <c r="N225" s="58">
        <f t="shared" ca="1" si="272"/>
        <v>0</v>
      </c>
      <c r="O225" s="58">
        <f t="shared" ca="1" si="272"/>
        <v>0</v>
      </c>
      <c r="P225" s="58">
        <f t="shared" ca="1" si="272"/>
        <v>0</v>
      </c>
      <c r="Q225" s="58">
        <f t="shared" ca="1" si="272"/>
        <v>0</v>
      </c>
      <c r="R225" s="58">
        <f t="shared" ca="1" si="272"/>
        <v>0</v>
      </c>
      <c r="S225" s="58">
        <f t="shared" ca="1" si="272"/>
        <v>0</v>
      </c>
      <c r="T225" s="58">
        <f t="shared" ca="1" si="272"/>
        <v>0</v>
      </c>
      <c r="U225" s="58">
        <f t="shared" ca="1" si="272"/>
        <v>0</v>
      </c>
      <c r="V225" s="58">
        <f t="shared" ca="1" si="272"/>
        <v>0</v>
      </c>
      <c r="W225" s="58">
        <f t="shared" ca="1" si="272"/>
        <v>0</v>
      </c>
      <c r="X225" s="58">
        <f t="shared" ca="1" si="272"/>
        <v>0</v>
      </c>
      <c r="Y225" s="58">
        <f t="shared" ca="1" si="272"/>
        <v>0</v>
      </c>
      <c r="Z225" s="58">
        <f t="shared" ca="1" si="272"/>
        <v>0</v>
      </c>
      <c r="AA225" s="58">
        <f t="shared" ca="1" si="272"/>
        <v>0</v>
      </c>
      <c r="AB225" s="58">
        <f t="shared" ca="1" si="272"/>
        <v>0</v>
      </c>
      <c r="AC225" s="58">
        <f t="shared" ca="1" si="272"/>
        <v>0</v>
      </c>
      <c r="AD225" s="58">
        <f t="shared" ca="1" si="272"/>
        <v>0</v>
      </c>
      <c r="AE225" s="58">
        <f t="shared" ca="1" si="272"/>
        <v>0</v>
      </c>
      <c r="AF225" s="58">
        <f t="shared" ca="1" si="272"/>
        <v>0</v>
      </c>
      <c r="AG225" s="58">
        <f t="shared" ca="1" si="272"/>
        <v>0</v>
      </c>
      <c r="AH225" s="58">
        <f t="shared" ca="1" si="272"/>
        <v>0</v>
      </c>
      <c r="AI225" s="58">
        <f t="shared" ca="1" si="272"/>
        <v>0</v>
      </c>
      <c r="AJ225" s="58">
        <f t="shared" ca="1" si="272"/>
        <v>0</v>
      </c>
      <c r="AK225" s="58">
        <f t="shared" ca="1" si="272"/>
        <v>0</v>
      </c>
      <c r="AL225" s="58">
        <f t="shared" ca="1" si="272"/>
        <v>0</v>
      </c>
      <c r="AM225" s="58">
        <f t="shared" ref="AM225:BR225" ca="1" si="273">+IF(OR($F225+AM$175&lt;1,(AM$176-1)*12&lt;-$F225),0,OFFSET(AM55,0,$F225))</f>
        <v>0</v>
      </c>
      <c r="AN225" s="58">
        <f t="shared" ca="1" si="273"/>
        <v>0</v>
      </c>
      <c r="AO225" s="58">
        <f t="shared" ca="1" si="273"/>
        <v>0</v>
      </c>
      <c r="AP225" s="58">
        <f t="shared" ca="1" si="273"/>
        <v>0</v>
      </c>
      <c r="AQ225" s="58">
        <f t="shared" ca="1" si="273"/>
        <v>0</v>
      </c>
      <c r="AR225" s="58">
        <f t="shared" ca="1" si="273"/>
        <v>0</v>
      </c>
      <c r="AS225" s="58">
        <f t="shared" ca="1" si="273"/>
        <v>0</v>
      </c>
      <c r="AT225" s="58">
        <f t="shared" ca="1" si="273"/>
        <v>0</v>
      </c>
      <c r="AU225" s="58">
        <f t="shared" ca="1" si="273"/>
        <v>0</v>
      </c>
      <c r="AV225" s="58">
        <f t="shared" ca="1" si="273"/>
        <v>0</v>
      </c>
      <c r="AW225" s="58">
        <f t="shared" ca="1" si="273"/>
        <v>0</v>
      </c>
      <c r="AX225" s="58">
        <f t="shared" ca="1" si="273"/>
        <v>0</v>
      </c>
      <c r="AY225" s="58">
        <f t="shared" ca="1" si="273"/>
        <v>0</v>
      </c>
      <c r="AZ225" s="58">
        <f t="shared" ca="1" si="273"/>
        <v>0</v>
      </c>
      <c r="BA225" s="58">
        <f t="shared" ca="1" si="273"/>
        <v>0</v>
      </c>
      <c r="BB225" s="58">
        <f t="shared" ca="1" si="273"/>
        <v>0</v>
      </c>
      <c r="BC225" s="58">
        <f t="shared" ca="1" si="273"/>
        <v>0</v>
      </c>
      <c r="BD225" s="58">
        <f t="shared" ca="1" si="273"/>
        <v>0</v>
      </c>
      <c r="BE225" s="58">
        <f t="shared" ca="1" si="273"/>
        <v>0</v>
      </c>
      <c r="BF225" s="58">
        <f t="shared" ca="1" si="273"/>
        <v>0</v>
      </c>
      <c r="BG225" s="58">
        <f t="shared" ca="1" si="273"/>
        <v>0</v>
      </c>
      <c r="BH225" s="58">
        <f t="shared" ca="1" si="273"/>
        <v>0</v>
      </c>
      <c r="BI225" s="58">
        <f t="shared" ca="1" si="273"/>
        <v>0</v>
      </c>
      <c r="BJ225" s="58">
        <f t="shared" ca="1" si="273"/>
        <v>0</v>
      </c>
      <c r="BK225" s="58">
        <f t="shared" ca="1" si="273"/>
        <v>0</v>
      </c>
      <c r="BL225" s="58">
        <f t="shared" ca="1" si="273"/>
        <v>0</v>
      </c>
      <c r="BM225" s="58">
        <f t="shared" ca="1" si="273"/>
        <v>0</v>
      </c>
      <c r="BN225" s="58">
        <f t="shared" ca="1" si="273"/>
        <v>0</v>
      </c>
      <c r="BO225" s="58">
        <f t="shared" ca="1" si="273"/>
        <v>0</v>
      </c>
      <c r="BP225" s="58">
        <f t="shared" ca="1" si="273"/>
        <v>0</v>
      </c>
      <c r="BQ225" s="58">
        <f t="shared" ca="1" si="273"/>
        <v>0</v>
      </c>
      <c r="BR225" s="58">
        <f t="shared" ca="1" si="273"/>
        <v>0</v>
      </c>
      <c r="BS225" s="58">
        <f t="shared" ref="BS225:CX225" ca="1" si="274">+IF(OR($F225+BS$175&lt;1,(BS$176-1)*12&lt;-$F225),0,OFFSET(BS55,0,$F225))</f>
        <v>0</v>
      </c>
      <c r="BT225" s="58">
        <f t="shared" ca="1" si="274"/>
        <v>0</v>
      </c>
      <c r="BU225" s="58">
        <f t="shared" ca="1" si="274"/>
        <v>0</v>
      </c>
      <c r="BV225" s="58">
        <f t="shared" ca="1" si="274"/>
        <v>0</v>
      </c>
      <c r="BW225" s="58">
        <f t="shared" ca="1" si="274"/>
        <v>0</v>
      </c>
      <c r="BX225" s="58">
        <f t="shared" ca="1" si="274"/>
        <v>0</v>
      </c>
      <c r="BY225" s="58">
        <f t="shared" ca="1" si="274"/>
        <v>0</v>
      </c>
      <c r="BZ225" s="58">
        <f t="shared" ca="1" si="274"/>
        <v>0</v>
      </c>
      <c r="CA225" s="58">
        <f t="shared" ca="1" si="274"/>
        <v>0</v>
      </c>
      <c r="CB225" s="58">
        <f t="shared" ca="1" si="274"/>
        <v>0</v>
      </c>
      <c r="CC225" s="58">
        <f t="shared" ca="1" si="274"/>
        <v>0</v>
      </c>
      <c r="CD225" s="58">
        <f t="shared" ca="1" si="274"/>
        <v>0</v>
      </c>
      <c r="CE225" s="58">
        <f t="shared" ca="1" si="274"/>
        <v>0</v>
      </c>
      <c r="CF225" s="58">
        <f t="shared" ca="1" si="274"/>
        <v>0</v>
      </c>
      <c r="CG225" s="58">
        <f t="shared" ca="1" si="274"/>
        <v>0</v>
      </c>
      <c r="CH225" s="58">
        <f t="shared" ca="1" si="274"/>
        <v>0</v>
      </c>
      <c r="CI225" s="58">
        <f t="shared" ca="1" si="274"/>
        <v>0</v>
      </c>
      <c r="CJ225" s="58">
        <f t="shared" ca="1" si="274"/>
        <v>0</v>
      </c>
      <c r="CK225" s="58">
        <f t="shared" ca="1" si="274"/>
        <v>0</v>
      </c>
      <c r="CL225" s="58">
        <f t="shared" ca="1" si="274"/>
        <v>0</v>
      </c>
      <c r="CM225" s="58">
        <f t="shared" ca="1" si="274"/>
        <v>0</v>
      </c>
      <c r="CN225" s="58">
        <f t="shared" ca="1" si="274"/>
        <v>0</v>
      </c>
      <c r="CO225" s="58">
        <f t="shared" ca="1" si="274"/>
        <v>0</v>
      </c>
      <c r="CP225" s="58">
        <f t="shared" ca="1" si="274"/>
        <v>0</v>
      </c>
      <c r="CQ225" s="58">
        <f t="shared" ca="1" si="274"/>
        <v>0</v>
      </c>
      <c r="CR225" s="58">
        <f t="shared" ca="1" si="274"/>
        <v>0</v>
      </c>
      <c r="CS225" s="58">
        <f t="shared" ca="1" si="274"/>
        <v>0</v>
      </c>
      <c r="CT225" s="58">
        <f t="shared" ca="1" si="274"/>
        <v>0</v>
      </c>
      <c r="CU225" s="58">
        <f t="shared" ca="1" si="274"/>
        <v>0</v>
      </c>
      <c r="CV225" s="58">
        <f t="shared" ca="1" si="274"/>
        <v>0</v>
      </c>
      <c r="CW225" s="58">
        <f t="shared" ca="1" si="274"/>
        <v>0</v>
      </c>
      <c r="CX225" s="58">
        <f t="shared" ca="1" si="274"/>
        <v>0</v>
      </c>
      <c r="CY225" s="58">
        <f t="shared" ref="CY225:ED225" ca="1" si="275">+IF(OR($F225+CY$175&lt;1,(CY$176-1)*12&lt;-$F225),0,OFFSET(CY55,0,$F225))</f>
        <v>0</v>
      </c>
      <c r="CZ225" s="58">
        <f t="shared" ca="1" si="275"/>
        <v>0</v>
      </c>
      <c r="DA225" s="58">
        <f t="shared" ca="1" si="275"/>
        <v>0</v>
      </c>
      <c r="DB225" s="58">
        <f t="shared" ca="1" si="275"/>
        <v>0</v>
      </c>
      <c r="DC225" s="58">
        <f t="shared" ca="1" si="275"/>
        <v>0</v>
      </c>
      <c r="DD225" s="58">
        <f t="shared" ca="1" si="275"/>
        <v>0</v>
      </c>
      <c r="DE225" s="58">
        <f t="shared" ca="1" si="275"/>
        <v>0</v>
      </c>
      <c r="DF225" s="58">
        <f t="shared" ca="1" si="275"/>
        <v>0</v>
      </c>
      <c r="DG225" s="58">
        <f t="shared" ca="1" si="275"/>
        <v>0</v>
      </c>
      <c r="DH225" s="58">
        <f t="shared" ca="1" si="275"/>
        <v>0</v>
      </c>
      <c r="DI225" s="58">
        <f t="shared" ca="1" si="275"/>
        <v>0</v>
      </c>
      <c r="DJ225" s="58">
        <f t="shared" ca="1" si="275"/>
        <v>0</v>
      </c>
      <c r="DK225" s="58">
        <f t="shared" ca="1" si="275"/>
        <v>0</v>
      </c>
      <c r="DL225" s="58">
        <f t="shared" ca="1" si="275"/>
        <v>0</v>
      </c>
      <c r="DM225" s="58">
        <f t="shared" ca="1" si="275"/>
        <v>0</v>
      </c>
      <c r="DN225" s="58">
        <f t="shared" ca="1" si="275"/>
        <v>0</v>
      </c>
      <c r="DO225" s="58">
        <f t="shared" ca="1" si="275"/>
        <v>0</v>
      </c>
      <c r="DP225" s="58">
        <f t="shared" ca="1" si="275"/>
        <v>0</v>
      </c>
      <c r="DQ225" s="58">
        <f t="shared" ca="1" si="275"/>
        <v>0</v>
      </c>
      <c r="DR225" s="58">
        <f t="shared" ca="1" si="275"/>
        <v>0</v>
      </c>
      <c r="DS225" s="58">
        <f t="shared" ca="1" si="275"/>
        <v>0</v>
      </c>
      <c r="DT225" s="58">
        <f t="shared" ca="1" si="275"/>
        <v>0</v>
      </c>
      <c r="DU225" s="58">
        <f t="shared" ca="1" si="275"/>
        <v>0</v>
      </c>
      <c r="DV225" s="58">
        <f t="shared" ca="1" si="275"/>
        <v>0</v>
      </c>
      <c r="DW225" s="58">
        <f t="shared" ca="1" si="275"/>
        <v>0</v>
      </c>
      <c r="DX225" s="58">
        <f t="shared" ca="1" si="275"/>
        <v>0</v>
      </c>
      <c r="DY225" s="58">
        <f t="shared" ca="1" si="275"/>
        <v>0</v>
      </c>
      <c r="DZ225" s="58">
        <f t="shared" ca="1" si="275"/>
        <v>0</v>
      </c>
      <c r="EA225" s="58">
        <f t="shared" ca="1" si="275"/>
        <v>0</v>
      </c>
      <c r="EB225" s="58">
        <f t="shared" ca="1" si="275"/>
        <v>0</v>
      </c>
      <c r="EC225" s="58">
        <f t="shared" ca="1" si="275"/>
        <v>0</v>
      </c>
      <c r="ED225" s="58">
        <f t="shared" ca="1" si="275"/>
        <v>0</v>
      </c>
      <c r="EE225" s="58">
        <f t="shared" ref="EE225:FN225" ca="1" si="276">+IF(OR($F225+EE$175&lt;1,(EE$176-1)*12&lt;-$F225),0,OFFSET(EE55,0,$F225))</f>
        <v>0</v>
      </c>
      <c r="EF225" s="58">
        <f t="shared" ca="1" si="276"/>
        <v>0</v>
      </c>
      <c r="EG225" s="58">
        <f t="shared" ca="1" si="276"/>
        <v>0</v>
      </c>
      <c r="EH225" s="58">
        <f t="shared" ca="1" si="276"/>
        <v>0</v>
      </c>
      <c r="EI225" s="58">
        <f t="shared" ca="1" si="276"/>
        <v>0</v>
      </c>
      <c r="EJ225" s="58">
        <f t="shared" ca="1" si="276"/>
        <v>0</v>
      </c>
      <c r="EK225" s="58">
        <f t="shared" ca="1" si="276"/>
        <v>0</v>
      </c>
      <c r="EL225" s="58">
        <f t="shared" ca="1" si="276"/>
        <v>0</v>
      </c>
      <c r="EM225" s="58">
        <f t="shared" ca="1" si="276"/>
        <v>0</v>
      </c>
      <c r="EN225" s="58">
        <f t="shared" ca="1" si="276"/>
        <v>0</v>
      </c>
      <c r="EO225" s="58">
        <f t="shared" ca="1" si="276"/>
        <v>0</v>
      </c>
      <c r="EP225" s="58">
        <f t="shared" ca="1" si="276"/>
        <v>0</v>
      </c>
      <c r="EQ225" s="58">
        <f t="shared" ca="1" si="276"/>
        <v>0</v>
      </c>
      <c r="ER225" s="58">
        <f t="shared" ca="1" si="276"/>
        <v>0</v>
      </c>
      <c r="ES225" s="58">
        <f t="shared" ca="1" si="276"/>
        <v>0</v>
      </c>
      <c r="ET225" s="58">
        <f t="shared" ca="1" si="276"/>
        <v>0</v>
      </c>
      <c r="EU225" s="58">
        <f t="shared" ca="1" si="276"/>
        <v>0</v>
      </c>
      <c r="EV225" s="58">
        <f t="shared" ca="1" si="276"/>
        <v>0</v>
      </c>
      <c r="EW225" s="58">
        <f t="shared" ca="1" si="276"/>
        <v>0</v>
      </c>
      <c r="EX225" s="58">
        <f t="shared" ca="1" si="276"/>
        <v>0</v>
      </c>
      <c r="EY225" s="58">
        <f t="shared" ca="1" si="276"/>
        <v>0</v>
      </c>
      <c r="EZ225" s="58">
        <f t="shared" ca="1" si="276"/>
        <v>0</v>
      </c>
      <c r="FA225" s="58">
        <f t="shared" ca="1" si="276"/>
        <v>0</v>
      </c>
      <c r="FB225" s="58">
        <f t="shared" ca="1" si="276"/>
        <v>0</v>
      </c>
      <c r="FC225" s="58">
        <f t="shared" ca="1" si="276"/>
        <v>0</v>
      </c>
      <c r="FD225" s="58">
        <f t="shared" ca="1" si="276"/>
        <v>0</v>
      </c>
      <c r="FE225" s="58">
        <f t="shared" ca="1" si="276"/>
        <v>0</v>
      </c>
      <c r="FF225" s="58">
        <f t="shared" ca="1" si="276"/>
        <v>0</v>
      </c>
      <c r="FG225" s="58">
        <f t="shared" ca="1" si="276"/>
        <v>0</v>
      </c>
      <c r="FH225" s="58">
        <f t="shared" ca="1" si="276"/>
        <v>0</v>
      </c>
      <c r="FI225" s="58">
        <f t="shared" ca="1" si="276"/>
        <v>0</v>
      </c>
      <c r="FJ225" s="58">
        <f t="shared" ca="1" si="276"/>
        <v>0</v>
      </c>
      <c r="FK225" s="58">
        <f t="shared" ca="1" si="276"/>
        <v>0</v>
      </c>
      <c r="FL225" s="58">
        <f t="shared" ca="1" si="276"/>
        <v>0</v>
      </c>
      <c r="FM225" s="58">
        <f t="shared" ca="1" si="276"/>
        <v>0</v>
      </c>
      <c r="FN225" s="58">
        <f t="shared" ca="1" si="276"/>
        <v>0</v>
      </c>
      <c r="FO225" s="13"/>
    </row>
    <row r="226" spans="1:171" outlineLevel="1" x14ac:dyDescent="0.3">
      <c r="A226" s="13"/>
      <c r="B226" s="13"/>
      <c r="C226" s="13"/>
      <c r="D226" s="52">
        <f t="shared" si="194"/>
        <v>41640</v>
      </c>
      <c r="E226" s="53">
        <f t="shared" si="195"/>
        <v>2014</v>
      </c>
      <c r="F226" s="53">
        <f t="shared" si="196"/>
        <v>0</v>
      </c>
      <c r="G226" s="58">
        <f t="shared" ref="G226:AL226" ca="1" si="277">+IF(OR($F226+G$175&lt;1,(G$176-1)*12&lt;-$F226),0,OFFSET(G56,0,$F226))</f>
        <v>0</v>
      </c>
      <c r="H226" s="58">
        <f t="shared" ca="1" si="277"/>
        <v>0</v>
      </c>
      <c r="I226" s="58">
        <f t="shared" ca="1" si="277"/>
        <v>0</v>
      </c>
      <c r="J226" s="58">
        <f t="shared" ca="1" si="277"/>
        <v>0</v>
      </c>
      <c r="K226" s="58">
        <f t="shared" ca="1" si="277"/>
        <v>0</v>
      </c>
      <c r="L226" s="58">
        <f t="shared" ca="1" si="277"/>
        <v>0</v>
      </c>
      <c r="M226" s="58">
        <f t="shared" ca="1" si="277"/>
        <v>0</v>
      </c>
      <c r="N226" s="58">
        <f t="shared" ca="1" si="277"/>
        <v>0</v>
      </c>
      <c r="O226" s="58">
        <f t="shared" ca="1" si="277"/>
        <v>0</v>
      </c>
      <c r="P226" s="58">
        <f t="shared" ca="1" si="277"/>
        <v>0</v>
      </c>
      <c r="Q226" s="58">
        <f t="shared" ca="1" si="277"/>
        <v>0</v>
      </c>
      <c r="R226" s="58">
        <f t="shared" ca="1" si="277"/>
        <v>0</v>
      </c>
      <c r="S226" s="58">
        <f t="shared" ca="1" si="277"/>
        <v>0</v>
      </c>
      <c r="T226" s="58">
        <f t="shared" ca="1" si="277"/>
        <v>0</v>
      </c>
      <c r="U226" s="58">
        <f t="shared" ca="1" si="277"/>
        <v>0</v>
      </c>
      <c r="V226" s="58">
        <f t="shared" ca="1" si="277"/>
        <v>0</v>
      </c>
      <c r="W226" s="58">
        <f t="shared" ca="1" si="277"/>
        <v>0</v>
      </c>
      <c r="X226" s="58">
        <f t="shared" ca="1" si="277"/>
        <v>0</v>
      </c>
      <c r="Y226" s="58">
        <f t="shared" ca="1" si="277"/>
        <v>0</v>
      </c>
      <c r="Z226" s="58">
        <f t="shared" ca="1" si="277"/>
        <v>0</v>
      </c>
      <c r="AA226" s="58">
        <f t="shared" ca="1" si="277"/>
        <v>0</v>
      </c>
      <c r="AB226" s="58">
        <f t="shared" ca="1" si="277"/>
        <v>0</v>
      </c>
      <c r="AC226" s="58">
        <f t="shared" ca="1" si="277"/>
        <v>0</v>
      </c>
      <c r="AD226" s="58">
        <f t="shared" ca="1" si="277"/>
        <v>0</v>
      </c>
      <c r="AE226" s="58">
        <f t="shared" ca="1" si="277"/>
        <v>0</v>
      </c>
      <c r="AF226" s="58">
        <f t="shared" ca="1" si="277"/>
        <v>0</v>
      </c>
      <c r="AG226" s="58">
        <f t="shared" ca="1" si="277"/>
        <v>0</v>
      </c>
      <c r="AH226" s="58">
        <f t="shared" ca="1" si="277"/>
        <v>0</v>
      </c>
      <c r="AI226" s="58">
        <f t="shared" ca="1" si="277"/>
        <v>0</v>
      </c>
      <c r="AJ226" s="58">
        <f t="shared" ca="1" si="277"/>
        <v>0</v>
      </c>
      <c r="AK226" s="58">
        <f t="shared" ca="1" si="277"/>
        <v>0</v>
      </c>
      <c r="AL226" s="58">
        <f t="shared" ca="1" si="277"/>
        <v>0</v>
      </c>
      <c r="AM226" s="58">
        <f t="shared" ref="AM226:BR226" ca="1" si="278">+IF(OR($F226+AM$175&lt;1,(AM$176-1)*12&lt;-$F226),0,OFFSET(AM56,0,$F226))</f>
        <v>0</v>
      </c>
      <c r="AN226" s="58">
        <f t="shared" ca="1" si="278"/>
        <v>0</v>
      </c>
      <c r="AO226" s="58">
        <f t="shared" ca="1" si="278"/>
        <v>0</v>
      </c>
      <c r="AP226" s="58">
        <f t="shared" ca="1" si="278"/>
        <v>0</v>
      </c>
      <c r="AQ226" s="58">
        <f t="shared" ca="1" si="278"/>
        <v>0</v>
      </c>
      <c r="AR226" s="58">
        <f t="shared" ca="1" si="278"/>
        <v>0</v>
      </c>
      <c r="AS226" s="58">
        <f t="shared" ca="1" si="278"/>
        <v>0</v>
      </c>
      <c r="AT226" s="58">
        <f t="shared" ca="1" si="278"/>
        <v>0</v>
      </c>
      <c r="AU226" s="58">
        <f t="shared" ca="1" si="278"/>
        <v>0</v>
      </c>
      <c r="AV226" s="58">
        <f t="shared" ca="1" si="278"/>
        <v>0</v>
      </c>
      <c r="AW226" s="58">
        <f t="shared" ca="1" si="278"/>
        <v>0</v>
      </c>
      <c r="AX226" s="58">
        <f t="shared" ca="1" si="278"/>
        <v>0</v>
      </c>
      <c r="AY226" s="58">
        <f t="shared" ca="1" si="278"/>
        <v>0</v>
      </c>
      <c r="AZ226" s="58">
        <f t="shared" ca="1" si="278"/>
        <v>0</v>
      </c>
      <c r="BA226" s="58">
        <f t="shared" ca="1" si="278"/>
        <v>0</v>
      </c>
      <c r="BB226" s="58">
        <f t="shared" ca="1" si="278"/>
        <v>0</v>
      </c>
      <c r="BC226" s="58">
        <f t="shared" ca="1" si="278"/>
        <v>0</v>
      </c>
      <c r="BD226" s="58">
        <f t="shared" ca="1" si="278"/>
        <v>0</v>
      </c>
      <c r="BE226" s="58">
        <f t="shared" ca="1" si="278"/>
        <v>0</v>
      </c>
      <c r="BF226" s="58">
        <f t="shared" ca="1" si="278"/>
        <v>0</v>
      </c>
      <c r="BG226" s="58">
        <f t="shared" ca="1" si="278"/>
        <v>0</v>
      </c>
      <c r="BH226" s="58">
        <f t="shared" ca="1" si="278"/>
        <v>0</v>
      </c>
      <c r="BI226" s="58">
        <f t="shared" ca="1" si="278"/>
        <v>0</v>
      </c>
      <c r="BJ226" s="58">
        <f t="shared" ca="1" si="278"/>
        <v>0</v>
      </c>
      <c r="BK226" s="58">
        <f t="shared" ca="1" si="278"/>
        <v>0</v>
      </c>
      <c r="BL226" s="58">
        <f t="shared" ca="1" si="278"/>
        <v>0</v>
      </c>
      <c r="BM226" s="58">
        <f t="shared" ca="1" si="278"/>
        <v>0</v>
      </c>
      <c r="BN226" s="58">
        <f t="shared" ca="1" si="278"/>
        <v>0</v>
      </c>
      <c r="BO226" s="58">
        <f t="shared" ca="1" si="278"/>
        <v>0</v>
      </c>
      <c r="BP226" s="58">
        <f t="shared" ca="1" si="278"/>
        <v>0</v>
      </c>
      <c r="BQ226" s="58">
        <f t="shared" ca="1" si="278"/>
        <v>0</v>
      </c>
      <c r="BR226" s="58">
        <f t="shared" ca="1" si="278"/>
        <v>0</v>
      </c>
      <c r="BS226" s="58">
        <f t="shared" ref="BS226:CX226" ca="1" si="279">+IF(OR($F226+BS$175&lt;1,(BS$176-1)*12&lt;-$F226),0,OFFSET(BS56,0,$F226))</f>
        <v>0</v>
      </c>
      <c r="BT226" s="58">
        <f t="shared" ca="1" si="279"/>
        <v>0</v>
      </c>
      <c r="BU226" s="58">
        <f t="shared" ca="1" si="279"/>
        <v>0</v>
      </c>
      <c r="BV226" s="58">
        <f t="shared" ca="1" si="279"/>
        <v>0</v>
      </c>
      <c r="BW226" s="58">
        <f t="shared" ca="1" si="279"/>
        <v>0</v>
      </c>
      <c r="BX226" s="58">
        <f t="shared" ca="1" si="279"/>
        <v>0</v>
      </c>
      <c r="BY226" s="58">
        <f t="shared" ca="1" si="279"/>
        <v>0</v>
      </c>
      <c r="BZ226" s="58">
        <f t="shared" ca="1" si="279"/>
        <v>0</v>
      </c>
      <c r="CA226" s="58">
        <f t="shared" ca="1" si="279"/>
        <v>0</v>
      </c>
      <c r="CB226" s="58">
        <f t="shared" ca="1" si="279"/>
        <v>0</v>
      </c>
      <c r="CC226" s="58">
        <f t="shared" ca="1" si="279"/>
        <v>0</v>
      </c>
      <c r="CD226" s="58">
        <f t="shared" ca="1" si="279"/>
        <v>0</v>
      </c>
      <c r="CE226" s="58">
        <f t="shared" ca="1" si="279"/>
        <v>0</v>
      </c>
      <c r="CF226" s="58">
        <f t="shared" ca="1" si="279"/>
        <v>0</v>
      </c>
      <c r="CG226" s="58">
        <f t="shared" ca="1" si="279"/>
        <v>0</v>
      </c>
      <c r="CH226" s="58">
        <f t="shared" ca="1" si="279"/>
        <v>0</v>
      </c>
      <c r="CI226" s="58">
        <f t="shared" ca="1" si="279"/>
        <v>0</v>
      </c>
      <c r="CJ226" s="58">
        <f t="shared" ca="1" si="279"/>
        <v>0</v>
      </c>
      <c r="CK226" s="58">
        <f t="shared" ca="1" si="279"/>
        <v>0</v>
      </c>
      <c r="CL226" s="58">
        <f t="shared" ca="1" si="279"/>
        <v>0</v>
      </c>
      <c r="CM226" s="58">
        <f t="shared" ca="1" si="279"/>
        <v>0</v>
      </c>
      <c r="CN226" s="58">
        <f t="shared" ca="1" si="279"/>
        <v>0</v>
      </c>
      <c r="CO226" s="58">
        <f t="shared" ca="1" si="279"/>
        <v>0</v>
      </c>
      <c r="CP226" s="58">
        <f t="shared" ca="1" si="279"/>
        <v>0</v>
      </c>
      <c r="CQ226" s="58">
        <f t="shared" ca="1" si="279"/>
        <v>0</v>
      </c>
      <c r="CR226" s="58">
        <f t="shared" ca="1" si="279"/>
        <v>0</v>
      </c>
      <c r="CS226" s="58">
        <f t="shared" ca="1" si="279"/>
        <v>0</v>
      </c>
      <c r="CT226" s="58">
        <f t="shared" ca="1" si="279"/>
        <v>0</v>
      </c>
      <c r="CU226" s="58">
        <f t="shared" ca="1" si="279"/>
        <v>0</v>
      </c>
      <c r="CV226" s="58">
        <f t="shared" ca="1" si="279"/>
        <v>0</v>
      </c>
      <c r="CW226" s="58">
        <f t="shared" ca="1" si="279"/>
        <v>0</v>
      </c>
      <c r="CX226" s="58">
        <f t="shared" ca="1" si="279"/>
        <v>0</v>
      </c>
      <c r="CY226" s="58">
        <f t="shared" ref="CY226:ED226" ca="1" si="280">+IF(OR($F226+CY$175&lt;1,(CY$176-1)*12&lt;-$F226),0,OFFSET(CY56,0,$F226))</f>
        <v>0</v>
      </c>
      <c r="CZ226" s="58">
        <f t="shared" ca="1" si="280"/>
        <v>0</v>
      </c>
      <c r="DA226" s="58">
        <f t="shared" ca="1" si="280"/>
        <v>0</v>
      </c>
      <c r="DB226" s="58">
        <f t="shared" ca="1" si="280"/>
        <v>0</v>
      </c>
      <c r="DC226" s="58">
        <f t="shared" ca="1" si="280"/>
        <v>0</v>
      </c>
      <c r="DD226" s="58">
        <f t="shared" ca="1" si="280"/>
        <v>0</v>
      </c>
      <c r="DE226" s="58">
        <f t="shared" ca="1" si="280"/>
        <v>0</v>
      </c>
      <c r="DF226" s="58">
        <f t="shared" ca="1" si="280"/>
        <v>0</v>
      </c>
      <c r="DG226" s="58">
        <f t="shared" ca="1" si="280"/>
        <v>0</v>
      </c>
      <c r="DH226" s="58">
        <f t="shared" ca="1" si="280"/>
        <v>0</v>
      </c>
      <c r="DI226" s="58">
        <f t="shared" ca="1" si="280"/>
        <v>0</v>
      </c>
      <c r="DJ226" s="58">
        <f t="shared" ca="1" si="280"/>
        <v>0</v>
      </c>
      <c r="DK226" s="58">
        <f t="shared" ca="1" si="280"/>
        <v>0</v>
      </c>
      <c r="DL226" s="58">
        <f t="shared" ca="1" si="280"/>
        <v>0</v>
      </c>
      <c r="DM226" s="58">
        <f t="shared" ca="1" si="280"/>
        <v>0</v>
      </c>
      <c r="DN226" s="58">
        <f t="shared" ca="1" si="280"/>
        <v>0</v>
      </c>
      <c r="DO226" s="58">
        <f t="shared" ca="1" si="280"/>
        <v>0</v>
      </c>
      <c r="DP226" s="58">
        <f t="shared" ca="1" si="280"/>
        <v>0</v>
      </c>
      <c r="DQ226" s="58">
        <f t="shared" ca="1" si="280"/>
        <v>0</v>
      </c>
      <c r="DR226" s="58">
        <f t="shared" ca="1" si="280"/>
        <v>0</v>
      </c>
      <c r="DS226" s="58">
        <f t="shared" ca="1" si="280"/>
        <v>0</v>
      </c>
      <c r="DT226" s="58">
        <f t="shared" ca="1" si="280"/>
        <v>0</v>
      </c>
      <c r="DU226" s="58">
        <f t="shared" ca="1" si="280"/>
        <v>0</v>
      </c>
      <c r="DV226" s="58">
        <f t="shared" ca="1" si="280"/>
        <v>0</v>
      </c>
      <c r="DW226" s="58">
        <f t="shared" ca="1" si="280"/>
        <v>0</v>
      </c>
      <c r="DX226" s="58">
        <f t="shared" ca="1" si="280"/>
        <v>0</v>
      </c>
      <c r="DY226" s="58">
        <f t="shared" ca="1" si="280"/>
        <v>0</v>
      </c>
      <c r="DZ226" s="58">
        <f t="shared" ca="1" si="280"/>
        <v>0</v>
      </c>
      <c r="EA226" s="58">
        <f t="shared" ca="1" si="280"/>
        <v>0</v>
      </c>
      <c r="EB226" s="58">
        <f t="shared" ca="1" si="280"/>
        <v>0</v>
      </c>
      <c r="EC226" s="58">
        <f t="shared" ca="1" si="280"/>
        <v>0</v>
      </c>
      <c r="ED226" s="58">
        <f t="shared" ca="1" si="280"/>
        <v>0</v>
      </c>
      <c r="EE226" s="58">
        <f t="shared" ref="EE226:FN226" ca="1" si="281">+IF(OR($F226+EE$175&lt;1,(EE$176-1)*12&lt;-$F226),0,OFFSET(EE56,0,$F226))</f>
        <v>0</v>
      </c>
      <c r="EF226" s="58">
        <f t="shared" ca="1" si="281"/>
        <v>0</v>
      </c>
      <c r="EG226" s="58">
        <f t="shared" ca="1" si="281"/>
        <v>0</v>
      </c>
      <c r="EH226" s="58">
        <f t="shared" ca="1" si="281"/>
        <v>0</v>
      </c>
      <c r="EI226" s="58">
        <f t="shared" ca="1" si="281"/>
        <v>0</v>
      </c>
      <c r="EJ226" s="58">
        <f t="shared" ca="1" si="281"/>
        <v>0</v>
      </c>
      <c r="EK226" s="58">
        <f t="shared" ca="1" si="281"/>
        <v>0</v>
      </c>
      <c r="EL226" s="58">
        <f t="shared" ca="1" si="281"/>
        <v>0</v>
      </c>
      <c r="EM226" s="58">
        <f t="shared" ca="1" si="281"/>
        <v>0</v>
      </c>
      <c r="EN226" s="58">
        <f t="shared" ca="1" si="281"/>
        <v>0</v>
      </c>
      <c r="EO226" s="58">
        <f t="shared" ca="1" si="281"/>
        <v>0</v>
      </c>
      <c r="EP226" s="58">
        <f t="shared" ca="1" si="281"/>
        <v>0</v>
      </c>
      <c r="EQ226" s="58">
        <f t="shared" ca="1" si="281"/>
        <v>0</v>
      </c>
      <c r="ER226" s="58">
        <f t="shared" ca="1" si="281"/>
        <v>0</v>
      </c>
      <c r="ES226" s="58">
        <f t="shared" ca="1" si="281"/>
        <v>0</v>
      </c>
      <c r="ET226" s="58">
        <f t="shared" ca="1" si="281"/>
        <v>0</v>
      </c>
      <c r="EU226" s="58">
        <f t="shared" ca="1" si="281"/>
        <v>0</v>
      </c>
      <c r="EV226" s="58">
        <f t="shared" ca="1" si="281"/>
        <v>0</v>
      </c>
      <c r="EW226" s="58">
        <f t="shared" ca="1" si="281"/>
        <v>0</v>
      </c>
      <c r="EX226" s="58">
        <f t="shared" ca="1" si="281"/>
        <v>0</v>
      </c>
      <c r="EY226" s="58">
        <f t="shared" ca="1" si="281"/>
        <v>0</v>
      </c>
      <c r="EZ226" s="58">
        <f t="shared" ca="1" si="281"/>
        <v>0</v>
      </c>
      <c r="FA226" s="58">
        <f t="shared" ca="1" si="281"/>
        <v>0</v>
      </c>
      <c r="FB226" s="58">
        <f t="shared" ca="1" si="281"/>
        <v>0</v>
      </c>
      <c r="FC226" s="58">
        <f t="shared" ca="1" si="281"/>
        <v>0</v>
      </c>
      <c r="FD226" s="58">
        <f t="shared" ca="1" si="281"/>
        <v>0</v>
      </c>
      <c r="FE226" s="58">
        <f t="shared" ca="1" si="281"/>
        <v>0</v>
      </c>
      <c r="FF226" s="58">
        <f t="shared" ca="1" si="281"/>
        <v>0</v>
      </c>
      <c r="FG226" s="58">
        <f t="shared" ca="1" si="281"/>
        <v>0</v>
      </c>
      <c r="FH226" s="58">
        <f t="shared" ca="1" si="281"/>
        <v>0</v>
      </c>
      <c r="FI226" s="58">
        <f t="shared" ca="1" si="281"/>
        <v>0</v>
      </c>
      <c r="FJ226" s="58">
        <f t="shared" ca="1" si="281"/>
        <v>0</v>
      </c>
      <c r="FK226" s="58">
        <f t="shared" ca="1" si="281"/>
        <v>0</v>
      </c>
      <c r="FL226" s="58">
        <f t="shared" ca="1" si="281"/>
        <v>0</v>
      </c>
      <c r="FM226" s="58">
        <f t="shared" ca="1" si="281"/>
        <v>0</v>
      </c>
      <c r="FN226" s="58">
        <f t="shared" ca="1" si="281"/>
        <v>0</v>
      </c>
      <c r="FO226" s="13"/>
    </row>
    <row r="227" spans="1:171" outlineLevel="1" x14ac:dyDescent="0.3">
      <c r="A227" s="13"/>
      <c r="B227" s="13"/>
      <c r="C227" s="13"/>
      <c r="D227" s="52">
        <f t="shared" si="194"/>
        <v>41671</v>
      </c>
      <c r="E227" s="53">
        <f t="shared" si="195"/>
        <v>2014</v>
      </c>
      <c r="F227" s="53">
        <f t="shared" si="196"/>
        <v>1</v>
      </c>
      <c r="G227" s="58">
        <f t="shared" ref="G227:AL227" ca="1" si="282">+IF(OR($F227+G$175&lt;1,(G$176-1)*12&lt;-$F227),0,OFFSET(G57,0,$F227))</f>
        <v>0</v>
      </c>
      <c r="H227" s="58">
        <f t="shared" ca="1" si="282"/>
        <v>0</v>
      </c>
      <c r="I227" s="58">
        <f t="shared" ca="1" si="282"/>
        <v>0</v>
      </c>
      <c r="J227" s="58">
        <f t="shared" ca="1" si="282"/>
        <v>0</v>
      </c>
      <c r="K227" s="58">
        <f t="shared" ca="1" si="282"/>
        <v>0</v>
      </c>
      <c r="L227" s="58">
        <f t="shared" ca="1" si="282"/>
        <v>0</v>
      </c>
      <c r="M227" s="58">
        <f t="shared" ca="1" si="282"/>
        <v>0</v>
      </c>
      <c r="N227" s="58">
        <f t="shared" ca="1" si="282"/>
        <v>0</v>
      </c>
      <c r="O227" s="58">
        <f t="shared" ca="1" si="282"/>
        <v>0</v>
      </c>
      <c r="P227" s="58">
        <f t="shared" ca="1" si="282"/>
        <v>0</v>
      </c>
      <c r="Q227" s="58">
        <f t="shared" ca="1" si="282"/>
        <v>0</v>
      </c>
      <c r="R227" s="58">
        <f t="shared" ca="1" si="282"/>
        <v>0</v>
      </c>
      <c r="S227" s="58">
        <f t="shared" ca="1" si="282"/>
        <v>0</v>
      </c>
      <c r="T227" s="58">
        <f t="shared" ca="1" si="282"/>
        <v>0</v>
      </c>
      <c r="U227" s="58">
        <f t="shared" ca="1" si="282"/>
        <v>0</v>
      </c>
      <c r="V227" s="58">
        <f t="shared" ca="1" si="282"/>
        <v>0</v>
      </c>
      <c r="W227" s="58">
        <f t="shared" ca="1" si="282"/>
        <v>0</v>
      </c>
      <c r="X227" s="58">
        <f t="shared" ca="1" si="282"/>
        <v>0</v>
      </c>
      <c r="Y227" s="58">
        <f t="shared" ca="1" si="282"/>
        <v>0</v>
      </c>
      <c r="Z227" s="58">
        <f t="shared" ca="1" si="282"/>
        <v>0</v>
      </c>
      <c r="AA227" s="58">
        <f t="shared" ca="1" si="282"/>
        <v>0</v>
      </c>
      <c r="AB227" s="58">
        <f t="shared" ca="1" si="282"/>
        <v>0</v>
      </c>
      <c r="AC227" s="58">
        <f t="shared" ca="1" si="282"/>
        <v>0</v>
      </c>
      <c r="AD227" s="58">
        <f t="shared" ca="1" si="282"/>
        <v>0</v>
      </c>
      <c r="AE227" s="58">
        <f t="shared" ca="1" si="282"/>
        <v>0</v>
      </c>
      <c r="AF227" s="58">
        <f t="shared" ca="1" si="282"/>
        <v>0</v>
      </c>
      <c r="AG227" s="58">
        <f t="shared" ca="1" si="282"/>
        <v>0</v>
      </c>
      <c r="AH227" s="58">
        <f t="shared" ca="1" si="282"/>
        <v>0</v>
      </c>
      <c r="AI227" s="58">
        <f t="shared" ca="1" si="282"/>
        <v>0</v>
      </c>
      <c r="AJ227" s="58">
        <f t="shared" ca="1" si="282"/>
        <v>0</v>
      </c>
      <c r="AK227" s="58">
        <f t="shared" ca="1" si="282"/>
        <v>0</v>
      </c>
      <c r="AL227" s="58">
        <f t="shared" ca="1" si="282"/>
        <v>0</v>
      </c>
      <c r="AM227" s="58">
        <f t="shared" ref="AM227:BR227" ca="1" si="283">+IF(OR($F227+AM$175&lt;1,(AM$176-1)*12&lt;-$F227),0,OFFSET(AM57,0,$F227))</f>
        <v>0</v>
      </c>
      <c r="AN227" s="58">
        <f t="shared" ca="1" si="283"/>
        <v>0</v>
      </c>
      <c r="AO227" s="58">
        <f t="shared" ca="1" si="283"/>
        <v>0</v>
      </c>
      <c r="AP227" s="58">
        <f t="shared" ca="1" si="283"/>
        <v>0</v>
      </c>
      <c r="AQ227" s="58">
        <f t="shared" ca="1" si="283"/>
        <v>0</v>
      </c>
      <c r="AR227" s="58">
        <f t="shared" ca="1" si="283"/>
        <v>0</v>
      </c>
      <c r="AS227" s="58">
        <f t="shared" ca="1" si="283"/>
        <v>0</v>
      </c>
      <c r="AT227" s="58">
        <f t="shared" ca="1" si="283"/>
        <v>0</v>
      </c>
      <c r="AU227" s="58">
        <f t="shared" ca="1" si="283"/>
        <v>0</v>
      </c>
      <c r="AV227" s="58">
        <f t="shared" ca="1" si="283"/>
        <v>0</v>
      </c>
      <c r="AW227" s="58">
        <f t="shared" ca="1" si="283"/>
        <v>0</v>
      </c>
      <c r="AX227" s="58">
        <f t="shared" ca="1" si="283"/>
        <v>0</v>
      </c>
      <c r="AY227" s="58">
        <f t="shared" ca="1" si="283"/>
        <v>0</v>
      </c>
      <c r="AZ227" s="58">
        <f t="shared" ca="1" si="283"/>
        <v>0</v>
      </c>
      <c r="BA227" s="58">
        <f t="shared" ca="1" si="283"/>
        <v>0</v>
      </c>
      <c r="BB227" s="58">
        <f t="shared" ca="1" si="283"/>
        <v>0</v>
      </c>
      <c r="BC227" s="58">
        <f t="shared" ca="1" si="283"/>
        <v>0</v>
      </c>
      <c r="BD227" s="58">
        <f t="shared" ca="1" si="283"/>
        <v>0</v>
      </c>
      <c r="BE227" s="58">
        <f t="shared" ca="1" si="283"/>
        <v>0</v>
      </c>
      <c r="BF227" s="58">
        <f t="shared" ca="1" si="283"/>
        <v>0</v>
      </c>
      <c r="BG227" s="58">
        <f t="shared" ca="1" si="283"/>
        <v>0</v>
      </c>
      <c r="BH227" s="58">
        <f t="shared" ca="1" si="283"/>
        <v>0</v>
      </c>
      <c r="BI227" s="58">
        <f t="shared" ca="1" si="283"/>
        <v>0</v>
      </c>
      <c r="BJ227" s="58">
        <f t="shared" ca="1" si="283"/>
        <v>0</v>
      </c>
      <c r="BK227" s="58">
        <f t="shared" ca="1" si="283"/>
        <v>0</v>
      </c>
      <c r="BL227" s="58">
        <f t="shared" ca="1" si="283"/>
        <v>0</v>
      </c>
      <c r="BM227" s="58">
        <f t="shared" ca="1" si="283"/>
        <v>0</v>
      </c>
      <c r="BN227" s="58">
        <f t="shared" ca="1" si="283"/>
        <v>0</v>
      </c>
      <c r="BO227" s="58">
        <f t="shared" ca="1" si="283"/>
        <v>0</v>
      </c>
      <c r="BP227" s="58">
        <f t="shared" ca="1" si="283"/>
        <v>0</v>
      </c>
      <c r="BQ227" s="58">
        <f t="shared" ca="1" si="283"/>
        <v>0</v>
      </c>
      <c r="BR227" s="58">
        <f t="shared" ca="1" si="283"/>
        <v>0</v>
      </c>
      <c r="BS227" s="58">
        <f t="shared" ref="BS227:CX227" ca="1" si="284">+IF(OR($F227+BS$175&lt;1,(BS$176-1)*12&lt;-$F227),0,OFFSET(BS57,0,$F227))</f>
        <v>0</v>
      </c>
      <c r="BT227" s="58">
        <f t="shared" ca="1" si="284"/>
        <v>0</v>
      </c>
      <c r="BU227" s="58">
        <f t="shared" ca="1" si="284"/>
        <v>0</v>
      </c>
      <c r="BV227" s="58">
        <f t="shared" ca="1" si="284"/>
        <v>0</v>
      </c>
      <c r="BW227" s="58">
        <f t="shared" ca="1" si="284"/>
        <v>0</v>
      </c>
      <c r="BX227" s="58">
        <f t="shared" ca="1" si="284"/>
        <v>0</v>
      </c>
      <c r="BY227" s="58">
        <f t="shared" ca="1" si="284"/>
        <v>0</v>
      </c>
      <c r="BZ227" s="58">
        <f t="shared" ca="1" si="284"/>
        <v>0</v>
      </c>
      <c r="CA227" s="58">
        <f t="shared" ca="1" si="284"/>
        <v>0</v>
      </c>
      <c r="CB227" s="58">
        <f t="shared" ca="1" si="284"/>
        <v>0</v>
      </c>
      <c r="CC227" s="58">
        <f t="shared" ca="1" si="284"/>
        <v>0</v>
      </c>
      <c r="CD227" s="58">
        <f t="shared" ca="1" si="284"/>
        <v>0</v>
      </c>
      <c r="CE227" s="58">
        <f t="shared" ca="1" si="284"/>
        <v>0</v>
      </c>
      <c r="CF227" s="58">
        <f t="shared" ca="1" si="284"/>
        <v>0</v>
      </c>
      <c r="CG227" s="58">
        <f t="shared" ca="1" si="284"/>
        <v>0</v>
      </c>
      <c r="CH227" s="58">
        <f t="shared" ca="1" si="284"/>
        <v>0</v>
      </c>
      <c r="CI227" s="58">
        <f t="shared" ca="1" si="284"/>
        <v>0</v>
      </c>
      <c r="CJ227" s="58">
        <f t="shared" ca="1" si="284"/>
        <v>0</v>
      </c>
      <c r="CK227" s="58">
        <f t="shared" ca="1" si="284"/>
        <v>0</v>
      </c>
      <c r="CL227" s="58">
        <f t="shared" ca="1" si="284"/>
        <v>0</v>
      </c>
      <c r="CM227" s="58">
        <f t="shared" ca="1" si="284"/>
        <v>0</v>
      </c>
      <c r="CN227" s="58">
        <f t="shared" ca="1" si="284"/>
        <v>0</v>
      </c>
      <c r="CO227" s="58">
        <f t="shared" ca="1" si="284"/>
        <v>0</v>
      </c>
      <c r="CP227" s="58">
        <f t="shared" ca="1" si="284"/>
        <v>0</v>
      </c>
      <c r="CQ227" s="58">
        <f t="shared" ca="1" si="284"/>
        <v>0</v>
      </c>
      <c r="CR227" s="58">
        <f t="shared" ca="1" si="284"/>
        <v>0</v>
      </c>
      <c r="CS227" s="58">
        <f t="shared" ca="1" si="284"/>
        <v>0</v>
      </c>
      <c r="CT227" s="58">
        <f t="shared" ca="1" si="284"/>
        <v>0</v>
      </c>
      <c r="CU227" s="58">
        <f t="shared" ca="1" si="284"/>
        <v>0</v>
      </c>
      <c r="CV227" s="58">
        <f t="shared" ca="1" si="284"/>
        <v>0</v>
      </c>
      <c r="CW227" s="58">
        <f t="shared" ca="1" si="284"/>
        <v>0</v>
      </c>
      <c r="CX227" s="58">
        <f t="shared" ca="1" si="284"/>
        <v>0</v>
      </c>
      <c r="CY227" s="58">
        <f t="shared" ref="CY227:ED227" ca="1" si="285">+IF(OR($F227+CY$175&lt;1,(CY$176-1)*12&lt;-$F227),0,OFFSET(CY57,0,$F227))</f>
        <v>0</v>
      </c>
      <c r="CZ227" s="58">
        <f t="shared" ca="1" si="285"/>
        <v>0</v>
      </c>
      <c r="DA227" s="58">
        <f t="shared" ca="1" si="285"/>
        <v>0</v>
      </c>
      <c r="DB227" s="58">
        <f t="shared" ca="1" si="285"/>
        <v>0</v>
      </c>
      <c r="DC227" s="58">
        <f t="shared" ca="1" si="285"/>
        <v>0</v>
      </c>
      <c r="DD227" s="58">
        <f t="shared" ca="1" si="285"/>
        <v>0</v>
      </c>
      <c r="DE227" s="58">
        <f t="shared" ca="1" si="285"/>
        <v>0</v>
      </c>
      <c r="DF227" s="58">
        <f t="shared" ca="1" si="285"/>
        <v>0</v>
      </c>
      <c r="DG227" s="58">
        <f t="shared" ca="1" si="285"/>
        <v>0</v>
      </c>
      <c r="DH227" s="58">
        <f t="shared" ca="1" si="285"/>
        <v>0</v>
      </c>
      <c r="DI227" s="58">
        <f t="shared" ca="1" si="285"/>
        <v>0</v>
      </c>
      <c r="DJ227" s="58">
        <f t="shared" ca="1" si="285"/>
        <v>0</v>
      </c>
      <c r="DK227" s="58">
        <f t="shared" ca="1" si="285"/>
        <v>0</v>
      </c>
      <c r="DL227" s="58">
        <f t="shared" ca="1" si="285"/>
        <v>0</v>
      </c>
      <c r="DM227" s="58">
        <f t="shared" ca="1" si="285"/>
        <v>0</v>
      </c>
      <c r="DN227" s="58">
        <f t="shared" ca="1" si="285"/>
        <v>0</v>
      </c>
      <c r="DO227" s="58">
        <f t="shared" ca="1" si="285"/>
        <v>0</v>
      </c>
      <c r="DP227" s="58">
        <f t="shared" ca="1" si="285"/>
        <v>0</v>
      </c>
      <c r="DQ227" s="58">
        <f t="shared" ca="1" si="285"/>
        <v>0</v>
      </c>
      <c r="DR227" s="58">
        <f t="shared" ca="1" si="285"/>
        <v>0</v>
      </c>
      <c r="DS227" s="58">
        <f t="shared" ca="1" si="285"/>
        <v>0</v>
      </c>
      <c r="DT227" s="58">
        <f t="shared" ca="1" si="285"/>
        <v>0</v>
      </c>
      <c r="DU227" s="58">
        <f t="shared" ca="1" si="285"/>
        <v>0</v>
      </c>
      <c r="DV227" s="58">
        <f t="shared" ca="1" si="285"/>
        <v>0</v>
      </c>
      <c r="DW227" s="58">
        <f t="shared" ca="1" si="285"/>
        <v>0</v>
      </c>
      <c r="DX227" s="58">
        <f t="shared" ca="1" si="285"/>
        <v>0</v>
      </c>
      <c r="DY227" s="58">
        <f t="shared" ca="1" si="285"/>
        <v>0</v>
      </c>
      <c r="DZ227" s="58">
        <f t="shared" ca="1" si="285"/>
        <v>0</v>
      </c>
      <c r="EA227" s="58">
        <f t="shared" ca="1" si="285"/>
        <v>0</v>
      </c>
      <c r="EB227" s="58">
        <f t="shared" ca="1" si="285"/>
        <v>0</v>
      </c>
      <c r="EC227" s="58">
        <f t="shared" ca="1" si="285"/>
        <v>0</v>
      </c>
      <c r="ED227" s="58">
        <f t="shared" ca="1" si="285"/>
        <v>0</v>
      </c>
      <c r="EE227" s="58">
        <f t="shared" ref="EE227:FN227" ca="1" si="286">+IF(OR($F227+EE$175&lt;1,(EE$176-1)*12&lt;-$F227),0,OFFSET(EE57,0,$F227))</f>
        <v>0</v>
      </c>
      <c r="EF227" s="58">
        <f t="shared" ca="1" si="286"/>
        <v>0</v>
      </c>
      <c r="EG227" s="58">
        <f t="shared" ca="1" si="286"/>
        <v>0</v>
      </c>
      <c r="EH227" s="58">
        <f t="shared" ca="1" si="286"/>
        <v>0</v>
      </c>
      <c r="EI227" s="58">
        <f t="shared" ca="1" si="286"/>
        <v>0</v>
      </c>
      <c r="EJ227" s="58">
        <f t="shared" ca="1" si="286"/>
        <v>0</v>
      </c>
      <c r="EK227" s="58">
        <f t="shared" ca="1" si="286"/>
        <v>0</v>
      </c>
      <c r="EL227" s="58">
        <f t="shared" ca="1" si="286"/>
        <v>0</v>
      </c>
      <c r="EM227" s="58">
        <f t="shared" ca="1" si="286"/>
        <v>0</v>
      </c>
      <c r="EN227" s="58">
        <f t="shared" ca="1" si="286"/>
        <v>0</v>
      </c>
      <c r="EO227" s="58">
        <f t="shared" ca="1" si="286"/>
        <v>0</v>
      </c>
      <c r="EP227" s="58">
        <f t="shared" ca="1" si="286"/>
        <v>0</v>
      </c>
      <c r="EQ227" s="58">
        <f t="shared" ca="1" si="286"/>
        <v>0</v>
      </c>
      <c r="ER227" s="58">
        <f t="shared" ca="1" si="286"/>
        <v>0</v>
      </c>
      <c r="ES227" s="58">
        <f t="shared" ca="1" si="286"/>
        <v>0</v>
      </c>
      <c r="ET227" s="58">
        <f t="shared" ca="1" si="286"/>
        <v>0</v>
      </c>
      <c r="EU227" s="58">
        <f t="shared" ca="1" si="286"/>
        <v>0</v>
      </c>
      <c r="EV227" s="58">
        <f t="shared" ca="1" si="286"/>
        <v>0</v>
      </c>
      <c r="EW227" s="58">
        <f t="shared" ca="1" si="286"/>
        <v>0</v>
      </c>
      <c r="EX227" s="58">
        <f t="shared" ca="1" si="286"/>
        <v>0</v>
      </c>
      <c r="EY227" s="58">
        <f t="shared" ca="1" si="286"/>
        <v>0</v>
      </c>
      <c r="EZ227" s="58">
        <f t="shared" ca="1" si="286"/>
        <v>0</v>
      </c>
      <c r="FA227" s="58">
        <f t="shared" ca="1" si="286"/>
        <v>0</v>
      </c>
      <c r="FB227" s="58">
        <f t="shared" ca="1" si="286"/>
        <v>0</v>
      </c>
      <c r="FC227" s="58">
        <f t="shared" ca="1" si="286"/>
        <v>0</v>
      </c>
      <c r="FD227" s="58">
        <f t="shared" ca="1" si="286"/>
        <v>0</v>
      </c>
      <c r="FE227" s="58">
        <f t="shared" ca="1" si="286"/>
        <v>0</v>
      </c>
      <c r="FF227" s="58">
        <f t="shared" ca="1" si="286"/>
        <v>0</v>
      </c>
      <c r="FG227" s="58">
        <f t="shared" ca="1" si="286"/>
        <v>0</v>
      </c>
      <c r="FH227" s="58">
        <f t="shared" ca="1" si="286"/>
        <v>0</v>
      </c>
      <c r="FI227" s="58">
        <f t="shared" ca="1" si="286"/>
        <v>0</v>
      </c>
      <c r="FJ227" s="58">
        <f t="shared" ca="1" si="286"/>
        <v>0</v>
      </c>
      <c r="FK227" s="58">
        <f t="shared" ca="1" si="286"/>
        <v>0</v>
      </c>
      <c r="FL227" s="58">
        <f t="shared" ca="1" si="286"/>
        <v>0</v>
      </c>
      <c r="FM227" s="58">
        <f t="shared" ca="1" si="286"/>
        <v>0</v>
      </c>
      <c r="FN227" s="58">
        <f t="shared" ca="1" si="286"/>
        <v>0</v>
      </c>
      <c r="FO227" s="13"/>
    </row>
    <row r="228" spans="1:171" outlineLevel="1" x14ac:dyDescent="0.3">
      <c r="A228" s="13"/>
      <c r="B228" s="13"/>
      <c r="C228" s="13"/>
      <c r="D228" s="52">
        <f t="shared" si="194"/>
        <v>41699</v>
      </c>
      <c r="E228" s="53">
        <f t="shared" si="195"/>
        <v>2014</v>
      </c>
      <c r="F228" s="53">
        <f t="shared" si="196"/>
        <v>2</v>
      </c>
      <c r="G228" s="58">
        <f t="shared" ref="G228:AL228" ca="1" si="287">+IF(OR($F228+G$175&lt;1,(G$176-1)*12&lt;-$F228),0,OFFSET(G58,0,$F228))</f>
        <v>0</v>
      </c>
      <c r="H228" s="58">
        <f t="shared" ca="1" si="287"/>
        <v>0</v>
      </c>
      <c r="I228" s="58">
        <f t="shared" ca="1" si="287"/>
        <v>0</v>
      </c>
      <c r="J228" s="58">
        <f t="shared" ca="1" si="287"/>
        <v>0</v>
      </c>
      <c r="K228" s="58">
        <f t="shared" ca="1" si="287"/>
        <v>0</v>
      </c>
      <c r="L228" s="58">
        <f t="shared" ca="1" si="287"/>
        <v>0</v>
      </c>
      <c r="M228" s="58">
        <f t="shared" ca="1" si="287"/>
        <v>0</v>
      </c>
      <c r="N228" s="58">
        <f t="shared" ca="1" si="287"/>
        <v>0</v>
      </c>
      <c r="O228" s="58">
        <f t="shared" ca="1" si="287"/>
        <v>0</v>
      </c>
      <c r="P228" s="58">
        <f t="shared" ca="1" si="287"/>
        <v>0</v>
      </c>
      <c r="Q228" s="58">
        <f t="shared" ca="1" si="287"/>
        <v>0</v>
      </c>
      <c r="R228" s="58">
        <f t="shared" ca="1" si="287"/>
        <v>0</v>
      </c>
      <c r="S228" s="58">
        <f t="shared" ca="1" si="287"/>
        <v>0</v>
      </c>
      <c r="T228" s="58">
        <f t="shared" ca="1" si="287"/>
        <v>0</v>
      </c>
      <c r="U228" s="58">
        <f t="shared" ca="1" si="287"/>
        <v>0</v>
      </c>
      <c r="V228" s="58">
        <f t="shared" ca="1" si="287"/>
        <v>0</v>
      </c>
      <c r="W228" s="58">
        <f t="shared" ca="1" si="287"/>
        <v>0</v>
      </c>
      <c r="X228" s="58">
        <f t="shared" ca="1" si="287"/>
        <v>0</v>
      </c>
      <c r="Y228" s="58">
        <f t="shared" ca="1" si="287"/>
        <v>0</v>
      </c>
      <c r="Z228" s="58">
        <f t="shared" ca="1" si="287"/>
        <v>0</v>
      </c>
      <c r="AA228" s="58">
        <f t="shared" ca="1" si="287"/>
        <v>0</v>
      </c>
      <c r="AB228" s="58">
        <f t="shared" ca="1" si="287"/>
        <v>0</v>
      </c>
      <c r="AC228" s="58">
        <f t="shared" ca="1" si="287"/>
        <v>0</v>
      </c>
      <c r="AD228" s="58">
        <f t="shared" ca="1" si="287"/>
        <v>0</v>
      </c>
      <c r="AE228" s="58">
        <f t="shared" ca="1" si="287"/>
        <v>0</v>
      </c>
      <c r="AF228" s="58">
        <f t="shared" ca="1" si="287"/>
        <v>0</v>
      </c>
      <c r="AG228" s="58">
        <f t="shared" ca="1" si="287"/>
        <v>0</v>
      </c>
      <c r="AH228" s="58">
        <f t="shared" ca="1" si="287"/>
        <v>0</v>
      </c>
      <c r="AI228" s="58">
        <f t="shared" ca="1" si="287"/>
        <v>0</v>
      </c>
      <c r="AJ228" s="58">
        <f t="shared" ca="1" si="287"/>
        <v>0</v>
      </c>
      <c r="AK228" s="58">
        <f t="shared" ca="1" si="287"/>
        <v>0</v>
      </c>
      <c r="AL228" s="58">
        <f t="shared" ca="1" si="287"/>
        <v>0</v>
      </c>
      <c r="AM228" s="58">
        <f t="shared" ref="AM228:BR228" ca="1" si="288">+IF(OR($F228+AM$175&lt;1,(AM$176-1)*12&lt;-$F228),0,OFFSET(AM58,0,$F228))</f>
        <v>0</v>
      </c>
      <c r="AN228" s="58">
        <f t="shared" ca="1" si="288"/>
        <v>0</v>
      </c>
      <c r="AO228" s="58">
        <f t="shared" ca="1" si="288"/>
        <v>0</v>
      </c>
      <c r="AP228" s="58">
        <f t="shared" ca="1" si="288"/>
        <v>0</v>
      </c>
      <c r="AQ228" s="58">
        <f t="shared" ca="1" si="288"/>
        <v>0</v>
      </c>
      <c r="AR228" s="58">
        <f t="shared" ca="1" si="288"/>
        <v>0</v>
      </c>
      <c r="AS228" s="58">
        <f t="shared" ca="1" si="288"/>
        <v>0</v>
      </c>
      <c r="AT228" s="58">
        <f t="shared" ca="1" si="288"/>
        <v>0</v>
      </c>
      <c r="AU228" s="58">
        <f t="shared" ca="1" si="288"/>
        <v>0</v>
      </c>
      <c r="AV228" s="58">
        <f t="shared" ca="1" si="288"/>
        <v>0</v>
      </c>
      <c r="AW228" s="58">
        <f t="shared" ca="1" si="288"/>
        <v>0</v>
      </c>
      <c r="AX228" s="58">
        <f t="shared" ca="1" si="288"/>
        <v>0</v>
      </c>
      <c r="AY228" s="58">
        <f t="shared" ca="1" si="288"/>
        <v>0</v>
      </c>
      <c r="AZ228" s="58">
        <f t="shared" ca="1" si="288"/>
        <v>0</v>
      </c>
      <c r="BA228" s="58">
        <f t="shared" ca="1" si="288"/>
        <v>0</v>
      </c>
      <c r="BB228" s="58">
        <f t="shared" ca="1" si="288"/>
        <v>0</v>
      </c>
      <c r="BC228" s="58">
        <f t="shared" ca="1" si="288"/>
        <v>0</v>
      </c>
      <c r="BD228" s="58">
        <f t="shared" ca="1" si="288"/>
        <v>0</v>
      </c>
      <c r="BE228" s="58">
        <f t="shared" ca="1" si="288"/>
        <v>0</v>
      </c>
      <c r="BF228" s="58">
        <f t="shared" ca="1" si="288"/>
        <v>0</v>
      </c>
      <c r="BG228" s="58">
        <f t="shared" ca="1" si="288"/>
        <v>0</v>
      </c>
      <c r="BH228" s="58">
        <f t="shared" ca="1" si="288"/>
        <v>0</v>
      </c>
      <c r="BI228" s="58">
        <f t="shared" ca="1" si="288"/>
        <v>0</v>
      </c>
      <c r="BJ228" s="58">
        <f t="shared" ca="1" si="288"/>
        <v>0</v>
      </c>
      <c r="BK228" s="58">
        <f t="shared" ca="1" si="288"/>
        <v>0</v>
      </c>
      <c r="BL228" s="58">
        <f t="shared" ca="1" si="288"/>
        <v>0</v>
      </c>
      <c r="BM228" s="58">
        <f t="shared" ca="1" si="288"/>
        <v>0</v>
      </c>
      <c r="BN228" s="58">
        <f t="shared" ca="1" si="288"/>
        <v>0</v>
      </c>
      <c r="BO228" s="58">
        <f t="shared" ca="1" si="288"/>
        <v>0</v>
      </c>
      <c r="BP228" s="58">
        <f t="shared" ca="1" si="288"/>
        <v>0</v>
      </c>
      <c r="BQ228" s="58">
        <f t="shared" ca="1" si="288"/>
        <v>0</v>
      </c>
      <c r="BR228" s="58">
        <f t="shared" ca="1" si="288"/>
        <v>0</v>
      </c>
      <c r="BS228" s="58">
        <f t="shared" ref="BS228:CX228" ca="1" si="289">+IF(OR($F228+BS$175&lt;1,(BS$176-1)*12&lt;-$F228),0,OFFSET(BS58,0,$F228))</f>
        <v>0</v>
      </c>
      <c r="BT228" s="58">
        <f t="shared" ca="1" si="289"/>
        <v>0</v>
      </c>
      <c r="BU228" s="58">
        <f t="shared" ca="1" si="289"/>
        <v>0</v>
      </c>
      <c r="BV228" s="58">
        <f t="shared" ca="1" si="289"/>
        <v>0</v>
      </c>
      <c r="BW228" s="58">
        <f t="shared" ca="1" si="289"/>
        <v>0</v>
      </c>
      <c r="BX228" s="58">
        <f t="shared" ca="1" si="289"/>
        <v>0</v>
      </c>
      <c r="BY228" s="58">
        <f t="shared" ca="1" si="289"/>
        <v>0</v>
      </c>
      <c r="BZ228" s="58">
        <f t="shared" ca="1" si="289"/>
        <v>0</v>
      </c>
      <c r="CA228" s="58">
        <f t="shared" ca="1" si="289"/>
        <v>0</v>
      </c>
      <c r="CB228" s="58">
        <f t="shared" ca="1" si="289"/>
        <v>0</v>
      </c>
      <c r="CC228" s="58">
        <f t="shared" ca="1" si="289"/>
        <v>0</v>
      </c>
      <c r="CD228" s="58">
        <f t="shared" ca="1" si="289"/>
        <v>0</v>
      </c>
      <c r="CE228" s="58">
        <f t="shared" ca="1" si="289"/>
        <v>0</v>
      </c>
      <c r="CF228" s="58">
        <f t="shared" ca="1" si="289"/>
        <v>0</v>
      </c>
      <c r="CG228" s="58">
        <f t="shared" ca="1" si="289"/>
        <v>0</v>
      </c>
      <c r="CH228" s="58">
        <f t="shared" ca="1" si="289"/>
        <v>0</v>
      </c>
      <c r="CI228" s="58">
        <f t="shared" ca="1" si="289"/>
        <v>0</v>
      </c>
      <c r="CJ228" s="58">
        <f t="shared" ca="1" si="289"/>
        <v>0</v>
      </c>
      <c r="CK228" s="58">
        <f t="shared" ca="1" si="289"/>
        <v>0</v>
      </c>
      <c r="CL228" s="58">
        <f t="shared" ca="1" si="289"/>
        <v>0</v>
      </c>
      <c r="CM228" s="58">
        <f t="shared" ca="1" si="289"/>
        <v>0</v>
      </c>
      <c r="CN228" s="58">
        <f t="shared" ca="1" si="289"/>
        <v>0</v>
      </c>
      <c r="CO228" s="58">
        <f t="shared" ca="1" si="289"/>
        <v>0</v>
      </c>
      <c r="CP228" s="58">
        <f t="shared" ca="1" si="289"/>
        <v>0</v>
      </c>
      <c r="CQ228" s="58">
        <f t="shared" ca="1" si="289"/>
        <v>0</v>
      </c>
      <c r="CR228" s="58">
        <f t="shared" ca="1" si="289"/>
        <v>0</v>
      </c>
      <c r="CS228" s="58">
        <f t="shared" ca="1" si="289"/>
        <v>0</v>
      </c>
      <c r="CT228" s="58">
        <f t="shared" ca="1" si="289"/>
        <v>0</v>
      </c>
      <c r="CU228" s="58">
        <f t="shared" ca="1" si="289"/>
        <v>0</v>
      </c>
      <c r="CV228" s="58">
        <f t="shared" ca="1" si="289"/>
        <v>0</v>
      </c>
      <c r="CW228" s="58">
        <f t="shared" ca="1" si="289"/>
        <v>0</v>
      </c>
      <c r="CX228" s="58">
        <f t="shared" ca="1" si="289"/>
        <v>0</v>
      </c>
      <c r="CY228" s="58">
        <f t="shared" ref="CY228:ED228" ca="1" si="290">+IF(OR($F228+CY$175&lt;1,(CY$176-1)*12&lt;-$F228),0,OFFSET(CY58,0,$F228))</f>
        <v>0</v>
      </c>
      <c r="CZ228" s="58">
        <f t="shared" ca="1" si="290"/>
        <v>0</v>
      </c>
      <c r="DA228" s="58">
        <f t="shared" ca="1" si="290"/>
        <v>0</v>
      </c>
      <c r="DB228" s="58">
        <f t="shared" ca="1" si="290"/>
        <v>0</v>
      </c>
      <c r="DC228" s="58">
        <f t="shared" ca="1" si="290"/>
        <v>0</v>
      </c>
      <c r="DD228" s="58">
        <f t="shared" ca="1" si="290"/>
        <v>0</v>
      </c>
      <c r="DE228" s="58">
        <f t="shared" ca="1" si="290"/>
        <v>0</v>
      </c>
      <c r="DF228" s="58">
        <f t="shared" ca="1" si="290"/>
        <v>0</v>
      </c>
      <c r="DG228" s="58">
        <f t="shared" ca="1" si="290"/>
        <v>0</v>
      </c>
      <c r="DH228" s="58">
        <f t="shared" ca="1" si="290"/>
        <v>0</v>
      </c>
      <c r="DI228" s="58">
        <f t="shared" ca="1" si="290"/>
        <v>0</v>
      </c>
      <c r="DJ228" s="58">
        <f t="shared" ca="1" si="290"/>
        <v>0</v>
      </c>
      <c r="DK228" s="58">
        <f t="shared" ca="1" si="290"/>
        <v>0</v>
      </c>
      <c r="DL228" s="58">
        <f t="shared" ca="1" si="290"/>
        <v>0</v>
      </c>
      <c r="DM228" s="58">
        <f t="shared" ca="1" si="290"/>
        <v>0</v>
      </c>
      <c r="DN228" s="58">
        <f t="shared" ca="1" si="290"/>
        <v>0</v>
      </c>
      <c r="DO228" s="58">
        <f t="shared" ca="1" si="290"/>
        <v>0</v>
      </c>
      <c r="DP228" s="58">
        <f t="shared" ca="1" si="290"/>
        <v>0</v>
      </c>
      <c r="DQ228" s="58">
        <f t="shared" ca="1" si="290"/>
        <v>0</v>
      </c>
      <c r="DR228" s="58">
        <f t="shared" ca="1" si="290"/>
        <v>0</v>
      </c>
      <c r="DS228" s="58">
        <f t="shared" ca="1" si="290"/>
        <v>0</v>
      </c>
      <c r="DT228" s="58">
        <f t="shared" ca="1" si="290"/>
        <v>0</v>
      </c>
      <c r="DU228" s="58">
        <f t="shared" ca="1" si="290"/>
        <v>0</v>
      </c>
      <c r="DV228" s="58">
        <f t="shared" ca="1" si="290"/>
        <v>0</v>
      </c>
      <c r="DW228" s="58">
        <f t="shared" ca="1" si="290"/>
        <v>0</v>
      </c>
      <c r="DX228" s="58">
        <f t="shared" ca="1" si="290"/>
        <v>0</v>
      </c>
      <c r="DY228" s="58">
        <f t="shared" ca="1" si="290"/>
        <v>0</v>
      </c>
      <c r="DZ228" s="58">
        <f t="shared" ca="1" si="290"/>
        <v>0</v>
      </c>
      <c r="EA228" s="58">
        <f t="shared" ca="1" si="290"/>
        <v>0</v>
      </c>
      <c r="EB228" s="58">
        <f t="shared" ca="1" si="290"/>
        <v>0</v>
      </c>
      <c r="EC228" s="58">
        <f t="shared" ca="1" si="290"/>
        <v>0</v>
      </c>
      <c r="ED228" s="58">
        <f t="shared" ca="1" si="290"/>
        <v>0</v>
      </c>
      <c r="EE228" s="58">
        <f t="shared" ref="EE228:FN228" ca="1" si="291">+IF(OR($F228+EE$175&lt;1,(EE$176-1)*12&lt;-$F228),0,OFFSET(EE58,0,$F228))</f>
        <v>0</v>
      </c>
      <c r="EF228" s="58">
        <f t="shared" ca="1" si="291"/>
        <v>0</v>
      </c>
      <c r="EG228" s="58">
        <f t="shared" ca="1" si="291"/>
        <v>0</v>
      </c>
      <c r="EH228" s="58">
        <f t="shared" ca="1" si="291"/>
        <v>0</v>
      </c>
      <c r="EI228" s="58">
        <f t="shared" ca="1" si="291"/>
        <v>0</v>
      </c>
      <c r="EJ228" s="58">
        <f t="shared" ca="1" si="291"/>
        <v>0</v>
      </c>
      <c r="EK228" s="58">
        <f t="shared" ca="1" si="291"/>
        <v>0</v>
      </c>
      <c r="EL228" s="58">
        <f t="shared" ca="1" si="291"/>
        <v>0</v>
      </c>
      <c r="EM228" s="58">
        <f t="shared" ca="1" si="291"/>
        <v>0</v>
      </c>
      <c r="EN228" s="58">
        <f t="shared" ca="1" si="291"/>
        <v>0</v>
      </c>
      <c r="EO228" s="58">
        <f t="shared" ca="1" si="291"/>
        <v>0</v>
      </c>
      <c r="EP228" s="58">
        <f t="shared" ca="1" si="291"/>
        <v>0</v>
      </c>
      <c r="EQ228" s="58">
        <f t="shared" ca="1" si="291"/>
        <v>0</v>
      </c>
      <c r="ER228" s="58">
        <f t="shared" ca="1" si="291"/>
        <v>0</v>
      </c>
      <c r="ES228" s="58">
        <f t="shared" ca="1" si="291"/>
        <v>0</v>
      </c>
      <c r="ET228" s="58">
        <f t="shared" ca="1" si="291"/>
        <v>0</v>
      </c>
      <c r="EU228" s="58">
        <f t="shared" ca="1" si="291"/>
        <v>0</v>
      </c>
      <c r="EV228" s="58">
        <f t="shared" ca="1" si="291"/>
        <v>0</v>
      </c>
      <c r="EW228" s="58">
        <f t="shared" ca="1" si="291"/>
        <v>0</v>
      </c>
      <c r="EX228" s="58">
        <f t="shared" ca="1" si="291"/>
        <v>0</v>
      </c>
      <c r="EY228" s="58">
        <f t="shared" ca="1" si="291"/>
        <v>0</v>
      </c>
      <c r="EZ228" s="58">
        <f t="shared" ca="1" si="291"/>
        <v>0</v>
      </c>
      <c r="FA228" s="58">
        <f t="shared" ca="1" si="291"/>
        <v>0</v>
      </c>
      <c r="FB228" s="58">
        <f t="shared" ca="1" si="291"/>
        <v>0</v>
      </c>
      <c r="FC228" s="58">
        <f t="shared" ca="1" si="291"/>
        <v>0</v>
      </c>
      <c r="FD228" s="58">
        <f t="shared" ca="1" si="291"/>
        <v>0</v>
      </c>
      <c r="FE228" s="58">
        <f t="shared" ca="1" si="291"/>
        <v>0</v>
      </c>
      <c r="FF228" s="58">
        <f t="shared" ca="1" si="291"/>
        <v>0</v>
      </c>
      <c r="FG228" s="58">
        <f t="shared" ca="1" si="291"/>
        <v>0</v>
      </c>
      <c r="FH228" s="58">
        <f t="shared" ca="1" si="291"/>
        <v>0</v>
      </c>
      <c r="FI228" s="58">
        <f t="shared" ca="1" si="291"/>
        <v>0</v>
      </c>
      <c r="FJ228" s="58">
        <f t="shared" ca="1" si="291"/>
        <v>0</v>
      </c>
      <c r="FK228" s="58">
        <f t="shared" ca="1" si="291"/>
        <v>0</v>
      </c>
      <c r="FL228" s="58">
        <f t="shared" ca="1" si="291"/>
        <v>0</v>
      </c>
      <c r="FM228" s="58">
        <f t="shared" ca="1" si="291"/>
        <v>0</v>
      </c>
      <c r="FN228" s="58">
        <f t="shared" ca="1" si="291"/>
        <v>0</v>
      </c>
      <c r="FO228" s="13"/>
    </row>
    <row r="229" spans="1:171" outlineLevel="1" x14ac:dyDescent="0.3">
      <c r="A229" s="13"/>
      <c r="B229" s="13"/>
      <c r="C229" s="13"/>
      <c r="D229" s="52">
        <f t="shared" si="194"/>
        <v>41730</v>
      </c>
      <c r="E229" s="53">
        <f t="shared" si="195"/>
        <v>2014</v>
      </c>
      <c r="F229" s="53">
        <f t="shared" si="196"/>
        <v>3</v>
      </c>
      <c r="G229" s="58">
        <f t="shared" ref="G229:AL229" ca="1" si="292">+IF(OR($F229+G$175&lt;1,(G$176-1)*12&lt;-$F229),0,OFFSET(G59,0,$F229))</f>
        <v>0</v>
      </c>
      <c r="H229" s="58">
        <f t="shared" ca="1" si="292"/>
        <v>0</v>
      </c>
      <c r="I229" s="58">
        <f t="shared" ca="1" si="292"/>
        <v>0</v>
      </c>
      <c r="J229" s="58">
        <f t="shared" ca="1" si="292"/>
        <v>0</v>
      </c>
      <c r="K229" s="58">
        <f t="shared" ca="1" si="292"/>
        <v>0</v>
      </c>
      <c r="L229" s="58">
        <f t="shared" ca="1" si="292"/>
        <v>0</v>
      </c>
      <c r="M229" s="58">
        <f t="shared" ca="1" si="292"/>
        <v>0</v>
      </c>
      <c r="N229" s="58">
        <f t="shared" ca="1" si="292"/>
        <v>0</v>
      </c>
      <c r="O229" s="58">
        <f t="shared" ca="1" si="292"/>
        <v>0</v>
      </c>
      <c r="P229" s="58">
        <f t="shared" ca="1" si="292"/>
        <v>0</v>
      </c>
      <c r="Q229" s="58">
        <f t="shared" ca="1" si="292"/>
        <v>0</v>
      </c>
      <c r="R229" s="58">
        <f t="shared" ca="1" si="292"/>
        <v>0</v>
      </c>
      <c r="S229" s="58">
        <f t="shared" ca="1" si="292"/>
        <v>0</v>
      </c>
      <c r="T229" s="58">
        <f t="shared" ca="1" si="292"/>
        <v>0</v>
      </c>
      <c r="U229" s="58">
        <f t="shared" ca="1" si="292"/>
        <v>0</v>
      </c>
      <c r="V229" s="58">
        <f t="shared" ca="1" si="292"/>
        <v>0</v>
      </c>
      <c r="W229" s="58">
        <f t="shared" ca="1" si="292"/>
        <v>0</v>
      </c>
      <c r="X229" s="58">
        <f t="shared" ca="1" si="292"/>
        <v>0</v>
      </c>
      <c r="Y229" s="58">
        <f t="shared" ca="1" si="292"/>
        <v>0</v>
      </c>
      <c r="Z229" s="58">
        <f t="shared" ca="1" si="292"/>
        <v>0</v>
      </c>
      <c r="AA229" s="58">
        <f t="shared" ca="1" si="292"/>
        <v>0</v>
      </c>
      <c r="AB229" s="58">
        <f t="shared" ca="1" si="292"/>
        <v>0</v>
      </c>
      <c r="AC229" s="58">
        <f t="shared" ca="1" si="292"/>
        <v>0</v>
      </c>
      <c r="AD229" s="58">
        <f t="shared" ca="1" si="292"/>
        <v>0</v>
      </c>
      <c r="AE229" s="58">
        <f t="shared" ca="1" si="292"/>
        <v>0</v>
      </c>
      <c r="AF229" s="58">
        <f t="shared" ca="1" si="292"/>
        <v>0</v>
      </c>
      <c r="AG229" s="58">
        <f t="shared" ca="1" si="292"/>
        <v>0</v>
      </c>
      <c r="AH229" s="58">
        <f t="shared" ca="1" si="292"/>
        <v>0</v>
      </c>
      <c r="AI229" s="58">
        <f t="shared" ca="1" si="292"/>
        <v>0</v>
      </c>
      <c r="AJ229" s="58">
        <f t="shared" ca="1" si="292"/>
        <v>0</v>
      </c>
      <c r="AK229" s="58">
        <f t="shared" ca="1" si="292"/>
        <v>0</v>
      </c>
      <c r="AL229" s="58">
        <f t="shared" ca="1" si="292"/>
        <v>0</v>
      </c>
      <c r="AM229" s="58">
        <f t="shared" ref="AM229:BR229" ca="1" si="293">+IF(OR($F229+AM$175&lt;1,(AM$176-1)*12&lt;-$F229),0,OFFSET(AM59,0,$F229))</f>
        <v>0</v>
      </c>
      <c r="AN229" s="58">
        <f t="shared" ca="1" si="293"/>
        <v>0</v>
      </c>
      <c r="AO229" s="58">
        <f t="shared" ca="1" si="293"/>
        <v>0</v>
      </c>
      <c r="AP229" s="58">
        <f t="shared" ca="1" si="293"/>
        <v>0</v>
      </c>
      <c r="AQ229" s="58">
        <f t="shared" ca="1" si="293"/>
        <v>0</v>
      </c>
      <c r="AR229" s="58">
        <f t="shared" ca="1" si="293"/>
        <v>0</v>
      </c>
      <c r="AS229" s="58">
        <f t="shared" ca="1" si="293"/>
        <v>0</v>
      </c>
      <c r="AT229" s="58">
        <f t="shared" ca="1" si="293"/>
        <v>0</v>
      </c>
      <c r="AU229" s="58">
        <f t="shared" ca="1" si="293"/>
        <v>0</v>
      </c>
      <c r="AV229" s="58">
        <f t="shared" ca="1" si="293"/>
        <v>0</v>
      </c>
      <c r="AW229" s="58">
        <f t="shared" ca="1" si="293"/>
        <v>0</v>
      </c>
      <c r="AX229" s="58">
        <f t="shared" ca="1" si="293"/>
        <v>0</v>
      </c>
      <c r="AY229" s="58">
        <f t="shared" ca="1" si="293"/>
        <v>0</v>
      </c>
      <c r="AZ229" s="58">
        <f t="shared" ca="1" si="293"/>
        <v>0</v>
      </c>
      <c r="BA229" s="58">
        <f t="shared" ca="1" si="293"/>
        <v>0</v>
      </c>
      <c r="BB229" s="58">
        <f t="shared" ca="1" si="293"/>
        <v>0</v>
      </c>
      <c r="BC229" s="58">
        <f t="shared" ca="1" si="293"/>
        <v>0</v>
      </c>
      <c r="BD229" s="58">
        <f t="shared" ca="1" si="293"/>
        <v>0</v>
      </c>
      <c r="BE229" s="58">
        <f t="shared" ca="1" si="293"/>
        <v>0</v>
      </c>
      <c r="BF229" s="58">
        <f t="shared" ca="1" si="293"/>
        <v>0</v>
      </c>
      <c r="BG229" s="58">
        <f t="shared" ca="1" si="293"/>
        <v>0</v>
      </c>
      <c r="BH229" s="58">
        <f t="shared" ca="1" si="293"/>
        <v>0</v>
      </c>
      <c r="BI229" s="58">
        <f t="shared" ca="1" si="293"/>
        <v>0</v>
      </c>
      <c r="BJ229" s="58">
        <f t="shared" ca="1" si="293"/>
        <v>0</v>
      </c>
      <c r="BK229" s="58">
        <f t="shared" ca="1" si="293"/>
        <v>0</v>
      </c>
      <c r="BL229" s="58">
        <f t="shared" ca="1" si="293"/>
        <v>0</v>
      </c>
      <c r="BM229" s="58">
        <f t="shared" ca="1" si="293"/>
        <v>0</v>
      </c>
      <c r="BN229" s="58">
        <f t="shared" ca="1" si="293"/>
        <v>0</v>
      </c>
      <c r="BO229" s="58">
        <f t="shared" ca="1" si="293"/>
        <v>0</v>
      </c>
      <c r="BP229" s="58">
        <f t="shared" ca="1" si="293"/>
        <v>0</v>
      </c>
      <c r="BQ229" s="58">
        <f t="shared" ca="1" si="293"/>
        <v>0</v>
      </c>
      <c r="BR229" s="58">
        <f t="shared" ca="1" si="293"/>
        <v>0</v>
      </c>
      <c r="BS229" s="58">
        <f t="shared" ref="BS229:CX229" ca="1" si="294">+IF(OR($F229+BS$175&lt;1,(BS$176-1)*12&lt;-$F229),0,OFFSET(BS59,0,$F229))</f>
        <v>0</v>
      </c>
      <c r="BT229" s="58">
        <f t="shared" ca="1" si="294"/>
        <v>0</v>
      </c>
      <c r="BU229" s="58">
        <f t="shared" ca="1" si="294"/>
        <v>0</v>
      </c>
      <c r="BV229" s="58">
        <f t="shared" ca="1" si="294"/>
        <v>0</v>
      </c>
      <c r="BW229" s="58">
        <f t="shared" ca="1" si="294"/>
        <v>0</v>
      </c>
      <c r="BX229" s="58">
        <f t="shared" ca="1" si="294"/>
        <v>0</v>
      </c>
      <c r="BY229" s="58">
        <f t="shared" ca="1" si="294"/>
        <v>0</v>
      </c>
      <c r="BZ229" s="58">
        <f t="shared" ca="1" si="294"/>
        <v>0</v>
      </c>
      <c r="CA229" s="58">
        <f t="shared" ca="1" si="294"/>
        <v>0</v>
      </c>
      <c r="CB229" s="58">
        <f t="shared" ca="1" si="294"/>
        <v>0</v>
      </c>
      <c r="CC229" s="58">
        <f t="shared" ca="1" si="294"/>
        <v>0</v>
      </c>
      <c r="CD229" s="58">
        <f t="shared" ca="1" si="294"/>
        <v>0</v>
      </c>
      <c r="CE229" s="58">
        <f t="shared" ca="1" si="294"/>
        <v>0</v>
      </c>
      <c r="CF229" s="58">
        <f t="shared" ca="1" si="294"/>
        <v>0</v>
      </c>
      <c r="CG229" s="58">
        <f t="shared" ca="1" si="294"/>
        <v>0</v>
      </c>
      <c r="CH229" s="58">
        <f t="shared" ca="1" si="294"/>
        <v>0</v>
      </c>
      <c r="CI229" s="58">
        <f t="shared" ca="1" si="294"/>
        <v>0</v>
      </c>
      <c r="CJ229" s="58">
        <f t="shared" ca="1" si="294"/>
        <v>0</v>
      </c>
      <c r="CK229" s="58">
        <f t="shared" ca="1" si="294"/>
        <v>0</v>
      </c>
      <c r="CL229" s="58">
        <f t="shared" ca="1" si="294"/>
        <v>0</v>
      </c>
      <c r="CM229" s="58">
        <f t="shared" ca="1" si="294"/>
        <v>0</v>
      </c>
      <c r="CN229" s="58">
        <f t="shared" ca="1" si="294"/>
        <v>0</v>
      </c>
      <c r="CO229" s="58">
        <f t="shared" ca="1" si="294"/>
        <v>0</v>
      </c>
      <c r="CP229" s="58">
        <f t="shared" ca="1" si="294"/>
        <v>0</v>
      </c>
      <c r="CQ229" s="58">
        <f t="shared" ca="1" si="294"/>
        <v>0</v>
      </c>
      <c r="CR229" s="58">
        <f t="shared" ca="1" si="294"/>
        <v>0</v>
      </c>
      <c r="CS229" s="58">
        <f t="shared" ca="1" si="294"/>
        <v>0</v>
      </c>
      <c r="CT229" s="58">
        <f t="shared" ca="1" si="294"/>
        <v>0</v>
      </c>
      <c r="CU229" s="58">
        <f t="shared" ca="1" si="294"/>
        <v>0</v>
      </c>
      <c r="CV229" s="58">
        <f t="shared" ca="1" si="294"/>
        <v>0</v>
      </c>
      <c r="CW229" s="58">
        <f t="shared" ca="1" si="294"/>
        <v>0</v>
      </c>
      <c r="CX229" s="58">
        <f t="shared" ca="1" si="294"/>
        <v>0</v>
      </c>
      <c r="CY229" s="58">
        <f t="shared" ref="CY229:ED229" ca="1" si="295">+IF(OR($F229+CY$175&lt;1,(CY$176-1)*12&lt;-$F229),0,OFFSET(CY59,0,$F229))</f>
        <v>0</v>
      </c>
      <c r="CZ229" s="58">
        <f t="shared" ca="1" si="295"/>
        <v>0</v>
      </c>
      <c r="DA229" s="58">
        <f t="shared" ca="1" si="295"/>
        <v>0</v>
      </c>
      <c r="DB229" s="58">
        <f t="shared" ca="1" si="295"/>
        <v>0</v>
      </c>
      <c r="DC229" s="58">
        <f t="shared" ca="1" si="295"/>
        <v>0</v>
      </c>
      <c r="DD229" s="58">
        <f t="shared" ca="1" si="295"/>
        <v>0</v>
      </c>
      <c r="DE229" s="58">
        <f t="shared" ca="1" si="295"/>
        <v>0</v>
      </c>
      <c r="DF229" s="58">
        <f t="shared" ca="1" si="295"/>
        <v>0</v>
      </c>
      <c r="DG229" s="58">
        <f t="shared" ca="1" si="295"/>
        <v>0</v>
      </c>
      <c r="DH229" s="58">
        <f t="shared" ca="1" si="295"/>
        <v>0</v>
      </c>
      <c r="DI229" s="58">
        <f t="shared" ca="1" si="295"/>
        <v>0</v>
      </c>
      <c r="DJ229" s="58">
        <f t="shared" ca="1" si="295"/>
        <v>0</v>
      </c>
      <c r="DK229" s="58">
        <f t="shared" ca="1" si="295"/>
        <v>0</v>
      </c>
      <c r="DL229" s="58">
        <f t="shared" ca="1" si="295"/>
        <v>0</v>
      </c>
      <c r="DM229" s="58">
        <f t="shared" ca="1" si="295"/>
        <v>0</v>
      </c>
      <c r="DN229" s="58">
        <f t="shared" ca="1" si="295"/>
        <v>0</v>
      </c>
      <c r="DO229" s="58">
        <f t="shared" ca="1" si="295"/>
        <v>0</v>
      </c>
      <c r="DP229" s="58">
        <f t="shared" ca="1" si="295"/>
        <v>0</v>
      </c>
      <c r="DQ229" s="58">
        <f t="shared" ca="1" si="295"/>
        <v>0</v>
      </c>
      <c r="DR229" s="58">
        <f t="shared" ca="1" si="295"/>
        <v>0</v>
      </c>
      <c r="DS229" s="58">
        <f t="shared" ca="1" si="295"/>
        <v>0</v>
      </c>
      <c r="DT229" s="58">
        <f t="shared" ca="1" si="295"/>
        <v>0</v>
      </c>
      <c r="DU229" s="58">
        <f t="shared" ca="1" si="295"/>
        <v>0</v>
      </c>
      <c r="DV229" s="58">
        <f t="shared" ca="1" si="295"/>
        <v>0</v>
      </c>
      <c r="DW229" s="58">
        <f t="shared" ca="1" si="295"/>
        <v>0</v>
      </c>
      <c r="DX229" s="58">
        <f t="shared" ca="1" si="295"/>
        <v>0</v>
      </c>
      <c r="DY229" s="58">
        <f t="shared" ca="1" si="295"/>
        <v>0</v>
      </c>
      <c r="DZ229" s="58">
        <f t="shared" ca="1" si="295"/>
        <v>0</v>
      </c>
      <c r="EA229" s="58">
        <f t="shared" ca="1" si="295"/>
        <v>0</v>
      </c>
      <c r="EB229" s="58">
        <f t="shared" ca="1" si="295"/>
        <v>0</v>
      </c>
      <c r="EC229" s="58">
        <f t="shared" ca="1" si="295"/>
        <v>0</v>
      </c>
      <c r="ED229" s="58">
        <f t="shared" ca="1" si="295"/>
        <v>0</v>
      </c>
      <c r="EE229" s="58">
        <f t="shared" ref="EE229:FN229" ca="1" si="296">+IF(OR($F229+EE$175&lt;1,(EE$176-1)*12&lt;-$F229),0,OFFSET(EE59,0,$F229))</f>
        <v>0</v>
      </c>
      <c r="EF229" s="58">
        <f t="shared" ca="1" si="296"/>
        <v>0</v>
      </c>
      <c r="EG229" s="58">
        <f t="shared" ca="1" si="296"/>
        <v>0</v>
      </c>
      <c r="EH229" s="58">
        <f t="shared" ca="1" si="296"/>
        <v>0</v>
      </c>
      <c r="EI229" s="58">
        <f t="shared" ca="1" si="296"/>
        <v>0</v>
      </c>
      <c r="EJ229" s="58">
        <f t="shared" ca="1" si="296"/>
        <v>0</v>
      </c>
      <c r="EK229" s="58">
        <f t="shared" ca="1" si="296"/>
        <v>0</v>
      </c>
      <c r="EL229" s="58">
        <f t="shared" ca="1" si="296"/>
        <v>0</v>
      </c>
      <c r="EM229" s="58">
        <f t="shared" ca="1" si="296"/>
        <v>0</v>
      </c>
      <c r="EN229" s="58">
        <f t="shared" ca="1" si="296"/>
        <v>0</v>
      </c>
      <c r="EO229" s="58">
        <f t="shared" ca="1" si="296"/>
        <v>0</v>
      </c>
      <c r="EP229" s="58">
        <f t="shared" ca="1" si="296"/>
        <v>0</v>
      </c>
      <c r="EQ229" s="58">
        <f t="shared" ca="1" si="296"/>
        <v>0</v>
      </c>
      <c r="ER229" s="58">
        <f t="shared" ca="1" si="296"/>
        <v>0</v>
      </c>
      <c r="ES229" s="58">
        <f t="shared" ca="1" si="296"/>
        <v>0</v>
      </c>
      <c r="ET229" s="58">
        <f t="shared" ca="1" si="296"/>
        <v>0</v>
      </c>
      <c r="EU229" s="58">
        <f t="shared" ca="1" si="296"/>
        <v>0</v>
      </c>
      <c r="EV229" s="58">
        <f t="shared" ca="1" si="296"/>
        <v>0</v>
      </c>
      <c r="EW229" s="58">
        <f t="shared" ca="1" si="296"/>
        <v>0</v>
      </c>
      <c r="EX229" s="58">
        <f t="shared" ca="1" si="296"/>
        <v>0</v>
      </c>
      <c r="EY229" s="58">
        <f t="shared" ca="1" si="296"/>
        <v>0</v>
      </c>
      <c r="EZ229" s="58">
        <f t="shared" ca="1" si="296"/>
        <v>0</v>
      </c>
      <c r="FA229" s="58">
        <f t="shared" ca="1" si="296"/>
        <v>0</v>
      </c>
      <c r="FB229" s="58">
        <f t="shared" ca="1" si="296"/>
        <v>0</v>
      </c>
      <c r="FC229" s="58">
        <f t="shared" ca="1" si="296"/>
        <v>0</v>
      </c>
      <c r="FD229" s="58">
        <f t="shared" ca="1" si="296"/>
        <v>0</v>
      </c>
      <c r="FE229" s="58">
        <f t="shared" ca="1" si="296"/>
        <v>0</v>
      </c>
      <c r="FF229" s="58">
        <f t="shared" ca="1" si="296"/>
        <v>0</v>
      </c>
      <c r="FG229" s="58">
        <f t="shared" ca="1" si="296"/>
        <v>0</v>
      </c>
      <c r="FH229" s="58">
        <f t="shared" ca="1" si="296"/>
        <v>0</v>
      </c>
      <c r="FI229" s="58">
        <f t="shared" ca="1" si="296"/>
        <v>0</v>
      </c>
      <c r="FJ229" s="58">
        <f t="shared" ca="1" si="296"/>
        <v>0</v>
      </c>
      <c r="FK229" s="58">
        <f t="shared" ca="1" si="296"/>
        <v>0</v>
      </c>
      <c r="FL229" s="58">
        <f t="shared" ca="1" si="296"/>
        <v>0</v>
      </c>
      <c r="FM229" s="58">
        <f t="shared" ca="1" si="296"/>
        <v>0</v>
      </c>
      <c r="FN229" s="58">
        <f t="shared" ca="1" si="296"/>
        <v>0</v>
      </c>
      <c r="FO229" s="13"/>
    </row>
    <row r="230" spans="1:171" outlineLevel="1" x14ac:dyDescent="0.3">
      <c r="A230" s="13"/>
      <c r="B230" s="13"/>
      <c r="C230" s="13"/>
      <c r="D230" s="52">
        <f t="shared" si="194"/>
        <v>41760</v>
      </c>
      <c r="E230" s="53">
        <f t="shared" si="195"/>
        <v>2014</v>
      </c>
      <c r="F230" s="53">
        <f t="shared" si="196"/>
        <v>4</v>
      </c>
      <c r="G230" s="58">
        <f t="shared" ref="G230:AL230" ca="1" si="297">+IF(OR($F230+G$175&lt;1,(G$176-1)*12&lt;-$F230),0,OFFSET(G60,0,$F230))</f>
        <v>0</v>
      </c>
      <c r="H230" s="58">
        <f t="shared" ca="1" si="297"/>
        <v>0</v>
      </c>
      <c r="I230" s="58">
        <f t="shared" ca="1" si="297"/>
        <v>0</v>
      </c>
      <c r="J230" s="58">
        <f t="shared" ca="1" si="297"/>
        <v>0</v>
      </c>
      <c r="K230" s="58">
        <f t="shared" ca="1" si="297"/>
        <v>0</v>
      </c>
      <c r="L230" s="58">
        <f t="shared" ca="1" si="297"/>
        <v>0</v>
      </c>
      <c r="M230" s="58">
        <f t="shared" ca="1" si="297"/>
        <v>0</v>
      </c>
      <c r="N230" s="58">
        <f t="shared" ca="1" si="297"/>
        <v>0</v>
      </c>
      <c r="O230" s="58">
        <f t="shared" ca="1" si="297"/>
        <v>0</v>
      </c>
      <c r="P230" s="58">
        <f t="shared" ca="1" si="297"/>
        <v>0</v>
      </c>
      <c r="Q230" s="58">
        <f t="shared" ca="1" si="297"/>
        <v>0</v>
      </c>
      <c r="R230" s="58">
        <f t="shared" ca="1" si="297"/>
        <v>0</v>
      </c>
      <c r="S230" s="58">
        <f t="shared" ca="1" si="297"/>
        <v>0</v>
      </c>
      <c r="T230" s="58">
        <f t="shared" ca="1" si="297"/>
        <v>0</v>
      </c>
      <c r="U230" s="58">
        <f t="shared" ca="1" si="297"/>
        <v>0</v>
      </c>
      <c r="V230" s="58">
        <f t="shared" ca="1" si="297"/>
        <v>0</v>
      </c>
      <c r="W230" s="58">
        <f t="shared" ca="1" si="297"/>
        <v>0</v>
      </c>
      <c r="X230" s="58">
        <f t="shared" ca="1" si="297"/>
        <v>0</v>
      </c>
      <c r="Y230" s="58">
        <f t="shared" ca="1" si="297"/>
        <v>0</v>
      </c>
      <c r="Z230" s="58">
        <f t="shared" ca="1" si="297"/>
        <v>0</v>
      </c>
      <c r="AA230" s="58">
        <f t="shared" ca="1" si="297"/>
        <v>0</v>
      </c>
      <c r="AB230" s="58">
        <f t="shared" ca="1" si="297"/>
        <v>0</v>
      </c>
      <c r="AC230" s="58">
        <f t="shared" ca="1" si="297"/>
        <v>0</v>
      </c>
      <c r="AD230" s="58">
        <f t="shared" ca="1" si="297"/>
        <v>0</v>
      </c>
      <c r="AE230" s="58">
        <f t="shared" ca="1" si="297"/>
        <v>0</v>
      </c>
      <c r="AF230" s="58">
        <f t="shared" ca="1" si="297"/>
        <v>0</v>
      </c>
      <c r="AG230" s="58">
        <f t="shared" ca="1" si="297"/>
        <v>0</v>
      </c>
      <c r="AH230" s="58">
        <f t="shared" ca="1" si="297"/>
        <v>0</v>
      </c>
      <c r="AI230" s="58">
        <f t="shared" ca="1" si="297"/>
        <v>0</v>
      </c>
      <c r="AJ230" s="58">
        <f t="shared" ca="1" si="297"/>
        <v>0</v>
      </c>
      <c r="AK230" s="58">
        <f t="shared" ca="1" si="297"/>
        <v>0</v>
      </c>
      <c r="AL230" s="58">
        <f t="shared" ca="1" si="297"/>
        <v>0</v>
      </c>
      <c r="AM230" s="58">
        <f t="shared" ref="AM230:BR230" ca="1" si="298">+IF(OR($F230+AM$175&lt;1,(AM$176-1)*12&lt;-$F230),0,OFFSET(AM60,0,$F230))</f>
        <v>0</v>
      </c>
      <c r="AN230" s="58">
        <f t="shared" ca="1" si="298"/>
        <v>0</v>
      </c>
      <c r="AO230" s="58">
        <f t="shared" ca="1" si="298"/>
        <v>0</v>
      </c>
      <c r="AP230" s="58">
        <f t="shared" ca="1" si="298"/>
        <v>0</v>
      </c>
      <c r="AQ230" s="58">
        <f t="shared" ca="1" si="298"/>
        <v>0</v>
      </c>
      <c r="AR230" s="58">
        <f t="shared" ca="1" si="298"/>
        <v>0</v>
      </c>
      <c r="AS230" s="58">
        <f t="shared" ca="1" si="298"/>
        <v>0</v>
      </c>
      <c r="AT230" s="58">
        <f t="shared" ca="1" si="298"/>
        <v>0</v>
      </c>
      <c r="AU230" s="58">
        <f t="shared" ca="1" si="298"/>
        <v>0</v>
      </c>
      <c r="AV230" s="58">
        <f t="shared" ca="1" si="298"/>
        <v>0</v>
      </c>
      <c r="AW230" s="58">
        <f t="shared" ca="1" si="298"/>
        <v>0</v>
      </c>
      <c r="AX230" s="58">
        <f t="shared" ca="1" si="298"/>
        <v>0</v>
      </c>
      <c r="AY230" s="58">
        <f t="shared" ca="1" si="298"/>
        <v>0</v>
      </c>
      <c r="AZ230" s="58">
        <f t="shared" ca="1" si="298"/>
        <v>0</v>
      </c>
      <c r="BA230" s="58">
        <f t="shared" ca="1" si="298"/>
        <v>0</v>
      </c>
      <c r="BB230" s="58">
        <f t="shared" ca="1" si="298"/>
        <v>0</v>
      </c>
      <c r="BC230" s="58">
        <f t="shared" ca="1" si="298"/>
        <v>0</v>
      </c>
      <c r="BD230" s="58">
        <f t="shared" ca="1" si="298"/>
        <v>0</v>
      </c>
      <c r="BE230" s="58">
        <f t="shared" ca="1" si="298"/>
        <v>0</v>
      </c>
      <c r="BF230" s="58">
        <f t="shared" ca="1" si="298"/>
        <v>0</v>
      </c>
      <c r="BG230" s="58">
        <f t="shared" ca="1" si="298"/>
        <v>0</v>
      </c>
      <c r="BH230" s="58">
        <f t="shared" ca="1" si="298"/>
        <v>0</v>
      </c>
      <c r="BI230" s="58">
        <f t="shared" ca="1" si="298"/>
        <v>0</v>
      </c>
      <c r="BJ230" s="58">
        <f t="shared" ca="1" si="298"/>
        <v>0</v>
      </c>
      <c r="BK230" s="58">
        <f t="shared" ca="1" si="298"/>
        <v>0</v>
      </c>
      <c r="BL230" s="58">
        <f t="shared" ca="1" si="298"/>
        <v>0</v>
      </c>
      <c r="BM230" s="58">
        <f t="shared" ca="1" si="298"/>
        <v>0</v>
      </c>
      <c r="BN230" s="58">
        <f t="shared" ca="1" si="298"/>
        <v>0</v>
      </c>
      <c r="BO230" s="58">
        <f t="shared" ca="1" si="298"/>
        <v>0</v>
      </c>
      <c r="BP230" s="58">
        <f t="shared" ca="1" si="298"/>
        <v>0</v>
      </c>
      <c r="BQ230" s="58">
        <f t="shared" ca="1" si="298"/>
        <v>0</v>
      </c>
      <c r="BR230" s="58">
        <f t="shared" ca="1" si="298"/>
        <v>0</v>
      </c>
      <c r="BS230" s="58">
        <f t="shared" ref="BS230:CX230" ca="1" si="299">+IF(OR($F230+BS$175&lt;1,(BS$176-1)*12&lt;-$F230),0,OFFSET(BS60,0,$F230))</f>
        <v>0</v>
      </c>
      <c r="BT230" s="58">
        <f t="shared" ca="1" si="299"/>
        <v>0</v>
      </c>
      <c r="BU230" s="58">
        <f t="shared" ca="1" si="299"/>
        <v>0</v>
      </c>
      <c r="BV230" s="58">
        <f t="shared" ca="1" si="299"/>
        <v>0</v>
      </c>
      <c r="BW230" s="58">
        <f t="shared" ca="1" si="299"/>
        <v>0</v>
      </c>
      <c r="BX230" s="58">
        <f t="shared" ca="1" si="299"/>
        <v>0</v>
      </c>
      <c r="BY230" s="58">
        <f t="shared" ca="1" si="299"/>
        <v>0</v>
      </c>
      <c r="BZ230" s="58">
        <f t="shared" ca="1" si="299"/>
        <v>0</v>
      </c>
      <c r="CA230" s="58">
        <f t="shared" ca="1" si="299"/>
        <v>0</v>
      </c>
      <c r="CB230" s="58">
        <f t="shared" ca="1" si="299"/>
        <v>0</v>
      </c>
      <c r="CC230" s="58">
        <f t="shared" ca="1" si="299"/>
        <v>0</v>
      </c>
      <c r="CD230" s="58">
        <f t="shared" ca="1" si="299"/>
        <v>0</v>
      </c>
      <c r="CE230" s="58">
        <f t="shared" ca="1" si="299"/>
        <v>0</v>
      </c>
      <c r="CF230" s="58">
        <f t="shared" ca="1" si="299"/>
        <v>0</v>
      </c>
      <c r="CG230" s="58">
        <f t="shared" ca="1" si="299"/>
        <v>0</v>
      </c>
      <c r="CH230" s="58">
        <f t="shared" ca="1" si="299"/>
        <v>0</v>
      </c>
      <c r="CI230" s="58">
        <f t="shared" ca="1" si="299"/>
        <v>0</v>
      </c>
      <c r="CJ230" s="58">
        <f t="shared" ca="1" si="299"/>
        <v>0</v>
      </c>
      <c r="CK230" s="58">
        <f t="shared" ca="1" si="299"/>
        <v>0</v>
      </c>
      <c r="CL230" s="58">
        <f t="shared" ca="1" si="299"/>
        <v>0</v>
      </c>
      <c r="CM230" s="58">
        <f t="shared" ca="1" si="299"/>
        <v>0</v>
      </c>
      <c r="CN230" s="58">
        <f t="shared" ca="1" si="299"/>
        <v>0</v>
      </c>
      <c r="CO230" s="58">
        <f t="shared" ca="1" si="299"/>
        <v>0</v>
      </c>
      <c r="CP230" s="58">
        <f t="shared" ca="1" si="299"/>
        <v>0</v>
      </c>
      <c r="CQ230" s="58">
        <f t="shared" ca="1" si="299"/>
        <v>0</v>
      </c>
      <c r="CR230" s="58">
        <f t="shared" ca="1" si="299"/>
        <v>0</v>
      </c>
      <c r="CS230" s="58">
        <f t="shared" ca="1" si="299"/>
        <v>0</v>
      </c>
      <c r="CT230" s="58">
        <f t="shared" ca="1" si="299"/>
        <v>0</v>
      </c>
      <c r="CU230" s="58">
        <f t="shared" ca="1" si="299"/>
        <v>0</v>
      </c>
      <c r="CV230" s="58">
        <f t="shared" ca="1" si="299"/>
        <v>0</v>
      </c>
      <c r="CW230" s="58">
        <f t="shared" ca="1" si="299"/>
        <v>0</v>
      </c>
      <c r="CX230" s="58">
        <f t="shared" ca="1" si="299"/>
        <v>0</v>
      </c>
      <c r="CY230" s="58">
        <f t="shared" ref="CY230:ED230" ca="1" si="300">+IF(OR($F230+CY$175&lt;1,(CY$176-1)*12&lt;-$F230),0,OFFSET(CY60,0,$F230))</f>
        <v>0</v>
      </c>
      <c r="CZ230" s="58">
        <f t="shared" ca="1" si="300"/>
        <v>0</v>
      </c>
      <c r="DA230" s="58">
        <f t="shared" ca="1" si="300"/>
        <v>0</v>
      </c>
      <c r="DB230" s="58">
        <f t="shared" ca="1" si="300"/>
        <v>0</v>
      </c>
      <c r="DC230" s="58">
        <f t="shared" ca="1" si="300"/>
        <v>0</v>
      </c>
      <c r="DD230" s="58">
        <f t="shared" ca="1" si="300"/>
        <v>0</v>
      </c>
      <c r="DE230" s="58">
        <f t="shared" ca="1" si="300"/>
        <v>0</v>
      </c>
      <c r="DF230" s="58">
        <f t="shared" ca="1" si="300"/>
        <v>0</v>
      </c>
      <c r="DG230" s="58">
        <f t="shared" ca="1" si="300"/>
        <v>0</v>
      </c>
      <c r="DH230" s="58">
        <f t="shared" ca="1" si="300"/>
        <v>0</v>
      </c>
      <c r="DI230" s="58">
        <f t="shared" ca="1" si="300"/>
        <v>0</v>
      </c>
      <c r="DJ230" s="58">
        <f t="shared" ca="1" si="300"/>
        <v>0</v>
      </c>
      <c r="DK230" s="58">
        <f t="shared" ca="1" si="300"/>
        <v>0</v>
      </c>
      <c r="DL230" s="58">
        <f t="shared" ca="1" si="300"/>
        <v>0</v>
      </c>
      <c r="DM230" s="58">
        <f t="shared" ca="1" si="300"/>
        <v>0</v>
      </c>
      <c r="DN230" s="58">
        <f t="shared" ca="1" si="300"/>
        <v>0</v>
      </c>
      <c r="DO230" s="58">
        <f t="shared" ca="1" si="300"/>
        <v>0</v>
      </c>
      <c r="DP230" s="58">
        <f t="shared" ca="1" si="300"/>
        <v>0</v>
      </c>
      <c r="DQ230" s="58">
        <f t="shared" ca="1" si="300"/>
        <v>0</v>
      </c>
      <c r="DR230" s="58">
        <f t="shared" ca="1" si="300"/>
        <v>0</v>
      </c>
      <c r="DS230" s="58">
        <f t="shared" ca="1" si="300"/>
        <v>0</v>
      </c>
      <c r="DT230" s="58">
        <f t="shared" ca="1" si="300"/>
        <v>0</v>
      </c>
      <c r="DU230" s="58">
        <f t="shared" ca="1" si="300"/>
        <v>0</v>
      </c>
      <c r="DV230" s="58">
        <f t="shared" ca="1" si="300"/>
        <v>0</v>
      </c>
      <c r="DW230" s="58">
        <f t="shared" ca="1" si="300"/>
        <v>0</v>
      </c>
      <c r="DX230" s="58">
        <f t="shared" ca="1" si="300"/>
        <v>0</v>
      </c>
      <c r="DY230" s="58">
        <f t="shared" ca="1" si="300"/>
        <v>0</v>
      </c>
      <c r="DZ230" s="58">
        <f t="shared" ca="1" si="300"/>
        <v>0</v>
      </c>
      <c r="EA230" s="58">
        <f t="shared" ca="1" si="300"/>
        <v>0</v>
      </c>
      <c r="EB230" s="58">
        <f t="shared" ca="1" si="300"/>
        <v>0</v>
      </c>
      <c r="EC230" s="58">
        <f t="shared" ca="1" si="300"/>
        <v>0</v>
      </c>
      <c r="ED230" s="58">
        <f t="shared" ca="1" si="300"/>
        <v>0</v>
      </c>
      <c r="EE230" s="58">
        <f t="shared" ref="EE230:FN230" ca="1" si="301">+IF(OR($F230+EE$175&lt;1,(EE$176-1)*12&lt;-$F230),0,OFFSET(EE60,0,$F230))</f>
        <v>0</v>
      </c>
      <c r="EF230" s="58">
        <f t="shared" ca="1" si="301"/>
        <v>0</v>
      </c>
      <c r="EG230" s="58">
        <f t="shared" ca="1" si="301"/>
        <v>0</v>
      </c>
      <c r="EH230" s="58">
        <f t="shared" ca="1" si="301"/>
        <v>0</v>
      </c>
      <c r="EI230" s="58">
        <f t="shared" ca="1" si="301"/>
        <v>0</v>
      </c>
      <c r="EJ230" s="58">
        <f t="shared" ca="1" si="301"/>
        <v>0</v>
      </c>
      <c r="EK230" s="58">
        <f t="shared" ca="1" si="301"/>
        <v>0</v>
      </c>
      <c r="EL230" s="58">
        <f t="shared" ca="1" si="301"/>
        <v>0</v>
      </c>
      <c r="EM230" s="58">
        <f t="shared" ca="1" si="301"/>
        <v>0</v>
      </c>
      <c r="EN230" s="58">
        <f t="shared" ca="1" si="301"/>
        <v>0</v>
      </c>
      <c r="EO230" s="58">
        <f t="shared" ca="1" si="301"/>
        <v>0</v>
      </c>
      <c r="EP230" s="58">
        <f t="shared" ca="1" si="301"/>
        <v>0</v>
      </c>
      <c r="EQ230" s="58">
        <f t="shared" ca="1" si="301"/>
        <v>0</v>
      </c>
      <c r="ER230" s="58">
        <f t="shared" ca="1" si="301"/>
        <v>0</v>
      </c>
      <c r="ES230" s="58">
        <f t="shared" ca="1" si="301"/>
        <v>0</v>
      </c>
      <c r="ET230" s="58">
        <f t="shared" ca="1" si="301"/>
        <v>0</v>
      </c>
      <c r="EU230" s="58">
        <f t="shared" ca="1" si="301"/>
        <v>0</v>
      </c>
      <c r="EV230" s="58">
        <f t="shared" ca="1" si="301"/>
        <v>0</v>
      </c>
      <c r="EW230" s="58">
        <f t="shared" ca="1" si="301"/>
        <v>0</v>
      </c>
      <c r="EX230" s="58">
        <f t="shared" ca="1" si="301"/>
        <v>0</v>
      </c>
      <c r="EY230" s="58">
        <f t="shared" ca="1" si="301"/>
        <v>0</v>
      </c>
      <c r="EZ230" s="58">
        <f t="shared" ca="1" si="301"/>
        <v>0</v>
      </c>
      <c r="FA230" s="58">
        <f t="shared" ca="1" si="301"/>
        <v>0</v>
      </c>
      <c r="FB230" s="58">
        <f t="shared" ca="1" si="301"/>
        <v>0</v>
      </c>
      <c r="FC230" s="58">
        <f t="shared" ca="1" si="301"/>
        <v>0</v>
      </c>
      <c r="FD230" s="58">
        <f t="shared" ca="1" si="301"/>
        <v>0</v>
      </c>
      <c r="FE230" s="58">
        <f t="shared" ca="1" si="301"/>
        <v>0</v>
      </c>
      <c r="FF230" s="58">
        <f t="shared" ca="1" si="301"/>
        <v>0</v>
      </c>
      <c r="FG230" s="58">
        <f t="shared" ca="1" si="301"/>
        <v>0</v>
      </c>
      <c r="FH230" s="58">
        <f t="shared" ca="1" si="301"/>
        <v>0</v>
      </c>
      <c r="FI230" s="58">
        <f t="shared" ca="1" si="301"/>
        <v>0</v>
      </c>
      <c r="FJ230" s="58">
        <f t="shared" ca="1" si="301"/>
        <v>0</v>
      </c>
      <c r="FK230" s="58">
        <f t="shared" ca="1" si="301"/>
        <v>0</v>
      </c>
      <c r="FL230" s="58">
        <f t="shared" ca="1" si="301"/>
        <v>0</v>
      </c>
      <c r="FM230" s="58">
        <f t="shared" ca="1" si="301"/>
        <v>0</v>
      </c>
      <c r="FN230" s="58">
        <f t="shared" ca="1" si="301"/>
        <v>0</v>
      </c>
      <c r="FO230" s="13"/>
    </row>
    <row r="231" spans="1:171" outlineLevel="1" x14ac:dyDescent="0.3">
      <c r="A231" s="13"/>
      <c r="B231" s="13"/>
      <c r="C231" s="13"/>
      <c r="D231" s="52">
        <f t="shared" si="194"/>
        <v>41791</v>
      </c>
      <c r="E231" s="53">
        <f t="shared" si="195"/>
        <v>2014</v>
      </c>
      <c r="F231" s="53">
        <f t="shared" si="196"/>
        <v>5</v>
      </c>
      <c r="G231" s="58">
        <f t="shared" ref="G231:AL231" ca="1" si="302">+IF(OR($F231+G$175&lt;1,(G$176-1)*12&lt;-$F231),0,OFFSET(G61,0,$F231))</f>
        <v>0</v>
      </c>
      <c r="H231" s="58">
        <f t="shared" ca="1" si="302"/>
        <v>0</v>
      </c>
      <c r="I231" s="58">
        <f t="shared" ca="1" si="302"/>
        <v>0</v>
      </c>
      <c r="J231" s="58">
        <f t="shared" ca="1" si="302"/>
        <v>0</v>
      </c>
      <c r="K231" s="58">
        <f t="shared" ca="1" si="302"/>
        <v>0</v>
      </c>
      <c r="L231" s="58">
        <f t="shared" ca="1" si="302"/>
        <v>0</v>
      </c>
      <c r="M231" s="58">
        <f t="shared" ca="1" si="302"/>
        <v>0</v>
      </c>
      <c r="N231" s="58">
        <f t="shared" ca="1" si="302"/>
        <v>0</v>
      </c>
      <c r="O231" s="58">
        <f t="shared" ca="1" si="302"/>
        <v>0</v>
      </c>
      <c r="P231" s="58">
        <f t="shared" ca="1" si="302"/>
        <v>0</v>
      </c>
      <c r="Q231" s="58">
        <f t="shared" ca="1" si="302"/>
        <v>0</v>
      </c>
      <c r="R231" s="58">
        <f t="shared" ca="1" si="302"/>
        <v>0</v>
      </c>
      <c r="S231" s="58">
        <f t="shared" ca="1" si="302"/>
        <v>0</v>
      </c>
      <c r="T231" s="58">
        <f t="shared" ca="1" si="302"/>
        <v>0</v>
      </c>
      <c r="U231" s="58">
        <f t="shared" ca="1" si="302"/>
        <v>0</v>
      </c>
      <c r="V231" s="58">
        <f t="shared" ca="1" si="302"/>
        <v>0</v>
      </c>
      <c r="W231" s="58">
        <f t="shared" ca="1" si="302"/>
        <v>0</v>
      </c>
      <c r="X231" s="58">
        <f t="shared" ca="1" si="302"/>
        <v>0</v>
      </c>
      <c r="Y231" s="58">
        <f t="shared" ca="1" si="302"/>
        <v>0</v>
      </c>
      <c r="Z231" s="58">
        <f t="shared" ca="1" si="302"/>
        <v>0</v>
      </c>
      <c r="AA231" s="58">
        <f t="shared" ca="1" si="302"/>
        <v>0</v>
      </c>
      <c r="AB231" s="58">
        <f t="shared" ca="1" si="302"/>
        <v>0</v>
      </c>
      <c r="AC231" s="58">
        <f t="shared" ca="1" si="302"/>
        <v>0</v>
      </c>
      <c r="AD231" s="58">
        <f t="shared" ca="1" si="302"/>
        <v>0</v>
      </c>
      <c r="AE231" s="58">
        <f t="shared" ca="1" si="302"/>
        <v>0</v>
      </c>
      <c r="AF231" s="58">
        <f t="shared" ca="1" si="302"/>
        <v>0</v>
      </c>
      <c r="AG231" s="58">
        <f t="shared" ca="1" si="302"/>
        <v>0</v>
      </c>
      <c r="AH231" s="58">
        <f t="shared" ca="1" si="302"/>
        <v>0</v>
      </c>
      <c r="AI231" s="58">
        <f t="shared" ca="1" si="302"/>
        <v>0</v>
      </c>
      <c r="AJ231" s="58">
        <f t="shared" ca="1" si="302"/>
        <v>0</v>
      </c>
      <c r="AK231" s="58">
        <f t="shared" ca="1" si="302"/>
        <v>0</v>
      </c>
      <c r="AL231" s="58">
        <f t="shared" ca="1" si="302"/>
        <v>0</v>
      </c>
      <c r="AM231" s="58">
        <f t="shared" ref="AM231:BR231" ca="1" si="303">+IF(OR($F231+AM$175&lt;1,(AM$176-1)*12&lt;-$F231),0,OFFSET(AM61,0,$F231))</f>
        <v>0</v>
      </c>
      <c r="AN231" s="58">
        <f t="shared" ca="1" si="303"/>
        <v>0</v>
      </c>
      <c r="AO231" s="58">
        <f t="shared" ca="1" si="303"/>
        <v>0</v>
      </c>
      <c r="AP231" s="58">
        <f t="shared" ca="1" si="303"/>
        <v>0</v>
      </c>
      <c r="AQ231" s="58">
        <f t="shared" ca="1" si="303"/>
        <v>0</v>
      </c>
      <c r="AR231" s="58">
        <f t="shared" ca="1" si="303"/>
        <v>0</v>
      </c>
      <c r="AS231" s="58">
        <f t="shared" ca="1" si="303"/>
        <v>0</v>
      </c>
      <c r="AT231" s="58">
        <f t="shared" ca="1" si="303"/>
        <v>0</v>
      </c>
      <c r="AU231" s="58">
        <f t="shared" ca="1" si="303"/>
        <v>0</v>
      </c>
      <c r="AV231" s="58">
        <f t="shared" ca="1" si="303"/>
        <v>0</v>
      </c>
      <c r="AW231" s="58">
        <f t="shared" ca="1" si="303"/>
        <v>0</v>
      </c>
      <c r="AX231" s="58">
        <f t="shared" ca="1" si="303"/>
        <v>0</v>
      </c>
      <c r="AY231" s="58">
        <f t="shared" ca="1" si="303"/>
        <v>0</v>
      </c>
      <c r="AZ231" s="58">
        <f t="shared" ca="1" si="303"/>
        <v>0</v>
      </c>
      <c r="BA231" s="58">
        <f t="shared" ca="1" si="303"/>
        <v>0</v>
      </c>
      <c r="BB231" s="58">
        <f t="shared" ca="1" si="303"/>
        <v>0</v>
      </c>
      <c r="BC231" s="58">
        <f t="shared" ca="1" si="303"/>
        <v>0</v>
      </c>
      <c r="BD231" s="58">
        <f t="shared" ca="1" si="303"/>
        <v>0</v>
      </c>
      <c r="BE231" s="58">
        <f t="shared" ca="1" si="303"/>
        <v>0</v>
      </c>
      <c r="BF231" s="58">
        <f t="shared" ca="1" si="303"/>
        <v>0</v>
      </c>
      <c r="BG231" s="58">
        <f t="shared" ca="1" si="303"/>
        <v>0</v>
      </c>
      <c r="BH231" s="58">
        <f t="shared" ca="1" si="303"/>
        <v>0</v>
      </c>
      <c r="BI231" s="58">
        <f t="shared" ca="1" si="303"/>
        <v>0</v>
      </c>
      <c r="BJ231" s="58">
        <f t="shared" ca="1" si="303"/>
        <v>0</v>
      </c>
      <c r="BK231" s="58">
        <f t="shared" ca="1" si="303"/>
        <v>0</v>
      </c>
      <c r="BL231" s="58">
        <f t="shared" ca="1" si="303"/>
        <v>0</v>
      </c>
      <c r="BM231" s="58">
        <f t="shared" ca="1" si="303"/>
        <v>0</v>
      </c>
      <c r="BN231" s="58">
        <f t="shared" ca="1" si="303"/>
        <v>0</v>
      </c>
      <c r="BO231" s="58">
        <f t="shared" ca="1" si="303"/>
        <v>0</v>
      </c>
      <c r="BP231" s="58">
        <f t="shared" ca="1" si="303"/>
        <v>0</v>
      </c>
      <c r="BQ231" s="58">
        <f t="shared" ca="1" si="303"/>
        <v>0</v>
      </c>
      <c r="BR231" s="58">
        <f t="shared" ca="1" si="303"/>
        <v>0</v>
      </c>
      <c r="BS231" s="58">
        <f t="shared" ref="BS231:CX231" ca="1" si="304">+IF(OR($F231+BS$175&lt;1,(BS$176-1)*12&lt;-$F231),0,OFFSET(BS61,0,$F231))</f>
        <v>0</v>
      </c>
      <c r="BT231" s="58">
        <f t="shared" ca="1" si="304"/>
        <v>0</v>
      </c>
      <c r="BU231" s="58">
        <f t="shared" ca="1" si="304"/>
        <v>0</v>
      </c>
      <c r="BV231" s="58">
        <f t="shared" ca="1" si="304"/>
        <v>0</v>
      </c>
      <c r="BW231" s="58">
        <f t="shared" ca="1" si="304"/>
        <v>0</v>
      </c>
      <c r="BX231" s="58">
        <f t="shared" ca="1" si="304"/>
        <v>0</v>
      </c>
      <c r="BY231" s="58">
        <f t="shared" ca="1" si="304"/>
        <v>0</v>
      </c>
      <c r="BZ231" s="58">
        <f t="shared" ca="1" si="304"/>
        <v>0</v>
      </c>
      <c r="CA231" s="58">
        <f t="shared" ca="1" si="304"/>
        <v>0</v>
      </c>
      <c r="CB231" s="58">
        <f t="shared" ca="1" si="304"/>
        <v>0</v>
      </c>
      <c r="CC231" s="58">
        <f t="shared" ca="1" si="304"/>
        <v>0</v>
      </c>
      <c r="CD231" s="58">
        <f t="shared" ca="1" si="304"/>
        <v>0</v>
      </c>
      <c r="CE231" s="58">
        <f t="shared" ca="1" si="304"/>
        <v>0</v>
      </c>
      <c r="CF231" s="58">
        <f t="shared" ca="1" si="304"/>
        <v>0</v>
      </c>
      <c r="CG231" s="58">
        <f t="shared" ca="1" si="304"/>
        <v>0</v>
      </c>
      <c r="CH231" s="58">
        <f t="shared" ca="1" si="304"/>
        <v>0</v>
      </c>
      <c r="CI231" s="58">
        <f t="shared" ca="1" si="304"/>
        <v>0</v>
      </c>
      <c r="CJ231" s="58">
        <f t="shared" ca="1" si="304"/>
        <v>0</v>
      </c>
      <c r="CK231" s="58">
        <f t="shared" ca="1" si="304"/>
        <v>0</v>
      </c>
      <c r="CL231" s="58">
        <f t="shared" ca="1" si="304"/>
        <v>0</v>
      </c>
      <c r="CM231" s="58">
        <f t="shared" ca="1" si="304"/>
        <v>0</v>
      </c>
      <c r="CN231" s="58">
        <f t="shared" ca="1" si="304"/>
        <v>0</v>
      </c>
      <c r="CO231" s="58">
        <f t="shared" ca="1" si="304"/>
        <v>0</v>
      </c>
      <c r="CP231" s="58">
        <f t="shared" ca="1" si="304"/>
        <v>0</v>
      </c>
      <c r="CQ231" s="58">
        <f t="shared" ca="1" si="304"/>
        <v>0</v>
      </c>
      <c r="CR231" s="58">
        <f t="shared" ca="1" si="304"/>
        <v>0</v>
      </c>
      <c r="CS231" s="58">
        <f t="shared" ca="1" si="304"/>
        <v>0</v>
      </c>
      <c r="CT231" s="58">
        <f t="shared" ca="1" si="304"/>
        <v>0</v>
      </c>
      <c r="CU231" s="58">
        <f t="shared" ca="1" si="304"/>
        <v>0</v>
      </c>
      <c r="CV231" s="58">
        <f t="shared" ca="1" si="304"/>
        <v>0</v>
      </c>
      <c r="CW231" s="58">
        <f t="shared" ca="1" si="304"/>
        <v>0</v>
      </c>
      <c r="CX231" s="58">
        <f t="shared" ca="1" si="304"/>
        <v>0</v>
      </c>
      <c r="CY231" s="58">
        <f t="shared" ref="CY231:ED231" ca="1" si="305">+IF(OR($F231+CY$175&lt;1,(CY$176-1)*12&lt;-$F231),0,OFFSET(CY61,0,$F231))</f>
        <v>0</v>
      </c>
      <c r="CZ231" s="58">
        <f t="shared" ca="1" si="305"/>
        <v>0</v>
      </c>
      <c r="DA231" s="58">
        <f t="shared" ca="1" si="305"/>
        <v>0</v>
      </c>
      <c r="DB231" s="58">
        <f t="shared" ca="1" si="305"/>
        <v>0</v>
      </c>
      <c r="DC231" s="58">
        <f t="shared" ca="1" si="305"/>
        <v>0</v>
      </c>
      <c r="DD231" s="58">
        <f t="shared" ca="1" si="305"/>
        <v>0</v>
      </c>
      <c r="DE231" s="58">
        <f t="shared" ca="1" si="305"/>
        <v>0</v>
      </c>
      <c r="DF231" s="58">
        <f t="shared" ca="1" si="305"/>
        <v>0</v>
      </c>
      <c r="DG231" s="58">
        <f t="shared" ca="1" si="305"/>
        <v>0</v>
      </c>
      <c r="DH231" s="58">
        <f t="shared" ca="1" si="305"/>
        <v>0</v>
      </c>
      <c r="DI231" s="58">
        <f t="shared" ca="1" si="305"/>
        <v>0</v>
      </c>
      <c r="DJ231" s="58">
        <f t="shared" ca="1" si="305"/>
        <v>0</v>
      </c>
      <c r="DK231" s="58">
        <f t="shared" ca="1" si="305"/>
        <v>0</v>
      </c>
      <c r="DL231" s="58">
        <f t="shared" ca="1" si="305"/>
        <v>0</v>
      </c>
      <c r="DM231" s="58">
        <f t="shared" ca="1" si="305"/>
        <v>0</v>
      </c>
      <c r="DN231" s="58">
        <f t="shared" ca="1" si="305"/>
        <v>0</v>
      </c>
      <c r="DO231" s="58">
        <f t="shared" ca="1" si="305"/>
        <v>0</v>
      </c>
      <c r="DP231" s="58">
        <f t="shared" ca="1" si="305"/>
        <v>0</v>
      </c>
      <c r="DQ231" s="58">
        <f t="shared" ca="1" si="305"/>
        <v>0</v>
      </c>
      <c r="DR231" s="58">
        <f t="shared" ca="1" si="305"/>
        <v>0</v>
      </c>
      <c r="DS231" s="58">
        <f t="shared" ca="1" si="305"/>
        <v>0</v>
      </c>
      <c r="DT231" s="58">
        <f t="shared" ca="1" si="305"/>
        <v>0</v>
      </c>
      <c r="DU231" s="58">
        <f t="shared" ca="1" si="305"/>
        <v>0</v>
      </c>
      <c r="DV231" s="58">
        <f t="shared" ca="1" si="305"/>
        <v>0</v>
      </c>
      <c r="DW231" s="58">
        <f t="shared" ca="1" si="305"/>
        <v>0</v>
      </c>
      <c r="DX231" s="58">
        <f t="shared" ca="1" si="305"/>
        <v>0</v>
      </c>
      <c r="DY231" s="58">
        <f t="shared" ca="1" si="305"/>
        <v>0</v>
      </c>
      <c r="DZ231" s="58">
        <f t="shared" ca="1" si="305"/>
        <v>0</v>
      </c>
      <c r="EA231" s="58">
        <f t="shared" ca="1" si="305"/>
        <v>0</v>
      </c>
      <c r="EB231" s="58">
        <f t="shared" ca="1" si="305"/>
        <v>0</v>
      </c>
      <c r="EC231" s="58">
        <f t="shared" ca="1" si="305"/>
        <v>0</v>
      </c>
      <c r="ED231" s="58">
        <f t="shared" ca="1" si="305"/>
        <v>0</v>
      </c>
      <c r="EE231" s="58">
        <f t="shared" ref="EE231:FN231" ca="1" si="306">+IF(OR($F231+EE$175&lt;1,(EE$176-1)*12&lt;-$F231),0,OFFSET(EE61,0,$F231))</f>
        <v>0</v>
      </c>
      <c r="EF231" s="58">
        <f t="shared" ca="1" si="306"/>
        <v>0</v>
      </c>
      <c r="EG231" s="58">
        <f t="shared" ca="1" si="306"/>
        <v>0</v>
      </c>
      <c r="EH231" s="58">
        <f t="shared" ca="1" si="306"/>
        <v>0</v>
      </c>
      <c r="EI231" s="58">
        <f t="shared" ca="1" si="306"/>
        <v>0</v>
      </c>
      <c r="EJ231" s="58">
        <f t="shared" ca="1" si="306"/>
        <v>0</v>
      </c>
      <c r="EK231" s="58">
        <f t="shared" ca="1" si="306"/>
        <v>0</v>
      </c>
      <c r="EL231" s="58">
        <f t="shared" ca="1" si="306"/>
        <v>0</v>
      </c>
      <c r="EM231" s="58">
        <f t="shared" ca="1" si="306"/>
        <v>0</v>
      </c>
      <c r="EN231" s="58">
        <f t="shared" ca="1" si="306"/>
        <v>0</v>
      </c>
      <c r="EO231" s="58">
        <f t="shared" ca="1" si="306"/>
        <v>0</v>
      </c>
      <c r="EP231" s="58">
        <f t="shared" ca="1" si="306"/>
        <v>0</v>
      </c>
      <c r="EQ231" s="58">
        <f t="shared" ca="1" si="306"/>
        <v>0</v>
      </c>
      <c r="ER231" s="58">
        <f t="shared" ca="1" si="306"/>
        <v>0</v>
      </c>
      <c r="ES231" s="58">
        <f t="shared" ca="1" si="306"/>
        <v>0</v>
      </c>
      <c r="ET231" s="58">
        <f t="shared" ca="1" si="306"/>
        <v>0</v>
      </c>
      <c r="EU231" s="58">
        <f t="shared" ca="1" si="306"/>
        <v>0</v>
      </c>
      <c r="EV231" s="58">
        <f t="shared" ca="1" si="306"/>
        <v>0</v>
      </c>
      <c r="EW231" s="58">
        <f t="shared" ca="1" si="306"/>
        <v>0</v>
      </c>
      <c r="EX231" s="58">
        <f t="shared" ca="1" si="306"/>
        <v>0</v>
      </c>
      <c r="EY231" s="58">
        <f t="shared" ca="1" si="306"/>
        <v>0</v>
      </c>
      <c r="EZ231" s="58">
        <f t="shared" ca="1" si="306"/>
        <v>0</v>
      </c>
      <c r="FA231" s="58">
        <f t="shared" ca="1" si="306"/>
        <v>0</v>
      </c>
      <c r="FB231" s="58">
        <f t="shared" ca="1" si="306"/>
        <v>0</v>
      </c>
      <c r="FC231" s="58">
        <f t="shared" ca="1" si="306"/>
        <v>0</v>
      </c>
      <c r="FD231" s="58">
        <f t="shared" ca="1" si="306"/>
        <v>0</v>
      </c>
      <c r="FE231" s="58">
        <f t="shared" ca="1" si="306"/>
        <v>0</v>
      </c>
      <c r="FF231" s="58">
        <f t="shared" ca="1" si="306"/>
        <v>0</v>
      </c>
      <c r="FG231" s="58">
        <f t="shared" ca="1" si="306"/>
        <v>0</v>
      </c>
      <c r="FH231" s="58">
        <f t="shared" ca="1" si="306"/>
        <v>0</v>
      </c>
      <c r="FI231" s="58">
        <f t="shared" ca="1" si="306"/>
        <v>0</v>
      </c>
      <c r="FJ231" s="58">
        <f t="shared" ca="1" si="306"/>
        <v>0</v>
      </c>
      <c r="FK231" s="58">
        <f t="shared" ca="1" si="306"/>
        <v>0</v>
      </c>
      <c r="FL231" s="58">
        <f t="shared" ca="1" si="306"/>
        <v>0</v>
      </c>
      <c r="FM231" s="58">
        <f t="shared" ca="1" si="306"/>
        <v>0</v>
      </c>
      <c r="FN231" s="58">
        <f t="shared" ca="1" si="306"/>
        <v>0</v>
      </c>
      <c r="FO231" s="13"/>
    </row>
    <row r="232" spans="1:171" outlineLevel="1" x14ac:dyDescent="0.3">
      <c r="A232" s="13"/>
      <c r="B232" s="13"/>
      <c r="C232" s="13"/>
      <c r="D232" s="52">
        <f t="shared" si="194"/>
        <v>41821</v>
      </c>
      <c r="E232" s="53">
        <f t="shared" si="195"/>
        <v>2014</v>
      </c>
      <c r="F232" s="53">
        <f t="shared" si="196"/>
        <v>6</v>
      </c>
      <c r="G232" s="58">
        <f t="shared" ref="G232:AL232" ca="1" si="307">+IF(OR($F232+G$175&lt;1,(G$176-1)*12&lt;-$F232),0,OFFSET(G62,0,$F232))</f>
        <v>0</v>
      </c>
      <c r="H232" s="58">
        <f t="shared" ca="1" si="307"/>
        <v>0</v>
      </c>
      <c r="I232" s="58">
        <f t="shared" ca="1" si="307"/>
        <v>0</v>
      </c>
      <c r="J232" s="58">
        <f t="shared" ca="1" si="307"/>
        <v>0</v>
      </c>
      <c r="K232" s="58">
        <f t="shared" ca="1" si="307"/>
        <v>0</v>
      </c>
      <c r="L232" s="58">
        <f t="shared" ca="1" si="307"/>
        <v>0</v>
      </c>
      <c r="M232" s="58">
        <f t="shared" ca="1" si="307"/>
        <v>0</v>
      </c>
      <c r="N232" s="58">
        <f t="shared" ca="1" si="307"/>
        <v>0</v>
      </c>
      <c r="O232" s="58">
        <f t="shared" ca="1" si="307"/>
        <v>0</v>
      </c>
      <c r="P232" s="58">
        <f t="shared" ca="1" si="307"/>
        <v>0</v>
      </c>
      <c r="Q232" s="58">
        <f t="shared" ca="1" si="307"/>
        <v>0</v>
      </c>
      <c r="R232" s="58">
        <f t="shared" ca="1" si="307"/>
        <v>0</v>
      </c>
      <c r="S232" s="58">
        <f t="shared" ca="1" si="307"/>
        <v>0</v>
      </c>
      <c r="T232" s="58">
        <f t="shared" ca="1" si="307"/>
        <v>0</v>
      </c>
      <c r="U232" s="58">
        <f t="shared" ca="1" si="307"/>
        <v>0</v>
      </c>
      <c r="V232" s="58">
        <f t="shared" ca="1" si="307"/>
        <v>0</v>
      </c>
      <c r="W232" s="58">
        <f t="shared" ca="1" si="307"/>
        <v>0</v>
      </c>
      <c r="X232" s="58">
        <f t="shared" ca="1" si="307"/>
        <v>0</v>
      </c>
      <c r="Y232" s="58">
        <f t="shared" ca="1" si="307"/>
        <v>0</v>
      </c>
      <c r="Z232" s="58">
        <f t="shared" ca="1" si="307"/>
        <v>0</v>
      </c>
      <c r="AA232" s="58">
        <f t="shared" ca="1" si="307"/>
        <v>0</v>
      </c>
      <c r="AB232" s="58">
        <f t="shared" ca="1" si="307"/>
        <v>0</v>
      </c>
      <c r="AC232" s="58">
        <f t="shared" ca="1" si="307"/>
        <v>0</v>
      </c>
      <c r="AD232" s="58">
        <f t="shared" ca="1" si="307"/>
        <v>0</v>
      </c>
      <c r="AE232" s="58">
        <f t="shared" ca="1" si="307"/>
        <v>0</v>
      </c>
      <c r="AF232" s="58">
        <f t="shared" ca="1" si="307"/>
        <v>0</v>
      </c>
      <c r="AG232" s="58">
        <f t="shared" ca="1" si="307"/>
        <v>0</v>
      </c>
      <c r="AH232" s="58">
        <f t="shared" ca="1" si="307"/>
        <v>0</v>
      </c>
      <c r="AI232" s="58">
        <f t="shared" ca="1" si="307"/>
        <v>0</v>
      </c>
      <c r="AJ232" s="58">
        <f t="shared" ca="1" si="307"/>
        <v>0</v>
      </c>
      <c r="AK232" s="58">
        <f t="shared" ca="1" si="307"/>
        <v>0</v>
      </c>
      <c r="AL232" s="58">
        <f t="shared" ca="1" si="307"/>
        <v>0</v>
      </c>
      <c r="AM232" s="58">
        <f t="shared" ref="AM232:BR232" ca="1" si="308">+IF(OR($F232+AM$175&lt;1,(AM$176-1)*12&lt;-$F232),0,OFFSET(AM62,0,$F232))</f>
        <v>0</v>
      </c>
      <c r="AN232" s="58">
        <f t="shared" ca="1" si="308"/>
        <v>0</v>
      </c>
      <c r="AO232" s="58">
        <f t="shared" ca="1" si="308"/>
        <v>0</v>
      </c>
      <c r="AP232" s="58">
        <f t="shared" ca="1" si="308"/>
        <v>0</v>
      </c>
      <c r="AQ232" s="58">
        <f t="shared" ca="1" si="308"/>
        <v>0</v>
      </c>
      <c r="AR232" s="58">
        <f t="shared" ca="1" si="308"/>
        <v>0</v>
      </c>
      <c r="AS232" s="58">
        <f t="shared" ca="1" si="308"/>
        <v>0</v>
      </c>
      <c r="AT232" s="58">
        <f t="shared" ca="1" si="308"/>
        <v>0</v>
      </c>
      <c r="AU232" s="58">
        <f t="shared" ca="1" si="308"/>
        <v>0</v>
      </c>
      <c r="AV232" s="58">
        <f t="shared" ca="1" si="308"/>
        <v>0</v>
      </c>
      <c r="AW232" s="58">
        <f t="shared" ca="1" si="308"/>
        <v>0</v>
      </c>
      <c r="AX232" s="58">
        <f t="shared" ca="1" si="308"/>
        <v>0</v>
      </c>
      <c r="AY232" s="58">
        <f t="shared" ca="1" si="308"/>
        <v>0</v>
      </c>
      <c r="AZ232" s="58">
        <f t="shared" ca="1" si="308"/>
        <v>0</v>
      </c>
      <c r="BA232" s="58">
        <f t="shared" ca="1" si="308"/>
        <v>0</v>
      </c>
      <c r="BB232" s="58">
        <f t="shared" ca="1" si="308"/>
        <v>0</v>
      </c>
      <c r="BC232" s="58">
        <f t="shared" ca="1" si="308"/>
        <v>0</v>
      </c>
      <c r="BD232" s="58">
        <f t="shared" ca="1" si="308"/>
        <v>0</v>
      </c>
      <c r="BE232" s="58">
        <f t="shared" ca="1" si="308"/>
        <v>0</v>
      </c>
      <c r="BF232" s="58">
        <f t="shared" ca="1" si="308"/>
        <v>0</v>
      </c>
      <c r="BG232" s="58">
        <f t="shared" ca="1" si="308"/>
        <v>0</v>
      </c>
      <c r="BH232" s="58">
        <f t="shared" ca="1" si="308"/>
        <v>0</v>
      </c>
      <c r="BI232" s="58">
        <f t="shared" ca="1" si="308"/>
        <v>0</v>
      </c>
      <c r="BJ232" s="58">
        <f t="shared" ca="1" si="308"/>
        <v>0</v>
      </c>
      <c r="BK232" s="58">
        <f t="shared" ca="1" si="308"/>
        <v>0</v>
      </c>
      <c r="BL232" s="58">
        <f t="shared" ca="1" si="308"/>
        <v>0</v>
      </c>
      <c r="BM232" s="58">
        <f t="shared" ca="1" si="308"/>
        <v>0</v>
      </c>
      <c r="BN232" s="58">
        <f t="shared" ca="1" si="308"/>
        <v>0</v>
      </c>
      <c r="BO232" s="58">
        <f t="shared" ca="1" si="308"/>
        <v>0</v>
      </c>
      <c r="BP232" s="58">
        <f t="shared" ca="1" si="308"/>
        <v>0</v>
      </c>
      <c r="BQ232" s="58">
        <f t="shared" ca="1" si="308"/>
        <v>0</v>
      </c>
      <c r="BR232" s="58">
        <f t="shared" ca="1" si="308"/>
        <v>0</v>
      </c>
      <c r="BS232" s="58">
        <f t="shared" ref="BS232:CX232" ca="1" si="309">+IF(OR($F232+BS$175&lt;1,(BS$176-1)*12&lt;-$F232),0,OFFSET(BS62,0,$F232))</f>
        <v>0</v>
      </c>
      <c r="BT232" s="58">
        <f t="shared" ca="1" si="309"/>
        <v>0</v>
      </c>
      <c r="BU232" s="58">
        <f t="shared" ca="1" si="309"/>
        <v>0</v>
      </c>
      <c r="BV232" s="58">
        <f t="shared" ca="1" si="309"/>
        <v>0</v>
      </c>
      <c r="BW232" s="58">
        <f t="shared" ca="1" si="309"/>
        <v>0</v>
      </c>
      <c r="BX232" s="58">
        <f t="shared" ca="1" si="309"/>
        <v>0</v>
      </c>
      <c r="BY232" s="58">
        <f t="shared" ca="1" si="309"/>
        <v>0</v>
      </c>
      <c r="BZ232" s="58">
        <f t="shared" ca="1" si="309"/>
        <v>0</v>
      </c>
      <c r="CA232" s="58">
        <f t="shared" ca="1" si="309"/>
        <v>0</v>
      </c>
      <c r="CB232" s="58">
        <f t="shared" ca="1" si="309"/>
        <v>0</v>
      </c>
      <c r="CC232" s="58">
        <f t="shared" ca="1" si="309"/>
        <v>0</v>
      </c>
      <c r="CD232" s="58">
        <f t="shared" ca="1" si="309"/>
        <v>0</v>
      </c>
      <c r="CE232" s="58">
        <f t="shared" ca="1" si="309"/>
        <v>0</v>
      </c>
      <c r="CF232" s="58">
        <f t="shared" ca="1" si="309"/>
        <v>0</v>
      </c>
      <c r="CG232" s="58">
        <f t="shared" ca="1" si="309"/>
        <v>0</v>
      </c>
      <c r="CH232" s="58">
        <f t="shared" ca="1" si="309"/>
        <v>0</v>
      </c>
      <c r="CI232" s="58">
        <f t="shared" ca="1" si="309"/>
        <v>0</v>
      </c>
      <c r="CJ232" s="58">
        <f t="shared" ca="1" si="309"/>
        <v>0</v>
      </c>
      <c r="CK232" s="58">
        <f t="shared" ca="1" si="309"/>
        <v>0</v>
      </c>
      <c r="CL232" s="58">
        <f t="shared" ca="1" si="309"/>
        <v>0</v>
      </c>
      <c r="CM232" s="58">
        <f t="shared" ca="1" si="309"/>
        <v>0</v>
      </c>
      <c r="CN232" s="58">
        <f t="shared" ca="1" si="309"/>
        <v>0</v>
      </c>
      <c r="CO232" s="58">
        <f t="shared" ca="1" si="309"/>
        <v>0</v>
      </c>
      <c r="CP232" s="58">
        <f t="shared" ca="1" si="309"/>
        <v>0</v>
      </c>
      <c r="CQ232" s="58">
        <f t="shared" ca="1" si="309"/>
        <v>0</v>
      </c>
      <c r="CR232" s="58">
        <f t="shared" ca="1" si="309"/>
        <v>0</v>
      </c>
      <c r="CS232" s="58">
        <f t="shared" ca="1" si="309"/>
        <v>0</v>
      </c>
      <c r="CT232" s="58">
        <f t="shared" ca="1" si="309"/>
        <v>0</v>
      </c>
      <c r="CU232" s="58">
        <f t="shared" ca="1" si="309"/>
        <v>0</v>
      </c>
      <c r="CV232" s="58">
        <f t="shared" ca="1" si="309"/>
        <v>0</v>
      </c>
      <c r="CW232" s="58">
        <f t="shared" ca="1" si="309"/>
        <v>0</v>
      </c>
      <c r="CX232" s="58">
        <f t="shared" ca="1" si="309"/>
        <v>0</v>
      </c>
      <c r="CY232" s="58">
        <f t="shared" ref="CY232:ED232" ca="1" si="310">+IF(OR($F232+CY$175&lt;1,(CY$176-1)*12&lt;-$F232),0,OFFSET(CY62,0,$F232))</f>
        <v>0</v>
      </c>
      <c r="CZ232" s="58">
        <f t="shared" ca="1" si="310"/>
        <v>0</v>
      </c>
      <c r="DA232" s="58">
        <f t="shared" ca="1" si="310"/>
        <v>0</v>
      </c>
      <c r="DB232" s="58">
        <f t="shared" ca="1" si="310"/>
        <v>0</v>
      </c>
      <c r="DC232" s="58">
        <f t="shared" ca="1" si="310"/>
        <v>0</v>
      </c>
      <c r="DD232" s="58">
        <f t="shared" ca="1" si="310"/>
        <v>0</v>
      </c>
      <c r="DE232" s="58">
        <f t="shared" ca="1" si="310"/>
        <v>0</v>
      </c>
      <c r="DF232" s="58">
        <f t="shared" ca="1" si="310"/>
        <v>0</v>
      </c>
      <c r="DG232" s="58">
        <f t="shared" ca="1" si="310"/>
        <v>0</v>
      </c>
      <c r="DH232" s="58">
        <f t="shared" ca="1" si="310"/>
        <v>0</v>
      </c>
      <c r="DI232" s="58">
        <f t="shared" ca="1" si="310"/>
        <v>0</v>
      </c>
      <c r="DJ232" s="58">
        <f t="shared" ca="1" si="310"/>
        <v>0</v>
      </c>
      <c r="DK232" s="58">
        <f t="shared" ca="1" si="310"/>
        <v>0</v>
      </c>
      <c r="DL232" s="58">
        <f t="shared" ca="1" si="310"/>
        <v>0</v>
      </c>
      <c r="DM232" s="58">
        <f t="shared" ca="1" si="310"/>
        <v>0</v>
      </c>
      <c r="DN232" s="58">
        <f t="shared" ca="1" si="310"/>
        <v>0</v>
      </c>
      <c r="DO232" s="58">
        <f t="shared" ca="1" si="310"/>
        <v>0</v>
      </c>
      <c r="DP232" s="58">
        <f t="shared" ca="1" si="310"/>
        <v>0</v>
      </c>
      <c r="DQ232" s="58">
        <f t="shared" ca="1" si="310"/>
        <v>0</v>
      </c>
      <c r="DR232" s="58">
        <f t="shared" ca="1" si="310"/>
        <v>0</v>
      </c>
      <c r="DS232" s="58">
        <f t="shared" ca="1" si="310"/>
        <v>0</v>
      </c>
      <c r="DT232" s="58">
        <f t="shared" ca="1" si="310"/>
        <v>0</v>
      </c>
      <c r="DU232" s="58">
        <f t="shared" ca="1" si="310"/>
        <v>0</v>
      </c>
      <c r="DV232" s="58">
        <f t="shared" ca="1" si="310"/>
        <v>0</v>
      </c>
      <c r="DW232" s="58">
        <f t="shared" ca="1" si="310"/>
        <v>0</v>
      </c>
      <c r="DX232" s="58">
        <f t="shared" ca="1" si="310"/>
        <v>0</v>
      </c>
      <c r="DY232" s="58">
        <f t="shared" ca="1" si="310"/>
        <v>0</v>
      </c>
      <c r="DZ232" s="58">
        <f t="shared" ca="1" si="310"/>
        <v>0</v>
      </c>
      <c r="EA232" s="58">
        <f t="shared" ca="1" si="310"/>
        <v>0</v>
      </c>
      <c r="EB232" s="58">
        <f t="shared" ca="1" si="310"/>
        <v>0</v>
      </c>
      <c r="EC232" s="58">
        <f t="shared" ca="1" si="310"/>
        <v>0</v>
      </c>
      <c r="ED232" s="58">
        <f t="shared" ca="1" si="310"/>
        <v>0</v>
      </c>
      <c r="EE232" s="58">
        <f t="shared" ref="EE232:FN232" ca="1" si="311">+IF(OR($F232+EE$175&lt;1,(EE$176-1)*12&lt;-$F232),0,OFFSET(EE62,0,$F232))</f>
        <v>0</v>
      </c>
      <c r="EF232" s="58">
        <f t="shared" ca="1" si="311"/>
        <v>0</v>
      </c>
      <c r="EG232" s="58">
        <f t="shared" ca="1" si="311"/>
        <v>0</v>
      </c>
      <c r="EH232" s="58">
        <f t="shared" ca="1" si="311"/>
        <v>0</v>
      </c>
      <c r="EI232" s="58">
        <f t="shared" ca="1" si="311"/>
        <v>0</v>
      </c>
      <c r="EJ232" s="58">
        <f t="shared" ca="1" si="311"/>
        <v>0</v>
      </c>
      <c r="EK232" s="58">
        <f t="shared" ca="1" si="311"/>
        <v>0</v>
      </c>
      <c r="EL232" s="58">
        <f t="shared" ca="1" si="311"/>
        <v>0</v>
      </c>
      <c r="EM232" s="58">
        <f t="shared" ca="1" si="311"/>
        <v>0</v>
      </c>
      <c r="EN232" s="58">
        <f t="shared" ca="1" si="311"/>
        <v>0</v>
      </c>
      <c r="EO232" s="58">
        <f t="shared" ca="1" si="311"/>
        <v>0</v>
      </c>
      <c r="EP232" s="58">
        <f t="shared" ca="1" si="311"/>
        <v>0</v>
      </c>
      <c r="EQ232" s="58">
        <f t="shared" ca="1" si="311"/>
        <v>0</v>
      </c>
      <c r="ER232" s="58">
        <f t="shared" ca="1" si="311"/>
        <v>0</v>
      </c>
      <c r="ES232" s="58">
        <f t="shared" ca="1" si="311"/>
        <v>0</v>
      </c>
      <c r="ET232" s="58">
        <f t="shared" ca="1" si="311"/>
        <v>0</v>
      </c>
      <c r="EU232" s="58">
        <f t="shared" ca="1" si="311"/>
        <v>0</v>
      </c>
      <c r="EV232" s="58">
        <f t="shared" ca="1" si="311"/>
        <v>0</v>
      </c>
      <c r="EW232" s="58">
        <f t="shared" ca="1" si="311"/>
        <v>0</v>
      </c>
      <c r="EX232" s="58">
        <f t="shared" ca="1" si="311"/>
        <v>0</v>
      </c>
      <c r="EY232" s="58">
        <f t="shared" ca="1" si="311"/>
        <v>0</v>
      </c>
      <c r="EZ232" s="58">
        <f t="shared" ca="1" si="311"/>
        <v>0</v>
      </c>
      <c r="FA232" s="58">
        <f t="shared" ca="1" si="311"/>
        <v>0</v>
      </c>
      <c r="FB232" s="58">
        <f t="shared" ca="1" si="311"/>
        <v>0</v>
      </c>
      <c r="FC232" s="58">
        <f t="shared" ca="1" si="311"/>
        <v>0</v>
      </c>
      <c r="FD232" s="58">
        <f t="shared" ca="1" si="311"/>
        <v>0</v>
      </c>
      <c r="FE232" s="58">
        <f t="shared" ca="1" si="311"/>
        <v>0</v>
      </c>
      <c r="FF232" s="58">
        <f t="shared" ca="1" si="311"/>
        <v>0</v>
      </c>
      <c r="FG232" s="58">
        <f t="shared" ca="1" si="311"/>
        <v>0</v>
      </c>
      <c r="FH232" s="58">
        <f t="shared" ca="1" si="311"/>
        <v>0</v>
      </c>
      <c r="FI232" s="58">
        <f t="shared" ca="1" si="311"/>
        <v>0</v>
      </c>
      <c r="FJ232" s="58">
        <f t="shared" ca="1" si="311"/>
        <v>0</v>
      </c>
      <c r="FK232" s="58">
        <f t="shared" ca="1" si="311"/>
        <v>0</v>
      </c>
      <c r="FL232" s="58">
        <f t="shared" ca="1" si="311"/>
        <v>0</v>
      </c>
      <c r="FM232" s="58">
        <f t="shared" ca="1" si="311"/>
        <v>0</v>
      </c>
      <c r="FN232" s="58">
        <f t="shared" ca="1" si="311"/>
        <v>0</v>
      </c>
      <c r="FO232" s="13"/>
    </row>
    <row r="233" spans="1:171" outlineLevel="1" x14ac:dyDescent="0.3">
      <c r="A233" s="13"/>
      <c r="B233" s="13"/>
      <c r="C233" s="13"/>
      <c r="D233" s="52">
        <f t="shared" si="194"/>
        <v>41852</v>
      </c>
      <c r="E233" s="53">
        <f t="shared" si="195"/>
        <v>2014</v>
      </c>
      <c r="F233" s="53">
        <f t="shared" si="196"/>
        <v>7</v>
      </c>
      <c r="G233" s="58">
        <f t="shared" ref="G233:AL233" ca="1" si="312">+IF(OR($F233+G$175&lt;1,(G$176-1)*12&lt;-$F233),0,OFFSET(G63,0,$F233))</f>
        <v>0</v>
      </c>
      <c r="H233" s="58">
        <f t="shared" ca="1" si="312"/>
        <v>0</v>
      </c>
      <c r="I233" s="58">
        <f t="shared" ca="1" si="312"/>
        <v>0</v>
      </c>
      <c r="J233" s="58">
        <f t="shared" ca="1" si="312"/>
        <v>0</v>
      </c>
      <c r="K233" s="58">
        <f t="shared" ca="1" si="312"/>
        <v>0</v>
      </c>
      <c r="L233" s="58">
        <f t="shared" ca="1" si="312"/>
        <v>0</v>
      </c>
      <c r="M233" s="58">
        <f t="shared" ca="1" si="312"/>
        <v>0</v>
      </c>
      <c r="N233" s="58">
        <f t="shared" ca="1" si="312"/>
        <v>0</v>
      </c>
      <c r="O233" s="58">
        <f t="shared" ca="1" si="312"/>
        <v>0</v>
      </c>
      <c r="P233" s="58">
        <f t="shared" ca="1" si="312"/>
        <v>0</v>
      </c>
      <c r="Q233" s="58">
        <f t="shared" ca="1" si="312"/>
        <v>0</v>
      </c>
      <c r="R233" s="58">
        <f t="shared" ca="1" si="312"/>
        <v>0</v>
      </c>
      <c r="S233" s="58">
        <f t="shared" ca="1" si="312"/>
        <v>0</v>
      </c>
      <c r="T233" s="58">
        <f t="shared" ca="1" si="312"/>
        <v>0</v>
      </c>
      <c r="U233" s="58">
        <f t="shared" ca="1" si="312"/>
        <v>0</v>
      </c>
      <c r="V233" s="58">
        <f t="shared" ca="1" si="312"/>
        <v>0</v>
      </c>
      <c r="W233" s="58">
        <f t="shared" ca="1" si="312"/>
        <v>0</v>
      </c>
      <c r="X233" s="58">
        <f t="shared" ca="1" si="312"/>
        <v>0</v>
      </c>
      <c r="Y233" s="58">
        <f t="shared" ca="1" si="312"/>
        <v>0</v>
      </c>
      <c r="Z233" s="58">
        <f t="shared" ca="1" si="312"/>
        <v>0</v>
      </c>
      <c r="AA233" s="58">
        <f t="shared" ca="1" si="312"/>
        <v>0</v>
      </c>
      <c r="AB233" s="58">
        <f t="shared" ca="1" si="312"/>
        <v>0</v>
      </c>
      <c r="AC233" s="58">
        <f t="shared" ca="1" si="312"/>
        <v>0</v>
      </c>
      <c r="AD233" s="58">
        <f t="shared" ca="1" si="312"/>
        <v>0</v>
      </c>
      <c r="AE233" s="58">
        <f t="shared" ca="1" si="312"/>
        <v>0</v>
      </c>
      <c r="AF233" s="58">
        <f t="shared" ca="1" si="312"/>
        <v>0</v>
      </c>
      <c r="AG233" s="58">
        <f t="shared" ca="1" si="312"/>
        <v>0</v>
      </c>
      <c r="AH233" s="58">
        <f t="shared" ca="1" si="312"/>
        <v>0</v>
      </c>
      <c r="AI233" s="58">
        <f t="shared" ca="1" si="312"/>
        <v>0</v>
      </c>
      <c r="AJ233" s="58">
        <f t="shared" ca="1" si="312"/>
        <v>0</v>
      </c>
      <c r="AK233" s="58">
        <f t="shared" ca="1" si="312"/>
        <v>0</v>
      </c>
      <c r="AL233" s="58">
        <f t="shared" ca="1" si="312"/>
        <v>0</v>
      </c>
      <c r="AM233" s="58">
        <f t="shared" ref="AM233:BR233" ca="1" si="313">+IF(OR($F233+AM$175&lt;1,(AM$176-1)*12&lt;-$F233),0,OFFSET(AM63,0,$F233))</f>
        <v>0</v>
      </c>
      <c r="AN233" s="58">
        <f t="shared" ca="1" si="313"/>
        <v>0</v>
      </c>
      <c r="AO233" s="58">
        <f t="shared" ca="1" si="313"/>
        <v>0</v>
      </c>
      <c r="AP233" s="58">
        <f t="shared" ca="1" si="313"/>
        <v>0</v>
      </c>
      <c r="AQ233" s="58">
        <f t="shared" ca="1" si="313"/>
        <v>0</v>
      </c>
      <c r="AR233" s="58">
        <f t="shared" ca="1" si="313"/>
        <v>0</v>
      </c>
      <c r="AS233" s="58">
        <f t="shared" ca="1" si="313"/>
        <v>0</v>
      </c>
      <c r="AT233" s="58">
        <f t="shared" ca="1" si="313"/>
        <v>0</v>
      </c>
      <c r="AU233" s="58">
        <f t="shared" ca="1" si="313"/>
        <v>0</v>
      </c>
      <c r="AV233" s="58">
        <f t="shared" ca="1" si="313"/>
        <v>0</v>
      </c>
      <c r="AW233" s="58">
        <f t="shared" ca="1" si="313"/>
        <v>0</v>
      </c>
      <c r="AX233" s="58">
        <f t="shared" ca="1" si="313"/>
        <v>0</v>
      </c>
      <c r="AY233" s="58">
        <f t="shared" ca="1" si="313"/>
        <v>0</v>
      </c>
      <c r="AZ233" s="58">
        <f t="shared" ca="1" si="313"/>
        <v>0</v>
      </c>
      <c r="BA233" s="58">
        <f t="shared" ca="1" si="313"/>
        <v>0</v>
      </c>
      <c r="BB233" s="58">
        <f t="shared" ca="1" si="313"/>
        <v>0</v>
      </c>
      <c r="BC233" s="58">
        <f t="shared" ca="1" si="313"/>
        <v>0</v>
      </c>
      <c r="BD233" s="58">
        <f t="shared" ca="1" si="313"/>
        <v>0</v>
      </c>
      <c r="BE233" s="58">
        <f t="shared" ca="1" si="313"/>
        <v>0</v>
      </c>
      <c r="BF233" s="58">
        <f t="shared" ca="1" si="313"/>
        <v>0</v>
      </c>
      <c r="BG233" s="58">
        <f t="shared" ca="1" si="313"/>
        <v>0</v>
      </c>
      <c r="BH233" s="58">
        <f t="shared" ca="1" si="313"/>
        <v>0</v>
      </c>
      <c r="BI233" s="58">
        <f t="shared" ca="1" si="313"/>
        <v>0</v>
      </c>
      <c r="BJ233" s="58">
        <f t="shared" ca="1" si="313"/>
        <v>0</v>
      </c>
      <c r="BK233" s="58">
        <f t="shared" ca="1" si="313"/>
        <v>0</v>
      </c>
      <c r="BL233" s="58">
        <f t="shared" ca="1" si="313"/>
        <v>0</v>
      </c>
      <c r="BM233" s="58">
        <f t="shared" ca="1" si="313"/>
        <v>0</v>
      </c>
      <c r="BN233" s="58">
        <f t="shared" ca="1" si="313"/>
        <v>0</v>
      </c>
      <c r="BO233" s="58">
        <f t="shared" ca="1" si="313"/>
        <v>0</v>
      </c>
      <c r="BP233" s="58">
        <f t="shared" ca="1" si="313"/>
        <v>0</v>
      </c>
      <c r="BQ233" s="58">
        <f t="shared" ca="1" si="313"/>
        <v>0</v>
      </c>
      <c r="BR233" s="58">
        <f t="shared" ca="1" si="313"/>
        <v>0</v>
      </c>
      <c r="BS233" s="58">
        <f t="shared" ref="BS233:CX233" ca="1" si="314">+IF(OR($F233+BS$175&lt;1,(BS$176-1)*12&lt;-$F233),0,OFFSET(BS63,0,$F233))</f>
        <v>0</v>
      </c>
      <c r="BT233" s="58">
        <f t="shared" ca="1" si="314"/>
        <v>0</v>
      </c>
      <c r="BU233" s="58">
        <f t="shared" ca="1" si="314"/>
        <v>0</v>
      </c>
      <c r="BV233" s="58">
        <f t="shared" ca="1" si="314"/>
        <v>0</v>
      </c>
      <c r="BW233" s="58">
        <f t="shared" ca="1" si="314"/>
        <v>0</v>
      </c>
      <c r="BX233" s="58">
        <f t="shared" ca="1" si="314"/>
        <v>0</v>
      </c>
      <c r="BY233" s="58">
        <f t="shared" ca="1" si="314"/>
        <v>0</v>
      </c>
      <c r="BZ233" s="58">
        <f t="shared" ca="1" si="314"/>
        <v>0</v>
      </c>
      <c r="CA233" s="58">
        <f t="shared" ca="1" si="314"/>
        <v>0</v>
      </c>
      <c r="CB233" s="58">
        <f t="shared" ca="1" si="314"/>
        <v>0</v>
      </c>
      <c r="CC233" s="58">
        <f t="shared" ca="1" si="314"/>
        <v>0</v>
      </c>
      <c r="CD233" s="58">
        <f t="shared" ca="1" si="314"/>
        <v>0</v>
      </c>
      <c r="CE233" s="58">
        <f t="shared" ca="1" si="314"/>
        <v>0</v>
      </c>
      <c r="CF233" s="58">
        <f t="shared" ca="1" si="314"/>
        <v>0</v>
      </c>
      <c r="CG233" s="58">
        <f t="shared" ca="1" si="314"/>
        <v>0</v>
      </c>
      <c r="CH233" s="58">
        <f t="shared" ca="1" si="314"/>
        <v>0</v>
      </c>
      <c r="CI233" s="58">
        <f t="shared" ca="1" si="314"/>
        <v>0</v>
      </c>
      <c r="CJ233" s="58">
        <f t="shared" ca="1" si="314"/>
        <v>0</v>
      </c>
      <c r="CK233" s="58">
        <f t="shared" ca="1" si="314"/>
        <v>0</v>
      </c>
      <c r="CL233" s="58">
        <f t="shared" ca="1" si="314"/>
        <v>0</v>
      </c>
      <c r="CM233" s="58">
        <f t="shared" ca="1" si="314"/>
        <v>0</v>
      </c>
      <c r="CN233" s="58">
        <f t="shared" ca="1" si="314"/>
        <v>0</v>
      </c>
      <c r="CO233" s="58">
        <f t="shared" ca="1" si="314"/>
        <v>0</v>
      </c>
      <c r="CP233" s="58">
        <f t="shared" ca="1" si="314"/>
        <v>0</v>
      </c>
      <c r="CQ233" s="58">
        <f t="shared" ca="1" si="314"/>
        <v>0</v>
      </c>
      <c r="CR233" s="58">
        <f t="shared" ca="1" si="314"/>
        <v>0</v>
      </c>
      <c r="CS233" s="58">
        <f t="shared" ca="1" si="314"/>
        <v>0</v>
      </c>
      <c r="CT233" s="58">
        <f t="shared" ca="1" si="314"/>
        <v>0</v>
      </c>
      <c r="CU233" s="58">
        <f t="shared" ca="1" si="314"/>
        <v>0</v>
      </c>
      <c r="CV233" s="58">
        <f t="shared" ca="1" si="314"/>
        <v>0</v>
      </c>
      <c r="CW233" s="58">
        <f t="shared" ca="1" si="314"/>
        <v>0</v>
      </c>
      <c r="CX233" s="58">
        <f t="shared" ca="1" si="314"/>
        <v>0</v>
      </c>
      <c r="CY233" s="58">
        <f t="shared" ref="CY233:ED233" ca="1" si="315">+IF(OR($F233+CY$175&lt;1,(CY$176-1)*12&lt;-$F233),0,OFFSET(CY63,0,$F233))</f>
        <v>0</v>
      </c>
      <c r="CZ233" s="58">
        <f t="shared" ca="1" si="315"/>
        <v>0</v>
      </c>
      <c r="DA233" s="58">
        <f t="shared" ca="1" si="315"/>
        <v>0</v>
      </c>
      <c r="DB233" s="58">
        <f t="shared" ca="1" si="315"/>
        <v>0</v>
      </c>
      <c r="DC233" s="58">
        <f t="shared" ca="1" si="315"/>
        <v>0</v>
      </c>
      <c r="DD233" s="58">
        <f t="shared" ca="1" si="315"/>
        <v>0</v>
      </c>
      <c r="DE233" s="58">
        <f t="shared" ca="1" si="315"/>
        <v>0</v>
      </c>
      <c r="DF233" s="58">
        <f t="shared" ca="1" si="315"/>
        <v>0</v>
      </c>
      <c r="DG233" s="58">
        <f t="shared" ca="1" si="315"/>
        <v>0</v>
      </c>
      <c r="DH233" s="58">
        <f t="shared" ca="1" si="315"/>
        <v>0</v>
      </c>
      <c r="DI233" s="58">
        <f t="shared" ca="1" si="315"/>
        <v>0</v>
      </c>
      <c r="DJ233" s="58">
        <f t="shared" ca="1" si="315"/>
        <v>0</v>
      </c>
      <c r="DK233" s="58">
        <f t="shared" ca="1" si="315"/>
        <v>0</v>
      </c>
      <c r="DL233" s="58">
        <f t="shared" ca="1" si="315"/>
        <v>0</v>
      </c>
      <c r="DM233" s="58">
        <f t="shared" ca="1" si="315"/>
        <v>0</v>
      </c>
      <c r="DN233" s="58">
        <f t="shared" ca="1" si="315"/>
        <v>0</v>
      </c>
      <c r="DO233" s="58">
        <f t="shared" ca="1" si="315"/>
        <v>0</v>
      </c>
      <c r="DP233" s="58">
        <f t="shared" ca="1" si="315"/>
        <v>0</v>
      </c>
      <c r="DQ233" s="58">
        <f t="shared" ca="1" si="315"/>
        <v>0</v>
      </c>
      <c r="DR233" s="58">
        <f t="shared" ca="1" si="315"/>
        <v>0</v>
      </c>
      <c r="DS233" s="58">
        <f t="shared" ca="1" si="315"/>
        <v>0</v>
      </c>
      <c r="DT233" s="58">
        <f t="shared" ca="1" si="315"/>
        <v>0</v>
      </c>
      <c r="DU233" s="58">
        <f t="shared" ca="1" si="315"/>
        <v>0</v>
      </c>
      <c r="DV233" s="58">
        <f t="shared" ca="1" si="315"/>
        <v>0</v>
      </c>
      <c r="DW233" s="58">
        <f t="shared" ca="1" si="315"/>
        <v>0</v>
      </c>
      <c r="DX233" s="58">
        <f t="shared" ca="1" si="315"/>
        <v>0</v>
      </c>
      <c r="DY233" s="58">
        <f t="shared" ca="1" si="315"/>
        <v>0</v>
      </c>
      <c r="DZ233" s="58">
        <f t="shared" ca="1" si="315"/>
        <v>0</v>
      </c>
      <c r="EA233" s="58">
        <f t="shared" ca="1" si="315"/>
        <v>0</v>
      </c>
      <c r="EB233" s="58">
        <f t="shared" ca="1" si="315"/>
        <v>0</v>
      </c>
      <c r="EC233" s="58">
        <f t="shared" ca="1" si="315"/>
        <v>0</v>
      </c>
      <c r="ED233" s="58">
        <f t="shared" ca="1" si="315"/>
        <v>0</v>
      </c>
      <c r="EE233" s="58">
        <f t="shared" ref="EE233:FN233" ca="1" si="316">+IF(OR($F233+EE$175&lt;1,(EE$176-1)*12&lt;-$F233),0,OFFSET(EE63,0,$F233))</f>
        <v>0</v>
      </c>
      <c r="EF233" s="58">
        <f t="shared" ca="1" si="316"/>
        <v>0</v>
      </c>
      <c r="EG233" s="58">
        <f t="shared" ca="1" si="316"/>
        <v>0</v>
      </c>
      <c r="EH233" s="58">
        <f t="shared" ca="1" si="316"/>
        <v>0</v>
      </c>
      <c r="EI233" s="58">
        <f t="shared" ca="1" si="316"/>
        <v>0</v>
      </c>
      <c r="EJ233" s="58">
        <f t="shared" ca="1" si="316"/>
        <v>0</v>
      </c>
      <c r="EK233" s="58">
        <f t="shared" ca="1" si="316"/>
        <v>0</v>
      </c>
      <c r="EL233" s="58">
        <f t="shared" ca="1" si="316"/>
        <v>0</v>
      </c>
      <c r="EM233" s="58">
        <f t="shared" ca="1" si="316"/>
        <v>0</v>
      </c>
      <c r="EN233" s="58">
        <f t="shared" ca="1" si="316"/>
        <v>0</v>
      </c>
      <c r="EO233" s="58">
        <f t="shared" ca="1" si="316"/>
        <v>0</v>
      </c>
      <c r="EP233" s="58">
        <f t="shared" ca="1" si="316"/>
        <v>0</v>
      </c>
      <c r="EQ233" s="58">
        <f t="shared" ca="1" si="316"/>
        <v>0</v>
      </c>
      <c r="ER233" s="58">
        <f t="shared" ca="1" si="316"/>
        <v>0</v>
      </c>
      <c r="ES233" s="58">
        <f t="shared" ca="1" si="316"/>
        <v>0</v>
      </c>
      <c r="ET233" s="58">
        <f t="shared" ca="1" si="316"/>
        <v>0</v>
      </c>
      <c r="EU233" s="58">
        <f t="shared" ca="1" si="316"/>
        <v>0</v>
      </c>
      <c r="EV233" s="58">
        <f t="shared" ca="1" si="316"/>
        <v>0</v>
      </c>
      <c r="EW233" s="58">
        <f t="shared" ca="1" si="316"/>
        <v>0</v>
      </c>
      <c r="EX233" s="58">
        <f t="shared" ca="1" si="316"/>
        <v>0</v>
      </c>
      <c r="EY233" s="58">
        <f t="shared" ca="1" si="316"/>
        <v>0</v>
      </c>
      <c r="EZ233" s="58">
        <f t="shared" ca="1" si="316"/>
        <v>0</v>
      </c>
      <c r="FA233" s="58">
        <f t="shared" ca="1" si="316"/>
        <v>0</v>
      </c>
      <c r="FB233" s="58">
        <f t="shared" ca="1" si="316"/>
        <v>0</v>
      </c>
      <c r="FC233" s="58">
        <f t="shared" ca="1" si="316"/>
        <v>0</v>
      </c>
      <c r="FD233" s="58">
        <f t="shared" ca="1" si="316"/>
        <v>0</v>
      </c>
      <c r="FE233" s="58">
        <f t="shared" ca="1" si="316"/>
        <v>0</v>
      </c>
      <c r="FF233" s="58">
        <f t="shared" ca="1" si="316"/>
        <v>0</v>
      </c>
      <c r="FG233" s="58">
        <f t="shared" ca="1" si="316"/>
        <v>0</v>
      </c>
      <c r="FH233" s="58">
        <f t="shared" ca="1" si="316"/>
        <v>0</v>
      </c>
      <c r="FI233" s="58">
        <f t="shared" ca="1" si="316"/>
        <v>0</v>
      </c>
      <c r="FJ233" s="58">
        <f t="shared" ca="1" si="316"/>
        <v>0</v>
      </c>
      <c r="FK233" s="58">
        <f t="shared" ca="1" si="316"/>
        <v>0</v>
      </c>
      <c r="FL233" s="58">
        <f t="shared" ca="1" si="316"/>
        <v>0</v>
      </c>
      <c r="FM233" s="58">
        <f t="shared" ca="1" si="316"/>
        <v>0</v>
      </c>
      <c r="FN233" s="58">
        <f t="shared" ca="1" si="316"/>
        <v>0</v>
      </c>
      <c r="FO233" s="13"/>
    </row>
    <row r="234" spans="1:171" outlineLevel="1" x14ac:dyDescent="0.3">
      <c r="A234" s="13"/>
      <c r="B234" s="13"/>
      <c r="C234" s="13"/>
      <c r="D234" s="52">
        <f t="shared" si="194"/>
        <v>41883</v>
      </c>
      <c r="E234" s="53">
        <f t="shared" si="195"/>
        <v>2014</v>
      </c>
      <c r="F234" s="53">
        <f t="shared" si="196"/>
        <v>8</v>
      </c>
      <c r="G234" s="58">
        <f t="shared" ref="G234:AL234" ca="1" si="317">+IF(OR($F234+G$175&lt;1,(G$176-1)*12&lt;-$F234),0,OFFSET(G64,0,$F234))</f>
        <v>0</v>
      </c>
      <c r="H234" s="58">
        <f t="shared" ca="1" si="317"/>
        <v>0</v>
      </c>
      <c r="I234" s="58">
        <f t="shared" ca="1" si="317"/>
        <v>0</v>
      </c>
      <c r="J234" s="58">
        <f t="shared" ca="1" si="317"/>
        <v>0</v>
      </c>
      <c r="K234" s="58">
        <f t="shared" ca="1" si="317"/>
        <v>0</v>
      </c>
      <c r="L234" s="58">
        <f t="shared" ca="1" si="317"/>
        <v>0</v>
      </c>
      <c r="M234" s="58">
        <f t="shared" ca="1" si="317"/>
        <v>0</v>
      </c>
      <c r="N234" s="58">
        <f t="shared" ca="1" si="317"/>
        <v>0</v>
      </c>
      <c r="O234" s="58">
        <f t="shared" ca="1" si="317"/>
        <v>0</v>
      </c>
      <c r="P234" s="58">
        <f t="shared" ca="1" si="317"/>
        <v>0</v>
      </c>
      <c r="Q234" s="58">
        <f t="shared" ca="1" si="317"/>
        <v>0</v>
      </c>
      <c r="R234" s="58">
        <f t="shared" ca="1" si="317"/>
        <v>0</v>
      </c>
      <c r="S234" s="58">
        <f t="shared" ca="1" si="317"/>
        <v>0</v>
      </c>
      <c r="T234" s="58">
        <f t="shared" ca="1" si="317"/>
        <v>0</v>
      </c>
      <c r="U234" s="58">
        <f t="shared" ca="1" si="317"/>
        <v>0</v>
      </c>
      <c r="V234" s="58">
        <f t="shared" ca="1" si="317"/>
        <v>0</v>
      </c>
      <c r="W234" s="58">
        <f t="shared" ca="1" si="317"/>
        <v>0</v>
      </c>
      <c r="X234" s="58">
        <f t="shared" ca="1" si="317"/>
        <v>0</v>
      </c>
      <c r="Y234" s="58">
        <f t="shared" ca="1" si="317"/>
        <v>0</v>
      </c>
      <c r="Z234" s="58">
        <f t="shared" ca="1" si="317"/>
        <v>0</v>
      </c>
      <c r="AA234" s="58">
        <f t="shared" ca="1" si="317"/>
        <v>0</v>
      </c>
      <c r="AB234" s="58">
        <f t="shared" ca="1" si="317"/>
        <v>0</v>
      </c>
      <c r="AC234" s="58">
        <f t="shared" ca="1" si="317"/>
        <v>0</v>
      </c>
      <c r="AD234" s="58">
        <f t="shared" ca="1" si="317"/>
        <v>0</v>
      </c>
      <c r="AE234" s="58">
        <f t="shared" ca="1" si="317"/>
        <v>0</v>
      </c>
      <c r="AF234" s="58">
        <f t="shared" ca="1" si="317"/>
        <v>0</v>
      </c>
      <c r="AG234" s="58">
        <f t="shared" ca="1" si="317"/>
        <v>0</v>
      </c>
      <c r="AH234" s="58">
        <f t="shared" ca="1" si="317"/>
        <v>0</v>
      </c>
      <c r="AI234" s="58">
        <f t="shared" ca="1" si="317"/>
        <v>0</v>
      </c>
      <c r="AJ234" s="58">
        <f t="shared" ca="1" si="317"/>
        <v>0</v>
      </c>
      <c r="AK234" s="58">
        <f t="shared" ca="1" si="317"/>
        <v>0</v>
      </c>
      <c r="AL234" s="58">
        <f t="shared" ca="1" si="317"/>
        <v>0</v>
      </c>
      <c r="AM234" s="58">
        <f t="shared" ref="AM234:BR234" ca="1" si="318">+IF(OR($F234+AM$175&lt;1,(AM$176-1)*12&lt;-$F234),0,OFFSET(AM64,0,$F234))</f>
        <v>0</v>
      </c>
      <c r="AN234" s="58">
        <f t="shared" ca="1" si="318"/>
        <v>0</v>
      </c>
      <c r="AO234" s="58">
        <f t="shared" ca="1" si="318"/>
        <v>0</v>
      </c>
      <c r="AP234" s="58">
        <f t="shared" ca="1" si="318"/>
        <v>0</v>
      </c>
      <c r="AQ234" s="58">
        <f t="shared" ca="1" si="318"/>
        <v>0</v>
      </c>
      <c r="AR234" s="58">
        <f t="shared" ca="1" si="318"/>
        <v>0</v>
      </c>
      <c r="AS234" s="58">
        <f t="shared" ca="1" si="318"/>
        <v>0</v>
      </c>
      <c r="AT234" s="58">
        <f t="shared" ca="1" si="318"/>
        <v>0</v>
      </c>
      <c r="AU234" s="58">
        <f t="shared" ca="1" si="318"/>
        <v>0</v>
      </c>
      <c r="AV234" s="58">
        <f t="shared" ca="1" si="318"/>
        <v>0</v>
      </c>
      <c r="AW234" s="58">
        <f t="shared" ca="1" si="318"/>
        <v>0</v>
      </c>
      <c r="AX234" s="58">
        <f t="shared" ca="1" si="318"/>
        <v>0</v>
      </c>
      <c r="AY234" s="58">
        <f t="shared" ca="1" si="318"/>
        <v>0</v>
      </c>
      <c r="AZ234" s="58">
        <f t="shared" ca="1" si="318"/>
        <v>0</v>
      </c>
      <c r="BA234" s="58">
        <f t="shared" ca="1" si="318"/>
        <v>0</v>
      </c>
      <c r="BB234" s="58">
        <f t="shared" ca="1" si="318"/>
        <v>0</v>
      </c>
      <c r="BC234" s="58">
        <f t="shared" ca="1" si="318"/>
        <v>0</v>
      </c>
      <c r="BD234" s="58">
        <f t="shared" ca="1" si="318"/>
        <v>0</v>
      </c>
      <c r="BE234" s="58">
        <f t="shared" ca="1" si="318"/>
        <v>0</v>
      </c>
      <c r="BF234" s="58">
        <f t="shared" ca="1" si="318"/>
        <v>0</v>
      </c>
      <c r="BG234" s="58">
        <f t="shared" ca="1" si="318"/>
        <v>0</v>
      </c>
      <c r="BH234" s="58">
        <f t="shared" ca="1" si="318"/>
        <v>0</v>
      </c>
      <c r="BI234" s="58">
        <f t="shared" ca="1" si="318"/>
        <v>0</v>
      </c>
      <c r="BJ234" s="58">
        <f t="shared" ca="1" si="318"/>
        <v>0</v>
      </c>
      <c r="BK234" s="58">
        <f t="shared" ca="1" si="318"/>
        <v>0</v>
      </c>
      <c r="BL234" s="58">
        <f t="shared" ca="1" si="318"/>
        <v>0</v>
      </c>
      <c r="BM234" s="58">
        <f t="shared" ca="1" si="318"/>
        <v>0</v>
      </c>
      <c r="BN234" s="58">
        <f t="shared" ca="1" si="318"/>
        <v>0</v>
      </c>
      <c r="BO234" s="58">
        <f t="shared" ca="1" si="318"/>
        <v>0</v>
      </c>
      <c r="BP234" s="58">
        <f t="shared" ca="1" si="318"/>
        <v>0</v>
      </c>
      <c r="BQ234" s="58">
        <f t="shared" ca="1" si="318"/>
        <v>0</v>
      </c>
      <c r="BR234" s="58">
        <f t="shared" ca="1" si="318"/>
        <v>0</v>
      </c>
      <c r="BS234" s="58">
        <f t="shared" ref="BS234:CX234" ca="1" si="319">+IF(OR($F234+BS$175&lt;1,(BS$176-1)*12&lt;-$F234),0,OFFSET(BS64,0,$F234))</f>
        <v>0</v>
      </c>
      <c r="BT234" s="58">
        <f t="shared" ca="1" si="319"/>
        <v>0</v>
      </c>
      <c r="BU234" s="58">
        <f t="shared" ca="1" si="319"/>
        <v>0</v>
      </c>
      <c r="BV234" s="58">
        <f t="shared" ca="1" si="319"/>
        <v>0</v>
      </c>
      <c r="BW234" s="58">
        <f t="shared" ca="1" si="319"/>
        <v>0</v>
      </c>
      <c r="BX234" s="58">
        <f t="shared" ca="1" si="319"/>
        <v>0</v>
      </c>
      <c r="BY234" s="58">
        <f t="shared" ca="1" si="319"/>
        <v>0</v>
      </c>
      <c r="BZ234" s="58">
        <f t="shared" ca="1" si="319"/>
        <v>0</v>
      </c>
      <c r="CA234" s="58">
        <f t="shared" ca="1" si="319"/>
        <v>0</v>
      </c>
      <c r="CB234" s="58">
        <f t="shared" ca="1" si="319"/>
        <v>0</v>
      </c>
      <c r="CC234" s="58">
        <f t="shared" ca="1" si="319"/>
        <v>0</v>
      </c>
      <c r="CD234" s="58">
        <f t="shared" ca="1" si="319"/>
        <v>0</v>
      </c>
      <c r="CE234" s="58">
        <f t="shared" ca="1" si="319"/>
        <v>0</v>
      </c>
      <c r="CF234" s="58">
        <f t="shared" ca="1" si="319"/>
        <v>0</v>
      </c>
      <c r="CG234" s="58">
        <f t="shared" ca="1" si="319"/>
        <v>0</v>
      </c>
      <c r="CH234" s="58">
        <f t="shared" ca="1" si="319"/>
        <v>0</v>
      </c>
      <c r="CI234" s="58">
        <f t="shared" ca="1" si="319"/>
        <v>0</v>
      </c>
      <c r="CJ234" s="58">
        <f t="shared" ca="1" si="319"/>
        <v>0</v>
      </c>
      <c r="CK234" s="58">
        <f t="shared" ca="1" si="319"/>
        <v>0</v>
      </c>
      <c r="CL234" s="58">
        <f t="shared" ca="1" si="319"/>
        <v>0</v>
      </c>
      <c r="CM234" s="58">
        <f t="shared" ca="1" si="319"/>
        <v>0</v>
      </c>
      <c r="CN234" s="58">
        <f t="shared" ca="1" si="319"/>
        <v>0</v>
      </c>
      <c r="CO234" s="58">
        <f t="shared" ca="1" si="319"/>
        <v>0</v>
      </c>
      <c r="CP234" s="58">
        <f t="shared" ca="1" si="319"/>
        <v>0</v>
      </c>
      <c r="CQ234" s="58">
        <f t="shared" ca="1" si="319"/>
        <v>0</v>
      </c>
      <c r="CR234" s="58">
        <f t="shared" ca="1" si="319"/>
        <v>0</v>
      </c>
      <c r="CS234" s="58">
        <f t="shared" ca="1" si="319"/>
        <v>0</v>
      </c>
      <c r="CT234" s="58">
        <f t="shared" ca="1" si="319"/>
        <v>0</v>
      </c>
      <c r="CU234" s="58">
        <f t="shared" ca="1" si="319"/>
        <v>0</v>
      </c>
      <c r="CV234" s="58">
        <f t="shared" ca="1" si="319"/>
        <v>0</v>
      </c>
      <c r="CW234" s="58">
        <f t="shared" ca="1" si="319"/>
        <v>0</v>
      </c>
      <c r="CX234" s="58">
        <f t="shared" ca="1" si="319"/>
        <v>0</v>
      </c>
      <c r="CY234" s="58">
        <f t="shared" ref="CY234:ED234" ca="1" si="320">+IF(OR($F234+CY$175&lt;1,(CY$176-1)*12&lt;-$F234),0,OFFSET(CY64,0,$F234))</f>
        <v>0</v>
      </c>
      <c r="CZ234" s="58">
        <f t="shared" ca="1" si="320"/>
        <v>0</v>
      </c>
      <c r="DA234" s="58">
        <f t="shared" ca="1" si="320"/>
        <v>0</v>
      </c>
      <c r="DB234" s="58">
        <f t="shared" ca="1" si="320"/>
        <v>0</v>
      </c>
      <c r="DC234" s="58">
        <f t="shared" ca="1" si="320"/>
        <v>0</v>
      </c>
      <c r="DD234" s="58">
        <f t="shared" ca="1" si="320"/>
        <v>0</v>
      </c>
      <c r="DE234" s="58">
        <f t="shared" ca="1" si="320"/>
        <v>0</v>
      </c>
      <c r="DF234" s="58">
        <f t="shared" ca="1" si="320"/>
        <v>0</v>
      </c>
      <c r="DG234" s="58">
        <f t="shared" ca="1" si="320"/>
        <v>0</v>
      </c>
      <c r="DH234" s="58">
        <f t="shared" ca="1" si="320"/>
        <v>0</v>
      </c>
      <c r="DI234" s="58">
        <f t="shared" ca="1" si="320"/>
        <v>0</v>
      </c>
      <c r="DJ234" s="58">
        <f t="shared" ca="1" si="320"/>
        <v>0</v>
      </c>
      <c r="DK234" s="58">
        <f t="shared" ca="1" si="320"/>
        <v>0</v>
      </c>
      <c r="DL234" s="58">
        <f t="shared" ca="1" si="320"/>
        <v>0</v>
      </c>
      <c r="DM234" s="58">
        <f t="shared" ca="1" si="320"/>
        <v>0</v>
      </c>
      <c r="DN234" s="58">
        <f t="shared" ca="1" si="320"/>
        <v>0</v>
      </c>
      <c r="DO234" s="58">
        <f t="shared" ca="1" si="320"/>
        <v>0</v>
      </c>
      <c r="DP234" s="58">
        <f t="shared" ca="1" si="320"/>
        <v>0</v>
      </c>
      <c r="DQ234" s="58">
        <f t="shared" ca="1" si="320"/>
        <v>0</v>
      </c>
      <c r="DR234" s="58">
        <f t="shared" ca="1" si="320"/>
        <v>0</v>
      </c>
      <c r="DS234" s="58">
        <f t="shared" ca="1" si="320"/>
        <v>0</v>
      </c>
      <c r="DT234" s="58">
        <f t="shared" ca="1" si="320"/>
        <v>0</v>
      </c>
      <c r="DU234" s="58">
        <f t="shared" ca="1" si="320"/>
        <v>0</v>
      </c>
      <c r="DV234" s="58">
        <f t="shared" ca="1" si="320"/>
        <v>0</v>
      </c>
      <c r="DW234" s="58">
        <f t="shared" ca="1" si="320"/>
        <v>0</v>
      </c>
      <c r="DX234" s="58">
        <f t="shared" ca="1" si="320"/>
        <v>0</v>
      </c>
      <c r="DY234" s="58">
        <f t="shared" ca="1" si="320"/>
        <v>0</v>
      </c>
      <c r="DZ234" s="58">
        <f t="shared" ca="1" si="320"/>
        <v>0</v>
      </c>
      <c r="EA234" s="58">
        <f t="shared" ca="1" si="320"/>
        <v>0</v>
      </c>
      <c r="EB234" s="58">
        <f t="shared" ca="1" si="320"/>
        <v>0</v>
      </c>
      <c r="EC234" s="58">
        <f t="shared" ca="1" si="320"/>
        <v>0</v>
      </c>
      <c r="ED234" s="58">
        <f t="shared" ca="1" si="320"/>
        <v>0</v>
      </c>
      <c r="EE234" s="58">
        <f t="shared" ref="EE234:FN234" ca="1" si="321">+IF(OR($F234+EE$175&lt;1,(EE$176-1)*12&lt;-$F234),0,OFFSET(EE64,0,$F234))</f>
        <v>0</v>
      </c>
      <c r="EF234" s="58">
        <f t="shared" ca="1" si="321"/>
        <v>0</v>
      </c>
      <c r="EG234" s="58">
        <f t="shared" ca="1" si="321"/>
        <v>0</v>
      </c>
      <c r="EH234" s="58">
        <f t="shared" ca="1" si="321"/>
        <v>0</v>
      </c>
      <c r="EI234" s="58">
        <f t="shared" ca="1" si="321"/>
        <v>0</v>
      </c>
      <c r="EJ234" s="58">
        <f t="shared" ca="1" si="321"/>
        <v>0</v>
      </c>
      <c r="EK234" s="58">
        <f t="shared" ca="1" si="321"/>
        <v>0</v>
      </c>
      <c r="EL234" s="58">
        <f t="shared" ca="1" si="321"/>
        <v>0</v>
      </c>
      <c r="EM234" s="58">
        <f t="shared" ca="1" si="321"/>
        <v>0</v>
      </c>
      <c r="EN234" s="58">
        <f t="shared" ca="1" si="321"/>
        <v>0</v>
      </c>
      <c r="EO234" s="58">
        <f t="shared" ca="1" si="321"/>
        <v>0</v>
      </c>
      <c r="EP234" s="58">
        <f t="shared" ca="1" si="321"/>
        <v>0</v>
      </c>
      <c r="EQ234" s="58">
        <f t="shared" ca="1" si="321"/>
        <v>0</v>
      </c>
      <c r="ER234" s="58">
        <f t="shared" ca="1" si="321"/>
        <v>0</v>
      </c>
      <c r="ES234" s="58">
        <f t="shared" ca="1" si="321"/>
        <v>0</v>
      </c>
      <c r="ET234" s="58">
        <f t="shared" ca="1" si="321"/>
        <v>0</v>
      </c>
      <c r="EU234" s="58">
        <f t="shared" ca="1" si="321"/>
        <v>0</v>
      </c>
      <c r="EV234" s="58">
        <f t="shared" ca="1" si="321"/>
        <v>0</v>
      </c>
      <c r="EW234" s="58">
        <f t="shared" ca="1" si="321"/>
        <v>0</v>
      </c>
      <c r="EX234" s="58">
        <f t="shared" ca="1" si="321"/>
        <v>0</v>
      </c>
      <c r="EY234" s="58">
        <f t="shared" ca="1" si="321"/>
        <v>0</v>
      </c>
      <c r="EZ234" s="58">
        <f t="shared" ca="1" si="321"/>
        <v>0</v>
      </c>
      <c r="FA234" s="58">
        <f t="shared" ca="1" si="321"/>
        <v>0</v>
      </c>
      <c r="FB234" s="58">
        <f t="shared" ca="1" si="321"/>
        <v>0</v>
      </c>
      <c r="FC234" s="58">
        <f t="shared" ca="1" si="321"/>
        <v>0</v>
      </c>
      <c r="FD234" s="58">
        <f t="shared" ca="1" si="321"/>
        <v>0</v>
      </c>
      <c r="FE234" s="58">
        <f t="shared" ca="1" si="321"/>
        <v>0</v>
      </c>
      <c r="FF234" s="58">
        <f t="shared" ca="1" si="321"/>
        <v>0</v>
      </c>
      <c r="FG234" s="58">
        <f t="shared" ca="1" si="321"/>
        <v>0</v>
      </c>
      <c r="FH234" s="58">
        <f t="shared" ca="1" si="321"/>
        <v>0</v>
      </c>
      <c r="FI234" s="58">
        <f t="shared" ca="1" si="321"/>
        <v>0</v>
      </c>
      <c r="FJ234" s="58">
        <f t="shared" ca="1" si="321"/>
        <v>0</v>
      </c>
      <c r="FK234" s="58">
        <f t="shared" ca="1" si="321"/>
        <v>0</v>
      </c>
      <c r="FL234" s="58">
        <f t="shared" ca="1" si="321"/>
        <v>0</v>
      </c>
      <c r="FM234" s="58">
        <f t="shared" ca="1" si="321"/>
        <v>0</v>
      </c>
      <c r="FN234" s="58">
        <f t="shared" ca="1" si="321"/>
        <v>0</v>
      </c>
      <c r="FO234" s="13"/>
    </row>
    <row r="235" spans="1:171" outlineLevel="1" x14ac:dyDescent="0.3">
      <c r="A235" s="13"/>
      <c r="B235" s="13"/>
      <c r="C235" s="13"/>
      <c r="D235" s="52">
        <f t="shared" si="194"/>
        <v>41913</v>
      </c>
      <c r="E235" s="53">
        <f t="shared" si="195"/>
        <v>2014</v>
      </c>
      <c r="F235" s="53">
        <f t="shared" si="196"/>
        <v>9</v>
      </c>
      <c r="G235" s="58">
        <f t="shared" ref="G235:AL235" ca="1" si="322">+IF(OR($F235+G$175&lt;1,(G$176-1)*12&lt;-$F235),0,OFFSET(G65,0,$F235))</f>
        <v>0</v>
      </c>
      <c r="H235" s="58">
        <f t="shared" ca="1" si="322"/>
        <v>0</v>
      </c>
      <c r="I235" s="58">
        <f t="shared" ca="1" si="322"/>
        <v>0</v>
      </c>
      <c r="J235" s="58">
        <f t="shared" ca="1" si="322"/>
        <v>0</v>
      </c>
      <c r="K235" s="58">
        <f t="shared" ca="1" si="322"/>
        <v>0</v>
      </c>
      <c r="L235" s="58">
        <f t="shared" ca="1" si="322"/>
        <v>0</v>
      </c>
      <c r="M235" s="58">
        <f t="shared" ca="1" si="322"/>
        <v>0</v>
      </c>
      <c r="N235" s="58">
        <f t="shared" ca="1" si="322"/>
        <v>0</v>
      </c>
      <c r="O235" s="58">
        <f t="shared" ca="1" si="322"/>
        <v>0</v>
      </c>
      <c r="P235" s="58">
        <f t="shared" ca="1" si="322"/>
        <v>0</v>
      </c>
      <c r="Q235" s="58">
        <f t="shared" ca="1" si="322"/>
        <v>0</v>
      </c>
      <c r="R235" s="58">
        <f t="shared" ca="1" si="322"/>
        <v>0</v>
      </c>
      <c r="S235" s="58">
        <f t="shared" ca="1" si="322"/>
        <v>0</v>
      </c>
      <c r="T235" s="58">
        <f t="shared" ca="1" si="322"/>
        <v>0</v>
      </c>
      <c r="U235" s="58">
        <f t="shared" ca="1" si="322"/>
        <v>0</v>
      </c>
      <c r="V235" s="58">
        <f t="shared" ca="1" si="322"/>
        <v>0</v>
      </c>
      <c r="W235" s="58">
        <f t="shared" ca="1" si="322"/>
        <v>0</v>
      </c>
      <c r="X235" s="58">
        <f t="shared" ca="1" si="322"/>
        <v>0</v>
      </c>
      <c r="Y235" s="58">
        <f t="shared" ca="1" si="322"/>
        <v>0</v>
      </c>
      <c r="Z235" s="58">
        <f t="shared" ca="1" si="322"/>
        <v>0</v>
      </c>
      <c r="AA235" s="58">
        <f t="shared" ca="1" si="322"/>
        <v>0</v>
      </c>
      <c r="AB235" s="58">
        <f t="shared" ca="1" si="322"/>
        <v>0</v>
      </c>
      <c r="AC235" s="58">
        <f t="shared" ca="1" si="322"/>
        <v>0</v>
      </c>
      <c r="AD235" s="58">
        <f t="shared" ca="1" si="322"/>
        <v>0</v>
      </c>
      <c r="AE235" s="58">
        <f t="shared" ca="1" si="322"/>
        <v>0</v>
      </c>
      <c r="AF235" s="58">
        <f t="shared" ca="1" si="322"/>
        <v>0</v>
      </c>
      <c r="AG235" s="58">
        <f t="shared" ca="1" si="322"/>
        <v>0</v>
      </c>
      <c r="AH235" s="58">
        <f t="shared" ca="1" si="322"/>
        <v>0</v>
      </c>
      <c r="AI235" s="58">
        <f t="shared" ca="1" si="322"/>
        <v>0</v>
      </c>
      <c r="AJ235" s="58">
        <f t="shared" ca="1" si="322"/>
        <v>0</v>
      </c>
      <c r="AK235" s="58">
        <f t="shared" ca="1" si="322"/>
        <v>0</v>
      </c>
      <c r="AL235" s="58">
        <f t="shared" ca="1" si="322"/>
        <v>0</v>
      </c>
      <c r="AM235" s="58">
        <f t="shared" ref="AM235:BR235" ca="1" si="323">+IF(OR($F235+AM$175&lt;1,(AM$176-1)*12&lt;-$F235),0,OFFSET(AM65,0,$F235))</f>
        <v>0</v>
      </c>
      <c r="AN235" s="58">
        <f t="shared" ca="1" si="323"/>
        <v>0</v>
      </c>
      <c r="AO235" s="58">
        <f t="shared" ca="1" si="323"/>
        <v>0</v>
      </c>
      <c r="AP235" s="58">
        <f t="shared" ca="1" si="323"/>
        <v>0</v>
      </c>
      <c r="AQ235" s="58">
        <f t="shared" ca="1" si="323"/>
        <v>0</v>
      </c>
      <c r="AR235" s="58">
        <f t="shared" ca="1" si="323"/>
        <v>0</v>
      </c>
      <c r="AS235" s="58">
        <f t="shared" ca="1" si="323"/>
        <v>0</v>
      </c>
      <c r="AT235" s="58">
        <f t="shared" ca="1" si="323"/>
        <v>0</v>
      </c>
      <c r="AU235" s="58">
        <f t="shared" ca="1" si="323"/>
        <v>0</v>
      </c>
      <c r="AV235" s="58">
        <f t="shared" ca="1" si="323"/>
        <v>0</v>
      </c>
      <c r="AW235" s="58">
        <f t="shared" ca="1" si="323"/>
        <v>0</v>
      </c>
      <c r="AX235" s="58">
        <f t="shared" ca="1" si="323"/>
        <v>0</v>
      </c>
      <c r="AY235" s="58">
        <f t="shared" ca="1" si="323"/>
        <v>0</v>
      </c>
      <c r="AZ235" s="58">
        <f t="shared" ca="1" si="323"/>
        <v>0</v>
      </c>
      <c r="BA235" s="58">
        <f t="shared" ca="1" si="323"/>
        <v>0</v>
      </c>
      <c r="BB235" s="58">
        <f t="shared" ca="1" si="323"/>
        <v>0</v>
      </c>
      <c r="BC235" s="58">
        <f t="shared" ca="1" si="323"/>
        <v>0</v>
      </c>
      <c r="BD235" s="58">
        <f t="shared" ca="1" si="323"/>
        <v>0</v>
      </c>
      <c r="BE235" s="58">
        <f t="shared" ca="1" si="323"/>
        <v>0</v>
      </c>
      <c r="BF235" s="58">
        <f t="shared" ca="1" si="323"/>
        <v>0</v>
      </c>
      <c r="BG235" s="58">
        <f t="shared" ca="1" si="323"/>
        <v>0</v>
      </c>
      <c r="BH235" s="58">
        <f t="shared" ca="1" si="323"/>
        <v>0</v>
      </c>
      <c r="BI235" s="58">
        <f t="shared" ca="1" si="323"/>
        <v>0</v>
      </c>
      <c r="BJ235" s="58">
        <f t="shared" ca="1" si="323"/>
        <v>0</v>
      </c>
      <c r="BK235" s="58">
        <f t="shared" ca="1" si="323"/>
        <v>0</v>
      </c>
      <c r="BL235" s="58">
        <f t="shared" ca="1" si="323"/>
        <v>0</v>
      </c>
      <c r="BM235" s="58">
        <f t="shared" ca="1" si="323"/>
        <v>0</v>
      </c>
      <c r="BN235" s="58">
        <f t="shared" ca="1" si="323"/>
        <v>0</v>
      </c>
      <c r="BO235" s="58">
        <f t="shared" ca="1" si="323"/>
        <v>0</v>
      </c>
      <c r="BP235" s="58">
        <f t="shared" ca="1" si="323"/>
        <v>0</v>
      </c>
      <c r="BQ235" s="58">
        <f t="shared" ca="1" si="323"/>
        <v>0</v>
      </c>
      <c r="BR235" s="58">
        <f t="shared" ca="1" si="323"/>
        <v>0</v>
      </c>
      <c r="BS235" s="58">
        <f t="shared" ref="BS235:CX235" ca="1" si="324">+IF(OR($F235+BS$175&lt;1,(BS$176-1)*12&lt;-$F235),0,OFFSET(BS65,0,$F235))</f>
        <v>0</v>
      </c>
      <c r="BT235" s="58">
        <f t="shared" ca="1" si="324"/>
        <v>0</v>
      </c>
      <c r="BU235" s="58">
        <f t="shared" ca="1" si="324"/>
        <v>0</v>
      </c>
      <c r="BV235" s="58">
        <f t="shared" ca="1" si="324"/>
        <v>0</v>
      </c>
      <c r="BW235" s="58">
        <f t="shared" ca="1" si="324"/>
        <v>0</v>
      </c>
      <c r="BX235" s="58">
        <f t="shared" ca="1" si="324"/>
        <v>0</v>
      </c>
      <c r="BY235" s="58">
        <f t="shared" ca="1" si="324"/>
        <v>0</v>
      </c>
      <c r="BZ235" s="58">
        <f t="shared" ca="1" si="324"/>
        <v>0</v>
      </c>
      <c r="CA235" s="58">
        <f t="shared" ca="1" si="324"/>
        <v>0</v>
      </c>
      <c r="CB235" s="58">
        <f t="shared" ca="1" si="324"/>
        <v>0</v>
      </c>
      <c r="CC235" s="58">
        <f t="shared" ca="1" si="324"/>
        <v>0</v>
      </c>
      <c r="CD235" s="58">
        <f t="shared" ca="1" si="324"/>
        <v>0</v>
      </c>
      <c r="CE235" s="58">
        <f t="shared" ca="1" si="324"/>
        <v>0</v>
      </c>
      <c r="CF235" s="58">
        <f t="shared" ca="1" si="324"/>
        <v>0</v>
      </c>
      <c r="CG235" s="58">
        <f t="shared" ca="1" si="324"/>
        <v>0</v>
      </c>
      <c r="CH235" s="58">
        <f t="shared" ca="1" si="324"/>
        <v>0</v>
      </c>
      <c r="CI235" s="58">
        <f t="shared" ca="1" si="324"/>
        <v>0</v>
      </c>
      <c r="CJ235" s="58">
        <f t="shared" ca="1" si="324"/>
        <v>0</v>
      </c>
      <c r="CK235" s="58">
        <f t="shared" ca="1" si="324"/>
        <v>0</v>
      </c>
      <c r="CL235" s="58">
        <f t="shared" ca="1" si="324"/>
        <v>0</v>
      </c>
      <c r="CM235" s="58">
        <f t="shared" ca="1" si="324"/>
        <v>0</v>
      </c>
      <c r="CN235" s="58">
        <f t="shared" ca="1" si="324"/>
        <v>0</v>
      </c>
      <c r="CO235" s="58">
        <f t="shared" ca="1" si="324"/>
        <v>0</v>
      </c>
      <c r="CP235" s="58">
        <f t="shared" ca="1" si="324"/>
        <v>0</v>
      </c>
      <c r="CQ235" s="58">
        <f t="shared" ca="1" si="324"/>
        <v>0</v>
      </c>
      <c r="CR235" s="58">
        <f t="shared" ca="1" si="324"/>
        <v>0</v>
      </c>
      <c r="CS235" s="58">
        <f t="shared" ca="1" si="324"/>
        <v>0</v>
      </c>
      <c r="CT235" s="58">
        <f t="shared" ca="1" si="324"/>
        <v>0</v>
      </c>
      <c r="CU235" s="58">
        <f t="shared" ca="1" si="324"/>
        <v>0</v>
      </c>
      <c r="CV235" s="58">
        <f t="shared" ca="1" si="324"/>
        <v>0</v>
      </c>
      <c r="CW235" s="58">
        <f t="shared" ca="1" si="324"/>
        <v>0</v>
      </c>
      <c r="CX235" s="58">
        <f t="shared" ca="1" si="324"/>
        <v>0</v>
      </c>
      <c r="CY235" s="58">
        <f t="shared" ref="CY235:ED235" ca="1" si="325">+IF(OR($F235+CY$175&lt;1,(CY$176-1)*12&lt;-$F235),0,OFFSET(CY65,0,$F235))</f>
        <v>0</v>
      </c>
      <c r="CZ235" s="58">
        <f t="shared" ca="1" si="325"/>
        <v>0</v>
      </c>
      <c r="DA235" s="58">
        <f t="shared" ca="1" si="325"/>
        <v>0</v>
      </c>
      <c r="DB235" s="58">
        <f t="shared" ca="1" si="325"/>
        <v>0</v>
      </c>
      <c r="DC235" s="58">
        <f t="shared" ca="1" si="325"/>
        <v>0</v>
      </c>
      <c r="DD235" s="58">
        <f t="shared" ca="1" si="325"/>
        <v>0</v>
      </c>
      <c r="DE235" s="58">
        <f t="shared" ca="1" si="325"/>
        <v>0</v>
      </c>
      <c r="DF235" s="58">
        <f t="shared" ca="1" si="325"/>
        <v>0</v>
      </c>
      <c r="DG235" s="58">
        <f t="shared" ca="1" si="325"/>
        <v>0</v>
      </c>
      <c r="DH235" s="58">
        <f t="shared" ca="1" si="325"/>
        <v>0</v>
      </c>
      <c r="DI235" s="58">
        <f t="shared" ca="1" si="325"/>
        <v>0</v>
      </c>
      <c r="DJ235" s="58">
        <f t="shared" ca="1" si="325"/>
        <v>0</v>
      </c>
      <c r="DK235" s="58">
        <f t="shared" ca="1" si="325"/>
        <v>0</v>
      </c>
      <c r="DL235" s="58">
        <f t="shared" ca="1" si="325"/>
        <v>0</v>
      </c>
      <c r="DM235" s="58">
        <f t="shared" ca="1" si="325"/>
        <v>0</v>
      </c>
      <c r="DN235" s="58">
        <f t="shared" ca="1" si="325"/>
        <v>0</v>
      </c>
      <c r="DO235" s="58">
        <f t="shared" ca="1" si="325"/>
        <v>0</v>
      </c>
      <c r="DP235" s="58">
        <f t="shared" ca="1" si="325"/>
        <v>0</v>
      </c>
      <c r="DQ235" s="58">
        <f t="shared" ca="1" si="325"/>
        <v>0</v>
      </c>
      <c r="DR235" s="58">
        <f t="shared" ca="1" si="325"/>
        <v>0</v>
      </c>
      <c r="DS235" s="58">
        <f t="shared" ca="1" si="325"/>
        <v>0</v>
      </c>
      <c r="DT235" s="58">
        <f t="shared" ca="1" si="325"/>
        <v>0</v>
      </c>
      <c r="DU235" s="58">
        <f t="shared" ca="1" si="325"/>
        <v>0</v>
      </c>
      <c r="DV235" s="58">
        <f t="shared" ca="1" si="325"/>
        <v>0</v>
      </c>
      <c r="DW235" s="58">
        <f t="shared" ca="1" si="325"/>
        <v>0</v>
      </c>
      <c r="DX235" s="58">
        <f t="shared" ca="1" si="325"/>
        <v>0</v>
      </c>
      <c r="DY235" s="58">
        <f t="shared" ca="1" si="325"/>
        <v>0</v>
      </c>
      <c r="DZ235" s="58">
        <f t="shared" ca="1" si="325"/>
        <v>0</v>
      </c>
      <c r="EA235" s="58">
        <f t="shared" ca="1" si="325"/>
        <v>0</v>
      </c>
      <c r="EB235" s="58">
        <f t="shared" ca="1" si="325"/>
        <v>0</v>
      </c>
      <c r="EC235" s="58">
        <f t="shared" ca="1" si="325"/>
        <v>0</v>
      </c>
      <c r="ED235" s="58">
        <f t="shared" ca="1" si="325"/>
        <v>0</v>
      </c>
      <c r="EE235" s="58">
        <f t="shared" ref="EE235:FN235" ca="1" si="326">+IF(OR($F235+EE$175&lt;1,(EE$176-1)*12&lt;-$F235),0,OFFSET(EE65,0,$F235))</f>
        <v>0</v>
      </c>
      <c r="EF235" s="58">
        <f t="shared" ca="1" si="326"/>
        <v>0</v>
      </c>
      <c r="EG235" s="58">
        <f t="shared" ca="1" si="326"/>
        <v>0</v>
      </c>
      <c r="EH235" s="58">
        <f t="shared" ca="1" si="326"/>
        <v>0</v>
      </c>
      <c r="EI235" s="58">
        <f t="shared" ca="1" si="326"/>
        <v>0</v>
      </c>
      <c r="EJ235" s="58">
        <f t="shared" ca="1" si="326"/>
        <v>0</v>
      </c>
      <c r="EK235" s="58">
        <f t="shared" ca="1" si="326"/>
        <v>0</v>
      </c>
      <c r="EL235" s="58">
        <f t="shared" ca="1" si="326"/>
        <v>0</v>
      </c>
      <c r="EM235" s="58">
        <f t="shared" ca="1" si="326"/>
        <v>0</v>
      </c>
      <c r="EN235" s="58">
        <f t="shared" ca="1" si="326"/>
        <v>0</v>
      </c>
      <c r="EO235" s="58">
        <f t="shared" ca="1" si="326"/>
        <v>0</v>
      </c>
      <c r="EP235" s="58">
        <f t="shared" ca="1" si="326"/>
        <v>0</v>
      </c>
      <c r="EQ235" s="58">
        <f t="shared" ca="1" si="326"/>
        <v>0</v>
      </c>
      <c r="ER235" s="58">
        <f t="shared" ca="1" si="326"/>
        <v>0</v>
      </c>
      <c r="ES235" s="58">
        <f t="shared" ca="1" si="326"/>
        <v>0</v>
      </c>
      <c r="ET235" s="58">
        <f t="shared" ca="1" si="326"/>
        <v>0</v>
      </c>
      <c r="EU235" s="58">
        <f t="shared" ca="1" si="326"/>
        <v>0</v>
      </c>
      <c r="EV235" s="58">
        <f t="shared" ca="1" si="326"/>
        <v>0</v>
      </c>
      <c r="EW235" s="58">
        <f t="shared" ca="1" si="326"/>
        <v>0</v>
      </c>
      <c r="EX235" s="58">
        <f t="shared" ca="1" si="326"/>
        <v>0</v>
      </c>
      <c r="EY235" s="58">
        <f t="shared" ca="1" si="326"/>
        <v>0</v>
      </c>
      <c r="EZ235" s="58">
        <f t="shared" ca="1" si="326"/>
        <v>0</v>
      </c>
      <c r="FA235" s="58">
        <f t="shared" ca="1" si="326"/>
        <v>0</v>
      </c>
      <c r="FB235" s="58">
        <f t="shared" ca="1" si="326"/>
        <v>0</v>
      </c>
      <c r="FC235" s="58">
        <f t="shared" ca="1" si="326"/>
        <v>0</v>
      </c>
      <c r="FD235" s="58">
        <f t="shared" ca="1" si="326"/>
        <v>0</v>
      </c>
      <c r="FE235" s="58">
        <f t="shared" ca="1" si="326"/>
        <v>0</v>
      </c>
      <c r="FF235" s="58">
        <f t="shared" ca="1" si="326"/>
        <v>0</v>
      </c>
      <c r="FG235" s="58">
        <f t="shared" ca="1" si="326"/>
        <v>0</v>
      </c>
      <c r="FH235" s="58">
        <f t="shared" ca="1" si="326"/>
        <v>0</v>
      </c>
      <c r="FI235" s="58">
        <f t="shared" ca="1" si="326"/>
        <v>0</v>
      </c>
      <c r="FJ235" s="58">
        <f t="shared" ca="1" si="326"/>
        <v>0</v>
      </c>
      <c r="FK235" s="58">
        <f t="shared" ca="1" si="326"/>
        <v>0</v>
      </c>
      <c r="FL235" s="58">
        <f t="shared" ca="1" si="326"/>
        <v>0</v>
      </c>
      <c r="FM235" s="58">
        <f t="shared" ca="1" si="326"/>
        <v>0</v>
      </c>
      <c r="FN235" s="58">
        <f t="shared" ca="1" si="326"/>
        <v>0</v>
      </c>
      <c r="FO235" s="13"/>
    </row>
    <row r="236" spans="1:171" outlineLevel="1" x14ac:dyDescent="0.3">
      <c r="A236" s="13"/>
      <c r="B236" s="13"/>
      <c r="C236" s="13"/>
      <c r="D236" s="52">
        <f t="shared" si="194"/>
        <v>41944</v>
      </c>
      <c r="E236" s="53">
        <f t="shared" si="195"/>
        <v>2014</v>
      </c>
      <c r="F236" s="53">
        <f t="shared" si="196"/>
        <v>10</v>
      </c>
      <c r="G236" s="58">
        <f t="shared" ref="G236:AL236" ca="1" si="327">+IF(OR($F236+G$175&lt;1,(G$176-1)*12&lt;-$F236),0,OFFSET(G66,0,$F236))</f>
        <v>0</v>
      </c>
      <c r="H236" s="58">
        <f t="shared" ca="1" si="327"/>
        <v>0</v>
      </c>
      <c r="I236" s="58">
        <f t="shared" ca="1" si="327"/>
        <v>0</v>
      </c>
      <c r="J236" s="58">
        <f t="shared" ca="1" si="327"/>
        <v>0</v>
      </c>
      <c r="K236" s="58">
        <f t="shared" ca="1" si="327"/>
        <v>0</v>
      </c>
      <c r="L236" s="58">
        <f t="shared" ca="1" si="327"/>
        <v>0</v>
      </c>
      <c r="M236" s="58">
        <f t="shared" ca="1" si="327"/>
        <v>0</v>
      </c>
      <c r="N236" s="58">
        <f t="shared" ca="1" si="327"/>
        <v>0</v>
      </c>
      <c r="O236" s="58">
        <f t="shared" ca="1" si="327"/>
        <v>0</v>
      </c>
      <c r="P236" s="58">
        <f t="shared" ca="1" si="327"/>
        <v>0</v>
      </c>
      <c r="Q236" s="58">
        <f t="shared" ca="1" si="327"/>
        <v>0</v>
      </c>
      <c r="R236" s="58">
        <f t="shared" ca="1" si="327"/>
        <v>0</v>
      </c>
      <c r="S236" s="58">
        <f t="shared" ca="1" si="327"/>
        <v>0</v>
      </c>
      <c r="T236" s="58">
        <f t="shared" ca="1" si="327"/>
        <v>0</v>
      </c>
      <c r="U236" s="58">
        <f t="shared" ca="1" si="327"/>
        <v>0</v>
      </c>
      <c r="V236" s="58">
        <f t="shared" ca="1" si="327"/>
        <v>0</v>
      </c>
      <c r="W236" s="58">
        <f t="shared" ca="1" si="327"/>
        <v>0</v>
      </c>
      <c r="X236" s="58">
        <f t="shared" ca="1" si="327"/>
        <v>0</v>
      </c>
      <c r="Y236" s="58">
        <f t="shared" ca="1" si="327"/>
        <v>0</v>
      </c>
      <c r="Z236" s="58">
        <f t="shared" ca="1" si="327"/>
        <v>0</v>
      </c>
      <c r="AA236" s="58">
        <f t="shared" ca="1" si="327"/>
        <v>0</v>
      </c>
      <c r="AB236" s="58">
        <f t="shared" ca="1" si="327"/>
        <v>0</v>
      </c>
      <c r="AC236" s="58">
        <f t="shared" ca="1" si="327"/>
        <v>0</v>
      </c>
      <c r="AD236" s="58">
        <f t="shared" ca="1" si="327"/>
        <v>0</v>
      </c>
      <c r="AE236" s="58">
        <f t="shared" ca="1" si="327"/>
        <v>0</v>
      </c>
      <c r="AF236" s="58">
        <f t="shared" ca="1" si="327"/>
        <v>0</v>
      </c>
      <c r="AG236" s="58">
        <f t="shared" ca="1" si="327"/>
        <v>0</v>
      </c>
      <c r="AH236" s="58">
        <f t="shared" ca="1" si="327"/>
        <v>0</v>
      </c>
      <c r="AI236" s="58">
        <f t="shared" ca="1" si="327"/>
        <v>0</v>
      </c>
      <c r="AJ236" s="58">
        <f t="shared" ca="1" si="327"/>
        <v>0</v>
      </c>
      <c r="AK236" s="58">
        <f t="shared" ca="1" si="327"/>
        <v>0</v>
      </c>
      <c r="AL236" s="58">
        <f t="shared" ca="1" si="327"/>
        <v>0</v>
      </c>
      <c r="AM236" s="58">
        <f t="shared" ref="AM236:BR236" ca="1" si="328">+IF(OR($F236+AM$175&lt;1,(AM$176-1)*12&lt;-$F236),0,OFFSET(AM66,0,$F236))</f>
        <v>0</v>
      </c>
      <c r="AN236" s="58">
        <f t="shared" ca="1" si="328"/>
        <v>0</v>
      </c>
      <c r="AO236" s="58">
        <f t="shared" ca="1" si="328"/>
        <v>0</v>
      </c>
      <c r="AP236" s="58">
        <f t="shared" ca="1" si="328"/>
        <v>0</v>
      </c>
      <c r="AQ236" s="58">
        <f t="shared" ca="1" si="328"/>
        <v>0</v>
      </c>
      <c r="AR236" s="58">
        <f t="shared" ca="1" si="328"/>
        <v>0</v>
      </c>
      <c r="AS236" s="58">
        <f t="shared" ca="1" si="328"/>
        <v>0</v>
      </c>
      <c r="AT236" s="58">
        <f t="shared" ca="1" si="328"/>
        <v>0</v>
      </c>
      <c r="AU236" s="58">
        <f t="shared" ca="1" si="328"/>
        <v>0</v>
      </c>
      <c r="AV236" s="58">
        <f t="shared" ca="1" si="328"/>
        <v>0</v>
      </c>
      <c r="AW236" s="58">
        <f t="shared" ca="1" si="328"/>
        <v>0</v>
      </c>
      <c r="AX236" s="58">
        <f t="shared" ca="1" si="328"/>
        <v>0</v>
      </c>
      <c r="AY236" s="58">
        <f t="shared" ca="1" si="328"/>
        <v>0</v>
      </c>
      <c r="AZ236" s="58">
        <f t="shared" ca="1" si="328"/>
        <v>0</v>
      </c>
      <c r="BA236" s="58">
        <f t="shared" ca="1" si="328"/>
        <v>0</v>
      </c>
      <c r="BB236" s="58">
        <f t="shared" ca="1" si="328"/>
        <v>0</v>
      </c>
      <c r="BC236" s="58">
        <f t="shared" ca="1" si="328"/>
        <v>0</v>
      </c>
      <c r="BD236" s="58">
        <f t="shared" ca="1" si="328"/>
        <v>0</v>
      </c>
      <c r="BE236" s="58">
        <f t="shared" ca="1" si="328"/>
        <v>0</v>
      </c>
      <c r="BF236" s="58">
        <f t="shared" ca="1" si="328"/>
        <v>0</v>
      </c>
      <c r="BG236" s="58">
        <f t="shared" ca="1" si="328"/>
        <v>0</v>
      </c>
      <c r="BH236" s="58">
        <f t="shared" ca="1" si="328"/>
        <v>0</v>
      </c>
      <c r="BI236" s="58">
        <f t="shared" ca="1" si="328"/>
        <v>0</v>
      </c>
      <c r="BJ236" s="58">
        <f t="shared" ca="1" si="328"/>
        <v>0</v>
      </c>
      <c r="BK236" s="58">
        <f t="shared" ca="1" si="328"/>
        <v>0</v>
      </c>
      <c r="BL236" s="58">
        <f t="shared" ca="1" si="328"/>
        <v>0</v>
      </c>
      <c r="BM236" s="58">
        <f t="shared" ca="1" si="328"/>
        <v>0</v>
      </c>
      <c r="BN236" s="58">
        <f t="shared" ca="1" si="328"/>
        <v>0</v>
      </c>
      <c r="BO236" s="58">
        <f t="shared" ca="1" si="328"/>
        <v>0</v>
      </c>
      <c r="BP236" s="58">
        <f t="shared" ca="1" si="328"/>
        <v>0</v>
      </c>
      <c r="BQ236" s="58">
        <f t="shared" ca="1" si="328"/>
        <v>0</v>
      </c>
      <c r="BR236" s="58">
        <f t="shared" ca="1" si="328"/>
        <v>0</v>
      </c>
      <c r="BS236" s="58">
        <f t="shared" ref="BS236:CX236" ca="1" si="329">+IF(OR($F236+BS$175&lt;1,(BS$176-1)*12&lt;-$F236),0,OFFSET(BS66,0,$F236))</f>
        <v>0</v>
      </c>
      <c r="BT236" s="58">
        <f t="shared" ca="1" si="329"/>
        <v>0</v>
      </c>
      <c r="BU236" s="58">
        <f t="shared" ca="1" si="329"/>
        <v>0</v>
      </c>
      <c r="BV236" s="58">
        <f t="shared" ca="1" si="329"/>
        <v>0</v>
      </c>
      <c r="BW236" s="58">
        <f t="shared" ca="1" si="329"/>
        <v>0</v>
      </c>
      <c r="BX236" s="58">
        <f t="shared" ca="1" si="329"/>
        <v>0</v>
      </c>
      <c r="BY236" s="58">
        <f t="shared" ca="1" si="329"/>
        <v>0</v>
      </c>
      <c r="BZ236" s="58">
        <f t="shared" ca="1" si="329"/>
        <v>0</v>
      </c>
      <c r="CA236" s="58">
        <f t="shared" ca="1" si="329"/>
        <v>0</v>
      </c>
      <c r="CB236" s="58">
        <f t="shared" ca="1" si="329"/>
        <v>0</v>
      </c>
      <c r="CC236" s="58">
        <f t="shared" ca="1" si="329"/>
        <v>0</v>
      </c>
      <c r="CD236" s="58">
        <f t="shared" ca="1" si="329"/>
        <v>0</v>
      </c>
      <c r="CE236" s="58">
        <f t="shared" ca="1" si="329"/>
        <v>0</v>
      </c>
      <c r="CF236" s="58">
        <f t="shared" ca="1" si="329"/>
        <v>0</v>
      </c>
      <c r="CG236" s="58">
        <f t="shared" ca="1" si="329"/>
        <v>0</v>
      </c>
      <c r="CH236" s="58">
        <f t="shared" ca="1" si="329"/>
        <v>0</v>
      </c>
      <c r="CI236" s="58">
        <f t="shared" ca="1" si="329"/>
        <v>0</v>
      </c>
      <c r="CJ236" s="58">
        <f t="shared" ca="1" si="329"/>
        <v>0</v>
      </c>
      <c r="CK236" s="58">
        <f t="shared" ca="1" si="329"/>
        <v>0</v>
      </c>
      <c r="CL236" s="58">
        <f t="shared" ca="1" si="329"/>
        <v>0</v>
      </c>
      <c r="CM236" s="58">
        <f t="shared" ca="1" si="329"/>
        <v>0</v>
      </c>
      <c r="CN236" s="58">
        <f t="shared" ca="1" si="329"/>
        <v>0</v>
      </c>
      <c r="CO236" s="58">
        <f t="shared" ca="1" si="329"/>
        <v>0</v>
      </c>
      <c r="CP236" s="58">
        <f t="shared" ca="1" si="329"/>
        <v>0</v>
      </c>
      <c r="CQ236" s="58">
        <f t="shared" ca="1" si="329"/>
        <v>0</v>
      </c>
      <c r="CR236" s="58">
        <f t="shared" ca="1" si="329"/>
        <v>0</v>
      </c>
      <c r="CS236" s="58">
        <f t="shared" ca="1" si="329"/>
        <v>0</v>
      </c>
      <c r="CT236" s="58">
        <f t="shared" ca="1" si="329"/>
        <v>0</v>
      </c>
      <c r="CU236" s="58">
        <f t="shared" ca="1" si="329"/>
        <v>0</v>
      </c>
      <c r="CV236" s="58">
        <f t="shared" ca="1" si="329"/>
        <v>0</v>
      </c>
      <c r="CW236" s="58">
        <f t="shared" ca="1" si="329"/>
        <v>0</v>
      </c>
      <c r="CX236" s="58">
        <f t="shared" ca="1" si="329"/>
        <v>0</v>
      </c>
      <c r="CY236" s="58">
        <f t="shared" ref="CY236:ED236" ca="1" si="330">+IF(OR($F236+CY$175&lt;1,(CY$176-1)*12&lt;-$F236),0,OFFSET(CY66,0,$F236))</f>
        <v>0</v>
      </c>
      <c r="CZ236" s="58">
        <f t="shared" ca="1" si="330"/>
        <v>0</v>
      </c>
      <c r="DA236" s="58">
        <f t="shared" ca="1" si="330"/>
        <v>0</v>
      </c>
      <c r="DB236" s="58">
        <f t="shared" ca="1" si="330"/>
        <v>0</v>
      </c>
      <c r="DC236" s="58">
        <f t="shared" ca="1" si="330"/>
        <v>0</v>
      </c>
      <c r="DD236" s="58">
        <f t="shared" ca="1" si="330"/>
        <v>0</v>
      </c>
      <c r="DE236" s="58">
        <f t="shared" ca="1" si="330"/>
        <v>0</v>
      </c>
      <c r="DF236" s="58">
        <f t="shared" ca="1" si="330"/>
        <v>0</v>
      </c>
      <c r="DG236" s="58">
        <f t="shared" ca="1" si="330"/>
        <v>0</v>
      </c>
      <c r="DH236" s="58">
        <f t="shared" ca="1" si="330"/>
        <v>0</v>
      </c>
      <c r="DI236" s="58">
        <f t="shared" ca="1" si="330"/>
        <v>0</v>
      </c>
      <c r="DJ236" s="58">
        <f t="shared" ca="1" si="330"/>
        <v>0</v>
      </c>
      <c r="DK236" s="58">
        <f t="shared" ca="1" si="330"/>
        <v>0</v>
      </c>
      <c r="DL236" s="58">
        <f t="shared" ca="1" si="330"/>
        <v>0</v>
      </c>
      <c r="DM236" s="58">
        <f t="shared" ca="1" si="330"/>
        <v>0</v>
      </c>
      <c r="DN236" s="58">
        <f t="shared" ca="1" si="330"/>
        <v>0</v>
      </c>
      <c r="DO236" s="58">
        <f t="shared" ca="1" si="330"/>
        <v>0</v>
      </c>
      <c r="DP236" s="58">
        <f t="shared" ca="1" si="330"/>
        <v>0</v>
      </c>
      <c r="DQ236" s="58">
        <f t="shared" ca="1" si="330"/>
        <v>0</v>
      </c>
      <c r="DR236" s="58">
        <f t="shared" ca="1" si="330"/>
        <v>0</v>
      </c>
      <c r="DS236" s="58">
        <f t="shared" ca="1" si="330"/>
        <v>0</v>
      </c>
      <c r="DT236" s="58">
        <f t="shared" ca="1" si="330"/>
        <v>0</v>
      </c>
      <c r="DU236" s="58">
        <f t="shared" ca="1" si="330"/>
        <v>0</v>
      </c>
      <c r="DV236" s="58">
        <f t="shared" ca="1" si="330"/>
        <v>0</v>
      </c>
      <c r="DW236" s="58">
        <f t="shared" ca="1" si="330"/>
        <v>0</v>
      </c>
      <c r="DX236" s="58">
        <f t="shared" ca="1" si="330"/>
        <v>0</v>
      </c>
      <c r="DY236" s="58">
        <f t="shared" ca="1" si="330"/>
        <v>0</v>
      </c>
      <c r="DZ236" s="58">
        <f t="shared" ca="1" si="330"/>
        <v>0</v>
      </c>
      <c r="EA236" s="58">
        <f t="shared" ca="1" si="330"/>
        <v>0</v>
      </c>
      <c r="EB236" s="58">
        <f t="shared" ca="1" si="330"/>
        <v>0</v>
      </c>
      <c r="EC236" s="58">
        <f t="shared" ca="1" si="330"/>
        <v>0</v>
      </c>
      <c r="ED236" s="58">
        <f t="shared" ca="1" si="330"/>
        <v>0</v>
      </c>
      <c r="EE236" s="58">
        <f t="shared" ref="EE236:FN236" ca="1" si="331">+IF(OR($F236+EE$175&lt;1,(EE$176-1)*12&lt;-$F236),0,OFFSET(EE66,0,$F236))</f>
        <v>0</v>
      </c>
      <c r="EF236" s="58">
        <f t="shared" ca="1" si="331"/>
        <v>0</v>
      </c>
      <c r="EG236" s="58">
        <f t="shared" ca="1" si="331"/>
        <v>0</v>
      </c>
      <c r="EH236" s="58">
        <f t="shared" ca="1" si="331"/>
        <v>0</v>
      </c>
      <c r="EI236" s="58">
        <f t="shared" ca="1" si="331"/>
        <v>0</v>
      </c>
      <c r="EJ236" s="58">
        <f t="shared" ca="1" si="331"/>
        <v>0</v>
      </c>
      <c r="EK236" s="58">
        <f t="shared" ca="1" si="331"/>
        <v>0</v>
      </c>
      <c r="EL236" s="58">
        <f t="shared" ca="1" si="331"/>
        <v>0</v>
      </c>
      <c r="EM236" s="58">
        <f t="shared" ca="1" si="331"/>
        <v>0</v>
      </c>
      <c r="EN236" s="58">
        <f t="shared" ca="1" si="331"/>
        <v>0</v>
      </c>
      <c r="EO236" s="58">
        <f t="shared" ca="1" si="331"/>
        <v>0</v>
      </c>
      <c r="EP236" s="58">
        <f t="shared" ca="1" si="331"/>
        <v>0</v>
      </c>
      <c r="EQ236" s="58">
        <f t="shared" ca="1" si="331"/>
        <v>0</v>
      </c>
      <c r="ER236" s="58">
        <f t="shared" ca="1" si="331"/>
        <v>0</v>
      </c>
      <c r="ES236" s="58">
        <f t="shared" ca="1" si="331"/>
        <v>0</v>
      </c>
      <c r="ET236" s="58">
        <f t="shared" ca="1" si="331"/>
        <v>0</v>
      </c>
      <c r="EU236" s="58">
        <f t="shared" ca="1" si="331"/>
        <v>0</v>
      </c>
      <c r="EV236" s="58">
        <f t="shared" ca="1" si="331"/>
        <v>0</v>
      </c>
      <c r="EW236" s="58">
        <f t="shared" ca="1" si="331"/>
        <v>0</v>
      </c>
      <c r="EX236" s="58">
        <f t="shared" ca="1" si="331"/>
        <v>0</v>
      </c>
      <c r="EY236" s="58">
        <f t="shared" ca="1" si="331"/>
        <v>0</v>
      </c>
      <c r="EZ236" s="58">
        <f t="shared" ca="1" si="331"/>
        <v>0</v>
      </c>
      <c r="FA236" s="58">
        <f t="shared" ca="1" si="331"/>
        <v>0</v>
      </c>
      <c r="FB236" s="58">
        <f t="shared" ca="1" si="331"/>
        <v>0</v>
      </c>
      <c r="FC236" s="58">
        <f t="shared" ca="1" si="331"/>
        <v>0</v>
      </c>
      <c r="FD236" s="58">
        <f t="shared" ca="1" si="331"/>
        <v>0</v>
      </c>
      <c r="FE236" s="58">
        <f t="shared" ca="1" si="331"/>
        <v>0</v>
      </c>
      <c r="FF236" s="58">
        <f t="shared" ca="1" si="331"/>
        <v>0</v>
      </c>
      <c r="FG236" s="58">
        <f t="shared" ca="1" si="331"/>
        <v>0</v>
      </c>
      <c r="FH236" s="58">
        <f t="shared" ca="1" si="331"/>
        <v>0</v>
      </c>
      <c r="FI236" s="58">
        <f t="shared" ca="1" si="331"/>
        <v>0</v>
      </c>
      <c r="FJ236" s="58">
        <f t="shared" ca="1" si="331"/>
        <v>0</v>
      </c>
      <c r="FK236" s="58">
        <f t="shared" ca="1" si="331"/>
        <v>0</v>
      </c>
      <c r="FL236" s="58">
        <f t="shared" ca="1" si="331"/>
        <v>0</v>
      </c>
      <c r="FM236" s="58">
        <f t="shared" ca="1" si="331"/>
        <v>0</v>
      </c>
      <c r="FN236" s="58">
        <f t="shared" ca="1" si="331"/>
        <v>0</v>
      </c>
      <c r="FO236" s="13"/>
    </row>
    <row r="237" spans="1:171" outlineLevel="1" x14ac:dyDescent="0.3">
      <c r="A237" s="13"/>
      <c r="B237" s="13"/>
      <c r="C237" s="13"/>
      <c r="D237" s="52">
        <f t="shared" si="194"/>
        <v>41974</v>
      </c>
      <c r="E237" s="53">
        <f t="shared" si="195"/>
        <v>2014</v>
      </c>
      <c r="F237" s="53">
        <f t="shared" si="196"/>
        <v>11</v>
      </c>
      <c r="G237" s="58">
        <f t="shared" ref="G237:AL237" ca="1" si="332">+IF(OR($F237+G$175&lt;1,(G$176-1)*12&lt;-$F237),0,OFFSET(G67,0,$F237))</f>
        <v>0</v>
      </c>
      <c r="H237" s="58">
        <f t="shared" ca="1" si="332"/>
        <v>0</v>
      </c>
      <c r="I237" s="58">
        <f t="shared" ca="1" si="332"/>
        <v>0</v>
      </c>
      <c r="J237" s="58">
        <f t="shared" ca="1" si="332"/>
        <v>0</v>
      </c>
      <c r="K237" s="58">
        <f t="shared" ca="1" si="332"/>
        <v>0</v>
      </c>
      <c r="L237" s="58">
        <f t="shared" ca="1" si="332"/>
        <v>0</v>
      </c>
      <c r="M237" s="58">
        <f t="shared" ca="1" si="332"/>
        <v>0</v>
      </c>
      <c r="N237" s="58">
        <f t="shared" ca="1" si="332"/>
        <v>0</v>
      </c>
      <c r="O237" s="58">
        <f t="shared" ca="1" si="332"/>
        <v>0</v>
      </c>
      <c r="P237" s="58">
        <f t="shared" ca="1" si="332"/>
        <v>0</v>
      </c>
      <c r="Q237" s="58">
        <f t="shared" ca="1" si="332"/>
        <v>0</v>
      </c>
      <c r="R237" s="58">
        <f t="shared" ca="1" si="332"/>
        <v>0</v>
      </c>
      <c r="S237" s="58">
        <f t="shared" ca="1" si="332"/>
        <v>0</v>
      </c>
      <c r="T237" s="58">
        <f t="shared" ca="1" si="332"/>
        <v>0</v>
      </c>
      <c r="U237" s="58">
        <f t="shared" ca="1" si="332"/>
        <v>0</v>
      </c>
      <c r="V237" s="58">
        <f t="shared" ca="1" si="332"/>
        <v>0</v>
      </c>
      <c r="W237" s="58">
        <f t="shared" ca="1" si="332"/>
        <v>0</v>
      </c>
      <c r="X237" s="58">
        <f t="shared" ca="1" si="332"/>
        <v>0</v>
      </c>
      <c r="Y237" s="58">
        <f t="shared" ca="1" si="332"/>
        <v>0</v>
      </c>
      <c r="Z237" s="58">
        <f t="shared" ca="1" si="332"/>
        <v>0</v>
      </c>
      <c r="AA237" s="58">
        <f t="shared" ca="1" si="332"/>
        <v>0</v>
      </c>
      <c r="AB237" s="58">
        <f t="shared" ca="1" si="332"/>
        <v>0</v>
      </c>
      <c r="AC237" s="58">
        <f t="shared" ca="1" si="332"/>
        <v>0</v>
      </c>
      <c r="AD237" s="58">
        <f t="shared" ca="1" si="332"/>
        <v>0</v>
      </c>
      <c r="AE237" s="58">
        <f t="shared" ca="1" si="332"/>
        <v>0</v>
      </c>
      <c r="AF237" s="58">
        <f t="shared" ca="1" si="332"/>
        <v>0</v>
      </c>
      <c r="AG237" s="58">
        <f t="shared" ca="1" si="332"/>
        <v>0</v>
      </c>
      <c r="AH237" s="58">
        <f t="shared" ca="1" si="332"/>
        <v>0</v>
      </c>
      <c r="AI237" s="58">
        <f t="shared" ca="1" si="332"/>
        <v>0</v>
      </c>
      <c r="AJ237" s="58">
        <f t="shared" ca="1" si="332"/>
        <v>0</v>
      </c>
      <c r="AK237" s="58">
        <f t="shared" ca="1" si="332"/>
        <v>0</v>
      </c>
      <c r="AL237" s="58">
        <f t="shared" ca="1" si="332"/>
        <v>0</v>
      </c>
      <c r="AM237" s="58">
        <f t="shared" ref="AM237:BR237" ca="1" si="333">+IF(OR($F237+AM$175&lt;1,(AM$176-1)*12&lt;-$F237),0,OFFSET(AM67,0,$F237))</f>
        <v>0</v>
      </c>
      <c r="AN237" s="58">
        <f t="shared" ca="1" si="333"/>
        <v>0</v>
      </c>
      <c r="AO237" s="58">
        <f t="shared" ca="1" si="333"/>
        <v>0</v>
      </c>
      <c r="AP237" s="58">
        <f t="shared" ca="1" si="333"/>
        <v>0</v>
      </c>
      <c r="AQ237" s="58">
        <f t="shared" ca="1" si="333"/>
        <v>0</v>
      </c>
      <c r="AR237" s="58">
        <f t="shared" ca="1" si="333"/>
        <v>0</v>
      </c>
      <c r="AS237" s="58">
        <f t="shared" ca="1" si="333"/>
        <v>0</v>
      </c>
      <c r="AT237" s="58">
        <f t="shared" ca="1" si="333"/>
        <v>0</v>
      </c>
      <c r="AU237" s="58">
        <f t="shared" ca="1" si="333"/>
        <v>0</v>
      </c>
      <c r="AV237" s="58">
        <f t="shared" ca="1" si="333"/>
        <v>0</v>
      </c>
      <c r="AW237" s="58">
        <f t="shared" ca="1" si="333"/>
        <v>0</v>
      </c>
      <c r="AX237" s="58">
        <f t="shared" ca="1" si="333"/>
        <v>0</v>
      </c>
      <c r="AY237" s="58">
        <f t="shared" ca="1" si="333"/>
        <v>0</v>
      </c>
      <c r="AZ237" s="58">
        <f t="shared" ca="1" si="333"/>
        <v>0</v>
      </c>
      <c r="BA237" s="58">
        <f t="shared" ca="1" si="333"/>
        <v>0</v>
      </c>
      <c r="BB237" s="58">
        <f t="shared" ca="1" si="333"/>
        <v>0</v>
      </c>
      <c r="BC237" s="58">
        <f t="shared" ca="1" si="333"/>
        <v>0</v>
      </c>
      <c r="BD237" s="58">
        <f t="shared" ca="1" si="333"/>
        <v>0</v>
      </c>
      <c r="BE237" s="58">
        <f t="shared" ca="1" si="333"/>
        <v>0</v>
      </c>
      <c r="BF237" s="58">
        <f t="shared" ca="1" si="333"/>
        <v>0</v>
      </c>
      <c r="BG237" s="58">
        <f t="shared" ca="1" si="333"/>
        <v>0</v>
      </c>
      <c r="BH237" s="58">
        <f t="shared" ca="1" si="333"/>
        <v>0</v>
      </c>
      <c r="BI237" s="58">
        <f t="shared" ca="1" si="333"/>
        <v>0</v>
      </c>
      <c r="BJ237" s="58">
        <f t="shared" ca="1" si="333"/>
        <v>0</v>
      </c>
      <c r="BK237" s="58">
        <f t="shared" ca="1" si="333"/>
        <v>0</v>
      </c>
      <c r="BL237" s="58">
        <f t="shared" ca="1" si="333"/>
        <v>0</v>
      </c>
      <c r="BM237" s="58">
        <f t="shared" ca="1" si="333"/>
        <v>0</v>
      </c>
      <c r="BN237" s="58">
        <f t="shared" ca="1" si="333"/>
        <v>0</v>
      </c>
      <c r="BO237" s="58">
        <f t="shared" ca="1" si="333"/>
        <v>0</v>
      </c>
      <c r="BP237" s="58">
        <f t="shared" ca="1" si="333"/>
        <v>0</v>
      </c>
      <c r="BQ237" s="58">
        <f t="shared" ca="1" si="333"/>
        <v>0</v>
      </c>
      <c r="BR237" s="58">
        <f t="shared" ca="1" si="333"/>
        <v>0</v>
      </c>
      <c r="BS237" s="58">
        <f t="shared" ref="BS237:CX237" ca="1" si="334">+IF(OR($F237+BS$175&lt;1,(BS$176-1)*12&lt;-$F237),0,OFFSET(BS67,0,$F237))</f>
        <v>0</v>
      </c>
      <c r="BT237" s="58">
        <f t="shared" ca="1" si="334"/>
        <v>0</v>
      </c>
      <c r="BU237" s="58">
        <f t="shared" ca="1" si="334"/>
        <v>0</v>
      </c>
      <c r="BV237" s="58">
        <f t="shared" ca="1" si="334"/>
        <v>0</v>
      </c>
      <c r="BW237" s="58">
        <f t="shared" ca="1" si="334"/>
        <v>0</v>
      </c>
      <c r="BX237" s="58">
        <f t="shared" ca="1" si="334"/>
        <v>0</v>
      </c>
      <c r="BY237" s="58">
        <f t="shared" ca="1" si="334"/>
        <v>0</v>
      </c>
      <c r="BZ237" s="58">
        <f t="shared" ca="1" si="334"/>
        <v>0</v>
      </c>
      <c r="CA237" s="58">
        <f t="shared" ca="1" si="334"/>
        <v>0</v>
      </c>
      <c r="CB237" s="58">
        <f t="shared" ca="1" si="334"/>
        <v>0</v>
      </c>
      <c r="CC237" s="58">
        <f t="shared" ca="1" si="334"/>
        <v>0</v>
      </c>
      <c r="CD237" s="58">
        <f t="shared" ca="1" si="334"/>
        <v>0</v>
      </c>
      <c r="CE237" s="58">
        <f t="shared" ca="1" si="334"/>
        <v>0</v>
      </c>
      <c r="CF237" s="58">
        <f t="shared" ca="1" si="334"/>
        <v>0</v>
      </c>
      <c r="CG237" s="58">
        <f t="shared" ca="1" si="334"/>
        <v>0</v>
      </c>
      <c r="CH237" s="58">
        <f t="shared" ca="1" si="334"/>
        <v>0</v>
      </c>
      <c r="CI237" s="58">
        <f t="shared" ca="1" si="334"/>
        <v>0</v>
      </c>
      <c r="CJ237" s="58">
        <f t="shared" ca="1" si="334"/>
        <v>0</v>
      </c>
      <c r="CK237" s="58">
        <f t="shared" ca="1" si="334"/>
        <v>0</v>
      </c>
      <c r="CL237" s="58">
        <f t="shared" ca="1" si="334"/>
        <v>0</v>
      </c>
      <c r="CM237" s="58">
        <f t="shared" ca="1" si="334"/>
        <v>0</v>
      </c>
      <c r="CN237" s="58">
        <f t="shared" ca="1" si="334"/>
        <v>0</v>
      </c>
      <c r="CO237" s="58">
        <f t="shared" ca="1" si="334"/>
        <v>0</v>
      </c>
      <c r="CP237" s="58">
        <f t="shared" ca="1" si="334"/>
        <v>0</v>
      </c>
      <c r="CQ237" s="58">
        <f t="shared" ca="1" si="334"/>
        <v>0</v>
      </c>
      <c r="CR237" s="58">
        <f t="shared" ca="1" si="334"/>
        <v>0</v>
      </c>
      <c r="CS237" s="58">
        <f t="shared" ca="1" si="334"/>
        <v>0</v>
      </c>
      <c r="CT237" s="58">
        <f t="shared" ca="1" si="334"/>
        <v>0</v>
      </c>
      <c r="CU237" s="58">
        <f t="shared" ca="1" si="334"/>
        <v>0</v>
      </c>
      <c r="CV237" s="58">
        <f t="shared" ca="1" si="334"/>
        <v>0</v>
      </c>
      <c r="CW237" s="58">
        <f t="shared" ca="1" si="334"/>
        <v>0</v>
      </c>
      <c r="CX237" s="58">
        <f t="shared" ca="1" si="334"/>
        <v>0</v>
      </c>
      <c r="CY237" s="58">
        <f t="shared" ref="CY237:ED237" ca="1" si="335">+IF(OR($F237+CY$175&lt;1,(CY$176-1)*12&lt;-$F237),0,OFFSET(CY67,0,$F237))</f>
        <v>0</v>
      </c>
      <c r="CZ237" s="58">
        <f t="shared" ca="1" si="335"/>
        <v>0</v>
      </c>
      <c r="DA237" s="58">
        <f t="shared" ca="1" si="335"/>
        <v>0</v>
      </c>
      <c r="DB237" s="58">
        <f t="shared" ca="1" si="335"/>
        <v>0</v>
      </c>
      <c r="DC237" s="58">
        <f t="shared" ca="1" si="335"/>
        <v>0</v>
      </c>
      <c r="DD237" s="58">
        <f t="shared" ca="1" si="335"/>
        <v>0</v>
      </c>
      <c r="DE237" s="58">
        <f t="shared" ca="1" si="335"/>
        <v>0</v>
      </c>
      <c r="DF237" s="58">
        <f t="shared" ca="1" si="335"/>
        <v>0</v>
      </c>
      <c r="DG237" s="58">
        <f t="shared" ca="1" si="335"/>
        <v>0</v>
      </c>
      <c r="DH237" s="58">
        <f t="shared" ca="1" si="335"/>
        <v>0</v>
      </c>
      <c r="DI237" s="58">
        <f t="shared" ca="1" si="335"/>
        <v>0</v>
      </c>
      <c r="DJ237" s="58">
        <f t="shared" ca="1" si="335"/>
        <v>0</v>
      </c>
      <c r="DK237" s="58">
        <f t="shared" ca="1" si="335"/>
        <v>0</v>
      </c>
      <c r="DL237" s="58">
        <f t="shared" ca="1" si="335"/>
        <v>0</v>
      </c>
      <c r="DM237" s="58">
        <f t="shared" ca="1" si="335"/>
        <v>0</v>
      </c>
      <c r="DN237" s="58">
        <f t="shared" ca="1" si="335"/>
        <v>0</v>
      </c>
      <c r="DO237" s="58">
        <f t="shared" ca="1" si="335"/>
        <v>0</v>
      </c>
      <c r="DP237" s="58">
        <f t="shared" ca="1" si="335"/>
        <v>0</v>
      </c>
      <c r="DQ237" s="58">
        <f t="shared" ca="1" si="335"/>
        <v>0</v>
      </c>
      <c r="DR237" s="58">
        <f t="shared" ca="1" si="335"/>
        <v>0</v>
      </c>
      <c r="DS237" s="58">
        <f t="shared" ca="1" si="335"/>
        <v>0</v>
      </c>
      <c r="DT237" s="58">
        <f t="shared" ca="1" si="335"/>
        <v>0</v>
      </c>
      <c r="DU237" s="58">
        <f t="shared" ca="1" si="335"/>
        <v>0</v>
      </c>
      <c r="DV237" s="58">
        <f t="shared" ca="1" si="335"/>
        <v>0</v>
      </c>
      <c r="DW237" s="58">
        <f t="shared" ca="1" si="335"/>
        <v>0</v>
      </c>
      <c r="DX237" s="58">
        <f t="shared" ca="1" si="335"/>
        <v>0</v>
      </c>
      <c r="DY237" s="58">
        <f t="shared" ca="1" si="335"/>
        <v>0</v>
      </c>
      <c r="DZ237" s="58">
        <f t="shared" ca="1" si="335"/>
        <v>0</v>
      </c>
      <c r="EA237" s="58">
        <f t="shared" ca="1" si="335"/>
        <v>0</v>
      </c>
      <c r="EB237" s="58">
        <f t="shared" ca="1" si="335"/>
        <v>0</v>
      </c>
      <c r="EC237" s="58">
        <f t="shared" ca="1" si="335"/>
        <v>0</v>
      </c>
      <c r="ED237" s="58">
        <f t="shared" ca="1" si="335"/>
        <v>0</v>
      </c>
      <c r="EE237" s="58">
        <f t="shared" ref="EE237:FN237" ca="1" si="336">+IF(OR($F237+EE$175&lt;1,(EE$176-1)*12&lt;-$F237),0,OFFSET(EE67,0,$F237))</f>
        <v>0</v>
      </c>
      <c r="EF237" s="58">
        <f t="shared" ca="1" si="336"/>
        <v>0</v>
      </c>
      <c r="EG237" s="58">
        <f t="shared" ca="1" si="336"/>
        <v>0</v>
      </c>
      <c r="EH237" s="58">
        <f t="shared" ca="1" si="336"/>
        <v>0</v>
      </c>
      <c r="EI237" s="58">
        <f t="shared" ca="1" si="336"/>
        <v>0</v>
      </c>
      <c r="EJ237" s="58">
        <f t="shared" ca="1" si="336"/>
        <v>0</v>
      </c>
      <c r="EK237" s="58">
        <f t="shared" ca="1" si="336"/>
        <v>0</v>
      </c>
      <c r="EL237" s="58">
        <f t="shared" ca="1" si="336"/>
        <v>0</v>
      </c>
      <c r="EM237" s="58">
        <f t="shared" ca="1" si="336"/>
        <v>0</v>
      </c>
      <c r="EN237" s="58">
        <f t="shared" ca="1" si="336"/>
        <v>0</v>
      </c>
      <c r="EO237" s="58">
        <f t="shared" ca="1" si="336"/>
        <v>0</v>
      </c>
      <c r="EP237" s="58">
        <f t="shared" ca="1" si="336"/>
        <v>0</v>
      </c>
      <c r="EQ237" s="58">
        <f t="shared" ca="1" si="336"/>
        <v>0</v>
      </c>
      <c r="ER237" s="58">
        <f t="shared" ca="1" si="336"/>
        <v>0</v>
      </c>
      <c r="ES237" s="58">
        <f t="shared" ca="1" si="336"/>
        <v>0</v>
      </c>
      <c r="ET237" s="58">
        <f t="shared" ca="1" si="336"/>
        <v>0</v>
      </c>
      <c r="EU237" s="58">
        <f t="shared" ca="1" si="336"/>
        <v>0</v>
      </c>
      <c r="EV237" s="58">
        <f t="shared" ca="1" si="336"/>
        <v>0</v>
      </c>
      <c r="EW237" s="58">
        <f t="shared" ca="1" si="336"/>
        <v>0</v>
      </c>
      <c r="EX237" s="58">
        <f t="shared" ca="1" si="336"/>
        <v>0</v>
      </c>
      <c r="EY237" s="58">
        <f t="shared" ca="1" si="336"/>
        <v>0</v>
      </c>
      <c r="EZ237" s="58">
        <f t="shared" ca="1" si="336"/>
        <v>0</v>
      </c>
      <c r="FA237" s="58">
        <f t="shared" ca="1" si="336"/>
        <v>0</v>
      </c>
      <c r="FB237" s="58">
        <f t="shared" ca="1" si="336"/>
        <v>0</v>
      </c>
      <c r="FC237" s="58">
        <f t="shared" ca="1" si="336"/>
        <v>0</v>
      </c>
      <c r="FD237" s="58">
        <f t="shared" ca="1" si="336"/>
        <v>0</v>
      </c>
      <c r="FE237" s="58">
        <f t="shared" ca="1" si="336"/>
        <v>0</v>
      </c>
      <c r="FF237" s="58">
        <f t="shared" ca="1" si="336"/>
        <v>0</v>
      </c>
      <c r="FG237" s="58">
        <f t="shared" ca="1" si="336"/>
        <v>0</v>
      </c>
      <c r="FH237" s="58">
        <f t="shared" ca="1" si="336"/>
        <v>0</v>
      </c>
      <c r="FI237" s="58">
        <f t="shared" ca="1" si="336"/>
        <v>0</v>
      </c>
      <c r="FJ237" s="58">
        <f t="shared" ca="1" si="336"/>
        <v>0</v>
      </c>
      <c r="FK237" s="58">
        <f t="shared" ca="1" si="336"/>
        <v>0</v>
      </c>
      <c r="FL237" s="58">
        <f t="shared" ca="1" si="336"/>
        <v>0</v>
      </c>
      <c r="FM237" s="58">
        <f t="shared" ca="1" si="336"/>
        <v>0</v>
      </c>
      <c r="FN237" s="58">
        <f t="shared" ca="1" si="336"/>
        <v>0</v>
      </c>
      <c r="FO237" s="13"/>
    </row>
    <row r="238" spans="1:171" outlineLevel="1" x14ac:dyDescent="0.3">
      <c r="A238" s="13"/>
      <c r="B238" s="13"/>
      <c r="C238" s="13"/>
      <c r="D238" s="52">
        <f t="shared" si="194"/>
        <v>42005</v>
      </c>
      <c r="E238" s="53">
        <f t="shared" si="195"/>
        <v>2015</v>
      </c>
      <c r="F238" s="53">
        <f t="shared" si="196"/>
        <v>12</v>
      </c>
      <c r="G238" s="58">
        <f t="shared" ref="G238:AL238" ca="1" si="337">+IF(OR($F238+G$175&lt;1,(G$176-1)*12&lt;-$F238),0,OFFSET(G68,0,$F238))</f>
        <v>0</v>
      </c>
      <c r="H238" s="58">
        <f t="shared" ca="1" si="337"/>
        <v>0</v>
      </c>
      <c r="I238" s="58">
        <f t="shared" ca="1" si="337"/>
        <v>0</v>
      </c>
      <c r="J238" s="58">
        <f t="shared" ca="1" si="337"/>
        <v>0</v>
      </c>
      <c r="K238" s="58">
        <f t="shared" ca="1" si="337"/>
        <v>0</v>
      </c>
      <c r="L238" s="58">
        <f t="shared" ca="1" si="337"/>
        <v>0</v>
      </c>
      <c r="M238" s="58">
        <f t="shared" ca="1" si="337"/>
        <v>0</v>
      </c>
      <c r="N238" s="58">
        <f t="shared" ca="1" si="337"/>
        <v>0</v>
      </c>
      <c r="O238" s="58">
        <f t="shared" ca="1" si="337"/>
        <v>0</v>
      </c>
      <c r="P238" s="58">
        <f t="shared" ca="1" si="337"/>
        <v>0</v>
      </c>
      <c r="Q238" s="58">
        <f t="shared" ca="1" si="337"/>
        <v>0</v>
      </c>
      <c r="R238" s="58">
        <f t="shared" ca="1" si="337"/>
        <v>0</v>
      </c>
      <c r="S238" s="58">
        <f t="shared" ca="1" si="337"/>
        <v>0</v>
      </c>
      <c r="T238" s="58">
        <f t="shared" ca="1" si="337"/>
        <v>0</v>
      </c>
      <c r="U238" s="58">
        <f t="shared" ca="1" si="337"/>
        <v>0</v>
      </c>
      <c r="V238" s="58">
        <f t="shared" ca="1" si="337"/>
        <v>0</v>
      </c>
      <c r="W238" s="58">
        <f t="shared" ca="1" si="337"/>
        <v>0</v>
      </c>
      <c r="X238" s="58">
        <f t="shared" ca="1" si="337"/>
        <v>0</v>
      </c>
      <c r="Y238" s="58">
        <f t="shared" ca="1" si="337"/>
        <v>0</v>
      </c>
      <c r="Z238" s="58">
        <f t="shared" ca="1" si="337"/>
        <v>0</v>
      </c>
      <c r="AA238" s="58">
        <f t="shared" ca="1" si="337"/>
        <v>0</v>
      </c>
      <c r="AB238" s="58">
        <f t="shared" ca="1" si="337"/>
        <v>0</v>
      </c>
      <c r="AC238" s="58">
        <f t="shared" ca="1" si="337"/>
        <v>0</v>
      </c>
      <c r="AD238" s="58">
        <f t="shared" ca="1" si="337"/>
        <v>0</v>
      </c>
      <c r="AE238" s="58">
        <f t="shared" ca="1" si="337"/>
        <v>0</v>
      </c>
      <c r="AF238" s="58">
        <f t="shared" ca="1" si="337"/>
        <v>0</v>
      </c>
      <c r="AG238" s="58">
        <f t="shared" ca="1" si="337"/>
        <v>0</v>
      </c>
      <c r="AH238" s="58">
        <f t="shared" ca="1" si="337"/>
        <v>0</v>
      </c>
      <c r="AI238" s="58">
        <f t="shared" ca="1" si="337"/>
        <v>0</v>
      </c>
      <c r="AJ238" s="58">
        <f t="shared" ca="1" si="337"/>
        <v>0</v>
      </c>
      <c r="AK238" s="58">
        <f t="shared" ca="1" si="337"/>
        <v>0</v>
      </c>
      <c r="AL238" s="58">
        <f t="shared" ca="1" si="337"/>
        <v>0</v>
      </c>
      <c r="AM238" s="58">
        <f t="shared" ref="AM238:BR238" ca="1" si="338">+IF(OR($F238+AM$175&lt;1,(AM$176-1)*12&lt;-$F238),0,OFFSET(AM68,0,$F238))</f>
        <v>0</v>
      </c>
      <c r="AN238" s="58">
        <f t="shared" ca="1" si="338"/>
        <v>0</v>
      </c>
      <c r="AO238" s="58">
        <f t="shared" ca="1" si="338"/>
        <v>0</v>
      </c>
      <c r="AP238" s="58">
        <f t="shared" ca="1" si="338"/>
        <v>0</v>
      </c>
      <c r="AQ238" s="58">
        <f t="shared" ca="1" si="338"/>
        <v>0</v>
      </c>
      <c r="AR238" s="58">
        <f t="shared" ca="1" si="338"/>
        <v>0</v>
      </c>
      <c r="AS238" s="58">
        <f t="shared" ca="1" si="338"/>
        <v>0</v>
      </c>
      <c r="AT238" s="58">
        <f t="shared" ca="1" si="338"/>
        <v>0</v>
      </c>
      <c r="AU238" s="58">
        <f t="shared" ca="1" si="338"/>
        <v>0</v>
      </c>
      <c r="AV238" s="58">
        <f t="shared" ca="1" si="338"/>
        <v>0</v>
      </c>
      <c r="AW238" s="58">
        <f t="shared" ca="1" si="338"/>
        <v>0</v>
      </c>
      <c r="AX238" s="58">
        <f t="shared" ca="1" si="338"/>
        <v>0</v>
      </c>
      <c r="AY238" s="58">
        <f t="shared" ca="1" si="338"/>
        <v>0</v>
      </c>
      <c r="AZ238" s="58">
        <f t="shared" ca="1" si="338"/>
        <v>0</v>
      </c>
      <c r="BA238" s="58">
        <f t="shared" ca="1" si="338"/>
        <v>0</v>
      </c>
      <c r="BB238" s="58">
        <f t="shared" ca="1" si="338"/>
        <v>0</v>
      </c>
      <c r="BC238" s="58">
        <f t="shared" ca="1" si="338"/>
        <v>0</v>
      </c>
      <c r="BD238" s="58">
        <f t="shared" ca="1" si="338"/>
        <v>0</v>
      </c>
      <c r="BE238" s="58">
        <f t="shared" ca="1" si="338"/>
        <v>0</v>
      </c>
      <c r="BF238" s="58">
        <f t="shared" ca="1" si="338"/>
        <v>0</v>
      </c>
      <c r="BG238" s="58">
        <f t="shared" ca="1" si="338"/>
        <v>0</v>
      </c>
      <c r="BH238" s="58">
        <f t="shared" ca="1" si="338"/>
        <v>0</v>
      </c>
      <c r="BI238" s="58">
        <f t="shared" ca="1" si="338"/>
        <v>0</v>
      </c>
      <c r="BJ238" s="58">
        <f t="shared" ca="1" si="338"/>
        <v>0</v>
      </c>
      <c r="BK238" s="58">
        <f t="shared" ca="1" si="338"/>
        <v>0</v>
      </c>
      <c r="BL238" s="58">
        <f t="shared" ca="1" si="338"/>
        <v>0</v>
      </c>
      <c r="BM238" s="58">
        <f t="shared" ca="1" si="338"/>
        <v>0</v>
      </c>
      <c r="BN238" s="58">
        <f t="shared" ca="1" si="338"/>
        <v>0</v>
      </c>
      <c r="BO238" s="58">
        <f t="shared" ca="1" si="338"/>
        <v>0</v>
      </c>
      <c r="BP238" s="58">
        <f t="shared" ca="1" si="338"/>
        <v>0</v>
      </c>
      <c r="BQ238" s="58">
        <f t="shared" ca="1" si="338"/>
        <v>0</v>
      </c>
      <c r="BR238" s="58">
        <f t="shared" ca="1" si="338"/>
        <v>0</v>
      </c>
      <c r="BS238" s="58">
        <f t="shared" ref="BS238:CX238" ca="1" si="339">+IF(OR($F238+BS$175&lt;1,(BS$176-1)*12&lt;-$F238),0,OFFSET(BS68,0,$F238))</f>
        <v>0</v>
      </c>
      <c r="BT238" s="58">
        <f t="shared" ca="1" si="339"/>
        <v>0</v>
      </c>
      <c r="BU238" s="58">
        <f t="shared" ca="1" si="339"/>
        <v>0</v>
      </c>
      <c r="BV238" s="58">
        <f t="shared" ca="1" si="339"/>
        <v>0</v>
      </c>
      <c r="BW238" s="58">
        <f t="shared" ca="1" si="339"/>
        <v>0</v>
      </c>
      <c r="BX238" s="58">
        <f t="shared" ca="1" si="339"/>
        <v>0</v>
      </c>
      <c r="BY238" s="58">
        <f t="shared" ca="1" si="339"/>
        <v>0</v>
      </c>
      <c r="BZ238" s="58">
        <f t="shared" ca="1" si="339"/>
        <v>0</v>
      </c>
      <c r="CA238" s="58">
        <f t="shared" ca="1" si="339"/>
        <v>0</v>
      </c>
      <c r="CB238" s="58">
        <f t="shared" ca="1" si="339"/>
        <v>0</v>
      </c>
      <c r="CC238" s="58">
        <f t="shared" ca="1" si="339"/>
        <v>0</v>
      </c>
      <c r="CD238" s="58">
        <f t="shared" ca="1" si="339"/>
        <v>0</v>
      </c>
      <c r="CE238" s="58">
        <f t="shared" ca="1" si="339"/>
        <v>0</v>
      </c>
      <c r="CF238" s="58">
        <f t="shared" ca="1" si="339"/>
        <v>0</v>
      </c>
      <c r="CG238" s="58">
        <f t="shared" ca="1" si="339"/>
        <v>0</v>
      </c>
      <c r="CH238" s="58">
        <f t="shared" ca="1" si="339"/>
        <v>0</v>
      </c>
      <c r="CI238" s="58">
        <f t="shared" ca="1" si="339"/>
        <v>0</v>
      </c>
      <c r="CJ238" s="58">
        <f t="shared" ca="1" si="339"/>
        <v>0</v>
      </c>
      <c r="CK238" s="58">
        <f t="shared" ca="1" si="339"/>
        <v>0</v>
      </c>
      <c r="CL238" s="58">
        <f t="shared" ca="1" si="339"/>
        <v>0</v>
      </c>
      <c r="CM238" s="58">
        <f t="shared" ca="1" si="339"/>
        <v>0</v>
      </c>
      <c r="CN238" s="58">
        <f t="shared" ca="1" si="339"/>
        <v>0</v>
      </c>
      <c r="CO238" s="58">
        <f t="shared" ca="1" si="339"/>
        <v>0</v>
      </c>
      <c r="CP238" s="58">
        <f t="shared" ca="1" si="339"/>
        <v>0</v>
      </c>
      <c r="CQ238" s="58">
        <f t="shared" ca="1" si="339"/>
        <v>0</v>
      </c>
      <c r="CR238" s="58">
        <f t="shared" ca="1" si="339"/>
        <v>0</v>
      </c>
      <c r="CS238" s="58">
        <f t="shared" ca="1" si="339"/>
        <v>0</v>
      </c>
      <c r="CT238" s="58">
        <f t="shared" ca="1" si="339"/>
        <v>0</v>
      </c>
      <c r="CU238" s="58">
        <f t="shared" ca="1" si="339"/>
        <v>0</v>
      </c>
      <c r="CV238" s="58">
        <f t="shared" ca="1" si="339"/>
        <v>0</v>
      </c>
      <c r="CW238" s="58">
        <f t="shared" ca="1" si="339"/>
        <v>0</v>
      </c>
      <c r="CX238" s="58">
        <f t="shared" ca="1" si="339"/>
        <v>0</v>
      </c>
      <c r="CY238" s="58">
        <f t="shared" ref="CY238:ED238" ca="1" si="340">+IF(OR($F238+CY$175&lt;1,(CY$176-1)*12&lt;-$F238),0,OFFSET(CY68,0,$F238))</f>
        <v>0</v>
      </c>
      <c r="CZ238" s="58">
        <f t="shared" ca="1" si="340"/>
        <v>0</v>
      </c>
      <c r="DA238" s="58">
        <f t="shared" ca="1" si="340"/>
        <v>0</v>
      </c>
      <c r="DB238" s="58">
        <f t="shared" ca="1" si="340"/>
        <v>0</v>
      </c>
      <c r="DC238" s="58">
        <f t="shared" ca="1" si="340"/>
        <v>0</v>
      </c>
      <c r="DD238" s="58">
        <f t="shared" ca="1" si="340"/>
        <v>0</v>
      </c>
      <c r="DE238" s="58">
        <f t="shared" ca="1" si="340"/>
        <v>0</v>
      </c>
      <c r="DF238" s="58">
        <f t="shared" ca="1" si="340"/>
        <v>0</v>
      </c>
      <c r="DG238" s="58">
        <f t="shared" ca="1" si="340"/>
        <v>0</v>
      </c>
      <c r="DH238" s="58">
        <f t="shared" ca="1" si="340"/>
        <v>0</v>
      </c>
      <c r="DI238" s="58">
        <f t="shared" ca="1" si="340"/>
        <v>0</v>
      </c>
      <c r="DJ238" s="58">
        <f t="shared" ca="1" si="340"/>
        <v>0</v>
      </c>
      <c r="DK238" s="58">
        <f t="shared" ca="1" si="340"/>
        <v>0</v>
      </c>
      <c r="DL238" s="58">
        <f t="shared" ca="1" si="340"/>
        <v>0</v>
      </c>
      <c r="DM238" s="58">
        <f t="shared" ca="1" si="340"/>
        <v>0</v>
      </c>
      <c r="DN238" s="58">
        <f t="shared" ca="1" si="340"/>
        <v>0</v>
      </c>
      <c r="DO238" s="58">
        <f t="shared" ca="1" si="340"/>
        <v>0</v>
      </c>
      <c r="DP238" s="58">
        <f t="shared" ca="1" si="340"/>
        <v>0</v>
      </c>
      <c r="DQ238" s="58">
        <f t="shared" ca="1" si="340"/>
        <v>0</v>
      </c>
      <c r="DR238" s="58">
        <f t="shared" ca="1" si="340"/>
        <v>0</v>
      </c>
      <c r="DS238" s="58">
        <f t="shared" ca="1" si="340"/>
        <v>0</v>
      </c>
      <c r="DT238" s="58">
        <f t="shared" ca="1" si="340"/>
        <v>0</v>
      </c>
      <c r="DU238" s="58">
        <f t="shared" ca="1" si="340"/>
        <v>0</v>
      </c>
      <c r="DV238" s="58">
        <f t="shared" ca="1" si="340"/>
        <v>0</v>
      </c>
      <c r="DW238" s="58">
        <f t="shared" ca="1" si="340"/>
        <v>0</v>
      </c>
      <c r="DX238" s="58">
        <f t="shared" ca="1" si="340"/>
        <v>0</v>
      </c>
      <c r="DY238" s="58">
        <f t="shared" ca="1" si="340"/>
        <v>0</v>
      </c>
      <c r="DZ238" s="58">
        <f t="shared" ca="1" si="340"/>
        <v>0</v>
      </c>
      <c r="EA238" s="58">
        <f t="shared" ca="1" si="340"/>
        <v>0</v>
      </c>
      <c r="EB238" s="58">
        <f t="shared" ca="1" si="340"/>
        <v>0</v>
      </c>
      <c r="EC238" s="58">
        <f t="shared" ca="1" si="340"/>
        <v>0</v>
      </c>
      <c r="ED238" s="58">
        <f t="shared" ca="1" si="340"/>
        <v>0</v>
      </c>
      <c r="EE238" s="58">
        <f t="shared" ref="EE238:FN238" ca="1" si="341">+IF(OR($F238+EE$175&lt;1,(EE$176-1)*12&lt;-$F238),0,OFFSET(EE68,0,$F238))</f>
        <v>0</v>
      </c>
      <c r="EF238" s="58">
        <f t="shared" ca="1" si="341"/>
        <v>0</v>
      </c>
      <c r="EG238" s="58">
        <f t="shared" ca="1" si="341"/>
        <v>0</v>
      </c>
      <c r="EH238" s="58">
        <f t="shared" ca="1" si="341"/>
        <v>0</v>
      </c>
      <c r="EI238" s="58">
        <f t="shared" ca="1" si="341"/>
        <v>0</v>
      </c>
      <c r="EJ238" s="58">
        <f t="shared" ca="1" si="341"/>
        <v>0</v>
      </c>
      <c r="EK238" s="58">
        <f t="shared" ca="1" si="341"/>
        <v>0</v>
      </c>
      <c r="EL238" s="58">
        <f t="shared" ca="1" si="341"/>
        <v>0</v>
      </c>
      <c r="EM238" s="58">
        <f t="shared" ca="1" si="341"/>
        <v>0</v>
      </c>
      <c r="EN238" s="58">
        <f t="shared" ca="1" si="341"/>
        <v>0</v>
      </c>
      <c r="EO238" s="58">
        <f t="shared" ca="1" si="341"/>
        <v>0</v>
      </c>
      <c r="EP238" s="58">
        <f t="shared" ca="1" si="341"/>
        <v>0</v>
      </c>
      <c r="EQ238" s="58">
        <f t="shared" ca="1" si="341"/>
        <v>0</v>
      </c>
      <c r="ER238" s="58">
        <f t="shared" ca="1" si="341"/>
        <v>0</v>
      </c>
      <c r="ES238" s="58">
        <f t="shared" ca="1" si="341"/>
        <v>0</v>
      </c>
      <c r="ET238" s="58">
        <f t="shared" ca="1" si="341"/>
        <v>0</v>
      </c>
      <c r="EU238" s="58">
        <f t="shared" ca="1" si="341"/>
        <v>0</v>
      </c>
      <c r="EV238" s="58">
        <f t="shared" ca="1" si="341"/>
        <v>0</v>
      </c>
      <c r="EW238" s="58">
        <f t="shared" ca="1" si="341"/>
        <v>0</v>
      </c>
      <c r="EX238" s="58">
        <f t="shared" ca="1" si="341"/>
        <v>0</v>
      </c>
      <c r="EY238" s="58">
        <f t="shared" ca="1" si="341"/>
        <v>0</v>
      </c>
      <c r="EZ238" s="58">
        <f t="shared" ca="1" si="341"/>
        <v>0</v>
      </c>
      <c r="FA238" s="58">
        <f t="shared" ca="1" si="341"/>
        <v>0</v>
      </c>
      <c r="FB238" s="58">
        <f t="shared" ca="1" si="341"/>
        <v>0</v>
      </c>
      <c r="FC238" s="58">
        <f t="shared" ca="1" si="341"/>
        <v>0</v>
      </c>
      <c r="FD238" s="58">
        <f t="shared" ca="1" si="341"/>
        <v>0</v>
      </c>
      <c r="FE238" s="58">
        <f t="shared" ca="1" si="341"/>
        <v>0</v>
      </c>
      <c r="FF238" s="58">
        <f t="shared" ca="1" si="341"/>
        <v>0</v>
      </c>
      <c r="FG238" s="58">
        <f t="shared" ca="1" si="341"/>
        <v>0</v>
      </c>
      <c r="FH238" s="58">
        <f t="shared" ca="1" si="341"/>
        <v>0</v>
      </c>
      <c r="FI238" s="58">
        <f t="shared" ca="1" si="341"/>
        <v>0</v>
      </c>
      <c r="FJ238" s="58">
        <f t="shared" ca="1" si="341"/>
        <v>0</v>
      </c>
      <c r="FK238" s="58">
        <f t="shared" ca="1" si="341"/>
        <v>0</v>
      </c>
      <c r="FL238" s="58">
        <f t="shared" ca="1" si="341"/>
        <v>0</v>
      </c>
      <c r="FM238" s="58">
        <f t="shared" ca="1" si="341"/>
        <v>0</v>
      </c>
      <c r="FN238" s="58">
        <f t="shared" ca="1" si="341"/>
        <v>0</v>
      </c>
      <c r="FO238" s="13"/>
    </row>
    <row r="239" spans="1:171" outlineLevel="1" x14ac:dyDescent="0.3">
      <c r="A239" s="13"/>
      <c r="B239" s="13"/>
      <c r="C239" s="13"/>
      <c r="D239" s="52">
        <f t="shared" si="194"/>
        <v>42036</v>
      </c>
      <c r="E239" s="53">
        <f t="shared" si="195"/>
        <v>2015</v>
      </c>
      <c r="F239" s="53">
        <f t="shared" si="196"/>
        <v>13</v>
      </c>
      <c r="G239" s="58">
        <f t="shared" ref="G239:AL239" ca="1" si="342">+IF(OR($F239+G$175&lt;1,(G$176-1)*12&lt;-$F239),0,OFFSET(G69,0,$F239))</f>
        <v>0</v>
      </c>
      <c r="H239" s="58">
        <f t="shared" ca="1" si="342"/>
        <v>0</v>
      </c>
      <c r="I239" s="58">
        <f t="shared" ca="1" si="342"/>
        <v>0</v>
      </c>
      <c r="J239" s="58">
        <f t="shared" ca="1" si="342"/>
        <v>0</v>
      </c>
      <c r="K239" s="58">
        <f t="shared" ca="1" si="342"/>
        <v>0</v>
      </c>
      <c r="L239" s="58">
        <f t="shared" ca="1" si="342"/>
        <v>0</v>
      </c>
      <c r="M239" s="58">
        <f t="shared" ca="1" si="342"/>
        <v>0</v>
      </c>
      <c r="N239" s="58">
        <f t="shared" ca="1" si="342"/>
        <v>0</v>
      </c>
      <c r="O239" s="58">
        <f t="shared" ca="1" si="342"/>
        <v>0</v>
      </c>
      <c r="P239" s="58">
        <f t="shared" ca="1" si="342"/>
        <v>0</v>
      </c>
      <c r="Q239" s="58">
        <f t="shared" ca="1" si="342"/>
        <v>0</v>
      </c>
      <c r="R239" s="58">
        <f t="shared" ca="1" si="342"/>
        <v>0</v>
      </c>
      <c r="S239" s="58">
        <f t="shared" ca="1" si="342"/>
        <v>0</v>
      </c>
      <c r="T239" s="58">
        <f t="shared" ca="1" si="342"/>
        <v>0</v>
      </c>
      <c r="U239" s="58">
        <f t="shared" ca="1" si="342"/>
        <v>0</v>
      </c>
      <c r="V239" s="58">
        <f t="shared" ca="1" si="342"/>
        <v>0</v>
      </c>
      <c r="W239" s="58">
        <f t="shared" ca="1" si="342"/>
        <v>0</v>
      </c>
      <c r="X239" s="58">
        <f t="shared" ca="1" si="342"/>
        <v>0</v>
      </c>
      <c r="Y239" s="58">
        <f t="shared" ca="1" si="342"/>
        <v>0</v>
      </c>
      <c r="Z239" s="58">
        <f t="shared" ca="1" si="342"/>
        <v>0</v>
      </c>
      <c r="AA239" s="58">
        <f t="shared" ca="1" si="342"/>
        <v>0</v>
      </c>
      <c r="AB239" s="58">
        <f t="shared" ca="1" si="342"/>
        <v>0</v>
      </c>
      <c r="AC239" s="58">
        <f t="shared" ca="1" si="342"/>
        <v>0</v>
      </c>
      <c r="AD239" s="58">
        <f t="shared" ca="1" si="342"/>
        <v>0</v>
      </c>
      <c r="AE239" s="58">
        <f t="shared" ca="1" si="342"/>
        <v>0</v>
      </c>
      <c r="AF239" s="58">
        <f t="shared" ca="1" si="342"/>
        <v>0</v>
      </c>
      <c r="AG239" s="58">
        <f t="shared" ca="1" si="342"/>
        <v>0</v>
      </c>
      <c r="AH239" s="58">
        <f t="shared" ca="1" si="342"/>
        <v>0</v>
      </c>
      <c r="AI239" s="58">
        <f t="shared" ca="1" si="342"/>
        <v>0</v>
      </c>
      <c r="AJ239" s="58">
        <f t="shared" ca="1" si="342"/>
        <v>0</v>
      </c>
      <c r="AK239" s="58">
        <f t="shared" ca="1" si="342"/>
        <v>0</v>
      </c>
      <c r="AL239" s="58">
        <f t="shared" ca="1" si="342"/>
        <v>0</v>
      </c>
      <c r="AM239" s="58">
        <f t="shared" ref="AM239:BR239" ca="1" si="343">+IF(OR($F239+AM$175&lt;1,(AM$176-1)*12&lt;-$F239),0,OFFSET(AM69,0,$F239))</f>
        <v>0</v>
      </c>
      <c r="AN239" s="58">
        <f t="shared" ca="1" si="343"/>
        <v>0</v>
      </c>
      <c r="AO239" s="58">
        <f t="shared" ca="1" si="343"/>
        <v>0</v>
      </c>
      <c r="AP239" s="58">
        <f t="shared" ca="1" si="343"/>
        <v>0</v>
      </c>
      <c r="AQ239" s="58">
        <f t="shared" ca="1" si="343"/>
        <v>0</v>
      </c>
      <c r="AR239" s="58">
        <f t="shared" ca="1" si="343"/>
        <v>0</v>
      </c>
      <c r="AS239" s="58">
        <f t="shared" ca="1" si="343"/>
        <v>0</v>
      </c>
      <c r="AT239" s="58">
        <f t="shared" ca="1" si="343"/>
        <v>0</v>
      </c>
      <c r="AU239" s="58">
        <f t="shared" ca="1" si="343"/>
        <v>0</v>
      </c>
      <c r="AV239" s="58">
        <f t="shared" ca="1" si="343"/>
        <v>0</v>
      </c>
      <c r="AW239" s="58">
        <f t="shared" ca="1" si="343"/>
        <v>0</v>
      </c>
      <c r="AX239" s="58">
        <f t="shared" ca="1" si="343"/>
        <v>0</v>
      </c>
      <c r="AY239" s="58">
        <f t="shared" ca="1" si="343"/>
        <v>0</v>
      </c>
      <c r="AZ239" s="58">
        <f t="shared" ca="1" si="343"/>
        <v>0</v>
      </c>
      <c r="BA239" s="58">
        <f t="shared" ca="1" si="343"/>
        <v>0</v>
      </c>
      <c r="BB239" s="58">
        <f t="shared" ca="1" si="343"/>
        <v>0</v>
      </c>
      <c r="BC239" s="58">
        <f t="shared" ca="1" si="343"/>
        <v>0</v>
      </c>
      <c r="BD239" s="58">
        <f t="shared" ca="1" si="343"/>
        <v>0</v>
      </c>
      <c r="BE239" s="58">
        <f t="shared" ca="1" si="343"/>
        <v>0</v>
      </c>
      <c r="BF239" s="58">
        <f t="shared" ca="1" si="343"/>
        <v>0</v>
      </c>
      <c r="BG239" s="58">
        <f t="shared" ca="1" si="343"/>
        <v>0</v>
      </c>
      <c r="BH239" s="58">
        <f t="shared" ca="1" si="343"/>
        <v>0</v>
      </c>
      <c r="BI239" s="58">
        <f t="shared" ca="1" si="343"/>
        <v>0</v>
      </c>
      <c r="BJ239" s="58">
        <f t="shared" ca="1" si="343"/>
        <v>0</v>
      </c>
      <c r="BK239" s="58">
        <f t="shared" ca="1" si="343"/>
        <v>0</v>
      </c>
      <c r="BL239" s="58">
        <f t="shared" ca="1" si="343"/>
        <v>0</v>
      </c>
      <c r="BM239" s="58">
        <f t="shared" ca="1" si="343"/>
        <v>0</v>
      </c>
      <c r="BN239" s="58">
        <f t="shared" ca="1" si="343"/>
        <v>0</v>
      </c>
      <c r="BO239" s="58">
        <f t="shared" ca="1" si="343"/>
        <v>0</v>
      </c>
      <c r="BP239" s="58">
        <f t="shared" ca="1" si="343"/>
        <v>0</v>
      </c>
      <c r="BQ239" s="58">
        <f t="shared" ca="1" si="343"/>
        <v>0</v>
      </c>
      <c r="BR239" s="58">
        <f t="shared" ca="1" si="343"/>
        <v>0</v>
      </c>
      <c r="BS239" s="58">
        <f t="shared" ref="BS239:CX239" ca="1" si="344">+IF(OR($F239+BS$175&lt;1,(BS$176-1)*12&lt;-$F239),0,OFFSET(BS69,0,$F239))</f>
        <v>0</v>
      </c>
      <c r="BT239" s="58">
        <f t="shared" ca="1" si="344"/>
        <v>0</v>
      </c>
      <c r="BU239" s="58">
        <f t="shared" ca="1" si="344"/>
        <v>0</v>
      </c>
      <c r="BV239" s="58">
        <f t="shared" ca="1" si="344"/>
        <v>0</v>
      </c>
      <c r="BW239" s="58">
        <f t="shared" ca="1" si="344"/>
        <v>0</v>
      </c>
      <c r="BX239" s="58">
        <f t="shared" ca="1" si="344"/>
        <v>0</v>
      </c>
      <c r="BY239" s="58">
        <f t="shared" ca="1" si="344"/>
        <v>0</v>
      </c>
      <c r="BZ239" s="58">
        <f t="shared" ca="1" si="344"/>
        <v>0</v>
      </c>
      <c r="CA239" s="58">
        <f t="shared" ca="1" si="344"/>
        <v>0</v>
      </c>
      <c r="CB239" s="58">
        <f t="shared" ca="1" si="344"/>
        <v>0</v>
      </c>
      <c r="CC239" s="58">
        <f t="shared" ca="1" si="344"/>
        <v>0</v>
      </c>
      <c r="CD239" s="58">
        <f t="shared" ca="1" si="344"/>
        <v>0</v>
      </c>
      <c r="CE239" s="58">
        <f t="shared" ca="1" si="344"/>
        <v>0</v>
      </c>
      <c r="CF239" s="58">
        <f t="shared" ca="1" si="344"/>
        <v>0</v>
      </c>
      <c r="CG239" s="58">
        <f t="shared" ca="1" si="344"/>
        <v>0</v>
      </c>
      <c r="CH239" s="58">
        <f t="shared" ca="1" si="344"/>
        <v>0</v>
      </c>
      <c r="CI239" s="58">
        <f t="shared" ca="1" si="344"/>
        <v>0</v>
      </c>
      <c r="CJ239" s="58">
        <f t="shared" ca="1" si="344"/>
        <v>0</v>
      </c>
      <c r="CK239" s="58">
        <f t="shared" ca="1" si="344"/>
        <v>0</v>
      </c>
      <c r="CL239" s="58">
        <f t="shared" ca="1" si="344"/>
        <v>0</v>
      </c>
      <c r="CM239" s="58">
        <f t="shared" ca="1" si="344"/>
        <v>0</v>
      </c>
      <c r="CN239" s="58">
        <f t="shared" ca="1" si="344"/>
        <v>0</v>
      </c>
      <c r="CO239" s="58">
        <f t="shared" ca="1" si="344"/>
        <v>0</v>
      </c>
      <c r="CP239" s="58">
        <f t="shared" ca="1" si="344"/>
        <v>0</v>
      </c>
      <c r="CQ239" s="58">
        <f t="shared" ca="1" si="344"/>
        <v>0</v>
      </c>
      <c r="CR239" s="58">
        <f t="shared" ca="1" si="344"/>
        <v>0</v>
      </c>
      <c r="CS239" s="58">
        <f t="shared" ca="1" si="344"/>
        <v>0</v>
      </c>
      <c r="CT239" s="58">
        <f t="shared" ca="1" si="344"/>
        <v>0</v>
      </c>
      <c r="CU239" s="58">
        <f t="shared" ca="1" si="344"/>
        <v>0</v>
      </c>
      <c r="CV239" s="58">
        <f t="shared" ca="1" si="344"/>
        <v>0</v>
      </c>
      <c r="CW239" s="58">
        <f t="shared" ca="1" si="344"/>
        <v>0</v>
      </c>
      <c r="CX239" s="58">
        <f t="shared" ca="1" si="344"/>
        <v>0</v>
      </c>
      <c r="CY239" s="58">
        <f t="shared" ref="CY239:ED239" ca="1" si="345">+IF(OR($F239+CY$175&lt;1,(CY$176-1)*12&lt;-$F239),0,OFFSET(CY69,0,$F239))</f>
        <v>0</v>
      </c>
      <c r="CZ239" s="58">
        <f t="shared" ca="1" si="345"/>
        <v>0</v>
      </c>
      <c r="DA239" s="58">
        <f t="shared" ca="1" si="345"/>
        <v>0</v>
      </c>
      <c r="DB239" s="58">
        <f t="shared" ca="1" si="345"/>
        <v>0</v>
      </c>
      <c r="DC239" s="58">
        <f t="shared" ca="1" si="345"/>
        <v>0</v>
      </c>
      <c r="DD239" s="58">
        <f t="shared" ca="1" si="345"/>
        <v>0</v>
      </c>
      <c r="DE239" s="58">
        <f t="shared" ca="1" si="345"/>
        <v>0</v>
      </c>
      <c r="DF239" s="58">
        <f t="shared" ca="1" si="345"/>
        <v>0</v>
      </c>
      <c r="DG239" s="58">
        <f t="shared" ca="1" si="345"/>
        <v>0</v>
      </c>
      <c r="DH239" s="58">
        <f t="shared" ca="1" si="345"/>
        <v>0</v>
      </c>
      <c r="DI239" s="58">
        <f t="shared" ca="1" si="345"/>
        <v>0</v>
      </c>
      <c r="DJ239" s="58">
        <f t="shared" ca="1" si="345"/>
        <v>0</v>
      </c>
      <c r="DK239" s="58">
        <f t="shared" ca="1" si="345"/>
        <v>0</v>
      </c>
      <c r="DL239" s="58">
        <f t="shared" ca="1" si="345"/>
        <v>0</v>
      </c>
      <c r="DM239" s="58">
        <f t="shared" ca="1" si="345"/>
        <v>0</v>
      </c>
      <c r="DN239" s="58">
        <f t="shared" ca="1" si="345"/>
        <v>0</v>
      </c>
      <c r="DO239" s="58">
        <f t="shared" ca="1" si="345"/>
        <v>0</v>
      </c>
      <c r="DP239" s="58">
        <f t="shared" ca="1" si="345"/>
        <v>0</v>
      </c>
      <c r="DQ239" s="58">
        <f t="shared" ca="1" si="345"/>
        <v>0</v>
      </c>
      <c r="DR239" s="58">
        <f t="shared" ca="1" si="345"/>
        <v>0</v>
      </c>
      <c r="DS239" s="58">
        <f t="shared" ca="1" si="345"/>
        <v>0</v>
      </c>
      <c r="DT239" s="58">
        <f t="shared" ca="1" si="345"/>
        <v>0</v>
      </c>
      <c r="DU239" s="58">
        <f t="shared" ca="1" si="345"/>
        <v>0</v>
      </c>
      <c r="DV239" s="58">
        <f t="shared" ca="1" si="345"/>
        <v>0</v>
      </c>
      <c r="DW239" s="58">
        <f t="shared" ca="1" si="345"/>
        <v>0</v>
      </c>
      <c r="DX239" s="58">
        <f t="shared" ca="1" si="345"/>
        <v>0</v>
      </c>
      <c r="DY239" s="58">
        <f t="shared" ca="1" si="345"/>
        <v>0</v>
      </c>
      <c r="DZ239" s="58">
        <f t="shared" ca="1" si="345"/>
        <v>0</v>
      </c>
      <c r="EA239" s="58">
        <f t="shared" ca="1" si="345"/>
        <v>0</v>
      </c>
      <c r="EB239" s="58">
        <f t="shared" ca="1" si="345"/>
        <v>0</v>
      </c>
      <c r="EC239" s="58">
        <f t="shared" ca="1" si="345"/>
        <v>0</v>
      </c>
      <c r="ED239" s="58">
        <f t="shared" ca="1" si="345"/>
        <v>0</v>
      </c>
      <c r="EE239" s="58">
        <f t="shared" ref="EE239:FN239" ca="1" si="346">+IF(OR($F239+EE$175&lt;1,(EE$176-1)*12&lt;-$F239),0,OFFSET(EE69,0,$F239))</f>
        <v>0</v>
      </c>
      <c r="EF239" s="58">
        <f t="shared" ca="1" si="346"/>
        <v>0</v>
      </c>
      <c r="EG239" s="58">
        <f t="shared" ca="1" si="346"/>
        <v>0</v>
      </c>
      <c r="EH239" s="58">
        <f t="shared" ca="1" si="346"/>
        <v>0</v>
      </c>
      <c r="EI239" s="58">
        <f t="shared" ca="1" si="346"/>
        <v>0</v>
      </c>
      <c r="EJ239" s="58">
        <f t="shared" ca="1" si="346"/>
        <v>0</v>
      </c>
      <c r="EK239" s="58">
        <f t="shared" ca="1" si="346"/>
        <v>0</v>
      </c>
      <c r="EL239" s="58">
        <f t="shared" ca="1" si="346"/>
        <v>0</v>
      </c>
      <c r="EM239" s="58">
        <f t="shared" ca="1" si="346"/>
        <v>0</v>
      </c>
      <c r="EN239" s="58">
        <f t="shared" ca="1" si="346"/>
        <v>0</v>
      </c>
      <c r="EO239" s="58">
        <f t="shared" ca="1" si="346"/>
        <v>0</v>
      </c>
      <c r="EP239" s="58">
        <f t="shared" ca="1" si="346"/>
        <v>0</v>
      </c>
      <c r="EQ239" s="58">
        <f t="shared" ca="1" si="346"/>
        <v>0</v>
      </c>
      <c r="ER239" s="58">
        <f t="shared" ca="1" si="346"/>
        <v>0</v>
      </c>
      <c r="ES239" s="58">
        <f t="shared" ca="1" si="346"/>
        <v>0</v>
      </c>
      <c r="ET239" s="58">
        <f t="shared" ca="1" si="346"/>
        <v>0</v>
      </c>
      <c r="EU239" s="58">
        <f t="shared" ca="1" si="346"/>
        <v>0</v>
      </c>
      <c r="EV239" s="58">
        <f t="shared" ca="1" si="346"/>
        <v>0</v>
      </c>
      <c r="EW239" s="58">
        <f t="shared" ca="1" si="346"/>
        <v>0</v>
      </c>
      <c r="EX239" s="58">
        <f t="shared" ca="1" si="346"/>
        <v>0</v>
      </c>
      <c r="EY239" s="58">
        <f t="shared" ca="1" si="346"/>
        <v>0</v>
      </c>
      <c r="EZ239" s="58">
        <f t="shared" ca="1" si="346"/>
        <v>0</v>
      </c>
      <c r="FA239" s="58">
        <f t="shared" ca="1" si="346"/>
        <v>0</v>
      </c>
      <c r="FB239" s="58">
        <f t="shared" ca="1" si="346"/>
        <v>0</v>
      </c>
      <c r="FC239" s="58">
        <f t="shared" ca="1" si="346"/>
        <v>0</v>
      </c>
      <c r="FD239" s="58">
        <f t="shared" ca="1" si="346"/>
        <v>0</v>
      </c>
      <c r="FE239" s="58">
        <f t="shared" ca="1" si="346"/>
        <v>0</v>
      </c>
      <c r="FF239" s="58">
        <f t="shared" ca="1" si="346"/>
        <v>0</v>
      </c>
      <c r="FG239" s="58">
        <f t="shared" ca="1" si="346"/>
        <v>0</v>
      </c>
      <c r="FH239" s="58">
        <f t="shared" ca="1" si="346"/>
        <v>0</v>
      </c>
      <c r="FI239" s="58">
        <f t="shared" ca="1" si="346"/>
        <v>0</v>
      </c>
      <c r="FJ239" s="58">
        <f t="shared" ca="1" si="346"/>
        <v>0</v>
      </c>
      <c r="FK239" s="58">
        <f t="shared" ca="1" si="346"/>
        <v>0</v>
      </c>
      <c r="FL239" s="58">
        <f t="shared" ca="1" si="346"/>
        <v>0</v>
      </c>
      <c r="FM239" s="58">
        <f t="shared" ca="1" si="346"/>
        <v>0</v>
      </c>
      <c r="FN239" s="58">
        <f t="shared" ca="1" si="346"/>
        <v>0</v>
      </c>
      <c r="FO239" s="13"/>
    </row>
    <row r="240" spans="1:171" outlineLevel="1" x14ac:dyDescent="0.3">
      <c r="A240" s="13"/>
      <c r="B240" s="13"/>
      <c r="C240" s="13"/>
      <c r="D240" s="52">
        <f t="shared" si="194"/>
        <v>42064</v>
      </c>
      <c r="E240" s="53">
        <f t="shared" si="195"/>
        <v>2015</v>
      </c>
      <c r="F240" s="53">
        <f t="shared" si="196"/>
        <v>14</v>
      </c>
      <c r="G240" s="58">
        <f t="shared" ref="G240:AL240" ca="1" si="347">+IF(OR($F240+G$175&lt;1,(G$176-1)*12&lt;-$F240),0,OFFSET(G70,0,$F240))</f>
        <v>0</v>
      </c>
      <c r="H240" s="58">
        <f t="shared" ca="1" si="347"/>
        <v>0</v>
      </c>
      <c r="I240" s="58">
        <f t="shared" ca="1" si="347"/>
        <v>0</v>
      </c>
      <c r="J240" s="58">
        <f t="shared" ca="1" si="347"/>
        <v>0</v>
      </c>
      <c r="K240" s="58">
        <f t="shared" ca="1" si="347"/>
        <v>0</v>
      </c>
      <c r="L240" s="58">
        <f t="shared" ca="1" si="347"/>
        <v>0</v>
      </c>
      <c r="M240" s="58">
        <f t="shared" ca="1" si="347"/>
        <v>0</v>
      </c>
      <c r="N240" s="58">
        <f t="shared" ca="1" si="347"/>
        <v>0</v>
      </c>
      <c r="O240" s="58">
        <f t="shared" ca="1" si="347"/>
        <v>0</v>
      </c>
      <c r="P240" s="58">
        <f t="shared" ca="1" si="347"/>
        <v>0</v>
      </c>
      <c r="Q240" s="58">
        <f t="shared" ca="1" si="347"/>
        <v>0</v>
      </c>
      <c r="R240" s="58">
        <f t="shared" ca="1" si="347"/>
        <v>0</v>
      </c>
      <c r="S240" s="58">
        <f t="shared" ca="1" si="347"/>
        <v>0</v>
      </c>
      <c r="T240" s="58">
        <f t="shared" ca="1" si="347"/>
        <v>0</v>
      </c>
      <c r="U240" s="58">
        <f t="shared" ca="1" si="347"/>
        <v>0</v>
      </c>
      <c r="V240" s="58">
        <f t="shared" ca="1" si="347"/>
        <v>0</v>
      </c>
      <c r="W240" s="58">
        <f t="shared" ca="1" si="347"/>
        <v>0</v>
      </c>
      <c r="X240" s="58">
        <f t="shared" ca="1" si="347"/>
        <v>0</v>
      </c>
      <c r="Y240" s="58">
        <f t="shared" ca="1" si="347"/>
        <v>0</v>
      </c>
      <c r="Z240" s="58">
        <f t="shared" ca="1" si="347"/>
        <v>0</v>
      </c>
      <c r="AA240" s="58">
        <f t="shared" ca="1" si="347"/>
        <v>0</v>
      </c>
      <c r="AB240" s="58">
        <f t="shared" ca="1" si="347"/>
        <v>0</v>
      </c>
      <c r="AC240" s="58">
        <f t="shared" ca="1" si="347"/>
        <v>0</v>
      </c>
      <c r="AD240" s="58">
        <f t="shared" ca="1" si="347"/>
        <v>0</v>
      </c>
      <c r="AE240" s="58">
        <f t="shared" ca="1" si="347"/>
        <v>0</v>
      </c>
      <c r="AF240" s="58">
        <f t="shared" ca="1" si="347"/>
        <v>0</v>
      </c>
      <c r="AG240" s="58">
        <f t="shared" ca="1" si="347"/>
        <v>0</v>
      </c>
      <c r="AH240" s="58">
        <f t="shared" ca="1" si="347"/>
        <v>0</v>
      </c>
      <c r="AI240" s="58">
        <f t="shared" ca="1" si="347"/>
        <v>0</v>
      </c>
      <c r="AJ240" s="58">
        <f t="shared" ca="1" si="347"/>
        <v>0</v>
      </c>
      <c r="AK240" s="58">
        <f t="shared" ca="1" si="347"/>
        <v>0</v>
      </c>
      <c r="AL240" s="58">
        <f t="shared" ca="1" si="347"/>
        <v>0</v>
      </c>
      <c r="AM240" s="58">
        <f t="shared" ref="AM240:BR240" ca="1" si="348">+IF(OR($F240+AM$175&lt;1,(AM$176-1)*12&lt;-$F240),0,OFFSET(AM70,0,$F240))</f>
        <v>0</v>
      </c>
      <c r="AN240" s="58">
        <f t="shared" ca="1" si="348"/>
        <v>0</v>
      </c>
      <c r="AO240" s="58">
        <f t="shared" ca="1" si="348"/>
        <v>0</v>
      </c>
      <c r="AP240" s="58">
        <f t="shared" ca="1" si="348"/>
        <v>0</v>
      </c>
      <c r="AQ240" s="58">
        <f t="shared" ca="1" si="348"/>
        <v>0</v>
      </c>
      <c r="AR240" s="58">
        <f t="shared" ca="1" si="348"/>
        <v>0</v>
      </c>
      <c r="AS240" s="58">
        <f t="shared" ca="1" si="348"/>
        <v>0</v>
      </c>
      <c r="AT240" s="58">
        <f t="shared" ca="1" si="348"/>
        <v>0</v>
      </c>
      <c r="AU240" s="58">
        <f t="shared" ca="1" si="348"/>
        <v>0</v>
      </c>
      <c r="AV240" s="58">
        <f t="shared" ca="1" si="348"/>
        <v>0</v>
      </c>
      <c r="AW240" s="58">
        <f t="shared" ca="1" si="348"/>
        <v>0</v>
      </c>
      <c r="AX240" s="58">
        <f t="shared" ca="1" si="348"/>
        <v>0</v>
      </c>
      <c r="AY240" s="58">
        <f t="shared" ca="1" si="348"/>
        <v>0</v>
      </c>
      <c r="AZ240" s="58">
        <f t="shared" ca="1" si="348"/>
        <v>0</v>
      </c>
      <c r="BA240" s="58">
        <f t="shared" ca="1" si="348"/>
        <v>0</v>
      </c>
      <c r="BB240" s="58">
        <f t="shared" ca="1" si="348"/>
        <v>0</v>
      </c>
      <c r="BC240" s="58">
        <f t="shared" ca="1" si="348"/>
        <v>0</v>
      </c>
      <c r="BD240" s="58">
        <f t="shared" ca="1" si="348"/>
        <v>0</v>
      </c>
      <c r="BE240" s="58">
        <f t="shared" ca="1" si="348"/>
        <v>0</v>
      </c>
      <c r="BF240" s="58">
        <f t="shared" ca="1" si="348"/>
        <v>0</v>
      </c>
      <c r="BG240" s="58">
        <f t="shared" ca="1" si="348"/>
        <v>0</v>
      </c>
      <c r="BH240" s="58">
        <f t="shared" ca="1" si="348"/>
        <v>0</v>
      </c>
      <c r="BI240" s="58">
        <f t="shared" ca="1" si="348"/>
        <v>0</v>
      </c>
      <c r="BJ240" s="58">
        <f t="shared" ca="1" si="348"/>
        <v>0</v>
      </c>
      <c r="BK240" s="58">
        <f t="shared" ca="1" si="348"/>
        <v>0</v>
      </c>
      <c r="BL240" s="58">
        <f t="shared" ca="1" si="348"/>
        <v>0</v>
      </c>
      <c r="BM240" s="58">
        <f t="shared" ca="1" si="348"/>
        <v>0</v>
      </c>
      <c r="BN240" s="58">
        <f t="shared" ca="1" si="348"/>
        <v>0</v>
      </c>
      <c r="BO240" s="58">
        <f t="shared" ca="1" si="348"/>
        <v>0</v>
      </c>
      <c r="BP240" s="58">
        <f t="shared" ca="1" si="348"/>
        <v>0</v>
      </c>
      <c r="BQ240" s="58">
        <f t="shared" ca="1" si="348"/>
        <v>0</v>
      </c>
      <c r="BR240" s="58">
        <f t="shared" ca="1" si="348"/>
        <v>0</v>
      </c>
      <c r="BS240" s="58">
        <f t="shared" ref="BS240:CX240" ca="1" si="349">+IF(OR($F240+BS$175&lt;1,(BS$176-1)*12&lt;-$F240),0,OFFSET(BS70,0,$F240))</f>
        <v>0</v>
      </c>
      <c r="BT240" s="58">
        <f t="shared" ca="1" si="349"/>
        <v>0</v>
      </c>
      <c r="BU240" s="58">
        <f t="shared" ca="1" si="349"/>
        <v>0</v>
      </c>
      <c r="BV240" s="58">
        <f t="shared" ca="1" si="349"/>
        <v>0</v>
      </c>
      <c r="BW240" s="58">
        <f t="shared" ca="1" si="349"/>
        <v>0</v>
      </c>
      <c r="BX240" s="58">
        <f t="shared" ca="1" si="349"/>
        <v>0</v>
      </c>
      <c r="BY240" s="58">
        <f t="shared" ca="1" si="349"/>
        <v>0</v>
      </c>
      <c r="BZ240" s="58">
        <f t="shared" ca="1" si="349"/>
        <v>0</v>
      </c>
      <c r="CA240" s="58">
        <f t="shared" ca="1" si="349"/>
        <v>0</v>
      </c>
      <c r="CB240" s="58">
        <f t="shared" ca="1" si="349"/>
        <v>0</v>
      </c>
      <c r="CC240" s="58">
        <f t="shared" ca="1" si="349"/>
        <v>0</v>
      </c>
      <c r="CD240" s="58">
        <f t="shared" ca="1" si="349"/>
        <v>0</v>
      </c>
      <c r="CE240" s="58">
        <f t="shared" ca="1" si="349"/>
        <v>0</v>
      </c>
      <c r="CF240" s="58">
        <f t="shared" ca="1" si="349"/>
        <v>0</v>
      </c>
      <c r="CG240" s="58">
        <f t="shared" ca="1" si="349"/>
        <v>0</v>
      </c>
      <c r="CH240" s="58">
        <f t="shared" ca="1" si="349"/>
        <v>0</v>
      </c>
      <c r="CI240" s="58">
        <f t="shared" ca="1" si="349"/>
        <v>0</v>
      </c>
      <c r="CJ240" s="58">
        <f t="shared" ca="1" si="349"/>
        <v>0</v>
      </c>
      <c r="CK240" s="58">
        <f t="shared" ca="1" si="349"/>
        <v>0</v>
      </c>
      <c r="CL240" s="58">
        <f t="shared" ca="1" si="349"/>
        <v>0</v>
      </c>
      <c r="CM240" s="58">
        <f t="shared" ca="1" si="349"/>
        <v>0</v>
      </c>
      <c r="CN240" s="58">
        <f t="shared" ca="1" si="349"/>
        <v>0</v>
      </c>
      <c r="CO240" s="58">
        <f t="shared" ca="1" si="349"/>
        <v>0</v>
      </c>
      <c r="CP240" s="58">
        <f t="shared" ca="1" si="349"/>
        <v>0</v>
      </c>
      <c r="CQ240" s="58">
        <f t="shared" ca="1" si="349"/>
        <v>0</v>
      </c>
      <c r="CR240" s="58">
        <f t="shared" ca="1" si="349"/>
        <v>0</v>
      </c>
      <c r="CS240" s="58">
        <f t="shared" ca="1" si="349"/>
        <v>0</v>
      </c>
      <c r="CT240" s="58">
        <f t="shared" ca="1" si="349"/>
        <v>0</v>
      </c>
      <c r="CU240" s="58">
        <f t="shared" ca="1" si="349"/>
        <v>0</v>
      </c>
      <c r="CV240" s="58">
        <f t="shared" ca="1" si="349"/>
        <v>0</v>
      </c>
      <c r="CW240" s="58">
        <f t="shared" ca="1" si="349"/>
        <v>0</v>
      </c>
      <c r="CX240" s="58">
        <f t="shared" ca="1" si="349"/>
        <v>0</v>
      </c>
      <c r="CY240" s="58">
        <f t="shared" ref="CY240:ED240" ca="1" si="350">+IF(OR($F240+CY$175&lt;1,(CY$176-1)*12&lt;-$F240),0,OFFSET(CY70,0,$F240))</f>
        <v>0</v>
      </c>
      <c r="CZ240" s="58">
        <f t="shared" ca="1" si="350"/>
        <v>0</v>
      </c>
      <c r="DA240" s="58">
        <f t="shared" ca="1" si="350"/>
        <v>0</v>
      </c>
      <c r="DB240" s="58">
        <f t="shared" ca="1" si="350"/>
        <v>0</v>
      </c>
      <c r="DC240" s="58">
        <f t="shared" ca="1" si="350"/>
        <v>0</v>
      </c>
      <c r="DD240" s="58">
        <f t="shared" ca="1" si="350"/>
        <v>0</v>
      </c>
      <c r="DE240" s="58">
        <f t="shared" ca="1" si="350"/>
        <v>0</v>
      </c>
      <c r="DF240" s="58">
        <f t="shared" ca="1" si="350"/>
        <v>0</v>
      </c>
      <c r="DG240" s="58">
        <f t="shared" ca="1" si="350"/>
        <v>0</v>
      </c>
      <c r="DH240" s="58">
        <f t="shared" ca="1" si="350"/>
        <v>0</v>
      </c>
      <c r="DI240" s="58">
        <f t="shared" ca="1" si="350"/>
        <v>0</v>
      </c>
      <c r="DJ240" s="58">
        <f t="shared" ca="1" si="350"/>
        <v>0</v>
      </c>
      <c r="DK240" s="58">
        <f t="shared" ca="1" si="350"/>
        <v>0</v>
      </c>
      <c r="DL240" s="58">
        <f t="shared" ca="1" si="350"/>
        <v>0</v>
      </c>
      <c r="DM240" s="58">
        <f t="shared" ca="1" si="350"/>
        <v>0</v>
      </c>
      <c r="DN240" s="58">
        <f t="shared" ca="1" si="350"/>
        <v>0</v>
      </c>
      <c r="DO240" s="58">
        <f t="shared" ca="1" si="350"/>
        <v>0</v>
      </c>
      <c r="DP240" s="58">
        <f t="shared" ca="1" si="350"/>
        <v>0</v>
      </c>
      <c r="DQ240" s="58">
        <f t="shared" ca="1" si="350"/>
        <v>0</v>
      </c>
      <c r="DR240" s="58">
        <f t="shared" ca="1" si="350"/>
        <v>0</v>
      </c>
      <c r="DS240" s="58">
        <f t="shared" ca="1" si="350"/>
        <v>0</v>
      </c>
      <c r="DT240" s="58">
        <f t="shared" ca="1" si="350"/>
        <v>0</v>
      </c>
      <c r="DU240" s="58">
        <f t="shared" ca="1" si="350"/>
        <v>0</v>
      </c>
      <c r="DV240" s="58">
        <f t="shared" ca="1" si="350"/>
        <v>0</v>
      </c>
      <c r="DW240" s="58">
        <f t="shared" ca="1" si="350"/>
        <v>0</v>
      </c>
      <c r="DX240" s="58">
        <f t="shared" ca="1" si="350"/>
        <v>0</v>
      </c>
      <c r="DY240" s="58">
        <f t="shared" ca="1" si="350"/>
        <v>0</v>
      </c>
      <c r="DZ240" s="58">
        <f t="shared" ca="1" si="350"/>
        <v>0</v>
      </c>
      <c r="EA240" s="58">
        <f t="shared" ca="1" si="350"/>
        <v>0</v>
      </c>
      <c r="EB240" s="58">
        <f t="shared" ca="1" si="350"/>
        <v>0</v>
      </c>
      <c r="EC240" s="58">
        <f t="shared" ca="1" si="350"/>
        <v>0</v>
      </c>
      <c r="ED240" s="58">
        <f t="shared" ca="1" si="350"/>
        <v>0</v>
      </c>
      <c r="EE240" s="58">
        <f t="shared" ref="EE240:FN240" ca="1" si="351">+IF(OR($F240+EE$175&lt;1,(EE$176-1)*12&lt;-$F240),0,OFFSET(EE70,0,$F240))</f>
        <v>0</v>
      </c>
      <c r="EF240" s="58">
        <f t="shared" ca="1" si="351"/>
        <v>0</v>
      </c>
      <c r="EG240" s="58">
        <f t="shared" ca="1" si="351"/>
        <v>0</v>
      </c>
      <c r="EH240" s="58">
        <f t="shared" ca="1" si="351"/>
        <v>0</v>
      </c>
      <c r="EI240" s="58">
        <f t="shared" ca="1" si="351"/>
        <v>0</v>
      </c>
      <c r="EJ240" s="58">
        <f t="shared" ca="1" si="351"/>
        <v>0</v>
      </c>
      <c r="EK240" s="58">
        <f t="shared" ca="1" si="351"/>
        <v>0</v>
      </c>
      <c r="EL240" s="58">
        <f t="shared" ca="1" si="351"/>
        <v>0</v>
      </c>
      <c r="EM240" s="58">
        <f t="shared" ca="1" si="351"/>
        <v>0</v>
      </c>
      <c r="EN240" s="58">
        <f t="shared" ca="1" si="351"/>
        <v>0</v>
      </c>
      <c r="EO240" s="58">
        <f t="shared" ca="1" si="351"/>
        <v>0</v>
      </c>
      <c r="EP240" s="58">
        <f t="shared" ca="1" si="351"/>
        <v>0</v>
      </c>
      <c r="EQ240" s="58">
        <f t="shared" ca="1" si="351"/>
        <v>0</v>
      </c>
      <c r="ER240" s="58">
        <f t="shared" ca="1" si="351"/>
        <v>0</v>
      </c>
      <c r="ES240" s="58">
        <f t="shared" ca="1" si="351"/>
        <v>0</v>
      </c>
      <c r="ET240" s="58">
        <f t="shared" ca="1" si="351"/>
        <v>0</v>
      </c>
      <c r="EU240" s="58">
        <f t="shared" ca="1" si="351"/>
        <v>0</v>
      </c>
      <c r="EV240" s="58">
        <f t="shared" ca="1" si="351"/>
        <v>0</v>
      </c>
      <c r="EW240" s="58">
        <f t="shared" ca="1" si="351"/>
        <v>0</v>
      </c>
      <c r="EX240" s="58">
        <f t="shared" ca="1" si="351"/>
        <v>0</v>
      </c>
      <c r="EY240" s="58">
        <f t="shared" ca="1" si="351"/>
        <v>0</v>
      </c>
      <c r="EZ240" s="58">
        <f t="shared" ca="1" si="351"/>
        <v>0</v>
      </c>
      <c r="FA240" s="58">
        <f t="shared" ca="1" si="351"/>
        <v>0</v>
      </c>
      <c r="FB240" s="58">
        <f t="shared" ca="1" si="351"/>
        <v>0</v>
      </c>
      <c r="FC240" s="58">
        <f t="shared" ca="1" si="351"/>
        <v>0</v>
      </c>
      <c r="FD240" s="58">
        <f t="shared" ca="1" si="351"/>
        <v>0</v>
      </c>
      <c r="FE240" s="58">
        <f t="shared" ca="1" si="351"/>
        <v>0</v>
      </c>
      <c r="FF240" s="58">
        <f t="shared" ca="1" si="351"/>
        <v>0</v>
      </c>
      <c r="FG240" s="58">
        <f t="shared" ca="1" si="351"/>
        <v>0</v>
      </c>
      <c r="FH240" s="58">
        <f t="shared" ca="1" si="351"/>
        <v>0</v>
      </c>
      <c r="FI240" s="58">
        <f t="shared" ca="1" si="351"/>
        <v>0</v>
      </c>
      <c r="FJ240" s="58">
        <f t="shared" ca="1" si="351"/>
        <v>0</v>
      </c>
      <c r="FK240" s="58">
        <f t="shared" ca="1" si="351"/>
        <v>0</v>
      </c>
      <c r="FL240" s="58">
        <f t="shared" ca="1" si="351"/>
        <v>0</v>
      </c>
      <c r="FM240" s="58">
        <f t="shared" ca="1" si="351"/>
        <v>0</v>
      </c>
      <c r="FN240" s="58">
        <f t="shared" ca="1" si="351"/>
        <v>0</v>
      </c>
      <c r="FO240" s="13"/>
    </row>
    <row r="241" spans="1:171" outlineLevel="1" x14ac:dyDescent="0.3">
      <c r="A241" s="13"/>
      <c r="B241" s="13"/>
      <c r="C241" s="13"/>
      <c r="D241" s="52">
        <f t="shared" si="194"/>
        <v>42095</v>
      </c>
      <c r="E241" s="53">
        <f t="shared" si="195"/>
        <v>2015</v>
      </c>
      <c r="F241" s="53">
        <f t="shared" si="196"/>
        <v>15</v>
      </c>
      <c r="G241" s="58">
        <f t="shared" ref="G241:AL241" ca="1" si="352">+IF(OR($F241+G$175&lt;1,(G$176-1)*12&lt;-$F241),0,OFFSET(G71,0,$F241))</f>
        <v>0</v>
      </c>
      <c r="H241" s="58">
        <f t="shared" ca="1" si="352"/>
        <v>0</v>
      </c>
      <c r="I241" s="58">
        <f t="shared" ca="1" si="352"/>
        <v>0</v>
      </c>
      <c r="J241" s="58">
        <f t="shared" ca="1" si="352"/>
        <v>0</v>
      </c>
      <c r="K241" s="58">
        <f t="shared" ca="1" si="352"/>
        <v>0</v>
      </c>
      <c r="L241" s="58">
        <f t="shared" ca="1" si="352"/>
        <v>0</v>
      </c>
      <c r="M241" s="58">
        <f t="shared" ca="1" si="352"/>
        <v>0</v>
      </c>
      <c r="N241" s="58">
        <f t="shared" ca="1" si="352"/>
        <v>0</v>
      </c>
      <c r="O241" s="58">
        <f t="shared" ca="1" si="352"/>
        <v>0</v>
      </c>
      <c r="P241" s="58">
        <f t="shared" ca="1" si="352"/>
        <v>0</v>
      </c>
      <c r="Q241" s="58">
        <f t="shared" ca="1" si="352"/>
        <v>0</v>
      </c>
      <c r="R241" s="58">
        <f t="shared" ca="1" si="352"/>
        <v>0</v>
      </c>
      <c r="S241" s="58">
        <f t="shared" ca="1" si="352"/>
        <v>0</v>
      </c>
      <c r="T241" s="58">
        <f t="shared" ca="1" si="352"/>
        <v>0</v>
      </c>
      <c r="U241" s="58">
        <f t="shared" ca="1" si="352"/>
        <v>0</v>
      </c>
      <c r="V241" s="58">
        <f t="shared" ca="1" si="352"/>
        <v>0</v>
      </c>
      <c r="W241" s="58">
        <f t="shared" ca="1" si="352"/>
        <v>0</v>
      </c>
      <c r="X241" s="58">
        <f t="shared" ca="1" si="352"/>
        <v>0</v>
      </c>
      <c r="Y241" s="58">
        <f t="shared" ca="1" si="352"/>
        <v>0</v>
      </c>
      <c r="Z241" s="58">
        <f t="shared" ca="1" si="352"/>
        <v>0</v>
      </c>
      <c r="AA241" s="58">
        <f t="shared" ca="1" si="352"/>
        <v>0</v>
      </c>
      <c r="AB241" s="58">
        <f t="shared" ca="1" si="352"/>
        <v>0</v>
      </c>
      <c r="AC241" s="58">
        <f t="shared" ca="1" si="352"/>
        <v>0</v>
      </c>
      <c r="AD241" s="58">
        <f t="shared" ca="1" si="352"/>
        <v>0</v>
      </c>
      <c r="AE241" s="58">
        <f t="shared" ca="1" si="352"/>
        <v>0</v>
      </c>
      <c r="AF241" s="58">
        <f t="shared" ca="1" si="352"/>
        <v>0</v>
      </c>
      <c r="AG241" s="58">
        <f t="shared" ca="1" si="352"/>
        <v>0</v>
      </c>
      <c r="AH241" s="58">
        <f t="shared" ca="1" si="352"/>
        <v>0</v>
      </c>
      <c r="AI241" s="58">
        <f t="shared" ca="1" si="352"/>
        <v>0</v>
      </c>
      <c r="AJ241" s="58">
        <f t="shared" ca="1" si="352"/>
        <v>0</v>
      </c>
      <c r="AK241" s="58">
        <f t="shared" ca="1" si="352"/>
        <v>0</v>
      </c>
      <c r="AL241" s="58">
        <f t="shared" ca="1" si="352"/>
        <v>0</v>
      </c>
      <c r="AM241" s="58">
        <f t="shared" ref="AM241:BR241" ca="1" si="353">+IF(OR($F241+AM$175&lt;1,(AM$176-1)*12&lt;-$F241),0,OFFSET(AM71,0,$F241))</f>
        <v>0</v>
      </c>
      <c r="AN241" s="58">
        <f t="shared" ca="1" si="353"/>
        <v>0</v>
      </c>
      <c r="AO241" s="58">
        <f t="shared" ca="1" si="353"/>
        <v>0</v>
      </c>
      <c r="AP241" s="58">
        <f t="shared" ca="1" si="353"/>
        <v>0</v>
      </c>
      <c r="AQ241" s="58">
        <f t="shared" ca="1" si="353"/>
        <v>0</v>
      </c>
      <c r="AR241" s="58">
        <f t="shared" ca="1" si="353"/>
        <v>0</v>
      </c>
      <c r="AS241" s="58">
        <f t="shared" ca="1" si="353"/>
        <v>0</v>
      </c>
      <c r="AT241" s="58">
        <f t="shared" ca="1" si="353"/>
        <v>0</v>
      </c>
      <c r="AU241" s="58">
        <f t="shared" ca="1" si="353"/>
        <v>0</v>
      </c>
      <c r="AV241" s="58">
        <f t="shared" ca="1" si="353"/>
        <v>0</v>
      </c>
      <c r="AW241" s="58">
        <f t="shared" ca="1" si="353"/>
        <v>0</v>
      </c>
      <c r="AX241" s="58">
        <f t="shared" ca="1" si="353"/>
        <v>0</v>
      </c>
      <c r="AY241" s="58">
        <f t="shared" ca="1" si="353"/>
        <v>0</v>
      </c>
      <c r="AZ241" s="58">
        <f t="shared" ca="1" si="353"/>
        <v>0</v>
      </c>
      <c r="BA241" s="58">
        <f t="shared" ca="1" si="353"/>
        <v>0</v>
      </c>
      <c r="BB241" s="58">
        <f t="shared" ca="1" si="353"/>
        <v>0</v>
      </c>
      <c r="BC241" s="58">
        <f t="shared" ca="1" si="353"/>
        <v>0</v>
      </c>
      <c r="BD241" s="58">
        <f t="shared" ca="1" si="353"/>
        <v>0</v>
      </c>
      <c r="BE241" s="58">
        <f t="shared" ca="1" si="353"/>
        <v>0</v>
      </c>
      <c r="BF241" s="58">
        <f t="shared" ca="1" si="353"/>
        <v>0</v>
      </c>
      <c r="BG241" s="58">
        <f t="shared" ca="1" si="353"/>
        <v>0</v>
      </c>
      <c r="BH241" s="58">
        <f t="shared" ca="1" si="353"/>
        <v>0</v>
      </c>
      <c r="BI241" s="58">
        <f t="shared" ca="1" si="353"/>
        <v>0</v>
      </c>
      <c r="BJ241" s="58">
        <f t="shared" ca="1" si="353"/>
        <v>0</v>
      </c>
      <c r="BK241" s="58">
        <f t="shared" ca="1" si="353"/>
        <v>0</v>
      </c>
      <c r="BL241" s="58">
        <f t="shared" ca="1" si="353"/>
        <v>0</v>
      </c>
      <c r="BM241" s="58">
        <f t="shared" ca="1" si="353"/>
        <v>0</v>
      </c>
      <c r="BN241" s="58">
        <f t="shared" ca="1" si="353"/>
        <v>0</v>
      </c>
      <c r="BO241" s="58">
        <f t="shared" ca="1" si="353"/>
        <v>0</v>
      </c>
      <c r="BP241" s="58">
        <f t="shared" ca="1" si="353"/>
        <v>0</v>
      </c>
      <c r="BQ241" s="58">
        <f t="shared" ca="1" si="353"/>
        <v>0</v>
      </c>
      <c r="BR241" s="58">
        <f t="shared" ca="1" si="353"/>
        <v>0</v>
      </c>
      <c r="BS241" s="58">
        <f t="shared" ref="BS241:CX241" ca="1" si="354">+IF(OR($F241+BS$175&lt;1,(BS$176-1)*12&lt;-$F241),0,OFFSET(BS71,0,$F241))</f>
        <v>0</v>
      </c>
      <c r="BT241" s="58">
        <f t="shared" ca="1" si="354"/>
        <v>0</v>
      </c>
      <c r="BU241" s="58">
        <f t="shared" ca="1" si="354"/>
        <v>0</v>
      </c>
      <c r="BV241" s="58">
        <f t="shared" ca="1" si="354"/>
        <v>0</v>
      </c>
      <c r="BW241" s="58">
        <f t="shared" ca="1" si="354"/>
        <v>0</v>
      </c>
      <c r="BX241" s="58">
        <f t="shared" ca="1" si="354"/>
        <v>0</v>
      </c>
      <c r="BY241" s="58">
        <f t="shared" ca="1" si="354"/>
        <v>0</v>
      </c>
      <c r="BZ241" s="58">
        <f t="shared" ca="1" si="354"/>
        <v>0</v>
      </c>
      <c r="CA241" s="58">
        <f t="shared" ca="1" si="354"/>
        <v>0</v>
      </c>
      <c r="CB241" s="58">
        <f t="shared" ca="1" si="354"/>
        <v>0</v>
      </c>
      <c r="CC241" s="58">
        <f t="shared" ca="1" si="354"/>
        <v>0</v>
      </c>
      <c r="CD241" s="58">
        <f t="shared" ca="1" si="354"/>
        <v>0</v>
      </c>
      <c r="CE241" s="58">
        <f t="shared" ca="1" si="354"/>
        <v>0</v>
      </c>
      <c r="CF241" s="58">
        <f t="shared" ca="1" si="354"/>
        <v>0</v>
      </c>
      <c r="CG241" s="58">
        <f t="shared" ca="1" si="354"/>
        <v>0</v>
      </c>
      <c r="CH241" s="58">
        <f t="shared" ca="1" si="354"/>
        <v>0</v>
      </c>
      <c r="CI241" s="58">
        <f t="shared" ca="1" si="354"/>
        <v>0</v>
      </c>
      <c r="CJ241" s="58">
        <f t="shared" ca="1" si="354"/>
        <v>0</v>
      </c>
      <c r="CK241" s="58">
        <f t="shared" ca="1" si="354"/>
        <v>0</v>
      </c>
      <c r="CL241" s="58">
        <f t="shared" ca="1" si="354"/>
        <v>0</v>
      </c>
      <c r="CM241" s="58">
        <f t="shared" ca="1" si="354"/>
        <v>0</v>
      </c>
      <c r="CN241" s="58">
        <f t="shared" ca="1" si="354"/>
        <v>0</v>
      </c>
      <c r="CO241" s="58">
        <f t="shared" ca="1" si="354"/>
        <v>0</v>
      </c>
      <c r="CP241" s="58">
        <f t="shared" ca="1" si="354"/>
        <v>0</v>
      </c>
      <c r="CQ241" s="58">
        <f t="shared" ca="1" si="354"/>
        <v>0</v>
      </c>
      <c r="CR241" s="58">
        <f t="shared" ca="1" si="354"/>
        <v>0</v>
      </c>
      <c r="CS241" s="58">
        <f t="shared" ca="1" si="354"/>
        <v>0</v>
      </c>
      <c r="CT241" s="58">
        <f t="shared" ca="1" si="354"/>
        <v>0</v>
      </c>
      <c r="CU241" s="58">
        <f t="shared" ca="1" si="354"/>
        <v>0</v>
      </c>
      <c r="CV241" s="58">
        <f t="shared" ca="1" si="354"/>
        <v>0</v>
      </c>
      <c r="CW241" s="58">
        <f t="shared" ca="1" si="354"/>
        <v>0</v>
      </c>
      <c r="CX241" s="58">
        <f t="shared" ca="1" si="354"/>
        <v>0</v>
      </c>
      <c r="CY241" s="58">
        <f t="shared" ref="CY241:ED241" ca="1" si="355">+IF(OR($F241+CY$175&lt;1,(CY$176-1)*12&lt;-$F241),0,OFFSET(CY71,0,$F241))</f>
        <v>0</v>
      </c>
      <c r="CZ241" s="58">
        <f t="shared" ca="1" si="355"/>
        <v>0</v>
      </c>
      <c r="DA241" s="58">
        <f t="shared" ca="1" si="355"/>
        <v>0</v>
      </c>
      <c r="DB241" s="58">
        <f t="shared" ca="1" si="355"/>
        <v>0</v>
      </c>
      <c r="DC241" s="58">
        <f t="shared" ca="1" si="355"/>
        <v>0</v>
      </c>
      <c r="DD241" s="58">
        <f t="shared" ca="1" si="355"/>
        <v>0</v>
      </c>
      <c r="DE241" s="58">
        <f t="shared" ca="1" si="355"/>
        <v>0</v>
      </c>
      <c r="DF241" s="58">
        <f t="shared" ca="1" si="355"/>
        <v>0</v>
      </c>
      <c r="DG241" s="58">
        <f t="shared" ca="1" si="355"/>
        <v>0</v>
      </c>
      <c r="DH241" s="58">
        <f t="shared" ca="1" si="355"/>
        <v>0</v>
      </c>
      <c r="DI241" s="58">
        <f t="shared" ca="1" si="355"/>
        <v>0</v>
      </c>
      <c r="DJ241" s="58">
        <f t="shared" ca="1" si="355"/>
        <v>0</v>
      </c>
      <c r="DK241" s="58">
        <f t="shared" ca="1" si="355"/>
        <v>0</v>
      </c>
      <c r="DL241" s="58">
        <f t="shared" ca="1" si="355"/>
        <v>0</v>
      </c>
      <c r="DM241" s="58">
        <f t="shared" ca="1" si="355"/>
        <v>0</v>
      </c>
      <c r="DN241" s="58">
        <f t="shared" ca="1" si="355"/>
        <v>0</v>
      </c>
      <c r="DO241" s="58">
        <f t="shared" ca="1" si="355"/>
        <v>0</v>
      </c>
      <c r="DP241" s="58">
        <f t="shared" ca="1" si="355"/>
        <v>0</v>
      </c>
      <c r="DQ241" s="58">
        <f t="shared" ca="1" si="355"/>
        <v>0</v>
      </c>
      <c r="DR241" s="58">
        <f t="shared" ca="1" si="355"/>
        <v>0</v>
      </c>
      <c r="DS241" s="58">
        <f t="shared" ca="1" si="355"/>
        <v>0</v>
      </c>
      <c r="DT241" s="58">
        <f t="shared" ca="1" si="355"/>
        <v>0</v>
      </c>
      <c r="DU241" s="58">
        <f t="shared" ca="1" si="355"/>
        <v>0</v>
      </c>
      <c r="DV241" s="58">
        <f t="shared" ca="1" si="355"/>
        <v>0</v>
      </c>
      <c r="DW241" s="58">
        <f t="shared" ca="1" si="355"/>
        <v>0</v>
      </c>
      <c r="DX241" s="58">
        <f t="shared" ca="1" si="355"/>
        <v>0</v>
      </c>
      <c r="DY241" s="58">
        <f t="shared" ca="1" si="355"/>
        <v>0</v>
      </c>
      <c r="DZ241" s="58">
        <f t="shared" ca="1" si="355"/>
        <v>0</v>
      </c>
      <c r="EA241" s="58">
        <f t="shared" ca="1" si="355"/>
        <v>0</v>
      </c>
      <c r="EB241" s="58">
        <f t="shared" ca="1" si="355"/>
        <v>0</v>
      </c>
      <c r="EC241" s="58">
        <f t="shared" ca="1" si="355"/>
        <v>0</v>
      </c>
      <c r="ED241" s="58">
        <f t="shared" ca="1" si="355"/>
        <v>0</v>
      </c>
      <c r="EE241" s="58">
        <f t="shared" ref="EE241:FN241" ca="1" si="356">+IF(OR($F241+EE$175&lt;1,(EE$176-1)*12&lt;-$F241),0,OFFSET(EE71,0,$F241))</f>
        <v>0</v>
      </c>
      <c r="EF241" s="58">
        <f t="shared" ca="1" si="356"/>
        <v>0</v>
      </c>
      <c r="EG241" s="58">
        <f t="shared" ca="1" si="356"/>
        <v>0</v>
      </c>
      <c r="EH241" s="58">
        <f t="shared" ca="1" si="356"/>
        <v>0</v>
      </c>
      <c r="EI241" s="58">
        <f t="shared" ca="1" si="356"/>
        <v>0</v>
      </c>
      <c r="EJ241" s="58">
        <f t="shared" ca="1" si="356"/>
        <v>0</v>
      </c>
      <c r="EK241" s="58">
        <f t="shared" ca="1" si="356"/>
        <v>0</v>
      </c>
      <c r="EL241" s="58">
        <f t="shared" ca="1" si="356"/>
        <v>0</v>
      </c>
      <c r="EM241" s="58">
        <f t="shared" ca="1" si="356"/>
        <v>0</v>
      </c>
      <c r="EN241" s="58">
        <f t="shared" ca="1" si="356"/>
        <v>0</v>
      </c>
      <c r="EO241" s="58">
        <f t="shared" ca="1" si="356"/>
        <v>0</v>
      </c>
      <c r="EP241" s="58">
        <f t="shared" ca="1" si="356"/>
        <v>0</v>
      </c>
      <c r="EQ241" s="58">
        <f t="shared" ca="1" si="356"/>
        <v>0</v>
      </c>
      <c r="ER241" s="58">
        <f t="shared" ca="1" si="356"/>
        <v>0</v>
      </c>
      <c r="ES241" s="58">
        <f t="shared" ca="1" si="356"/>
        <v>0</v>
      </c>
      <c r="ET241" s="58">
        <f t="shared" ca="1" si="356"/>
        <v>0</v>
      </c>
      <c r="EU241" s="58">
        <f t="shared" ca="1" si="356"/>
        <v>0</v>
      </c>
      <c r="EV241" s="58">
        <f t="shared" ca="1" si="356"/>
        <v>0</v>
      </c>
      <c r="EW241" s="58">
        <f t="shared" ca="1" si="356"/>
        <v>0</v>
      </c>
      <c r="EX241" s="58">
        <f t="shared" ca="1" si="356"/>
        <v>0</v>
      </c>
      <c r="EY241" s="58">
        <f t="shared" ca="1" si="356"/>
        <v>0</v>
      </c>
      <c r="EZ241" s="58">
        <f t="shared" ca="1" si="356"/>
        <v>0</v>
      </c>
      <c r="FA241" s="58">
        <f t="shared" ca="1" si="356"/>
        <v>0</v>
      </c>
      <c r="FB241" s="58">
        <f t="shared" ca="1" si="356"/>
        <v>0</v>
      </c>
      <c r="FC241" s="58">
        <f t="shared" ca="1" si="356"/>
        <v>0</v>
      </c>
      <c r="FD241" s="58">
        <f t="shared" ca="1" si="356"/>
        <v>0</v>
      </c>
      <c r="FE241" s="58">
        <f t="shared" ca="1" si="356"/>
        <v>0</v>
      </c>
      <c r="FF241" s="58">
        <f t="shared" ca="1" si="356"/>
        <v>0</v>
      </c>
      <c r="FG241" s="58">
        <f t="shared" ca="1" si="356"/>
        <v>0</v>
      </c>
      <c r="FH241" s="58">
        <f t="shared" ca="1" si="356"/>
        <v>0</v>
      </c>
      <c r="FI241" s="58">
        <f t="shared" ca="1" si="356"/>
        <v>0</v>
      </c>
      <c r="FJ241" s="58">
        <f t="shared" ca="1" si="356"/>
        <v>0</v>
      </c>
      <c r="FK241" s="58">
        <f t="shared" ca="1" si="356"/>
        <v>0</v>
      </c>
      <c r="FL241" s="58">
        <f t="shared" ca="1" si="356"/>
        <v>0</v>
      </c>
      <c r="FM241" s="58">
        <f t="shared" ca="1" si="356"/>
        <v>0</v>
      </c>
      <c r="FN241" s="58">
        <f t="shared" ca="1" si="356"/>
        <v>0</v>
      </c>
      <c r="FO241" s="13"/>
    </row>
    <row r="242" spans="1:171" outlineLevel="1" x14ac:dyDescent="0.3">
      <c r="A242" s="13"/>
      <c r="B242" s="13"/>
      <c r="C242" s="13"/>
      <c r="D242" s="52">
        <f t="shared" ref="D242:D273" si="357">+D72</f>
        <v>42125</v>
      </c>
      <c r="E242" s="53">
        <f t="shared" ref="E242:E273" si="358">+YEAR(D242)</f>
        <v>2015</v>
      </c>
      <c r="F242" s="53">
        <f t="shared" ref="F242:F273" si="359">+F72</f>
        <v>16</v>
      </c>
      <c r="G242" s="58">
        <f t="shared" ref="G242:AL242" ca="1" si="360">+IF(OR($F242+G$175&lt;1,(G$176-1)*12&lt;-$F242),0,OFFSET(G72,0,$F242))</f>
        <v>0</v>
      </c>
      <c r="H242" s="58">
        <f t="shared" ca="1" si="360"/>
        <v>0</v>
      </c>
      <c r="I242" s="58">
        <f t="shared" ca="1" si="360"/>
        <v>0</v>
      </c>
      <c r="J242" s="58">
        <f t="shared" ca="1" si="360"/>
        <v>0</v>
      </c>
      <c r="K242" s="58">
        <f t="shared" ca="1" si="360"/>
        <v>0</v>
      </c>
      <c r="L242" s="58">
        <f t="shared" ca="1" si="360"/>
        <v>0</v>
      </c>
      <c r="M242" s="58">
        <f t="shared" ca="1" si="360"/>
        <v>0</v>
      </c>
      <c r="N242" s="58">
        <f t="shared" ca="1" si="360"/>
        <v>0</v>
      </c>
      <c r="O242" s="58">
        <f t="shared" ca="1" si="360"/>
        <v>0</v>
      </c>
      <c r="P242" s="58">
        <f t="shared" ca="1" si="360"/>
        <v>0</v>
      </c>
      <c r="Q242" s="58">
        <f t="shared" ca="1" si="360"/>
        <v>0</v>
      </c>
      <c r="R242" s="58">
        <f t="shared" ca="1" si="360"/>
        <v>0</v>
      </c>
      <c r="S242" s="58">
        <f t="shared" ca="1" si="360"/>
        <v>0</v>
      </c>
      <c r="T242" s="58">
        <f t="shared" ca="1" si="360"/>
        <v>0</v>
      </c>
      <c r="U242" s="58">
        <f t="shared" ca="1" si="360"/>
        <v>0</v>
      </c>
      <c r="V242" s="58">
        <f t="shared" ca="1" si="360"/>
        <v>0</v>
      </c>
      <c r="W242" s="58">
        <f t="shared" ca="1" si="360"/>
        <v>0</v>
      </c>
      <c r="X242" s="58">
        <f t="shared" ca="1" si="360"/>
        <v>0</v>
      </c>
      <c r="Y242" s="58">
        <f t="shared" ca="1" si="360"/>
        <v>0</v>
      </c>
      <c r="Z242" s="58">
        <f t="shared" ca="1" si="360"/>
        <v>0</v>
      </c>
      <c r="AA242" s="58">
        <f t="shared" ca="1" si="360"/>
        <v>0</v>
      </c>
      <c r="AB242" s="58">
        <f t="shared" ca="1" si="360"/>
        <v>0</v>
      </c>
      <c r="AC242" s="58">
        <f t="shared" ca="1" si="360"/>
        <v>0</v>
      </c>
      <c r="AD242" s="58">
        <f t="shared" ca="1" si="360"/>
        <v>0</v>
      </c>
      <c r="AE242" s="58">
        <f t="shared" ca="1" si="360"/>
        <v>0</v>
      </c>
      <c r="AF242" s="58">
        <f t="shared" ca="1" si="360"/>
        <v>0</v>
      </c>
      <c r="AG242" s="58">
        <f t="shared" ca="1" si="360"/>
        <v>0</v>
      </c>
      <c r="AH242" s="58">
        <f t="shared" ca="1" si="360"/>
        <v>0</v>
      </c>
      <c r="AI242" s="58">
        <f t="shared" ca="1" si="360"/>
        <v>0</v>
      </c>
      <c r="AJ242" s="58">
        <f t="shared" ca="1" si="360"/>
        <v>0</v>
      </c>
      <c r="AK242" s="58">
        <f t="shared" ca="1" si="360"/>
        <v>0</v>
      </c>
      <c r="AL242" s="58">
        <f t="shared" ca="1" si="360"/>
        <v>0</v>
      </c>
      <c r="AM242" s="58">
        <f t="shared" ref="AM242:BR242" ca="1" si="361">+IF(OR($F242+AM$175&lt;1,(AM$176-1)*12&lt;-$F242),0,OFFSET(AM72,0,$F242))</f>
        <v>0</v>
      </c>
      <c r="AN242" s="58">
        <f t="shared" ca="1" si="361"/>
        <v>0</v>
      </c>
      <c r="AO242" s="58">
        <f t="shared" ca="1" si="361"/>
        <v>0</v>
      </c>
      <c r="AP242" s="58">
        <f t="shared" ca="1" si="361"/>
        <v>0</v>
      </c>
      <c r="AQ242" s="58">
        <f t="shared" ca="1" si="361"/>
        <v>0</v>
      </c>
      <c r="AR242" s="58">
        <f t="shared" ca="1" si="361"/>
        <v>0</v>
      </c>
      <c r="AS242" s="58">
        <f t="shared" ca="1" si="361"/>
        <v>0</v>
      </c>
      <c r="AT242" s="58">
        <f t="shared" ca="1" si="361"/>
        <v>0</v>
      </c>
      <c r="AU242" s="58">
        <f t="shared" ca="1" si="361"/>
        <v>0</v>
      </c>
      <c r="AV242" s="58">
        <f t="shared" ca="1" si="361"/>
        <v>0</v>
      </c>
      <c r="AW242" s="58">
        <f t="shared" ca="1" si="361"/>
        <v>0</v>
      </c>
      <c r="AX242" s="58">
        <f t="shared" ca="1" si="361"/>
        <v>0</v>
      </c>
      <c r="AY242" s="58">
        <f t="shared" ca="1" si="361"/>
        <v>0</v>
      </c>
      <c r="AZ242" s="58">
        <f t="shared" ca="1" si="361"/>
        <v>0</v>
      </c>
      <c r="BA242" s="58">
        <f t="shared" ca="1" si="361"/>
        <v>0</v>
      </c>
      <c r="BB242" s="58">
        <f t="shared" ca="1" si="361"/>
        <v>0</v>
      </c>
      <c r="BC242" s="58">
        <f t="shared" ca="1" si="361"/>
        <v>0</v>
      </c>
      <c r="BD242" s="58">
        <f t="shared" ca="1" si="361"/>
        <v>0</v>
      </c>
      <c r="BE242" s="58">
        <f t="shared" ca="1" si="361"/>
        <v>0</v>
      </c>
      <c r="BF242" s="58">
        <f t="shared" ca="1" si="361"/>
        <v>0</v>
      </c>
      <c r="BG242" s="58">
        <f t="shared" ca="1" si="361"/>
        <v>0</v>
      </c>
      <c r="BH242" s="58">
        <f t="shared" ca="1" si="361"/>
        <v>0</v>
      </c>
      <c r="BI242" s="58">
        <f t="shared" ca="1" si="361"/>
        <v>0</v>
      </c>
      <c r="BJ242" s="58">
        <f t="shared" ca="1" si="361"/>
        <v>0</v>
      </c>
      <c r="BK242" s="58">
        <f t="shared" ca="1" si="361"/>
        <v>0</v>
      </c>
      <c r="BL242" s="58">
        <f t="shared" ca="1" si="361"/>
        <v>0</v>
      </c>
      <c r="BM242" s="58">
        <f t="shared" ca="1" si="361"/>
        <v>0</v>
      </c>
      <c r="BN242" s="58">
        <f t="shared" ca="1" si="361"/>
        <v>0</v>
      </c>
      <c r="BO242" s="58">
        <f t="shared" ca="1" si="361"/>
        <v>0</v>
      </c>
      <c r="BP242" s="58">
        <f t="shared" ca="1" si="361"/>
        <v>0</v>
      </c>
      <c r="BQ242" s="58">
        <f t="shared" ca="1" si="361"/>
        <v>0</v>
      </c>
      <c r="BR242" s="58">
        <f t="shared" ca="1" si="361"/>
        <v>0</v>
      </c>
      <c r="BS242" s="58">
        <f t="shared" ref="BS242:CX242" ca="1" si="362">+IF(OR($F242+BS$175&lt;1,(BS$176-1)*12&lt;-$F242),0,OFFSET(BS72,0,$F242))</f>
        <v>0</v>
      </c>
      <c r="BT242" s="58">
        <f t="shared" ca="1" si="362"/>
        <v>0</v>
      </c>
      <c r="BU242" s="58">
        <f t="shared" ca="1" si="362"/>
        <v>0</v>
      </c>
      <c r="BV242" s="58">
        <f t="shared" ca="1" si="362"/>
        <v>0</v>
      </c>
      <c r="BW242" s="58">
        <f t="shared" ca="1" si="362"/>
        <v>0</v>
      </c>
      <c r="BX242" s="58">
        <f t="shared" ca="1" si="362"/>
        <v>0</v>
      </c>
      <c r="BY242" s="58">
        <f t="shared" ca="1" si="362"/>
        <v>0</v>
      </c>
      <c r="BZ242" s="58">
        <f t="shared" ca="1" si="362"/>
        <v>0</v>
      </c>
      <c r="CA242" s="58">
        <f t="shared" ca="1" si="362"/>
        <v>0</v>
      </c>
      <c r="CB242" s="58">
        <f t="shared" ca="1" si="362"/>
        <v>0</v>
      </c>
      <c r="CC242" s="58">
        <f t="shared" ca="1" si="362"/>
        <v>0</v>
      </c>
      <c r="CD242" s="58">
        <f t="shared" ca="1" si="362"/>
        <v>0</v>
      </c>
      <c r="CE242" s="58">
        <f t="shared" ca="1" si="362"/>
        <v>0</v>
      </c>
      <c r="CF242" s="58">
        <f t="shared" ca="1" si="362"/>
        <v>0</v>
      </c>
      <c r="CG242" s="58">
        <f t="shared" ca="1" si="362"/>
        <v>0</v>
      </c>
      <c r="CH242" s="58">
        <f t="shared" ca="1" si="362"/>
        <v>0</v>
      </c>
      <c r="CI242" s="58">
        <f t="shared" ca="1" si="362"/>
        <v>0</v>
      </c>
      <c r="CJ242" s="58">
        <f t="shared" ca="1" si="362"/>
        <v>0</v>
      </c>
      <c r="CK242" s="58">
        <f t="shared" ca="1" si="362"/>
        <v>0</v>
      </c>
      <c r="CL242" s="58">
        <f t="shared" ca="1" si="362"/>
        <v>0</v>
      </c>
      <c r="CM242" s="58">
        <f t="shared" ca="1" si="362"/>
        <v>0</v>
      </c>
      <c r="CN242" s="58">
        <f t="shared" ca="1" si="362"/>
        <v>0</v>
      </c>
      <c r="CO242" s="58">
        <f t="shared" ca="1" si="362"/>
        <v>0</v>
      </c>
      <c r="CP242" s="58">
        <f t="shared" ca="1" si="362"/>
        <v>0</v>
      </c>
      <c r="CQ242" s="58">
        <f t="shared" ca="1" si="362"/>
        <v>0</v>
      </c>
      <c r="CR242" s="58">
        <f t="shared" ca="1" si="362"/>
        <v>0</v>
      </c>
      <c r="CS242" s="58">
        <f t="shared" ca="1" si="362"/>
        <v>0</v>
      </c>
      <c r="CT242" s="58">
        <f t="shared" ca="1" si="362"/>
        <v>0</v>
      </c>
      <c r="CU242" s="58">
        <f t="shared" ca="1" si="362"/>
        <v>0</v>
      </c>
      <c r="CV242" s="58">
        <f t="shared" ca="1" si="362"/>
        <v>0</v>
      </c>
      <c r="CW242" s="58">
        <f t="shared" ca="1" si="362"/>
        <v>0</v>
      </c>
      <c r="CX242" s="58">
        <f t="shared" ca="1" si="362"/>
        <v>0</v>
      </c>
      <c r="CY242" s="58">
        <f t="shared" ref="CY242:ED242" ca="1" si="363">+IF(OR($F242+CY$175&lt;1,(CY$176-1)*12&lt;-$F242),0,OFFSET(CY72,0,$F242))</f>
        <v>0</v>
      </c>
      <c r="CZ242" s="58">
        <f t="shared" ca="1" si="363"/>
        <v>0</v>
      </c>
      <c r="DA242" s="58">
        <f t="shared" ca="1" si="363"/>
        <v>0</v>
      </c>
      <c r="DB242" s="58">
        <f t="shared" ca="1" si="363"/>
        <v>0</v>
      </c>
      <c r="DC242" s="58">
        <f t="shared" ca="1" si="363"/>
        <v>0</v>
      </c>
      <c r="DD242" s="58">
        <f t="shared" ca="1" si="363"/>
        <v>0</v>
      </c>
      <c r="DE242" s="58">
        <f t="shared" ca="1" si="363"/>
        <v>0</v>
      </c>
      <c r="DF242" s="58">
        <f t="shared" ca="1" si="363"/>
        <v>0</v>
      </c>
      <c r="DG242" s="58">
        <f t="shared" ca="1" si="363"/>
        <v>0</v>
      </c>
      <c r="DH242" s="58">
        <f t="shared" ca="1" si="363"/>
        <v>0</v>
      </c>
      <c r="DI242" s="58">
        <f t="shared" ca="1" si="363"/>
        <v>0</v>
      </c>
      <c r="DJ242" s="58">
        <f t="shared" ca="1" si="363"/>
        <v>0</v>
      </c>
      <c r="DK242" s="58">
        <f t="shared" ca="1" si="363"/>
        <v>0</v>
      </c>
      <c r="DL242" s="58">
        <f t="shared" ca="1" si="363"/>
        <v>0</v>
      </c>
      <c r="DM242" s="58">
        <f t="shared" ca="1" si="363"/>
        <v>0</v>
      </c>
      <c r="DN242" s="58">
        <f t="shared" ca="1" si="363"/>
        <v>0</v>
      </c>
      <c r="DO242" s="58">
        <f t="shared" ca="1" si="363"/>
        <v>0</v>
      </c>
      <c r="DP242" s="58">
        <f t="shared" ca="1" si="363"/>
        <v>0</v>
      </c>
      <c r="DQ242" s="58">
        <f t="shared" ca="1" si="363"/>
        <v>0</v>
      </c>
      <c r="DR242" s="58">
        <f t="shared" ca="1" si="363"/>
        <v>0</v>
      </c>
      <c r="DS242" s="58">
        <f t="shared" ca="1" si="363"/>
        <v>0</v>
      </c>
      <c r="DT242" s="58">
        <f t="shared" ca="1" si="363"/>
        <v>0</v>
      </c>
      <c r="DU242" s="58">
        <f t="shared" ca="1" si="363"/>
        <v>0</v>
      </c>
      <c r="DV242" s="58">
        <f t="shared" ca="1" si="363"/>
        <v>0</v>
      </c>
      <c r="DW242" s="58">
        <f t="shared" ca="1" si="363"/>
        <v>0</v>
      </c>
      <c r="DX242" s="58">
        <f t="shared" ca="1" si="363"/>
        <v>0</v>
      </c>
      <c r="DY242" s="58">
        <f t="shared" ca="1" si="363"/>
        <v>0</v>
      </c>
      <c r="DZ242" s="58">
        <f t="shared" ca="1" si="363"/>
        <v>0</v>
      </c>
      <c r="EA242" s="58">
        <f t="shared" ca="1" si="363"/>
        <v>0</v>
      </c>
      <c r="EB242" s="58">
        <f t="shared" ca="1" si="363"/>
        <v>0</v>
      </c>
      <c r="EC242" s="58">
        <f t="shared" ca="1" si="363"/>
        <v>0</v>
      </c>
      <c r="ED242" s="58">
        <f t="shared" ca="1" si="363"/>
        <v>0</v>
      </c>
      <c r="EE242" s="58">
        <f t="shared" ref="EE242:FN242" ca="1" si="364">+IF(OR($F242+EE$175&lt;1,(EE$176-1)*12&lt;-$F242),0,OFFSET(EE72,0,$F242))</f>
        <v>0</v>
      </c>
      <c r="EF242" s="58">
        <f t="shared" ca="1" si="364"/>
        <v>0</v>
      </c>
      <c r="EG242" s="58">
        <f t="shared" ca="1" si="364"/>
        <v>0</v>
      </c>
      <c r="EH242" s="58">
        <f t="shared" ca="1" si="364"/>
        <v>0</v>
      </c>
      <c r="EI242" s="58">
        <f t="shared" ca="1" si="364"/>
        <v>0</v>
      </c>
      <c r="EJ242" s="58">
        <f t="shared" ca="1" si="364"/>
        <v>0</v>
      </c>
      <c r="EK242" s="58">
        <f t="shared" ca="1" si="364"/>
        <v>0</v>
      </c>
      <c r="EL242" s="58">
        <f t="shared" ca="1" si="364"/>
        <v>0</v>
      </c>
      <c r="EM242" s="58">
        <f t="shared" ca="1" si="364"/>
        <v>0</v>
      </c>
      <c r="EN242" s="58">
        <f t="shared" ca="1" si="364"/>
        <v>0</v>
      </c>
      <c r="EO242" s="58">
        <f t="shared" ca="1" si="364"/>
        <v>0</v>
      </c>
      <c r="EP242" s="58">
        <f t="shared" ca="1" si="364"/>
        <v>0</v>
      </c>
      <c r="EQ242" s="58">
        <f t="shared" ca="1" si="364"/>
        <v>0</v>
      </c>
      <c r="ER242" s="58">
        <f t="shared" ca="1" si="364"/>
        <v>0</v>
      </c>
      <c r="ES242" s="58">
        <f t="shared" ca="1" si="364"/>
        <v>0</v>
      </c>
      <c r="ET242" s="58">
        <f t="shared" ca="1" si="364"/>
        <v>0</v>
      </c>
      <c r="EU242" s="58">
        <f t="shared" ca="1" si="364"/>
        <v>0</v>
      </c>
      <c r="EV242" s="58">
        <f t="shared" ca="1" si="364"/>
        <v>0</v>
      </c>
      <c r="EW242" s="58">
        <f t="shared" ca="1" si="364"/>
        <v>0</v>
      </c>
      <c r="EX242" s="58">
        <f t="shared" ca="1" si="364"/>
        <v>0</v>
      </c>
      <c r="EY242" s="58">
        <f t="shared" ca="1" si="364"/>
        <v>0</v>
      </c>
      <c r="EZ242" s="58">
        <f t="shared" ca="1" si="364"/>
        <v>0</v>
      </c>
      <c r="FA242" s="58">
        <f t="shared" ca="1" si="364"/>
        <v>0</v>
      </c>
      <c r="FB242" s="58">
        <f t="shared" ca="1" si="364"/>
        <v>0</v>
      </c>
      <c r="FC242" s="58">
        <f t="shared" ca="1" si="364"/>
        <v>0</v>
      </c>
      <c r="FD242" s="58">
        <f t="shared" ca="1" si="364"/>
        <v>0</v>
      </c>
      <c r="FE242" s="58">
        <f t="shared" ca="1" si="364"/>
        <v>0</v>
      </c>
      <c r="FF242" s="58">
        <f t="shared" ca="1" si="364"/>
        <v>0</v>
      </c>
      <c r="FG242" s="58">
        <f t="shared" ca="1" si="364"/>
        <v>0</v>
      </c>
      <c r="FH242" s="58">
        <f t="shared" ca="1" si="364"/>
        <v>0</v>
      </c>
      <c r="FI242" s="58">
        <f t="shared" ca="1" si="364"/>
        <v>0</v>
      </c>
      <c r="FJ242" s="58">
        <f t="shared" ca="1" si="364"/>
        <v>0</v>
      </c>
      <c r="FK242" s="58">
        <f t="shared" ca="1" si="364"/>
        <v>0</v>
      </c>
      <c r="FL242" s="58">
        <f t="shared" ca="1" si="364"/>
        <v>0</v>
      </c>
      <c r="FM242" s="58">
        <f t="shared" ca="1" si="364"/>
        <v>0</v>
      </c>
      <c r="FN242" s="58">
        <f t="shared" ca="1" si="364"/>
        <v>0</v>
      </c>
      <c r="FO242" s="13"/>
    </row>
    <row r="243" spans="1:171" outlineLevel="1" x14ac:dyDescent="0.3">
      <c r="A243" s="13"/>
      <c r="B243" s="13"/>
      <c r="C243" s="13"/>
      <c r="D243" s="52">
        <f t="shared" si="357"/>
        <v>42156</v>
      </c>
      <c r="E243" s="53">
        <f t="shared" si="358"/>
        <v>2015</v>
      </c>
      <c r="F243" s="53">
        <f t="shared" si="359"/>
        <v>17</v>
      </c>
      <c r="G243" s="58">
        <f t="shared" ref="G243:AL243" ca="1" si="365">+IF(OR($F243+G$175&lt;1,(G$176-1)*12&lt;-$F243),0,OFFSET(G73,0,$F243))</f>
        <v>0</v>
      </c>
      <c r="H243" s="58">
        <f t="shared" ca="1" si="365"/>
        <v>0</v>
      </c>
      <c r="I243" s="58">
        <f t="shared" ca="1" si="365"/>
        <v>0</v>
      </c>
      <c r="J243" s="58">
        <f t="shared" ca="1" si="365"/>
        <v>0</v>
      </c>
      <c r="K243" s="58">
        <f t="shared" ca="1" si="365"/>
        <v>0</v>
      </c>
      <c r="L243" s="58">
        <f t="shared" ca="1" si="365"/>
        <v>0</v>
      </c>
      <c r="M243" s="58">
        <f t="shared" ca="1" si="365"/>
        <v>0</v>
      </c>
      <c r="N243" s="58">
        <f t="shared" ca="1" si="365"/>
        <v>0</v>
      </c>
      <c r="O243" s="58">
        <f t="shared" ca="1" si="365"/>
        <v>0</v>
      </c>
      <c r="P243" s="58">
        <f t="shared" ca="1" si="365"/>
        <v>0</v>
      </c>
      <c r="Q243" s="58">
        <f t="shared" ca="1" si="365"/>
        <v>0</v>
      </c>
      <c r="R243" s="58">
        <f t="shared" ca="1" si="365"/>
        <v>0</v>
      </c>
      <c r="S243" s="58">
        <f t="shared" ca="1" si="365"/>
        <v>0</v>
      </c>
      <c r="T243" s="58">
        <f t="shared" ca="1" si="365"/>
        <v>0</v>
      </c>
      <c r="U243" s="58">
        <f t="shared" ca="1" si="365"/>
        <v>0</v>
      </c>
      <c r="V243" s="58">
        <f t="shared" ca="1" si="365"/>
        <v>0</v>
      </c>
      <c r="W243" s="58">
        <f t="shared" ca="1" si="365"/>
        <v>0</v>
      </c>
      <c r="X243" s="58">
        <f t="shared" ca="1" si="365"/>
        <v>0</v>
      </c>
      <c r="Y243" s="58">
        <f t="shared" ca="1" si="365"/>
        <v>0</v>
      </c>
      <c r="Z243" s="58">
        <f t="shared" ca="1" si="365"/>
        <v>0</v>
      </c>
      <c r="AA243" s="58">
        <f t="shared" ca="1" si="365"/>
        <v>0</v>
      </c>
      <c r="AB243" s="58">
        <f t="shared" ca="1" si="365"/>
        <v>0</v>
      </c>
      <c r="AC243" s="58">
        <f t="shared" ca="1" si="365"/>
        <v>0</v>
      </c>
      <c r="AD243" s="58">
        <f t="shared" ca="1" si="365"/>
        <v>0</v>
      </c>
      <c r="AE243" s="58">
        <f t="shared" ca="1" si="365"/>
        <v>0</v>
      </c>
      <c r="AF243" s="58">
        <f t="shared" ca="1" si="365"/>
        <v>0</v>
      </c>
      <c r="AG243" s="58">
        <f t="shared" ca="1" si="365"/>
        <v>0</v>
      </c>
      <c r="AH243" s="58">
        <f t="shared" ca="1" si="365"/>
        <v>0</v>
      </c>
      <c r="AI243" s="58">
        <f t="shared" ca="1" si="365"/>
        <v>0</v>
      </c>
      <c r="AJ243" s="58">
        <f t="shared" ca="1" si="365"/>
        <v>0</v>
      </c>
      <c r="AK243" s="58">
        <f t="shared" ca="1" si="365"/>
        <v>0</v>
      </c>
      <c r="AL243" s="58">
        <f t="shared" ca="1" si="365"/>
        <v>0</v>
      </c>
      <c r="AM243" s="58">
        <f t="shared" ref="AM243:BR243" ca="1" si="366">+IF(OR($F243+AM$175&lt;1,(AM$176-1)*12&lt;-$F243),0,OFFSET(AM73,0,$F243))</f>
        <v>0</v>
      </c>
      <c r="AN243" s="58">
        <f t="shared" ca="1" si="366"/>
        <v>0</v>
      </c>
      <c r="AO243" s="58">
        <f t="shared" ca="1" si="366"/>
        <v>0</v>
      </c>
      <c r="AP243" s="58">
        <f t="shared" ca="1" si="366"/>
        <v>0</v>
      </c>
      <c r="AQ243" s="58">
        <f t="shared" ca="1" si="366"/>
        <v>0</v>
      </c>
      <c r="AR243" s="58">
        <f t="shared" ca="1" si="366"/>
        <v>0</v>
      </c>
      <c r="AS243" s="58">
        <f t="shared" ca="1" si="366"/>
        <v>0</v>
      </c>
      <c r="AT243" s="58">
        <f t="shared" ca="1" si="366"/>
        <v>0</v>
      </c>
      <c r="AU243" s="58">
        <f t="shared" ca="1" si="366"/>
        <v>0</v>
      </c>
      <c r="AV243" s="58">
        <f t="shared" ca="1" si="366"/>
        <v>0</v>
      </c>
      <c r="AW243" s="58">
        <f t="shared" ca="1" si="366"/>
        <v>0</v>
      </c>
      <c r="AX243" s="58">
        <f t="shared" ca="1" si="366"/>
        <v>0</v>
      </c>
      <c r="AY243" s="58">
        <f t="shared" ca="1" si="366"/>
        <v>0</v>
      </c>
      <c r="AZ243" s="58">
        <f t="shared" ca="1" si="366"/>
        <v>0</v>
      </c>
      <c r="BA243" s="58">
        <f t="shared" ca="1" si="366"/>
        <v>0</v>
      </c>
      <c r="BB243" s="58">
        <f t="shared" ca="1" si="366"/>
        <v>0</v>
      </c>
      <c r="BC243" s="58">
        <f t="shared" ca="1" si="366"/>
        <v>0</v>
      </c>
      <c r="BD243" s="58">
        <f t="shared" ca="1" si="366"/>
        <v>0</v>
      </c>
      <c r="BE243" s="58">
        <f t="shared" ca="1" si="366"/>
        <v>0</v>
      </c>
      <c r="BF243" s="58">
        <f t="shared" ca="1" si="366"/>
        <v>0</v>
      </c>
      <c r="BG243" s="58">
        <f t="shared" ca="1" si="366"/>
        <v>0</v>
      </c>
      <c r="BH243" s="58">
        <f t="shared" ca="1" si="366"/>
        <v>0</v>
      </c>
      <c r="BI243" s="58">
        <f t="shared" ca="1" si="366"/>
        <v>0</v>
      </c>
      <c r="BJ243" s="58">
        <f t="shared" ca="1" si="366"/>
        <v>0</v>
      </c>
      <c r="BK243" s="58">
        <f t="shared" ca="1" si="366"/>
        <v>0</v>
      </c>
      <c r="BL243" s="58">
        <f t="shared" ca="1" si="366"/>
        <v>0</v>
      </c>
      <c r="BM243" s="58">
        <f t="shared" ca="1" si="366"/>
        <v>0</v>
      </c>
      <c r="BN243" s="58">
        <f t="shared" ca="1" si="366"/>
        <v>0</v>
      </c>
      <c r="BO243" s="58">
        <f t="shared" ca="1" si="366"/>
        <v>0</v>
      </c>
      <c r="BP243" s="58">
        <f t="shared" ca="1" si="366"/>
        <v>0</v>
      </c>
      <c r="BQ243" s="58">
        <f t="shared" ca="1" si="366"/>
        <v>0</v>
      </c>
      <c r="BR243" s="58">
        <f t="shared" ca="1" si="366"/>
        <v>0</v>
      </c>
      <c r="BS243" s="58">
        <f t="shared" ref="BS243:CX243" ca="1" si="367">+IF(OR($F243+BS$175&lt;1,(BS$176-1)*12&lt;-$F243),0,OFFSET(BS73,0,$F243))</f>
        <v>0</v>
      </c>
      <c r="BT243" s="58">
        <f t="shared" ca="1" si="367"/>
        <v>0</v>
      </c>
      <c r="BU243" s="58">
        <f t="shared" ca="1" si="367"/>
        <v>0</v>
      </c>
      <c r="BV243" s="58">
        <f t="shared" ca="1" si="367"/>
        <v>0</v>
      </c>
      <c r="BW243" s="58">
        <f t="shared" ca="1" si="367"/>
        <v>0</v>
      </c>
      <c r="BX243" s="58">
        <f t="shared" ca="1" si="367"/>
        <v>0</v>
      </c>
      <c r="BY243" s="58">
        <f t="shared" ca="1" si="367"/>
        <v>0</v>
      </c>
      <c r="BZ243" s="58">
        <f t="shared" ca="1" si="367"/>
        <v>0</v>
      </c>
      <c r="CA243" s="58">
        <f t="shared" ca="1" si="367"/>
        <v>0</v>
      </c>
      <c r="CB243" s="58">
        <f t="shared" ca="1" si="367"/>
        <v>0</v>
      </c>
      <c r="CC243" s="58">
        <f t="shared" ca="1" si="367"/>
        <v>0</v>
      </c>
      <c r="CD243" s="58">
        <f t="shared" ca="1" si="367"/>
        <v>0</v>
      </c>
      <c r="CE243" s="58">
        <f t="shared" ca="1" si="367"/>
        <v>0</v>
      </c>
      <c r="CF243" s="58">
        <f t="shared" ca="1" si="367"/>
        <v>0</v>
      </c>
      <c r="CG243" s="58">
        <f t="shared" ca="1" si="367"/>
        <v>0</v>
      </c>
      <c r="CH243" s="58">
        <f t="shared" ca="1" si="367"/>
        <v>0</v>
      </c>
      <c r="CI243" s="58">
        <f t="shared" ca="1" si="367"/>
        <v>0</v>
      </c>
      <c r="CJ243" s="58">
        <f t="shared" ca="1" si="367"/>
        <v>0</v>
      </c>
      <c r="CK243" s="58">
        <f t="shared" ca="1" si="367"/>
        <v>0</v>
      </c>
      <c r="CL243" s="58">
        <f t="shared" ca="1" si="367"/>
        <v>0</v>
      </c>
      <c r="CM243" s="58">
        <f t="shared" ca="1" si="367"/>
        <v>0</v>
      </c>
      <c r="CN243" s="58">
        <f t="shared" ca="1" si="367"/>
        <v>0</v>
      </c>
      <c r="CO243" s="58">
        <f t="shared" ca="1" si="367"/>
        <v>0</v>
      </c>
      <c r="CP243" s="58">
        <f t="shared" ca="1" si="367"/>
        <v>0</v>
      </c>
      <c r="CQ243" s="58">
        <f t="shared" ca="1" si="367"/>
        <v>0</v>
      </c>
      <c r="CR243" s="58">
        <f t="shared" ca="1" si="367"/>
        <v>0</v>
      </c>
      <c r="CS243" s="58">
        <f t="shared" ca="1" si="367"/>
        <v>0</v>
      </c>
      <c r="CT243" s="58">
        <f t="shared" ca="1" si="367"/>
        <v>0</v>
      </c>
      <c r="CU243" s="58">
        <f t="shared" ca="1" si="367"/>
        <v>0</v>
      </c>
      <c r="CV243" s="58">
        <f t="shared" ca="1" si="367"/>
        <v>0</v>
      </c>
      <c r="CW243" s="58">
        <f t="shared" ca="1" si="367"/>
        <v>0</v>
      </c>
      <c r="CX243" s="58">
        <f t="shared" ca="1" si="367"/>
        <v>0</v>
      </c>
      <c r="CY243" s="58">
        <f t="shared" ref="CY243:ED243" ca="1" si="368">+IF(OR($F243+CY$175&lt;1,(CY$176-1)*12&lt;-$F243),0,OFFSET(CY73,0,$F243))</f>
        <v>0</v>
      </c>
      <c r="CZ243" s="58">
        <f t="shared" ca="1" si="368"/>
        <v>0</v>
      </c>
      <c r="DA243" s="58">
        <f t="shared" ca="1" si="368"/>
        <v>0</v>
      </c>
      <c r="DB243" s="58">
        <f t="shared" ca="1" si="368"/>
        <v>0</v>
      </c>
      <c r="DC243" s="58">
        <f t="shared" ca="1" si="368"/>
        <v>0</v>
      </c>
      <c r="DD243" s="58">
        <f t="shared" ca="1" si="368"/>
        <v>0</v>
      </c>
      <c r="DE243" s="58">
        <f t="shared" ca="1" si="368"/>
        <v>0</v>
      </c>
      <c r="DF243" s="58">
        <f t="shared" ca="1" si="368"/>
        <v>0</v>
      </c>
      <c r="DG243" s="58">
        <f t="shared" ca="1" si="368"/>
        <v>0</v>
      </c>
      <c r="DH243" s="58">
        <f t="shared" ca="1" si="368"/>
        <v>0</v>
      </c>
      <c r="DI243" s="58">
        <f t="shared" ca="1" si="368"/>
        <v>0</v>
      </c>
      <c r="DJ243" s="58">
        <f t="shared" ca="1" si="368"/>
        <v>0</v>
      </c>
      <c r="DK243" s="58">
        <f t="shared" ca="1" si="368"/>
        <v>0</v>
      </c>
      <c r="DL243" s="58">
        <f t="shared" ca="1" si="368"/>
        <v>0</v>
      </c>
      <c r="DM243" s="58">
        <f t="shared" ca="1" si="368"/>
        <v>0</v>
      </c>
      <c r="DN243" s="58">
        <f t="shared" ca="1" si="368"/>
        <v>0</v>
      </c>
      <c r="DO243" s="58">
        <f t="shared" ca="1" si="368"/>
        <v>0</v>
      </c>
      <c r="DP243" s="58">
        <f t="shared" ca="1" si="368"/>
        <v>0</v>
      </c>
      <c r="DQ243" s="58">
        <f t="shared" ca="1" si="368"/>
        <v>0</v>
      </c>
      <c r="DR243" s="58">
        <f t="shared" ca="1" si="368"/>
        <v>0</v>
      </c>
      <c r="DS243" s="58">
        <f t="shared" ca="1" si="368"/>
        <v>0</v>
      </c>
      <c r="DT243" s="58">
        <f t="shared" ca="1" si="368"/>
        <v>0</v>
      </c>
      <c r="DU243" s="58">
        <f t="shared" ca="1" si="368"/>
        <v>0</v>
      </c>
      <c r="DV243" s="58">
        <f t="shared" ca="1" si="368"/>
        <v>0</v>
      </c>
      <c r="DW243" s="58">
        <f t="shared" ca="1" si="368"/>
        <v>0</v>
      </c>
      <c r="DX243" s="58">
        <f t="shared" ca="1" si="368"/>
        <v>0</v>
      </c>
      <c r="DY243" s="58">
        <f t="shared" ca="1" si="368"/>
        <v>0</v>
      </c>
      <c r="DZ243" s="58">
        <f t="shared" ca="1" si="368"/>
        <v>0</v>
      </c>
      <c r="EA243" s="58">
        <f t="shared" ca="1" si="368"/>
        <v>0</v>
      </c>
      <c r="EB243" s="58">
        <f t="shared" ca="1" si="368"/>
        <v>0</v>
      </c>
      <c r="EC243" s="58">
        <f t="shared" ca="1" si="368"/>
        <v>0</v>
      </c>
      <c r="ED243" s="58">
        <f t="shared" ca="1" si="368"/>
        <v>0</v>
      </c>
      <c r="EE243" s="58">
        <f t="shared" ref="EE243:FN243" ca="1" si="369">+IF(OR($F243+EE$175&lt;1,(EE$176-1)*12&lt;-$F243),0,OFFSET(EE73,0,$F243))</f>
        <v>0</v>
      </c>
      <c r="EF243" s="58">
        <f t="shared" ca="1" si="369"/>
        <v>0</v>
      </c>
      <c r="EG243" s="58">
        <f t="shared" ca="1" si="369"/>
        <v>0</v>
      </c>
      <c r="EH243" s="58">
        <f t="shared" ca="1" si="369"/>
        <v>0</v>
      </c>
      <c r="EI243" s="58">
        <f t="shared" ca="1" si="369"/>
        <v>0</v>
      </c>
      <c r="EJ243" s="58">
        <f t="shared" ca="1" si="369"/>
        <v>0</v>
      </c>
      <c r="EK243" s="58">
        <f t="shared" ca="1" si="369"/>
        <v>0</v>
      </c>
      <c r="EL243" s="58">
        <f t="shared" ca="1" si="369"/>
        <v>0</v>
      </c>
      <c r="EM243" s="58">
        <f t="shared" ca="1" si="369"/>
        <v>0</v>
      </c>
      <c r="EN243" s="58">
        <f t="shared" ca="1" si="369"/>
        <v>0</v>
      </c>
      <c r="EO243" s="58">
        <f t="shared" ca="1" si="369"/>
        <v>0</v>
      </c>
      <c r="EP243" s="58">
        <f t="shared" ca="1" si="369"/>
        <v>0</v>
      </c>
      <c r="EQ243" s="58">
        <f t="shared" ca="1" si="369"/>
        <v>0</v>
      </c>
      <c r="ER243" s="58">
        <f t="shared" ca="1" si="369"/>
        <v>0</v>
      </c>
      <c r="ES243" s="58">
        <f t="shared" ca="1" si="369"/>
        <v>0</v>
      </c>
      <c r="ET243" s="58">
        <f t="shared" ca="1" si="369"/>
        <v>0</v>
      </c>
      <c r="EU243" s="58">
        <f t="shared" ca="1" si="369"/>
        <v>0</v>
      </c>
      <c r="EV243" s="58">
        <f t="shared" ca="1" si="369"/>
        <v>0</v>
      </c>
      <c r="EW243" s="58">
        <f t="shared" ca="1" si="369"/>
        <v>0</v>
      </c>
      <c r="EX243" s="58">
        <f t="shared" ca="1" si="369"/>
        <v>0</v>
      </c>
      <c r="EY243" s="58">
        <f t="shared" ca="1" si="369"/>
        <v>0</v>
      </c>
      <c r="EZ243" s="58">
        <f t="shared" ca="1" si="369"/>
        <v>0</v>
      </c>
      <c r="FA243" s="58">
        <f t="shared" ca="1" si="369"/>
        <v>0</v>
      </c>
      <c r="FB243" s="58">
        <f t="shared" ca="1" si="369"/>
        <v>0</v>
      </c>
      <c r="FC243" s="58">
        <f t="shared" ca="1" si="369"/>
        <v>0</v>
      </c>
      <c r="FD243" s="58">
        <f t="shared" ca="1" si="369"/>
        <v>0</v>
      </c>
      <c r="FE243" s="58">
        <f t="shared" ca="1" si="369"/>
        <v>0</v>
      </c>
      <c r="FF243" s="58">
        <f t="shared" ca="1" si="369"/>
        <v>0</v>
      </c>
      <c r="FG243" s="58">
        <f t="shared" ca="1" si="369"/>
        <v>0</v>
      </c>
      <c r="FH243" s="58">
        <f t="shared" ca="1" si="369"/>
        <v>0</v>
      </c>
      <c r="FI243" s="58">
        <f t="shared" ca="1" si="369"/>
        <v>0</v>
      </c>
      <c r="FJ243" s="58">
        <f t="shared" ca="1" si="369"/>
        <v>0</v>
      </c>
      <c r="FK243" s="58">
        <f t="shared" ca="1" si="369"/>
        <v>0</v>
      </c>
      <c r="FL243" s="58">
        <f t="shared" ca="1" si="369"/>
        <v>0</v>
      </c>
      <c r="FM243" s="58">
        <f t="shared" ca="1" si="369"/>
        <v>0</v>
      </c>
      <c r="FN243" s="58">
        <f t="shared" ca="1" si="369"/>
        <v>0</v>
      </c>
      <c r="FO243" s="13"/>
    </row>
    <row r="244" spans="1:171" outlineLevel="1" x14ac:dyDescent="0.3">
      <c r="A244" s="13"/>
      <c r="B244" s="13"/>
      <c r="C244" s="13"/>
      <c r="D244" s="52">
        <f t="shared" si="357"/>
        <v>42186</v>
      </c>
      <c r="E244" s="53">
        <f t="shared" si="358"/>
        <v>2015</v>
      </c>
      <c r="F244" s="53">
        <f t="shared" si="359"/>
        <v>18</v>
      </c>
      <c r="G244" s="58">
        <f t="shared" ref="G244:AL244" ca="1" si="370">+IF(OR($F244+G$175&lt;1,(G$176-1)*12&lt;-$F244),0,OFFSET(G74,0,$F244))</f>
        <v>0</v>
      </c>
      <c r="H244" s="58">
        <f t="shared" ca="1" si="370"/>
        <v>0</v>
      </c>
      <c r="I244" s="58">
        <f t="shared" ca="1" si="370"/>
        <v>0</v>
      </c>
      <c r="J244" s="58">
        <f t="shared" ca="1" si="370"/>
        <v>0</v>
      </c>
      <c r="K244" s="58">
        <f t="shared" ca="1" si="370"/>
        <v>0</v>
      </c>
      <c r="L244" s="58">
        <f t="shared" ca="1" si="370"/>
        <v>0</v>
      </c>
      <c r="M244" s="58">
        <f t="shared" ca="1" si="370"/>
        <v>0</v>
      </c>
      <c r="N244" s="58">
        <f t="shared" ca="1" si="370"/>
        <v>0</v>
      </c>
      <c r="O244" s="58">
        <f t="shared" ca="1" si="370"/>
        <v>0</v>
      </c>
      <c r="P244" s="58">
        <f t="shared" ca="1" si="370"/>
        <v>0</v>
      </c>
      <c r="Q244" s="58">
        <f t="shared" ca="1" si="370"/>
        <v>0</v>
      </c>
      <c r="R244" s="58">
        <f t="shared" ca="1" si="370"/>
        <v>0</v>
      </c>
      <c r="S244" s="58">
        <f t="shared" ca="1" si="370"/>
        <v>0</v>
      </c>
      <c r="T244" s="58">
        <f t="shared" ca="1" si="370"/>
        <v>0</v>
      </c>
      <c r="U244" s="58">
        <f t="shared" ca="1" si="370"/>
        <v>0</v>
      </c>
      <c r="V244" s="58">
        <f t="shared" ca="1" si="370"/>
        <v>0</v>
      </c>
      <c r="W244" s="58">
        <f t="shared" ca="1" si="370"/>
        <v>0</v>
      </c>
      <c r="X244" s="58">
        <f t="shared" ca="1" si="370"/>
        <v>0</v>
      </c>
      <c r="Y244" s="58">
        <f t="shared" ca="1" si="370"/>
        <v>0</v>
      </c>
      <c r="Z244" s="58">
        <f t="shared" ca="1" si="370"/>
        <v>0</v>
      </c>
      <c r="AA244" s="58">
        <f t="shared" ca="1" si="370"/>
        <v>0</v>
      </c>
      <c r="AB244" s="58">
        <f t="shared" ca="1" si="370"/>
        <v>0</v>
      </c>
      <c r="AC244" s="58">
        <f t="shared" ca="1" si="370"/>
        <v>0</v>
      </c>
      <c r="AD244" s="58">
        <f t="shared" ca="1" si="370"/>
        <v>0</v>
      </c>
      <c r="AE244" s="58">
        <f t="shared" ca="1" si="370"/>
        <v>0</v>
      </c>
      <c r="AF244" s="58">
        <f t="shared" ca="1" si="370"/>
        <v>0</v>
      </c>
      <c r="AG244" s="58">
        <f t="shared" ca="1" si="370"/>
        <v>0</v>
      </c>
      <c r="AH244" s="58">
        <f t="shared" ca="1" si="370"/>
        <v>0</v>
      </c>
      <c r="AI244" s="58">
        <f t="shared" ca="1" si="370"/>
        <v>0</v>
      </c>
      <c r="AJ244" s="58">
        <f t="shared" ca="1" si="370"/>
        <v>0</v>
      </c>
      <c r="AK244" s="58">
        <f t="shared" ca="1" si="370"/>
        <v>0</v>
      </c>
      <c r="AL244" s="58">
        <f t="shared" ca="1" si="370"/>
        <v>0</v>
      </c>
      <c r="AM244" s="58">
        <f t="shared" ref="AM244:BR244" ca="1" si="371">+IF(OR($F244+AM$175&lt;1,(AM$176-1)*12&lt;-$F244),0,OFFSET(AM74,0,$F244))</f>
        <v>0</v>
      </c>
      <c r="AN244" s="58">
        <f t="shared" ca="1" si="371"/>
        <v>0</v>
      </c>
      <c r="AO244" s="58">
        <f t="shared" ca="1" si="371"/>
        <v>0</v>
      </c>
      <c r="AP244" s="58">
        <f t="shared" ca="1" si="371"/>
        <v>0</v>
      </c>
      <c r="AQ244" s="58">
        <f t="shared" ca="1" si="371"/>
        <v>0</v>
      </c>
      <c r="AR244" s="58">
        <f t="shared" ca="1" si="371"/>
        <v>0</v>
      </c>
      <c r="AS244" s="58">
        <f t="shared" ca="1" si="371"/>
        <v>0</v>
      </c>
      <c r="AT244" s="58">
        <f t="shared" ca="1" si="371"/>
        <v>0</v>
      </c>
      <c r="AU244" s="58">
        <f t="shared" ca="1" si="371"/>
        <v>0</v>
      </c>
      <c r="AV244" s="58">
        <f t="shared" ca="1" si="371"/>
        <v>0</v>
      </c>
      <c r="AW244" s="58">
        <f t="shared" ca="1" si="371"/>
        <v>0</v>
      </c>
      <c r="AX244" s="58">
        <f t="shared" ca="1" si="371"/>
        <v>0</v>
      </c>
      <c r="AY244" s="58">
        <f t="shared" ca="1" si="371"/>
        <v>0</v>
      </c>
      <c r="AZ244" s="58">
        <f t="shared" ca="1" si="371"/>
        <v>0</v>
      </c>
      <c r="BA244" s="58">
        <f t="shared" ca="1" si="371"/>
        <v>0</v>
      </c>
      <c r="BB244" s="58">
        <f t="shared" ca="1" si="371"/>
        <v>0</v>
      </c>
      <c r="BC244" s="58">
        <f t="shared" ca="1" si="371"/>
        <v>0</v>
      </c>
      <c r="BD244" s="58">
        <f t="shared" ca="1" si="371"/>
        <v>0</v>
      </c>
      <c r="BE244" s="58">
        <f t="shared" ca="1" si="371"/>
        <v>0</v>
      </c>
      <c r="BF244" s="58">
        <f t="shared" ca="1" si="371"/>
        <v>0</v>
      </c>
      <c r="BG244" s="58">
        <f t="shared" ca="1" si="371"/>
        <v>0</v>
      </c>
      <c r="BH244" s="58">
        <f t="shared" ca="1" si="371"/>
        <v>0</v>
      </c>
      <c r="BI244" s="58">
        <f t="shared" ca="1" si="371"/>
        <v>0</v>
      </c>
      <c r="BJ244" s="58">
        <f t="shared" ca="1" si="371"/>
        <v>0</v>
      </c>
      <c r="BK244" s="58">
        <f t="shared" ca="1" si="371"/>
        <v>0</v>
      </c>
      <c r="BL244" s="58">
        <f t="shared" ca="1" si="371"/>
        <v>0</v>
      </c>
      <c r="BM244" s="58">
        <f t="shared" ca="1" si="371"/>
        <v>0</v>
      </c>
      <c r="BN244" s="58">
        <f t="shared" ca="1" si="371"/>
        <v>0</v>
      </c>
      <c r="BO244" s="58">
        <f t="shared" ca="1" si="371"/>
        <v>0</v>
      </c>
      <c r="BP244" s="58">
        <f t="shared" ca="1" si="371"/>
        <v>0</v>
      </c>
      <c r="BQ244" s="58">
        <f t="shared" ca="1" si="371"/>
        <v>0</v>
      </c>
      <c r="BR244" s="58">
        <f t="shared" ca="1" si="371"/>
        <v>0</v>
      </c>
      <c r="BS244" s="58">
        <f t="shared" ref="BS244:CX244" ca="1" si="372">+IF(OR($F244+BS$175&lt;1,(BS$176-1)*12&lt;-$F244),0,OFFSET(BS74,0,$F244))</f>
        <v>0</v>
      </c>
      <c r="BT244" s="58">
        <f t="shared" ca="1" si="372"/>
        <v>0</v>
      </c>
      <c r="BU244" s="58">
        <f t="shared" ca="1" si="372"/>
        <v>0</v>
      </c>
      <c r="BV244" s="58">
        <f t="shared" ca="1" si="372"/>
        <v>0</v>
      </c>
      <c r="BW244" s="58">
        <f t="shared" ca="1" si="372"/>
        <v>0</v>
      </c>
      <c r="BX244" s="58">
        <f t="shared" ca="1" si="372"/>
        <v>0</v>
      </c>
      <c r="BY244" s="58">
        <f t="shared" ca="1" si="372"/>
        <v>0</v>
      </c>
      <c r="BZ244" s="58">
        <f t="shared" ca="1" si="372"/>
        <v>0</v>
      </c>
      <c r="CA244" s="58">
        <f t="shared" ca="1" si="372"/>
        <v>0</v>
      </c>
      <c r="CB244" s="58">
        <f t="shared" ca="1" si="372"/>
        <v>0</v>
      </c>
      <c r="CC244" s="58">
        <f t="shared" ca="1" si="372"/>
        <v>0</v>
      </c>
      <c r="CD244" s="58">
        <f t="shared" ca="1" si="372"/>
        <v>0</v>
      </c>
      <c r="CE244" s="58">
        <f t="shared" ca="1" si="372"/>
        <v>0</v>
      </c>
      <c r="CF244" s="58">
        <f t="shared" ca="1" si="372"/>
        <v>0</v>
      </c>
      <c r="CG244" s="58">
        <f t="shared" ca="1" si="372"/>
        <v>0</v>
      </c>
      <c r="CH244" s="58">
        <f t="shared" ca="1" si="372"/>
        <v>0</v>
      </c>
      <c r="CI244" s="58">
        <f t="shared" ca="1" si="372"/>
        <v>0</v>
      </c>
      <c r="CJ244" s="58">
        <f t="shared" ca="1" si="372"/>
        <v>0</v>
      </c>
      <c r="CK244" s="58">
        <f t="shared" ca="1" si="372"/>
        <v>0</v>
      </c>
      <c r="CL244" s="58">
        <f t="shared" ca="1" si="372"/>
        <v>0</v>
      </c>
      <c r="CM244" s="58">
        <f t="shared" ca="1" si="372"/>
        <v>0</v>
      </c>
      <c r="CN244" s="58">
        <f t="shared" ca="1" si="372"/>
        <v>0</v>
      </c>
      <c r="CO244" s="58">
        <f t="shared" ca="1" si="372"/>
        <v>0</v>
      </c>
      <c r="CP244" s="58">
        <f t="shared" ca="1" si="372"/>
        <v>0</v>
      </c>
      <c r="CQ244" s="58">
        <f t="shared" ca="1" si="372"/>
        <v>0</v>
      </c>
      <c r="CR244" s="58">
        <f t="shared" ca="1" si="372"/>
        <v>0</v>
      </c>
      <c r="CS244" s="58">
        <f t="shared" ca="1" si="372"/>
        <v>0</v>
      </c>
      <c r="CT244" s="58">
        <f t="shared" ca="1" si="372"/>
        <v>0</v>
      </c>
      <c r="CU244" s="58">
        <f t="shared" ca="1" si="372"/>
        <v>0</v>
      </c>
      <c r="CV244" s="58">
        <f t="shared" ca="1" si="372"/>
        <v>0</v>
      </c>
      <c r="CW244" s="58">
        <f t="shared" ca="1" si="372"/>
        <v>0</v>
      </c>
      <c r="CX244" s="58">
        <f t="shared" ca="1" si="372"/>
        <v>0</v>
      </c>
      <c r="CY244" s="58">
        <f t="shared" ref="CY244:ED244" ca="1" si="373">+IF(OR($F244+CY$175&lt;1,(CY$176-1)*12&lt;-$F244),0,OFFSET(CY74,0,$F244))</f>
        <v>0</v>
      </c>
      <c r="CZ244" s="58">
        <f t="shared" ca="1" si="373"/>
        <v>0</v>
      </c>
      <c r="DA244" s="58">
        <f t="shared" ca="1" si="373"/>
        <v>0</v>
      </c>
      <c r="DB244" s="58">
        <f t="shared" ca="1" si="373"/>
        <v>0</v>
      </c>
      <c r="DC244" s="58">
        <f t="shared" ca="1" si="373"/>
        <v>0</v>
      </c>
      <c r="DD244" s="58">
        <f t="shared" ca="1" si="373"/>
        <v>0</v>
      </c>
      <c r="DE244" s="58">
        <f t="shared" ca="1" si="373"/>
        <v>0</v>
      </c>
      <c r="DF244" s="58">
        <f t="shared" ca="1" si="373"/>
        <v>0</v>
      </c>
      <c r="DG244" s="58">
        <f t="shared" ca="1" si="373"/>
        <v>0</v>
      </c>
      <c r="DH244" s="58">
        <f t="shared" ca="1" si="373"/>
        <v>0</v>
      </c>
      <c r="DI244" s="58">
        <f t="shared" ca="1" si="373"/>
        <v>0</v>
      </c>
      <c r="DJ244" s="58">
        <f t="shared" ca="1" si="373"/>
        <v>0</v>
      </c>
      <c r="DK244" s="58">
        <f t="shared" ca="1" si="373"/>
        <v>0</v>
      </c>
      <c r="DL244" s="58">
        <f t="shared" ca="1" si="373"/>
        <v>0</v>
      </c>
      <c r="DM244" s="58">
        <f t="shared" ca="1" si="373"/>
        <v>0</v>
      </c>
      <c r="DN244" s="58">
        <f t="shared" ca="1" si="373"/>
        <v>0</v>
      </c>
      <c r="DO244" s="58">
        <f t="shared" ca="1" si="373"/>
        <v>0</v>
      </c>
      <c r="DP244" s="58">
        <f t="shared" ca="1" si="373"/>
        <v>0</v>
      </c>
      <c r="DQ244" s="58">
        <f t="shared" ca="1" si="373"/>
        <v>0</v>
      </c>
      <c r="DR244" s="58">
        <f t="shared" ca="1" si="373"/>
        <v>0</v>
      </c>
      <c r="DS244" s="58">
        <f t="shared" ca="1" si="373"/>
        <v>0</v>
      </c>
      <c r="DT244" s="58">
        <f t="shared" ca="1" si="373"/>
        <v>0</v>
      </c>
      <c r="DU244" s="58">
        <f t="shared" ca="1" si="373"/>
        <v>0</v>
      </c>
      <c r="DV244" s="58">
        <f t="shared" ca="1" si="373"/>
        <v>0</v>
      </c>
      <c r="DW244" s="58">
        <f t="shared" ca="1" si="373"/>
        <v>0</v>
      </c>
      <c r="DX244" s="58">
        <f t="shared" ca="1" si="373"/>
        <v>0</v>
      </c>
      <c r="DY244" s="58">
        <f t="shared" ca="1" si="373"/>
        <v>0</v>
      </c>
      <c r="DZ244" s="58">
        <f t="shared" ca="1" si="373"/>
        <v>0</v>
      </c>
      <c r="EA244" s="58">
        <f t="shared" ca="1" si="373"/>
        <v>0</v>
      </c>
      <c r="EB244" s="58">
        <f t="shared" ca="1" si="373"/>
        <v>0</v>
      </c>
      <c r="EC244" s="58">
        <f t="shared" ca="1" si="373"/>
        <v>0</v>
      </c>
      <c r="ED244" s="58">
        <f t="shared" ca="1" si="373"/>
        <v>0</v>
      </c>
      <c r="EE244" s="58">
        <f t="shared" ref="EE244:FN244" ca="1" si="374">+IF(OR($F244+EE$175&lt;1,(EE$176-1)*12&lt;-$F244),0,OFFSET(EE74,0,$F244))</f>
        <v>0</v>
      </c>
      <c r="EF244" s="58">
        <f t="shared" ca="1" si="374"/>
        <v>0</v>
      </c>
      <c r="EG244" s="58">
        <f t="shared" ca="1" si="374"/>
        <v>0</v>
      </c>
      <c r="EH244" s="58">
        <f t="shared" ca="1" si="374"/>
        <v>0</v>
      </c>
      <c r="EI244" s="58">
        <f t="shared" ca="1" si="374"/>
        <v>0</v>
      </c>
      <c r="EJ244" s="58">
        <f t="shared" ca="1" si="374"/>
        <v>0</v>
      </c>
      <c r="EK244" s="58">
        <f t="shared" ca="1" si="374"/>
        <v>0</v>
      </c>
      <c r="EL244" s="58">
        <f t="shared" ca="1" si="374"/>
        <v>0</v>
      </c>
      <c r="EM244" s="58">
        <f t="shared" ca="1" si="374"/>
        <v>0</v>
      </c>
      <c r="EN244" s="58">
        <f t="shared" ca="1" si="374"/>
        <v>0</v>
      </c>
      <c r="EO244" s="58">
        <f t="shared" ca="1" si="374"/>
        <v>0</v>
      </c>
      <c r="EP244" s="58">
        <f t="shared" ca="1" si="374"/>
        <v>0</v>
      </c>
      <c r="EQ244" s="58">
        <f t="shared" ca="1" si="374"/>
        <v>0</v>
      </c>
      <c r="ER244" s="58">
        <f t="shared" ca="1" si="374"/>
        <v>0</v>
      </c>
      <c r="ES244" s="58">
        <f t="shared" ca="1" si="374"/>
        <v>0</v>
      </c>
      <c r="ET244" s="58">
        <f t="shared" ca="1" si="374"/>
        <v>0</v>
      </c>
      <c r="EU244" s="58">
        <f t="shared" ca="1" si="374"/>
        <v>0</v>
      </c>
      <c r="EV244" s="58">
        <f t="shared" ca="1" si="374"/>
        <v>0</v>
      </c>
      <c r="EW244" s="58">
        <f t="shared" ca="1" si="374"/>
        <v>0</v>
      </c>
      <c r="EX244" s="58">
        <f t="shared" ca="1" si="374"/>
        <v>0</v>
      </c>
      <c r="EY244" s="58">
        <f t="shared" ca="1" si="374"/>
        <v>0</v>
      </c>
      <c r="EZ244" s="58">
        <f t="shared" ca="1" si="374"/>
        <v>0</v>
      </c>
      <c r="FA244" s="58">
        <f t="shared" ca="1" si="374"/>
        <v>0</v>
      </c>
      <c r="FB244" s="58">
        <f t="shared" ca="1" si="374"/>
        <v>0</v>
      </c>
      <c r="FC244" s="58">
        <f t="shared" ca="1" si="374"/>
        <v>0</v>
      </c>
      <c r="FD244" s="58">
        <f t="shared" ca="1" si="374"/>
        <v>0</v>
      </c>
      <c r="FE244" s="58">
        <f t="shared" ca="1" si="374"/>
        <v>0</v>
      </c>
      <c r="FF244" s="58">
        <f t="shared" ca="1" si="374"/>
        <v>0</v>
      </c>
      <c r="FG244" s="58">
        <f t="shared" ca="1" si="374"/>
        <v>0</v>
      </c>
      <c r="FH244" s="58">
        <f t="shared" ca="1" si="374"/>
        <v>0</v>
      </c>
      <c r="FI244" s="58">
        <f t="shared" ca="1" si="374"/>
        <v>0</v>
      </c>
      <c r="FJ244" s="58">
        <f t="shared" ca="1" si="374"/>
        <v>0</v>
      </c>
      <c r="FK244" s="58">
        <f t="shared" ca="1" si="374"/>
        <v>0</v>
      </c>
      <c r="FL244" s="58">
        <f t="shared" ca="1" si="374"/>
        <v>0</v>
      </c>
      <c r="FM244" s="58">
        <f t="shared" ca="1" si="374"/>
        <v>0</v>
      </c>
      <c r="FN244" s="58">
        <f t="shared" ca="1" si="374"/>
        <v>0</v>
      </c>
      <c r="FO244" s="13"/>
    </row>
    <row r="245" spans="1:171" outlineLevel="1" x14ac:dyDescent="0.3">
      <c r="A245" s="13"/>
      <c r="B245" s="13"/>
      <c r="C245" s="13"/>
      <c r="D245" s="52">
        <f t="shared" si="357"/>
        <v>42217</v>
      </c>
      <c r="E245" s="53">
        <f t="shared" si="358"/>
        <v>2015</v>
      </c>
      <c r="F245" s="53">
        <f t="shared" si="359"/>
        <v>19</v>
      </c>
      <c r="G245" s="58">
        <f t="shared" ref="G245:AL245" ca="1" si="375">+IF(OR($F245+G$175&lt;1,(G$176-1)*12&lt;-$F245),0,OFFSET(G75,0,$F245))</f>
        <v>0</v>
      </c>
      <c r="H245" s="58">
        <f t="shared" ca="1" si="375"/>
        <v>0</v>
      </c>
      <c r="I245" s="58">
        <f t="shared" ca="1" si="375"/>
        <v>0</v>
      </c>
      <c r="J245" s="58">
        <f t="shared" ca="1" si="375"/>
        <v>0</v>
      </c>
      <c r="K245" s="58">
        <f t="shared" ca="1" si="375"/>
        <v>0</v>
      </c>
      <c r="L245" s="58">
        <f t="shared" ca="1" si="375"/>
        <v>0</v>
      </c>
      <c r="M245" s="58">
        <f t="shared" ca="1" si="375"/>
        <v>0</v>
      </c>
      <c r="N245" s="58">
        <f t="shared" ca="1" si="375"/>
        <v>0</v>
      </c>
      <c r="O245" s="58">
        <f t="shared" ca="1" si="375"/>
        <v>0</v>
      </c>
      <c r="P245" s="58">
        <f t="shared" ca="1" si="375"/>
        <v>0</v>
      </c>
      <c r="Q245" s="58">
        <f t="shared" ca="1" si="375"/>
        <v>0</v>
      </c>
      <c r="R245" s="58">
        <f t="shared" ca="1" si="375"/>
        <v>0</v>
      </c>
      <c r="S245" s="58">
        <f t="shared" ca="1" si="375"/>
        <v>0</v>
      </c>
      <c r="T245" s="58">
        <f t="shared" ca="1" si="375"/>
        <v>0</v>
      </c>
      <c r="U245" s="58">
        <f t="shared" ca="1" si="375"/>
        <v>0</v>
      </c>
      <c r="V245" s="58">
        <f t="shared" ca="1" si="375"/>
        <v>0</v>
      </c>
      <c r="W245" s="58">
        <f t="shared" ca="1" si="375"/>
        <v>0</v>
      </c>
      <c r="X245" s="58">
        <f t="shared" ca="1" si="375"/>
        <v>0</v>
      </c>
      <c r="Y245" s="58">
        <f t="shared" ca="1" si="375"/>
        <v>0</v>
      </c>
      <c r="Z245" s="58">
        <f t="shared" ca="1" si="375"/>
        <v>0</v>
      </c>
      <c r="AA245" s="58">
        <f t="shared" ca="1" si="375"/>
        <v>0</v>
      </c>
      <c r="AB245" s="58">
        <f t="shared" ca="1" si="375"/>
        <v>0</v>
      </c>
      <c r="AC245" s="58">
        <f t="shared" ca="1" si="375"/>
        <v>0</v>
      </c>
      <c r="AD245" s="58">
        <f t="shared" ca="1" si="375"/>
        <v>0</v>
      </c>
      <c r="AE245" s="58">
        <f t="shared" ca="1" si="375"/>
        <v>0</v>
      </c>
      <c r="AF245" s="58">
        <f t="shared" ca="1" si="375"/>
        <v>0</v>
      </c>
      <c r="AG245" s="58">
        <f t="shared" ca="1" si="375"/>
        <v>0</v>
      </c>
      <c r="AH245" s="58">
        <f t="shared" ca="1" si="375"/>
        <v>0</v>
      </c>
      <c r="AI245" s="58">
        <f t="shared" ca="1" si="375"/>
        <v>0</v>
      </c>
      <c r="AJ245" s="58">
        <f t="shared" ca="1" si="375"/>
        <v>0</v>
      </c>
      <c r="AK245" s="58">
        <f t="shared" ca="1" si="375"/>
        <v>0</v>
      </c>
      <c r="AL245" s="58">
        <f t="shared" ca="1" si="375"/>
        <v>0</v>
      </c>
      <c r="AM245" s="58">
        <f t="shared" ref="AM245:BR245" ca="1" si="376">+IF(OR($F245+AM$175&lt;1,(AM$176-1)*12&lt;-$F245),0,OFFSET(AM75,0,$F245))</f>
        <v>0</v>
      </c>
      <c r="AN245" s="58">
        <f t="shared" ca="1" si="376"/>
        <v>0</v>
      </c>
      <c r="AO245" s="58">
        <f t="shared" ca="1" si="376"/>
        <v>0</v>
      </c>
      <c r="AP245" s="58">
        <f t="shared" ca="1" si="376"/>
        <v>0</v>
      </c>
      <c r="AQ245" s="58">
        <f t="shared" ca="1" si="376"/>
        <v>0</v>
      </c>
      <c r="AR245" s="58">
        <f t="shared" ca="1" si="376"/>
        <v>0</v>
      </c>
      <c r="AS245" s="58">
        <f t="shared" ca="1" si="376"/>
        <v>0</v>
      </c>
      <c r="AT245" s="58">
        <f t="shared" ca="1" si="376"/>
        <v>0</v>
      </c>
      <c r="AU245" s="58">
        <f t="shared" ca="1" si="376"/>
        <v>0</v>
      </c>
      <c r="AV245" s="58">
        <f t="shared" ca="1" si="376"/>
        <v>0</v>
      </c>
      <c r="AW245" s="58">
        <f t="shared" ca="1" si="376"/>
        <v>0</v>
      </c>
      <c r="AX245" s="58">
        <f t="shared" ca="1" si="376"/>
        <v>0</v>
      </c>
      <c r="AY245" s="58">
        <f t="shared" ca="1" si="376"/>
        <v>0</v>
      </c>
      <c r="AZ245" s="58">
        <f t="shared" ca="1" si="376"/>
        <v>0</v>
      </c>
      <c r="BA245" s="58">
        <f t="shared" ca="1" si="376"/>
        <v>0</v>
      </c>
      <c r="BB245" s="58">
        <f t="shared" ca="1" si="376"/>
        <v>0</v>
      </c>
      <c r="BC245" s="58">
        <f t="shared" ca="1" si="376"/>
        <v>0</v>
      </c>
      <c r="BD245" s="58">
        <f t="shared" ca="1" si="376"/>
        <v>0</v>
      </c>
      <c r="BE245" s="58">
        <f t="shared" ca="1" si="376"/>
        <v>0</v>
      </c>
      <c r="BF245" s="58">
        <f t="shared" ca="1" si="376"/>
        <v>0</v>
      </c>
      <c r="BG245" s="58">
        <f t="shared" ca="1" si="376"/>
        <v>0</v>
      </c>
      <c r="BH245" s="58">
        <f t="shared" ca="1" si="376"/>
        <v>0</v>
      </c>
      <c r="BI245" s="58">
        <f t="shared" ca="1" si="376"/>
        <v>0</v>
      </c>
      <c r="BJ245" s="58">
        <f t="shared" ca="1" si="376"/>
        <v>0</v>
      </c>
      <c r="BK245" s="58">
        <f t="shared" ca="1" si="376"/>
        <v>0</v>
      </c>
      <c r="BL245" s="58">
        <f t="shared" ca="1" si="376"/>
        <v>0</v>
      </c>
      <c r="BM245" s="58">
        <f t="shared" ca="1" si="376"/>
        <v>0</v>
      </c>
      <c r="BN245" s="58">
        <f t="shared" ca="1" si="376"/>
        <v>0</v>
      </c>
      <c r="BO245" s="58">
        <f t="shared" ca="1" si="376"/>
        <v>0</v>
      </c>
      <c r="BP245" s="58">
        <f t="shared" ca="1" si="376"/>
        <v>0</v>
      </c>
      <c r="BQ245" s="58">
        <f t="shared" ca="1" si="376"/>
        <v>0</v>
      </c>
      <c r="BR245" s="58">
        <f t="shared" ca="1" si="376"/>
        <v>0</v>
      </c>
      <c r="BS245" s="58">
        <f t="shared" ref="BS245:CX245" ca="1" si="377">+IF(OR($F245+BS$175&lt;1,(BS$176-1)*12&lt;-$F245),0,OFFSET(BS75,0,$F245))</f>
        <v>0</v>
      </c>
      <c r="BT245" s="58">
        <f t="shared" ca="1" si="377"/>
        <v>0</v>
      </c>
      <c r="BU245" s="58">
        <f t="shared" ca="1" si="377"/>
        <v>0</v>
      </c>
      <c r="BV245" s="58">
        <f t="shared" ca="1" si="377"/>
        <v>0</v>
      </c>
      <c r="BW245" s="58">
        <f t="shared" ca="1" si="377"/>
        <v>0</v>
      </c>
      <c r="BX245" s="58">
        <f t="shared" ca="1" si="377"/>
        <v>0</v>
      </c>
      <c r="BY245" s="58">
        <f t="shared" ca="1" si="377"/>
        <v>0</v>
      </c>
      <c r="BZ245" s="58">
        <f t="shared" ca="1" si="377"/>
        <v>0</v>
      </c>
      <c r="CA245" s="58">
        <f t="shared" ca="1" si="377"/>
        <v>0</v>
      </c>
      <c r="CB245" s="58">
        <f t="shared" ca="1" si="377"/>
        <v>0</v>
      </c>
      <c r="CC245" s="58">
        <f t="shared" ca="1" si="377"/>
        <v>0</v>
      </c>
      <c r="CD245" s="58">
        <f t="shared" ca="1" si="377"/>
        <v>0</v>
      </c>
      <c r="CE245" s="58">
        <f t="shared" ca="1" si="377"/>
        <v>0</v>
      </c>
      <c r="CF245" s="58">
        <f t="shared" ca="1" si="377"/>
        <v>0</v>
      </c>
      <c r="CG245" s="58">
        <f t="shared" ca="1" si="377"/>
        <v>0</v>
      </c>
      <c r="CH245" s="58">
        <f t="shared" ca="1" si="377"/>
        <v>0</v>
      </c>
      <c r="CI245" s="58">
        <f t="shared" ca="1" si="377"/>
        <v>0</v>
      </c>
      <c r="CJ245" s="58">
        <f t="shared" ca="1" si="377"/>
        <v>0</v>
      </c>
      <c r="CK245" s="58">
        <f t="shared" ca="1" si="377"/>
        <v>0</v>
      </c>
      <c r="CL245" s="58">
        <f t="shared" ca="1" si="377"/>
        <v>0</v>
      </c>
      <c r="CM245" s="58">
        <f t="shared" ca="1" si="377"/>
        <v>0</v>
      </c>
      <c r="CN245" s="58">
        <f t="shared" ca="1" si="377"/>
        <v>0</v>
      </c>
      <c r="CO245" s="58">
        <f t="shared" ca="1" si="377"/>
        <v>0</v>
      </c>
      <c r="CP245" s="58">
        <f t="shared" ca="1" si="377"/>
        <v>0</v>
      </c>
      <c r="CQ245" s="58">
        <f t="shared" ca="1" si="377"/>
        <v>0</v>
      </c>
      <c r="CR245" s="58">
        <f t="shared" ca="1" si="377"/>
        <v>0</v>
      </c>
      <c r="CS245" s="58">
        <f t="shared" ca="1" si="377"/>
        <v>0</v>
      </c>
      <c r="CT245" s="58">
        <f t="shared" ca="1" si="377"/>
        <v>0</v>
      </c>
      <c r="CU245" s="58">
        <f t="shared" ca="1" si="377"/>
        <v>0</v>
      </c>
      <c r="CV245" s="58">
        <f t="shared" ca="1" si="377"/>
        <v>0</v>
      </c>
      <c r="CW245" s="58">
        <f t="shared" ca="1" si="377"/>
        <v>0</v>
      </c>
      <c r="CX245" s="58">
        <f t="shared" ca="1" si="377"/>
        <v>0</v>
      </c>
      <c r="CY245" s="58">
        <f t="shared" ref="CY245:ED245" ca="1" si="378">+IF(OR($F245+CY$175&lt;1,(CY$176-1)*12&lt;-$F245),0,OFFSET(CY75,0,$F245))</f>
        <v>0</v>
      </c>
      <c r="CZ245" s="58">
        <f t="shared" ca="1" si="378"/>
        <v>0</v>
      </c>
      <c r="DA245" s="58">
        <f t="shared" ca="1" si="378"/>
        <v>0</v>
      </c>
      <c r="DB245" s="58">
        <f t="shared" ca="1" si="378"/>
        <v>0</v>
      </c>
      <c r="DC245" s="58">
        <f t="shared" ca="1" si="378"/>
        <v>0</v>
      </c>
      <c r="DD245" s="58">
        <f t="shared" ca="1" si="378"/>
        <v>0</v>
      </c>
      <c r="DE245" s="58">
        <f t="shared" ca="1" si="378"/>
        <v>0</v>
      </c>
      <c r="DF245" s="58">
        <f t="shared" ca="1" si="378"/>
        <v>0</v>
      </c>
      <c r="DG245" s="58">
        <f t="shared" ca="1" si="378"/>
        <v>0</v>
      </c>
      <c r="DH245" s="58">
        <f t="shared" ca="1" si="378"/>
        <v>0</v>
      </c>
      <c r="DI245" s="58">
        <f t="shared" ca="1" si="378"/>
        <v>0</v>
      </c>
      <c r="DJ245" s="58">
        <f t="shared" ca="1" si="378"/>
        <v>0</v>
      </c>
      <c r="DK245" s="58">
        <f t="shared" ca="1" si="378"/>
        <v>0</v>
      </c>
      <c r="DL245" s="58">
        <f t="shared" ca="1" si="378"/>
        <v>0</v>
      </c>
      <c r="DM245" s="58">
        <f t="shared" ca="1" si="378"/>
        <v>0</v>
      </c>
      <c r="DN245" s="58">
        <f t="shared" ca="1" si="378"/>
        <v>0</v>
      </c>
      <c r="DO245" s="58">
        <f t="shared" ca="1" si="378"/>
        <v>0</v>
      </c>
      <c r="DP245" s="58">
        <f t="shared" ca="1" si="378"/>
        <v>0</v>
      </c>
      <c r="DQ245" s="58">
        <f t="shared" ca="1" si="378"/>
        <v>0</v>
      </c>
      <c r="DR245" s="58">
        <f t="shared" ca="1" si="378"/>
        <v>0</v>
      </c>
      <c r="DS245" s="58">
        <f t="shared" ca="1" si="378"/>
        <v>0</v>
      </c>
      <c r="DT245" s="58">
        <f t="shared" ca="1" si="378"/>
        <v>0</v>
      </c>
      <c r="DU245" s="58">
        <f t="shared" ca="1" si="378"/>
        <v>0</v>
      </c>
      <c r="DV245" s="58">
        <f t="shared" ca="1" si="378"/>
        <v>0</v>
      </c>
      <c r="DW245" s="58">
        <f t="shared" ca="1" si="378"/>
        <v>0</v>
      </c>
      <c r="DX245" s="58">
        <f t="shared" ca="1" si="378"/>
        <v>0</v>
      </c>
      <c r="DY245" s="58">
        <f t="shared" ca="1" si="378"/>
        <v>0</v>
      </c>
      <c r="DZ245" s="58">
        <f t="shared" ca="1" si="378"/>
        <v>0</v>
      </c>
      <c r="EA245" s="58">
        <f t="shared" ca="1" si="378"/>
        <v>0</v>
      </c>
      <c r="EB245" s="58">
        <f t="shared" ca="1" si="378"/>
        <v>0</v>
      </c>
      <c r="EC245" s="58">
        <f t="shared" ca="1" si="378"/>
        <v>0</v>
      </c>
      <c r="ED245" s="58">
        <f t="shared" ca="1" si="378"/>
        <v>0</v>
      </c>
      <c r="EE245" s="58">
        <f t="shared" ref="EE245:FN245" ca="1" si="379">+IF(OR($F245+EE$175&lt;1,(EE$176-1)*12&lt;-$F245),0,OFFSET(EE75,0,$F245))</f>
        <v>0</v>
      </c>
      <c r="EF245" s="58">
        <f t="shared" ca="1" si="379"/>
        <v>0</v>
      </c>
      <c r="EG245" s="58">
        <f t="shared" ca="1" si="379"/>
        <v>0</v>
      </c>
      <c r="EH245" s="58">
        <f t="shared" ca="1" si="379"/>
        <v>0</v>
      </c>
      <c r="EI245" s="58">
        <f t="shared" ca="1" si="379"/>
        <v>0</v>
      </c>
      <c r="EJ245" s="58">
        <f t="shared" ca="1" si="379"/>
        <v>0</v>
      </c>
      <c r="EK245" s="58">
        <f t="shared" ca="1" si="379"/>
        <v>0</v>
      </c>
      <c r="EL245" s="58">
        <f t="shared" ca="1" si="379"/>
        <v>0</v>
      </c>
      <c r="EM245" s="58">
        <f t="shared" ca="1" si="379"/>
        <v>0</v>
      </c>
      <c r="EN245" s="58">
        <f t="shared" ca="1" si="379"/>
        <v>0</v>
      </c>
      <c r="EO245" s="58">
        <f t="shared" ca="1" si="379"/>
        <v>0</v>
      </c>
      <c r="EP245" s="58">
        <f t="shared" ca="1" si="379"/>
        <v>0</v>
      </c>
      <c r="EQ245" s="58">
        <f t="shared" ca="1" si="379"/>
        <v>0</v>
      </c>
      <c r="ER245" s="58">
        <f t="shared" ca="1" si="379"/>
        <v>0</v>
      </c>
      <c r="ES245" s="58">
        <f t="shared" ca="1" si="379"/>
        <v>0</v>
      </c>
      <c r="ET245" s="58">
        <f t="shared" ca="1" si="379"/>
        <v>0</v>
      </c>
      <c r="EU245" s="58">
        <f t="shared" ca="1" si="379"/>
        <v>0</v>
      </c>
      <c r="EV245" s="58">
        <f t="shared" ca="1" si="379"/>
        <v>0</v>
      </c>
      <c r="EW245" s="58">
        <f t="shared" ca="1" si="379"/>
        <v>0</v>
      </c>
      <c r="EX245" s="58">
        <f t="shared" ca="1" si="379"/>
        <v>0</v>
      </c>
      <c r="EY245" s="58">
        <f t="shared" ca="1" si="379"/>
        <v>0</v>
      </c>
      <c r="EZ245" s="58">
        <f t="shared" ca="1" si="379"/>
        <v>0</v>
      </c>
      <c r="FA245" s="58">
        <f t="shared" ca="1" si="379"/>
        <v>0</v>
      </c>
      <c r="FB245" s="58">
        <f t="shared" ca="1" si="379"/>
        <v>0</v>
      </c>
      <c r="FC245" s="58">
        <f t="shared" ca="1" si="379"/>
        <v>0</v>
      </c>
      <c r="FD245" s="58">
        <f t="shared" ca="1" si="379"/>
        <v>0</v>
      </c>
      <c r="FE245" s="58">
        <f t="shared" ca="1" si="379"/>
        <v>0</v>
      </c>
      <c r="FF245" s="58">
        <f t="shared" ca="1" si="379"/>
        <v>0</v>
      </c>
      <c r="FG245" s="58">
        <f t="shared" ca="1" si="379"/>
        <v>0</v>
      </c>
      <c r="FH245" s="58">
        <f t="shared" ca="1" si="379"/>
        <v>0</v>
      </c>
      <c r="FI245" s="58">
        <f t="shared" ca="1" si="379"/>
        <v>0</v>
      </c>
      <c r="FJ245" s="58">
        <f t="shared" ca="1" si="379"/>
        <v>0</v>
      </c>
      <c r="FK245" s="58">
        <f t="shared" ca="1" si="379"/>
        <v>0</v>
      </c>
      <c r="FL245" s="58">
        <f t="shared" ca="1" si="379"/>
        <v>0</v>
      </c>
      <c r="FM245" s="58">
        <f t="shared" ca="1" si="379"/>
        <v>0</v>
      </c>
      <c r="FN245" s="58">
        <f t="shared" ca="1" si="379"/>
        <v>0</v>
      </c>
      <c r="FO245" s="13"/>
    </row>
    <row r="246" spans="1:171" outlineLevel="1" x14ac:dyDescent="0.3">
      <c r="A246" s="13"/>
      <c r="B246" s="13"/>
      <c r="C246" s="13"/>
      <c r="D246" s="52">
        <f t="shared" si="357"/>
        <v>42248</v>
      </c>
      <c r="E246" s="53">
        <f t="shared" si="358"/>
        <v>2015</v>
      </c>
      <c r="F246" s="53">
        <f t="shared" si="359"/>
        <v>20</v>
      </c>
      <c r="G246" s="58">
        <f t="shared" ref="G246:AL246" ca="1" si="380">+IF(OR($F246+G$175&lt;1,(G$176-1)*12&lt;-$F246),0,OFFSET(G76,0,$F246))</f>
        <v>0</v>
      </c>
      <c r="H246" s="58">
        <f t="shared" ca="1" si="380"/>
        <v>0</v>
      </c>
      <c r="I246" s="58">
        <f t="shared" ca="1" si="380"/>
        <v>0</v>
      </c>
      <c r="J246" s="58">
        <f t="shared" ca="1" si="380"/>
        <v>0</v>
      </c>
      <c r="K246" s="58">
        <f t="shared" ca="1" si="380"/>
        <v>0</v>
      </c>
      <c r="L246" s="58">
        <f t="shared" ca="1" si="380"/>
        <v>0</v>
      </c>
      <c r="M246" s="58">
        <f t="shared" ca="1" si="380"/>
        <v>0</v>
      </c>
      <c r="N246" s="58">
        <f t="shared" ca="1" si="380"/>
        <v>0</v>
      </c>
      <c r="O246" s="58">
        <f t="shared" ca="1" si="380"/>
        <v>0</v>
      </c>
      <c r="P246" s="58">
        <f t="shared" ca="1" si="380"/>
        <v>0</v>
      </c>
      <c r="Q246" s="58">
        <f t="shared" ca="1" si="380"/>
        <v>0</v>
      </c>
      <c r="R246" s="58">
        <f t="shared" ca="1" si="380"/>
        <v>0</v>
      </c>
      <c r="S246" s="58">
        <f t="shared" ca="1" si="380"/>
        <v>0</v>
      </c>
      <c r="T246" s="58">
        <f t="shared" ca="1" si="380"/>
        <v>0</v>
      </c>
      <c r="U246" s="58">
        <f t="shared" ca="1" si="380"/>
        <v>0</v>
      </c>
      <c r="V246" s="58">
        <f t="shared" ca="1" si="380"/>
        <v>0</v>
      </c>
      <c r="W246" s="58">
        <f t="shared" ca="1" si="380"/>
        <v>0</v>
      </c>
      <c r="X246" s="58">
        <f t="shared" ca="1" si="380"/>
        <v>0</v>
      </c>
      <c r="Y246" s="58">
        <f t="shared" ca="1" si="380"/>
        <v>0</v>
      </c>
      <c r="Z246" s="58">
        <f t="shared" ca="1" si="380"/>
        <v>0</v>
      </c>
      <c r="AA246" s="58">
        <f t="shared" ca="1" si="380"/>
        <v>0</v>
      </c>
      <c r="AB246" s="58">
        <f t="shared" ca="1" si="380"/>
        <v>0</v>
      </c>
      <c r="AC246" s="58">
        <f t="shared" ca="1" si="380"/>
        <v>0</v>
      </c>
      <c r="AD246" s="58">
        <f t="shared" ca="1" si="380"/>
        <v>0</v>
      </c>
      <c r="AE246" s="58">
        <f t="shared" ca="1" si="380"/>
        <v>0</v>
      </c>
      <c r="AF246" s="58">
        <f t="shared" ca="1" si="380"/>
        <v>0</v>
      </c>
      <c r="AG246" s="58">
        <f t="shared" ca="1" si="380"/>
        <v>0</v>
      </c>
      <c r="AH246" s="58">
        <f t="shared" ca="1" si="380"/>
        <v>0</v>
      </c>
      <c r="AI246" s="58">
        <f t="shared" ca="1" si="380"/>
        <v>0</v>
      </c>
      <c r="AJ246" s="58">
        <f t="shared" ca="1" si="380"/>
        <v>0</v>
      </c>
      <c r="AK246" s="58">
        <f t="shared" ca="1" si="380"/>
        <v>0</v>
      </c>
      <c r="AL246" s="58">
        <f t="shared" ca="1" si="380"/>
        <v>0</v>
      </c>
      <c r="AM246" s="58">
        <f t="shared" ref="AM246:BR246" ca="1" si="381">+IF(OR($F246+AM$175&lt;1,(AM$176-1)*12&lt;-$F246),0,OFFSET(AM76,0,$F246))</f>
        <v>0</v>
      </c>
      <c r="AN246" s="58">
        <f t="shared" ca="1" si="381"/>
        <v>0</v>
      </c>
      <c r="AO246" s="58">
        <f t="shared" ca="1" si="381"/>
        <v>0</v>
      </c>
      <c r="AP246" s="58">
        <f t="shared" ca="1" si="381"/>
        <v>0</v>
      </c>
      <c r="AQ246" s="58">
        <f t="shared" ca="1" si="381"/>
        <v>0</v>
      </c>
      <c r="AR246" s="58">
        <f t="shared" ca="1" si="381"/>
        <v>0</v>
      </c>
      <c r="AS246" s="58">
        <f t="shared" ca="1" si="381"/>
        <v>0</v>
      </c>
      <c r="AT246" s="58">
        <f t="shared" ca="1" si="381"/>
        <v>0</v>
      </c>
      <c r="AU246" s="58">
        <f t="shared" ca="1" si="381"/>
        <v>0</v>
      </c>
      <c r="AV246" s="58">
        <f t="shared" ca="1" si="381"/>
        <v>0</v>
      </c>
      <c r="AW246" s="58">
        <f t="shared" ca="1" si="381"/>
        <v>0</v>
      </c>
      <c r="AX246" s="58">
        <f t="shared" ca="1" si="381"/>
        <v>0</v>
      </c>
      <c r="AY246" s="58">
        <f t="shared" ca="1" si="381"/>
        <v>0</v>
      </c>
      <c r="AZ246" s="58">
        <f t="shared" ca="1" si="381"/>
        <v>0</v>
      </c>
      <c r="BA246" s="58">
        <f t="shared" ca="1" si="381"/>
        <v>0</v>
      </c>
      <c r="BB246" s="58">
        <f t="shared" ca="1" si="381"/>
        <v>0</v>
      </c>
      <c r="BC246" s="58">
        <f t="shared" ca="1" si="381"/>
        <v>0</v>
      </c>
      <c r="BD246" s="58">
        <f t="shared" ca="1" si="381"/>
        <v>0</v>
      </c>
      <c r="BE246" s="58">
        <f t="shared" ca="1" si="381"/>
        <v>0</v>
      </c>
      <c r="BF246" s="58">
        <f t="shared" ca="1" si="381"/>
        <v>0</v>
      </c>
      <c r="BG246" s="58">
        <f t="shared" ca="1" si="381"/>
        <v>0</v>
      </c>
      <c r="BH246" s="58">
        <f t="shared" ca="1" si="381"/>
        <v>0</v>
      </c>
      <c r="BI246" s="58">
        <f t="shared" ca="1" si="381"/>
        <v>0</v>
      </c>
      <c r="BJ246" s="58">
        <f t="shared" ca="1" si="381"/>
        <v>0</v>
      </c>
      <c r="BK246" s="58">
        <f t="shared" ca="1" si="381"/>
        <v>0</v>
      </c>
      <c r="BL246" s="58">
        <f t="shared" ca="1" si="381"/>
        <v>0</v>
      </c>
      <c r="BM246" s="58">
        <f t="shared" ca="1" si="381"/>
        <v>0</v>
      </c>
      <c r="BN246" s="58">
        <f t="shared" ca="1" si="381"/>
        <v>0</v>
      </c>
      <c r="BO246" s="58">
        <f t="shared" ca="1" si="381"/>
        <v>0</v>
      </c>
      <c r="BP246" s="58">
        <f t="shared" ca="1" si="381"/>
        <v>0</v>
      </c>
      <c r="BQ246" s="58">
        <f t="shared" ca="1" si="381"/>
        <v>0</v>
      </c>
      <c r="BR246" s="58">
        <f t="shared" ca="1" si="381"/>
        <v>0</v>
      </c>
      <c r="BS246" s="58">
        <f t="shared" ref="BS246:CX246" ca="1" si="382">+IF(OR($F246+BS$175&lt;1,(BS$176-1)*12&lt;-$F246),0,OFFSET(BS76,0,$F246))</f>
        <v>0</v>
      </c>
      <c r="BT246" s="58">
        <f t="shared" ca="1" si="382"/>
        <v>0</v>
      </c>
      <c r="BU246" s="58">
        <f t="shared" ca="1" si="382"/>
        <v>0</v>
      </c>
      <c r="BV246" s="58">
        <f t="shared" ca="1" si="382"/>
        <v>0</v>
      </c>
      <c r="BW246" s="58">
        <f t="shared" ca="1" si="382"/>
        <v>0</v>
      </c>
      <c r="BX246" s="58">
        <f t="shared" ca="1" si="382"/>
        <v>0</v>
      </c>
      <c r="BY246" s="58">
        <f t="shared" ca="1" si="382"/>
        <v>0</v>
      </c>
      <c r="BZ246" s="58">
        <f t="shared" ca="1" si="382"/>
        <v>0</v>
      </c>
      <c r="CA246" s="58">
        <f t="shared" ca="1" si="382"/>
        <v>0</v>
      </c>
      <c r="CB246" s="58">
        <f t="shared" ca="1" si="382"/>
        <v>0</v>
      </c>
      <c r="CC246" s="58">
        <f t="shared" ca="1" si="382"/>
        <v>0</v>
      </c>
      <c r="CD246" s="58">
        <f t="shared" ca="1" si="382"/>
        <v>0</v>
      </c>
      <c r="CE246" s="58">
        <f t="shared" ca="1" si="382"/>
        <v>0</v>
      </c>
      <c r="CF246" s="58">
        <f t="shared" ca="1" si="382"/>
        <v>0</v>
      </c>
      <c r="CG246" s="58">
        <f t="shared" ca="1" si="382"/>
        <v>0</v>
      </c>
      <c r="CH246" s="58">
        <f t="shared" ca="1" si="382"/>
        <v>0</v>
      </c>
      <c r="CI246" s="58">
        <f t="shared" ca="1" si="382"/>
        <v>0</v>
      </c>
      <c r="CJ246" s="58">
        <f t="shared" ca="1" si="382"/>
        <v>0</v>
      </c>
      <c r="CK246" s="58">
        <f t="shared" ca="1" si="382"/>
        <v>0</v>
      </c>
      <c r="CL246" s="58">
        <f t="shared" ca="1" si="382"/>
        <v>0</v>
      </c>
      <c r="CM246" s="58">
        <f t="shared" ca="1" si="382"/>
        <v>0</v>
      </c>
      <c r="CN246" s="58">
        <f t="shared" ca="1" si="382"/>
        <v>0</v>
      </c>
      <c r="CO246" s="58">
        <f t="shared" ca="1" si="382"/>
        <v>0</v>
      </c>
      <c r="CP246" s="58">
        <f t="shared" ca="1" si="382"/>
        <v>0</v>
      </c>
      <c r="CQ246" s="58">
        <f t="shared" ca="1" si="382"/>
        <v>0</v>
      </c>
      <c r="CR246" s="58">
        <f t="shared" ca="1" si="382"/>
        <v>0</v>
      </c>
      <c r="CS246" s="58">
        <f t="shared" ca="1" si="382"/>
        <v>0</v>
      </c>
      <c r="CT246" s="58">
        <f t="shared" ca="1" si="382"/>
        <v>0</v>
      </c>
      <c r="CU246" s="58">
        <f t="shared" ca="1" si="382"/>
        <v>0</v>
      </c>
      <c r="CV246" s="58">
        <f t="shared" ca="1" si="382"/>
        <v>0</v>
      </c>
      <c r="CW246" s="58">
        <f t="shared" ca="1" si="382"/>
        <v>0</v>
      </c>
      <c r="CX246" s="58">
        <f t="shared" ca="1" si="382"/>
        <v>0</v>
      </c>
      <c r="CY246" s="58">
        <f t="shared" ref="CY246:ED246" ca="1" si="383">+IF(OR($F246+CY$175&lt;1,(CY$176-1)*12&lt;-$F246),0,OFFSET(CY76,0,$F246))</f>
        <v>0</v>
      </c>
      <c r="CZ246" s="58">
        <f t="shared" ca="1" si="383"/>
        <v>0</v>
      </c>
      <c r="DA246" s="58">
        <f t="shared" ca="1" si="383"/>
        <v>0</v>
      </c>
      <c r="DB246" s="58">
        <f t="shared" ca="1" si="383"/>
        <v>0</v>
      </c>
      <c r="DC246" s="58">
        <f t="shared" ca="1" si="383"/>
        <v>0</v>
      </c>
      <c r="DD246" s="58">
        <f t="shared" ca="1" si="383"/>
        <v>0</v>
      </c>
      <c r="DE246" s="58">
        <f t="shared" ca="1" si="383"/>
        <v>0</v>
      </c>
      <c r="DF246" s="58">
        <f t="shared" ca="1" si="383"/>
        <v>0</v>
      </c>
      <c r="DG246" s="58">
        <f t="shared" ca="1" si="383"/>
        <v>0</v>
      </c>
      <c r="DH246" s="58">
        <f t="shared" ca="1" si="383"/>
        <v>0</v>
      </c>
      <c r="DI246" s="58">
        <f t="shared" ca="1" si="383"/>
        <v>0</v>
      </c>
      <c r="DJ246" s="58">
        <f t="shared" ca="1" si="383"/>
        <v>0</v>
      </c>
      <c r="DK246" s="58">
        <f t="shared" ca="1" si="383"/>
        <v>0</v>
      </c>
      <c r="DL246" s="58">
        <f t="shared" ca="1" si="383"/>
        <v>0</v>
      </c>
      <c r="DM246" s="58">
        <f t="shared" ca="1" si="383"/>
        <v>0</v>
      </c>
      <c r="DN246" s="58">
        <f t="shared" ca="1" si="383"/>
        <v>0</v>
      </c>
      <c r="DO246" s="58">
        <f t="shared" ca="1" si="383"/>
        <v>0</v>
      </c>
      <c r="DP246" s="58">
        <f t="shared" ca="1" si="383"/>
        <v>0</v>
      </c>
      <c r="DQ246" s="58">
        <f t="shared" ca="1" si="383"/>
        <v>0</v>
      </c>
      <c r="DR246" s="58">
        <f t="shared" ca="1" si="383"/>
        <v>0</v>
      </c>
      <c r="DS246" s="58">
        <f t="shared" ca="1" si="383"/>
        <v>0</v>
      </c>
      <c r="DT246" s="58">
        <f t="shared" ca="1" si="383"/>
        <v>0</v>
      </c>
      <c r="DU246" s="58">
        <f t="shared" ca="1" si="383"/>
        <v>0</v>
      </c>
      <c r="DV246" s="58">
        <f t="shared" ca="1" si="383"/>
        <v>0</v>
      </c>
      <c r="DW246" s="58">
        <f t="shared" ca="1" si="383"/>
        <v>0</v>
      </c>
      <c r="DX246" s="58">
        <f t="shared" ca="1" si="383"/>
        <v>0</v>
      </c>
      <c r="DY246" s="58">
        <f t="shared" ca="1" si="383"/>
        <v>0</v>
      </c>
      <c r="DZ246" s="58">
        <f t="shared" ca="1" si="383"/>
        <v>0</v>
      </c>
      <c r="EA246" s="58">
        <f t="shared" ca="1" si="383"/>
        <v>0</v>
      </c>
      <c r="EB246" s="58">
        <f t="shared" ca="1" si="383"/>
        <v>0</v>
      </c>
      <c r="EC246" s="58">
        <f t="shared" ca="1" si="383"/>
        <v>0</v>
      </c>
      <c r="ED246" s="58">
        <f t="shared" ca="1" si="383"/>
        <v>0</v>
      </c>
      <c r="EE246" s="58">
        <f t="shared" ref="EE246:FN246" ca="1" si="384">+IF(OR($F246+EE$175&lt;1,(EE$176-1)*12&lt;-$F246),0,OFFSET(EE76,0,$F246))</f>
        <v>0</v>
      </c>
      <c r="EF246" s="58">
        <f t="shared" ca="1" si="384"/>
        <v>0</v>
      </c>
      <c r="EG246" s="58">
        <f t="shared" ca="1" si="384"/>
        <v>0</v>
      </c>
      <c r="EH246" s="58">
        <f t="shared" ca="1" si="384"/>
        <v>0</v>
      </c>
      <c r="EI246" s="58">
        <f t="shared" ca="1" si="384"/>
        <v>0</v>
      </c>
      <c r="EJ246" s="58">
        <f t="shared" ca="1" si="384"/>
        <v>0</v>
      </c>
      <c r="EK246" s="58">
        <f t="shared" ca="1" si="384"/>
        <v>0</v>
      </c>
      <c r="EL246" s="58">
        <f t="shared" ca="1" si="384"/>
        <v>0</v>
      </c>
      <c r="EM246" s="58">
        <f t="shared" ca="1" si="384"/>
        <v>0</v>
      </c>
      <c r="EN246" s="58">
        <f t="shared" ca="1" si="384"/>
        <v>0</v>
      </c>
      <c r="EO246" s="58">
        <f t="shared" ca="1" si="384"/>
        <v>0</v>
      </c>
      <c r="EP246" s="58">
        <f t="shared" ca="1" si="384"/>
        <v>0</v>
      </c>
      <c r="EQ246" s="58">
        <f t="shared" ca="1" si="384"/>
        <v>0</v>
      </c>
      <c r="ER246" s="58">
        <f t="shared" ca="1" si="384"/>
        <v>0</v>
      </c>
      <c r="ES246" s="58">
        <f t="shared" ca="1" si="384"/>
        <v>0</v>
      </c>
      <c r="ET246" s="58">
        <f t="shared" ca="1" si="384"/>
        <v>0</v>
      </c>
      <c r="EU246" s="58">
        <f t="shared" ca="1" si="384"/>
        <v>0</v>
      </c>
      <c r="EV246" s="58">
        <f t="shared" ca="1" si="384"/>
        <v>0</v>
      </c>
      <c r="EW246" s="58">
        <f t="shared" ca="1" si="384"/>
        <v>0</v>
      </c>
      <c r="EX246" s="58">
        <f t="shared" ca="1" si="384"/>
        <v>0</v>
      </c>
      <c r="EY246" s="58">
        <f t="shared" ca="1" si="384"/>
        <v>0</v>
      </c>
      <c r="EZ246" s="58">
        <f t="shared" ca="1" si="384"/>
        <v>0</v>
      </c>
      <c r="FA246" s="58">
        <f t="shared" ca="1" si="384"/>
        <v>0</v>
      </c>
      <c r="FB246" s="58">
        <f t="shared" ca="1" si="384"/>
        <v>0</v>
      </c>
      <c r="FC246" s="58">
        <f t="shared" ca="1" si="384"/>
        <v>0</v>
      </c>
      <c r="FD246" s="58">
        <f t="shared" ca="1" si="384"/>
        <v>0</v>
      </c>
      <c r="FE246" s="58">
        <f t="shared" ca="1" si="384"/>
        <v>0</v>
      </c>
      <c r="FF246" s="58">
        <f t="shared" ca="1" si="384"/>
        <v>0</v>
      </c>
      <c r="FG246" s="58">
        <f t="shared" ca="1" si="384"/>
        <v>0</v>
      </c>
      <c r="FH246" s="58">
        <f t="shared" ca="1" si="384"/>
        <v>0</v>
      </c>
      <c r="FI246" s="58">
        <f t="shared" ca="1" si="384"/>
        <v>0</v>
      </c>
      <c r="FJ246" s="58">
        <f t="shared" ca="1" si="384"/>
        <v>0</v>
      </c>
      <c r="FK246" s="58">
        <f t="shared" ca="1" si="384"/>
        <v>0</v>
      </c>
      <c r="FL246" s="58">
        <f t="shared" ca="1" si="384"/>
        <v>0</v>
      </c>
      <c r="FM246" s="58">
        <f t="shared" ca="1" si="384"/>
        <v>0</v>
      </c>
      <c r="FN246" s="58">
        <f t="shared" ca="1" si="384"/>
        <v>0</v>
      </c>
      <c r="FO246" s="13"/>
    </row>
    <row r="247" spans="1:171" outlineLevel="1" x14ac:dyDescent="0.3">
      <c r="A247" s="13"/>
      <c r="B247" s="13"/>
      <c r="C247" s="13"/>
      <c r="D247" s="52">
        <f t="shared" si="357"/>
        <v>42278</v>
      </c>
      <c r="E247" s="53">
        <f t="shared" si="358"/>
        <v>2015</v>
      </c>
      <c r="F247" s="53">
        <f t="shared" si="359"/>
        <v>21</v>
      </c>
      <c r="G247" s="58">
        <f t="shared" ref="G247:AL247" ca="1" si="385">+IF(OR($F247+G$175&lt;1,(G$176-1)*12&lt;-$F247),0,OFFSET(G77,0,$F247))</f>
        <v>0</v>
      </c>
      <c r="H247" s="58">
        <f t="shared" ca="1" si="385"/>
        <v>0</v>
      </c>
      <c r="I247" s="58">
        <f t="shared" ca="1" si="385"/>
        <v>0</v>
      </c>
      <c r="J247" s="58">
        <f t="shared" ca="1" si="385"/>
        <v>0</v>
      </c>
      <c r="K247" s="58">
        <f t="shared" ca="1" si="385"/>
        <v>0</v>
      </c>
      <c r="L247" s="58">
        <f t="shared" ca="1" si="385"/>
        <v>0</v>
      </c>
      <c r="M247" s="58">
        <f t="shared" ca="1" si="385"/>
        <v>0</v>
      </c>
      <c r="N247" s="58">
        <f t="shared" ca="1" si="385"/>
        <v>0</v>
      </c>
      <c r="O247" s="58">
        <f t="shared" ca="1" si="385"/>
        <v>0</v>
      </c>
      <c r="P247" s="58">
        <f t="shared" ca="1" si="385"/>
        <v>0</v>
      </c>
      <c r="Q247" s="58">
        <f t="shared" ca="1" si="385"/>
        <v>0</v>
      </c>
      <c r="R247" s="58">
        <f t="shared" ca="1" si="385"/>
        <v>0</v>
      </c>
      <c r="S247" s="58">
        <f t="shared" ca="1" si="385"/>
        <v>0</v>
      </c>
      <c r="T247" s="58">
        <f t="shared" ca="1" si="385"/>
        <v>0</v>
      </c>
      <c r="U247" s="58">
        <f t="shared" ca="1" si="385"/>
        <v>0</v>
      </c>
      <c r="V247" s="58">
        <f t="shared" ca="1" si="385"/>
        <v>0</v>
      </c>
      <c r="W247" s="58">
        <f t="shared" ca="1" si="385"/>
        <v>0</v>
      </c>
      <c r="X247" s="58">
        <f t="shared" ca="1" si="385"/>
        <v>0</v>
      </c>
      <c r="Y247" s="58">
        <f t="shared" ca="1" si="385"/>
        <v>0</v>
      </c>
      <c r="Z247" s="58">
        <f t="shared" ca="1" si="385"/>
        <v>0</v>
      </c>
      <c r="AA247" s="58">
        <f t="shared" ca="1" si="385"/>
        <v>0</v>
      </c>
      <c r="AB247" s="58">
        <f t="shared" ca="1" si="385"/>
        <v>0</v>
      </c>
      <c r="AC247" s="58">
        <f t="shared" ca="1" si="385"/>
        <v>0</v>
      </c>
      <c r="AD247" s="58">
        <f t="shared" ca="1" si="385"/>
        <v>0</v>
      </c>
      <c r="AE247" s="58">
        <f t="shared" ca="1" si="385"/>
        <v>0</v>
      </c>
      <c r="AF247" s="58">
        <f t="shared" ca="1" si="385"/>
        <v>0</v>
      </c>
      <c r="AG247" s="58">
        <f t="shared" ca="1" si="385"/>
        <v>0</v>
      </c>
      <c r="AH247" s="58">
        <f t="shared" ca="1" si="385"/>
        <v>0</v>
      </c>
      <c r="AI247" s="58">
        <f t="shared" ca="1" si="385"/>
        <v>0</v>
      </c>
      <c r="AJ247" s="58">
        <f t="shared" ca="1" si="385"/>
        <v>0</v>
      </c>
      <c r="AK247" s="58">
        <f t="shared" ca="1" si="385"/>
        <v>0</v>
      </c>
      <c r="AL247" s="58">
        <f t="shared" ca="1" si="385"/>
        <v>0</v>
      </c>
      <c r="AM247" s="58">
        <f t="shared" ref="AM247:BR247" ca="1" si="386">+IF(OR($F247+AM$175&lt;1,(AM$176-1)*12&lt;-$F247),0,OFFSET(AM77,0,$F247))</f>
        <v>0</v>
      </c>
      <c r="AN247" s="58">
        <f t="shared" ca="1" si="386"/>
        <v>0</v>
      </c>
      <c r="AO247" s="58">
        <f t="shared" ca="1" si="386"/>
        <v>0</v>
      </c>
      <c r="AP247" s="58">
        <f t="shared" ca="1" si="386"/>
        <v>0</v>
      </c>
      <c r="AQ247" s="58">
        <f t="shared" ca="1" si="386"/>
        <v>0</v>
      </c>
      <c r="AR247" s="58">
        <f t="shared" ca="1" si="386"/>
        <v>0</v>
      </c>
      <c r="AS247" s="58">
        <f t="shared" ca="1" si="386"/>
        <v>0</v>
      </c>
      <c r="AT247" s="58">
        <f t="shared" ca="1" si="386"/>
        <v>0</v>
      </c>
      <c r="AU247" s="58">
        <f t="shared" ca="1" si="386"/>
        <v>0</v>
      </c>
      <c r="AV247" s="58">
        <f t="shared" ca="1" si="386"/>
        <v>0</v>
      </c>
      <c r="AW247" s="58">
        <f t="shared" ca="1" si="386"/>
        <v>0</v>
      </c>
      <c r="AX247" s="58">
        <f t="shared" ca="1" si="386"/>
        <v>0</v>
      </c>
      <c r="AY247" s="58">
        <f t="shared" ca="1" si="386"/>
        <v>0</v>
      </c>
      <c r="AZ247" s="58">
        <f t="shared" ca="1" si="386"/>
        <v>0</v>
      </c>
      <c r="BA247" s="58">
        <f t="shared" ca="1" si="386"/>
        <v>0</v>
      </c>
      <c r="BB247" s="58">
        <f t="shared" ca="1" si="386"/>
        <v>0</v>
      </c>
      <c r="BC247" s="58">
        <f t="shared" ca="1" si="386"/>
        <v>0</v>
      </c>
      <c r="BD247" s="58">
        <f t="shared" ca="1" si="386"/>
        <v>0</v>
      </c>
      <c r="BE247" s="58">
        <f t="shared" ca="1" si="386"/>
        <v>0</v>
      </c>
      <c r="BF247" s="58">
        <f t="shared" ca="1" si="386"/>
        <v>0</v>
      </c>
      <c r="BG247" s="58">
        <f t="shared" ca="1" si="386"/>
        <v>0</v>
      </c>
      <c r="BH247" s="58">
        <f t="shared" ca="1" si="386"/>
        <v>0</v>
      </c>
      <c r="BI247" s="58">
        <f t="shared" ca="1" si="386"/>
        <v>0</v>
      </c>
      <c r="BJ247" s="58">
        <f t="shared" ca="1" si="386"/>
        <v>0</v>
      </c>
      <c r="BK247" s="58">
        <f t="shared" ca="1" si="386"/>
        <v>0</v>
      </c>
      <c r="BL247" s="58">
        <f t="shared" ca="1" si="386"/>
        <v>0</v>
      </c>
      <c r="BM247" s="58">
        <f t="shared" ca="1" si="386"/>
        <v>0</v>
      </c>
      <c r="BN247" s="58">
        <f t="shared" ca="1" si="386"/>
        <v>0</v>
      </c>
      <c r="BO247" s="58">
        <f t="shared" ca="1" si="386"/>
        <v>0</v>
      </c>
      <c r="BP247" s="58">
        <f t="shared" ca="1" si="386"/>
        <v>0</v>
      </c>
      <c r="BQ247" s="58">
        <f t="shared" ca="1" si="386"/>
        <v>0</v>
      </c>
      <c r="BR247" s="58">
        <f t="shared" ca="1" si="386"/>
        <v>0</v>
      </c>
      <c r="BS247" s="58">
        <f t="shared" ref="BS247:CX247" ca="1" si="387">+IF(OR($F247+BS$175&lt;1,(BS$176-1)*12&lt;-$F247),0,OFFSET(BS77,0,$F247))</f>
        <v>0</v>
      </c>
      <c r="BT247" s="58">
        <f t="shared" ca="1" si="387"/>
        <v>0</v>
      </c>
      <c r="BU247" s="58">
        <f t="shared" ca="1" si="387"/>
        <v>0</v>
      </c>
      <c r="BV247" s="58">
        <f t="shared" ca="1" si="387"/>
        <v>0</v>
      </c>
      <c r="BW247" s="58">
        <f t="shared" ca="1" si="387"/>
        <v>0</v>
      </c>
      <c r="BX247" s="58">
        <f t="shared" ca="1" si="387"/>
        <v>0</v>
      </c>
      <c r="BY247" s="58">
        <f t="shared" ca="1" si="387"/>
        <v>0</v>
      </c>
      <c r="BZ247" s="58">
        <f t="shared" ca="1" si="387"/>
        <v>0</v>
      </c>
      <c r="CA247" s="58">
        <f t="shared" ca="1" si="387"/>
        <v>0</v>
      </c>
      <c r="CB247" s="58">
        <f t="shared" ca="1" si="387"/>
        <v>0</v>
      </c>
      <c r="CC247" s="58">
        <f t="shared" ca="1" si="387"/>
        <v>0</v>
      </c>
      <c r="CD247" s="58">
        <f t="shared" ca="1" si="387"/>
        <v>0</v>
      </c>
      <c r="CE247" s="58">
        <f t="shared" ca="1" si="387"/>
        <v>0</v>
      </c>
      <c r="CF247" s="58">
        <f t="shared" ca="1" si="387"/>
        <v>0</v>
      </c>
      <c r="CG247" s="58">
        <f t="shared" ca="1" si="387"/>
        <v>0</v>
      </c>
      <c r="CH247" s="58">
        <f t="shared" ca="1" si="387"/>
        <v>0</v>
      </c>
      <c r="CI247" s="58">
        <f t="shared" ca="1" si="387"/>
        <v>0</v>
      </c>
      <c r="CJ247" s="58">
        <f t="shared" ca="1" si="387"/>
        <v>0</v>
      </c>
      <c r="CK247" s="58">
        <f t="shared" ca="1" si="387"/>
        <v>0</v>
      </c>
      <c r="CL247" s="58">
        <f t="shared" ca="1" si="387"/>
        <v>0</v>
      </c>
      <c r="CM247" s="58">
        <f t="shared" ca="1" si="387"/>
        <v>0</v>
      </c>
      <c r="CN247" s="58">
        <f t="shared" ca="1" si="387"/>
        <v>0</v>
      </c>
      <c r="CO247" s="58">
        <f t="shared" ca="1" si="387"/>
        <v>0</v>
      </c>
      <c r="CP247" s="58">
        <f t="shared" ca="1" si="387"/>
        <v>0</v>
      </c>
      <c r="CQ247" s="58">
        <f t="shared" ca="1" si="387"/>
        <v>0</v>
      </c>
      <c r="CR247" s="58">
        <f t="shared" ca="1" si="387"/>
        <v>0</v>
      </c>
      <c r="CS247" s="58">
        <f t="shared" ca="1" si="387"/>
        <v>0</v>
      </c>
      <c r="CT247" s="58">
        <f t="shared" ca="1" si="387"/>
        <v>0</v>
      </c>
      <c r="CU247" s="58">
        <f t="shared" ca="1" si="387"/>
        <v>0</v>
      </c>
      <c r="CV247" s="58">
        <f t="shared" ca="1" si="387"/>
        <v>0</v>
      </c>
      <c r="CW247" s="58">
        <f t="shared" ca="1" si="387"/>
        <v>0</v>
      </c>
      <c r="CX247" s="58">
        <f t="shared" ca="1" si="387"/>
        <v>0</v>
      </c>
      <c r="CY247" s="58">
        <f t="shared" ref="CY247:ED247" ca="1" si="388">+IF(OR($F247+CY$175&lt;1,(CY$176-1)*12&lt;-$F247),0,OFFSET(CY77,0,$F247))</f>
        <v>0</v>
      </c>
      <c r="CZ247" s="58">
        <f t="shared" ca="1" si="388"/>
        <v>0</v>
      </c>
      <c r="DA247" s="58">
        <f t="shared" ca="1" si="388"/>
        <v>0</v>
      </c>
      <c r="DB247" s="58">
        <f t="shared" ca="1" si="388"/>
        <v>0</v>
      </c>
      <c r="DC247" s="58">
        <f t="shared" ca="1" si="388"/>
        <v>0</v>
      </c>
      <c r="DD247" s="58">
        <f t="shared" ca="1" si="388"/>
        <v>0</v>
      </c>
      <c r="DE247" s="58">
        <f t="shared" ca="1" si="388"/>
        <v>0</v>
      </c>
      <c r="DF247" s="58">
        <f t="shared" ca="1" si="388"/>
        <v>0</v>
      </c>
      <c r="DG247" s="58">
        <f t="shared" ca="1" si="388"/>
        <v>0</v>
      </c>
      <c r="DH247" s="58">
        <f t="shared" ca="1" si="388"/>
        <v>0</v>
      </c>
      <c r="DI247" s="58">
        <f t="shared" ca="1" si="388"/>
        <v>0</v>
      </c>
      <c r="DJ247" s="58">
        <f t="shared" ca="1" si="388"/>
        <v>0</v>
      </c>
      <c r="DK247" s="58">
        <f t="shared" ca="1" si="388"/>
        <v>0</v>
      </c>
      <c r="DL247" s="58">
        <f t="shared" ca="1" si="388"/>
        <v>0</v>
      </c>
      <c r="DM247" s="58">
        <f t="shared" ca="1" si="388"/>
        <v>0</v>
      </c>
      <c r="DN247" s="58">
        <f t="shared" ca="1" si="388"/>
        <v>0</v>
      </c>
      <c r="DO247" s="58">
        <f t="shared" ca="1" si="388"/>
        <v>0</v>
      </c>
      <c r="DP247" s="58">
        <f t="shared" ca="1" si="388"/>
        <v>0</v>
      </c>
      <c r="DQ247" s="58">
        <f t="shared" ca="1" si="388"/>
        <v>0</v>
      </c>
      <c r="DR247" s="58">
        <f t="shared" ca="1" si="388"/>
        <v>0</v>
      </c>
      <c r="DS247" s="58">
        <f t="shared" ca="1" si="388"/>
        <v>0</v>
      </c>
      <c r="DT247" s="58">
        <f t="shared" ca="1" si="388"/>
        <v>0</v>
      </c>
      <c r="DU247" s="58">
        <f t="shared" ca="1" si="388"/>
        <v>0</v>
      </c>
      <c r="DV247" s="58">
        <f t="shared" ca="1" si="388"/>
        <v>0</v>
      </c>
      <c r="DW247" s="58">
        <f t="shared" ca="1" si="388"/>
        <v>0</v>
      </c>
      <c r="DX247" s="58">
        <f t="shared" ca="1" si="388"/>
        <v>0</v>
      </c>
      <c r="DY247" s="58">
        <f t="shared" ca="1" si="388"/>
        <v>0</v>
      </c>
      <c r="DZ247" s="58">
        <f t="shared" ca="1" si="388"/>
        <v>0</v>
      </c>
      <c r="EA247" s="58">
        <f t="shared" ca="1" si="388"/>
        <v>0</v>
      </c>
      <c r="EB247" s="58">
        <f t="shared" ca="1" si="388"/>
        <v>0</v>
      </c>
      <c r="EC247" s="58">
        <f t="shared" ca="1" si="388"/>
        <v>0</v>
      </c>
      <c r="ED247" s="58">
        <f t="shared" ca="1" si="388"/>
        <v>0</v>
      </c>
      <c r="EE247" s="58">
        <f t="shared" ref="EE247:FN247" ca="1" si="389">+IF(OR($F247+EE$175&lt;1,(EE$176-1)*12&lt;-$F247),0,OFFSET(EE77,0,$F247))</f>
        <v>0</v>
      </c>
      <c r="EF247" s="58">
        <f t="shared" ca="1" si="389"/>
        <v>0</v>
      </c>
      <c r="EG247" s="58">
        <f t="shared" ca="1" si="389"/>
        <v>0</v>
      </c>
      <c r="EH247" s="58">
        <f t="shared" ca="1" si="389"/>
        <v>0</v>
      </c>
      <c r="EI247" s="58">
        <f t="shared" ca="1" si="389"/>
        <v>0</v>
      </c>
      <c r="EJ247" s="58">
        <f t="shared" ca="1" si="389"/>
        <v>0</v>
      </c>
      <c r="EK247" s="58">
        <f t="shared" ca="1" si="389"/>
        <v>0</v>
      </c>
      <c r="EL247" s="58">
        <f t="shared" ca="1" si="389"/>
        <v>0</v>
      </c>
      <c r="EM247" s="58">
        <f t="shared" ca="1" si="389"/>
        <v>0</v>
      </c>
      <c r="EN247" s="58">
        <f t="shared" ca="1" si="389"/>
        <v>0</v>
      </c>
      <c r="EO247" s="58">
        <f t="shared" ca="1" si="389"/>
        <v>0</v>
      </c>
      <c r="EP247" s="58">
        <f t="shared" ca="1" si="389"/>
        <v>0</v>
      </c>
      <c r="EQ247" s="58">
        <f t="shared" ca="1" si="389"/>
        <v>0</v>
      </c>
      <c r="ER247" s="58">
        <f t="shared" ca="1" si="389"/>
        <v>0</v>
      </c>
      <c r="ES247" s="58">
        <f t="shared" ca="1" si="389"/>
        <v>0</v>
      </c>
      <c r="ET247" s="58">
        <f t="shared" ca="1" si="389"/>
        <v>0</v>
      </c>
      <c r="EU247" s="58">
        <f t="shared" ca="1" si="389"/>
        <v>0</v>
      </c>
      <c r="EV247" s="58">
        <f t="shared" ca="1" si="389"/>
        <v>0</v>
      </c>
      <c r="EW247" s="58">
        <f t="shared" ca="1" si="389"/>
        <v>0</v>
      </c>
      <c r="EX247" s="58">
        <f t="shared" ca="1" si="389"/>
        <v>0</v>
      </c>
      <c r="EY247" s="58">
        <f t="shared" ca="1" si="389"/>
        <v>0</v>
      </c>
      <c r="EZ247" s="58">
        <f t="shared" ca="1" si="389"/>
        <v>0</v>
      </c>
      <c r="FA247" s="58">
        <f t="shared" ca="1" si="389"/>
        <v>0</v>
      </c>
      <c r="FB247" s="58">
        <f t="shared" ca="1" si="389"/>
        <v>0</v>
      </c>
      <c r="FC247" s="58">
        <f t="shared" ca="1" si="389"/>
        <v>0</v>
      </c>
      <c r="FD247" s="58">
        <f t="shared" ca="1" si="389"/>
        <v>0</v>
      </c>
      <c r="FE247" s="58">
        <f t="shared" ca="1" si="389"/>
        <v>0</v>
      </c>
      <c r="FF247" s="58">
        <f t="shared" ca="1" si="389"/>
        <v>0</v>
      </c>
      <c r="FG247" s="58">
        <f t="shared" ca="1" si="389"/>
        <v>0</v>
      </c>
      <c r="FH247" s="58">
        <f t="shared" ca="1" si="389"/>
        <v>0</v>
      </c>
      <c r="FI247" s="58">
        <f t="shared" ca="1" si="389"/>
        <v>0</v>
      </c>
      <c r="FJ247" s="58">
        <f t="shared" ca="1" si="389"/>
        <v>0</v>
      </c>
      <c r="FK247" s="58">
        <f t="shared" ca="1" si="389"/>
        <v>0</v>
      </c>
      <c r="FL247" s="58">
        <f t="shared" ca="1" si="389"/>
        <v>0</v>
      </c>
      <c r="FM247" s="58">
        <f t="shared" ca="1" si="389"/>
        <v>0</v>
      </c>
      <c r="FN247" s="58">
        <f t="shared" ca="1" si="389"/>
        <v>0</v>
      </c>
      <c r="FO247" s="13"/>
    </row>
    <row r="248" spans="1:171" outlineLevel="1" x14ac:dyDescent="0.3">
      <c r="A248" s="13"/>
      <c r="B248" s="13"/>
      <c r="C248" s="13"/>
      <c r="D248" s="52">
        <f t="shared" si="357"/>
        <v>42309</v>
      </c>
      <c r="E248" s="53">
        <f t="shared" si="358"/>
        <v>2015</v>
      </c>
      <c r="F248" s="53">
        <f t="shared" si="359"/>
        <v>22</v>
      </c>
      <c r="G248" s="58">
        <f t="shared" ref="G248:AL248" ca="1" si="390">+IF(OR($F248+G$175&lt;1,(G$176-1)*12&lt;-$F248),0,OFFSET(G78,0,$F248))</f>
        <v>0</v>
      </c>
      <c r="H248" s="58">
        <f t="shared" ca="1" si="390"/>
        <v>0</v>
      </c>
      <c r="I248" s="58">
        <f t="shared" ca="1" si="390"/>
        <v>0</v>
      </c>
      <c r="J248" s="58">
        <f t="shared" ca="1" si="390"/>
        <v>0</v>
      </c>
      <c r="K248" s="58">
        <f t="shared" ca="1" si="390"/>
        <v>0</v>
      </c>
      <c r="L248" s="58">
        <f t="shared" ca="1" si="390"/>
        <v>0</v>
      </c>
      <c r="M248" s="58">
        <f t="shared" ca="1" si="390"/>
        <v>0</v>
      </c>
      <c r="N248" s="58">
        <f t="shared" ca="1" si="390"/>
        <v>0</v>
      </c>
      <c r="O248" s="58">
        <f t="shared" ca="1" si="390"/>
        <v>0</v>
      </c>
      <c r="P248" s="58">
        <f t="shared" ca="1" si="390"/>
        <v>0</v>
      </c>
      <c r="Q248" s="58">
        <f t="shared" ca="1" si="390"/>
        <v>0</v>
      </c>
      <c r="R248" s="58">
        <f t="shared" ca="1" si="390"/>
        <v>0</v>
      </c>
      <c r="S248" s="58">
        <f t="shared" ca="1" si="390"/>
        <v>0</v>
      </c>
      <c r="T248" s="58">
        <f t="shared" ca="1" si="390"/>
        <v>0</v>
      </c>
      <c r="U248" s="58">
        <f t="shared" ca="1" si="390"/>
        <v>0</v>
      </c>
      <c r="V248" s="58">
        <f t="shared" ca="1" si="390"/>
        <v>0</v>
      </c>
      <c r="W248" s="58">
        <f t="shared" ca="1" si="390"/>
        <v>0</v>
      </c>
      <c r="X248" s="58">
        <f t="shared" ca="1" si="390"/>
        <v>0</v>
      </c>
      <c r="Y248" s="58">
        <f t="shared" ca="1" si="390"/>
        <v>0</v>
      </c>
      <c r="Z248" s="58">
        <f t="shared" ca="1" si="390"/>
        <v>0</v>
      </c>
      <c r="AA248" s="58">
        <f t="shared" ca="1" si="390"/>
        <v>0</v>
      </c>
      <c r="AB248" s="58">
        <f t="shared" ca="1" si="390"/>
        <v>0</v>
      </c>
      <c r="AC248" s="58">
        <f t="shared" ca="1" si="390"/>
        <v>0</v>
      </c>
      <c r="AD248" s="58">
        <f t="shared" ca="1" si="390"/>
        <v>0</v>
      </c>
      <c r="AE248" s="58">
        <f t="shared" ca="1" si="390"/>
        <v>0</v>
      </c>
      <c r="AF248" s="58">
        <f t="shared" ca="1" si="390"/>
        <v>0</v>
      </c>
      <c r="AG248" s="58">
        <f t="shared" ca="1" si="390"/>
        <v>0</v>
      </c>
      <c r="AH248" s="58">
        <f t="shared" ca="1" si="390"/>
        <v>0</v>
      </c>
      <c r="AI248" s="58">
        <f t="shared" ca="1" si="390"/>
        <v>0</v>
      </c>
      <c r="AJ248" s="58">
        <f t="shared" ca="1" si="390"/>
        <v>0</v>
      </c>
      <c r="AK248" s="58">
        <f t="shared" ca="1" si="390"/>
        <v>0</v>
      </c>
      <c r="AL248" s="58">
        <f t="shared" ca="1" si="390"/>
        <v>0</v>
      </c>
      <c r="AM248" s="58">
        <f t="shared" ref="AM248:BR248" ca="1" si="391">+IF(OR($F248+AM$175&lt;1,(AM$176-1)*12&lt;-$F248),0,OFFSET(AM78,0,$F248))</f>
        <v>0</v>
      </c>
      <c r="AN248" s="58">
        <f t="shared" ca="1" si="391"/>
        <v>0</v>
      </c>
      <c r="AO248" s="58">
        <f t="shared" ca="1" si="391"/>
        <v>0</v>
      </c>
      <c r="AP248" s="58">
        <f t="shared" ca="1" si="391"/>
        <v>0</v>
      </c>
      <c r="AQ248" s="58">
        <f t="shared" ca="1" si="391"/>
        <v>0</v>
      </c>
      <c r="AR248" s="58">
        <f t="shared" ca="1" si="391"/>
        <v>0</v>
      </c>
      <c r="AS248" s="58">
        <f t="shared" ca="1" si="391"/>
        <v>0</v>
      </c>
      <c r="AT248" s="58">
        <f t="shared" ca="1" si="391"/>
        <v>0</v>
      </c>
      <c r="AU248" s="58">
        <f t="shared" ca="1" si="391"/>
        <v>0</v>
      </c>
      <c r="AV248" s="58">
        <f t="shared" ca="1" si="391"/>
        <v>0</v>
      </c>
      <c r="AW248" s="58">
        <f t="shared" ca="1" si="391"/>
        <v>0</v>
      </c>
      <c r="AX248" s="58">
        <f t="shared" ca="1" si="391"/>
        <v>0</v>
      </c>
      <c r="AY248" s="58">
        <f t="shared" ca="1" si="391"/>
        <v>0</v>
      </c>
      <c r="AZ248" s="58">
        <f t="shared" ca="1" si="391"/>
        <v>0</v>
      </c>
      <c r="BA248" s="58">
        <f t="shared" ca="1" si="391"/>
        <v>0</v>
      </c>
      <c r="BB248" s="58">
        <f t="shared" ca="1" si="391"/>
        <v>0</v>
      </c>
      <c r="BC248" s="58">
        <f t="shared" ca="1" si="391"/>
        <v>0</v>
      </c>
      <c r="BD248" s="58">
        <f t="shared" ca="1" si="391"/>
        <v>0</v>
      </c>
      <c r="BE248" s="58">
        <f t="shared" ca="1" si="391"/>
        <v>0</v>
      </c>
      <c r="BF248" s="58">
        <f t="shared" ca="1" si="391"/>
        <v>0</v>
      </c>
      <c r="BG248" s="58">
        <f t="shared" ca="1" si="391"/>
        <v>0</v>
      </c>
      <c r="BH248" s="58">
        <f t="shared" ca="1" si="391"/>
        <v>0</v>
      </c>
      <c r="BI248" s="58">
        <f t="shared" ca="1" si="391"/>
        <v>0</v>
      </c>
      <c r="BJ248" s="58">
        <f t="shared" ca="1" si="391"/>
        <v>0</v>
      </c>
      <c r="BK248" s="58">
        <f t="shared" ca="1" si="391"/>
        <v>0</v>
      </c>
      <c r="BL248" s="58">
        <f t="shared" ca="1" si="391"/>
        <v>0</v>
      </c>
      <c r="BM248" s="58">
        <f t="shared" ca="1" si="391"/>
        <v>0</v>
      </c>
      <c r="BN248" s="58">
        <f t="shared" ca="1" si="391"/>
        <v>0</v>
      </c>
      <c r="BO248" s="58">
        <f t="shared" ca="1" si="391"/>
        <v>0</v>
      </c>
      <c r="BP248" s="58">
        <f t="shared" ca="1" si="391"/>
        <v>0</v>
      </c>
      <c r="BQ248" s="58">
        <f t="shared" ca="1" si="391"/>
        <v>0</v>
      </c>
      <c r="BR248" s="58">
        <f t="shared" ca="1" si="391"/>
        <v>0</v>
      </c>
      <c r="BS248" s="58">
        <f t="shared" ref="BS248:CX248" ca="1" si="392">+IF(OR($F248+BS$175&lt;1,(BS$176-1)*12&lt;-$F248),0,OFFSET(BS78,0,$F248))</f>
        <v>0</v>
      </c>
      <c r="BT248" s="58">
        <f t="shared" ca="1" si="392"/>
        <v>0</v>
      </c>
      <c r="BU248" s="58">
        <f t="shared" ca="1" si="392"/>
        <v>0</v>
      </c>
      <c r="BV248" s="58">
        <f t="shared" ca="1" si="392"/>
        <v>0</v>
      </c>
      <c r="BW248" s="58">
        <f t="shared" ca="1" si="392"/>
        <v>0</v>
      </c>
      <c r="BX248" s="58">
        <f t="shared" ca="1" si="392"/>
        <v>0</v>
      </c>
      <c r="BY248" s="58">
        <f t="shared" ca="1" si="392"/>
        <v>0</v>
      </c>
      <c r="BZ248" s="58">
        <f t="shared" ca="1" si="392"/>
        <v>0</v>
      </c>
      <c r="CA248" s="58">
        <f t="shared" ca="1" si="392"/>
        <v>0</v>
      </c>
      <c r="CB248" s="58">
        <f t="shared" ca="1" si="392"/>
        <v>0</v>
      </c>
      <c r="CC248" s="58">
        <f t="shared" ca="1" si="392"/>
        <v>0</v>
      </c>
      <c r="CD248" s="58">
        <f t="shared" ca="1" si="392"/>
        <v>0</v>
      </c>
      <c r="CE248" s="58">
        <f t="shared" ca="1" si="392"/>
        <v>0</v>
      </c>
      <c r="CF248" s="58">
        <f t="shared" ca="1" si="392"/>
        <v>0</v>
      </c>
      <c r="CG248" s="58">
        <f t="shared" ca="1" si="392"/>
        <v>0</v>
      </c>
      <c r="CH248" s="58">
        <f t="shared" ca="1" si="392"/>
        <v>0</v>
      </c>
      <c r="CI248" s="58">
        <f t="shared" ca="1" si="392"/>
        <v>0</v>
      </c>
      <c r="CJ248" s="58">
        <f t="shared" ca="1" si="392"/>
        <v>0</v>
      </c>
      <c r="CK248" s="58">
        <f t="shared" ca="1" si="392"/>
        <v>0</v>
      </c>
      <c r="CL248" s="58">
        <f t="shared" ca="1" si="392"/>
        <v>0</v>
      </c>
      <c r="CM248" s="58">
        <f t="shared" ca="1" si="392"/>
        <v>0</v>
      </c>
      <c r="CN248" s="58">
        <f t="shared" ca="1" si="392"/>
        <v>0</v>
      </c>
      <c r="CO248" s="58">
        <f t="shared" ca="1" si="392"/>
        <v>0</v>
      </c>
      <c r="CP248" s="58">
        <f t="shared" ca="1" si="392"/>
        <v>0</v>
      </c>
      <c r="CQ248" s="58">
        <f t="shared" ca="1" si="392"/>
        <v>0</v>
      </c>
      <c r="CR248" s="58">
        <f t="shared" ca="1" si="392"/>
        <v>0</v>
      </c>
      <c r="CS248" s="58">
        <f t="shared" ca="1" si="392"/>
        <v>0</v>
      </c>
      <c r="CT248" s="58">
        <f t="shared" ca="1" si="392"/>
        <v>0</v>
      </c>
      <c r="CU248" s="58">
        <f t="shared" ca="1" si="392"/>
        <v>0</v>
      </c>
      <c r="CV248" s="58">
        <f t="shared" ca="1" si="392"/>
        <v>0</v>
      </c>
      <c r="CW248" s="58">
        <f t="shared" ca="1" si="392"/>
        <v>0</v>
      </c>
      <c r="CX248" s="58">
        <f t="shared" ca="1" si="392"/>
        <v>0</v>
      </c>
      <c r="CY248" s="58">
        <f t="shared" ref="CY248:ED248" ca="1" si="393">+IF(OR($F248+CY$175&lt;1,(CY$176-1)*12&lt;-$F248),0,OFFSET(CY78,0,$F248))</f>
        <v>0</v>
      </c>
      <c r="CZ248" s="58">
        <f t="shared" ca="1" si="393"/>
        <v>0</v>
      </c>
      <c r="DA248" s="58">
        <f t="shared" ca="1" si="393"/>
        <v>0</v>
      </c>
      <c r="DB248" s="58">
        <f t="shared" ca="1" si="393"/>
        <v>0</v>
      </c>
      <c r="DC248" s="58">
        <f t="shared" ca="1" si="393"/>
        <v>0</v>
      </c>
      <c r="DD248" s="58">
        <f t="shared" ca="1" si="393"/>
        <v>0</v>
      </c>
      <c r="DE248" s="58">
        <f t="shared" ca="1" si="393"/>
        <v>0</v>
      </c>
      <c r="DF248" s="58">
        <f t="shared" ca="1" si="393"/>
        <v>0</v>
      </c>
      <c r="DG248" s="58">
        <f t="shared" ca="1" si="393"/>
        <v>0</v>
      </c>
      <c r="DH248" s="58">
        <f t="shared" ca="1" si="393"/>
        <v>0</v>
      </c>
      <c r="DI248" s="58">
        <f t="shared" ca="1" si="393"/>
        <v>0</v>
      </c>
      <c r="DJ248" s="58">
        <f t="shared" ca="1" si="393"/>
        <v>0</v>
      </c>
      <c r="DK248" s="58">
        <f t="shared" ca="1" si="393"/>
        <v>0</v>
      </c>
      <c r="DL248" s="58">
        <f t="shared" ca="1" si="393"/>
        <v>0</v>
      </c>
      <c r="DM248" s="58">
        <f t="shared" ca="1" si="393"/>
        <v>0</v>
      </c>
      <c r="DN248" s="58">
        <f t="shared" ca="1" si="393"/>
        <v>0</v>
      </c>
      <c r="DO248" s="58">
        <f t="shared" ca="1" si="393"/>
        <v>0</v>
      </c>
      <c r="DP248" s="58">
        <f t="shared" ca="1" si="393"/>
        <v>0</v>
      </c>
      <c r="DQ248" s="58">
        <f t="shared" ca="1" si="393"/>
        <v>0</v>
      </c>
      <c r="DR248" s="58">
        <f t="shared" ca="1" si="393"/>
        <v>0</v>
      </c>
      <c r="DS248" s="58">
        <f t="shared" ca="1" si="393"/>
        <v>0</v>
      </c>
      <c r="DT248" s="58">
        <f t="shared" ca="1" si="393"/>
        <v>0</v>
      </c>
      <c r="DU248" s="58">
        <f t="shared" ca="1" si="393"/>
        <v>0</v>
      </c>
      <c r="DV248" s="58">
        <f t="shared" ca="1" si="393"/>
        <v>0</v>
      </c>
      <c r="DW248" s="58">
        <f t="shared" ca="1" si="393"/>
        <v>0</v>
      </c>
      <c r="DX248" s="58">
        <f t="shared" ca="1" si="393"/>
        <v>0</v>
      </c>
      <c r="DY248" s="58">
        <f t="shared" ca="1" si="393"/>
        <v>0</v>
      </c>
      <c r="DZ248" s="58">
        <f t="shared" ca="1" si="393"/>
        <v>0</v>
      </c>
      <c r="EA248" s="58">
        <f t="shared" ca="1" si="393"/>
        <v>0</v>
      </c>
      <c r="EB248" s="58">
        <f t="shared" ca="1" si="393"/>
        <v>0</v>
      </c>
      <c r="EC248" s="58">
        <f t="shared" ca="1" si="393"/>
        <v>0</v>
      </c>
      <c r="ED248" s="58">
        <f t="shared" ca="1" si="393"/>
        <v>0</v>
      </c>
      <c r="EE248" s="58">
        <f t="shared" ref="EE248:FN248" ca="1" si="394">+IF(OR($F248+EE$175&lt;1,(EE$176-1)*12&lt;-$F248),0,OFFSET(EE78,0,$F248))</f>
        <v>0</v>
      </c>
      <c r="EF248" s="58">
        <f t="shared" ca="1" si="394"/>
        <v>0</v>
      </c>
      <c r="EG248" s="58">
        <f t="shared" ca="1" si="394"/>
        <v>0</v>
      </c>
      <c r="EH248" s="58">
        <f t="shared" ca="1" si="394"/>
        <v>0</v>
      </c>
      <c r="EI248" s="58">
        <f t="shared" ca="1" si="394"/>
        <v>0</v>
      </c>
      <c r="EJ248" s="58">
        <f t="shared" ca="1" si="394"/>
        <v>0</v>
      </c>
      <c r="EK248" s="58">
        <f t="shared" ca="1" si="394"/>
        <v>0</v>
      </c>
      <c r="EL248" s="58">
        <f t="shared" ca="1" si="394"/>
        <v>0</v>
      </c>
      <c r="EM248" s="58">
        <f t="shared" ca="1" si="394"/>
        <v>0</v>
      </c>
      <c r="EN248" s="58">
        <f t="shared" ca="1" si="394"/>
        <v>0</v>
      </c>
      <c r="EO248" s="58">
        <f t="shared" ca="1" si="394"/>
        <v>0</v>
      </c>
      <c r="EP248" s="58">
        <f t="shared" ca="1" si="394"/>
        <v>0</v>
      </c>
      <c r="EQ248" s="58">
        <f t="shared" ca="1" si="394"/>
        <v>0</v>
      </c>
      <c r="ER248" s="58">
        <f t="shared" ca="1" si="394"/>
        <v>0</v>
      </c>
      <c r="ES248" s="58">
        <f t="shared" ca="1" si="394"/>
        <v>0</v>
      </c>
      <c r="ET248" s="58">
        <f t="shared" ca="1" si="394"/>
        <v>0</v>
      </c>
      <c r="EU248" s="58">
        <f t="shared" ca="1" si="394"/>
        <v>0</v>
      </c>
      <c r="EV248" s="58">
        <f t="shared" ca="1" si="394"/>
        <v>0</v>
      </c>
      <c r="EW248" s="58">
        <f t="shared" ca="1" si="394"/>
        <v>0</v>
      </c>
      <c r="EX248" s="58">
        <f t="shared" ca="1" si="394"/>
        <v>0</v>
      </c>
      <c r="EY248" s="58">
        <f t="shared" ca="1" si="394"/>
        <v>0</v>
      </c>
      <c r="EZ248" s="58">
        <f t="shared" ca="1" si="394"/>
        <v>0</v>
      </c>
      <c r="FA248" s="58">
        <f t="shared" ca="1" si="394"/>
        <v>0</v>
      </c>
      <c r="FB248" s="58">
        <f t="shared" ca="1" si="394"/>
        <v>0</v>
      </c>
      <c r="FC248" s="58">
        <f t="shared" ca="1" si="394"/>
        <v>0</v>
      </c>
      <c r="FD248" s="58">
        <f t="shared" ca="1" si="394"/>
        <v>0</v>
      </c>
      <c r="FE248" s="58">
        <f t="shared" ca="1" si="394"/>
        <v>0</v>
      </c>
      <c r="FF248" s="58">
        <f t="shared" ca="1" si="394"/>
        <v>0</v>
      </c>
      <c r="FG248" s="58">
        <f t="shared" ca="1" si="394"/>
        <v>0</v>
      </c>
      <c r="FH248" s="58">
        <f t="shared" ca="1" si="394"/>
        <v>0</v>
      </c>
      <c r="FI248" s="58">
        <f t="shared" ca="1" si="394"/>
        <v>0</v>
      </c>
      <c r="FJ248" s="58">
        <f t="shared" ca="1" si="394"/>
        <v>0</v>
      </c>
      <c r="FK248" s="58">
        <f t="shared" ca="1" si="394"/>
        <v>0</v>
      </c>
      <c r="FL248" s="58">
        <f t="shared" ca="1" si="394"/>
        <v>0</v>
      </c>
      <c r="FM248" s="58">
        <f t="shared" ca="1" si="394"/>
        <v>0</v>
      </c>
      <c r="FN248" s="58">
        <f t="shared" ca="1" si="394"/>
        <v>0</v>
      </c>
      <c r="FO248" s="13"/>
    </row>
    <row r="249" spans="1:171" outlineLevel="1" x14ac:dyDescent="0.3">
      <c r="A249" s="13"/>
      <c r="B249" s="13"/>
      <c r="C249" s="13"/>
      <c r="D249" s="52">
        <f t="shared" si="357"/>
        <v>42339</v>
      </c>
      <c r="E249" s="53">
        <f t="shared" si="358"/>
        <v>2015</v>
      </c>
      <c r="F249" s="53">
        <f t="shared" si="359"/>
        <v>23</v>
      </c>
      <c r="G249" s="58">
        <f t="shared" ref="G249:AL249" ca="1" si="395">+IF(OR($F249+G$175&lt;1,(G$176-1)*12&lt;-$F249),0,OFFSET(G79,0,$F249))</f>
        <v>0</v>
      </c>
      <c r="H249" s="58">
        <f t="shared" ca="1" si="395"/>
        <v>0</v>
      </c>
      <c r="I249" s="58">
        <f t="shared" ca="1" si="395"/>
        <v>0</v>
      </c>
      <c r="J249" s="58">
        <f t="shared" ca="1" si="395"/>
        <v>0</v>
      </c>
      <c r="K249" s="58">
        <f t="shared" ca="1" si="395"/>
        <v>0</v>
      </c>
      <c r="L249" s="58">
        <f t="shared" ca="1" si="395"/>
        <v>0</v>
      </c>
      <c r="M249" s="58">
        <f t="shared" ca="1" si="395"/>
        <v>0</v>
      </c>
      <c r="N249" s="58">
        <f t="shared" ca="1" si="395"/>
        <v>0</v>
      </c>
      <c r="O249" s="58">
        <f t="shared" ca="1" si="395"/>
        <v>0</v>
      </c>
      <c r="P249" s="58">
        <f t="shared" ca="1" si="395"/>
        <v>0</v>
      </c>
      <c r="Q249" s="58">
        <f t="shared" ca="1" si="395"/>
        <v>0</v>
      </c>
      <c r="R249" s="58">
        <f t="shared" ca="1" si="395"/>
        <v>0</v>
      </c>
      <c r="S249" s="58">
        <f t="shared" ca="1" si="395"/>
        <v>0</v>
      </c>
      <c r="T249" s="58">
        <f t="shared" ca="1" si="395"/>
        <v>0</v>
      </c>
      <c r="U249" s="58">
        <f t="shared" ca="1" si="395"/>
        <v>0</v>
      </c>
      <c r="V249" s="58">
        <f t="shared" ca="1" si="395"/>
        <v>0</v>
      </c>
      <c r="W249" s="58">
        <f t="shared" ca="1" si="395"/>
        <v>0</v>
      </c>
      <c r="X249" s="58">
        <f t="shared" ca="1" si="395"/>
        <v>0</v>
      </c>
      <c r="Y249" s="58">
        <f t="shared" ca="1" si="395"/>
        <v>0</v>
      </c>
      <c r="Z249" s="58">
        <f t="shared" ca="1" si="395"/>
        <v>0</v>
      </c>
      <c r="AA249" s="58">
        <f t="shared" ca="1" si="395"/>
        <v>0</v>
      </c>
      <c r="AB249" s="58">
        <f t="shared" ca="1" si="395"/>
        <v>0</v>
      </c>
      <c r="AC249" s="58">
        <f t="shared" ca="1" si="395"/>
        <v>0</v>
      </c>
      <c r="AD249" s="58">
        <f t="shared" ca="1" si="395"/>
        <v>0</v>
      </c>
      <c r="AE249" s="58">
        <f t="shared" ca="1" si="395"/>
        <v>0</v>
      </c>
      <c r="AF249" s="58">
        <f t="shared" ca="1" si="395"/>
        <v>0</v>
      </c>
      <c r="AG249" s="58">
        <f t="shared" ca="1" si="395"/>
        <v>0</v>
      </c>
      <c r="AH249" s="58">
        <f t="shared" ca="1" si="395"/>
        <v>0</v>
      </c>
      <c r="AI249" s="58">
        <f t="shared" ca="1" si="395"/>
        <v>0</v>
      </c>
      <c r="AJ249" s="58">
        <f t="shared" ca="1" si="395"/>
        <v>0</v>
      </c>
      <c r="AK249" s="58">
        <f t="shared" ca="1" si="395"/>
        <v>0</v>
      </c>
      <c r="AL249" s="58">
        <f t="shared" ca="1" si="395"/>
        <v>0</v>
      </c>
      <c r="AM249" s="58">
        <f t="shared" ref="AM249:BR249" ca="1" si="396">+IF(OR($F249+AM$175&lt;1,(AM$176-1)*12&lt;-$F249),0,OFFSET(AM79,0,$F249))</f>
        <v>0</v>
      </c>
      <c r="AN249" s="58">
        <f t="shared" ca="1" si="396"/>
        <v>0</v>
      </c>
      <c r="AO249" s="58">
        <f t="shared" ca="1" si="396"/>
        <v>0</v>
      </c>
      <c r="AP249" s="58">
        <f t="shared" ca="1" si="396"/>
        <v>0</v>
      </c>
      <c r="AQ249" s="58">
        <f t="shared" ca="1" si="396"/>
        <v>0</v>
      </c>
      <c r="AR249" s="58">
        <f t="shared" ca="1" si="396"/>
        <v>0</v>
      </c>
      <c r="AS249" s="58">
        <f t="shared" ca="1" si="396"/>
        <v>0</v>
      </c>
      <c r="AT249" s="58">
        <f t="shared" ca="1" si="396"/>
        <v>0</v>
      </c>
      <c r="AU249" s="58">
        <f t="shared" ca="1" si="396"/>
        <v>0</v>
      </c>
      <c r="AV249" s="58">
        <f t="shared" ca="1" si="396"/>
        <v>0</v>
      </c>
      <c r="AW249" s="58">
        <f t="shared" ca="1" si="396"/>
        <v>0</v>
      </c>
      <c r="AX249" s="58">
        <f t="shared" ca="1" si="396"/>
        <v>0</v>
      </c>
      <c r="AY249" s="58">
        <f t="shared" ca="1" si="396"/>
        <v>0</v>
      </c>
      <c r="AZ249" s="58">
        <f t="shared" ca="1" si="396"/>
        <v>0</v>
      </c>
      <c r="BA249" s="58">
        <f t="shared" ca="1" si="396"/>
        <v>0</v>
      </c>
      <c r="BB249" s="58">
        <f t="shared" ca="1" si="396"/>
        <v>0</v>
      </c>
      <c r="BC249" s="58">
        <f t="shared" ca="1" si="396"/>
        <v>0</v>
      </c>
      <c r="BD249" s="58">
        <f t="shared" ca="1" si="396"/>
        <v>0</v>
      </c>
      <c r="BE249" s="58">
        <f t="shared" ca="1" si="396"/>
        <v>0</v>
      </c>
      <c r="BF249" s="58">
        <f t="shared" ca="1" si="396"/>
        <v>0</v>
      </c>
      <c r="BG249" s="58">
        <f t="shared" ca="1" si="396"/>
        <v>0</v>
      </c>
      <c r="BH249" s="58">
        <f t="shared" ca="1" si="396"/>
        <v>0</v>
      </c>
      <c r="BI249" s="58">
        <f t="shared" ca="1" si="396"/>
        <v>0</v>
      </c>
      <c r="BJ249" s="58">
        <f t="shared" ca="1" si="396"/>
        <v>0</v>
      </c>
      <c r="BK249" s="58">
        <f t="shared" ca="1" si="396"/>
        <v>0</v>
      </c>
      <c r="BL249" s="58">
        <f t="shared" ca="1" si="396"/>
        <v>0</v>
      </c>
      <c r="BM249" s="58">
        <f t="shared" ca="1" si="396"/>
        <v>0</v>
      </c>
      <c r="BN249" s="58">
        <f t="shared" ca="1" si="396"/>
        <v>0</v>
      </c>
      <c r="BO249" s="58">
        <f t="shared" ca="1" si="396"/>
        <v>0</v>
      </c>
      <c r="BP249" s="58">
        <f t="shared" ca="1" si="396"/>
        <v>0</v>
      </c>
      <c r="BQ249" s="58">
        <f t="shared" ca="1" si="396"/>
        <v>0</v>
      </c>
      <c r="BR249" s="58">
        <f t="shared" ca="1" si="396"/>
        <v>0</v>
      </c>
      <c r="BS249" s="58">
        <f t="shared" ref="BS249:CX249" ca="1" si="397">+IF(OR($F249+BS$175&lt;1,(BS$176-1)*12&lt;-$F249),0,OFFSET(BS79,0,$F249))</f>
        <v>0</v>
      </c>
      <c r="BT249" s="58">
        <f t="shared" ca="1" si="397"/>
        <v>0</v>
      </c>
      <c r="BU249" s="58">
        <f t="shared" ca="1" si="397"/>
        <v>0</v>
      </c>
      <c r="BV249" s="58">
        <f t="shared" ca="1" si="397"/>
        <v>0</v>
      </c>
      <c r="BW249" s="58">
        <f t="shared" ca="1" si="397"/>
        <v>0</v>
      </c>
      <c r="BX249" s="58">
        <f t="shared" ca="1" si="397"/>
        <v>0</v>
      </c>
      <c r="BY249" s="58">
        <f t="shared" ca="1" si="397"/>
        <v>0</v>
      </c>
      <c r="BZ249" s="58">
        <f t="shared" ca="1" si="397"/>
        <v>0</v>
      </c>
      <c r="CA249" s="58">
        <f t="shared" ca="1" si="397"/>
        <v>0</v>
      </c>
      <c r="CB249" s="58">
        <f t="shared" ca="1" si="397"/>
        <v>0</v>
      </c>
      <c r="CC249" s="58">
        <f t="shared" ca="1" si="397"/>
        <v>0</v>
      </c>
      <c r="CD249" s="58">
        <f t="shared" ca="1" si="397"/>
        <v>0</v>
      </c>
      <c r="CE249" s="58">
        <f t="shared" ca="1" si="397"/>
        <v>0</v>
      </c>
      <c r="CF249" s="58">
        <f t="shared" ca="1" si="397"/>
        <v>0</v>
      </c>
      <c r="CG249" s="58">
        <f t="shared" ca="1" si="397"/>
        <v>0</v>
      </c>
      <c r="CH249" s="58">
        <f t="shared" ca="1" si="397"/>
        <v>0</v>
      </c>
      <c r="CI249" s="58">
        <f t="shared" ca="1" si="397"/>
        <v>0</v>
      </c>
      <c r="CJ249" s="58">
        <f t="shared" ca="1" si="397"/>
        <v>0</v>
      </c>
      <c r="CK249" s="58">
        <f t="shared" ca="1" si="397"/>
        <v>0</v>
      </c>
      <c r="CL249" s="58">
        <f t="shared" ca="1" si="397"/>
        <v>0</v>
      </c>
      <c r="CM249" s="58">
        <f t="shared" ca="1" si="397"/>
        <v>0</v>
      </c>
      <c r="CN249" s="58">
        <f t="shared" ca="1" si="397"/>
        <v>0</v>
      </c>
      <c r="CO249" s="58">
        <f t="shared" ca="1" si="397"/>
        <v>0</v>
      </c>
      <c r="CP249" s="58">
        <f t="shared" ca="1" si="397"/>
        <v>0</v>
      </c>
      <c r="CQ249" s="58">
        <f t="shared" ca="1" si="397"/>
        <v>0</v>
      </c>
      <c r="CR249" s="58">
        <f t="shared" ca="1" si="397"/>
        <v>0</v>
      </c>
      <c r="CS249" s="58">
        <f t="shared" ca="1" si="397"/>
        <v>0</v>
      </c>
      <c r="CT249" s="58">
        <f t="shared" ca="1" si="397"/>
        <v>0</v>
      </c>
      <c r="CU249" s="58">
        <f t="shared" ca="1" si="397"/>
        <v>0</v>
      </c>
      <c r="CV249" s="58">
        <f t="shared" ca="1" si="397"/>
        <v>0</v>
      </c>
      <c r="CW249" s="58">
        <f t="shared" ca="1" si="397"/>
        <v>0</v>
      </c>
      <c r="CX249" s="58">
        <f t="shared" ca="1" si="397"/>
        <v>0</v>
      </c>
      <c r="CY249" s="58">
        <f t="shared" ref="CY249:ED249" ca="1" si="398">+IF(OR($F249+CY$175&lt;1,(CY$176-1)*12&lt;-$F249),0,OFFSET(CY79,0,$F249))</f>
        <v>0</v>
      </c>
      <c r="CZ249" s="58">
        <f t="shared" ca="1" si="398"/>
        <v>0</v>
      </c>
      <c r="DA249" s="58">
        <f t="shared" ca="1" si="398"/>
        <v>0</v>
      </c>
      <c r="DB249" s="58">
        <f t="shared" ca="1" si="398"/>
        <v>0</v>
      </c>
      <c r="DC249" s="58">
        <f t="shared" ca="1" si="398"/>
        <v>0</v>
      </c>
      <c r="DD249" s="58">
        <f t="shared" ca="1" si="398"/>
        <v>0</v>
      </c>
      <c r="DE249" s="58">
        <f t="shared" ca="1" si="398"/>
        <v>0</v>
      </c>
      <c r="DF249" s="58">
        <f t="shared" ca="1" si="398"/>
        <v>0</v>
      </c>
      <c r="DG249" s="58">
        <f t="shared" ca="1" si="398"/>
        <v>0</v>
      </c>
      <c r="DH249" s="58">
        <f t="shared" ca="1" si="398"/>
        <v>0</v>
      </c>
      <c r="DI249" s="58">
        <f t="shared" ca="1" si="398"/>
        <v>0</v>
      </c>
      <c r="DJ249" s="58">
        <f t="shared" ca="1" si="398"/>
        <v>0</v>
      </c>
      <c r="DK249" s="58">
        <f t="shared" ca="1" si="398"/>
        <v>0</v>
      </c>
      <c r="DL249" s="58">
        <f t="shared" ca="1" si="398"/>
        <v>0</v>
      </c>
      <c r="DM249" s="58">
        <f t="shared" ca="1" si="398"/>
        <v>0</v>
      </c>
      <c r="DN249" s="58">
        <f t="shared" ca="1" si="398"/>
        <v>0</v>
      </c>
      <c r="DO249" s="58">
        <f t="shared" ca="1" si="398"/>
        <v>0</v>
      </c>
      <c r="DP249" s="58">
        <f t="shared" ca="1" si="398"/>
        <v>0</v>
      </c>
      <c r="DQ249" s="58">
        <f t="shared" ca="1" si="398"/>
        <v>0</v>
      </c>
      <c r="DR249" s="58">
        <f t="shared" ca="1" si="398"/>
        <v>0</v>
      </c>
      <c r="DS249" s="58">
        <f t="shared" ca="1" si="398"/>
        <v>0</v>
      </c>
      <c r="DT249" s="58">
        <f t="shared" ca="1" si="398"/>
        <v>0</v>
      </c>
      <c r="DU249" s="58">
        <f t="shared" ca="1" si="398"/>
        <v>0</v>
      </c>
      <c r="DV249" s="58">
        <f t="shared" ca="1" si="398"/>
        <v>0</v>
      </c>
      <c r="DW249" s="58">
        <f t="shared" ca="1" si="398"/>
        <v>0</v>
      </c>
      <c r="DX249" s="58">
        <f t="shared" ca="1" si="398"/>
        <v>0</v>
      </c>
      <c r="DY249" s="58">
        <f t="shared" ca="1" si="398"/>
        <v>0</v>
      </c>
      <c r="DZ249" s="58">
        <f t="shared" ca="1" si="398"/>
        <v>0</v>
      </c>
      <c r="EA249" s="58">
        <f t="shared" ca="1" si="398"/>
        <v>0</v>
      </c>
      <c r="EB249" s="58">
        <f t="shared" ca="1" si="398"/>
        <v>0</v>
      </c>
      <c r="EC249" s="58">
        <f t="shared" ca="1" si="398"/>
        <v>0</v>
      </c>
      <c r="ED249" s="58">
        <f t="shared" ca="1" si="398"/>
        <v>0</v>
      </c>
      <c r="EE249" s="58">
        <f t="shared" ref="EE249:FN249" ca="1" si="399">+IF(OR($F249+EE$175&lt;1,(EE$176-1)*12&lt;-$F249),0,OFFSET(EE79,0,$F249))</f>
        <v>0</v>
      </c>
      <c r="EF249" s="58">
        <f t="shared" ca="1" si="399"/>
        <v>0</v>
      </c>
      <c r="EG249" s="58">
        <f t="shared" ca="1" si="399"/>
        <v>0</v>
      </c>
      <c r="EH249" s="58">
        <f t="shared" ca="1" si="399"/>
        <v>0</v>
      </c>
      <c r="EI249" s="58">
        <f t="shared" ca="1" si="399"/>
        <v>0</v>
      </c>
      <c r="EJ249" s="58">
        <f t="shared" ca="1" si="399"/>
        <v>0</v>
      </c>
      <c r="EK249" s="58">
        <f t="shared" ca="1" si="399"/>
        <v>0</v>
      </c>
      <c r="EL249" s="58">
        <f t="shared" ca="1" si="399"/>
        <v>0</v>
      </c>
      <c r="EM249" s="58">
        <f t="shared" ca="1" si="399"/>
        <v>0</v>
      </c>
      <c r="EN249" s="58">
        <f t="shared" ca="1" si="399"/>
        <v>0</v>
      </c>
      <c r="EO249" s="58">
        <f t="shared" ca="1" si="399"/>
        <v>0</v>
      </c>
      <c r="EP249" s="58">
        <f t="shared" ca="1" si="399"/>
        <v>0</v>
      </c>
      <c r="EQ249" s="58">
        <f t="shared" ca="1" si="399"/>
        <v>0</v>
      </c>
      <c r="ER249" s="58">
        <f t="shared" ca="1" si="399"/>
        <v>0</v>
      </c>
      <c r="ES249" s="58">
        <f t="shared" ca="1" si="399"/>
        <v>0</v>
      </c>
      <c r="ET249" s="58">
        <f t="shared" ca="1" si="399"/>
        <v>0</v>
      </c>
      <c r="EU249" s="58">
        <f t="shared" ca="1" si="399"/>
        <v>0</v>
      </c>
      <c r="EV249" s="58">
        <f t="shared" ca="1" si="399"/>
        <v>0</v>
      </c>
      <c r="EW249" s="58">
        <f t="shared" ca="1" si="399"/>
        <v>0</v>
      </c>
      <c r="EX249" s="58">
        <f t="shared" ca="1" si="399"/>
        <v>0</v>
      </c>
      <c r="EY249" s="58">
        <f t="shared" ca="1" si="399"/>
        <v>0</v>
      </c>
      <c r="EZ249" s="58">
        <f t="shared" ca="1" si="399"/>
        <v>0</v>
      </c>
      <c r="FA249" s="58">
        <f t="shared" ca="1" si="399"/>
        <v>0</v>
      </c>
      <c r="FB249" s="58">
        <f t="shared" ca="1" si="399"/>
        <v>0</v>
      </c>
      <c r="FC249" s="58">
        <f t="shared" ca="1" si="399"/>
        <v>0</v>
      </c>
      <c r="FD249" s="58">
        <f t="shared" ca="1" si="399"/>
        <v>0</v>
      </c>
      <c r="FE249" s="58">
        <f t="shared" ca="1" si="399"/>
        <v>0</v>
      </c>
      <c r="FF249" s="58">
        <f t="shared" ca="1" si="399"/>
        <v>0</v>
      </c>
      <c r="FG249" s="58">
        <f t="shared" ca="1" si="399"/>
        <v>0</v>
      </c>
      <c r="FH249" s="58">
        <f t="shared" ca="1" si="399"/>
        <v>0</v>
      </c>
      <c r="FI249" s="58">
        <f t="shared" ca="1" si="399"/>
        <v>0</v>
      </c>
      <c r="FJ249" s="58">
        <f t="shared" ca="1" si="399"/>
        <v>0</v>
      </c>
      <c r="FK249" s="58">
        <f t="shared" ca="1" si="399"/>
        <v>0</v>
      </c>
      <c r="FL249" s="58">
        <f t="shared" ca="1" si="399"/>
        <v>0</v>
      </c>
      <c r="FM249" s="58">
        <f t="shared" ca="1" si="399"/>
        <v>0</v>
      </c>
      <c r="FN249" s="58">
        <f t="shared" ca="1" si="399"/>
        <v>0</v>
      </c>
      <c r="FO249" s="13"/>
    </row>
    <row r="250" spans="1:171" outlineLevel="1" x14ac:dyDescent="0.3">
      <c r="A250" s="13"/>
      <c r="B250" s="13"/>
      <c r="C250" s="13"/>
      <c r="D250" s="52">
        <f t="shared" si="357"/>
        <v>42370</v>
      </c>
      <c r="E250" s="53">
        <f t="shared" si="358"/>
        <v>2016</v>
      </c>
      <c r="F250" s="53">
        <f t="shared" si="359"/>
        <v>24</v>
      </c>
      <c r="G250" s="58">
        <f t="shared" ref="G250:AL250" ca="1" si="400">+IF(OR($F250+G$175&lt;1,(G$176-1)*12&lt;-$F250),0,OFFSET(G80,0,$F250))</f>
        <v>0</v>
      </c>
      <c r="H250" s="58">
        <f t="shared" ca="1" si="400"/>
        <v>0</v>
      </c>
      <c r="I250" s="58">
        <f t="shared" ca="1" si="400"/>
        <v>0</v>
      </c>
      <c r="J250" s="58">
        <f t="shared" ca="1" si="400"/>
        <v>0</v>
      </c>
      <c r="K250" s="58">
        <f t="shared" ca="1" si="400"/>
        <v>0</v>
      </c>
      <c r="L250" s="58">
        <f t="shared" ca="1" si="400"/>
        <v>0</v>
      </c>
      <c r="M250" s="58">
        <f t="shared" ca="1" si="400"/>
        <v>0</v>
      </c>
      <c r="N250" s="58">
        <f t="shared" ca="1" si="400"/>
        <v>0</v>
      </c>
      <c r="O250" s="58">
        <f t="shared" ca="1" si="400"/>
        <v>0</v>
      </c>
      <c r="P250" s="58">
        <f t="shared" ca="1" si="400"/>
        <v>0</v>
      </c>
      <c r="Q250" s="58">
        <f t="shared" ca="1" si="400"/>
        <v>0</v>
      </c>
      <c r="R250" s="58">
        <f t="shared" ca="1" si="400"/>
        <v>0</v>
      </c>
      <c r="S250" s="58">
        <f t="shared" ca="1" si="400"/>
        <v>0</v>
      </c>
      <c r="T250" s="58">
        <f t="shared" ca="1" si="400"/>
        <v>0</v>
      </c>
      <c r="U250" s="58">
        <f t="shared" ca="1" si="400"/>
        <v>0</v>
      </c>
      <c r="V250" s="58">
        <f t="shared" ca="1" si="400"/>
        <v>0</v>
      </c>
      <c r="W250" s="58">
        <f t="shared" ca="1" si="400"/>
        <v>0</v>
      </c>
      <c r="X250" s="58">
        <f t="shared" ca="1" si="400"/>
        <v>0</v>
      </c>
      <c r="Y250" s="58">
        <f t="shared" ca="1" si="400"/>
        <v>0</v>
      </c>
      <c r="Z250" s="58">
        <f t="shared" ca="1" si="400"/>
        <v>0</v>
      </c>
      <c r="AA250" s="58">
        <f t="shared" ca="1" si="400"/>
        <v>0</v>
      </c>
      <c r="AB250" s="58">
        <f t="shared" ca="1" si="400"/>
        <v>0</v>
      </c>
      <c r="AC250" s="58">
        <f t="shared" ca="1" si="400"/>
        <v>0</v>
      </c>
      <c r="AD250" s="58">
        <f t="shared" ca="1" si="400"/>
        <v>0</v>
      </c>
      <c r="AE250" s="58">
        <f t="shared" ca="1" si="400"/>
        <v>0</v>
      </c>
      <c r="AF250" s="58">
        <f t="shared" ca="1" si="400"/>
        <v>0</v>
      </c>
      <c r="AG250" s="58">
        <f t="shared" ca="1" si="400"/>
        <v>0</v>
      </c>
      <c r="AH250" s="58">
        <f t="shared" ca="1" si="400"/>
        <v>0</v>
      </c>
      <c r="AI250" s="58">
        <f t="shared" ca="1" si="400"/>
        <v>0</v>
      </c>
      <c r="AJ250" s="58">
        <f t="shared" ca="1" si="400"/>
        <v>0</v>
      </c>
      <c r="AK250" s="58">
        <f t="shared" ca="1" si="400"/>
        <v>0</v>
      </c>
      <c r="AL250" s="58">
        <f t="shared" ca="1" si="400"/>
        <v>0</v>
      </c>
      <c r="AM250" s="58">
        <f t="shared" ref="AM250:BR250" ca="1" si="401">+IF(OR($F250+AM$175&lt;1,(AM$176-1)*12&lt;-$F250),0,OFFSET(AM80,0,$F250))</f>
        <v>0</v>
      </c>
      <c r="AN250" s="58">
        <f t="shared" ca="1" si="401"/>
        <v>0</v>
      </c>
      <c r="AO250" s="58">
        <f t="shared" ca="1" si="401"/>
        <v>0</v>
      </c>
      <c r="AP250" s="58">
        <f t="shared" ca="1" si="401"/>
        <v>0</v>
      </c>
      <c r="AQ250" s="58">
        <f t="shared" ca="1" si="401"/>
        <v>0</v>
      </c>
      <c r="AR250" s="58">
        <f t="shared" ca="1" si="401"/>
        <v>0</v>
      </c>
      <c r="AS250" s="58">
        <f t="shared" ca="1" si="401"/>
        <v>0</v>
      </c>
      <c r="AT250" s="58">
        <f t="shared" ca="1" si="401"/>
        <v>0</v>
      </c>
      <c r="AU250" s="58">
        <f t="shared" ca="1" si="401"/>
        <v>0</v>
      </c>
      <c r="AV250" s="58">
        <f t="shared" ca="1" si="401"/>
        <v>0</v>
      </c>
      <c r="AW250" s="58">
        <f t="shared" ca="1" si="401"/>
        <v>0</v>
      </c>
      <c r="AX250" s="58">
        <f t="shared" ca="1" si="401"/>
        <v>0</v>
      </c>
      <c r="AY250" s="58">
        <f t="shared" ca="1" si="401"/>
        <v>0</v>
      </c>
      <c r="AZ250" s="58">
        <f t="shared" ca="1" si="401"/>
        <v>0</v>
      </c>
      <c r="BA250" s="58">
        <f t="shared" ca="1" si="401"/>
        <v>0</v>
      </c>
      <c r="BB250" s="58">
        <f t="shared" ca="1" si="401"/>
        <v>0</v>
      </c>
      <c r="BC250" s="58">
        <f t="shared" ca="1" si="401"/>
        <v>0</v>
      </c>
      <c r="BD250" s="58">
        <f t="shared" ca="1" si="401"/>
        <v>0</v>
      </c>
      <c r="BE250" s="58">
        <f t="shared" ca="1" si="401"/>
        <v>0</v>
      </c>
      <c r="BF250" s="58">
        <f t="shared" ca="1" si="401"/>
        <v>0</v>
      </c>
      <c r="BG250" s="58">
        <f t="shared" ca="1" si="401"/>
        <v>0</v>
      </c>
      <c r="BH250" s="58">
        <f t="shared" ca="1" si="401"/>
        <v>0</v>
      </c>
      <c r="BI250" s="58">
        <f t="shared" ca="1" si="401"/>
        <v>0</v>
      </c>
      <c r="BJ250" s="58">
        <f t="shared" ca="1" si="401"/>
        <v>0</v>
      </c>
      <c r="BK250" s="58">
        <f t="shared" ca="1" si="401"/>
        <v>0</v>
      </c>
      <c r="BL250" s="58">
        <f t="shared" ca="1" si="401"/>
        <v>0</v>
      </c>
      <c r="BM250" s="58">
        <f t="shared" ca="1" si="401"/>
        <v>0</v>
      </c>
      <c r="BN250" s="58">
        <f t="shared" ca="1" si="401"/>
        <v>0</v>
      </c>
      <c r="BO250" s="58">
        <f t="shared" ca="1" si="401"/>
        <v>0</v>
      </c>
      <c r="BP250" s="58">
        <f t="shared" ca="1" si="401"/>
        <v>0</v>
      </c>
      <c r="BQ250" s="58">
        <f t="shared" ca="1" si="401"/>
        <v>0</v>
      </c>
      <c r="BR250" s="58">
        <f t="shared" ca="1" si="401"/>
        <v>0</v>
      </c>
      <c r="BS250" s="58">
        <f t="shared" ref="BS250:CX250" ca="1" si="402">+IF(OR($F250+BS$175&lt;1,(BS$176-1)*12&lt;-$F250),0,OFFSET(BS80,0,$F250))</f>
        <v>0</v>
      </c>
      <c r="BT250" s="58">
        <f t="shared" ca="1" si="402"/>
        <v>0</v>
      </c>
      <c r="BU250" s="58">
        <f t="shared" ca="1" si="402"/>
        <v>0</v>
      </c>
      <c r="BV250" s="58">
        <f t="shared" ca="1" si="402"/>
        <v>0</v>
      </c>
      <c r="BW250" s="58">
        <f t="shared" ca="1" si="402"/>
        <v>0</v>
      </c>
      <c r="BX250" s="58">
        <f t="shared" ca="1" si="402"/>
        <v>0</v>
      </c>
      <c r="BY250" s="58">
        <f t="shared" ca="1" si="402"/>
        <v>0</v>
      </c>
      <c r="BZ250" s="58">
        <f t="shared" ca="1" si="402"/>
        <v>0</v>
      </c>
      <c r="CA250" s="58">
        <f t="shared" ca="1" si="402"/>
        <v>0</v>
      </c>
      <c r="CB250" s="58">
        <f t="shared" ca="1" si="402"/>
        <v>0</v>
      </c>
      <c r="CC250" s="58">
        <f t="shared" ca="1" si="402"/>
        <v>0</v>
      </c>
      <c r="CD250" s="58">
        <f t="shared" ca="1" si="402"/>
        <v>0</v>
      </c>
      <c r="CE250" s="58">
        <f t="shared" ca="1" si="402"/>
        <v>0</v>
      </c>
      <c r="CF250" s="58">
        <f t="shared" ca="1" si="402"/>
        <v>0</v>
      </c>
      <c r="CG250" s="58">
        <f t="shared" ca="1" si="402"/>
        <v>0</v>
      </c>
      <c r="CH250" s="58">
        <f t="shared" ca="1" si="402"/>
        <v>0</v>
      </c>
      <c r="CI250" s="58">
        <f t="shared" ca="1" si="402"/>
        <v>0</v>
      </c>
      <c r="CJ250" s="58">
        <f t="shared" ca="1" si="402"/>
        <v>0</v>
      </c>
      <c r="CK250" s="58">
        <f t="shared" ca="1" si="402"/>
        <v>0</v>
      </c>
      <c r="CL250" s="58">
        <f t="shared" ca="1" si="402"/>
        <v>0</v>
      </c>
      <c r="CM250" s="58">
        <f t="shared" ca="1" si="402"/>
        <v>0</v>
      </c>
      <c r="CN250" s="58">
        <f t="shared" ca="1" si="402"/>
        <v>0</v>
      </c>
      <c r="CO250" s="58">
        <f t="shared" ca="1" si="402"/>
        <v>0</v>
      </c>
      <c r="CP250" s="58">
        <f t="shared" ca="1" si="402"/>
        <v>0</v>
      </c>
      <c r="CQ250" s="58">
        <f t="shared" ca="1" si="402"/>
        <v>0</v>
      </c>
      <c r="CR250" s="58">
        <f t="shared" ca="1" si="402"/>
        <v>0</v>
      </c>
      <c r="CS250" s="58">
        <f t="shared" ca="1" si="402"/>
        <v>0</v>
      </c>
      <c r="CT250" s="58">
        <f t="shared" ca="1" si="402"/>
        <v>0</v>
      </c>
      <c r="CU250" s="58">
        <f t="shared" ca="1" si="402"/>
        <v>0</v>
      </c>
      <c r="CV250" s="58">
        <f t="shared" ca="1" si="402"/>
        <v>0</v>
      </c>
      <c r="CW250" s="58">
        <f t="shared" ca="1" si="402"/>
        <v>0</v>
      </c>
      <c r="CX250" s="58">
        <f t="shared" ca="1" si="402"/>
        <v>0</v>
      </c>
      <c r="CY250" s="58">
        <f t="shared" ref="CY250:ED250" ca="1" si="403">+IF(OR($F250+CY$175&lt;1,(CY$176-1)*12&lt;-$F250),0,OFFSET(CY80,0,$F250))</f>
        <v>0</v>
      </c>
      <c r="CZ250" s="58">
        <f t="shared" ca="1" si="403"/>
        <v>0</v>
      </c>
      <c r="DA250" s="58">
        <f t="shared" ca="1" si="403"/>
        <v>0</v>
      </c>
      <c r="DB250" s="58">
        <f t="shared" ca="1" si="403"/>
        <v>0</v>
      </c>
      <c r="DC250" s="58">
        <f t="shared" ca="1" si="403"/>
        <v>0</v>
      </c>
      <c r="DD250" s="58">
        <f t="shared" ca="1" si="403"/>
        <v>0</v>
      </c>
      <c r="DE250" s="58">
        <f t="shared" ca="1" si="403"/>
        <v>0</v>
      </c>
      <c r="DF250" s="58">
        <f t="shared" ca="1" si="403"/>
        <v>0</v>
      </c>
      <c r="DG250" s="58">
        <f t="shared" ca="1" si="403"/>
        <v>0</v>
      </c>
      <c r="DH250" s="58">
        <f t="shared" ca="1" si="403"/>
        <v>0</v>
      </c>
      <c r="DI250" s="58">
        <f t="shared" ca="1" si="403"/>
        <v>0</v>
      </c>
      <c r="DJ250" s="58">
        <f t="shared" ca="1" si="403"/>
        <v>0</v>
      </c>
      <c r="DK250" s="58">
        <f t="shared" ca="1" si="403"/>
        <v>0</v>
      </c>
      <c r="DL250" s="58">
        <f t="shared" ca="1" si="403"/>
        <v>0</v>
      </c>
      <c r="DM250" s="58">
        <f t="shared" ca="1" si="403"/>
        <v>0</v>
      </c>
      <c r="DN250" s="58">
        <f t="shared" ca="1" si="403"/>
        <v>0</v>
      </c>
      <c r="DO250" s="58">
        <f t="shared" ca="1" si="403"/>
        <v>0</v>
      </c>
      <c r="DP250" s="58">
        <f t="shared" ca="1" si="403"/>
        <v>0</v>
      </c>
      <c r="DQ250" s="58">
        <f t="shared" ca="1" si="403"/>
        <v>0</v>
      </c>
      <c r="DR250" s="58">
        <f t="shared" ca="1" si="403"/>
        <v>0</v>
      </c>
      <c r="DS250" s="58">
        <f t="shared" ca="1" si="403"/>
        <v>0</v>
      </c>
      <c r="DT250" s="58">
        <f t="shared" ca="1" si="403"/>
        <v>0</v>
      </c>
      <c r="DU250" s="58">
        <f t="shared" ca="1" si="403"/>
        <v>0</v>
      </c>
      <c r="DV250" s="58">
        <f t="shared" ca="1" si="403"/>
        <v>0</v>
      </c>
      <c r="DW250" s="58">
        <f t="shared" ca="1" si="403"/>
        <v>0</v>
      </c>
      <c r="DX250" s="58">
        <f t="shared" ca="1" si="403"/>
        <v>0</v>
      </c>
      <c r="DY250" s="58">
        <f t="shared" ca="1" si="403"/>
        <v>0</v>
      </c>
      <c r="DZ250" s="58">
        <f t="shared" ca="1" si="403"/>
        <v>0</v>
      </c>
      <c r="EA250" s="58">
        <f t="shared" ca="1" si="403"/>
        <v>0</v>
      </c>
      <c r="EB250" s="58">
        <f t="shared" ca="1" si="403"/>
        <v>0</v>
      </c>
      <c r="EC250" s="58">
        <f t="shared" ca="1" si="403"/>
        <v>0</v>
      </c>
      <c r="ED250" s="58">
        <f t="shared" ca="1" si="403"/>
        <v>0</v>
      </c>
      <c r="EE250" s="58">
        <f t="shared" ref="EE250:FN250" ca="1" si="404">+IF(OR($F250+EE$175&lt;1,(EE$176-1)*12&lt;-$F250),0,OFFSET(EE80,0,$F250))</f>
        <v>0</v>
      </c>
      <c r="EF250" s="58">
        <f t="shared" ca="1" si="404"/>
        <v>0</v>
      </c>
      <c r="EG250" s="58">
        <f t="shared" ca="1" si="404"/>
        <v>0</v>
      </c>
      <c r="EH250" s="58">
        <f t="shared" ca="1" si="404"/>
        <v>0</v>
      </c>
      <c r="EI250" s="58">
        <f t="shared" ca="1" si="404"/>
        <v>0</v>
      </c>
      <c r="EJ250" s="58">
        <f t="shared" ca="1" si="404"/>
        <v>0</v>
      </c>
      <c r="EK250" s="58">
        <f t="shared" ca="1" si="404"/>
        <v>0</v>
      </c>
      <c r="EL250" s="58">
        <f t="shared" ca="1" si="404"/>
        <v>0</v>
      </c>
      <c r="EM250" s="58">
        <f t="shared" ca="1" si="404"/>
        <v>0</v>
      </c>
      <c r="EN250" s="58">
        <f t="shared" ca="1" si="404"/>
        <v>0</v>
      </c>
      <c r="EO250" s="58">
        <f t="shared" ca="1" si="404"/>
        <v>0</v>
      </c>
      <c r="EP250" s="58">
        <f t="shared" ca="1" si="404"/>
        <v>0</v>
      </c>
      <c r="EQ250" s="58">
        <f t="shared" ca="1" si="404"/>
        <v>0</v>
      </c>
      <c r="ER250" s="58">
        <f t="shared" ca="1" si="404"/>
        <v>0</v>
      </c>
      <c r="ES250" s="58">
        <f t="shared" ca="1" si="404"/>
        <v>0</v>
      </c>
      <c r="ET250" s="58">
        <f t="shared" ca="1" si="404"/>
        <v>0</v>
      </c>
      <c r="EU250" s="58">
        <f t="shared" ca="1" si="404"/>
        <v>0</v>
      </c>
      <c r="EV250" s="58">
        <f t="shared" ca="1" si="404"/>
        <v>0</v>
      </c>
      <c r="EW250" s="58">
        <f t="shared" ca="1" si="404"/>
        <v>0</v>
      </c>
      <c r="EX250" s="58">
        <f t="shared" ca="1" si="404"/>
        <v>0</v>
      </c>
      <c r="EY250" s="58">
        <f t="shared" ca="1" si="404"/>
        <v>0</v>
      </c>
      <c r="EZ250" s="58">
        <f t="shared" ca="1" si="404"/>
        <v>0</v>
      </c>
      <c r="FA250" s="58">
        <f t="shared" ca="1" si="404"/>
        <v>0</v>
      </c>
      <c r="FB250" s="58">
        <f t="shared" ca="1" si="404"/>
        <v>0</v>
      </c>
      <c r="FC250" s="58">
        <f t="shared" ca="1" si="404"/>
        <v>0</v>
      </c>
      <c r="FD250" s="58">
        <f t="shared" ca="1" si="404"/>
        <v>0</v>
      </c>
      <c r="FE250" s="58">
        <f t="shared" ca="1" si="404"/>
        <v>0</v>
      </c>
      <c r="FF250" s="58">
        <f t="shared" ca="1" si="404"/>
        <v>0</v>
      </c>
      <c r="FG250" s="58">
        <f t="shared" ca="1" si="404"/>
        <v>0</v>
      </c>
      <c r="FH250" s="58">
        <f t="shared" ca="1" si="404"/>
        <v>0</v>
      </c>
      <c r="FI250" s="58">
        <f t="shared" ca="1" si="404"/>
        <v>0</v>
      </c>
      <c r="FJ250" s="58">
        <f t="shared" ca="1" si="404"/>
        <v>0</v>
      </c>
      <c r="FK250" s="58">
        <f t="shared" ca="1" si="404"/>
        <v>0</v>
      </c>
      <c r="FL250" s="58">
        <f t="shared" ca="1" si="404"/>
        <v>0</v>
      </c>
      <c r="FM250" s="58">
        <f t="shared" ca="1" si="404"/>
        <v>0</v>
      </c>
      <c r="FN250" s="58">
        <f t="shared" ca="1" si="404"/>
        <v>0</v>
      </c>
      <c r="FO250" s="13"/>
    </row>
    <row r="251" spans="1:171" outlineLevel="1" x14ac:dyDescent="0.3">
      <c r="A251" s="13"/>
      <c r="B251" s="13"/>
      <c r="C251" s="13"/>
      <c r="D251" s="52">
        <f t="shared" si="357"/>
        <v>42401</v>
      </c>
      <c r="E251" s="53">
        <f t="shared" si="358"/>
        <v>2016</v>
      </c>
      <c r="F251" s="53">
        <f t="shared" si="359"/>
        <v>25</v>
      </c>
      <c r="G251" s="58">
        <f t="shared" ref="G251:AL251" ca="1" si="405">+IF(OR($F251+G$175&lt;1,(G$176-1)*12&lt;-$F251),0,OFFSET(G81,0,$F251))</f>
        <v>0</v>
      </c>
      <c r="H251" s="58">
        <f t="shared" ca="1" si="405"/>
        <v>0</v>
      </c>
      <c r="I251" s="58">
        <f t="shared" ca="1" si="405"/>
        <v>0</v>
      </c>
      <c r="J251" s="58">
        <f t="shared" ca="1" si="405"/>
        <v>0</v>
      </c>
      <c r="K251" s="58">
        <f t="shared" ca="1" si="405"/>
        <v>0</v>
      </c>
      <c r="L251" s="58">
        <f t="shared" ca="1" si="405"/>
        <v>0</v>
      </c>
      <c r="M251" s="58">
        <f t="shared" ca="1" si="405"/>
        <v>0</v>
      </c>
      <c r="N251" s="58">
        <f t="shared" ca="1" si="405"/>
        <v>0</v>
      </c>
      <c r="O251" s="58">
        <f t="shared" ca="1" si="405"/>
        <v>0</v>
      </c>
      <c r="P251" s="58">
        <f t="shared" ca="1" si="405"/>
        <v>0</v>
      </c>
      <c r="Q251" s="58">
        <f t="shared" ca="1" si="405"/>
        <v>0</v>
      </c>
      <c r="R251" s="58">
        <f t="shared" ca="1" si="405"/>
        <v>0</v>
      </c>
      <c r="S251" s="58">
        <f t="shared" ca="1" si="405"/>
        <v>0</v>
      </c>
      <c r="T251" s="58">
        <f t="shared" ca="1" si="405"/>
        <v>0</v>
      </c>
      <c r="U251" s="58">
        <f t="shared" ca="1" si="405"/>
        <v>0</v>
      </c>
      <c r="V251" s="58">
        <f t="shared" ca="1" si="405"/>
        <v>0</v>
      </c>
      <c r="W251" s="58">
        <f t="shared" ca="1" si="405"/>
        <v>0</v>
      </c>
      <c r="X251" s="58">
        <f t="shared" ca="1" si="405"/>
        <v>0</v>
      </c>
      <c r="Y251" s="58">
        <f t="shared" ca="1" si="405"/>
        <v>0</v>
      </c>
      <c r="Z251" s="58">
        <f t="shared" ca="1" si="405"/>
        <v>0</v>
      </c>
      <c r="AA251" s="58">
        <f t="shared" ca="1" si="405"/>
        <v>0</v>
      </c>
      <c r="AB251" s="58">
        <f t="shared" ca="1" si="405"/>
        <v>0</v>
      </c>
      <c r="AC251" s="58">
        <f t="shared" ca="1" si="405"/>
        <v>0</v>
      </c>
      <c r="AD251" s="58">
        <f t="shared" ca="1" si="405"/>
        <v>0</v>
      </c>
      <c r="AE251" s="58">
        <f t="shared" ca="1" si="405"/>
        <v>0</v>
      </c>
      <c r="AF251" s="58">
        <f t="shared" ca="1" si="405"/>
        <v>0</v>
      </c>
      <c r="AG251" s="58">
        <f t="shared" ca="1" si="405"/>
        <v>0</v>
      </c>
      <c r="AH251" s="58">
        <f t="shared" ca="1" si="405"/>
        <v>0</v>
      </c>
      <c r="AI251" s="58">
        <f t="shared" ca="1" si="405"/>
        <v>0</v>
      </c>
      <c r="AJ251" s="58">
        <f t="shared" ca="1" si="405"/>
        <v>0</v>
      </c>
      <c r="AK251" s="58">
        <f t="shared" ca="1" si="405"/>
        <v>0</v>
      </c>
      <c r="AL251" s="58">
        <f t="shared" ca="1" si="405"/>
        <v>0</v>
      </c>
      <c r="AM251" s="58">
        <f t="shared" ref="AM251:BR251" ca="1" si="406">+IF(OR($F251+AM$175&lt;1,(AM$176-1)*12&lt;-$F251),0,OFFSET(AM81,0,$F251))</f>
        <v>0</v>
      </c>
      <c r="AN251" s="58">
        <f t="shared" ca="1" si="406"/>
        <v>0</v>
      </c>
      <c r="AO251" s="58">
        <f t="shared" ca="1" si="406"/>
        <v>0</v>
      </c>
      <c r="AP251" s="58">
        <f t="shared" ca="1" si="406"/>
        <v>0</v>
      </c>
      <c r="AQ251" s="58">
        <f t="shared" ca="1" si="406"/>
        <v>0</v>
      </c>
      <c r="AR251" s="58">
        <f t="shared" ca="1" si="406"/>
        <v>0</v>
      </c>
      <c r="AS251" s="58">
        <f t="shared" ca="1" si="406"/>
        <v>0</v>
      </c>
      <c r="AT251" s="58">
        <f t="shared" ca="1" si="406"/>
        <v>0</v>
      </c>
      <c r="AU251" s="58">
        <f t="shared" ca="1" si="406"/>
        <v>0</v>
      </c>
      <c r="AV251" s="58">
        <f t="shared" ca="1" si="406"/>
        <v>0</v>
      </c>
      <c r="AW251" s="58">
        <f t="shared" ca="1" si="406"/>
        <v>0</v>
      </c>
      <c r="AX251" s="58">
        <f t="shared" ca="1" si="406"/>
        <v>0</v>
      </c>
      <c r="AY251" s="58">
        <f t="shared" ca="1" si="406"/>
        <v>0</v>
      </c>
      <c r="AZ251" s="58">
        <f t="shared" ca="1" si="406"/>
        <v>0</v>
      </c>
      <c r="BA251" s="58">
        <f t="shared" ca="1" si="406"/>
        <v>0</v>
      </c>
      <c r="BB251" s="58">
        <f t="shared" ca="1" si="406"/>
        <v>0</v>
      </c>
      <c r="BC251" s="58">
        <f t="shared" ca="1" si="406"/>
        <v>0</v>
      </c>
      <c r="BD251" s="58">
        <f t="shared" ca="1" si="406"/>
        <v>0</v>
      </c>
      <c r="BE251" s="58">
        <f t="shared" ca="1" si="406"/>
        <v>0</v>
      </c>
      <c r="BF251" s="58">
        <f t="shared" ca="1" si="406"/>
        <v>0</v>
      </c>
      <c r="BG251" s="58">
        <f t="shared" ca="1" si="406"/>
        <v>0</v>
      </c>
      <c r="BH251" s="58">
        <f t="shared" ca="1" si="406"/>
        <v>0</v>
      </c>
      <c r="BI251" s="58">
        <f t="shared" ca="1" si="406"/>
        <v>0</v>
      </c>
      <c r="BJ251" s="58">
        <f t="shared" ca="1" si="406"/>
        <v>0</v>
      </c>
      <c r="BK251" s="58">
        <f t="shared" ca="1" si="406"/>
        <v>0</v>
      </c>
      <c r="BL251" s="58">
        <f t="shared" ca="1" si="406"/>
        <v>0</v>
      </c>
      <c r="BM251" s="58">
        <f t="shared" ca="1" si="406"/>
        <v>0</v>
      </c>
      <c r="BN251" s="58">
        <f t="shared" ca="1" si="406"/>
        <v>0</v>
      </c>
      <c r="BO251" s="58">
        <f t="shared" ca="1" si="406"/>
        <v>0</v>
      </c>
      <c r="BP251" s="58">
        <f t="shared" ca="1" si="406"/>
        <v>0</v>
      </c>
      <c r="BQ251" s="58">
        <f t="shared" ca="1" si="406"/>
        <v>0</v>
      </c>
      <c r="BR251" s="58">
        <f t="shared" ca="1" si="406"/>
        <v>0</v>
      </c>
      <c r="BS251" s="58">
        <f t="shared" ref="BS251:CX251" ca="1" si="407">+IF(OR($F251+BS$175&lt;1,(BS$176-1)*12&lt;-$F251),0,OFFSET(BS81,0,$F251))</f>
        <v>0</v>
      </c>
      <c r="BT251" s="58">
        <f t="shared" ca="1" si="407"/>
        <v>0</v>
      </c>
      <c r="BU251" s="58">
        <f t="shared" ca="1" si="407"/>
        <v>0</v>
      </c>
      <c r="BV251" s="58">
        <f t="shared" ca="1" si="407"/>
        <v>0</v>
      </c>
      <c r="BW251" s="58">
        <f t="shared" ca="1" si="407"/>
        <v>0</v>
      </c>
      <c r="BX251" s="58">
        <f t="shared" ca="1" si="407"/>
        <v>0</v>
      </c>
      <c r="BY251" s="58">
        <f t="shared" ca="1" si="407"/>
        <v>0</v>
      </c>
      <c r="BZ251" s="58">
        <f t="shared" ca="1" si="407"/>
        <v>0</v>
      </c>
      <c r="CA251" s="58">
        <f t="shared" ca="1" si="407"/>
        <v>0</v>
      </c>
      <c r="CB251" s="58">
        <f t="shared" ca="1" si="407"/>
        <v>0</v>
      </c>
      <c r="CC251" s="58">
        <f t="shared" ca="1" si="407"/>
        <v>0</v>
      </c>
      <c r="CD251" s="58">
        <f t="shared" ca="1" si="407"/>
        <v>0</v>
      </c>
      <c r="CE251" s="58">
        <f t="shared" ca="1" si="407"/>
        <v>0</v>
      </c>
      <c r="CF251" s="58">
        <f t="shared" ca="1" si="407"/>
        <v>0</v>
      </c>
      <c r="CG251" s="58">
        <f t="shared" ca="1" si="407"/>
        <v>0</v>
      </c>
      <c r="CH251" s="58">
        <f t="shared" ca="1" si="407"/>
        <v>0</v>
      </c>
      <c r="CI251" s="58">
        <f t="shared" ca="1" si="407"/>
        <v>0</v>
      </c>
      <c r="CJ251" s="58">
        <f t="shared" ca="1" si="407"/>
        <v>0</v>
      </c>
      <c r="CK251" s="58">
        <f t="shared" ca="1" si="407"/>
        <v>0</v>
      </c>
      <c r="CL251" s="58">
        <f t="shared" ca="1" si="407"/>
        <v>0</v>
      </c>
      <c r="CM251" s="58">
        <f t="shared" ca="1" si="407"/>
        <v>0</v>
      </c>
      <c r="CN251" s="58">
        <f t="shared" ca="1" si="407"/>
        <v>0</v>
      </c>
      <c r="CO251" s="58">
        <f t="shared" ca="1" si="407"/>
        <v>0</v>
      </c>
      <c r="CP251" s="58">
        <f t="shared" ca="1" si="407"/>
        <v>0</v>
      </c>
      <c r="CQ251" s="58">
        <f t="shared" ca="1" si="407"/>
        <v>0</v>
      </c>
      <c r="CR251" s="58">
        <f t="shared" ca="1" si="407"/>
        <v>0</v>
      </c>
      <c r="CS251" s="58">
        <f t="shared" ca="1" si="407"/>
        <v>0</v>
      </c>
      <c r="CT251" s="58">
        <f t="shared" ca="1" si="407"/>
        <v>0</v>
      </c>
      <c r="CU251" s="58">
        <f t="shared" ca="1" si="407"/>
        <v>0</v>
      </c>
      <c r="CV251" s="58">
        <f t="shared" ca="1" si="407"/>
        <v>0</v>
      </c>
      <c r="CW251" s="58">
        <f t="shared" ca="1" si="407"/>
        <v>0</v>
      </c>
      <c r="CX251" s="58">
        <f t="shared" ca="1" si="407"/>
        <v>0</v>
      </c>
      <c r="CY251" s="58">
        <f t="shared" ref="CY251:ED251" ca="1" si="408">+IF(OR($F251+CY$175&lt;1,(CY$176-1)*12&lt;-$F251),0,OFFSET(CY81,0,$F251))</f>
        <v>0</v>
      </c>
      <c r="CZ251" s="58">
        <f t="shared" ca="1" si="408"/>
        <v>0</v>
      </c>
      <c r="DA251" s="58">
        <f t="shared" ca="1" si="408"/>
        <v>0</v>
      </c>
      <c r="DB251" s="58">
        <f t="shared" ca="1" si="408"/>
        <v>0</v>
      </c>
      <c r="DC251" s="58">
        <f t="shared" ca="1" si="408"/>
        <v>0</v>
      </c>
      <c r="DD251" s="58">
        <f t="shared" ca="1" si="408"/>
        <v>0</v>
      </c>
      <c r="DE251" s="58">
        <f t="shared" ca="1" si="408"/>
        <v>0</v>
      </c>
      <c r="DF251" s="58">
        <f t="shared" ca="1" si="408"/>
        <v>0</v>
      </c>
      <c r="DG251" s="58">
        <f t="shared" ca="1" si="408"/>
        <v>0</v>
      </c>
      <c r="DH251" s="58">
        <f t="shared" ca="1" si="408"/>
        <v>0</v>
      </c>
      <c r="DI251" s="58">
        <f t="shared" ca="1" si="408"/>
        <v>0</v>
      </c>
      <c r="DJ251" s="58">
        <f t="shared" ca="1" si="408"/>
        <v>0</v>
      </c>
      <c r="DK251" s="58">
        <f t="shared" ca="1" si="408"/>
        <v>0</v>
      </c>
      <c r="DL251" s="58">
        <f t="shared" ca="1" si="408"/>
        <v>0</v>
      </c>
      <c r="DM251" s="58">
        <f t="shared" ca="1" si="408"/>
        <v>0</v>
      </c>
      <c r="DN251" s="58">
        <f t="shared" ca="1" si="408"/>
        <v>0</v>
      </c>
      <c r="DO251" s="58">
        <f t="shared" ca="1" si="408"/>
        <v>0</v>
      </c>
      <c r="DP251" s="58">
        <f t="shared" ca="1" si="408"/>
        <v>0</v>
      </c>
      <c r="DQ251" s="58">
        <f t="shared" ca="1" si="408"/>
        <v>0</v>
      </c>
      <c r="DR251" s="58">
        <f t="shared" ca="1" si="408"/>
        <v>0</v>
      </c>
      <c r="DS251" s="58">
        <f t="shared" ca="1" si="408"/>
        <v>0</v>
      </c>
      <c r="DT251" s="58">
        <f t="shared" ca="1" si="408"/>
        <v>0</v>
      </c>
      <c r="DU251" s="58">
        <f t="shared" ca="1" si="408"/>
        <v>0</v>
      </c>
      <c r="DV251" s="58">
        <f t="shared" ca="1" si="408"/>
        <v>0</v>
      </c>
      <c r="DW251" s="58">
        <f t="shared" ca="1" si="408"/>
        <v>0</v>
      </c>
      <c r="DX251" s="58">
        <f t="shared" ca="1" si="408"/>
        <v>0</v>
      </c>
      <c r="DY251" s="58">
        <f t="shared" ca="1" si="408"/>
        <v>0</v>
      </c>
      <c r="DZ251" s="58">
        <f t="shared" ca="1" si="408"/>
        <v>0</v>
      </c>
      <c r="EA251" s="58">
        <f t="shared" ca="1" si="408"/>
        <v>0</v>
      </c>
      <c r="EB251" s="58">
        <f t="shared" ca="1" si="408"/>
        <v>0</v>
      </c>
      <c r="EC251" s="58">
        <f t="shared" ca="1" si="408"/>
        <v>0</v>
      </c>
      <c r="ED251" s="58">
        <f t="shared" ca="1" si="408"/>
        <v>0</v>
      </c>
      <c r="EE251" s="58">
        <f t="shared" ref="EE251:FN251" ca="1" si="409">+IF(OR($F251+EE$175&lt;1,(EE$176-1)*12&lt;-$F251),0,OFFSET(EE81,0,$F251))</f>
        <v>0</v>
      </c>
      <c r="EF251" s="58">
        <f t="shared" ca="1" si="409"/>
        <v>0</v>
      </c>
      <c r="EG251" s="58">
        <f t="shared" ca="1" si="409"/>
        <v>0</v>
      </c>
      <c r="EH251" s="58">
        <f t="shared" ca="1" si="409"/>
        <v>0</v>
      </c>
      <c r="EI251" s="58">
        <f t="shared" ca="1" si="409"/>
        <v>0</v>
      </c>
      <c r="EJ251" s="58">
        <f t="shared" ca="1" si="409"/>
        <v>0</v>
      </c>
      <c r="EK251" s="58">
        <f t="shared" ca="1" si="409"/>
        <v>0</v>
      </c>
      <c r="EL251" s="58">
        <f t="shared" ca="1" si="409"/>
        <v>0</v>
      </c>
      <c r="EM251" s="58">
        <f t="shared" ca="1" si="409"/>
        <v>0</v>
      </c>
      <c r="EN251" s="58">
        <f t="shared" ca="1" si="409"/>
        <v>0</v>
      </c>
      <c r="EO251" s="58">
        <f t="shared" ca="1" si="409"/>
        <v>0</v>
      </c>
      <c r="EP251" s="58">
        <f t="shared" ca="1" si="409"/>
        <v>0</v>
      </c>
      <c r="EQ251" s="58">
        <f t="shared" ca="1" si="409"/>
        <v>0</v>
      </c>
      <c r="ER251" s="58">
        <f t="shared" ca="1" si="409"/>
        <v>0</v>
      </c>
      <c r="ES251" s="58">
        <f t="shared" ca="1" si="409"/>
        <v>0</v>
      </c>
      <c r="ET251" s="58">
        <f t="shared" ca="1" si="409"/>
        <v>0</v>
      </c>
      <c r="EU251" s="58">
        <f t="shared" ca="1" si="409"/>
        <v>0</v>
      </c>
      <c r="EV251" s="58">
        <f t="shared" ca="1" si="409"/>
        <v>0</v>
      </c>
      <c r="EW251" s="58">
        <f t="shared" ca="1" si="409"/>
        <v>0</v>
      </c>
      <c r="EX251" s="58">
        <f t="shared" ca="1" si="409"/>
        <v>0</v>
      </c>
      <c r="EY251" s="58">
        <f t="shared" ca="1" si="409"/>
        <v>0</v>
      </c>
      <c r="EZ251" s="58">
        <f t="shared" ca="1" si="409"/>
        <v>0</v>
      </c>
      <c r="FA251" s="58">
        <f t="shared" ca="1" si="409"/>
        <v>0</v>
      </c>
      <c r="FB251" s="58">
        <f t="shared" ca="1" si="409"/>
        <v>0</v>
      </c>
      <c r="FC251" s="58">
        <f t="shared" ca="1" si="409"/>
        <v>0</v>
      </c>
      <c r="FD251" s="58">
        <f t="shared" ca="1" si="409"/>
        <v>0</v>
      </c>
      <c r="FE251" s="58">
        <f t="shared" ca="1" si="409"/>
        <v>0</v>
      </c>
      <c r="FF251" s="58">
        <f t="shared" ca="1" si="409"/>
        <v>0</v>
      </c>
      <c r="FG251" s="58">
        <f t="shared" ca="1" si="409"/>
        <v>0</v>
      </c>
      <c r="FH251" s="58">
        <f t="shared" ca="1" si="409"/>
        <v>0</v>
      </c>
      <c r="FI251" s="58">
        <f t="shared" ca="1" si="409"/>
        <v>0</v>
      </c>
      <c r="FJ251" s="58">
        <f t="shared" ca="1" si="409"/>
        <v>0</v>
      </c>
      <c r="FK251" s="58">
        <f t="shared" ca="1" si="409"/>
        <v>0</v>
      </c>
      <c r="FL251" s="58">
        <f t="shared" ca="1" si="409"/>
        <v>0</v>
      </c>
      <c r="FM251" s="58">
        <f t="shared" ca="1" si="409"/>
        <v>0</v>
      </c>
      <c r="FN251" s="58">
        <f t="shared" ca="1" si="409"/>
        <v>0</v>
      </c>
      <c r="FO251" s="13"/>
    </row>
    <row r="252" spans="1:171" outlineLevel="1" x14ac:dyDescent="0.3">
      <c r="A252" s="13"/>
      <c r="B252" s="13"/>
      <c r="C252" s="13"/>
      <c r="D252" s="52">
        <f t="shared" si="357"/>
        <v>42430</v>
      </c>
      <c r="E252" s="53">
        <f t="shared" si="358"/>
        <v>2016</v>
      </c>
      <c r="F252" s="53">
        <f t="shared" si="359"/>
        <v>26</v>
      </c>
      <c r="G252" s="58">
        <f t="shared" ref="G252:AL252" ca="1" si="410">+IF(OR($F252+G$175&lt;1,(G$176-1)*12&lt;-$F252),0,OFFSET(G82,0,$F252))</f>
        <v>0</v>
      </c>
      <c r="H252" s="58">
        <f t="shared" ca="1" si="410"/>
        <v>0</v>
      </c>
      <c r="I252" s="58">
        <f t="shared" ca="1" si="410"/>
        <v>0</v>
      </c>
      <c r="J252" s="58">
        <f t="shared" ca="1" si="410"/>
        <v>0</v>
      </c>
      <c r="K252" s="58">
        <f t="shared" ca="1" si="410"/>
        <v>0</v>
      </c>
      <c r="L252" s="58">
        <f t="shared" ca="1" si="410"/>
        <v>0</v>
      </c>
      <c r="M252" s="58">
        <f t="shared" ca="1" si="410"/>
        <v>0</v>
      </c>
      <c r="N252" s="58">
        <f t="shared" ca="1" si="410"/>
        <v>0</v>
      </c>
      <c r="O252" s="58">
        <f t="shared" ca="1" si="410"/>
        <v>0</v>
      </c>
      <c r="P252" s="58">
        <f t="shared" ca="1" si="410"/>
        <v>0</v>
      </c>
      <c r="Q252" s="58">
        <f t="shared" ca="1" si="410"/>
        <v>0</v>
      </c>
      <c r="R252" s="58">
        <f t="shared" ca="1" si="410"/>
        <v>0</v>
      </c>
      <c r="S252" s="58">
        <f t="shared" ca="1" si="410"/>
        <v>0</v>
      </c>
      <c r="T252" s="58">
        <f t="shared" ca="1" si="410"/>
        <v>0</v>
      </c>
      <c r="U252" s="58">
        <f t="shared" ca="1" si="410"/>
        <v>0</v>
      </c>
      <c r="V252" s="58">
        <f t="shared" ca="1" si="410"/>
        <v>0</v>
      </c>
      <c r="W252" s="58">
        <f t="shared" ca="1" si="410"/>
        <v>0</v>
      </c>
      <c r="X252" s="58">
        <f t="shared" ca="1" si="410"/>
        <v>0</v>
      </c>
      <c r="Y252" s="58">
        <f t="shared" ca="1" si="410"/>
        <v>0</v>
      </c>
      <c r="Z252" s="58">
        <f t="shared" ca="1" si="410"/>
        <v>0</v>
      </c>
      <c r="AA252" s="58">
        <f t="shared" ca="1" si="410"/>
        <v>0</v>
      </c>
      <c r="AB252" s="58">
        <f t="shared" ca="1" si="410"/>
        <v>0</v>
      </c>
      <c r="AC252" s="58">
        <f t="shared" ca="1" si="410"/>
        <v>0</v>
      </c>
      <c r="AD252" s="58">
        <f t="shared" ca="1" si="410"/>
        <v>0</v>
      </c>
      <c r="AE252" s="58">
        <f t="shared" ca="1" si="410"/>
        <v>0</v>
      </c>
      <c r="AF252" s="58">
        <f t="shared" ca="1" si="410"/>
        <v>0</v>
      </c>
      <c r="AG252" s="58">
        <f t="shared" ca="1" si="410"/>
        <v>0</v>
      </c>
      <c r="AH252" s="58">
        <f t="shared" ca="1" si="410"/>
        <v>0</v>
      </c>
      <c r="AI252" s="58">
        <f t="shared" ca="1" si="410"/>
        <v>0</v>
      </c>
      <c r="AJ252" s="58">
        <f t="shared" ca="1" si="410"/>
        <v>0</v>
      </c>
      <c r="AK252" s="58">
        <f t="shared" ca="1" si="410"/>
        <v>0</v>
      </c>
      <c r="AL252" s="58">
        <f t="shared" ca="1" si="410"/>
        <v>0</v>
      </c>
      <c r="AM252" s="58">
        <f t="shared" ref="AM252:BR252" ca="1" si="411">+IF(OR($F252+AM$175&lt;1,(AM$176-1)*12&lt;-$F252),0,OFFSET(AM82,0,$F252))</f>
        <v>0</v>
      </c>
      <c r="AN252" s="58">
        <f t="shared" ca="1" si="411"/>
        <v>0</v>
      </c>
      <c r="AO252" s="58">
        <f t="shared" ca="1" si="411"/>
        <v>0</v>
      </c>
      <c r="AP252" s="58">
        <f t="shared" ca="1" si="411"/>
        <v>0</v>
      </c>
      <c r="AQ252" s="58">
        <f t="shared" ca="1" si="411"/>
        <v>0</v>
      </c>
      <c r="AR252" s="58">
        <f t="shared" ca="1" si="411"/>
        <v>0</v>
      </c>
      <c r="AS252" s="58">
        <f t="shared" ca="1" si="411"/>
        <v>0</v>
      </c>
      <c r="AT252" s="58">
        <f t="shared" ca="1" si="411"/>
        <v>0</v>
      </c>
      <c r="AU252" s="58">
        <f t="shared" ca="1" si="411"/>
        <v>0</v>
      </c>
      <c r="AV252" s="58">
        <f t="shared" ca="1" si="411"/>
        <v>0</v>
      </c>
      <c r="AW252" s="58">
        <f t="shared" ca="1" si="411"/>
        <v>0</v>
      </c>
      <c r="AX252" s="58">
        <f t="shared" ca="1" si="411"/>
        <v>0</v>
      </c>
      <c r="AY252" s="58">
        <f t="shared" ca="1" si="411"/>
        <v>0</v>
      </c>
      <c r="AZ252" s="58">
        <f t="shared" ca="1" si="411"/>
        <v>0</v>
      </c>
      <c r="BA252" s="58">
        <f t="shared" ca="1" si="411"/>
        <v>0</v>
      </c>
      <c r="BB252" s="58">
        <f t="shared" ca="1" si="411"/>
        <v>0</v>
      </c>
      <c r="BC252" s="58">
        <f t="shared" ca="1" si="411"/>
        <v>0</v>
      </c>
      <c r="BD252" s="58">
        <f t="shared" ca="1" si="411"/>
        <v>0</v>
      </c>
      <c r="BE252" s="58">
        <f t="shared" ca="1" si="411"/>
        <v>0</v>
      </c>
      <c r="BF252" s="58">
        <f t="shared" ca="1" si="411"/>
        <v>0</v>
      </c>
      <c r="BG252" s="58">
        <f t="shared" ca="1" si="411"/>
        <v>0</v>
      </c>
      <c r="BH252" s="58">
        <f t="shared" ca="1" si="411"/>
        <v>0</v>
      </c>
      <c r="BI252" s="58">
        <f t="shared" ca="1" si="411"/>
        <v>0</v>
      </c>
      <c r="BJ252" s="58">
        <f t="shared" ca="1" si="411"/>
        <v>0</v>
      </c>
      <c r="BK252" s="58">
        <f t="shared" ca="1" si="411"/>
        <v>0</v>
      </c>
      <c r="BL252" s="58">
        <f t="shared" ca="1" si="411"/>
        <v>0</v>
      </c>
      <c r="BM252" s="58">
        <f t="shared" ca="1" si="411"/>
        <v>0</v>
      </c>
      <c r="BN252" s="58">
        <f t="shared" ca="1" si="411"/>
        <v>0</v>
      </c>
      <c r="BO252" s="58">
        <f t="shared" ca="1" si="411"/>
        <v>0</v>
      </c>
      <c r="BP252" s="58">
        <f t="shared" ca="1" si="411"/>
        <v>0</v>
      </c>
      <c r="BQ252" s="58">
        <f t="shared" ca="1" si="411"/>
        <v>0</v>
      </c>
      <c r="BR252" s="58">
        <f t="shared" ca="1" si="411"/>
        <v>0</v>
      </c>
      <c r="BS252" s="58">
        <f t="shared" ref="BS252:CX252" ca="1" si="412">+IF(OR($F252+BS$175&lt;1,(BS$176-1)*12&lt;-$F252),0,OFFSET(BS82,0,$F252))</f>
        <v>0</v>
      </c>
      <c r="BT252" s="58">
        <f t="shared" ca="1" si="412"/>
        <v>0</v>
      </c>
      <c r="BU252" s="58">
        <f t="shared" ca="1" si="412"/>
        <v>0</v>
      </c>
      <c r="BV252" s="58">
        <f t="shared" ca="1" si="412"/>
        <v>0</v>
      </c>
      <c r="BW252" s="58">
        <f t="shared" ca="1" si="412"/>
        <v>0</v>
      </c>
      <c r="BX252" s="58">
        <f t="shared" ca="1" si="412"/>
        <v>0</v>
      </c>
      <c r="BY252" s="58">
        <f t="shared" ca="1" si="412"/>
        <v>0</v>
      </c>
      <c r="BZ252" s="58">
        <f t="shared" ca="1" si="412"/>
        <v>0</v>
      </c>
      <c r="CA252" s="58">
        <f t="shared" ca="1" si="412"/>
        <v>0</v>
      </c>
      <c r="CB252" s="58">
        <f t="shared" ca="1" si="412"/>
        <v>0</v>
      </c>
      <c r="CC252" s="58">
        <f t="shared" ca="1" si="412"/>
        <v>0</v>
      </c>
      <c r="CD252" s="58">
        <f t="shared" ca="1" si="412"/>
        <v>0</v>
      </c>
      <c r="CE252" s="58">
        <f t="shared" ca="1" si="412"/>
        <v>0</v>
      </c>
      <c r="CF252" s="58">
        <f t="shared" ca="1" si="412"/>
        <v>0</v>
      </c>
      <c r="CG252" s="58">
        <f t="shared" ca="1" si="412"/>
        <v>0</v>
      </c>
      <c r="CH252" s="58">
        <f t="shared" ca="1" si="412"/>
        <v>0</v>
      </c>
      <c r="CI252" s="58">
        <f t="shared" ca="1" si="412"/>
        <v>0</v>
      </c>
      <c r="CJ252" s="58">
        <f t="shared" ca="1" si="412"/>
        <v>0</v>
      </c>
      <c r="CK252" s="58">
        <f t="shared" ca="1" si="412"/>
        <v>0</v>
      </c>
      <c r="CL252" s="58">
        <f t="shared" ca="1" si="412"/>
        <v>0</v>
      </c>
      <c r="CM252" s="58">
        <f t="shared" ca="1" si="412"/>
        <v>0</v>
      </c>
      <c r="CN252" s="58">
        <f t="shared" ca="1" si="412"/>
        <v>0</v>
      </c>
      <c r="CO252" s="58">
        <f t="shared" ca="1" si="412"/>
        <v>0</v>
      </c>
      <c r="CP252" s="58">
        <f t="shared" ca="1" si="412"/>
        <v>0</v>
      </c>
      <c r="CQ252" s="58">
        <f t="shared" ca="1" si="412"/>
        <v>0</v>
      </c>
      <c r="CR252" s="58">
        <f t="shared" ca="1" si="412"/>
        <v>0</v>
      </c>
      <c r="CS252" s="58">
        <f t="shared" ca="1" si="412"/>
        <v>0</v>
      </c>
      <c r="CT252" s="58">
        <f t="shared" ca="1" si="412"/>
        <v>0</v>
      </c>
      <c r="CU252" s="58">
        <f t="shared" ca="1" si="412"/>
        <v>0</v>
      </c>
      <c r="CV252" s="58">
        <f t="shared" ca="1" si="412"/>
        <v>0</v>
      </c>
      <c r="CW252" s="58">
        <f t="shared" ca="1" si="412"/>
        <v>0</v>
      </c>
      <c r="CX252" s="58">
        <f t="shared" ca="1" si="412"/>
        <v>0</v>
      </c>
      <c r="CY252" s="58">
        <f t="shared" ref="CY252:ED252" ca="1" si="413">+IF(OR($F252+CY$175&lt;1,(CY$176-1)*12&lt;-$F252),0,OFFSET(CY82,0,$F252))</f>
        <v>0</v>
      </c>
      <c r="CZ252" s="58">
        <f t="shared" ca="1" si="413"/>
        <v>0</v>
      </c>
      <c r="DA252" s="58">
        <f t="shared" ca="1" si="413"/>
        <v>0</v>
      </c>
      <c r="DB252" s="58">
        <f t="shared" ca="1" si="413"/>
        <v>0</v>
      </c>
      <c r="DC252" s="58">
        <f t="shared" ca="1" si="413"/>
        <v>0</v>
      </c>
      <c r="DD252" s="58">
        <f t="shared" ca="1" si="413"/>
        <v>0</v>
      </c>
      <c r="DE252" s="58">
        <f t="shared" ca="1" si="413"/>
        <v>0</v>
      </c>
      <c r="DF252" s="58">
        <f t="shared" ca="1" si="413"/>
        <v>0</v>
      </c>
      <c r="DG252" s="58">
        <f t="shared" ca="1" si="413"/>
        <v>0</v>
      </c>
      <c r="DH252" s="58">
        <f t="shared" ca="1" si="413"/>
        <v>0</v>
      </c>
      <c r="DI252" s="58">
        <f t="shared" ca="1" si="413"/>
        <v>0</v>
      </c>
      <c r="DJ252" s="58">
        <f t="shared" ca="1" si="413"/>
        <v>0</v>
      </c>
      <c r="DK252" s="58">
        <f t="shared" ca="1" si="413"/>
        <v>0</v>
      </c>
      <c r="DL252" s="58">
        <f t="shared" ca="1" si="413"/>
        <v>0</v>
      </c>
      <c r="DM252" s="58">
        <f t="shared" ca="1" si="413"/>
        <v>0</v>
      </c>
      <c r="DN252" s="58">
        <f t="shared" ca="1" si="413"/>
        <v>0</v>
      </c>
      <c r="DO252" s="58">
        <f t="shared" ca="1" si="413"/>
        <v>0</v>
      </c>
      <c r="DP252" s="58">
        <f t="shared" ca="1" si="413"/>
        <v>0</v>
      </c>
      <c r="DQ252" s="58">
        <f t="shared" ca="1" si="413"/>
        <v>0</v>
      </c>
      <c r="DR252" s="58">
        <f t="shared" ca="1" si="413"/>
        <v>0</v>
      </c>
      <c r="DS252" s="58">
        <f t="shared" ca="1" si="413"/>
        <v>0</v>
      </c>
      <c r="DT252" s="58">
        <f t="shared" ca="1" si="413"/>
        <v>0</v>
      </c>
      <c r="DU252" s="58">
        <f t="shared" ca="1" si="413"/>
        <v>0</v>
      </c>
      <c r="DV252" s="58">
        <f t="shared" ca="1" si="413"/>
        <v>0</v>
      </c>
      <c r="DW252" s="58">
        <f t="shared" ca="1" si="413"/>
        <v>0</v>
      </c>
      <c r="DX252" s="58">
        <f t="shared" ca="1" si="413"/>
        <v>0</v>
      </c>
      <c r="DY252" s="58">
        <f t="shared" ca="1" si="413"/>
        <v>0</v>
      </c>
      <c r="DZ252" s="58">
        <f t="shared" ca="1" si="413"/>
        <v>0</v>
      </c>
      <c r="EA252" s="58">
        <f t="shared" ca="1" si="413"/>
        <v>0</v>
      </c>
      <c r="EB252" s="58">
        <f t="shared" ca="1" si="413"/>
        <v>0</v>
      </c>
      <c r="EC252" s="58">
        <f t="shared" ca="1" si="413"/>
        <v>0</v>
      </c>
      <c r="ED252" s="58">
        <f t="shared" ca="1" si="413"/>
        <v>0</v>
      </c>
      <c r="EE252" s="58">
        <f t="shared" ref="EE252:FN252" ca="1" si="414">+IF(OR($F252+EE$175&lt;1,(EE$176-1)*12&lt;-$F252),0,OFFSET(EE82,0,$F252))</f>
        <v>0</v>
      </c>
      <c r="EF252" s="58">
        <f t="shared" ca="1" si="414"/>
        <v>0</v>
      </c>
      <c r="EG252" s="58">
        <f t="shared" ca="1" si="414"/>
        <v>0</v>
      </c>
      <c r="EH252" s="58">
        <f t="shared" ca="1" si="414"/>
        <v>0</v>
      </c>
      <c r="EI252" s="58">
        <f t="shared" ca="1" si="414"/>
        <v>0</v>
      </c>
      <c r="EJ252" s="58">
        <f t="shared" ca="1" si="414"/>
        <v>0</v>
      </c>
      <c r="EK252" s="58">
        <f t="shared" ca="1" si="414"/>
        <v>0</v>
      </c>
      <c r="EL252" s="58">
        <f t="shared" ca="1" si="414"/>
        <v>0</v>
      </c>
      <c r="EM252" s="58">
        <f t="shared" ca="1" si="414"/>
        <v>0</v>
      </c>
      <c r="EN252" s="58">
        <f t="shared" ca="1" si="414"/>
        <v>0</v>
      </c>
      <c r="EO252" s="58">
        <f t="shared" ca="1" si="414"/>
        <v>0</v>
      </c>
      <c r="EP252" s="58">
        <f t="shared" ca="1" si="414"/>
        <v>0</v>
      </c>
      <c r="EQ252" s="58">
        <f t="shared" ca="1" si="414"/>
        <v>0</v>
      </c>
      <c r="ER252" s="58">
        <f t="shared" ca="1" si="414"/>
        <v>0</v>
      </c>
      <c r="ES252" s="58">
        <f t="shared" ca="1" si="414"/>
        <v>0</v>
      </c>
      <c r="ET252" s="58">
        <f t="shared" ca="1" si="414"/>
        <v>0</v>
      </c>
      <c r="EU252" s="58">
        <f t="shared" ca="1" si="414"/>
        <v>0</v>
      </c>
      <c r="EV252" s="58">
        <f t="shared" ca="1" si="414"/>
        <v>0</v>
      </c>
      <c r="EW252" s="58">
        <f t="shared" ca="1" si="414"/>
        <v>0</v>
      </c>
      <c r="EX252" s="58">
        <f t="shared" ca="1" si="414"/>
        <v>0</v>
      </c>
      <c r="EY252" s="58">
        <f t="shared" ca="1" si="414"/>
        <v>0</v>
      </c>
      <c r="EZ252" s="58">
        <f t="shared" ca="1" si="414"/>
        <v>0</v>
      </c>
      <c r="FA252" s="58">
        <f t="shared" ca="1" si="414"/>
        <v>0</v>
      </c>
      <c r="FB252" s="58">
        <f t="shared" ca="1" si="414"/>
        <v>0</v>
      </c>
      <c r="FC252" s="58">
        <f t="shared" ca="1" si="414"/>
        <v>0</v>
      </c>
      <c r="FD252" s="58">
        <f t="shared" ca="1" si="414"/>
        <v>0</v>
      </c>
      <c r="FE252" s="58">
        <f t="shared" ca="1" si="414"/>
        <v>0</v>
      </c>
      <c r="FF252" s="58">
        <f t="shared" ca="1" si="414"/>
        <v>0</v>
      </c>
      <c r="FG252" s="58">
        <f t="shared" ca="1" si="414"/>
        <v>0</v>
      </c>
      <c r="FH252" s="58">
        <f t="shared" ca="1" si="414"/>
        <v>0</v>
      </c>
      <c r="FI252" s="58">
        <f t="shared" ca="1" si="414"/>
        <v>0</v>
      </c>
      <c r="FJ252" s="58">
        <f t="shared" ca="1" si="414"/>
        <v>0</v>
      </c>
      <c r="FK252" s="58">
        <f t="shared" ca="1" si="414"/>
        <v>0</v>
      </c>
      <c r="FL252" s="58">
        <f t="shared" ca="1" si="414"/>
        <v>0</v>
      </c>
      <c r="FM252" s="58">
        <f t="shared" ca="1" si="414"/>
        <v>0</v>
      </c>
      <c r="FN252" s="58">
        <f t="shared" ca="1" si="414"/>
        <v>0</v>
      </c>
      <c r="FO252" s="13"/>
    </row>
    <row r="253" spans="1:171" outlineLevel="1" x14ac:dyDescent="0.3">
      <c r="A253" s="13"/>
      <c r="B253" s="13"/>
      <c r="C253" s="13"/>
      <c r="D253" s="52">
        <f t="shared" si="357"/>
        <v>42461</v>
      </c>
      <c r="E253" s="53">
        <f t="shared" si="358"/>
        <v>2016</v>
      </c>
      <c r="F253" s="53">
        <f t="shared" si="359"/>
        <v>27</v>
      </c>
      <c r="G253" s="58">
        <f t="shared" ref="G253:AL253" ca="1" si="415">+IF(OR($F253+G$175&lt;1,(G$176-1)*12&lt;-$F253),0,OFFSET(G83,0,$F253))</f>
        <v>0</v>
      </c>
      <c r="H253" s="58">
        <f t="shared" ca="1" si="415"/>
        <v>0</v>
      </c>
      <c r="I253" s="58">
        <f t="shared" ca="1" si="415"/>
        <v>0</v>
      </c>
      <c r="J253" s="58">
        <f t="shared" ca="1" si="415"/>
        <v>0</v>
      </c>
      <c r="K253" s="58">
        <f t="shared" ca="1" si="415"/>
        <v>0</v>
      </c>
      <c r="L253" s="58">
        <f t="shared" ca="1" si="415"/>
        <v>0</v>
      </c>
      <c r="M253" s="58">
        <f t="shared" ca="1" si="415"/>
        <v>0</v>
      </c>
      <c r="N253" s="58">
        <f t="shared" ca="1" si="415"/>
        <v>0</v>
      </c>
      <c r="O253" s="58">
        <f t="shared" ca="1" si="415"/>
        <v>0</v>
      </c>
      <c r="P253" s="58">
        <f t="shared" ca="1" si="415"/>
        <v>0</v>
      </c>
      <c r="Q253" s="58">
        <f t="shared" ca="1" si="415"/>
        <v>0</v>
      </c>
      <c r="R253" s="58">
        <f t="shared" ca="1" si="415"/>
        <v>0</v>
      </c>
      <c r="S253" s="58">
        <f t="shared" ca="1" si="415"/>
        <v>0</v>
      </c>
      <c r="T253" s="58">
        <f t="shared" ca="1" si="415"/>
        <v>0</v>
      </c>
      <c r="U253" s="58">
        <f t="shared" ca="1" si="415"/>
        <v>0</v>
      </c>
      <c r="V253" s="58">
        <f t="shared" ca="1" si="415"/>
        <v>0</v>
      </c>
      <c r="W253" s="58">
        <f t="shared" ca="1" si="415"/>
        <v>0</v>
      </c>
      <c r="X253" s="58">
        <f t="shared" ca="1" si="415"/>
        <v>0</v>
      </c>
      <c r="Y253" s="58">
        <f t="shared" ca="1" si="415"/>
        <v>0</v>
      </c>
      <c r="Z253" s="58">
        <f t="shared" ca="1" si="415"/>
        <v>0</v>
      </c>
      <c r="AA253" s="58">
        <f t="shared" ca="1" si="415"/>
        <v>0</v>
      </c>
      <c r="AB253" s="58">
        <f t="shared" ca="1" si="415"/>
        <v>0</v>
      </c>
      <c r="AC253" s="58">
        <f t="shared" ca="1" si="415"/>
        <v>0</v>
      </c>
      <c r="AD253" s="58">
        <f t="shared" ca="1" si="415"/>
        <v>0</v>
      </c>
      <c r="AE253" s="58">
        <f t="shared" ca="1" si="415"/>
        <v>0</v>
      </c>
      <c r="AF253" s="58">
        <f t="shared" ca="1" si="415"/>
        <v>0</v>
      </c>
      <c r="AG253" s="58">
        <f t="shared" ca="1" si="415"/>
        <v>0</v>
      </c>
      <c r="AH253" s="58">
        <f t="shared" ca="1" si="415"/>
        <v>0</v>
      </c>
      <c r="AI253" s="58">
        <f t="shared" ca="1" si="415"/>
        <v>0</v>
      </c>
      <c r="AJ253" s="58">
        <f t="shared" ca="1" si="415"/>
        <v>0</v>
      </c>
      <c r="AK253" s="58">
        <f t="shared" ca="1" si="415"/>
        <v>0</v>
      </c>
      <c r="AL253" s="58">
        <f t="shared" ca="1" si="415"/>
        <v>0</v>
      </c>
      <c r="AM253" s="58">
        <f t="shared" ref="AM253:BR253" ca="1" si="416">+IF(OR($F253+AM$175&lt;1,(AM$176-1)*12&lt;-$F253),0,OFFSET(AM83,0,$F253))</f>
        <v>0</v>
      </c>
      <c r="AN253" s="58">
        <f t="shared" ca="1" si="416"/>
        <v>0</v>
      </c>
      <c r="AO253" s="58">
        <f t="shared" ca="1" si="416"/>
        <v>0</v>
      </c>
      <c r="AP253" s="58">
        <f t="shared" ca="1" si="416"/>
        <v>0</v>
      </c>
      <c r="AQ253" s="58">
        <f t="shared" ca="1" si="416"/>
        <v>0</v>
      </c>
      <c r="AR253" s="58">
        <f t="shared" ca="1" si="416"/>
        <v>0</v>
      </c>
      <c r="AS253" s="58">
        <f t="shared" ca="1" si="416"/>
        <v>0</v>
      </c>
      <c r="AT253" s="58">
        <f t="shared" ca="1" si="416"/>
        <v>0</v>
      </c>
      <c r="AU253" s="58">
        <f t="shared" ca="1" si="416"/>
        <v>0</v>
      </c>
      <c r="AV253" s="58">
        <f t="shared" ca="1" si="416"/>
        <v>0</v>
      </c>
      <c r="AW253" s="58">
        <f t="shared" ca="1" si="416"/>
        <v>0</v>
      </c>
      <c r="AX253" s="58">
        <f t="shared" ca="1" si="416"/>
        <v>0</v>
      </c>
      <c r="AY253" s="58">
        <f t="shared" ca="1" si="416"/>
        <v>0</v>
      </c>
      <c r="AZ253" s="58">
        <f t="shared" ca="1" si="416"/>
        <v>0</v>
      </c>
      <c r="BA253" s="58">
        <f t="shared" ca="1" si="416"/>
        <v>0</v>
      </c>
      <c r="BB253" s="58">
        <f t="shared" ca="1" si="416"/>
        <v>0</v>
      </c>
      <c r="BC253" s="58">
        <f t="shared" ca="1" si="416"/>
        <v>0</v>
      </c>
      <c r="BD253" s="58">
        <f t="shared" ca="1" si="416"/>
        <v>0</v>
      </c>
      <c r="BE253" s="58">
        <f t="shared" ca="1" si="416"/>
        <v>0</v>
      </c>
      <c r="BF253" s="58">
        <f t="shared" ca="1" si="416"/>
        <v>0</v>
      </c>
      <c r="BG253" s="58">
        <f t="shared" ca="1" si="416"/>
        <v>0</v>
      </c>
      <c r="BH253" s="58">
        <f t="shared" ca="1" si="416"/>
        <v>0</v>
      </c>
      <c r="BI253" s="58">
        <f t="shared" ca="1" si="416"/>
        <v>0</v>
      </c>
      <c r="BJ253" s="58">
        <f t="shared" ca="1" si="416"/>
        <v>0</v>
      </c>
      <c r="BK253" s="58">
        <f t="shared" ca="1" si="416"/>
        <v>0</v>
      </c>
      <c r="BL253" s="58">
        <f t="shared" ca="1" si="416"/>
        <v>0</v>
      </c>
      <c r="BM253" s="58">
        <f t="shared" ca="1" si="416"/>
        <v>0</v>
      </c>
      <c r="BN253" s="58">
        <f t="shared" ca="1" si="416"/>
        <v>0</v>
      </c>
      <c r="BO253" s="58">
        <f t="shared" ca="1" si="416"/>
        <v>0</v>
      </c>
      <c r="BP253" s="58">
        <f t="shared" ca="1" si="416"/>
        <v>0</v>
      </c>
      <c r="BQ253" s="58">
        <f t="shared" ca="1" si="416"/>
        <v>0</v>
      </c>
      <c r="BR253" s="58">
        <f t="shared" ca="1" si="416"/>
        <v>0</v>
      </c>
      <c r="BS253" s="58">
        <f t="shared" ref="BS253:CX253" ca="1" si="417">+IF(OR($F253+BS$175&lt;1,(BS$176-1)*12&lt;-$F253),0,OFFSET(BS83,0,$F253))</f>
        <v>0</v>
      </c>
      <c r="BT253" s="58">
        <f t="shared" ca="1" si="417"/>
        <v>0</v>
      </c>
      <c r="BU253" s="58">
        <f t="shared" ca="1" si="417"/>
        <v>0</v>
      </c>
      <c r="BV253" s="58">
        <f t="shared" ca="1" si="417"/>
        <v>0</v>
      </c>
      <c r="BW253" s="58">
        <f t="shared" ca="1" si="417"/>
        <v>0</v>
      </c>
      <c r="BX253" s="58">
        <f t="shared" ca="1" si="417"/>
        <v>0</v>
      </c>
      <c r="BY253" s="58">
        <f t="shared" ca="1" si="417"/>
        <v>0</v>
      </c>
      <c r="BZ253" s="58">
        <f t="shared" ca="1" si="417"/>
        <v>0</v>
      </c>
      <c r="CA253" s="58">
        <f t="shared" ca="1" si="417"/>
        <v>0</v>
      </c>
      <c r="CB253" s="58">
        <f t="shared" ca="1" si="417"/>
        <v>0</v>
      </c>
      <c r="CC253" s="58">
        <f t="shared" ca="1" si="417"/>
        <v>0</v>
      </c>
      <c r="CD253" s="58">
        <f t="shared" ca="1" si="417"/>
        <v>0</v>
      </c>
      <c r="CE253" s="58">
        <f t="shared" ca="1" si="417"/>
        <v>0</v>
      </c>
      <c r="CF253" s="58">
        <f t="shared" ca="1" si="417"/>
        <v>0</v>
      </c>
      <c r="CG253" s="58">
        <f t="shared" ca="1" si="417"/>
        <v>0</v>
      </c>
      <c r="CH253" s="58">
        <f t="shared" ca="1" si="417"/>
        <v>0</v>
      </c>
      <c r="CI253" s="58">
        <f t="shared" ca="1" si="417"/>
        <v>0</v>
      </c>
      <c r="CJ253" s="58">
        <f t="shared" ca="1" si="417"/>
        <v>0</v>
      </c>
      <c r="CK253" s="58">
        <f t="shared" ca="1" si="417"/>
        <v>0</v>
      </c>
      <c r="CL253" s="58">
        <f t="shared" ca="1" si="417"/>
        <v>0</v>
      </c>
      <c r="CM253" s="58">
        <f t="shared" ca="1" si="417"/>
        <v>0</v>
      </c>
      <c r="CN253" s="58">
        <f t="shared" ca="1" si="417"/>
        <v>0</v>
      </c>
      <c r="CO253" s="58">
        <f t="shared" ca="1" si="417"/>
        <v>0</v>
      </c>
      <c r="CP253" s="58">
        <f t="shared" ca="1" si="417"/>
        <v>0</v>
      </c>
      <c r="CQ253" s="58">
        <f t="shared" ca="1" si="417"/>
        <v>0</v>
      </c>
      <c r="CR253" s="58">
        <f t="shared" ca="1" si="417"/>
        <v>0</v>
      </c>
      <c r="CS253" s="58">
        <f t="shared" ca="1" si="417"/>
        <v>0</v>
      </c>
      <c r="CT253" s="58">
        <f t="shared" ca="1" si="417"/>
        <v>0</v>
      </c>
      <c r="CU253" s="58">
        <f t="shared" ca="1" si="417"/>
        <v>0</v>
      </c>
      <c r="CV253" s="58">
        <f t="shared" ca="1" si="417"/>
        <v>0</v>
      </c>
      <c r="CW253" s="58">
        <f t="shared" ca="1" si="417"/>
        <v>0</v>
      </c>
      <c r="CX253" s="58">
        <f t="shared" ca="1" si="417"/>
        <v>0</v>
      </c>
      <c r="CY253" s="58">
        <f t="shared" ref="CY253:ED253" ca="1" si="418">+IF(OR($F253+CY$175&lt;1,(CY$176-1)*12&lt;-$F253),0,OFFSET(CY83,0,$F253))</f>
        <v>0</v>
      </c>
      <c r="CZ253" s="58">
        <f t="shared" ca="1" si="418"/>
        <v>0</v>
      </c>
      <c r="DA253" s="58">
        <f t="shared" ca="1" si="418"/>
        <v>0</v>
      </c>
      <c r="DB253" s="58">
        <f t="shared" ca="1" si="418"/>
        <v>0</v>
      </c>
      <c r="DC253" s="58">
        <f t="shared" ca="1" si="418"/>
        <v>0</v>
      </c>
      <c r="DD253" s="58">
        <f t="shared" ca="1" si="418"/>
        <v>0</v>
      </c>
      <c r="DE253" s="58">
        <f t="shared" ca="1" si="418"/>
        <v>0</v>
      </c>
      <c r="DF253" s="58">
        <f t="shared" ca="1" si="418"/>
        <v>0</v>
      </c>
      <c r="DG253" s="58">
        <f t="shared" ca="1" si="418"/>
        <v>0</v>
      </c>
      <c r="DH253" s="58">
        <f t="shared" ca="1" si="418"/>
        <v>0</v>
      </c>
      <c r="DI253" s="58">
        <f t="shared" ca="1" si="418"/>
        <v>0</v>
      </c>
      <c r="DJ253" s="58">
        <f t="shared" ca="1" si="418"/>
        <v>0</v>
      </c>
      <c r="DK253" s="58">
        <f t="shared" ca="1" si="418"/>
        <v>0</v>
      </c>
      <c r="DL253" s="58">
        <f t="shared" ca="1" si="418"/>
        <v>0</v>
      </c>
      <c r="DM253" s="58">
        <f t="shared" ca="1" si="418"/>
        <v>0</v>
      </c>
      <c r="DN253" s="58">
        <f t="shared" ca="1" si="418"/>
        <v>0</v>
      </c>
      <c r="DO253" s="58">
        <f t="shared" ca="1" si="418"/>
        <v>0</v>
      </c>
      <c r="DP253" s="58">
        <f t="shared" ca="1" si="418"/>
        <v>0</v>
      </c>
      <c r="DQ253" s="58">
        <f t="shared" ca="1" si="418"/>
        <v>0</v>
      </c>
      <c r="DR253" s="58">
        <f t="shared" ca="1" si="418"/>
        <v>0</v>
      </c>
      <c r="DS253" s="58">
        <f t="shared" ca="1" si="418"/>
        <v>0</v>
      </c>
      <c r="DT253" s="58">
        <f t="shared" ca="1" si="418"/>
        <v>0</v>
      </c>
      <c r="DU253" s="58">
        <f t="shared" ca="1" si="418"/>
        <v>0</v>
      </c>
      <c r="DV253" s="58">
        <f t="shared" ca="1" si="418"/>
        <v>0</v>
      </c>
      <c r="DW253" s="58">
        <f t="shared" ca="1" si="418"/>
        <v>0</v>
      </c>
      <c r="DX253" s="58">
        <f t="shared" ca="1" si="418"/>
        <v>0</v>
      </c>
      <c r="DY253" s="58">
        <f t="shared" ca="1" si="418"/>
        <v>0</v>
      </c>
      <c r="DZ253" s="58">
        <f t="shared" ca="1" si="418"/>
        <v>0</v>
      </c>
      <c r="EA253" s="58">
        <f t="shared" ca="1" si="418"/>
        <v>0</v>
      </c>
      <c r="EB253" s="58">
        <f t="shared" ca="1" si="418"/>
        <v>0</v>
      </c>
      <c r="EC253" s="58">
        <f t="shared" ca="1" si="418"/>
        <v>0</v>
      </c>
      <c r="ED253" s="58">
        <f t="shared" ca="1" si="418"/>
        <v>0</v>
      </c>
      <c r="EE253" s="58">
        <f t="shared" ref="EE253:FN253" ca="1" si="419">+IF(OR($F253+EE$175&lt;1,(EE$176-1)*12&lt;-$F253),0,OFFSET(EE83,0,$F253))</f>
        <v>0</v>
      </c>
      <c r="EF253" s="58">
        <f t="shared" ca="1" si="419"/>
        <v>0</v>
      </c>
      <c r="EG253" s="58">
        <f t="shared" ca="1" si="419"/>
        <v>0</v>
      </c>
      <c r="EH253" s="58">
        <f t="shared" ca="1" si="419"/>
        <v>0</v>
      </c>
      <c r="EI253" s="58">
        <f t="shared" ca="1" si="419"/>
        <v>0</v>
      </c>
      <c r="EJ253" s="58">
        <f t="shared" ca="1" si="419"/>
        <v>0</v>
      </c>
      <c r="EK253" s="58">
        <f t="shared" ca="1" si="419"/>
        <v>0</v>
      </c>
      <c r="EL253" s="58">
        <f t="shared" ca="1" si="419"/>
        <v>0</v>
      </c>
      <c r="EM253" s="58">
        <f t="shared" ca="1" si="419"/>
        <v>0</v>
      </c>
      <c r="EN253" s="58">
        <f t="shared" ca="1" si="419"/>
        <v>0</v>
      </c>
      <c r="EO253" s="58">
        <f t="shared" ca="1" si="419"/>
        <v>0</v>
      </c>
      <c r="EP253" s="58">
        <f t="shared" ca="1" si="419"/>
        <v>0</v>
      </c>
      <c r="EQ253" s="58">
        <f t="shared" ca="1" si="419"/>
        <v>0</v>
      </c>
      <c r="ER253" s="58">
        <f t="shared" ca="1" si="419"/>
        <v>0</v>
      </c>
      <c r="ES253" s="58">
        <f t="shared" ca="1" si="419"/>
        <v>0</v>
      </c>
      <c r="ET253" s="58">
        <f t="shared" ca="1" si="419"/>
        <v>0</v>
      </c>
      <c r="EU253" s="58">
        <f t="shared" ca="1" si="419"/>
        <v>0</v>
      </c>
      <c r="EV253" s="58">
        <f t="shared" ca="1" si="419"/>
        <v>0</v>
      </c>
      <c r="EW253" s="58">
        <f t="shared" ca="1" si="419"/>
        <v>0</v>
      </c>
      <c r="EX253" s="58">
        <f t="shared" ca="1" si="419"/>
        <v>0</v>
      </c>
      <c r="EY253" s="58">
        <f t="shared" ca="1" si="419"/>
        <v>0</v>
      </c>
      <c r="EZ253" s="58">
        <f t="shared" ca="1" si="419"/>
        <v>0</v>
      </c>
      <c r="FA253" s="58">
        <f t="shared" ca="1" si="419"/>
        <v>0</v>
      </c>
      <c r="FB253" s="58">
        <f t="shared" ca="1" si="419"/>
        <v>0</v>
      </c>
      <c r="FC253" s="58">
        <f t="shared" ca="1" si="419"/>
        <v>0</v>
      </c>
      <c r="FD253" s="58">
        <f t="shared" ca="1" si="419"/>
        <v>0</v>
      </c>
      <c r="FE253" s="58">
        <f t="shared" ca="1" si="419"/>
        <v>0</v>
      </c>
      <c r="FF253" s="58">
        <f t="shared" ca="1" si="419"/>
        <v>0</v>
      </c>
      <c r="FG253" s="58">
        <f t="shared" ca="1" si="419"/>
        <v>0</v>
      </c>
      <c r="FH253" s="58">
        <f t="shared" ca="1" si="419"/>
        <v>0</v>
      </c>
      <c r="FI253" s="58">
        <f t="shared" ca="1" si="419"/>
        <v>0</v>
      </c>
      <c r="FJ253" s="58">
        <f t="shared" ca="1" si="419"/>
        <v>0</v>
      </c>
      <c r="FK253" s="58">
        <f t="shared" ca="1" si="419"/>
        <v>0</v>
      </c>
      <c r="FL253" s="58">
        <f t="shared" ca="1" si="419"/>
        <v>0</v>
      </c>
      <c r="FM253" s="58">
        <f t="shared" ca="1" si="419"/>
        <v>0</v>
      </c>
      <c r="FN253" s="58">
        <f t="shared" ca="1" si="419"/>
        <v>0</v>
      </c>
      <c r="FO253" s="13"/>
    </row>
    <row r="254" spans="1:171" outlineLevel="1" x14ac:dyDescent="0.3">
      <c r="A254" s="13"/>
      <c r="B254" s="13"/>
      <c r="C254" s="13"/>
      <c r="D254" s="52">
        <f t="shared" si="357"/>
        <v>42491</v>
      </c>
      <c r="E254" s="53">
        <f t="shared" si="358"/>
        <v>2016</v>
      </c>
      <c r="F254" s="53">
        <f t="shared" si="359"/>
        <v>28</v>
      </c>
      <c r="G254" s="58">
        <f t="shared" ref="G254:AL254" ca="1" si="420">+IF(OR($F254+G$175&lt;1,(G$176-1)*12&lt;-$F254),0,OFFSET(G84,0,$F254))</f>
        <v>0</v>
      </c>
      <c r="H254" s="58">
        <f t="shared" ca="1" si="420"/>
        <v>0</v>
      </c>
      <c r="I254" s="58">
        <f t="shared" ca="1" si="420"/>
        <v>0</v>
      </c>
      <c r="J254" s="58">
        <f t="shared" ca="1" si="420"/>
        <v>0</v>
      </c>
      <c r="K254" s="58">
        <f t="shared" ca="1" si="420"/>
        <v>0</v>
      </c>
      <c r="L254" s="58">
        <f t="shared" ca="1" si="420"/>
        <v>0</v>
      </c>
      <c r="M254" s="58">
        <f t="shared" ca="1" si="420"/>
        <v>0</v>
      </c>
      <c r="N254" s="58">
        <f t="shared" ca="1" si="420"/>
        <v>0</v>
      </c>
      <c r="O254" s="58">
        <f t="shared" ca="1" si="420"/>
        <v>0</v>
      </c>
      <c r="P254" s="58">
        <f t="shared" ca="1" si="420"/>
        <v>0</v>
      </c>
      <c r="Q254" s="58">
        <f t="shared" ca="1" si="420"/>
        <v>0</v>
      </c>
      <c r="R254" s="58">
        <f t="shared" ca="1" si="420"/>
        <v>0</v>
      </c>
      <c r="S254" s="58">
        <f t="shared" ca="1" si="420"/>
        <v>0</v>
      </c>
      <c r="T254" s="58">
        <f t="shared" ca="1" si="420"/>
        <v>0</v>
      </c>
      <c r="U254" s="58">
        <f t="shared" ca="1" si="420"/>
        <v>0</v>
      </c>
      <c r="V254" s="58">
        <f t="shared" ca="1" si="420"/>
        <v>0</v>
      </c>
      <c r="W254" s="58">
        <f t="shared" ca="1" si="420"/>
        <v>0</v>
      </c>
      <c r="X254" s="58">
        <f t="shared" ca="1" si="420"/>
        <v>0</v>
      </c>
      <c r="Y254" s="58">
        <f t="shared" ca="1" si="420"/>
        <v>0</v>
      </c>
      <c r="Z254" s="58">
        <f t="shared" ca="1" si="420"/>
        <v>0</v>
      </c>
      <c r="AA254" s="58">
        <f t="shared" ca="1" si="420"/>
        <v>0</v>
      </c>
      <c r="AB254" s="58">
        <f t="shared" ca="1" si="420"/>
        <v>0</v>
      </c>
      <c r="AC254" s="58">
        <f t="shared" ca="1" si="420"/>
        <v>0</v>
      </c>
      <c r="AD254" s="58">
        <f t="shared" ca="1" si="420"/>
        <v>0</v>
      </c>
      <c r="AE254" s="58">
        <f t="shared" ca="1" si="420"/>
        <v>0</v>
      </c>
      <c r="AF254" s="58">
        <f t="shared" ca="1" si="420"/>
        <v>0</v>
      </c>
      <c r="AG254" s="58">
        <f t="shared" ca="1" si="420"/>
        <v>0</v>
      </c>
      <c r="AH254" s="58">
        <f t="shared" ca="1" si="420"/>
        <v>0</v>
      </c>
      <c r="AI254" s="58">
        <f t="shared" ca="1" si="420"/>
        <v>0</v>
      </c>
      <c r="AJ254" s="58">
        <f t="shared" ca="1" si="420"/>
        <v>0</v>
      </c>
      <c r="AK254" s="58">
        <f t="shared" ca="1" si="420"/>
        <v>0</v>
      </c>
      <c r="AL254" s="58">
        <f t="shared" ca="1" si="420"/>
        <v>0</v>
      </c>
      <c r="AM254" s="58">
        <f t="shared" ref="AM254:BR254" ca="1" si="421">+IF(OR($F254+AM$175&lt;1,(AM$176-1)*12&lt;-$F254),0,OFFSET(AM84,0,$F254))</f>
        <v>0</v>
      </c>
      <c r="AN254" s="58">
        <f t="shared" ca="1" si="421"/>
        <v>0</v>
      </c>
      <c r="AO254" s="58">
        <f t="shared" ca="1" si="421"/>
        <v>0</v>
      </c>
      <c r="AP254" s="58">
        <f t="shared" ca="1" si="421"/>
        <v>0</v>
      </c>
      <c r="AQ254" s="58">
        <f t="shared" ca="1" si="421"/>
        <v>0</v>
      </c>
      <c r="AR254" s="58">
        <f t="shared" ca="1" si="421"/>
        <v>0</v>
      </c>
      <c r="AS254" s="58">
        <f t="shared" ca="1" si="421"/>
        <v>0</v>
      </c>
      <c r="AT254" s="58">
        <f t="shared" ca="1" si="421"/>
        <v>0</v>
      </c>
      <c r="AU254" s="58">
        <f t="shared" ca="1" si="421"/>
        <v>0</v>
      </c>
      <c r="AV254" s="58">
        <f t="shared" ca="1" si="421"/>
        <v>0</v>
      </c>
      <c r="AW254" s="58">
        <f t="shared" ca="1" si="421"/>
        <v>0</v>
      </c>
      <c r="AX254" s="58">
        <f t="shared" ca="1" si="421"/>
        <v>0</v>
      </c>
      <c r="AY254" s="58">
        <f t="shared" ca="1" si="421"/>
        <v>0</v>
      </c>
      <c r="AZ254" s="58">
        <f t="shared" ca="1" si="421"/>
        <v>0</v>
      </c>
      <c r="BA254" s="58">
        <f t="shared" ca="1" si="421"/>
        <v>0</v>
      </c>
      <c r="BB254" s="58">
        <f t="shared" ca="1" si="421"/>
        <v>0</v>
      </c>
      <c r="BC254" s="58">
        <f t="shared" ca="1" si="421"/>
        <v>0</v>
      </c>
      <c r="BD254" s="58">
        <f t="shared" ca="1" si="421"/>
        <v>0</v>
      </c>
      <c r="BE254" s="58">
        <f t="shared" ca="1" si="421"/>
        <v>0</v>
      </c>
      <c r="BF254" s="58">
        <f t="shared" ca="1" si="421"/>
        <v>0</v>
      </c>
      <c r="BG254" s="58">
        <f t="shared" ca="1" si="421"/>
        <v>0</v>
      </c>
      <c r="BH254" s="58">
        <f t="shared" ca="1" si="421"/>
        <v>0</v>
      </c>
      <c r="BI254" s="58">
        <f t="shared" ca="1" si="421"/>
        <v>0</v>
      </c>
      <c r="BJ254" s="58">
        <f t="shared" ca="1" si="421"/>
        <v>0</v>
      </c>
      <c r="BK254" s="58">
        <f t="shared" ca="1" si="421"/>
        <v>0</v>
      </c>
      <c r="BL254" s="58">
        <f t="shared" ca="1" si="421"/>
        <v>0</v>
      </c>
      <c r="BM254" s="58">
        <f t="shared" ca="1" si="421"/>
        <v>0</v>
      </c>
      <c r="BN254" s="58">
        <f t="shared" ca="1" si="421"/>
        <v>0</v>
      </c>
      <c r="BO254" s="58">
        <f t="shared" ca="1" si="421"/>
        <v>0</v>
      </c>
      <c r="BP254" s="58">
        <f t="shared" ca="1" si="421"/>
        <v>0</v>
      </c>
      <c r="BQ254" s="58">
        <f t="shared" ca="1" si="421"/>
        <v>0</v>
      </c>
      <c r="BR254" s="58">
        <f t="shared" ca="1" si="421"/>
        <v>0</v>
      </c>
      <c r="BS254" s="58">
        <f t="shared" ref="BS254:CX254" ca="1" si="422">+IF(OR($F254+BS$175&lt;1,(BS$176-1)*12&lt;-$F254),0,OFFSET(BS84,0,$F254))</f>
        <v>0</v>
      </c>
      <c r="BT254" s="58">
        <f t="shared" ca="1" si="422"/>
        <v>0</v>
      </c>
      <c r="BU254" s="58">
        <f t="shared" ca="1" si="422"/>
        <v>0</v>
      </c>
      <c r="BV254" s="58">
        <f t="shared" ca="1" si="422"/>
        <v>0</v>
      </c>
      <c r="BW254" s="58">
        <f t="shared" ca="1" si="422"/>
        <v>0</v>
      </c>
      <c r="BX254" s="58">
        <f t="shared" ca="1" si="422"/>
        <v>0</v>
      </c>
      <c r="BY254" s="58">
        <f t="shared" ca="1" si="422"/>
        <v>0</v>
      </c>
      <c r="BZ254" s="58">
        <f t="shared" ca="1" si="422"/>
        <v>0</v>
      </c>
      <c r="CA254" s="58">
        <f t="shared" ca="1" si="422"/>
        <v>0</v>
      </c>
      <c r="CB254" s="58">
        <f t="shared" ca="1" si="422"/>
        <v>0</v>
      </c>
      <c r="CC254" s="58">
        <f t="shared" ca="1" si="422"/>
        <v>0</v>
      </c>
      <c r="CD254" s="58">
        <f t="shared" ca="1" si="422"/>
        <v>0</v>
      </c>
      <c r="CE254" s="58">
        <f t="shared" ca="1" si="422"/>
        <v>0</v>
      </c>
      <c r="CF254" s="58">
        <f t="shared" ca="1" si="422"/>
        <v>0</v>
      </c>
      <c r="CG254" s="58">
        <f t="shared" ca="1" si="422"/>
        <v>0</v>
      </c>
      <c r="CH254" s="58">
        <f t="shared" ca="1" si="422"/>
        <v>0</v>
      </c>
      <c r="CI254" s="58">
        <f t="shared" ca="1" si="422"/>
        <v>0</v>
      </c>
      <c r="CJ254" s="58">
        <f t="shared" ca="1" si="422"/>
        <v>0</v>
      </c>
      <c r="CK254" s="58">
        <f t="shared" ca="1" si="422"/>
        <v>0</v>
      </c>
      <c r="CL254" s="58">
        <f t="shared" ca="1" si="422"/>
        <v>0</v>
      </c>
      <c r="CM254" s="58">
        <f t="shared" ca="1" si="422"/>
        <v>0</v>
      </c>
      <c r="CN254" s="58">
        <f t="shared" ca="1" si="422"/>
        <v>0</v>
      </c>
      <c r="CO254" s="58">
        <f t="shared" ca="1" si="422"/>
        <v>0</v>
      </c>
      <c r="CP254" s="58">
        <f t="shared" ca="1" si="422"/>
        <v>0</v>
      </c>
      <c r="CQ254" s="58">
        <f t="shared" ca="1" si="422"/>
        <v>0</v>
      </c>
      <c r="CR254" s="58">
        <f t="shared" ca="1" si="422"/>
        <v>0</v>
      </c>
      <c r="CS254" s="58">
        <f t="shared" ca="1" si="422"/>
        <v>0</v>
      </c>
      <c r="CT254" s="58">
        <f t="shared" ca="1" si="422"/>
        <v>0</v>
      </c>
      <c r="CU254" s="58">
        <f t="shared" ca="1" si="422"/>
        <v>0</v>
      </c>
      <c r="CV254" s="58">
        <f t="shared" ca="1" si="422"/>
        <v>0</v>
      </c>
      <c r="CW254" s="58">
        <f t="shared" ca="1" si="422"/>
        <v>0</v>
      </c>
      <c r="CX254" s="58">
        <f t="shared" ca="1" si="422"/>
        <v>0</v>
      </c>
      <c r="CY254" s="58">
        <f t="shared" ref="CY254:ED254" ca="1" si="423">+IF(OR($F254+CY$175&lt;1,(CY$176-1)*12&lt;-$F254),0,OFFSET(CY84,0,$F254))</f>
        <v>0</v>
      </c>
      <c r="CZ254" s="58">
        <f t="shared" ca="1" si="423"/>
        <v>0</v>
      </c>
      <c r="DA254" s="58">
        <f t="shared" ca="1" si="423"/>
        <v>0</v>
      </c>
      <c r="DB254" s="58">
        <f t="shared" ca="1" si="423"/>
        <v>0</v>
      </c>
      <c r="DC254" s="58">
        <f t="shared" ca="1" si="423"/>
        <v>0</v>
      </c>
      <c r="DD254" s="58">
        <f t="shared" ca="1" si="423"/>
        <v>0</v>
      </c>
      <c r="DE254" s="58">
        <f t="shared" ca="1" si="423"/>
        <v>0</v>
      </c>
      <c r="DF254" s="58">
        <f t="shared" ca="1" si="423"/>
        <v>0</v>
      </c>
      <c r="DG254" s="58">
        <f t="shared" ca="1" si="423"/>
        <v>0</v>
      </c>
      <c r="DH254" s="58">
        <f t="shared" ca="1" si="423"/>
        <v>0</v>
      </c>
      <c r="DI254" s="58">
        <f t="shared" ca="1" si="423"/>
        <v>0</v>
      </c>
      <c r="DJ254" s="58">
        <f t="shared" ca="1" si="423"/>
        <v>0</v>
      </c>
      <c r="DK254" s="58">
        <f t="shared" ca="1" si="423"/>
        <v>0</v>
      </c>
      <c r="DL254" s="58">
        <f t="shared" ca="1" si="423"/>
        <v>0</v>
      </c>
      <c r="DM254" s="58">
        <f t="shared" ca="1" si="423"/>
        <v>0</v>
      </c>
      <c r="DN254" s="58">
        <f t="shared" ca="1" si="423"/>
        <v>0</v>
      </c>
      <c r="DO254" s="58">
        <f t="shared" ca="1" si="423"/>
        <v>0</v>
      </c>
      <c r="DP254" s="58">
        <f t="shared" ca="1" si="423"/>
        <v>0</v>
      </c>
      <c r="DQ254" s="58">
        <f t="shared" ca="1" si="423"/>
        <v>0</v>
      </c>
      <c r="DR254" s="58">
        <f t="shared" ca="1" si="423"/>
        <v>0</v>
      </c>
      <c r="DS254" s="58">
        <f t="shared" ca="1" si="423"/>
        <v>0</v>
      </c>
      <c r="DT254" s="58">
        <f t="shared" ca="1" si="423"/>
        <v>0</v>
      </c>
      <c r="DU254" s="58">
        <f t="shared" ca="1" si="423"/>
        <v>0</v>
      </c>
      <c r="DV254" s="58">
        <f t="shared" ca="1" si="423"/>
        <v>0</v>
      </c>
      <c r="DW254" s="58">
        <f t="shared" ca="1" si="423"/>
        <v>0</v>
      </c>
      <c r="DX254" s="58">
        <f t="shared" ca="1" si="423"/>
        <v>0</v>
      </c>
      <c r="DY254" s="58">
        <f t="shared" ca="1" si="423"/>
        <v>0</v>
      </c>
      <c r="DZ254" s="58">
        <f t="shared" ca="1" si="423"/>
        <v>0</v>
      </c>
      <c r="EA254" s="58">
        <f t="shared" ca="1" si="423"/>
        <v>0</v>
      </c>
      <c r="EB254" s="58">
        <f t="shared" ca="1" si="423"/>
        <v>0</v>
      </c>
      <c r="EC254" s="58">
        <f t="shared" ca="1" si="423"/>
        <v>0</v>
      </c>
      <c r="ED254" s="58">
        <f t="shared" ca="1" si="423"/>
        <v>0</v>
      </c>
      <c r="EE254" s="58">
        <f t="shared" ref="EE254:FN254" ca="1" si="424">+IF(OR($F254+EE$175&lt;1,(EE$176-1)*12&lt;-$F254),0,OFFSET(EE84,0,$F254))</f>
        <v>0</v>
      </c>
      <c r="EF254" s="58">
        <f t="shared" ca="1" si="424"/>
        <v>0</v>
      </c>
      <c r="EG254" s="58">
        <f t="shared" ca="1" si="424"/>
        <v>0</v>
      </c>
      <c r="EH254" s="58">
        <f t="shared" ca="1" si="424"/>
        <v>0</v>
      </c>
      <c r="EI254" s="58">
        <f t="shared" ca="1" si="424"/>
        <v>0</v>
      </c>
      <c r="EJ254" s="58">
        <f t="shared" ca="1" si="424"/>
        <v>0</v>
      </c>
      <c r="EK254" s="58">
        <f t="shared" ca="1" si="424"/>
        <v>0</v>
      </c>
      <c r="EL254" s="58">
        <f t="shared" ca="1" si="424"/>
        <v>0</v>
      </c>
      <c r="EM254" s="58">
        <f t="shared" ca="1" si="424"/>
        <v>0</v>
      </c>
      <c r="EN254" s="58">
        <f t="shared" ca="1" si="424"/>
        <v>0</v>
      </c>
      <c r="EO254" s="58">
        <f t="shared" ca="1" si="424"/>
        <v>0</v>
      </c>
      <c r="EP254" s="58">
        <f t="shared" ca="1" si="424"/>
        <v>0</v>
      </c>
      <c r="EQ254" s="58">
        <f t="shared" ca="1" si="424"/>
        <v>0</v>
      </c>
      <c r="ER254" s="58">
        <f t="shared" ca="1" si="424"/>
        <v>0</v>
      </c>
      <c r="ES254" s="58">
        <f t="shared" ca="1" si="424"/>
        <v>0</v>
      </c>
      <c r="ET254" s="58">
        <f t="shared" ca="1" si="424"/>
        <v>0</v>
      </c>
      <c r="EU254" s="58">
        <f t="shared" ca="1" si="424"/>
        <v>0</v>
      </c>
      <c r="EV254" s="58">
        <f t="shared" ca="1" si="424"/>
        <v>0</v>
      </c>
      <c r="EW254" s="58">
        <f t="shared" ca="1" si="424"/>
        <v>0</v>
      </c>
      <c r="EX254" s="58">
        <f t="shared" ca="1" si="424"/>
        <v>0</v>
      </c>
      <c r="EY254" s="58">
        <f t="shared" ca="1" si="424"/>
        <v>0</v>
      </c>
      <c r="EZ254" s="58">
        <f t="shared" ca="1" si="424"/>
        <v>0</v>
      </c>
      <c r="FA254" s="58">
        <f t="shared" ca="1" si="424"/>
        <v>0</v>
      </c>
      <c r="FB254" s="58">
        <f t="shared" ca="1" si="424"/>
        <v>0</v>
      </c>
      <c r="FC254" s="58">
        <f t="shared" ca="1" si="424"/>
        <v>0</v>
      </c>
      <c r="FD254" s="58">
        <f t="shared" ca="1" si="424"/>
        <v>0</v>
      </c>
      <c r="FE254" s="58">
        <f t="shared" ca="1" si="424"/>
        <v>0</v>
      </c>
      <c r="FF254" s="58">
        <f t="shared" ca="1" si="424"/>
        <v>0</v>
      </c>
      <c r="FG254" s="58">
        <f t="shared" ca="1" si="424"/>
        <v>0</v>
      </c>
      <c r="FH254" s="58">
        <f t="shared" ca="1" si="424"/>
        <v>0</v>
      </c>
      <c r="FI254" s="58">
        <f t="shared" ca="1" si="424"/>
        <v>0</v>
      </c>
      <c r="FJ254" s="58">
        <f t="shared" ca="1" si="424"/>
        <v>0</v>
      </c>
      <c r="FK254" s="58">
        <f t="shared" ca="1" si="424"/>
        <v>0</v>
      </c>
      <c r="FL254" s="58">
        <f t="shared" ca="1" si="424"/>
        <v>0</v>
      </c>
      <c r="FM254" s="58">
        <f t="shared" ca="1" si="424"/>
        <v>0</v>
      </c>
      <c r="FN254" s="58">
        <f t="shared" ca="1" si="424"/>
        <v>0</v>
      </c>
      <c r="FO254" s="13"/>
    </row>
    <row r="255" spans="1:171" outlineLevel="1" x14ac:dyDescent="0.3">
      <c r="A255" s="13"/>
      <c r="B255" s="13"/>
      <c r="C255" s="13"/>
      <c r="D255" s="52">
        <f t="shared" si="357"/>
        <v>42522</v>
      </c>
      <c r="E255" s="53">
        <f t="shared" si="358"/>
        <v>2016</v>
      </c>
      <c r="F255" s="53">
        <f t="shared" si="359"/>
        <v>29</v>
      </c>
      <c r="G255" s="58">
        <f t="shared" ref="G255:AL255" ca="1" si="425">+IF(OR($F255+G$175&lt;1,(G$176-1)*12&lt;-$F255),0,OFFSET(G85,0,$F255))</f>
        <v>0</v>
      </c>
      <c r="H255" s="58">
        <f t="shared" ca="1" si="425"/>
        <v>0</v>
      </c>
      <c r="I255" s="58">
        <f t="shared" ca="1" si="425"/>
        <v>0</v>
      </c>
      <c r="J255" s="58">
        <f t="shared" ca="1" si="425"/>
        <v>0</v>
      </c>
      <c r="K255" s="58">
        <f t="shared" ca="1" si="425"/>
        <v>0</v>
      </c>
      <c r="L255" s="58">
        <f t="shared" ca="1" si="425"/>
        <v>0</v>
      </c>
      <c r="M255" s="58">
        <f t="shared" ca="1" si="425"/>
        <v>0</v>
      </c>
      <c r="N255" s="58">
        <f t="shared" ca="1" si="425"/>
        <v>0</v>
      </c>
      <c r="O255" s="58">
        <f t="shared" ca="1" si="425"/>
        <v>0</v>
      </c>
      <c r="P255" s="58">
        <f t="shared" ca="1" si="425"/>
        <v>0</v>
      </c>
      <c r="Q255" s="58">
        <f t="shared" ca="1" si="425"/>
        <v>0</v>
      </c>
      <c r="R255" s="58">
        <f t="shared" ca="1" si="425"/>
        <v>0</v>
      </c>
      <c r="S255" s="58">
        <f t="shared" ca="1" si="425"/>
        <v>0</v>
      </c>
      <c r="T255" s="58">
        <f t="shared" ca="1" si="425"/>
        <v>0</v>
      </c>
      <c r="U255" s="58">
        <f t="shared" ca="1" si="425"/>
        <v>0</v>
      </c>
      <c r="V255" s="58">
        <f t="shared" ca="1" si="425"/>
        <v>0</v>
      </c>
      <c r="W255" s="58">
        <f t="shared" ca="1" si="425"/>
        <v>0</v>
      </c>
      <c r="X255" s="58">
        <f t="shared" ca="1" si="425"/>
        <v>0</v>
      </c>
      <c r="Y255" s="58">
        <f t="shared" ca="1" si="425"/>
        <v>0</v>
      </c>
      <c r="Z255" s="58">
        <f t="shared" ca="1" si="425"/>
        <v>0</v>
      </c>
      <c r="AA255" s="58">
        <f t="shared" ca="1" si="425"/>
        <v>0</v>
      </c>
      <c r="AB255" s="58">
        <f t="shared" ca="1" si="425"/>
        <v>0</v>
      </c>
      <c r="AC255" s="58">
        <f t="shared" ca="1" si="425"/>
        <v>0</v>
      </c>
      <c r="AD255" s="58">
        <f t="shared" ca="1" si="425"/>
        <v>0</v>
      </c>
      <c r="AE255" s="58">
        <f t="shared" ca="1" si="425"/>
        <v>0</v>
      </c>
      <c r="AF255" s="58">
        <f t="shared" ca="1" si="425"/>
        <v>0</v>
      </c>
      <c r="AG255" s="58">
        <f t="shared" ca="1" si="425"/>
        <v>0</v>
      </c>
      <c r="AH255" s="58">
        <f t="shared" ca="1" si="425"/>
        <v>0</v>
      </c>
      <c r="AI255" s="58">
        <f t="shared" ca="1" si="425"/>
        <v>0</v>
      </c>
      <c r="AJ255" s="58">
        <f t="shared" ca="1" si="425"/>
        <v>0</v>
      </c>
      <c r="AK255" s="58">
        <f t="shared" ca="1" si="425"/>
        <v>0</v>
      </c>
      <c r="AL255" s="58">
        <f t="shared" ca="1" si="425"/>
        <v>0</v>
      </c>
      <c r="AM255" s="58">
        <f t="shared" ref="AM255:BR255" ca="1" si="426">+IF(OR($F255+AM$175&lt;1,(AM$176-1)*12&lt;-$F255),0,OFFSET(AM85,0,$F255))</f>
        <v>0</v>
      </c>
      <c r="AN255" s="58">
        <f t="shared" ca="1" si="426"/>
        <v>0</v>
      </c>
      <c r="AO255" s="58">
        <f t="shared" ca="1" si="426"/>
        <v>0</v>
      </c>
      <c r="AP255" s="58">
        <f t="shared" ca="1" si="426"/>
        <v>0</v>
      </c>
      <c r="AQ255" s="58">
        <f t="shared" ca="1" si="426"/>
        <v>0</v>
      </c>
      <c r="AR255" s="58">
        <f t="shared" ca="1" si="426"/>
        <v>0</v>
      </c>
      <c r="AS255" s="58">
        <f t="shared" ca="1" si="426"/>
        <v>0</v>
      </c>
      <c r="AT255" s="58">
        <f t="shared" ca="1" si="426"/>
        <v>0</v>
      </c>
      <c r="AU255" s="58">
        <f t="shared" ca="1" si="426"/>
        <v>0</v>
      </c>
      <c r="AV255" s="58">
        <f t="shared" ca="1" si="426"/>
        <v>0</v>
      </c>
      <c r="AW255" s="58">
        <f t="shared" ca="1" si="426"/>
        <v>0</v>
      </c>
      <c r="AX255" s="58">
        <f t="shared" ca="1" si="426"/>
        <v>0</v>
      </c>
      <c r="AY255" s="58">
        <f t="shared" ca="1" si="426"/>
        <v>0</v>
      </c>
      <c r="AZ255" s="58">
        <f t="shared" ca="1" si="426"/>
        <v>0</v>
      </c>
      <c r="BA255" s="58">
        <f t="shared" ca="1" si="426"/>
        <v>0</v>
      </c>
      <c r="BB255" s="58">
        <f t="shared" ca="1" si="426"/>
        <v>0</v>
      </c>
      <c r="BC255" s="58">
        <f t="shared" ca="1" si="426"/>
        <v>0</v>
      </c>
      <c r="BD255" s="58">
        <f t="shared" ca="1" si="426"/>
        <v>0</v>
      </c>
      <c r="BE255" s="58">
        <f t="shared" ca="1" si="426"/>
        <v>0</v>
      </c>
      <c r="BF255" s="58">
        <f t="shared" ca="1" si="426"/>
        <v>0</v>
      </c>
      <c r="BG255" s="58">
        <f t="shared" ca="1" si="426"/>
        <v>0</v>
      </c>
      <c r="BH255" s="58">
        <f t="shared" ca="1" si="426"/>
        <v>0</v>
      </c>
      <c r="BI255" s="58">
        <f t="shared" ca="1" si="426"/>
        <v>0</v>
      </c>
      <c r="BJ255" s="58">
        <f t="shared" ca="1" si="426"/>
        <v>0</v>
      </c>
      <c r="BK255" s="58">
        <f t="shared" ca="1" si="426"/>
        <v>0</v>
      </c>
      <c r="BL255" s="58">
        <f t="shared" ca="1" si="426"/>
        <v>0</v>
      </c>
      <c r="BM255" s="58">
        <f t="shared" ca="1" si="426"/>
        <v>0</v>
      </c>
      <c r="BN255" s="58">
        <f t="shared" ca="1" si="426"/>
        <v>0</v>
      </c>
      <c r="BO255" s="58">
        <f t="shared" ca="1" si="426"/>
        <v>0</v>
      </c>
      <c r="BP255" s="58">
        <f t="shared" ca="1" si="426"/>
        <v>0</v>
      </c>
      <c r="BQ255" s="58">
        <f t="shared" ca="1" si="426"/>
        <v>0</v>
      </c>
      <c r="BR255" s="58">
        <f t="shared" ca="1" si="426"/>
        <v>0</v>
      </c>
      <c r="BS255" s="58">
        <f t="shared" ref="BS255:CX255" ca="1" si="427">+IF(OR($F255+BS$175&lt;1,(BS$176-1)*12&lt;-$F255),0,OFFSET(BS85,0,$F255))</f>
        <v>0</v>
      </c>
      <c r="BT255" s="58">
        <f t="shared" ca="1" si="427"/>
        <v>0</v>
      </c>
      <c r="BU255" s="58">
        <f t="shared" ca="1" si="427"/>
        <v>0</v>
      </c>
      <c r="BV255" s="58">
        <f t="shared" ca="1" si="427"/>
        <v>0</v>
      </c>
      <c r="BW255" s="58">
        <f t="shared" ca="1" si="427"/>
        <v>0</v>
      </c>
      <c r="BX255" s="58">
        <f t="shared" ca="1" si="427"/>
        <v>0</v>
      </c>
      <c r="BY255" s="58">
        <f t="shared" ca="1" si="427"/>
        <v>0</v>
      </c>
      <c r="BZ255" s="58">
        <f t="shared" ca="1" si="427"/>
        <v>0</v>
      </c>
      <c r="CA255" s="58">
        <f t="shared" ca="1" si="427"/>
        <v>0</v>
      </c>
      <c r="CB255" s="58">
        <f t="shared" ca="1" si="427"/>
        <v>0</v>
      </c>
      <c r="CC255" s="58">
        <f t="shared" ca="1" si="427"/>
        <v>0</v>
      </c>
      <c r="CD255" s="58">
        <f t="shared" ca="1" si="427"/>
        <v>0</v>
      </c>
      <c r="CE255" s="58">
        <f t="shared" ca="1" si="427"/>
        <v>0</v>
      </c>
      <c r="CF255" s="58">
        <f t="shared" ca="1" si="427"/>
        <v>0</v>
      </c>
      <c r="CG255" s="58">
        <f t="shared" ca="1" si="427"/>
        <v>0</v>
      </c>
      <c r="CH255" s="58">
        <f t="shared" ca="1" si="427"/>
        <v>0</v>
      </c>
      <c r="CI255" s="58">
        <f t="shared" ca="1" si="427"/>
        <v>0</v>
      </c>
      <c r="CJ255" s="58">
        <f t="shared" ca="1" si="427"/>
        <v>0</v>
      </c>
      <c r="CK255" s="58">
        <f t="shared" ca="1" si="427"/>
        <v>0</v>
      </c>
      <c r="CL255" s="58">
        <f t="shared" ca="1" si="427"/>
        <v>0</v>
      </c>
      <c r="CM255" s="58">
        <f t="shared" ca="1" si="427"/>
        <v>0</v>
      </c>
      <c r="CN255" s="58">
        <f t="shared" ca="1" si="427"/>
        <v>0</v>
      </c>
      <c r="CO255" s="58">
        <f t="shared" ca="1" si="427"/>
        <v>0</v>
      </c>
      <c r="CP255" s="58">
        <f t="shared" ca="1" si="427"/>
        <v>0</v>
      </c>
      <c r="CQ255" s="58">
        <f t="shared" ca="1" si="427"/>
        <v>0</v>
      </c>
      <c r="CR255" s="58">
        <f t="shared" ca="1" si="427"/>
        <v>0</v>
      </c>
      <c r="CS255" s="58">
        <f t="shared" ca="1" si="427"/>
        <v>0</v>
      </c>
      <c r="CT255" s="58">
        <f t="shared" ca="1" si="427"/>
        <v>0</v>
      </c>
      <c r="CU255" s="58">
        <f t="shared" ca="1" si="427"/>
        <v>0</v>
      </c>
      <c r="CV255" s="58">
        <f t="shared" ca="1" si="427"/>
        <v>0</v>
      </c>
      <c r="CW255" s="58">
        <f t="shared" ca="1" si="427"/>
        <v>0</v>
      </c>
      <c r="CX255" s="58">
        <f t="shared" ca="1" si="427"/>
        <v>0</v>
      </c>
      <c r="CY255" s="58">
        <f t="shared" ref="CY255:ED255" ca="1" si="428">+IF(OR($F255+CY$175&lt;1,(CY$176-1)*12&lt;-$F255),0,OFFSET(CY85,0,$F255))</f>
        <v>0</v>
      </c>
      <c r="CZ255" s="58">
        <f t="shared" ca="1" si="428"/>
        <v>0</v>
      </c>
      <c r="DA255" s="58">
        <f t="shared" ca="1" si="428"/>
        <v>0</v>
      </c>
      <c r="DB255" s="58">
        <f t="shared" ca="1" si="428"/>
        <v>0</v>
      </c>
      <c r="DC255" s="58">
        <f t="shared" ca="1" si="428"/>
        <v>0</v>
      </c>
      <c r="DD255" s="58">
        <f t="shared" ca="1" si="428"/>
        <v>0</v>
      </c>
      <c r="DE255" s="58">
        <f t="shared" ca="1" si="428"/>
        <v>0</v>
      </c>
      <c r="DF255" s="58">
        <f t="shared" ca="1" si="428"/>
        <v>0</v>
      </c>
      <c r="DG255" s="58">
        <f t="shared" ca="1" si="428"/>
        <v>0</v>
      </c>
      <c r="DH255" s="58">
        <f t="shared" ca="1" si="428"/>
        <v>0</v>
      </c>
      <c r="DI255" s="58">
        <f t="shared" ca="1" si="428"/>
        <v>0</v>
      </c>
      <c r="DJ255" s="58">
        <f t="shared" ca="1" si="428"/>
        <v>0</v>
      </c>
      <c r="DK255" s="58">
        <f t="shared" ca="1" si="428"/>
        <v>0</v>
      </c>
      <c r="DL255" s="58">
        <f t="shared" ca="1" si="428"/>
        <v>0</v>
      </c>
      <c r="DM255" s="58">
        <f t="shared" ca="1" si="428"/>
        <v>0</v>
      </c>
      <c r="DN255" s="58">
        <f t="shared" ca="1" si="428"/>
        <v>0</v>
      </c>
      <c r="DO255" s="58">
        <f t="shared" ca="1" si="428"/>
        <v>0</v>
      </c>
      <c r="DP255" s="58">
        <f t="shared" ca="1" si="428"/>
        <v>0</v>
      </c>
      <c r="DQ255" s="58">
        <f t="shared" ca="1" si="428"/>
        <v>0</v>
      </c>
      <c r="DR255" s="58">
        <f t="shared" ca="1" si="428"/>
        <v>0</v>
      </c>
      <c r="DS255" s="58">
        <f t="shared" ca="1" si="428"/>
        <v>0</v>
      </c>
      <c r="DT255" s="58">
        <f t="shared" ca="1" si="428"/>
        <v>0</v>
      </c>
      <c r="DU255" s="58">
        <f t="shared" ca="1" si="428"/>
        <v>0</v>
      </c>
      <c r="DV255" s="58">
        <f t="shared" ca="1" si="428"/>
        <v>0</v>
      </c>
      <c r="DW255" s="58">
        <f t="shared" ca="1" si="428"/>
        <v>0</v>
      </c>
      <c r="DX255" s="58">
        <f t="shared" ca="1" si="428"/>
        <v>0</v>
      </c>
      <c r="DY255" s="58">
        <f t="shared" ca="1" si="428"/>
        <v>0</v>
      </c>
      <c r="DZ255" s="58">
        <f t="shared" ca="1" si="428"/>
        <v>0</v>
      </c>
      <c r="EA255" s="58">
        <f t="shared" ca="1" si="428"/>
        <v>0</v>
      </c>
      <c r="EB255" s="58">
        <f t="shared" ca="1" si="428"/>
        <v>0</v>
      </c>
      <c r="EC255" s="58">
        <f t="shared" ca="1" si="428"/>
        <v>0</v>
      </c>
      <c r="ED255" s="58">
        <f t="shared" ca="1" si="428"/>
        <v>0</v>
      </c>
      <c r="EE255" s="58">
        <f t="shared" ref="EE255:FN255" ca="1" si="429">+IF(OR($F255+EE$175&lt;1,(EE$176-1)*12&lt;-$F255),0,OFFSET(EE85,0,$F255))</f>
        <v>0</v>
      </c>
      <c r="EF255" s="58">
        <f t="shared" ca="1" si="429"/>
        <v>0</v>
      </c>
      <c r="EG255" s="58">
        <f t="shared" ca="1" si="429"/>
        <v>0</v>
      </c>
      <c r="EH255" s="58">
        <f t="shared" ca="1" si="429"/>
        <v>0</v>
      </c>
      <c r="EI255" s="58">
        <f t="shared" ca="1" si="429"/>
        <v>0</v>
      </c>
      <c r="EJ255" s="58">
        <f t="shared" ca="1" si="429"/>
        <v>0</v>
      </c>
      <c r="EK255" s="58">
        <f t="shared" ca="1" si="429"/>
        <v>0</v>
      </c>
      <c r="EL255" s="58">
        <f t="shared" ca="1" si="429"/>
        <v>0</v>
      </c>
      <c r="EM255" s="58">
        <f t="shared" ca="1" si="429"/>
        <v>0</v>
      </c>
      <c r="EN255" s="58">
        <f t="shared" ca="1" si="429"/>
        <v>0</v>
      </c>
      <c r="EO255" s="58">
        <f t="shared" ca="1" si="429"/>
        <v>0</v>
      </c>
      <c r="EP255" s="58">
        <f t="shared" ca="1" si="429"/>
        <v>0</v>
      </c>
      <c r="EQ255" s="58">
        <f t="shared" ca="1" si="429"/>
        <v>0</v>
      </c>
      <c r="ER255" s="58">
        <f t="shared" ca="1" si="429"/>
        <v>0</v>
      </c>
      <c r="ES255" s="58">
        <f t="shared" ca="1" si="429"/>
        <v>0</v>
      </c>
      <c r="ET255" s="58">
        <f t="shared" ca="1" si="429"/>
        <v>0</v>
      </c>
      <c r="EU255" s="58">
        <f t="shared" ca="1" si="429"/>
        <v>0</v>
      </c>
      <c r="EV255" s="58">
        <f t="shared" ca="1" si="429"/>
        <v>0</v>
      </c>
      <c r="EW255" s="58">
        <f t="shared" ca="1" si="429"/>
        <v>0</v>
      </c>
      <c r="EX255" s="58">
        <f t="shared" ca="1" si="429"/>
        <v>0</v>
      </c>
      <c r="EY255" s="58">
        <f t="shared" ca="1" si="429"/>
        <v>0</v>
      </c>
      <c r="EZ255" s="58">
        <f t="shared" ca="1" si="429"/>
        <v>0</v>
      </c>
      <c r="FA255" s="58">
        <f t="shared" ca="1" si="429"/>
        <v>0</v>
      </c>
      <c r="FB255" s="58">
        <f t="shared" ca="1" si="429"/>
        <v>0</v>
      </c>
      <c r="FC255" s="58">
        <f t="shared" ca="1" si="429"/>
        <v>0</v>
      </c>
      <c r="FD255" s="58">
        <f t="shared" ca="1" si="429"/>
        <v>0</v>
      </c>
      <c r="FE255" s="58">
        <f t="shared" ca="1" si="429"/>
        <v>0</v>
      </c>
      <c r="FF255" s="58">
        <f t="shared" ca="1" si="429"/>
        <v>0</v>
      </c>
      <c r="FG255" s="58">
        <f t="shared" ca="1" si="429"/>
        <v>0</v>
      </c>
      <c r="FH255" s="58">
        <f t="shared" ca="1" si="429"/>
        <v>0</v>
      </c>
      <c r="FI255" s="58">
        <f t="shared" ca="1" si="429"/>
        <v>0</v>
      </c>
      <c r="FJ255" s="58">
        <f t="shared" ca="1" si="429"/>
        <v>0</v>
      </c>
      <c r="FK255" s="58">
        <f t="shared" ca="1" si="429"/>
        <v>0</v>
      </c>
      <c r="FL255" s="58">
        <f t="shared" ca="1" si="429"/>
        <v>0</v>
      </c>
      <c r="FM255" s="58">
        <f t="shared" ca="1" si="429"/>
        <v>0</v>
      </c>
      <c r="FN255" s="58">
        <f t="shared" ca="1" si="429"/>
        <v>0</v>
      </c>
      <c r="FO255" s="13"/>
    </row>
    <row r="256" spans="1:171" outlineLevel="1" x14ac:dyDescent="0.3">
      <c r="A256" s="13"/>
      <c r="B256" s="13"/>
      <c r="C256" s="13"/>
      <c r="D256" s="52">
        <f t="shared" si="357"/>
        <v>42552</v>
      </c>
      <c r="E256" s="53">
        <f t="shared" si="358"/>
        <v>2016</v>
      </c>
      <c r="F256" s="53">
        <f t="shared" si="359"/>
        <v>30</v>
      </c>
      <c r="G256" s="58">
        <f t="shared" ref="G256:AL256" ca="1" si="430">+IF(OR($F256+G$175&lt;1,(G$176-1)*12&lt;-$F256),0,OFFSET(G86,0,$F256))</f>
        <v>0</v>
      </c>
      <c r="H256" s="58">
        <f t="shared" ca="1" si="430"/>
        <v>0</v>
      </c>
      <c r="I256" s="58">
        <f t="shared" ca="1" si="430"/>
        <v>0</v>
      </c>
      <c r="J256" s="58">
        <f t="shared" ca="1" si="430"/>
        <v>0</v>
      </c>
      <c r="K256" s="58">
        <f t="shared" ca="1" si="430"/>
        <v>0</v>
      </c>
      <c r="L256" s="58">
        <f t="shared" ca="1" si="430"/>
        <v>0</v>
      </c>
      <c r="M256" s="58">
        <f t="shared" ca="1" si="430"/>
        <v>0</v>
      </c>
      <c r="N256" s="58">
        <f t="shared" ca="1" si="430"/>
        <v>0</v>
      </c>
      <c r="O256" s="58">
        <f t="shared" ca="1" si="430"/>
        <v>0</v>
      </c>
      <c r="P256" s="58">
        <f t="shared" ca="1" si="430"/>
        <v>0</v>
      </c>
      <c r="Q256" s="58">
        <f t="shared" ca="1" si="430"/>
        <v>0</v>
      </c>
      <c r="R256" s="58">
        <f t="shared" ca="1" si="430"/>
        <v>0</v>
      </c>
      <c r="S256" s="58">
        <f t="shared" ca="1" si="430"/>
        <v>0</v>
      </c>
      <c r="T256" s="58">
        <f t="shared" ca="1" si="430"/>
        <v>0</v>
      </c>
      <c r="U256" s="58">
        <f t="shared" ca="1" si="430"/>
        <v>0</v>
      </c>
      <c r="V256" s="58">
        <f t="shared" ca="1" si="430"/>
        <v>0</v>
      </c>
      <c r="W256" s="58">
        <f t="shared" ca="1" si="430"/>
        <v>0</v>
      </c>
      <c r="X256" s="58">
        <f t="shared" ca="1" si="430"/>
        <v>0</v>
      </c>
      <c r="Y256" s="58">
        <f t="shared" ca="1" si="430"/>
        <v>0</v>
      </c>
      <c r="Z256" s="58">
        <f t="shared" ca="1" si="430"/>
        <v>0</v>
      </c>
      <c r="AA256" s="58">
        <f t="shared" ca="1" si="430"/>
        <v>0</v>
      </c>
      <c r="AB256" s="58">
        <f t="shared" ca="1" si="430"/>
        <v>0</v>
      </c>
      <c r="AC256" s="58">
        <f t="shared" ca="1" si="430"/>
        <v>0</v>
      </c>
      <c r="AD256" s="58">
        <f t="shared" ca="1" si="430"/>
        <v>0</v>
      </c>
      <c r="AE256" s="58">
        <f t="shared" ca="1" si="430"/>
        <v>0</v>
      </c>
      <c r="AF256" s="58">
        <f t="shared" ca="1" si="430"/>
        <v>0</v>
      </c>
      <c r="AG256" s="58">
        <f t="shared" ca="1" si="430"/>
        <v>0</v>
      </c>
      <c r="AH256" s="58">
        <f t="shared" ca="1" si="430"/>
        <v>0</v>
      </c>
      <c r="AI256" s="58">
        <f t="shared" ca="1" si="430"/>
        <v>0</v>
      </c>
      <c r="AJ256" s="58">
        <f t="shared" ca="1" si="430"/>
        <v>0</v>
      </c>
      <c r="AK256" s="58">
        <f t="shared" ca="1" si="430"/>
        <v>0</v>
      </c>
      <c r="AL256" s="58">
        <f t="shared" ca="1" si="430"/>
        <v>0</v>
      </c>
      <c r="AM256" s="58">
        <f t="shared" ref="AM256:BR256" ca="1" si="431">+IF(OR($F256+AM$175&lt;1,(AM$176-1)*12&lt;-$F256),0,OFFSET(AM86,0,$F256))</f>
        <v>0</v>
      </c>
      <c r="AN256" s="58">
        <f t="shared" ca="1" si="431"/>
        <v>0</v>
      </c>
      <c r="AO256" s="58">
        <f t="shared" ca="1" si="431"/>
        <v>0</v>
      </c>
      <c r="AP256" s="58">
        <f t="shared" ca="1" si="431"/>
        <v>0</v>
      </c>
      <c r="AQ256" s="58">
        <f t="shared" ca="1" si="431"/>
        <v>0</v>
      </c>
      <c r="AR256" s="58">
        <f t="shared" ca="1" si="431"/>
        <v>0</v>
      </c>
      <c r="AS256" s="58">
        <f t="shared" ca="1" si="431"/>
        <v>0</v>
      </c>
      <c r="AT256" s="58">
        <f t="shared" ca="1" si="431"/>
        <v>0</v>
      </c>
      <c r="AU256" s="58">
        <f t="shared" ca="1" si="431"/>
        <v>0</v>
      </c>
      <c r="AV256" s="58">
        <f t="shared" ca="1" si="431"/>
        <v>0</v>
      </c>
      <c r="AW256" s="58">
        <f t="shared" ca="1" si="431"/>
        <v>0</v>
      </c>
      <c r="AX256" s="58">
        <f t="shared" ca="1" si="431"/>
        <v>0</v>
      </c>
      <c r="AY256" s="58">
        <f t="shared" ca="1" si="431"/>
        <v>0</v>
      </c>
      <c r="AZ256" s="58">
        <f t="shared" ca="1" si="431"/>
        <v>0</v>
      </c>
      <c r="BA256" s="58">
        <f t="shared" ca="1" si="431"/>
        <v>0</v>
      </c>
      <c r="BB256" s="58">
        <f t="shared" ca="1" si="431"/>
        <v>0</v>
      </c>
      <c r="BC256" s="58">
        <f t="shared" ca="1" si="431"/>
        <v>0</v>
      </c>
      <c r="BD256" s="58">
        <f t="shared" ca="1" si="431"/>
        <v>0</v>
      </c>
      <c r="BE256" s="58">
        <f t="shared" ca="1" si="431"/>
        <v>0</v>
      </c>
      <c r="BF256" s="58">
        <f t="shared" ca="1" si="431"/>
        <v>0</v>
      </c>
      <c r="BG256" s="58">
        <f t="shared" ca="1" si="431"/>
        <v>0</v>
      </c>
      <c r="BH256" s="58">
        <f t="shared" ca="1" si="431"/>
        <v>0</v>
      </c>
      <c r="BI256" s="58">
        <f t="shared" ca="1" si="431"/>
        <v>0</v>
      </c>
      <c r="BJ256" s="58">
        <f t="shared" ca="1" si="431"/>
        <v>0</v>
      </c>
      <c r="BK256" s="58">
        <f t="shared" ca="1" si="431"/>
        <v>0</v>
      </c>
      <c r="BL256" s="58">
        <f t="shared" ca="1" si="431"/>
        <v>0</v>
      </c>
      <c r="BM256" s="58">
        <f t="shared" ca="1" si="431"/>
        <v>0</v>
      </c>
      <c r="BN256" s="58">
        <f t="shared" ca="1" si="431"/>
        <v>0</v>
      </c>
      <c r="BO256" s="58">
        <f t="shared" ca="1" si="431"/>
        <v>0</v>
      </c>
      <c r="BP256" s="58">
        <f t="shared" ca="1" si="431"/>
        <v>0</v>
      </c>
      <c r="BQ256" s="58">
        <f t="shared" ca="1" si="431"/>
        <v>0</v>
      </c>
      <c r="BR256" s="58">
        <f t="shared" ca="1" si="431"/>
        <v>0</v>
      </c>
      <c r="BS256" s="58">
        <f t="shared" ref="BS256:CX256" ca="1" si="432">+IF(OR($F256+BS$175&lt;1,(BS$176-1)*12&lt;-$F256),0,OFFSET(BS86,0,$F256))</f>
        <v>0</v>
      </c>
      <c r="BT256" s="58">
        <f t="shared" ca="1" si="432"/>
        <v>0</v>
      </c>
      <c r="BU256" s="58">
        <f t="shared" ca="1" si="432"/>
        <v>0</v>
      </c>
      <c r="BV256" s="58">
        <f t="shared" ca="1" si="432"/>
        <v>0</v>
      </c>
      <c r="BW256" s="58">
        <f t="shared" ca="1" si="432"/>
        <v>0</v>
      </c>
      <c r="BX256" s="58">
        <f t="shared" ca="1" si="432"/>
        <v>0</v>
      </c>
      <c r="BY256" s="58">
        <f t="shared" ca="1" si="432"/>
        <v>0</v>
      </c>
      <c r="BZ256" s="58">
        <f t="shared" ca="1" si="432"/>
        <v>0</v>
      </c>
      <c r="CA256" s="58">
        <f t="shared" ca="1" si="432"/>
        <v>0</v>
      </c>
      <c r="CB256" s="58">
        <f t="shared" ca="1" si="432"/>
        <v>0</v>
      </c>
      <c r="CC256" s="58">
        <f t="shared" ca="1" si="432"/>
        <v>0</v>
      </c>
      <c r="CD256" s="58">
        <f t="shared" ca="1" si="432"/>
        <v>0</v>
      </c>
      <c r="CE256" s="58">
        <f t="shared" ca="1" si="432"/>
        <v>0</v>
      </c>
      <c r="CF256" s="58">
        <f t="shared" ca="1" si="432"/>
        <v>0</v>
      </c>
      <c r="CG256" s="58">
        <f t="shared" ca="1" si="432"/>
        <v>0</v>
      </c>
      <c r="CH256" s="58">
        <f t="shared" ca="1" si="432"/>
        <v>0</v>
      </c>
      <c r="CI256" s="58">
        <f t="shared" ca="1" si="432"/>
        <v>0</v>
      </c>
      <c r="CJ256" s="58">
        <f t="shared" ca="1" si="432"/>
        <v>0</v>
      </c>
      <c r="CK256" s="58">
        <f t="shared" ca="1" si="432"/>
        <v>0</v>
      </c>
      <c r="CL256" s="58">
        <f t="shared" ca="1" si="432"/>
        <v>0</v>
      </c>
      <c r="CM256" s="58">
        <f t="shared" ca="1" si="432"/>
        <v>0</v>
      </c>
      <c r="CN256" s="58">
        <f t="shared" ca="1" si="432"/>
        <v>0</v>
      </c>
      <c r="CO256" s="58">
        <f t="shared" ca="1" si="432"/>
        <v>0</v>
      </c>
      <c r="CP256" s="58">
        <f t="shared" ca="1" si="432"/>
        <v>0</v>
      </c>
      <c r="CQ256" s="58">
        <f t="shared" ca="1" si="432"/>
        <v>0</v>
      </c>
      <c r="CR256" s="58">
        <f t="shared" ca="1" si="432"/>
        <v>0</v>
      </c>
      <c r="CS256" s="58">
        <f t="shared" ca="1" si="432"/>
        <v>0</v>
      </c>
      <c r="CT256" s="58">
        <f t="shared" ca="1" si="432"/>
        <v>0</v>
      </c>
      <c r="CU256" s="58">
        <f t="shared" ca="1" si="432"/>
        <v>0</v>
      </c>
      <c r="CV256" s="58">
        <f t="shared" ca="1" si="432"/>
        <v>0</v>
      </c>
      <c r="CW256" s="58">
        <f t="shared" ca="1" si="432"/>
        <v>0</v>
      </c>
      <c r="CX256" s="58">
        <f t="shared" ca="1" si="432"/>
        <v>0</v>
      </c>
      <c r="CY256" s="58">
        <f t="shared" ref="CY256:ED256" ca="1" si="433">+IF(OR($F256+CY$175&lt;1,(CY$176-1)*12&lt;-$F256),0,OFFSET(CY86,0,$F256))</f>
        <v>0</v>
      </c>
      <c r="CZ256" s="58">
        <f t="shared" ca="1" si="433"/>
        <v>0</v>
      </c>
      <c r="DA256" s="58">
        <f t="shared" ca="1" si="433"/>
        <v>0</v>
      </c>
      <c r="DB256" s="58">
        <f t="shared" ca="1" si="433"/>
        <v>0</v>
      </c>
      <c r="DC256" s="58">
        <f t="shared" ca="1" si="433"/>
        <v>0</v>
      </c>
      <c r="DD256" s="58">
        <f t="shared" ca="1" si="433"/>
        <v>0</v>
      </c>
      <c r="DE256" s="58">
        <f t="shared" ca="1" si="433"/>
        <v>0</v>
      </c>
      <c r="DF256" s="58">
        <f t="shared" ca="1" si="433"/>
        <v>0</v>
      </c>
      <c r="DG256" s="58">
        <f t="shared" ca="1" si="433"/>
        <v>0</v>
      </c>
      <c r="DH256" s="58">
        <f t="shared" ca="1" si="433"/>
        <v>0</v>
      </c>
      <c r="DI256" s="58">
        <f t="shared" ca="1" si="433"/>
        <v>0</v>
      </c>
      <c r="DJ256" s="58">
        <f t="shared" ca="1" si="433"/>
        <v>0</v>
      </c>
      <c r="DK256" s="58">
        <f t="shared" ca="1" si="433"/>
        <v>0</v>
      </c>
      <c r="DL256" s="58">
        <f t="shared" ca="1" si="433"/>
        <v>0</v>
      </c>
      <c r="DM256" s="58">
        <f t="shared" ca="1" si="433"/>
        <v>0</v>
      </c>
      <c r="DN256" s="58">
        <f t="shared" ca="1" si="433"/>
        <v>0</v>
      </c>
      <c r="DO256" s="58">
        <f t="shared" ca="1" si="433"/>
        <v>0</v>
      </c>
      <c r="DP256" s="58">
        <f t="shared" ca="1" si="433"/>
        <v>0</v>
      </c>
      <c r="DQ256" s="58">
        <f t="shared" ca="1" si="433"/>
        <v>0</v>
      </c>
      <c r="DR256" s="58">
        <f t="shared" ca="1" si="433"/>
        <v>0</v>
      </c>
      <c r="DS256" s="58">
        <f t="shared" ca="1" si="433"/>
        <v>0</v>
      </c>
      <c r="DT256" s="58">
        <f t="shared" ca="1" si="433"/>
        <v>0</v>
      </c>
      <c r="DU256" s="58">
        <f t="shared" ca="1" si="433"/>
        <v>0</v>
      </c>
      <c r="DV256" s="58">
        <f t="shared" ca="1" si="433"/>
        <v>0</v>
      </c>
      <c r="DW256" s="58">
        <f t="shared" ca="1" si="433"/>
        <v>0</v>
      </c>
      <c r="DX256" s="58">
        <f t="shared" ca="1" si="433"/>
        <v>0</v>
      </c>
      <c r="DY256" s="58">
        <f t="shared" ca="1" si="433"/>
        <v>0</v>
      </c>
      <c r="DZ256" s="58">
        <f t="shared" ca="1" si="433"/>
        <v>0</v>
      </c>
      <c r="EA256" s="58">
        <f t="shared" ca="1" si="433"/>
        <v>0</v>
      </c>
      <c r="EB256" s="58">
        <f t="shared" ca="1" si="433"/>
        <v>0</v>
      </c>
      <c r="EC256" s="58">
        <f t="shared" ca="1" si="433"/>
        <v>0</v>
      </c>
      <c r="ED256" s="58">
        <f t="shared" ca="1" si="433"/>
        <v>0</v>
      </c>
      <c r="EE256" s="58">
        <f t="shared" ref="EE256:FN256" ca="1" si="434">+IF(OR($F256+EE$175&lt;1,(EE$176-1)*12&lt;-$F256),0,OFFSET(EE86,0,$F256))</f>
        <v>0</v>
      </c>
      <c r="EF256" s="58">
        <f t="shared" ca="1" si="434"/>
        <v>0</v>
      </c>
      <c r="EG256" s="58">
        <f t="shared" ca="1" si="434"/>
        <v>0</v>
      </c>
      <c r="EH256" s="58">
        <f t="shared" ca="1" si="434"/>
        <v>0</v>
      </c>
      <c r="EI256" s="58">
        <f t="shared" ca="1" si="434"/>
        <v>0</v>
      </c>
      <c r="EJ256" s="58">
        <f t="shared" ca="1" si="434"/>
        <v>0</v>
      </c>
      <c r="EK256" s="58">
        <f t="shared" ca="1" si="434"/>
        <v>0</v>
      </c>
      <c r="EL256" s="58">
        <f t="shared" ca="1" si="434"/>
        <v>0</v>
      </c>
      <c r="EM256" s="58">
        <f t="shared" ca="1" si="434"/>
        <v>0</v>
      </c>
      <c r="EN256" s="58">
        <f t="shared" ca="1" si="434"/>
        <v>0</v>
      </c>
      <c r="EO256" s="58">
        <f t="shared" ca="1" si="434"/>
        <v>0</v>
      </c>
      <c r="EP256" s="58">
        <f t="shared" ca="1" si="434"/>
        <v>0</v>
      </c>
      <c r="EQ256" s="58">
        <f t="shared" ca="1" si="434"/>
        <v>0</v>
      </c>
      <c r="ER256" s="58">
        <f t="shared" ca="1" si="434"/>
        <v>0</v>
      </c>
      <c r="ES256" s="58">
        <f t="shared" ca="1" si="434"/>
        <v>0</v>
      </c>
      <c r="ET256" s="58">
        <f t="shared" ca="1" si="434"/>
        <v>0</v>
      </c>
      <c r="EU256" s="58">
        <f t="shared" ca="1" si="434"/>
        <v>0</v>
      </c>
      <c r="EV256" s="58">
        <f t="shared" ca="1" si="434"/>
        <v>0</v>
      </c>
      <c r="EW256" s="58">
        <f t="shared" ca="1" si="434"/>
        <v>0</v>
      </c>
      <c r="EX256" s="58">
        <f t="shared" ca="1" si="434"/>
        <v>0</v>
      </c>
      <c r="EY256" s="58">
        <f t="shared" ca="1" si="434"/>
        <v>0</v>
      </c>
      <c r="EZ256" s="58">
        <f t="shared" ca="1" si="434"/>
        <v>0</v>
      </c>
      <c r="FA256" s="58">
        <f t="shared" ca="1" si="434"/>
        <v>0</v>
      </c>
      <c r="FB256" s="58">
        <f t="shared" ca="1" si="434"/>
        <v>0</v>
      </c>
      <c r="FC256" s="58">
        <f t="shared" ca="1" si="434"/>
        <v>0</v>
      </c>
      <c r="FD256" s="58">
        <f t="shared" ca="1" si="434"/>
        <v>0</v>
      </c>
      <c r="FE256" s="58">
        <f t="shared" ca="1" si="434"/>
        <v>0</v>
      </c>
      <c r="FF256" s="58">
        <f t="shared" ca="1" si="434"/>
        <v>0</v>
      </c>
      <c r="FG256" s="58">
        <f t="shared" ca="1" si="434"/>
        <v>0</v>
      </c>
      <c r="FH256" s="58">
        <f t="shared" ca="1" si="434"/>
        <v>0</v>
      </c>
      <c r="FI256" s="58">
        <f t="shared" ca="1" si="434"/>
        <v>0</v>
      </c>
      <c r="FJ256" s="58">
        <f t="shared" ca="1" si="434"/>
        <v>0</v>
      </c>
      <c r="FK256" s="58">
        <f t="shared" ca="1" si="434"/>
        <v>0</v>
      </c>
      <c r="FL256" s="58">
        <f t="shared" ca="1" si="434"/>
        <v>0</v>
      </c>
      <c r="FM256" s="58">
        <f t="shared" ca="1" si="434"/>
        <v>0</v>
      </c>
      <c r="FN256" s="58">
        <f t="shared" ca="1" si="434"/>
        <v>0</v>
      </c>
      <c r="FO256" s="13"/>
    </row>
    <row r="257" spans="1:171" outlineLevel="1" x14ac:dyDescent="0.3">
      <c r="A257" s="13"/>
      <c r="B257" s="13"/>
      <c r="C257" s="13"/>
      <c r="D257" s="52">
        <f t="shared" si="357"/>
        <v>42583</v>
      </c>
      <c r="E257" s="53">
        <f t="shared" si="358"/>
        <v>2016</v>
      </c>
      <c r="F257" s="53">
        <f t="shared" si="359"/>
        <v>31</v>
      </c>
      <c r="G257" s="58">
        <f t="shared" ref="G257:AL257" ca="1" si="435">+IF(OR($F257+G$175&lt;1,(G$176-1)*12&lt;-$F257),0,OFFSET(G87,0,$F257))</f>
        <v>0</v>
      </c>
      <c r="H257" s="58">
        <f t="shared" ca="1" si="435"/>
        <v>0</v>
      </c>
      <c r="I257" s="58">
        <f t="shared" ca="1" si="435"/>
        <v>0</v>
      </c>
      <c r="J257" s="58">
        <f t="shared" ca="1" si="435"/>
        <v>0</v>
      </c>
      <c r="K257" s="58">
        <f t="shared" ca="1" si="435"/>
        <v>0</v>
      </c>
      <c r="L257" s="58">
        <f t="shared" ca="1" si="435"/>
        <v>0</v>
      </c>
      <c r="M257" s="58">
        <f t="shared" ca="1" si="435"/>
        <v>0</v>
      </c>
      <c r="N257" s="58">
        <f t="shared" ca="1" si="435"/>
        <v>0</v>
      </c>
      <c r="O257" s="58">
        <f t="shared" ca="1" si="435"/>
        <v>0</v>
      </c>
      <c r="P257" s="58">
        <f t="shared" ca="1" si="435"/>
        <v>0</v>
      </c>
      <c r="Q257" s="58">
        <f t="shared" ca="1" si="435"/>
        <v>0</v>
      </c>
      <c r="R257" s="58">
        <f t="shared" ca="1" si="435"/>
        <v>0</v>
      </c>
      <c r="S257" s="58">
        <f t="shared" ca="1" si="435"/>
        <v>0</v>
      </c>
      <c r="T257" s="58">
        <f t="shared" ca="1" si="435"/>
        <v>0</v>
      </c>
      <c r="U257" s="58">
        <f t="shared" ca="1" si="435"/>
        <v>0</v>
      </c>
      <c r="V257" s="58">
        <f t="shared" ca="1" si="435"/>
        <v>0</v>
      </c>
      <c r="W257" s="58">
        <f t="shared" ca="1" si="435"/>
        <v>0</v>
      </c>
      <c r="X257" s="58">
        <f t="shared" ca="1" si="435"/>
        <v>0</v>
      </c>
      <c r="Y257" s="58">
        <f t="shared" ca="1" si="435"/>
        <v>0</v>
      </c>
      <c r="Z257" s="58">
        <f t="shared" ca="1" si="435"/>
        <v>0</v>
      </c>
      <c r="AA257" s="58">
        <f t="shared" ca="1" si="435"/>
        <v>0</v>
      </c>
      <c r="AB257" s="58">
        <f t="shared" ca="1" si="435"/>
        <v>0</v>
      </c>
      <c r="AC257" s="58">
        <f t="shared" ca="1" si="435"/>
        <v>0</v>
      </c>
      <c r="AD257" s="58">
        <f t="shared" ca="1" si="435"/>
        <v>0</v>
      </c>
      <c r="AE257" s="58">
        <f t="shared" ca="1" si="435"/>
        <v>0</v>
      </c>
      <c r="AF257" s="58">
        <f t="shared" ca="1" si="435"/>
        <v>0</v>
      </c>
      <c r="AG257" s="58">
        <f t="shared" ca="1" si="435"/>
        <v>0</v>
      </c>
      <c r="AH257" s="58">
        <f t="shared" ca="1" si="435"/>
        <v>0</v>
      </c>
      <c r="AI257" s="58">
        <f t="shared" ca="1" si="435"/>
        <v>0</v>
      </c>
      <c r="AJ257" s="58">
        <f t="shared" ca="1" si="435"/>
        <v>0</v>
      </c>
      <c r="AK257" s="58">
        <f t="shared" ca="1" si="435"/>
        <v>0</v>
      </c>
      <c r="AL257" s="58">
        <f t="shared" ca="1" si="435"/>
        <v>0</v>
      </c>
      <c r="AM257" s="58">
        <f t="shared" ref="AM257:BR257" ca="1" si="436">+IF(OR($F257+AM$175&lt;1,(AM$176-1)*12&lt;-$F257),0,OFFSET(AM87,0,$F257))</f>
        <v>0</v>
      </c>
      <c r="AN257" s="58">
        <f t="shared" ca="1" si="436"/>
        <v>0</v>
      </c>
      <c r="AO257" s="58">
        <f t="shared" ca="1" si="436"/>
        <v>0</v>
      </c>
      <c r="AP257" s="58">
        <f t="shared" ca="1" si="436"/>
        <v>0</v>
      </c>
      <c r="AQ257" s="58">
        <f t="shared" ca="1" si="436"/>
        <v>0</v>
      </c>
      <c r="AR257" s="58">
        <f t="shared" ca="1" si="436"/>
        <v>0</v>
      </c>
      <c r="AS257" s="58">
        <f t="shared" ca="1" si="436"/>
        <v>0</v>
      </c>
      <c r="AT257" s="58">
        <f t="shared" ca="1" si="436"/>
        <v>0</v>
      </c>
      <c r="AU257" s="58">
        <f t="shared" ca="1" si="436"/>
        <v>0</v>
      </c>
      <c r="AV257" s="58">
        <f t="shared" ca="1" si="436"/>
        <v>0</v>
      </c>
      <c r="AW257" s="58">
        <f t="shared" ca="1" si="436"/>
        <v>0</v>
      </c>
      <c r="AX257" s="58">
        <f t="shared" ca="1" si="436"/>
        <v>0</v>
      </c>
      <c r="AY257" s="58">
        <f t="shared" ca="1" si="436"/>
        <v>0</v>
      </c>
      <c r="AZ257" s="58">
        <f t="shared" ca="1" si="436"/>
        <v>0</v>
      </c>
      <c r="BA257" s="58">
        <f t="shared" ca="1" si="436"/>
        <v>0</v>
      </c>
      <c r="BB257" s="58">
        <f t="shared" ca="1" si="436"/>
        <v>0</v>
      </c>
      <c r="BC257" s="58">
        <f t="shared" ca="1" si="436"/>
        <v>0</v>
      </c>
      <c r="BD257" s="58">
        <f t="shared" ca="1" si="436"/>
        <v>0</v>
      </c>
      <c r="BE257" s="58">
        <f t="shared" ca="1" si="436"/>
        <v>0</v>
      </c>
      <c r="BF257" s="58">
        <f t="shared" ca="1" si="436"/>
        <v>0</v>
      </c>
      <c r="BG257" s="58">
        <f t="shared" ca="1" si="436"/>
        <v>0</v>
      </c>
      <c r="BH257" s="58">
        <f t="shared" ca="1" si="436"/>
        <v>0</v>
      </c>
      <c r="BI257" s="58">
        <f t="shared" ca="1" si="436"/>
        <v>0</v>
      </c>
      <c r="BJ257" s="58">
        <f t="shared" ca="1" si="436"/>
        <v>0</v>
      </c>
      <c r="BK257" s="58">
        <f t="shared" ca="1" si="436"/>
        <v>0</v>
      </c>
      <c r="BL257" s="58">
        <f t="shared" ca="1" si="436"/>
        <v>0</v>
      </c>
      <c r="BM257" s="58">
        <f t="shared" ca="1" si="436"/>
        <v>0</v>
      </c>
      <c r="BN257" s="58">
        <f t="shared" ca="1" si="436"/>
        <v>0</v>
      </c>
      <c r="BO257" s="58">
        <f t="shared" ca="1" si="436"/>
        <v>0</v>
      </c>
      <c r="BP257" s="58">
        <f t="shared" ca="1" si="436"/>
        <v>0</v>
      </c>
      <c r="BQ257" s="58">
        <f t="shared" ca="1" si="436"/>
        <v>0</v>
      </c>
      <c r="BR257" s="58">
        <f t="shared" ca="1" si="436"/>
        <v>0</v>
      </c>
      <c r="BS257" s="58">
        <f t="shared" ref="BS257:CX257" ca="1" si="437">+IF(OR($F257+BS$175&lt;1,(BS$176-1)*12&lt;-$F257),0,OFFSET(BS87,0,$F257))</f>
        <v>0</v>
      </c>
      <c r="BT257" s="58">
        <f t="shared" ca="1" si="437"/>
        <v>0</v>
      </c>
      <c r="BU257" s="58">
        <f t="shared" ca="1" si="437"/>
        <v>0</v>
      </c>
      <c r="BV257" s="58">
        <f t="shared" ca="1" si="437"/>
        <v>0</v>
      </c>
      <c r="BW257" s="58">
        <f t="shared" ca="1" si="437"/>
        <v>0</v>
      </c>
      <c r="BX257" s="58">
        <f t="shared" ca="1" si="437"/>
        <v>0</v>
      </c>
      <c r="BY257" s="58">
        <f t="shared" ca="1" si="437"/>
        <v>0</v>
      </c>
      <c r="BZ257" s="58">
        <f t="shared" ca="1" si="437"/>
        <v>0</v>
      </c>
      <c r="CA257" s="58">
        <f t="shared" ca="1" si="437"/>
        <v>0</v>
      </c>
      <c r="CB257" s="58">
        <f t="shared" ca="1" si="437"/>
        <v>0</v>
      </c>
      <c r="CC257" s="58">
        <f t="shared" ca="1" si="437"/>
        <v>0</v>
      </c>
      <c r="CD257" s="58">
        <f t="shared" ca="1" si="437"/>
        <v>0</v>
      </c>
      <c r="CE257" s="58">
        <f t="shared" ca="1" si="437"/>
        <v>0</v>
      </c>
      <c r="CF257" s="58">
        <f t="shared" ca="1" si="437"/>
        <v>0</v>
      </c>
      <c r="CG257" s="58">
        <f t="shared" ca="1" si="437"/>
        <v>0</v>
      </c>
      <c r="CH257" s="58">
        <f t="shared" ca="1" si="437"/>
        <v>0</v>
      </c>
      <c r="CI257" s="58">
        <f t="shared" ca="1" si="437"/>
        <v>0</v>
      </c>
      <c r="CJ257" s="58">
        <f t="shared" ca="1" si="437"/>
        <v>0</v>
      </c>
      <c r="CK257" s="58">
        <f t="shared" ca="1" si="437"/>
        <v>0</v>
      </c>
      <c r="CL257" s="58">
        <f t="shared" ca="1" si="437"/>
        <v>0</v>
      </c>
      <c r="CM257" s="58">
        <f t="shared" ca="1" si="437"/>
        <v>0</v>
      </c>
      <c r="CN257" s="58">
        <f t="shared" ca="1" si="437"/>
        <v>0</v>
      </c>
      <c r="CO257" s="58">
        <f t="shared" ca="1" si="437"/>
        <v>0</v>
      </c>
      <c r="CP257" s="58">
        <f t="shared" ca="1" si="437"/>
        <v>0</v>
      </c>
      <c r="CQ257" s="58">
        <f t="shared" ca="1" si="437"/>
        <v>0</v>
      </c>
      <c r="CR257" s="58">
        <f t="shared" ca="1" si="437"/>
        <v>0</v>
      </c>
      <c r="CS257" s="58">
        <f t="shared" ca="1" si="437"/>
        <v>0</v>
      </c>
      <c r="CT257" s="58">
        <f t="shared" ca="1" si="437"/>
        <v>0</v>
      </c>
      <c r="CU257" s="58">
        <f t="shared" ca="1" si="437"/>
        <v>0</v>
      </c>
      <c r="CV257" s="58">
        <f t="shared" ca="1" si="437"/>
        <v>0</v>
      </c>
      <c r="CW257" s="58">
        <f t="shared" ca="1" si="437"/>
        <v>0</v>
      </c>
      <c r="CX257" s="58">
        <f t="shared" ca="1" si="437"/>
        <v>0</v>
      </c>
      <c r="CY257" s="58">
        <f t="shared" ref="CY257:ED257" ca="1" si="438">+IF(OR($F257+CY$175&lt;1,(CY$176-1)*12&lt;-$F257),0,OFFSET(CY87,0,$F257))</f>
        <v>0</v>
      </c>
      <c r="CZ257" s="58">
        <f t="shared" ca="1" si="438"/>
        <v>0</v>
      </c>
      <c r="DA257" s="58">
        <f t="shared" ca="1" si="438"/>
        <v>0</v>
      </c>
      <c r="DB257" s="58">
        <f t="shared" ca="1" si="438"/>
        <v>0</v>
      </c>
      <c r="DC257" s="58">
        <f t="shared" ca="1" si="438"/>
        <v>0</v>
      </c>
      <c r="DD257" s="58">
        <f t="shared" ca="1" si="438"/>
        <v>0</v>
      </c>
      <c r="DE257" s="58">
        <f t="shared" ca="1" si="438"/>
        <v>0</v>
      </c>
      <c r="DF257" s="58">
        <f t="shared" ca="1" si="438"/>
        <v>0</v>
      </c>
      <c r="DG257" s="58">
        <f t="shared" ca="1" si="438"/>
        <v>0</v>
      </c>
      <c r="DH257" s="58">
        <f t="shared" ca="1" si="438"/>
        <v>0</v>
      </c>
      <c r="DI257" s="58">
        <f t="shared" ca="1" si="438"/>
        <v>0</v>
      </c>
      <c r="DJ257" s="58">
        <f t="shared" ca="1" si="438"/>
        <v>0</v>
      </c>
      <c r="DK257" s="58">
        <f t="shared" ca="1" si="438"/>
        <v>0</v>
      </c>
      <c r="DL257" s="58">
        <f t="shared" ca="1" si="438"/>
        <v>0</v>
      </c>
      <c r="DM257" s="58">
        <f t="shared" ca="1" si="438"/>
        <v>0</v>
      </c>
      <c r="DN257" s="58">
        <f t="shared" ca="1" si="438"/>
        <v>0</v>
      </c>
      <c r="DO257" s="58">
        <f t="shared" ca="1" si="438"/>
        <v>0</v>
      </c>
      <c r="DP257" s="58">
        <f t="shared" ca="1" si="438"/>
        <v>0</v>
      </c>
      <c r="DQ257" s="58">
        <f t="shared" ca="1" si="438"/>
        <v>0</v>
      </c>
      <c r="DR257" s="58">
        <f t="shared" ca="1" si="438"/>
        <v>0</v>
      </c>
      <c r="DS257" s="58">
        <f t="shared" ca="1" si="438"/>
        <v>0</v>
      </c>
      <c r="DT257" s="58">
        <f t="shared" ca="1" si="438"/>
        <v>0</v>
      </c>
      <c r="DU257" s="58">
        <f t="shared" ca="1" si="438"/>
        <v>0</v>
      </c>
      <c r="DV257" s="58">
        <f t="shared" ca="1" si="438"/>
        <v>0</v>
      </c>
      <c r="DW257" s="58">
        <f t="shared" ca="1" si="438"/>
        <v>0</v>
      </c>
      <c r="DX257" s="58">
        <f t="shared" ca="1" si="438"/>
        <v>0</v>
      </c>
      <c r="DY257" s="58">
        <f t="shared" ca="1" si="438"/>
        <v>0</v>
      </c>
      <c r="DZ257" s="58">
        <f t="shared" ca="1" si="438"/>
        <v>0</v>
      </c>
      <c r="EA257" s="58">
        <f t="shared" ca="1" si="438"/>
        <v>0</v>
      </c>
      <c r="EB257" s="58">
        <f t="shared" ca="1" si="438"/>
        <v>0</v>
      </c>
      <c r="EC257" s="58">
        <f t="shared" ca="1" si="438"/>
        <v>0</v>
      </c>
      <c r="ED257" s="58">
        <f t="shared" ca="1" si="438"/>
        <v>0</v>
      </c>
      <c r="EE257" s="58">
        <f t="shared" ref="EE257:FN257" ca="1" si="439">+IF(OR($F257+EE$175&lt;1,(EE$176-1)*12&lt;-$F257),0,OFFSET(EE87,0,$F257))</f>
        <v>0</v>
      </c>
      <c r="EF257" s="58">
        <f t="shared" ca="1" si="439"/>
        <v>0</v>
      </c>
      <c r="EG257" s="58">
        <f t="shared" ca="1" si="439"/>
        <v>0</v>
      </c>
      <c r="EH257" s="58">
        <f t="shared" ca="1" si="439"/>
        <v>0</v>
      </c>
      <c r="EI257" s="58">
        <f t="shared" ca="1" si="439"/>
        <v>0</v>
      </c>
      <c r="EJ257" s="58">
        <f t="shared" ca="1" si="439"/>
        <v>0</v>
      </c>
      <c r="EK257" s="58">
        <f t="shared" ca="1" si="439"/>
        <v>0</v>
      </c>
      <c r="EL257" s="58">
        <f t="shared" ca="1" si="439"/>
        <v>0</v>
      </c>
      <c r="EM257" s="58">
        <f t="shared" ca="1" si="439"/>
        <v>0</v>
      </c>
      <c r="EN257" s="58">
        <f t="shared" ca="1" si="439"/>
        <v>0</v>
      </c>
      <c r="EO257" s="58">
        <f t="shared" ca="1" si="439"/>
        <v>0</v>
      </c>
      <c r="EP257" s="58">
        <f t="shared" ca="1" si="439"/>
        <v>0</v>
      </c>
      <c r="EQ257" s="58">
        <f t="shared" ca="1" si="439"/>
        <v>0</v>
      </c>
      <c r="ER257" s="58">
        <f t="shared" ca="1" si="439"/>
        <v>0</v>
      </c>
      <c r="ES257" s="58">
        <f t="shared" ca="1" si="439"/>
        <v>0</v>
      </c>
      <c r="ET257" s="58">
        <f t="shared" ca="1" si="439"/>
        <v>0</v>
      </c>
      <c r="EU257" s="58">
        <f t="shared" ca="1" si="439"/>
        <v>0</v>
      </c>
      <c r="EV257" s="58">
        <f t="shared" ca="1" si="439"/>
        <v>0</v>
      </c>
      <c r="EW257" s="58">
        <f t="shared" ca="1" si="439"/>
        <v>0</v>
      </c>
      <c r="EX257" s="58">
        <f t="shared" ca="1" si="439"/>
        <v>0</v>
      </c>
      <c r="EY257" s="58">
        <f t="shared" ca="1" si="439"/>
        <v>0</v>
      </c>
      <c r="EZ257" s="58">
        <f t="shared" ca="1" si="439"/>
        <v>0</v>
      </c>
      <c r="FA257" s="58">
        <f t="shared" ca="1" si="439"/>
        <v>0</v>
      </c>
      <c r="FB257" s="58">
        <f t="shared" ca="1" si="439"/>
        <v>0</v>
      </c>
      <c r="FC257" s="58">
        <f t="shared" ca="1" si="439"/>
        <v>0</v>
      </c>
      <c r="FD257" s="58">
        <f t="shared" ca="1" si="439"/>
        <v>0</v>
      </c>
      <c r="FE257" s="58">
        <f t="shared" ca="1" si="439"/>
        <v>0</v>
      </c>
      <c r="FF257" s="58">
        <f t="shared" ca="1" si="439"/>
        <v>0</v>
      </c>
      <c r="FG257" s="58">
        <f t="shared" ca="1" si="439"/>
        <v>0</v>
      </c>
      <c r="FH257" s="58">
        <f t="shared" ca="1" si="439"/>
        <v>0</v>
      </c>
      <c r="FI257" s="58">
        <f t="shared" ca="1" si="439"/>
        <v>0</v>
      </c>
      <c r="FJ257" s="58">
        <f t="shared" ca="1" si="439"/>
        <v>0</v>
      </c>
      <c r="FK257" s="58">
        <f t="shared" ca="1" si="439"/>
        <v>0</v>
      </c>
      <c r="FL257" s="58">
        <f t="shared" ca="1" si="439"/>
        <v>0</v>
      </c>
      <c r="FM257" s="58">
        <f t="shared" ca="1" si="439"/>
        <v>0</v>
      </c>
      <c r="FN257" s="58">
        <f t="shared" ca="1" si="439"/>
        <v>0</v>
      </c>
      <c r="FO257" s="13"/>
    </row>
    <row r="258" spans="1:171" outlineLevel="1" x14ac:dyDescent="0.3">
      <c r="A258" s="13"/>
      <c r="B258" s="13"/>
      <c r="C258" s="13"/>
      <c r="D258" s="52">
        <f t="shared" si="357"/>
        <v>42614</v>
      </c>
      <c r="E258" s="53">
        <f t="shared" si="358"/>
        <v>2016</v>
      </c>
      <c r="F258" s="53">
        <f t="shared" si="359"/>
        <v>32</v>
      </c>
      <c r="G258" s="58">
        <f t="shared" ref="G258:AL258" ca="1" si="440">+IF(OR($F258+G$175&lt;1,(G$176-1)*12&lt;-$F258),0,OFFSET(G88,0,$F258))</f>
        <v>0</v>
      </c>
      <c r="H258" s="58">
        <f t="shared" ca="1" si="440"/>
        <v>0</v>
      </c>
      <c r="I258" s="58">
        <f t="shared" ca="1" si="440"/>
        <v>0</v>
      </c>
      <c r="J258" s="58">
        <f t="shared" ca="1" si="440"/>
        <v>0</v>
      </c>
      <c r="K258" s="58">
        <f t="shared" ca="1" si="440"/>
        <v>0</v>
      </c>
      <c r="L258" s="58">
        <f t="shared" ca="1" si="440"/>
        <v>0</v>
      </c>
      <c r="M258" s="58">
        <f t="shared" ca="1" si="440"/>
        <v>0</v>
      </c>
      <c r="N258" s="58">
        <f t="shared" ca="1" si="440"/>
        <v>0</v>
      </c>
      <c r="O258" s="58">
        <f t="shared" ca="1" si="440"/>
        <v>0</v>
      </c>
      <c r="P258" s="58">
        <f t="shared" ca="1" si="440"/>
        <v>0</v>
      </c>
      <c r="Q258" s="58">
        <f t="shared" ca="1" si="440"/>
        <v>0</v>
      </c>
      <c r="R258" s="58">
        <f t="shared" ca="1" si="440"/>
        <v>0</v>
      </c>
      <c r="S258" s="58">
        <f t="shared" ca="1" si="440"/>
        <v>0</v>
      </c>
      <c r="T258" s="58">
        <f t="shared" ca="1" si="440"/>
        <v>0</v>
      </c>
      <c r="U258" s="58">
        <f t="shared" ca="1" si="440"/>
        <v>0</v>
      </c>
      <c r="V258" s="58">
        <f t="shared" ca="1" si="440"/>
        <v>0</v>
      </c>
      <c r="W258" s="58">
        <f t="shared" ca="1" si="440"/>
        <v>0</v>
      </c>
      <c r="X258" s="58">
        <f t="shared" ca="1" si="440"/>
        <v>0</v>
      </c>
      <c r="Y258" s="58">
        <f t="shared" ca="1" si="440"/>
        <v>0</v>
      </c>
      <c r="Z258" s="58">
        <f t="shared" ca="1" si="440"/>
        <v>0</v>
      </c>
      <c r="AA258" s="58">
        <f t="shared" ca="1" si="440"/>
        <v>0</v>
      </c>
      <c r="AB258" s="58">
        <f t="shared" ca="1" si="440"/>
        <v>0</v>
      </c>
      <c r="AC258" s="58">
        <f t="shared" ca="1" si="440"/>
        <v>0</v>
      </c>
      <c r="AD258" s="58">
        <f t="shared" ca="1" si="440"/>
        <v>0</v>
      </c>
      <c r="AE258" s="58">
        <f t="shared" ca="1" si="440"/>
        <v>0</v>
      </c>
      <c r="AF258" s="58">
        <f t="shared" ca="1" si="440"/>
        <v>0</v>
      </c>
      <c r="AG258" s="58">
        <f t="shared" ca="1" si="440"/>
        <v>0</v>
      </c>
      <c r="AH258" s="58">
        <f t="shared" ca="1" si="440"/>
        <v>0</v>
      </c>
      <c r="AI258" s="58">
        <f t="shared" ca="1" si="440"/>
        <v>0</v>
      </c>
      <c r="AJ258" s="58">
        <f t="shared" ca="1" si="440"/>
        <v>0</v>
      </c>
      <c r="AK258" s="58">
        <f t="shared" ca="1" si="440"/>
        <v>0</v>
      </c>
      <c r="AL258" s="58">
        <f t="shared" ca="1" si="440"/>
        <v>0</v>
      </c>
      <c r="AM258" s="58">
        <f t="shared" ref="AM258:BR258" ca="1" si="441">+IF(OR($F258+AM$175&lt;1,(AM$176-1)*12&lt;-$F258),0,OFFSET(AM88,0,$F258))</f>
        <v>0</v>
      </c>
      <c r="AN258" s="58">
        <f t="shared" ca="1" si="441"/>
        <v>0</v>
      </c>
      <c r="AO258" s="58">
        <f t="shared" ca="1" si="441"/>
        <v>0</v>
      </c>
      <c r="AP258" s="58">
        <f t="shared" ca="1" si="441"/>
        <v>0</v>
      </c>
      <c r="AQ258" s="58">
        <f t="shared" ca="1" si="441"/>
        <v>0</v>
      </c>
      <c r="AR258" s="58">
        <f t="shared" ca="1" si="441"/>
        <v>0</v>
      </c>
      <c r="AS258" s="58">
        <f t="shared" ca="1" si="441"/>
        <v>0</v>
      </c>
      <c r="AT258" s="58">
        <f t="shared" ca="1" si="441"/>
        <v>0</v>
      </c>
      <c r="AU258" s="58">
        <f t="shared" ca="1" si="441"/>
        <v>0</v>
      </c>
      <c r="AV258" s="58">
        <f t="shared" ca="1" si="441"/>
        <v>0</v>
      </c>
      <c r="AW258" s="58">
        <f t="shared" ca="1" si="441"/>
        <v>0</v>
      </c>
      <c r="AX258" s="58">
        <f t="shared" ca="1" si="441"/>
        <v>0</v>
      </c>
      <c r="AY258" s="58">
        <f t="shared" ca="1" si="441"/>
        <v>0</v>
      </c>
      <c r="AZ258" s="58">
        <f t="shared" ca="1" si="441"/>
        <v>0</v>
      </c>
      <c r="BA258" s="58">
        <f t="shared" ca="1" si="441"/>
        <v>0</v>
      </c>
      <c r="BB258" s="58">
        <f t="shared" ca="1" si="441"/>
        <v>0</v>
      </c>
      <c r="BC258" s="58">
        <f t="shared" ca="1" si="441"/>
        <v>0</v>
      </c>
      <c r="BD258" s="58">
        <f t="shared" ca="1" si="441"/>
        <v>0</v>
      </c>
      <c r="BE258" s="58">
        <f t="shared" ca="1" si="441"/>
        <v>0</v>
      </c>
      <c r="BF258" s="58">
        <f t="shared" ca="1" si="441"/>
        <v>0</v>
      </c>
      <c r="BG258" s="58">
        <f t="shared" ca="1" si="441"/>
        <v>0</v>
      </c>
      <c r="BH258" s="58">
        <f t="shared" ca="1" si="441"/>
        <v>0</v>
      </c>
      <c r="BI258" s="58">
        <f t="shared" ca="1" si="441"/>
        <v>0</v>
      </c>
      <c r="BJ258" s="58">
        <f t="shared" ca="1" si="441"/>
        <v>0</v>
      </c>
      <c r="BK258" s="58">
        <f t="shared" ca="1" si="441"/>
        <v>0</v>
      </c>
      <c r="BL258" s="58">
        <f t="shared" ca="1" si="441"/>
        <v>0</v>
      </c>
      <c r="BM258" s="58">
        <f t="shared" ca="1" si="441"/>
        <v>0</v>
      </c>
      <c r="BN258" s="58">
        <f t="shared" ca="1" si="441"/>
        <v>0</v>
      </c>
      <c r="BO258" s="58">
        <f t="shared" ca="1" si="441"/>
        <v>0</v>
      </c>
      <c r="BP258" s="58">
        <f t="shared" ca="1" si="441"/>
        <v>0</v>
      </c>
      <c r="BQ258" s="58">
        <f t="shared" ca="1" si="441"/>
        <v>0</v>
      </c>
      <c r="BR258" s="58">
        <f t="shared" ca="1" si="441"/>
        <v>0</v>
      </c>
      <c r="BS258" s="58">
        <f t="shared" ref="BS258:CX258" ca="1" si="442">+IF(OR($F258+BS$175&lt;1,(BS$176-1)*12&lt;-$F258),0,OFFSET(BS88,0,$F258))</f>
        <v>0</v>
      </c>
      <c r="BT258" s="58">
        <f t="shared" ca="1" si="442"/>
        <v>0</v>
      </c>
      <c r="BU258" s="58">
        <f t="shared" ca="1" si="442"/>
        <v>0</v>
      </c>
      <c r="BV258" s="58">
        <f t="shared" ca="1" si="442"/>
        <v>0</v>
      </c>
      <c r="BW258" s="58">
        <f t="shared" ca="1" si="442"/>
        <v>0</v>
      </c>
      <c r="BX258" s="58">
        <f t="shared" ca="1" si="442"/>
        <v>0</v>
      </c>
      <c r="BY258" s="58">
        <f t="shared" ca="1" si="442"/>
        <v>0</v>
      </c>
      <c r="BZ258" s="58">
        <f t="shared" ca="1" si="442"/>
        <v>0</v>
      </c>
      <c r="CA258" s="58">
        <f t="shared" ca="1" si="442"/>
        <v>0</v>
      </c>
      <c r="CB258" s="58">
        <f t="shared" ca="1" si="442"/>
        <v>0</v>
      </c>
      <c r="CC258" s="58">
        <f t="shared" ca="1" si="442"/>
        <v>0</v>
      </c>
      <c r="CD258" s="58">
        <f t="shared" ca="1" si="442"/>
        <v>0</v>
      </c>
      <c r="CE258" s="58">
        <f t="shared" ca="1" si="442"/>
        <v>0</v>
      </c>
      <c r="CF258" s="58">
        <f t="shared" ca="1" si="442"/>
        <v>0</v>
      </c>
      <c r="CG258" s="58">
        <f t="shared" ca="1" si="442"/>
        <v>0</v>
      </c>
      <c r="CH258" s="58">
        <f t="shared" ca="1" si="442"/>
        <v>0</v>
      </c>
      <c r="CI258" s="58">
        <f t="shared" ca="1" si="442"/>
        <v>0</v>
      </c>
      <c r="CJ258" s="58">
        <f t="shared" ca="1" si="442"/>
        <v>0</v>
      </c>
      <c r="CK258" s="58">
        <f t="shared" ca="1" si="442"/>
        <v>0</v>
      </c>
      <c r="CL258" s="58">
        <f t="shared" ca="1" si="442"/>
        <v>0</v>
      </c>
      <c r="CM258" s="58">
        <f t="shared" ca="1" si="442"/>
        <v>0</v>
      </c>
      <c r="CN258" s="58">
        <f t="shared" ca="1" si="442"/>
        <v>0</v>
      </c>
      <c r="CO258" s="58">
        <f t="shared" ca="1" si="442"/>
        <v>0</v>
      </c>
      <c r="CP258" s="58">
        <f t="shared" ca="1" si="442"/>
        <v>0</v>
      </c>
      <c r="CQ258" s="58">
        <f t="shared" ca="1" si="442"/>
        <v>0</v>
      </c>
      <c r="CR258" s="58">
        <f t="shared" ca="1" si="442"/>
        <v>0</v>
      </c>
      <c r="CS258" s="58">
        <f t="shared" ca="1" si="442"/>
        <v>0</v>
      </c>
      <c r="CT258" s="58">
        <f t="shared" ca="1" si="442"/>
        <v>0</v>
      </c>
      <c r="CU258" s="58">
        <f t="shared" ca="1" si="442"/>
        <v>0</v>
      </c>
      <c r="CV258" s="58">
        <f t="shared" ca="1" si="442"/>
        <v>0</v>
      </c>
      <c r="CW258" s="58">
        <f t="shared" ca="1" si="442"/>
        <v>0</v>
      </c>
      <c r="CX258" s="58">
        <f t="shared" ca="1" si="442"/>
        <v>0</v>
      </c>
      <c r="CY258" s="58">
        <f t="shared" ref="CY258:ED258" ca="1" si="443">+IF(OR($F258+CY$175&lt;1,(CY$176-1)*12&lt;-$F258),0,OFFSET(CY88,0,$F258))</f>
        <v>0</v>
      </c>
      <c r="CZ258" s="58">
        <f t="shared" ca="1" si="443"/>
        <v>0</v>
      </c>
      <c r="DA258" s="58">
        <f t="shared" ca="1" si="443"/>
        <v>0</v>
      </c>
      <c r="DB258" s="58">
        <f t="shared" ca="1" si="443"/>
        <v>0</v>
      </c>
      <c r="DC258" s="58">
        <f t="shared" ca="1" si="443"/>
        <v>0</v>
      </c>
      <c r="DD258" s="58">
        <f t="shared" ca="1" si="443"/>
        <v>0</v>
      </c>
      <c r="DE258" s="58">
        <f t="shared" ca="1" si="443"/>
        <v>0</v>
      </c>
      <c r="DF258" s="58">
        <f t="shared" ca="1" si="443"/>
        <v>0</v>
      </c>
      <c r="DG258" s="58">
        <f t="shared" ca="1" si="443"/>
        <v>0</v>
      </c>
      <c r="DH258" s="58">
        <f t="shared" ca="1" si="443"/>
        <v>0</v>
      </c>
      <c r="DI258" s="58">
        <f t="shared" ca="1" si="443"/>
        <v>0</v>
      </c>
      <c r="DJ258" s="58">
        <f t="shared" ca="1" si="443"/>
        <v>0</v>
      </c>
      <c r="DK258" s="58">
        <f t="shared" ca="1" si="443"/>
        <v>0</v>
      </c>
      <c r="DL258" s="58">
        <f t="shared" ca="1" si="443"/>
        <v>0</v>
      </c>
      <c r="DM258" s="58">
        <f t="shared" ca="1" si="443"/>
        <v>0</v>
      </c>
      <c r="DN258" s="58">
        <f t="shared" ca="1" si="443"/>
        <v>0</v>
      </c>
      <c r="DO258" s="58">
        <f t="shared" ca="1" si="443"/>
        <v>0</v>
      </c>
      <c r="DP258" s="58">
        <f t="shared" ca="1" si="443"/>
        <v>0</v>
      </c>
      <c r="DQ258" s="58">
        <f t="shared" ca="1" si="443"/>
        <v>0</v>
      </c>
      <c r="DR258" s="58">
        <f t="shared" ca="1" si="443"/>
        <v>0</v>
      </c>
      <c r="DS258" s="58">
        <f t="shared" ca="1" si="443"/>
        <v>0</v>
      </c>
      <c r="DT258" s="58">
        <f t="shared" ca="1" si="443"/>
        <v>0</v>
      </c>
      <c r="DU258" s="58">
        <f t="shared" ca="1" si="443"/>
        <v>0</v>
      </c>
      <c r="DV258" s="58">
        <f t="shared" ca="1" si="443"/>
        <v>0</v>
      </c>
      <c r="DW258" s="58">
        <f t="shared" ca="1" si="443"/>
        <v>0</v>
      </c>
      <c r="DX258" s="58">
        <f t="shared" ca="1" si="443"/>
        <v>0</v>
      </c>
      <c r="DY258" s="58">
        <f t="shared" ca="1" si="443"/>
        <v>0</v>
      </c>
      <c r="DZ258" s="58">
        <f t="shared" ca="1" si="443"/>
        <v>0</v>
      </c>
      <c r="EA258" s="58">
        <f t="shared" ca="1" si="443"/>
        <v>0</v>
      </c>
      <c r="EB258" s="58">
        <f t="shared" ca="1" si="443"/>
        <v>0</v>
      </c>
      <c r="EC258" s="58">
        <f t="shared" ca="1" si="443"/>
        <v>0</v>
      </c>
      <c r="ED258" s="58">
        <f t="shared" ca="1" si="443"/>
        <v>0</v>
      </c>
      <c r="EE258" s="58">
        <f t="shared" ref="EE258:FN258" ca="1" si="444">+IF(OR($F258+EE$175&lt;1,(EE$176-1)*12&lt;-$F258),0,OFFSET(EE88,0,$F258))</f>
        <v>0</v>
      </c>
      <c r="EF258" s="58">
        <f t="shared" ca="1" si="444"/>
        <v>0</v>
      </c>
      <c r="EG258" s="58">
        <f t="shared" ca="1" si="444"/>
        <v>0</v>
      </c>
      <c r="EH258" s="58">
        <f t="shared" ca="1" si="444"/>
        <v>0</v>
      </c>
      <c r="EI258" s="58">
        <f t="shared" ca="1" si="444"/>
        <v>0</v>
      </c>
      <c r="EJ258" s="58">
        <f t="shared" ca="1" si="444"/>
        <v>0</v>
      </c>
      <c r="EK258" s="58">
        <f t="shared" ca="1" si="444"/>
        <v>0</v>
      </c>
      <c r="EL258" s="58">
        <f t="shared" ca="1" si="444"/>
        <v>0</v>
      </c>
      <c r="EM258" s="58">
        <f t="shared" ca="1" si="444"/>
        <v>0</v>
      </c>
      <c r="EN258" s="58">
        <f t="shared" ca="1" si="444"/>
        <v>0</v>
      </c>
      <c r="EO258" s="58">
        <f t="shared" ca="1" si="444"/>
        <v>0</v>
      </c>
      <c r="EP258" s="58">
        <f t="shared" ca="1" si="444"/>
        <v>0</v>
      </c>
      <c r="EQ258" s="58">
        <f t="shared" ca="1" si="444"/>
        <v>0</v>
      </c>
      <c r="ER258" s="58">
        <f t="shared" ca="1" si="444"/>
        <v>0</v>
      </c>
      <c r="ES258" s="58">
        <f t="shared" ca="1" si="444"/>
        <v>0</v>
      </c>
      <c r="ET258" s="58">
        <f t="shared" ca="1" si="444"/>
        <v>0</v>
      </c>
      <c r="EU258" s="58">
        <f t="shared" ca="1" si="444"/>
        <v>0</v>
      </c>
      <c r="EV258" s="58">
        <f t="shared" ca="1" si="444"/>
        <v>0</v>
      </c>
      <c r="EW258" s="58">
        <f t="shared" ca="1" si="444"/>
        <v>0</v>
      </c>
      <c r="EX258" s="58">
        <f t="shared" ca="1" si="444"/>
        <v>0</v>
      </c>
      <c r="EY258" s="58">
        <f t="shared" ca="1" si="444"/>
        <v>0</v>
      </c>
      <c r="EZ258" s="58">
        <f t="shared" ca="1" si="444"/>
        <v>0</v>
      </c>
      <c r="FA258" s="58">
        <f t="shared" ca="1" si="444"/>
        <v>0</v>
      </c>
      <c r="FB258" s="58">
        <f t="shared" ca="1" si="444"/>
        <v>0</v>
      </c>
      <c r="FC258" s="58">
        <f t="shared" ca="1" si="444"/>
        <v>0</v>
      </c>
      <c r="FD258" s="58">
        <f t="shared" ca="1" si="444"/>
        <v>0</v>
      </c>
      <c r="FE258" s="58">
        <f t="shared" ca="1" si="444"/>
        <v>0</v>
      </c>
      <c r="FF258" s="58">
        <f t="shared" ca="1" si="444"/>
        <v>0</v>
      </c>
      <c r="FG258" s="58">
        <f t="shared" ca="1" si="444"/>
        <v>0</v>
      </c>
      <c r="FH258" s="58">
        <f t="shared" ca="1" si="444"/>
        <v>0</v>
      </c>
      <c r="FI258" s="58">
        <f t="shared" ca="1" si="444"/>
        <v>0</v>
      </c>
      <c r="FJ258" s="58">
        <f t="shared" ca="1" si="444"/>
        <v>0</v>
      </c>
      <c r="FK258" s="58">
        <f t="shared" ca="1" si="444"/>
        <v>0</v>
      </c>
      <c r="FL258" s="58">
        <f t="shared" ca="1" si="444"/>
        <v>0</v>
      </c>
      <c r="FM258" s="58">
        <f t="shared" ca="1" si="444"/>
        <v>0</v>
      </c>
      <c r="FN258" s="58">
        <f t="shared" ca="1" si="444"/>
        <v>0</v>
      </c>
      <c r="FO258" s="13"/>
    </row>
    <row r="259" spans="1:171" outlineLevel="1" x14ac:dyDescent="0.3">
      <c r="A259" s="13"/>
      <c r="B259" s="13"/>
      <c r="C259" s="13"/>
      <c r="D259" s="52">
        <f t="shared" si="357"/>
        <v>42644</v>
      </c>
      <c r="E259" s="53">
        <f t="shared" si="358"/>
        <v>2016</v>
      </c>
      <c r="F259" s="53">
        <f t="shared" si="359"/>
        <v>33</v>
      </c>
      <c r="G259" s="58">
        <f t="shared" ref="G259:AL259" ca="1" si="445">+IF(OR($F259+G$175&lt;1,(G$176-1)*12&lt;-$F259),0,OFFSET(G89,0,$F259))</f>
        <v>0</v>
      </c>
      <c r="H259" s="58">
        <f t="shared" ca="1" si="445"/>
        <v>0</v>
      </c>
      <c r="I259" s="58">
        <f t="shared" ca="1" si="445"/>
        <v>0</v>
      </c>
      <c r="J259" s="58">
        <f t="shared" ca="1" si="445"/>
        <v>0</v>
      </c>
      <c r="K259" s="58">
        <f t="shared" ca="1" si="445"/>
        <v>0</v>
      </c>
      <c r="L259" s="58">
        <f t="shared" ca="1" si="445"/>
        <v>0</v>
      </c>
      <c r="M259" s="58">
        <f t="shared" ca="1" si="445"/>
        <v>0</v>
      </c>
      <c r="N259" s="58">
        <f t="shared" ca="1" si="445"/>
        <v>0</v>
      </c>
      <c r="O259" s="58">
        <f t="shared" ca="1" si="445"/>
        <v>0</v>
      </c>
      <c r="P259" s="58">
        <f t="shared" ca="1" si="445"/>
        <v>0</v>
      </c>
      <c r="Q259" s="58">
        <f t="shared" ca="1" si="445"/>
        <v>0</v>
      </c>
      <c r="R259" s="58">
        <f t="shared" ca="1" si="445"/>
        <v>0</v>
      </c>
      <c r="S259" s="58">
        <f t="shared" ca="1" si="445"/>
        <v>0</v>
      </c>
      <c r="T259" s="58">
        <f t="shared" ca="1" si="445"/>
        <v>0</v>
      </c>
      <c r="U259" s="58">
        <f t="shared" ca="1" si="445"/>
        <v>0</v>
      </c>
      <c r="V259" s="58">
        <f t="shared" ca="1" si="445"/>
        <v>0</v>
      </c>
      <c r="W259" s="58">
        <f t="shared" ca="1" si="445"/>
        <v>0</v>
      </c>
      <c r="X259" s="58">
        <f t="shared" ca="1" si="445"/>
        <v>0</v>
      </c>
      <c r="Y259" s="58">
        <f t="shared" ca="1" si="445"/>
        <v>0</v>
      </c>
      <c r="Z259" s="58">
        <f t="shared" ca="1" si="445"/>
        <v>0</v>
      </c>
      <c r="AA259" s="58">
        <f t="shared" ca="1" si="445"/>
        <v>0</v>
      </c>
      <c r="AB259" s="58">
        <f t="shared" ca="1" si="445"/>
        <v>0</v>
      </c>
      <c r="AC259" s="58">
        <f t="shared" ca="1" si="445"/>
        <v>0</v>
      </c>
      <c r="AD259" s="58">
        <f t="shared" ca="1" si="445"/>
        <v>0</v>
      </c>
      <c r="AE259" s="58">
        <f t="shared" ca="1" si="445"/>
        <v>0</v>
      </c>
      <c r="AF259" s="58">
        <f t="shared" ca="1" si="445"/>
        <v>0</v>
      </c>
      <c r="AG259" s="58">
        <f t="shared" ca="1" si="445"/>
        <v>0</v>
      </c>
      <c r="AH259" s="58">
        <f t="shared" ca="1" si="445"/>
        <v>0</v>
      </c>
      <c r="AI259" s="58">
        <f t="shared" ca="1" si="445"/>
        <v>0</v>
      </c>
      <c r="AJ259" s="58">
        <f t="shared" ca="1" si="445"/>
        <v>0</v>
      </c>
      <c r="AK259" s="58">
        <f t="shared" ca="1" si="445"/>
        <v>0</v>
      </c>
      <c r="AL259" s="58">
        <f t="shared" ca="1" si="445"/>
        <v>0</v>
      </c>
      <c r="AM259" s="58">
        <f t="shared" ref="AM259:BR259" ca="1" si="446">+IF(OR($F259+AM$175&lt;1,(AM$176-1)*12&lt;-$F259),0,OFFSET(AM89,0,$F259))</f>
        <v>0</v>
      </c>
      <c r="AN259" s="58">
        <f t="shared" ca="1" si="446"/>
        <v>0</v>
      </c>
      <c r="AO259" s="58">
        <f t="shared" ca="1" si="446"/>
        <v>0</v>
      </c>
      <c r="AP259" s="58">
        <f t="shared" ca="1" si="446"/>
        <v>0</v>
      </c>
      <c r="AQ259" s="58">
        <f t="shared" ca="1" si="446"/>
        <v>0</v>
      </c>
      <c r="AR259" s="58">
        <f t="shared" ca="1" si="446"/>
        <v>0</v>
      </c>
      <c r="AS259" s="58">
        <f t="shared" ca="1" si="446"/>
        <v>0</v>
      </c>
      <c r="AT259" s="58">
        <f t="shared" ca="1" si="446"/>
        <v>0</v>
      </c>
      <c r="AU259" s="58">
        <f t="shared" ca="1" si="446"/>
        <v>0</v>
      </c>
      <c r="AV259" s="58">
        <f t="shared" ca="1" si="446"/>
        <v>0</v>
      </c>
      <c r="AW259" s="58">
        <f t="shared" ca="1" si="446"/>
        <v>0</v>
      </c>
      <c r="AX259" s="58">
        <f t="shared" ca="1" si="446"/>
        <v>0</v>
      </c>
      <c r="AY259" s="58">
        <f t="shared" ca="1" si="446"/>
        <v>0</v>
      </c>
      <c r="AZ259" s="58">
        <f t="shared" ca="1" si="446"/>
        <v>0</v>
      </c>
      <c r="BA259" s="58">
        <f t="shared" ca="1" si="446"/>
        <v>0</v>
      </c>
      <c r="BB259" s="58">
        <f t="shared" ca="1" si="446"/>
        <v>0</v>
      </c>
      <c r="BC259" s="58">
        <f t="shared" ca="1" si="446"/>
        <v>0</v>
      </c>
      <c r="BD259" s="58">
        <f t="shared" ca="1" si="446"/>
        <v>0</v>
      </c>
      <c r="BE259" s="58">
        <f t="shared" ca="1" si="446"/>
        <v>0</v>
      </c>
      <c r="BF259" s="58">
        <f t="shared" ca="1" si="446"/>
        <v>0</v>
      </c>
      <c r="BG259" s="58">
        <f t="shared" ca="1" si="446"/>
        <v>0</v>
      </c>
      <c r="BH259" s="58">
        <f t="shared" ca="1" si="446"/>
        <v>0</v>
      </c>
      <c r="BI259" s="58">
        <f t="shared" ca="1" si="446"/>
        <v>0</v>
      </c>
      <c r="BJ259" s="58">
        <f t="shared" ca="1" si="446"/>
        <v>0</v>
      </c>
      <c r="BK259" s="58">
        <f t="shared" ca="1" si="446"/>
        <v>0</v>
      </c>
      <c r="BL259" s="58">
        <f t="shared" ca="1" si="446"/>
        <v>0</v>
      </c>
      <c r="BM259" s="58">
        <f t="shared" ca="1" si="446"/>
        <v>0</v>
      </c>
      <c r="BN259" s="58">
        <f t="shared" ca="1" si="446"/>
        <v>0</v>
      </c>
      <c r="BO259" s="58">
        <f t="shared" ca="1" si="446"/>
        <v>0</v>
      </c>
      <c r="BP259" s="58">
        <f t="shared" ca="1" si="446"/>
        <v>0</v>
      </c>
      <c r="BQ259" s="58">
        <f t="shared" ca="1" si="446"/>
        <v>0</v>
      </c>
      <c r="BR259" s="58">
        <f t="shared" ca="1" si="446"/>
        <v>0</v>
      </c>
      <c r="BS259" s="58">
        <f t="shared" ref="BS259:CX259" ca="1" si="447">+IF(OR($F259+BS$175&lt;1,(BS$176-1)*12&lt;-$F259),0,OFFSET(BS89,0,$F259))</f>
        <v>0</v>
      </c>
      <c r="BT259" s="58">
        <f t="shared" ca="1" si="447"/>
        <v>0</v>
      </c>
      <c r="BU259" s="58">
        <f t="shared" ca="1" si="447"/>
        <v>0</v>
      </c>
      <c r="BV259" s="58">
        <f t="shared" ca="1" si="447"/>
        <v>0</v>
      </c>
      <c r="BW259" s="58">
        <f t="shared" ca="1" si="447"/>
        <v>0</v>
      </c>
      <c r="BX259" s="58">
        <f t="shared" ca="1" si="447"/>
        <v>0</v>
      </c>
      <c r="BY259" s="58">
        <f t="shared" ca="1" si="447"/>
        <v>0</v>
      </c>
      <c r="BZ259" s="58">
        <f t="shared" ca="1" si="447"/>
        <v>0</v>
      </c>
      <c r="CA259" s="58">
        <f t="shared" ca="1" si="447"/>
        <v>0</v>
      </c>
      <c r="CB259" s="58">
        <f t="shared" ca="1" si="447"/>
        <v>0</v>
      </c>
      <c r="CC259" s="58">
        <f t="shared" ca="1" si="447"/>
        <v>0</v>
      </c>
      <c r="CD259" s="58">
        <f t="shared" ca="1" si="447"/>
        <v>0</v>
      </c>
      <c r="CE259" s="58">
        <f t="shared" ca="1" si="447"/>
        <v>0</v>
      </c>
      <c r="CF259" s="58">
        <f t="shared" ca="1" si="447"/>
        <v>0</v>
      </c>
      <c r="CG259" s="58">
        <f t="shared" ca="1" si="447"/>
        <v>0</v>
      </c>
      <c r="CH259" s="58">
        <f t="shared" ca="1" si="447"/>
        <v>0</v>
      </c>
      <c r="CI259" s="58">
        <f t="shared" ca="1" si="447"/>
        <v>0</v>
      </c>
      <c r="CJ259" s="58">
        <f t="shared" ca="1" si="447"/>
        <v>0</v>
      </c>
      <c r="CK259" s="58">
        <f t="shared" ca="1" si="447"/>
        <v>0</v>
      </c>
      <c r="CL259" s="58">
        <f t="shared" ca="1" si="447"/>
        <v>0</v>
      </c>
      <c r="CM259" s="58">
        <f t="shared" ca="1" si="447"/>
        <v>0</v>
      </c>
      <c r="CN259" s="58">
        <f t="shared" ca="1" si="447"/>
        <v>0</v>
      </c>
      <c r="CO259" s="58">
        <f t="shared" ca="1" si="447"/>
        <v>0</v>
      </c>
      <c r="CP259" s="58">
        <f t="shared" ca="1" si="447"/>
        <v>0</v>
      </c>
      <c r="CQ259" s="58">
        <f t="shared" ca="1" si="447"/>
        <v>0</v>
      </c>
      <c r="CR259" s="58">
        <f t="shared" ca="1" si="447"/>
        <v>0</v>
      </c>
      <c r="CS259" s="58">
        <f t="shared" ca="1" si="447"/>
        <v>0</v>
      </c>
      <c r="CT259" s="58">
        <f t="shared" ca="1" si="447"/>
        <v>0</v>
      </c>
      <c r="CU259" s="58">
        <f t="shared" ca="1" si="447"/>
        <v>0</v>
      </c>
      <c r="CV259" s="58">
        <f t="shared" ca="1" si="447"/>
        <v>0</v>
      </c>
      <c r="CW259" s="58">
        <f t="shared" ca="1" si="447"/>
        <v>0</v>
      </c>
      <c r="CX259" s="58">
        <f t="shared" ca="1" si="447"/>
        <v>0</v>
      </c>
      <c r="CY259" s="58">
        <f t="shared" ref="CY259:ED259" ca="1" si="448">+IF(OR($F259+CY$175&lt;1,(CY$176-1)*12&lt;-$F259),0,OFFSET(CY89,0,$F259))</f>
        <v>0</v>
      </c>
      <c r="CZ259" s="58">
        <f t="shared" ca="1" si="448"/>
        <v>0</v>
      </c>
      <c r="DA259" s="58">
        <f t="shared" ca="1" si="448"/>
        <v>0</v>
      </c>
      <c r="DB259" s="58">
        <f t="shared" ca="1" si="448"/>
        <v>0</v>
      </c>
      <c r="DC259" s="58">
        <f t="shared" ca="1" si="448"/>
        <v>0</v>
      </c>
      <c r="DD259" s="58">
        <f t="shared" ca="1" si="448"/>
        <v>0</v>
      </c>
      <c r="DE259" s="58">
        <f t="shared" ca="1" si="448"/>
        <v>0</v>
      </c>
      <c r="DF259" s="58">
        <f t="shared" ca="1" si="448"/>
        <v>0</v>
      </c>
      <c r="DG259" s="58">
        <f t="shared" ca="1" si="448"/>
        <v>0</v>
      </c>
      <c r="DH259" s="58">
        <f t="shared" ca="1" si="448"/>
        <v>0</v>
      </c>
      <c r="DI259" s="58">
        <f t="shared" ca="1" si="448"/>
        <v>0</v>
      </c>
      <c r="DJ259" s="58">
        <f t="shared" ca="1" si="448"/>
        <v>0</v>
      </c>
      <c r="DK259" s="58">
        <f t="shared" ca="1" si="448"/>
        <v>0</v>
      </c>
      <c r="DL259" s="58">
        <f t="shared" ca="1" si="448"/>
        <v>0</v>
      </c>
      <c r="DM259" s="58">
        <f t="shared" ca="1" si="448"/>
        <v>0</v>
      </c>
      <c r="DN259" s="58">
        <f t="shared" ca="1" si="448"/>
        <v>0</v>
      </c>
      <c r="DO259" s="58">
        <f t="shared" ca="1" si="448"/>
        <v>0</v>
      </c>
      <c r="DP259" s="58">
        <f t="shared" ca="1" si="448"/>
        <v>0</v>
      </c>
      <c r="DQ259" s="58">
        <f t="shared" ca="1" si="448"/>
        <v>0</v>
      </c>
      <c r="DR259" s="58">
        <f t="shared" ca="1" si="448"/>
        <v>0</v>
      </c>
      <c r="DS259" s="58">
        <f t="shared" ca="1" si="448"/>
        <v>0</v>
      </c>
      <c r="DT259" s="58">
        <f t="shared" ca="1" si="448"/>
        <v>0</v>
      </c>
      <c r="DU259" s="58">
        <f t="shared" ca="1" si="448"/>
        <v>0</v>
      </c>
      <c r="DV259" s="58">
        <f t="shared" ca="1" si="448"/>
        <v>0</v>
      </c>
      <c r="DW259" s="58">
        <f t="shared" ca="1" si="448"/>
        <v>0</v>
      </c>
      <c r="DX259" s="58">
        <f t="shared" ca="1" si="448"/>
        <v>0</v>
      </c>
      <c r="DY259" s="58">
        <f t="shared" ca="1" si="448"/>
        <v>0</v>
      </c>
      <c r="DZ259" s="58">
        <f t="shared" ca="1" si="448"/>
        <v>0</v>
      </c>
      <c r="EA259" s="58">
        <f t="shared" ca="1" si="448"/>
        <v>0</v>
      </c>
      <c r="EB259" s="58">
        <f t="shared" ca="1" si="448"/>
        <v>0</v>
      </c>
      <c r="EC259" s="58">
        <f t="shared" ca="1" si="448"/>
        <v>0</v>
      </c>
      <c r="ED259" s="58">
        <f t="shared" ca="1" si="448"/>
        <v>0</v>
      </c>
      <c r="EE259" s="58">
        <f t="shared" ref="EE259:FN259" ca="1" si="449">+IF(OR($F259+EE$175&lt;1,(EE$176-1)*12&lt;-$F259),0,OFFSET(EE89,0,$F259))</f>
        <v>0</v>
      </c>
      <c r="EF259" s="58">
        <f t="shared" ca="1" si="449"/>
        <v>0</v>
      </c>
      <c r="EG259" s="58">
        <f t="shared" ca="1" si="449"/>
        <v>0</v>
      </c>
      <c r="EH259" s="58">
        <f t="shared" ca="1" si="449"/>
        <v>0</v>
      </c>
      <c r="EI259" s="58">
        <f t="shared" ca="1" si="449"/>
        <v>0</v>
      </c>
      <c r="EJ259" s="58">
        <f t="shared" ca="1" si="449"/>
        <v>0</v>
      </c>
      <c r="EK259" s="58">
        <f t="shared" ca="1" si="449"/>
        <v>0</v>
      </c>
      <c r="EL259" s="58">
        <f t="shared" ca="1" si="449"/>
        <v>0</v>
      </c>
      <c r="EM259" s="58">
        <f t="shared" ca="1" si="449"/>
        <v>0</v>
      </c>
      <c r="EN259" s="58">
        <f t="shared" ca="1" si="449"/>
        <v>0</v>
      </c>
      <c r="EO259" s="58">
        <f t="shared" ca="1" si="449"/>
        <v>0</v>
      </c>
      <c r="EP259" s="58">
        <f t="shared" ca="1" si="449"/>
        <v>0</v>
      </c>
      <c r="EQ259" s="58">
        <f t="shared" ca="1" si="449"/>
        <v>0</v>
      </c>
      <c r="ER259" s="58">
        <f t="shared" ca="1" si="449"/>
        <v>0</v>
      </c>
      <c r="ES259" s="58">
        <f t="shared" ca="1" si="449"/>
        <v>0</v>
      </c>
      <c r="ET259" s="58">
        <f t="shared" ca="1" si="449"/>
        <v>0</v>
      </c>
      <c r="EU259" s="58">
        <f t="shared" ca="1" si="449"/>
        <v>0</v>
      </c>
      <c r="EV259" s="58">
        <f t="shared" ca="1" si="449"/>
        <v>0</v>
      </c>
      <c r="EW259" s="58">
        <f t="shared" ca="1" si="449"/>
        <v>0</v>
      </c>
      <c r="EX259" s="58">
        <f t="shared" ca="1" si="449"/>
        <v>0</v>
      </c>
      <c r="EY259" s="58">
        <f t="shared" ca="1" si="449"/>
        <v>0</v>
      </c>
      <c r="EZ259" s="58">
        <f t="shared" ca="1" si="449"/>
        <v>0</v>
      </c>
      <c r="FA259" s="58">
        <f t="shared" ca="1" si="449"/>
        <v>0</v>
      </c>
      <c r="FB259" s="58">
        <f t="shared" ca="1" si="449"/>
        <v>0</v>
      </c>
      <c r="FC259" s="58">
        <f t="shared" ca="1" si="449"/>
        <v>0</v>
      </c>
      <c r="FD259" s="58">
        <f t="shared" ca="1" si="449"/>
        <v>0</v>
      </c>
      <c r="FE259" s="58">
        <f t="shared" ca="1" si="449"/>
        <v>0</v>
      </c>
      <c r="FF259" s="58">
        <f t="shared" ca="1" si="449"/>
        <v>0</v>
      </c>
      <c r="FG259" s="58">
        <f t="shared" ca="1" si="449"/>
        <v>0</v>
      </c>
      <c r="FH259" s="58">
        <f t="shared" ca="1" si="449"/>
        <v>0</v>
      </c>
      <c r="FI259" s="58">
        <f t="shared" ca="1" si="449"/>
        <v>0</v>
      </c>
      <c r="FJ259" s="58">
        <f t="shared" ca="1" si="449"/>
        <v>0</v>
      </c>
      <c r="FK259" s="58">
        <f t="shared" ca="1" si="449"/>
        <v>0</v>
      </c>
      <c r="FL259" s="58">
        <f t="shared" ca="1" si="449"/>
        <v>0</v>
      </c>
      <c r="FM259" s="58">
        <f t="shared" ca="1" si="449"/>
        <v>0</v>
      </c>
      <c r="FN259" s="58">
        <f t="shared" ca="1" si="449"/>
        <v>0</v>
      </c>
      <c r="FO259" s="13"/>
    </row>
    <row r="260" spans="1:171" outlineLevel="1" x14ac:dyDescent="0.3">
      <c r="A260" s="13"/>
      <c r="B260" s="13"/>
      <c r="C260" s="13"/>
      <c r="D260" s="52">
        <f t="shared" si="357"/>
        <v>42675</v>
      </c>
      <c r="E260" s="53">
        <f t="shared" si="358"/>
        <v>2016</v>
      </c>
      <c r="F260" s="53">
        <f t="shared" si="359"/>
        <v>34</v>
      </c>
      <c r="G260" s="58">
        <f t="shared" ref="G260:AL260" ca="1" si="450">+IF(OR($F260+G$175&lt;1,(G$176-1)*12&lt;-$F260),0,OFFSET(G90,0,$F260))</f>
        <v>0</v>
      </c>
      <c r="H260" s="58">
        <f t="shared" ca="1" si="450"/>
        <v>0</v>
      </c>
      <c r="I260" s="58">
        <f t="shared" ca="1" si="450"/>
        <v>0</v>
      </c>
      <c r="J260" s="58">
        <f t="shared" ca="1" si="450"/>
        <v>0</v>
      </c>
      <c r="K260" s="58">
        <f t="shared" ca="1" si="450"/>
        <v>0</v>
      </c>
      <c r="L260" s="58">
        <f t="shared" ca="1" si="450"/>
        <v>0</v>
      </c>
      <c r="M260" s="58">
        <f t="shared" ca="1" si="450"/>
        <v>0</v>
      </c>
      <c r="N260" s="58">
        <f t="shared" ca="1" si="450"/>
        <v>0</v>
      </c>
      <c r="O260" s="58">
        <f t="shared" ca="1" si="450"/>
        <v>0</v>
      </c>
      <c r="P260" s="58">
        <f t="shared" ca="1" si="450"/>
        <v>0</v>
      </c>
      <c r="Q260" s="58">
        <f t="shared" ca="1" si="450"/>
        <v>0</v>
      </c>
      <c r="R260" s="58">
        <f t="shared" ca="1" si="450"/>
        <v>0</v>
      </c>
      <c r="S260" s="58">
        <f t="shared" ca="1" si="450"/>
        <v>0</v>
      </c>
      <c r="T260" s="58">
        <f t="shared" ca="1" si="450"/>
        <v>0</v>
      </c>
      <c r="U260" s="58">
        <f t="shared" ca="1" si="450"/>
        <v>0</v>
      </c>
      <c r="V260" s="58">
        <f t="shared" ca="1" si="450"/>
        <v>0</v>
      </c>
      <c r="W260" s="58">
        <f t="shared" ca="1" si="450"/>
        <v>0</v>
      </c>
      <c r="X260" s="58">
        <f t="shared" ca="1" si="450"/>
        <v>0</v>
      </c>
      <c r="Y260" s="58">
        <f t="shared" ca="1" si="450"/>
        <v>0</v>
      </c>
      <c r="Z260" s="58">
        <f t="shared" ca="1" si="450"/>
        <v>0</v>
      </c>
      <c r="AA260" s="58">
        <f t="shared" ca="1" si="450"/>
        <v>0</v>
      </c>
      <c r="AB260" s="58">
        <f t="shared" ca="1" si="450"/>
        <v>0</v>
      </c>
      <c r="AC260" s="58">
        <f t="shared" ca="1" si="450"/>
        <v>0</v>
      </c>
      <c r="AD260" s="58">
        <f t="shared" ca="1" si="450"/>
        <v>0</v>
      </c>
      <c r="AE260" s="58">
        <f t="shared" ca="1" si="450"/>
        <v>0</v>
      </c>
      <c r="AF260" s="58">
        <f t="shared" ca="1" si="450"/>
        <v>0</v>
      </c>
      <c r="AG260" s="58">
        <f t="shared" ca="1" si="450"/>
        <v>0</v>
      </c>
      <c r="AH260" s="58">
        <f t="shared" ca="1" si="450"/>
        <v>0</v>
      </c>
      <c r="AI260" s="58">
        <f t="shared" ca="1" si="450"/>
        <v>0</v>
      </c>
      <c r="AJ260" s="58">
        <f t="shared" ca="1" si="450"/>
        <v>0</v>
      </c>
      <c r="AK260" s="58">
        <f t="shared" ca="1" si="450"/>
        <v>0</v>
      </c>
      <c r="AL260" s="58">
        <f t="shared" ca="1" si="450"/>
        <v>0</v>
      </c>
      <c r="AM260" s="58">
        <f t="shared" ref="AM260:BR260" ca="1" si="451">+IF(OR($F260+AM$175&lt;1,(AM$176-1)*12&lt;-$F260),0,OFFSET(AM90,0,$F260))</f>
        <v>0</v>
      </c>
      <c r="AN260" s="58">
        <f t="shared" ca="1" si="451"/>
        <v>0</v>
      </c>
      <c r="AO260" s="58">
        <f t="shared" ca="1" si="451"/>
        <v>0</v>
      </c>
      <c r="AP260" s="58">
        <f t="shared" ca="1" si="451"/>
        <v>0</v>
      </c>
      <c r="AQ260" s="58">
        <f t="shared" ca="1" si="451"/>
        <v>0</v>
      </c>
      <c r="AR260" s="58">
        <f t="shared" ca="1" si="451"/>
        <v>0</v>
      </c>
      <c r="AS260" s="58">
        <f t="shared" ca="1" si="451"/>
        <v>0</v>
      </c>
      <c r="AT260" s="58">
        <f t="shared" ca="1" si="451"/>
        <v>0</v>
      </c>
      <c r="AU260" s="58">
        <f t="shared" ca="1" si="451"/>
        <v>0</v>
      </c>
      <c r="AV260" s="58">
        <f t="shared" ca="1" si="451"/>
        <v>0</v>
      </c>
      <c r="AW260" s="58">
        <f t="shared" ca="1" si="451"/>
        <v>0</v>
      </c>
      <c r="AX260" s="58">
        <f t="shared" ca="1" si="451"/>
        <v>0</v>
      </c>
      <c r="AY260" s="58">
        <f t="shared" ca="1" si="451"/>
        <v>0</v>
      </c>
      <c r="AZ260" s="58">
        <f t="shared" ca="1" si="451"/>
        <v>0</v>
      </c>
      <c r="BA260" s="58">
        <f t="shared" ca="1" si="451"/>
        <v>0</v>
      </c>
      <c r="BB260" s="58">
        <f t="shared" ca="1" si="451"/>
        <v>0</v>
      </c>
      <c r="BC260" s="58">
        <f t="shared" ca="1" si="451"/>
        <v>0</v>
      </c>
      <c r="BD260" s="58">
        <f t="shared" ca="1" si="451"/>
        <v>0</v>
      </c>
      <c r="BE260" s="58">
        <f t="shared" ca="1" si="451"/>
        <v>0</v>
      </c>
      <c r="BF260" s="58">
        <f t="shared" ca="1" si="451"/>
        <v>0</v>
      </c>
      <c r="BG260" s="58">
        <f t="shared" ca="1" si="451"/>
        <v>0</v>
      </c>
      <c r="BH260" s="58">
        <f t="shared" ca="1" si="451"/>
        <v>0</v>
      </c>
      <c r="BI260" s="58">
        <f t="shared" ca="1" si="451"/>
        <v>0</v>
      </c>
      <c r="BJ260" s="58">
        <f t="shared" ca="1" si="451"/>
        <v>0</v>
      </c>
      <c r="BK260" s="58">
        <f t="shared" ca="1" si="451"/>
        <v>0</v>
      </c>
      <c r="BL260" s="58">
        <f t="shared" ca="1" si="451"/>
        <v>0</v>
      </c>
      <c r="BM260" s="58">
        <f t="shared" ca="1" si="451"/>
        <v>0</v>
      </c>
      <c r="BN260" s="58">
        <f t="shared" ca="1" si="451"/>
        <v>0</v>
      </c>
      <c r="BO260" s="58">
        <f t="shared" ca="1" si="451"/>
        <v>0</v>
      </c>
      <c r="BP260" s="58">
        <f t="shared" ca="1" si="451"/>
        <v>0</v>
      </c>
      <c r="BQ260" s="58">
        <f t="shared" ca="1" si="451"/>
        <v>0</v>
      </c>
      <c r="BR260" s="58">
        <f t="shared" ca="1" si="451"/>
        <v>0</v>
      </c>
      <c r="BS260" s="58">
        <f t="shared" ref="BS260:CX260" ca="1" si="452">+IF(OR($F260+BS$175&lt;1,(BS$176-1)*12&lt;-$F260),0,OFFSET(BS90,0,$F260))</f>
        <v>0</v>
      </c>
      <c r="BT260" s="58">
        <f t="shared" ca="1" si="452"/>
        <v>0</v>
      </c>
      <c r="BU260" s="58">
        <f t="shared" ca="1" si="452"/>
        <v>0</v>
      </c>
      <c r="BV260" s="58">
        <f t="shared" ca="1" si="452"/>
        <v>0</v>
      </c>
      <c r="BW260" s="58">
        <f t="shared" ca="1" si="452"/>
        <v>0</v>
      </c>
      <c r="BX260" s="58">
        <f t="shared" ca="1" si="452"/>
        <v>0</v>
      </c>
      <c r="BY260" s="58">
        <f t="shared" ca="1" si="452"/>
        <v>0</v>
      </c>
      <c r="BZ260" s="58">
        <f t="shared" ca="1" si="452"/>
        <v>0</v>
      </c>
      <c r="CA260" s="58">
        <f t="shared" ca="1" si="452"/>
        <v>0</v>
      </c>
      <c r="CB260" s="58">
        <f t="shared" ca="1" si="452"/>
        <v>0</v>
      </c>
      <c r="CC260" s="58">
        <f t="shared" ca="1" si="452"/>
        <v>0</v>
      </c>
      <c r="CD260" s="58">
        <f t="shared" ca="1" si="452"/>
        <v>0</v>
      </c>
      <c r="CE260" s="58">
        <f t="shared" ca="1" si="452"/>
        <v>0</v>
      </c>
      <c r="CF260" s="58">
        <f t="shared" ca="1" si="452"/>
        <v>0</v>
      </c>
      <c r="CG260" s="58">
        <f t="shared" ca="1" si="452"/>
        <v>0</v>
      </c>
      <c r="CH260" s="58">
        <f t="shared" ca="1" si="452"/>
        <v>0</v>
      </c>
      <c r="CI260" s="58">
        <f t="shared" ca="1" si="452"/>
        <v>0</v>
      </c>
      <c r="CJ260" s="58">
        <f t="shared" ca="1" si="452"/>
        <v>0</v>
      </c>
      <c r="CK260" s="58">
        <f t="shared" ca="1" si="452"/>
        <v>0</v>
      </c>
      <c r="CL260" s="58">
        <f t="shared" ca="1" si="452"/>
        <v>0</v>
      </c>
      <c r="CM260" s="58">
        <f t="shared" ca="1" si="452"/>
        <v>0</v>
      </c>
      <c r="CN260" s="58">
        <f t="shared" ca="1" si="452"/>
        <v>0</v>
      </c>
      <c r="CO260" s="58">
        <f t="shared" ca="1" si="452"/>
        <v>0</v>
      </c>
      <c r="CP260" s="58">
        <f t="shared" ca="1" si="452"/>
        <v>0</v>
      </c>
      <c r="CQ260" s="58">
        <f t="shared" ca="1" si="452"/>
        <v>0</v>
      </c>
      <c r="CR260" s="58">
        <f t="shared" ca="1" si="452"/>
        <v>0</v>
      </c>
      <c r="CS260" s="58">
        <f t="shared" ca="1" si="452"/>
        <v>0</v>
      </c>
      <c r="CT260" s="58">
        <f t="shared" ca="1" si="452"/>
        <v>0</v>
      </c>
      <c r="CU260" s="58">
        <f t="shared" ca="1" si="452"/>
        <v>0</v>
      </c>
      <c r="CV260" s="58">
        <f t="shared" ca="1" si="452"/>
        <v>0</v>
      </c>
      <c r="CW260" s="58">
        <f t="shared" ca="1" si="452"/>
        <v>0</v>
      </c>
      <c r="CX260" s="58">
        <f t="shared" ca="1" si="452"/>
        <v>0</v>
      </c>
      <c r="CY260" s="58">
        <f t="shared" ref="CY260:ED260" ca="1" si="453">+IF(OR($F260+CY$175&lt;1,(CY$176-1)*12&lt;-$F260),0,OFFSET(CY90,0,$F260))</f>
        <v>0</v>
      </c>
      <c r="CZ260" s="58">
        <f t="shared" ca="1" si="453"/>
        <v>0</v>
      </c>
      <c r="DA260" s="58">
        <f t="shared" ca="1" si="453"/>
        <v>0</v>
      </c>
      <c r="DB260" s="58">
        <f t="shared" ca="1" si="453"/>
        <v>0</v>
      </c>
      <c r="DC260" s="58">
        <f t="shared" ca="1" si="453"/>
        <v>0</v>
      </c>
      <c r="DD260" s="58">
        <f t="shared" ca="1" si="453"/>
        <v>0</v>
      </c>
      <c r="DE260" s="58">
        <f t="shared" ca="1" si="453"/>
        <v>0</v>
      </c>
      <c r="DF260" s="58">
        <f t="shared" ca="1" si="453"/>
        <v>0</v>
      </c>
      <c r="DG260" s="58">
        <f t="shared" ca="1" si="453"/>
        <v>0</v>
      </c>
      <c r="DH260" s="58">
        <f t="shared" ca="1" si="453"/>
        <v>0</v>
      </c>
      <c r="DI260" s="58">
        <f t="shared" ca="1" si="453"/>
        <v>0</v>
      </c>
      <c r="DJ260" s="58">
        <f t="shared" ca="1" si="453"/>
        <v>0</v>
      </c>
      <c r="DK260" s="58">
        <f t="shared" ca="1" si="453"/>
        <v>0</v>
      </c>
      <c r="DL260" s="58">
        <f t="shared" ca="1" si="453"/>
        <v>0</v>
      </c>
      <c r="DM260" s="58">
        <f t="shared" ca="1" si="453"/>
        <v>0</v>
      </c>
      <c r="DN260" s="58">
        <f t="shared" ca="1" si="453"/>
        <v>0</v>
      </c>
      <c r="DO260" s="58">
        <f t="shared" ca="1" si="453"/>
        <v>0</v>
      </c>
      <c r="DP260" s="58">
        <f t="shared" ca="1" si="453"/>
        <v>0</v>
      </c>
      <c r="DQ260" s="58">
        <f t="shared" ca="1" si="453"/>
        <v>0</v>
      </c>
      <c r="DR260" s="58">
        <f t="shared" ca="1" si="453"/>
        <v>0</v>
      </c>
      <c r="DS260" s="58">
        <f t="shared" ca="1" si="453"/>
        <v>0</v>
      </c>
      <c r="DT260" s="58">
        <f t="shared" ca="1" si="453"/>
        <v>0</v>
      </c>
      <c r="DU260" s="58">
        <f t="shared" ca="1" si="453"/>
        <v>0</v>
      </c>
      <c r="DV260" s="58">
        <f t="shared" ca="1" si="453"/>
        <v>0</v>
      </c>
      <c r="DW260" s="58">
        <f t="shared" ca="1" si="453"/>
        <v>0</v>
      </c>
      <c r="DX260" s="58">
        <f t="shared" ca="1" si="453"/>
        <v>0</v>
      </c>
      <c r="DY260" s="58">
        <f t="shared" ca="1" si="453"/>
        <v>0</v>
      </c>
      <c r="DZ260" s="58">
        <f t="shared" ca="1" si="453"/>
        <v>0</v>
      </c>
      <c r="EA260" s="58">
        <f t="shared" ca="1" si="453"/>
        <v>0</v>
      </c>
      <c r="EB260" s="58">
        <f t="shared" ca="1" si="453"/>
        <v>0</v>
      </c>
      <c r="EC260" s="58">
        <f t="shared" ca="1" si="453"/>
        <v>0</v>
      </c>
      <c r="ED260" s="58">
        <f t="shared" ca="1" si="453"/>
        <v>0</v>
      </c>
      <c r="EE260" s="58">
        <f t="shared" ref="EE260:FN260" ca="1" si="454">+IF(OR($F260+EE$175&lt;1,(EE$176-1)*12&lt;-$F260),0,OFFSET(EE90,0,$F260))</f>
        <v>0</v>
      </c>
      <c r="EF260" s="58">
        <f t="shared" ca="1" si="454"/>
        <v>0</v>
      </c>
      <c r="EG260" s="58">
        <f t="shared" ca="1" si="454"/>
        <v>0</v>
      </c>
      <c r="EH260" s="58">
        <f t="shared" ca="1" si="454"/>
        <v>0</v>
      </c>
      <c r="EI260" s="58">
        <f t="shared" ca="1" si="454"/>
        <v>0</v>
      </c>
      <c r="EJ260" s="58">
        <f t="shared" ca="1" si="454"/>
        <v>0</v>
      </c>
      <c r="EK260" s="58">
        <f t="shared" ca="1" si="454"/>
        <v>0</v>
      </c>
      <c r="EL260" s="58">
        <f t="shared" ca="1" si="454"/>
        <v>0</v>
      </c>
      <c r="EM260" s="58">
        <f t="shared" ca="1" si="454"/>
        <v>0</v>
      </c>
      <c r="EN260" s="58">
        <f t="shared" ca="1" si="454"/>
        <v>0</v>
      </c>
      <c r="EO260" s="58">
        <f t="shared" ca="1" si="454"/>
        <v>0</v>
      </c>
      <c r="EP260" s="58">
        <f t="shared" ca="1" si="454"/>
        <v>0</v>
      </c>
      <c r="EQ260" s="58">
        <f t="shared" ca="1" si="454"/>
        <v>0</v>
      </c>
      <c r="ER260" s="58">
        <f t="shared" ca="1" si="454"/>
        <v>0</v>
      </c>
      <c r="ES260" s="58">
        <f t="shared" ca="1" si="454"/>
        <v>0</v>
      </c>
      <c r="ET260" s="58">
        <f t="shared" ca="1" si="454"/>
        <v>0</v>
      </c>
      <c r="EU260" s="58">
        <f t="shared" ca="1" si="454"/>
        <v>0</v>
      </c>
      <c r="EV260" s="58">
        <f t="shared" ca="1" si="454"/>
        <v>0</v>
      </c>
      <c r="EW260" s="58">
        <f t="shared" ca="1" si="454"/>
        <v>0</v>
      </c>
      <c r="EX260" s="58">
        <f t="shared" ca="1" si="454"/>
        <v>0</v>
      </c>
      <c r="EY260" s="58">
        <f t="shared" ca="1" si="454"/>
        <v>0</v>
      </c>
      <c r="EZ260" s="58">
        <f t="shared" ca="1" si="454"/>
        <v>0</v>
      </c>
      <c r="FA260" s="58">
        <f t="shared" ca="1" si="454"/>
        <v>0</v>
      </c>
      <c r="FB260" s="58">
        <f t="shared" ca="1" si="454"/>
        <v>0</v>
      </c>
      <c r="FC260" s="58">
        <f t="shared" ca="1" si="454"/>
        <v>0</v>
      </c>
      <c r="FD260" s="58">
        <f t="shared" ca="1" si="454"/>
        <v>0</v>
      </c>
      <c r="FE260" s="58">
        <f t="shared" ca="1" si="454"/>
        <v>0</v>
      </c>
      <c r="FF260" s="58">
        <f t="shared" ca="1" si="454"/>
        <v>0</v>
      </c>
      <c r="FG260" s="58">
        <f t="shared" ca="1" si="454"/>
        <v>0</v>
      </c>
      <c r="FH260" s="58">
        <f t="shared" ca="1" si="454"/>
        <v>0</v>
      </c>
      <c r="FI260" s="58">
        <f t="shared" ca="1" si="454"/>
        <v>0</v>
      </c>
      <c r="FJ260" s="58">
        <f t="shared" ca="1" si="454"/>
        <v>0</v>
      </c>
      <c r="FK260" s="58">
        <f t="shared" ca="1" si="454"/>
        <v>0</v>
      </c>
      <c r="FL260" s="58">
        <f t="shared" ca="1" si="454"/>
        <v>0</v>
      </c>
      <c r="FM260" s="58">
        <f t="shared" ca="1" si="454"/>
        <v>0</v>
      </c>
      <c r="FN260" s="58">
        <f t="shared" ca="1" si="454"/>
        <v>0</v>
      </c>
      <c r="FO260" s="13"/>
    </row>
    <row r="261" spans="1:171" outlineLevel="1" x14ac:dyDescent="0.3">
      <c r="A261" s="13"/>
      <c r="B261" s="13"/>
      <c r="C261" s="13"/>
      <c r="D261" s="52">
        <f t="shared" si="357"/>
        <v>42705</v>
      </c>
      <c r="E261" s="53">
        <f t="shared" si="358"/>
        <v>2016</v>
      </c>
      <c r="F261" s="53">
        <f t="shared" si="359"/>
        <v>35</v>
      </c>
      <c r="G261" s="58">
        <f t="shared" ref="G261:AL261" ca="1" si="455">+IF(OR($F261+G$175&lt;1,(G$176-1)*12&lt;-$F261),0,OFFSET(G91,0,$F261))</f>
        <v>0</v>
      </c>
      <c r="H261" s="58">
        <f t="shared" ca="1" si="455"/>
        <v>0</v>
      </c>
      <c r="I261" s="58">
        <f t="shared" ca="1" si="455"/>
        <v>0</v>
      </c>
      <c r="J261" s="58">
        <f t="shared" ca="1" si="455"/>
        <v>0</v>
      </c>
      <c r="K261" s="58">
        <f t="shared" ca="1" si="455"/>
        <v>0</v>
      </c>
      <c r="L261" s="58">
        <f t="shared" ca="1" si="455"/>
        <v>0</v>
      </c>
      <c r="M261" s="58">
        <f t="shared" ca="1" si="455"/>
        <v>0</v>
      </c>
      <c r="N261" s="58">
        <f t="shared" ca="1" si="455"/>
        <v>0</v>
      </c>
      <c r="O261" s="58">
        <f t="shared" ca="1" si="455"/>
        <v>0</v>
      </c>
      <c r="P261" s="58">
        <f t="shared" ca="1" si="455"/>
        <v>0</v>
      </c>
      <c r="Q261" s="58">
        <f t="shared" ca="1" si="455"/>
        <v>0</v>
      </c>
      <c r="R261" s="58">
        <f t="shared" ca="1" si="455"/>
        <v>0</v>
      </c>
      <c r="S261" s="58">
        <f t="shared" ca="1" si="455"/>
        <v>0</v>
      </c>
      <c r="T261" s="58">
        <f t="shared" ca="1" si="455"/>
        <v>0</v>
      </c>
      <c r="U261" s="58">
        <f t="shared" ca="1" si="455"/>
        <v>0</v>
      </c>
      <c r="V261" s="58">
        <f t="shared" ca="1" si="455"/>
        <v>0</v>
      </c>
      <c r="W261" s="58">
        <f t="shared" ca="1" si="455"/>
        <v>0</v>
      </c>
      <c r="X261" s="58">
        <f t="shared" ca="1" si="455"/>
        <v>0</v>
      </c>
      <c r="Y261" s="58">
        <f t="shared" ca="1" si="455"/>
        <v>0</v>
      </c>
      <c r="Z261" s="58">
        <f t="shared" ca="1" si="455"/>
        <v>0</v>
      </c>
      <c r="AA261" s="58">
        <f t="shared" ca="1" si="455"/>
        <v>0</v>
      </c>
      <c r="AB261" s="58">
        <f t="shared" ca="1" si="455"/>
        <v>0</v>
      </c>
      <c r="AC261" s="58">
        <f t="shared" ca="1" si="455"/>
        <v>0</v>
      </c>
      <c r="AD261" s="58">
        <f t="shared" ca="1" si="455"/>
        <v>0</v>
      </c>
      <c r="AE261" s="58">
        <f t="shared" ca="1" si="455"/>
        <v>0</v>
      </c>
      <c r="AF261" s="58">
        <f t="shared" ca="1" si="455"/>
        <v>0</v>
      </c>
      <c r="AG261" s="58">
        <f t="shared" ca="1" si="455"/>
        <v>0</v>
      </c>
      <c r="AH261" s="58">
        <f t="shared" ca="1" si="455"/>
        <v>0</v>
      </c>
      <c r="AI261" s="58">
        <f t="shared" ca="1" si="455"/>
        <v>0</v>
      </c>
      <c r="AJ261" s="58">
        <f t="shared" ca="1" si="455"/>
        <v>0</v>
      </c>
      <c r="AK261" s="58">
        <f t="shared" ca="1" si="455"/>
        <v>0</v>
      </c>
      <c r="AL261" s="58">
        <f t="shared" ca="1" si="455"/>
        <v>0</v>
      </c>
      <c r="AM261" s="58">
        <f t="shared" ref="AM261:BR261" ca="1" si="456">+IF(OR($F261+AM$175&lt;1,(AM$176-1)*12&lt;-$F261),0,OFFSET(AM91,0,$F261))</f>
        <v>0</v>
      </c>
      <c r="AN261" s="58">
        <f t="shared" ca="1" si="456"/>
        <v>0</v>
      </c>
      <c r="AO261" s="58">
        <f t="shared" ca="1" si="456"/>
        <v>0</v>
      </c>
      <c r="AP261" s="58">
        <f t="shared" ca="1" si="456"/>
        <v>0</v>
      </c>
      <c r="AQ261" s="58">
        <f t="shared" ca="1" si="456"/>
        <v>0</v>
      </c>
      <c r="AR261" s="58">
        <f t="shared" ca="1" si="456"/>
        <v>0</v>
      </c>
      <c r="AS261" s="58">
        <f t="shared" ca="1" si="456"/>
        <v>0</v>
      </c>
      <c r="AT261" s="58">
        <f t="shared" ca="1" si="456"/>
        <v>0</v>
      </c>
      <c r="AU261" s="58">
        <f t="shared" ca="1" si="456"/>
        <v>0</v>
      </c>
      <c r="AV261" s="58">
        <f t="shared" ca="1" si="456"/>
        <v>0</v>
      </c>
      <c r="AW261" s="58">
        <f t="shared" ca="1" si="456"/>
        <v>0</v>
      </c>
      <c r="AX261" s="58">
        <f t="shared" ca="1" si="456"/>
        <v>0</v>
      </c>
      <c r="AY261" s="58">
        <f t="shared" ca="1" si="456"/>
        <v>0</v>
      </c>
      <c r="AZ261" s="58">
        <f t="shared" ca="1" si="456"/>
        <v>0</v>
      </c>
      <c r="BA261" s="58">
        <f t="shared" ca="1" si="456"/>
        <v>0</v>
      </c>
      <c r="BB261" s="58">
        <f t="shared" ca="1" si="456"/>
        <v>0</v>
      </c>
      <c r="BC261" s="58">
        <f t="shared" ca="1" si="456"/>
        <v>0</v>
      </c>
      <c r="BD261" s="58">
        <f t="shared" ca="1" si="456"/>
        <v>0</v>
      </c>
      <c r="BE261" s="58">
        <f t="shared" ca="1" si="456"/>
        <v>0</v>
      </c>
      <c r="BF261" s="58">
        <f t="shared" ca="1" si="456"/>
        <v>0</v>
      </c>
      <c r="BG261" s="58">
        <f t="shared" ca="1" si="456"/>
        <v>0</v>
      </c>
      <c r="BH261" s="58">
        <f t="shared" ca="1" si="456"/>
        <v>0</v>
      </c>
      <c r="BI261" s="58">
        <f t="shared" ca="1" si="456"/>
        <v>0</v>
      </c>
      <c r="BJ261" s="58">
        <f t="shared" ca="1" si="456"/>
        <v>0</v>
      </c>
      <c r="BK261" s="58">
        <f t="shared" ca="1" si="456"/>
        <v>0</v>
      </c>
      <c r="BL261" s="58">
        <f t="shared" ca="1" si="456"/>
        <v>0</v>
      </c>
      <c r="BM261" s="58">
        <f t="shared" ca="1" si="456"/>
        <v>0</v>
      </c>
      <c r="BN261" s="58">
        <f t="shared" ca="1" si="456"/>
        <v>0</v>
      </c>
      <c r="BO261" s="58">
        <f t="shared" ca="1" si="456"/>
        <v>0</v>
      </c>
      <c r="BP261" s="58">
        <f t="shared" ca="1" si="456"/>
        <v>0</v>
      </c>
      <c r="BQ261" s="58">
        <f t="shared" ca="1" si="456"/>
        <v>0</v>
      </c>
      <c r="BR261" s="58">
        <f t="shared" ca="1" si="456"/>
        <v>0</v>
      </c>
      <c r="BS261" s="58">
        <f t="shared" ref="BS261:CX261" ca="1" si="457">+IF(OR($F261+BS$175&lt;1,(BS$176-1)*12&lt;-$F261),0,OFFSET(BS91,0,$F261))</f>
        <v>0</v>
      </c>
      <c r="BT261" s="58">
        <f t="shared" ca="1" si="457"/>
        <v>0</v>
      </c>
      <c r="BU261" s="58">
        <f t="shared" ca="1" si="457"/>
        <v>0</v>
      </c>
      <c r="BV261" s="58">
        <f t="shared" ca="1" si="457"/>
        <v>0</v>
      </c>
      <c r="BW261" s="58">
        <f t="shared" ca="1" si="457"/>
        <v>0</v>
      </c>
      <c r="BX261" s="58">
        <f t="shared" ca="1" si="457"/>
        <v>0</v>
      </c>
      <c r="BY261" s="58">
        <f t="shared" ca="1" si="457"/>
        <v>0</v>
      </c>
      <c r="BZ261" s="58">
        <f t="shared" ca="1" si="457"/>
        <v>0</v>
      </c>
      <c r="CA261" s="58">
        <f t="shared" ca="1" si="457"/>
        <v>0</v>
      </c>
      <c r="CB261" s="58">
        <f t="shared" ca="1" si="457"/>
        <v>0</v>
      </c>
      <c r="CC261" s="58">
        <f t="shared" ca="1" si="457"/>
        <v>0</v>
      </c>
      <c r="CD261" s="58">
        <f t="shared" ca="1" si="457"/>
        <v>0</v>
      </c>
      <c r="CE261" s="58">
        <f t="shared" ca="1" si="457"/>
        <v>0</v>
      </c>
      <c r="CF261" s="58">
        <f t="shared" ca="1" si="457"/>
        <v>0</v>
      </c>
      <c r="CG261" s="58">
        <f t="shared" ca="1" si="457"/>
        <v>0</v>
      </c>
      <c r="CH261" s="58">
        <f t="shared" ca="1" si="457"/>
        <v>0</v>
      </c>
      <c r="CI261" s="58">
        <f t="shared" ca="1" si="457"/>
        <v>0</v>
      </c>
      <c r="CJ261" s="58">
        <f t="shared" ca="1" si="457"/>
        <v>0</v>
      </c>
      <c r="CK261" s="58">
        <f t="shared" ca="1" si="457"/>
        <v>0</v>
      </c>
      <c r="CL261" s="58">
        <f t="shared" ca="1" si="457"/>
        <v>0</v>
      </c>
      <c r="CM261" s="58">
        <f t="shared" ca="1" si="457"/>
        <v>0</v>
      </c>
      <c r="CN261" s="58">
        <f t="shared" ca="1" si="457"/>
        <v>0</v>
      </c>
      <c r="CO261" s="58">
        <f t="shared" ca="1" si="457"/>
        <v>0</v>
      </c>
      <c r="CP261" s="58">
        <f t="shared" ca="1" si="457"/>
        <v>0</v>
      </c>
      <c r="CQ261" s="58">
        <f t="shared" ca="1" si="457"/>
        <v>0</v>
      </c>
      <c r="CR261" s="58">
        <f t="shared" ca="1" si="457"/>
        <v>0</v>
      </c>
      <c r="CS261" s="58">
        <f t="shared" ca="1" si="457"/>
        <v>0</v>
      </c>
      <c r="CT261" s="58">
        <f t="shared" ca="1" si="457"/>
        <v>0</v>
      </c>
      <c r="CU261" s="58">
        <f t="shared" ca="1" si="457"/>
        <v>0</v>
      </c>
      <c r="CV261" s="58">
        <f t="shared" ca="1" si="457"/>
        <v>0</v>
      </c>
      <c r="CW261" s="58">
        <f t="shared" ca="1" si="457"/>
        <v>0</v>
      </c>
      <c r="CX261" s="58">
        <f t="shared" ca="1" si="457"/>
        <v>0</v>
      </c>
      <c r="CY261" s="58">
        <f t="shared" ref="CY261:ED261" ca="1" si="458">+IF(OR($F261+CY$175&lt;1,(CY$176-1)*12&lt;-$F261),0,OFFSET(CY91,0,$F261))</f>
        <v>0</v>
      </c>
      <c r="CZ261" s="58">
        <f t="shared" ca="1" si="458"/>
        <v>0</v>
      </c>
      <c r="DA261" s="58">
        <f t="shared" ca="1" si="458"/>
        <v>0</v>
      </c>
      <c r="DB261" s="58">
        <f t="shared" ca="1" si="458"/>
        <v>0</v>
      </c>
      <c r="DC261" s="58">
        <f t="shared" ca="1" si="458"/>
        <v>0</v>
      </c>
      <c r="DD261" s="58">
        <f t="shared" ca="1" si="458"/>
        <v>0</v>
      </c>
      <c r="DE261" s="58">
        <f t="shared" ca="1" si="458"/>
        <v>0</v>
      </c>
      <c r="DF261" s="58">
        <f t="shared" ca="1" si="458"/>
        <v>0</v>
      </c>
      <c r="DG261" s="58">
        <f t="shared" ca="1" si="458"/>
        <v>0</v>
      </c>
      <c r="DH261" s="58">
        <f t="shared" ca="1" si="458"/>
        <v>0</v>
      </c>
      <c r="DI261" s="58">
        <f t="shared" ca="1" si="458"/>
        <v>0</v>
      </c>
      <c r="DJ261" s="58">
        <f t="shared" ca="1" si="458"/>
        <v>0</v>
      </c>
      <c r="DK261" s="58">
        <f t="shared" ca="1" si="458"/>
        <v>0</v>
      </c>
      <c r="DL261" s="58">
        <f t="shared" ca="1" si="458"/>
        <v>0</v>
      </c>
      <c r="DM261" s="58">
        <f t="shared" ca="1" si="458"/>
        <v>0</v>
      </c>
      <c r="DN261" s="58">
        <f t="shared" ca="1" si="458"/>
        <v>0</v>
      </c>
      <c r="DO261" s="58">
        <f t="shared" ca="1" si="458"/>
        <v>0</v>
      </c>
      <c r="DP261" s="58">
        <f t="shared" ca="1" si="458"/>
        <v>0</v>
      </c>
      <c r="DQ261" s="58">
        <f t="shared" ca="1" si="458"/>
        <v>0</v>
      </c>
      <c r="DR261" s="58">
        <f t="shared" ca="1" si="458"/>
        <v>0</v>
      </c>
      <c r="DS261" s="58">
        <f t="shared" ca="1" si="458"/>
        <v>0</v>
      </c>
      <c r="DT261" s="58">
        <f t="shared" ca="1" si="458"/>
        <v>0</v>
      </c>
      <c r="DU261" s="58">
        <f t="shared" ca="1" si="458"/>
        <v>0</v>
      </c>
      <c r="DV261" s="58">
        <f t="shared" ca="1" si="458"/>
        <v>0</v>
      </c>
      <c r="DW261" s="58">
        <f t="shared" ca="1" si="458"/>
        <v>0</v>
      </c>
      <c r="DX261" s="58">
        <f t="shared" ca="1" si="458"/>
        <v>0</v>
      </c>
      <c r="DY261" s="58">
        <f t="shared" ca="1" si="458"/>
        <v>0</v>
      </c>
      <c r="DZ261" s="58">
        <f t="shared" ca="1" si="458"/>
        <v>0</v>
      </c>
      <c r="EA261" s="58">
        <f t="shared" ca="1" si="458"/>
        <v>0</v>
      </c>
      <c r="EB261" s="58">
        <f t="shared" ca="1" si="458"/>
        <v>0</v>
      </c>
      <c r="EC261" s="58">
        <f t="shared" ca="1" si="458"/>
        <v>0</v>
      </c>
      <c r="ED261" s="58">
        <f t="shared" ca="1" si="458"/>
        <v>0</v>
      </c>
      <c r="EE261" s="58">
        <f t="shared" ref="EE261:FN261" ca="1" si="459">+IF(OR($F261+EE$175&lt;1,(EE$176-1)*12&lt;-$F261),0,OFFSET(EE91,0,$F261))</f>
        <v>0</v>
      </c>
      <c r="EF261" s="58">
        <f t="shared" ca="1" si="459"/>
        <v>0</v>
      </c>
      <c r="EG261" s="58">
        <f t="shared" ca="1" si="459"/>
        <v>0</v>
      </c>
      <c r="EH261" s="58">
        <f t="shared" ca="1" si="459"/>
        <v>0</v>
      </c>
      <c r="EI261" s="58">
        <f t="shared" ca="1" si="459"/>
        <v>0</v>
      </c>
      <c r="EJ261" s="58">
        <f t="shared" ca="1" si="459"/>
        <v>0</v>
      </c>
      <c r="EK261" s="58">
        <f t="shared" ca="1" si="459"/>
        <v>0</v>
      </c>
      <c r="EL261" s="58">
        <f t="shared" ca="1" si="459"/>
        <v>0</v>
      </c>
      <c r="EM261" s="58">
        <f t="shared" ca="1" si="459"/>
        <v>0</v>
      </c>
      <c r="EN261" s="58">
        <f t="shared" ca="1" si="459"/>
        <v>0</v>
      </c>
      <c r="EO261" s="58">
        <f t="shared" ca="1" si="459"/>
        <v>0</v>
      </c>
      <c r="EP261" s="58">
        <f t="shared" ca="1" si="459"/>
        <v>0</v>
      </c>
      <c r="EQ261" s="58">
        <f t="shared" ca="1" si="459"/>
        <v>0</v>
      </c>
      <c r="ER261" s="58">
        <f t="shared" ca="1" si="459"/>
        <v>0</v>
      </c>
      <c r="ES261" s="58">
        <f t="shared" ca="1" si="459"/>
        <v>0</v>
      </c>
      <c r="ET261" s="58">
        <f t="shared" ca="1" si="459"/>
        <v>0</v>
      </c>
      <c r="EU261" s="58">
        <f t="shared" ca="1" si="459"/>
        <v>0</v>
      </c>
      <c r="EV261" s="58">
        <f t="shared" ca="1" si="459"/>
        <v>0</v>
      </c>
      <c r="EW261" s="58">
        <f t="shared" ca="1" si="459"/>
        <v>0</v>
      </c>
      <c r="EX261" s="58">
        <f t="shared" ca="1" si="459"/>
        <v>0</v>
      </c>
      <c r="EY261" s="58">
        <f t="shared" ca="1" si="459"/>
        <v>0</v>
      </c>
      <c r="EZ261" s="58">
        <f t="shared" ca="1" si="459"/>
        <v>0</v>
      </c>
      <c r="FA261" s="58">
        <f t="shared" ca="1" si="459"/>
        <v>0</v>
      </c>
      <c r="FB261" s="58">
        <f t="shared" ca="1" si="459"/>
        <v>0</v>
      </c>
      <c r="FC261" s="58">
        <f t="shared" ca="1" si="459"/>
        <v>0</v>
      </c>
      <c r="FD261" s="58">
        <f t="shared" ca="1" si="459"/>
        <v>0</v>
      </c>
      <c r="FE261" s="58">
        <f t="shared" ca="1" si="459"/>
        <v>0</v>
      </c>
      <c r="FF261" s="58">
        <f t="shared" ca="1" si="459"/>
        <v>0</v>
      </c>
      <c r="FG261" s="58">
        <f t="shared" ca="1" si="459"/>
        <v>0</v>
      </c>
      <c r="FH261" s="58">
        <f t="shared" ca="1" si="459"/>
        <v>0</v>
      </c>
      <c r="FI261" s="58">
        <f t="shared" ca="1" si="459"/>
        <v>0</v>
      </c>
      <c r="FJ261" s="58">
        <f t="shared" ca="1" si="459"/>
        <v>0</v>
      </c>
      <c r="FK261" s="58">
        <f t="shared" ca="1" si="459"/>
        <v>0</v>
      </c>
      <c r="FL261" s="58">
        <f t="shared" ca="1" si="459"/>
        <v>0</v>
      </c>
      <c r="FM261" s="58">
        <f t="shared" ca="1" si="459"/>
        <v>0</v>
      </c>
      <c r="FN261" s="58">
        <f t="shared" ca="1" si="459"/>
        <v>0</v>
      </c>
      <c r="FO261" s="13"/>
    </row>
    <row r="262" spans="1:171" outlineLevel="1" x14ac:dyDescent="0.3">
      <c r="A262" s="13"/>
      <c r="B262" s="13"/>
      <c r="C262" s="13"/>
      <c r="D262" s="52">
        <f t="shared" si="357"/>
        <v>42736</v>
      </c>
      <c r="E262" s="53">
        <f t="shared" si="358"/>
        <v>2017</v>
      </c>
      <c r="F262" s="53">
        <f t="shared" si="359"/>
        <v>36</v>
      </c>
      <c r="G262" s="58">
        <f t="shared" ref="G262:AL262" ca="1" si="460">+IF(OR($F262+G$175&lt;1,(G$176-1)*12&lt;-$F262),0,OFFSET(G92,0,$F262))</f>
        <v>0</v>
      </c>
      <c r="H262" s="58">
        <f t="shared" ca="1" si="460"/>
        <v>0</v>
      </c>
      <c r="I262" s="58">
        <f t="shared" ca="1" si="460"/>
        <v>0</v>
      </c>
      <c r="J262" s="58">
        <f t="shared" ca="1" si="460"/>
        <v>0</v>
      </c>
      <c r="K262" s="58">
        <f t="shared" ca="1" si="460"/>
        <v>0</v>
      </c>
      <c r="L262" s="58">
        <f t="shared" ca="1" si="460"/>
        <v>0</v>
      </c>
      <c r="M262" s="58">
        <f t="shared" ca="1" si="460"/>
        <v>0</v>
      </c>
      <c r="N262" s="58">
        <f t="shared" ca="1" si="460"/>
        <v>0</v>
      </c>
      <c r="O262" s="58">
        <f t="shared" ca="1" si="460"/>
        <v>0</v>
      </c>
      <c r="P262" s="58">
        <f t="shared" ca="1" si="460"/>
        <v>0</v>
      </c>
      <c r="Q262" s="58">
        <f t="shared" ca="1" si="460"/>
        <v>0</v>
      </c>
      <c r="R262" s="58">
        <f t="shared" ca="1" si="460"/>
        <v>0</v>
      </c>
      <c r="S262" s="58">
        <f t="shared" ca="1" si="460"/>
        <v>0</v>
      </c>
      <c r="T262" s="58">
        <f t="shared" ca="1" si="460"/>
        <v>0</v>
      </c>
      <c r="U262" s="58">
        <f t="shared" ca="1" si="460"/>
        <v>0</v>
      </c>
      <c r="V262" s="58">
        <f t="shared" ca="1" si="460"/>
        <v>0</v>
      </c>
      <c r="W262" s="58">
        <f t="shared" ca="1" si="460"/>
        <v>0</v>
      </c>
      <c r="X262" s="58">
        <f t="shared" ca="1" si="460"/>
        <v>0</v>
      </c>
      <c r="Y262" s="58">
        <f t="shared" ca="1" si="460"/>
        <v>0</v>
      </c>
      <c r="Z262" s="58">
        <f t="shared" ca="1" si="460"/>
        <v>0</v>
      </c>
      <c r="AA262" s="58">
        <f t="shared" ca="1" si="460"/>
        <v>0</v>
      </c>
      <c r="AB262" s="58">
        <f t="shared" ca="1" si="460"/>
        <v>0</v>
      </c>
      <c r="AC262" s="58">
        <f t="shared" ca="1" si="460"/>
        <v>0</v>
      </c>
      <c r="AD262" s="58">
        <f t="shared" ca="1" si="460"/>
        <v>0</v>
      </c>
      <c r="AE262" s="58">
        <f t="shared" ca="1" si="460"/>
        <v>0</v>
      </c>
      <c r="AF262" s="58">
        <f t="shared" ca="1" si="460"/>
        <v>0</v>
      </c>
      <c r="AG262" s="58">
        <f t="shared" ca="1" si="460"/>
        <v>0</v>
      </c>
      <c r="AH262" s="58">
        <f t="shared" ca="1" si="460"/>
        <v>0</v>
      </c>
      <c r="AI262" s="58">
        <f t="shared" ca="1" si="460"/>
        <v>0</v>
      </c>
      <c r="AJ262" s="58">
        <f t="shared" ca="1" si="460"/>
        <v>0</v>
      </c>
      <c r="AK262" s="58">
        <f t="shared" ca="1" si="460"/>
        <v>0</v>
      </c>
      <c r="AL262" s="58">
        <f t="shared" ca="1" si="460"/>
        <v>0</v>
      </c>
      <c r="AM262" s="58">
        <f t="shared" ref="AM262:BR262" ca="1" si="461">+IF(OR($F262+AM$175&lt;1,(AM$176-1)*12&lt;-$F262),0,OFFSET(AM92,0,$F262))</f>
        <v>0</v>
      </c>
      <c r="AN262" s="58">
        <f t="shared" ca="1" si="461"/>
        <v>0</v>
      </c>
      <c r="AO262" s="58">
        <f t="shared" ca="1" si="461"/>
        <v>0</v>
      </c>
      <c r="AP262" s="58">
        <f t="shared" ca="1" si="461"/>
        <v>0</v>
      </c>
      <c r="AQ262" s="58">
        <f t="shared" ca="1" si="461"/>
        <v>0</v>
      </c>
      <c r="AR262" s="58">
        <f t="shared" ca="1" si="461"/>
        <v>0</v>
      </c>
      <c r="AS262" s="58">
        <f t="shared" ca="1" si="461"/>
        <v>0</v>
      </c>
      <c r="AT262" s="58">
        <f t="shared" ca="1" si="461"/>
        <v>0</v>
      </c>
      <c r="AU262" s="58">
        <f t="shared" ca="1" si="461"/>
        <v>0</v>
      </c>
      <c r="AV262" s="58">
        <f t="shared" ca="1" si="461"/>
        <v>0</v>
      </c>
      <c r="AW262" s="58">
        <f t="shared" ca="1" si="461"/>
        <v>0</v>
      </c>
      <c r="AX262" s="58">
        <f t="shared" ca="1" si="461"/>
        <v>0</v>
      </c>
      <c r="AY262" s="58">
        <f t="shared" ca="1" si="461"/>
        <v>0</v>
      </c>
      <c r="AZ262" s="58">
        <f t="shared" ca="1" si="461"/>
        <v>0</v>
      </c>
      <c r="BA262" s="58">
        <f t="shared" ca="1" si="461"/>
        <v>0</v>
      </c>
      <c r="BB262" s="58">
        <f t="shared" ca="1" si="461"/>
        <v>0</v>
      </c>
      <c r="BC262" s="58">
        <f t="shared" ca="1" si="461"/>
        <v>0</v>
      </c>
      <c r="BD262" s="58">
        <f t="shared" ca="1" si="461"/>
        <v>0</v>
      </c>
      <c r="BE262" s="58">
        <f t="shared" ca="1" si="461"/>
        <v>0</v>
      </c>
      <c r="BF262" s="58">
        <f t="shared" ca="1" si="461"/>
        <v>0</v>
      </c>
      <c r="BG262" s="58">
        <f t="shared" ca="1" si="461"/>
        <v>0</v>
      </c>
      <c r="BH262" s="58">
        <f t="shared" ca="1" si="461"/>
        <v>0</v>
      </c>
      <c r="BI262" s="58">
        <f t="shared" ca="1" si="461"/>
        <v>0</v>
      </c>
      <c r="BJ262" s="58">
        <f t="shared" ca="1" si="461"/>
        <v>0</v>
      </c>
      <c r="BK262" s="58">
        <f t="shared" ca="1" si="461"/>
        <v>0</v>
      </c>
      <c r="BL262" s="58">
        <f t="shared" ca="1" si="461"/>
        <v>0</v>
      </c>
      <c r="BM262" s="58">
        <f t="shared" ca="1" si="461"/>
        <v>0</v>
      </c>
      <c r="BN262" s="58">
        <f t="shared" ca="1" si="461"/>
        <v>0</v>
      </c>
      <c r="BO262" s="58">
        <f t="shared" ca="1" si="461"/>
        <v>0</v>
      </c>
      <c r="BP262" s="58">
        <f t="shared" ca="1" si="461"/>
        <v>0</v>
      </c>
      <c r="BQ262" s="58">
        <f t="shared" ca="1" si="461"/>
        <v>0</v>
      </c>
      <c r="BR262" s="58">
        <f t="shared" ca="1" si="461"/>
        <v>0</v>
      </c>
      <c r="BS262" s="58">
        <f t="shared" ref="BS262:CX262" ca="1" si="462">+IF(OR($F262+BS$175&lt;1,(BS$176-1)*12&lt;-$F262),0,OFFSET(BS92,0,$F262))</f>
        <v>0</v>
      </c>
      <c r="BT262" s="58">
        <f t="shared" ca="1" si="462"/>
        <v>0</v>
      </c>
      <c r="BU262" s="58">
        <f t="shared" ca="1" si="462"/>
        <v>0</v>
      </c>
      <c r="BV262" s="58">
        <f t="shared" ca="1" si="462"/>
        <v>0</v>
      </c>
      <c r="BW262" s="58">
        <f t="shared" ca="1" si="462"/>
        <v>0</v>
      </c>
      <c r="BX262" s="58">
        <f t="shared" ca="1" si="462"/>
        <v>0</v>
      </c>
      <c r="BY262" s="58">
        <f t="shared" ca="1" si="462"/>
        <v>0</v>
      </c>
      <c r="BZ262" s="58">
        <f t="shared" ca="1" si="462"/>
        <v>0</v>
      </c>
      <c r="CA262" s="58">
        <f t="shared" ca="1" si="462"/>
        <v>0</v>
      </c>
      <c r="CB262" s="58">
        <f t="shared" ca="1" si="462"/>
        <v>0</v>
      </c>
      <c r="CC262" s="58">
        <f t="shared" ca="1" si="462"/>
        <v>0</v>
      </c>
      <c r="CD262" s="58">
        <f t="shared" ca="1" si="462"/>
        <v>0</v>
      </c>
      <c r="CE262" s="58">
        <f t="shared" ca="1" si="462"/>
        <v>0</v>
      </c>
      <c r="CF262" s="58">
        <f t="shared" ca="1" si="462"/>
        <v>0</v>
      </c>
      <c r="CG262" s="58">
        <f t="shared" ca="1" si="462"/>
        <v>0</v>
      </c>
      <c r="CH262" s="58">
        <f t="shared" ca="1" si="462"/>
        <v>0</v>
      </c>
      <c r="CI262" s="58">
        <f t="shared" ca="1" si="462"/>
        <v>0</v>
      </c>
      <c r="CJ262" s="58">
        <f t="shared" ca="1" si="462"/>
        <v>0</v>
      </c>
      <c r="CK262" s="58">
        <f t="shared" ca="1" si="462"/>
        <v>0</v>
      </c>
      <c r="CL262" s="58">
        <f t="shared" ca="1" si="462"/>
        <v>0</v>
      </c>
      <c r="CM262" s="58">
        <f t="shared" ca="1" si="462"/>
        <v>0</v>
      </c>
      <c r="CN262" s="58">
        <f t="shared" ca="1" si="462"/>
        <v>0</v>
      </c>
      <c r="CO262" s="58">
        <f t="shared" ca="1" si="462"/>
        <v>0</v>
      </c>
      <c r="CP262" s="58">
        <f t="shared" ca="1" si="462"/>
        <v>0</v>
      </c>
      <c r="CQ262" s="58">
        <f t="shared" ca="1" si="462"/>
        <v>0</v>
      </c>
      <c r="CR262" s="58">
        <f t="shared" ca="1" si="462"/>
        <v>0</v>
      </c>
      <c r="CS262" s="58">
        <f t="shared" ca="1" si="462"/>
        <v>0</v>
      </c>
      <c r="CT262" s="58">
        <f t="shared" ca="1" si="462"/>
        <v>0</v>
      </c>
      <c r="CU262" s="58">
        <f t="shared" ca="1" si="462"/>
        <v>0</v>
      </c>
      <c r="CV262" s="58">
        <f t="shared" ca="1" si="462"/>
        <v>0</v>
      </c>
      <c r="CW262" s="58">
        <f t="shared" ca="1" si="462"/>
        <v>0</v>
      </c>
      <c r="CX262" s="58">
        <f t="shared" ca="1" si="462"/>
        <v>0</v>
      </c>
      <c r="CY262" s="58">
        <f t="shared" ref="CY262:ED262" ca="1" si="463">+IF(OR($F262+CY$175&lt;1,(CY$176-1)*12&lt;-$F262),0,OFFSET(CY92,0,$F262))</f>
        <v>0</v>
      </c>
      <c r="CZ262" s="58">
        <f t="shared" ca="1" si="463"/>
        <v>0</v>
      </c>
      <c r="DA262" s="58">
        <f t="shared" ca="1" si="463"/>
        <v>0</v>
      </c>
      <c r="DB262" s="58">
        <f t="shared" ca="1" si="463"/>
        <v>0</v>
      </c>
      <c r="DC262" s="58">
        <f t="shared" ca="1" si="463"/>
        <v>0</v>
      </c>
      <c r="DD262" s="58">
        <f t="shared" ca="1" si="463"/>
        <v>0</v>
      </c>
      <c r="DE262" s="58">
        <f t="shared" ca="1" si="463"/>
        <v>0</v>
      </c>
      <c r="DF262" s="58">
        <f t="shared" ca="1" si="463"/>
        <v>0</v>
      </c>
      <c r="DG262" s="58">
        <f t="shared" ca="1" si="463"/>
        <v>0</v>
      </c>
      <c r="DH262" s="58">
        <f t="shared" ca="1" si="463"/>
        <v>0</v>
      </c>
      <c r="DI262" s="58">
        <f t="shared" ca="1" si="463"/>
        <v>0</v>
      </c>
      <c r="DJ262" s="58">
        <f t="shared" ca="1" si="463"/>
        <v>0</v>
      </c>
      <c r="DK262" s="58">
        <f t="shared" ca="1" si="463"/>
        <v>0</v>
      </c>
      <c r="DL262" s="58">
        <f t="shared" ca="1" si="463"/>
        <v>0</v>
      </c>
      <c r="DM262" s="58">
        <f t="shared" ca="1" si="463"/>
        <v>0</v>
      </c>
      <c r="DN262" s="58">
        <f t="shared" ca="1" si="463"/>
        <v>0</v>
      </c>
      <c r="DO262" s="58">
        <f t="shared" ca="1" si="463"/>
        <v>0</v>
      </c>
      <c r="DP262" s="58">
        <f t="shared" ca="1" si="463"/>
        <v>0</v>
      </c>
      <c r="DQ262" s="58">
        <f t="shared" ca="1" si="463"/>
        <v>0</v>
      </c>
      <c r="DR262" s="58">
        <f t="shared" ca="1" si="463"/>
        <v>0</v>
      </c>
      <c r="DS262" s="58">
        <f t="shared" ca="1" si="463"/>
        <v>0</v>
      </c>
      <c r="DT262" s="58">
        <f t="shared" ca="1" si="463"/>
        <v>0</v>
      </c>
      <c r="DU262" s="58">
        <f t="shared" ca="1" si="463"/>
        <v>0</v>
      </c>
      <c r="DV262" s="58">
        <f t="shared" ca="1" si="463"/>
        <v>0</v>
      </c>
      <c r="DW262" s="58">
        <f t="shared" ca="1" si="463"/>
        <v>0</v>
      </c>
      <c r="DX262" s="58">
        <f t="shared" ca="1" si="463"/>
        <v>0</v>
      </c>
      <c r="DY262" s="58">
        <f t="shared" ca="1" si="463"/>
        <v>0</v>
      </c>
      <c r="DZ262" s="58">
        <f t="shared" ca="1" si="463"/>
        <v>0</v>
      </c>
      <c r="EA262" s="58">
        <f t="shared" ca="1" si="463"/>
        <v>0</v>
      </c>
      <c r="EB262" s="58">
        <f t="shared" ca="1" si="463"/>
        <v>0</v>
      </c>
      <c r="EC262" s="58">
        <f t="shared" ca="1" si="463"/>
        <v>0</v>
      </c>
      <c r="ED262" s="58">
        <f t="shared" ca="1" si="463"/>
        <v>0</v>
      </c>
      <c r="EE262" s="58">
        <f t="shared" ref="EE262:FN262" ca="1" si="464">+IF(OR($F262+EE$175&lt;1,(EE$176-1)*12&lt;-$F262),0,OFFSET(EE92,0,$F262))</f>
        <v>0</v>
      </c>
      <c r="EF262" s="58">
        <f t="shared" ca="1" si="464"/>
        <v>0</v>
      </c>
      <c r="EG262" s="58">
        <f t="shared" ca="1" si="464"/>
        <v>0</v>
      </c>
      <c r="EH262" s="58">
        <f t="shared" ca="1" si="464"/>
        <v>0</v>
      </c>
      <c r="EI262" s="58">
        <f t="shared" ca="1" si="464"/>
        <v>0</v>
      </c>
      <c r="EJ262" s="58">
        <f t="shared" ca="1" si="464"/>
        <v>0</v>
      </c>
      <c r="EK262" s="58">
        <f t="shared" ca="1" si="464"/>
        <v>0</v>
      </c>
      <c r="EL262" s="58">
        <f t="shared" ca="1" si="464"/>
        <v>0</v>
      </c>
      <c r="EM262" s="58">
        <f t="shared" ca="1" si="464"/>
        <v>0</v>
      </c>
      <c r="EN262" s="58">
        <f t="shared" ca="1" si="464"/>
        <v>0</v>
      </c>
      <c r="EO262" s="58">
        <f t="shared" ca="1" si="464"/>
        <v>0</v>
      </c>
      <c r="EP262" s="58">
        <f t="shared" ca="1" si="464"/>
        <v>0</v>
      </c>
      <c r="EQ262" s="58">
        <f t="shared" ca="1" si="464"/>
        <v>0</v>
      </c>
      <c r="ER262" s="58">
        <f t="shared" ca="1" si="464"/>
        <v>0</v>
      </c>
      <c r="ES262" s="58">
        <f t="shared" ca="1" si="464"/>
        <v>0</v>
      </c>
      <c r="ET262" s="58">
        <f t="shared" ca="1" si="464"/>
        <v>0</v>
      </c>
      <c r="EU262" s="58">
        <f t="shared" ca="1" si="464"/>
        <v>0</v>
      </c>
      <c r="EV262" s="58">
        <f t="shared" ca="1" si="464"/>
        <v>0</v>
      </c>
      <c r="EW262" s="58">
        <f t="shared" ca="1" si="464"/>
        <v>0</v>
      </c>
      <c r="EX262" s="58">
        <f t="shared" ca="1" si="464"/>
        <v>0</v>
      </c>
      <c r="EY262" s="58">
        <f t="shared" ca="1" si="464"/>
        <v>0</v>
      </c>
      <c r="EZ262" s="58">
        <f t="shared" ca="1" si="464"/>
        <v>0</v>
      </c>
      <c r="FA262" s="58">
        <f t="shared" ca="1" si="464"/>
        <v>0</v>
      </c>
      <c r="FB262" s="58">
        <f t="shared" ca="1" si="464"/>
        <v>0</v>
      </c>
      <c r="FC262" s="58">
        <f t="shared" ca="1" si="464"/>
        <v>0</v>
      </c>
      <c r="FD262" s="58">
        <f t="shared" ca="1" si="464"/>
        <v>0</v>
      </c>
      <c r="FE262" s="58">
        <f t="shared" ca="1" si="464"/>
        <v>0</v>
      </c>
      <c r="FF262" s="58">
        <f t="shared" ca="1" si="464"/>
        <v>0</v>
      </c>
      <c r="FG262" s="58">
        <f t="shared" ca="1" si="464"/>
        <v>0</v>
      </c>
      <c r="FH262" s="58">
        <f t="shared" ca="1" si="464"/>
        <v>0</v>
      </c>
      <c r="FI262" s="58">
        <f t="shared" ca="1" si="464"/>
        <v>0</v>
      </c>
      <c r="FJ262" s="58">
        <f t="shared" ca="1" si="464"/>
        <v>0</v>
      </c>
      <c r="FK262" s="58">
        <f t="shared" ca="1" si="464"/>
        <v>0</v>
      </c>
      <c r="FL262" s="58">
        <f t="shared" ca="1" si="464"/>
        <v>0</v>
      </c>
      <c r="FM262" s="58">
        <f t="shared" ca="1" si="464"/>
        <v>0</v>
      </c>
      <c r="FN262" s="58">
        <f t="shared" ca="1" si="464"/>
        <v>0</v>
      </c>
      <c r="FO262" s="13"/>
    </row>
    <row r="263" spans="1:171" outlineLevel="1" x14ac:dyDescent="0.3">
      <c r="A263" s="13"/>
      <c r="B263" s="13"/>
      <c r="C263" s="13"/>
      <c r="D263" s="52">
        <f t="shared" si="357"/>
        <v>42767</v>
      </c>
      <c r="E263" s="53">
        <f t="shared" si="358"/>
        <v>2017</v>
      </c>
      <c r="F263" s="53">
        <f t="shared" si="359"/>
        <v>37</v>
      </c>
      <c r="G263" s="58">
        <f t="shared" ref="G263:AL263" ca="1" si="465">+IF(OR($F263+G$175&lt;1,(G$176-1)*12&lt;-$F263),0,OFFSET(G93,0,$F263))</f>
        <v>0</v>
      </c>
      <c r="H263" s="58">
        <f t="shared" ca="1" si="465"/>
        <v>0</v>
      </c>
      <c r="I263" s="58">
        <f t="shared" ca="1" si="465"/>
        <v>0</v>
      </c>
      <c r="J263" s="58">
        <f t="shared" ca="1" si="465"/>
        <v>0</v>
      </c>
      <c r="K263" s="58">
        <f t="shared" ca="1" si="465"/>
        <v>0</v>
      </c>
      <c r="L263" s="58">
        <f t="shared" ca="1" si="465"/>
        <v>0</v>
      </c>
      <c r="M263" s="58">
        <f t="shared" ca="1" si="465"/>
        <v>0</v>
      </c>
      <c r="N263" s="58">
        <f t="shared" ca="1" si="465"/>
        <v>0</v>
      </c>
      <c r="O263" s="58">
        <f t="shared" ca="1" si="465"/>
        <v>0</v>
      </c>
      <c r="P263" s="58">
        <f t="shared" ca="1" si="465"/>
        <v>0</v>
      </c>
      <c r="Q263" s="58">
        <f t="shared" ca="1" si="465"/>
        <v>0</v>
      </c>
      <c r="R263" s="58">
        <f t="shared" ca="1" si="465"/>
        <v>0</v>
      </c>
      <c r="S263" s="58">
        <f t="shared" ca="1" si="465"/>
        <v>0</v>
      </c>
      <c r="T263" s="58">
        <f t="shared" ca="1" si="465"/>
        <v>0</v>
      </c>
      <c r="U263" s="58">
        <f t="shared" ca="1" si="465"/>
        <v>0</v>
      </c>
      <c r="V263" s="58">
        <f t="shared" ca="1" si="465"/>
        <v>0</v>
      </c>
      <c r="W263" s="58">
        <f t="shared" ca="1" si="465"/>
        <v>0</v>
      </c>
      <c r="X263" s="58">
        <f t="shared" ca="1" si="465"/>
        <v>0</v>
      </c>
      <c r="Y263" s="58">
        <f t="shared" ca="1" si="465"/>
        <v>0</v>
      </c>
      <c r="Z263" s="58">
        <f t="shared" ca="1" si="465"/>
        <v>0</v>
      </c>
      <c r="AA263" s="58">
        <f t="shared" ca="1" si="465"/>
        <v>0</v>
      </c>
      <c r="AB263" s="58">
        <f t="shared" ca="1" si="465"/>
        <v>0</v>
      </c>
      <c r="AC263" s="58">
        <f t="shared" ca="1" si="465"/>
        <v>0</v>
      </c>
      <c r="AD263" s="58">
        <f t="shared" ca="1" si="465"/>
        <v>0</v>
      </c>
      <c r="AE263" s="58">
        <f t="shared" ca="1" si="465"/>
        <v>0</v>
      </c>
      <c r="AF263" s="58">
        <f t="shared" ca="1" si="465"/>
        <v>0</v>
      </c>
      <c r="AG263" s="58">
        <f t="shared" ca="1" si="465"/>
        <v>0</v>
      </c>
      <c r="AH263" s="58">
        <f t="shared" ca="1" si="465"/>
        <v>0</v>
      </c>
      <c r="AI263" s="58">
        <f t="shared" ca="1" si="465"/>
        <v>0</v>
      </c>
      <c r="AJ263" s="58">
        <f t="shared" ca="1" si="465"/>
        <v>0</v>
      </c>
      <c r="AK263" s="58">
        <f t="shared" ca="1" si="465"/>
        <v>0</v>
      </c>
      <c r="AL263" s="58">
        <f t="shared" ca="1" si="465"/>
        <v>0</v>
      </c>
      <c r="AM263" s="58">
        <f t="shared" ref="AM263:BR263" ca="1" si="466">+IF(OR($F263+AM$175&lt;1,(AM$176-1)*12&lt;-$F263),0,OFFSET(AM93,0,$F263))</f>
        <v>0</v>
      </c>
      <c r="AN263" s="58">
        <f t="shared" ca="1" si="466"/>
        <v>0</v>
      </c>
      <c r="AO263" s="58">
        <f t="shared" ca="1" si="466"/>
        <v>0</v>
      </c>
      <c r="AP263" s="58">
        <f t="shared" ca="1" si="466"/>
        <v>0</v>
      </c>
      <c r="AQ263" s="58">
        <f t="shared" ca="1" si="466"/>
        <v>0</v>
      </c>
      <c r="AR263" s="58">
        <f t="shared" ca="1" si="466"/>
        <v>0</v>
      </c>
      <c r="AS263" s="58">
        <f t="shared" ca="1" si="466"/>
        <v>0</v>
      </c>
      <c r="AT263" s="58">
        <f t="shared" ca="1" si="466"/>
        <v>0</v>
      </c>
      <c r="AU263" s="58">
        <f t="shared" ca="1" si="466"/>
        <v>0</v>
      </c>
      <c r="AV263" s="58">
        <f t="shared" ca="1" si="466"/>
        <v>0</v>
      </c>
      <c r="AW263" s="58">
        <f t="shared" ca="1" si="466"/>
        <v>0</v>
      </c>
      <c r="AX263" s="58">
        <f t="shared" ca="1" si="466"/>
        <v>0</v>
      </c>
      <c r="AY263" s="58">
        <f t="shared" ca="1" si="466"/>
        <v>0</v>
      </c>
      <c r="AZ263" s="58">
        <f t="shared" ca="1" si="466"/>
        <v>0</v>
      </c>
      <c r="BA263" s="58">
        <f t="shared" ca="1" si="466"/>
        <v>0</v>
      </c>
      <c r="BB263" s="58">
        <f t="shared" ca="1" si="466"/>
        <v>0</v>
      </c>
      <c r="BC263" s="58">
        <f t="shared" ca="1" si="466"/>
        <v>0</v>
      </c>
      <c r="BD263" s="58">
        <f t="shared" ca="1" si="466"/>
        <v>0</v>
      </c>
      <c r="BE263" s="58">
        <f t="shared" ca="1" si="466"/>
        <v>0</v>
      </c>
      <c r="BF263" s="58">
        <f t="shared" ca="1" si="466"/>
        <v>0</v>
      </c>
      <c r="BG263" s="58">
        <f t="shared" ca="1" si="466"/>
        <v>0</v>
      </c>
      <c r="BH263" s="58">
        <f t="shared" ca="1" si="466"/>
        <v>0</v>
      </c>
      <c r="BI263" s="58">
        <f t="shared" ca="1" si="466"/>
        <v>0</v>
      </c>
      <c r="BJ263" s="58">
        <f t="shared" ca="1" si="466"/>
        <v>0</v>
      </c>
      <c r="BK263" s="58">
        <f t="shared" ca="1" si="466"/>
        <v>0</v>
      </c>
      <c r="BL263" s="58">
        <f t="shared" ca="1" si="466"/>
        <v>0</v>
      </c>
      <c r="BM263" s="58">
        <f t="shared" ca="1" si="466"/>
        <v>0</v>
      </c>
      <c r="BN263" s="58">
        <f t="shared" ca="1" si="466"/>
        <v>0</v>
      </c>
      <c r="BO263" s="58">
        <f t="shared" ca="1" si="466"/>
        <v>0</v>
      </c>
      <c r="BP263" s="58">
        <f t="shared" ca="1" si="466"/>
        <v>0</v>
      </c>
      <c r="BQ263" s="58">
        <f t="shared" ca="1" si="466"/>
        <v>0</v>
      </c>
      <c r="BR263" s="58">
        <f t="shared" ca="1" si="466"/>
        <v>0</v>
      </c>
      <c r="BS263" s="58">
        <f t="shared" ref="BS263:CX263" ca="1" si="467">+IF(OR($F263+BS$175&lt;1,(BS$176-1)*12&lt;-$F263),0,OFFSET(BS93,0,$F263))</f>
        <v>0</v>
      </c>
      <c r="BT263" s="58">
        <f t="shared" ca="1" si="467"/>
        <v>0</v>
      </c>
      <c r="BU263" s="58">
        <f t="shared" ca="1" si="467"/>
        <v>0</v>
      </c>
      <c r="BV263" s="58">
        <f t="shared" ca="1" si="467"/>
        <v>0</v>
      </c>
      <c r="BW263" s="58">
        <f t="shared" ca="1" si="467"/>
        <v>0</v>
      </c>
      <c r="BX263" s="58">
        <f t="shared" ca="1" si="467"/>
        <v>0</v>
      </c>
      <c r="BY263" s="58">
        <f t="shared" ca="1" si="467"/>
        <v>0</v>
      </c>
      <c r="BZ263" s="58">
        <f t="shared" ca="1" si="467"/>
        <v>0</v>
      </c>
      <c r="CA263" s="58">
        <f t="shared" ca="1" si="467"/>
        <v>0</v>
      </c>
      <c r="CB263" s="58">
        <f t="shared" ca="1" si="467"/>
        <v>0</v>
      </c>
      <c r="CC263" s="58">
        <f t="shared" ca="1" si="467"/>
        <v>0</v>
      </c>
      <c r="CD263" s="58">
        <f t="shared" ca="1" si="467"/>
        <v>0</v>
      </c>
      <c r="CE263" s="58">
        <f t="shared" ca="1" si="467"/>
        <v>0</v>
      </c>
      <c r="CF263" s="58">
        <f t="shared" ca="1" si="467"/>
        <v>0</v>
      </c>
      <c r="CG263" s="58">
        <f t="shared" ca="1" si="467"/>
        <v>0</v>
      </c>
      <c r="CH263" s="58">
        <f t="shared" ca="1" si="467"/>
        <v>0</v>
      </c>
      <c r="CI263" s="58">
        <f t="shared" ca="1" si="467"/>
        <v>0</v>
      </c>
      <c r="CJ263" s="58">
        <f t="shared" ca="1" si="467"/>
        <v>0</v>
      </c>
      <c r="CK263" s="58">
        <f t="shared" ca="1" si="467"/>
        <v>0</v>
      </c>
      <c r="CL263" s="58">
        <f t="shared" ca="1" si="467"/>
        <v>0</v>
      </c>
      <c r="CM263" s="58">
        <f t="shared" ca="1" si="467"/>
        <v>0</v>
      </c>
      <c r="CN263" s="58">
        <f t="shared" ca="1" si="467"/>
        <v>0</v>
      </c>
      <c r="CO263" s="58">
        <f t="shared" ca="1" si="467"/>
        <v>0</v>
      </c>
      <c r="CP263" s="58">
        <f t="shared" ca="1" si="467"/>
        <v>0</v>
      </c>
      <c r="CQ263" s="58">
        <f t="shared" ca="1" si="467"/>
        <v>0</v>
      </c>
      <c r="CR263" s="58">
        <f t="shared" ca="1" si="467"/>
        <v>0</v>
      </c>
      <c r="CS263" s="58">
        <f t="shared" ca="1" si="467"/>
        <v>0</v>
      </c>
      <c r="CT263" s="58">
        <f t="shared" ca="1" si="467"/>
        <v>0</v>
      </c>
      <c r="CU263" s="58">
        <f t="shared" ca="1" si="467"/>
        <v>0</v>
      </c>
      <c r="CV263" s="58">
        <f t="shared" ca="1" si="467"/>
        <v>0</v>
      </c>
      <c r="CW263" s="58">
        <f t="shared" ca="1" si="467"/>
        <v>0</v>
      </c>
      <c r="CX263" s="58">
        <f t="shared" ca="1" si="467"/>
        <v>0</v>
      </c>
      <c r="CY263" s="58">
        <f t="shared" ref="CY263:ED263" ca="1" si="468">+IF(OR($F263+CY$175&lt;1,(CY$176-1)*12&lt;-$F263),0,OFFSET(CY93,0,$F263))</f>
        <v>0</v>
      </c>
      <c r="CZ263" s="58">
        <f t="shared" ca="1" si="468"/>
        <v>0</v>
      </c>
      <c r="DA263" s="58">
        <f t="shared" ca="1" si="468"/>
        <v>0</v>
      </c>
      <c r="DB263" s="58">
        <f t="shared" ca="1" si="468"/>
        <v>0</v>
      </c>
      <c r="DC263" s="58">
        <f t="shared" ca="1" si="468"/>
        <v>0</v>
      </c>
      <c r="DD263" s="58">
        <f t="shared" ca="1" si="468"/>
        <v>0</v>
      </c>
      <c r="DE263" s="58">
        <f t="shared" ca="1" si="468"/>
        <v>0</v>
      </c>
      <c r="DF263" s="58">
        <f t="shared" ca="1" si="468"/>
        <v>0</v>
      </c>
      <c r="DG263" s="58">
        <f t="shared" ca="1" si="468"/>
        <v>0</v>
      </c>
      <c r="DH263" s="58">
        <f t="shared" ca="1" si="468"/>
        <v>0</v>
      </c>
      <c r="DI263" s="58">
        <f t="shared" ca="1" si="468"/>
        <v>0</v>
      </c>
      <c r="DJ263" s="58">
        <f t="shared" ca="1" si="468"/>
        <v>0</v>
      </c>
      <c r="DK263" s="58">
        <f t="shared" ca="1" si="468"/>
        <v>0</v>
      </c>
      <c r="DL263" s="58">
        <f t="shared" ca="1" si="468"/>
        <v>0</v>
      </c>
      <c r="DM263" s="58">
        <f t="shared" ca="1" si="468"/>
        <v>0</v>
      </c>
      <c r="DN263" s="58">
        <f t="shared" ca="1" si="468"/>
        <v>0</v>
      </c>
      <c r="DO263" s="58">
        <f t="shared" ca="1" si="468"/>
        <v>0</v>
      </c>
      <c r="DP263" s="58">
        <f t="shared" ca="1" si="468"/>
        <v>0</v>
      </c>
      <c r="DQ263" s="58">
        <f t="shared" ca="1" si="468"/>
        <v>0</v>
      </c>
      <c r="DR263" s="58">
        <f t="shared" ca="1" si="468"/>
        <v>0</v>
      </c>
      <c r="DS263" s="58">
        <f t="shared" ca="1" si="468"/>
        <v>0</v>
      </c>
      <c r="DT263" s="58">
        <f t="shared" ca="1" si="468"/>
        <v>0</v>
      </c>
      <c r="DU263" s="58">
        <f t="shared" ca="1" si="468"/>
        <v>0</v>
      </c>
      <c r="DV263" s="58">
        <f t="shared" ca="1" si="468"/>
        <v>0</v>
      </c>
      <c r="DW263" s="58">
        <f t="shared" ca="1" si="468"/>
        <v>0</v>
      </c>
      <c r="DX263" s="58">
        <f t="shared" ca="1" si="468"/>
        <v>0</v>
      </c>
      <c r="DY263" s="58">
        <f t="shared" ca="1" si="468"/>
        <v>0</v>
      </c>
      <c r="DZ263" s="58">
        <f t="shared" ca="1" si="468"/>
        <v>0</v>
      </c>
      <c r="EA263" s="58">
        <f t="shared" ca="1" si="468"/>
        <v>0</v>
      </c>
      <c r="EB263" s="58">
        <f t="shared" ca="1" si="468"/>
        <v>0</v>
      </c>
      <c r="EC263" s="58">
        <f t="shared" ca="1" si="468"/>
        <v>0</v>
      </c>
      <c r="ED263" s="58">
        <f t="shared" ca="1" si="468"/>
        <v>0</v>
      </c>
      <c r="EE263" s="58">
        <f t="shared" ref="EE263:FN263" ca="1" si="469">+IF(OR($F263+EE$175&lt;1,(EE$176-1)*12&lt;-$F263),0,OFFSET(EE93,0,$F263))</f>
        <v>0</v>
      </c>
      <c r="EF263" s="58">
        <f t="shared" ca="1" si="469"/>
        <v>0</v>
      </c>
      <c r="EG263" s="58">
        <f t="shared" ca="1" si="469"/>
        <v>0</v>
      </c>
      <c r="EH263" s="58">
        <f t="shared" ca="1" si="469"/>
        <v>0</v>
      </c>
      <c r="EI263" s="58">
        <f t="shared" ca="1" si="469"/>
        <v>0</v>
      </c>
      <c r="EJ263" s="58">
        <f t="shared" ca="1" si="469"/>
        <v>0</v>
      </c>
      <c r="EK263" s="58">
        <f t="shared" ca="1" si="469"/>
        <v>0</v>
      </c>
      <c r="EL263" s="58">
        <f t="shared" ca="1" si="469"/>
        <v>0</v>
      </c>
      <c r="EM263" s="58">
        <f t="shared" ca="1" si="469"/>
        <v>0</v>
      </c>
      <c r="EN263" s="58">
        <f t="shared" ca="1" si="469"/>
        <v>0</v>
      </c>
      <c r="EO263" s="58">
        <f t="shared" ca="1" si="469"/>
        <v>0</v>
      </c>
      <c r="EP263" s="58">
        <f t="shared" ca="1" si="469"/>
        <v>0</v>
      </c>
      <c r="EQ263" s="58">
        <f t="shared" ca="1" si="469"/>
        <v>0</v>
      </c>
      <c r="ER263" s="58">
        <f t="shared" ca="1" si="469"/>
        <v>0</v>
      </c>
      <c r="ES263" s="58">
        <f t="shared" ca="1" si="469"/>
        <v>0</v>
      </c>
      <c r="ET263" s="58">
        <f t="shared" ca="1" si="469"/>
        <v>0</v>
      </c>
      <c r="EU263" s="58">
        <f t="shared" ca="1" si="469"/>
        <v>0</v>
      </c>
      <c r="EV263" s="58">
        <f t="shared" ca="1" si="469"/>
        <v>0</v>
      </c>
      <c r="EW263" s="58">
        <f t="shared" ca="1" si="469"/>
        <v>0</v>
      </c>
      <c r="EX263" s="58">
        <f t="shared" ca="1" si="469"/>
        <v>0</v>
      </c>
      <c r="EY263" s="58">
        <f t="shared" ca="1" si="469"/>
        <v>0</v>
      </c>
      <c r="EZ263" s="58">
        <f t="shared" ca="1" si="469"/>
        <v>0</v>
      </c>
      <c r="FA263" s="58">
        <f t="shared" ca="1" si="469"/>
        <v>0</v>
      </c>
      <c r="FB263" s="58">
        <f t="shared" ca="1" si="469"/>
        <v>0</v>
      </c>
      <c r="FC263" s="58">
        <f t="shared" ca="1" si="469"/>
        <v>0</v>
      </c>
      <c r="FD263" s="58">
        <f t="shared" ca="1" si="469"/>
        <v>0</v>
      </c>
      <c r="FE263" s="58">
        <f t="shared" ca="1" si="469"/>
        <v>0</v>
      </c>
      <c r="FF263" s="58">
        <f t="shared" ca="1" si="469"/>
        <v>0</v>
      </c>
      <c r="FG263" s="58">
        <f t="shared" ca="1" si="469"/>
        <v>0</v>
      </c>
      <c r="FH263" s="58">
        <f t="shared" ca="1" si="469"/>
        <v>0</v>
      </c>
      <c r="FI263" s="58">
        <f t="shared" ca="1" si="469"/>
        <v>0</v>
      </c>
      <c r="FJ263" s="58">
        <f t="shared" ca="1" si="469"/>
        <v>0</v>
      </c>
      <c r="FK263" s="58">
        <f t="shared" ca="1" si="469"/>
        <v>0</v>
      </c>
      <c r="FL263" s="58">
        <f t="shared" ca="1" si="469"/>
        <v>0</v>
      </c>
      <c r="FM263" s="58">
        <f t="shared" ca="1" si="469"/>
        <v>0</v>
      </c>
      <c r="FN263" s="58">
        <f t="shared" ca="1" si="469"/>
        <v>0</v>
      </c>
      <c r="FO263" s="13"/>
    </row>
    <row r="264" spans="1:171" outlineLevel="1" x14ac:dyDescent="0.3">
      <c r="A264" s="13"/>
      <c r="B264" s="13"/>
      <c r="C264" s="13"/>
      <c r="D264" s="52">
        <f t="shared" si="357"/>
        <v>42795</v>
      </c>
      <c r="E264" s="53">
        <f t="shared" si="358"/>
        <v>2017</v>
      </c>
      <c r="F264" s="53">
        <f t="shared" si="359"/>
        <v>38</v>
      </c>
      <c r="G264" s="58">
        <f t="shared" ref="G264:AL264" ca="1" si="470">+IF(OR($F264+G$175&lt;1,(G$176-1)*12&lt;-$F264),0,OFFSET(G94,0,$F264))</f>
        <v>0</v>
      </c>
      <c r="H264" s="58">
        <f t="shared" ca="1" si="470"/>
        <v>0</v>
      </c>
      <c r="I264" s="58">
        <f t="shared" ca="1" si="470"/>
        <v>0</v>
      </c>
      <c r="J264" s="58">
        <f t="shared" ca="1" si="470"/>
        <v>0</v>
      </c>
      <c r="K264" s="58">
        <f t="shared" ca="1" si="470"/>
        <v>0</v>
      </c>
      <c r="L264" s="58">
        <f t="shared" ca="1" si="470"/>
        <v>0</v>
      </c>
      <c r="M264" s="58">
        <f t="shared" ca="1" si="470"/>
        <v>0</v>
      </c>
      <c r="N264" s="58">
        <f t="shared" ca="1" si="470"/>
        <v>0</v>
      </c>
      <c r="O264" s="58">
        <f t="shared" ca="1" si="470"/>
        <v>0</v>
      </c>
      <c r="P264" s="58">
        <f t="shared" ca="1" si="470"/>
        <v>0</v>
      </c>
      <c r="Q264" s="58">
        <f t="shared" ca="1" si="470"/>
        <v>0</v>
      </c>
      <c r="R264" s="58">
        <f t="shared" ca="1" si="470"/>
        <v>0</v>
      </c>
      <c r="S264" s="58">
        <f t="shared" ca="1" si="470"/>
        <v>0</v>
      </c>
      <c r="T264" s="58">
        <f t="shared" ca="1" si="470"/>
        <v>0</v>
      </c>
      <c r="U264" s="58">
        <f t="shared" ca="1" si="470"/>
        <v>0</v>
      </c>
      <c r="V264" s="58">
        <f t="shared" ca="1" si="470"/>
        <v>0</v>
      </c>
      <c r="W264" s="58">
        <f t="shared" ca="1" si="470"/>
        <v>0</v>
      </c>
      <c r="X264" s="58">
        <f t="shared" ca="1" si="470"/>
        <v>0</v>
      </c>
      <c r="Y264" s="58">
        <f t="shared" ca="1" si="470"/>
        <v>0</v>
      </c>
      <c r="Z264" s="58">
        <f t="shared" ca="1" si="470"/>
        <v>0</v>
      </c>
      <c r="AA264" s="58">
        <f t="shared" ca="1" si="470"/>
        <v>0</v>
      </c>
      <c r="AB264" s="58">
        <f t="shared" ca="1" si="470"/>
        <v>0</v>
      </c>
      <c r="AC264" s="58">
        <f t="shared" ca="1" si="470"/>
        <v>0</v>
      </c>
      <c r="AD264" s="58">
        <f t="shared" ca="1" si="470"/>
        <v>0</v>
      </c>
      <c r="AE264" s="58">
        <f t="shared" ca="1" si="470"/>
        <v>0</v>
      </c>
      <c r="AF264" s="58">
        <f t="shared" ca="1" si="470"/>
        <v>0</v>
      </c>
      <c r="AG264" s="58">
        <f t="shared" ca="1" si="470"/>
        <v>0</v>
      </c>
      <c r="AH264" s="58">
        <f t="shared" ca="1" si="470"/>
        <v>0</v>
      </c>
      <c r="AI264" s="58">
        <f t="shared" ca="1" si="470"/>
        <v>0</v>
      </c>
      <c r="AJ264" s="58">
        <f t="shared" ca="1" si="470"/>
        <v>0</v>
      </c>
      <c r="AK264" s="58">
        <f t="shared" ca="1" si="470"/>
        <v>0</v>
      </c>
      <c r="AL264" s="58">
        <f t="shared" ca="1" si="470"/>
        <v>0</v>
      </c>
      <c r="AM264" s="58">
        <f t="shared" ref="AM264:BR264" ca="1" si="471">+IF(OR($F264+AM$175&lt;1,(AM$176-1)*12&lt;-$F264),0,OFFSET(AM94,0,$F264))</f>
        <v>0</v>
      </c>
      <c r="AN264" s="58">
        <f t="shared" ca="1" si="471"/>
        <v>0</v>
      </c>
      <c r="AO264" s="58">
        <f t="shared" ca="1" si="471"/>
        <v>0</v>
      </c>
      <c r="AP264" s="58">
        <f t="shared" ca="1" si="471"/>
        <v>0</v>
      </c>
      <c r="AQ264" s="58">
        <f t="shared" ca="1" si="471"/>
        <v>0</v>
      </c>
      <c r="AR264" s="58">
        <f t="shared" ca="1" si="471"/>
        <v>0</v>
      </c>
      <c r="AS264" s="58">
        <f t="shared" ca="1" si="471"/>
        <v>0</v>
      </c>
      <c r="AT264" s="58">
        <f t="shared" ca="1" si="471"/>
        <v>0</v>
      </c>
      <c r="AU264" s="58">
        <f t="shared" ca="1" si="471"/>
        <v>0</v>
      </c>
      <c r="AV264" s="58">
        <f t="shared" ca="1" si="471"/>
        <v>0</v>
      </c>
      <c r="AW264" s="58">
        <f t="shared" ca="1" si="471"/>
        <v>0</v>
      </c>
      <c r="AX264" s="58">
        <f t="shared" ca="1" si="471"/>
        <v>0</v>
      </c>
      <c r="AY264" s="58">
        <f t="shared" ca="1" si="471"/>
        <v>0</v>
      </c>
      <c r="AZ264" s="58">
        <f t="shared" ca="1" si="471"/>
        <v>0</v>
      </c>
      <c r="BA264" s="58">
        <f t="shared" ca="1" si="471"/>
        <v>0</v>
      </c>
      <c r="BB264" s="58">
        <f t="shared" ca="1" si="471"/>
        <v>0</v>
      </c>
      <c r="BC264" s="58">
        <f t="shared" ca="1" si="471"/>
        <v>0</v>
      </c>
      <c r="BD264" s="58">
        <f t="shared" ca="1" si="471"/>
        <v>0</v>
      </c>
      <c r="BE264" s="58">
        <f t="shared" ca="1" si="471"/>
        <v>0</v>
      </c>
      <c r="BF264" s="58">
        <f t="shared" ca="1" si="471"/>
        <v>0</v>
      </c>
      <c r="BG264" s="58">
        <f t="shared" ca="1" si="471"/>
        <v>0</v>
      </c>
      <c r="BH264" s="58">
        <f t="shared" ca="1" si="471"/>
        <v>0</v>
      </c>
      <c r="BI264" s="58">
        <f t="shared" ca="1" si="471"/>
        <v>0</v>
      </c>
      <c r="BJ264" s="58">
        <f t="shared" ca="1" si="471"/>
        <v>0</v>
      </c>
      <c r="BK264" s="58">
        <f t="shared" ca="1" si="471"/>
        <v>0</v>
      </c>
      <c r="BL264" s="58">
        <f t="shared" ca="1" si="471"/>
        <v>0</v>
      </c>
      <c r="BM264" s="58">
        <f t="shared" ca="1" si="471"/>
        <v>0</v>
      </c>
      <c r="BN264" s="58">
        <f t="shared" ca="1" si="471"/>
        <v>0</v>
      </c>
      <c r="BO264" s="58">
        <f t="shared" ca="1" si="471"/>
        <v>0</v>
      </c>
      <c r="BP264" s="58">
        <f t="shared" ca="1" si="471"/>
        <v>0</v>
      </c>
      <c r="BQ264" s="58">
        <f t="shared" ca="1" si="471"/>
        <v>0</v>
      </c>
      <c r="BR264" s="58">
        <f t="shared" ca="1" si="471"/>
        <v>0</v>
      </c>
      <c r="BS264" s="58">
        <f t="shared" ref="BS264:CX264" ca="1" si="472">+IF(OR($F264+BS$175&lt;1,(BS$176-1)*12&lt;-$F264),0,OFFSET(BS94,0,$F264))</f>
        <v>0</v>
      </c>
      <c r="BT264" s="58">
        <f t="shared" ca="1" si="472"/>
        <v>0</v>
      </c>
      <c r="BU264" s="58">
        <f t="shared" ca="1" si="472"/>
        <v>0</v>
      </c>
      <c r="BV264" s="58">
        <f t="shared" ca="1" si="472"/>
        <v>0</v>
      </c>
      <c r="BW264" s="58">
        <f t="shared" ca="1" si="472"/>
        <v>0</v>
      </c>
      <c r="BX264" s="58">
        <f t="shared" ca="1" si="472"/>
        <v>0</v>
      </c>
      <c r="BY264" s="58">
        <f t="shared" ca="1" si="472"/>
        <v>0</v>
      </c>
      <c r="BZ264" s="58">
        <f t="shared" ca="1" si="472"/>
        <v>0</v>
      </c>
      <c r="CA264" s="58">
        <f t="shared" ca="1" si="472"/>
        <v>0</v>
      </c>
      <c r="CB264" s="58">
        <f t="shared" ca="1" si="472"/>
        <v>0</v>
      </c>
      <c r="CC264" s="58">
        <f t="shared" ca="1" si="472"/>
        <v>0</v>
      </c>
      <c r="CD264" s="58">
        <f t="shared" ca="1" si="472"/>
        <v>0</v>
      </c>
      <c r="CE264" s="58">
        <f t="shared" ca="1" si="472"/>
        <v>0</v>
      </c>
      <c r="CF264" s="58">
        <f t="shared" ca="1" si="472"/>
        <v>0</v>
      </c>
      <c r="CG264" s="58">
        <f t="shared" ca="1" si="472"/>
        <v>0</v>
      </c>
      <c r="CH264" s="58">
        <f t="shared" ca="1" si="472"/>
        <v>0</v>
      </c>
      <c r="CI264" s="58">
        <f t="shared" ca="1" si="472"/>
        <v>0</v>
      </c>
      <c r="CJ264" s="58">
        <f t="shared" ca="1" si="472"/>
        <v>0</v>
      </c>
      <c r="CK264" s="58">
        <f t="shared" ca="1" si="472"/>
        <v>0</v>
      </c>
      <c r="CL264" s="58">
        <f t="shared" ca="1" si="472"/>
        <v>0</v>
      </c>
      <c r="CM264" s="58">
        <f t="shared" ca="1" si="472"/>
        <v>0</v>
      </c>
      <c r="CN264" s="58">
        <f t="shared" ca="1" si="472"/>
        <v>0</v>
      </c>
      <c r="CO264" s="58">
        <f t="shared" ca="1" si="472"/>
        <v>0</v>
      </c>
      <c r="CP264" s="58">
        <f t="shared" ca="1" si="472"/>
        <v>0</v>
      </c>
      <c r="CQ264" s="58">
        <f t="shared" ca="1" si="472"/>
        <v>0</v>
      </c>
      <c r="CR264" s="58">
        <f t="shared" ca="1" si="472"/>
        <v>0</v>
      </c>
      <c r="CS264" s="58">
        <f t="shared" ca="1" si="472"/>
        <v>0</v>
      </c>
      <c r="CT264" s="58">
        <f t="shared" ca="1" si="472"/>
        <v>0</v>
      </c>
      <c r="CU264" s="58">
        <f t="shared" ca="1" si="472"/>
        <v>0</v>
      </c>
      <c r="CV264" s="58">
        <f t="shared" ca="1" si="472"/>
        <v>0</v>
      </c>
      <c r="CW264" s="58">
        <f t="shared" ca="1" si="472"/>
        <v>0</v>
      </c>
      <c r="CX264" s="58">
        <f t="shared" ca="1" si="472"/>
        <v>0</v>
      </c>
      <c r="CY264" s="58">
        <f t="shared" ref="CY264:ED264" ca="1" si="473">+IF(OR($F264+CY$175&lt;1,(CY$176-1)*12&lt;-$F264),0,OFFSET(CY94,0,$F264))</f>
        <v>0</v>
      </c>
      <c r="CZ264" s="58">
        <f t="shared" ca="1" si="473"/>
        <v>0</v>
      </c>
      <c r="DA264" s="58">
        <f t="shared" ca="1" si="473"/>
        <v>0</v>
      </c>
      <c r="DB264" s="58">
        <f t="shared" ca="1" si="473"/>
        <v>0</v>
      </c>
      <c r="DC264" s="58">
        <f t="shared" ca="1" si="473"/>
        <v>0</v>
      </c>
      <c r="DD264" s="58">
        <f t="shared" ca="1" si="473"/>
        <v>0</v>
      </c>
      <c r="DE264" s="58">
        <f t="shared" ca="1" si="473"/>
        <v>0</v>
      </c>
      <c r="DF264" s="58">
        <f t="shared" ca="1" si="473"/>
        <v>0</v>
      </c>
      <c r="DG264" s="58">
        <f t="shared" ca="1" si="473"/>
        <v>0</v>
      </c>
      <c r="DH264" s="58">
        <f t="shared" ca="1" si="473"/>
        <v>0</v>
      </c>
      <c r="DI264" s="58">
        <f t="shared" ca="1" si="473"/>
        <v>0</v>
      </c>
      <c r="DJ264" s="58">
        <f t="shared" ca="1" si="473"/>
        <v>0</v>
      </c>
      <c r="DK264" s="58">
        <f t="shared" ca="1" si="473"/>
        <v>0</v>
      </c>
      <c r="DL264" s="58">
        <f t="shared" ca="1" si="473"/>
        <v>0</v>
      </c>
      <c r="DM264" s="58">
        <f t="shared" ca="1" si="473"/>
        <v>0</v>
      </c>
      <c r="DN264" s="58">
        <f t="shared" ca="1" si="473"/>
        <v>0</v>
      </c>
      <c r="DO264" s="58">
        <f t="shared" ca="1" si="473"/>
        <v>0</v>
      </c>
      <c r="DP264" s="58">
        <f t="shared" ca="1" si="473"/>
        <v>0</v>
      </c>
      <c r="DQ264" s="58">
        <f t="shared" ca="1" si="473"/>
        <v>0</v>
      </c>
      <c r="DR264" s="58">
        <f t="shared" ca="1" si="473"/>
        <v>0</v>
      </c>
      <c r="DS264" s="58">
        <f t="shared" ca="1" si="473"/>
        <v>0</v>
      </c>
      <c r="DT264" s="58">
        <f t="shared" ca="1" si="473"/>
        <v>0</v>
      </c>
      <c r="DU264" s="58">
        <f t="shared" ca="1" si="473"/>
        <v>0</v>
      </c>
      <c r="DV264" s="58">
        <f t="shared" ca="1" si="473"/>
        <v>0</v>
      </c>
      <c r="DW264" s="58">
        <f t="shared" ca="1" si="473"/>
        <v>0</v>
      </c>
      <c r="DX264" s="58">
        <f t="shared" ca="1" si="473"/>
        <v>0</v>
      </c>
      <c r="DY264" s="58">
        <f t="shared" ca="1" si="473"/>
        <v>0</v>
      </c>
      <c r="DZ264" s="58">
        <f t="shared" ca="1" si="473"/>
        <v>0</v>
      </c>
      <c r="EA264" s="58">
        <f t="shared" ca="1" si="473"/>
        <v>0</v>
      </c>
      <c r="EB264" s="58">
        <f t="shared" ca="1" si="473"/>
        <v>0</v>
      </c>
      <c r="EC264" s="58">
        <f t="shared" ca="1" si="473"/>
        <v>0</v>
      </c>
      <c r="ED264" s="58">
        <f t="shared" ca="1" si="473"/>
        <v>0</v>
      </c>
      <c r="EE264" s="58">
        <f t="shared" ref="EE264:FN264" ca="1" si="474">+IF(OR($F264+EE$175&lt;1,(EE$176-1)*12&lt;-$F264),0,OFFSET(EE94,0,$F264))</f>
        <v>0</v>
      </c>
      <c r="EF264" s="58">
        <f t="shared" ca="1" si="474"/>
        <v>0</v>
      </c>
      <c r="EG264" s="58">
        <f t="shared" ca="1" si="474"/>
        <v>0</v>
      </c>
      <c r="EH264" s="58">
        <f t="shared" ca="1" si="474"/>
        <v>0</v>
      </c>
      <c r="EI264" s="58">
        <f t="shared" ca="1" si="474"/>
        <v>0</v>
      </c>
      <c r="EJ264" s="58">
        <f t="shared" ca="1" si="474"/>
        <v>0</v>
      </c>
      <c r="EK264" s="58">
        <f t="shared" ca="1" si="474"/>
        <v>0</v>
      </c>
      <c r="EL264" s="58">
        <f t="shared" ca="1" si="474"/>
        <v>0</v>
      </c>
      <c r="EM264" s="58">
        <f t="shared" ca="1" si="474"/>
        <v>0</v>
      </c>
      <c r="EN264" s="58">
        <f t="shared" ca="1" si="474"/>
        <v>0</v>
      </c>
      <c r="EO264" s="58">
        <f t="shared" ca="1" si="474"/>
        <v>0</v>
      </c>
      <c r="EP264" s="58">
        <f t="shared" ca="1" si="474"/>
        <v>0</v>
      </c>
      <c r="EQ264" s="58">
        <f t="shared" ca="1" si="474"/>
        <v>0</v>
      </c>
      <c r="ER264" s="58">
        <f t="shared" ca="1" si="474"/>
        <v>0</v>
      </c>
      <c r="ES264" s="58">
        <f t="shared" ca="1" si="474"/>
        <v>0</v>
      </c>
      <c r="ET264" s="58">
        <f t="shared" ca="1" si="474"/>
        <v>0</v>
      </c>
      <c r="EU264" s="58">
        <f t="shared" ca="1" si="474"/>
        <v>0</v>
      </c>
      <c r="EV264" s="58">
        <f t="shared" ca="1" si="474"/>
        <v>0</v>
      </c>
      <c r="EW264" s="58">
        <f t="shared" ca="1" si="474"/>
        <v>0</v>
      </c>
      <c r="EX264" s="58">
        <f t="shared" ca="1" si="474"/>
        <v>0</v>
      </c>
      <c r="EY264" s="58">
        <f t="shared" ca="1" si="474"/>
        <v>0</v>
      </c>
      <c r="EZ264" s="58">
        <f t="shared" ca="1" si="474"/>
        <v>0</v>
      </c>
      <c r="FA264" s="58">
        <f t="shared" ca="1" si="474"/>
        <v>0</v>
      </c>
      <c r="FB264" s="58">
        <f t="shared" ca="1" si="474"/>
        <v>0</v>
      </c>
      <c r="FC264" s="58">
        <f t="shared" ca="1" si="474"/>
        <v>0</v>
      </c>
      <c r="FD264" s="58">
        <f t="shared" ca="1" si="474"/>
        <v>0</v>
      </c>
      <c r="FE264" s="58">
        <f t="shared" ca="1" si="474"/>
        <v>0</v>
      </c>
      <c r="FF264" s="58">
        <f t="shared" ca="1" si="474"/>
        <v>0</v>
      </c>
      <c r="FG264" s="58">
        <f t="shared" ca="1" si="474"/>
        <v>0</v>
      </c>
      <c r="FH264" s="58">
        <f t="shared" ca="1" si="474"/>
        <v>0</v>
      </c>
      <c r="FI264" s="58">
        <f t="shared" ca="1" si="474"/>
        <v>0</v>
      </c>
      <c r="FJ264" s="58">
        <f t="shared" ca="1" si="474"/>
        <v>0</v>
      </c>
      <c r="FK264" s="58">
        <f t="shared" ca="1" si="474"/>
        <v>0</v>
      </c>
      <c r="FL264" s="58">
        <f t="shared" ca="1" si="474"/>
        <v>0</v>
      </c>
      <c r="FM264" s="58">
        <f t="shared" ca="1" si="474"/>
        <v>0</v>
      </c>
      <c r="FN264" s="58">
        <f t="shared" ca="1" si="474"/>
        <v>0</v>
      </c>
      <c r="FO264" s="13"/>
    </row>
    <row r="265" spans="1:171" outlineLevel="1" x14ac:dyDescent="0.3">
      <c r="A265" s="13"/>
      <c r="B265" s="13"/>
      <c r="C265" s="13"/>
      <c r="D265" s="52">
        <f t="shared" si="357"/>
        <v>42826</v>
      </c>
      <c r="E265" s="53">
        <f t="shared" si="358"/>
        <v>2017</v>
      </c>
      <c r="F265" s="53">
        <f t="shared" si="359"/>
        <v>39</v>
      </c>
      <c r="G265" s="58">
        <f t="shared" ref="G265:AL265" ca="1" si="475">+IF(OR($F265+G$175&lt;1,(G$176-1)*12&lt;-$F265),0,OFFSET(G95,0,$F265))</f>
        <v>0</v>
      </c>
      <c r="H265" s="58">
        <f t="shared" ca="1" si="475"/>
        <v>0</v>
      </c>
      <c r="I265" s="58">
        <f t="shared" ca="1" si="475"/>
        <v>0</v>
      </c>
      <c r="J265" s="58">
        <f t="shared" ca="1" si="475"/>
        <v>0</v>
      </c>
      <c r="K265" s="58">
        <f t="shared" ca="1" si="475"/>
        <v>0</v>
      </c>
      <c r="L265" s="58">
        <f t="shared" ca="1" si="475"/>
        <v>0</v>
      </c>
      <c r="M265" s="58">
        <f t="shared" ca="1" si="475"/>
        <v>0</v>
      </c>
      <c r="N265" s="58">
        <f t="shared" ca="1" si="475"/>
        <v>0</v>
      </c>
      <c r="O265" s="58">
        <f t="shared" ca="1" si="475"/>
        <v>0</v>
      </c>
      <c r="P265" s="58">
        <f t="shared" ca="1" si="475"/>
        <v>0</v>
      </c>
      <c r="Q265" s="58">
        <f t="shared" ca="1" si="475"/>
        <v>0</v>
      </c>
      <c r="R265" s="58">
        <f t="shared" ca="1" si="475"/>
        <v>0</v>
      </c>
      <c r="S265" s="58">
        <f t="shared" ca="1" si="475"/>
        <v>0</v>
      </c>
      <c r="T265" s="58">
        <f t="shared" ca="1" si="475"/>
        <v>0</v>
      </c>
      <c r="U265" s="58">
        <f t="shared" ca="1" si="475"/>
        <v>0</v>
      </c>
      <c r="V265" s="58">
        <f t="shared" ca="1" si="475"/>
        <v>0</v>
      </c>
      <c r="W265" s="58">
        <f t="shared" ca="1" si="475"/>
        <v>0</v>
      </c>
      <c r="X265" s="58">
        <f t="shared" ca="1" si="475"/>
        <v>0</v>
      </c>
      <c r="Y265" s="58">
        <f t="shared" ca="1" si="475"/>
        <v>0</v>
      </c>
      <c r="Z265" s="58">
        <f t="shared" ca="1" si="475"/>
        <v>0</v>
      </c>
      <c r="AA265" s="58">
        <f t="shared" ca="1" si="475"/>
        <v>0</v>
      </c>
      <c r="AB265" s="58">
        <f t="shared" ca="1" si="475"/>
        <v>0</v>
      </c>
      <c r="AC265" s="58">
        <f t="shared" ca="1" si="475"/>
        <v>0</v>
      </c>
      <c r="AD265" s="58">
        <f t="shared" ca="1" si="475"/>
        <v>0</v>
      </c>
      <c r="AE265" s="58">
        <f t="shared" ca="1" si="475"/>
        <v>0</v>
      </c>
      <c r="AF265" s="58">
        <f t="shared" ca="1" si="475"/>
        <v>0</v>
      </c>
      <c r="AG265" s="58">
        <f t="shared" ca="1" si="475"/>
        <v>0</v>
      </c>
      <c r="AH265" s="58">
        <f t="shared" ca="1" si="475"/>
        <v>0</v>
      </c>
      <c r="AI265" s="58">
        <f t="shared" ca="1" si="475"/>
        <v>0</v>
      </c>
      <c r="AJ265" s="58">
        <f t="shared" ca="1" si="475"/>
        <v>0</v>
      </c>
      <c r="AK265" s="58">
        <f t="shared" ca="1" si="475"/>
        <v>0</v>
      </c>
      <c r="AL265" s="58">
        <f t="shared" ca="1" si="475"/>
        <v>0</v>
      </c>
      <c r="AM265" s="58">
        <f t="shared" ref="AM265:BR265" ca="1" si="476">+IF(OR($F265+AM$175&lt;1,(AM$176-1)*12&lt;-$F265),0,OFFSET(AM95,0,$F265))</f>
        <v>0</v>
      </c>
      <c r="AN265" s="58">
        <f t="shared" ca="1" si="476"/>
        <v>0</v>
      </c>
      <c r="AO265" s="58">
        <f t="shared" ca="1" si="476"/>
        <v>0</v>
      </c>
      <c r="AP265" s="58">
        <f t="shared" ca="1" si="476"/>
        <v>0</v>
      </c>
      <c r="AQ265" s="58">
        <f t="shared" ca="1" si="476"/>
        <v>0</v>
      </c>
      <c r="AR265" s="58">
        <f t="shared" ca="1" si="476"/>
        <v>0</v>
      </c>
      <c r="AS265" s="58">
        <f t="shared" ca="1" si="476"/>
        <v>0</v>
      </c>
      <c r="AT265" s="58">
        <f t="shared" ca="1" si="476"/>
        <v>0</v>
      </c>
      <c r="AU265" s="58">
        <f t="shared" ca="1" si="476"/>
        <v>0</v>
      </c>
      <c r="AV265" s="58">
        <f t="shared" ca="1" si="476"/>
        <v>0</v>
      </c>
      <c r="AW265" s="58">
        <f t="shared" ca="1" si="476"/>
        <v>0</v>
      </c>
      <c r="AX265" s="58">
        <f t="shared" ca="1" si="476"/>
        <v>0</v>
      </c>
      <c r="AY265" s="58">
        <f t="shared" ca="1" si="476"/>
        <v>0</v>
      </c>
      <c r="AZ265" s="58">
        <f t="shared" ca="1" si="476"/>
        <v>0</v>
      </c>
      <c r="BA265" s="58">
        <f t="shared" ca="1" si="476"/>
        <v>0</v>
      </c>
      <c r="BB265" s="58">
        <f t="shared" ca="1" si="476"/>
        <v>0</v>
      </c>
      <c r="BC265" s="58">
        <f t="shared" ca="1" si="476"/>
        <v>0</v>
      </c>
      <c r="BD265" s="58">
        <f t="shared" ca="1" si="476"/>
        <v>0</v>
      </c>
      <c r="BE265" s="58">
        <f t="shared" ca="1" si="476"/>
        <v>0</v>
      </c>
      <c r="BF265" s="58">
        <f t="shared" ca="1" si="476"/>
        <v>0</v>
      </c>
      <c r="BG265" s="58">
        <f t="shared" ca="1" si="476"/>
        <v>0</v>
      </c>
      <c r="BH265" s="58">
        <f t="shared" ca="1" si="476"/>
        <v>0</v>
      </c>
      <c r="BI265" s="58">
        <f t="shared" ca="1" si="476"/>
        <v>0</v>
      </c>
      <c r="BJ265" s="58">
        <f t="shared" ca="1" si="476"/>
        <v>0</v>
      </c>
      <c r="BK265" s="58">
        <f t="shared" ca="1" si="476"/>
        <v>0</v>
      </c>
      <c r="BL265" s="58">
        <f t="shared" ca="1" si="476"/>
        <v>0</v>
      </c>
      <c r="BM265" s="58">
        <f t="shared" ca="1" si="476"/>
        <v>0</v>
      </c>
      <c r="BN265" s="58">
        <f t="shared" ca="1" si="476"/>
        <v>0</v>
      </c>
      <c r="BO265" s="58">
        <f t="shared" ca="1" si="476"/>
        <v>0</v>
      </c>
      <c r="BP265" s="58">
        <f t="shared" ca="1" si="476"/>
        <v>0</v>
      </c>
      <c r="BQ265" s="58">
        <f t="shared" ca="1" si="476"/>
        <v>0</v>
      </c>
      <c r="BR265" s="58">
        <f t="shared" ca="1" si="476"/>
        <v>0</v>
      </c>
      <c r="BS265" s="58">
        <f t="shared" ref="BS265:CX265" ca="1" si="477">+IF(OR($F265+BS$175&lt;1,(BS$176-1)*12&lt;-$F265),0,OFFSET(BS95,0,$F265))</f>
        <v>0</v>
      </c>
      <c r="BT265" s="58">
        <f t="shared" ca="1" si="477"/>
        <v>0</v>
      </c>
      <c r="BU265" s="58">
        <f t="shared" ca="1" si="477"/>
        <v>0</v>
      </c>
      <c r="BV265" s="58">
        <f t="shared" ca="1" si="477"/>
        <v>0</v>
      </c>
      <c r="BW265" s="58">
        <f t="shared" ca="1" si="477"/>
        <v>0</v>
      </c>
      <c r="BX265" s="58">
        <f t="shared" ca="1" si="477"/>
        <v>0</v>
      </c>
      <c r="BY265" s="58">
        <f t="shared" ca="1" si="477"/>
        <v>0</v>
      </c>
      <c r="BZ265" s="58">
        <f t="shared" ca="1" si="477"/>
        <v>0</v>
      </c>
      <c r="CA265" s="58">
        <f t="shared" ca="1" si="477"/>
        <v>0</v>
      </c>
      <c r="CB265" s="58">
        <f t="shared" ca="1" si="477"/>
        <v>0</v>
      </c>
      <c r="CC265" s="58">
        <f t="shared" ca="1" si="477"/>
        <v>0</v>
      </c>
      <c r="CD265" s="58">
        <f t="shared" ca="1" si="477"/>
        <v>0</v>
      </c>
      <c r="CE265" s="58">
        <f t="shared" ca="1" si="477"/>
        <v>0</v>
      </c>
      <c r="CF265" s="58">
        <f t="shared" ca="1" si="477"/>
        <v>0</v>
      </c>
      <c r="CG265" s="58">
        <f t="shared" ca="1" si="477"/>
        <v>0</v>
      </c>
      <c r="CH265" s="58">
        <f t="shared" ca="1" si="477"/>
        <v>0</v>
      </c>
      <c r="CI265" s="58">
        <f t="shared" ca="1" si="477"/>
        <v>0</v>
      </c>
      <c r="CJ265" s="58">
        <f t="shared" ca="1" si="477"/>
        <v>0</v>
      </c>
      <c r="CK265" s="58">
        <f t="shared" ca="1" si="477"/>
        <v>0</v>
      </c>
      <c r="CL265" s="58">
        <f t="shared" ca="1" si="477"/>
        <v>0</v>
      </c>
      <c r="CM265" s="58">
        <f t="shared" ca="1" si="477"/>
        <v>0</v>
      </c>
      <c r="CN265" s="58">
        <f t="shared" ca="1" si="477"/>
        <v>0</v>
      </c>
      <c r="CO265" s="58">
        <f t="shared" ca="1" si="477"/>
        <v>0</v>
      </c>
      <c r="CP265" s="58">
        <f t="shared" ca="1" si="477"/>
        <v>0</v>
      </c>
      <c r="CQ265" s="58">
        <f t="shared" ca="1" si="477"/>
        <v>0</v>
      </c>
      <c r="CR265" s="58">
        <f t="shared" ca="1" si="477"/>
        <v>0</v>
      </c>
      <c r="CS265" s="58">
        <f t="shared" ca="1" si="477"/>
        <v>0</v>
      </c>
      <c r="CT265" s="58">
        <f t="shared" ca="1" si="477"/>
        <v>0</v>
      </c>
      <c r="CU265" s="58">
        <f t="shared" ca="1" si="477"/>
        <v>0</v>
      </c>
      <c r="CV265" s="58">
        <f t="shared" ca="1" si="477"/>
        <v>0</v>
      </c>
      <c r="CW265" s="58">
        <f t="shared" ca="1" si="477"/>
        <v>0</v>
      </c>
      <c r="CX265" s="58">
        <f t="shared" ca="1" si="477"/>
        <v>0</v>
      </c>
      <c r="CY265" s="58">
        <f t="shared" ref="CY265:ED265" ca="1" si="478">+IF(OR($F265+CY$175&lt;1,(CY$176-1)*12&lt;-$F265),0,OFFSET(CY95,0,$F265))</f>
        <v>0</v>
      </c>
      <c r="CZ265" s="58">
        <f t="shared" ca="1" si="478"/>
        <v>0</v>
      </c>
      <c r="DA265" s="58">
        <f t="shared" ca="1" si="478"/>
        <v>0</v>
      </c>
      <c r="DB265" s="58">
        <f t="shared" ca="1" si="478"/>
        <v>0</v>
      </c>
      <c r="DC265" s="58">
        <f t="shared" ca="1" si="478"/>
        <v>0</v>
      </c>
      <c r="DD265" s="58">
        <f t="shared" ca="1" si="478"/>
        <v>0</v>
      </c>
      <c r="DE265" s="58">
        <f t="shared" ca="1" si="478"/>
        <v>0</v>
      </c>
      <c r="DF265" s="58">
        <f t="shared" ca="1" si="478"/>
        <v>0</v>
      </c>
      <c r="DG265" s="58">
        <f t="shared" ca="1" si="478"/>
        <v>0</v>
      </c>
      <c r="DH265" s="58">
        <f t="shared" ca="1" si="478"/>
        <v>0</v>
      </c>
      <c r="DI265" s="58">
        <f t="shared" ca="1" si="478"/>
        <v>0</v>
      </c>
      <c r="DJ265" s="58">
        <f t="shared" ca="1" si="478"/>
        <v>0</v>
      </c>
      <c r="DK265" s="58">
        <f t="shared" ca="1" si="478"/>
        <v>0</v>
      </c>
      <c r="DL265" s="58">
        <f t="shared" ca="1" si="478"/>
        <v>0</v>
      </c>
      <c r="DM265" s="58">
        <f t="shared" ca="1" si="478"/>
        <v>0</v>
      </c>
      <c r="DN265" s="58">
        <f t="shared" ca="1" si="478"/>
        <v>0</v>
      </c>
      <c r="DO265" s="58">
        <f t="shared" ca="1" si="478"/>
        <v>0</v>
      </c>
      <c r="DP265" s="58">
        <f t="shared" ca="1" si="478"/>
        <v>0</v>
      </c>
      <c r="DQ265" s="58">
        <f t="shared" ca="1" si="478"/>
        <v>0</v>
      </c>
      <c r="DR265" s="58">
        <f t="shared" ca="1" si="478"/>
        <v>0</v>
      </c>
      <c r="DS265" s="58">
        <f t="shared" ca="1" si="478"/>
        <v>0</v>
      </c>
      <c r="DT265" s="58">
        <f t="shared" ca="1" si="478"/>
        <v>0</v>
      </c>
      <c r="DU265" s="58">
        <f t="shared" ca="1" si="478"/>
        <v>0</v>
      </c>
      <c r="DV265" s="58">
        <f t="shared" ca="1" si="478"/>
        <v>0</v>
      </c>
      <c r="DW265" s="58">
        <f t="shared" ca="1" si="478"/>
        <v>0</v>
      </c>
      <c r="DX265" s="58">
        <f t="shared" ca="1" si="478"/>
        <v>0</v>
      </c>
      <c r="DY265" s="58">
        <f t="shared" ca="1" si="478"/>
        <v>0</v>
      </c>
      <c r="DZ265" s="58">
        <f t="shared" ca="1" si="478"/>
        <v>0</v>
      </c>
      <c r="EA265" s="58">
        <f t="shared" ca="1" si="478"/>
        <v>0</v>
      </c>
      <c r="EB265" s="58">
        <f t="shared" ca="1" si="478"/>
        <v>0</v>
      </c>
      <c r="EC265" s="58">
        <f t="shared" ca="1" si="478"/>
        <v>0</v>
      </c>
      <c r="ED265" s="58">
        <f t="shared" ca="1" si="478"/>
        <v>0</v>
      </c>
      <c r="EE265" s="58">
        <f t="shared" ref="EE265:FN265" ca="1" si="479">+IF(OR($F265+EE$175&lt;1,(EE$176-1)*12&lt;-$F265),0,OFFSET(EE95,0,$F265))</f>
        <v>0</v>
      </c>
      <c r="EF265" s="58">
        <f t="shared" ca="1" si="479"/>
        <v>0</v>
      </c>
      <c r="EG265" s="58">
        <f t="shared" ca="1" si="479"/>
        <v>0</v>
      </c>
      <c r="EH265" s="58">
        <f t="shared" ca="1" si="479"/>
        <v>0</v>
      </c>
      <c r="EI265" s="58">
        <f t="shared" ca="1" si="479"/>
        <v>0</v>
      </c>
      <c r="EJ265" s="58">
        <f t="shared" ca="1" si="479"/>
        <v>0</v>
      </c>
      <c r="EK265" s="58">
        <f t="shared" ca="1" si="479"/>
        <v>0</v>
      </c>
      <c r="EL265" s="58">
        <f t="shared" ca="1" si="479"/>
        <v>0</v>
      </c>
      <c r="EM265" s="58">
        <f t="shared" ca="1" si="479"/>
        <v>0</v>
      </c>
      <c r="EN265" s="58">
        <f t="shared" ca="1" si="479"/>
        <v>0</v>
      </c>
      <c r="EO265" s="58">
        <f t="shared" ca="1" si="479"/>
        <v>0</v>
      </c>
      <c r="EP265" s="58">
        <f t="shared" ca="1" si="479"/>
        <v>0</v>
      </c>
      <c r="EQ265" s="58">
        <f t="shared" ca="1" si="479"/>
        <v>0</v>
      </c>
      <c r="ER265" s="58">
        <f t="shared" ca="1" si="479"/>
        <v>0</v>
      </c>
      <c r="ES265" s="58">
        <f t="shared" ca="1" si="479"/>
        <v>0</v>
      </c>
      <c r="ET265" s="58">
        <f t="shared" ca="1" si="479"/>
        <v>0</v>
      </c>
      <c r="EU265" s="58">
        <f t="shared" ca="1" si="479"/>
        <v>0</v>
      </c>
      <c r="EV265" s="58">
        <f t="shared" ca="1" si="479"/>
        <v>0</v>
      </c>
      <c r="EW265" s="58">
        <f t="shared" ca="1" si="479"/>
        <v>0</v>
      </c>
      <c r="EX265" s="58">
        <f t="shared" ca="1" si="479"/>
        <v>0</v>
      </c>
      <c r="EY265" s="58">
        <f t="shared" ca="1" si="479"/>
        <v>0</v>
      </c>
      <c r="EZ265" s="58">
        <f t="shared" ca="1" si="479"/>
        <v>0</v>
      </c>
      <c r="FA265" s="58">
        <f t="shared" ca="1" si="479"/>
        <v>0</v>
      </c>
      <c r="FB265" s="58">
        <f t="shared" ca="1" si="479"/>
        <v>0</v>
      </c>
      <c r="FC265" s="58">
        <f t="shared" ca="1" si="479"/>
        <v>0</v>
      </c>
      <c r="FD265" s="58">
        <f t="shared" ca="1" si="479"/>
        <v>0</v>
      </c>
      <c r="FE265" s="58">
        <f t="shared" ca="1" si="479"/>
        <v>0</v>
      </c>
      <c r="FF265" s="58">
        <f t="shared" ca="1" si="479"/>
        <v>0</v>
      </c>
      <c r="FG265" s="58">
        <f t="shared" ca="1" si="479"/>
        <v>0</v>
      </c>
      <c r="FH265" s="58">
        <f t="shared" ca="1" si="479"/>
        <v>0</v>
      </c>
      <c r="FI265" s="58">
        <f t="shared" ca="1" si="479"/>
        <v>0</v>
      </c>
      <c r="FJ265" s="58">
        <f t="shared" ca="1" si="479"/>
        <v>0</v>
      </c>
      <c r="FK265" s="58">
        <f t="shared" ca="1" si="479"/>
        <v>0</v>
      </c>
      <c r="FL265" s="58">
        <f t="shared" ca="1" si="479"/>
        <v>0</v>
      </c>
      <c r="FM265" s="58">
        <f t="shared" ca="1" si="479"/>
        <v>0</v>
      </c>
      <c r="FN265" s="58">
        <f t="shared" ca="1" si="479"/>
        <v>0</v>
      </c>
      <c r="FO265" s="13"/>
    </row>
    <row r="266" spans="1:171" outlineLevel="1" x14ac:dyDescent="0.3">
      <c r="A266" s="13"/>
      <c r="B266" s="13"/>
      <c r="C266" s="13"/>
      <c r="D266" s="52">
        <f t="shared" si="357"/>
        <v>42856</v>
      </c>
      <c r="E266" s="53">
        <f t="shared" si="358"/>
        <v>2017</v>
      </c>
      <c r="F266" s="53">
        <f t="shared" si="359"/>
        <v>40</v>
      </c>
      <c r="G266" s="58">
        <f t="shared" ref="G266:AL266" ca="1" si="480">+IF(OR($F266+G$175&lt;1,(G$176-1)*12&lt;-$F266),0,OFFSET(G96,0,$F266))</f>
        <v>0</v>
      </c>
      <c r="H266" s="58">
        <f t="shared" ca="1" si="480"/>
        <v>0</v>
      </c>
      <c r="I266" s="58">
        <f t="shared" ca="1" si="480"/>
        <v>0</v>
      </c>
      <c r="J266" s="58">
        <f t="shared" ca="1" si="480"/>
        <v>0</v>
      </c>
      <c r="K266" s="58">
        <f t="shared" ca="1" si="480"/>
        <v>0</v>
      </c>
      <c r="L266" s="58">
        <f t="shared" ca="1" si="480"/>
        <v>0</v>
      </c>
      <c r="M266" s="58">
        <f t="shared" ca="1" si="480"/>
        <v>0</v>
      </c>
      <c r="N266" s="58">
        <f t="shared" ca="1" si="480"/>
        <v>0</v>
      </c>
      <c r="O266" s="58">
        <f t="shared" ca="1" si="480"/>
        <v>0</v>
      </c>
      <c r="P266" s="58">
        <f t="shared" ca="1" si="480"/>
        <v>0</v>
      </c>
      <c r="Q266" s="58">
        <f t="shared" ca="1" si="480"/>
        <v>0</v>
      </c>
      <c r="R266" s="58">
        <f t="shared" ca="1" si="480"/>
        <v>0</v>
      </c>
      <c r="S266" s="58">
        <f t="shared" ca="1" si="480"/>
        <v>0</v>
      </c>
      <c r="T266" s="58">
        <f t="shared" ca="1" si="480"/>
        <v>0</v>
      </c>
      <c r="U266" s="58">
        <f t="shared" ca="1" si="480"/>
        <v>0</v>
      </c>
      <c r="V266" s="58">
        <f t="shared" ca="1" si="480"/>
        <v>0</v>
      </c>
      <c r="W266" s="58">
        <f t="shared" ca="1" si="480"/>
        <v>0</v>
      </c>
      <c r="X266" s="58">
        <f t="shared" ca="1" si="480"/>
        <v>0</v>
      </c>
      <c r="Y266" s="58">
        <f t="shared" ca="1" si="480"/>
        <v>0</v>
      </c>
      <c r="Z266" s="58">
        <f t="shared" ca="1" si="480"/>
        <v>0</v>
      </c>
      <c r="AA266" s="58">
        <f t="shared" ca="1" si="480"/>
        <v>0</v>
      </c>
      <c r="AB266" s="58">
        <f t="shared" ca="1" si="480"/>
        <v>0</v>
      </c>
      <c r="AC266" s="58">
        <f t="shared" ca="1" si="480"/>
        <v>0</v>
      </c>
      <c r="AD266" s="58">
        <f t="shared" ca="1" si="480"/>
        <v>0</v>
      </c>
      <c r="AE266" s="58">
        <f t="shared" ca="1" si="480"/>
        <v>0</v>
      </c>
      <c r="AF266" s="58">
        <f t="shared" ca="1" si="480"/>
        <v>0</v>
      </c>
      <c r="AG266" s="58">
        <f t="shared" ca="1" si="480"/>
        <v>0</v>
      </c>
      <c r="AH266" s="58">
        <f t="shared" ca="1" si="480"/>
        <v>0</v>
      </c>
      <c r="AI266" s="58">
        <f t="shared" ca="1" si="480"/>
        <v>0</v>
      </c>
      <c r="AJ266" s="58">
        <f t="shared" ca="1" si="480"/>
        <v>0</v>
      </c>
      <c r="AK266" s="58">
        <f t="shared" ca="1" si="480"/>
        <v>0</v>
      </c>
      <c r="AL266" s="58">
        <f t="shared" ca="1" si="480"/>
        <v>0</v>
      </c>
      <c r="AM266" s="58">
        <f t="shared" ref="AM266:BR266" ca="1" si="481">+IF(OR($F266+AM$175&lt;1,(AM$176-1)*12&lt;-$F266),0,OFFSET(AM96,0,$F266))</f>
        <v>0</v>
      </c>
      <c r="AN266" s="58">
        <f t="shared" ca="1" si="481"/>
        <v>0</v>
      </c>
      <c r="AO266" s="58">
        <f t="shared" ca="1" si="481"/>
        <v>0</v>
      </c>
      <c r="AP266" s="58">
        <f t="shared" ca="1" si="481"/>
        <v>0</v>
      </c>
      <c r="AQ266" s="58">
        <f t="shared" ca="1" si="481"/>
        <v>0</v>
      </c>
      <c r="AR266" s="58">
        <f t="shared" ca="1" si="481"/>
        <v>0</v>
      </c>
      <c r="AS266" s="58">
        <f t="shared" ca="1" si="481"/>
        <v>0</v>
      </c>
      <c r="AT266" s="58">
        <f t="shared" ca="1" si="481"/>
        <v>0</v>
      </c>
      <c r="AU266" s="58">
        <f t="shared" ca="1" si="481"/>
        <v>0</v>
      </c>
      <c r="AV266" s="58">
        <f t="shared" ca="1" si="481"/>
        <v>0</v>
      </c>
      <c r="AW266" s="58">
        <f t="shared" ca="1" si="481"/>
        <v>0</v>
      </c>
      <c r="AX266" s="58">
        <f t="shared" ca="1" si="481"/>
        <v>0</v>
      </c>
      <c r="AY266" s="58">
        <f t="shared" ca="1" si="481"/>
        <v>0</v>
      </c>
      <c r="AZ266" s="58">
        <f t="shared" ca="1" si="481"/>
        <v>0</v>
      </c>
      <c r="BA266" s="58">
        <f t="shared" ca="1" si="481"/>
        <v>0</v>
      </c>
      <c r="BB266" s="58">
        <f t="shared" ca="1" si="481"/>
        <v>0</v>
      </c>
      <c r="BC266" s="58">
        <f t="shared" ca="1" si="481"/>
        <v>0</v>
      </c>
      <c r="BD266" s="58">
        <f t="shared" ca="1" si="481"/>
        <v>0</v>
      </c>
      <c r="BE266" s="58">
        <f t="shared" ca="1" si="481"/>
        <v>0</v>
      </c>
      <c r="BF266" s="58">
        <f t="shared" ca="1" si="481"/>
        <v>0</v>
      </c>
      <c r="BG266" s="58">
        <f t="shared" ca="1" si="481"/>
        <v>0</v>
      </c>
      <c r="BH266" s="58">
        <f t="shared" ca="1" si="481"/>
        <v>0</v>
      </c>
      <c r="BI266" s="58">
        <f t="shared" ca="1" si="481"/>
        <v>0</v>
      </c>
      <c r="BJ266" s="58">
        <f t="shared" ca="1" si="481"/>
        <v>0</v>
      </c>
      <c r="BK266" s="58">
        <f t="shared" ca="1" si="481"/>
        <v>0</v>
      </c>
      <c r="BL266" s="58">
        <f t="shared" ca="1" si="481"/>
        <v>0</v>
      </c>
      <c r="BM266" s="58">
        <f t="shared" ca="1" si="481"/>
        <v>0</v>
      </c>
      <c r="BN266" s="58">
        <f t="shared" ca="1" si="481"/>
        <v>0</v>
      </c>
      <c r="BO266" s="58">
        <f t="shared" ca="1" si="481"/>
        <v>0</v>
      </c>
      <c r="BP266" s="58">
        <f t="shared" ca="1" si="481"/>
        <v>0</v>
      </c>
      <c r="BQ266" s="58">
        <f t="shared" ca="1" si="481"/>
        <v>0</v>
      </c>
      <c r="BR266" s="58">
        <f t="shared" ca="1" si="481"/>
        <v>0</v>
      </c>
      <c r="BS266" s="58">
        <f t="shared" ref="BS266:CX266" ca="1" si="482">+IF(OR($F266+BS$175&lt;1,(BS$176-1)*12&lt;-$F266),0,OFFSET(BS96,0,$F266))</f>
        <v>0</v>
      </c>
      <c r="BT266" s="58">
        <f t="shared" ca="1" si="482"/>
        <v>0</v>
      </c>
      <c r="BU266" s="58">
        <f t="shared" ca="1" si="482"/>
        <v>0</v>
      </c>
      <c r="BV266" s="58">
        <f t="shared" ca="1" si="482"/>
        <v>0</v>
      </c>
      <c r="BW266" s="58">
        <f t="shared" ca="1" si="482"/>
        <v>0</v>
      </c>
      <c r="BX266" s="58">
        <f t="shared" ca="1" si="482"/>
        <v>0</v>
      </c>
      <c r="BY266" s="58">
        <f t="shared" ca="1" si="482"/>
        <v>0</v>
      </c>
      <c r="BZ266" s="58">
        <f t="shared" ca="1" si="482"/>
        <v>0</v>
      </c>
      <c r="CA266" s="58">
        <f t="shared" ca="1" si="482"/>
        <v>0</v>
      </c>
      <c r="CB266" s="58">
        <f t="shared" ca="1" si="482"/>
        <v>0</v>
      </c>
      <c r="CC266" s="58">
        <f t="shared" ca="1" si="482"/>
        <v>0</v>
      </c>
      <c r="CD266" s="58">
        <f t="shared" ca="1" si="482"/>
        <v>0</v>
      </c>
      <c r="CE266" s="58">
        <f t="shared" ca="1" si="482"/>
        <v>0</v>
      </c>
      <c r="CF266" s="58">
        <f t="shared" ca="1" si="482"/>
        <v>0</v>
      </c>
      <c r="CG266" s="58">
        <f t="shared" ca="1" si="482"/>
        <v>0</v>
      </c>
      <c r="CH266" s="58">
        <f t="shared" ca="1" si="482"/>
        <v>0</v>
      </c>
      <c r="CI266" s="58">
        <f t="shared" ca="1" si="482"/>
        <v>0</v>
      </c>
      <c r="CJ266" s="58">
        <f t="shared" ca="1" si="482"/>
        <v>0</v>
      </c>
      <c r="CK266" s="58">
        <f t="shared" ca="1" si="482"/>
        <v>0</v>
      </c>
      <c r="CL266" s="58">
        <f t="shared" ca="1" si="482"/>
        <v>0</v>
      </c>
      <c r="CM266" s="58">
        <f t="shared" ca="1" si="482"/>
        <v>0</v>
      </c>
      <c r="CN266" s="58">
        <f t="shared" ca="1" si="482"/>
        <v>0</v>
      </c>
      <c r="CO266" s="58">
        <f t="shared" ca="1" si="482"/>
        <v>0</v>
      </c>
      <c r="CP266" s="58">
        <f t="shared" ca="1" si="482"/>
        <v>0</v>
      </c>
      <c r="CQ266" s="58">
        <f t="shared" ca="1" si="482"/>
        <v>0</v>
      </c>
      <c r="CR266" s="58">
        <f t="shared" ca="1" si="482"/>
        <v>0</v>
      </c>
      <c r="CS266" s="58">
        <f t="shared" ca="1" si="482"/>
        <v>0</v>
      </c>
      <c r="CT266" s="58">
        <f t="shared" ca="1" si="482"/>
        <v>0</v>
      </c>
      <c r="CU266" s="58">
        <f t="shared" ca="1" si="482"/>
        <v>0</v>
      </c>
      <c r="CV266" s="58">
        <f t="shared" ca="1" si="482"/>
        <v>0</v>
      </c>
      <c r="CW266" s="58">
        <f t="shared" ca="1" si="482"/>
        <v>0</v>
      </c>
      <c r="CX266" s="58">
        <f t="shared" ca="1" si="482"/>
        <v>0</v>
      </c>
      <c r="CY266" s="58">
        <f t="shared" ref="CY266:ED266" ca="1" si="483">+IF(OR($F266+CY$175&lt;1,(CY$176-1)*12&lt;-$F266),0,OFFSET(CY96,0,$F266))</f>
        <v>0</v>
      </c>
      <c r="CZ266" s="58">
        <f t="shared" ca="1" si="483"/>
        <v>0</v>
      </c>
      <c r="DA266" s="58">
        <f t="shared" ca="1" si="483"/>
        <v>0</v>
      </c>
      <c r="DB266" s="58">
        <f t="shared" ca="1" si="483"/>
        <v>0</v>
      </c>
      <c r="DC266" s="58">
        <f t="shared" ca="1" si="483"/>
        <v>0</v>
      </c>
      <c r="DD266" s="58">
        <f t="shared" ca="1" si="483"/>
        <v>0</v>
      </c>
      <c r="DE266" s="58">
        <f t="shared" ca="1" si="483"/>
        <v>0</v>
      </c>
      <c r="DF266" s="58">
        <f t="shared" ca="1" si="483"/>
        <v>0</v>
      </c>
      <c r="DG266" s="58">
        <f t="shared" ca="1" si="483"/>
        <v>0</v>
      </c>
      <c r="DH266" s="58">
        <f t="shared" ca="1" si="483"/>
        <v>0</v>
      </c>
      <c r="DI266" s="58">
        <f t="shared" ca="1" si="483"/>
        <v>0</v>
      </c>
      <c r="DJ266" s="58">
        <f t="shared" ca="1" si="483"/>
        <v>0</v>
      </c>
      <c r="DK266" s="58">
        <f t="shared" ca="1" si="483"/>
        <v>0</v>
      </c>
      <c r="DL266" s="58">
        <f t="shared" ca="1" si="483"/>
        <v>0</v>
      </c>
      <c r="DM266" s="58">
        <f t="shared" ca="1" si="483"/>
        <v>0</v>
      </c>
      <c r="DN266" s="58">
        <f t="shared" ca="1" si="483"/>
        <v>0</v>
      </c>
      <c r="DO266" s="58">
        <f t="shared" ca="1" si="483"/>
        <v>0</v>
      </c>
      <c r="DP266" s="58">
        <f t="shared" ca="1" si="483"/>
        <v>0</v>
      </c>
      <c r="DQ266" s="58">
        <f t="shared" ca="1" si="483"/>
        <v>0</v>
      </c>
      <c r="DR266" s="58">
        <f t="shared" ca="1" si="483"/>
        <v>0</v>
      </c>
      <c r="DS266" s="58">
        <f t="shared" ca="1" si="483"/>
        <v>0</v>
      </c>
      <c r="DT266" s="58">
        <f t="shared" ca="1" si="483"/>
        <v>0</v>
      </c>
      <c r="DU266" s="58">
        <f t="shared" ca="1" si="483"/>
        <v>0</v>
      </c>
      <c r="DV266" s="58">
        <f t="shared" ca="1" si="483"/>
        <v>0</v>
      </c>
      <c r="DW266" s="58">
        <f t="shared" ca="1" si="483"/>
        <v>0</v>
      </c>
      <c r="DX266" s="58">
        <f t="shared" ca="1" si="483"/>
        <v>0</v>
      </c>
      <c r="DY266" s="58">
        <f t="shared" ca="1" si="483"/>
        <v>0</v>
      </c>
      <c r="DZ266" s="58">
        <f t="shared" ca="1" si="483"/>
        <v>0</v>
      </c>
      <c r="EA266" s="58">
        <f t="shared" ca="1" si="483"/>
        <v>0</v>
      </c>
      <c r="EB266" s="58">
        <f t="shared" ca="1" si="483"/>
        <v>0</v>
      </c>
      <c r="EC266" s="58">
        <f t="shared" ca="1" si="483"/>
        <v>0</v>
      </c>
      <c r="ED266" s="58">
        <f t="shared" ca="1" si="483"/>
        <v>0</v>
      </c>
      <c r="EE266" s="58">
        <f t="shared" ref="EE266:FN266" ca="1" si="484">+IF(OR($F266+EE$175&lt;1,(EE$176-1)*12&lt;-$F266),0,OFFSET(EE96,0,$F266))</f>
        <v>0</v>
      </c>
      <c r="EF266" s="58">
        <f t="shared" ca="1" si="484"/>
        <v>0</v>
      </c>
      <c r="EG266" s="58">
        <f t="shared" ca="1" si="484"/>
        <v>0</v>
      </c>
      <c r="EH266" s="58">
        <f t="shared" ca="1" si="484"/>
        <v>0</v>
      </c>
      <c r="EI266" s="58">
        <f t="shared" ca="1" si="484"/>
        <v>0</v>
      </c>
      <c r="EJ266" s="58">
        <f t="shared" ca="1" si="484"/>
        <v>0</v>
      </c>
      <c r="EK266" s="58">
        <f t="shared" ca="1" si="484"/>
        <v>0</v>
      </c>
      <c r="EL266" s="58">
        <f t="shared" ca="1" si="484"/>
        <v>0</v>
      </c>
      <c r="EM266" s="58">
        <f t="shared" ca="1" si="484"/>
        <v>0</v>
      </c>
      <c r="EN266" s="58">
        <f t="shared" ca="1" si="484"/>
        <v>0</v>
      </c>
      <c r="EO266" s="58">
        <f t="shared" ca="1" si="484"/>
        <v>0</v>
      </c>
      <c r="EP266" s="58">
        <f t="shared" ca="1" si="484"/>
        <v>0</v>
      </c>
      <c r="EQ266" s="58">
        <f t="shared" ca="1" si="484"/>
        <v>0</v>
      </c>
      <c r="ER266" s="58">
        <f t="shared" ca="1" si="484"/>
        <v>0</v>
      </c>
      <c r="ES266" s="58">
        <f t="shared" ca="1" si="484"/>
        <v>0</v>
      </c>
      <c r="ET266" s="58">
        <f t="shared" ca="1" si="484"/>
        <v>0</v>
      </c>
      <c r="EU266" s="58">
        <f t="shared" ca="1" si="484"/>
        <v>0</v>
      </c>
      <c r="EV266" s="58">
        <f t="shared" ca="1" si="484"/>
        <v>0</v>
      </c>
      <c r="EW266" s="58">
        <f t="shared" ca="1" si="484"/>
        <v>0</v>
      </c>
      <c r="EX266" s="58">
        <f t="shared" ca="1" si="484"/>
        <v>0</v>
      </c>
      <c r="EY266" s="58">
        <f t="shared" ca="1" si="484"/>
        <v>0</v>
      </c>
      <c r="EZ266" s="58">
        <f t="shared" ca="1" si="484"/>
        <v>0</v>
      </c>
      <c r="FA266" s="58">
        <f t="shared" ca="1" si="484"/>
        <v>0</v>
      </c>
      <c r="FB266" s="58">
        <f t="shared" ca="1" si="484"/>
        <v>0</v>
      </c>
      <c r="FC266" s="58">
        <f t="shared" ca="1" si="484"/>
        <v>0</v>
      </c>
      <c r="FD266" s="58">
        <f t="shared" ca="1" si="484"/>
        <v>0</v>
      </c>
      <c r="FE266" s="58">
        <f t="shared" ca="1" si="484"/>
        <v>0</v>
      </c>
      <c r="FF266" s="58">
        <f t="shared" ca="1" si="484"/>
        <v>0</v>
      </c>
      <c r="FG266" s="58">
        <f t="shared" ca="1" si="484"/>
        <v>0</v>
      </c>
      <c r="FH266" s="58">
        <f t="shared" ca="1" si="484"/>
        <v>0</v>
      </c>
      <c r="FI266" s="58">
        <f t="shared" ca="1" si="484"/>
        <v>0</v>
      </c>
      <c r="FJ266" s="58">
        <f t="shared" ca="1" si="484"/>
        <v>0</v>
      </c>
      <c r="FK266" s="58">
        <f t="shared" ca="1" si="484"/>
        <v>0</v>
      </c>
      <c r="FL266" s="58">
        <f t="shared" ca="1" si="484"/>
        <v>0</v>
      </c>
      <c r="FM266" s="58">
        <f t="shared" ca="1" si="484"/>
        <v>0</v>
      </c>
      <c r="FN266" s="58">
        <f t="shared" ca="1" si="484"/>
        <v>0</v>
      </c>
      <c r="FO266" s="13"/>
    </row>
    <row r="267" spans="1:171" outlineLevel="1" x14ac:dyDescent="0.3">
      <c r="A267" s="13"/>
      <c r="B267" s="13"/>
      <c r="C267" s="13"/>
      <c r="D267" s="52">
        <f t="shared" si="357"/>
        <v>42887</v>
      </c>
      <c r="E267" s="53">
        <f t="shared" si="358"/>
        <v>2017</v>
      </c>
      <c r="F267" s="53">
        <f t="shared" si="359"/>
        <v>41</v>
      </c>
      <c r="G267" s="58">
        <f t="shared" ref="G267:AL267" ca="1" si="485">+IF(OR($F267+G$175&lt;1,(G$176-1)*12&lt;-$F267),0,OFFSET(G97,0,$F267))</f>
        <v>0</v>
      </c>
      <c r="H267" s="58">
        <f t="shared" ca="1" si="485"/>
        <v>0</v>
      </c>
      <c r="I267" s="58">
        <f t="shared" ca="1" si="485"/>
        <v>0</v>
      </c>
      <c r="J267" s="58">
        <f t="shared" ca="1" si="485"/>
        <v>0</v>
      </c>
      <c r="K267" s="58">
        <f t="shared" ca="1" si="485"/>
        <v>0</v>
      </c>
      <c r="L267" s="58">
        <f t="shared" ca="1" si="485"/>
        <v>0</v>
      </c>
      <c r="M267" s="58">
        <f t="shared" ca="1" si="485"/>
        <v>0</v>
      </c>
      <c r="N267" s="58">
        <f t="shared" ca="1" si="485"/>
        <v>0</v>
      </c>
      <c r="O267" s="58">
        <f t="shared" ca="1" si="485"/>
        <v>0</v>
      </c>
      <c r="P267" s="58">
        <f t="shared" ca="1" si="485"/>
        <v>0</v>
      </c>
      <c r="Q267" s="58">
        <f t="shared" ca="1" si="485"/>
        <v>0</v>
      </c>
      <c r="R267" s="58">
        <f t="shared" ca="1" si="485"/>
        <v>0</v>
      </c>
      <c r="S267" s="58">
        <f t="shared" ca="1" si="485"/>
        <v>0</v>
      </c>
      <c r="T267" s="58">
        <f t="shared" ca="1" si="485"/>
        <v>0</v>
      </c>
      <c r="U267" s="58">
        <f t="shared" ca="1" si="485"/>
        <v>0</v>
      </c>
      <c r="V267" s="58">
        <f t="shared" ca="1" si="485"/>
        <v>0</v>
      </c>
      <c r="W267" s="58">
        <f t="shared" ca="1" si="485"/>
        <v>0</v>
      </c>
      <c r="X267" s="58">
        <f t="shared" ca="1" si="485"/>
        <v>0</v>
      </c>
      <c r="Y267" s="58">
        <f t="shared" ca="1" si="485"/>
        <v>0</v>
      </c>
      <c r="Z267" s="58">
        <f t="shared" ca="1" si="485"/>
        <v>0</v>
      </c>
      <c r="AA267" s="58">
        <f t="shared" ca="1" si="485"/>
        <v>0</v>
      </c>
      <c r="AB267" s="58">
        <f t="shared" ca="1" si="485"/>
        <v>0</v>
      </c>
      <c r="AC267" s="58">
        <f t="shared" ca="1" si="485"/>
        <v>0</v>
      </c>
      <c r="AD267" s="58">
        <f t="shared" ca="1" si="485"/>
        <v>0</v>
      </c>
      <c r="AE267" s="58">
        <f t="shared" ca="1" si="485"/>
        <v>0</v>
      </c>
      <c r="AF267" s="58">
        <f t="shared" ca="1" si="485"/>
        <v>0</v>
      </c>
      <c r="AG267" s="58">
        <f t="shared" ca="1" si="485"/>
        <v>0</v>
      </c>
      <c r="AH267" s="58">
        <f t="shared" ca="1" si="485"/>
        <v>0</v>
      </c>
      <c r="AI267" s="58">
        <f t="shared" ca="1" si="485"/>
        <v>0</v>
      </c>
      <c r="AJ267" s="58">
        <f t="shared" ca="1" si="485"/>
        <v>0</v>
      </c>
      <c r="AK267" s="58">
        <f t="shared" ca="1" si="485"/>
        <v>0</v>
      </c>
      <c r="AL267" s="58">
        <f t="shared" ca="1" si="485"/>
        <v>0</v>
      </c>
      <c r="AM267" s="58">
        <f t="shared" ref="AM267:BR267" ca="1" si="486">+IF(OR($F267+AM$175&lt;1,(AM$176-1)*12&lt;-$F267),0,OFFSET(AM97,0,$F267))</f>
        <v>0</v>
      </c>
      <c r="AN267" s="58">
        <f t="shared" ca="1" si="486"/>
        <v>0</v>
      </c>
      <c r="AO267" s="58">
        <f t="shared" ca="1" si="486"/>
        <v>0</v>
      </c>
      <c r="AP267" s="58">
        <f t="shared" ca="1" si="486"/>
        <v>0</v>
      </c>
      <c r="AQ267" s="58">
        <f t="shared" ca="1" si="486"/>
        <v>0</v>
      </c>
      <c r="AR267" s="58">
        <f t="shared" ca="1" si="486"/>
        <v>0</v>
      </c>
      <c r="AS267" s="58">
        <f t="shared" ca="1" si="486"/>
        <v>0</v>
      </c>
      <c r="AT267" s="58">
        <f t="shared" ca="1" si="486"/>
        <v>0</v>
      </c>
      <c r="AU267" s="58">
        <f t="shared" ca="1" si="486"/>
        <v>0</v>
      </c>
      <c r="AV267" s="58">
        <f t="shared" ca="1" si="486"/>
        <v>0</v>
      </c>
      <c r="AW267" s="58">
        <f t="shared" ca="1" si="486"/>
        <v>0</v>
      </c>
      <c r="AX267" s="58">
        <f t="shared" ca="1" si="486"/>
        <v>0</v>
      </c>
      <c r="AY267" s="58">
        <f t="shared" ca="1" si="486"/>
        <v>0</v>
      </c>
      <c r="AZ267" s="58">
        <f t="shared" ca="1" si="486"/>
        <v>0</v>
      </c>
      <c r="BA267" s="58">
        <f t="shared" ca="1" si="486"/>
        <v>0</v>
      </c>
      <c r="BB267" s="58">
        <f t="shared" ca="1" si="486"/>
        <v>0</v>
      </c>
      <c r="BC267" s="58">
        <f t="shared" ca="1" si="486"/>
        <v>0</v>
      </c>
      <c r="BD267" s="58">
        <f t="shared" ca="1" si="486"/>
        <v>0</v>
      </c>
      <c r="BE267" s="58">
        <f t="shared" ca="1" si="486"/>
        <v>0</v>
      </c>
      <c r="BF267" s="58">
        <f t="shared" ca="1" si="486"/>
        <v>0</v>
      </c>
      <c r="BG267" s="58">
        <f t="shared" ca="1" si="486"/>
        <v>0</v>
      </c>
      <c r="BH267" s="58">
        <f t="shared" ca="1" si="486"/>
        <v>0</v>
      </c>
      <c r="BI267" s="58">
        <f t="shared" ca="1" si="486"/>
        <v>0</v>
      </c>
      <c r="BJ267" s="58">
        <f t="shared" ca="1" si="486"/>
        <v>0</v>
      </c>
      <c r="BK267" s="58">
        <f t="shared" ca="1" si="486"/>
        <v>0</v>
      </c>
      <c r="BL267" s="58">
        <f t="shared" ca="1" si="486"/>
        <v>0</v>
      </c>
      <c r="BM267" s="58">
        <f t="shared" ca="1" si="486"/>
        <v>0</v>
      </c>
      <c r="BN267" s="58">
        <f t="shared" ca="1" si="486"/>
        <v>0</v>
      </c>
      <c r="BO267" s="58">
        <f t="shared" ca="1" si="486"/>
        <v>0</v>
      </c>
      <c r="BP267" s="58">
        <f t="shared" ca="1" si="486"/>
        <v>0</v>
      </c>
      <c r="BQ267" s="58">
        <f t="shared" ca="1" si="486"/>
        <v>0</v>
      </c>
      <c r="BR267" s="58">
        <f t="shared" ca="1" si="486"/>
        <v>0</v>
      </c>
      <c r="BS267" s="58">
        <f t="shared" ref="BS267:CX267" ca="1" si="487">+IF(OR($F267+BS$175&lt;1,(BS$176-1)*12&lt;-$F267),0,OFFSET(BS97,0,$F267))</f>
        <v>0</v>
      </c>
      <c r="BT267" s="58">
        <f t="shared" ca="1" si="487"/>
        <v>0</v>
      </c>
      <c r="BU267" s="58">
        <f t="shared" ca="1" si="487"/>
        <v>0</v>
      </c>
      <c r="BV267" s="58">
        <f t="shared" ca="1" si="487"/>
        <v>0</v>
      </c>
      <c r="BW267" s="58">
        <f t="shared" ca="1" si="487"/>
        <v>0</v>
      </c>
      <c r="BX267" s="58">
        <f t="shared" ca="1" si="487"/>
        <v>0</v>
      </c>
      <c r="BY267" s="58">
        <f t="shared" ca="1" si="487"/>
        <v>0</v>
      </c>
      <c r="BZ267" s="58">
        <f t="shared" ca="1" si="487"/>
        <v>0</v>
      </c>
      <c r="CA267" s="58">
        <f t="shared" ca="1" si="487"/>
        <v>0</v>
      </c>
      <c r="CB267" s="58">
        <f t="shared" ca="1" si="487"/>
        <v>0</v>
      </c>
      <c r="CC267" s="58">
        <f t="shared" ca="1" si="487"/>
        <v>0</v>
      </c>
      <c r="CD267" s="58">
        <f t="shared" ca="1" si="487"/>
        <v>0</v>
      </c>
      <c r="CE267" s="58">
        <f t="shared" ca="1" si="487"/>
        <v>0</v>
      </c>
      <c r="CF267" s="58">
        <f t="shared" ca="1" si="487"/>
        <v>0</v>
      </c>
      <c r="CG267" s="58">
        <f t="shared" ca="1" si="487"/>
        <v>0</v>
      </c>
      <c r="CH267" s="58">
        <f t="shared" ca="1" si="487"/>
        <v>0</v>
      </c>
      <c r="CI267" s="58">
        <f t="shared" ca="1" si="487"/>
        <v>0</v>
      </c>
      <c r="CJ267" s="58">
        <f t="shared" ca="1" si="487"/>
        <v>0</v>
      </c>
      <c r="CK267" s="58">
        <f t="shared" ca="1" si="487"/>
        <v>0</v>
      </c>
      <c r="CL267" s="58">
        <f t="shared" ca="1" si="487"/>
        <v>0</v>
      </c>
      <c r="CM267" s="58">
        <f t="shared" ca="1" si="487"/>
        <v>0</v>
      </c>
      <c r="CN267" s="58">
        <f t="shared" ca="1" si="487"/>
        <v>0</v>
      </c>
      <c r="CO267" s="58">
        <f t="shared" ca="1" si="487"/>
        <v>0</v>
      </c>
      <c r="CP267" s="58">
        <f t="shared" ca="1" si="487"/>
        <v>0</v>
      </c>
      <c r="CQ267" s="58">
        <f t="shared" ca="1" si="487"/>
        <v>0</v>
      </c>
      <c r="CR267" s="58">
        <f t="shared" ca="1" si="487"/>
        <v>0</v>
      </c>
      <c r="CS267" s="58">
        <f t="shared" ca="1" si="487"/>
        <v>0</v>
      </c>
      <c r="CT267" s="58">
        <f t="shared" ca="1" si="487"/>
        <v>0</v>
      </c>
      <c r="CU267" s="58">
        <f t="shared" ca="1" si="487"/>
        <v>0</v>
      </c>
      <c r="CV267" s="58">
        <f t="shared" ca="1" si="487"/>
        <v>0</v>
      </c>
      <c r="CW267" s="58">
        <f t="shared" ca="1" si="487"/>
        <v>0</v>
      </c>
      <c r="CX267" s="58">
        <f t="shared" ca="1" si="487"/>
        <v>0</v>
      </c>
      <c r="CY267" s="58">
        <f t="shared" ref="CY267:ED267" ca="1" si="488">+IF(OR($F267+CY$175&lt;1,(CY$176-1)*12&lt;-$F267),0,OFFSET(CY97,0,$F267))</f>
        <v>0</v>
      </c>
      <c r="CZ267" s="58">
        <f t="shared" ca="1" si="488"/>
        <v>0</v>
      </c>
      <c r="DA267" s="58">
        <f t="shared" ca="1" si="488"/>
        <v>0</v>
      </c>
      <c r="DB267" s="58">
        <f t="shared" ca="1" si="488"/>
        <v>0</v>
      </c>
      <c r="DC267" s="58">
        <f t="shared" ca="1" si="488"/>
        <v>0</v>
      </c>
      <c r="DD267" s="58">
        <f t="shared" ca="1" si="488"/>
        <v>0</v>
      </c>
      <c r="DE267" s="58">
        <f t="shared" ca="1" si="488"/>
        <v>0</v>
      </c>
      <c r="DF267" s="58">
        <f t="shared" ca="1" si="488"/>
        <v>0</v>
      </c>
      <c r="DG267" s="58">
        <f t="shared" ca="1" si="488"/>
        <v>0</v>
      </c>
      <c r="DH267" s="58">
        <f t="shared" ca="1" si="488"/>
        <v>0</v>
      </c>
      <c r="DI267" s="58">
        <f t="shared" ca="1" si="488"/>
        <v>0</v>
      </c>
      <c r="DJ267" s="58">
        <f t="shared" ca="1" si="488"/>
        <v>0</v>
      </c>
      <c r="DK267" s="58">
        <f t="shared" ca="1" si="488"/>
        <v>0</v>
      </c>
      <c r="DL267" s="58">
        <f t="shared" ca="1" si="488"/>
        <v>0</v>
      </c>
      <c r="DM267" s="58">
        <f t="shared" ca="1" si="488"/>
        <v>0</v>
      </c>
      <c r="DN267" s="58">
        <f t="shared" ca="1" si="488"/>
        <v>0</v>
      </c>
      <c r="DO267" s="58">
        <f t="shared" ca="1" si="488"/>
        <v>0</v>
      </c>
      <c r="DP267" s="58">
        <f t="shared" ca="1" si="488"/>
        <v>0</v>
      </c>
      <c r="DQ267" s="58">
        <f t="shared" ca="1" si="488"/>
        <v>0</v>
      </c>
      <c r="DR267" s="58">
        <f t="shared" ca="1" si="488"/>
        <v>0</v>
      </c>
      <c r="DS267" s="58">
        <f t="shared" ca="1" si="488"/>
        <v>0</v>
      </c>
      <c r="DT267" s="58">
        <f t="shared" ca="1" si="488"/>
        <v>0</v>
      </c>
      <c r="DU267" s="58">
        <f t="shared" ca="1" si="488"/>
        <v>0</v>
      </c>
      <c r="DV267" s="58">
        <f t="shared" ca="1" si="488"/>
        <v>0</v>
      </c>
      <c r="DW267" s="58">
        <f t="shared" ca="1" si="488"/>
        <v>0</v>
      </c>
      <c r="DX267" s="58">
        <f t="shared" ca="1" si="488"/>
        <v>0</v>
      </c>
      <c r="DY267" s="58">
        <f t="shared" ca="1" si="488"/>
        <v>0</v>
      </c>
      <c r="DZ267" s="58">
        <f t="shared" ca="1" si="488"/>
        <v>0</v>
      </c>
      <c r="EA267" s="58">
        <f t="shared" ca="1" si="488"/>
        <v>0</v>
      </c>
      <c r="EB267" s="58">
        <f t="shared" ca="1" si="488"/>
        <v>0</v>
      </c>
      <c r="EC267" s="58">
        <f t="shared" ca="1" si="488"/>
        <v>0</v>
      </c>
      <c r="ED267" s="58">
        <f t="shared" ca="1" si="488"/>
        <v>0</v>
      </c>
      <c r="EE267" s="58">
        <f t="shared" ref="EE267:FN267" ca="1" si="489">+IF(OR($F267+EE$175&lt;1,(EE$176-1)*12&lt;-$F267),0,OFFSET(EE97,0,$F267))</f>
        <v>0</v>
      </c>
      <c r="EF267" s="58">
        <f t="shared" ca="1" si="489"/>
        <v>0</v>
      </c>
      <c r="EG267" s="58">
        <f t="shared" ca="1" si="489"/>
        <v>0</v>
      </c>
      <c r="EH267" s="58">
        <f t="shared" ca="1" si="489"/>
        <v>0</v>
      </c>
      <c r="EI267" s="58">
        <f t="shared" ca="1" si="489"/>
        <v>0</v>
      </c>
      <c r="EJ267" s="58">
        <f t="shared" ca="1" si="489"/>
        <v>0</v>
      </c>
      <c r="EK267" s="58">
        <f t="shared" ca="1" si="489"/>
        <v>0</v>
      </c>
      <c r="EL267" s="58">
        <f t="shared" ca="1" si="489"/>
        <v>0</v>
      </c>
      <c r="EM267" s="58">
        <f t="shared" ca="1" si="489"/>
        <v>0</v>
      </c>
      <c r="EN267" s="58">
        <f t="shared" ca="1" si="489"/>
        <v>0</v>
      </c>
      <c r="EO267" s="58">
        <f t="shared" ca="1" si="489"/>
        <v>0</v>
      </c>
      <c r="EP267" s="58">
        <f t="shared" ca="1" si="489"/>
        <v>0</v>
      </c>
      <c r="EQ267" s="58">
        <f t="shared" ca="1" si="489"/>
        <v>0</v>
      </c>
      <c r="ER267" s="58">
        <f t="shared" ca="1" si="489"/>
        <v>0</v>
      </c>
      <c r="ES267" s="58">
        <f t="shared" ca="1" si="489"/>
        <v>0</v>
      </c>
      <c r="ET267" s="58">
        <f t="shared" ca="1" si="489"/>
        <v>0</v>
      </c>
      <c r="EU267" s="58">
        <f t="shared" ca="1" si="489"/>
        <v>0</v>
      </c>
      <c r="EV267" s="58">
        <f t="shared" ca="1" si="489"/>
        <v>0</v>
      </c>
      <c r="EW267" s="58">
        <f t="shared" ca="1" si="489"/>
        <v>0</v>
      </c>
      <c r="EX267" s="58">
        <f t="shared" ca="1" si="489"/>
        <v>0</v>
      </c>
      <c r="EY267" s="58">
        <f t="shared" ca="1" si="489"/>
        <v>0</v>
      </c>
      <c r="EZ267" s="58">
        <f t="shared" ca="1" si="489"/>
        <v>0</v>
      </c>
      <c r="FA267" s="58">
        <f t="shared" ca="1" si="489"/>
        <v>0</v>
      </c>
      <c r="FB267" s="58">
        <f t="shared" ca="1" si="489"/>
        <v>0</v>
      </c>
      <c r="FC267" s="58">
        <f t="shared" ca="1" si="489"/>
        <v>0</v>
      </c>
      <c r="FD267" s="58">
        <f t="shared" ca="1" si="489"/>
        <v>0</v>
      </c>
      <c r="FE267" s="58">
        <f t="shared" ca="1" si="489"/>
        <v>0</v>
      </c>
      <c r="FF267" s="58">
        <f t="shared" ca="1" si="489"/>
        <v>0</v>
      </c>
      <c r="FG267" s="58">
        <f t="shared" ca="1" si="489"/>
        <v>0</v>
      </c>
      <c r="FH267" s="58">
        <f t="shared" ca="1" si="489"/>
        <v>0</v>
      </c>
      <c r="FI267" s="58">
        <f t="shared" ca="1" si="489"/>
        <v>0</v>
      </c>
      <c r="FJ267" s="58">
        <f t="shared" ca="1" si="489"/>
        <v>0</v>
      </c>
      <c r="FK267" s="58">
        <f t="shared" ca="1" si="489"/>
        <v>0</v>
      </c>
      <c r="FL267" s="58">
        <f t="shared" ca="1" si="489"/>
        <v>0</v>
      </c>
      <c r="FM267" s="58">
        <f t="shared" ca="1" si="489"/>
        <v>0</v>
      </c>
      <c r="FN267" s="58">
        <f t="shared" ca="1" si="489"/>
        <v>0</v>
      </c>
      <c r="FO267" s="13"/>
    </row>
    <row r="268" spans="1:171" outlineLevel="1" x14ac:dyDescent="0.3">
      <c r="A268" s="13"/>
      <c r="B268" s="13"/>
      <c r="C268" s="13"/>
      <c r="D268" s="52">
        <f t="shared" si="357"/>
        <v>42917</v>
      </c>
      <c r="E268" s="53">
        <f t="shared" si="358"/>
        <v>2017</v>
      </c>
      <c r="F268" s="53">
        <f t="shared" si="359"/>
        <v>42</v>
      </c>
      <c r="G268" s="58">
        <f t="shared" ref="G268:AL268" ca="1" si="490">+IF(OR($F268+G$175&lt;1,(G$176-1)*12&lt;-$F268),0,OFFSET(G98,0,$F268))</f>
        <v>0</v>
      </c>
      <c r="H268" s="58">
        <f t="shared" ca="1" si="490"/>
        <v>0</v>
      </c>
      <c r="I268" s="58">
        <f t="shared" ca="1" si="490"/>
        <v>0</v>
      </c>
      <c r="J268" s="58">
        <f t="shared" ca="1" si="490"/>
        <v>0</v>
      </c>
      <c r="K268" s="58">
        <f t="shared" ca="1" si="490"/>
        <v>0</v>
      </c>
      <c r="L268" s="58">
        <f t="shared" ca="1" si="490"/>
        <v>0</v>
      </c>
      <c r="M268" s="58">
        <f t="shared" ca="1" si="490"/>
        <v>0</v>
      </c>
      <c r="N268" s="58">
        <f t="shared" ca="1" si="490"/>
        <v>0</v>
      </c>
      <c r="O268" s="58">
        <f t="shared" ca="1" si="490"/>
        <v>0</v>
      </c>
      <c r="P268" s="58">
        <f t="shared" ca="1" si="490"/>
        <v>0</v>
      </c>
      <c r="Q268" s="58">
        <f t="shared" ca="1" si="490"/>
        <v>0</v>
      </c>
      <c r="R268" s="58">
        <f t="shared" ca="1" si="490"/>
        <v>0</v>
      </c>
      <c r="S268" s="58">
        <f t="shared" ca="1" si="490"/>
        <v>0</v>
      </c>
      <c r="T268" s="58">
        <f t="shared" ca="1" si="490"/>
        <v>0</v>
      </c>
      <c r="U268" s="58">
        <f t="shared" ca="1" si="490"/>
        <v>0</v>
      </c>
      <c r="V268" s="58">
        <f t="shared" ca="1" si="490"/>
        <v>0</v>
      </c>
      <c r="W268" s="58">
        <f t="shared" ca="1" si="490"/>
        <v>0</v>
      </c>
      <c r="X268" s="58">
        <f t="shared" ca="1" si="490"/>
        <v>0</v>
      </c>
      <c r="Y268" s="58">
        <f t="shared" ca="1" si="490"/>
        <v>0</v>
      </c>
      <c r="Z268" s="58">
        <f t="shared" ca="1" si="490"/>
        <v>0</v>
      </c>
      <c r="AA268" s="58">
        <f t="shared" ca="1" si="490"/>
        <v>0</v>
      </c>
      <c r="AB268" s="58">
        <f t="shared" ca="1" si="490"/>
        <v>0</v>
      </c>
      <c r="AC268" s="58">
        <f t="shared" ca="1" si="490"/>
        <v>0</v>
      </c>
      <c r="AD268" s="58">
        <f t="shared" ca="1" si="490"/>
        <v>0</v>
      </c>
      <c r="AE268" s="58">
        <f t="shared" ca="1" si="490"/>
        <v>0</v>
      </c>
      <c r="AF268" s="58">
        <f t="shared" ca="1" si="490"/>
        <v>0</v>
      </c>
      <c r="AG268" s="58">
        <f t="shared" ca="1" si="490"/>
        <v>0</v>
      </c>
      <c r="AH268" s="58">
        <f t="shared" ca="1" si="490"/>
        <v>0</v>
      </c>
      <c r="AI268" s="58">
        <f t="shared" ca="1" si="490"/>
        <v>0</v>
      </c>
      <c r="AJ268" s="58">
        <f t="shared" ca="1" si="490"/>
        <v>0</v>
      </c>
      <c r="AK268" s="58">
        <f t="shared" ca="1" si="490"/>
        <v>0</v>
      </c>
      <c r="AL268" s="58">
        <f t="shared" ca="1" si="490"/>
        <v>0</v>
      </c>
      <c r="AM268" s="58">
        <f t="shared" ref="AM268:BR268" ca="1" si="491">+IF(OR($F268+AM$175&lt;1,(AM$176-1)*12&lt;-$F268),0,OFFSET(AM98,0,$F268))</f>
        <v>0</v>
      </c>
      <c r="AN268" s="58">
        <f t="shared" ca="1" si="491"/>
        <v>0</v>
      </c>
      <c r="AO268" s="58">
        <f t="shared" ca="1" si="491"/>
        <v>0</v>
      </c>
      <c r="AP268" s="58">
        <f t="shared" ca="1" si="491"/>
        <v>0</v>
      </c>
      <c r="AQ268" s="58">
        <f t="shared" ca="1" si="491"/>
        <v>0</v>
      </c>
      <c r="AR268" s="58">
        <f t="shared" ca="1" si="491"/>
        <v>0</v>
      </c>
      <c r="AS268" s="58">
        <f t="shared" ca="1" si="491"/>
        <v>0</v>
      </c>
      <c r="AT268" s="58">
        <f t="shared" ca="1" si="491"/>
        <v>0</v>
      </c>
      <c r="AU268" s="58">
        <f t="shared" ca="1" si="491"/>
        <v>0</v>
      </c>
      <c r="AV268" s="58">
        <f t="shared" ca="1" si="491"/>
        <v>0</v>
      </c>
      <c r="AW268" s="58">
        <f t="shared" ca="1" si="491"/>
        <v>0</v>
      </c>
      <c r="AX268" s="58">
        <f t="shared" ca="1" si="491"/>
        <v>0</v>
      </c>
      <c r="AY268" s="58">
        <f t="shared" ca="1" si="491"/>
        <v>0</v>
      </c>
      <c r="AZ268" s="58">
        <f t="shared" ca="1" si="491"/>
        <v>0</v>
      </c>
      <c r="BA268" s="58">
        <f t="shared" ca="1" si="491"/>
        <v>0</v>
      </c>
      <c r="BB268" s="58">
        <f t="shared" ca="1" si="491"/>
        <v>0</v>
      </c>
      <c r="BC268" s="58">
        <f t="shared" ca="1" si="491"/>
        <v>0</v>
      </c>
      <c r="BD268" s="58">
        <f t="shared" ca="1" si="491"/>
        <v>0</v>
      </c>
      <c r="BE268" s="58">
        <f t="shared" ca="1" si="491"/>
        <v>0</v>
      </c>
      <c r="BF268" s="58">
        <f t="shared" ca="1" si="491"/>
        <v>0</v>
      </c>
      <c r="BG268" s="58">
        <f t="shared" ca="1" si="491"/>
        <v>0</v>
      </c>
      <c r="BH268" s="58">
        <f t="shared" ca="1" si="491"/>
        <v>0</v>
      </c>
      <c r="BI268" s="58">
        <f t="shared" ca="1" si="491"/>
        <v>0</v>
      </c>
      <c r="BJ268" s="58">
        <f t="shared" ca="1" si="491"/>
        <v>0</v>
      </c>
      <c r="BK268" s="58">
        <f t="shared" ca="1" si="491"/>
        <v>0</v>
      </c>
      <c r="BL268" s="58">
        <f t="shared" ca="1" si="491"/>
        <v>0</v>
      </c>
      <c r="BM268" s="58">
        <f t="shared" ca="1" si="491"/>
        <v>0</v>
      </c>
      <c r="BN268" s="58">
        <f t="shared" ca="1" si="491"/>
        <v>0</v>
      </c>
      <c r="BO268" s="58">
        <f t="shared" ca="1" si="491"/>
        <v>0</v>
      </c>
      <c r="BP268" s="58">
        <f t="shared" ca="1" si="491"/>
        <v>0</v>
      </c>
      <c r="BQ268" s="58">
        <f t="shared" ca="1" si="491"/>
        <v>0</v>
      </c>
      <c r="BR268" s="58">
        <f t="shared" ca="1" si="491"/>
        <v>0</v>
      </c>
      <c r="BS268" s="58">
        <f t="shared" ref="BS268:CX268" ca="1" si="492">+IF(OR($F268+BS$175&lt;1,(BS$176-1)*12&lt;-$F268),0,OFFSET(BS98,0,$F268))</f>
        <v>0</v>
      </c>
      <c r="BT268" s="58">
        <f t="shared" ca="1" si="492"/>
        <v>0</v>
      </c>
      <c r="BU268" s="58">
        <f t="shared" ca="1" si="492"/>
        <v>0</v>
      </c>
      <c r="BV268" s="58">
        <f t="shared" ca="1" si="492"/>
        <v>0</v>
      </c>
      <c r="BW268" s="58">
        <f t="shared" ca="1" si="492"/>
        <v>0</v>
      </c>
      <c r="BX268" s="58">
        <f t="shared" ca="1" si="492"/>
        <v>0</v>
      </c>
      <c r="BY268" s="58">
        <f t="shared" ca="1" si="492"/>
        <v>0</v>
      </c>
      <c r="BZ268" s="58">
        <f t="shared" ca="1" si="492"/>
        <v>0</v>
      </c>
      <c r="CA268" s="58">
        <f t="shared" ca="1" si="492"/>
        <v>0</v>
      </c>
      <c r="CB268" s="58">
        <f t="shared" ca="1" si="492"/>
        <v>0</v>
      </c>
      <c r="CC268" s="58">
        <f t="shared" ca="1" si="492"/>
        <v>0</v>
      </c>
      <c r="CD268" s="58">
        <f t="shared" ca="1" si="492"/>
        <v>0</v>
      </c>
      <c r="CE268" s="58">
        <f t="shared" ca="1" si="492"/>
        <v>0</v>
      </c>
      <c r="CF268" s="58">
        <f t="shared" ca="1" si="492"/>
        <v>0</v>
      </c>
      <c r="CG268" s="58">
        <f t="shared" ca="1" si="492"/>
        <v>0</v>
      </c>
      <c r="CH268" s="58">
        <f t="shared" ca="1" si="492"/>
        <v>0</v>
      </c>
      <c r="CI268" s="58">
        <f t="shared" ca="1" si="492"/>
        <v>0</v>
      </c>
      <c r="CJ268" s="58">
        <f t="shared" ca="1" si="492"/>
        <v>0</v>
      </c>
      <c r="CK268" s="58">
        <f t="shared" ca="1" si="492"/>
        <v>0</v>
      </c>
      <c r="CL268" s="58">
        <f t="shared" ca="1" si="492"/>
        <v>0</v>
      </c>
      <c r="CM268" s="58">
        <f t="shared" ca="1" si="492"/>
        <v>0</v>
      </c>
      <c r="CN268" s="58">
        <f t="shared" ca="1" si="492"/>
        <v>0</v>
      </c>
      <c r="CO268" s="58">
        <f t="shared" ca="1" si="492"/>
        <v>0</v>
      </c>
      <c r="CP268" s="58">
        <f t="shared" ca="1" si="492"/>
        <v>0</v>
      </c>
      <c r="CQ268" s="58">
        <f t="shared" ca="1" si="492"/>
        <v>0</v>
      </c>
      <c r="CR268" s="58">
        <f t="shared" ca="1" si="492"/>
        <v>0</v>
      </c>
      <c r="CS268" s="58">
        <f t="shared" ca="1" si="492"/>
        <v>0</v>
      </c>
      <c r="CT268" s="58">
        <f t="shared" ca="1" si="492"/>
        <v>0</v>
      </c>
      <c r="CU268" s="58">
        <f t="shared" ca="1" si="492"/>
        <v>0</v>
      </c>
      <c r="CV268" s="58">
        <f t="shared" ca="1" si="492"/>
        <v>0</v>
      </c>
      <c r="CW268" s="58">
        <f t="shared" ca="1" si="492"/>
        <v>0</v>
      </c>
      <c r="CX268" s="58">
        <f t="shared" ca="1" si="492"/>
        <v>0</v>
      </c>
      <c r="CY268" s="58">
        <f t="shared" ref="CY268:ED268" ca="1" si="493">+IF(OR($F268+CY$175&lt;1,(CY$176-1)*12&lt;-$F268),0,OFFSET(CY98,0,$F268))</f>
        <v>0</v>
      </c>
      <c r="CZ268" s="58">
        <f t="shared" ca="1" si="493"/>
        <v>0</v>
      </c>
      <c r="DA268" s="58">
        <f t="shared" ca="1" si="493"/>
        <v>0</v>
      </c>
      <c r="DB268" s="58">
        <f t="shared" ca="1" si="493"/>
        <v>0</v>
      </c>
      <c r="DC268" s="58">
        <f t="shared" ca="1" si="493"/>
        <v>0</v>
      </c>
      <c r="DD268" s="58">
        <f t="shared" ca="1" si="493"/>
        <v>0</v>
      </c>
      <c r="DE268" s="58">
        <f t="shared" ca="1" si="493"/>
        <v>0</v>
      </c>
      <c r="DF268" s="58">
        <f t="shared" ca="1" si="493"/>
        <v>0</v>
      </c>
      <c r="DG268" s="58">
        <f t="shared" ca="1" si="493"/>
        <v>0</v>
      </c>
      <c r="DH268" s="58">
        <f t="shared" ca="1" si="493"/>
        <v>0</v>
      </c>
      <c r="DI268" s="58">
        <f t="shared" ca="1" si="493"/>
        <v>0</v>
      </c>
      <c r="DJ268" s="58">
        <f t="shared" ca="1" si="493"/>
        <v>0</v>
      </c>
      <c r="DK268" s="58">
        <f t="shared" ca="1" si="493"/>
        <v>0</v>
      </c>
      <c r="DL268" s="58">
        <f t="shared" ca="1" si="493"/>
        <v>0</v>
      </c>
      <c r="DM268" s="58">
        <f t="shared" ca="1" si="493"/>
        <v>0</v>
      </c>
      <c r="DN268" s="58">
        <f t="shared" ca="1" si="493"/>
        <v>0</v>
      </c>
      <c r="DO268" s="58">
        <f t="shared" ca="1" si="493"/>
        <v>0</v>
      </c>
      <c r="DP268" s="58">
        <f t="shared" ca="1" si="493"/>
        <v>0</v>
      </c>
      <c r="DQ268" s="58">
        <f t="shared" ca="1" si="493"/>
        <v>0</v>
      </c>
      <c r="DR268" s="58">
        <f t="shared" ca="1" si="493"/>
        <v>0</v>
      </c>
      <c r="DS268" s="58">
        <f t="shared" ca="1" si="493"/>
        <v>0</v>
      </c>
      <c r="DT268" s="58">
        <f t="shared" ca="1" si="493"/>
        <v>0</v>
      </c>
      <c r="DU268" s="58">
        <f t="shared" ca="1" si="493"/>
        <v>0</v>
      </c>
      <c r="DV268" s="58">
        <f t="shared" ca="1" si="493"/>
        <v>0</v>
      </c>
      <c r="DW268" s="58">
        <f t="shared" ca="1" si="493"/>
        <v>0</v>
      </c>
      <c r="DX268" s="58">
        <f t="shared" ca="1" si="493"/>
        <v>0</v>
      </c>
      <c r="DY268" s="58">
        <f t="shared" ca="1" si="493"/>
        <v>0</v>
      </c>
      <c r="DZ268" s="58">
        <f t="shared" ca="1" si="493"/>
        <v>0</v>
      </c>
      <c r="EA268" s="58">
        <f t="shared" ca="1" si="493"/>
        <v>0</v>
      </c>
      <c r="EB268" s="58">
        <f t="shared" ca="1" si="493"/>
        <v>0</v>
      </c>
      <c r="EC268" s="58">
        <f t="shared" ca="1" si="493"/>
        <v>0</v>
      </c>
      <c r="ED268" s="58">
        <f t="shared" ca="1" si="493"/>
        <v>0</v>
      </c>
      <c r="EE268" s="58">
        <f t="shared" ref="EE268:FN268" ca="1" si="494">+IF(OR($F268+EE$175&lt;1,(EE$176-1)*12&lt;-$F268),0,OFFSET(EE98,0,$F268))</f>
        <v>0</v>
      </c>
      <c r="EF268" s="58">
        <f t="shared" ca="1" si="494"/>
        <v>0</v>
      </c>
      <c r="EG268" s="58">
        <f t="shared" ca="1" si="494"/>
        <v>0</v>
      </c>
      <c r="EH268" s="58">
        <f t="shared" ca="1" si="494"/>
        <v>0</v>
      </c>
      <c r="EI268" s="58">
        <f t="shared" ca="1" si="494"/>
        <v>0</v>
      </c>
      <c r="EJ268" s="58">
        <f t="shared" ca="1" si="494"/>
        <v>0</v>
      </c>
      <c r="EK268" s="58">
        <f t="shared" ca="1" si="494"/>
        <v>0</v>
      </c>
      <c r="EL268" s="58">
        <f t="shared" ca="1" si="494"/>
        <v>0</v>
      </c>
      <c r="EM268" s="58">
        <f t="shared" ca="1" si="494"/>
        <v>0</v>
      </c>
      <c r="EN268" s="58">
        <f t="shared" ca="1" si="494"/>
        <v>0</v>
      </c>
      <c r="EO268" s="58">
        <f t="shared" ca="1" si="494"/>
        <v>0</v>
      </c>
      <c r="EP268" s="58">
        <f t="shared" ca="1" si="494"/>
        <v>0</v>
      </c>
      <c r="EQ268" s="58">
        <f t="shared" ca="1" si="494"/>
        <v>0</v>
      </c>
      <c r="ER268" s="58">
        <f t="shared" ca="1" si="494"/>
        <v>0</v>
      </c>
      <c r="ES268" s="58">
        <f t="shared" ca="1" si="494"/>
        <v>0</v>
      </c>
      <c r="ET268" s="58">
        <f t="shared" ca="1" si="494"/>
        <v>0</v>
      </c>
      <c r="EU268" s="58">
        <f t="shared" ca="1" si="494"/>
        <v>0</v>
      </c>
      <c r="EV268" s="58">
        <f t="shared" ca="1" si="494"/>
        <v>0</v>
      </c>
      <c r="EW268" s="58">
        <f t="shared" ca="1" si="494"/>
        <v>0</v>
      </c>
      <c r="EX268" s="58">
        <f t="shared" ca="1" si="494"/>
        <v>0</v>
      </c>
      <c r="EY268" s="58">
        <f t="shared" ca="1" si="494"/>
        <v>0</v>
      </c>
      <c r="EZ268" s="58">
        <f t="shared" ca="1" si="494"/>
        <v>0</v>
      </c>
      <c r="FA268" s="58">
        <f t="shared" ca="1" si="494"/>
        <v>0</v>
      </c>
      <c r="FB268" s="58">
        <f t="shared" ca="1" si="494"/>
        <v>0</v>
      </c>
      <c r="FC268" s="58">
        <f t="shared" ca="1" si="494"/>
        <v>0</v>
      </c>
      <c r="FD268" s="58">
        <f t="shared" ca="1" si="494"/>
        <v>0</v>
      </c>
      <c r="FE268" s="58">
        <f t="shared" ca="1" si="494"/>
        <v>0</v>
      </c>
      <c r="FF268" s="58">
        <f t="shared" ca="1" si="494"/>
        <v>0</v>
      </c>
      <c r="FG268" s="58">
        <f t="shared" ca="1" si="494"/>
        <v>0</v>
      </c>
      <c r="FH268" s="58">
        <f t="shared" ca="1" si="494"/>
        <v>0</v>
      </c>
      <c r="FI268" s="58">
        <f t="shared" ca="1" si="494"/>
        <v>0</v>
      </c>
      <c r="FJ268" s="58">
        <f t="shared" ca="1" si="494"/>
        <v>0</v>
      </c>
      <c r="FK268" s="58">
        <f t="shared" ca="1" si="494"/>
        <v>0</v>
      </c>
      <c r="FL268" s="58">
        <f t="shared" ca="1" si="494"/>
        <v>0</v>
      </c>
      <c r="FM268" s="58">
        <f t="shared" ca="1" si="494"/>
        <v>0</v>
      </c>
      <c r="FN268" s="58">
        <f t="shared" ca="1" si="494"/>
        <v>0</v>
      </c>
      <c r="FO268" s="13"/>
    </row>
    <row r="269" spans="1:171" outlineLevel="1" x14ac:dyDescent="0.3">
      <c r="A269" s="13"/>
      <c r="B269" s="13"/>
      <c r="C269" s="13"/>
      <c r="D269" s="52">
        <f t="shared" si="357"/>
        <v>42948</v>
      </c>
      <c r="E269" s="53">
        <f t="shared" si="358"/>
        <v>2017</v>
      </c>
      <c r="F269" s="53">
        <f t="shared" si="359"/>
        <v>43</v>
      </c>
      <c r="G269" s="58">
        <f t="shared" ref="G269:AL269" ca="1" si="495">+IF(OR($F269+G$175&lt;1,(G$176-1)*12&lt;-$F269),0,OFFSET(G99,0,$F269))</f>
        <v>0</v>
      </c>
      <c r="H269" s="58">
        <f t="shared" ca="1" si="495"/>
        <v>0</v>
      </c>
      <c r="I269" s="58">
        <f t="shared" ca="1" si="495"/>
        <v>0</v>
      </c>
      <c r="J269" s="58">
        <f t="shared" ca="1" si="495"/>
        <v>0</v>
      </c>
      <c r="K269" s="58">
        <f t="shared" ca="1" si="495"/>
        <v>0</v>
      </c>
      <c r="L269" s="58">
        <f t="shared" ca="1" si="495"/>
        <v>0</v>
      </c>
      <c r="M269" s="58">
        <f t="shared" ca="1" si="495"/>
        <v>0</v>
      </c>
      <c r="N269" s="58">
        <f t="shared" ca="1" si="495"/>
        <v>0</v>
      </c>
      <c r="O269" s="58">
        <f t="shared" ca="1" si="495"/>
        <v>0</v>
      </c>
      <c r="P269" s="58">
        <f t="shared" ca="1" si="495"/>
        <v>0</v>
      </c>
      <c r="Q269" s="58">
        <f t="shared" ca="1" si="495"/>
        <v>0</v>
      </c>
      <c r="R269" s="58">
        <f t="shared" ca="1" si="495"/>
        <v>0</v>
      </c>
      <c r="S269" s="58">
        <f t="shared" ca="1" si="495"/>
        <v>0</v>
      </c>
      <c r="T269" s="58">
        <f t="shared" ca="1" si="495"/>
        <v>0</v>
      </c>
      <c r="U269" s="58">
        <f t="shared" ca="1" si="495"/>
        <v>0</v>
      </c>
      <c r="V269" s="58">
        <f t="shared" ca="1" si="495"/>
        <v>0</v>
      </c>
      <c r="W269" s="58">
        <f t="shared" ca="1" si="495"/>
        <v>0</v>
      </c>
      <c r="X269" s="58">
        <f t="shared" ca="1" si="495"/>
        <v>0</v>
      </c>
      <c r="Y269" s="58">
        <f t="shared" ca="1" si="495"/>
        <v>0</v>
      </c>
      <c r="Z269" s="58">
        <f t="shared" ca="1" si="495"/>
        <v>0</v>
      </c>
      <c r="AA269" s="58">
        <f t="shared" ca="1" si="495"/>
        <v>0</v>
      </c>
      <c r="AB269" s="58">
        <f t="shared" ca="1" si="495"/>
        <v>0</v>
      </c>
      <c r="AC269" s="58">
        <f t="shared" ca="1" si="495"/>
        <v>0</v>
      </c>
      <c r="AD269" s="58">
        <f t="shared" ca="1" si="495"/>
        <v>0</v>
      </c>
      <c r="AE269" s="58">
        <f t="shared" ca="1" si="495"/>
        <v>0</v>
      </c>
      <c r="AF269" s="58">
        <f t="shared" ca="1" si="495"/>
        <v>0</v>
      </c>
      <c r="AG269" s="58">
        <f t="shared" ca="1" si="495"/>
        <v>0</v>
      </c>
      <c r="AH269" s="58">
        <f t="shared" ca="1" si="495"/>
        <v>0</v>
      </c>
      <c r="AI269" s="58">
        <f t="shared" ca="1" si="495"/>
        <v>0</v>
      </c>
      <c r="AJ269" s="58">
        <f t="shared" ca="1" si="495"/>
        <v>0</v>
      </c>
      <c r="AK269" s="58">
        <f t="shared" ca="1" si="495"/>
        <v>0</v>
      </c>
      <c r="AL269" s="58">
        <f t="shared" ca="1" si="495"/>
        <v>0</v>
      </c>
      <c r="AM269" s="58">
        <f t="shared" ref="AM269:BR269" ca="1" si="496">+IF(OR($F269+AM$175&lt;1,(AM$176-1)*12&lt;-$F269),0,OFFSET(AM99,0,$F269))</f>
        <v>0</v>
      </c>
      <c r="AN269" s="58">
        <f t="shared" ca="1" si="496"/>
        <v>0</v>
      </c>
      <c r="AO269" s="58">
        <f t="shared" ca="1" si="496"/>
        <v>0</v>
      </c>
      <c r="AP269" s="58">
        <f t="shared" ca="1" si="496"/>
        <v>0</v>
      </c>
      <c r="AQ269" s="58">
        <f t="shared" ca="1" si="496"/>
        <v>0</v>
      </c>
      <c r="AR269" s="58">
        <f t="shared" ca="1" si="496"/>
        <v>0</v>
      </c>
      <c r="AS269" s="58">
        <f t="shared" ca="1" si="496"/>
        <v>0</v>
      </c>
      <c r="AT269" s="58">
        <f t="shared" ca="1" si="496"/>
        <v>0</v>
      </c>
      <c r="AU269" s="58">
        <f t="shared" ca="1" si="496"/>
        <v>0</v>
      </c>
      <c r="AV269" s="58">
        <f t="shared" ca="1" si="496"/>
        <v>0</v>
      </c>
      <c r="AW269" s="58">
        <f t="shared" ca="1" si="496"/>
        <v>0</v>
      </c>
      <c r="AX269" s="58">
        <f t="shared" ca="1" si="496"/>
        <v>0</v>
      </c>
      <c r="AY269" s="58">
        <f t="shared" ca="1" si="496"/>
        <v>0</v>
      </c>
      <c r="AZ269" s="58">
        <f t="shared" ca="1" si="496"/>
        <v>0</v>
      </c>
      <c r="BA269" s="58">
        <f t="shared" ca="1" si="496"/>
        <v>0</v>
      </c>
      <c r="BB269" s="58">
        <f t="shared" ca="1" si="496"/>
        <v>0</v>
      </c>
      <c r="BC269" s="58">
        <f t="shared" ca="1" si="496"/>
        <v>0</v>
      </c>
      <c r="BD269" s="58">
        <f t="shared" ca="1" si="496"/>
        <v>0</v>
      </c>
      <c r="BE269" s="58">
        <f t="shared" ca="1" si="496"/>
        <v>0</v>
      </c>
      <c r="BF269" s="58">
        <f t="shared" ca="1" si="496"/>
        <v>0</v>
      </c>
      <c r="BG269" s="58">
        <f t="shared" ca="1" si="496"/>
        <v>0</v>
      </c>
      <c r="BH269" s="58">
        <f t="shared" ca="1" si="496"/>
        <v>0</v>
      </c>
      <c r="BI269" s="58">
        <f t="shared" ca="1" si="496"/>
        <v>0</v>
      </c>
      <c r="BJ269" s="58">
        <f t="shared" ca="1" si="496"/>
        <v>0</v>
      </c>
      <c r="BK269" s="58">
        <f t="shared" ca="1" si="496"/>
        <v>0</v>
      </c>
      <c r="BL269" s="58">
        <f t="shared" ca="1" si="496"/>
        <v>0</v>
      </c>
      <c r="BM269" s="58">
        <f t="shared" ca="1" si="496"/>
        <v>0</v>
      </c>
      <c r="BN269" s="58">
        <f t="shared" ca="1" si="496"/>
        <v>0</v>
      </c>
      <c r="BO269" s="58">
        <f t="shared" ca="1" si="496"/>
        <v>0</v>
      </c>
      <c r="BP269" s="58">
        <f t="shared" ca="1" si="496"/>
        <v>0</v>
      </c>
      <c r="BQ269" s="58">
        <f t="shared" ca="1" si="496"/>
        <v>0</v>
      </c>
      <c r="BR269" s="58">
        <f t="shared" ca="1" si="496"/>
        <v>0</v>
      </c>
      <c r="BS269" s="58">
        <f t="shared" ref="BS269:CX269" ca="1" si="497">+IF(OR($F269+BS$175&lt;1,(BS$176-1)*12&lt;-$F269),0,OFFSET(BS99,0,$F269))</f>
        <v>0</v>
      </c>
      <c r="BT269" s="58">
        <f t="shared" ca="1" si="497"/>
        <v>0</v>
      </c>
      <c r="BU269" s="58">
        <f t="shared" ca="1" si="497"/>
        <v>0</v>
      </c>
      <c r="BV269" s="58">
        <f t="shared" ca="1" si="497"/>
        <v>0</v>
      </c>
      <c r="BW269" s="58">
        <f t="shared" ca="1" si="497"/>
        <v>0</v>
      </c>
      <c r="BX269" s="58">
        <f t="shared" ca="1" si="497"/>
        <v>0</v>
      </c>
      <c r="BY269" s="58">
        <f t="shared" ca="1" si="497"/>
        <v>0</v>
      </c>
      <c r="BZ269" s="58">
        <f t="shared" ca="1" si="497"/>
        <v>0</v>
      </c>
      <c r="CA269" s="58">
        <f t="shared" ca="1" si="497"/>
        <v>0</v>
      </c>
      <c r="CB269" s="58">
        <f t="shared" ca="1" si="497"/>
        <v>0</v>
      </c>
      <c r="CC269" s="58">
        <f t="shared" ca="1" si="497"/>
        <v>0</v>
      </c>
      <c r="CD269" s="58">
        <f t="shared" ca="1" si="497"/>
        <v>0</v>
      </c>
      <c r="CE269" s="58">
        <f t="shared" ca="1" si="497"/>
        <v>0</v>
      </c>
      <c r="CF269" s="58">
        <f t="shared" ca="1" si="497"/>
        <v>0</v>
      </c>
      <c r="CG269" s="58">
        <f t="shared" ca="1" si="497"/>
        <v>0</v>
      </c>
      <c r="CH269" s="58">
        <f t="shared" ca="1" si="497"/>
        <v>0</v>
      </c>
      <c r="CI269" s="58">
        <f t="shared" ca="1" si="497"/>
        <v>0</v>
      </c>
      <c r="CJ269" s="58">
        <f t="shared" ca="1" si="497"/>
        <v>0</v>
      </c>
      <c r="CK269" s="58">
        <f t="shared" ca="1" si="497"/>
        <v>0</v>
      </c>
      <c r="CL269" s="58">
        <f t="shared" ca="1" si="497"/>
        <v>0</v>
      </c>
      <c r="CM269" s="58">
        <f t="shared" ca="1" si="497"/>
        <v>0</v>
      </c>
      <c r="CN269" s="58">
        <f t="shared" ca="1" si="497"/>
        <v>0</v>
      </c>
      <c r="CO269" s="58">
        <f t="shared" ca="1" si="497"/>
        <v>0</v>
      </c>
      <c r="CP269" s="58">
        <f t="shared" ca="1" si="497"/>
        <v>0</v>
      </c>
      <c r="CQ269" s="58">
        <f t="shared" ca="1" si="497"/>
        <v>0</v>
      </c>
      <c r="CR269" s="58">
        <f t="shared" ca="1" si="497"/>
        <v>0</v>
      </c>
      <c r="CS269" s="58">
        <f t="shared" ca="1" si="497"/>
        <v>0</v>
      </c>
      <c r="CT269" s="58">
        <f t="shared" ca="1" si="497"/>
        <v>0</v>
      </c>
      <c r="CU269" s="58">
        <f t="shared" ca="1" si="497"/>
        <v>0</v>
      </c>
      <c r="CV269" s="58">
        <f t="shared" ca="1" si="497"/>
        <v>0</v>
      </c>
      <c r="CW269" s="58">
        <f t="shared" ca="1" si="497"/>
        <v>0</v>
      </c>
      <c r="CX269" s="58">
        <f t="shared" ca="1" si="497"/>
        <v>0</v>
      </c>
      <c r="CY269" s="58">
        <f t="shared" ref="CY269:ED269" ca="1" si="498">+IF(OR($F269+CY$175&lt;1,(CY$176-1)*12&lt;-$F269),0,OFFSET(CY99,0,$F269))</f>
        <v>0</v>
      </c>
      <c r="CZ269" s="58">
        <f t="shared" ca="1" si="498"/>
        <v>0</v>
      </c>
      <c r="DA269" s="58">
        <f t="shared" ca="1" si="498"/>
        <v>0</v>
      </c>
      <c r="DB269" s="58">
        <f t="shared" ca="1" si="498"/>
        <v>0</v>
      </c>
      <c r="DC269" s="58">
        <f t="shared" ca="1" si="498"/>
        <v>0</v>
      </c>
      <c r="DD269" s="58">
        <f t="shared" ca="1" si="498"/>
        <v>0</v>
      </c>
      <c r="DE269" s="58">
        <f t="shared" ca="1" si="498"/>
        <v>0</v>
      </c>
      <c r="DF269" s="58">
        <f t="shared" ca="1" si="498"/>
        <v>0</v>
      </c>
      <c r="DG269" s="58">
        <f t="shared" ca="1" si="498"/>
        <v>0</v>
      </c>
      <c r="DH269" s="58">
        <f t="shared" ca="1" si="498"/>
        <v>0</v>
      </c>
      <c r="DI269" s="58">
        <f t="shared" ca="1" si="498"/>
        <v>0</v>
      </c>
      <c r="DJ269" s="58">
        <f t="shared" ca="1" si="498"/>
        <v>0</v>
      </c>
      <c r="DK269" s="58">
        <f t="shared" ca="1" si="498"/>
        <v>0</v>
      </c>
      <c r="DL269" s="58">
        <f t="shared" ca="1" si="498"/>
        <v>0</v>
      </c>
      <c r="DM269" s="58">
        <f t="shared" ca="1" si="498"/>
        <v>0</v>
      </c>
      <c r="DN269" s="58">
        <f t="shared" ca="1" si="498"/>
        <v>0</v>
      </c>
      <c r="DO269" s="58">
        <f t="shared" ca="1" si="498"/>
        <v>0</v>
      </c>
      <c r="DP269" s="58">
        <f t="shared" ca="1" si="498"/>
        <v>0</v>
      </c>
      <c r="DQ269" s="58">
        <f t="shared" ca="1" si="498"/>
        <v>0</v>
      </c>
      <c r="DR269" s="58">
        <f t="shared" ca="1" si="498"/>
        <v>0</v>
      </c>
      <c r="DS269" s="58">
        <f t="shared" ca="1" si="498"/>
        <v>0</v>
      </c>
      <c r="DT269" s="58">
        <f t="shared" ca="1" si="498"/>
        <v>0</v>
      </c>
      <c r="DU269" s="58">
        <f t="shared" ca="1" si="498"/>
        <v>0</v>
      </c>
      <c r="DV269" s="58">
        <f t="shared" ca="1" si="498"/>
        <v>0</v>
      </c>
      <c r="DW269" s="58">
        <f t="shared" ca="1" si="498"/>
        <v>0</v>
      </c>
      <c r="DX269" s="58">
        <f t="shared" ca="1" si="498"/>
        <v>0</v>
      </c>
      <c r="DY269" s="58">
        <f t="shared" ca="1" si="498"/>
        <v>0</v>
      </c>
      <c r="DZ269" s="58">
        <f t="shared" ca="1" si="498"/>
        <v>0</v>
      </c>
      <c r="EA269" s="58">
        <f t="shared" ca="1" si="498"/>
        <v>0</v>
      </c>
      <c r="EB269" s="58">
        <f t="shared" ca="1" si="498"/>
        <v>0</v>
      </c>
      <c r="EC269" s="58">
        <f t="shared" ca="1" si="498"/>
        <v>0</v>
      </c>
      <c r="ED269" s="58">
        <f t="shared" ca="1" si="498"/>
        <v>0</v>
      </c>
      <c r="EE269" s="58">
        <f t="shared" ref="EE269:FN269" ca="1" si="499">+IF(OR($F269+EE$175&lt;1,(EE$176-1)*12&lt;-$F269),0,OFFSET(EE99,0,$F269))</f>
        <v>0</v>
      </c>
      <c r="EF269" s="58">
        <f t="shared" ca="1" si="499"/>
        <v>0</v>
      </c>
      <c r="EG269" s="58">
        <f t="shared" ca="1" si="499"/>
        <v>0</v>
      </c>
      <c r="EH269" s="58">
        <f t="shared" ca="1" si="499"/>
        <v>0</v>
      </c>
      <c r="EI269" s="58">
        <f t="shared" ca="1" si="499"/>
        <v>0</v>
      </c>
      <c r="EJ269" s="58">
        <f t="shared" ca="1" si="499"/>
        <v>0</v>
      </c>
      <c r="EK269" s="58">
        <f t="shared" ca="1" si="499"/>
        <v>0</v>
      </c>
      <c r="EL269" s="58">
        <f t="shared" ca="1" si="499"/>
        <v>0</v>
      </c>
      <c r="EM269" s="58">
        <f t="shared" ca="1" si="499"/>
        <v>0</v>
      </c>
      <c r="EN269" s="58">
        <f t="shared" ca="1" si="499"/>
        <v>0</v>
      </c>
      <c r="EO269" s="58">
        <f t="shared" ca="1" si="499"/>
        <v>0</v>
      </c>
      <c r="EP269" s="58">
        <f t="shared" ca="1" si="499"/>
        <v>0</v>
      </c>
      <c r="EQ269" s="58">
        <f t="shared" ca="1" si="499"/>
        <v>0</v>
      </c>
      <c r="ER269" s="58">
        <f t="shared" ca="1" si="499"/>
        <v>0</v>
      </c>
      <c r="ES269" s="58">
        <f t="shared" ca="1" si="499"/>
        <v>0</v>
      </c>
      <c r="ET269" s="58">
        <f t="shared" ca="1" si="499"/>
        <v>0</v>
      </c>
      <c r="EU269" s="58">
        <f t="shared" ca="1" si="499"/>
        <v>0</v>
      </c>
      <c r="EV269" s="58">
        <f t="shared" ca="1" si="499"/>
        <v>0</v>
      </c>
      <c r="EW269" s="58">
        <f t="shared" ca="1" si="499"/>
        <v>0</v>
      </c>
      <c r="EX269" s="58">
        <f t="shared" ca="1" si="499"/>
        <v>0</v>
      </c>
      <c r="EY269" s="58">
        <f t="shared" ca="1" si="499"/>
        <v>0</v>
      </c>
      <c r="EZ269" s="58">
        <f t="shared" ca="1" si="499"/>
        <v>0</v>
      </c>
      <c r="FA269" s="58">
        <f t="shared" ca="1" si="499"/>
        <v>0</v>
      </c>
      <c r="FB269" s="58">
        <f t="shared" ca="1" si="499"/>
        <v>0</v>
      </c>
      <c r="FC269" s="58">
        <f t="shared" ca="1" si="499"/>
        <v>0</v>
      </c>
      <c r="FD269" s="58">
        <f t="shared" ca="1" si="499"/>
        <v>0</v>
      </c>
      <c r="FE269" s="58">
        <f t="shared" ca="1" si="499"/>
        <v>0</v>
      </c>
      <c r="FF269" s="58">
        <f t="shared" ca="1" si="499"/>
        <v>0</v>
      </c>
      <c r="FG269" s="58">
        <f t="shared" ca="1" si="499"/>
        <v>0</v>
      </c>
      <c r="FH269" s="58">
        <f t="shared" ca="1" si="499"/>
        <v>0</v>
      </c>
      <c r="FI269" s="58">
        <f t="shared" ca="1" si="499"/>
        <v>0</v>
      </c>
      <c r="FJ269" s="58">
        <f t="shared" ca="1" si="499"/>
        <v>0</v>
      </c>
      <c r="FK269" s="58">
        <f t="shared" ca="1" si="499"/>
        <v>0</v>
      </c>
      <c r="FL269" s="58">
        <f t="shared" ca="1" si="499"/>
        <v>0</v>
      </c>
      <c r="FM269" s="58">
        <f t="shared" ca="1" si="499"/>
        <v>0</v>
      </c>
      <c r="FN269" s="58">
        <f t="shared" ca="1" si="499"/>
        <v>0</v>
      </c>
      <c r="FO269" s="13"/>
    </row>
    <row r="270" spans="1:171" outlineLevel="1" x14ac:dyDescent="0.3">
      <c r="A270" s="13"/>
      <c r="B270" s="13"/>
      <c r="C270" s="13"/>
      <c r="D270" s="52">
        <f t="shared" si="357"/>
        <v>42979</v>
      </c>
      <c r="E270" s="53">
        <f t="shared" si="358"/>
        <v>2017</v>
      </c>
      <c r="F270" s="53">
        <f t="shared" si="359"/>
        <v>44</v>
      </c>
      <c r="G270" s="58">
        <f t="shared" ref="G270:AL270" ca="1" si="500">+IF(OR($F270+G$175&lt;1,(G$176-1)*12&lt;-$F270),0,OFFSET(G100,0,$F270))</f>
        <v>0</v>
      </c>
      <c r="H270" s="58">
        <f t="shared" ca="1" si="500"/>
        <v>0</v>
      </c>
      <c r="I270" s="58">
        <f t="shared" ca="1" si="500"/>
        <v>0</v>
      </c>
      <c r="J270" s="58">
        <f t="shared" ca="1" si="500"/>
        <v>0</v>
      </c>
      <c r="K270" s="58">
        <f t="shared" ca="1" si="500"/>
        <v>0</v>
      </c>
      <c r="L270" s="58">
        <f t="shared" ca="1" si="500"/>
        <v>0</v>
      </c>
      <c r="M270" s="58">
        <f t="shared" ca="1" si="500"/>
        <v>0</v>
      </c>
      <c r="N270" s="58">
        <f t="shared" ca="1" si="500"/>
        <v>0</v>
      </c>
      <c r="O270" s="58">
        <f t="shared" ca="1" si="500"/>
        <v>0</v>
      </c>
      <c r="P270" s="58">
        <f t="shared" ca="1" si="500"/>
        <v>0</v>
      </c>
      <c r="Q270" s="58">
        <f t="shared" ca="1" si="500"/>
        <v>0</v>
      </c>
      <c r="R270" s="58">
        <f t="shared" ca="1" si="500"/>
        <v>0</v>
      </c>
      <c r="S270" s="58">
        <f t="shared" ca="1" si="500"/>
        <v>0</v>
      </c>
      <c r="T270" s="58">
        <f t="shared" ca="1" si="500"/>
        <v>0</v>
      </c>
      <c r="U270" s="58">
        <f t="shared" ca="1" si="500"/>
        <v>0</v>
      </c>
      <c r="V270" s="58">
        <f t="shared" ca="1" si="500"/>
        <v>0</v>
      </c>
      <c r="W270" s="58">
        <f t="shared" ca="1" si="500"/>
        <v>0</v>
      </c>
      <c r="X270" s="58">
        <f t="shared" ca="1" si="500"/>
        <v>0</v>
      </c>
      <c r="Y270" s="58">
        <f t="shared" ca="1" si="500"/>
        <v>0</v>
      </c>
      <c r="Z270" s="58">
        <f t="shared" ca="1" si="500"/>
        <v>0</v>
      </c>
      <c r="AA270" s="58">
        <f t="shared" ca="1" si="500"/>
        <v>0</v>
      </c>
      <c r="AB270" s="58">
        <f t="shared" ca="1" si="500"/>
        <v>0</v>
      </c>
      <c r="AC270" s="58">
        <f t="shared" ca="1" si="500"/>
        <v>0</v>
      </c>
      <c r="AD270" s="58">
        <f t="shared" ca="1" si="500"/>
        <v>0</v>
      </c>
      <c r="AE270" s="58">
        <f t="shared" ca="1" si="500"/>
        <v>0</v>
      </c>
      <c r="AF270" s="58">
        <f t="shared" ca="1" si="500"/>
        <v>0</v>
      </c>
      <c r="AG270" s="58">
        <f t="shared" ca="1" si="500"/>
        <v>0</v>
      </c>
      <c r="AH270" s="58">
        <f t="shared" ca="1" si="500"/>
        <v>0</v>
      </c>
      <c r="AI270" s="58">
        <f t="shared" ca="1" si="500"/>
        <v>0</v>
      </c>
      <c r="AJ270" s="58">
        <f t="shared" ca="1" si="500"/>
        <v>0</v>
      </c>
      <c r="AK270" s="58">
        <f t="shared" ca="1" si="500"/>
        <v>0</v>
      </c>
      <c r="AL270" s="58">
        <f t="shared" ca="1" si="500"/>
        <v>0</v>
      </c>
      <c r="AM270" s="58">
        <f t="shared" ref="AM270:BR270" ca="1" si="501">+IF(OR($F270+AM$175&lt;1,(AM$176-1)*12&lt;-$F270),0,OFFSET(AM100,0,$F270))</f>
        <v>0</v>
      </c>
      <c r="AN270" s="58">
        <f t="shared" ca="1" si="501"/>
        <v>0</v>
      </c>
      <c r="AO270" s="58">
        <f t="shared" ca="1" si="501"/>
        <v>0</v>
      </c>
      <c r="AP270" s="58">
        <f t="shared" ca="1" si="501"/>
        <v>0</v>
      </c>
      <c r="AQ270" s="58">
        <f t="shared" ca="1" si="501"/>
        <v>0</v>
      </c>
      <c r="AR270" s="58">
        <f t="shared" ca="1" si="501"/>
        <v>0</v>
      </c>
      <c r="AS270" s="58">
        <f t="shared" ca="1" si="501"/>
        <v>0</v>
      </c>
      <c r="AT270" s="58">
        <f t="shared" ca="1" si="501"/>
        <v>0</v>
      </c>
      <c r="AU270" s="58">
        <f t="shared" ca="1" si="501"/>
        <v>0</v>
      </c>
      <c r="AV270" s="58">
        <f t="shared" ca="1" si="501"/>
        <v>0</v>
      </c>
      <c r="AW270" s="58">
        <f t="shared" ca="1" si="501"/>
        <v>0</v>
      </c>
      <c r="AX270" s="58">
        <f t="shared" ca="1" si="501"/>
        <v>0</v>
      </c>
      <c r="AY270" s="58">
        <f t="shared" ca="1" si="501"/>
        <v>0</v>
      </c>
      <c r="AZ270" s="58">
        <f t="shared" ca="1" si="501"/>
        <v>0</v>
      </c>
      <c r="BA270" s="58">
        <f t="shared" ca="1" si="501"/>
        <v>0</v>
      </c>
      <c r="BB270" s="58">
        <f t="shared" ca="1" si="501"/>
        <v>0</v>
      </c>
      <c r="BC270" s="58">
        <f t="shared" ca="1" si="501"/>
        <v>0</v>
      </c>
      <c r="BD270" s="58">
        <f t="shared" ca="1" si="501"/>
        <v>0</v>
      </c>
      <c r="BE270" s="58">
        <f t="shared" ca="1" si="501"/>
        <v>0</v>
      </c>
      <c r="BF270" s="58">
        <f t="shared" ca="1" si="501"/>
        <v>0</v>
      </c>
      <c r="BG270" s="58">
        <f t="shared" ca="1" si="501"/>
        <v>0</v>
      </c>
      <c r="BH270" s="58">
        <f t="shared" ca="1" si="501"/>
        <v>0</v>
      </c>
      <c r="BI270" s="58">
        <f t="shared" ca="1" si="501"/>
        <v>0</v>
      </c>
      <c r="BJ270" s="58">
        <f t="shared" ca="1" si="501"/>
        <v>0</v>
      </c>
      <c r="BK270" s="58">
        <f t="shared" ca="1" si="501"/>
        <v>0</v>
      </c>
      <c r="BL270" s="58">
        <f t="shared" ca="1" si="501"/>
        <v>0</v>
      </c>
      <c r="BM270" s="58">
        <f t="shared" ca="1" si="501"/>
        <v>0</v>
      </c>
      <c r="BN270" s="58">
        <f t="shared" ca="1" si="501"/>
        <v>0</v>
      </c>
      <c r="BO270" s="58">
        <f t="shared" ca="1" si="501"/>
        <v>0</v>
      </c>
      <c r="BP270" s="58">
        <f t="shared" ca="1" si="501"/>
        <v>0</v>
      </c>
      <c r="BQ270" s="58">
        <f t="shared" ca="1" si="501"/>
        <v>0</v>
      </c>
      <c r="BR270" s="58">
        <f t="shared" ca="1" si="501"/>
        <v>0</v>
      </c>
      <c r="BS270" s="58">
        <f t="shared" ref="BS270:CX270" ca="1" si="502">+IF(OR($F270+BS$175&lt;1,(BS$176-1)*12&lt;-$F270),0,OFFSET(BS100,0,$F270))</f>
        <v>0</v>
      </c>
      <c r="BT270" s="58">
        <f t="shared" ca="1" si="502"/>
        <v>0</v>
      </c>
      <c r="BU270" s="58">
        <f t="shared" ca="1" si="502"/>
        <v>0</v>
      </c>
      <c r="BV270" s="58">
        <f t="shared" ca="1" si="502"/>
        <v>0</v>
      </c>
      <c r="BW270" s="58">
        <f t="shared" ca="1" si="502"/>
        <v>0</v>
      </c>
      <c r="BX270" s="58">
        <f t="shared" ca="1" si="502"/>
        <v>0</v>
      </c>
      <c r="BY270" s="58">
        <f t="shared" ca="1" si="502"/>
        <v>0</v>
      </c>
      <c r="BZ270" s="58">
        <f t="shared" ca="1" si="502"/>
        <v>0</v>
      </c>
      <c r="CA270" s="58">
        <f t="shared" ca="1" si="502"/>
        <v>0</v>
      </c>
      <c r="CB270" s="58">
        <f t="shared" ca="1" si="502"/>
        <v>0</v>
      </c>
      <c r="CC270" s="58">
        <f t="shared" ca="1" si="502"/>
        <v>0</v>
      </c>
      <c r="CD270" s="58">
        <f t="shared" ca="1" si="502"/>
        <v>0</v>
      </c>
      <c r="CE270" s="58">
        <f t="shared" ca="1" si="502"/>
        <v>0</v>
      </c>
      <c r="CF270" s="58">
        <f t="shared" ca="1" si="502"/>
        <v>0</v>
      </c>
      <c r="CG270" s="58">
        <f t="shared" ca="1" si="502"/>
        <v>0</v>
      </c>
      <c r="CH270" s="58">
        <f t="shared" ca="1" si="502"/>
        <v>0</v>
      </c>
      <c r="CI270" s="58">
        <f t="shared" ca="1" si="502"/>
        <v>0</v>
      </c>
      <c r="CJ270" s="58">
        <f t="shared" ca="1" si="502"/>
        <v>0</v>
      </c>
      <c r="CK270" s="58">
        <f t="shared" ca="1" si="502"/>
        <v>0</v>
      </c>
      <c r="CL270" s="58">
        <f t="shared" ca="1" si="502"/>
        <v>0</v>
      </c>
      <c r="CM270" s="58">
        <f t="shared" ca="1" si="502"/>
        <v>0</v>
      </c>
      <c r="CN270" s="58">
        <f t="shared" ca="1" si="502"/>
        <v>0</v>
      </c>
      <c r="CO270" s="58">
        <f t="shared" ca="1" si="502"/>
        <v>0</v>
      </c>
      <c r="CP270" s="58">
        <f t="shared" ca="1" si="502"/>
        <v>0</v>
      </c>
      <c r="CQ270" s="58">
        <f t="shared" ca="1" si="502"/>
        <v>0</v>
      </c>
      <c r="CR270" s="58">
        <f t="shared" ca="1" si="502"/>
        <v>0</v>
      </c>
      <c r="CS270" s="58">
        <f t="shared" ca="1" si="502"/>
        <v>0</v>
      </c>
      <c r="CT270" s="58">
        <f t="shared" ca="1" si="502"/>
        <v>0</v>
      </c>
      <c r="CU270" s="58">
        <f t="shared" ca="1" si="502"/>
        <v>0</v>
      </c>
      <c r="CV270" s="58">
        <f t="shared" ca="1" si="502"/>
        <v>0</v>
      </c>
      <c r="CW270" s="58">
        <f t="shared" ca="1" si="502"/>
        <v>0</v>
      </c>
      <c r="CX270" s="58">
        <f t="shared" ca="1" si="502"/>
        <v>0</v>
      </c>
      <c r="CY270" s="58">
        <f t="shared" ref="CY270:ED270" ca="1" si="503">+IF(OR($F270+CY$175&lt;1,(CY$176-1)*12&lt;-$F270),0,OFFSET(CY100,0,$F270))</f>
        <v>0</v>
      </c>
      <c r="CZ270" s="58">
        <f t="shared" ca="1" si="503"/>
        <v>0</v>
      </c>
      <c r="DA270" s="58">
        <f t="shared" ca="1" si="503"/>
        <v>0</v>
      </c>
      <c r="DB270" s="58">
        <f t="shared" ca="1" si="503"/>
        <v>0</v>
      </c>
      <c r="DC270" s="58">
        <f t="shared" ca="1" si="503"/>
        <v>0</v>
      </c>
      <c r="DD270" s="58">
        <f t="shared" ca="1" si="503"/>
        <v>0</v>
      </c>
      <c r="DE270" s="58">
        <f t="shared" ca="1" si="503"/>
        <v>0</v>
      </c>
      <c r="DF270" s="58">
        <f t="shared" ca="1" si="503"/>
        <v>0</v>
      </c>
      <c r="DG270" s="58">
        <f t="shared" ca="1" si="503"/>
        <v>0</v>
      </c>
      <c r="DH270" s="58">
        <f t="shared" ca="1" si="503"/>
        <v>0</v>
      </c>
      <c r="DI270" s="58">
        <f t="shared" ca="1" si="503"/>
        <v>0</v>
      </c>
      <c r="DJ270" s="58">
        <f t="shared" ca="1" si="503"/>
        <v>0</v>
      </c>
      <c r="DK270" s="58">
        <f t="shared" ca="1" si="503"/>
        <v>0</v>
      </c>
      <c r="DL270" s="58">
        <f t="shared" ca="1" si="503"/>
        <v>0</v>
      </c>
      <c r="DM270" s="58">
        <f t="shared" ca="1" si="503"/>
        <v>0</v>
      </c>
      <c r="DN270" s="58">
        <f t="shared" ca="1" si="503"/>
        <v>0</v>
      </c>
      <c r="DO270" s="58">
        <f t="shared" ca="1" si="503"/>
        <v>0</v>
      </c>
      <c r="DP270" s="58">
        <f t="shared" ca="1" si="503"/>
        <v>0</v>
      </c>
      <c r="DQ270" s="58">
        <f t="shared" ca="1" si="503"/>
        <v>0</v>
      </c>
      <c r="DR270" s="58">
        <f t="shared" ca="1" si="503"/>
        <v>0</v>
      </c>
      <c r="DS270" s="58">
        <f t="shared" ca="1" si="503"/>
        <v>0</v>
      </c>
      <c r="DT270" s="58">
        <f t="shared" ca="1" si="503"/>
        <v>0</v>
      </c>
      <c r="DU270" s="58">
        <f t="shared" ca="1" si="503"/>
        <v>0</v>
      </c>
      <c r="DV270" s="58">
        <f t="shared" ca="1" si="503"/>
        <v>0</v>
      </c>
      <c r="DW270" s="58">
        <f t="shared" ca="1" si="503"/>
        <v>0</v>
      </c>
      <c r="DX270" s="58">
        <f t="shared" ca="1" si="503"/>
        <v>0</v>
      </c>
      <c r="DY270" s="58">
        <f t="shared" ca="1" si="503"/>
        <v>0</v>
      </c>
      <c r="DZ270" s="58">
        <f t="shared" ca="1" si="503"/>
        <v>0</v>
      </c>
      <c r="EA270" s="58">
        <f t="shared" ca="1" si="503"/>
        <v>0</v>
      </c>
      <c r="EB270" s="58">
        <f t="shared" ca="1" si="503"/>
        <v>0</v>
      </c>
      <c r="EC270" s="58">
        <f t="shared" ca="1" si="503"/>
        <v>0</v>
      </c>
      <c r="ED270" s="58">
        <f t="shared" ca="1" si="503"/>
        <v>0</v>
      </c>
      <c r="EE270" s="58">
        <f t="shared" ref="EE270:FN270" ca="1" si="504">+IF(OR($F270+EE$175&lt;1,(EE$176-1)*12&lt;-$F270),0,OFFSET(EE100,0,$F270))</f>
        <v>0</v>
      </c>
      <c r="EF270" s="58">
        <f t="shared" ca="1" si="504"/>
        <v>0</v>
      </c>
      <c r="EG270" s="58">
        <f t="shared" ca="1" si="504"/>
        <v>0</v>
      </c>
      <c r="EH270" s="58">
        <f t="shared" ca="1" si="504"/>
        <v>0</v>
      </c>
      <c r="EI270" s="58">
        <f t="shared" ca="1" si="504"/>
        <v>0</v>
      </c>
      <c r="EJ270" s="58">
        <f t="shared" ca="1" si="504"/>
        <v>0</v>
      </c>
      <c r="EK270" s="58">
        <f t="shared" ca="1" si="504"/>
        <v>0</v>
      </c>
      <c r="EL270" s="58">
        <f t="shared" ca="1" si="504"/>
        <v>0</v>
      </c>
      <c r="EM270" s="58">
        <f t="shared" ca="1" si="504"/>
        <v>0</v>
      </c>
      <c r="EN270" s="58">
        <f t="shared" ca="1" si="504"/>
        <v>0</v>
      </c>
      <c r="EO270" s="58">
        <f t="shared" ca="1" si="504"/>
        <v>0</v>
      </c>
      <c r="EP270" s="58">
        <f t="shared" ca="1" si="504"/>
        <v>0</v>
      </c>
      <c r="EQ270" s="58">
        <f t="shared" ca="1" si="504"/>
        <v>0</v>
      </c>
      <c r="ER270" s="58">
        <f t="shared" ca="1" si="504"/>
        <v>0</v>
      </c>
      <c r="ES270" s="58">
        <f t="shared" ca="1" si="504"/>
        <v>0</v>
      </c>
      <c r="ET270" s="58">
        <f t="shared" ca="1" si="504"/>
        <v>0</v>
      </c>
      <c r="EU270" s="58">
        <f t="shared" ca="1" si="504"/>
        <v>0</v>
      </c>
      <c r="EV270" s="58">
        <f t="shared" ca="1" si="504"/>
        <v>0</v>
      </c>
      <c r="EW270" s="58">
        <f t="shared" ca="1" si="504"/>
        <v>0</v>
      </c>
      <c r="EX270" s="58">
        <f t="shared" ca="1" si="504"/>
        <v>0</v>
      </c>
      <c r="EY270" s="58">
        <f t="shared" ca="1" si="504"/>
        <v>0</v>
      </c>
      <c r="EZ270" s="58">
        <f t="shared" ca="1" si="504"/>
        <v>0</v>
      </c>
      <c r="FA270" s="58">
        <f t="shared" ca="1" si="504"/>
        <v>0</v>
      </c>
      <c r="FB270" s="58">
        <f t="shared" ca="1" si="504"/>
        <v>0</v>
      </c>
      <c r="FC270" s="58">
        <f t="shared" ca="1" si="504"/>
        <v>0</v>
      </c>
      <c r="FD270" s="58">
        <f t="shared" ca="1" si="504"/>
        <v>0</v>
      </c>
      <c r="FE270" s="58">
        <f t="shared" ca="1" si="504"/>
        <v>0</v>
      </c>
      <c r="FF270" s="58">
        <f t="shared" ca="1" si="504"/>
        <v>0</v>
      </c>
      <c r="FG270" s="58">
        <f t="shared" ca="1" si="504"/>
        <v>0</v>
      </c>
      <c r="FH270" s="58">
        <f t="shared" ca="1" si="504"/>
        <v>0</v>
      </c>
      <c r="FI270" s="58">
        <f t="shared" ca="1" si="504"/>
        <v>0</v>
      </c>
      <c r="FJ270" s="58">
        <f t="shared" ca="1" si="504"/>
        <v>0</v>
      </c>
      <c r="FK270" s="58">
        <f t="shared" ca="1" si="504"/>
        <v>0</v>
      </c>
      <c r="FL270" s="58">
        <f t="shared" ca="1" si="504"/>
        <v>0</v>
      </c>
      <c r="FM270" s="58">
        <f t="shared" ca="1" si="504"/>
        <v>0</v>
      </c>
      <c r="FN270" s="58">
        <f t="shared" ca="1" si="504"/>
        <v>0</v>
      </c>
      <c r="FO270" s="13"/>
    </row>
    <row r="271" spans="1:171" outlineLevel="1" x14ac:dyDescent="0.3">
      <c r="A271" s="13"/>
      <c r="B271" s="13"/>
      <c r="C271" s="13"/>
      <c r="D271" s="52">
        <f t="shared" si="357"/>
        <v>43009</v>
      </c>
      <c r="E271" s="53">
        <f t="shared" si="358"/>
        <v>2017</v>
      </c>
      <c r="F271" s="53">
        <f t="shared" si="359"/>
        <v>45</v>
      </c>
      <c r="G271" s="58">
        <f t="shared" ref="G271:AL271" ca="1" si="505">+IF(OR($F271+G$175&lt;1,(G$176-1)*12&lt;-$F271),0,OFFSET(G101,0,$F271))</f>
        <v>0</v>
      </c>
      <c r="H271" s="58">
        <f t="shared" ca="1" si="505"/>
        <v>0</v>
      </c>
      <c r="I271" s="58">
        <f t="shared" ca="1" si="505"/>
        <v>0</v>
      </c>
      <c r="J271" s="58">
        <f t="shared" ca="1" si="505"/>
        <v>0</v>
      </c>
      <c r="K271" s="58">
        <f t="shared" ca="1" si="505"/>
        <v>0</v>
      </c>
      <c r="L271" s="58">
        <f t="shared" ca="1" si="505"/>
        <v>0</v>
      </c>
      <c r="M271" s="58">
        <f t="shared" ca="1" si="505"/>
        <v>0</v>
      </c>
      <c r="N271" s="58">
        <f t="shared" ca="1" si="505"/>
        <v>0</v>
      </c>
      <c r="O271" s="58">
        <f t="shared" ca="1" si="505"/>
        <v>0</v>
      </c>
      <c r="P271" s="58">
        <f t="shared" ca="1" si="505"/>
        <v>0</v>
      </c>
      <c r="Q271" s="58">
        <f t="shared" ca="1" si="505"/>
        <v>0</v>
      </c>
      <c r="R271" s="58">
        <f t="shared" ca="1" si="505"/>
        <v>0</v>
      </c>
      <c r="S271" s="58">
        <f t="shared" ca="1" si="505"/>
        <v>0</v>
      </c>
      <c r="T271" s="58">
        <f t="shared" ca="1" si="505"/>
        <v>0</v>
      </c>
      <c r="U271" s="58">
        <f t="shared" ca="1" si="505"/>
        <v>0</v>
      </c>
      <c r="V271" s="58">
        <f t="shared" ca="1" si="505"/>
        <v>0</v>
      </c>
      <c r="W271" s="58">
        <f t="shared" ca="1" si="505"/>
        <v>0</v>
      </c>
      <c r="X271" s="58">
        <f t="shared" ca="1" si="505"/>
        <v>0</v>
      </c>
      <c r="Y271" s="58">
        <f t="shared" ca="1" si="505"/>
        <v>0</v>
      </c>
      <c r="Z271" s="58">
        <f t="shared" ca="1" si="505"/>
        <v>0</v>
      </c>
      <c r="AA271" s="58">
        <f t="shared" ca="1" si="505"/>
        <v>0</v>
      </c>
      <c r="AB271" s="58">
        <f t="shared" ca="1" si="505"/>
        <v>0</v>
      </c>
      <c r="AC271" s="58">
        <f t="shared" ca="1" si="505"/>
        <v>0</v>
      </c>
      <c r="AD271" s="58">
        <f t="shared" ca="1" si="505"/>
        <v>0</v>
      </c>
      <c r="AE271" s="58">
        <f t="shared" ca="1" si="505"/>
        <v>0</v>
      </c>
      <c r="AF271" s="58">
        <f t="shared" ca="1" si="505"/>
        <v>0</v>
      </c>
      <c r="AG271" s="58">
        <f t="shared" ca="1" si="505"/>
        <v>0</v>
      </c>
      <c r="AH271" s="58">
        <f t="shared" ca="1" si="505"/>
        <v>0</v>
      </c>
      <c r="AI271" s="58">
        <f t="shared" ca="1" si="505"/>
        <v>0</v>
      </c>
      <c r="AJ271" s="58">
        <f t="shared" ca="1" si="505"/>
        <v>0</v>
      </c>
      <c r="AK271" s="58">
        <f t="shared" ca="1" si="505"/>
        <v>0</v>
      </c>
      <c r="AL271" s="58">
        <f t="shared" ca="1" si="505"/>
        <v>0</v>
      </c>
      <c r="AM271" s="58">
        <f t="shared" ref="AM271:BR271" ca="1" si="506">+IF(OR($F271+AM$175&lt;1,(AM$176-1)*12&lt;-$F271),0,OFFSET(AM101,0,$F271))</f>
        <v>0</v>
      </c>
      <c r="AN271" s="58">
        <f t="shared" ca="1" si="506"/>
        <v>0</v>
      </c>
      <c r="AO271" s="58">
        <f t="shared" ca="1" si="506"/>
        <v>0</v>
      </c>
      <c r="AP271" s="58">
        <f t="shared" ca="1" si="506"/>
        <v>0</v>
      </c>
      <c r="AQ271" s="58">
        <f t="shared" ca="1" si="506"/>
        <v>0</v>
      </c>
      <c r="AR271" s="58">
        <f t="shared" ca="1" si="506"/>
        <v>0</v>
      </c>
      <c r="AS271" s="58">
        <f t="shared" ca="1" si="506"/>
        <v>0</v>
      </c>
      <c r="AT271" s="58">
        <f t="shared" ca="1" si="506"/>
        <v>0</v>
      </c>
      <c r="AU271" s="58">
        <f t="shared" ca="1" si="506"/>
        <v>0</v>
      </c>
      <c r="AV271" s="58">
        <f t="shared" ca="1" si="506"/>
        <v>0</v>
      </c>
      <c r="AW271" s="58">
        <f t="shared" ca="1" si="506"/>
        <v>0</v>
      </c>
      <c r="AX271" s="58">
        <f t="shared" ca="1" si="506"/>
        <v>0</v>
      </c>
      <c r="AY271" s="58">
        <f t="shared" ca="1" si="506"/>
        <v>0</v>
      </c>
      <c r="AZ271" s="58">
        <f t="shared" ca="1" si="506"/>
        <v>0</v>
      </c>
      <c r="BA271" s="58">
        <f t="shared" ca="1" si="506"/>
        <v>0</v>
      </c>
      <c r="BB271" s="58">
        <f t="shared" ca="1" si="506"/>
        <v>0</v>
      </c>
      <c r="BC271" s="58">
        <f t="shared" ca="1" si="506"/>
        <v>0</v>
      </c>
      <c r="BD271" s="58">
        <f t="shared" ca="1" si="506"/>
        <v>0</v>
      </c>
      <c r="BE271" s="58">
        <f t="shared" ca="1" si="506"/>
        <v>0</v>
      </c>
      <c r="BF271" s="58">
        <f t="shared" ca="1" si="506"/>
        <v>0</v>
      </c>
      <c r="BG271" s="58">
        <f t="shared" ca="1" si="506"/>
        <v>0</v>
      </c>
      <c r="BH271" s="58">
        <f t="shared" ca="1" si="506"/>
        <v>0</v>
      </c>
      <c r="BI271" s="58">
        <f t="shared" ca="1" si="506"/>
        <v>0</v>
      </c>
      <c r="BJ271" s="58">
        <f t="shared" ca="1" si="506"/>
        <v>0</v>
      </c>
      <c r="BK271" s="58">
        <f t="shared" ca="1" si="506"/>
        <v>0</v>
      </c>
      <c r="BL271" s="58">
        <f t="shared" ca="1" si="506"/>
        <v>0</v>
      </c>
      <c r="BM271" s="58">
        <f t="shared" ca="1" si="506"/>
        <v>0</v>
      </c>
      <c r="BN271" s="58">
        <f t="shared" ca="1" si="506"/>
        <v>0</v>
      </c>
      <c r="BO271" s="58">
        <f t="shared" ca="1" si="506"/>
        <v>0</v>
      </c>
      <c r="BP271" s="58">
        <f t="shared" ca="1" si="506"/>
        <v>0</v>
      </c>
      <c r="BQ271" s="58">
        <f t="shared" ca="1" si="506"/>
        <v>0</v>
      </c>
      <c r="BR271" s="58">
        <f t="shared" ca="1" si="506"/>
        <v>0</v>
      </c>
      <c r="BS271" s="58">
        <f t="shared" ref="BS271:CX271" ca="1" si="507">+IF(OR($F271+BS$175&lt;1,(BS$176-1)*12&lt;-$F271),0,OFFSET(BS101,0,$F271))</f>
        <v>0</v>
      </c>
      <c r="BT271" s="58">
        <f t="shared" ca="1" si="507"/>
        <v>0</v>
      </c>
      <c r="BU271" s="58">
        <f t="shared" ca="1" si="507"/>
        <v>0</v>
      </c>
      <c r="BV271" s="58">
        <f t="shared" ca="1" si="507"/>
        <v>0</v>
      </c>
      <c r="BW271" s="58">
        <f t="shared" ca="1" si="507"/>
        <v>0</v>
      </c>
      <c r="BX271" s="58">
        <f t="shared" ca="1" si="507"/>
        <v>0</v>
      </c>
      <c r="BY271" s="58">
        <f t="shared" ca="1" si="507"/>
        <v>0</v>
      </c>
      <c r="BZ271" s="58">
        <f t="shared" ca="1" si="507"/>
        <v>0</v>
      </c>
      <c r="CA271" s="58">
        <f t="shared" ca="1" si="507"/>
        <v>0</v>
      </c>
      <c r="CB271" s="58">
        <f t="shared" ca="1" si="507"/>
        <v>0</v>
      </c>
      <c r="CC271" s="58">
        <f t="shared" ca="1" si="507"/>
        <v>0</v>
      </c>
      <c r="CD271" s="58">
        <f t="shared" ca="1" si="507"/>
        <v>0</v>
      </c>
      <c r="CE271" s="58">
        <f t="shared" ca="1" si="507"/>
        <v>0</v>
      </c>
      <c r="CF271" s="58">
        <f t="shared" ca="1" si="507"/>
        <v>0</v>
      </c>
      <c r="CG271" s="58">
        <f t="shared" ca="1" si="507"/>
        <v>0</v>
      </c>
      <c r="CH271" s="58">
        <f t="shared" ca="1" si="507"/>
        <v>0</v>
      </c>
      <c r="CI271" s="58">
        <f t="shared" ca="1" si="507"/>
        <v>0</v>
      </c>
      <c r="CJ271" s="58">
        <f t="shared" ca="1" si="507"/>
        <v>0</v>
      </c>
      <c r="CK271" s="58">
        <f t="shared" ca="1" si="507"/>
        <v>0</v>
      </c>
      <c r="CL271" s="58">
        <f t="shared" ca="1" si="507"/>
        <v>0</v>
      </c>
      <c r="CM271" s="58">
        <f t="shared" ca="1" si="507"/>
        <v>0</v>
      </c>
      <c r="CN271" s="58">
        <f t="shared" ca="1" si="507"/>
        <v>0</v>
      </c>
      <c r="CO271" s="58">
        <f t="shared" ca="1" si="507"/>
        <v>0</v>
      </c>
      <c r="CP271" s="58">
        <f t="shared" ca="1" si="507"/>
        <v>0</v>
      </c>
      <c r="CQ271" s="58">
        <f t="shared" ca="1" si="507"/>
        <v>0</v>
      </c>
      <c r="CR271" s="58">
        <f t="shared" ca="1" si="507"/>
        <v>0</v>
      </c>
      <c r="CS271" s="58">
        <f t="shared" ca="1" si="507"/>
        <v>0</v>
      </c>
      <c r="CT271" s="58">
        <f t="shared" ca="1" si="507"/>
        <v>0</v>
      </c>
      <c r="CU271" s="58">
        <f t="shared" ca="1" si="507"/>
        <v>0</v>
      </c>
      <c r="CV271" s="58">
        <f t="shared" ca="1" si="507"/>
        <v>0</v>
      </c>
      <c r="CW271" s="58">
        <f t="shared" ca="1" si="507"/>
        <v>0</v>
      </c>
      <c r="CX271" s="58">
        <f t="shared" ca="1" si="507"/>
        <v>0</v>
      </c>
      <c r="CY271" s="58">
        <f t="shared" ref="CY271:ED271" ca="1" si="508">+IF(OR($F271+CY$175&lt;1,(CY$176-1)*12&lt;-$F271),0,OFFSET(CY101,0,$F271))</f>
        <v>0</v>
      </c>
      <c r="CZ271" s="58">
        <f t="shared" ca="1" si="508"/>
        <v>0</v>
      </c>
      <c r="DA271" s="58">
        <f t="shared" ca="1" si="508"/>
        <v>0</v>
      </c>
      <c r="DB271" s="58">
        <f t="shared" ca="1" si="508"/>
        <v>0</v>
      </c>
      <c r="DC271" s="58">
        <f t="shared" ca="1" si="508"/>
        <v>0</v>
      </c>
      <c r="DD271" s="58">
        <f t="shared" ca="1" si="508"/>
        <v>0</v>
      </c>
      <c r="DE271" s="58">
        <f t="shared" ca="1" si="508"/>
        <v>0</v>
      </c>
      <c r="DF271" s="58">
        <f t="shared" ca="1" si="508"/>
        <v>0</v>
      </c>
      <c r="DG271" s="58">
        <f t="shared" ca="1" si="508"/>
        <v>0</v>
      </c>
      <c r="DH271" s="58">
        <f t="shared" ca="1" si="508"/>
        <v>0</v>
      </c>
      <c r="DI271" s="58">
        <f t="shared" ca="1" si="508"/>
        <v>0</v>
      </c>
      <c r="DJ271" s="58">
        <f t="shared" ca="1" si="508"/>
        <v>0</v>
      </c>
      <c r="DK271" s="58">
        <f t="shared" ca="1" si="508"/>
        <v>0</v>
      </c>
      <c r="DL271" s="58">
        <f t="shared" ca="1" si="508"/>
        <v>0</v>
      </c>
      <c r="DM271" s="58">
        <f t="shared" ca="1" si="508"/>
        <v>0</v>
      </c>
      <c r="DN271" s="58">
        <f t="shared" ca="1" si="508"/>
        <v>0</v>
      </c>
      <c r="DO271" s="58">
        <f t="shared" ca="1" si="508"/>
        <v>0</v>
      </c>
      <c r="DP271" s="58">
        <f t="shared" ca="1" si="508"/>
        <v>0</v>
      </c>
      <c r="DQ271" s="58">
        <f t="shared" ca="1" si="508"/>
        <v>0</v>
      </c>
      <c r="DR271" s="58">
        <f t="shared" ca="1" si="508"/>
        <v>0</v>
      </c>
      <c r="DS271" s="58">
        <f t="shared" ca="1" si="508"/>
        <v>0</v>
      </c>
      <c r="DT271" s="58">
        <f t="shared" ca="1" si="508"/>
        <v>0</v>
      </c>
      <c r="DU271" s="58">
        <f t="shared" ca="1" si="508"/>
        <v>0</v>
      </c>
      <c r="DV271" s="58">
        <f t="shared" ca="1" si="508"/>
        <v>0</v>
      </c>
      <c r="DW271" s="58">
        <f t="shared" ca="1" si="508"/>
        <v>0</v>
      </c>
      <c r="DX271" s="58">
        <f t="shared" ca="1" si="508"/>
        <v>0</v>
      </c>
      <c r="DY271" s="58">
        <f t="shared" ca="1" si="508"/>
        <v>0</v>
      </c>
      <c r="DZ271" s="58">
        <f t="shared" ca="1" si="508"/>
        <v>0</v>
      </c>
      <c r="EA271" s="58">
        <f t="shared" ca="1" si="508"/>
        <v>0</v>
      </c>
      <c r="EB271" s="58">
        <f t="shared" ca="1" si="508"/>
        <v>0</v>
      </c>
      <c r="EC271" s="58">
        <f t="shared" ca="1" si="508"/>
        <v>0</v>
      </c>
      <c r="ED271" s="58">
        <f t="shared" ca="1" si="508"/>
        <v>0</v>
      </c>
      <c r="EE271" s="58">
        <f t="shared" ref="EE271:FN271" ca="1" si="509">+IF(OR($F271+EE$175&lt;1,(EE$176-1)*12&lt;-$F271),0,OFFSET(EE101,0,$F271))</f>
        <v>0</v>
      </c>
      <c r="EF271" s="58">
        <f t="shared" ca="1" si="509"/>
        <v>0</v>
      </c>
      <c r="EG271" s="58">
        <f t="shared" ca="1" si="509"/>
        <v>0</v>
      </c>
      <c r="EH271" s="58">
        <f t="shared" ca="1" si="509"/>
        <v>0</v>
      </c>
      <c r="EI271" s="58">
        <f t="shared" ca="1" si="509"/>
        <v>0</v>
      </c>
      <c r="EJ271" s="58">
        <f t="shared" ca="1" si="509"/>
        <v>0</v>
      </c>
      <c r="EK271" s="58">
        <f t="shared" ca="1" si="509"/>
        <v>0</v>
      </c>
      <c r="EL271" s="58">
        <f t="shared" ca="1" si="509"/>
        <v>0</v>
      </c>
      <c r="EM271" s="58">
        <f t="shared" ca="1" si="509"/>
        <v>0</v>
      </c>
      <c r="EN271" s="58">
        <f t="shared" ca="1" si="509"/>
        <v>0</v>
      </c>
      <c r="EO271" s="58">
        <f t="shared" ca="1" si="509"/>
        <v>0</v>
      </c>
      <c r="EP271" s="58">
        <f t="shared" ca="1" si="509"/>
        <v>0</v>
      </c>
      <c r="EQ271" s="58">
        <f t="shared" ca="1" si="509"/>
        <v>0</v>
      </c>
      <c r="ER271" s="58">
        <f t="shared" ca="1" si="509"/>
        <v>0</v>
      </c>
      <c r="ES271" s="58">
        <f t="shared" ca="1" si="509"/>
        <v>0</v>
      </c>
      <c r="ET271" s="58">
        <f t="shared" ca="1" si="509"/>
        <v>0</v>
      </c>
      <c r="EU271" s="58">
        <f t="shared" ca="1" si="509"/>
        <v>0</v>
      </c>
      <c r="EV271" s="58">
        <f t="shared" ca="1" si="509"/>
        <v>0</v>
      </c>
      <c r="EW271" s="58">
        <f t="shared" ca="1" si="509"/>
        <v>0</v>
      </c>
      <c r="EX271" s="58">
        <f t="shared" ca="1" si="509"/>
        <v>0</v>
      </c>
      <c r="EY271" s="58">
        <f t="shared" ca="1" si="509"/>
        <v>0</v>
      </c>
      <c r="EZ271" s="58">
        <f t="shared" ca="1" si="509"/>
        <v>0</v>
      </c>
      <c r="FA271" s="58">
        <f t="shared" ca="1" si="509"/>
        <v>0</v>
      </c>
      <c r="FB271" s="58">
        <f t="shared" ca="1" si="509"/>
        <v>0</v>
      </c>
      <c r="FC271" s="58">
        <f t="shared" ca="1" si="509"/>
        <v>0</v>
      </c>
      <c r="FD271" s="58">
        <f t="shared" ca="1" si="509"/>
        <v>0</v>
      </c>
      <c r="FE271" s="58">
        <f t="shared" ca="1" si="509"/>
        <v>0</v>
      </c>
      <c r="FF271" s="58">
        <f t="shared" ca="1" si="509"/>
        <v>0</v>
      </c>
      <c r="FG271" s="58">
        <f t="shared" ca="1" si="509"/>
        <v>0</v>
      </c>
      <c r="FH271" s="58">
        <f t="shared" ca="1" si="509"/>
        <v>0</v>
      </c>
      <c r="FI271" s="58">
        <f t="shared" ca="1" si="509"/>
        <v>0</v>
      </c>
      <c r="FJ271" s="58">
        <f t="shared" ca="1" si="509"/>
        <v>0</v>
      </c>
      <c r="FK271" s="58">
        <f t="shared" ca="1" si="509"/>
        <v>0</v>
      </c>
      <c r="FL271" s="58">
        <f t="shared" ca="1" si="509"/>
        <v>0</v>
      </c>
      <c r="FM271" s="58">
        <f t="shared" ca="1" si="509"/>
        <v>0</v>
      </c>
      <c r="FN271" s="58">
        <f t="shared" ca="1" si="509"/>
        <v>0</v>
      </c>
      <c r="FO271" s="13"/>
    </row>
    <row r="272" spans="1:171" outlineLevel="1" x14ac:dyDescent="0.3">
      <c r="A272" s="13"/>
      <c r="B272" s="13"/>
      <c r="C272" s="13"/>
      <c r="D272" s="52">
        <f t="shared" si="357"/>
        <v>43040</v>
      </c>
      <c r="E272" s="53">
        <f t="shared" si="358"/>
        <v>2017</v>
      </c>
      <c r="F272" s="53">
        <f t="shared" si="359"/>
        <v>46</v>
      </c>
      <c r="G272" s="58">
        <f t="shared" ref="G272:AL272" ca="1" si="510">+IF(OR($F272+G$175&lt;1,(G$176-1)*12&lt;-$F272),0,OFFSET(G102,0,$F272))</f>
        <v>0</v>
      </c>
      <c r="H272" s="58">
        <f t="shared" ca="1" si="510"/>
        <v>0</v>
      </c>
      <c r="I272" s="58">
        <f t="shared" ca="1" si="510"/>
        <v>0</v>
      </c>
      <c r="J272" s="58">
        <f t="shared" ca="1" si="510"/>
        <v>0</v>
      </c>
      <c r="K272" s="58">
        <f t="shared" ca="1" si="510"/>
        <v>0</v>
      </c>
      <c r="L272" s="58">
        <f t="shared" ca="1" si="510"/>
        <v>0</v>
      </c>
      <c r="M272" s="58">
        <f t="shared" ca="1" si="510"/>
        <v>0</v>
      </c>
      <c r="N272" s="58">
        <f t="shared" ca="1" si="510"/>
        <v>0</v>
      </c>
      <c r="O272" s="58">
        <f t="shared" ca="1" si="510"/>
        <v>0</v>
      </c>
      <c r="P272" s="58">
        <f t="shared" ca="1" si="510"/>
        <v>0</v>
      </c>
      <c r="Q272" s="58">
        <f t="shared" ca="1" si="510"/>
        <v>0</v>
      </c>
      <c r="R272" s="58">
        <f t="shared" ca="1" si="510"/>
        <v>0</v>
      </c>
      <c r="S272" s="58">
        <f t="shared" ca="1" si="510"/>
        <v>0</v>
      </c>
      <c r="T272" s="58">
        <f t="shared" ca="1" si="510"/>
        <v>0</v>
      </c>
      <c r="U272" s="58">
        <f t="shared" ca="1" si="510"/>
        <v>0</v>
      </c>
      <c r="V272" s="58">
        <f t="shared" ca="1" si="510"/>
        <v>0</v>
      </c>
      <c r="W272" s="58">
        <f t="shared" ca="1" si="510"/>
        <v>0</v>
      </c>
      <c r="X272" s="58">
        <f t="shared" ca="1" si="510"/>
        <v>0</v>
      </c>
      <c r="Y272" s="58">
        <f t="shared" ca="1" si="510"/>
        <v>0</v>
      </c>
      <c r="Z272" s="58">
        <f t="shared" ca="1" si="510"/>
        <v>0</v>
      </c>
      <c r="AA272" s="58">
        <f t="shared" ca="1" si="510"/>
        <v>0</v>
      </c>
      <c r="AB272" s="58">
        <f t="shared" ca="1" si="510"/>
        <v>0</v>
      </c>
      <c r="AC272" s="58">
        <f t="shared" ca="1" si="510"/>
        <v>0</v>
      </c>
      <c r="AD272" s="58">
        <f t="shared" ca="1" si="510"/>
        <v>0</v>
      </c>
      <c r="AE272" s="58">
        <f t="shared" ca="1" si="510"/>
        <v>0</v>
      </c>
      <c r="AF272" s="58">
        <f t="shared" ca="1" si="510"/>
        <v>0</v>
      </c>
      <c r="AG272" s="58">
        <f t="shared" ca="1" si="510"/>
        <v>0</v>
      </c>
      <c r="AH272" s="58">
        <f t="shared" ca="1" si="510"/>
        <v>0</v>
      </c>
      <c r="AI272" s="58">
        <f t="shared" ca="1" si="510"/>
        <v>0</v>
      </c>
      <c r="AJ272" s="58">
        <f t="shared" ca="1" si="510"/>
        <v>0</v>
      </c>
      <c r="AK272" s="58">
        <f t="shared" ca="1" si="510"/>
        <v>0</v>
      </c>
      <c r="AL272" s="58">
        <f t="shared" ca="1" si="510"/>
        <v>0</v>
      </c>
      <c r="AM272" s="58">
        <f t="shared" ref="AM272:BR272" ca="1" si="511">+IF(OR($F272+AM$175&lt;1,(AM$176-1)*12&lt;-$F272),0,OFFSET(AM102,0,$F272))</f>
        <v>0</v>
      </c>
      <c r="AN272" s="58">
        <f t="shared" ca="1" si="511"/>
        <v>0</v>
      </c>
      <c r="AO272" s="58">
        <f t="shared" ca="1" si="511"/>
        <v>0</v>
      </c>
      <c r="AP272" s="58">
        <f t="shared" ca="1" si="511"/>
        <v>0</v>
      </c>
      <c r="AQ272" s="58">
        <f t="shared" ca="1" si="511"/>
        <v>0</v>
      </c>
      <c r="AR272" s="58">
        <f t="shared" ca="1" si="511"/>
        <v>0</v>
      </c>
      <c r="AS272" s="58">
        <f t="shared" ca="1" si="511"/>
        <v>0</v>
      </c>
      <c r="AT272" s="58">
        <f t="shared" ca="1" si="511"/>
        <v>0</v>
      </c>
      <c r="AU272" s="58">
        <f t="shared" ca="1" si="511"/>
        <v>0</v>
      </c>
      <c r="AV272" s="58">
        <f t="shared" ca="1" si="511"/>
        <v>0</v>
      </c>
      <c r="AW272" s="58">
        <f t="shared" ca="1" si="511"/>
        <v>0</v>
      </c>
      <c r="AX272" s="58">
        <f t="shared" ca="1" si="511"/>
        <v>0</v>
      </c>
      <c r="AY272" s="58">
        <f t="shared" ca="1" si="511"/>
        <v>0</v>
      </c>
      <c r="AZ272" s="58">
        <f t="shared" ca="1" si="511"/>
        <v>0</v>
      </c>
      <c r="BA272" s="58">
        <f t="shared" ca="1" si="511"/>
        <v>0</v>
      </c>
      <c r="BB272" s="58">
        <f t="shared" ca="1" si="511"/>
        <v>0</v>
      </c>
      <c r="BC272" s="58">
        <f t="shared" ca="1" si="511"/>
        <v>0</v>
      </c>
      <c r="BD272" s="58">
        <f t="shared" ca="1" si="511"/>
        <v>0</v>
      </c>
      <c r="BE272" s="58">
        <f t="shared" ca="1" si="511"/>
        <v>0</v>
      </c>
      <c r="BF272" s="58">
        <f t="shared" ca="1" si="511"/>
        <v>0</v>
      </c>
      <c r="BG272" s="58">
        <f t="shared" ca="1" si="511"/>
        <v>0</v>
      </c>
      <c r="BH272" s="58">
        <f t="shared" ca="1" si="511"/>
        <v>0</v>
      </c>
      <c r="BI272" s="58">
        <f t="shared" ca="1" si="511"/>
        <v>0</v>
      </c>
      <c r="BJ272" s="58">
        <f t="shared" ca="1" si="511"/>
        <v>0</v>
      </c>
      <c r="BK272" s="58">
        <f t="shared" ca="1" si="511"/>
        <v>0</v>
      </c>
      <c r="BL272" s="58">
        <f t="shared" ca="1" si="511"/>
        <v>0</v>
      </c>
      <c r="BM272" s="58">
        <f t="shared" ca="1" si="511"/>
        <v>0</v>
      </c>
      <c r="BN272" s="58">
        <f t="shared" ca="1" si="511"/>
        <v>0</v>
      </c>
      <c r="BO272" s="58">
        <f t="shared" ca="1" si="511"/>
        <v>0</v>
      </c>
      <c r="BP272" s="58">
        <f t="shared" ca="1" si="511"/>
        <v>0</v>
      </c>
      <c r="BQ272" s="58">
        <f t="shared" ca="1" si="511"/>
        <v>0</v>
      </c>
      <c r="BR272" s="58">
        <f t="shared" ca="1" si="511"/>
        <v>0</v>
      </c>
      <c r="BS272" s="58">
        <f t="shared" ref="BS272:CX272" ca="1" si="512">+IF(OR($F272+BS$175&lt;1,(BS$176-1)*12&lt;-$F272),0,OFFSET(BS102,0,$F272))</f>
        <v>0</v>
      </c>
      <c r="BT272" s="58">
        <f t="shared" ca="1" si="512"/>
        <v>0</v>
      </c>
      <c r="BU272" s="58">
        <f t="shared" ca="1" si="512"/>
        <v>0</v>
      </c>
      <c r="BV272" s="58">
        <f t="shared" ca="1" si="512"/>
        <v>0</v>
      </c>
      <c r="BW272" s="58">
        <f t="shared" ca="1" si="512"/>
        <v>0</v>
      </c>
      <c r="BX272" s="58">
        <f t="shared" ca="1" si="512"/>
        <v>0</v>
      </c>
      <c r="BY272" s="58">
        <f t="shared" ca="1" si="512"/>
        <v>0</v>
      </c>
      <c r="BZ272" s="58">
        <f t="shared" ca="1" si="512"/>
        <v>0</v>
      </c>
      <c r="CA272" s="58">
        <f t="shared" ca="1" si="512"/>
        <v>0</v>
      </c>
      <c r="CB272" s="58">
        <f t="shared" ca="1" si="512"/>
        <v>0</v>
      </c>
      <c r="CC272" s="58">
        <f t="shared" ca="1" si="512"/>
        <v>0</v>
      </c>
      <c r="CD272" s="58">
        <f t="shared" ca="1" si="512"/>
        <v>0</v>
      </c>
      <c r="CE272" s="58">
        <f t="shared" ca="1" si="512"/>
        <v>0</v>
      </c>
      <c r="CF272" s="58">
        <f t="shared" ca="1" si="512"/>
        <v>0</v>
      </c>
      <c r="CG272" s="58">
        <f t="shared" ca="1" si="512"/>
        <v>0</v>
      </c>
      <c r="CH272" s="58">
        <f t="shared" ca="1" si="512"/>
        <v>0</v>
      </c>
      <c r="CI272" s="58">
        <f t="shared" ca="1" si="512"/>
        <v>0</v>
      </c>
      <c r="CJ272" s="58">
        <f t="shared" ca="1" si="512"/>
        <v>0</v>
      </c>
      <c r="CK272" s="58">
        <f t="shared" ca="1" si="512"/>
        <v>0</v>
      </c>
      <c r="CL272" s="58">
        <f t="shared" ca="1" si="512"/>
        <v>0</v>
      </c>
      <c r="CM272" s="58">
        <f t="shared" ca="1" si="512"/>
        <v>0</v>
      </c>
      <c r="CN272" s="58">
        <f t="shared" ca="1" si="512"/>
        <v>0</v>
      </c>
      <c r="CO272" s="58">
        <f t="shared" ca="1" si="512"/>
        <v>0</v>
      </c>
      <c r="CP272" s="58">
        <f t="shared" ca="1" si="512"/>
        <v>0</v>
      </c>
      <c r="CQ272" s="58">
        <f t="shared" ca="1" si="512"/>
        <v>0</v>
      </c>
      <c r="CR272" s="58">
        <f t="shared" ca="1" si="512"/>
        <v>0</v>
      </c>
      <c r="CS272" s="58">
        <f t="shared" ca="1" si="512"/>
        <v>0</v>
      </c>
      <c r="CT272" s="58">
        <f t="shared" ca="1" si="512"/>
        <v>0</v>
      </c>
      <c r="CU272" s="58">
        <f t="shared" ca="1" si="512"/>
        <v>0</v>
      </c>
      <c r="CV272" s="58">
        <f t="shared" ca="1" si="512"/>
        <v>0</v>
      </c>
      <c r="CW272" s="58">
        <f t="shared" ca="1" si="512"/>
        <v>0</v>
      </c>
      <c r="CX272" s="58">
        <f t="shared" ca="1" si="512"/>
        <v>0</v>
      </c>
      <c r="CY272" s="58">
        <f t="shared" ref="CY272:ED272" ca="1" si="513">+IF(OR($F272+CY$175&lt;1,(CY$176-1)*12&lt;-$F272),0,OFFSET(CY102,0,$F272))</f>
        <v>0</v>
      </c>
      <c r="CZ272" s="58">
        <f t="shared" ca="1" si="513"/>
        <v>0</v>
      </c>
      <c r="DA272" s="58">
        <f t="shared" ca="1" si="513"/>
        <v>0</v>
      </c>
      <c r="DB272" s="58">
        <f t="shared" ca="1" si="513"/>
        <v>0</v>
      </c>
      <c r="DC272" s="58">
        <f t="shared" ca="1" si="513"/>
        <v>0</v>
      </c>
      <c r="DD272" s="58">
        <f t="shared" ca="1" si="513"/>
        <v>0</v>
      </c>
      <c r="DE272" s="58">
        <f t="shared" ca="1" si="513"/>
        <v>0</v>
      </c>
      <c r="DF272" s="58">
        <f t="shared" ca="1" si="513"/>
        <v>0</v>
      </c>
      <c r="DG272" s="58">
        <f t="shared" ca="1" si="513"/>
        <v>0</v>
      </c>
      <c r="DH272" s="58">
        <f t="shared" ca="1" si="513"/>
        <v>0</v>
      </c>
      <c r="DI272" s="58">
        <f t="shared" ca="1" si="513"/>
        <v>0</v>
      </c>
      <c r="DJ272" s="58">
        <f t="shared" ca="1" si="513"/>
        <v>0</v>
      </c>
      <c r="DK272" s="58">
        <f t="shared" ca="1" si="513"/>
        <v>0</v>
      </c>
      <c r="DL272" s="58">
        <f t="shared" ca="1" si="513"/>
        <v>0</v>
      </c>
      <c r="DM272" s="58">
        <f t="shared" ca="1" si="513"/>
        <v>0</v>
      </c>
      <c r="DN272" s="58">
        <f t="shared" ca="1" si="513"/>
        <v>0</v>
      </c>
      <c r="DO272" s="58">
        <f t="shared" ca="1" si="513"/>
        <v>0</v>
      </c>
      <c r="DP272" s="58">
        <f t="shared" ca="1" si="513"/>
        <v>0</v>
      </c>
      <c r="DQ272" s="58">
        <f t="shared" ca="1" si="513"/>
        <v>0</v>
      </c>
      <c r="DR272" s="58">
        <f t="shared" ca="1" si="513"/>
        <v>0</v>
      </c>
      <c r="DS272" s="58">
        <f t="shared" ca="1" si="513"/>
        <v>0</v>
      </c>
      <c r="DT272" s="58">
        <f t="shared" ca="1" si="513"/>
        <v>0</v>
      </c>
      <c r="DU272" s="58">
        <f t="shared" ca="1" si="513"/>
        <v>0</v>
      </c>
      <c r="DV272" s="58">
        <f t="shared" ca="1" si="513"/>
        <v>0</v>
      </c>
      <c r="DW272" s="58">
        <f t="shared" ca="1" si="513"/>
        <v>0</v>
      </c>
      <c r="DX272" s="58">
        <f t="shared" ca="1" si="513"/>
        <v>0</v>
      </c>
      <c r="DY272" s="58">
        <f t="shared" ca="1" si="513"/>
        <v>0</v>
      </c>
      <c r="DZ272" s="58">
        <f t="shared" ca="1" si="513"/>
        <v>0</v>
      </c>
      <c r="EA272" s="58">
        <f t="shared" ca="1" si="513"/>
        <v>0</v>
      </c>
      <c r="EB272" s="58">
        <f t="shared" ca="1" si="513"/>
        <v>0</v>
      </c>
      <c r="EC272" s="58">
        <f t="shared" ca="1" si="513"/>
        <v>0</v>
      </c>
      <c r="ED272" s="58">
        <f t="shared" ca="1" si="513"/>
        <v>0</v>
      </c>
      <c r="EE272" s="58">
        <f t="shared" ref="EE272:FN272" ca="1" si="514">+IF(OR($F272+EE$175&lt;1,(EE$176-1)*12&lt;-$F272),0,OFFSET(EE102,0,$F272))</f>
        <v>0</v>
      </c>
      <c r="EF272" s="58">
        <f t="shared" ca="1" si="514"/>
        <v>0</v>
      </c>
      <c r="EG272" s="58">
        <f t="shared" ca="1" si="514"/>
        <v>0</v>
      </c>
      <c r="EH272" s="58">
        <f t="shared" ca="1" si="514"/>
        <v>0</v>
      </c>
      <c r="EI272" s="58">
        <f t="shared" ca="1" si="514"/>
        <v>0</v>
      </c>
      <c r="EJ272" s="58">
        <f t="shared" ca="1" si="514"/>
        <v>0</v>
      </c>
      <c r="EK272" s="58">
        <f t="shared" ca="1" si="514"/>
        <v>0</v>
      </c>
      <c r="EL272" s="58">
        <f t="shared" ca="1" si="514"/>
        <v>0</v>
      </c>
      <c r="EM272" s="58">
        <f t="shared" ca="1" si="514"/>
        <v>0</v>
      </c>
      <c r="EN272" s="58">
        <f t="shared" ca="1" si="514"/>
        <v>0</v>
      </c>
      <c r="EO272" s="58">
        <f t="shared" ca="1" si="514"/>
        <v>0</v>
      </c>
      <c r="EP272" s="58">
        <f t="shared" ca="1" si="514"/>
        <v>0</v>
      </c>
      <c r="EQ272" s="58">
        <f t="shared" ca="1" si="514"/>
        <v>0</v>
      </c>
      <c r="ER272" s="58">
        <f t="shared" ca="1" si="514"/>
        <v>0</v>
      </c>
      <c r="ES272" s="58">
        <f t="shared" ca="1" si="514"/>
        <v>0</v>
      </c>
      <c r="ET272" s="58">
        <f t="shared" ca="1" si="514"/>
        <v>0</v>
      </c>
      <c r="EU272" s="58">
        <f t="shared" ca="1" si="514"/>
        <v>0</v>
      </c>
      <c r="EV272" s="58">
        <f t="shared" ca="1" si="514"/>
        <v>0</v>
      </c>
      <c r="EW272" s="58">
        <f t="shared" ca="1" si="514"/>
        <v>0</v>
      </c>
      <c r="EX272" s="58">
        <f t="shared" ca="1" si="514"/>
        <v>0</v>
      </c>
      <c r="EY272" s="58">
        <f t="shared" ca="1" si="514"/>
        <v>0</v>
      </c>
      <c r="EZ272" s="58">
        <f t="shared" ca="1" si="514"/>
        <v>0</v>
      </c>
      <c r="FA272" s="58">
        <f t="shared" ca="1" si="514"/>
        <v>0</v>
      </c>
      <c r="FB272" s="58">
        <f t="shared" ca="1" si="514"/>
        <v>0</v>
      </c>
      <c r="FC272" s="58">
        <f t="shared" ca="1" si="514"/>
        <v>0</v>
      </c>
      <c r="FD272" s="58">
        <f t="shared" ca="1" si="514"/>
        <v>0</v>
      </c>
      <c r="FE272" s="58">
        <f t="shared" ca="1" si="514"/>
        <v>0</v>
      </c>
      <c r="FF272" s="58">
        <f t="shared" ca="1" si="514"/>
        <v>0</v>
      </c>
      <c r="FG272" s="58">
        <f t="shared" ca="1" si="514"/>
        <v>0</v>
      </c>
      <c r="FH272" s="58">
        <f t="shared" ca="1" si="514"/>
        <v>0</v>
      </c>
      <c r="FI272" s="58">
        <f t="shared" ca="1" si="514"/>
        <v>0</v>
      </c>
      <c r="FJ272" s="58">
        <f t="shared" ca="1" si="514"/>
        <v>0</v>
      </c>
      <c r="FK272" s="58">
        <f t="shared" ca="1" si="514"/>
        <v>0</v>
      </c>
      <c r="FL272" s="58">
        <f t="shared" ca="1" si="514"/>
        <v>0</v>
      </c>
      <c r="FM272" s="58">
        <f t="shared" ca="1" si="514"/>
        <v>0</v>
      </c>
      <c r="FN272" s="58">
        <f t="shared" ca="1" si="514"/>
        <v>0</v>
      </c>
      <c r="FO272" s="13"/>
    </row>
    <row r="273" spans="1:171" outlineLevel="1" x14ac:dyDescent="0.3">
      <c r="A273" s="13"/>
      <c r="B273" s="13"/>
      <c r="C273" s="13"/>
      <c r="D273" s="52">
        <f t="shared" si="357"/>
        <v>43070</v>
      </c>
      <c r="E273" s="53">
        <f t="shared" si="358"/>
        <v>2017</v>
      </c>
      <c r="F273" s="53">
        <f t="shared" si="359"/>
        <v>47</v>
      </c>
      <c r="G273" s="58">
        <f t="shared" ref="G273:AL273" ca="1" si="515">+IF(OR($F273+G$175&lt;1,(G$176-1)*12&lt;-$F273),0,OFFSET(G103,0,$F273))</f>
        <v>0</v>
      </c>
      <c r="H273" s="58">
        <f t="shared" ca="1" si="515"/>
        <v>0</v>
      </c>
      <c r="I273" s="58">
        <f t="shared" ca="1" si="515"/>
        <v>0</v>
      </c>
      <c r="J273" s="58">
        <f t="shared" ca="1" si="515"/>
        <v>0</v>
      </c>
      <c r="K273" s="58">
        <f t="shared" ca="1" si="515"/>
        <v>0</v>
      </c>
      <c r="L273" s="58">
        <f t="shared" ca="1" si="515"/>
        <v>0</v>
      </c>
      <c r="M273" s="58">
        <f t="shared" ca="1" si="515"/>
        <v>0</v>
      </c>
      <c r="N273" s="58">
        <f t="shared" ca="1" si="515"/>
        <v>0</v>
      </c>
      <c r="O273" s="58">
        <f t="shared" ca="1" si="515"/>
        <v>0</v>
      </c>
      <c r="P273" s="58">
        <f t="shared" ca="1" si="515"/>
        <v>0</v>
      </c>
      <c r="Q273" s="58">
        <f t="shared" ca="1" si="515"/>
        <v>0</v>
      </c>
      <c r="R273" s="58">
        <f t="shared" ca="1" si="515"/>
        <v>0</v>
      </c>
      <c r="S273" s="58">
        <f t="shared" ca="1" si="515"/>
        <v>0</v>
      </c>
      <c r="T273" s="58">
        <f t="shared" ca="1" si="515"/>
        <v>0</v>
      </c>
      <c r="U273" s="58">
        <f t="shared" ca="1" si="515"/>
        <v>0</v>
      </c>
      <c r="V273" s="58">
        <f t="shared" ca="1" si="515"/>
        <v>0</v>
      </c>
      <c r="W273" s="58">
        <f t="shared" ca="1" si="515"/>
        <v>0</v>
      </c>
      <c r="X273" s="58">
        <f t="shared" ca="1" si="515"/>
        <v>0</v>
      </c>
      <c r="Y273" s="58">
        <f t="shared" ca="1" si="515"/>
        <v>0</v>
      </c>
      <c r="Z273" s="58">
        <f t="shared" ca="1" si="515"/>
        <v>0</v>
      </c>
      <c r="AA273" s="58">
        <f t="shared" ca="1" si="515"/>
        <v>0</v>
      </c>
      <c r="AB273" s="58">
        <f t="shared" ca="1" si="515"/>
        <v>0</v>
      </c>
      <c r="AC273" s="58">
        <f t="shared" ca="1" si="515"/>
        <v>0</v>
      </c>
      <c r="AD273" s="58">
        <f t="shared" ca="1" si="515"/>
        <v>0</v>
      </c>
      <c r="AE273" s="58">
        <f t="shared" ca="1" si="515"/>
        <v>0</v>
      </c>
      <c r="AF273" s="58">
        <f t="shared" ca="1" si="515"/>
        <v>0</v>
      </c>
      <c r="AG273" s="58">
        <f t="shared" ca="1" si="515"/>
        <v>0</v>
      </c>
      <c r="AH273" s="58">
        <f t="shared" ca="1" si="515"/>
        <v>0</v>
      </c>
      <c r="AI273" s="58">
        <f t="shared" ca="1" si="515"/>
        <v>0</v>
      </c>
      <c r="AJ273" s="58">
        <f t="shared" ca="1" si="515"/>
        <v>0</v>
      </c>
      <c r="AK273" s="58">
        <f t="shared" ca="1" si="515"/>
        <v>0</v>
      </c>
      <c r="AL273" s="58">
        <f t="shared" ca="1" si="515"/>
        <v>0</v>
      </c>
      <c r="AM273" s="58">
        <f t="shared" ref="AM273:BR273" ca="1" si="516">+IF(OR($F273+AM$175&lt;1,(AM$176-1)*12&lt;-$F273),0,OFFSET(AM103,0,$F273))</f>
        <v>0</v>
      </c>
      <c r="AN273" s="58">
        <f t="shared" ca="1" si="516"/>
        <v>0</v>
      </c>
      <c r="AO273" s="58">
        <f t="shared" ca="1" si="516"/>
        <v>0</v>
      </c>
      <c r="AP273" s="58">
        <f t="shared" ca="1" si="516"/>
        <v>0</v>
      </c>
      <c r="AQ273" s="58">
        <f t="shared" ca="1" si="516"/>
        <v>0</v>
      </c>
      <c r="AR273" s="58">
        <f t="shared" ca="1" si="516"/>
        <v>0</v>
      </c>
      <c r="AS273" s="58">
        <f t="shared" ca="1" si="516"/>
        <v>0</v>
      </c>
      <c r="AT273" s="58">
        <f t="shared" ca="1" si="516"/>
        <v>0</v>
      </c>
      <c r="AU273" s="58">
        <f t="shared" ca="1" si="516"/>
        <v>0</v>
      </c>
      <c r="AV273" s="58">
        <f t="shared" ca="1" si="516"/>
        <v>0</v>
      </c>
      <c r="AW273" s="58">
        <f t="shared" ca="1" si="516"/>
        <v>0</v>
      </c>
      <c r="AX273" s="58">
        <f t="shared" ca="1" si="516"/>
        <v>0</v>
      </c>
      <c r="AY273" s="58">
        <f t="shared" ca="1" si="516"/>
        <v>0</v>
      </c>
      <c r="AZ273" s="58">
        <f t="shared" ca="1" si="516"/>
        <v>0</v>
      </c>
      <c r="BA273" s="58">
        <f t="shared" ca="1" si="516"/>
        <v>0</v>
      </c>
      <c r="BB273" s="58">
        <f t="shared" ca="1" si="516"/>
        <v>0</v>
      </c>
      <c r="BC273" s="58">
        <f t="shared" ca="1" si="516"/>
        <v>0</v>
      </c>
      <c r="BD273" s="58">
        <f t="shared" ca="1" si="516"/>
        <v>0</v>
      </c>
      <c r="BE273" s="58">
        <f t="shared" ca="1" si="516"/>
        <v>0</v>
      </c>
      <c r="BF273" s="58">
        <f t="shared" ca="1" si="516"/>
        <v>0</v>
      </c>
      <c r="BG273" s="58">
        <f t="shared" ca="1" si="516"/>
        <v>0</v>
      </c>
      <c r="BH273" s="58">
        <f t="shared" ca="1" si="516"/>
        <v>0</v>
      </c>
      <c r="BI273" s="58">
        <f t="shared" ca="1" si="516"/>
        <v>0</v>
      </c>
      <c r="BJ273" s="58">
        <f t="shared" ca="1" si="516"/>
        <v>0</v>
      </c>
      <c r="BK273" s="58">
        <f t="shared" ca="1" si="516"/>
        <v>0</v>
      </c>
      <c r="BL273" s="58">
        <f t="shared" ca="1" si="516"/>
        <v>0</v>
      </c>
      <c r="BM273" s="58">
        <f t="shared" ca="1" si="516"/>
        <v>0</v>
      </c>
      <c r="BN273" s="58">
        <f t="shared" ca="1" si="516"/>
        <v>0</v>
      </c>
      <c r="BO273" s="58">
        <f t="shared" ca="1" si="516"/>
        <v>0</v>
      </c>
      <c r="BP273" s="58">
        <f t="shared" ca="1" si="516"/>
        <v>0</v>
      </c>
      <c r="BQ273" s="58">
        <f t="shared" ca="1" si="516"/>
        <v>0</v>
      </c>
      <c r="BR273" s="58">
        <f t="shared" ca="1" si="516"/>
        <v>0</v>
      </c>
      <c r="BS273" s="58">
        <f t="shared" ref="BS273:CX273" ca="1" si="517">+IF(OR($F273+BS$175&lt;1,(BS$176-1)*12&lt;-$F273),0,OFFSET(BS103,0,$F273))</f>
        <v>0</v>
      </c>
      <c r="BT273" s="58">
        <f t="shared" ca="1" si="517"/>
        <v>0</v>
      </c>
      <c r="BU273" s="58">
        <f t="shared" ca="1" si="517"/>
        <v>0</v>
      </c>
      <c r="BV273" s="58">
        <f t="shared" ca="1" si="517"/>
        <v>0</v>
      </c>
      <c r="BW273" s="58">
        <f t="shared" ca="1" si="517"/>
        <v>0</v>
      </c>
      <c r="BX273" s="58">
        <f t="shared" ca="1" si="517"/>
        <v>0</v>
      </c>
      <c r="BY273" s="58">
        <f t="shared" ca="1" si="517"/>
        <v>0</v>
      </c>
      <c r="BZ273" s="58">
        <f t="shared" ca="1" si="517"/>
        <v>0</v>
      </c>
      <c r="CA273" s="58">
        <f t="shared" ca="1" si="517"/>
        <v>0</v>
      </c>
      <c r="CB273" s="58">
        <f t="shared" ca="1" si="517"/>
        <v>0</v>
      </c>
      <c r="CC273" s="58">
        <f t="shared" ca="1" si="517"/>
        <v>0</v>
      </c>
      <c r="CD273" s="58">
        <f t="shared" ca="1" si="517"/>
        <v>0</v>
      </c>
      <c r="CE273" s="58">
        <f t="shared" ca="1" si="517"/>
        <v>0</v>
      </c>
      <c r="CF273" s="58">
        <f t="shared" ca="1" si="517"/>
        <v>0</v>
      </c>
      <c r="CG273" s="58">
        <f t="shared" ca="1" si="517"/>
        <v>0</v>
      </c>
      <c r="CH273" s="58">
        <f t="shared" ca="1" si="517"/>
        <v>0</v>
      </c>
      <c r="CI273" s="58">
        <f t="shared" ca="1" si="517"/>
        <v>0</v>
      </c>
      <c r="CJ273" s="58">
        <f t="shared" ca="1" si="517"/>
        <v>0</v>
      </c>
      <c r="CK273" s="58">
        <f t="shared" ca="1" si="517"/>
        <v>0</v>
      </c>
      <c r="CL273" s="58">
        <f t="shared" ca="1" si="517"/>
        <v>0</v>
      </c>
      <c r="CM273" s="58">
        <f t="shared" ca="1" si="517"/>
        <v>0</v>
      </c>
      <c r="CN273" s="58">
        <f t="shared" ca="1" si="517"/>
        <v>0</v>
      </c>
      <c r="CO273" s="58">
        <f t="shared" ca="1" si="517"/>
        <v>0</v>
      </c>
      <c r="CP273" s="58">
        <f t="shared" ca="1" si="517"/>
        <v>0</v>
      </c>
      <c r="CQ273" s="58">
        <f t="shared" ca="1" si="517"/>
        <v>0</v>
      </c>
      <c r="CR273" s="58">
        <f t="shared" ca="1" si="517"/>
        <v>0</v>
      </c>
      <c r="CS273" s="58">
        <f t="shared" ca="1" si="517"/>
        <v>0</v>
      </c>
      <c r="CT273" s="58">
        <f t="shared" ca="1" si="517"/>
        <v>0</v>
      </c>
      <c r="CU273" s="58">
        <f t="shared" ca="1" si="517"/>
        <v>0</v>
      </c>
      <c r="CV273" s="58">
        <f t="shared" ca="1" si="517"/>
        <v>0</v>
      </c>
      <c r="CW273" s="58">
        <f t="shared" ca="1" si="517"/>
        <v>0</v>
      </c>
      <c r="CX273" s="58">
        <f t="shared" ca="1" si="517"/>
        <v>0</v>
      </c>
      <c r="CY273" s="58">
        <f t="shared" ref="CY273:ED273" ca="1" si="518">+IF(OR($F273+CY$175&lt;1,(CY$176-1)*12&lt;-$F273),0,OFFSET(CY103,0,$F273))</f>
        <v>0</v>
      </c>
      <c r="CZ273" s="58">
        <f t="shared" ca="1" si="518"/>
        <v>0</v>
      </c>
      <c r="DA273" s="58">
        <f t="shared" ca="1" si="518"/>
        <v>0</v>
      </c>
      <c r="DB273" s="58">
        <f t="shared" ca="1" si="518"/>
        <v>0</v>
      </c>
      <c r="DC273" s="58">
        <f t="shared" ca="1" si="518"/>
        <v>0</v>
      </c>
      <c r="DD273" s="58">
        <f t="shared" ca="1" si="518"/>
        <v>0</v>
      </c>
      <c r="DE273" s="58">
        <f t="shared" ca="1" si="518"/>
        <v>0</v>
      </c>
      <c r="DF273" s="58">
        <f t="shared" ca="1" si="518"/>
        <v>0</v>
      </c>
      <c r="DG273" s="58">
        <f t="shared" ca="1" si="518"/>
        <v>0</v>
      </c>
      <c r="DH273" s="58">
        <f t="shared" ca="1" si="518"/>
        <v>0</v>
      </c>
      <c r="DI273" s="58">
        <f t="shared" ca="1" si="518"/>
        <v>0</v>
      </c>
      <c r="DJ273" s="58">
        <f t="shared" ca="1" si="518"/>
        <v>0</v>
      </c>
      <c r="DK273" s="58">
        <f t="shared" ca="1" si="518"/>
        <v>0</v>
      </c>
      <c r="DL273" s="58">
        <f t="shared" ca="1" si="518"/>
        <v>0</v>
      </c>
      <c r="DM273" s="58">
        <f t="shared" ca="1" si="518"/>
        <v>0</v>
      </c>
      <c r="DN273" s="58">
        <f t="shared" ca="1" si="518"/>
        <v>0</v>
      </c>
      <c r="DO273" s="58">
        <f t="shared" ca="1" si="518"/>
        <v>0</v>
      </c>
      <c r="DP273" s="58">
        <f t="shared" ca="1" si="518"/>
        <v>0</v>
      </c>
      <c r="DQ273" s="58">
        <f t="shared" ca="1" si="518"/>
        <v>0</v>
      </c>
      <c r="DR273" s="58">
        <f t="shared" ca="1" si="518"/>
        <v>0</v>
      </c>
      <c r="DS273" s="58">
        <f t="shared" ca="1" si="518"/>
        <v>0</v>
      </c>
      <c r="DT273" s="58">
        <f t="shared" ca="1" si="518"/>
        <v>0</v>
      </c>
      <c r="DU273" s="58">
        <f t="shared" ca="1" si="518"/>
        <v>0</v>
      </c>
      <c r="DV273" s="58">
        <f t="shared" ca="1" si="518"/>
        <v>0</v>
      </c>
      <c r="DW273" s="58">
        <f t="shared" ca="1" si="518"/>
        <v>0</v>
      </c>
      <c r="DX273" s="58">
        <f t="shared" ca="1" si="518"/>
        <v>0</v>
      </c>
      <c r="DY273" s="58">
        <f t="shared" ca="1" si="518"/>
        <v>0</v>
      </c>
      <c r="DZ273" s="58">
        <f t="shared" ca="1" si="518"/>
        <v>0</v>
      </c>
      <c r="EA273" s="58">
        <f t="shared" ca="1" si="518"/>
        <v>0</v>
      </c>
      <c r="EB273" s="58">
        <f t="shared" ca="1" si="518"/>
        <v>0</v>
      </c>
      <c r="EC273" s="58">
        <f t="shared" ca="1" si="518"/>
        <v>0</v>
      </c>
      <c r="ED273" s="58">
        <f t="shared" ca="1" si="518"/>
        <v>0</v>
      </c>
      <c r="EE273" s="58">
        <f t="shared" ref="EE273:FN273" ca="1" si="519">+IF(OR($F273+EE$175&lt;1,(EE$176-1)*12&lt;-$F273),0,OFFSET(EE103,0,$F273))</f>
        <v>0</v>
      </c>
      <c r="EF273" s="58">
        <f t="shared" ca="1" si="519"/>
        <v>0</v>
      </c>
      <c r="EG273" s="58">
        <f t="shared" ca="1" si="519"/>
        <v>0</v>
      </c>
      <c r="EH273" s="58">
        <f t="shared" ca="1" si="519"/>
        <v>0</v>
      </c>
      <c r="EI273" s="58">
        <f t="shared" ca="1" si="519"/>
        <v>0</v>
      </c>
      <c r="EJ273" s="58">
        <f t="shared" ca="1" si="519"/>
        <v>0</v>
      </c>
      <c r="EK273" s="58">
        <f t="shared" ca="1" si="519"/>
        <v>0</v>
      </c>
      <c r="EL273" s="58">
        <f t="shared" ca="1" si="519"/>
        <v>0</v>
      </c>
      <c r="EM273" s="58">
        <f t="shared" ca="1" si="519"/>
        <v>0</v>
      </c>
      <c r="EN273" s="58">
        <f t="shared" ca="1" si="519"/>
        <v>0</v>
      </c>
      <c r="EO273" s="58">
        <f t="shared" ca="1" si="519"/>
        <v>0</v>
      </c>
      <c r="EP273" s="58">
        <f t="shared" ca="1" si="519"/>
        <v>0</v>
      </c>
      <c r="EQ273" s="58">
        <f t="shared" ca="1" si="519"/>
        <v>0</v>
      </c>
      <c r="ER273" s="58">
        <f t="shared" ca="1" si="519"/>
        <v>0</v>
      </c>
      <c r="ES273" s="58">
        <f t="shared" ca="1" si="519"/>
        <v>0</v>
      </c>
      <c r="ET273" s="58">
        <f t="shared" ca="1" si="519"/>
        <v>0</v>
      </c>
      <c r="EU273" s="58">
        <f t="shared" ca="1" si="519"/>
        <v>0</v>
      </c>
      <c r="EV273" s="58">
        <f t="shared" ca="1" si="519"/>
        <v>0</v>
      </c>
      <c r="EW273" s="58">
        <f t="shared" ca="1" si="519"/>
        <v>0</v>
      </c>
      <c r="EX273" s="58">
        <f t="shared" ca="1" si="519"/>
        <v>0</v>
      </c>
      <c r="EY273" s="58">
        <f t="shared" ca="1" si="519"/>
        <v>0</v>
      </c>
      <c r="EZ273" s="58">
        <f t="shared" ca="1" si="519"/>
        <v>0</v>
      </c>
      <c r="FA273" s="58">
        <f t="shared" ca="1" si="519"/>
        <v>0</v>
      </c>
      <c r="FB273" s="58">
        <f t="shared" ca="1" si="519"/>
        <v>0</v>
      </c>
      <c r="FC273" s="58">
        <f t="shared" ca="1" si="519"/>
        <v>0</v>
      </c>
      <c r="FD273" s="58">
        <f t="shared" ca="1" si="519"/>
        <v>0</v>
      </c>
      <c r="FE273" s="58">
        <f t="shared" ca="1" si="519"/>
        <v>0</v>
      </c>
      <c r="FF273" s="58">
        <f t="shared" ca="1" si="519"/>
        <v>0</v>
      </c>
      <c r="FG273" s="58">
        <f t="shared" ca="1" si="519"/>
        <v>0</v>
      </c>
      <c r="FH273" s="58">
        <f t="shared" ca="1" si="519"/>
        <v>0</v>
      </c>
      <c r="FI273" s="58">
        <f t="shared" ca="1" si="519"/>
        <v>0</v>
      </c>
      <c r="FJ273" s="58">
        <f t="shared" ca="1" si="519"/>
        <v>0</v>
      </c>
      <c r="FK273" s="58">
        <f t="shared" ca="1" si="519"/>
        <v>0</v>
      </c>
      <c r="FL273" s="58">
        <f t="shared" ca="1" si="519"/>
        <v>0</v>
      </c>
      <c r="FM273" s="58">
        <f t="shared" ca="1" si="519"/>
        <v>0</v>
      </c>
      <c r="FN273" s="58">
        <f t="shared" ca="1" si="519"/>
        <v>0</v>
      </c>
      <c r="FO273" s="13"/>
    </row>
    <row r="274" spans="1:171" outlineLevel="1" x14ac:dyDescent="0.3">
      <c r="A274" s="13"/>
      <c r="B274" s="13"/>
      <c r="C274" s="13"/>
      <c r="D274" s="52">
        <f t="shared" ref="D274:D305" si="520">+D104</f>
        <v>43101</v>
      </c>
      <c r="E274" s="53">
        <f t="shared" ref="E274:E305" si="521">+YEAR(D274)</f>
        <v>2018</v>
      </c>
      <c r="F274" s="53">
        <f t="shared" ref="F274:F305" si="522">+F104</f>
        <v>48</v>
      </c>
      <c r="G274" s="58">
        <f t="shared" ref="G274:AL274" ca="1" si="523">+IF(OR($F274+G$175&lt;1,(G$176-1)*12&lt;-$F274),0,OFFSET(G104,0,$F274))</f>
        <v>0</v>
      </c>
      <c r="H274" s="58">
        <f t="shared" ca="1" si="523"/>
        <v>0</v>
      </c>
      <c r="I274" s="58">
        <f t="shared" ca="1" si="523"/>
        <v>0</v>
      </c>
      <c r="J274" s="58">
        <f t="shared" ca="1" si="523"/>
        <v>0</v>
      </c>
      <c r="K274" s="58">
        <f t="shared" ca="1" si="523"/>
        <v>0</v>
      </c>
      <c r="L274" s="58">
        <f t="shared" ca="1" si="523"/>
        <v>0</v>
      </c>
      <c r="M274" s="58">
        <f t="shared" ca="1" si="523"/>
        <v>0</v>
      </c>
      <c r="N274" s="58">
        <f t="shared" ca="1" si="523"/>
        <v>0</v>
      </c>
      <c r="O274" s="58">
        <f t="shared" ca="1" si="523"/>
        <v>0</v>
      </c>
      <c r="P274" s="58">
        <f t="shared" ca="1" si="523"/>
        <v>0</v>
      </c>
      <c r="Q274" s="58">
        <f t="shared" ca="1" si="523"/>
        <v>0</v>
      </c>
      <c r="R274" s="58">
        <f t="shared" ca="1" si="523"/>
        <v>0</v>
      </c>
      <c r="S274" s="58">
        <f t="shared" ca="1" si="523"/>
        <v>0</v>
      </c>
      <c r="T274" s="58">
        <f t="shared" ca="1" si="523"/>
        <v>0</v>
      </c>
      <c r="U274" s="58">
        <f t="shared" ca="1" si="523"/>
        <v>0</v>
      </c>
      <c r="V274" s="58">
        <f t="shared" ca="1" si="523"/>
        <v>0</v>
      </c>
      <c r="W274" s="58">
        <f t="shared" ca="1" si="523"/>
        <v>0</v>
      </c>
      <c r="X274" s="58">
        <f t="shared" ca="1" si="523"/>
        <v>0</v>
      </c>
      <c r="Y274" s="58">
        <f t="shared" ca="1" si="523"/>
        <v>0</v>
      </c>
      <c r="Z274" s="58">
        <f t="shared" ca="1" si="523"/>
        <v>0</v>
      </c>
      <c r="AA274" s="58">
        <f t="shared" ca="1" si="523"/>
        <v>0</v>
      </c>
      <c r="AB274" s="58">
        <f t="shared" ca="1" si="523"/>
        <v>0</v>
      </c>
      <c r="AC274" s="58">
        <f t="shared" ca="1" si="523"/>
        <v>0</v>
      </c>
      <c r="AD274" s="58">
        <f t="shared" ca="1" si="523"/>
        <v>0</v>
      </c>
      <c r="AE274" s="58">
        <f t="shared" ca="1" si="523"/>
        <v>0</v>
      </c>
      <c r="AF274" s="58">
        <f t="shared" ca="1" si="523"/>
        <v>0</v>
      </c>
      <c r="AG274" s="58">
        <f t="shared" ca="1" si="523"/>
        <v>0</v>
      </c>
      <c r="AH274" s="58">
        <f t="shared" ca="1" si="523"/>
        <v>0</v>
      </c>
      <c r="AI274" s="58">
        <f t="shared" ca="1" si="523"/>
        <v>0</v>
      </c>
      <c r="AJ274" s="58">
        <f t="shared" ca="1" si="523"/>
        <v>0</v>
      </c>
      <c r="AK274" s="58">
        <f t="shared" ca="1" si="523"/>
        <v>0</v>
      </c>
      <c r="AL274" s="58">
        <f t="shared" ca="1" si="523"/>
        <v>0</v>
      </c>
      <c r="AM274" s="58">
        <f t="shared" ref="AM274:BR274" ca="1" si="524">+IF(OR($F274+AM$175&lt;1,(AM$176-1)*12&lt;-$F274),0,OFFSET(AM104,0,$F274))</f>
        <v>0</v>
      </c>
      <c r="AN274" s="58">
        <f t="shared" ca="1" si="524"/>
        <v>0</v>
      </c>
      <c r="AO274" s="58">
        <f t="shared" ca="1" si="524"/>
        <v>0</v>
      </c>
      <c r="AP274" s="58">
        <f t="shared" ca="1" si="524"/>
        <v>0</v>
      </c>
      <c r="AQ274" s="58">
        <f t="shared" ca="1" si="524"/>
        <v>0</v>
      </c>
      <c r="AR274" s="58">
        <f t="shared" ca="1" si="524"/>
        <v>0</v>
      </c>
      <c r="AS274" s="58">
        <f t="shared" ca="1" si="524"/>
        <v>0</v>
      </c>
      <c r="AT274" s="58">
        <f t="shared" ca="1" si="524"/>
        <v>0</v>
      </c>
      <c r="AU274" s="58">
        <f t="shared" ca="1" si="524"/>
        <v>0</v>
      </c>
      <c r="AV274" s="58">
        <f t="shared" ca="1" si="524"/>
        <v>0</v>
      </c>
      <c r="AW274" s="58">
        <f t="shared" ca="1" si="524"/>
        <v>0</v>
      </c>
      <c r="AX274" s="58">
        <f t="shared" ca="1" si="524"/>
        <v>0</v>
      </c>
      <c r="AY274" s="58">
        <f t="shared" ca="1" si="524"/>
        <v>0</v>
      </c>
      <c r="AZ274" s="58">
        <f t="shared" ca="1" si="524"/>
        <v>0</v>
      </c>
      <c r="BA274" s="58">
        <f t="shared" ca="1" si="524"/>
        <v>0</v>
      </c>
      <c r="BB274" s="58">
        <f t="shared" ca="1" si="524"/>
        <v>0</v>
      </c>
      <c r="BC274" s="58">
        <f t="shared" ca="1" si="524"/>
        <v>0</v>
      </c>
      <c r="BD274" s="58">
        <f t="shared" ca="1" si="524"/>
        <v>0</v>
      </c>
      <c r="BE274" s="58">
        <f t="shared" ca="1" si="524"/>
        <v>0</v>
      </c>
      <c r="BF274" s="58">
        <f t="shared" ca="1" si="524"/>
        <v>0</v>
      </c>
      <c r="BG274" s="58">
        <f t="shared" ca="1" si="524"/>
        <v>0</v>
      </c>
      <c r="BH274" s="58">
        <f t="shared" ca="1" si="524"/>
        <v>0</v>
      </c>
      <c r="BI274" s="58">
        <f t="shared" ca="1" si="524"/>
        <v>0</v>
      </c>
      <c r="BJ274" s="58">
        <f t="shared" ca="1" si="524"/>
        <v>0</v>
      </c>
      <c r="BK274" s="58">
        <f t="shared" ca="1" si="524"/>
        <v>0</v>
      </c>
      <c r="BL274" s="58">
        <f t="shared" ca="1" si="524"/>
        <v>0</v>
      </c>
      <c r="BM274" s="58">
        <f t="shared" ca="1" si="524"/>
        <v>0</v>
      </c>
      <c r="BN274" s="58">
        <f t="shared" ca="1" si="524"/>
        <v>0</v>
      </c>
      <c r="BO274" s="58">
        <f t="shared" ca="1" si="524"/>
        <v>0</v>
      </c>
      <c r="BP274" s="58">
        <f t="shared" ca="1" si="524"/>
        <v>0</v>
      </c>
      <c r="BQ274" s="58">
        <f t="shared" ca="1" si="524"/>
        <v>0</v>
      </c>
      <c r="BR274" s="58">
        <f t="shared" ca="1" si="524"/>
        <v>0</v>
      </c>
      <c r="BS274" s="58">
        <f t="shared" ref="BS274:CX274" ca="1" si="525">+IF(OR($F274+BS$175&lt;1,(BS$176-1)*12&lt;-$F274),0,OFFSET(BS104,0,$F274))</f>
        <v>0</v>
      </c>
      <c r="BT274" s="58">
        <f t="shared" ca="1" si="525"/>
        <v>0</v>
      </c>
      <c r="BU274" s="58">
        <f t="shared" ca="1" si="525"/>
        <v>0</v>
      </c>
      <c r="BV274" s="58">
        <f t="shared" ca="1" si="525"/>
        <v>0</v>
      </c>
      <c r="BW274" s="58">
        <f t="shared" ca="1" si="525"/>
        <v>0</v>
      </c>
      <c r="BX274" s="58">
        <f t="shared" ca="1" si="525"/>
        <v>0</v>
      </c>
      <c r="BY274" s="58">
        <f t="shared" ca="1" si="525"/>
        <v>0</v>
      </c>
      <c r="BZ274" s="58">
        <f t="shared" ca="1" si="525"/>
        <v>0</v>
      </c>
      <c r="CA274" s="58">
        <f t="shared" ca="1" si="525"/>
        <v>0</v>
      </c>
      <c r="CB274" s="58">
        <f t="shared" ca="1" si="525"/>
        <v>0</v>
      </c>
      <c r="CC274" s="58">
        <f t="shared" ca="1" si="525"/>
        <v>0</v>
      </c>
      <c r="CD274" s="58">
        <f t="shared" ca="1" si="525"/>
        <v>0</v>
      </c>
      <c r="CE274" s="58">
        <f t="shared" ca="1" si="525"/>
        <v>0</v>
      </c>
      <c r="CF274" s="58">
        <f t="shared" ca="1" si="525"/>
        <v>0</v>
      </c>
      <c r="CG274" s="58">
        <f t="shared" ca="1" si="525"/>
        <v>0</v>
      </c>
      <c r="CH274" s="58">
        <f t="shared" ca="1" si="525"/>
        <v>0</v>
      </c>
      <c r="CI274" s="58">
        <f t="shared" ca="1" si="525"/>
        <v>0</v>
      </c>
      <c r="CJ274" s="58">
        <f t="shared" ca="1" si="525"/>
        <v>0</v>
      </c>
      <c r="CK274" s="58">
        <f t="shared" ca="1" si="525"/>
        <v>0</v>
      </c>
      <c r="CL274" s="58">
        <f t="shared" ca="1" si="525"/>
        <v>0</v>
      </c>
      <c r="CM274" s="58">
        <f t="shared" ca="1" si="525"/>
        <v>0</v>
      </c>
      <c r="CN274" s="58">
        <f t="shared" ca="1" si="525"/>
        <v>0</v>
      </c>
      <c r="CO274" s="58">
        <f t="shared" ca="1" si="525"/>
        <v>0</v>
      </c>
      <c r="CP274" s="58">
        <f t="shared" ca="1" si="525"/>
        <v>0</v>
      </c>
      <c r="CQ274" s="58">
        <f t="shared" ca="1" si="525"/>
        <v>0</v>
      </c>
      <c r="CR274" s="58">
        <f t="shared" ca="1" si="525"/>
        <v>0</v>
      </c>
      <c r="CS274" s="58">
        <f t="shared" ca="1" si="525"/>
        <v>0</v>
      </c>
      <c r="CT274" s="58">
        <f t="shared" ca="1" si="525"/>
        <v>0</v>
      </c>
      <c r="CU274" s="58">
        <f t="shared" ca="1" si="525"/>
        <v>0</v>
      </c>
      <c r="CV274" s="58">
        <f t="shared" ca="1" si="525"/>
        <v>0</v>
      </c>
      <c r="CW274" s="58">
        <f t="shared" ca="1" si="525"/>
        <v>0</v>
      </c>
      <c r="CX274" s="58">
        <f t="shared" ca="1" si="525"/>
        <v>0</v>
      </c>
      <c r="CY274" s="58">
        <f t="shared" ref="CY274:ED274" ca="1" si="526">+IF(OR($F274+CY$175&lt;1,(CY$176-1)*12&lt;-$F274),0,OFFSET(CY104,0,$F274))</f>
        <v>0</v>
      </c>
      <c r="CZ274" s="58">
        <f t="shared" ca="1" si="526"/>
        <v>0</v>
      </c>
      <c r="DA274" s="58">
        <f t="shared" ca="1" si="526"/>
        <v>0</v>
      </c>
      <c r="DB274" s="58">
        <f t="shared" ca="1" si="526"/>
        <v>0</v>
      </c>
      <c r="DC274" s="58">
        <f t="shared" ca="1" si="526"/>
        <v>0</v>
      </c>
      <c r="DD274" s="58">
        <f t="shared" ca="1" si="526"/>
        <v>0</v>
      </c>
      <c r="DE274" s="58">
        <f t="shared" ca="1" si="526"/>
        <v>0</v>
      </c>
      <c r="DF274" s="58">
        <f t="shared" ca="1" si="526"/>
        <v>0</v>
      </c>
      <c r="DG274" s="58">
        <f t="shared" ca="1" si="526"/>
        <v>0</v>
      </c>
      <c r="DH274" s="58">
        <f t="shared" ca="1" si="526"/>
        <v>0</v>
      </c>
      <c r="DI274" s="58">
        <f t="shared" ca="1" si="526"/>
        <v>0</v>
      </c>
      <c r="DJ274" s="58">
        <f t="shared" ca="1" si="526"/>
        <v>0</v>
      </c>
      <c r="DK274" s="58">
        <f t="shared" ca="1" si="526"/>
        <v>0</v>
      </c>
      <c r="DL274" s="58">
        <f t="shared" ca="1" si="526"/>
        <v>0</v>
      </c>
      <c r="DM274" s="58">
        <f t="shared" ca="1" si="526"/>
        <v>0</v>
      </c>
      <c r="DN274" s="58">
        <f t="shared" ca="1" si="526"/>
        <v>0</v>
      </c>
      <c r="DO274" s="58">
        <f t="shared" ca="1" si="526"/>
        <v>0</v>
      </c>
      <c r="DP274" s="58">
        <f t="shared" ca="1" si="526"/>
        <v>0</v>
      </c>
      <c r="DQ274" s="58">
        <f t="shared" ca="1" si="526"/>
        <v>0</v>
      </c>
      <c r="DR274" s="58">
        <f t="shared" ca="1" si="526"/>
        <v>0</v>
      </c>
      <c r="DS274" s="58">
        <f t="shared" ca="1" si="526"/>
        <v>0</v>
      </c>
      <c r="DT274" s="58">
        <f t="shared" ca="1" si="526"/>
        <v>0</v>
      </c>
      <c r="DU274" s="58">
        <f t="shared" ca="1" si="526"/>
        <v>0</v>
      </c>
      <c r="DV274" s="58">
        <f t="shared" ca="1" si="526"/>
        <v>0</v>
      </c>
      <c r="DW274" s="58">
        <f t="shared" ca="1" si="526"/>
        <v>0</v>
      </c>
      <c r="DX274" s="58">
        <f t="shared" ca="1" si="526"/>
        <v>0</v>
      </c>
      <c r="DY274" s="58">
        <f t="shared" ca="1" si="526"/>
        <v>0</v>
      </c>
      <c r="DZ274" s="58">
        <f t="shared" ca="1" si="526"/>
        <v>0</v>
      </c>
      <c r="EA274" s="58">
        <f t="shared" ca="1" si="526"/>
        <v>0</v>
      </c>
      <c r="EB274" s="58">
        <f t="shared" ca="1" si="526"/>
        <v>0</v>
      </c>
      <c r="EC274" s="58">
        <f t="shared" ca="1" si="526"/>
        <v>0</v>
      </c>
      <c r="ED274" s="58">
        <f t="shared" ca="1" si="526"/>
        <v>0</v>
      </c>
      <c r="EE274" s="58">
        <f t="shared" ref="EE274:FN274" ca="1" si="527">+IF(OR($F274+EE$175&lt;1,(EE$176-1)*12&lt;-$F274),0,OFFSET(EE104,0,$F274))</f>
        <v>0</v>
      </c>
      <c r="EF274" s="58">
        <f t="shared" ca="1" si="527"/>
        <v>0</v>
      </c>
      <c r="EG274" s="58">
        <f t="shared" ca="1" si="527"/>
        <v>0</v>
      </c>
      <c r="EH274" s="58">
        <f t="shared" ca="1" si="527"/>
        <v>0</v>
      </c>
      <c r="EI274" s="58">
        <f t="shared" ca="1" si="527"/>
        <v>0</v>
      </c>
      <c r="EJ274" s="58">
        <f t="shared" ca="1" si="527"/>
        <v>0</v>
      </c>
      <c r="EK274" s="58">
        <f t="shared" ca="1" si="527"/>
        <v>0</v>
      </c>
      <c r="EL274" s="58">
        <f t="shared" ca="1" si="527"/>
        <v>0</v>
      </c>
      <c r="EM274" s="58">
        <f t="shared" ca="1" si="527"/>
        <v>0</v>
      </c>
      <c r="EN274" s="58">
        <f t="shared" ca="1" si="527"/>
        <v>0</v>
      </c>
      <c r="EO274" s="58">
        <f t="shared" ca="1" si="527"/>
        <v>0</v>
      </c>
      <c r="EP274" s="58">
        <f t="shared" ca="1" si="527"/>
        <v>0</v>
      </c>
      <c r="EQ274" s="58">
        <f t="shared" ca="1" si="527"/>
        <v>0</v>
      </c>
      <c r="ER274" s="58">
        <f t="shared" ca="1" si="527"/>
        <v>0</v>
      </c>
      <c r="ES274" s="58">
        <f t="shared" ca="1" si="527"/>
        <v>0</v>
      </c>
      <c r="ET274" s="58">
        <f t="shared" ca="1" si="527"/>
        <v>0</v>
      </c>
      <c r="EU274" s="58">
        <f t="shared" ca="1" si="527"/>
        <v>0</v>
      </c>
      <c r="EV274" s="58">
        <f t="shared" ca="1" si="527"/>
        <v>0</v>
      </c>
      <c r="EW274" s="58">
        <f t="shared" ca="1" si="527"/>
        <v>0</v>
      </c>
      <c r="EX274" s="58">
        <f t="shared" ca="1" si="527"/>
        <v>0</v>
      </c>
      <c r="EY274" s="58">
        <f t="shared" ca="1" si="527"/>
        <v>0</v>
      </c>
      <c r="EZ274" s="58">
        <f t="shared" ca="1" si="527"/>
        <v>0</v>
      </c>
      <c r="FA274" s="58">
        <f t="shared" ca="1" si="527"/>
        <v>0</v>
      </c>
      <c r="FB274" s="58">
        <f t="shared" ca="1" si="527"/>
        <v>0</v>
      </c>
      <c r="FC274" s="58">
        <f t="shared" ca="1" si="527"/>
        <v>0</v>
      </c>
      <c r="FD274" s="58">
        <f t="shared" ca="1" si="527"/>
        <v>0</v>
      </c>
      <c r="FE274" s="58">
        <f t="shared" ca="1" si="527"/>
        <v>0</v>
      </c>
      <c r="FF274" s="58">
        <f t="shared" ca="1" si="527"/>
        <v>0</v>
      </c>
      <c r="FG274" s="58">
        <f t="shared" ca="1" si="527"/>
        <v>0</v>
      </c>
      <c r="FH274" s="58">
        <f t="shared" ca="1" si="527"/>
        <v>0</v>
      </c>
      <c r="FI274" s="58">
        <f t="shared" ca="1" si="527"/>
        <v>0</v>
      </c>
      <c r="FJ274" s="58">
        <f t="shared" ca="1" si="527"/>
        <v>0</v>
      </c>
      <c r="FK274" s="58">
        <f t="shared" ca="1" si="527"/>
        <v>0</v>
      </c>
      <c r="FL274" s="58">
        <f t="shared" ca="1" si="527"/>
        <v>0</v>
      </c>
      <c r="FM274" s="58">
        <f t="shared" ca="1" si="527"/>
        <v>0</v>
      </c>
      <c r="FN274" s="58">
        <f t="shared" ca="1" si="527"/>
        <v>0</v>
      </c>
      <c r="FO274" s="13"/>
    </row>
    <row r="275" spans="1:171" outlineLevel="1" x14ac:dyDescent="0.3">
      <c r="A275" s="13"/>
      <c r="B275" s="13"/>
      <c r="C275" s="13"/>
      <c r="D275" s="52">
        <f t="shared" si="520"/>
        <v>43132</v>
      </c>
      <c r="E275" s="53">
        <f t="shared" si="521"/>
        <v>2018</v>
      </c>
      <c r="F275" s="53">
        <f t="shared" si="522"/>
        <v>49</v>
      </c>
      <c r="G275" s="58">
        <f t="shared" ref="G275:AL275" ca="1" si="528">+IF(OR($F275+G$175&lt;1,(G$176-1)*12&lt;-$F275),0,OFFSET(G105,0,$F275))</f>
        <v>0</v>
      </c>
      <c r="H275" s="58">
        <f t="shared" ca="1" si="528"/>
        <v>0</v>
      </c>
      <c r="I275" s="58">
        <f t="shared" ca="1" si="528"/>
        <v>0</v>
      </c>
      <c r="J275" s="58">
        <f t="shared" ca="1" si="528"/>
        <v>0</v>
      </c>
      <c r="K275" s="58">
        <f t="shared" ca="1" si="528"/>
        <v>0</v>
      </c>
      <c r="L275" s="58">
        <f t="shared" ca="1" si="528"/>
        <v>0</v>
      </c>
      <c r="M275" s="58">
        <f t="shared" ca="1" si="528"/>
        <v>0</v>
      </c>
      <c r="N275" s="58">
        <f t="shared" ca="1" si="528"/>
        <v>0</v>
      </c>
      <c r="O275" s="58">
        <f t="shared" ca="1" si="528"/>
        <v>0</v>
      </c>
      <c r="P275" s="58">
        <f t="shared" ca="1" si="528"/>
        <v>0</v>
      </c>
      <c r="Q275" s="58">
        <f t="shared" ca="1" si="528"/>
        <v>0</v>
      </c>
      <c r="R275" s="58">
        <f t="shared" ca="1" si="528"/>
        <v>0</v>
      </c>
      <c r="S275" s="58">
        <f t="shared" ca="1" si="528"/>
        <v>0</v>
      </c>
      <c r="T275" s="58">
        <f t="shared" ca="1" si="528"/>
        <v>0</v>
      </c>
      <c r="U275" s="58">
        <f t="shared" ca="1" si="528"/>
        <v>0</v>
      </c>
      <c r="V275" s="58">
        <f t="shared" ca="1" si="528"/>
        <v>0</v>
      </c>
      <c r="W275" s="58">
        <f t="shared" ca="1" si="528"/>
        <v>0</v>
      </c>
      <c r="X275" s="58">
        <f t="shared" ca="1" si="528"/>
        <v>0</v>
      </c>
      <c r="Y275" s="58">
        <f t="shared" ca="1" si="528"/>
        <v>0</v>
      </c>
      <c r="Z275" s="58">
        <f t="shared" ca="1" si="528"/>
        <v>0</v>
      </c>
      <c r="AA275" s="58">
        <f t="shared" ca="1" si="528"/>
        <v>0</v>
      </c>
      <c r="AB275" s="58">
        <f t="shared" ca="1" si="528"/>
        <v>0</v>
      </c>
      <c r="AC275" s="58">
        <f t="shared" ca="1" si="528"/>
        <v>0</v>
      </c>
      <c r="AD275" s="58">
        <f t="shared" ca="1" si="528"/>
        <v>0</v>
      </c>
      <c r="AE275" s="58">
        <f t="shared" ca="1" si="528"/>
        <v>0</v>
      </c>
      <c r="AF275" s="58">
        <f t="shared" ca="1" si="528"/>
        <v>0</v>
      </c>
      <c r="AG275" s="58">
        <f t="shared" ca="1" si="528"/>
        <v>0</v>
      </c>
      <c r="AH275" s="58">
        <f t="shared" ca="1" si="528"/>
        <v>0</v>
      </c>
      <c r="AI275" s="58">
        <f t="shared" ca="1" si="528"/>
        <v>0</v>
      </c>
      <c r="AJ275" s="58">
        <f t="shared" ca="1" si="528"/>
        <v>0</v>
      </c>
      <c r="AK275" s="58">
        <f t="shared" ca="1" si="528"/>
        <v>0</v>
      </c>
      <c r="AL275" s="58">
        <f t="shared" ca="1" si="528"/>
        <v>0</v>
      </c>
      <c r="AM275" s="58">
        <f t="shared" ref="AM275:BR275" ca="1" si="529">+IF(OR($F275+AM$175&lt;1,(AM$176-1)*12&lt;-$F275),0,OFFSET(AM105,0,$F275))</f>
        <v>0</v>
      </c>
      <c r="AN275" s="58">
        <f t="shared" ca="1" si="529"/>
        <v>0</v>
      </c>
      <c r="AO275" s="58">
        <f t="shared" ca="1" si="529"/>
        <v>0</v>
      </c>
      <c r="AP275" s="58">
        <f t="shared" ca="1" si="529"/>
        <v>0</v>
      </c>
      <c r="AQ275" s="58">
        <f t="shared" ca="1" si="529"/>
        <v>0</v>
      </c>
      <c r="AR275" s="58">
        <f t="shared" ca="1" si="529"/>
        <v>0</v>
      </c>
      <c r="AS275" s="58">
        <f t="shared" ca="1" si="529"/>
        <v>0</v>
      </c>
      <c r="AT275" s="58">
        <f t="shared" ca="1" si="529"/>
        <v>0</v>
      </c>
      <c r="AU275" s="58">
        <f t="shared" ca="1" si="529"/>
        <v>0</v>
      </c>
      <c r="AV275" s="58">
        <f t="shared" ca="1" si="529"/>
        <v>0</v>
      </c>
      <c r="AW275" s="58">
        <f t="shared" ca="1" si="529"/>
        <v>0</v>
      </c>
      <c r="AX275" s="58">
        <f t="shared" ca="1" si="529"/>
        <v>0</v>
      </c>
      <c r="AY275" s="58">
        <f t="shared" ca="1" si="529"/>
        <v>0</v>
      </c>
      <c r="AZ275" s="58">
        <f t="shared" ca="1" si="529"/>
        <v>0</v>
      </c>
      <c r="BA275" s="58">
        <f t="shared" ca="1" si="529"/>
        <v>0</v>
      </c>
      <c r="BB275" s="58">
        <f t="shared" ca="1" si="529"/>
        <v>0</v>
      </c>
      <c r="BC275" s="58">
        <f t="shared" ca="1" si="529"/>
        <v>0</v>
      </c>
      <c r="BD275" s="58">
        <f t="shared" ca="1" si="529"/>
        <v>0</v>
      </c>
      <c r="BE275" s="58">
        <f t="shared" ca="1" si="529"/>
        <v>0</v>
      </c>
      <c r="BF275" s="58">
        <f t="shared" ca="1" si="529"/>
        <v>0</v>
      </c>
      <c r="BG275" s="58">
        <f t="shared" ca="1" si="529"/>
        <v>0</v>
      </c>
      <c r="BH275" s="58">
        <f t="shared" ca="1" si="529"/>
        <v>0</v>
      </c>
      <c r="BI275" s="58">
        <f t="shared" ca="1" si="529"/>
        <v>0</v>
      </c>
      <c r="BJ275" s="58">
        <f t="shared" ca="1" si="529"/>
        <v>0</v>
      </c>
      <c r="BK275" s="58">
        <f t="shared" ca="1" si="529"/>
        <v>0</v>
      </c>
      <c r="BL275" s="58">
        <f t="shared" ca="1" si="529"/>
        <v>0</v>
      </c>
      <c r="BM275" s="58">
        <f t="shared" ca="1" si="529"/>
        <v>0</v>
      </c>
      <c r="BN275" s="58">
        <f t="shared" ca="1" si="529"/>
        <v>0</v>
      </c>
      <c r="BO275" s="58">
        <f t="shared" ca="1" si="529"/>
        <v>0</v>
      </c>
      <c r="BP275" s="58">
        <f t="shared" ca="1" si="529"/>
        <v>0</v>
      </c>
      <c r="BQ275" s="58">
        <f t="shared" ca="1" si="529"/>
        <v>0</v>
      </c>
      <c r="BR275" s="58">
        <f t="shared" ca="1" si="529"/>
        <v>0</v>
      </c>
      <c r="BS275" s="58">
        <f t="shared" ref="BS275:CX275" ca="1" si="530">+IF(OR($F275+BS$175&lt;1,(BS$176-1)*12&lt;-$F275),0,OFFSET(BS105,0,$F275))</f>
        <v>0</v>
      </c>
      <c r="BT275" s="58">
        <f t="shared" ca="1" si="530"/>
        <v>0</v>
      </c>
      <c r="BU275" s="58">
        <f t="shared" ca="1" si="530"/>
        <v>0</v>
      </c>
      <c r="BV275" s="58">
        <f t="shared" ca="1" si="530"/>
        <v>0</v>
      </c>
      <c r="BW275" s="58">
        <f t="shared" ca="1" si="530"/>
        <v>0</v>
      </c>
      <c r="BX275" s="58">
        <f t="shared" ca="1" si="530"/>
        <v>0</v>
      </c>
      <c r="BY275" s="58">
        <f t="shared" ca="1" si="530"/>
        <v>0</v>
      </c>
      <c r="BZ275" s="58">
        <f t="shared" ca="1" si="530"/>
        <v>0</v>
      </c>
      <c r="CA275" s="58">
        <f t="shared" ca="1" si="530"/>
        <v>0</v>
      </c>
      <c r="CB275" s="58">
        <f t="shared" ca="1" si="530"/>
        <v>0</v>
      </c>
      <c r="CC275" s="58">
        <f t="shared" ca="1" si="530"/>
        <v>0</v>
      </c>
      <c r="CD275" s="58">
        <f t="shared" ca="1" si="530"/>
        <v>0</v>
      </c>
      <c r="CE275" s="58">
        <f t="shared" ca="1" si="530"/>
        <v>0</v>
      </c>
      <c r="CF275" s="58">
        <f t="shared" ca="1" si="530"/>
        <v>0</v>
      </c>
      <c r="CG275" s="58">
        <f t="shared" ca="1" si="530"/>
        <v>0</v>
      </c>
      <c r="CH275" s="58">
        <f t="shared" ca="1" si="530"/>
        <v>0</v>
      </c>
      <c r="CI275" s="58">
        <f t="shared" ca="1" si="530"/>
        <v>0</v>
      </c>
      <c r="CJ275" s="58">
        <f t="shared" ca="1" si="530"/>
        <v>0</v>
      </c>
      <c r="CK275" s="58">
        <f t="shared" ca="1" si="530"/>
        <v>0</v>
      </c>
      <c r="CL275" s="58">
        <f t="shared" ca="1" si="530"/>
        <v>0</v>
      </c>
      <c r="CM275" s="58">
        <f t="shared" ca="1" si="530"/>
        <v>0</v>
      </c>
      <c r="CN275" s="58">
        <f t="shared" ca="1" si="530"/>
        <v>0</v>
      </c>
      <c r="CO275" s="58">
        <f t="shared" ca="1" si="530"/>
        <v>0</v>
      </c>
      <c r="CP275" s="58">
        <f t="shared" ca="1" si="530"/>
        <v>0</v>
      </c>
      <c r="CQ275" s="58">
        <f t="shared" ca="1" si="530"/>
        <v>0</v>
      </c>
      <c r="CR275" s="58">
        <f t="shared" ca="1" si="530"/>
        <v>0</v>
      </c>
      <c r="CS275" s="58">
        <f t="shared" ca="1" si="530"/>
        <v>0</v>
      </c>
      <c r="CT275" s="58">
        <f t="shared" ca="1" si="530"/>
        <v>0</v>
      </c>
      <c r="CU275" s="58">
        <f t="shared" ca="1" si="530"/>
        <v>0</v>
      </c>
      <c r="CV275" s="58">
        <f t="shared" ca="1" si="530"/>
        <v>0</v>
      </c>
      <c r="CW275" s="58">
        <f t="shared" ca="1" si="530"/>
        <v>0</v>
      </c>
      <c r="CX275" s="58">
        <f t="shared" ca="1" si="530"/>
        <v>0</v>
      </c>
      <c r="CY275" s="58">
        <f t="shared" ref="CY275:ED275" ca="1" si="531">+IF(OR($F275+CY$175&lt;1,(CY$176-1)*12&lt;-$F275),0,OFFSET(CY105,0,$F275))</f>
        <v>0</v>
      </c>
      <c r="CZ275" s="58">
        <f t="shared" ca="1" si="531"/>
        <v>0</v>
      </c>
      <c r="DA275" s="58">
        <f t="shared" ca="1" si="531"/>
        <v>0</v>
      </c>
      <c r="DB275" s="58">
        <f t="shared" ca="1" si="531"/>
        <v>0</v>
      </c>
      <c r="DC275" s="58">
        <f t="shared" ca="1" si="531"/>
        <v>0</v>
      </c>
      <c r="DD275" s="58">
        <f t="shared" ca="1" si="531"/>
        <v>0</v>
      </c>
      <c r="DE275" s="58">
        <f t="shared" ca="1" si="531"/>
        <v>0</v>
      </c>
      <c r="DF275" s="58">
        <f t="shared" ca="1" si="531"/>
        <v>0</v>
      </c>
      <c r="DG275" s="58">
        <f t="shared" ca="1" si="531"/>
        <v>0</v>
      </c>
      <c r="DH275" s="58">
        <f t="shared" ca="1" si="531"/>
        <v>0</v>
      </c>
      <c r="DI275" s="58">
        <f t="shared" ca="1" si="531"/>
        <v>0</v>
      </c>
      <c r="DJ275" s="58">
        <f t="shared" ca="1" si="531"/>
        <v>0</v>
      </c>
      <c r="DK275" s="58">
        <f t="shared" ca="1" si="531"/>
        <v>0</v>
      </c>
      <c r="DL275" s="58">
        <f t="shared" ca="1" si="531"/>
        <v>0</v>
      </c>
      <c r="DM275" s="58">
        <f t="shared" ca="1" si="531"/>
        <v>0</v>
      </c>
      <c r="DN275" s="58">
        <f t="shared" ca="1" si="531"/>
        <v>0</v>
      </c>
      <c r="DO275" s="58">
        <f t="shared" ca="1" si="531"/>
        <v>0</v>
      </c>
      <c r="DP275" s="58">
        <f t="shared" ca="1" si="531"/>
        <v>0</v>
      </c>
      <c r="DQ275" s="58">
        <f t="shared" ca="1" si="531"/>
        <v>0</v>
      </c>
      <c r="DR275" s="58">
        <f t="shared" ca="1" si="531"/>
        <v>0</v>
      </c>
      <c r="DS275" s="58">
        <f t="shared" ca="1" si="531"/>
        <v>0</v>
      </c>
      <c r="DT275" s="58">
        <f t="shared" ca="1" si="531"/>
        <v>0</v>
      </c>
      <c r="DU275" s="58">
        <f t="shared" ca="1" si="531"/>
        <v>0</v>
      </c>
      <c r="DV275" s="58">
        <f t="shared" ca="1" si="531"/>
        <v>0</v>
      </c>
      <c r="DW275" s="58">
        <f t="shared" ca="1" si="531"/>
        <v>0</v>
      </c>
      <c r="DX275" s="58">
        <f t="shared" ca="1" si="531"/>
        <v>0</v>
      </c>
      <c r="DY275" s="58">
        <f t="shared" ca="1" si="531"/>
        <v>0</v>
      </c>
      <c r="DZ275" s="58">
        <f t="shared" ca="1" si="531"/>
        <v>0</v>
      </c>
      <c r="EA275" s="58">
        <f t="shared" ca="1" si="531"/>
        <v>0</v>
      </c>
      <c r="EB275" s="58">
        <f t="shared" ca="1" si="531"/>
        <v>0</v>
      </c>
      <c r="EC275" s="58">
        <f t="shared" ca="1" si="531"/>
        <v>0</v>
      </c>
      <c r="ED275" s="58">
        <f t="shared" ca="1" si="531"/>
        <v>0</v>
      </c>
      <c r="EE275" s="58">
        <f t="shared" ref="EE275:FN275" ca="1" si="532">+IF(OR($F275+EE$175&lt;1,(EE$176-1)*12&lt;-$F275),0,OFFSET(EE105,0,$F275))</f>
        <v>0</v>
      </c>
      <c r="EF275" s="58">
        <f t="shared" ca="1" si="532"/>
        <v>0</v>
      </c>
      <c r="EG275" s="58">
        <f t="shared" ca="1" si="532"/>
        <v>0</v>
      </c>
      <c r="EH275" s="58">
        <f t="shared" ca="1" si="532"/>
        <v>0</v>
      </c>
      <c r="EI275" s="58">
        <f t="shared" ca="1" si="532"/>
        <v>0</v>
      </c>
      <c r="EJ275" s="58">
        <f t="shared" ca="1" si="532"/>
        <v>0</v>
      </c>
      <c r="EK275" s="58">
        <f t="shared" ca="1" si="532"/>
        <v>0</v>
      </c>
      <c r="EL275" s="58">
        <f t="shared" ca="1" si="532"/>
        <v>0</v>
      </c>
      <c r="EM275" s="58">
        <f t="shared" ca="1" si="532"/>
        <v>0</v>
      </c>
      <c r="EN275" s="58">
        <f t="shared" ca="1" si="532"/>
        <v>0</v>
      </c>
      <c r="EO275" s="58">
        <f t="shared" ca="1" si="532"/>
        <v>0</v>
      </c>
      <c r="EP275" s="58">
        <f t="shared" ca="1" si="532"/>
        <v>0</v>
      </c>
      <c r="EQ275" s="58">
        <f t="shared" ca="1" si="532"/>
        <v>0</v>
      </c>
      <c r="ER275" s="58">
        <f t="shared" ca="1" si="532"/>
        <v>0</v>
      </c>
      <c r="ES275" s="58">
        <f t="shared" ca="1" si="532"/>
        <v>0</v>
      </c>
      <c r="ET275" s="58">
        <f t="shared" ca="1" si="532"/>
        <v>0</v>
      </c>
      <c r="EU275" s="58">
        <f t="shared" ca="1" si="532"/>
        <v>0</v>
      </c>
      <c r="EV275" s="58">
        <f t="shared" ca="1" si="532"/>
        <v>0</v>
      </c>
      <c r="EW275" s="58">
        <f t="shared" ca="1" si="532"/>
        <v>0</v>
      </c>
      <c r="EX275" s="58">
        <f t="shared" ca="1" si="532"/>
        <v>0</v>
      </c>
      <c r="EY275" s="58">
        <f t="shared" ca="1" si="532"/>
        <v>0</v>
      </c>
      <c r="EZ275" s="58">
        <f t="shared" ca="1" si="532"/>
        <v>0</v>
      </c>
      <c r="FA275" s="58">
        <f t="shared" ca="1" si="532"/>
        <v>0</v>
      </c>
      <c r="FB275" s="58">
        <f t="shared" ca="1" si="532"/>
        <v>0</v>
      </c>
      <c r="FC275" s="58">
        <f t="shared" ca="1" si="532"/>
        <v>0</v>
      </c>
      <c r="FD275" s="58">
        <f t="shared" ca="1" si="532"/>
        <v>0</v>
      </c>
      <c r="FE275" s="58">
        <f t="shared" ca="1" si="532"/>
        <v>0</v>
      </c>
      <c r="FF275" s="58">
        <f t="shared" ca="1" si="532"/>
        <v>0</v>
      </c>
      <c r="FG275" s="58">
        <f t="shared" ca="1" si="532"/>
        <v>0</v>
      </c>
      <c r="FH275" s="58">
        <f t="shared" ca="1" si="532"/>
        <v>0</v>
      </c>
      <c r="FI275" s="58">
        <f t="shared" ca="1" si="532"/>
        <v>0</v>
      </c>
      <c r="FJ275" s="58">
        <f t="shared" ca="1" si="532"/>
        <v>0</v>
      </c>
      <c r="FK275" s="58">
        <f t="shared" ca="1" si="532"/>
        <v>0</v>
      </c>
      <c r="FL275" s="58">
        <f t="shared" ca="1" si="532"/>
        <v>0</v>
      </c>
      <c r="FM275" s="58">
        <f t="shared" ca="1" si="532"/>
        <v>0</v>
      </c>
      <c r="FN275" s="58">
        <f t="shared" ca="1" si="532"/>
        <v>0</v>
      </c>
      <c r="FO275" s="13"/>
    </row>
    <row r="276" spans="1:171" outlineLevel="1" x14ac:dyDescent="0.3">
      <c r="A276" s="13"/>
      <c r="B276" s="13"/>
      <c r="C276" s="13"/>
      <c r="D276" s="52">
        <f t="shared" si="520"/>
        <v>43160</v>
      </c>
      <c r="E276" s="53">
        <f t="shared" si="521"/>
        <v>2018</v>
      </c>
      <c r="F276" s="53">
        <f t="shared" si="522"/>
        <v>50</v>
      </c>
      <c r="G276" s="58">
        <f t="shared" ref="G276:AL276" ca="1" si="533">+IF(OR($F276+G$175&lt;1,(G$176-1)*12&lt;-$F276),0,OFFSET(G106,0,$F276))</f>
        <v>0</v>
      </c>
      <c r="H276" s="58">
        <f t="shared" ca="1" si="533"/>
        <v>0</v>
      </c>
      <c r="I276" s="58">
        <f t="shared" ca="1" si="533"/>
        <v>0</v>
      </c>
      <c r="J276" s="58">
        <f t="shared" ca="1" si="533"/>
        <v>0</v>
      </c>
      <c r="K276" s="58">
        <f t="shared" ca="1" si="533"/>
        <v>0</v>
      </c>
      <c r="L276" s="58">
        <f t="shared" ca="1" si="533"/>
        <v>0</v>
      </c>
      <c r="M276" s="58">
        <f t="shared" ca="1" si="533"/>
        <v>0</v>
      </c>
      <c r="N276" s="58">
        <f t="shared" ca="1" si="533"/>
        <v>0</v>
      </c>
      <c r="O276" s="58">
        <f t="shared" ca="1" si="533"/>
        <v>0</v>
      </c>
      <c r="P276" s="58">
        <f t="shared" ca="1" si="533"/>
        <v>0</v>
      </c>
      <c r="Q276" s="58">
        <f t="shared" ca="1" si="533"/>
        <v>0</v>
      </c>
      <c r="R276" s="58">
        <f t="shared" ca="1" si="533"/>
        <v>0</v>
      </c>
      <c r="S276" s="58">
        <f t="shared" ca="1" si="533"/>
        <v>0</v>
      </c>
      <c r="T276" s="58">
        <f t="shared" ca="1" si="533"/>
        <v>0</v>
      </c>
      <c r="U276" s="58">
        <f t="shared" ca="1" si="533"/>
        <v>0</v>
      </c>
      <c r="V276" s="58">
        <f t="shared" ca="1" si="533"/>
        <v>0</v>
      </c>
      <c r="W276" s="58">
        <f t="shared" ca="1" si="533"/>
        <v>0</v>
      </c>
      <c r="X276" s="58">
        <f t="shared" ca="1" si="533"/>
        <v>0</v>
      </c>
      <c r="Y276" s="58">
        <f t="shared" ca="1" si="533"/>
        <v>0</v>
      </c>
      <c r="Z276" s="58">
        <f t="shared" ca="1" si="533"/>
        <v>0</v>
      </c>
      <c r="AA276" s="58">
        <f t="shared" ca="1" si="533"/>
        <v>0</v>
      </c>
      <c r="AB276" s="58">
        <f t="shared" ca="1" si="533"/>
        <v>0</v>
      </c>
      <c r="AC276" s="58">
        <f t="shared" ca="1" si="533"/>
        <v>0</v>
      </c>
      <c r="AD276" s="58">
        <f t="shared" ca="1" si="533"/>
        <v>0</v>
      </c>
      <c r="AE276" s="58">
        <f t="shared" ca="1" si="533"/>
        <v>0</v>
      </c>
      <c r="AF276" s="58">
        <f t="shared" ca="1" si="533"/>
        <v>0</v>
      </c>
      <c r="AG276" s="58">
        <f t="shared" ca="1" si="533"/>
        <v>0</v>
      </c>
      <c r="AH276" s="58">
        <f t="shared" ca="1" si="533"/>
        <v>0</v>
      </c>
      <c r="AI276" s="58">
        <f t="shared" ca="1" si="533"/>
        <v>0</v>
      </c>
      <c r="AJ276" s="58">
        <f t="shared" ca="1" si="533"/>
        <v>0</v>
      </c>
      <c r="AK276" s="58">
        <f t="shared" ca="1" si="533"/>
        <v>0</v>
      </c>
      <c r="AL276" s="58">
        <f t="shared" ca="1" si="533"/>
        <v>0</v>
      </c>
      <c r="AM276" s="58">
        <f t="shared" ref="AM276:BR276" ca="1" si="534">+IF(OR($F276+AM$175&lt;1,(AM$176-1)*12&lt;-$F276),0,OFFSET(AM106,0,$F276))</f>
        <v>0</v>
      </c>
      <c r="AN276" s="58">
        <f t="shared" ca="1" si="534"/>
        <v>0</v>
      </c>
      <c r="AO276" s="58">
        <f t="shared" ca="1" si="534"/>
        <v>0</v>
      </c>
      <c r="AP276" s="58">
        <f t="shared" ca="1" si="534"/>
        <v>0</v>
      </c>
      <c r="AQ276" s="58">
        <f t="shared" ca="1" si="534"/>
        <v>0</v>
      </c>
      <c r="AR276" s="58">
        <f t="shared" ca="1" si="534"/>
        <v>0</v>
      </c>
      <c r="AS276" s="58">
        <f t="shared" ca="1" si="534"/>
        <v>0</v>
      </c>
      <c r="AT276" s="58">
        <f t="shared" ca="1" si="534"/>
        <v>0</v>
      </c>
      <c r="AU276" s="58">
        <f t="shared" ca="1" si="534"/>
        <v>0</v>
      </c>
      <c r="AV276" s="58">
        <f t="shared" ca="1" si="534"/>
        <v>0</v>
      </c>
      <c r="AW276" s="58">
        <f t="shared" ca="1" si="534"/>
        <v>0</v>
      </c>
      <c r="AX276" s="58">
        <f t="shared" ca="1" si="534"/>
        <v>0</v>
      </c>
      <c r="AY276" s="58">
        <f t="shared" ca="1" si="534"/>
        <v>0</v>
      </c>
      <c r="AZ276" s="58">
        <f t="shared" ca="1" si="534"/>
        <v>0</v>
      </c>
      <c r="BA276" s="58">
        <f t="shared" ca="1" si="534"/>
        <v>0</v>
      </c>
      <c r="BB276" s="58">
        <f t="shared" ca="1" si="534"/>
        <v>0</v>
      </c>
      <c r="BC276" s="58">
        <f t="shared" ca="1" si="534"/>
        <v>0</v>
      </c>
      <c r="BD276" s="58">
        <f t="shared" ca="1" si="534"/>
        <v>0</v>
      </c>
      <c r="BE276" s="58">
        <f t="shared" ca="1" si="534"/>
        <v>0</v>
      </c>
      <c r="BF276" s="58">
        <f t="shared" ca="1" si="534"/>
        <v>0</v>
      </c>
      <c r="BG276" s="58">
        <f t="shared" ca="1" si="534"/>
        <v>0</v>
      </c>
      <c r="BH276" s="58">
        <f t="shared" ca="1" si="534"/>
        <v>0</v>
      </c>
      <c r="BI276" s="58">
        <f t="shared" ca="1" si="534"/>
        <v>0</v>
      </c>
      <c r="BJ276" s="58">
        <f t="shared" ca="1" si="534"/>
        <v>0</v>
      </c>
      <c r="BK276" s="58">
        <f t="shared" ca="1" si="534"/>
        <v>0</v>
      </c>
      <c r="BL276" s="58">
        <f t="shared" ca="1" si="534"/>
        <v>0</v>
      </c>
      <c r="BM276" s="58">
        <f t="shared" ca="1" si="534"/>
        <v>0</v>
      </c>
      <c r="BN276" s="58">
        <f t="shared" ca="1" si="534"/>
        <v>0</v>
      </c>
      <c r="BO276" s="58">
        <f t="shared" ca="1" si="534"/>
        <v>0</v>
      </c>
      <c r="BP276" s="58">
        <f t="shared" ca="1" si="534"/>
        <v>0</v>
      </c>
      <c r="BQ276" s="58">
        <f t="shared" ca="1" si="534"/>
        <v>0</v>
      </c>
      <c r="BR276" s="58">
        <f t="shared" ca="1" si="534"/>
        <v>0</v>
      </c>
      <c r="BS276" s="58">
        <f t="shared" ref="BS276:CX276" ca="1" si="535">+IF(OR($F276+BS$175&lt;1,(BS$176-1)*12&lt;-$F276),0,OFFSET(BS106,0,$F276))</f>
        <v>0</v>
      </c>
      <c r="BT276" s="58">
        <f t="shared" ca="1" si="535"/>
        <v>0</v>
      </c>
      <c r="BU276" s="58">
        <f t="shared" ca="1" si="535"/>
        <v>0</v>
      </c>
      <c r="BV276" s="58">
        <f t="shared" ca="1" si="535"/>
        <v>0</v>
      </c>
      <c r="BW276" s="58">
        <f t="shared" ca="1" si="535"/>
        <v>0</v>
      </c>
      <c r="BX276" s="58">
        <f t="shared" ca="1" si="535"/>
        <v>0</v>
      </c>
      <c r="BY276" s="58">
        <f t="shared" ca="1" si="535"/>
        <v>0</v>
      </c>
      <c r="BZ276" s="58">
        <f t="shared" ca="1" si="535"/>
        <v>0</v>
      </c>
      <c r="CA276" s="58">
        <f t="shared" ca="1" si="535"/>
        <v>0</v>
      </c>
      <c r="CB276" s="58">
        <f t="shared" ca="1" si="535"/>
        <v>0</v>
      </c>
      <c r="CC276" s="58">
        <f t="shared" ca="1" si="535"/>
        <v>0</v>
      </c>
      <c r="CD276" s="58">
        <f t="shared" ca="1" si="535"/>
        <v>0</v>
      </c>
      <c r="CE276" s="58">
        <f t="shared" ca="1" si="535"/>
        <v>0</v>
      </c>
      <c r="CF276" s="58">
        <f t="shared" ca="1" si="535"/>
        <v>0</v>
      </c>
      <c r="CG276" s="58">
        <f t="shared" ca="1" si="535"/>
        <v>0</v>
      </c>
      <c r="CH276" s="58">
        <f t="shared" ca="1" si="535"/>
        <v>0</v>
      </c>
      <c r="CI276" s="58">
        <f t="shared" ca="1" si="535"/>
        <v>0</v>
      </c>
      <c r="CJ276" s="58">
        <f t="shared" ca="1" si="535"/>
        <v>0</v>
      </c>
      <c r="CK276" s="58">
        <f t="shared" ca="1" si="535"/>
        <v>0</v>
      </c>
      <c r="CL276" s="58">
        <f t="shared" ca="1" si="535"/>
        <v>0</v>
      </c>
      <c r="CM276" s="58">
        <f t="shared" ca="1" si="535"/>
        <v>0</v>
      </c>
      <c r="CN276" s="58">
        <f t="shared" ca="1" si="535"/>
        <v>0</v>
      </c>
      <c r="CO276" s="58">
        <f t="shared" ca="1" si="535"/>
        <v>0</v>
      </c>
      <c r="CP276" s="58">
        <f t="shared" ca="1" si="535"/>
        <v>0</v>
      </c>
      <c r="CQ276" s="58">
        <f t="shared" ca="1" si="535"/>
        <v>0</v>
      </c>
      <c r="CR276" s="58">
        <f t="shared" ca="1" si="535"/>
        <v>0</v>
      </c>
      <c r="CS276" s="58">
        <f t="shared" ca="1" si="535"/>
        <v>0</v>
      </c>
      <c r="CT276" s="58">
        <f t="shared" ca="1" si="535"/>
        <v>0</v>
      </c>
      <c r="CU276" s="58">
        <f t="shared" ca="1" si="535"/>
        <v>0</v>
      </c>
      <c r="CV276" s="58">
        <f t="shared" ca="1" si="535"/>
        <v>0</v>
      </c>
      <c r="CW276" s="58">
        <f t="shared" ca="1" si="535"/>
        <v>0</v>
      </c>
      <c r="CX276" s="58">
        <f t="shared" ca="1" si="535"/>
        <v>0</v>
      </c>
      <c r="CY276" s="58">
        <f t="shared" ref="CY276:ED276" ca="1" si="536">+IF(OR($F276+CY$175&lt;1,(CY$176-1)*12&lt;-$F276),0,OFFSET(CY106,0,$F276))</f>
        <v>0</v>
      </c>
      <c r="CZ276" s="58">
        <f t="shared" ca="1" si="536"/>
        <v>0</v>
      </c>
      <c r="DA276" s="58">
        <f t="shared" ca="1" si="536"/>
        <v>0</v>
      </c>
      <c r="DB276" s="58">
        <f t="shared" ca="1" si="536"/>
        <v>0</v>
      </c>
      <c r="DC276" s="58">
        <f t="shared" ca="1" si="536"/>
        <v>0</v>
      </c>
      <c r="DD276" s="58">
        <f t="shared" ca="1" si="536"/>
        <v>0</v>
      </c>
      <c r="DE276" s="58">
        <f t="shared" ca="1" si="536"/>
        <v>0</v>
      </c>
      <c r="DF276" s="58">
        <f t="shared" ca="1" si="536"/>
        <v>0</v>
      </c>
      <c r="DG276" s="58">
        <f t="shared" ca="1" si="536"/>
        <v>0</v>
      </c>
      <c r="DH276" s="58">
        <f t="shared" ca="1" si="536"/>
        <v>0</v>
      </c>
      <c r="DI276" s="58">
        <f t="shared" ca="1" si="536"/>
        <v>0</v>
      </c>
      <c r="DJ276" s="58">
        <f t="shared" ca="1" si="536"/>
        <v>0</v>
      </c>
      <c r="DK276" s="58">
        <f t="shared" ca="1" si="536"/>
        <v>0</v>
      </c>
      <c r="DL276" s="58">
        <f t="shared" ca="1" si="536"/>
        <v>0</v>
      </c>
      <c r="DM276" s="58">
        <f t="shared" ca="1" si="536"/>
        <v>0</v>
      </c>
      <c r="DN276" s="58">
        <f t="shared" ca="1" si="536"/>
        <v>0</v>
      </c>
      <c r="DO276" s="58">
        <f t="shared" ca="1" si="536"/>
        <v>0</v>
      </c>
      <c r="DP276" s="58">
        <f t="shared" ca="1" si="536"/>
        <v>0</v>
      </c>
      <c r="DQ276" s="58">
        <f t="shared" ca="1" si="536"/>
        <v>0</v>
      </c>
      <c r="DR276" s="58">
        <f t="shared" ca="1" si="536"/>
        <v>0</v>
      </c>
      <c r="DS276" s="58">
        <f t="shared" ca="1" si="536"/>
        <v>0</v>
      </c>
      <c r="DT276" s="58">
        <f t="shared" ca="1" si="536"/>
        <v>0</v>
      </c>
      <c r="DU276" s="58">
        <f t="shared" ca="1" si="536"/>
        <v>0</v>
      </c>
      <c r="DV276" s="58">
        <f t="shared" ca="1" si="536"/>
        <v>0</v>
      </c>
      <c r="DW276" s="58">
        <f t="shared" ca="1" si="536"/>
        <v>0</v>
      </c>
      <c r="DX276" s="58">
        <f t="shared" ca="1" si="536"/>
        <v>0</v>
      </c>
      <c r="DY276" s="58">
        <f t="shared" ca="1" si="536"/>
        <v>0</v>
      </c>
      <c r="DZ276" s="58">
        <f t="shared" ca="1" si="536"/>
        <v>0</v>
      </c>
      <c r="EA276" s="58">
        <f t="shared" ca="1" si="536"/>
        <v>0</v>
      </c>
      <c r="EB276" s="58">
        <f t="shared" ca="1" si="536"/>
        <v>0</v>
      </c>
      <c r="EC276" s="58">
        <f t="shared" ca="1" si="536"/>
        <v>0</v>
      </c>
      <c r="ED276" s="58">
        <f t="shared" ca="1" si="536"/>
        <v>0</v>
      </c>
      <c r="EE276" s="58">
        <f t="shared" ref="EE276:FN276" ca="1" si="537">+IF(OR($F276+EE$175&lt;1,(EE$176-1)*12&lt;-$F276),0,OFFSET(EE106,0,$F276))</f>
        <v>0</v>
      </c>
      <c r="EF276" s="58">
        <f t="shared" ca="1" si="537"/>
        <v>0</v>
      </c>
      <c r="EG276" s="58">
        <f t="shared" ca="1" si="537"/>
        <v>0</v>
      </c>
      <c r="EH276" s="58">
        <f t="shared" ca="1" si="537"/>
        <v>0</v>
      </c>
      <c r="EI276" s="58">
        <f t="shared" ca="1" si="537"/>
        <v>0</v>
      </c>
      <c r="EJ276" s="58">
        <f t="shared" ca="1" si="537"/>
        <v>0</v>
      </c>
      <c r="EK276" s="58">
        <f t="shared" ca="1" si="537"/>
        <v>0</v>
      </c>
      <c r="EL276" s="58">
        <f t="shared" ca="1" si="537"/>
        <v>0</v>
      </c>
      <c r="EM276" s="58">
        <f t="shared" ca="1" si="537"/>
        <v>0</v>
      </c>
      <c r="EN276" s="58">
        <f t="shared" ca="1" si="537"/>
        <v>0</v>
      </c>
      <c r="EO276" s="58">
        <f t="shared" ca="1" si="537"/>
        <v>0</v>
      </c>
      <c r="EP276" s="58">
        <f t="shared" ca="1" si="537"/>
        <v>0</v>
      </c>
      <c r="EQ276" s="58">
        <f t="shared" ca="1" si="537"/>
        <v>0</v>
      </c>
      <c r="ER276" s="58">
        <f t="shared" ca="1" si="537"/>
        <v>0</v>
      </c>
      <c r="ES276" s="58">
        <f t="shared" ca="1" si="537"/>
        <v>0</v>
      </c>
      <c r="ET276" s="58">
        <f t="shared" ca="1" si="537"/>
        <v>0</v>
      </c>
      <c r="EU276" s="58">
        <f t="shared" ca="1" si="537"/>
        <v>0</v>
      </c>
      <c r="EV276" s="58">
        <f t="shared" ca="1" si="537"/>
        <v>0</v>
      </c>
      <c r="EW276" s="58">
        <f t="shared" ca="1" si="537"/>
        <v>0</v>
      </c>
      <c r="EX276" s="58">
        <f t="shared" ca="1" si="537"/>
        <v>0</v>
      </c>
      <c r="EY276" s="58">
        <f t="shared" ca="1" si="537"/>
        <v>0</v>
      </c>
      <c r="EZ276" s="58">
        <f t="shared" ca="1" si="537"/>
        <v>0</v>
      </c>
      <c r="FA276" s="58">
        <f t="shared" ca="1" si="537"/>
        <v>0</v>
      </c>
      <c r="FB276" s="58">
        <f t="shared" ca="1" si="537"/>
        <v>0</v>
      </c>
      <c r="FC276" s="58">
        <f t="shared" ca="1" si="537"/>
        <v>0</v>
      </c>
      <c r="FD276" s="58">
        <f t="shared" ca="1" si="537"/>
        <v>0</v>
      </c>
      <c r="FE276" s="58">
        <f t="shared" ca="1" si="537"/>
        <v>0</v>
      </c>
      <c r="FF276" s="58">
        <f t="shared" ca="1" si="537"/>
        <v>0</v>
      </c>
      <c r="FG276" s="58">
        <f t="shared" ca="1" si="537"/>
        <v>0</v>
      </c>
      <c r="FH276" s="58">
        <f t="shared" ca="1" si="537"/>
        <v>0</v>
      </c>
      <c r="FI276" s="58">
        <f t="shared" ca="1" si="537"/>
        <v>0</v>
      </c>
      <c r="FJ276" s="58">
        <f t="shared" ca="1" si="537"/>
        <v>0</v>
      </c>
      <c r="FK276" s="58">
        <f t="shared" ca="1" si="537"/>
        <v>0</v>
      </c>
      <c r="FL276" s="58">
        <f t="shared" ca="1" si="537"/>
        <v>0</v>
      </c>
      <c r="FM276" s="58">
        <f t="shared" ca="1" si="537"/>
        <v>0</v>
      </c>
      <c r="FN276" s="58">
        <f t="shared" ca="1" si="537"/>
        <v>0</v>
      </c>
      <c r="FO276" s="13"/>
    </row>
    <row r="277" spans="1:171" outlineLevel="1" x14ac:dyDescent="0.3">
      <c r="A277" s="13"/>
      <c r="B277" s="13"/>
      <c r="C277" s="13"/>
      <c r="D277" s="52">
        <f t="shared" si="520"/>
        <v>43191</v>
      </c>
      <c r="E277" s="53">
        <f t="shared" si="521"/>
        <v>2018</v>
      </c>
      <c r="F277" s="53">
        <f t="shared" si="522"/>
        <v>51</v>
      </c>
      <c r="G277" s="58">
        <f t="shared" ref="G277:AL277" ca="1" si="538">+IF(OR($F277+G$175&lt;1,(G$176-1)*12&lt;-$F277),0,OFFSET(G107,0,$F277))</f>
        <v>0</v>
      </c>
      <c r="H277" s="58">
        <f t="shared" ca="1" si="538"/>
        <v>0</v>
      </c>
      <c r="I277" s="58">
        <f t="shared" ca="1" si="538"/>
        <v>0</v>
      </c>
      <c r="J277" s="58">
        <f t="shared" ca="1" si="538"/>
        <v>0</v>
      </c>
      <c r="K277" s="58">
        <f t="shared" ca="1" si="538"/>
        <v>0</v>
      </c>
      <c r="L277" s="58">
        <f t="shared" ca="1" si="538"/>
        <v>0</v>
      </c>
      <c r="M277" s="58">
        <f t="shared" ca="1" si="538"/>
        <v>0</v>
      </c>
      <c r="N277" s="58">
        <f t="shared" ca="1" si="538"/>
        <v>0</v>
      </c>
      <c r="O277" s="58">
        <f t="shared" ca="1" si="538"/>
        <v>0</v>
      </c>
      <c r="P277" s="58">
        <f t="shared" ca="1" si="538"/>
        <v>0</v>
      </c>
      <c r="Q277" s="58">
        <f t="shared" ca="1" si="538"/>
        <v>0</v>
      </c>
      <c r="R277" s="58">
        <f t="shared" ca="1" si="538"/>
        <v>0</v>
      </c>
      <c r="S277" s="58">
        <f t="shared" ca="1" si="538"/>
        <v>0</v>
      </c>
      <c r="T277" s="58">
        <f t="shared" ca="1" si="538"/>
        <v>0</v>
      </c>
      <c r="U277" s="58">
        <f t="shared" ca="1" si="538"/>
        <v>0</v>
      </c>
      <c r="V277" s="58">
        <f t="shared" ca="1" si="538"/>
        <v>0</v>
      </c>
      <c r="W277" s="58">
        <f t="shared" ca="1" si="538"/>
        <v>0</v>
      </c>
      <c r="X277" s="58">
        <f t="shared" ca="1" si="538"/>
        <v>0</v>
      </c>
      <c r="Y277" s="58">
        <f t="shared" ca="1" si="538"/>
        <v>0</v>
      </c>
      <c r="Z277" s="58">
        <f t="shared" ca="1" si="538"/>
        <v>0</v>
      </c>
      <c r="AA277" s="58">
        <f t="shared" ca="1" si="538"/>
        <v>0</v>
      </c>
      <c r="AB277" s="58">
        <f t="shared" ca="1" si="538"/>
        <v>0</v>
      </c>
      <c r="AC277" s="58">
        <f t="shared" ca="1" si="538"/>
        <v>0</v>
      </c>
      <c r="AD277" s="58">
        <f t="shared" ca="1" si="538"/>
        <v>0</v>
      </c>
      <c r="AE277" s="58">
        <f t="shared" ca="1" si="538"/>
        <v>0</v>
      </c>
      <c r="AF277" s="58">
        <f t="shared" ca="1" si="538"/>
        <v>0</v>
      </c>
      <c r="AG277" s="58">
        <f t="shared" ca="1" si="538"/>
        <v>0</v>
      </c>
      <c r="AH277" s="58">
        <f t="shared" ca="1" si="538"/>
        <v>0</v>
      </c>
      <c r="AI277" s="58">
        <f t="shared" ca="1" si="538"/>
        <v>0</v>
      </c>
      <c r="AJ277" s="58">
        <f t="shared" ca="1" si="538"/>
        <v>0</v>
      </c>
      <c r="AK277" s="58">
        <f t="shared" ca="1" si="538"/>
        <v>0</v>
      </c>
      <c r="AL277" s="58">
        <f t="shared" ca="1" si="538"/>
        <v>0</v>
      </c>
      <c r="AM277" s="58">
        <f t="shared" ref="AM277:BR277" ca="1" si="539">+IF(OR($F277+AM$175&lt;1,(AM$176-1)*12&lt;-$F277),0,OFFSET(AM107,0,$F277))</f>
        <v>0</v>
      </c>
      <c r="AN277" s="58">
        <f t="shared" ca="1" si="539"/>
        <v>0</v>
      </c>
      <c r="AO277" s="58">
        <f t="shared" ca="1" si="539"/>
        <v>0</v>
      </c>
      <c r="AP277" s="58">
        <f t="shared" ca="1" si="539"/>
        <v>0</v>
      </c>
      <c r="AQ277" s="58">
        <f t="shared" ca="1" si="539"/>
        <v>0</v>
      </c>
      <c r="AR277" s="58">
        <f t="shared" ca="1" si="539"/>
        <v>0</v>
      </c>
      <c r="AS277" s="58">
        <f t="shared" ca="1" si="539"/>
        <v>0</v>
      </c>
      <c r="AT277" s="58">
        <f t="shared" ca="1" si="539"/>
        <v>0</v>
      </c>
      <c r="AU277" s="58">
        <f t="shared" ca="1" si="539"/>
        <v>0</v>
      </c>
      <c r="AV277" s="58">
        <f t="shared" ca="1" si="539"/>
        <v>0</v>
      </c>
      <c r="AW277" s="58">
        <f t="shared" ca="1" si="539"/>
        <v>0</v>
      </c>
      <c r="AX277" s="58">
        <f t="shared" ca="1" si="539"/>
        <v>0</v>
      </c>
      <c r="AY277" s="58">
        <f t="shared" ca="1" si="539"/>
        <v>0</v>
      </c>
      <c r="AZ277" s="58">
        <f t="shared" ca="1" si="539"/>
        <v>0</v>
      </c>
      <c r="BA277" s="58">
        <f t="shared" ca="1" si="539"/>
        <v>0</v>
      </c>
      <c r="BB277" s="58">
        <f t="shared" ca="1" si="539"/>
        <v>0</v>
      </c>
      <c r="BC277" s="58">
        <f t="shared" ca="1" si="539"/>
        <v>0</v>
      </c>
      <c r="BD277" s="58">
        <f t="shared" ca="1" si="539"/>
        <v>0</v>
      </c>
      <c r="BE277" s="58">
        <f t="shared" ca="1" si="539"/>
        <v>0</v>
      </c>
      <c r="BF277" s="58">
        <f t="shared" ca="1" si="539"/>
        <v>0</v>
      </c>
      <c r="BG277" s="58">
        <f t="shared" ca="1" si="539"/>
        <v>0</v>
      </c>
      <c r="BH277" s="58">
        <f t="shared" ca="1" si="539"/>
        <v>0</v>
      </c>
      <c r="BI277" s="58">
        <f t="shared" ca="1" si="539"/>
        <v>0</v>
      </c>
      <c r="BJ277" s="58">
        <f t="shared" ca="1" si="539"/>
        <v>0</v>
      </c>
      <c r="BK277" s="58">
        <f t="shared" ca="1" si="539"/>
        <v>0</v>
      </c>
      <c r="BL277" s="58">
        <f t="shared" ca="1" si="539"/>
        <v>0</v>
      </c>
      <c r="BM277" s="58">
        <f t="shared" ca="1" si="539"/>
        <v>0</v>
      </c>
      <c r="BN277" s="58">
        <f t="shared" ca="1" si="539"/>
        <v>0</v>
      </c>
      <c r="BO277" s="58">
        <f t="shared" ca="1" si="539"/>
        <v>0</v>
      </c>
      <c r="BP277" s="58">
        <f t="shared" ca="1" si="539"/>
        <v>0</v>
      </c>
      <c r="BQ277" s="58">
        <f t="shared" ca="1" si="539"/>
        <v>0</v>
      </c>
      <c r="BR277" s="58">
        <f t="shared" ca="1" si="539"/>
        <v>0</v>
      </c>
      <c r="BS277" s="58">
        <f t="shared" ref="BS277:CX277" ca="1" si="540">+IF(OR($F277+BS$175&lt;1,(BS$176-1)*12&lt;-$F277),0,OFFSET(BS107,0,$F277))</f>
        <v>0</v>
      </c>
      <c r="BT277" s="58">
        <f t="shared" ca="1" si="540"/>
        <v>0</v>
      </c>
      <c r="BU277" s="58">
        <f t="shared" ca="1" si="540"/>
        <v>0</v>
      </c>
      <c r="BV277" s="58">
        <f t="shared" ca="1" si="540"/>
        <v>0</v>
      </c>
      <c r="BW277" s="58">
        <f t="shared" ca="1" si="540"/>
        <v>0</v>
      </c>
      <c r="BX277" s="58">
        <f t="shared" ca="1" si="540"/>
        <v>0</v>
      </c>
      <c r="BY277" s="58">
        <f t="shared" ca="1" si="540"/>
        <v>0</v>
      </c>
      <c r="BZ277" s="58">
        <f t="shared" ca="1" si="540"/>
        <v>0</v>
      </c>
      <c r="CA277" s="58">
        <f t="shared" ca="1" si="540"/>
        <v>0</v>
      </c>
      <c r="CB277" s="58">
        <f t="shared" ca="1" si="540"/>
        <v>0</v>
      </c>
      <c r="CC277" s="58">
        <f t="shared" ca="1" si="540"/>
        <v>0</v>
      </c>
      <c r="CD277" s="58">
        <f t="shared" ca="1" si="540"/>
        <v>0</v>
      </c>
      <c r="CE277" s="58">
        <f t="shared" ca="1" si="540"/>
        <v>0</v>
      </c>
      <c r="CF277" s="58">
        <f t="shared" ca="1" si="540"/>
        <v>0</v>
      </c>
      <c r="CG277" s="58">
        <f t="shared" ca="1" si="540"/>
        <v>0</v>
      </c>
      <c r="CH277" s="58">
        <f t="shared" ca="1" si="540"/>
        <v>0</v>
      </c>
      <c r="CI277" s="58">
        <f t="shared" ca="1" si="540"/>
        <v>0</v>
      </c>
      <c r="CJ277" s="58">
        <f t="shared" ca="1" si="540"/>
        <v>0</v>
      </c>
      <c r="CK277" s="58">
        <f t="shared" ca="1" si="540"/>
        <v>0</v>
      </c>
      <c r="CL277" s="58">
        <f t="shared" ca="1" si="540"/>
        <v>0</v>
      </c>
      <c r="CM277" s="58">
        <f t="shared" ca="1" si="540"/>
        <v>0</v>
      </c>
      <c r="CN277" s="58">
        <f t="shared" ca="1" si="540"/>
        <v>0</v>
      </c>
      <c r="CO277" s="58">
        <f t="shared" ca="1" si="540"/>
        <v>0</v>
      </c>
      <c r="CP277" s="58">
        <f t="shared" ca="1" si="540"/>
        <v>0</v>
      </c>
      <c r="CQ277" s="58">
        <f t="shared" ca="1" si="540"/>
        <v>0</v>
      </c>
      <c r="CR277" s="58">
        <f t="shared" ca="1" si="540"/>
        <v>0</v>
      </c>
      <c r="CS277" s="58">
        <f t="shared" ca="1" si="540"/>
        <v>0</v>
      </c>
      <c r="CT277" s="58">
        <f t="shared" ca="1" si="540"/>
        <v>0</v>
      </c>
      <c r="CU277" s="58">
        <f t="shared" ca="1" si="540"/>
        <v>0</v>
      </c>
      <c r="CV277" s="58">
        <f t="shared" ca="1" si="540"/>
        <v>0</v>
      </c>
      <c r="CW277" s="58">
        <f t="shared" ca="1" si="540"/>
        <v>0</v>
      </c>
      <c r="CX277" s="58">
        <f t="shared" ca="1" si="540"/>
        <v>0</v>
      </c>
      <c r="CY277" s="58">
        <f t="shared" ref="CY277:ED277" ca="1" si="541">+IF(OR($F277+CY$175&lt;1,(CY$176-1)*12&lt;-$F277),0,OFFSET(CY107,0,$F277))</f>
        <v>0</v>
      </c>
      <c r="CZ277" s="58">
        <f t="shared" ca="1" si="541"/>
        <v>0</v>
      </c>
      <c r="DA277" s="58">
        <f t="shared" ca="1" si="541"/>
        <v>0</v>
      </c>
      <c r="DB277" s="58">
        <f t="shared" ca="1" si="541"/>
        <v>0</v>
      </c>
      <c r="DC277" s="58">
        <f t="shared" ca="1" si="541"/>
        <v>0</v>
      </c>
      <c r="DD277" s="58">
        <f t="shared" ca="1" si="541"/>
        <v>0</v>
      </c>
      <c r="DE277" s="58">
        <f t="shared" ca="1" si="541"/>
        <v>0</v>
      </c>
      <c r="DF277" s="58">
        <f t="shared" ca="1" si="541"/>
        <v>0</v>
      </c>
      <c r="DG277" s="58">
        <f t="shared" ca="1" si="541"/>
        <v>0</v>
      </c>
      <c r="DH277" s="58">
        <f t="shared" ca="1" si="541"/>
        <v>0</v>
      </c>
      <c r="DI277" s="58">
        <f t="shared" ca="1" si="541"/>
        <v>0</v>
      </c>
      <c r="DJ277" s="58">
        <f t="shared" ca="1" si="541"/>
        <v>0</v>
      </c>
      <c r="DK277" s="58">
        <f t="shared" ca="1" si="541"/>
        <v>0</v>
      </c>
      <c r="DL277" s="58">
        <f t="shared" ca="1" si="541"/>
        <v>0</v>
      </c>
      <c r="DM277" s="58">
        <f t="shared" ca="1" si="541"/>
        <v>0</v>
      </c>
      <c r="DN277" s="58">
        <f t="shared" ca="1" si="541"/>
        <v>0</v>
      </c>
      <c r="DO277" s="58">
        <f t="shared" ca="1" si="541"/>
        <v>0</v>
      </c>
      <c r="DP277" s="58">
        <f t="shared" ca="1" si="541"/>
        <v>0</v>
      </c>
      <c r="DQ277" s="58">
        <f t="shared" ca="1" si="541"/>
        <v>0</v>
      </c>
      <c r="DR277" s="58">
        <f t="shared" ca="1" si="541"/>
        <v>0</v>
      </c>
      <c r="DS277" s="58">
        <f t="shared" ca="1" si="541"/>
        <v>0</v>
      </c>
      <c r="DT277" s="58">
        <f t="shared" ca="1" si="541"/>
        <v>0</v>
      </c>
      <c r="DU277" s="58">
        <f t="shared" ca="1" si="541"/>
        <v>0</v>
      </c>
      <c r="DV277" s="58">
        <f t="shared" ca="1" si="541"/>
        <v>0</v>
      </c>
      <c r="DW277" s="58">
        <f t="shared" ca="1" si="541"/>
        <v>0</v>
      </c>
      <c r="DX277" s="58">
        <f t="shared" ca="1" si="541"/>
        <v>0</v>
      </c>
      <c r="DY277" s="58">
        <f t="shared" ca="1" si="541"/>
        <v>0</v>
      </c>
      <c r="DZ277" s="58">
        <f t="shared" ca="1" si="541"/>
        <v>0</v>
      </c>
      <c r="EA277" s="58">
        <f t="shared" ca="1" si="541"/>
        <v>0</v>
      </c>
      <c r="EB277" s="58">
        <f t="shared" ca="1" si="541"/>
        <v>0</v>
      </c>
      <c r="EC277" s="58">
        <f t="shared" ca="1" si="541"/>
        <v>0</v>
      </c>
      <c r="ED277" s="58">
        <f t="shared" ca="1" si="541"/>
        <v>0</v>
      </c>
      <c r="EE277" s="58">
        <f t="shared" ref="EE277:FN277" ca="1" si="542">+IF(OR($F277+EE$175&lt;1,(EE$176-1)*12&lt;-$F277),0,OFFSET(EE107,0,$F277))</f>
        <v>0</v>
      </c>
      <c r="EF277" s="58">
        <f t="shared" ca="1" si="542"/>
        <v>0</v>
      </c>
      <c r="EG277" s="58">
        <f t="shared" ca="1" si="542"/>
        <v>0</v>
      </c>
      <c r="EH277" s="58">
        <f t="shared" ca="1" si="542"/>
        <v>0</v>
      </c>
      <c r="EI277" s="58">
        <f t="shared" ca="1" si="542"/>
        <v>0</v>
      </c>
      <c r="EJ277" s="58">
        <f t="shared" ca="1" si="542"/>
        <v>0</v>
      </c>
      <c r="EK277" s="58">
        <f t="shared" ca="1" si="542"/>
        <v>0</v>
      </c>
      <c r="EL277" s="58">
        <f t="shared" ca="1" si="542"/>
        <v>0</v>
      </c>
      <c r="EM277" s="58">
        <f t="shared" ca="1" si="542"/>
        <v>0</v>
      </c>
      <c r="EN277" s="58">
        <f t="shared" ca="1" si="542"/>
        <v>0</v>
      </c>
      <c r="EO277" s="58">
        <f t="shared" ca="1" si="542"/>
        <v>0</v>
      </c>
      <c r="EP277" s="58">
        <f t="shared" ca="1" si="542"/>
        <v>0</v>
      </c>
      <c r="EQ277" s="58">
        <f t="shared" ca="1" si="542"/>
        <v>0</v>
      </c>
      <c r="ER277" s="58">
        <f t="shared" ca="1" si="542"/>
        <v>0</v>
      </c>
      <c r="ES277" s="58">
        <f t="shared" ca="1" si="542"/>
        <v>0</v>
      </c>
      <c r="ET277" s="58">
        <f t="shared" ca="1" si="542"/>
        <v>0</v>
      </c>
      <c r="EU277" s="58">
        <f t="shared" ca="1" si="542"/>
        <v>0</v>
      </c>
      <c r="EV277" s="58">
        <f t="shared" ca="1" si="542"/>
        <v>0</v>
      </c>
      <c r="EW277" s="58">
        <f t="shared" ca="1" si="542"/>
        <v>0</v>
      </c>
      <c r="EX277" s="58">
        <f t="shared" ca="1" si="542"/>
        <v>0</v>
      </c>
      <c r="EY277" s="58">
        <f t="shared" ca="1" si="542"/>
        <v>0</v>
      </c>
      <c r="EZ277" s="58">
        <f t="shared" ca="1" si="542"/>
        <v>0</v>
      </c>
      <c r="FA277" s="58">
        <f t="shared" ca="1" si="542"/>
        <v>0</v>
      </c>
      <c r="FB277" s="58">
        <f t="shared" ca="1" si="542"/>
        <v>0</v>
      </c>
      <c r="FC277" s="58">
        <f t="shared" ca="1" si="542"/>
        <v>0</v>
      </c>
      <c r="FD277" s="58">
        <f t="shared" ca="1" si="542"/>
        <v>0</v>
      </c>
      <c r="FE277" s="58">
        <f t="shared" ca="1" si="542"/>
        <v>0</v>
      </c>
      <c r="FF277" s="58">
        <f t="shared" ca="1" si="542"/>
        <v>0</v>
      </c>
      <c r="FG277" s="58">
        <f t="shared" ca="1" si="542"/>
        <v>0</v>
      </c>
      <c r="FH277" s="58">
        <f t="shared" ca="1" si="542"/>
        <v>0</v>
      </c>
      <c r="FI277" s="58">
        <f t="shared" ca="1" si="542"/>
        <v>0</v>
      </c>
      <c r="FJ277" s="58">
        <f t="shared" ca="1" si="542"/>
        <v>0</v>
      </c>
      <c r="FK277" s="58">
        <f t="shared" ca="1" si="542"/>
        <v>0</v>
      </c>
      <c r="FL277" s="58">
        <f t="shared" ca="1" si="542"/>
        <v>0</v>
      </c>
      <c r="FM277" s="58">
        <f t="shared" ca="1" si="542"/>
        <v>0</v>
      </c>
      <c r="FN277" s="58">
        <f t="shared" ca="1" si="542"/>
        <v>0</v>
      </c>
      <c r="FO277" s="13"/>
    </row>
    <row r="278" spans="1:171" outlineLevel="1" x14ac:dyDescent="0.3">
      <c r="A278" s="13"/>
      <c r="B278" s="13"/>
      <c r="C278" s="13"/>
      <c r="D278" s="52">
        <f t="shared" si="520"/>
        <v>43221</v>
      </c>
      <c r="E278" s="53">
        <f t="shared" si="521"/>
        <v>2018</v>
      </c>
      <c r="F278" s="53">
        <f t="shared" si="522"/>
        <v>52</v>
      </c>
      <c r="G278" s="58">
        <f t="shared" ref="G278:AL278" ca="1" si="543">+IF(OR($F278+G$175&lt;1,(G$176-1)*12&lt;-$F278),0,OFFSET(G108,0,$F278))</f>
        <v>0</v>
      </c>
      <c r="H278" s="58">
        <f t="shared" ca="1" si="543"/>
        <v>0</v>
      </c>
      <c r="I278" s="58">
        <f t="shared" ca="1" si="543"/>
        <v>0</v>
      </c>
      <c r="J278" s="58">
        <f t="shared" ca="1" si="543"/>
        <v>0</v>
      </c>
      <c r="K278" s="58">
        <f t="shared" ca="1" si="543"/>
        <v>0</v>
      </c>
      <c r="L278" s="58">
        <f t="shared" ca="1" si="543"/>
        <v>0</v>
      </c>
      <c r="M278" s="58">
        <f t="shared" ca="1" si="543"/>
        <v>0</v>
      </c>
      <c r="N278" s="58">
        <f t="shared" ca="1" si="543"/>
        <v>0</v>
      </c>
      <c r="O278" s="58">
        <f t="shared" ca="1" si="543"/>
        <v>0</v>
      </c>
      <c r="P278" s="58">
        <f t="shared" ca="1" si="543"/>
        <v>0</v>
      </c>
      <c r="Q278" s="58">
        <f t="shared" ca="1" si="543"/>
        <v>0</v>
      </c>
      <c r="R278" s="58">
        <f t="shared" ca="1" si="543"/>
        <v>0</v>
      </c>
      <c r="S278" s="58">
        <f t="shared" ca="1" si="543"/>
        <v>0</v>
      </c>
      <c r="T278" s="58">
        <f t="shared" ca="1" si="543"/>
        <v>0</v>
      </c>
      <c r="U278" s="58">
        <f t="shared" ca="1" si="543"/>
        <v>0</v>
      </c>
      <c r="V278" s="58">
        <f t="shared" ca="1" si="543"/>
        <v>0</v>
      </c>
      <c r="W278" s="58">
        <f t="shared" ca="1" si="543"/>
        <v>0</v>
      </c>
      <c r="X278" s="58">
        <f t="shared" ca="1" si="543"/>
        <v>0</v>
      </c>
      <c r="Y278" s="58">
        <f t="shared" ca="1" si="543"/>
        <v>0</v>
      </c>
      <c r="Z278" s="58">
        <f t="shared" ca="1" si="543"/>
        <v>0</v>
      </c>
      <c r="AA278" s="58">
        <f t="shared" ca="1" si="543"/>
        <v>0</v>
      </c>
      <c r="AB278" s="58">
        <f t="shared" ca="1" si="543"/>
        <v>0</v>
      </c>
      <c r="AC278" s="58">
        <f t="shared" ca="1" si="543"/>
        <v>0</v>
      </c>
      <c r="AD278" s="58">
        <f t="shared" ca="1" si="543"/>
        <v>0</v>
      </c>
      <c r="AE278" s="58">
        <f t="shared" ca="1" si="543"/>
        <v>0</v>
      </c>
      <c r="AF278" s="58">
        <f t="shared" ca="1" si="543"/>
        <v>0</v>
      </c>
      <c r="AG278" s="58">
        <f t="shared" ca="1" si="543"/>
        <v>0</v>
      </c>
      <c r="AH278" s="58">
        <f t="shared" ca="1" si="543"/>
        <v>0</v>
      </c>
      <c r="AI278" s="58">
        <f t="shared" ca="1" si="543"/>
        <v>0</v>
      </c>
      <c r="AJ278" s="58">
        <f t="shared" ca="1" si="543"/>
        <v>0</v>
      </c>
      <c r="AK278" s="58">
        <f t="shared" ca="1" si="543"/>
        <v>0</v>
      </c>
      <c r="AL278" s="58">
        <f t="shared" ca="1" si="543"/>
        <v>0</v>
      </c>
      <c r="AM278" s="58">
        <f t="shared" ref="AM278:BR278" ca="1" si="544">+IF(OR($F278+AM$175&lt;1,(AM$176-1)*12&lt;-$F278),0,OFFSET(AM108,0,$F278))</f>
        <v>0</v>
      </c>
      <c r="AN278" s="58">
        <f t="shared" ca="1" si="544"/>
        <v>0</v>
      </c>
      <c r="AO278" s="58">
        <f t="shared" ca="1" si="544"/>
        <v>0</v>
      </c>
      <c r="AP278" s="58">
        <f t="shared" ca="1" si="544"/>
        <v>0</v>
      </c>
      <c r="AQ278" s="58">
        <f t="shared" ca="1" si="544"/>
        <v>0</v>
      </c>
      <c r="AR278" s="58">
        <f t="shared" ca="1" si="544"/>
        <v>0</v>
      </c>
      <c r="AS278" s="58">
        <f t="shared" ca="1" si="544"/>
        <v>0</v>
      </c>
      <c r="AT278" s="58">
        <f t="shared" ca="1" si="544"/>
        <v>0</v>
      </c>
      <c r="AU278" s="58">
        <f t="shared" ca="1" si="544"/>
        <v>0</v>
      </c>
      <c r="AV278" s="58">
        <f t="shared" ca="1" si="544"/>
        <v>0</v>
      </c>
      <c r="AW278" s="58">
        <f t="shared" ca="1" si="544"/>
        <v>0</v>
      </c>
      <c r="AX278" s="58">
        <f t="shared" ca="1" si="544"/>
        <v>0</v>
      </c>
      <c r="AY278" s="58">
        <f t="shared" ca="1" si="544"/>
        <v>0</v>
      </c>
      <c r="AZ278" s="58">
        <f t="shared" ca="1" si="544"/>
        <v>0</v>
      </c>
      <c r="BA278" s="58">
        <f t="shared" ca="1" si="544"/>
        <v>0</v>
      </c>
      <c r="BB278" s="58">
        <f t="shared" ca="1" si="544"/>
        <v>0</v>
      </c>
      <c r="BC278" s="58">
        <f t="shared" ca="1" si="544"/>
        <v>0</v>
      </c>
      <c r="BD278" s="58">
        <f t="shared" ca="1" si="544"/>
        <v>0</v>
      </c>
      <c r="BE278" s="58">
        <f t="shared" ca="1" si="544"/>
        <v>0</v>
      </c>
      <c r="BF278" s="58">
        <f t="shared" ca="1" si="544"/>
        <v>0</v>
      </c>
      <c r="BG278" s="58">
        <f t="shared" ca="1" si="544"/>
        <v>0</v>
      </c>
      <c r="BH278" s="58">
        <f t="shared" ca="1" si="544"/>
        <v>0</v>
      </c>
      <c r="BI278" s="58">
        <f t="shared" ca="1" si="544"/>
        <v>0</v>
      </c>
      <c r="BJ278" s="58">
        <f t="shared" ca="1" si="544"/>
        <v>0</v>
      </c>
      <c r="BK278" s="58">
        <f t="shared" ca="1" si="544"/>
        <v>0</v>
      </c>
      <c r="BL278" s="58">
        <f t="shared" ca="1" si="544"/>
        <v>0</v>
      </c>
      <c r="BM278" s="58">
        <f t="shared" ca="1" si="544"/>
        <v>0</v>
      </c>
      <c r="BN278" s="58">
        <f t="shared" ca="1" si="544"/>
        <v>0</v>
      </c>
      <c r="BO278" s="58">
        <f t="shared" ca="1" si="544"/>
        <v>0</v>
      </c>
      <c r="BP278" s="58">
        <f t="shared" ca="1" si="544"/>
        <v>0</v>
      </c>
      <c r="BQ278" s="58">
        <f t="shared" ca="1" si="544"/>
        <v>0</v>
      </c>
      <c r="BR278" s="58">
        <f t="shared" ca="1" si="544"/>
        <v>0</v>
      </c>
      <c r="BS278" s="58">
        <f t="shared" ref="BS278:CX278" ca="1" si="545">+IF(OR($F278+BS$175&lt;1,(BS$176-1)*12&lt;-$F278),0,OFFSET(BS108,0,$F278))</f>
        <v>0</v>
      </c>
      <c r="BT278" s="58">
        <f t="shared" ca="1" si="545"/>
        <v>0</v>
      </c>
      <c r="BU278" s="58">
        <f t="shared" ca="1" si="545"/>
        <v>0</v>
      </c>
      <c r="BV278" s="58">
        <f t="shared" ca="1" si="545"/>
        <v>0</v>
      </c>
      <c r="BW278" s="58">
        <f t="shared" ca="1" si="545"/>
        <v>0</v>
      </c>
      <c r="BX278" s="58">
        <f t="shared" ca="1" si="545"/>
        <v>0</v>
      </c>
      <c r="BY278" s="58">
        <f t="shared" ca="1" si="545"/>
        <v>0</v>
      </c>
      <c r="BZ278" s="58">
        <f t="shared" ca="1" si="545"/>
        <v>0</v>
      </c>
      <c r="CA278" s="58">
        <f t="shared" ca="1" si="545"/>
        <v>0</v>
      </c>
      <c r="CB278" s="58">
        <f t="shared" ca="1" si="545"/>
        <v>0</v>
      </c>
      <c r="CC278" s="58">
        <f t="shared" ca="1" si="545"/>
        <v>0</v>
      </c>
      <c r="CD278" s="58">
        <f t="shared" ca="1" si="545"/>
        <v>0</v>
      </c>
      <c r="CE278" s="58">
        <f t="shared" ca="1" si="545"/>
        <v>0</v>
      </c>
      <c r="CF278" s="58">
        <f t="shared" ca="1" si="545"/>
        <v>0</v>
      </c>
      <c r="CG278" s="58">
        <f t="shared" ca="1" si="545"/>
        <v>0</v>
      </c>
      <c r="CH278" s="58">
        <f t="shared" ca="1" si="545"/>
        <v>0</v>
      </c>
      <c r="CI278" s="58">
        <f t="shared" ca="1" si="545"/>
        <v>0</v>
      </c>
      <c r="CJ278" s="58">
        <f t="shared" ca="1" si="545"/>
        <v>0</v>
      </c>
      <c r="CK278" s="58">
        <f t="shared" ca="1" si="545"/>
        <v>0</v>
      </c>
      <c r="CL278" s="58">
        <f t="shared" ca="1" si="545"/>
        <v>0</v>
      </c>
      <c r="CM278" s="58">
        <f t="shared" ca="1" si="545"/>
        <v>0</v>
      </c>
      <c r="CN278" s="58">
        <f t="shared" ca="1" si="545"/>
        <v>0</v>
      </c>
      <c r="CO278" s="58">
        <f t="shared" ca="1" si="545"/>
        <v>0</v>
      </c>
      <c r="CP278" s="58">
        <f t="shared" ca="1" si="545"/>
        <v>0</v>
      </c>
      <c r="CQ278" s="58">
        <f t="shared" ca="1" si="545"/>
        <v>0</v>
      </c>
      <c r="CR278" s="58">
        <f t="shared" ca="1" si="545"/>
        <v>0</v>
      </c>
      <c r="CS278" s="58">
        <f t="shared" ca="1" si="545"/>
        <v>0</v>
      </c>
      <c r="CT278" s="58">
        <f t="shared" ca="1" si="545"/>
        <v>0</v>
      </c>
      <c r="CU278" s="58">
        <f t="shared" ca="1" si="545"/>
        <v>0</v>
      </c>
      <c r="CV278" s="58">
        <f t="shared" ca="1" si="545"/>
        <v>0</v>
      </c>
      <c r="CW278" s="58">
        <f t="shared" ca="1" si="545"/>
        <v>0</v>
      </c>
      <c r="CX278" s="58">
        <f t="shared" ca="1" si="545"/>
        <v>0</v>
      </c>
      <c r="CY278" s="58">
        <f t="shared" ref="CY278:ED278" ca="1" si="546">+IF(OR($F278+CY$175&lt;1,(CY$176-1)*12&lt;-$F278),0,OFFSET(CY108,0,$F278))</f>
        <v>0</v>
      </c>
      <c r="CZ278" s="58">
        <f t="shared" ca="1" si="546"/>
        <v>0</v>
      </c>
      <c r="DA278" s="58">
        <f t="shared" ca="1" si="546"/>
        <v>0</v>
      </c>
      <c r="DB278" s="58">
        <f t="shared" ca="1" si="546"/>
        <v>0</v>
      </c>
      <c r="DC278" s="58">
        <f t="shared" ca="1" si="546"/>
        <v>0</v>
      </c>
      <c r="DD278" s="58">
        <f t="shared" ca="1" si="546"/>
        <v>0</v>
      </c>
      <c r="DE278" s="58">
        <f t="shared" ca="1" si="546"/>
        <v>0</v>
      </c>
      <c r="DF278" s="58">
        <f t="shared" ca="1" si="546"/>
        <v>0</v>
      </c>
      <c r="DG278" s="58">
        <f t="shared" ca="1" si="546"/>
        <v>0</v>
      </c>
      <c r="DH278" s="58">
        <f t="shared" ca="1" si="546"/>
        <v>0</v>
      </c>
      <c r="DI278" s="58">
        <f t="shared" ca="1" si="546"/>
        <v>0</v>
      </c>
      <c r="DJ278" s="58">
        <f t="shared" ca="1" si="546"/>
        <v>0</v>
      </c>
      <c r="DK278" s="58">
        <f t="shared" ca="1" si="546"/>
        <v>0</v>
      </c>
      <c r="DL278" s="58">
        <f t="shared" ca="1" si="546"/>
        <v>0</v>
      </c>
      <c r="DM278" s="58">
        <f t="shared" ca="1" si="546"/>
        <v>0</v>
      </c>
      <c r="DN278" s="58">
        <f t="shared" ca="1" si="546"/>
        <v>0</v>
      </c>
      <c r="DO278" s="58">
        <f t="shared" ca="1" si="546"/>
        <v>0</v>
      </c>
      <c r="DP278" s="58">
        <f t="shared" ca="1" si="546"/>
        <v>0</v>
      </c>
      <c r="DQ278" s="58">
        <f t="shared" ca="1" si="546"/>
        <v>0</v>
      </c>
      <c r="DR278" s="58">
        <f t="shared" ca="1" si="546"/>
        <v>0</v>
      </c>
      <c r="DS278" s="58">
        <f t="shared" ca="1" si="546"/>
        <v>0</v>
      </c>
      <c r="DT278" s="58">
        <f t="shared" ca="1" si="546"/>
        <v>0</v>
      </c>
      <c r="DU278" s="58">
        <f t="shared" ca="1" si="546"/>
        <v>0</v>
      </c>
      <c r="DV278" s="58">
        <f t="shared" ca="1" si="546"/>
        <v>0</v>
      </c>
      <c r="DW278" s="58">
        <f t="shared" ca="1" si="546"/>
        <v>0</v>
      </c>
      <c r="DX278" s="58">
        <f t="shared" ca="1" si="546"/>
        <v>0</v>
      </c>
      <c r="DY278" s="58">
        <f t="shared" ca="1" si="546"/>
        <v>0</v>
      </c>
      <c r="DZ278" s="58">
        <f t="shared" ca="1" si="546"/>
        <v>0</v>
      </c>
      <c r="EA278" s="58">
        <f t="shared" ca="1" si="546"/>
        <v>0</v>
      </c>
      <c r="EB278" s="58">
        <f t="shared" ca="1" si="546"/>
        <v>0</v>
      </c>
      <c r="EC278" s="58">
        <f t="shared" ca="1" si="546"/>
        <v>0</v>
      </c>
      <c r="ED278" s="58">
        <f t="shared" ca="1" si="546"/>
        <v>0</v>
      </c>
      <c r="EE278" s="58">
        <f t="shared" ref="EE278:FN278" ca="1" si="547">+IF(OR($F278+EE$175&lt;1,(EE$176-1)*12&lt;-$F278),0,OFFSET(EE108,0,$F278))</f>
        <v>0</v>
      </c>
      <c r="EF278" s="58">
        <f t="shared" ca="1" si="547"/>
        <v>0</v>
      </c>
      <c r="EG278" s="58">
        <f t="shared" ca="1" si="547"/>
        <v>0</v>
      </c>
      <c r="EH278" s="58">
        <f t="shared" ca="1" si="547"/>
        <v>0</v>
      </c>
      <c r="EI278" s="58">
        <f t="shared" ca="1" si="547"/>
        <v>0</v>
      </c>
      <c r="EJ278" s="58">
        <f t="shared" ca="1" si="547"/>
        <v>0</v>
      </c>
      <c r="EK278" s="58">
        <f t="shared" ca="1" si="547"/>
        <v>0</v>
      </c>
      <c r="EL278" s="58">
        <f t="shared" ca="1" si="547"/>
        <v>0</v>
      </c>
      <c r="EM278" s="58">
        <f t="shared" ca="1" si="547"/>
        <v>0</v>
      </c>
      <c r="EN278" s="58">
        <f t="shared" ca="1" si="547"/>
        <v>0</v>
      </c>
      <c r="EO278" s="58">
        <f t="shared" ca="1" si="547"/>
        <v>0</v>
      </c>
      <c r="EP278" s="58">
        <f t="shared" ca="1" si="547"/>
        <v>0</v>
      </c>
      <c r="EQ278" s="58">
        <f t="shared" ca="1" si="547"/>
        <v>0</v>
      </c>
      <c r="ER278" s="58">
        <f t="shared" ca="1" si="547"/>
        <v>0</v>
      </c>
      <c r="ES278" s="58">
        <f t="shared" ca="1" si="547"/>
        <v>0</v>
      </c>
      <c r="ET278" s="58">
        <f t="shared" ca="1" si="547"/>
        <v>0</v>
      </c>
      <c r="EU278" s="58">
        <f t="shared" ca="1" si="547"/>
        <v>0</v>
      </c>
      <c r="EV278" s="58">
        <f t="shared" ca="1" si="547"/>
        <v>0</v>
      </c>
      <c r="EW278" s="58">
        <f t="shared" ca="1" si="547"/>
        <v>0</v>
      </c>
      <c r="EX278" s="58">
        <f t="shared" ca="1" si="547"/>
        <v>0</v>
      </c>
      <c r="EY278" s="58">
        <f t="shared" ca="1" si="547"/>
        <v>0</v>
      </c>
      <c r="EZ278" s="58">
        <f t="shared" ca="1" si="547"/>
        <v>0</v>
      </c>
      <c r="FA278" s="58">
        <f t="shared" ca="1" si="547"/>
        <v>0</v>
      </c>
      <c r="FB278" s="58">
        <f t="shared" ca="1" si="547"/>
        <v>0</v>
      </c>
      <c r="FC278" s="58">
        <f t="shared" ca="1" si="547"/>
        <v>0</v>
      </c>
      <c r="FD278" s="58">
        <f t="shared" ca="1" si="547"/>
        <v>0</v>
      </c>
      <c r="FE278" s="58">
        <f t="shared" ca="1" si="547"/>
        <v>0</v>
      </c>
      <c r="FF278" s="58">
        <f t="shared" ca="1" si="547"/>
        <v>0</v>
      </c>
      <c r="FG278" s="58">
        <f t="shared" ca="1" si="547"/>
        <v>0</v>
      </c>
      <c r="FH278" s="58">
        <f t="shared" ca="1" si="547"/>
        <v>0</v>
      </c>
      <c r="FI278" s="58">
        <f t="shared" ca="1" si="547"/>
        <v>0</v>
      </c>
      <c r="FJ278" s="58">
        <f t="shared" ca="1" si="547"/>
        <v>0</v>
      </c>
      <c r="FK278" s="58">
        <f t="shared" ca="1" si="547"/>
        <v>0</v>
      </c>
      <c r="FL278" s="58">
        <f t="shared" ca="1" si="547"/>
        <v>0</v>
      </c>
      <c r="FM278" s="58">
        <f t="shared" ca="1" si="547"/>
        <v>0</v>
      </c>
      <c r="FN278" s="58">
        <f t="shared" ca="1" si="547"/>
        <v>0</v>
      </c>
      <c r="FO278" s="13"/>
    </row>
    <row r="279" spans="1:171" outlineLevel="1" x14ac:dyDescent="0.3">
      <c r="A279" s="13"/>
      <c r="B279" s="13"/>
      <c r="C279" s="13"/>
      <c r="D279" s="52">
        <f t="shared" si="520"/>
        <v>43252</v>
      </c>
      <c r="E279" s="53">
        <f t="shared" si="521"/>
        <v>2018</v>
      </c>
      <c r="F279" s="53">
        <f t="shared" si="522"/>
        <v>53</v>
      </c>
      <c r="G279" s="58">
        <f t="shared" ref="G279:AL279" ca="1" si="548">+IF(OR($F279+G$175&lt;1,(G$176-1)*12&lt;-$F279),0,OFFSET(G109,0,$F279))</f>
        <v>0</v>
      </c>
      <c r="H279" s="58">
        <f t="shared" ca="1" si="548"/>
        <v>0</v>
      </c>
      <c r="I279" s="58">
        <f t="shared" ca="1" si="548"/>
        <v>0</v>
      </c>
      <c r="J279" s="58">
        <f t="shared" ca="1" si="548"/>
        <v>0</v>
      </c>
      <c r="K279" s="58">
        <f t="shared" ca="1" si="548"/>
        <v>0</v>
      </c>
      <c r="L279" s="58">
        <f t="shared" ca="1" si="548"/>
        <v>0</v>
      </c>
      <c r="M279" s="58">
        <f t="shared" ca="1" si="548"/>
        <v>0</v>
      </c>
      <c r="N279" s="58">
        <f t="shared" ca="1" si="548"/>
        <v>0</v>
      </c>
      <c r="O279" s="58">
        <f t="shared" ca="1" si="548"/>
        <v>0</v>
      </c>
      <c r="P279" s="58">
        <f t="shared" ca="1" si="548"/>
        <v>0</v>
      </c>
      <c r="Q279" s="58">
        <f t="shared" ca="1" si="548"/>
        <v>0</v>
      </c>
      <c r="R279" s="58">
        <f t="shared" ca="1" si="548"/>
        <v>0</v>
      </c>
      <c r="S279" s="58">
        <f t="shared" ca="1" si="548"/>
        <v>0</v>
      </c>
      <c r="T279" s="58">
        <f t="shared" ca="1" si="548"/>
        <v>0</v>
      </c>
      <c r="U279" s="58">
        <f t="shared" ca="1" si="548"/>
        <v>0</v>
      </c>
      <c r="V279" s="58">
        <f t="shared" ca="1" si="548"/>
        <v>0</v>
      </c>
      <c r="W279" s="58">
        <f t="shared" ca="1" si="548"/>
        <v>0</v>
      </c>
      <c r="X279" s="58">
        <f t="shared" ca="1" si="548"/>
        <v>0</v>
      </c>
      <c r="Y279" s="58">
        <f t="shared" ca="1" si="548"/>
        <v>0</v>
      </c>
      <c r="Z279" s="58">
        <f t="shared" ca="1" si="548"/>
        <v>0</v>
      </c>
      <c r="AA279" s="58">
        <f t="shared" ca="1" si="548"/>
        <v>0</v>
      </c>
      <c r="AB279" s="58">
        <f t="shared" ca="1" si="548"/>
        <v>0</v>
      </c>
      <c r="AC279" s="58">
        <f t="shared" ca="1" si="548"/>
        <v>0</v>
      </c>
      <c r="AD279" s="58">
        <f t="shared" ca="1" si="548"/>
        <v>0</v>
      </c>
      <c r="AE279" s="58">
        <f t="shared" ca="1" si="548"/>
        <v>0</v>
      </c>
      <c r="AF279" s="58">
        <f t="shared" ca="1" si="548"/>
        <v>0</v>
      </c>
      <c r="AG279" s="58">
        <f t="shared" ca="1" si="548"/>
        <v>0</v>
      </c>
      <c r="AH279" s="58">
        <f t="shared" ca="1" si="548"/>
        <v>0</v>
      </c>
      <c r="AI279" s="58">
        <f t="shared" ca="1" si="548"/>
        <v>0</v>
      </c>
      <c r="AJ279" s="58">
        <f t="shared" ca="1" si="548"/>
        <v>0</v>
      </c>
      <c r="AK279" s="58">
        <f t="shared" ca="1" si="548"/>
        <v>0</v>
      </c>
      <c r="AL279" s="58">
        <f t="shared" ca="1" si="548"/>
        <v>0</v>
      </c>
      <c r="AM279" s="58">
        <f t="shared" ref="AM279:BR279" ca="1" si="549">+IF(OR($F279+AM$175&lt;1,(AM$176-1)*12&lt;-$F279),0,OFFSET(AM109,0,$F279))</f>
        <v>0</v>
      </c>
      <c r="AN279" s="58">
        <f t="shared" ca="1" si="549"/>
        <v>0</v>
      </c>
      <c r="AO279" s="58">
        <f t="shared" ca="1" si="549"/>
        <v>0</v>
      </c>
      <c r="AP279" s="58">
        <f t="shared" ca="1" si="549"/>
        <v>0</v>
      </c>
      <c r="AQ279" s="58">
        <f t="shared" ca="1" si="549"/>
        <v>0</v>
      </c>
      <c r="AR279" s="58">
        <f t="shared" ca="1" si="549"/>
        <v>0</v>
      </c>
      <c r="AS279" s="58">
        <f t="shared" ca="1" si="549"/>
        <v>0</v>
      </c>
      <c r="AT279" s="58">
        <f t="shared" ca="1" si="549"/>
        <v>0</v>
      </c>
      <c r="AU279" s="58">
        <f t="shared" ca="1" si="549"/>
        <v>0</v>
      </c>
      <c r="AV279" s="58">
        <f t="shared" ca="1" si="549"/>
        <v>0</v>
      </c>
      <c r="AW279" s="58">
        <f t="shared" ca="1" si="549"/>
        <v>0</v>
      </c>
      <c r="AX279" s="58">
        <f t="shared" ca="1" si="549"/>
        <v>0</v>
      </c>
      <c r="AY279" s="58">
        <f t="shared" ca="1" si="549"/>
        <v>0</v>
      </c>
      <c r="AZ279" s="58">
        <f t="shared" ca="1" si="549"/>
        <v>0</v>
      </c>
      <c r="BA279" s="58">
        <f t="shared" ca="1" si="549"/>
        <v>0</v>
      </c>
      <c r="BB279" s="58">
        <f t="shared" ca="1" si="549"/>
        <v>0</v>
      </c>
      <c r="BC279" s="58">
        <f t="shared" ca="1" si="549"/>
        <v>0</v>
      </c>
      <c r="BD279" s="58">
        <f t="shared" ca="1" si="549"/>
        <v>0</v>
      </c>
      <c r="BE279" s="58">
        <f t="shared" ca="1" si="549"/>
        <v>0</v>
      </c>
      <c r="BF279" s="58">
        <f t="shared" ca="1" si="549"/>
        <v>0</v>
      </c>
      <c r="BG279" s="58">
        <f t="shared" ca="1" si="549"/>
        <v>0</v>
      </c>
      <c r="BH279" s="58">
        <f t="shared" ca="1" si="549"/>
        <v>0</v>
      </c>
      <c r="BI279" s="58">
        <f t="shared" ca="1" si="549"/>
        <v>0</v>
      </c>
      <c r="BJ279" s="58">
        <f t="shared" ca="1" si="549"/>
        <v>0</v>
      </c>
      <c r="BK279" s="58">
        <f t="shared" ca="1" si="549"/>
        <v>0</v>
      </c>
      <c r="BL279" s="58">
        <f t="shared" ca="1" si="549"/>
        <v>0</v>
      </c>
      <c r="BM279" s="58">
        <f t="shared" ca="1" si="549"/>
        <v>0</v>
      </c>
      <c r="BN279" s="58">
        <f t="shared" ca="1" si="549"/>
        <v>0</v>
      </c>
      <c r="BO279" s="58">
        <f t="shared" ca="1" si="549"/>
        <v>0</v>
      </c>
      <c r="BP279" s="58">
        <f t="shared" ca="1" si="549"/>
        <v>0</v>
      </c>
      <c r="BQ279" s="58">
        <f t="shared" ca="1" si="549"/>
        <v>0</v>
      </c>
      <c r="BR279" s="58">
        <f t="shared" ca="1" si="549"/>
        <v>0</v>
      </c>
      <c r="BS279" s="58">
        <f t="shared" ref="BS279:CX279" ca="1" si="550">+IF(OR($F279+BS$175&lt;1,(BS$176-1)*12&lt;-$F279),0,OFFSET(BS109,0,$F279))</f>
        <v>0</v>
      </c>
      <c r="BT279" s="58">
        <f t="shared" ca="1" si="550"/>
        <v>0</v>
      </c>
      <c r="BU279" s="58">
        <f t="shared" ca="1" si="550"/>
        <v>0</v>
      </c>
      <c r="BV279" s="58">
        <f t="shared" ca="1" si="550"/>
        <v>0</v>
      </c>
      <c r="BW279" s="58">
        <f t="shared" ca="1" si="550"/>
        <v>0</v>
      </c>
      <c r="BX279" s="58">
        <f t="shared" ca="1" si="550"/>
        <v>0</v>
      </c>
      <c r="BY279" s="58">
        <f t="shared" ca="1" si="550"/>
        <v>0</v>
      </c>
      <c r="BZ279" s="58">
        <f t="shared" ca="1" si="550"/>
        <v>0</v>
      </c>
      <c r="CA279" s="58">
        <f t="shared" ca="1" si="550"/>
        <v>0</v>
      </c>
      <c r="CB279" s="58">
        <f t="shared" ca="1" si="550"/>
        <v>0</v>
      </c>
      <c r="CC279" s="58">
        <f t="shared" ca="1" si="550"/>
        <v>0</v>
      </c>
      <c r="CD279" s="58">
        <f t="shared" ca="1" si="550"/>
        <v>0</v>
      </c>
      <c r="CE279" s="58">
        <f t="shared" ca="1" si="550"/>
        <v>0</v>
      </c>
      <c r="CF279" s="58">
        <f t="shared" ca="1" si="550"/>
        <v>0</v>
      </c>
      <c r="CG279" s="58">
        <f t="shared" ca="1" si="550"/>
        <v>0</v>
      </c>
      <c r="CH279" s="58">
        <f t="shared" ca="1" si="550"/>
        <v>0</v>
      </c>
      <c r="CI279" s="58">
        <f t="shared" ca="1" si="550"/>
        <v>0</v>
      </c>
      <c r="CJ279" s="58">
        <f t="shared" ca="1" si="550"/>
        <v>0</v>
      </c>
      <c r="CK279" s="58">
        <f t="shared" ca="1" si="550"/>
        <v>0</v>
      </c>
      <c r="CL279" s="58">
        <f t="shared" ca="1" si="550"/>
        <v>0</v>
      </c>
      <c r="CM279" s="58">
        <f t="shared" ca="1" si="550"/>
        <v>0</v>
      </c>
      <c r="CN279" s="58">
        <f t="shared" ca="1" si="550"/>
        <v>0</v>
      </c>
      <c r="CO279" s="58">
        <f t="shared" ca="1" si="550"/>
        <v>0</v>
      </c>
      <c r="CP279" s="58">
        <f t="shared" ca="1" si="550"/>
        <v>0</v>
      </c>
      <c r="CQ279" s="58">
        <f t="shared" ca="1" si="550"/>
        <v>0</v>
      </c>
      <c r="CR279" s="58">
        <f t="shared" ca="1" si="550"/>
        <v>0</v>
      </c>
      <c r="CS279" s="58">
        <f t="shared" ca="1" si="550"/>
        <v>0</v>
      </c>
      <c r="CT279" s="58">
        <f t="shared" ca="1" si="550"/>
        <v>0</v>
      </c>
      <c r="CU279" s="58">
        <f t="shared" ca="1" si="550"/>
        <v>0</v>
      </c>
      <c r="CV279" s="58">
        <f t="shared" ca="1" si="550"/>
        <v>0</v>
      </c>
      <c r="CW279" s="58">
        <f t="shared" ca="1" si="550"/>
        <v>0</v>
      </c>
      <c r="CX279" s="58">
        <f t="shared" ca="1" si="550"/>
        <v>0</v>
      </c>
      <c r="CY279" s="58">
        <f t="shared" ref="CY279:ED279" ca="1" si="551">+IF(OR($F279+CY$175&lt;1,(CY$176-1)*12&lt;-$F279),0,OFFSET(CY109,0,$F279))</f>
        <v>0</v>
      </c>
      <c r="CZ279" s="58">
        <f t="shared" ca="1" si="551"/>
        <v>0</v>
      </c>
      <c r="DA279" s="58">
        <f t="shared" ca="1" si="551"/>
        <v>0</v>
      </c>
      <c r="DB279" s="58">
        <f t="shared" ca="1" si="551"/>
        <v>0</v>
      </c>
      <c r="DC279" s="58">
        <f t="shared" ca="1" si="551"/>
        <v>0</v>
      </c>
      <c r="DD279" s="58">
        <f t="shared" ca="1" si="551"/>
        <v>0</v>
      </c>
      <c r="DE279" s="58">
        <f t="shared" ca="1" si="551"/>
        <v>0</v>
      </c>
      <c r="DF279" s="58">
        <f t="shared" ca="1" si="551"/>
        <v>0</v>
      </c>
      <c r="DG279" s="58">
        <f t="shared" ca="1" si="551"/>
        <v>0</v>
      </c>
      <c r="DH279" s="58">
        <f t="shared" ca="1" si="551"/>
        <v>0</v>
      </c>
      <c r="DI279" s="58">
        <f t="shared" ca="1" si="551"/>
        <v>0</v>
      </c>
      <c r="DJ279" s="58">
        <f t="shared" ca="1" si="551"/>
        <v>0</v>
      </c>
      <c r="DK279" s="58">
        <f t="shared" ca="1" si="551"/>
        <v>0</v>
      </c>
      <c r="DL279" s="58">
        <f t="shared" ca="1" si="551"/>
        <v>0</v>
      </c>
      <c r="DM279" s="58">
        <f t="shared" ca="1" si="551"/>
        <v>0</v>
      </c>
      <c r="DN279" s="58">
        <f t="shared" ca="1" si="551"/>
        <v>0</v>
      </c>
      <c r="DO279" s="58">
        <f t="shared" ca="1" si="551"/>
        <v>0</v>
      </c>
      <c r="DP279" s="58">
        <f t="shared" ca="1" si="551"/>
        <v>0</v>
      </c>
      <c r="DQ279" s="58">
        <f t="shared" ca="1" si="551"/>
        <v>0</v>
      </c>
      <c r="DR279" s="58">
        <f t="shared" ca="1" si="551"/>
        <v>0</v>
      </c>
      <c r="DS279" s="58">
        <f t="shared" ca="1" si="551"/>
        <v>0</v>
      </c>
      <c r="DT279" s="58">
        <f t="shared" ca="1" si="551"/>
        <v>0</v>
      </c>
      <c r="DU279" s="58">
        <f t="shared" ca="1" si="551"/>
        <v>0</v>
      </c>
      <c r="DV279" s="58">
        <f t="shared" ca="1" si="551"/>
        <v>0</v>
      </c>
      <c r="DW279" s="58">
        <f t="shared" ca="1" si="551"/>
        <v>0</v>
      </c>
      <c r="DX279" s="58">
        <f t="shared" ca="1" si="551"/>
        <v>0</v>
      </c>
      <c r="DY279" s="58">
        <f t="shared" ca="1" si="551"/>
        <v>0</v>
      </c>
      <c r="DZ279" s="58">
        <f t="shared" ca="1" si="551"/>
        <v>0</v>
      </c>
      <c r="EA279" s="58">
        <f t="shared" ca="1" si="551"/>
        <v>0</v>
      </c>
      <c r="EB279" s="58">
        <f t="shared" ca="1" si="551"/>
        <v>0</v>
      </c>
      <c r="EC279" s="58">
        <f t="shared" ca="1" si="551"/>
        <v>0</v>
      </c>
      <c r="ED279" s="58">
        <f t="shared" ca="1" si="551"/>
        <v>0</v>
      </c>
      <c r="EE279" s="58">
        <f t="shared" ref="EE279:FN279" ca="1" si="552">+IF(OR($F279+EE$175&lt;1,(EE$176-1)*12&lt;-$F279),0,OFFSET(EE109,0,$F279))</f>
        <v>0</v>
      </c>
      <c r="EF279" s="58">
        <f t="shared" ca="1" si="552"/>
        <v>0</v>
      </c>
      <c r="EG279" s="58">
        <f t="shared" ca="1" si="552"/>
        <v>0</v>
      </c>
      <c r="EH279" s="58">
        <f t="shared" ca="1" si="552"/>
        <v>0</v>
      </c>
      <c r="EI279" s="58">
        <f t="shared" ca="1" si="552"/>
        <v>0</v>
      </c>
      <c r="EJ279" s="58">
        <f t="shared" ca="1" si="552"/>
        <v>0</v>
      </c>
      <c r="EK279" s="58">
        <f t="shared" ca="1" si="552"/>
        <v>0</v>
      </c>
      <c r="EL279" s="58">
        <f t="shared" ca="1" si="552"/>
        <v>0</v>
      </c>
      <c r="EM279" s="58">
        <f t="shared" ca="1" si="552"/>
        <v>0</v>
      </c>
      <c r="EN279" s="58">
        <f t="shared" ca="1" si="552"/>
        <v>0</v>
      </c>
      <c r="EO279" s="58">
        <f t="shared" ca="1" si="552"/>
        <v>0</v>
      </c>
      <c r="EP279" s="58">
        <f t="shared" ca="1" si="552"/>
        <v>0</v>
      </c>
      <c r="EQ279" s="58">
        <f t="shared" ca="1" si="552"/>
        <v>0</v>
      </c>
      <c r="ER279" s="58">
        <f t="shared" ca="1" si="552"/>
        <v>0</v>
      </c>
      <c r="ES279" s="58">
        <f t="shared" ca="1" si="552"/>
        <v>0</v>
      </c>
      <c r="ET279" s="58">
        <f t="shared" ca="1" si="552"/>
        <v>0</v>
      </c>
      <c r="EU279" s="58">
        <f t="shared" ca="1" si="552"/>
        <v>0</v>
      </c>
      <c r="EV279" s="58">
        <f t="shared" ca="1" si="552"/>
        <v>0</v>
      </c>
      <c r="EW279" s="58">
        <f t="shared" ca="1" si="552"/>
        <v>0</v>
      </c>
      <c r="EX279" s="58">
        <f t="shared" ca="1" si="552"/>
        <v>0</v>
      </c>
      <c r="EY279" s="58">
        <f t="shared" ca="1" si="552"/>
        <v>0</v>
      </c>
      <c r="EZ279" s="58">
        <f t="shared" ca="1" si="552"/>
        <v>0</v>
      </c>
      <c r="FA279" s="58">
        <f t="shared" ca="1" si="552"/>
        <v>0</v>
      </c>
      <c r="FB279" s="58">
        <f t="shared" ca="1" si="552"/>
        <v>0</v>
      </c>
      <c r="FC279" s="58">
        <f t="shared" ca="1" si="552"/>
        <v>0</v>
      </c>
      <c r="FD279" s="58">
        <f t="shared" ca="1" si="552"/>
        <v>0</v>
      </c>
      <c r="FE279" s="58">
        <f t="shared" ca="1" si="552"/>
        <v>0</v>
      </c>
      <c r="FF279" s="58">
        <f t="shared" ca="1" si="552"/>
        <v>0</v>
      </c>
      <c r="FG279" s="58">
        <f t="shared" ca="1" si="552"/>
        <v>0</v>
      </c>
      <c r="FH279" s="58">
        <f t="shared" ca="1" si="552"/>
        <v>0</v>
      </c>
      <c r="FI279" s="58">
        <f t="shared" ca="1" si="552"/>
        <v>0</v>
      </c>
      <c r="FJ279" s="58">
        <f t="shared" ca="1" si="552"/>
        <v>0</v>
      </c>
      <c r="FK279" s="58">
        <f t="shared" ca="1" si="552"/>
        <v>0</v>
      </c>
      <c r="FL279" s="58">
        <f t="shared" ca="1" si="552"/>
        <v>0</v>
      </c>
      <c r="FM279" s="58">
        <f t="shared" ca="1" si="552"/>
        <v>0</v>
      </c>
      <c r="FN279" s="58">
        <f t="shared" ca="1" si="552"/>
        <v>0</v>
      </c>
      <c r="FO279" s="13"/>
    </row>
    <row r="280" spans="1:171" outlineLevel="1" x14ac:dyDescent="0.3">
      <c r="A280" s="13"/>
      <c r="B280" s="13"/>
      <c r="C280" s="13"/>
      <c r="D280" s="52">
        <f t="shared" si="520"/>
        <v>43282</v>
      </c>
      <c r="E280" s="53">
        <f t="shared" si="521"/>
        <v>2018</v>
      </c>
      <c r="F280" s="53">
        <f t="shared" si="522"/>
        <v>54</v>
      </c>
      <c r="G280" s="58">
        <f t="shared" ref="G280:AL280" ca="1" si="553">+IF(OR($F280+G$175&lt;1,(G$176-1)*12&lt;-$F280),0,OFFSET(G110,0,$F280))</f>
        <v>0</v>
      </c>
      <c r="H280" s="58">
        <f t="shared" ca="1" si="553"/>
        <v>0</v>
      </c>
      <c r="I280" s="58">
        <f t="shared" ca="1" si="553"/>
        <v>0</v>
      </c>
      <c r="J280" s="58">
        <f t="shared" ca="1" si="553"/>
        <v>0</v>
      </c>
      <c r="K280" s="58">
        <f t="shared" ca="1" si="553"/>
        <v>0</v>
      </c>
      <c r="L280" s="58">
        <f t="shared" ca="1" si="553"/>
        <v>0</v>
      </c>
      <c r="M280" s="58">
        <f t="shared" ca="1" si="553"/>
        <v>0</v>
      </c>
      <c r="N280" s="58">
        <f t="shared" ca="1" si="553"/>
        <v>0</v>
      </c>
      <c r="O280" s="58">
        <f t="shared" ca="1" si="553"/>
        <v>0</v>
      </c>
      <c r="P280" s="58">
        <f t="shared" ca="1" si="553"/>
        <v>0</v>
      </c>
      <c r="Q280" s="58">
        <f t="shared" ca="1" si="553"/>
        <v>0</v>
      </c>
      <c r="R280" s="58">
        <f t="shared" ca="1" si="553"/>
        <v>0</v>
      </c>
      <c r="S280" s="58">
        <f t="shared" ca="1" si="553"/>
        <v>0</v>
      </c>
      <c r="T280" s="58">
        <f t="shared" ca="1" si="553"/>
        <v>0</v>
      </c>
      <c r="U280" s="58">
        <f t="shared" ca="1" si="553"/>
        <v>0</v>
      </c>
      <c r="V280" s="58">
        <f t="shared" ca="1" si="553"/>
        <v>0</v>
      </c>
      <c r="W280" s="58">
        <f t="shared" ca="1" si="553"/>
        <v>0</v>
      </c>
      <c r="X280" s="58">
        <f t="shared" ca="1" si="553"/>
        <v>0</v>
      </c>
      <c r="Y280" s="58">
        <f t="shared" ca="1" si="553"/>
        <v>0</v>
      </c>
      <c r="Z280" s="58">
        <f t="shared" ca="1" si="553"/>
        <v>0</v>
      </c>
      <c r="AA280" s="58">
        <f t="shared" ca="1" si="553"/>
        <v>0</v>
      </c>
      <c r="AB280" s="58">
        <f t="shared" ca="1" si="553"/>
        <v>0</v>
      </c>
      <c r="AC280" s="58">
        <f t="shared" ca="1" si="553"/>
        <v>0</v>
      </c>
      <c r="AD280" s="58">
        <f t="shared" ca="1" si="553"/>
        <v>0</v>
      </c>
      <c r="AE280" s="58">
        <f t="shared" ca="1" si="553"/>
        <v>0</v>
      </c>
      <c r="AF280" s="58">
        <f t="shared" ca="1" si="553"/>
        <v>0</v>
      </c>
      <c r="AG280" s="58">
        <f t="shared" ca="1" si="553"/>
        <v>0</v>
      </c>
      <c r="AH280" s="58">
        <f t="shared" ca="1" si="553"/>
        <v>0</v>
      </c>
      <c r="AI280" s="58">
        <f t="shared" ca="1" si="553"/>
        <v>0</v>
      </c>
      <c r="AJ280" s="58">
        <f t="shared" ca="1" si="553"/>
        <v>0</v>
      </c>
      <c r="AK280" s="58">
        <f t="shared" ca="1" si="553"/>
        <v>0</v>
      </c>
      <c r="AL280" s="58">
        <f t="shared" ca="1" si="553"/>
        <v>0</v>
      </c>
      <c r="AM280" s="58">
        <f t="shared" ref="AM280:BR280" ca="1" si="554">+IF(OR($F280+AM$175&lt;1,(AM$176-1)*12&lt;-$F280),0,OFFSET(AM110,0,$F280))</f>
        <v>0</v>
      </c>
      <c r="AN280" s="58">
        <f t="shared" ca="1" si="554"/>
        <v>0</v>
      </c>
      <c r="AO280" s="58">
        <f t="shared" ca="1" si="554"/>
        <v>0</v>
      </c>
      <c r="AP280" s="58">
        <f t="shared" ca="1" si="554"/>
        <v>0</v>
      </c>
      <c r="AQ280" s="58">
        <f t="shared" ca="1" si="554"/>
        <v>0</v>
      </c>
      <c r="AR280" s="58">
        <f t="shared" ca="1" si="554"/>
        <v>0</v>
      </c>
      <c r="AS280" s="58">
        <f t="shared" ca="1" si="554"/>
        <v>0</v>
      </c>
      <c r="AT280" s="58">
        <f t="shared" ca="1" si="554"/>
        <v>0</v>
      </c>
      <c r="AU280" s="58">
        <f t="shared" ca="1" si="554"/>
        <v>0</v>
      </c>
      <c r="AV280" s="58">
        <f t="shared" ca="1" si="554"/>
        <v>0</v>
      </c>
      <c r="AW280" s="58">
        <f t="shared" ca="1" si="554"/>
        <v>0</v>
      </c>
      <c r="AX280" s="58">
        <f t="shared" ca="1" si="554"/>
        <v>0</v>
      </c>
      <c r="AY280" s="58">
        <f t="shared" ca="1" si="554"/>
        <v>0</v>
      </c>
      <c r="AZ280" s="58">
        <f t="shared" ca="1" si="554"/>
        <v>0</v>
      </c>
      <c r="BA280" s="58">
        <f t="shared" ca="1" si="554"/>
        <v>0</v>
      </c>
      <c r="BB280" s="58">
        <f t="shared" ca="1" si="554"/>
        <v>0</v>
      </c>
      <c r="BC280" s="58">
        <f t="shared" ca="1" si="554"/>
        <v>0</v>
      </c>
      <c r="BD280" s="58">
        <f t="shared" ca="1" si="554"/>
        <v>0</v>
      </c>
      <c r="BE280" s="58">
        <f t="shared" ca="1" si="554"/>
        <v>0</v>
      </c>
      <c r="BF280" s="58">
        <f t="shared" ca="1" si="554"/>
        <v>0</v>
      </c>
      <c r="BG280" s="58">
        <f t="shared" ca="1" si="554"/>
        <v>0</v>
      </c>
      <c r="BH280" s="58">
        <f t="shared" ca="1" si="554"/>
        <v>0</v>
      </c>
      <c r="BI280" s="58">
        <f t="shared" ca="1" si="554"/>
        <v>0</v>
      </c>
      <c r="BJ280" s="58">
        <f t="shared" ca="1" si="554"/>
        <v>0</v>
      </c>
      <c r="BK280" s="58">
        <f t="shared" ca="1" si="554"/>
        <v>0</v>
      </c>
      <c r="BL280" s="58">
        <f t="shared" ca="1" si="554"/>
        <v>0</v>
      </c>
      <c r="BM280" s="58">
        <f t="shared" ca="1" si="554"/>
        <v>0</v>
      </c>
      <c r="BN280" s="58">
        <f t="shared" ca="1" si="554"/>
        <v>0</v>
      </c>
      <c r="BO280" s="58">
        <f t="shared" ca="1" si="554"/>
        <v>0</v>
      </c>
      <c r="BP280" s="58">
        <f t="shared" ca="1" si="554"/>
        <v>0</v>
      </c>
      <c r="BQ280" s="58">
        <f t="shared" ca="1" si="554"/>
        <v>0</v>
      </c>
      <c r="BR280" s="58">
        <f t="shared" ca="1" si="554"/>
        <v>0</v>
      </c>
      <c r="BS280" s="58">
        <f t="shared" ref="BS280:CX280" ca="1" si="555">+IF(OR($F280+BS$175&lt;1,(BS$176-1)*12&lt;-$F280),0,OFFSET(BS110,0,$F280))</f>
        <v>0</v>
      </c>
      <c r="BT280" s="58">
        <f t="shared" ca="1" si="555"/>
        <v>0</v>
      </c>
      <c r="BU280" s="58">
        <f t="shared" ca="1" si="555"/>
        <v>0</v>
      </c>
      <c r="BV280" s="58">
        <f t="shared" ca="1" si="555"/>
        <v>0</v>
      </c>
      <c r="BW280" s="58">
        <f t="shared" ca="1" si="555"/>
        <v>0</v>
      </c>
      <c r="BX280" s="58">
        <f t="shared" ca="1" si="555"/>
        <v>0</v>
      </c>
      <c r="BY280" s="58">
        <f t="shared" ca="1" si="555"/>
        <v>0</v>
      </c>
      <c r="BZ280" s="58">
        <f t="shared" ca="1" si="555"/>
        <v>0</v>
      </c>
      <c r="CA280" s="58">
        <f t="shared" ca="1" si="555"/>
        <v>0</v>
      </c>
      <c r="CB280" s="58">
        <f t="shared" ca="1" si="555"/>
        <v>0</v>
      </c>
      <c r="CC280" s="58">
        <f t="shared" ca="1" si="555"/>
        <v>0</v>
      </c>
      <c r="CD280" s="58">
        <f t="shared" ca="1" si="555"/>
        <v>0</v>
      </c>
      <c r="CE280" s="58">
        <f t="shared" ca="1" si="555"/>
        <v>0</v>
      </c>
      <c r="CF280" s="58">
        <f t="shared" ca="1" si="555"/>
        <v>0</v>
      </c>
      <c r="CG280" s="58">
        <f t="shared" ca="1" si="555"/>
        <v>0</v>
      </c>
      <c r="CH280" s="58">
        <f t="shared" ca="1" si="555"/>
        <v>0</v>
      </c>
      <c r="CI280" s="58">
        <f t="shared" ca="1" si="555"/>
        <v>0</v>
      </c>
      <c r="CJ280" s="58">
        <f t="shared" ca="1" si="555"/>
        <v>0</v>
      </c>
      <c r="CK280" s="58">
        <f t="shared" ca="1" si="555"/>
        <v>0</v>
      </c>
      <c r="CL280" s="58">
        <f t="shared" ca="1" si="555"/>
        <v>0</v>
      </c>
      <c r="CM280" s="58">
        <f t="shared" ca="1" si="555"/>
        <v>0</v>
      </c>
      <c r="CN280" s="58">
        <f t="shared" ca="1" si="555"/>
        <v>0</v>
      </c>
      <c r="CO280" s="58">
        <f t="shared" ca="1" si="555"/>
        <v>0</v>
      </c>
      <c r="CP280" s="58">
        <f t="shared" ca="1" si="555"/>
        <v>0</v>
      </c>
      <c r="CQ280" s="58">
        <f t="shared" ca="1" si="555"/>
        <v>0</v>
      </c>
      <c r="CR280" s="58">
        <f t="shared" ca="1" si="555"/>
        <v>0</v>
      </c>
      <c r="CS280" s="58">
        <f t="shared" ca="1" si="555"/>
        <v>0</v>
      </c>
      <c r="CT280" s="58">
        <f t="shared" ca="1" si="555"/>
        <v>0</v>
      </c>
      <c r="CU280" s="58">
        <f t="shared" ca="1" si="555"/>
        <v>0</v>
      </c>
      <c r="CV280" s="58">
        <f t="shared" ca="1" si="555"/>
        <v>0</v>
      </c>
      <c r="CW280" s="58">
        <f t="shared" ca="1" si="555"/>
        <v>0</v>
      </c>
      <c r="CX280" s="58">
        <f t="shared" ca="1" si="555"/>
        <v>0</v>
      </c>
      <c r="CY280" s="58">
        <f t="shared" ref="CY280:ED280" ca="1" si="556">+IF(OR($F280+CY$175&lt;1,(CY$176-1)*12&lt;-$F280),0,OFFSET(CY110,0,$F280))</f>
        <v>0</v>
      </c>
      <c r="CZ280" s="58">
        <f t="shared" ca="1" si="556"/>
        <v>0</v>
      </c>
      <c r="DA280" s="58">
        <f t="shared" ca="1" si="556"/>
        <v>0</v>
      </c>
      <c r="DB280" s="58">
        <f t="shared" ca="1" si="556"/>
        <v>0</v>
      </c>
      <c r="DC280" s="58">
        <f t="shared" ca="1" si="556"/>
        <v>0</v>
      </c>
      <c r="DD280" s="58">
        <f t="shared" ca="1" si="556"/>
        <v>0</v>
      </c>
      <c r="DE280" s="58">
        <f t="shared" ca="1" si="556"/>
        <v>0</v>
      </c>
      <c r="DF280" s="58">
        <f t="shared" ca="1" si="556"/>
        <v>0</v>
      </c>
      <c r="DG280" s="58">
        <f t="shared" ca="1" si="556"/>
        <v>0</v>
      </c>
      <c r="DH280" s="58">
        <f t="shared" ca="1" si="556"/>
        <v>0</v>
      </c>
      <c r="DI280" s="58">
        <f t="shared" ca="1" si="556"/>
        <v>0</v>
      </c>
      <c r="DJ280" s="58">
        <f t="shared" ca="1" si="556"/>
        <v>0</v>
      </c>
      <c r="DK280" s="58">
        <f t="shared" ca="1" si="556"/>
        <v>0</v>
      </c>
      <c r="DL280" s="58">
        <f t="shared" ca="1" si="556"/>
        <v>0</v>
      </c>
      <c r="DM280" s="58">
        <f t="shared" ca="1" si="556"/>
        <v>0</v>
      </c>
      <c r="DN280" s="58">
        <f t="shared" ca="1" si="556"/>
        <v>0</v>
      </c>
      <c r="DO280" s="58">
        <f t="shared" ca="1" si="556"/>
        <v>0</v>
      </c>
      <c r="DP280" s="58">
        <f t="shared" ca="1" si="556"/>
        <v>0</v>
      </c>
      <c r="DQ280" s="58">
        <f t="shared" ca="1" si="556"/>
        <v>0</v>
      </c>
      <c r="DR280" s="58">
        <f t="shared" ca="1" si="556"/>
        <v>0</v>
      </c>
      <c r="DS280" s="58">
        <f t="shared" ca="1" si="556"/>
        <v>0</v>
      </c>
      <c r="DT280" s="58">
        <f t="shared" ca="1" si="556"/>
        <v>0</v>
      </c>
      <c r="DU280" s="58">
        <f t="shared" ca="1" si="556"/>
        <v>0</v>
      </c>
      <c r="DV280" s="58">
        <f t="shared" ca="1" si="556"/>
        <v>0</v>
      </c>
      <c r="DW280" s="58">
        <f t="shared" ca="1" si="556"/>
        <v>0</v>
      </c>
      <c r="DX280" s="58">
        <f t="shared" ca="1" si="556"/>
        <v>0</v>
      </c>
      <c r="DY280" s="58">
        <f t="shared" ca="1" si="556"/>
        <v>0</v>
      </c>
      <c r="DZ280" s="58">
        <f t="shared" ca="1" si="556"/>
        <v>0</v>
      </c>
      <c r="EA280" s="58">
        <f t="shared" ca="1" si="556"/>
        <v>0</v>
      </c>
      <c r="EB280" s="58">
        <f t="shared" ca="1" si="556"/>
        <v>0</v>
      </c>
      <c r="EC280" s="58">
        <f t="shared" ca="1" si="556"/>
        <v>0</v>
      </c>
      <c r="ED280" s="58">
        <f t="shared" ca="1" si="556"/>
        <v>0</v>
      </c>
      <c r="EE280" s="58">
        <f t="shared" ref="EE280:FN280" ca="1" si="557">+IF(OR($F280+EE$175&lt;1,(EE$176-1)*12&lt;-$F280),0,OFFSET(EE110,0,$F280))</f>
        <v>0</v>
      </c>
      <c r="EF280" s="58">
        <f t="shared" ca="1" si="557"/>
        <v>0</v>
      </c>
      <c r="EG280" s="58">
        <f t="shared" ca="1" si="557"/>
        <v>0</v>
      </c>
      <c r="EH280" s="58">
        <f t="shared" ca="1" si="557"/>
        <v>0</v>
      </c>
      <c r="EI280" s="58">
        <f t="shared" ca="1" si="557"/>
        <v>0</v>
      </c>
      <c r="EJ280" s="58">
        <f t="shared" ca="1" si="557"/>
        <v>0</v>
      </c>
      <c r="EK280" s="58">
        <f t="shared" ca="1" si="557"/>
        <v>0</v>
      </c>
      <c r="EL280" s="58">
        <f t="shared" ca="1" si="557"/>
        <v>0</v>
      </c>
      <c r="EM280" s="58">
        <f t="shared" ca="1" si="557"/>
        <v>0</v>
      </c>
      <c r="EN280" s="58">
        <f t="shared" ca="1" si="557"/>
        <v>0</v>
      </c>
      <c r="EO280" s="58">
        <f t="shared" ca="1" si="557"/>
        <v>0</v>
      </c>
      <c r="EP280" s="58">
        <f t="shared" ca="1" si="557"/>
        <v>0</v>
      </c>
      <c r="EQ280" s="58">
        <f t="shared" ca="1" si="557"/>
        <v>0</v>
      </c>
      <c r="ER280" s="58">
        <f t="shared" ca="1" si="557"/>
        <v>0</v>
      </c>
      <c r="ES280" s="58">
        <f t="shared" ca="1" si="557"/>
        <v>0</v>
      </c>
      <c r="ET280" s="58">
        <f t="shared" ca="1" si="557"/>
        <v>0</v>
      </c>
      <c r="EU280" s="58">
        <f t="shared" ca="1" si="557"/>
        <v>0</v>
      </c>
      <c r="EV280" s="58">
        <f t="shared" ca="1" si="557"/>
        <v>0</v>
      </c>
      <c r="EW280" s="58">
        <f t="shared" ca="1" si="557"/>
        <v>0</v>
      </c>
      <c r="EX280" s="58">
        <f t="shared" ca="1" si="557"/>
        <v>0</v>
      </c>
      <c r="EY280" s="58">
        <f t="shared" ca="1" si="557"/>
        <v>0</v>
      </c>
      <c r="EZ280" s="58">
        <f t="shared" ca="1" si="557"/>
        <v>0</v>
      </c>
      <c r="FA280" s="58">
        <f t="shared" ca="1" si="557"/>
        <v>0</v>
      </c>
      <c r="FB280" s="58">
        <f t="shared" ca="1" si="557"/>
        <v>0</v>
      </c>
      <c r="FC280" s="58">
        <f t="shared" ca="1" si="557"/>
        <v>0</v>
      </c>
      <c r="FD280" s="58">
        <f t="shared" ca="1" si="557"/>
        <v>0</v>
      </c>
      <c r="FE280" s="58">
        <f t="shared" ca="1" si="557"/>
        <v>0</v>
      </c>
      <c r="FF280" s="58">
        <f t="shared" ca="1" si="557"/>
        <v>0</v>
      </c>
      <c r="FG280" s="58">
        <f t="shared" ca="1" si="557"/>
        <v>0</v>
      </c>
      <c r="FH280" s="58">
        <f t="shared" ca="1" si="557"/>
        <v>0</v>
      </c>
      <c r="FI280" s="58">
        <f t="shared" ca="1" si="557"/>
        <v>0</v>
      </c>
      <c r="FJ280" s="58">
        <f t="shared" ca="1" si="557"/>
        <v>0</v>
      </c>
      <c r="FK280" s="58">
        <f t="shared" ca="1" si="557"/>
        <v>0</v>
      </c>
      <c r="FL280" s="58">
        <f t="shared" ca="1" si="557"/>
        <v>0</v>
      </c>
      <c r="FM280" s="58">
        <f t="shared" ca="1" si="557"/>
        <v>0</v>
      </c>
      <c r="FN280" s="58">
        <f t="shared" ca="1" si="557"/>
        <v>0</v>
      </c>
      <c r="FO280" s="13"/>
    </row>
    <row r="281" spans="1:171" outlineLevel="1" x14ac:dyDescent="0.3">
      <c r="A281" s="13"/>
      <c r="B281" s="13"/>
      <c r="C281" s="13"/>
      <c r="D281" s="52">
        <f t="shared" si="520"/>
        <v>43313</v>
      </c>
      <c r="E281" s="53">
        <f t="shared" si="521"/>
        <v>2018</v>
      </c>
      <c r="F281" s="53">
        <f t="shared" si="522"/>
        <v>55</v>
      </c>
      <c r="G281" s="58">
        <f t="shared" ref="G281:AL281" ca="1" si="558">+IF(OR($F281+G$175&lt;1,(G$176-1)*12&lt;-$F281),0,OFFSET(G111,0,$F281))</f>
        <v>0</v>
      </c>
      <c r="H281" s="58">
        <f t="shared" ca="1" si="558"/>
        <v>0</v>
      </c>
      <c r="I281" s="58">
        <f t="shared" ca="1" si="558"/>
        <v>0</v>
      </c>
      <c r="J281" s="58">
        <f t="shared" ca="1" si="558"/>
        <v>0</v>
      </c>
      <c r="K281" s="58">
        <f t="shared" ca="1" si="558"/>
        <v>0</v>
      </c>
      <c r="L281" s="58">
        <f t="shared" ca="1" si="558"/>
        <v>0</v>
      </c>
      <c r="M281" s="58">
        <f t="shared" ca="1" si="558"/>
        <v>0</v>
      </c>
      <c r="N281" s="58">
        <f t="shared" ca="1" si="558"/>
        <v>0</v>
      </c>
      <c r="O281" s="58">
        <f t="shared" ca="1" si="558"/>
        <v>0</v>
      </c>
      <c r="P281" s="58">
        <f t="shared" ca="1" si="558"/>
        <v>0</v>
      </c>
      <c r="Q281" s="58">
        <f t="shared" ca="1" si="558"/>
        <v>0</v>
      </c>
      <c r="R281" s="58">
        <f t="shared" ca="1" si="558"/>
        <v>0</v>
      </c>
      <c r="S281" s="58">
        <f t="shared" ca="1" si="558"/>
        <v>0</v>
      </c>
      <c r="T281" s="58">
        <f t="shared" ca="1" si="558"/>
        <v>0</v>
      </c>
      <c r="U281" s="58">
        <f t="shared" ca="1" si="558"/>
        <v>0</v>
      </c>
      <c r="V281" s="58">
        <f t="shared" ca="1" si="558"/>
        <v>0</v>
      </c>
      <c r="W281" s="58">
        <f t="shared" ca="1" si="558"/>
        <v>0</v>
      </c>
      <c r="X281" s="58">
        <f t="shared" ca="1" si="558"/>
        <v>0</v>
      </c>
      <c r="Y281" s="58">
        <f t="shared" ca="1" si="558"/>
        <v>0</v>
      </c>
      <c r="Z281" s="58">
        <f t="shared" ca="1" si="558"/>
        <v>0</v>
      </c>
      <c r="AA281" s="58">
        <f t="shared" ca="1" si="558"/>
        <v>0</v>
      </c>
      <c r="AB281" s="58">
        <f t="shared" ca="1" si="558"/>
        <v>0</v>
      </c>
      <c r="AC281" s="58">
        <f t="shared" ca="1" si="558"/>
        <v>0</v>
      </c>
      <c r="AD281" s="58">
        <f t="shared" ca="1" si="558"/>
        <v>0</v>
      </c>
      <c r="AE281" s="58">
        <f t="shared" ca="1" si="558"/>
        <v>0</v>
      </c>
      <c r="AF281" s="58">
        <f t="shared" ca="1" si="558"/>
        <v>0</v>
      </c>
      <c r="AG281" s="58">
        <f t="shared" ca="1" si="558"/>
        <v>0</v>
      </c>
      <c r="AH281" s="58">
        <f t="shared" ca="1" si="558"/>
        <v>0</v>
      </c>
      <c r="AI281" s="58">
        <f t="shared" ca="1" si="558"/>
        <v>0</v>
      </c>
      <c r="AJ281" s="58">
        <f t="shared" ca="1" si="558"/>
        <v>0</v>
      </c>
      <c r="AK281" s="58">
        <f t="shared" ca="1" si="558"/>
        <v>0</v>
      </c>
      <c r="AL281" s="58">
        <f t="shared" ca="1" si="558"/>
        <v>0</v>
      </c>
      <c r="AM281" s="58">
        <f t="shared" ref="AM281:BR281" ca="1" si="559">+IF(OR($F281+AM$175&lt;1,(AM$176-1)*12&lt;-$F281),0,OFFSET(AM111,0,$F281))</f>
        <v>0</v>
      </c>
      <c r="AN281" s="58">
        <f t="shared" ca="1" si="559"/>
        <v>0</v>
      </c>
      <c r="AO281" s="58">
        <f t="shared" ca="1" si="559"/>
        <v>0</v>
      </c>
      <c r="AP281" s="58">
        <f t="shared" ca="1" si="559"/>
        <v>0</v>
      </c>
      <c r="AQ281" s="58">
        <f t="shared" ca="1" si="559"/>
        <v>0</v>
      </c>
      <c r="AR281" s="58">
        <f t="shared" ca="1" si="559"/>
        <v>0</v>
      </c>
      <c r="AS281" s="58">
        <f t="shared" ca="1" si="559"/>
        <v>0</v>
      </c>
      <c r="AT281" s="58">
        <f t="shared" ca="1" si="559"/>
        <v>0</v>
      </c>
      <c r="AU281" s="58">
        <f t="shared" ca="1" si="559"/>
        <v>0</v>
      </c>
      <c r="AV281" s="58">
        <f t="shared" ca="1" si="559"/>
        <v>0</v>
      </c>
      <c r="AW281" s="58">
        <f t="shared" ca="1" si="559"/>
        <v>0</v>
      </c>
      <c r="AX281" s="58">
        <f t="shared" ca="1" si="559"/>
        <v>0</v>
      </c>
      <c r="AY281" s="58">
        <f t="shared" ca="1" si="559"/>
        <v>0</v>
      </c>
      <c r="AZ281" s="58">
        <f t="shared" ca="1" si="559"/>
        <v>0</v>
      </c>
      <c r="BA281" s="58">
        <f t="shared" ca="1" si="559"/>
        <v>0</v>
      </c>
      <c r="BB281" s="58">
        <f t="shared" ca="1" si="559"/>
        <v>0</v>
      </c>
      <c r="BC281" s="58">
        <f t="shared" ca="1" si="559"/>
        <v>0</v>
      </c>
      <c r="BD281" s="58">
        <f t="shared" ca="1" si="559"/>
        <v>0</v>
      </c>
      <c r="BE281" s="58">
        <f t="shared" ca="1" si="559"/>
        <v>0</v>
      </c>
      <c r="BF281" s="58">
        <f t="shared" ca="1" si="559"/>
        <v>0</v>
      </c>
      <c r="BG281" s="58">
        <f t="shared" ca="1" si="559"/>
        <v>0</v>
      </c>
      <c r="BH281" s="58">
        <f t="shared" ca="1" si="559"/>
        <v>0</v>
      </c>
      <c r="BI281" s="58">
        <f t="shared" ca="1" si="559"/>
        <v>0</v>
      </c>
      <c r="BJ281" s="58">
        <f t="shared" ca="1" si="559"/>
        <v>0</v>
      </c>
      <c r="BK281" s="58">
        <f t="shared" ca="1" si="559"/>
        <v>0</v>
      </c>
      <c r="BL281" s="58">
        <f t="shared" ca="1" si="559"/>
        <v>0</v>
      </c>
      <c r="BM281" s="58">
        <f t="shared" ca="1" si="559"/>
        <v>0</v>
      </c>
      <c r="BN281" s="58">
        <f t="shared" ca="1" si="559"/>
        <v>0</v>
      </c>
      <c r="BO281" s="58">
        <f t="shared" ca="1" si="559"/>
        <v>0</v>
      </c>
      <c r="BP281" s="58">
        <f t="shared" ca="1" si="559"/>
        <v>0</v>
      </c>
      <c r="BQ281" s="58">
        <f t="shared" ca="1" si="559"/>
        <v>0</v>
      </c>
      <c r="BR281" s="58">
        <f t="shared" ca="1" si="559"/>
        <v>0</v>
      </c>
      <c r="BS281" s="58">
        <f t="shared" ref="BS281:CX281" ca="1" si="560">+IF(OR($F281+BS$175&lt;1,(BS$176-1)*12&lt;-$F281),0,OFFSET(BS111,0,$F281))</f>
        <v>0</v>
      </c>
      <c r="BT281" s="58">
        <f t="shared" ca="1" si="560"/>
        <v>0</v>
      </c>
      <c r="BU281" s="58">
        <f t="shared" ca="1" si="560"/>
        <v>0</v>
      </c>
      <c r="BV281" s="58">
        <f t="shared" ca="1" si="560"/>
        <v>0</v>
      </c>
      <c r="BW281" s="58">
        <f t="shared" ca="1" si="560"/>
        <v>0</v>
      </c>
      <c r="BX281" s="58">
        <f t="shared" ca="1" si="560"/>
        <v>0</v>
      </c>
      <c r="BY281" s="58">
        <f t="shared" ca="1" si="560"/>
        <v>0</v>
      </c>
      <c r="BZ281" s="58">
        <f t="shared" ca="1" si="560"/>
        <v>0</v>
      </c>
      <c r="CA281" s="58">
        <f t="shared" ca="1" si="560"/>
        <v>0</v>
      </c>
      <c r="CB281" s="58">
        <f t="shared" ca="1" si="560"/>
        <v>0</v>
      </c>
      <c r="CC281" s="58">
        <f t="shared" ca="1" si="560"/>
        <v>0</v>
      </c>
      <c r="CD281" s="58">
        <f t="shared" ca="1" si="560"/>
        <v>0</v>
      </c>
      <c r="CE281" s="58">
        <f t="shared" ca="1" si="560"/>
        <v>0</v>
      </c>
      <c r="CF281" s="58">
        <f t="shared" ca="1" si="560"/>
        <v>0</v>
      </c>
      <c r="CG281" s="58">
        <f t="shared" ca="1" si="560"/>
        <v>0</v>
      </c>
      <c r="CH281" s="58">
        <f t="shared" ca="1" si="560"/>
        <v>0</v>
      </c>
      <c r="CI281" s="58">
        <f t="shared" ca="1" si="560"/>
        <v>0</v>
      </c>
      <c r="CJ281" s="58">
        <f t="shared" ca="1" si="560"/>
        <v>0</v>
      </c>
      <c r="CK281" s="58">
        <f t="shared" ca="1" si="560"/>
        <v>0</v>
      </c>
      <c r="CL281" s="58">
        <f t="shared" ca="1" si="560"/>
        <v>0</v>
      </c>
      <c r="CM281" s="58">
        <f t="shared" ca="1" si="560"/>
        <v>0</v>
      </c>
      <c r="CN281" s="58">
        <f t="shared" ca="1" si="560"/>
        <v>0</v>
      </c>
      <c r="CO281" s="58">
        <f t="shared" ca="1" si="560"/>
        <v>0</v>
      </c>
      <c r="CP281" s="58">
        <f t="shared" ca="1" si="560"/>
        <v>0</v>
      </c>
      <c r="CQ281" s="58">
        <f t="shared" ca="1" si="560"/>
        <v>0</v>
      </c>
      <c r="CR281" s="58">
        <f t="shared" ca="1" si="560"/>
        <v>0</v>
      </c>
      <c r="CS281" s="58">
        <f t="shared" ca="1" si="560"/>
        <v>0</v>
      </c>
      <c r="CT281" s="58">
        <f t="shared" ca="1" si="560"/>
        <v>0</v>
      </c>
      <c r="CU281" s="58">
        <f t="shared" ca="1" si="560"/>
        <v>0</v>
      </c>
      <c r="CV281" s="58">
        <f t="shared" ca="1" si="560"/>
        <v>0</v>
      </c>
      <c r="CW281" s="58">
        <f t="shared" ca="1" si="560"/>
        <v>0</v>
      </c>
      <c r="CX281" s="58">
        <f t="shared" ca="1" si="560"/>
        <v>0</v>
      </c>
      <c r="CY281" s="58">
        <f t="shared" ref="CY281:ED281" ca="1" si="561">+IF(OR($F281+CY$175&lt;1,(CY$176-1)*12&lt;-$F281),0,OFFSET(CY111,0,$F281))</f>
        <v>0</v>
      </c>
      <c r="CZ281" s="58">
        <f t="shared" ca="1" si="561"/>
        <v>0</v>
      </c>
      <c r="DA281" s="58">
        <f t="shared" ca="1" si="561"/>
        <v>0</v>
      </c>
      <c r="DB281" s="58">
        <f t="shared" ca="1" si="561"/>
        <v>0</v>
      </c>
      <c r="DC281" s="58">
        <f t="shared" ca="1" si="561"/>
        <v>0</v>
      </c>
      <c r="DD281" s="58">
        <f t="shared" ca="1" si="561"/>
        <v>0</v>
      </c>
      <c r="DE281" s="58">
        <f t="shared" ca="1" si="561"/>
        <v>0</v>
      </c>
      <c r="DF281" s="58">
        <f t="shared" ca="1" si="561"/>
        <v>0</v>
      </c>
      <c r="DG281" s="58">
        <f t="shared" ca="1" si="561"/>
        <v>0</v>
      </c>
      <c r="DH281" s="58">
        <f t="shared" ca="1" si="561"/>
        <v>0</v>
      </c>
      <c r="DI281" s="58">
        <f t="shared" ca="1" si="561"/>
        <v>0</v>
      </c>
      <c r="DJ281" s="58">
        <f t="shared" ca="1" si="561"/>
        <v>0</v>
      </c>
      <c r="DK281" s="58">
        <f t="shared" ca="1" si="561"/>
        <v>0</v>
      </c>
      <c r="DL281" s="58">
        <f t="shared" ca="1" si="561"/>
        <v>0</v>
      </c>
      <c r="DM281" s="58">
        <f t="shared" ca="1" si="561"/>
        <v>0</v>
      </c>
      <c r="DN281" s="58">
        <f t="shared" ca="1" si="561"/>
        <v>0</v>
      </c>
      <c r="DO281" s="58">
        <f t="shared" ca="1" si="561"/>
        <v>0</v>
      </c>
      <c r="DP281" s="58">
        <f t="shared" ca="1" si="561"/>
        <v>0</v>
      </c>
      <c r="DQ281" s="58">
        <f t="shared" ca="1" si="561"/>
        <v>0</v>
      </c>
      <c r="DR281" s="58">
        <f t="shared" ca="1" si="561"/>
        <v>0</v>
      </c>
      <c r="DS281" s="58">
        <f t="shared" ca="1" si="561"/>
        <v>0</v>
      </c>
      <c r="DT281" s="58">
        <f t="shared" ca="1" si="561"/>
        <v>0</v>
      </c>
      <c r="DU281" s="58">
        <f t="shared" ca="1" si="561"/>
        <v>0</v>
      </c>
      <c r="DV281" s="58">
        <f t="shared" ca="1" si="561"/>
        <v>0</v>
      </c>
      <c r="DW281" s="58">
        <f t="shared" ca="1" si="561"/>
        <v>0</v>
      </c>
      <c r="DX281" s="58">
        <f t="shared" ca="1" si="561"/>
        <v>0</v>
      </c>
      <c r="DY281" s="58">
        <f t="shared" ca="1" si="561"/>
        <v>0</v>
      </c>
      <c r="DZ281" s="58">
        <f t="shared" ca="1" si="561"/>
        <v>0</v>
      </c>
      <c r="EA281" s="58">
        <f t="shared" ca="1" si="561"/>
        <v>0</v>
      </c>
      <c r="EB281" s="58">
        <f t="shared" ca="1" si="561"/>
        <v>0</v>
      </c>
      <c r="EC281" s="58">
        <f t="shared" ca="1" si="561"/>
        <v>0</v>
      </c>
      <c r="ED281" s="58">
        <f t="shared" ca="1" si="561"/>
        <v>0</v>
      </c>
      <c r="EE281" s="58">
        <f t="shared" ref="EE281:FN281" ca="1" si="562">+IF(OR($F281+EE$175&lt;1,(EE$176-1)*12&lt;-$F281),0,OFFSET(EE111,0,$F281))</f>
        <v>0</v>
      </c>
      <c r="EF281" s="58">
        <f t="shared" ca="1" si="562"/>
        <v>0</v>
      </c>
      <c r="EG281" s="58">
        <f t="shared" ca="1" si="562"/>
        <v>0</v>
      </c>
      <c r="EH281" s="58">
        <f t="shared" ca="1" si="562"/>
        <v>0</v>
      </c>
      <c r="EI281" s="58">
        <f t="shared" ca="1" si="562"/>
        <v>0</v>
      </c>
      <c r="EJ281" s="58">
        <f t="shared" ca="1" si="562"/>
        <v>0</v>
      </c>
      <c r="EK281" s="58">
        <f t="shared" ca="1" si="562"/>
        <v>0</v>
      </c>
      <c r="EL281" s="58">
        <f t="shared" ca="1" si="562"/>
        <v>0</v>
      </c>
      <c r="EM281" s="58">
        <f t="shared" ca="1" si="562"/>
        <v>0</v>
      </c>
      <c r="EN281" s="58">
        <f t="shared" ca="1" si="562"/>
        <v>0</v>
      </c>
      <c r="EO281" s="58">
        <f t="shared" ca="1" si="562"/>
        <v>0</v>
      </c>
      <c r="EP281" s="58">
        <f t="shared" ca="1" si="562"/>
        <v>0</v>
      </c>
      <c r="EQ281" s="58">
        <f t="shared" ca="1" si="562"/>
        <v>0</v>
      </c>
      <c r="ER281" s="58">
        <f t="shared" ca="1" si="562"/>
        <v>0</v>
      </c>
      <c r="ES281" s="58">
        <f t="shared" ca="1" si="562"/>
        <v>0</v>
      </c>
      <c r="ET281" s="58">
        <f t="shared" ca="1" si="562"/>
        <v>0</v>
      </c>
      <c r="EU281" s="58">
        <f t="shared" ca="1" si="562"/>
        <v>0</v>
      </c>
      <c r="EV281" s="58">
        <f t="shared" ca="1" si="562"/>
        <v>0</v>
      </c>
      <c r="EW281" s="58">
        <f t="shared" ca="1" si="562"/>
        <v>0</v>
      </c>
      <c r="EX281" s="58">
        <f t="shared" ca="1" si="562"/>
        <v>0</v>
      </c>
      <c r="EY281" s="58">
        <f t="shared" ca="1" si="562"/>
        <v>0</v>
      </c>
      <c r="EZ281" s="58">
        <f t="shared" ca="1" si="562"/>
        <v>0</v>
      </c>
      <c r="FA281" s="58">
        <f t="shared" ca="1" si="562"/>
        <v>0</v>
      </c>
      <c r="FB281" s="58">
        <f t="shared" ca="1" si="562"/>
        <v>0</v>
      </c>
      <c r="FC281" s="58">
        <f t="shared" ca="1" si="562"/>
        <v>0</v>
      </c>
      <c r="FD281" s="58">
        <f t="shared" ca="1" si="562"/>
        <v>0</v>
      </c>
      <c r="FE281" s="58">
        <f t="shared" ca="1" si="562"/>
        <v>0</v>
      </c>
      <c r="FF281" s="58">
        <f t="shared" ca="1" si="562"/>
        <v>0</v>
      </c>
      <c r="FG281" s="58">
        <f t="shared" ca="1" si="562"/>
        <v>0</v>
      </c>
      <c r="FH281" s="58">
        <f t="shared" ca="1" si="562"/>
        <v>0</v>
      </c>
      <c r="FI281" s="58">
        <f t="shared" ca="1" si="562"/>
        <v>0</v>
      </c>
      <c r="FJ281" s="58">
        <f t="shared" ca="1" si="562"/>
        <v>0</v>
      </c>
      <c r="FK281" s="58">
        <f t="shared" ca="1" si="562"/>
        <v>0</v>
      </c>
      <c r="FL281" s="58">
        <f t="shared" ca="1" si="562"/>
        <v>0</v>
      </c>
      <c r="FM281" s="58">
        <f t="shared" ca="1" si="562"/>
        <v>0</v>
      </c>
      <c r="FN281" s="58">
        <f t="shared" ca="1" si="562"/>
        <v>0</v>
      </c>
      <c r="FO281" s="13"/>
    </row>
    <row r="282" spans="1:171" outlineLevel="1" x14ac:dyDescent="0.3">
      <c r="A282" s="13"/>
      <c r="B282" s="13"/>
      <c r="C282" s="13"/>
      <c r="D282" s="52">
        <f t="shared" si="520"/>
        <v>43344</v>
      </c>
      <c r="E282" s="53">
        <f t="shared" si="521"/>
        <v>2018</v>
      </c>
      <c r="F282" s="53">
        <f t="shared" si="522"/>
        <v>56</v>
      </c>
      <c r="G282" s="58">
        <f t="shared" ref="G282:AL282" ca="1" si="563">+IF(OR($F282+G$175&lt;1,(G$176-1)*12&lt;-$F282),0,OFFSET(G112,0,$F282))</f>
        <v>0</v>
      </c>
      <c r="H282" s="58">
        <f t="shared" ca="1" si="563"/>
        <v>0</v>
      </c>
      <c r="I282" s="58">
        <f t="shared" ca="1" si="563"/>
        <v>0</v>
      </c>
      <c r="J282" s="58">
        <f t="shared" ca="1" si="563"/>
        <v>0</v>
      </c>
      <c r="K282" s="58">
        <f t="shared" ca="1" si="563"/>
        <v>0</v>
      </c>
      <c r="L282" s="58">
        <f t="shared" ca="1" si="563"/>
        <v>0</v>
      </c>
      <c r="M282" s="58">
        <f t="shared" ca="1" si="563"/>
        <v>0</v>
      </c>
      <c r="N282" s="58">
        <f t="shared" ca="1" si="563"/>
        <v>0</v>
      </c>
      <c r="O282" s="58">
        <f t="shared" ca="1" si="563"/>
        <v>0</v>
      </c>
      <c r="P282" s="58">
        <f t="shared" ca="1" si="563"/>
        <v>0</v>
      </c>
      <c r="Q282" s="58">
        <f t="shared" ca="1" si="563"/>
        <v>0</v>
      </c>
      <c r="R282" s="58">
        <f t="shared" ca="1" si="563"/>
        <v>0</v>
      </c>
      <c r="S282" s="58">
        <f t="shared" ca="1" si="563"/>
        <v>0</v>
      </c>
      <c r="T282" s="58">
        <f t="shared" ca="1" si="563"/>
        <v>0</v>
      </c>
      <c r="U282" s="58">
        <f t="shared" ca="1" si="563"/>
        <v>0</v>
      </c>
      <c r="V282" s="58">
        <f t="shared" ca="1" si="563"/>
        <v>0</v>
      </c>
      <c r="W282" s="58">
        <f t="shared" ca="1" si="563"/>
        <v>0</v>
      </c>
      <c r="X282" s="58">
        <f t="shared" ca="1" si="563"/>
        <v>0</v>
      </c>
      <c r="Y282" s="58">
        <f t="shared" ca="1" si="563"/>
        <v>0</v>
      </c>
      <c r="Z282" s="58">
        <f t="shared" ca="1" si="563"/>
        <v>0</v>
      </c>
      <c r="AA282" s="58">
        <f t="shared" ca="1" si="563"/>
        <v>0</v>
      </c>
      <c r="AB282" s="58">
        <f t="shared" ca="1" si="563"/>
        <v>0</v>
      </c>
      <c r="AC282" s="58">
        <f t="shared" ca="1" si="563"/>
        <v>0</v>
      </c>
      <c r="AD282" s="58">
        <f t="shared" ca="1" si="563"/>
        <v>0</v>
      </c>
      <c r="AE282" s="58">
        <f t="shared" ca="1" si="563"/>
        <v>0</v>
      </c>
      <c r="AF282" s="58">
        <f t="shared" ca="1" si="563"/>
        <v>0</v>
      </c>
      <c r="AG282" s="58">
        <f t="shared" ca="1" si="563"/>
        <v>0</v>
      </c>
      <c r="AH282" s="58">
        <f t="shared" ca="1" si="563"/>
        <v>0</v>
      </c>
      <c r="AI282" s="58">
        <f t="shared" ca="1" si="563"/>
        <v>0</v>
      </c>
      <c r="AJ282" s="58">
        <f t="shared" ca="1" si="563"/>
        <v>0</v>
      </c>
      <c r="AK282" s="58">
        <f t="shared" ca="1" si="563"/>
        <v>0</v>
      </c>
      <c r="AL282" s="58">
        <f t="shared" ca="1" si="563"/>
        <v>0</v>
      </c>
      <c r="AM282" s="58">
        <f t="shared" ref="AM282:BR282" ca="1" si="564">+IF(OR($F282+AM$175&lt;1,(AM$176-1)*12&lt;-$F282),0,OFFSET(AM112,0,$F282))</f>
        <v>0</v>
      </c>
      <c r="AN282" s="58">
        <f t="shared" ca="1" si="564"/>
        <v>0</v>
      </c>
      <c r="AO282" s="58">
        <f t="shared" ca="1" si="564"/>
        <v>0</v>
      </c>
      <c r="AP282" s="58">
        <f t="shared" ca="1" si="564"/>
        <v>0</v>
      </c>
      <c r="AQ282" s="58">
        <f t="shared" ca="1" si="564"/>
        <v>0</v>
      </c>
      <c r="AR282" s="58">
        <f t="shared" ca="1" si="564"/>
        <v>0</v>
      </c>
      <c r="AS282" s="58">
        <f t="shared" ca="1" si="564"/>
        <v>0</v>
      </c>
      <c r="AT282" s="58">
        <f t="shared" ca="1" si="564"/>
        <v>0</v>
      </c>
      <c r="AU282" s="58">
        <f t="shared" ca="1" si="564"/>
        <v>0</v>
      </c>
      <c r="AV282" s="58">
        <f t="shared" ca="1" si="564"/>
        <v>0</v>
      </c>
      <c r="AW282" s="58">
        <f t="shared" ca="1" si="564"/>
        <v>0</v>
      </c>
      <c r="AX282" s="58">
        <f t="shared" ca="1" si="564"/>
        <v>0</v>
      </c>
      <c r="AY282" s="58">
        <f t="shared" ca="1" si="564"/>
        <v>0</v>
      </c>
      <c r="AZ282" s="58">
        <f t="shared" ca="1" si="564"/>
        <v>0</v>
      </c>
      <c r="BA282" s="58">
        <f t="shared" ca="1" si="564"/>
        <v>0</v>
      </c>
      <c r="BB282" s="58">
        <f t="shared" ca="1" si="564"/>
        <v>0</v>
      </c>
      <c r="BC282" s="58">
        <f t="shared" ca="1" si="564"/>
        <v>0</v>
      </c>
      <c r="BD282" s="58">
        <f t="shared" ca="1" si="564"/>
        <v>0</v>
      </c>
      <c r="BE282" s="58">
        <f t="shared" ca="1" si="564"/>
        <v>0</v>
      </c>
      <c r="BF282" s="58">
        <f t="shared" ca="1" si="564"/>
        <v>0</v>
      </c>
      <c r="BG282" s="58">
        <f t="shared" ca="1" si="564"/>
        <v>0</v>
      </c>
      <c r="BH282" s="58">
        <f t="shared" ca="1" si="564"/>
        <v>0</v>
      </c>
      <c r="BI282" s="58">
        <f t="shared" ca="1" si="564"/>
        <v>0</v>
      </c>
      <c r="BJ282" s="58">
        <f t="shared" ca="1" si="564"/>
        <v>0</v>
      </c>
      <c r="BK282" s="58">
        <f t="shared" ca="1" si="564"/>
        <v>0</v>
      </c>
      <c r="BL282" s="58">
        <f t="shared" ca="1" si="564"/>
        <v>0</v>
      </c>
      <c r="BM282" s="58">
        <f t="shared" ca="1" si="564"/>
        <v>0</v>
      </c>
      <c r="BN282" s="58">
        <f t="shared" ca="1" si="564"/>
        <v>0</v>
      </c>
      <c r="BO282" s="58">
        <f t="shared" ca="1" si="564"/>
        <v>0</v>
      </c>
      <c r="BP282" s="58">
        <f t="shared" ca="1" si="564"/>
        <v>0</v>
      </c>
      <c r="BQ282" s="58">
        <f t="shared" ca="1" si="564"/>
        <v>0</v>
      </c>
      <c r="BR282" s="58">
        <f t="shared" ca="1" si="564"/>
        <v>0</v>
      </c>
      <c r="BS282" s="58">
        <f t="shared" ref="BS282:CX282" ca="1" si="565">+IF(OR($F282+BS$175&lt;1,(BS$176-1)*12&lt;-$F282),0,OFFSET(BS112,0,$F282))</f>
        <v>0</v>
      </c>
      <c r="BT282" s="58">
        <f t="shared" ca="1" si="565"/>
        <v>0</v>
      </c>
      <c r="BU282" s="58">
        <f t="shared" ca="1" si="565"/>
        <v>0</v>
      </c>
      <c r="BV282" s="58">
        <f t="shared" ca="1" si="565"/>
        <v>0</v>
      </c>
      <c r="BW282" s="58">
        <f t="shared" ca="1" si="565"/>
        <v>0</v>
      </c>
      <c r="BX282" s="58">
        <f t="shared" ca="1" si="565"/>
        <v>0</v>
      </c>
      <c r="BY282" s="58">
        <f t="shared" ca="1" si="565"/>
        <v>0</v>
      </c>
      <c r="BZ282" s="58">
        <f t="shared" ca="1" si="565"/>
        <v>0</v>
      </c>
      <c r="CA282" s="58">
        <f t="shared" ca="1" si="565"/>
        <v>0</v>
      </c>
      <c r="CB282" s="58">
        <f t="shared" ca="1" si="565"/>
        <v>0</v>
      </c>
      <c r="CC282" s="58">
        <f t="shared" ca="1" si="565"/>
        <v>0</v>
      </c>
      <c r="CD282" s="58">
        <f t="shared" ca="1" si="565"/>
        <v>0</v>
      </c>
      <c r="CE282" s="58">
        <f t="shared" ca="1" si="565"/>
        <v>0</v>
      </c>
      <c r="CF282" s="58">
        <f t="shared" ca="1" si="565"/>
        <v>0</v>
      </c>
      <c r="CG282" s="58">
        <f t="shared" ca="1" si="565"/>
        <v>0</v>
      </c>
      <c r="CH282" s="58">
        <f t="shared" ca="1" si="565"/>
        <v>0</v>
      </c>
      <c r="CI282" s="58">
        <f t="shared" ca="1" si="565"/>
        <v>0</v>
      </c>
      <c r="CJ282" s="58">
        <f t="shared" ca="1" si="565"/>
        <v>0</v>
      </c>
      <c r="CK282" s="58">
        <f t="shared" ca="1" si="565"/>
        <v>0</v>
      </c>
      <c r="CL282" s="58">
        <f t="shared" ca="1" si="565"/>
        <v>0</v>
      </c>
      <c r="CM282" s="58">
        <f t="shared" ca="1" si="565"/>
        <v>0</v>
      </c>
      <c r="CN282" s="58">
        <f t="shared" ca="1" si="565"/>
        <v>0</v>
      </c>
      <c r="CO282" s="58">
        <f t="shared" ca="1" si="565"/>
        <v>0</v>
      </c>
      <c r="CP282" s="58">
        <f t="shared" ca="1" si="565"/>
        <v>0</v>
      </c>
      <c r="CQ282" s="58">
        <f t="shared" ca="1" si="565"/>
        <v>0</v>
      </c>
      <c r="CR282" s="58">
        <f t="shared" ca="1" si="565"/>
        <v>0</v>
      </c>
      <c r="CS282" s="58">
        <f t="shared" ca="1" si="565"/>
        <v>0</v>
      </c>
      <c r="CT282" s="58">
        <f t="shared" ca="1" si="565"/>
        <v>0</v>
      </c>
      <c r="CU282" s="58">
        <f t="shared" ca="1" si="565"/>
        <v>0</v>
      </c>
      <c r="CV282" s="58">
        <f t="shared" ca="1" si="565"/>
        <v>0</v>
      </c>
      <c r="CW282" s="58">
        <f t="shared" ca="1" si="565"/>
        <v>0</v>
      </c>
      <c r="CX282" s="58">
        <f t="shared" ca="1" si="565"/>
        <v>0</v>
      </c>
      <c r="CY282" s="58">
        <f t="shared" ref="CY282:ED282" ca="1" si="566">+IF(OR($F282+CY$175&lt;1,(CY$176-1)*12&lt;-$F282),0,OFFSET(CY112,0,$F282))</f>
        <v>0</v>
      </c>
      <c r="CZ282" s="58">
        <f t="shared" ca="1" si="566"/>
        <v>0</v>
      </c>
      <c r="DA282" s="58">
        <f t="shared" ca="1" si="566"/>
        <v>0</v>
      </c>
      <c r="DB282" s="58">
        <f t="shared" ca="1" si="566"/>
        <v>0</v>
      </c>
      <c r="DC282" s="58">
        <f t="shared" ca="1" si="566"/>
        <v>0</v>
      </c>
      <c r="DD282" s="58">
        <f t="shared" ca="1" si="566"/>
        <v>0</v>
      </c>
      <c r="DE282" s="58">
        <f t="shared" ca="1" si="566"/>
        <v>0</v>
      </c>
      <c r="DF282" s="58">
        <f t="shared" ca="1" si="566"/>
        <v>0</v>
      </c>
      <c r="DG282" s="58">
        <f t="shared" ca="1" si="566"/>
        <v>0</v>
      </c>
      <c r="DH282" s="58">
        <f t="shared" ca="1" si="566"/>
        <v>0</v>
      </c>
      <c r="DI282" s="58">
        <f t="shared" ca="1" si="566"/>
        <v>0</v>
      </c>
      <c r="DJ282" s="58">
        <f t="shared" ca="1" si="566"/>
        <v>0</v>
      </c>
      <c r="DK282" s="58">
        <f t="shared" ca="1" si="566"/>
        <v>0</v>
      </c>
      <c r="DL282" s="58">
        <f t="shared" ca="1" si="566"/>
        <v>0</v>
      </c>
      <c r="DM282" s="58">
        <f t="shared" ca="1" si="566"/>
        <v>0</v>
      </c>
      <c r="DN282" s="58">
        <f t="shared" ca="1" si="566"/>
        <v>0</v>
      </c>
      <c r="DO282" s="58">
        <f t="shared" ca="1" si="566"/>
        <v>0</v>
      </c>
      <c r="DP282" s="58">
        <f t="shared" ca="1" si="566"/>
        <v>0</v>
      </c>
      <c r="DQ282" s="58">
        <f t="shared" ca="1" si="566"/>
        <v>0</v>
      </c>
      <c r="DR282" s="58">
        <f t="shared" ca="1" si="566"/>
        <v>0</v>
      </c>
      <c r="DS282" s="58">
        <f t="shared" ca="1" si="566"/>
        <v>0</v>
      </c>
      <c r="DT282" s="58">
        <f t="shared" ca="1" si="566"/>
        <v>0</v>
      </c>
      <c r="DU282" s="58">
        <f t="shared" ca="1" si="566"/>
        <v>0</v>
      </c>
      <c r="DV282" s="58">
        <f t="shared" ca="1" si="566"/>
        <v>0</v>
      </c>
      <c r="DW282" s="58">
        <f t="shared" ca="1" si="566"/>
        <v>0</v>
      </c>
      <c r="DX282" s="58">
        <f t="shared" ca="1" si="566"/>
        <v>0</v>
      </c>
      <c r="DY282" s="58">
        <f t="shared" ca="1" si="566"/>
        <v>0</v>
      </c>
      <c r="DZ282" s="58">
        <f t="shared" ca="1" si="566"/>
        <v>0</v>
      </c>
      <c r="EA282" s="58">
        <f t="shared" ca="1" si="566"/>
        <v>0</v>
      </c>
      <c r="EB282" s="58">
        <f t="shared" ca="1" si="566"/>
        <v>0</v>
      </c>
      <c r="EC282" s="58">
        <f t="shared" ca="1" si="566"/>
        <v>0</v>
      </c>
      <c r="ED282" s="58">
        <f t="shared" ca="1" si="566"/>
        <v>0</v>
      </c>
      <c r="EE282" s="58">
        <f t="shared" ref="EE282:FN282" ca="1" si="567">+IF(OR($F282+EE$175&lt;1,(EE$176-1)*12&lt;-$F282),0,OFFSET(EE112,0,$F282))</f>
        <v>0</v>
      </c>
      <c r="EF282" s="58">
        <f t="shared" ca="1" si="567"/>
        <v>0</v>
      </c>
      <c r="EG282" s="58">
        <f t="shared" ca="1" si="567"/>
        <v>0</v>
      </c>
      <c r="EH282" s="58">
        <f t="shared" ca="1" si="567"/>
        <v>0</v>
      </c>
      <c r="EI282" s="58">
        <f t="shared" ca="1" si="567"/>
        <v>0</v>
      </c>
      <c r="EJ282" s="58">
        <f t="shared" ca="1" si="567"/>
        <v>0</v>
      </c>
      <c r="EK282" s="58">
        <f t="shared" ca="1" si="567"/>
        <v>0</v>
      </c>
      <c r="EL282" s="58">
        <f t="shared" ca="1" si="567"/>
        <v>0</v>
      </c>
      <c r="EM282" s="58">
        <f t="shared" ca="1" si="567"/>
        <v>0</v>
      </c>
      <c r="EN282" s="58">
        <f t="shared" ca="1" si="567"/>
        <v>0</v>
      </c>
      <c r="EO282" s="58">
        <f t="shared" ca="1" si="567"/>
        <v>0</v>
      </c>
      <c r="EP282" s="58">
        <f t="shared" ca="1" si="567"/>
        <v>0</v>
      </c>
      <c r="EQ282" s="58">
        <f t="shared" ca="1" si="567"/>
        <v>0</v>
      </c>
      <c r="ER282" s="58">
        <f t="shared" ca="1" si="567"/>
        <v>0</v>
      </c>
      <c r="ES282" s="58">
        <f t="shared" ca="1" si="567"/>
        <v>0</v>
      </c>
      <c r="ET282" s="58">
        <f t="shared" ca="1" si="567"/>
        <v>0</v>
      </c>
      <c r="EU282" s="58">
        <f t="shared" ca="1" si="567"/>
        <v>0</v>
      </c>
      <c r="EV282" s="58">
        <f t="shared" ca="1" si="567"/>
        <v>0</v>
      </c>
      <c r="EW282" s="58">
        <f t="shared" ca="1" si="567"/>
        <v>0</v>
      </c>
      <c r="EX282" s="58">
        <f t="shared" ca="1" si="567"/>
        <v>0</v>
      </c>
      <c r="EY282" s="58">
        <f t="shared" ca="1" si="567"/>
        <v>0</v>
      </c>
      <c r="EZ282" s="58">
        <f t="shared" ca="1" si="567"/>
        <v>0</v>
      </c>
      <c r="FA282" s="58">
        <f t="shared" ca="1" si="567"/>
        <v>0</v>
      </c>
      <c r="FB282" s="58">
        <f t="shared" ca="1" si="567"/>
        <v>0</v>
      </c>
      <c r="FC282" s="58">
        <f t="shared" ca="1" si="567"/>
        <v>0</v>
      </c>
      <c r="FD282" s="58">
        <f t="shared" ca="1" si="567"/>
        <v>0</v>
      </c>
      <c r="FE282" s="58">
        <f t="shared" ca="1" si="567"/>
        <v>0</v>
      </c>
      <c r="FF282" s="58">
        <f t="shared" ca="1" si="567"/>
        <v>0</v>
      </c>
      <c r="FG282" s="58">
        <f t="shared" ca="1" si="567"/>
        <v>0</v>
      </c>
      <c r="FH282" s="58">
        <f t="shared" ca="1" si="567"/>
        <v>0</v>
      </c>
      <c r="FI282" s="58">
        <f t="shared" ca="1" si="567"/>
        <v>0</v>
      </c>
      <c r="FJ282" s="58">
        <f t="shared" ca="1" si="567"/>
        <v>0</v>
      </c>
      <c r="FK282" s="58">
        <f t="shared" ca="1" si="567"/>
        <v>0</v>
      </c>
      <c r="FL282" s="58">
        <f t="shared" ca="1" si="567"/>
        <v>0</v>
      </c>
      <c r="FM282" s="58">
        <f t="shared" ca="1" si="567"/>
        <v>0</v>
      </c>
      <c r="FN282" s="58">
        <f t="shared" ca="1" si="567"/>
        <v>0</v>
      </c>
      <c r="FO282" s="13"/>
    </row>
    <row r="283" spans="1:171" outlineLevel="1" x14ac:dyDescent="0.3">
      <c r="A283" s="13"/>
      <c r="B283" s="13"/>
      <c r="C283" s="13"/>
      <c r="D283" s="52">
        <f t="shared" si="520"/>
        <v>43374</v>
      </c>
      <c r="E283" s="53">
        <f t="shared" si="521"/>
        <v>2018</v>
      </c>
      <c r="F283" s="53">
        <f t="shared" si="522"/>
        <v>57</v>
      </c>
      <c r="G283" s="58">
        <f t="shared" ref="G283:AL283" ca="1" si="568">+IF(OR($F283+G$175&lt;1,(G$176-1)*12&lt;-$F283),0,OFFSET(G113,0,$F283))</f>
        <v>0</v>
      </c>
      <c r="H283" s="58">
        <f t="shared" ca="1" si="568"/>
        <v>0</v>
      </c>
      <c r="I283" s="58">
        <f t="shared" ca="1" si="568"/>
        <v>0</v>
      </c>
      <c r="J283" s="58">
        <f t="shared" ca="1" si="568"/>
        <v>0</v>
      </c>
      <c r="K283" s="58">
        <f t="shared" ca="1" si="568"/>
        <v>0</v>
      </c>
      <c r="L283" s="58">
        <f t="shared" ca="1" si="568"/>
        <v>0</v>
      </c>
      <c r="M283" s="58">
        <f t="shared" ca="1" si="568"/>
        <v>0</v>
      </c>
      <c r="N283" s="58">
        <f t="shared" ca="1" si="568"/>
        <v>0</v>
      </c>
      <c r="O283" s="58">
        <f t="shared" ca="1" si="568"/>
        <v>0</v>
      </c>
      <c r="P283" s="58">
        <f t="shared" ca="1" si="568"/>
        <v>0</v>
      </c>
      <c r="Q283" s="58">
        <f t="shared" ca="1" si="568"/>
        <v>0</v>
      </c>
      <c r="R283" s="58">
        <f t="shared" ca="1" si="568"/>
        <v>0</v>
      </c>
      <c r="S283" s="58">
        <f t="shared" ca="1" si="568"/>
        <v>0</v>
      </c>
      <c r="T283" s="58">
        <f t="shared" ca="1" si="568"/>
        <v>0</v>
      </c>
      <c r="U283" s="58">
        <f t="shared" ca="1" si="568"/>
        <v>0</v>
      </c>
      <c r="V283" s="58">
        <f t="shared" ca="1" si="568"/>
        <v>0</v>
      </c>
      <c r="W283" s="58">
        <f t="shared" ca="1" si="568"/>
        <v>0</v>
      </c>
      <c r="X283" s="58">
        <f t="shared" ca="1" si="568"/>
        <v>0</v>
      </c>
      <c r="Y283" s="58">
        <f t="shared" ca="1" si="568"/>
        <v>0</v>
      </c>
      <c r="Z283" s="58">
        <f t="shared" ca="1" si="568"/>
        <v>0</v>
      </c>
      <c r="AA283" s="58">
        <f t="shared" ca="1" si="568"/>
        <v>0</v>
      </c>
      <c r="AB283" s="58">
        <f t="shared" ca="1" si="568"/>
        <v>0</v>
      </c>
      <c r="AC283" s="58">
        <f t="shared" ca="1" si="568"/>
        <v>0</v>
      </c>
      <c r="AD283" s="58">
        <f t="shared" ca="1" si="568"/>
        <v>0</v>
      </c>
      <c r="AE283" s="58">
        <f t="shared" ca="1" si="568"/>
        <v>0</v>
      </c>
      <c r="AF283" s="58">
        <f t="shared" ca="1" si="568"/>
        <v>0</v>
      </c>
      <c r="AG283" s="58">
        <f t="shared" ca="1" si="568"/>
        <v>0</v>
      </c>
      <c r="AH283" s="58">
        <f t="shared" ca="1" si="568"/>
        <v>0</v>
      </c>
      <c r="AI283" s="58">
        <f t="shared" ca="1" si="568"/>
        <v>0</v>
      </c>
      <c r="AJ283" s="58">
        <f t="shared" ca="1" si="568"/>
        <v>0</v>
      </c>
      <c r="AK283" s="58">
        <f t="shared" ca="1" si="568"/>
        <v>0</v>
      </c>
      <c r="AL283" s="58">
        <f t="shared" ca="1" si="568"/>
        <v>0</v>
      </c>
      <c r="AM283" s="58">
        <f t="shared" ref="AM283:BR283" ca="1" si="569">+IF(OR($F283+AM$175&lt;1,(AM$176-1)*12&lt;-$F283),0,OFFSET(AM113,0,$F283))</f>
        <v>0</v>
      </c>
      <c r="AN283" s="58">
        <f t="shared" ca="1" si="569"/>
        <v>0</v>
      </c>
      <c r="AO283" s="58">
        <f t="shared" ca="1" si="569"/>
        <v>0</v>
      </c>
      <c r="AP283" s="58">
        <f t="shared" ca="1" si="569"/>
        <v>0</v>
      </c>
      <c r="AQ283" s="58">
        <f t="shared" ca="1" si="569"/>
        <v>0</v>
      </c>
      <c r="AR283" s="58">
        <f t="shared" ca="1" si="569"/>
        <v>0</v>
      </c>
      <c r="AS283" s="58">
        <f t="shared" ca="1" si="569"/>
        <v>0</v>
      </c>
      <c r="AT283" s="58">
        <f t="shared" ca="1" si="569"/>
        <v>0</v>
      </c>
      <c r="AU283" s="58">
        <f t="shared" ca="1" si="569"/>
        <v>0</v>
      </c>
      <c r="AV283" s="58">
        <f t="shared" ca="1" si="569"/>
        <v>0</v>
      </c>
      <c r="AW283" s="58">
        <f t="shared" ca="1" si="569"/>
        <v>0</v>
      </c>
      <c r="AX283" s="58">
        <f t="shared" ca="1" si="569"/>
        <v>0</v>
      </c>
      <c r="AY283" s="58">
        <f t="shared" ca="1" si="569"/>
        <v>0</v>
      </c>
      <c r="AZ283" s="58">
        <f t="shared" ca="1" si="569"/>
        <v>0</v>
      </c>
      <c r="BA283" s="58">
        <f t="shared" ca="1" si="569"/>
        <v>0</v>
      </c>
      <c r="BB283" s="58">
        <f t="shared" ca="1" si="569"/>
        <v>0</v>
      </c>
      <c r="BC283" s="58">
        <f t="shared" ca="1" si="569"/>
        <v>0</v>
      </c>
      <c r="BD283" s="58">
        <f t="shared" ca="1" si="569"/>
        <v>0</v>
      </c>
      <c r="BE283" s="58">
        <f t="shared" ca="1" si="569"/>
        <v>0</v>
      </c>
      <c r="BF283" s="58">
        <f t="shared" ca="1" si="569"/>
        <v>0</v>
      </c>
      <c r="BG283" s="58">
        <f t="shared" ca="1" si="569"/>
        <v>0</v>
      </c>
      <c r="BH283" s="58">
        <f t="shared" ca="1" si="569"/>
        <v>0</v>
      </c>
      <c r="BI283" s="58">
        <f t="shared" ca="1" si="569"/>
        <v>0</v>
      </c>
      <c r="BJ283" s="58">
        <f t="shared" ca="1" si="569"/>
        <v>0</v>
      </c>
      <c r="BK283" s="58">
        <f t="shared" ca="1" si="569"/>
        <v>0</v>
      </c>
      <c r="BL283" s="58">
        <f t="shared" ca="1" si="569"/>
        <v>0</v>
      </c>
      <c r="BM283" s="58">
        <f t="shared" ca="1" si="569"/>
        <v>0</v>
      </c>
      <c r="BN283" s="58">
        <f t="shared" ca="1" si="569"/>
        <v>0</v>
      </c>
      <c r="BO283" s="58">
        <f t="shared" ca="1" si="569"/>
        <v>0</v>
      </c>
      <c r="BP283" s="58">
        <f t="shared" ca="1" si="569"/>
        <v>0</v>
      </c>
      <c r="BQ283" s="58">
        <f t="shared" ca="1" si="569"/>
        <v>0</v>
      </c>
      <c r="BR283" s="58">
        <f t="shared" ca="1" si="569"/>
        <v>0</v>
      </c>
      <c r="BS283" s="58">
        <f t="shared" ref="BS283:CX283" ca="1" si="570">+IF(OR($F283+BS$175&lt;1,(BS$176-1)*12&lt;-$F283),0,OFFSET(BS113,0,$F283))</f>
        <v>0</v>
      </c>
      <c r="BT283" s="58">
        <f t="shared" ca="1" si="570"/>
        <v>0</v>
      </c>
      <c r="BU283" s="58">
        <f t="shared" ca="1" si="570"/>
        <v>0</v>
      </c>
      <c r="BV283" s="58">
        <f t="shared" ca="1" si="570"/>
        <v>0</v>
      </c>
      <c r="BW283" s="58">
        <f t="shared" ca="1" si="570"/>
        <v>0</v>
      </c>
      <c r="BX283" s="58">
        <f t="shared" ca="1" si="570"/>
        <v>0</v>
      </c>
      <c r="BY283" s="58">
        <f t="shared" ca="1" si="570"/>
        <v>0</v>
      </c>
      <c r="BZ283" s="58">
        <f t="shared" ca="1" si="570"/>
        <v>0</v>
      </c>
      <c r="CA283" s="58">
        <f t="shared" ca="1" si="570"/>
        <v>0</v>
      </c>
      <c r="CB283" s="58">
        <f t="shared" ca="1" si="570"/>
        <v>0</v>
      </c>
      <c r="CC283" s="58">
        <f t="shared" ca="1" si="570"/>
        <v>0</v>
      </c>
      <c r="CD283" s="58">
        <f t="shared" ca="1" si="570"/>
        <v>0</v>
      </c>
      <c r="CE283" s="58">
        <f t="shared" ca="1" si="570"/>
        <v>0</v>
      </c>
      <c r="CF283" s="58">
        <f t="shared" ca="1" si="570"/>
        <v>0</v>
      </c>
      <c r="CG283" s="58">
        <f t="shared" ca="1" si="570"/>
        <v>0</v>
      </c>
      <c r="CH283" s="58">
        <f t="shared" ca="1" si="570"/>
        <v>0</v>
      </c>
      <c r="CI283" s="58">
        <f t="shared" ca="1" si="570"/>
        <v>0</v>
      </c>
      <c r="CJ283" s="58">
        <f t="shared" ca="1" si="570"/>
        <v>0</v>
      </c>
      <c r="CK283" s="58">
        <f t="shared" ca="1" si="570"/>
        <v>0</v>
      </c>
      <c r="CL283" s="58">
        <f t="shared" ca="1" si="570"/>
        <v>0</v>
      </c>
      <c r="CM283" s="58">
        <f t="shared" ca="1" si="570"/>
        <v>0</v>
      </c>
      <c r="CN283" s="58">
        <f t="shared" ca="1" si="570"/>
        <v>0</v>
      </c>
      <c r="CO283" s="58">
        <f t="shared" ca="1" si="570"/>
        <v>0</v>
      </c>
      <c r="CP283" s="58">
        <f t="shared" ca="1" si="570"/>
        <v>0</v>
      </c>
      <c r="CQ283" s="58">
        <f t="shared" ca="1" si="570"/>
        <v>0</v>
      </c>
      <c r="CR283" s="58">
        <f t="shared" ca="1" si="570"/>
        <v>0</v>
      </c>
      <c r="CS283" s="58">
        <f t="shared" ca="1" si="570"/>
        <v>0</v>
      </c>
      <c r="CT283" s="58">
        <f t="shared" ca="1" si="570"/>
        <v>0</v>
      </c>
      <c r="CU283" s="58">
        <f t="shared" ca="1" si="570"/>
        <v>0</v>
      </c>
      <c r="CV283" s="58">
        <f t="shared" ca="1" si="570"/>
        <v>0</v>
      </c>
      <c r="CW283" s="58">
        <f t="shared" ca="1" si="570"/>
        <v>0</v>
      </c>
      <c r="CX283" s="58">
        <f t="shared" ca="1" si="570"/>
        <v>0</v>
      </c>
      <c r="CY283" s="58">
        <f t="shared" ref="CY283:ED283" ca="1" si="571">+IF(OR($F283+CY$175&lt;1,(CY$176-1)*12&lt;-$F283),0,OFFSET(CY113,0,$F283))</f>
        <v>0</v>
      </c>
      <c r="CZ283" s="58">
        <f t="shared" ca="1" si="571"/>
        <v>0</v>
      </c>
      <c r="DA283" s="58">
        <f t="shared" ca="1" si="571"/>
        <v>0</v>
      </c>
      <c r="DB283" s="58">
        <f t="shared" ca="1" si="571"/>
        <v>0</v>
      </c>
      <c r="DC283" s="58">
        <f t="shared" ca="1" si="571"/>
        <v>0</v>
      </c>
      <c r="DD283" s="58">
        <f t="shared" ca="1" si="571"/>
        <v>0</v>
      </c>
      <c r="DE283" s="58">
        <f t="shared" ca="1" si="571"/>
        <v>0</v>
      </c>
      <c r="DF283" s="58">
        <f t="shared" ca="1" si="571"/>
        <v>0</v>
      </c>
      <c r="DG283" s="58">
        <f t="shared" ca="1" si="571"/>
        <v>0</v>
      </c>
      <c r="DH283" s="58">
        <f t="shared" ca="1" si="571"/>
        <v>0</v>
      </c>
      <c r="DI283" s="58">
        <f t="shared" ca="1" si="571"/>
        <v>0</v>
      </c>
      <c r="DJ283" s="58">
        <f t="shared" ca="1" si="571"/>
        <v>0</v>
      </c>
      <c r="DK283" s="58">
        <f t="shared" ca="1" si="571"/>
        <v>0</v>
      </c>
      <c r="DL283" s="58">
        <f t="shared" ca="1" si="571"/>
        <v>0</v>
      </c>
      <c r="DM283" s="58">
        <f t="shared" ca="1" si="571"/>
        <v>0</v>
      </c>
      <c r="DN283" s="58">
        <f t="shared" ca="1" si="571"/>
        <v>0</v>
      </c>
      <c r="DO283" s="58">
        <f t="shared" ca="1" si="571"/>
        <v>0</v>
      </c>
      <c r="DP283" s="58">
        <f t="shared" ca="1" si="571"/>
        <v>0</v>
      </c>
      <c r="DQ283" s="58">
        <f t="shared" ca="1" si="571"/>
        <v>0</v>
      </c>
      <c r="DR283" s="58">
        <f t="shared" ca="1" si="571"/>
        <v>0</v>
      </c>
      <c r="DS283" s="58">
        <f t="shared" ca="1" si="571"/>
        <v>0</v>
      </c>
      <c r="DT283" s="58">
        <f t="shared" ca="1" si="571"/>
        <v>0</v>
      </c>
      <c r="DU283" s="58">
        <f t="shared" ca="1" si="571"/>
        <v>0</v>
      </c>
      <c r="DV283" s="58">
        <f t="shared" ca="1" si="571"/>
        <v>0</v>
      </c>
      <c r="DW283" s="58">
        <f t="shared" ca="1" si="571"/>
        <v>0</v>
      </c>
      <c r="DX283" s="58">
        <f t="shared" ca="1" si="571"/>
        <v>0</v>
      </c>
      <c r="DY283" s="58">
        <f t="shared" ca="1" si="571"/>
        <v>0</v>
      </c>
      <c r="DZ283" s="58">
        <f t="shared" ca="1" si="571"/>
        <v>0</v>
      </c>
      <c r="EA283" s="58">
        <f t="shared" ca="1" si="571"/>
        <v>0</v>
      </c>
      <c r="EB283" s="58">
        <f t="shared" ca="1" si="571"/>
        <v>0</v>
      </c>
      <c r="EC283" s="58">
        <f t="shared" ca="1" si="571"/>
        <v>0</v>
      </c>
      <c r="ED283" s="58">
        <f t="shared" ca="1" si="571"/>
        <v>0</v>
      </c>
      <c r="EE283" s="58">
        <f t="shared" ref="EE283:FN283" ca="1" si="572">+IF(OR($F283+EE$175&lt;1,(EE$176-1)*12&lt;-$F283),0,OFFSET(EE113,0,$F283))</f>
        <v>0</v>
      </c>
      <c r="EF283" s="58">
        <f t="shared" ca="1" si="572"/>
        <v>0</v>
      </c>
      <c r="EG283" s="58">
        <f t="shared" ca="1" si="572"/>
        <v>0</v>
      </c>
      <c r="EH283" s="58">
        <f t="shared" ca="1" si="572"/>
        <v>0</v>
      </c>
      <c r="EI283" s="58">
        <f t="shared" ca="1" si="572"/>
        <v>0</v>
      </c>
      <c r="EJ283" s="58">
        <f t="shared" ca="1" si="572"/>
        <v>0</v>
      </c>
      <c r="EK283" s="58">
        <f t="shared" ca="1" si="572"/>
        <v>0</v>
      </c>
      <c r="EL283" s="58">
        <f t="shared" ca="1" si="572"/>
        <v>0</v>
      </c>
      <c r="EM283" s="58">
        <f t="shared" ca="1" si="572"/>
        <v>0</v>
      </c>
      <c r="EN283" s="58">
        <f t="shared" ca="1" si="572"/>
        <v>0</v>
      </c>
      <c r="EO283" s="58">
        <f t="shared" ca="1" si="572"/>
        <v>0</v>
      </c>
      <c r="EP283" s="58">
        <f t="shared" ca="1" si="572"/>
        <v>0</v>
      </c>
      <c r="EQ283" s="58">
        <f t="shared" ca="1" si="572"/>
        <v>0</v>
      </c>
      <c r="ER283" s="58">
        <f t="shared" ca="1" si="572"/>
        <v>0</v>
      </c>
      <c r="ES283" s="58">
        <f t="shared" ca="1" si="572"/>
        <v>0</v>
      </c>
      <c r="ET283" s="58">
        <f t="shared" ca="1" si="572"/>
        <v>0</v>
      </c>
      <c r="EU283" s="58">
        <f t="shared" ca="1" si="572"/>
        <v>0</v>
      </c>
      <c r="EV283" s="58">
        <f t="shared" ca="1" si="572"/>
        <v>0</v>
      </c>
      <c r="EW283" s="58">
        <f t="shared" ca="1" si="572"/>
        <v>0</v>
      </c>
      <c r="EX283" s="58">
        <f t="shared" ca="1" si="572"/>
        <v>0</v>
      </c>
      <c r="EY283" s="58">
        <f t="shared" ca="1" si="572"/>
        <v>0</v>
      </c>
      <c r="EZ283" s="58">
        <f t="shared" ca="1" si="572"/>
        <v>0</v>
      </c>
      <c r="FA283" s="58">
        <f t="shared" ca="1" si="572"/>
        <v>0</v>
      </c>
      <c r="FB283" s="58">
        <f t="shared" ca="1" si="572"/>
        <v>0</v>
      </c>
      <c r="FC283" s="58">
        <f t="shared" ca="1" si="572"/>
        <v>0</v>
      </c>
      <c r="FD283" s="58">
        <f t="shared" ca="1" si="572"/>
        <v>0</v>
      </c>
      <c r="FE283" s="58">
        <f t="shared" ca="1" si="572"/>
        <v>0</v>
      </c>
      <c r="FF283" s="58">
        <f t="shared" ca="1" si="572"/>
        <v>0</v>
      </c>
      <c r="FG283" s="58">
        <f t="shared" ca="1" si="572"/>
        <v>0</v>
      </c>
      <c r="FH283" s="58">
        <f t="shared" ca="1" si="572"/>
        <v>0</v>
      </c>
      <c r="FI283" s="58">
        <f t="shared" ca="1" si="572"/>
        <v>0</v>
      </c>
      <c r="FJ283" s="58">
        <f t="shared" ca="1" si="572"/>
        <v>0</v>
      </c>
      <c r="FK283" s="58">
        <f t="shared" ca="1" si="572"/>
        <v>0</v>
      </c>
      <c r="FL283" s="58">
        <f t="shared" ca="1" si="572"/>
        <v>0</v>
      </c>
      <c r="FM283" s="58">
        <f t="shared" ca="1" si="572"/>
        <v>0</v>
      </c>
      <c r="FN283" s="58">
        <f t="shared" ca="1" si="572"/>
        <v>0</v>
      </c>
      <c r="FO283" s="13"/>
    </row>
    <row r="284" spans="1:171" outlineLevel="1" x14ac:dyDescent="0.3">
      <c r="A284" s="13"/>
      <c r="B284" s="13"/>
      <c r="C284" s="13"/>
      <c r="D284" s="52">
        <f t="shared" si="520"/>
        <v>43405</v>
      </c>
      <c r="E284" s="53">
        <f t="shared" si="521"/>
        <v>2018</v>
      </c>
      <c r="F284" s="53">
        <f t="shared" si="522"/>
        <v>58</v>
      </c>
      <c r="G284" s="58">
        <f t="shared" ref="G284:AL284" ca="1" si="573">+IF(OR($F284+G$175&lt;1,(G$176-1)*12&lt;-$F284),0,OFFSET(G114,0,$F284))</f>
        <v>0</v>
      </c>
      <c r="H284" s="58">
        <f t="shared" ca="1" si="573"/>
        <v>0</v>
      </c>
      <c r="I284" s="58">
        <f t="shared" ca="1" si="573"/>
        <v>0</v>
      </c>
      <c r="J284" s="58">
        <f t="shared" ca="1" si="573"/>
        <v>0</v>
      </c>
      <c r="K284" s="58">
        <f t="shared" ca="1" si="573"/>
        <v>0</v>
      </c>
      <c r="L284" s="58">
        <f t="shared" ca="1" si="573"/>
        <v>0</v>
      </c>
      <c r="M284" s="58">
        <f t="shared" ca="1" si="573"/>
        <v>0</v>
      </c>
      <c r="N284" s="58">
        <f t="shared" ca="1" si="573"/>
        <v>0</v>
      </c>
      <c r="O284" s="58">
        <f t="shared" ca="1" si="573"/>
        <v>0</v>
      </c>
      <c r="P284" s="58">
        <f t="shared" ca="1" si="573"/>
        <v>0</v>
      </c>
      <c r="Q284" s="58">
        <f t="shared" ca="1" si="573"/>
        <v>0</v>
      </c>
      <c r="R284" s="58">
        <f t="shared" ca="1" si="573"/>
        <v>0</v>
      </c>
      <c r="S284" s="58">
        <f t="shared" ca="1" si="573"/>
        <v>0</v>
      </c>
      <c r="T284" s="58">
        <f t="shared" ca="1" si="573"/>
        <v>0</v>
      </c>
      <c r="U284" s="58">
        <f t="shared" ca="1" si="573"/>
        <v>0</v>
      </c>
      <c r="V284" s="58">
        <f t="shared" ca="1" si="573"/>
        <v>0</v>
      </c>
      <c r="W284" s="58">
        <f t="shared" ca="1" si="573"/>
        <v>0</v>
      </c>
      <c r="X284" s="58">
        <f t="shared" ca="1" si="573"/>
        <v>0</v>
      </c>
      <c r="Y284" s="58">
        <f t="shared" ca="1" si="573"/>
        <v>0</v>
      </c>
      <c r="Z284" s="58">
        <f t="shared" ca="1" si="573"/>
        <v>0</v>
      </c>
      <c r="AA284" s="58">
        <f t="shared" ca="1" si="573"/>
        <v>0</v>
      </c>
      <c r="AB284" s="58">
        <f t="shared" ca="1" si="573"/>
        <v>0</v>
      </c>
      <c r="AC284" s="58">
        <f t="shared" ca="1" si="573"/>
        <v>0</v>
      </c>
      <c r="AD284" s="58">
        <f t="shared" ca="1" si="573"/>
        <v>0</v>
      </c>
      <c r="AE284" s="58">
        <f t="shared" ca="1" si="573"/>
        <v>0</v>
      </c>
      <c r="AF284" s="58">
        <f t="shared" ca="1" si="573"/>
        <v>0</v>
      </c>
      <c r="AG284" s="58">
        <f t="shared" ca="1" si="573"/>
        <v>0</v>
      </c>
      <c r="AH284" s="58">
        <f t="shared" ca="1" si="573"/>
        <v>0</v>
      </c>
      <c r="AI284" s="58">
        <f t="shared" ca="1" si="573"/>
        <v>0</v>
      </c>
      <c r="AJ284" s="58">
        <f t="shared" ca="1" si="573"/>
        <v>0</v>
      </c>
      <c r="AK284" s="58">
        <f t="shared" ca="1" si="573"/>
        <v>0</v>
      </c>
      <c r="AL284" s="58">
        <f t="shared" ca="1" si="573"/>
        <v>0</v>
      </c>
      <c r="AM284" s="58">
        <f t="shared" ref="AM284:BR284" ca="1" si="574">+IF(OR($F284+AM$175&lt;1,(AM$176-1)*12&lt;-$F284),0,OFFSET(AM114,0,$F284))</f>
        <v>0</v>
      </c>
      <c r="AN284" s="58">
        <f t="shared" ca="1" si="574"/>
        <v>0</v>
      </c>
      <c r="AO284" s="58">
        <f t="shared" ca="1" si="574"/>
        <v>0</v>
      </c>
      <c r="AP284" s="58">
        <f t="shared" ca="1" si="574"/>
        <v>0</v>
      </c>
      <c r="AQ284" s="58">
        <f t="shared" ca="1" si="574"/>
        <v>0</v>
      </c>
      <c r="AR284" s="58">
        <f t="shared" ca="1" si="574"/>
        <v>0</v>
      </c>
      <c r="AS284" s="58">
        <f t="shared" ca="1" si="574"/>
        <v>0</v>
      </c>
      <c r="AT284" s="58">
        <f t="shared" ca="1" si="574"/>
        <v>0</v>
      </c>
      <c r="AU284" s="58">
        <f t="shared" ca="1" si="574"/>
        <v>0</v>
      </c>
      <c r="AV284" s="58">
        <f t="shared" ca="1" si="574"/>
        <v>0</v>
      </c>
      <c r="AW284" s="58">
        <f t="shared" ca="1" si="574"/>
        <v>0</v>
      </c>
      <c r="AX284" s="58">
        <f t="shared" ca="1" si="574"/>
        <v>0</v>
      </c>
      <c r="AY284" s="58">
        <f t="shared" ca="1" si="574"/>
        <v>0</v>
      </c>
      <c r="AZ284" s="58">
        <f t="shared" ca="1" si="574"/>
        <v>0</v>
      </c>
      <c r="BA284" s="58">
        <f t="shared" ca="1" si="574"/>
        <v>0</v>
      </c>
      <c r="BB284" s="58">
        <f t="shared" ca="1" si="574"/>
        <v>0</v>
      </c>
      <c r="BC284" s="58">
        <f t="shared" ca="1" si="574"/>
        <v>0</v>
      </c>
      <c r="BD284" s="58">
        <f t="shared" ca="1" si="574"/>
        <v>0</v>
      </c>
      <c r="BE284" s="58">
        <f t="shared" ca="1" si="574"/>
        <v>0</v>
      </c>
      <c r="BF284" s="58">
        <f t="shared" ca="1" si="574"/>
        <v>0</v>
      </c>
      <c r="BG284" s="58">
        <f t="shared" ca="1" si="574"/>
        <v>0</v>
      </c>
      <c r="BH284" s="58">
        <f t="shared" ca="1" si="574"/>
        <v>0</v>
      </c>
      <c r="BI284" s="58">
        <f t="shared" ca="1" si="574"/>
        <v>0</v>
      </c>
      <c r="BJ284" s="58">
        <f t="shared" ca="1" si="574"/>
        <v>0</v>
      </c>
      <c r="BK284" s="58">
        <f t="shared" ca="1" si="574"/>
        <v>0</v>
      </c>
      <c r="BL284" s="58">
        <f t="shared" ca="1" si="574"/>
        <v>0</v>
      </c>
      <c r="BM284" s="58">
        <f t="shared" ca="1" si="574"/>
        <v>0</v>
      </c>
      <c r="BN284" s="58">
        <f t="shared" ca="1" si="574"/>
        <v>0</v>
      </c>
      <c r="BO284" s="58">
        <f t="shared" ca="1" si="574"/>
        <v>0</v>
      </c>
      <c r="BP284" s="58">
        <f t="shared" ca="1" si="574"/>
        <v>0</v>
      </c>
      <c r="BQ284" s="58">
        <f t="shared" ca="1" si="574"/>
        <v>0</v>
      </c>
      <c r="BR284" s="58">
        <f t="shared" ca="1" si="574"/>
        <v>0</v>
      </c>
      <c r="BS284" s="58">
        <f t="shared" ref="BS284:CX284" ca="1" si="575">+IF(OR($F284+BS$175&lt;1,(BS$176-1)*12&lt;-$F284),0,OFFSET(BS114,0,$F284))</f>
        <v>0</v>
      </c>
      <c r="BT284" s="58">
        <f t="shared" ca="1" si="575"/>
        <v>0</v>
      </c>
      <c r="BU284" s="58">
        <f t="shared" ca="1" si="575"/>
        <v>0</v>
      </c>
      <c r="BV284" s="58">
        <f t="shared" ca="1" si="575"/>
        <v>0</v>
      </c>
      <c r="BW284" s="58">
        <f t="shared" ca="1" si="575"/>
        <v>0</v>
      </c>
      <c r="BX284" s="58">
        <f t="shared" ca="1" si="575"/>
        <v>0</v>
      </c>
      <c r="BY284" s="58">
        <f t="shared" ca="1" si="575"/>
        <v>0</v>
      </c>
      <c r="BZ284" s="58">
        <f t="shared" ca="1" si="575"/>
        <v>0</v>
      </c>
      <c r="CA284" s="58">
        <f t="shared" ca="1" si="575"/>
        <v>0</v>
      </c>
      <c r="CB284" s="58">
        <f t="shared" ca="1" si="575"/>
        <v>0</v>
      </c>
      <c r="CC284" s="58">
        <f t="shared" ca="1" si="575"/>
        <v>0</v>
      </c>
      <c r="CD284" s="58">
        <f t="shared" ca="1" si="575"/>
        <v>0</v>
      </c>
      <c r="CE284" s="58">
        <f t="shared" ca="1" si="575"/>
        <v>0</v>
      </c>
      <c r="CF284" s="58">
        <f t="shared" ca="1" si="575"/>
        <v>0</v>
      </c>
      <c r="CG284" s="58">
        <f t="shared" ca="1" si="575"/>
        <v>0</v>
      </c>
      <c r="CH284" s="58">
        <f t="shared" ca="1" si="575"/>
        <v>0</v>
      </c>
      <c r="CI284" s="58">
        <f t="shared" ca="1" si="575"/>
        <v>0</v>
      </c>
      <c r="CJ284" s="58">
        <f t="shared" ca="1" si="575"/>
        <v>0</v>
      </c>
      <c r="CK284" s="58">
        <f t="shared" ca="1" si="575"/>
        <v>0</v>
      </c>
      <c r="CL284" s="58">
        <f t="shared" ca="1" si="575"/>
        <v>0</v>
      </c>
      <c r="CM284" s="58">
        <f t="shared" ca="1" si="575"/>
        <v>0</v>
      </c>
      <c r="CN284" s="58">
        <f t="shared" ca="1" si="575"/>
        <v>0</v>
      </c>
      <c r="CO284" s="58">
        <f t="shared" ca="1" si="575"/>
        <v>0</v>
      </c>
      <c r="CP284" s="58">
        <f t="shared" ca="1" si="575"/>
        <v>0</v>
      </c>
      <c r="CQ284" s="58">
        <f t="shared" ca="1" si="575"/>
        <v>0</v>
      </c>
      <c r="CR284" s="58">
        <f t="shared" ca="1" si="575"/>
        <v>0</v>
      </c>
      <c r="CS284" s="58">
        <f t="shared" ca="1" si="575"/>
        <v>0</v>
      </c>
      <c r="CT284" s="58">
        <f t="shared" ca="1" si="575"/>
        <v>0</v>
      </c>
      <c r="CU284" s="58">
        <f t="shared" ca="1" si="575"/>
        <v>0</v>
      </c>
      <c r="CV284" s="58">
        <f t="shared" ca="1" si="575"/>
        <v>0</v>
      </c>
      <c r="CW284" s="58">
        <f t="shared" ca="1" si="575"/>
        <v>0</v>
      </c>
      <c r="CX284" s="58">
        <f t="shared" ca="1" si="575"/>
        <v>0</v>
      </c>
      <c r="CY284" s="58">
        <f t="shared" ref="CY284:ED284" ca="1" si="576">+IF(OR($F284+CY$175&lt;1,(CY$176-1)*12&lt;-$F284),0,OFFSET(CY114,0,$F284))</f>
        <v>0</v>
      </c>
      <c r="CZ284" s="58">
        <f t="shared" ca="1" si="576"/>
        <v>0</v>
      </c>
      <c r="DA284" s="58">
        <f t="shared" ca="1" si="576"/>
        <v>0</v>
      </c>
      <c r="DB284" s="58">
        <f t="shared" ca="1" si="576"/>
        <v>0</v>
      </c>
      <c r="DC284" s="58">
        <f t="shared" ca="1" si="576"/>
        <v>0</v>
      </c>
      <c r="DD284" s="58">
        <f t="shared" ca="1" si="576"/>
        <v>0</v>
      </c>
      <c r="DE284" s="58">
        <f t="shared" ca="1" si="576"/>
        <v>0</v>
      </c>
      <c r="DF284" s="58">
        <f t="shared" ca="1" si="576"/>
        <v>0</v>
      </c>
      <c r="DG284" s="58">
        <f t="shared" ca="1" si="576"/>
        <v>0</v>
      </c>
      <c r="DH284" s="58">
        <f t="shared" ca="1" si="576"/>
        <v>0</v>
      </c>
      <c r="DI284" s="58">
        <f t="shared" ca="1" si="576"/>
        <v>0</v>
      </c>
      <c r="DJ284" s="58">
        <f t="shared" ca="1" si="576"/>
        <v>0</v>
      </c>
      <c r="DK284" s="58">
        <f t="shared" ca="1" si="576"/>
        <v>0</v>
      </c>
      <c r="DL284" s="58">
        <f t="shared" ca="1" si="576"/>
        <v>0</v>
      </c>
      <c r="DM284" s="58">
        <f t="shared" ca="1" si="576"/>
        <v>0</v>
      </c>
      <c r="DN284" s="58">
        <f t="shared" ca="1" si="576"/>
        <v>0</v>
      </c>
      <c r="DO284" s="58">
        <f t="shared" ca="1" si="576"/>
        <v>0</v>
      </c>
      <c r="DP284" s="58">
        <f t="shared" ca="1" si="576"/>
        <v>0</v>
      </c>
      <c r="DQ284" s="58">
        <f t="shared" ca="1" si="576"/>
        <v>0</v>
      </c>
      <c r="DR284" s="58">
        <f t="shared" ca="1" si="576"/>
        <v>0</v>
      </c>
      <c r="DS284" s="58">
        <f t="shared" ca="1" si="576"/>
        <v>0</v>
      </c>
      <c r="DT284" s="58">
        <f t="shared" ca="1" si="576"/>
        <v>0</v>
      </c>
      <c r="DU284" s="58">
        <f t="shared" ca="1" si="576"/>
        <v>0</v>
      </c>
      <c r="DV284" s="58">
        <f t="shared" ca="1" si="576"/>
        <v>0</v>
      </c>
      <c r="DW284" s="58">
        <f t="shared" ca="1" si="576"/>
        <v>0</v>
      </c>
      <c r="DX284" s="58">
        <f t="shared" ca="1" si="576"/>
        <v>0</v>
      </c>
      <c r="DY284" s="58">
        <f t="shared" ca="1" si="576"/>
        <v>0</v>
      </c>
      <c r="DZ284" s="58">
        <f t="shared" ca="1" si="576"/>
        <v>0</v>
      </c>
      <c r="EA284" s="58">
        <f t="shared" ca="1" si="576"/>
        <v>0</v>
      </c>
      <c r="EB284" s="58">
        <f t="shared" ca="1" si="576"/>
        <v>0</v>
      </c>
      <c r="EC284" s="58">
        <f t="shared" ca="1" si="576"/>
        <v>0</v>
      </c>
      <c r="ED284" s="58">
        <f t="shared" ca="1" si="576"/>
        <v>0</v>
      </c>
      <c r="EE284" s="58">
        <f t="shared" ref="EE284:FN284" ca="1" si="577">+IF(OR($F284+EE$175&lt;1,(EE$176-1)*12&lt;-$F284),0,OFFSET(EE114,0,$F284))</f>
        <v>0</v>
      </c>
      <c r="EF284" s="58">
        <f t="shared" ca="1" si="577"/>
        <v>0</v>
      </c>
      <c r="EG284" s="58">
        <f t="shared" ca="1" si="577"/>
        <v>0</v>
      </c>
      <c r="EH284" s="58">
        <f t="shared" ca="1" si="577"/>
        <v>0</v>
      </c>
      <c r="EI284" s="58">
        <f t="shared" ca="1" si="577"/>
        <v>0</v>
      </c>
      <c r="EJ284" s="58">
        <f t="shared" ca="1" si="577"/>
        <v>0</v>
      </c>
      <c r="EK284" s="58">
        <f t="shared" ca="1" si="577"/>
        <v>0</v>
      </c>
      <c r="EL284" s="58">
        <f t="shared" ca="1" si="577"/>
        <v>0</v>
      </c>
      <c r="EM284" s="58">
        <f t="shared" ca="1" si="577"/>
        <v>0</v>
      </c>
      <c r="EN284" s="58">
        <f t="shared" ca="1" si="577"/>
        <v>0</v>
      </c>
      <c r="EO284" s="58">
        <f t="shared" ca="1" si="577"/>
        <v>0</v>
      </c>
      <c r="EP284" s="58">
        <f t="shared" ca="1" si="577"/>
        <v>0</v>
      </c>
      <c r="EQ284" s="58">
        <f t="shared" ca="1" si="577"/>
        <v>0</v>
      </c>
      <c r="ER284" s="58">
        <f t="shared" ca="1" si="577"/>
        <v>0</v>
      </c>
      <c r="ES284" s="58">
        <f t="shared" ca="1" si="577"/>
        <v>0</v>
      </c>
      <c r="ET284" s="58">
        <f t="shared" ca="1" si="577"/>
        <v>0</v>
      </c>
      <c r="EU284" s="58">
        <f t="shared" ca="1" si="577"/>
        <v>0</v>
      </c>
      <c r="EV284" s="58">
        <f t="shared" ca="1" si="577"/>
        <v>0</v>
      </c>
      <c r="EW284" s="58">
        <f t="shared" ca="1" si="577"/>
        <v>0</v>
      </c>
      <c r="EX284" s="58">
        <f t="shared" ca="1" si="577"/>
        <v>0</v>
      </c>
      <c r="EY284" s="58">
        <f t="shared" ca="1" si="577"/>
        <v>0</v>
      </c>
      <c r="EZ284" s="58">
        <f t="shared" ca="1" si="577"/>
        <v>0</v>
      </c>
      <c r="FA284" s="58">
        <f t="shared" ca="1" si="577"/>
        <v>0</v>
      </c>
      <c r="FB284" s="58">
        <f t="shared" ca="1" si="577"/>
        <v>0</v>
      </c>
      <c r="FC284" s="58">
        <f t="shared" ca="1" si="577"/>
        <v>0</v>
      </c>
      <c r="FD284" s="58">
        <f t="shared" ca="1" si="577"/>
        <v>0</v>
      </c>
      <c r="FE284" s="58">
        <f t="shared" ca="1" si="577"/>
        <v>0</v>
      </c>
      <c r="FF284" s="58">
        <f t="shared" ca="1" si="577"/>
        <v>0</v>
      </c>
      <c r="FG284" s="58">
        <f t="shared" ca="1" si="577"/>
        <v>0</v>
      </c>
      <c r="FH284" s="58">
        <f t="shared" ca="1" si="577"/>
        <v>0</v>
      </c>
      <c r="FI284" s="58">
        <f t="shared" ca="1" si="577"/>
        <v>0</v>
      </c>
      <c r="FJ284" s="58">
        <f t="shared" ca="1" si="577"/>
        <v>0</v>
      </c>
      <c r="FK284" s="58">
        <f t="shared" ca="1" si="577"/>
        <v>0</v>
      </c>
      <c r="FL284" s="58">
        <f t="shared" ca="1" si="577"/>
        <v>0</v>
      </c>
      <c r="FM284" s="58">
        <f t="shared" ca="1" si="577"/>
        <v>0</v>
      </c>
      <c r="FN284" s="58">
        <f t="shared" ca="1" si="577"/>
        <v>0</v>
      </c>
      <c r="FO284" s="13"/>
    </row>
    <row r="285" spans="1:171" outlineLevel="1" x14ac:dyDescent="0.3">
      <c r="A285" s="13"/>
      <c r="B285" s="13"/>
      <c r="C285" s="13"/>
      <c r="D285" s="52">
        <f t="shared" si="520"/>
        <v>43435</v>
      </c>
      <c r="E285" s="53">
        <f t="shared" si="521"/>
        <v>2018</v>
      </c>
      <c r="F285" s="53">
        <f t="shared" si="522"/>
        <v>59</v>
      </c>
      <c r="G285" s="58">
        <f t="shared" ref="G285:AL285" ca="1" si="578">+IF(OR($F285+G$175&lt;1,(G$176-1)*12&lt;-$F285),0,OFFSET(G115,0,$F285))</f>
        <v>0</v>
      </c>
      <c r="H285" s="58">
        <f t="shared" ca="1" si="578"/>
        <v>0</v>
      </c>
      <c r="I285" s="58">
        <f t="shared" ca="1" si="578"/>
        <v>0</v>
      </c>
      <c r="J285" s="58">
        <f t="shared" ca="1" si="578"/>
        <v>0</v>
      </c>
      <c r="K285" s="58">
        <f t="shared" ca="1" si="578"/>
        <v>0</v>
      </c>
      <c r="L285" s="58">
        <f t="shared" ca="1" si="578"/>
        <v>0</v>
      </c>
      <c r="M285" s="58">
        <f t="shared" ca="1" si="578"/>
        <v>0</v>
      </c>
      <c r="N285" s="58">
        <f t="shared" ca="1" si="578"/>
        <v>0</v>
      </c>
      <c r="O285" s="58">
        <f t="shared" ca="1" si="578"/>
        <v>0</v>
      </c>
      <c r="P285" s="58">
        <f t="shared" ca="1" si="578"/>
        <v>0</v>
      </c>
      <c r="Q285" s="58">
        <f t="shared" ca="1" si="578"/>
        <v>0</v>
      </c>
      <c r="R285" s="58">
        <f t="shared" ca="1" si="578"/>
        <v>0</v>
      </c>
      <c r="S285" s="58">
        <f t="shared" ca="1" si="578"/>
        <v>0</v>
      </c>
      <c r="T285" s="58">
        <f t="shared" ca="1" si="578"/>
        <v>0</v>
      </c>
      <c r="U285" s="58">
        <f t="shared" ca="1" si="578"/>
        <v>0</v>
      </c>
      <c r="V285" s="58">
        <f t="shared" ca="1" si="578"/>
        <v>0</v>
      </c>
      <c r="W285" s="58">
        <f t="shared" ca="1" si="578"/>
        <v>0</v>
      </c>
      <c r="X285" s="58">
        <f t="shared" ca="1" si="578"/>
        <v>0</v>
      </c>
      <c r="Y285" s="58">
        <f t="shared" ca="1" si="578"/>
        <v>0</v>
      </c>
      <c r="Z285" s="58">
        <f t="shared" ca="1" si="578"/>
        <v>0</v>
      </c>
      <c r="AA285" s="58">
        <f t="shared" ca="1" si="578"/>
        <v>0</v>
      </c>
      <c r="AB285" s="58">
        <f t="shared" ca="1" si="578"/>
        <v>0</v>
      </c>
      <c r="AC285" s="58">
        <f t="shared" ca="1" si="578"/>
        <v>0</v>
      </c>
      <c r="AD285" s="58">
        <f t="shared" ca="1" si="578"/>
        <v>0</v>
      </c>
      <c r="AE285" s="58">
        <f t="shared" ca="1" si="578"/>
        <v>0</v>
      </c>
      <c r="AF285" s="58">
        <f t="shared" ca="1" si="578"/>
        <v>0</v>
      </c>
      <c r="AG285" s="58">
        <f t="shared" ca="1" si="578"/>
        <v>0</v>
      </c>
      <c r="AH285" s="58">
        <f t="shared" ca="1" si="578"/>
        <v>0</v>
      </c>
      <c r="AI285" s="58">
        <f t="shared" ca="1" si="578"/>
        <v>0</v>
      </c>
      <c r="AJ285" s="58">
        <f t="shared" ca="1" si="578"/>
        <v>0</v>
      </c>
      <c r="AK285" s="58">
        <f t="shared" ca="1" si="578"/>
        <v>0</v>
      </c>
      <c r="AL285" s="58">
        <f t="shared" ca="1" si="578"/>
        <v>0</v>
      </c>
      <c r="AM285" s="58">
        <f t="shared" ref="AM285:BR285" ca="1" si="579">+IF(OR($F285+AM$175&lt;1,(AM$176-1)*12&lt;-$F285),0,OFFSET(AM115,0,$F285))</f>
        <v>0</v>
      </c>
      <c r="AN285" s="58">
        <f t="shared" ca="1" si="579"/>
        <v>0</v>
      </c>
      <c r="AO285" s="58">
        <f t="shared" ca="1" si="579"/>
        <v>0</v>
      </c>
      <c r="AP285" s="58">
        <f t="shared" ca="1" si="579"/>
        <v>0</v>
      </c>
      <c r="AQ285" s="58">
        <f t="shared" ca="1" si="579"/>
        <v>0</v>
      </c>
      <c r="AR285" s="58">
        <f t="shared" ca="1" si="579"/>
        <v>0</v>
      </c>
      <c r="AS285" s="58">
        <f t="shared" ca="1" si="579"/>
        <v>0</v>
      </c>
      <c r="AT285" s="58">
        <f t="shared" ca="1" si="579"/>
        <v>0</v>
      </c>
      <c r="AU285" s="58">
        <f t="shared" ca="1" si="579"/>
        <v>0</v>
      </c>
      <c r="AV285" s="58">
        <f t="shared" ca="1" si="579"/>
        <v>0</v>
      </c>
      <c r="AW285" s="58">
        <f t="shared" ca="1" si="579"/>
        <v>0</v>
      </c>
      <c r="AX285" s="58">
        <f t="shared" ca="1" si="579"/>
        <v>0</v>
      </c>
      <c r="AY285" s="58">
        <f t="shared" ca="1" si="579"/>
        <v>0</v>
      </c>
      <c r="AZ285" s="58">
        <f t="shared" ca="1" si="579"/>
        <v>0</v>
      </c>
      <c r="BA285" s="58">
        <f t="shared" ca="1" si="579"/>
        <v>0</v>
      </c>
      <c r="BB285" s="58">
        <f t="shared" ca="1" si="579"/>
        <v>0</v>
      </c>
      <c r="BC285" s="58">
        <f t="shared" ca="1" si="579"/>
        <v>0</v>
      </c>
      <c r="BD285" s="58">
        <f t="shared" ca="1" si="579"/>
        <v>0</v>
      </c>
      <c r="BE285" s="58">
        <f t="shared" ca="1" si="579"/>
        <v>0</v>
      </c>
      <c r="BF285" s="58">
        <f t="shared" ca="1" si="579"/>
        <v>0</v>
      </c>
      <c r="BG285" s="58">
        <f t="shared" ca="1" si="579"/>
        <v>0</v>
      </c>
      <c r="BH285" s="58">
        <f t="shared" ca="1" si="579"/>
        <v>0</v>
      </c>
      <c r="BI285" s="58">
        <f t="shared" ca="1" si="579"/>
        <v>0</v>
      </c>
      <c r="BJ285" s="58">
        <f t="shared" ca="1" si="579"/>
        <v>0</v>
      </c>
      <c r="BK285" s="58">
        <f t="shared" ca="1" si="579"/>
        <v>0</v>
      </c>
      <c r="BL285" s="58">
        <f t="shared" ca="1" si="579"/>
        <v>0</v>
      </c>
      <c r="BM285" s="58">
        <f t="shared" ca="1" si="579"/>
        <v>0</v>
      </c>
      <c r="BN285" s="58">
        <f t="shared" ca="1" si="579"/>
        <v>0</v>
      </c>
      <c r="BO285" s="58">
        <f t="shared" ca="1" si="579"/>
        <v>0</v>
      </c>
      <c r="BP285" s="58">
        <f t="shared" ca="1" si="579"/>
        <v>0</v>
      </c>
      <c r="BQ285" s="58">
        <f t="shared" ca="1" si="579"/>
        <v>0</v>
      </c>
      <c r="BR285" s="58">
        <f t="shared" ca="1" si="579"/>
        <v>0</v>
      </c>
      <c r="BS285" s="58">
        <f t="shared" ref="BS285:CX285" ca="1" si="580">+IF(OR($F285+BS$175&lt;1,(BS$176-1)*12&lt;-$F285),0,OFFSET(BS115,0,$F285))</f>
        <v>0</v>
      </c>
      <c r="BT285" s="58">
        <f t="shared" ca="1" si="580"/>
        <v>0</v>
      </c>
      <c r="BU285" s="58">
        <f t="shared" ca="1" si="580"/>
        <v>0</v>
      </c>
      <c r="BV285" s="58">
        <f t="shared" ca="1" si="580"/>
        <v>0</v>
      </c>
      <c r="BW285" s="58">
        <f t="shared" ca="1" si="580"/>
        <v>0</v>
      </c>
      <c r="BX285" s="58">
        <f t="shared" ca="1" si="580"/>
        <v>0</v>
      </c>
      <c r="BY285" s="58">
        <f t="shared" ca="1" si="580"/>
        <v>0</v>
      </c>
      <c r="BZ285" s="58">
        <f t="shared" ca="1" si="580"/>
        <v>0</v>
      </c>
      <c r="CA285" s="58">
        <f t="shared" ca="1" si="580"/>
        <v>0</v>
      </c>
      <c r="CB285" s="58">
        <f t="shared" ca="1" si="580"/>
        <v>0</v>
      </c>
      <c r="CC285" s="58">
        <f t="shared" ca="1" si="580"/>
        <v>0</v>
      </c>
      <c r="CD285" s="58">
        <f t="shared" ca="1" si="580"/>
        <v>0</v>
      </c>
      <c r="CE285" s="58">
        <f t="shared" ca="1" si="580"/>
        <v>0</v>
      </c>
      <c r="CF285" s="58">
        <f t="shared" ca="1" si="580"/>
        <v>0</v>
      </c>
      <c r="CG285" s="58">
        <f t="shared" ca="1" si="580"/>
        <v>0</v>
      </c>
      <c r="CH285" s="58">
        <f t="shared" ca="1" si="580"/>
        <v>0</v>
      </c>
      <c r="CI285" s="58">
        <f t="shared" ca="1" si="580"/>
        <v>0</v>
      </c>
      <c r="CJ285" s="58">
        <f t="shared" ca="1" si="580"/>
        <v>0</v>
      </c>
      <c r="CK285" s="58">
        <f t="shared" ca="1" si="580"/>
        <v>0</v>
      </c>
      <c r="CL285" s="58">
        <f t="shared" ca="1" si="580"/>
        <v>0</v>
      </c>
      <c r="CM285" s="58">
        <f t="shared" ca="1" si="580"/>
        <v>0</v>
      </c>
      <c r="CN285" s="58">
        <f t="shared" ca="1" si="580"/>
        <v>0</v>
      </c>
      <c r="CO285" s="58">
        <f t="shared" ca="1" si="580"/>
        <v>0</v>
      </c>
      <c r="CP285" s="58">
        <f t="shared" ca="1" si="580"/>
        <v>0</v>
      </c>
      <c r="CQ285" s="58">
        <f t="shared" ca="1" si="580"/>
        <v>0</v>
      </c>
      <c r="CR285" s="58">
        <f t="shared" ca="1" si="580"/>
        <v>0</v>
      </c>
      <c r="CS285" s="58">
        <f t="shared" ca="1" si="580"/>
        <v>0</v>
      </c>
      <c r="CT285" s="58">
        <f t="shared" ca="1" si="580"/>
        <v>0</v>
      </c>
      <c r="CU285" s="58">
        <f t="shared" ca="1" si="580"/>
        <v>0</v>
      </c>
      <c r="CV285" s="58">
        <f t="shared" ca="1" si="580"/>
        <v>0</v>
      </c>
      <c r="CW285" s="58">
        <f t="shared" ca="1" si="580"/>
        <v>0</v>
      </c>
      <c r="CX285" s="58">
        <f t="shared" ca="1" si="580"/>
        <v>0</v>
      </c>
      <c r="CY285" s="58">
        <f t="shared" ref="CY285:ED285" ca="1" si="581">+IF(OR($F285+CY$175&lt;1,(CY$176-1)*12&lt;-$F285),0,OFFSET(CY115,0,$F285))</f>
        <v>0</v>
      </c>
      <c r="CZ285" s="58">
        <f t="shared" ca="1" si="581"/>
        <v>0</v>
      </c>
      <c r="DA285" s="58">
        <f t="shared" ca="1" si="581"/>
        <v>0</v>
      </c>
      <c r="DB285" s="58">
        <f t="shared" ca="1" si="581"/>
        <v>0</v>
      </c>
      <c r="DC285" s="58">
        <f t="shared" ca="1" si="581"/>
        <v>0</v>
      </c>
      <c r="DD285" s="58">
        <f t="shared" ca="1" si="581"/>
        <v>0</v>
      </c>
      <c r="DE285" s="58">
        <f t="shared" ca="1" si="581"/>
        <v>0</v>
      </c>
      <c r="DF285" s="58">
        <f t="shared" ca="1" si="581"/>
        <v>0</v>
      </c>
      <c r="DG285" s="58">
        <f t="shared" ca="1" si="581"/>
        <v>0</v>
      </c>
      <c r="DH285" s="58">
        <f t="shared" ca="1" si="581"/>
        <v>0</v>
      </c>
      <c r="DI285" s="58">
        <f t="shared" ca="1" si="581"/>
        <v>0</v>
      </c>
      <c r="DJ285" s="58">
        <f t="shared" ca="1" si="581"/>
        <v>0</v>
      </c>
      <c r="DK285" s="58">
        <f t="shared" ca="1" si="581"/>
        <v>0</v>
      </c>
      <c r="DL285" s="58">
        <f t="shared" ca="1" si="581"/>
        <v>0</v>
      </c>
      <c r="DM285" s="58">
        <f t="shared" ca="1" si="581"/>
        <v>0</v>
      </c>
      <c r="DN285" s="58">
        <f t="shared" ca="1" si="581"/>
        <v>0</v>
      </c>
      <c r="DO285" s="58">
        <f t="shared" ca="1" si="581"/>
        <v>0</v>
      </c>
      <c r="DP285" s="58">
        <f t="shared" ca="1" si="581"/>
        <v>0</v>
      </c>
      <c r="DQ285" s="58">
        <f t="shared" ca="1" si="581"/>
        <v>0</v>
      </c>
      <c r="DR285" s="58">
        <f t="shared" ca="1" si="581"/>
        <v>0</v>
      </c>
      <c r="DS285" s="58">
        <f t="shared" ca="1" si="581"/>
        <v>0</v>
      </c>
      <c r="DT285" s="58">
        <f t="shared" ca="1" si="581"/>
        <v>0</v>
      </c>
      <c r="DU285" s="58">
        <f t="shared" ca="1" si="581"/>
        <v>0</v>
      </c>
      <c r="DV285" s="58">
        <f t="shared" ca="1" si="581"/>
        <v>0</v>
      </c>
      <c r="DW285" s="58">
        <f t="shared" ca="1" si="581"/>
        <v>0</v>
      </c>
      <c r="DX285" s="58">
        <f t="shared" ca="1" si="581"/>
        <v>0</v>
      </c>
      <c r="DY285" s="58">
        <f t="shared" ca="1" si="581"/>
        <v>0</v>
      </c>
      <c r="DZ285" s="58">
        <f t="shared" ca="1" si="581"/>
        <v>0</v>
      </c>
      <c r="EA285" s="58">
        <f t="shared" ca="1" si="581"/>
        <v>0</v>
      </c>
      <c r="EB285" s="58">
        <f t="shared" ca="1" si="581"/>
        <v>0</v>
      </c>
      <c r="EC285" s="58">
        <f t="shared" ca="1" si="581"/>
        <v>0</v>
      </c>
      <c r="ED285" s="58">
        <f t="shared" ca="1" si="581"/>
        <v>0</v>
      </c>
      <c r="EE285" s="58">
        <f t="shared" ref="EE285:FN285" ca="1" si="582">+IF(OR($F285+EE$175&lt;1,(EE$176-1)*12&lt;-$F285),0,OFFSET(EE115,0,$F285))</f>
        <v>0</v>
      </c>
      <c r="EF285" s="58">
        <f t="shared" ca="1" si="582"/>
        <v>0</v>
      </c>
      <c r="EG285" s="58">
        <f t="shared" ca="1" si="582"/>
        <v>0</v>
      </c>
      <c r="EH285" s="58">
        <f t="shared" ca="1" si="582"/>
        <v>0</v>
      </c>
      <c r="EI285" s="58">
        <f t="shared" ca="1" si="582"/>
        <v>0</v>
      </c>
      <c r="EJ285" s="58">
        <f t="shared" ca="1" si="582"/>
        <v>0</v>
      </c>
      <c r="EK285" s="58">
        <f t="shared" ca="1" si="582"/>
        <v>0</v>
      </c>
      <c r="EL285" s="58">
        <f t="shared" ca="1" si="582"/>
        <v>0</v>
      </c>
      <c r="EM285" s="58">
        <f t="shared" ca="1" si="582"/>
        <v>0</v>
      </c>
      <c r="EN285" s="58">
        <f t="shared" ca="1" si="582"/>
        <v>0</v>
      </c>
      <c r="EO285" s="58">
        <f t="shared" ca="1" si="582"/>
        <v>0</v>
      </c>
      <c r="EP285" s="58">
        <f t="shared" ca="1" si="582"/>
        <v>0</v>
      </c>
      <c r="EQ285" s="58">
        <f t="shared" ca="1" si="582"/>
        <v>0</v>
      </c>
      <c r="ER285" s="58">
        <f t="shared" ca="1" si="582"/>
        <v>0</v>
      </c>
      <c r="ES285" s="58">
        <f t="shared" ca="1" si="582"/>
        <v>0</v>
      </c>
      <c r="ET285" s="58">
        <f t="shared" ca="1" si="582"/>
        <v>0</v>
      </c>
      <c r="EU285" s="58">
        <f t="shared" ca="1" si="582"/>
        <v>0</v>
      </c>
      <c r="EV285" s="58">
        <f t="shared" ca="1" si="582"/>
        <v>0</v>
      </c>
      <c r="EW285" s="58">
        <f t="shared" ca="1" si="582"/>
        <v>0</v>
      </c>
      <c r="EX285" s="58">
        <f t="shared" ca="1" si="582"/>
        <v>0</v>
      </c>
      <c r="EY285" s="58">
        <f t="shared" ca="1" si="582"/>
        <v>0</v>
      </c>
      <c r="EZ285" s="58">
        <f t="shared" ca="1" si="582"/>
        <v>0</v>
      </c>
      <c r="FA285" s="58">
        <f t="shared" ca="1" si="582"/>
        <v>0</v>
      </c>
      <c r="FB285" s="58">
        <f t="shared" ca="1" si="582"/>
        <v>0</v>
      </c>
      <c r="FC285" s="58">
        <f t="shared" ca="1" si="582"/>
        <v>0</v>
      </c>
      <c r="FD285" s="58">
        <f t="shared" ca="1" si="582"/>
        <v>0</v>
      </c>
      <c r="FE285" s="58">
        <f t="shared" ca="1" si="582"/>
        <v>0</v>
      </c>
      <c r="FF285" s="58">
        <f t="shared" ca="1" si="582"/>
        <v>0</v>
      </c>
      <c r="FG285" s="58">
        <f t="shared" ca="1" si="582"/>
        <v>0</v>
      </c>
      <c r="FH285" s="58">
        <f t="shared" ca="1" si="582"/>
        <v>0</v>
      </c>
      <c r="FI285" s="58">
        <f t="shared" ca="1" si="582"/>
        <v>0</v>
      </c>
      <c r="FJ285" s="58">
        <f t="shared" ca="1" si="582"/>
        <v>0</v>
      </c>
      <c r="FK285" s="58">
        <f t="shared" ca="1" si="582"/>
        <v>0</v>
      </c>
      <c r="FL285" s="58">
        <f t="shared" ca="1" si="582"/>
        <v>0</v>
      </c>
      <c r="FM285" s="58">
        <f t="shared" ca="1" si="582"/>
        <v>0</v>
      </c>
      <c r="FN285" s="58">
        <f t="shared" ca="1" si="582"/>
        <v>0</v>
      </c>
      <c r="FO285" s="13"/>
    </row>
    <row r="286" spans="1:171" outlineLevel="1" x14ac:dyDescent="0.3">
      <c r="A286" s="13"/>
      <c r="B286" s="13"/>
      <c r="C286" s="13"/>
      <c r="D286" s="52">
        <f t="shared" si="520"/>
        <v>43466</v>
      </c>
      <c r="E286" s="53">
        <f t="shared" si="521"/>
        <v>2019</v>
      </c>
      <c r="F286" s="53">
        <f t="shared" si="522"/>
        <v>60</v>
      </c>
      <c r="G286" s="58">
        <f t="shared" ref="G286:AL286" ca="1" si="583">+IF(OR($F286+G$175&lt;1,(G$176-1)*12&lt;-$F286),0,OFFSET(G116,0,$F286))</f>
        <v>0</v>
      </c>
      <c r="H286" s="58">
        <f t="shared" ca="1" si="583"/>
        <v>0</v>
      </c>
      <c r="I286" s="58">
        <f t="shared" ca="1" si="583"/>
        <v>0</v>
      </c>
      <c r="J286" s="58">
        <f t="shared" ca="1" si="583"/>
        <v>0</v>
      </c>
      <c r="K286" s="58">
        <f t="shared" ca="1" si="583"/>
        <v>0</v>
      </c>
      <c r="L286" s="58">
        <f t="shared" ca="1" si="583"/>
        <v>0</v>
      </c>
      <c r="M286" s="58">
        <f t="shared" ca="1" si="583"/>
        <v>0</v>
      </c>
      <c r="N286" s="58">
        <f t="shared" ca="1" si="583"/>
        <v>0</v>
      </c>
      <c r="O286" s="58">
        <f t="shared" ca="1" si="583"/>
        <v>0</v>
      </c>
      <c r="P286" s="58">
        <f t="shared" ca="1" si="583"/>
        <v>0</v>
      </c>
      <c r="Q286" s="58">
        <f t="shared" ca="1" si="583"/>
        <v>0</v>
      </c>
      <c r="R286" s="58">
        <f t="shared" ca="1" si="583"/>
        <v>0</v>
      </c>
      <c r="S286" s="58">
        <f t="shared" ca="1" si="583"/>
        <v>0</v>
      </c>
      <c r="T286" s="58">
        <f t="shared" ca="1" si="583"/>
        <v>0</v>
      </c>
      <c r="U286" s="58">
        <f t="shared" ca="1" si="583"/>
        <v>0</v>
      </c>
      <c r="V286" s="58">
        <f t="shared" ca="1" si="583"/>
        <v>0</v>
      </c>
      <c r="W286" s="58">
        <f t="shared" ca="1" si="583"/>
        <v>0</v>
      </c>
      <c r="X286" s="58">
        <f t="shared" ca="1" si="583"/>
        <v>0</v>
      </c>
      <c r="Y286" s="58">
        <f t="shared" ca="1" si="583"/>
        <v>0</v>
      </c>
      <c r="Z286" s="58">
        <f t="shared" ca="1" si="583"/>
        <v>0</v>
      </c>
      <c r="AA286" s="58">
        <f t="shared" ca="1" si="583"/>
        <v>0</v>
      </c>
      <c r="AB286" s="58">
        <f t="shared" ca="1" si="583"/>
        <v>0</v>
      </c>
      <c r="AC286" s="58">
        <f t="shared" ca="1" si="583"/>
        <v>0</v>
      </c>
      <c r="AD286" s="58">
        <f t="shared" ca="1" si="583"/>
        <v>0</v>
      </c>
      <c r="AE286" s="58">
        <f t="shared" ca="1" si="583"/>
        <v>0</v>
      </c>
      <c r="AF286" s="58">
        <f t="shared" ca="1" si="583"/>
        <v>0</v>
      </c>
      <c r="AG286" s="58">
        <f t="shared" ca="1" si="583"/>
        <v>0</v>
      </c>
      <c r="AH286" s="58">
        <f t="shared" ca="1" si="583"/>
        <v>0</v>
      </c>
      <c r="AI286" s="58">
        <f t="shared" ca="1" si="583"/>
        <v>0</v>
      </c>
      <c r="AJ286" s="58">
        <f t="shared" ca="1" si="583"/>
        <v>0</v>
      </c>
      <c r="AK286" s="58">
        <f t="shared" ca="1" si="583"/>
        <v>0</v>
      </c>
      <c r="AL286" s="58">
        <f t="shared" ca="1" si="583"/>
        <v>0</v>
      </c>
      <c r="AM286" s="58">
        <f t="shared" ref="AM286:BR286" ca="1" si="584">+IF(OR($F286+AM$175&lt;1,(AM$176-1)*12&lt;-$F286),0,OFFSET(AM116,0,$F286))</f>
        <v>0</v>
      </c>
      <c r="AN286" s="58">
        <f t="shared" ca="1" si="584"/>
        <v>0</v>
      </c>
      <c r="AO286" s="58">
        <f t="shared" ca="1" si="584"/>
        <v>0</v>
      </c>
      <c r="AP286" s="58">
        <f t="shared" ca="1" si="584"/>
        <v>0</v>
      </c>
      <c r="AQ286" s="58">
        <f t="shared" ca="1" si="584"/>
        <v>0</v>
      </c>
      <c r="AR286" s="58">
        <f t="shared" ca="1" si="584"/>
        <v>0</v>
      </c>
      <c r="AS286" s="58">
        <f t="shared" ca="1" si="584"/>
        <v>0</v>
      </c>
      <c r="AT286" s="58">
        <f t="shared" ca="1" si="584"/>
        <v>0</v>
      </c>
      <c r="AU286" s="58">
        <f t="shared" ca="1" si="584"/>
        <v>0</v>
      </c>
      <c r="AV286" s="58">
        <f t="shared" ca="1" si="584"/>
        <v>0</v>
      </c>
      <c r="AW286" s="58">
        <f t="shared" ca="1" si="584"/>
        <v>0</v>
      </c>
      <c r="AX286" s="58">
        <f t="shared" ca="1" si="584"/>
        <v>0</v>
      </c>
      <c r="AY286" s="58">
        <f t="shared" ca="1" si="584"/>
        <v>0</v>
      </c>
      <c r="AZ286" s="58">
        <f t="shared" ca="1" si="584"/>
        <v>0</v>
      </c>
      <c r="BA286" s="58">
        <f t="shared" ca="1" si="584"/>
        <v>0</v>
      </c>
      <c r="BB286" s="58">
        <f t="shared" ca="1" si="584"/>
        <v>0</v>
      </c>
      <c r="BC286" s="58">
        <f t="shared" ca="1" si="584"/>
        <v>0</v>
      </c>
      <c r="BD286" s="58">
        <f t="shared" ca="1" si="584"/>
        <v>0</v>
      </c>
      <c r="BE286" s="58">
        <f t="shared" ca="1" si="584"/>
        <v>0</v>
      </c>
      <c r="BF286" s="58">
        <f t="shared" ca="1" si="584"/>
        <v>0</v>
      </c>
      <c r="BG286" s="58">
        <f t="shared" ca="1" si="584"/>
        <v>0</v>
      </c>
      <c r="BH286" s="58">
        <f t="shared" ca="1" si="584"/>
        <v>0</v>
      </c>
      <c r="BI286" s="58">
        <f t="shared" ca="1" si="584"/>
        <v>0</v>
      </c>
      <c r="BJ286" s="58">
        <f t="shared" ca="1" si="584"/>
        <v>0</v>
      </c>
      <c r="BK286" s="58">
        <f t="shared" ca="1" si="584"/>
        <v>0</v>
      </c>
      <c r="BL286" s="58">
        <f t="shared" ca="1" si="584"/>
        <v>0</v>
      </c>
      <c r="BM286" s="58">
        <f t="shared" ca="1" si="584"/>
        <v>0</v>
      </c>
      <c r="BN286" s="58">
        <f t="shared" ca="1" si="584"/>
        <v>0</v>
      </c>
      <c r="BO286" s="58">
        <f t="shared" ca="1" si="584"/>
        <v>0</v>
      </c>
      <c r="BP286" s="58">
        <f t="shared" ca="1" si="584"/>
        <v>0</v>
      </c>
      <c r="BQ286" s="58">
        <f t="shared" ca="1" si="584"/>
        <v>0</v>
      </c>
      <c r="BR286" s="58">
        <f t="shared" ca="1" si="584"/>
        <v>0</v>
      </c>
      <c r="BS286" s="58">
        <f t="shared" ref="BS286:CX286" ca="1" si="585">+IF(OR($F286+BS$175&lt;1,(BS$176-1)*12&lt;-$F286),0,OFFSET(BS116,0,$F286))</f>
        <v>0</v>
      </c>
      <c r="BT286" s="58">
        <f t="shared" ca="1" si="585"/>
        <v>0</v>
      </c>
      <c r="BU286" s="58">
        <f t="shared" ca="1" si="585"/>
        <v>0</v>
      </c>
      <c r="BV286" s="58">
        <f t="shared" ca="1" si="585"/>
        <v>0</v>
      </c>
      <c r="BW286" s="58">
        <f t="shared" ca="1" si="585"/>
        <v>0</v>
      </c>
      <c r="BX286" s="58">
        <f t="shared" ca="1" si="585"/>
        <v>0</v>
      </c>
      <c r="BY286" s="58">
        <f t="shared" ca="1" si="585"/>
        <v>0</v>
      </c>
      <c r="BZ286" s="58">
        <f t="shared" ca="1" si="585"/>
        <v>0</v>
      </c>
      <c r="CA286" s="58">
        <f t="shared" ca="1" si="585"/>
        <v>0</v>
      </c>
      <c r="CB286" s="58">
        <f t="shared" ca="1" si="585"/>
        <v>0</v>
      </c>
      <c r="CC286" s="58">
        <f t="shared" ca="1" si="585"/>
        <v>0</v>
      </c>
      <c r="CD286" s="58">
        <f t="shared" ca="1" si="585"/>
        <v>0</v>
      </c>
      <c r="CE286" s="58">
        <f t="shared" ca="1" si="585"/>
        <v>0</v>
      </c>
      <c r="CF286" s="58">
        <f t="shared" ca="1" si="585"/>
        <v>0</v>
      </c>
      <c r="CG286" s="58">
        <f t="shared" ca="1" si="585"/>
        <v>0</v>
      </c>
      <c r="CH286" s="58">
        <f t="shared" ca="1" si="585"/>
        <v>0</v>
      </c>
      <c r="CI286" s="58">
        <f t="shared" ca="1" si="585"/>
        <v>0</v>
      </c>
      <c r="CJ286" s="58">
        <f t="shared" ca="1" si="585"/>
        <v>0</v>
      </c>
      <c r="CK286" s="58">
        <f t="shared" ca="1" si="585"/>
        <v>0</v>
      </c>
      <c r="CL286" s="58">
        <f t="shared" ca="1" si="585"/>
        <v>0</v>
      </c>
      <c r="CM286" s="58">
        <f t="shared" ca="1" si="585"/>
        <v>0</v>
      </c>
      <c r="CN286" s="58">
        <f t="shared" ca="1" si="585"/>
        <v>0</v>
      </c>
      <c r="CO286" s="58">
        <f t="shared" ca="1" si="585"/>
        <v>0</v>
      </c>
      <c r="CP286" s="58">
        <f t="shared" ca="1" si="585"/>
        <v>0</v>
      </c>
      <c r="CQ286" s="58">
        <f t="shared" ca="1" si="585"/>
        <v>0</v>
      </c>
      <c r="CR286" s="58">
        <f t="shared" ca="1" si="585"/>
        <v>0</v>
      </c>
      <c r="CS286" s="58">
        <f t="shared" ca="1" si="585"/>
        <v>0</v>
      </c>
      <c r="CT286" s="58">
        <f t="shared" ca="1" si="585"/>
        <v>0</v>
      </c>
      <c r="CU286" s="58">
        <f t="shared" ca="1" si="585"/>
        <v>0</v>
      </c>
      <c r="CV286" s="58">
        <f t="shared" ca="1" si="585"/>
        <v>0</v>
      </c>
      <c r="CW286" s="58">
        <f t="shared" ca="1" si="585"/>
        <v>0</v>
      </c>
      <c r="CX286" s="58">
        <f t="shared" ca="1" si="585"/>
        <v>0</v>
      </c>
      <c r="CY286" s="58">
        <f t="shared" ref="CY286:ED286" ca="1" si="586">+IF(OR($F286+CY$175&lt;1,(CY$176-1)*12&lt;-$F286),0,OFFSET(CY116,0,$F286))</f>
        <v>0</v>
      </c>
      <c r="CZ286" s="58">
        <f t="shared" ca="1" si="586"/>
        <v>0</v>
      </c>
      <c r="DA286" s="58">
        <f t="shared" ca="1" si="586"/>
        <v>0</v>
      </c>
      <c r="DB286" s="58">
        <f t="shared" ca="1" si="586"/>
        <v>0</v>
      </c>
      <c r="DC286" s="58">
        <f t="shared" ca="1" si="586"/>
        <v>0</v>
      </c>
      <c r="DD286" s="58">
        <f t="shared" ca="1" si="586"/>
        <v>0</v>
      </c>
      <c r="DE286" s="58">
        <f t="shared" ca="1" si="586"/>
        <v>0</v>
      </c>
      <c r="DF286" s="58">
        <f t="shared" ca="1" si="586"/>
        <v>0</v>
      </c>
      <c r="DG286" s="58">
        <f t="shared" ca="1" si="586"/>
        <v>0</v>
      </c>
      <c r="DH286" s="58">
        <f t="shared" ca="1" si="586"/>
        <v>0</v>
      </c>
      <c r="DI286" s="58">
        <f t="shared" ca="1" si="586"/>
        <v>0</v>
      </c>
      <c r="DJ286" s="58">
        <f t="shared" ca="1" si="586"/>
        <v>0</v>
      </c>
      <c r="DK286" s="58">
        <f t="shared" ca="1" si="586"/>
        <v>0</v>
      </c>
      <c r="DL286" s="58">
        <f t="shared" ca="1" si="586"/>
        <v>0</v>
      </c>
      <c r="DM286" s="58">
        <f t="shared" ca="1" si="586"/>
        <v>0</v>
      </c>
      <c r="DN286" s="58">
        <f t="shared" ca="1" si="586"/>
        <v>0</v>
      </c>
      <c r="DO286" s="58">
        <f t="shared" ca="1" si="586"/>
        <v>0</v>
      </c>
      <c r="DP286" s="58">
        <f t="shared" ca="1" si="586"/>
        <v>0</v>
      </c>
      <c r="DQ286" s="58">
        <f t="shared" ca="1" si="586"/>
        <v>0</v>
      </c>
      <c r="DR286" s="58">
        <f t="shared" ca="1" si="586"/>
        <v>0</v>
      </c>
      <c r="DS286" s="58">
        <f t="shared" ca="1" si="586"/>
        <v>0</v>
      </c>
      <c r="DT286" s="58">
        <f t="shared" ca="1" si="586"/>
        <v>0</v>
      </c>
      <c r="DU286" s="58">
        <f t="shared" ca="1" si="586"/>
        <v>0</v>
      </c>
      <c r="DV286" s="58">
        <f t="shared" ca="1" si="586"/>
        <v>0</v>
      </c>
      <c r="DW286" s="58">
        <f t="shared" ca="1" si="586"/>
        <v>0</v>
      </c>
      <c r="DX286" s="58">
        <f t="shared" ca="1" si="586"/>
        <v>0</v>
      </c>
      <c r="DY286" s="58">
        <f t="shared" ca="1" si="586"/>
        <v>0</v>
      </c>
      <c r="DZ286" s="58">
        <f t="shared" ca="1" si="586"/>
        <v>0</v>
      </c>
      <c r="EA286" s="58">
        <f t="shared" ca="1" si="586"/>
        <v>0</v>
      </c>
      <c r="EB286" s="58">
        <f t="shared" ca="1" si="586"/>
        <v>0</v>
      </c>
      <c r="EC286" s="58">
        <f t="shared" ca="1" si="586"/>
        <v>0</v>
      </c>
      <c r="ED286" s="58">
        <f t="shared" ca="1" si="586"/>
        <v>0</v>
      </c>
      <c r="EE286" s="58">
        <f t="shared" ref="EE286:FN286" ca="1" si="587">+IF(OR($F286+EE$175&lt;1,(EE$176-1)*12&lt;-$F286),0,OFFSET(EE116,0,$F286))</f>
        <v>0</v>
      </c>
      <c r="EF286" s="58">
        <f t="shared" ca="1" si="587"/>
        <v>0</v>
      </c>
      <c r="EG286" s="58">
        <f t="shared" ca="1" si="587"/>
        <v>0</v>
      </c>
      <c r="EH286" s="58">
        <f t="shared" ca="1" si="587"/>
        <v>0</v>
      </c>
      <c r="EI286" s="58">
        <f t="shared" ca="1" si="587"/>
        <v>0</v>
      </c>
      <c r="EJ286" s="58">
        <f t="shared" ca="1" si="587"/>
        <v>0</v>
      </c>
      <c r="EK286" s="58">
        <f t="shared" ca="1" si="587"/>
        <v>0</v>
      </c>
      <c r="EL286" s="58">
        <f t="shared" ca="1" si="587"/>
        <v>0</v>
      </c>
      <c r="EM286" s="58">
        <f t="shared" ca="1" si="587"/>
        <v>0</v>
      </c>
      <c r="EN286" s="58">
        <f t="shared" ca="1" si="587"/>
        <v>0</v>
      </c>
      <c r="EO286" s="58">
        <f t="shared" ca="1" si="587"/>
        <v>0</v>
      </c>
      <c r="EP286" s="58">
        <f t="shared" ca="1" si="587"/>
        <v>0</v>
      </c>
      <c r="EQ286" s="58">
        <f t="shared" ca="1" si="587"/>
        <v>0</v>
      </c>
      <c r="ER286" s="58">
        <f t="shared" ca="1" si="587"/>
        <v>0</v>
      </c>
      <c r="ES286" s="58">
        <f t="shared" ca="1" si="587"/>
        <v>0</v>
      </c>
      <c r="ET286" s="58">
        <f t="shared" ca="1" si="587"/>
        <v>0</v>
      </c>
      <c r="EU286" s="58">
        <f t="shared" ca="1" si="587"/>
        <v>0</v>
      </c>
      <c r="EV286" s="58">
        <f t="shared" ca="1" si="587"/>
        <v>0</v>
      </c>
      <c r="EW286" s="58">
        <f t="shared" ca="1" si="587"/>
        <v>0</v>
      </c>
      <c r="EX286" s="58">
        <f t="shared" ca="1" si="587"/>
        <v>0</v>
      </c>
      <c r="EY286" s="58">
        <f t="shared" ca="1" si="587"/>
        <v>0</v>
      </c>
      <c r="EZ286" s="58">
        <f t="shared" ca="1" si="587"/>
        <v>0</v>
      </c>
      <c r="FA286" s="58">
        <f t="shared" ca="1" si="587"/>
        <v>0</v>
      </c>
      <c r="FB286" s="58">
        <f t="shared" ca="1" si="587"/>
        <v>0</v>
      </c>
      <c r="FC286" s="58">
        <f t="shared" ca="1" si="587"/>
        <v>0</v>
      </c>
      <c r="FD286" s="58">
        <f t="shared" ca="1" si="587"/>
        <v>0</v>
      </c>
      <c r="FE286" s="58">
        <f t="shared" ca="1" si="587"/>
        <v>0</v>
      </c>
      <c r="FF286" s="58">
        <f t="shared" ca="1" si="587"/>
        <v>0</v>
      </c>
      <c r="FG286" s="58">
        <f t="shared" ca="1" si="587"/>
        <v>0</v>
      </c>
      <c r="FH286" s="58">
        <f t="shared" ca="1" si="587"/>
        <v>0</v>
      </c>
      <c r="FI286" s="58">
        <f t="shared" ca="1" si="587"/>
        <v>0</v>
      </c>
      <c r="FJ286" s="58">
        <f t="shared" ca="1" si="587"/>
        <v>0</v>
      </c>
      <c r="FK286" s="58">
        <f t="shared" ca="1" si="587"/>
        <v>0</v>
      </c>
      <c r="FL286" s="58">
        <f t="shared" ca="1" si="587"/>
        <v>0</v>
      </c>
      <c r="FM286" s="58">
        <f t="shared" ca="1" si="587"/>
        <v>0</v>
      </c>
      <c r="FN286" s="58">
        <f t="shared" ca="1" si="587"/>
        <v>0</v>
      </c>
      <c r="FO286" s="13"/>
    </row>
    <row r="287" spans="1:171" outlineLevel="1" x14ac:dyDescent="0.3">
      <c r="A287" s="13"/>
      <c r="B287" s="13"/>
      <c r="C287" s="13"/>
      <c r="D287" s="52">
        <f t="shared" si="520"/>
        <v>43497</v>
      </c>
      <c r="E287" s="53">
        <f t="shared" si="521"/>
        <v>2019</v>
      </c>
      <c r="F287" s="53">
        <f t="shared" si="522"/>
        <v>61</v>
      </c>
      <c r="G287" s="58">
        <f t="shared" ref="G287:AL287" ca="1" si="588">+IF(OR($F287+G$175&lt;1,(G$176-1)*12&lt;-$F287),0,OFFSET(G117,0,$F287))</f>
        <v>0</v>
      </c>
      <c r="H287" s="58">
        <f t="shared" ca="1" si="588"/>
        <v>0</v>
      </c>
      <c r="I287" s="58">
        <f t="shared" ca="1" si="588"/>
        <v>0</v>
      </c>
      <c r="J287" s="58">
        <f t="shared" ca="1" si="588"/>
        <v>0</v>
      </c>
      <c r="K287" s="58">
        <f t="shared" ca="1" si="588"/>
        <v>0</v>
      </c>
      <c r="L287" s="58">
        <f t="shared" ca="1" si="588"/>
        <v>0</v>
      </c>
      <c r="M287" s="58">
        <f t="shared" ca="1" si="588"/>
        <v>0</v>
      </c>
      <c r="N287" s="58">
        <f t="shared" ca="1" si="588"/>
        <v>0</v>
      </c>
      <c r="O287" s="58">
        <f t="shared" ca="1" si="588"/>
        <v>0</v>
      </c>
      <c r="P287" s="58">
        <f t="shared" ca="1" si="588"/>
        <v>0</v>
      </c>
      <c r="Q287" s="58">
        <f t="shared" ca="1" si="588"/>
        <v>0</v>
      </c>
      <c r="R287" s="58">
        <f t="shared" ca="1" si="588"/>
        <v>0</v>
      </c>
      <c r="S287" s="58">
        <f t="shared" ca="1" si="588"/>
        <v>0</v>
      </c>
      <c r="T287" s="58">
        <f t="shared" ca="1" si="588"/>
        <v>0</v>
      </c>
      <c r="U287" s="58">
        <f t="shared" ca="1" si="588"/>
        <v>0</v>
      </c>
      <c r="V287" s="58">
        <f t="shared" ca="1" si="588"/>
        <v>0</v>
      </c>
      <c r="W287" s="58">
        <f t="shared" ca="1" si="588"/>
        <v>0</v>
      </c>
      <c r="X287" s="58">
        <f t="shared" ca="1" si="588"/>
        <v>0</v>
      </c>
      <c r="Y287" s="58">
        <f t="shared" ca="1" si="588"/>
        <v>0</v>
      </c>
      <c r="Z287" s="58">
        <f t="shared" ca="1" si="588"/>
        <v>0</v>
      </c>
      <c r="AA287" s="58">
        <f t="shared" ca="1" si="588"/>
        <v>0</v>
      </c>
      <c r="AB287" s="58">
        <f t="shared" ca="1" si="588"/>
        <v>0</v>
      </c>
      <c r="AC287" s="58">
        <f t="shared" ca="1" si="588"/>
        <v>0</v>
      </c>
      <c r="AD287" s="58">
        <f t="shared" ca="1" si="588"/>
        <v>0</v>
      </c>
      <c r="AE287" s="58">
        <f t="shared" ca="1" si="588"/>
        <v>0</v>
      </c>
      <c r="AF287" s="58">
        <f t="shared" ca="1" si="588"/>
        <v>0</v>
      </c>
      <c r="AG287" s="58">
        <f t="shared" ca="1" si="588"/>
        <v>0</v>
      </c>
      <c r="AH287" s="58">
        <f t="shared" ca="1" si="588"/>
        <v>0</v>
      </c>
      <c r="AI287" s="58">
        <f t="shared" ca="1" si="588"/>
        <v>0</v>
      </c>
      <c r="AJ287" s="58">
        <f t="shared" ca="1" si="588"/>
        <v>0</v>
      </c>
      <c r="AK287" s="58">
        <f t="shared" ca="1" si="588"/>
        <v>0</v>
      </c>
      <c r="AL287" s="58">
        <f t="shared" ca="1" si="588"/>
        <v>0</v>
      </c>
      <c r="AM287" s="58">
        <f t="shared" ref="AM287:BR287" ca="1" si="589">+IF(OR($F287+AM$175&lt;1,(AM$176-1)*12&lt;-$F287),0,OFFSET(AM117,0,$F287))</f>
        <v>0</v>
      </c>
      <c r="AN287" s="58">
        <f t="shared" ca="1" si="589"/>
        <v>0</v>
      </c>
      <c r="AO287" s="58">
        <f t="shared" ca="1" si="589"/>
        <v>0</v>
      </c>
      <c r="AP287" s="58">
        <f t="shared" ca="1" si="589"/>
        <v>0</v>
      </c>
      <c r="AQ287" s="58">
        <f t="shared" ca="1" si="589"/>
        <v>0</v>
      </c>
      <c r="AR287" s="58">
        <f t="shared" ca="1" si="589"/>
        <v>0</v>
      </c>
      <c r="AS287" s="58">
        <f t="shared" ca="1" si="589"/>
        <v>0</v>
      </c>
      <c r="AT287" s="58">
        <f t="shared" ca="1" si="589"/>
        <v>0</v>
      </c>
      <c r="AU287" s="58">
        <f t="shared" ca="1" si="589"/>
        <v>0</v>
      </c>
      <c r="AV287" s="58">
        <f t="shared" ca="1" si="589"/>
        <v>0</v>
      </c>
      <c r="AW287" s="58">
        <f t="shared" ca="1" si="589"/>
        <v>0</v>
      </c>
      <c r="AX287" s="58">
        <f t="shared" ca="1" si="589"/>
        <v>0</v>
      </c>
      <c r="AY287" s="58">
        <f t="shared" ca="1" si="589"/>
        <v>0</v>
      </c>
      <c r="AZ287" s="58">
        <f t="shared" ca="1" si="589"/>
        <v>0</v>
      </c>
      <c r="BA287" s="58">
        <f t="shared" ca="1" si="589"/>
        <v>0</v>
      </c>
      <c r="BB287" s="58">
        <f t="shared" ca="1" si="589"/>
        <v>0</v>
      </c>
      <c r="BC287" s="58">
        <f t="shared" ca="1" si="589"/>
        <v>0</v>
      </c>
      <c r="BD287" s="58">
        <f t="shared" ca="1" si="589"/>
        <v>0</v>
      </c>
      <c r="BE287" s="58">
        <f t="shared" ca="1" si="589"/>
        <v>0</v>
      </c>
      <c r="BF287" s="58">
        <f t="shared" ca="1" si="589"/>
        <v>0</v>
      </c>
      <c r="BG287" s="58">
        <f t="shared" ca="1" si="589"/>
        <v>0</v>
      </c>
      <c r="BH287" s="58">
        <f t="shared" ca="1" si="589"/>
        <v>0</v>
      </c>
      <c r="BI287" s="58">
        <f t="shared" ca="1" si="589"/>
        <v>0</v>
      </c>
      <c r="BJ287" s="58">
        <f t="shared" ca="1" si="589"/>
        <v>0</v>
      </c>
      <c r="BK287" s="58">
        <f t="shared" ca="1" si="589"/>
        <v>0</v>
      </c>
      <c r="BL287" s="58">
        <f t="shared" ca="1" si="589"/>
        <v>0</v>
      </c>
      <c r="BM287" s="58">
        <f t="shared" ca="1" si="589"/>
        <v>0</v>
      </c>
      <c r="BN287" s="58">
        <f t="shared" ca="1" si="589"/>
        <v>0</v>
      </c>
      <c r="BO287" s="58">
        <f t="shared" ca="1" si="589"/>
        <v>0</v>
      </c>
      <c r="BP287" s="58">
        <f t="shared" ca="1" si="589"/>
        <v>0</v>
      </c>
      <c r="BQ287" s="58">
        <f t="shared" ca="1" si="589"/>
        <v>0</v>
      </c>
      <c r="BR287" s="58">
        <f t="shared" ca="1" si="589"/>
        <v>0</v>
      </c>
      <c r="BS287" s="58">
        <f t="shared" ref="BS287:CX287" ca="1" si="590">+IF(OR($F287+BS$175&lt;1,(BS$176-1)*12&lt;-$F287),0,OFFSET(BS117,0,$F287))</f>
        <v>0</v>
      </c>
      <c r="BT287" s="58">
        <f t="shared" ca="1" si="590"/>
        <v>0</v>
      </c>
      <c r="BU287" s="58">
        <f t="shared" ca="1" si="590"/>
        <v>0</v>
      </c>
      <c r="BV287" s="58">
        <f t="shared" ca="1" si="590"/>
        <v>0</v>
      </c>
      <c r="BW287" s="58">
        <f t="shared" ca="1" si="590"/>
        <v>0</v>
      </c>
      <c r="BX287" s="58">
        <f t="shared" ca="1" si="590"/>
        <v>0</v>
      </c>
      <c r="BY287" s="58">
        <f t="shared" ca="1" si="590"/>
        <v>0</v>
      </c>
      <c r="BZ287" s="58">
        <f t="shared" ca="1" si="590"/>
        <v>0</v>
      </c>
      <c r="CA287" s="58">
        <f t="shared" ca="1" si="590"/>
        <v>0</v>
      </c>
      <c r="CB287" s="58">
        <f t="shared" ca="1" si="590"/>
        <v>0</v>
      </c>
      <c r="CC287" s="58">
        <f t="shared" ca="1" si="590"/>
        <v>0</v>
      </c>
      <c r="CD287" s="58">
        <f t="shared" ca="1" si="590"/>
        <v>0</v>
      </c>
      <c r="CE287" s="58">
        <f t="shared" ca="1" si="590"/>
        <v>0</v>
      </c>
      <c r="CF287" s="58">
        <f t="shared" ca="1" si="590"/>
        <v>0</v>
      </c>
      <c r="CG287" s="58">
        <f t="shared" ca="1" si="590"/>
        <v>0</v>
      </c>
      <c r="CH287" s="58">
        <f t="shared" ca="1" si="590"/>
        <v>0</v>
      </c>
      <c r="CI287" s="58">
        <f t="shared" ca="1" si="590"/>
        <v>0</v>
      </c>
      <c r="CJ287" s="58">
        <f t="shared" ca="1" si="590"/>
        <v>0</v>
      </c>
      <c r="CK287" s="58">
        <f t="shared" ca="1" si="590"/>
        <v>0</v>
      </c>
      <c r="CL287" s="58">
        <f t="shared" ca="1" si="590"/>
        <v>0</v>
      </c>
      <c r="CM287" s="58">
        <f t="shared" ca="1" si="590"/>
        <v>0</v>
      </c>
      <c r="CN287" s="58">
        <f t="shared" ca="1" si="590"/>
        <v>0</v>
      </c>
      <c r="CO287" s="58">
        <f t="shared" ca="1" si="590"/>
        <v>0</v>
      </c>
      <c r="CP287" s="58">
        <f t="shared" ca="1" si="590"/>
        <v>0</v>
      </c>
      <c r="CQ287" s="58">
        <f t="shared" ca="1" si="590"/>
        <v>0</v>
      </c>
      <c r="CR287" s="58">
        <f t="shared" ca="1" si="590"/>
        <v>0</v>
      </c>
      <c r="CS287" s="58">
        <f t="shared" ca="1" si="590"/>
        <v>0</v>
      </c>
      <c r="CT287" s="58">
        <f t="shared" ca="1" si="590"/>
        <v>0</v>
      </c>
      <c r="CU287" s="58">
        <f t="shared" ca="1" si="590"/>
        <v>0</v>
      </c>
      <c r="CV287" s="58">
        <f t="shared" ca="1" si="590"/>
        <v>0</v>
      </c>
      <c r="CW287" s="58">
        <f t="shared" ca="1" si="590"/>
        <v>0</v>
      </c>
      <c r="CX287" s="58">
        <f t="shared" ca="1" si="590"/>
        <v>0</v>
      </c>
      <c r="CY287" s="58">
        <f t="shared" ref="CY287:ED287" ca="1" si="591">+IF(OR($F287+CY$175&lt;1,(CY$176-1)*12&lt;-$F287),0,OFFSET(CY117,0,$F287))</f>
        <v>0</v>
      </c>
      <c r="CZ287" s="58">
        <f t="shared" ca="1" si="591"/>
        <v>0</v>
      </c>
      <c r="DA287" s="58">
        <f t="shared" ca="1" si="591"/>
        <v>0</v>
      </c>
      <c r="DB287" s="58">
        <f t="shared" ca="1" si="591"/>
        <v>0</v>
      </c>
      <c r="DC287" s="58">
        <f t="shared" ca="1" si="591"/>
        <v>0</v>
      </c>
      <c r="DD287" s="58">
        <f t="shared" ca="1" si="591"/>
        <v>0</v>
      </c>
      <c r="DE287" s="58">
        <f t="shared" ca="1" si="591"/>
        <v>0</v>
      </c>
      <c r="DF287" s="58">
        <f t="shared" ca="1" si="591"/>
        <v>0</v>
      </c>
      <c r="DG287" s="58">
        <f t="shared" ca="1" si="591"/>
        <v>0</v>
      </c>
      <c r="DH287" s="58">
        <f t="shared" ca="1" si="591"/>
        <v>0</v>
      </c>
      <c r="DI287" s="58">
        <f t="shared" ca="1" si="591"/>
        <v>0</v>
      </c>
      <c r="DJ287" s="58">
        <f t="shared" ca="1" si="591"/>
        <v>0</v>
      </c>
      <c r="DK287" s="58">
        <f t="shared" ca="1" si="591"/>
        <v>0</v>
      </c>
      <c r="DL287" s="58">
        <f t="shared" ca="1" si="591"/>
        <v>0</v>
      </c>
      <c r="DM287" s="58">
        <f t="shared" ca="1" si="591"/>
        <v>0</v>
      </c>
      <c r="DN287" s="58">
        <f t="shared" ca="1" si="591"/>
        <v>0</v>
      </c>
      <c r="DO287" s="58">
        <f t="shared" ca="1" si="591"/>
        <v>0</v>
      </c>
      <c r="DP287" s="58">
        <f t="shared" ca="1" si="591"/>
        <v>0</v>
      </c>
      <c r="DQ287" s="58">
        <f t="shared" ca="1" si="591"/>
        <v>0</v>
      </c>
      <c r="DR287" s="58">
        <f t="shared" ca="1" si="591"/>
        <v>0</v>
      </c>
      <c r="DS287" s="58">
        <f t="shared" ca="1" si="591"/>
        <v>0</v>
      </c>
      <c r="DT287" s="58">
        <f t="shared" ca="1" si="591"/>
        <v>0</v>
      </c>
      <c r="DU287" s="58">
        <f t="shared" ca="1" si="591"/>
        <v>0</v>
      </c>
      <c r="DV287" s="58">
        <f t="shared" ca="1" si="591"/>
        <v>0</v>
      </c>
      <c r="DW287" s="58">
        <f t="shared" ca="1" si="591"/>
        <v>0</v>
      </c>
      <c r="DX287" s="58">
        <f t="shared" ca="1" si="591"/>
        <v>0</v>
      </c>
      <c r="DY287" s="58">
        <f t="shared" ca="1" si="591"/>
        <v>0</v>
      </c>
      <c r="DZ287" s="58">
        <f t="shared" ca="1" si="591"/>
        <v>0</v>
      </c>
      <c r="EA287" s="58">
        <f t="shared" ca="1" si="591"/>
        <v>0</v>
      </c>
      <c r="EB287" s="58">
        <f t="shared" ca="1" si="591"/>
        <v>0</v>
      </c>
      <c r="EC287" s="58">
        <f t="shared" ca="1" si="591"/>
        <v>0</v>
      </c>
      <c r="ED287" s="58">
        <f t="shared" ca="1" si="591"/>
        <v>0</v>
      </c>
      <c r="EE287" s="58">
        <f t="shared" ref="EE287:FN287" ca="1" si="592">+IF(OR($F287+EE$175&lt;1,(EE$176-1)*12&lt;-$F287),0,OFFSET(EE117,0,$F287))</f>
        <v>0</v>
      </c>
      <c r="EF287" s="58">
        <f t="shared" ca="1" si="592"/>
        <v>0</v>
      </c>
      <c r="EG287" s="58">
        <f t="shared" ca="1" si="592"/>
        <v>0</v>
      </c>
      <c r="EH287" s="58">
        <f t="shared" ca="1" si="592"/>
        <v>0</v>
      </c>
      <c r="EI287" s="58">
        <f t="shared" ca="1" si="592"/>
        <v>0</v>
      </c>
      <c r="EJ287" s="58">
        <f t="shared" ca="1" si="592"/>
        <v>0</v>
      </c>
      <c r="EK287" s="58">
        <f t="shared" ca="1" si="592"/>
        <v>0</v>
      </c>
      <c r="EL287" s="58">
        <f t="shared" ca="1" si="592"/>
        <v>0</v>
      </c>
      <c r="EM287" s="58">
        <f t="shared" ca="1" si="592"/>
        <v>0</v>
      </c>
      <c r="EN287" s="58">
        <f t="shared" ca="1" si="592"/>
        <v>0</v>
      </c>
      <c r="EO287" s="58">
        <f t="shared" ca="1" si="592"/>
        <v>0</v>
      </c>
      <c r="EP287" s="58">
        <f t="shared" ca="1" si="592"/>
        <v>0</v>
      </c>
      <c r="EQ287" s="58">
        <f t="shared" ca="1" si="592"/>
        <v>0</v>
      </c>
      <c r="ER287" s="58">
        <f t="shared" ca="1" si="592"/>
        <v>0</v>
      </c>
      <c r="ES287" s="58">
        <f t="shared" ca="1" si="592"/>
        <v>0</v>
      </c>
      <c r="ET287" s="58">
        <f t="shared" ca="1" si="592"/>
        <v>0</v>
      </c>
      <c r="EU287" s="58">
        <f t="shared" ca="1" si="592"/>
        <v>0</v>
      </c>
      <c r="EV287" s="58">
        <f t="shared" ca="1" si="592"/>
        <v>0</v>
      </c>
      <c r="EW287" s="58">
        <f t="shared" ca="1" si="592"/>
        <v>0</v>
      </c>
      <c r="EX287" s="58">
        <f t="shared" ca="1" si="592"/>
        <v>0</v>
      </c>
      <c r="EY287" s="58">
        <f t="shared" ca="1" si="592"/>
        <v>0</v>
      </c>
      <c r="EZ287" s="58">
        <f t="shared" ca="1" si="592"/>
        <v>0</v>
      </c>
      <c r="FA287" s="58">
        <f t="shared" ca="1" si="592"/>
        <v>0</v>
      </c>
      <c r="FB287" s="58">
        <f t="shared" ca="1" si="592"/>
        <v>0</v>
      </c>
      <c r="FC287" s="58">
        <f t="shared" ca="1" si="592"/>
        <v>0</v>
      </c>
      <c r="FD287" s="58">
        <f t="shared" ca="1" si="592"/>
        <v>0</v>
      </c>
      <c r="FE287" s="58">
        <f t="shared" ca="1" si="592"/>
        <v>0</v>
      </c>
      <c r="FF287" s="58">
        <f t="shared" ca="1" si="592"/>
        <v>0</v>
      </c>
      <c r="FG287" s="58">
        <f t="shared" ca="1" si="592"/>
        <v>0</v>
      </c>
      <c r="FH287" s="58">
        <f t="shared" ca="1" si="592"/>
        <v>0</v>
      </c>
      <c r="FI287" s="58">
        <f t="shared" ca="1" si="592"/>
        <v>0</v>
      </c>
      <c r="FJ287" s="58">
        <f t="shared" ca="1" si="592"/>
        <v>0</v>
      </c>
      <c r="FK287" s="58">
        <f t="shared" ca="1" si="592"/>
        <v>0</v>
      </c>
      <c r="FL287" s="58">
        <f t="shared" ca="1" si="592"/>
        <v>0</v>
      </c>
      <c r="FM287" s="58">
        <f t="shared" ca="1" si="592"/>
        <v>0</v>
      </c>
      <c r="FN287" s="58">
        <f t="shared" ca="1" si="592"/>
        <v>0</v>
      </c>
      <c r="FO287" s="13"/>
    </row>
    <row r="288" spans="1:171" outlineLevel="1" x14ac:dyDescent="0.3">
      <c r="A288" s="13"/>
      <c r="B288" s="13"/>
      <c r="C288" s="13"/>
      <c r="D288" s="52">
        <f t="shared" si="520"/>
        <v>43525</v>
      </c>
      <c r="E288" s="53">
        <f t="shared" si="521"/>
        <v>2019</v>
      </c>
      <c r="F288" s="53">
        <f t="shared" si="522"/>
        <v>62</v>
      </c>
      <c r="G288" s="58">
        <f t="shared" ref="G288:AL288" ca="1" si="593">+IF(OR($F288+G$175&lt;1,(G$176-1)*12&lt;-$F288),0,OFFSET(G118,0,$F288))</f>
        <v>0</v>
      </c>
      <c r="H288" s="58">
        <f t="shared" ca="1" si="593"/>
        <v>0</v>
      </c>
      <c r="I288" s="58">
        <f t="shared" ca="1" si="593"/>
        <v>0</v>
      </c>
      <c r="J288" s="58">
        <f t="shared" ca="1" si="593"/>
        <v>0</v>
      </c>
      <c r="K288" s="58">
        <f t="shared" ca="1" si="593"/>
        <v>0</v>
      </c>
      <c r="L288" s="58">
        <f t="shared" ca="1" si="593"/>
        <v>0</v>
      </c>
      <c r="M288" s="58">
        <f t="shared" ca="1" si="593"/>
        <v>0</v>
      </c>
      <c r="N288" s="58">
        <f t="shared" ca="1" si="593"/>
        <v>0</v>
      </c>
      <c r="O288" s="58">
        <f t="shared" ca="1" si="593"/>
        <v>0</v>
      </c>
      <c r="P288" s="58">
        <f t="shared" ca="1" si="593"/>
        <v>0</v>
      </c>
      <c r="Q288" s="58">
        <f t="shared" ca="1" si="593"/>
        <v>0</v>
      </c>
      <c r="R288" s="58">
        <f t="shared" ca="1" si="593"/>
        <v>0</v>
      </c>
      <c r="S288" s="58">
        <f t="shared" ca="1" si="593"/>
        <v>0</v>
      </c>
      <c r="T288" s="58">
        <f t="shared" ca="1" si="593"/>
        <v>0</v>
      </c>
      <c r="U288" s="58">
        <f t="shared" ca="1" si="593"/>
        <v>0</v>
      </c>
      <c r="V288" s="58">
        <f t="shared" ca="1" si="593"/>
        <v>0</v>
      </c>
      <c r="W288" s="58">
        <f t="shared" ca="1" si="593"/>
        <v>0</v>
      </c>
      <c r="X288" s="58">
        <f t="shared" ca="1" si="593"/>
        <v>0</v>
      </c>
      <c r="Y288" s="58">
        <f t="shared" ca="1" si="593"/>
        <v>0</v>
      </c>
      <c r="Z288" s="58">
        <f t="shared" ca="1" si="593"/>
        <v>0</v>
      </c>
      <c r="AA288" s="58">
        <f t="shared" ca="1" si="593"/>
        <v>0</v>
      </c>
      <c r="AB288" s="58">
        <f t="shared" ca="1" si="593"/>
        <v>0</v>
      </c>
      <c r="AC288" s="58">
        <f t="shared" ca="1" si="593"/>
        <v>0</v>
      </c>
      <c r="AD288" s="58">
        <f t="shared" ca="1" si="593"/>
        <v>0</v>
      </c>
      <c r="AE288" s="58">
        <f t="shared" ca="1" si="593"/>
        <v>0</v>
      </c>
      <c r="AF288" s="58">
        <f t="shared" ca="1" si="593"/>
        <v>0</v>
      </c>
      <c r="AG288" s="58">
        <f t="shared" ca="1" si="593"/>
        <v>0</v>
      </c>
      <c r="AH288" s="58">
        <f t="shared" ca="1" si="593"/>
        <v>0</v>
      </c>
      <c r="AI288" s="58">
        <f t="shared" ca="1" si="593"/>
        <v>0</v>
      </c>
      <c r="AJ288" s="58">
        <f t="shared" ca="1" si="593"/>
        <v>0</v>
      </c>
      <c r="AK288" s="58">
        <f t="shared" ca="1" si="593"/>
        <v>0</v>
      </c>
      <c r="AL288" s="58">
        <f t="shared" ca="1" si="593"/>
        <v>0</v>
      </c>
      <c r="AM288" s="58">
        <f t="shared" ref="AM288:BR288" ca="1" si="594">+IF(OR($F288+AM$175&lt;1,(AM$176-1)*12&lt;-$F288),0,OFFSET(AM118,0,$F288))</f>
        <v>0</v>
      </c>
      <c r="AN288" s="58">
        <f t="shared" ca="1" si="594"/>
        <v>0</v>
      </c>
      <c r="AO288" s="58">
        <f t="shared" ca="1" si="594"/>
        <v>0</v>
      </c>
      <c r="AP288" s="58">
        <f t="shared" ca="1" si="594"/>
        <v>0</v>
      </c>
      <c r="AQ288" s="58">
        <f t="shared" ca="1" si="594"/>
        <v>0</v>
      </c>
      <c r="AR288" s="58">
        <f t="shared" ca="1" si="594"/>
        <v>0</v>
      </c>
      <c r="AS288" s="58">
        <f t="shared" ca="1" si="594"/>
        <v>0</v>
      </c>
      <c r="AT288" s="58">
        <f t="shared" ca="1" si="594"/>
        <v>0</v>
      </c>
      <c r="AU288" s="58">
        <f t="shared" ca="1" si="594"/>
        <v>0</v>
      </c>
      <c r="AV288" s="58">
        <f t="shared" ca="1" si="594"/>
        <v>0</v>
      </c>
      <c r="AW288" s="58">
        <f t="shared" ca="1" si="594"/>
        <v>0</v>
      </c>
      <c r="AX288" s="58">
        <f t="shared" ca="1" si="594"/>
        <v>0</v>
      </c>
      <c r="AY288" s="58">
        <f t="shared" ca="1" si="594"/>
        <v>0</v>
      </c>
      <c r="AZ288" s="58">
        <f t="shared" ca="1" si="594"/>
        <v>0</v>
      </c>
      <c r="BA288" s="58">
        <f t="shared" ca="1" si="594"/>
        <v>0</v>
      </c>
      <c r="BB288" s="58">
        <f t="shared" ca="1" si="594"/>
        <v>0</v>
      </c>
      <c r="BC288" s="58">
        <f t="shared" ca="1" si="594"/>
        <v>0</v>
      </c>
      <c r="BD288" s="58">
        <f t="shared" ca="1" si="594"/>
        <v>0</v>
      </c>
      <c r="BE288" s="58">
        <f t="shared" ca="1" si="594"/>
        <v>0</v>
      </c>
      <c r="BF288" s="58">
        <f t="shared" ca="1" si="594"/>
        <v>0</v>
      </c>
      <c r="BG288" s="58">
        <f t="shared" ca="1" si="594"/>
        <v>0</v>
      </c>
      <c r="BH288" s="58">
        <f t="shared" ca="1" si="594"/>
        <v>0</v>
      </c>
      <c r="BI288" s="58">
        <f t="shared" ca="1" si="594"/>
        <v>0</v>
      </c>
      <c r="BJ288" s="58">
        <f t="shared" ca="1" si="594"/>
        <v>0</v>
      </c>
      <c r="BK288" s="58">
        <f t="shared" ca="1" si="594"/>
        <v>0</v>
      </c>
      <c r="BL288" s="58">
        <f t="shared" ca="1" si="594"/>
        <v>0</v>
      </c>
      <c r="BM288" s="58">
        <f t="shared" ca="1" si="594"/>
        <v>0</v>
      </c>
      <c r="BN288" s="58">
        <f t="shared" ca="1" si="594"/>
        <v>0</v>
      </c>
      <c r="BO288" s="58">
        <f t="shared" ca="1" si="594"/>
        <v>0</v>
      </c>
      <c r="BP288" s="58">
        <f t="shared" ca="1" si="594"/>
        <v>0</v>
      </c>
      <c r="BQ288" s="58">
        <f t="shared" ca="1" si="594"/>
        <v>0</v>
      </c>
      <c r="BR288" s="58">
        <f t="shared" ca="1" si="594"/>
        <v>0</v>
      </c>
      <c r="BS288" s="58">
        <f t="shared" ref="BS288:CX288" ca="1" si="595">+IF(OR($F288+BS$175&lt;1,(BS$176-1)*12&lt;-$F288),0,OFFSET(BS118,0,$F288))</f>
        <v>0</v>
      </c>
      <c r="BT288" s="58">
        <f t="shared" ca="1" si="595"/>
        <v>0</v>
      </c>
      <c r="BU288" s="58">
        <f t="shared" ca="1" si="595"/>
        <v>0</v>
      </c>
      <c r="BV288" s="58">
        <f t="shared" ca="1" si="595"/>
        <v>0</v>
      </c>
      <c r="BW288" s="58">
        <f t="shared" ca="1" si="595"/>
        <v>0</v>
      </c>
      <c r="BX288" s="58">
        <f t="shared" ca="1" si="595"/>
        <v>0</v>
      </c>
      <c r="BY288" s="58">
        <f t="shared" ca="1" si="595"/>
        <v>0</v>
      </c>
      <c r="BZ288" s="58">
        <f t="shared" ca="1" si="595"/>
        <v>0</v>
      </c>
      <c r="CA288" s="58">
        <f t="shared" ca="1" si="595"/>
        <v>0</v>
      </c>
      <c r="CB288" s="58">
        <f t="shared" ca="1" si="595"/>
        <v>0</v>
      </c>
      <c r="CC288" s="58">
        <f t="shared" ca="1" si="595"/>
        <v>0</v>
      </c>
      <c r="CD288" s="58">
        <f t="shared" ca="1" si="595"/>
        <v>0</v>
      </c>
      <c r="CE288" s="58">
        <f t="shared" ca="1" si="595"/>
        <v>0</v>
      </c>
      <c r="CF288" s="58">
        <f t="shared" ca="1" si="595"/>
        <v>0</v>
      </c>
      <c r="CG288" s="58">
        <f t="shared" ca="1" si="595"/>
        <v>0</v>
      </c>
      <c r="CH288" s="58">
        <f t="shared" ca="1" si="595"/>
        <v>0</v>
      </c>
      <c r="CI288" s="58">
        <f t="shared" ca="1" si="595"/>
        <v>0</v>
      </c>
      <c r="CJ288" s="58">
        <f t="shared" ca="1" si="595"/>
        <v>0</v>
      </c>
      <c r="CK288" s="58">
        <f t="shared" ca="1" si="595"/>
        <v>0</v>
      </c>
      <c r="CL288" s="58">
        <f t="shared" ca="1" si="595"/>
        <v>0</v>
      </c>
      <c r="CM288" s="58">
        <f t="shared" ca="1" si="595"/>
        <v>0</v>
      </c>
      <c r="CN288" s="58">
        <f t="shared" ca="1" si="595"/>
        <v>0</v>
      </c>
      <c r="CO288" s="58">
        <f t="shared" ca="1" si="595"/>
        <v>0</v>
      </c>
      <c r="CP288" s="58">
        <f t="shared" ca="1" si="595"/>
        <v>0</v>
      </c>
      <c r="CQ288" s="58">
        <f t="shared" ca="1" si="595"/>
        <v>0</v>
      </c>
      <c r="CR288" s="58">
        <f t="shared" ca="1" si="595"/>
        <v>0</v>
      </c>
      <c r="CS288" s="58">
        <f t="shared" ca="1" si="595"/>
        <v>0</v>
      </c>
      <c r="CT288" s="58">
        <f t="shared" ca="1" si="595"/>
        <v>0</v>
      </c>
      <c r="CU288" s="58">
        <f t="shared" ca="1" si="595"/>
        <v>0</v>
      </c>
      <c r="CV288" s="58">
        <f t="shared" ca="1" si="595"/>
        <v>0</v>
      </c>
      <c r="CW288" s="58">
        <f t="shared" ca="1" si="595"/>
        <v>0</v>
      </c>
      <c r="CX288" s="58">
        <f t="shared" ca="1" si="595"/>
        <v>0</v>
      </c>
      <c r="CY288" s="58">
        <f t="shared" ref="CY288:ED288" ca="1" si="596">+IF(OR($F288+CY$175&lt;1,(CY$176-1)*12&lt;-$F288),0,OFFSET(CY118,0,$F288))</f>
        <v>0</v>
      </c>
      <c r="CZ288" s="58">
        <f t="shared" ca="1" si="596"/>
        <v>0</v>
      </c>
      <c r="DA288" s="58">
        <f t="shared" ca="1" si="596"/>
        <v>0</v>
      </c>
      <c r="DB288" s="58">
        <f t="shared" ca="1" si="596"/>
        <v>0</v>
      </c>
      <c r="DC288" s="58">
        <f t="shared" ca="1" si="596"/>
        <v>0</v>
      </c>
      <c r="DD288" s="58">
        <f t="shared" ca="1" si="596"/>
        <v>0</v>
      </c>
      <c r="DE288" s="58">
        <f t="shared" ca="1" si="596"/>
        <v>0</v>
      </c>
      <c r="DF288" s="58">
        <f t="shared" ca="1" si="596"/>
        <v>0</v>
      </c>
      <c r="DG288" s="58">
        <f t="shared" ca="1" si="596"/>
        <v>0</v>
      </c>
      <c r="DH288" s="58">
        <f t="shared" ca="1" si="596"/>
        <v>0</v>
      </c>
      <c r="DI288" s="58">
        <f t="shared" ca="1" si="596"/>
        <v>0</v>
      </c>
      <c r="DJ288" s="58">
        <f t="shared" ca="1" si="596"/>
        <v>0</v>
      </c>
      <c r="DK288" s="58">
        <f t="shared" ca="1" si="596"/>
        <v>0</v>
      </c>
      <c r="DL288" s="58">
        <f t="shared" ca="1" si="596"/>
        <v>0</v>
      </c>
      <c r="DM288" s="58">
        <f t="shared" ca="1" si="596"/>
        <v>0</v>
      </c>
      <c r="DN288" s="58">
        <f t="shared" ca="1" si="596"/>
        <v>0</v>
      </c>
      <c r="DO288" s="58">
        <f t="shared" ca="1" si="596"/>
        <v>0</v>
      </c>
      <c r="DP288" s="58">
        <f t="shared" ca="1" si="596"/>
        <v>0</v>
      </c>
      <c r="DQ288" s="58">
        <f t="shared" ca="1" si="596"/>
        <v>0</v>
      </c>
      <c r="DR288" s="58">
        <f t="shared" ca="1" si="596"/>
        <v>0</v>
      </c>
      <c r="DS288" s="58">
        <f t="shared" ca="1" si="596"/>
        <v>0</v>
      </c>
      <c r="DT288" s="58">
        <f t="shared" ca="1" si="596"/>
        <v>0</v>
      </c>
      <c r="DU288" s="58">
        <f t="shared" ca="1" si="596"/>
        <v>0</v>
      </c>
      <c r="DV288" s="58">
        <f t="shared" ca="1" si="596"/>
        <v>0</v>
      </c>
      <c r="DW288" s="58">
        <f t="shared" ca="1" si="596"/>
        <v>0</v>
      </c>
      <c r="DX288" s="58">
        <f t="shared" ca="1" si="596"/>
        <v>0</v>
      </c>
      <c r="DY288" s="58">
        <f t="shared" ca="1" si="596"/>
        <v>0</v>
      </c>
      <c r="DZ288" s="58">
        <f t="shared" ca="1" si="596"/>
        <v>0</v>
      </c>
      <c r="EA288" s="58">
        <f t="shared" ca="1" si="596"/>
        <v>0</v>
      </c>
      <c r="EB288" s="58">
        <f t="shared" ca="1" si="596"/>
        <v>0</v>
      </c>
      <c r="EC288" s="58">
        <f t="shared" ca="1" si="596"/>
        <v>0</v>
      </c>
      <c r="ED288" s="58">
        <f t="shared" ca="1" si="596"/>
        <v>0</v>
      </c>
      <c r="EE288" s="58">
        <f t="shared" ref="EE288:FN288" ca="1" si="597">+IF(OR($F288+EE$175&lt;1,(EE$176-1)*12&lt;-$F288),0,OFFSET(EE118,0,$F288))</f>
        <v>0</v>
      </c>
      <c r="EF288" s="58">
        <f t="shared" ca="1" si="597"/>
        <v>0</v>
      </c>
      <c r="EG288" s="58">
        <f t="shared" ca="1" si="597"/>
        <v>0</v>
      </c>
      <c r="EH288" s="58">
        <f t="shared" ca="1" si="597"/>
        <v>0</v>
      </c>
      <c r="EI288" s="58">
        <f t="shared" ca="1" si="597"/>
        <v>0</v>
      </c>
      <c r="EJ288" s="58">
        <f t="shared" ca="1" si="597"/>
        <v>0</v>
      </c>
      <c r="EK288" s="58">
        <f t="shared" ca="1" si="597"/>
        <v>0</v>
      </c>
      <c r="EL288" s="58">
        <f t="shared" ca="1" si="597"/>
        <v>0</v>
      </c>
      <c r="EM288" s="58">
        <f t="shared" ca="1" si="597"/>
        <v>0</v>
      </c>
      <c r="EN288" s="58">
        <f t="shared" ca="1" si="597"/>
        <v>0</v>
      </c>
      <c r="EO288" s="58">
        <f t="shared" ca="1" si="597"/>
        <v>0</v>
      </c>
      <c r="EP288" s="58">
        <f t="shared" ca="1" si="597"/>
        <v>0</v>
      </c>
      <c r="EQ288" s="58">
        <f t="shared" ca="1" si="597"/>
        <v>0</v>
      </c>
      <c r="ER288" s="58">
        <f t="shared" ca="1" si="597"/>
        <v>0</v>
      </c>
      <c r="ES288" s="58">
        <f t="shared" ca="1" si="597"/>
        <v>0</v>
      </c>
      <c r="ET288" s="58">
        <f t="shared" ca="1" si="597"/>
        <v>0</v>
      </c>
      <c r="EU288" s="58">
        <f t="shared" ca="1" si="597"/>
        <v>0</v>
      </c>
      <c r="EV288" s="58">
        <f t="shared" ca="1" si="597"/>
        <v>0</v>
      </c>
      <c r="EW288" s="58">
        <f t="shared" ca="1" si="597"/>
        <v>0</v>
      </c>
      <c r="EX288" s="58">
        <f t="shared" ca="1" si="597"/>
        <v>0</v>
      </c>
      <c r="EY288" s="58">
        <f t="shared" ca="1" si="597"/>
        <v>0</v>
      </c>
      <c r="EZ288" s="58">
        <f t="shared" ca="1" si="597"/>
        <v>0</v>
      </c>
      <c r="FA288" s="58">
        <f t="shared" ca="1" si="597"/>
        <v>0</v>
      </c>
      <c r="FB288" s="58">
        <f t="shared" ca="1" si="597"/>
        <v>0</v>
      </c>
      <c r="FC288" s="58">
        <f t="shared" ca="1" si="597"/>
        <v>0</v>
      </c>
      <c r="FD288" s="58">
        <f t="shared" ca="1" si="597"/>
        <v>0</v>
      </c>
      <c r="FE288" s="58">
        <f t="shared" ca="1" si="597"/>
        <v>0</v>
      </c>
      <c r="FF288" s="58">
        <f t="shared" ca="1" si="597"/>
        <v>0</v>
      </c>
      <c r="FG288" s="58">
        <f t="shared" ca="1" si="597"/>
        <v>0</v>
      </c>
      <c r="FH288" s="58">
        <f t="shared" ca="1" si="597"/>
        <v>0</v>
      </c>
      <c r="FI288" s="58">
        <f t="shared" ca="1" si="597"/>
        <v>0</v>
      </c>
      <c r="FJ288" s="58">
        <f t="shared" ca="1" si="597"/>
        <v>0</v>
      </c>
      <c r="FK288" s="58">
        <f t="shared" ca="1" si="597"/>
        <v>0</v>
      </c>
      <c r="FL288" s="58">
        <f t="shared" ca="1" si="597"/>
        <v>0</v>
      </c>
      <c r="FM288" s="58">
        <f t="shared" ca="1" si="597"/>
        <v>0</v>
      </c>
      <c r="FN288" s="58">
        <f t="shared" ca="1" si="597"/>
        <v>0</v>
      </c>
      <c r="FO288" s="13"/>
    </row>
    <row r="289" spans="1:171" outlineLevel="1" x14ac:dyDescent="0.3">
      <c r="A289" s="13"/>
      <c r="B289" s="13"/>
      <c r="C289" s="13"/>
      <c r="D289" s="52">
        <f t="shared" si="520"/>
        <v>43556</v>
      </c>
      <c r="E289" s="53">
        <f t="shared" si="521"/>
        <v>2019</v>
      </c>
      <c r="F289" s="53">
        <f t="shared" si="522"/>
        <v>63</v>
      </c>
      <c r="G289" s="58">
        <f t="shared" ref="G289:AL289" ca="1" si="598">+IF(OR($F289+G$175&lt;1,(G$176-1)*12&lt;-$F289),0,OFFSET(G119,0,$F289))</f>
        <v>0</v>
      </c>
      <c r="H289" s="58">
        <f t="shared" ca="1" si="598"/>
        <v>0</v>
      </c>
      <c r="I289" s="58">
        <f t="shared" ca="1" si="598"/>
        <v>0</v>
      </c>
      <c r="J289" s="58">
        <f t="shared" ca="1" si="598"/>
        <v>0</v>
      </c>
      <c r="K289" s="58">
        <f t="shared" ca="1" si="598"/>
        <v>0</v>
      </c>
      <c r="L289" s="58">
        <f t="shared" ca="1" si="598"/>
        <v>0</v>
      </c>
      <c r="M289" s="58">
        <f t="shared" ca="1" si="598"/>
        <v>0</v>
      </c>
      <c r="N289" s="58">
        <f t="shared" ca="1" si="598"/>
        <v>0</v>
      </c>
      <c r="O289" s="58">
        <f t="shared" ca="1" si="598"/>
        <v>0</v>
      </c>
      <c r="P289" s="58">
        <f t="shared" ca="1" si="598"/>
        <v>0</v>
      </c>
      <c r="Q289" s="58">
        <f t="shared" ca="1" si="598"/>
        <v>0</v>
      </c>
      <c r="R289" s="58">
        <f t="shared" ca="1" si="598"/>
        <v>0</v>
      </c>
      <c r="S289" s="58">
        <f t="shared" ca="1" si="598"/>
        <v>0</v>
      </c>
      <c r="T289" s="58">
        <f t="shared" ca="1" si="598"/>
        <v>0</v>
      </c>
      <c r="U289" s="58">
        <f t="shared" ca="1" si="598"/>
        <v>0</v>
      </c>
      <c r="V289" s="58">
        <f t="shared" ca="1" si="598"/>
        <v>0</v>
      </c>
      <c r="W289" s="58">
        <f t="shared" ca="1" si="598"/>
        <v>0</v>
      </c>
      <c r="X289" s="58">
        <f t="shared" ca="1" si="598"/>
        <v>0</v>
      </c>
      <c r="Y289" s="58">
        <f t="shared" ca="1" si="598"/>
        <v>0</v>
      </c>
      <c r="Z289" s="58">
        <f t="shared" ca="1" si="598"/>
        <v>0</v>
      </c>
      <c r="AA289" s="58">
        <f t="shared" ca="1" si="598"/>
        <v>0</v>
      </c>
      <c r="AB289" s="58">
        <f t="shared" ca="1" si="598"/>
        <v>0</v>
      </c>
      <c r="AC289" s="58">
        <f t="shared" ca="1" si="598"/>
        <v>0</v>
      </c>
      <c r="AD289" s="58">
        <f t="shared" ca="1" si="598"/>
        <v>0</v>
      </c>
      <c r="AE289" s="58">
        <f t="shared" ca="1" si="598"/>
        <v>0</v>
      </c>
      <c r="AF289" s="58">
        <f t="shared" ca="1" si="598"/>
        <v>0</v>
      </c>
      <c r="AG289" s="58">
        <f t="shared" ca="1" si="598"/>
        <v>0</v>
      </c>
      <c r="AH289" s="58">
        <f t="shared" ca="1" si="598"/>
        <v>0</v>
      </c>
      <c r="AI289" s="58">
        <f t="shared" ca="1" si="598"/>
        <v>0</v>
      </c>
      <c r="AJ289" s="58">
        <f t="shared" ca="1" si="598"/>
        <v>0</v>
      </c>
      <c r="AK289" s="58">
        <f t="shared" ca="1" si="598"/>
        <v>0</v>
      </c>
      <c r="AL289" s="58">
        <f t="shared" ca="1" si="598"/>
        <v>0</v>
      </c>
      <c r="AM289" s="58">
        <f t="shared" ref="AM289:BR289" ca="1" si="599">+IF(OR($F289+AM$175&lt;1,(AM$176-1)*12&lt;-$F289),0,OFFSET(AM119,0,$F289))</f>
        <v>0</v>
      </c>
      <c r="AN289" s="58">
        <f t="shared" ca="1" si="599"/>
        <v>0</v>
      </c>
      <c r="AO289" s="58">
        <f t="shared" ca="1" si="599"/>
        <v>0</v>
      </c>
      <c r="AP289" s="58">
        <f t="shared" ca="1" si="599"/>
        <v>0</v>
      </c>
      <c r="AQ289" s="58">
        <f t="shared" ca="1" si="599"/>
        <v>0</v>
      </c>
      <c r="AR289" s="58">
        <f t="shared" ca="1" si="599"/>
        <v>0</v>
      </c>
      <c r="AS289" s="58">
        <f t="shared" ca="1" si="599"/>
        <v>0</v>
      </c>
      <c r="AT289" s="58">
        <f t="shared" ca="1" si="599"/>
        <v>0</v>
      </c>
      <c r="AU289" s="58">
        <f t="shared" ca="1" si="599"/>
        <v>0</v>
      </c>
      <c r="AV289" s="58">
        <f t="shared" ca="1" si="599"/>
        <v>0</v>
      </c>
      <c r="AW289" s="58">
        <f t="shared" ca="1" si="599"/>
        <v>0</v>
      </c>
      <c r="AX289" s="58">
        <f t="shared" ca="1" si="599"/>
        <v>0</v>
      </c>
      <c r="AY289" s="58">
        <f t="shared" ca="1" si="599"/>
        <v>0</v>
      </c>
      <c r="AZ289" s="58">
        <f t="shared" ca="1" si="599"/>
        <v>0</v>
      </c>
      <c r="BA289" s="58">
        <f t="shared" ca="1" si="599"/>
        <v>0</v>
      </c>
      <c r="BB289" s="58">
        <f t="shared" ca="1" si="599"/>
        <v>0</v>
      </c>
      <c r="BC289" s="58">
        <f t="shared" ca="1" si="599"/>
        <v>0</v>
      </c>
      <c r="BD289" s="58">
        <f t="shared" ca="1" si="599"/>
        <v>0</v>
      </c>
      <c r="BE289" s="58">
        <f t="shared" ca="1" si="599"/>
        <v>0</v>
      </c>
      <c r="BF289" s="58">
        <f t="shared" ca="1" si="599"/>
        <v>0</v>
      </c>
      <c r="BG289" s="58">
        <f t="shared" ca="1" si="599"/>
        <v>0</v>
      </c>
      <c r="BH289" s="58">
        <f t="shared" ca="1" si="599"/>
        <v>0</v>
      </c>
      <c r="BI289" s="58">
        <f t="shared" ca="1" si="599"/>
        <v>0</v>
      </c>
      <c r="BJ289" s="58">
        <f t="shared" ca="1" si="599"/>
        <v>0</v>
      </c>
      <c r="BK289" s="58">
        <f t="shared" ca="1" si="599"/>
        <v>0</v>
      </c>
      <c r="BL289" s="58">
        <f t="shared" ca="1" si="599"/>
        <v>0</v>
      </c>
      <c r="BM289" s="58">
        <f t="shared" ca="1" si="599"/>
        <v>0</v>
      </c>
      <c r="BN289" s="58">
        <f t="shared" ca="1" si="599"/>
        <v>0</v>
      </c>
      <c r="BO289" s="58">
        <f t="shared" ca="1" si="599"/>
        <v>0</v>
      </c>
      <c r="BP289" s="58">
        <f t="shared" ca="1" si="599"/>
        <v>0</v>
      </c>
      <c r="BQ289" s="58">
        <f t="shared" ca="1" si="599"/>
        <v>0</v>
      </c>
      <c r="BR289" s="58">
        <f t="shared" ca="1" si="599"/>
        <v>0</v>
      </c>
      <c r="BS289" s="58">
        <f t="shared" ref="BS289:CX289" ca="1" si="600">+IF(OR($F289+BS$175&lt;1,(BS$176-1)*12&lt;-$F289),0,OFFSET(BS119,0,$F289))</f>
        <v>0</v>
      </c>
      <c r="BT289" s="58">
        <f t="shared" ca="1" si="600"/>
        <v>0</v>
      </c>
      <c r="BU289" s="58">
        <f t="shared" ca="1" si="600"/>
        <v>0</v>
      </c>
      <c r="BV289" s="58">
        <f t="shared" ca="1" si="600"/>
        <v>0</v>
      </c>
      <c r="BW289" s="58">
        <f t="shared" ca="1" si="600"/>
        <v>0</v>
      </c>
      <c r="BX289" s="58">
        <f t="shared" ca="1" si="600"/>
        <v>0</v>
      </c>
      <c r="BY289" s="58">
        <f t="shared" ca="1" si="600"/>
        <v>0</v>
      </c>
      <c r="BZ289" s="58">
        <f t="shared" ca="1" si="600"/>
        <v>0</v>
      </c>
      <c r="CA289" s="58">
        <f t="shared" ca="1" si="600"/>
        <v>0</v>
      </c>
      <c r="CB289" s="58">
        <f t="shared" ca="1" si="600"/>
        <v>0</v>
      </c>
      <c r="CC289" s="58">
        <f t="shared" ca="1" si="600"/>
        <v>0</v>
      </c>
      <c r="CD289" s="58">
        <f t="shared" ca="1" si="600"/>
        <v>0</v>
      </c>
      <c r="CE289" s="58">
        <f t="shared" ca="1" si="600"/>
        <v>0</v>
      </c>
      <c r="CF289" s="58">
        <f t="shared" ca="1" si="600"/>
        <v>0</v>
      </c>
      <c r="CG289" s="58">
        <f t="shared" ca="1" si="600"/>
        <v>0</v>
      </c>
      <c r="CH289" s="58">
        <f t="shared" ca="1" si="600"/>
        <v>0</v>
      </c>
      <c r="CI289" s="58">
        <f t="shared" ca="1" si="600"/>
        <v>0</v>
      </c>
      <c r="CJ289" s="58">
        <f t="shared" ca="1" si="600"/>
        <v>0</v>
      </c>
      <c r="CK289" s="58">
        <f t="shared" ca="1" si="600"/>
        <v>0</v>
      </c>
      <c r="CL289" s="58">
        <f t="shared" ca="1" si="600"/>
        <v>0</v>
      </c>
      <c r="CM289" s="58">
        <f t="shared" ca="1" si="600"/>
        <v>0</v>
      </c>
      <c r="CN289" s="58">
        <f t="shared" ca="1" si="600"/>
        <v>0</v>
      </c>
      <c r="CO289" s="58">
        <f t="shared" ca="1" si="600"/>
        <v>0</v>
      </c>
      <c r="CP289" s="58">
        <f t="shared" ca="1" si="600"/>
        <v>0</v>
      </c>
      <c r="CQ289" s="58">
        <f t="shared" ca="1" si="600"/>
        <v>0</v>
      </c>
      <c r="CR289" s="58">
        <f t="shared" ca="1" si="600"/>
        <v>0</v>
      </c>
      <c r="CS289" s="58">
        <f t="shared" ca="1" si="600"/>
        <v>0</v>
      </c>
      <c r="CT289" s="58">
        <f t="shared" ca="1" si="600"/>
        <v>0</v>
      </c>
      <c r="CU289" s="58">
        <f t="shared" ca="1" si="600"/>
        <v>0</v>
      </c>
      <c r="CV289" s="58">
        <f t="shared" ca="1" si="600"/>
        <v>0</v>
      </c>
      <c r="CW289" s="58">
        <f t="shared" ca="1" si="600"/>
        <v>0</v>
      </c>
      <c r="CX289" s="58">
        <f t="shared" ca="1" si="600"/>
        <v>0</v>
      </c>
      <c r="CY289" s="58">
        <f t="shared" ref="CY289:ED289" ca="1" si="601">+IF(OR($F289+CY$175&lt;1,(CY$176-1)*12&lt;-$F289),0,OFFSET(CY119,0,$F289))</f>
        <v>0</v>
      </c>
      <c r="CZ289" s="58">
        <f t="shared" ca="1" si="601"/>
        <v>0</v>
      </c>
      <c r="DA289" s="58">
        <f t="shared" ca="1" si="601"/>
        <v>0</v>
      </c>
      <c r="DB289" s="58">
        <f t="shared" ca="1" si="601"/>
        <v>0</v>
      </c>
      <c r="DC289" s="58">
        <f t="shared" ca="1" si="601"/>
        <v>0</v>
      </c>
      <c r="DD289" s="58">
        <f t="shared" ca="1" si="601"/>
        <v>0</v>
      </c>
      <c r="DE289" s="58">
        <f t="shared" ca="1" si="601"/>
        <v>0</v>
      </c>
      <c r="DF289" s="58">
        <f t="shared" ca="1" si="601"/>
        <v>0</v>
      </c>
      <c r="DG289" s="58">
        <f t="shared" ca="1" si="601"/>
        <v>0</v>
      </c>
      <c r="DH289" s="58">
        <f t="shared" ca="1" si="601"/>
        <v>0</v>
      </c>
      <c r="DI289" s="58">
        <f t="shared" ca="1" si="601"/>
        <v>0</v>
      </c>
      <c r="DJ289" s="58">
        <f t="shared" ca="1" si="601"/>
        <v>0</v>
      </c>
      <c r="DK289" s="58">
        <f t="shared" ca="1" si="601"/>
        <v>0</v>
      </c>
      <c r="DL289" s="58">
        <f t="shared" ca="1" si="601"/>
        <v>0</v>
      </c>
      <c r="DM289" s="58">
        <f t="shared" ca="1" si="601"/>
        <v>0</v>
      </c>
      <c r="DN289" s="58">
        <f t="shared" ca="1" si="601"/>
        <v>0</v>
      </c>
      <c r="DO289" s="58">
        <f t="shared" ca="1" si="601"/>
        <v>0</v>
      </c>
      <c r="DP289" s="58">
        <f t="shared" ca="1" si="601"/>
        <v>0</v>
      </c>
      <c r="DQ289" s="58">
        <f t="shared" ca="1" si="601"/>
        <v>0</v>
      </c>
      <c r="DR289" s="58">
        <f t="shared" ca="1" si="601"/>
        <v>0</v>
      </c>
      <c r="DS289" s="58">
        <f t="shared" ca="1" si="601"/>
        <v>0</v>
      </c>
      <c r="DT289" s="58">
        <f t="shared" ca="1" si="601"/>
        <v>0</v>
      </c>
      <c r="DU289" s="58">
        <f t="shared" ca="1" si="601"/>
        <v>0</v>
      </c>
      <c r="DV289" s="58">
        <f t="shared" ca="1" si="601"/>
        <v>0</v>
      </c>
      <c r="DW289" s="58">
        <f t="shared" ca="1" si="601"/>
        <v>0</v>
      </c>
      <c r="DX289" s="58">
        <f t="shared" ca="1" si="601"/>
        <v>0</v>
      </c>
      <c r="DY289" s="58">
        <f t="shared" ca="1" si="601"/>
        <v>0</v>
      </c>
      <c r="DZ289" s="58">
        <f t="shared" ca="1" si="601"/>
        <v>0</v>
      </c>
      <c r="EA289" s="58">
        <f t="shared" ca="1" si="601"/>
        <v>0</v>
      </c>
      <c r="EB289" s="58">
        <f t="shared" ca="1" si="601"/>
        <v>0</v>
      </c>
      <c r="EC289" s="58">
        <f t="shared" ca="1" si="601"/>
        <v>0</v>
      </c>
      <c r="ED289" s="58">
        <f t="shared" ca="1" si="601"/>
        <v>0</v>
      </c>
      <c r="EE289" s="58">
        <f t="shared" ref="EE289:FN289" ca="1" si="602">+IF(OR($F289+EE$175&lt;1,(EE$176-1)*12&lt;-$F289),0,OFFSET(EE119,0,$F289))</f>
        <v>0</v>
      </c>
      <c r="EF289" s="58">
        <f t="shared" ca="1" si="602"/>
        <v>0</v>
      </c>
      <c r="EG289" s="58">
        <f t="shared" ca="1" si="602"/>
        <v>0</v>
      </c>
      <c r="EH289" s="58">
        <f t="shared" ca="1" si="602"/>
        <v>0</v>
      </c>
      <c r="EI289" s="58">
        <f t="shared" ca="1" si="602"/>
        <v>0</v>
      </c>
      <c r="EJ289" s="58">
        <f t="shared" ca="1" si="602"/>
        <v>0</v>
      </c>
      <c r="EK289" s="58">
        <f t="shared" ca="1" si="602"/>
        <v>0</v>
      </c>
      <c r="EL289" s="58">
        <f t="shared" ca="1" si="602"/>
        <v>0</v>
      </c>
      <c r="EM289" s="58">
        <f t="shared" ca="1" si="602"/>
        <v>0</v>
      </c>
      <c r="EN289" s="58">
        <f t="shared" ca="1" si="602"/>
        <v>0</v>
      </c>
      <c r="EO289" s="58">
        <f t="shared" ca="1" si="602"/>
        <v>0</v>
      </c>
      <c r="EP289" s="58">
        <f t="shared" ca="1" si="602"/>
        <v>0</v>
      </c>
      <c r="EQ289" s="58">
        <f t="shared" ca="1" si="602"/>
        <v>0</v>
      </c>
      <c r="ER289" s="58">
        <f t="shared" ca="1" si="602"/>
        <v>0</v>
      </c>
      <c r="ES289" s="58">
        <f t="shared" ca="1" si="602"/>
        <v>0</v>
      </c>
      <c r="ET289" s="58">
        <f t="shared" ca="1" si="602"/>
        <v>0</v>
      </c>
      <c r="EU289" s="58">
        <f t="shared" ca="1" si="602"/>
        <v>0</v>
      </c>
      <c r="EV289" s="58">
        <f t="shared" ca="1" si="602"/>
        <v>0</v>
      </c>
      <c r="EW289" s="58">
        <f t="shared" ca="1" si="602"/>
        <v>0</v>
      </c>
      <c r="EX289" s="58">
        <f t="shared" ca="1" si="602"/>
        <v>0</v>
      </c>
      <c r="EY289" s="58">
        <f t="shared" ca="1" si="602"/>
        <v>0</v>
      </c>
      <c r="EZ289" s="58">
        <f t="shared" ca="1" si="602"/>
        <v>0</v>
      </c>
      <c r="FA289" s="58">
        <f t="shared" ca="1" si="602"/>
        <v>0</v>
      </c>
      <c r="FB289" s="58">
        <f t="shared" ca="1" si="602"/>
        <v>0</v>
      </c>
      <c r="FC289" s="58">
        <f t="shared" ca="1" si="602"/>
        <v>0</v>
      </c>
      <c r="FD289" s="58">
        <f t="shared" ca="1" si="602"/>
        <v>0</v>
      </c>
      <c r="FE289" s="58">
        <f t="shared" ca="1" si="602"/>
        <v>0</v>
      </c>
      <c r="FF289" s="58">
        <f t="shared" ca="1" si="602"/>
        <v>0</v>
      </c>
      <c r="FG289" s="58">
        <f t="shared" ca="1" si="602"/>
        <v>0</v>
      </c>
      <c r="FH289" s="58">
        <f t="shared" ca="1" si="602"/>
        <v>0</v>
      </c>
      <c r="FI289" s="58">
        <f t="shared" ca="1" si="602"/>
        <v>0</v>
      </c>
      <c r="FJ289" s="58">
        <f t="shared" ca="1" si="602"/>
        <v>0</v>
      </c>
      <c r="FK289" s="58">
        <f t="shared" ca="1" si="602"/>
        <v>0</v>
      </c>
      <c r="FL289" s="58">
        <f t="shared" ca="1" si="602"/>
        <v>0</v>
      </c>
      <c r="FM289" s="58">
        <f t="shared" ca="1" si="602"/>
        <v>0</v>
      </c>
      <c r="FN289" s="58">
        <f t="shared" ca="1" si="602"/>
        <v>0</v>
      </c>
      <c r="FO289" s="13"/>
    </row>
    <row r="290" spans="1:171" outlineLevel="1" x14ac:dyDescent="0.3">
      <c r="A290" s="13"/>
      <c r="B290" s="13"/>
      <c r="C290" s="13"/>
      <c r="D290" s="52">
        <f t="shared" si="520"/>
        <v>43586</v>
      </c>
      <c r="E290" s="53">
        <f t="shared" si="521"/>
        <v>2019</v>
      </c>
      <c r="F290" s="53">
        <f t="shared" si="522"/>
        <v>64</v>
      </c>
      <c r="G290" s="58">
        <f t="shared" ref="G290:AL290" ca="1" si="603">+IF(OR($F290+G$175&lt;1,(G$176-1)*12&lt;-$F290),0,OFFSET(G120,0,$F290))</f>
        <v>0</v>
      </c>
      <c r="H290" s="58">
        <f t="shared" ca="1" si="603"/>
        <v>0</v>
      </c>
      <c r="I290" s="58">
        <f t="shared" ca="1" si="603"/>
        <v>0</v>
      </c>
      <c r="J290" s="58">
        <f t="shared" ca="1" si="603"/>
        <v>0</v>
      </c>
      <c r="K290" s="58">
        <f t="shared" ca="1" si="603"/>
        <v>0</v>
      </c>
      <c r="L290" s="58">
        <f t="shared" ca="1" si="603"/>
        <v>0</v>
      </c>
      <c r="M290" s="58">
        <f t="shared" ca="1" si="603"/>
        <v>0</v>
      </c>
      <c r="N290" s="58">
        <f t="shared" ca="1" si="603"/>
        <v>0</v>
      </c>
      <c r="O290" s="58">
        <f t="shared" ca="1" si="603"/>
        <v>0</v>
      </c>
      <c r="P290" s="58">
        <f t="shared" ca="1" si="603"/>
        <v>0</v>
      </c>
      <c r="Q290" s="58">
        <f t="shared" ca="1" si="603"/>
        <v>0</v>
      </c>
      <c r="R290" s="58">
        <f t="shared" ca="1" si="603"/>
        <v>0</v>
      </c>
      <c r="S290" s="58">
        <f t="shared" ca="1" si="603"/>
        <v>0</v>
      </c>
      <c r="T290" s="58">
        <f t="shared" ca="1" si="603"/>
        <v>0</v>
      </c>
      <c r="U290" s="58">
        <f t="shared" ca="1" si="603"/>
        <v>0</v>
      </c>
      <c r="V290" s="58">
        <f t="shared" ca="1" si="603"/>
        <v>0</v>
      </c>
      <c r="W290" s="58">
        <f t="shared" ca="1" si="603"/>
        <v>0</v>
      </c>
      <c r="X290" s="58">
        <f t="shared" ca="1" si="603"/>
        <v>0</v>
      </c>
      <c r="Y290" s="58">
        <f t="shared" ca="1" si="603"/>
        <v>0</v>
      </c>
      <c r="Z290" s="58">
        <f t="shared" ca="1" si="603"/>
        <v>0</v>
      </c>
      <c r="AA290" s="58">
        <f t="shared" ca="1" si="603"/>
        <v>0</v>
      </c>
      <c r="AB290" s="58">
        <f t="shared" ca="1" si="603"/>
        <v>0</v>
      </c>
      <c r="AC290" s="58">
        <f t="shared" ca="1" si="603"/>
        <v>0</v>
      </c>
      <c r="AD290" s="58">
        <f t="shared" ca="1" si="603"/>
        <v>0</v>
      </c>
      <c r="AE290" s="58">
        <f t="shared" ca="1" si="603"/>
        <v>0</v>
      </c>
      <c r="AF290" s="58">
        <f t="shared" ca="1" si="603"/>
        <v>0</v>
      </c>
      <c r="AG290" s="58">
        <f t="shared" ca="1" si="603"/>
        <v>0</v>
      </c>
      <c r="AH290" s="58">
        <f t="shared" ca="1" si="603"/>
        <v>0</v>
      </c>
      <c r="AI290" s="58">
        <f t="shared" ca="1" si="603"/>
        <v>0</v>
      </c>
      <c r="AJ290" s="58">
        <f t="shared" ca="1" si="603"/>
        <v>0</v>
      </c>
      <c r="AK290" s="58">
        <f t="shared" ca="1" si="603"/>
        <v>0</v>
      </c>
      <c r="AL290" s="58">
        <f t="shared" ca="1" si="603"/>
        <v>0</v>
      </c>
      <c r="AM290" s="58">
        <f t="shared" ref="AM290:BR290" ca="1" si="604">+IF(OR($F290+AM$175&lt;1,(AM$176-1)*12&lt;-$F290),0,OFFSET(AM120,0,$F290))</f>
        <v>0</v>
      </c>
      <c r="AN290" s="58">
        <f t="shared" ca="1" si="604"/>
        <v>0</v>
      </c>
      <c r="AO290" s="58">
        <f t="shared" ca="1" si="604"/>
        <v>0</v>
      </c>
      <c r="AP290" s="58">
        <f t="shared" ca="1" si="604"/>
        <v>0</v>
      </c>
      <c r="AQ290" s="58">
        <f t="shared" ca="1" si="604"/>
        <v>0</v>
      </c>
      <c r="AR290" s="58">
        <f t="shared" ca="1" si="604"/>
        <v>0</v>
      </c>
      <c r="AS290" s="58">
        <f t="shared" ca="1" si="604"/>
        <v>0</v>
      </c>
      <c r="AT290" s="58">
        <f t="shared" ca="1" si="604"/>
        <v>0</v>
      </c>
      <c r="AU290" s="58">
        <f t="shared" ca="1" si="604"/>
        <v>0</v>
      </c>
      <c r="AV290" s="58">
        <f t="shared" ca="1" si="604"/>
        <v>0</v>
      </c>
      <c r="AW290" s="58">
        <f t="shared" ca="1" si="604"/>
        <v>0</v>
      </c>
      <c r="AX290" s="58">
        <f t="shared" ca="1" si="604"/>
        <v>0</v>
      </c>
      <c r="AY290" s="58">
        <f t="shared" ca="1" si="604"/>
        <v>0</v>
      </c>
      <c r="AZ290" s="58">
        <f t="shared" ca="1" si="604"/>
        <v>0</v>
      </c>
      <c r="BA290" s="58">
        <f t="shared" ca="1" si="604"/>
        <v>0</v>
      </c>
      <c r="BB290" s="58">
        <f t="shared" ca="1" si="604"/>
        <v>0</v>
      </c>
      <c r="BC290" s="58">
        <f t="shared" ca="1" si="604"/>
        <v>0</v>
      </c>
      <c r="BD290" s="58">
        <f t="shared" ca="1" si="604"/>
        <v>0</v>
      </c>
      <c r="BE290" s="58">
        <f t="shared" ca="1" si="604"/>
        <v>0</v>
      </c>
      <c r="BF290" s="58">
        <f t="shared" ca="1" si="604"/>
        <v>0</v>
      </c>
      <c r="BG290" s="58">
        <f t="shared" ca="1" si="604"/>
        <v>0</v>
      </c>
      <c r="BH290" s="58">
        <f t="shared" ca="1" si="604"/>
        <v>0</v>
      </c>
      <c r="BI290" s="58">
        <f t="shared" ca="1" si="604"/>
        <v>0</v>
      </c>
      <c r="BJ290" s="58">
        <f t="shared" ca="1" si="604"/>
        <v>0</v>
      </c>
      <c r="BK290" s="58">
        <f t="shared" ca="1" si="604"/>
        <v>0</v>
      </c>
      <c r="BL290" s="58">
        <f t="shared" ca="1" si="604"/>
        <v>0</v>
      </c>
      <c r="BM290" s="58">
        <f t="shared" ca="1" si="604"/>
        <v>0</v>
      </c>
      <c r="BN290" s="58">
        <f t="shared" ca="1" si="604"/>
        <v>0</v>
      </c>
      <c r="BO290" s="58">
        <f t="shared" ca="1" si="604"/>
        <v>0</v>
      </c>
      <c r="BP290" s="58">
        <f t="shared" ca="1" si="604"/>
        <v>0</v>
      </c>
      <c r="BQ290" s="58">
        <f t="shared" ca="1" si="604"/>
        <v>0</v>
      </c>
      <c r="BR290" s="58">
        <f t="shared" ca="1" si="604"/>
        <v>0</v>
      </c>
      <c r="BS290" s="58">
        <f t="shared" ref="BS290:CX290" ca="1" si="605">+IF(OR($F290+BS$175&lt;1,(BS$176-1)*12&lt;-$F290),0,OFFSET(BS120,0,$F290))</f>
        <v>0</v>
      </c>
      <c r="BT290" s="58">
        <f t="shared" ca="1" si="605"/>
        <v>0</v>
      </c>
      <c r="BU290" s="58">
        <f t="shared" ca="1" si="605"/>
        <v>0</v>
      </c>
      <c r="BV290" s="58">
        <f t="shared" ca="1" si="605"/>
        <v>0</v>
      </c>
      <c r="BW290" s="58">
        <f t="shared" ca="1" si="605"/>
        <v>0</v>
      </c>
      <c r="BX290" s="58">
        <f t="shared" ca="1" si="605"/>
        <v>0</v>
      </c>
      <c r="BY290" s="58">
        <f t="shared" ca="1" si="605"/>
        <v>0</v>
      </c>
      <c r="BZ290" s="58">
        <f t="shared" ca="1" si="605"/>
        <v>0</v>
      </c>
      <c r="CA290" s="58">
        <f t="shared" ca="1" si="605"/>
        <v>0</v>
      </c>
      <c r="CB290" s="58">
        <f t="shared" ca="1" si="605"/>
        <v>0</v>
      </c>
      <c r="CC290" s="58">
        <f t="shared" ca="1" si="605"/>
        <v>0</v>
      </c>
      <c r="CD290" s="58">
        <f t="shared" ca="1" si="605"/>
        <v>0</v>
      </c>
      <c r="CE290" s="58">
        <f t="shared" ca="1" si="605"/>
        <v>0</v>
      </c>
      <c r="CF290" s="58">
        <f t="shared" ca="1" si="605"/>
        <v>0</v>
      </c>
      <c r="CG290" s="58">
        <f t="shared" ca="1" si="605"/>
        <v>0</v>
      </c>
      <c r="CH290" s="58">
        <f t="shared" ca="1" si="605"/>
        <v>0</v>
      </c>
      <c r="CI290" s="58">
        <f t="shared" ca="1" si="605"/>
        <v>0</v>
      </c>
      <c r="CJ290" s="58">
        <f t="shared" ca="1" si="605"/>
        <v>0</v>
      </c>
      <c r="CK290" s="58">
        <f t="shared" ca="1" si="605"/>
        <v>0</v>
      </c>
      <c r="CL290" s="58">
        <f t="shared" ca="1" si="605"/>
        <v>0</v>
      </c>
      <c r="CM290" s="58">
        <f t="shared" ca="1" si="605"/>
        <v>0</v>
      </c>
      <c r="CN290" s="58">
        <f t="shared" ca="1" si="605"/>
        <v>0</v>
      </c>
      <c r="CO290" s="58">
        <f t="shared" ca="1" si="605"/>
        <v>0</v>
      </c>
      <c r="CP290" s="58">
        <f t="shared" ca="1" si="605"/>
        <v>0</v>
      </c>
      <c r="CQ290" s="58">
        <f t="shared" ca="1" si="605"/>
        <v>0</v>
      </c>
      <c r="CR290" s="58">
        <f t="shared" ca="1" si="605"/>
        <v>0</v>
      </c>
      <c r="CS290" s="58">
        <f t="shared" ca="1" si="605"/>
        <v>0</v>
      </c>
      <c r="CT290" s="58">
        <f t="shared" ca="1" si="605"/>
        <v>0</v>
      </c>
      <c r="CU290" s="58">
        <f t="shared" ca="1" si="605"/>
        <v>0</v>
      </c>
      <c r="CV290" s="58">
        <f t="shared" ca="1" si="605"/>
        <v>0</v>
      </c>
      <c r="CW290" s="58">
        <f t="shared" ca="1" si="605"/>
        <v>0</v>
      </c>
      <c r="CX290" s="58">
        <f t="shared" ca="1" si="605"/>
        <v>0</v>
      </c>
      <c r="CY290" s="58">
        <f t="shared" ref="CY290:ED290" ca="1" si="606">+IF(OR($F290+CY$175&lt;1,(CY$176-1)*12&lt;-$F290),0,OFFSET(CY120,0,$F290))</f>
        <v>0</v>
      </c>
      <c r="CZ290" s="58">
        <f t="shared" ca="1" si="606"/>
        <v>0</v>
      </c>
      <c r="DA290" s="58">
        <f t="shared" ca="1" si="606"/>
        <v>0</v>
      </c>
      <c r="DB290" s="58">
        <f t="shared" ca="1" si="606"/>
        <v>0</v>
      </c>
      <c r="DC290" s="58">
        <f t="shared" ca="1" si="606"/>
        <v>0</v>
      </c>
      <c r="DD290" s="58">
        <f t="shared" ca="1" si="606"/>
        <v>0</v>
      </c>
      <c r="DE290" s="58">
        <f t="shared" ca="1" si="606"/>
        <v>0</v>
      </c>
      <c r="DF290" s="58">
        <f t="shared" ca="1" si="606"/>
        <v>0</v>
      </c>
      <c r="DG290" s="58">
        <f t="shared" ca="1" si="606"/>
        <v>0</v>
      </c>
      <c r="DH290" s="58">
        <f t="shared" ca="1" si="606"/>
        <v>0</v>
      </c>
      <c r="DI290" s="58">
        <f t="shared" ca="1" si="606"/>
        <v>0</v>
      </c>
      <c r="DJ290" s="58">
        <f t="shared" ca="1" si="606"/>
        <v>0</v>
      </c>
      <c r="DK290" s="58">
        <f t="shared" ca="1" si="606"/>
        <v>0</v>
      </c>
      <c r="DL290" s="58">
        <f t="shared" ca="1" si="606"/>
        <v>0</v>
      </c>
      <c r="DM290" s="58">
        <f t="shared" ca="1" si="606"/>
        <v>0</v>
      </c>
      <c r="DN290" s="58">
        <f t="shared" ca="1" si="606"/>
        <v>0</v>
      </c>
      <c r="DO290" s="58">
        <f t="shared" ca="1" si="606"/>
        <v>0</v>
      </c>
      <c r="DP290" s="58">
        <f t="shared" ca="1" si="606"/>
        <v>0</v>
      </c>
      <c r="DQ290" s="58">
        <f t="shared" ca="1" si="606"/>
        <v>0</v>
      </c>
      <c r="DR290" s="58">
        <f t="shared" ca="1" si="606"/>
        <v>0</v>
      </c>
      <c r="DS290" s="58">
        <f t="shared" ca="1" si="606"/>
        <v>0</v>
      </c>
      <c r="DT290" s="58">
        <f t="shared" ca="1" si="606"/>
        <v>0</v>
      </c>
      <c r="DU290" s="58">
        <f t="shared" ca="1" si="606"/>
        <v>0</v>
      </c>
      <c r="DV290" s="58">
        <f t="shared" ca="1" si="606"/>
        <v>0</v>
      </c>
      <c r="DW290" s="58">
        <f t="shared" ca="1" si="606"/>
        <v>0</v>
      </c>
      <c r="DX290" s="58">
        <f t="shared" ca="1" si="606"/>
        <v>0</v>
      </c>
      <c r="DY290" s="58">
        <f t="shared" ca="1" si="606"/>
        <v>0</v>
      </c>
      <c r="DZ290" s="58">
        <f t="shared" ca="1" si="606"/>
        <v>0</v>
      </c>
      <c r="EA290" s="58">
        <f t="shared" ca="1" si="606"/>
        <v>0</v>
      </c>
      <c r="EB290" s="58">
        <f t="shared" ca="1" si="606"/>
        <v>0</v>
      </c>
      <c r="EC290" s="58">
        <f t="shared" ca="1" si="606"/>
        <v>0</v>
      </c>
      <c r="ED290" s="58">
        <f t="shared" ca="1" si="606"/>
        <v>0</v>
      </c>
      <c r="EE290" s="58">
        <f t="shared" ref="EE290:FN290" ca="1" si="607">+IF(OR($F290+EE$175&lt;1,(EE$176-1)*12&lt;-$F290),0,OFFSET(EE120,0,$F290))</f>
        <v>0</v>
      </c>
      <c r="EF290" s="58">
        <f t="shared" ca="1" si="607"/>
        <v>0</v>
      </c>
      <c r="EG290" s="58">
        <f t="shared" ca="1" si="607"/>
        <v>0</v>
      </c>
      <c r="EH290" s="58">
        <f t="shared" ca="1" si="607"/>
        <v>0</v>
      </c>
      <c r="EI290" s="58">
        <f t="shared" ca="1" si="607"/>
        <v>0</v>
      </c>
      <c r="EJ290" s="58">
        <f t="shared" ca="1" si="607"/>
        <v>0</v>
      </c>
      <c r="EK290" s="58">
        <f t="shared" ca="1" si="607"/>
        <v>0</v>
      </c>
      <c r="EL290" s="58">
        <f t="shared" ca="1" si="607"/>
        <v>0</v>
      </c>
      <c r="EM290" s="58">
        <f t="shared" ca="1" si="607"/>
        <v>0</v>
      </c>
      <c r="EN290" s="58">
        <f t="shared" ca="1" si="607"/>
        <v>0</v>
      </c>
      <c r="EO290" s="58">
        <f t="shared" ca="1" si="607"/>
        <v>0</v>
      </c>
      <c r="EP290" s="58">
        <f t="shared" ca="1" si="607"/>
        <v>0</v>
      </c>
      <c r="EQ290" s="58">
        <f t="shared" ca="1" si="607"/>
        <v>0</v>
      </c>
      <c r="ER290" s="58">
        <f t="shared" ca="1" si="607"/>
        <v>0</v>
      </c>
      <c r="ES290" s="58">
        <f t="shared" ca="1" si="607"/>
        <v>0</v>
      </c>
      <c r="ET290" s="58">
        <f t="shared" ca="1" si="607"/>
        <v>0</v>
      </c>
      <c r="EU290" s="58">
        <f t="shared" ca="1" si="607"/>
        <v>0</v>
      </c>
      <c r="EV290" s="58">
        <f t="shared" ca="1" si="607"/>
        <v>0</v>
      </c>
      <c r="EW290" s="58">
        <f t="shared" ca="1" si="607"/>
        <v>0</v>
      </c>
      <c r="EX290" s="58">
        <f t="shared" ca="1" si="607"/>
        <v>0</v>
      </c>
      <c r="EY290" s="58">
        <f t="shared" ca="1" si="607"/>
        <v>0</v>
      </c>
      <c r="EZ290" s="58">
        <f t="shared" ca="1" si="607"/>
        <v>0</v>
      </c>
      <c r="FA290" s="58">
        <f t="shared" ca="1" si="607"/>
        <v>0</v>
      </c>
      <c r="FB290" s="58">
        <f t="shared" ca="1" si="607"/>
        <v>0</v>
      </c>
      <c r="FC290" s="58">
        <f t="shared" ca="1" si="607"/>
        <v>0</v>
      </c>
      <c r="FD290" s="58">
        <f t="shared" ca="1" si="607"/>
        <v>0</v>
      </c>
      <c r="FE290" s="58">
        <f t="shared" ca="1" si="607"/>
        <v>0</v>
      </c>
      <c r="FF290" s="58">
        <f t="shared" ca="1" si="607"/>
        <v>0</v>
      </c>
      <c r="FG290" s="58">
        <f t="shared" ca="1" si="607"/>
        <v>0</v>
      </c>
      <c r="FH290" s="58">
        <f t="shared" ca="1" si="607"/>
        <v>0</v>
      </c>
      <c r="FI290" s="58">
        <f t="shared" ca="1" si="607"/>
        <v>0</v>
      </c>
      <c r="FJ290" s="58">
        <f t="shared" ca="1" si="607"/>
        <v>0</v>
      </c>
      <c r="FK290" s="58">
        <f t="shared" ca="1" si="607"/>
        <v>0</v>
      </c>
      <c r="FL290" s="58">
        <f t="shared" ca="1" si="607"/>
        <v>0</v>
      </c>
      <c r="FM290" s="58">
        <f t="shared" ca="1" si="607"/>
        <v>0</v>
      </c>
      <c r="FN290" s="58">
        <f t="shared" ca="1" si="607"/>
        <v>0</v>
      </c>
      <c r="FO290" s="13"/>
    </row>
    <row r="291" spans="1:171" outlineLevel="1" x14ac:dyDescent="0.3">
      <c r="A291" s="13"/>
      <c r="B291" s="13"/>
      <c r="C291" s="13"/>
      <c r="D291" s="52">
        <f t="shared" si="520"/>
        <v>43617</v>
      </c>
      <c r="E291" s="53">
        <f t="shared" si="521"/>
        <v>2019</v>
      </c>
      <c r="F291" s="53">
        <f t="shared" si="522"/>
        <v>65</v>
      </c>
      <c r="G291" s="58">
        <f t="shared" ref="G291:AL291" ca="1" si="608">+IF(OR($F291+G$175&lt;1,(G$176-1)*12&lt;-$F291),0,OFFSET(G121,0,$F291))</f>
        <v>0</v>
      </c>
      <c r="H291" s="58">
        <f t="shared" ca="1" si="608"/>
        <v>0</v>
      </c>
      <c r="I291" s="58">
        <f t="shared" ca="1" si="608"/>
        <v>0</v>
      </c>
      <c r="J291" s="58">
        <f t="shared" ca="1" si="608"/>
        <v>0</v>
      </c>
      <c r="K291" s="58">
        <f t="shared" ca="1" si="608"/>
        <v>0</v>
      </c>
      <c r="L291" s="58">
        <f t="shared" ca="1" si="608"/>
        <v>0</v>
      </c>
      <c r="M291" s="58">
        <f t="shared" ca="1" si="608"/>
        <v>0</v>
      </c>
      <c r="N291" s="58">
        <f t="shared" ca="1" si="608"/>
        <v>0</v>
      </c>
      <c r="O291" s="58">
        <f t="shared" ca="1" si="608"/>
        <v>0</v>
      </c>
      <c r="P291" s="58">
        <f t="shared" ca="1" si="608"/>
        <v>0</v>
      </c>
      <c r="Q291" s="58">
        <f t="shared" ca="1" si="608"/>
        <v>0</v>
      </c>
      <c r="R291" s="58">
        <f t="shared" ca="1" si="608"/>
        <v>0</v>
      </c>
      <c r="S291" s="58">
        <f t="shared" ca="1" si="608"/>
        <v>0</v>
      </c>
      <c r="T291" s="58">
        <f t="shared" ca="1" si="608"/>
        <v>0</v>
      </c>
      <c r="U291" s="58">
        <f t="shared" ca="1" si="608"/>
        <v>0</v>
      </c>
      <c r="V291" s="58">
        <f t="shared" ca="1" si="608"/>
        <v>0</v>
      </c>
      <c r="W291" s="58">
        <f t="shared" ca="1" si="608"/>
        <v>0</v>
      </c>
      <c r="X291" s="58">
        <f t="shared" ca="1" si="608"/>
        <v>0</v>
      </c>
      <c r="Y291" s="58">
        <f t="shared" ca="1" si="608"/>
        <v>0</v>
      </c>
      <c r="Z291" s="58">
        <f t="shared" ca="1" si="608"/>
        <v>0</v>
      </c>
      <c r="AA291" s="58">
        <f t="shared" ca="1" si="608"/>
        <v>0</v>
      </c>
      <c r="AB291" s="58">
        <f t="shared" ca="1" si="608"/>
        <v>0</v>
      </c>
      <c r="AC291" s="58">
        <f t="shared" ca="1" si="608"/>
        <v>0</v>
      </c>
      <c r="AD291" s="58">
        <f t="shared" ca="1" si="608"/>
        <v>0</v>
      </c>
      <c r="AE291" s="58">
        <f t="shared" ca="1" si="608"/>
        <v>0</v>
      </c>
      <c r="AF291" s="58">
        <f t="shared" ca="1" si="608"/>
        <v>0</v>
      </c>
      <c r="AG291" s="58">
        <f t="shared" ca="1" si="608"/>
        <v>0</v>
      </c>
      <c r="AH291" s="58">
        <f t="shared" ca="1" si="608"/>
        <v>0</v>
      </c>
      <c r="AI291" s="58">
        <f t="shared" ca="1" si="608"/>
        <v>0</v>
      </c>
      <c r="AJ291" s="58">
        <f t="shared" ca="1" si="608"/>
        <v>0</v>
      </c>
      <c r="AK291" s="58">
        <f t="shared" ca="1" si="608"/>
        <v>0</v>
      </c>
      <c r="AL291" s="58">
        <f t="shared" ca="1" si="608"/>
        <v>0</v>
      </c>
      <c r="AM291" s="58">
        <f t="shared" ref="AM291:BR291" ca="1" si="609">+IF(OR($F291+AM$175&lt;1,(AM$176-1)*12&lt;-$F291),0,OFFSET(AM121,0,$F291))</f>
        <v>0</v>
      </c>
      <c r="AN291" s="58">
        <f t="shared" ca="1" si="609"/>
        <v>0</v>
      </c>
      <c r="AO291" s="58">
        <f t="shared" ca="1" si="609"/>
        <v>0</v>
      </c>
      <c r="AP291" s="58">
        <f t="shared" ca="1" si="609"/>
        <v>0</v>
      </c>
      <c r="AQ291" s="58">
        <f t="shared" ca="1" si="609"/>
        <v>0</v>
      </c>
      <c r="AR291" s="58">
        <f t="shared" ca="1" si="609"/>
        <v>0</v>
      </c>
      <c r="AS291" s="58">
        <f t="shared" ca="1" si="609"/>
        <v>0</v>
      </c>
      <c r="AT291" s="58">
        <f t="shared" ca="1" si="609"/>
        <v>0</v>
      </c>
      <c r="AU291" s="58">
        <f t="shared" ca="1" si="609"/>
        <v>0</v>
      </c>
      <c r="AV291" s="58">
        <f t="shared" ca="1" si="609"/>
        <v>0</v>
      </c>
      <c r="AW291" s="58">
        <f t="shared" ca="1" si="609"/>
        <v>0</v>
      </c>
      <c r="AX291" s="58">
        <f t="shared" ca="1" si="609"/>
        <v>0</v>
      </c>
      <c r="AY291" s="58">
        <f t="shared" ca="1" si="609"/>
        <v>0</v>
      </c>
      <c r="AZ291" s="58">
        <f t="shared" ca="1" si="609"/>
        <v>0</v>
      </c>
      <c r="BA291" s="58">
        <f t="shared" ca="1" si="609"/>
        <v>0</v>
      </c>
      <c r="BB291" s="58">
        <f t="shared" ca="1" si="609"/>
        <v>0</v>
      </c>
      <c r="BC291" s="58">
        <f t="shared" ca="1" si="609"/>
        <v>0</v>
      </c>
      <c r="BD291" s="58">
        <f t="shared" ca="1" si="609"/>
        <v>0</v>
      </c>
      <c r="BE291" s="58">
        <f t="shared" ca="1" si="609"/>
        <v>0</v>
      </c>
      <c r="BF291" s="58">
        <f t="shared" ca="1" si="609"/>
        <v>0</v>
      </c>
      <c r="BG291" s="58">
        <f t="shared" ca="1" si="609"/>
        <v>0</v>
      </c>
      <c r="BH291" s="58">
        <f t="shared" ca="1" si="609"/>
        <v>0</v>
      </c>
      <c r="BI291" s="58">
        <f t="shared" ca="1" si="609"/>
        <v>0</v>
      </c>
      <c r="BJ291" s="58">
        <f t="shared" ca="1" si="609"/>
        <v>0</v>
      </c>
      <c r="BK291" s="58">
        <f t="shared" ca="1" si="609"/>
        <v>0</v>
      </c>
      <c r="BL291" s="58">
        <f t="shared" ca="1" si="609"/>
        <v>0</v>
      </c>
      <c r="BM291" s="58">
        <f t="shared" ca="1" si="609"/>
        <v>0</v>
      </c>
      <c r="BN291" s="58">
        <f t="shared" ca="1" si="609"/>
        <v>0</v>
      </c>
      <c r="BO291" s="58">
        <f t="shared" ca="1" si="609"/>
        <v>0</v>
      </c>
      <c r="BP291" s="58">
        <f t="shared" ca="1" si="609"/>
        <v>0</v>
      </c>
      <c r="BQ291" s="58">
        <f t="shared" ca="1" si="609"/>
        <v>0</v>
      </c>
      <c r="BR291" s="58">
        <f t="shared" ca="1" si="609"/>
        <v>0</v>
      </c>
      <c r="BS291" s="58">
        <f t="shared" ref="BS291:CX291" ca="1" si="610">+IF(OR($F291+BS$175&lt;1,(BS$176-1)*12&lt;-$F291),0,OFFSET(BS121,0,$F291))</f>
        <v>0</v>
      </c>
      <c r="BT291" s="58">
        <f t="shared" ca="1" si="610"/>
        <v>0</v>
      </c>
      <c r="BU291" s="58">
        <f t="shared" ca="1" si="610"/>
        <v>0</v>
      </c>
      <c r="BV291" s="58">
        <f t="shared" ca="1" si="610"/>
        <v>0</v>
      </c>
      <c r="BW291" s="58">
        <f t="shared" ca="1" si="610"/>
        <v>0</v>
      </c>
      <c r="BX291" s="58">
        <f t="shared" ca="1" si="610"/>
        <v>0</v>
      </c>
      <c r="BY291" s="58">
        <f t="shared" ca="1" si="610"/>
        <v>0</v>
      </c>
      <c r="BZ291" s="58">
        <f t="shared" ca="1" si="610"/>
        <v>0</v>
      </c>
      <c r="CA291" s="58">
        <f t="shared" ca="1" si="610"/>
        <v>0</v>
      </c>
      <c r="CB291" s="58">
        <f t="shared" ca="1" si="610"/>
        <v>0</v>
      </c>
      <c r="CC291" s="58">
        <f t="shared" ca="1" si="610"/>
        <v>0</v>
      </c>
      <c r="CD291" s="58">
        <f t="shared" ca="1" si="610"/>
        <v>0</v>
      </c>
      <c r="CE291" s="58">
        <f t="shared" ca="1" si="610"/>
        <v>0</v>
      </c>
      <c r="CF291" s="58">
        <f t="shared" ca="1" si="610"/>
        <v>0</v>
      </c>
      <c r="CG291" s="58">
        <f t="shared" ca="1" si="610"/>
        <v>0</v>
      </c>
      <c r="CH291" s="58">
        <f t="shared" ca="1" si="610"/>
        <v>0</v>
      </c>
      <c r="CI291" s="58">
        <f t="shared" ca="1" si="610"/>
        <v>0</v>
      </c>
      <c r="CJ291" s="58">
        <f t="shared" ca="1" si="610"/>
        <v>0</v>
      </c>
      <c r="CK291" s="58">
        <f t="shared" ca="1" si="610"/>
        <v>0</v>
      </c>
      <c r="CL291" s="58">
        <f t="shared" ca="1" si="610"/>
        <v>0</v>
      </c>
      <c r="CM291" s="58">
        <f t="shared" ca="1" si="610"/>
        <v>0</v>
      </c>
      <c r="CN291" s="58">
        <f t="shared" ca="1" si="610"/>
        <v>0</v>
      </c>
      <c r="CO291" s="58">
        <f t="shared" ca="1" si="610"/>
        <v>0</v>
      </c>
      <c r="CP291" s="58">
        <f t="shared" ca="1" si="610"/>
        <v>0</v>
      </c>
      <c r="CQ291" s="58">
        <f t="shared" ca="1" si="610"/>
        <v>0</v>
      </c>
      <c r="CR291" s="58">
        <f t="shared" ca="1" si="610"/>
        <v>0</v>
      </c>
      <c r="CS291" s="58">
        <f t="shared" ca="1" si="610"/>
        <v>0</v>
      </c>
      <c r="CT291" s="58">
        <f t="shared" ca="1" si="610"/>
        <v>0</v>
      </c>
      <c r="CU291" s="58">
        <f t="shared" ca="1" si="610"/>
        <v>0</v>
      </c>
      <c r="CV291" s="58">
        <f t="shared" ca="1" si="610"/>
        <v>0</v>
      </c>
      <c r="CW291" s="58">
        <f t="shared" ca="1" si="610"/>
        <v>0</v>
      </c>
      <c r="CX291" s="58">
        <f t="shared" ca="1" si="610"/>
        <v>0</v>
      </c>
      <c r="CY291" s="58">
        <f t="shared" ref="CY291:ED291" ca="1" si="611">+IF(OR($F291+CY$175&lt;1,(CY$176-1)*12&lt;-$F291),0,OFFSET(CY121,0,$F291))</f>
        <v>0</v>
      </c>
      <c r="CZ291" s="58">
        <f t="shared" ca="1" si="611"/>
        <v>0</v>
      </c>
      <c r="DA291" s="58">
        <f t="shared" ca="1" si="611"/>
        <v>0</v>
      </c>
      <c r="DB291" s="58">
        <f t="shared" ca="1" si="611"/>
        <v>0</v>
      </c>
      <c r="DC291" s="58">
        <f t="shared" ca="1" si="611"/>
        <v>0</v>
      </c>
      <c r="DD291" s="58">
        <f t="shared" ca="1" si="611"/>
        <v>0</v>
      </c>
      <c r="DE291" s="58">
        <f t="shared" ca="1" si="611"/>
        <v>0</v>
      </c>
      <c r="DF291" s="58">
        <f t="shared" ca="1" si="611"/>
        <v>0</v>
      </c>
      <c r="DG291" s="58">
        <f t="shared" ca="1" si="611"/>
        <v>0</v>
      </c>
      <c r="DH291" s="58">
        <f t="shared" ca="1" si="611"/>
        <v>0</v>
      </c>
      <c r="DI291" s="58">
        <f t="shared" ca="1" si="611"/>
        <v>0</v>
      </c>
      <c r="DJ291" s="58">
        <f t="shared" ca="1" si="611"/>
        <v>0</v>
      </c>
      <c r="DK291" s="58">
        <f t="shared" ca="1" si="611"/>
        <v>0</v>
      </c>
      <c r="DL291" s="58">
        <f t="shared" ca="1" si="611"/>
        <v>0</v>
      </c>
      <c r="DM291" s="58">
        <f t="shared" ca="1" si="611"/>
        <v>0</v>
      </c>
      <c r="DN291" s="58">
        <f t="shared" ca="1" si="611"/>
        <v>0</v>
      </c>
      <c r="DO291" s="58">
        <f t="shared" ca="1" si="611"/>
        <v>0</v>
      </c>
      <c r="DP291" s="58">
        <f t="shared" ca="1" si="611"/>
        <v>0</v>
      </c>
      <c r="DQ291" s="58">
        <f t="shared" ca="1" si="611"/>
        <v>0</v>
      </c>
      <c r="DR291" s="58">
        <f t="shared" ca="1" si="611"/>
        <v>0</v>
      </c>
      <c r="DS291" s="58">
        <f t="shared" ca="1" si="611"/>
        <v>0</v>
      </c>
      <c r="DT291" s="58">
        <f t="shared" ca="1" si="611"/>
        <v>0</v>
      </c>
      <c r="DU291" s="58">
        <f t="shared" ca="1" si="611"/>
        <v>0</v>
      </c>
      <c r="DV291" s="58">
        <f t="shared" ca="1" si="611"/>
        <v>0</v>
      </c>
      <c r="DW291" s="58">
        <f t="shared" ca="1" si="611"/>
        <v>0</v>
      </c>
      <c r="DX291" s="58">
        <f t="shared" ca="1" si="611"/>
        <v>0</v>
      </c>
      <c r="DY291" s="58">
        <f t="shared" ca="1" si="611"/>
        <v>0</v>
      </c>
      <c r="DZ291" s="58">
        <f t="shared" ca="1" si="611"/>
        <v>0</v>
      </c>
      <c r="EA291" s="58">
        <f t="shared" ca="1" si="611"/>
        <v>0</v>
      </c>
      <c r="EB291" s="58">
        <f t="shared" ca="1" si="611"/>
        <v>0</v>
      </c>
      <c r="EC291" s="58">
        <f t="shared" ca="1" si="611"/>
        <v>0</v>
      </c>
      <c r="ED291" s="58">
        <f t="shared" ca="1" si="611"/>
        <v>0</v>
      </c>
      <c r="EE291" s="58">
        <f t="shared" ref="EE291:FN291" ca="1" si="612">+IF(OR($F291+EE$175&lt;1,(EE$176-1)*12&lt;-$F291),0,OFFSET(EE121,0,$F291))</f>
        <v>0</v>
      </c>
      <c r="EF291" s="58">
        <f t="shared" ca="1" si="612"/>
        <v>0</v>
      </c>
      <c r="EG291" s="58">
        <f t="shared" ca="1" si="612"/>
        <v>0</v>
      </c>
      <c r="EH291" s="58">
        <f t="shared" ca="1" si="612"/>
        <v>0</v>
      </c>
      <c r="EI291" s="58">
        <f t="shared" ca="1" si="612"/>
        <v>0</v>
      </c>
      <c r="EJ291" s="58">
        <f t="shared" ca="1" si="612"/>
        <v>0</v>
      </c>
      <c r="EK291" s="58">
        <f t="shared" ca="1" si="612"/>
        <v>0</v>
      </c>
      <c r="EL291" s="58">
        <f t="shared" ca="1" si="612"/>
        <v>0</v>
      </c>
      <c r="EM291" s="58">
        <f t="shared" ca="1" si="612"/>
        <v>0</v>
      </c>
      <c r="EN291" s="58">
        <f t="shared" ca="1" si="612"/>
        <v>0</v>
      </c>
      <c r="EO291" s="58">
        <f t="shared" ca="1" si="612"/>
        <v>0</v>
      </c>
      <c r="EP291" s="58">
        <f t="shared" ca="1" si="612"/>
        <v>0</v>
      </c>
      <c r="EQ291" s="58">
        <f t="shared" ca="1" si="612"/>
        <v>0</v>
      </c>
      <c r="ER291" s="58">
        <f t="shared" ca="1" si="612"/>
        <v>0</v>
      </c>
      <c r="ES291" s="58">
        <f t="shared" ca="1" si="612"/>
        <v>0</v>
      </c>
      <c r="ET291" s="58">
        <f t="shared" ca="1" si="612"/>
        <v>0</v>
      </c>
      <c r="EU291" s="58">
        <f t="shared" ca="1" si="612"/>
        <v>0</v>
      </c>
      <c r="EV291" s="58">
        <f t="shared" ca="1" si="612"/>
        <v>0</v>
      </c>
      <c r="EW291" s="58">
        <f t="shared" ca="1" si="612"/>
        <v>0</v>
      </c>
      <c r="EX291" s="58">
        <f t="shared" ca="1" si="612"/>
        <v>0</v>
      </c>
      <c r="EY291" s="58">
        <f t="shared" ca="1" si="612"/>
        <v>0</v>
      </c>
      <c r="EZ291" s="58">
        <f t="shared" ca="1" si="612"/>
        <v>0</v>
      </c>
      <c r="FA291" s="58">
        <f t="shared" ca="1" si="612"/>
        <v>0</v>
      </c>
      <c r="FB291" s="58">
        <f t="shared" ca="1" si="612"/>
        <v>0</v>
      </c>
      <c r="FC291" s="58">
        <f t="shared" ca="1" si="612"/>
        <v>0</v>
      </c>
      <c r="FD291" s="58">
        <f t="shared" ca="1" si="612"/>
        <v>0</v>
      </c>
      <c r="FE291" s="58">
        <f t="shared" ca="1" si="612"/>
        <v>0</v>
      </c>
      <c r="FF291" s="58">
        <f t="shared" ca="1" si="612"/>
        <v>0</v>
      </c>
      <c r="FG291" s="58">
        <f t="shared" ca="1" si="612"/>
        <v>0</v>
      </c>
      <c r="FH291" s="58">
        <f t="shared" ca="1" si="612"/>
        <v>0</v>
      </c>
      <c r="FI291" s="58">
        <f t="shared" ca="1" si="612"/>
        <v>0</v>
      </c>
      <c r="FJ291" s="58">
        <f t="shared" ca="1" si="612"/>
        <v>0</v>
      </c>
      <c r="FK291" s="58">
        <f t="shared" ca="1" si="612"/>
        <v>0</v>
      </c>
      <c r="FL291" s="58">
        <f t="shared" ca="1" si="612"/>
        <v>0</v>
      </c>
      <c r="FM291" s="58">
        <f t="shared" ca="1" si="612"/>
        <v>0</v>
      </c>
      <c r="FN291" s="58">
        <f t="shared" ca="1" si="612"/>
        <v>0</v>
      </c>
      <c r="FO291" s="13"/>
    </row>
    <row r="292" spans="1:171" outlineLevel="1" x14ac:dyDescent="0.3">
      <c r="A292" s="13"/>
      <c r="B292" s="13"/>
      <c r="C292" s="13"/>
      <c r="D292" s="52">
        <f t="shared" si="520"/>
        <v>43647</v>
      </c>
      <c r="E292" s="53">
        <f t="shared" si="521"/>
        <v>2019</v>
      </c>
      <c r="F292" s="53">
        <f t="shared" si="522"/>
        <v>66</v>
      </c>
      <c r="G292" s="58">
        <f t="shared" ref="G292:AL292" ca="1" si="613">+IF(OR($F292+G$175&lt;1,(G$176-1)*12&lt;-$F292),0,OFFSET(G122,0,$F292))</f>
        <v>0</v>
      </c>
      <c r="H292" s="58">
        <f t="shared" ca="1" si="613"/>
        <v>0</v>
      </c>
      <c r="I292" s="58">
        <f t="shared" ca="1" si="613"/>
        <v>0</v>
      </c>
      <c r="J292" s="58">
        <f t="shared" ca="1" si="613"/>
        <v>0</v>
      </c>
      <c r="K292" s="58">
        <f t="shared" ca="1" si="613"/>
        <v>0</v>
      </c>
      <c r="L292" s="58">
        <f t="shared" ca="1" si="613"/>
        <v>0</v>
      </c>
      <c r="M292" s="58">
        <f t="shared" ca="1" si="613"/>
        <v>0</v>
      </c>
      <c r="N292" s="58">
        <f t="shared" ca="1" si="613"/>
        <v>0</v>
      </c>
      <c r="O292" s="58">
        <f t="shared" ca="1" si="613"/>
        <v>0</v>
      </c>
      <c r="P292" s="58">
        <f t="shared" ca="1" si="613"/>
        <v>0</v>
      </c>
      <c r="Q292" s="58">
        <f t="shared" ca="1" si="613"/>
        <v>0</v>
      </c>
      <c r="R292" s="58">
        <f t="shared" ca="1" si="613"/>
        <v>0</v>
      </c>
      <c r="S292" s="58">
        <f t="shared" ca="1" si="613"/>
        <v>0</v>
      </c>
      <c r="T292" s="58">
        <f t="shared" ca="1" si="613"/>
        <v>0</v>
      </c>
      <c r="U292" s="58">
        <f t="shared" ca="1" si="613"/>
        <v>0</v>
      </c>
      <c r="V292" s="58">
        <f t="shared" ca="1" si="613"/>
        <v>0</v>
      </c>
      <c r="W292" s="58">
        <f t="shared" ca="1" si="613"/>
        <v>0</v>
      </c>
      <c r="X292" s="58">
        <f t="shared" ca="1" si="613"/>
        <v>0</v>
      </c>
      <c r="Y292" s="58">
        <f t="shared" ca="1" si="613"/>
        <v>0</v>
      </c>
      <c r="Z292" s="58">
        <f t="shared" ca="1" si="613"/>
        <v>0</v>
      </c>
      <c r="AA292" s="58">
        <f t="shared" ca="1" si="613"/>
        <v>0</v>
      </c>
      <c r="AB292" s="58">
        <f t="shared" ca="1" si="613"/>
        <v>0</v>
      </c>
      <c r="AC292" s="58">
        <f t="shared" ca="1" si="613"/>
        <v>0</v>
      </c>
      <c r="AD292" s="58">
        <f t="shared" ca="1" si="613"/>
        <v>0</v>
      </c>
      <c r="AE292" s="58">
        <f t="shared" ca="1" si="613"/>
        <v>0</v>
      </c>
      <c r="AF292" s="58">
        <f t="shared" ca="1" si="613"/>
        <v>0</v>
      </c>
      <c r="AG292" s="58">
        <f t="shared" ca="1" si="613"/>
        <v>0</v>
      </c>
      <c r="AH292" s="58">
        <f t="shared" ca="1" si="613"/>
        <v>0</v>
      </c>
      <c r="AI292" s="58">
        <f t="shared" ca="1" si="613"/>
        <v>0</v>
      </c>
      <c r="AJ292" s="58">
        <f t="shared" ca="1" si="613"/>
        <v>0</v>
      </c>
      <c r="AK292" s="58">
        <f t="shared" ca="1" si="613"/>
        <v>0</v>
      </c>
      <c r="AL292" s="58">
        <f t="shared" ca="1" si="613"/>
        <v>0</v>
      </c>
      <c r="AM292" s="58">
        <f t="shared" ref="AM292:BR292" ca="1" si="614">+IF(OR($F292+AM$175&lt;1,(AM$176-1)*12&lt;-$F292),0,OFFSET(AM122,0,$F292))</f>
        <v>0</v>
      </c>
      <c r="AN292" s="58">
        <f t="shared" ca="1" si="614"/>
        <v>0</v>
      </c>
      <c r="AO292" s="58">
        <f t="shared" ca="1" si="614"/>
        <v>0</v>
      </c>
      <c r="AP292" s="58">
        <f t="shared" ca="1" si="614"/>
        <v>0</v>
      </c>
      <c r="AQ292" s="58">
        <f t="shared" ca="1" si="614"/>
        <v>0</v>
      </c>
      <c r="AR292" s="58">
        <f t="shared" ca="1" si="614"/>
        <v>0</v>
      </c>
      <c r="AS292" s="58">
        <f t="shared" ca="1" si="614"/>
        <v>0</v>
      </c>
      <c r="AT292" s="58">
        <f t="shared" ca="1" si="614"/>
        <v>0</v>
      </c>
      <c r="AU292" s="58">
        <f t="shared" ca="1" si="614"/>
        <v>0</v>
      </c>
      <c r="AV292" s="58">
        <f t="shared" ca="1" si="614"/>
        <v>0</v>
      </c>
      <c r="AW292" s="58">
        <f t="shared" ca="1" si="614"/>
        <v>0</v>
      </c>
      <c r="AX292" s="58">
        <f t="shared" ca="1" si="614"/>
        <v>0</v>
      </c>
      <c r="AY292" s="58">
        <f t="shared" ca="1" si="614"/>
        <v>0</v>
      </c>
      <c r="AZ292" s="58">
        <f t="shared" ca="1" si="614"/>
        <v>0</v>
      </c>
      <c r="BA292" s="58">
        <f t="shared" ca="1" si="614"/>
        <v>0</v>
      </c>
      <c r="BB292" s="58">
        <f t="shared" ca="1" si="614"/>
        <v>0</v>
      </c>
      <c r="BC292" s="58">
        <f t="shared" ca="1" si="614"/>
        <v>0</v>
      </c>
      <c r="BD292" s="58">
        <f t="shared" ca="1" si="614"/>
        <v>0</v>
      </c>
      <c r="BE292" s="58">
        <f t="shared" ca="1" si="614"/>
        <v>0</v>
      </c>
      <c r="BF292" s="58">
        <f t="shared" ca="1" si="614"/>
        <v>0</v>
      </c>
      <c r="BG292" s="58">
        <f t="shared" ca="1" si="614"/>
        <v>0</v>
      </c>
      <c r="BH292" s="58">
        <f t="shared" ca="1" si="614"/>
        <v>0</v>
      </c>
      <c r="BI292" s="58">
        <f t="shared" ca="1" si="614"/>
        <v>0</v>
      </c>
      <c r="BJ292" s="58">
        <f t="shared" ca="1" si="614"/>
        <v>0</v>
      </c>
      <c r="BK292" s="58">
        <f t="shared" ca="1" si="614"/>
        <v>0</v>
      </c>
      <c r="BL292" s="58">
        <f t="shared" ca="1" si="614"/>
        <v>0</v>
      </c>
      <c r="BM292" s="58">
        <f t="shared" ca="1" si="614"/>
        <v>0</v>
      </c>
      <c r="BN292" s="58">
        <f t="shared" ca="1" si="614"/>
        <v>0</v>
      </c>
      <c r="BO292" s="58">
        <f t="shared" ca="1" si="614"/>
        <v>0</v>
      </c>
      <c r="BP292" s="58">
        <f t="shared" ca="1" si="614"/>
        <v>0</v>
      </c>
      <c r="BQ292" s="58">
        <f t="shared" ca="1" si="614"/>
        <v>0</v>
      </c>
      <c r="BR292" s="58">
        <f t="shared" ca="1" si="614"/>
        <v>0</v>
      </c>
      <c r="BS292" s="58">
        <f t="shared" ref="BS292:CX292" ca="1" si="615">+IF(OR($F292+BS$175&lt;1,(BS$176-1)*12&lt;-$F292),0,OFFSET(BS122,0,$F292))</f>
        <v>0</v>
      </c>
      <c r="BT292" s="58">
        <f t="shared" ca="1" si="615"/>
        <v>0</v>
      </c>
      <c r="BU292" s="58">
        <f t="shared" ca="1" si="615"/>
        <v>0</v>
      </c>
      <c r="BV292" s="58">
        <f t="shared" ca="1" si="615"/>
        <v>0</v>
      </c>
      <c r="BW292" s="58">
        <f t="shared" ca="1" si="615"/>
        <v>0</v>
      </c>
      <c r="BX292" s="58">
        <f t="shared" ca="1" si="615"/>
        <v>0</v>
      </c>
      <c r="BY292" s="58">
        <f t="shared" ca="1" si="615"/>
        <v>0</v>
      </c>
      <c r="BZ292" s="58">
        <f t="shared" ca="1" si="615"/>
        <v>0</v>
      </c>
      <c r="CA292" s="58">
        <f t="shared" ca="1" si="615"/>
        <v>0</v>
      </c>
      <c r="CB292" s="58">
        <f t="shared" ca="1" si="615"/>
        <v>0</v>
      </c>
      <c r="CC292" s="58">
        <f t="shared" ca="1" si="615"/>
        <v>0</v>
      </c>
      <c r="CD292" s="58">
        <f t="shared" ca="1" si="615"/>
        <v>0</v>
      </c>
      <c r="CE292" s="58">
        <f t="shared" ca="1" si="615"/>
        <v>0</v>
      </c>
      <c r="CF292" s="58">
        <f t="shared" ca="1" si="615"/>
        <v>0</v>
      </c>
      <c r="CG292" s="58">
        <f t="shared" ca="1" si="615"/>
        <v>0</v>
      </c>
      <c r="CH292" s="58">
        <f t="shared" ca="1" si="615"/>
        <v>0</v>
      </c>
      <c r="CI292" s="58">
        <f t="shared" ca="1" si="615"/>
        <v>0</v>
      </c>
      <c r="CJ292" s="58">
        <f t="shared" ca="1" si="615"/>
        <v>0</v>
      </c>
      <c r="CK292" s="58">
        <f t="shared" ca="1" si="615"/>
        <v>0</v>
      </c>
      <c r="CL292" s="58">
        <f t="shared" ca="1" si="615"/>
        <v>0</v>
      </c>
      <c r="CM292" s="58">
        <f t="shared" ca="1" si="615"/>
        <v>0</v>
      </c>
      <c r="CN292" s="58">
        <f t="shared" ca="1" si="615"/>
        <v>0</v>
      </c>
      <c r="CO292" s="58">
        <f t="shared" ca="1" si="615"/>
        <v>0</v>
      </c>
      <c r="CP292" s="58">
        <f t="shared" ca="1" si="615"/>
        <v>0</v>
      </c>
      <c r="CQ292" s="58">
        <f t="shared" ca="1" si="615"/>
        <v>0</v>
      </c>
      <c r="CR292" s="58">
        <f t="shared" ca="1" si="615"/>
        <v>0</v>
      </c>
      <c r="CS292" s="58">
        <f t="shared" ca="1" si="615"/>
        <v>0</v>
      </c>
      <c r="CT292" s="58">
        <f t="shared" ca="1" si="615"/>
        <v>0</v>
      </c>
      <c r="CU292" s="58">
        <f t="shared" ca="1" si="615"/>
        <v>0</v>
      </c>
      <c r="CV292" s="58">
        <f t="shared" ca="1" si="615"/>
        <v>0</v>
      </c>
      <c r="CW292" s="58">
        <f t="shared" ca="1" si="615"/>
        <v>0</v>
      </c>
      <c r="CX292" s="58">
        <f t="shared" ca="1" si="615"/>
        <v>0</v>
      </c>
      <c r="CY292" s="58">
        <f t="shared" ref="CY292:ED292" ca="1" si="616">+IF(OR($F292+CY$175&lt;1,(CY$176-1)*12&lt;-$F292),0,OFFSET(CY122,0,$F292))</f>
        <v>0</v>
      </c>
      <c r="CZ292" s="58">
        <f t="shared" ca="1" si="616"/>
        <v>0</v>
      </c>
      <c r="DA292" s="58">
        <f t="shared" ca="1" si="616"/>
        <v>0</v>
      </c>
      <c r="DB292" s="58">
        <f t="shared" ca="1" si="616"/>
        <v>0</v>
      </c>
      <c r="DC292" s="58">
        <f t="shared" ca="1" si="616"/>
        <v>0</v>
      </c>
      <c r="DD292" s="58">
        <f t="shared" ca="1" si="616"/>
        <v>0</v>
      </c>
      <c r="DE292" s="58">
        <f t="shared" ca="1" si="616"/>
        <v>0</v>
      </c>
      <c r="DF292" s="58">
        <f t="shared" ca="1" si="616"/>
        <v>0</v>
      </c>
      <c r="DG292" s="58">
        <f t="shared" ca="1" si="616"/>
        <v>0</v>
      </c>
      <c r="DH292" s="58">
        <f t="shared" ca="1" si="616"/>
        <v>0</v>
      </c>
      <c r="DI292" s="58">
        <f t="shared" ca="1" si="616"/>
        <v>0</v>
      </c>
      <c r="DJ292" s="58">
        <f t="shared" ca="1" si="616"/>
        <v>0</v>
      </c>
      <c r="DK292" s="58">
        <f t="shared" ca="1" si="616"/>
        <v>0</v>
      </c>
      <c r="DL292" s="58">
        <f t="shared" ca="1" si="616"/>
        <v>0</v>
      </c>
      <c r="DM292" s="58">
        <f t="shared" ca="1" si="616"/>
        <v>0</v>
      </c>
      <c r="DN292" s="58">
        <f t="shared" ca="1" si="616"/>
        <v>0</v>
      </c>
      <c r="DO292" s="58">
        <f t="shared" ca="1" si="616"/>
        <v>0</v>
      </c>
      <c r="DP292" s="58">
        <f t="shared" ca="1" si="616"/>
        <v>0</v>
      </c>
      <c r="DQ292" s="58">
        <f t="shared" ca="1" si="616"/>
        <v>0</v>
      </c>
      <c r="DR292" s="58">
        <f t="shared" ca="1" si="616"/>
        <v>0</v>
      </c>
      <c r="DS292" s="58">
        <f t="shared" ca="1" si="616"/>
        <v>0</v>
      </c>
      <c r="DT292" s="58">
        <f t="shared" ca="1" si="616"/>
        <v>0</v>
      </c>
      <c r="DU292" s="58">
        <f t="shared" ca="1" si="616"/>
        <v>0</v>
      </c>
      <c r="DV292" s="58">
        <f t="shared" ca="1" si="616"/>
        <v>0</v>
      </c>
      <c r="DW292" s="58">
        <f t="shared" ca="1" si="616"/>
        <v>0</v>
      </c>
      <c r="DX292" s="58">
        <f t="shared" ca="1" si="616"/>
        <v>0</v>
      </c>
      <c r="DY292" s="58">
        <f t="shared" ca="1" si="616"/>
        <v>0</v>
      </c>
      <c r="DZ292" s="58">
        <f t="shared" ca="1" si="616"/>
        <v>0</v>
      </c>
      <c r="EA292" s="58">
        <f t="shared" ca="1" si="616"/>
        <v>0</v>
      </c>
      <c r="EB292" s="58">
        <f t="shared" ca="1" si="616"/>
        <v>0</v>
      </c>
      <c r="EC292" s="58">
        <f t="shared" ca="1" si="616"/>
        <v>0</v>
      </c>
      <c r="ED292" s="58">
        <f t="shared" ca="1" si="616"/>
        <v>0</v>
      </c>
      <c r="EE292" s="58">
        <f t="shared" ref="EE292:FN292" ca="1" si="617">+IF(OR($F292+EE$175&lt;1,(EE$176-1)*12&lt;-$F292),0,OFFSET(EE122,0,$F292))</f>
        <v>0</v>
      </c>
      <c r="EF292" s="58">
        <f t="shared" ca="1" si="617"/>
        <v>0</v>
      </c>
      <c r="EG292" s="58">
        <f t="shared" ca="1" si="617"/>
        <v>0</v>
      </c>
      <c r="EH292" s="58">
        <f t="shared" ca="1" si="617"/>
        <v>0</v>
      </c>
      <c r="EI292" s="58">
        <f t="shared" ca="1" si="617"/>
        <v>0</v>
      </c>
      <c r="EJ292" s="58">
        <f t="shared" ca="1" si="617"/>
        <v>0</v>
      </c>
      <c r="EK292" s="58">
        <f t="shared" ca="1" si="617"/>
        <v>0</v>
      </c>
      <c r="EL292" s="58">
        <f t="shared" ca="1" si="617"/>
        <v>0</v>
      </c>
      <c r="EM292" s="58">
        <f t="shared" ca="1" si="617"/>
        <v>0</v>
      </c>
      <c r="EN292" s="58">
        <f t="shared" ca="1" si="617"/>
        <v>0</v>
      </c>
      <c r="EO292" s="58">
        <f t="shared" ca="1" si="617"/>
        <v>0</v>
      </c>
      <c r="EP292" s="58">
        <f t="shared" ca="1" si="617"/>
        <v>0</v>
      </c>
      <c r="EQ292" s="58">
        <f t="shared" ca="1" si="617"/>
        <v>0</v>
      </c>
      <c r="ER292" s="58">
        <f t="shared" ca="1" si="617"/>
        <v>0</v>
      </c>
      <c r="ES292" s="58">
        <f t="shared" ca="1" si="617"/>
        <v>0</v>
      </c>
      <c r="ET292" s="58">
        <f t="shared" ca="1" si="617"/>
        <v>0</v>
      </c>
      <c r="EU292" s="58">
        <f t="shared" ca="1" si="617"/>
        <v>0</v>
      </c>
      <c r="EV292" s="58">
        <f t="shared" ca="1" si="617"/>
        <v>0</v>
      </c>
      <c r="EW292" s="58">
        <f t="shared" ca="1" si="617"/>
        <v>0</v>
      </c>
      <c r="EX292" s="58">
        <f t="shared" ca="1" si="617"/>
        <v>0</v>
      </c>
      <c r="EY292" s="58">
        <f t="shared" ca="1" si="617"/>
        <v>0</v>
      </c>
      <c r="EZ292" s="58">
        <f t="shared" ca="1" si="617"/>
        <v>0</v>
      </c>
      <c r="FA292" s="58">
        <f t="shared" ca="1" si="617"/>
        <v>0</v>
      </c>
      <c r="FB292" s="58">
        <f t="shared" ca="1" si="617"/>
        <v>0</v>
      </c>
      <c r="FC292" s="58">
        <f t="shared" ca="1" si="617"/>
        <v>0</v>
      </c>
      <c r="FD292" s="58">
        <f t="shared" ca="1" si="617"/>
        <v>0</v>
      </c>
      <c r="FE292" s="58">
        <f t="shared" ca="1" si="617"/>
        <v>0</v>
      </c>
      <c r="FF292" s="58">
        <f t="shared" ca="1" si="617"/>
        <v>0</v>
      </c>
      <c r="FG292" s="58">
        <f t="shared" ca="1" si="617"/>
        <v>0</v>
      </c>
      <c r="FH292" s="58">
        <f t="shared" ca="1" si="617"/>
        <v>0</v>
      </c>
      <c r="FI292" s="58">
        <f t="shared" ca="1" si="617"/>
        <v>0</v>
      </c>
      <c r="FJ292" s="58">
        <f t="shared" ca="1" si="617"/>
        <v>0</v>
      </c>
      <c r="FK292" s="58">
        <f t="shared" ca="1" si="617"/>
        <v>0</v>
      </c>
      <c r="FL292" s="58">
        <f t="shared" ca="1" si="617"/>
        <v>0</v>
      </c>
      <c r="FM292" s="58">
        <f t="shared" ca="1" si="617"/>
        <v>0</v>
      </c>
      <c r="FN292" s="58">
        <f t="shared" ca="1" si="617"/>
        <v>0</v>
      </c>
      <c r="FO292" s="13"/>
    </row>
    <row r="293" spans="1:171" outlineLevel="1" x14ac:dyDescent="0.3">
      <c r="A293" s="13"/>
      <c r="B293" s="13"/>
      <c r="C293" s="13"/>
      <c r="D293" s="52">
        <f t="shared" si="520"/>
        <v>43678</v>
      </c>
      <c r="E293" s="53">
        <f t="shared" si="521"/>
        <v>2019</v>
      </c>
      <c r="F293" s="53">
        <f t="shared" si="522"/>
        <v>67</v>
      </c>
      <c r="G293" s="58">
        <f t="shared" ref="G293:AL293" ca="1" si="618">+IF(OR($F293+G$175&lt;1,(G$176-1)*12&lt;-$F293),0,OFFSET(G123,0,$F293))</f>
        <v>0</v>
      </c>
      <c r="H293" s="58">
        <f t="shared" ca="1" si="618"/>
        <v>0</v>
      </c>
      <c r="I293" s="58">
        <f t="shared" ca="1" si="618"/>
        <v>0</v>
      </c>
      <c r="J293" s="58">
        <f t="shared" ca="1" si="618"/>
        <v>0</v>
      </c>
      <c r="K293" s="58">
        <f t="shared" ca="1" si="618"/>
        <v>0</v>
      </c>
      <c r="L293" s="58">
        <f t="shared" ca="1" si="618"/>
        <v>0</v>
      </c>
      <c r="M293" s="58">
        <f t="shared" ca="1" si="618"/>
        <v>0</v>
      </c>
      <c r="N293" s="58">
        <f t="shared" ca="1" si="618"/>
        <v>0</v>
      </c>
      <c r="O293" s="58">
        <f t="shared" ca="1" si="618"/>
        <v>0</v>
      </c>
      <c r="P293" s="58">
        <f t="shared" ca="1" si="618"/>
        <v>0</v>
      </c>
      <c r="Q293" s="58">
        <f t="shared" ca="1" si="618"/>
        <v>0</v>
      </c>
      <c r="R293" s="58">
        <f t="shared" ca="1" si="618"/>
        <v>0</v>
      </c>
      <c r="S293" s="58">
        <f t="shared" ca="1" si="618"/>
        <v>0</v>
      </c>
      <c r="T293" s="58">
        <f t="shared" ca="1" si="618"/>
        <v>0</v>
      </c>
      <c r="U293" s="58">
        <f t="shared" ca="1" si="618"/>
        <v>0</v>
      </c>
      <c r="V293" s="58">
        <f t="shared" ca="1" si="618"/>
        <v>0</v>
      </c>
      <c r="W293" s="58">
        <f t="shared" ca="1" si="618"/>
        <v>0</v>
      </c>
      <c r="X293" s="58">
        <f t="shared" ca="1" si="618"/>
        <v>0</v>
      </c>
      <c r="Y293" s="58">
        <f t="shared" ca="1" si="618"/>
        <v>0</v>
      </c>
      <c r="Z293" s="58">
        <f t="shared" ca="1" si="618"/>
        <v>0</v>
      </c>
      <c r="AA293" s="58">
        <f t="shared" ca="1" si="618"/>
        <v>0</v>
      </c>
      <c r="AB293" s="58">
        <f t="shared" ca="1" si="618"/>
        <v>0</v>
      </c>
      <c r="AC293" s="58">
        <f t="shared" ca="1" si="618"/>
        <v>0</v>
      </c>
      <c r="AD293" s="58">
        <f t="shared" ca="1" si="618"/>
        <v>0</v>
      </c>
      <c r="AE293" s="58">
        <f t="shared" ca="1" si="618"/>
        <v>0</v>
      </c>
      <c r="AF293" s="58">
        <f t="shared" ca="1" si="618"/>
        <v>0</v>
      </c>
      <c r="AG293" s="58">
        <f t="shared" ca="1" si="618"/>
        <v>0</v>
      </c>
      <c r="AH293" s="58">
        <f t="shared" ca="1" si="618"/>
        <v>0</v>
      </c>
      <c r="AI293" s="58">
        <f t="shared" ca="1" si="618"/>
        <v>0</v>
      </c>
      <c r="AJ293" s="58">
        <f t="shared" ca="1" si="618"/>
        <v>0</v>
      </c>
      <c r="AK293" s="58">
        <f t="shared" ca="1" si="618"/>
        <v>0</v>
      </c>
      <c r="AL293" s="58">
        <f t="shared" ca="1" si="618"/>
        <v>0</v>
      </c>
      <c r="AM293" s="58">
        <f t="shared" ref="AM293:BR293" ca="1" si="619">+IF(OR($F293+AM$175&lt;1,(AM$176-1)*12&lt;-$F293),0,OFFSET(AM123,0,$F293))</f>
        <v>0</v>
      </c>
      <c r="AN293" s="58">
        <f t="shared" ca="1" si="619"/>
        <v>0</v>
      </c>
      <c r="AO293" s="58">
        <f t="shared" ca="1" si="619"/>
        <v>0</v>
      </c>
      <c r="AP293" s="58">
        <f t="shared" ca="1" si="619"/>
        <v>0</v>
      </c>
      <c r="AQ293" s="58">
        <f t="shared" ca="1" si="619"/>
        <v>0</v>
      </c>
      <c r="AR293" s="58">
        <f t="shared" ca="1" si="619"/>
        <v>0</v>
      </c>
      <c r="AS293" s="58">
        <f t="shared" ca="1" si="619"/>
        <v>0</v>
      </c>
      <c r="AT293" s="58">
        <f t="shared" ca="1" si="619"/>
        <v>0</v>
      </c>
      <c r="AU293" s="58">
        <f t="shared" ca="1" si="619"/>
        <v>0</v>
      </c>
      <c r="AV293" s="58">
        <f t="shared" ca="1" si="619"/>
        <v>0</v>
      </c>
      <c r="AW293" s="58">
        <f t="shared" ca="1" si="619"/>
        <v>0</v>
      </c>
      <c r="AX293" s="58">
        <f t="shared" ca="1" si="619"/>
        <v>0</v>
      </c>
      <c r="AY293" s="58">
        <f t="shared" ca="1" si="619"/>
        <v>0</v>
      </c>
      <c r="AZ293" s="58">
        <f t="shared" ca="1" si="619"/>
        <v>0</v>
      </c>
      <c r="BA293" s="58">
        <f t="shared" ca="1" si="619"/>
        <v>0</v>
      </c>
      <c r="BB293" s="58">
        <f t="shared" ca="1" si="619"/>
        <v>0</v>
      </c>
      <c r="BC293" s="58">
        <f t="shared" ca="1" si="619"/>
        <v>0</v>
      </c>
      <c r="BD293" s="58">
        <f t="shared" ca="1" si="619"/>
        <v>0</v>
      </c>
      <c r="BE293" s="58">
        <f t="shared" ca="1" si="619"/>
        <v>0</v>
      </c>
      <c r="BF293" s="58">
        <f t="shared" ca="1" si="619"/>
        <v>0</v>
      </c>
      <c r="BG293" s="58">
        <f t="shared" ca="1" si="619"/>
        <v>0</v>
      </c>
      <c r="BH293" s="58">
        <f t="shared" ca="1" si="619"/>
        <v>0</v>
      </c>
      <c r="BI293" s="58">
        <f t="shared" ca="1" si="619"/>
        <v>0</v>
      </c>
      <c r="BJ293" s="58">
        <f t="shared" ca="1" si="619"/>
        <v>0</v>
      </c>
      <c r="BK293" s="58">
        <f t="shared" ca="1" si="619"/>
        <v>0</v>
      </c>
      <c r="BL293" s="58">
        <f t="shared" ca="1" si="619"/>
        <v>0</v>
      </c>
      <c r="BM293" s="58">
        <f t="shared" ca="1" si="619"/>
        <v>0</v>
      </c>
      <c r="BN293" s="58">
        <f t="shared" ca="1" si="619"/>
        <v>0</v>
      </c>
      <c r="BO293" s="58">
        <f t="shared" ca="1" si="619"/>
        <v>0</v>
      </c>
      <c r="BP293" s="58">
        <f t="shared" ca="1" si="619"/>
        <v>0</v>
      </c>
      <c r="BQ293" s="58">
        <f t="shared" ca="1" si="619"/>
        <v>0</v>
      </c>
      <c r="BR293" s="58">
        <f t="shared" ca="1" si="619"/>
        <v>0</v>
      </c>
      <c r="BS293" s="58">
        <f t="shared" ref="BS293:CX293" ca="1" si="620">+IF(OR($F293+BS$175&lt;1,(BS$176-1)*12&lt;-$F293),0,OFFSET(BS123,0,$F293))</f>
        <v>0</v>
      </c>
      <c r="BT293" s="58">
        <f t="shared" ca="1" si="620"/>
        <v>0</v>
      </c>
      <c r="BU293" s="58">
        <f t="shared" ca="1" si="620"/>
        <v>0</v>
      </c>
      <c r="BV293" s="58">
        <f t="shared" ca="1" si="620"/>
        <v>0</v>
      </c>
      <c r="BW293" s="58">
        <f t="shared" ca="1" si="620"/>
        <v>0</v>
      </c>
      <c r="BX293" s="58">
        <f t="shared" ca="1" si="620"/>
        <v>0</v>
      </c>
      <c r="BY293" s="58">
        <f t="shared" ca="1" si="620"/>
        <v>0</v>
      </c>
      <c r="BZ293" s="58">
        <f t="shared" ca="1" si="620"/>
        <v>0</v>
      </c>
      <c r="CA293" s="58">
        <f t="shared" ca="1" si="620"/>
        <v>0</v>
      </c>
      <c r="CB293" s="58">
        <f t="shared" ca="1" si="620"/>
        <v>0</v>
      </c>
      <c r="CC293" s="58">
        <f t="shared" ca="1" si="620"/>
        <v>0</v>
      </c>
      <c r="CD293" s="58">
        <f t="shared" ca="1" si="620"/>
        <v>0</v>
      </c>
      <c r="CE293" s="58">
        <f t="shared" ca="1" si="620"/>
        <v>0</v>
      </c>
      <c r="CF293" s="58">
        <f t="shared" ca="1" si="620"/>
        <v>0</v>
      </c>
      <c r="CG293" s="58">
        <f t="shared" ca="1" si="620"/>
        <v>0</v>
      </c>
      <c r="CH293" s="58">
        <f t="shared" ca="1" si="620"/>
        <v>0</v>
      </c>
      <c r="CI293" s="58">
        <f t="shared" ca="1" si="620"/>
        <v>0</v>
      </c>
      <c r="CJ293" s="58">
        <f t="shared" ca="1" si="620"/>
        <v>0</v>
      </c>
      <c r="CK293" s="58">
        <f t="shared" ca="1" si="620"/>
        <v>0</v>
      </c>
      <c r="CL293" s="58">
        <f t="shared" ca="1" si="620"/>
        <v>0</v>
      </c>
      <c r="CM293" s="58">
        <f t="shared" ca="1" si="620"/>
        <v>0</v>
      </c>
      <c r="CN293" s="58">
        <f t="shared" ca="1" si="620"/>
        <v>0</v>
      </c>
      <c r="CO293" s="58">
        <f t="shared" ca="1" si="620"/>
        <v>0</v>
      </c>
      <c r="CP293" s="58">
        <f t="shared" ca="1" si="620"/>
        <v>0</v>
      </c>
      <c r="CQ293" s="58">
        <f t="shared" ca="1" si="620"/>
        <v>0</v>
      </c>
      <c r="CR293" s="58">
        <f t="shared" ca="1" si="620"/>
        <v>0</v>
      </c>
      <c r="CS293" s="58">
        <f t="shared" ca="1" si="620"/>
        <v>0</v>
      </c>
      <c r="CT293" s="58">
        <f t="shared" ca="1" si="620"/>
        <v>0</v>
      </c>
      <c r="CU293" s="58">
        <f t="shared" ca="1" si="620"/>
        <v>0</v>
      </c>
      <c r="CV293" s="58">
        <f t="shared" ca="1" si="620"/>
        <v>0</v>
      </c>
      <c r="CW293" s="58">
        <f t="shared" ca="1" si="620"/>
        <v>0</v>
      </c>
      <c r="CX293" s="58">
        <f t="shared" ca="1" si="620"/>
        <v>0</v>
      </c>
      <c r="CY293" s="58">
        <f t="shared" ref="CY293:ED293" ca="1" si="621">+IF(OR($F293+CY$175&lt;1,(CY$176-1)*12&lt;-$F293),0,OFFSET(CY123,0,$F293))</f>
        <v>0</v>
      </c>
      <c r="CZ293" s="58">
        <f t="shared" ca="1" si="621"/>
        <v>0</v>
      </c>
      <c r="DA293" s="58">
        <f t="shared" ca="1" si="621"/>
        <v>0</v>
      </c>
      <c r="DB293" s="58">
        <f t="shared" ca="1" si="621"/>
        <v>0</v>
      </c>
      <c r="DC293" s="58">
        <f t="shared" ca="1" si="621"/>
        <v>0</v>
      </c>
      <c r="DD293" s="58">
        <f t="shared" ca="1" si="621"/>
        <v>0</v>
      </c>
      <c r="DE293" s="58">
        <f t="shared" ca="1" si="621"/>
        <v>0</v>
      </c>
      <c r="DF293" s="58">
        <f t="shared" ca="1" si="621"/>
        <v>0</v>
      </c>
      <c r="DG293" s="58">
        <f t="shared" ca="1" si="621"/>
        <v>0</v>
      </c>
      <c r="DH293" s="58">
        <f t="shared" ca="1" si="621"/>
        <v>0</v>
      </c>
      <c r="DI293" s="58">
        <f t="shared" ca="1" si="621"/>
        <v>0</v>
      </c>
      <c r="DJ293" s="58">
        <f t="shared" ca="1" si="621"/>
        <v>0</v>
      </c>
      <c r="DK293" s="58">
        <f t="shared" ca="1" si="621"/>
        <v>0</v>
      </c>
      <c r="DL293" s="58">
        <f t="shared" ca="1" si="621"/>
        <v>0</v>
      </c>
      <c r="DM293" s="58">
        <f t="shared" ca="1" si="621"/>
        <v>0</v>
      </c>
      <c r="DN293" s="58">
        <f t="shared" ca="1" si="621"/>
        <v>0</v>
      </c>
      <c r="DO293" s="58">
        <f t="shared" ca="1" si="621"/>
        <v>0</v>
      </c>
      <c r="DP293" s="58">
        <f t="shared" ca="1" si="621"/>
        <v>0</v>
      </c>
      <c r="DQ293" s="58">
        <f t="shared" ca="1" si="621"/>
        <v>0</v>
      </c>
      <c r="DR293" s="58">
        <f t="shared" ca="1" si="621"/>
        <v>0</v>
      </c>
      <c r="DS293" s="58">
        <f t="shared" ca="1" si="621"/>
        <v>0</v>
      </c>
      <c r="DT293" s="58">
        <f t="shared" ca="1" si="621"/>
        <v>0</v>
      </c>
      <c r="DU293" s="58">
        <f t="shared" ca="1" si="621"/>
        <v>0</v>
      </c>
      <c r="DV293" s="58">
        <f t="shared" ca="1" si="621"/>
        <v>0</v>
      </c>
      <c r="DW293" s="58">
        <f t="shared" ca="1" si="621"/>
        <v>0</v>
      </c>
      <c r="DX293" s="58">
        <f t="shared" ca="1" si="621"/>
        <v>0</v>
      </c>
      <c r="DY293" s="58">
        <f t="shared" ca="1" si="621"/>
        <v>0</v>
      </c>
      <c r="DZ293" s="58">
        <f t="shared" ca="1" si="621"/>
        <v>0</v>
      </c>
      <c r="EA293" s="58">
        <f t="shared" ca="1" si="621"/>
        <v>0</v>
      </c>
      <c r="EB293" s="58">
        <f t="shared" ca="1" si="621"/>
        <v>0</v>
      </c>
      <c r="EC293" s="58">
        <f t="shared" ca="1" si="621"/>
        <v>0</v>
      </c>
      <c r="ED293" s="58">
        <f t="shared" ca="1" si="621"/>
        <v>0</v>
      </c>
      <c r="EE293" s="58">
        <f t="shared" ref="EE293:FN293" ca="1" si="622">+IF(OR($F293+EE$175&lt;1,(EE$176-1)*12&lt;-$F293),0,OFFSET(EE123,0,$F293))</f>
        <v>0</v>
      </c>
      <c r="EF293" s="58">
        <f t="shared" ca="1" si="622"/>
        <v>0</v>
      </c>
      <c r="EG293" s="58">
        <f t="shared" ca="1" si="622"/>
        <v>0</v>
      </c>
      <c r="EH293" s="58">
        <f t="shared" ca="1" si="622"/>
        <v>0</v>
      </c>
      <c r="EI293" s="58">
        <f t="shared" ca="1" si="622"/>
        <v>0</v>
      </c>
      <c r="EJ293" s="58">
        <f t="shared" ca="1" si="622"/>
        <v>0</v>
      </c>
      <c r="EK293" s="58">
        <f t="shared" ca="1" si="622"/>
        <v>0</v>
      </c>
      <c r="EL293" s="58">
        <f t="shared" ca="1" si="622"/>
        <v>0</v>
      </c>
      <c r="EM293" s="58">
        <f t="shared" ca="1" si="622"/>
        <v>0</v>
      </c>
      <c r="EN293" s="58">
        <f t="shared" ca="1" si="622"/>
        <v>0</v>
      </c>
      <c r="EO293" s="58">
        <f t="shared" ca="1" si="622"/>
        <v>0</v>
      </c>
      <c r="EP293" s="58">
        <f t="shared" ca="1" si="622"/>
        <v>0</v>
      </c>
      <c r="EQ293" s="58">
        <f t="shared" ca="1" si="622"/>
        <v>0</v>
      </c>
      <c r="ER293" s="58">
        <f t="shared" ca="1" si="622"/>
        <v>0</v>
      </c>
      <c r="ES293" s="58">
        <f t="shared" ca="1" si="622"/>
        <v>0</v>
      </c>
      <c r="ET293" s="58">
        <f t="shared" ca="1" si="622"/>
        <v>0</v>
      </c>
      <c r="EU293" s="58">
        <f t="shared" ca="1" si="622"/>
        <v>0</v>
      </c>
      <c r="EV293" s="58">
        <f t="shared" ca="1" si="622"/>
        <v>0</v>
      </c>
      <c r="EW293" s="58">
        <f t="shared" ca="1" si="622"/>
        <v>0</v>
      </c>
      <c r="EX293" s="58">
        <f t="shared" ca="1" si="622"/>
        <v>0</v>
      </c>
      <c r="EY293" s="58">
        <f t="shared" ca="1" si="622"/>
        <v>0</v>
      </c>
      <c r="EZ293" s="58">
        <f t="shared" ca="1" si="622"/>
        <v>0</v>
      </c>
      <c r="FA293" s="58">
        <f t="shared" ca="1" si="622"/>
        <v>0</v>
      </c>
      <c r="FB293" s="58">
        <f t="shared" ca="1" si="622"/>
        <v>0</v>
      </c>
      <c r="FC293" s="58">
        <f t="shared" ca="1" si="622"/>
        <v>0</v>
      </c>
      <c r="FD293" s="58">
        <f t="shared" ca="1" si="622"/>
        <v>0</v>
      </c>
      <c r="FE293" s="58">
        <f t="shared" ca="1" si="622"/>
        <v>0</v>
      </c>
      <c r="FF293" s="58">
        <f t="shared" ca="1" si="622"/>
        <v>0</v>
      </c>
      <c r="FG293" s="58">
        <f t="shared" ca="1" si="622"/>
        <v>0</v>
      </c>
      <c r="FH293" s="58">
        <f t="shared" ca="1" si="622"/>
        <v>0</v>
      </c>
      <c r="FI293" s="58">
        <f t="shared" ca="1" si="622"/>
        <v>0</v>
      </c>
      <c r="FJ293" s="58">
        <f t="shared" ca="1" si="622"/>
        <v>0</v>
      </c>
      <c r="FK293" s="58">
        <f t="shared" ca="1" si="622"/>
        <v>0</v>
      </c>
      <c r="FL293" s="58">
        <f t="shared" ca="1" si="622"/>
        <v>0</v>
      </c>
      <c r="FM293" s="58">
        <f t="shared" ca="1" si="622"/>
        <v>0</v>
      </c>
      <c r="FN293" s="58">
        <f t="shared" ca="1" si="622"/>
        <v>0</v>
      </c>
      <c r="FO293" s="13"/>
    </row>
    <row r="294" spans="1:171" outlineLevel="1" x14ac:dyDescent="0.3">
      <c r="A294" s="13"/>
      <c r="B294" s="13"/>
      <c r="C294" s="13"/>
      <c r="D294" s="52">
        <f t="shared" si="520"/>
        <v>43709</v>
      </c>
      <c r="E294" s="53">
        <f t="shared" si="521"/>
        <v>2019</v>
      </c>
      <c r="F294" s="53">
        <f t="shared" si="522"/>
        <v>68</v>
      </c>
      <c r="G294" s="58">
        <f t="shared" ref="G294:AL294" ca="1" si="623">+IF(OR($F294+G$175&lt;1,(G$176-1)*12&lt;-$F294),0,OFFSET(G124,0,$F294))</f>
        <v>0</v>
      </c>
      <c r="H294" s="58">
        <f t="shared" ca="1" si="623"/>
        <v>0</v>
      </c>
      <c r="I294" s="58">
        <f t="shared" ca="1" si="623"/>
        <v>0</v>
      </c>
      <c r="J294" s="58">
        <f t="shared" ca="1" si="623"/>
        <v>0</v>
      </c>
      <c r="K294" s="58">
        <f t="shared" ca="1" si="623"/>
        <v>0</v>
      </c>
      <c r="L294" s="58">
        <f t="shared" ca="1" si="623"/>
        <v>0</v>
      </c>
      <c r="M294" s="58">
        <f t="shared" ca="1" si="623"/>
        <v>0</v>
      </c>
      <c r="N294" s="58">
        <f t="shared" ca="1" si="623"/>
        <v>0</v>
      </c>
      <c r="O294" s="58">
        <f t="shared" ca="1" si="623"/>
        <v>0</v>
      </c>
      <c r="P294" s="58">
        <f t="shared" ca="1" si="623"/>
        <v>0</v>
      </c>
      <c r="Q294" s="58">
        <f t="shared" ca="1" si="623"/>
        <v>0</v>
      </c>
      <c r="R294" s="58">
        <f t="shared" ca="1" si="623"/>
        <v>0</v>
      </c>
      <c r="S294" s="58">
        <f t="shared" ca="1" si="623"/>
        <v>0</v>
      </c>
      <c r="T294" s="58">
        <f t="shared" ca="1" si="623"/>
        <v>0</v>
      </c>
      <c r="U294" s="58">
        <f t="shared" ca="1" si="623"/>
        <v>0</v>
      </c>
      <c r="V294" s="58">
        <f t="shared" ca="1" si="623"/>
        <v>0</v>
      </c>
      <c r="W294" s="58">
        <f t="shared" ca="1" si="623"/>
        <v>0</v>
      </c>
      <c r="X294" s="58">
        <f t="shared" ca="1" si="623"/>
        <v>0</v>
      </c>
      <c r="Y294" s="58">
        <f t="shared" ca="1" si="623"/>
        <v>0</v>
      </c>
      <c r="Z294" s="58">
        <f t="shared" ca="1" si="623"/>
        <v>0</v>
      </c>
      <c r="AA294" s="58">
        <f t="shared" ca="1" si="623"/>
        <v>0</v>
      </c>
      <c r="AB294" s="58">
        <f t="shared" ca="1" si="623"/>
        <v>0</v>
      </c>
      <c r="AC294" s="58">
        <f t="shared" ca="1" si="623"/>
        <v>0</v>
      </c>
      <c r="AD294" s="58">
        <f t="shared" ca="1" si="623"/>
        <v>0</v>
      </c>
      <c r="AE294" s="58">
        <f t="shared" ca="1" si="623"/>
        <v>0</v>
      </c>
      <c r="AF294" s="58">
        <f t="shared" ca="1" si="623"/>
        <v>0</v>
      </c>
      <c r="AG294" s="58">
        <f t="shared" ca="1" si="623"/>
        <v>0</v>
      </c>
      <c r="AH294" s="58">
        <f t="shared" ca="1" si="623"/>
        <v>0</v>
      </c>
      <c r="AI294" s="58">
        <f t="shared" ca="1" si="623"/>
        <v>0</v>
      </c>
      <c r="AJ294" s="58">
        <f t="shared" ca="1" si="623"/>
        <v>0</v>
      </c>
      <c r="AK294" s="58">
        <f t="shared" ca="1" si="623"/>
        <v>0</v>
      </c>
      <c r="AL294" s="58">
        <f t="shared" ca="1" si="623"/>
        <v>0</v>
      </c>
      <c r="AM294" s="58">
        <f t="shared" ref="AM294:BR294" ca="1" si="624">+IF(OR($F294+AM$175&lt;1,(AM$176-1)*12&lt;-$F294),0,OFFSET(AM124,0,$F294))</f>
        <v>0</v>
      </c>
      <c r="AN294" s="58">
        <f t="shared" ca="1" si="624"/>
        <v>0</v>
      </c>
      <c r="AO294" s="58">
        <f t="shared" ca="1" si="624"/>
        <v>0</v>
      </c>
      <c r="AP294" s="58">
        <f t="shared" ca="1" si="624"/>
        <v>0</v>
      </c>
      <c r="AQ294" s="58">
        <f t="shared" ca="1" si="624"/>
        <v>0</v>
      </c>
      <c r="AR294" s="58">
        <f t="shared" ca="1" si="624"/>
        <v>0</v>
      </c>
      <c r="AS294" s="58">
        <f t="shared" ca="1" si="624"/>
        <v>0</v>
      </c>
      <c r="AT294" s="58">
        <f t="shared" ca="1" si="624"/>
        <v>0</v>
      </c>
      <c r="AU294" s="58">
        <f t="shared" ca="1" si="624"/>
        <v>0</v>
      </c>
      <c r="AV294" s="58">
        <f t="shared" ca="1" si="624"/>
        <v>0</v>
      </c>
      <c r="AW294" s="58">
        <f t="shared" ca="1" si="624"/>
        <v>0</v>
      </c>
      <c r="AX294" s="58">
        <f t="shared" ca="1" si="624"/>
        <v>0</v>
      </c>
      <c r="AY294" s="58">
        <f t="shared" ca="1" si="624"/>
        <v>0</v>
      </c>
      <c r="AZ294" s="58">
        <f t="shared" ca="1" si="624"/>
        <v>0</v>
      </c>
      <c r="BA294" s="58">
        <f t="shared" ca="1" si="624"/>
        <v>0</v>
      </c>
      <c r="BB294" s="58">
        <f t="shared" ca="1" si="624"/>
        <v>0</v>
      </c>
      <c r="BC294" s="58">
        <f t="shared" ca="1" si="624"/>
        <v>0</v>
      </c>
      <c r="BD294" s="58">
        <f t="shared" ca="1" si="624"/>
        <v>0</v>
      </c>
      <c r="BE294" s="58">
        <f t="shared" ca="1" si="624"/>
        <v>0</v>
      </c>
      <c r="BF294" s="58">
        <f t="shared" ca="1" si="624"/>
        <v>0</v>
      </c>
      <c r="BG294" s="58">
        <f t="shared" ca="1" si="624"/>
        <v>0</v>
      </c>
      <c r="BH294" s="58">
        <f t="shared" ca="1" si="624"/>
        <v>0</v>
      </c>
      <c r="BI294" s="58">
        <f t="shared" ca="1" si="624"/>
        <v>0</v>
      </c>
      <c r="BJ294" s="58">
        <f t="shared" ca="1" si="624"/>
        <v>0</v>
      </c>
      <c r="BK294" s="58">
        <f t="shared" ca="1" si="624"/>
        <v>0</v>
      </c>
      <c r="BL294" s="58">
        <f t="shared" ca="1" si="624"/>
        <v>0</v>
      </c>
      <c r="BM294" s="58">
        <f t="shared" ca="1" si="624"/>
        <v>0</v>
      </c>
      <c r="BN294" s="58">
        <f t="shared" ca="1" si="624"/>
        <v>0</v>
      </c>
      <c r="BO294" s="58">
        <f t="shared" ca="1" si="624"/>
        <v>0</v>
      </c>
      <c r="BP294" s="58">
        <f t="shared" ca="1" si="624"/>
        <v>0</v>
      </c>
      <c r="BQ294" s="58">
        <f t="shared" ca="1" si="624"/>
        <v>0</v>
      </c>
      <c r="BR294" s="58">
        <f t="shared" ca="1" si="624"/>
        <v>0</v>
      </c>
      <c r="BS294" s="58">
        <f t="shared" ref="BS294:CX294" ca="1" si="625">+IF(OR($F294+BS$175&lt;1,(BS$176-1)*12&lt;-$F294),0,OFFSET(BS124,0,$F294))</f>
        <v>0</v>
      </c>
      <c r="BT294" s="58">
        <f t="shared" ca="1" si="625"/>
        <v>0</v>
      </c>
      <c r="BU294" s="58">
        <f t="shared" ca="1" si="625"/>
        <v>0</v>
      </c>
      <c r="BV294" s="58">
        <f t="shared" ca="1" si="625"/>
        <v>0</v>
      </c>
      <c r="BW294" s="58">
        <f t="shared" ca="1" si="625"/>
        <v>0</v>
      </c>
      <c r="BX294" s="58">
        <f t="shared" ca="1" si="625"/>
        <v>0</v>
      </c>
      <c r="BY294" s="58">
        <f t="shared" ca="1" si="625"/>
        <v>0</v>
      </c>
      <c r="BZ294" s="58">
        <f t="shared" ca="1" si="625"/>
        <v>0</v>
      </c>
      <c r="CA294" s="58">
        <f t="shared" ca="1" si="625"/>
        <v>0</v>
      </c>
      <c r="CB294" s="58">
        <f t="shared" ca="1" si="625"/>
        <v>0</v>
      </c>
      <c r="CC294" s="58">
        <f t="shared" ca="1" si="625"/>
        <v>0</v>
      </c>
      <c r="CD294" s="58">
        <f t="shared" ca="1" si="625"/>
        <v>0</v>
      </c>
      <c r="CE294" s="58">
        <f t="shared" ca="1" si="625"/>
        <v>0</v>
      </c>
      <c r="CF294" s="58">
        <f t="shared" ca="1" si="625"/>
        <v>0</v>
      </c>
      <c r="CG294" s="58">
        <f t="shared" ca="1" si="625"/>
        <v>0</v>
      </c>
      <c r="CH294" s="58">
        <f t="shared" ca="1" si="625"/>
        <v>0</v>
      </c>
      <c r="CI294" s="58">
        <f t="shared" ca="1" si="625"/>
        <v>0</v>
      </c>
      <c r="CJ294" s="58">
        <f t="shared" ca="1" si="625"/>
        <v>0</v>
      </c>
      <c r="CK294" s="58">
        <f t="shared" ca="1" si="625"/>
        <v>0</v>
      </c>
      <c r="CL294" s="58">
        <f t="shared" ca="1" si="625"/>
        <v>0</v>
      </c>
      <c r="CM294" s="58">
        <f t="shared" ca="1" si="625"/>
        <v>0</v>
      </c>
      <c r="CN294" s="58">
        <f t="shared" ca="1" si="625"/>
        <v>0</v>
      </c>
      <c r="CO294" s="58">
        <f t="shared" ca="1" si="625"/>
        <v>0</v>
      </c>
      <c r="CP294" s="58">
        <f t="shared" ca="1" si="625"/>
        <v>0</v>
      </c>
      <c r="CQ294" s="58">
        <f t="shared" ca="1" si="625"/>
        <v>0</v>
      </c>
      <c r="CR294" s="58">
        <f t="shared" ca="1" si="625"/>
        <v>0</v>
      </c>
      <c r="CS294" s="58">
        <f t="shared" ca="1" si="625"/>
        <v>0</v>
      </c>
      <c r="CT294" s="58">
        <f t="shared" ca="1" si="625"/>
        <v>0</v>
      </c>
      <c r="CU294" s="58">
        <f t="shared" ca="1" si="625"/>
        <v>0</v>
      </c>
      <c r="CV294" s="58">
        <f t="shared" ca="1" si="625"/>
        <v>0</v>
      </c>
      <c r="CW294" s="58">
        <f t="shared" ca="1" si="625"/>
        <v>0</v>
      </c>
      <c r="CX294" s="58">
        <f t="shared" ca="1" si="625"/>
        <v>0</v>
      </c>
      <c r="CY294" s="58">
        <f t="shared" ref="CY294:ED294" ca="1" si="626">+IF(OR($F294+CY$175&lt;1,(CY$176-1)*12&lt;-$F294),0,OFFSET(CY124,0,$F294))</f>
        <v>0</v>
      </c>
      <c r="CZ294" s="58">
        <f t="shared" ca="1" si="626"/>
        <v>0</v>
      </c>
      <c r="DA294" s="58">
        <f t="shared" ca="1" si="626"/>
        <v>0</v>
      </c>
      <c r="DB294" s="58">
        <f t="shared" ca="1" si="626"/>
        <v>0</v>
      </c>
      <c r="DC294" s="58">
        <f t="shared" ca="1" si="626"/>
        <v>0</v>
      </c>
      <c r="DD294" s="58">
        <f t="shared" ca="1" si="626"/>
        <v>0</v>
      </c>
      <c r="DE294" s="58">
        <f t="shared" ca="1" si="626"/>
        <v>0</v>
      </c>
      <c r="DF294" s="58">
        <f t="shared" ca="1" si="626"/>
        <v>0</v>
      </c>
      <c r="DG294" s="58">
        <f t="shared" ca="1" si="626"/>
        <v>0</v>
      </c>
      <c r="DH294" s="58">
        <f t="shared" ca="1" si="626"/>
        <v>0</v>
      </c>
      <c r="DI294" s="58">
        <f t="shared" ca="1" si="626"/>
        <v>0</v>
      </c>
      <c r="DJ294" s="58">
        <f t="shared" ca="1" si="626"/>
        <v>0</v>
      </c>
      <c r="DK294" s="58">
        <f t="shared" ca="1" si="626"/>
        <v>0</v>
      </c>
      <c r="DL294" s="58">
        <f t="shared" ca="1" si="626"/>
        <v>0</v>
      </c>
      <c r="DM294" s="58">
        <f t="shared" ca="1" si="626"/>
        <v>0</v>
      </c>
      <c r="DN294" s="58">
        <f t="shared" ca="1" si="626"/>
        <v>0</v>
      </c>
      <c r="DO294" s="58">
        <f t="shared" ca="1" si="626"/>
        <v>0</v>
      </c>
      <c r="DP294" s="58">
        <f t="shared" ca="1" si="626"/>
        <v>0</v>
      </c>
      <c r="DQ294" s="58">
        <f t="shared" ca="1" si="626"/>
        <v>0</v>
      </c>
      <c r="DR294" s="58">
        <f t="shared" ca="1" si="626"/>
        <v>0</v>
      </c>
      <c r="DS294" s="58">
        <f t="shared" ca="1" si="626"/>
        <v>0</v>
      </c>
      <c r="DT294" s="58">
        <f t="shared" ca="1" si="626"/>
        <v>0</v>
      </c>
      <c r="DU294" s="58">
        <f t="shared" ca="1" si="626"/>
        <v>0</v>
      </c>
      <c r="DV294" s="58">
        <f t="shared" ca="1" si="626"/>
        <v>0</v>
      </c>
      <c r="DW294" s="58">
        <f t="shared" ca="1" si="626"/>
        <v>0</v>
      </c>
      <c r="DX294" s="58">
        <f t="shared" ca="1" si="626"/>
        <v>0</v>
      </c>
      <c r="DY294" s="58">
        <f t="shared" ca="1" si="626"/>
        <v>0</v>
      </c>
      <c r="DZ294" s="58">
        <f t="shared" ca="1" si="626"/>
        <v>0</v>
      </c>
      <c r="EA294" s="58">
        <f t="shared" ca="1" si="626"/>
        <v>0</v>
      </c>
      <c r="EB294" s="58">
        <f t="shared" ca="1" si="626"/>
        <v>0</v>
      </c>
      <c r="EC294" s="58">
        <f t="shared" ca="1" si="626"/>
        <v>0</v>
      </c>
      <c r="ED294" s="58">
        <f t="shared" ca="1" si="626"/>
        <v>0</v>
      </c>
      <c r="EE294" s="58">
        <f t="shared" ref="EE294:FN294" ca="1" si="627">+IF(OR($F294+EE$175&lt;1,(EE$176-1)*12&lt;-$F294),0,OFFSET(EE124,0,$F294))</f>
        <v>0</v>
      </c>
      <c r="EF294" s="58">
        <f t="shared" ca="1" si="627"/>
        <v>0</v>
      </c>
      <c r="EG294" s="58">
        <f t="shared" ca="1" si="627"/>
        <v>0</v>
      </c>
      <c r="EH294" s="58">
        <f t="shared" ca="1" si="627"/>
        <v>0</v>
      </c>
      <c r="EI294" s="58">
        <f t="shared" ca="1" si="627"/>
        <v>0</v>
      </c>
      <c r="EJ294" s="58">
        <f t="shared" ca="1" si="627"/>
        <v>0</v>
      </c>
      <c r="EK294" s="58">
        <f t="shared" ca="1" si="627"/>
        <v>0</v>
      </c>
      <c r="EL294" s="58">
        <f t="shared" ca="1" si="627"/>
        <v>0</v>
      </c>
      <c r="EM294" s="58">
        <f t="shared" ca="1" si="627"/>
        <v>0</v>
      </c>
      <c r="EN294" s="58">
        <f t="shared" ca="1" si="627"/>
        <v>0</v>
      </c>
      <c r="EO294" s="58">
        <f t="shared" ca="1" si="627"/>
        <v>0</v>
      </c>
      <c r="EP294" s="58">
        <f t="shared" ca="1" si="627"/>
        <v>0</v>
      </c>
      <c r="EQ294" s="58">
        <f t="shared" ca="1" si="627"/>
        <v>0</v>
      </c>
      <c r="ER294" s="58">
        <f t="shared" ca="1" si="627"/>
        <v>0</v>
      </c>
      <c r="ES294" s="58">
        <f t="shared" ca="1" si="627"/>
        <v>0</v>
      </c>
      <c r="ET294" s="58">
        <f t="shared" ca="1" si="627"/>
        <v>0</v>
      </c>
      <c r="EU294" s="58">
        <f t="shared" ca="1" si="627"/>
        <v>0</v>
      </c>
      <c r="EV294" s="58">
        <f t="shared" ca="1" si="627"/>
        <v>0</v>
      </c>
      <c r="EW294" s="58">
        <f t="shared" ca="1" si="627"/>
        <v>0</v>
      </c>
      <c r="EX294" s="58">
        <f t="shared" ca="1" si="627"/>
        <v>0</v>
      </c>
      <c r="EY294" s="58">
        <f t="shared" ca="1" si="627"/>
        <v>0</v>
      </c>
      <c r="EZ294" s="58">
        <f t="shared" ca="1" si="627"/>
        <v>0</v>
      </c>
      <c r="FA294" s="58">
        <f t="shared" ca="1" si="627"/>
        <v>0</v>
      </c>
      <c r="FB294" s="58">
        <f t="shared" ca="1" si="627"/>
        <v>0</v>
      </c>
      <c r="FC294" s="58">
        <f t="shared" ca="1" si="627"/>
        <v>0</v>
      </c>
      <c r="FD294" s="58">
        <f t="shared" ca="1" si="627"/>
        <v>0</v>
      </c>
      <c r="FE294" s="58">
        <f t="shared" ca="1" si="627"/>
        <v>0</v>
      </c>
      <c r="FF294" s="58">
        <f t="shared" ca="1" si="627"/>
        <v>0</v>
      </c>
      <c r="FG294" s="58">
        <f t="shared" ca="1" si="627"/>
        <v>0</v>
      </c>
      <c r="FH294" s="58">
        <f t="shared" ca="1" si="627"/>
        <v>0</v>
      </c>
      <c r="FI294" s="58">
        <f t="shared" ca="1" si="627"/>
        <v>0</v>
      </c>
      <c r="FJ294" s="58">
        <f t="shared" ca="1" si="627"/>
        <v>0</v>
      </c>
      <c r="FK294" s="58">
        <f t="shared" ca="1" si="627"/>
        <v>0</v>
      </c>
      <c r="FL294" s="58">
        <f t="shared" ca="1" si="627"/>
        <v>0</v>
      </c>
      <c r="FM294" s="58">
        <f t="shared" ca="1" si="627"/>
        <v>0</v>
      </c>
      <c r="FN294" s="58">
        <f t="shared" ca="1" si="627"/>
        <v>0</v>
      </c>
      <c r="FO294" s="13"/>
    </row>
    <row r="295" spans="1:171" outlineLevel="1" x14ac:dyDescent="0.3">
      <c r="A295" s="13"/>
      <c r="B295" s="13"/>
      <c r="C295" s="13"/>
      <c r="D295" s="52">
        <f t="shared" si="520"/>
        <v>43739</v>
      </c>
      <c r="E295" s="53">
        <f t="shared" si="521"/>
        <v>2019</v>
      </c>
      <c r="F295" s="53">
        <f t="shared" si="522"/>
        <v>69</v>
      </c>
      <c r="G295" s="58">
        <f t="shared" ref="G295:AL295" ca="1" si="628">+IF(OR($F295+G$175&lt;1,(G$176-1)*12&lt;-$F295),0,OFFSET(G125,0,$F295))</f>
        <v>0</v>
      </c>
      <c r="H295" s="58">
        <f t="shared" ca="1" si="628"/>
        <v>0</v>
      </c>
      <c r="I295" s="58">
        <f t="shared" ca="1" si="628"/>
        <v>0</v>
      </c>
      <c r="J295" s="58">
        <f t="shared" ca="1" si="628"/>
        <v>0</v>
      </c>
      <c r="K295" s="58">
        <f t="shared" ca="1" si="628"/>
        <v>0</v>
      </c>
      <c r="L295" s="58">
        <f t="shared" ca="1" si="628"/>
        <v>0</v>
      </c>
      <c r="M295" s="58">
        <f t="shared" ca="1" si="628"/>
        <v>0</v>
      </c>
      <c r="N295" s="58">
        <f t="shared" ca="1" si="628"/>
        <v>0</v>
      </c>
      <c r="O295" s="58">
        <f t="shared" ca="1" si="628"/>
        <v>0</v>
      </c>
      <c r="P295" s="58">
        <f t="shared" ca="1" si="628"/>
        <v>0</v>
      </c>
      <c r="Q295" s="58">
        <f t="shared" ca="1" si="628"/>
        <v>0</v>
      </c>
      <c r="R295" s="58">
        <f t="shared" ca="1" si="628"/>
        <v>0</v>
      </c>
      <c r="S295" s="58">
        <f t="shared" ca="1" si="628"/>
        <v>0</v>
      </c>
      <c r="T295" s="58">
        <f t="shared" ca="1" si="628"/>
        <v>0</v>
      </c>
      <c r="U295" s="58">
        <f t="shared" ca="1" si="628"/>
        <v>0</v>
      </c>
      <c r="V295" s="58">
        <f t="shared" ca="1" si="628"/>
        <v>0</v>
      </c>
      <c r="W295" s="58">
        <f t="shared" ca="1" si="628"/>
        <v>0</v>
      </c>
      <c r="X295" s="58">
        <f t="shared" ca="1" si="628"/>
        <v>0</v>
      </c>
      <c r="Y295" s="58">
        <f t="shared" ca="1" si="628"/>
        <v>0</v>
      </c>
      <c r="Z295" s="58">
        <f t="shared" ca="1" si="628"/>
        <v>0</v>
      </c>
      <c r="AA295" s="58">
        <f t="shared" ca="1" si="628"/>
        <v>0</v>
      </c>
      <c r="AB295" s="58">
        <f t="shared" ca="1" si="628"/>
        <v>0</v>
      </c>
      <c r="AC295" s="58">
        <f t="shared" ca="1" si="628"/>
        <v>0</v>
      </c>
      <c r="AD295" s="58">
        <f t="shared" ca="1" si="628"/>
        <v>0</v>
      </c>
      <c r="AE295" s="58">
        <f t="shared" ca="1" si="628"/>
        <v>0</v>
      </c>
      <c r="AF295" s="58">
        <f t="shared" ca="1" si="628"/>
        <v>0</v>
      </c>
      <c r="AG295" s="58">
        <f t="shared" ca="1" si="628"/>
        <v>0</v>
      </c>
      <c r="AH295" s="58">
        <f t="shared" ca="1" si="628"/>
        <v>0</v>
      </c>
      <c r="AI295" s="58">
        <f t="shared" ca="1" si="628"/>
        <v>0</v>
      </c>
      <c r="AJ295" s="58">
        <f t="shared" ca="1" si="628"/>
        <v>0</v>
      </c>
      <c r="AK295" s="58">
        <f t="shared" ca="1" si="628"/>
        <v>0</v>
      </c>
      <c r="AL295" s="58">
        <f t="shared" ca="1" si="628"/>
        <v>0</v>
      </c>
      <c r="AM295" s="58">
        <f t="shared" ref="AM295:BR295" ca="1" si="629">+IF(OR($F295+AM$175&lt;1,(AM$176-1)*12&lt;-$F295),0,OFFSET(AM125,0,$F295))</f>
        <v>0</v>
      </c>
      <c r="AN295" s="58">
        <f t="shared" ca="1" si="629"/>
        <v>0</v>
      </c>
      <c r="AO295" s="58">
        <f t="shared" ca="1" si="629"/>
        <v>0</v>
      </c>
      <c r="AP295" s="58">
        <f t="shared" ca="1" si="629"/>
        <v>0</v>
      </c>
      <c r="AQ295" s="58">
        <f t="shared" ca="1" si="629"/>
        <v>0</v>
      </c>
      <c r="AR295" s="58">
        <f t="shared" ca="1" si="629"/>
        <v>0</v>
      </c>
      <c r="AS295" s="58">
        <f t="shared" ca="1" si="629"/>
        <v>0</v>
      </c>
      <c r="AT295" s="58">
        <f t="shared" ca="1" si="629"/>
        <v>0</v>
      </c>
      <c r="AU295" s="58">
        <f t="shared" ca="1" si="629"/>
        <v>0</v>
      </c>
      <c r="AV295" s="58">
        <f t="shared" ca="1" si="629"/>
        <v>0</v>
      </c>
      <c r="AW295" s="58">
        <f t="shared" ca="1" si="629"/>
        <v>0</v>
      </c>
      <c r="AX295" s="58">
        <f t="shared" ca="1" si="629"/>
        <v>0</v>
      </c>
      <c r="AY295" s="58">
        <f t="shared" ca="1" si="629"/>
        <v>0</v>
      </c>
      <c r="AZ295" s="58">
        <f t="shared" ca="1" si="629"/>
        <v>0</v>
      </c>
      <c r="BA295" s="58">
        <f t="shared" ca="1" si="629"/>
        <v>0</v>
      </c>
      <c r="BB295" s="58">
        <f t="shared" ca="1" si="629"/>
        <v>0</v>
      </c>
      <c r="BC295" s="58">
        <f t="shared" ca="1" si="629"/>
        <v>0</v>
      </c>
      <c r="BD295" s="58">
        <f t="shared" ca="1" si="629"/>
        <v>0</v>
      </c>
      <c r="BE295" s="58">
        <f t="shared" ca="1" si="629"/>
        <v>0</v>
      </c>
      <c r="BF295" s="58">
        <f t="shared" ca="1" si="629"/>
        <v>0</v>
      </c>
      <c r="BG295" s="58">
        <f t="shared" ca="1" si="629"/>
        <v>0</v>
      </c>
      <c r="BH295" s="58">
        <f t="shared" ca="1" si="629"/>
        <v>0</v>
      </c>
      <c r="BI295" s="58">
        <f t="shared" ca="1" si="629"/>
        <v>0</v>
      </c>
      <c r="BJ295" s="58">
        <f t="shared" ca="1" si="629"/>
        <v>0</v>
      </c>
      <c r="BK295" s="58">
        <f t="shared" ca="1" si="629"/>
        <v>0</v>
      </c>
      <c r="BL295" s="58">
        <f t="shared" ca="1" si="629"/>
        <v>0</v>
      </c>
      <c r="BM295" s="58">
        <f t="shared" ca="1" si="629"/>
        <v>0</v>
      </c>
      <c r="BN295" s="58">
        <f t="shared" ca="1" si="629"/>
        <v>0</v>
      </c>
      <c r="BO295" s="58">
        <f t="shared" ca="1" si="629"/>
        <v>0</v>
      </c>
      <c r="BP295" s="58">
        <f t="shared" ca="1" si="629"/>
        <v>0</v>
      </c>
      <c r="BQ295" s="58">
        <f t="shared" ca="1" si="629"/>
        <v>0</v>
      </c>
      <c r="BR295" s="58">
        <f t="shared" ca="1" si="629"/>
        <v>0</v>
      </c>
      <c r="BS295" s="58">
        <f t="shared" ref="BS295:CX295" ca="1" si="630">+IF(OR($F295+BS$175&lt;1,(BS$176-1)*12&lt;-$F295),0,OFFSET(BS125,0,$F295))</f>
        <v>0</v>
      </c>
      <c r="BT295" s="58">
        <f t="shared" ca="1" si="630"/>
        <v>0</v>
      </c>
      <c r="BU295" s="58">
        <f t="shared" ca="1" si="630"/>
        <v>0</v>
      </c>
      <c r="BV295" s="58">
        <f t="shared" ca="1" si="630"/>
        <v>0</v>
      </c>
      <c r="BW295" s="58">
        <f t="shared" ca="1" si="630"/>
        <v>0</v>
      </c>
      <c r="BX295" s="58">
        <f t="shared" ca="1" si="630"/>
        <v>0</v>
      </c>
      <c r="BY295" s="58">
        <f t="shared" ca="1" si="630"/>
        <v>0</v>
      </c>
      <c r="BZ295" s="58">
        <f t="shared" ca="1" si="630"/>
        <v>0</v>
      </c>
      <c r="CA295" s="58">
        <f t="shared" ca="1" si="630"/>
        <v>0</v>
      </c>
      <c r="CB295" s="58">
        <f t="shared" ca="1" si="630"/>
        <v>0</v>
      </c>
      <c r="CC295" s="58">
        <f t="shared" ca="1" si="630"/>
        <v>0</v>
      </c>
      <c r="CD295" s="58">
        <f t="shared" ca="1" si="630"/>
        <v>0</v>
      </c>
      <c r="CE295" s="58">
        <f t="shared" ca="1" si="630"/>
        <v>0</v>
      </c>
      <c r="CF295" s="58">
        <f t="shared" ca="1" si="630"/>
        <v>0</v>
      </c>
      <c r="CG295" s="58">
        <f t="shared" ca="1" si="630"/>
        <v>0</v>
      </c>
      <c r="CH295" s="58">
        <f t="shared" ca="1" si="630"/>
        <v>0</v>
      </c>
      <c r="CI295" s="58">
        <f t="shared" ca="1" si="630"/>
        <v>0</v>
      </c>
      <c r="CJ295" s="58">
        <f t="shared" ca="1" si="630"/>
        <v>0</v>
      </c>
      <c r="CK295" s="58">
        <f t="shared" ca="1" si="630"/>
        <v>0</v>
      </c>
      <c r="CL295" s="58">
        <f t="shared" ca="1" si="630"/>
        <v>0</v>
      </c>
      <c r="CM295" s="58">
        <f t="shared" ca="1" si="630"/>
        <v>0</v>
      </c>
      <c r="CN295" s="58">
        <f t="shared" ca="1" si="630"/>
        <v>0</v>
      </c>
      <c r="CO295" s="58">
        <f t="shared" ca="1" si="630"/>
        <v>0</v>
      </c>
      <c r="CP295" s="58">
        <f t="shared" ca="1" si="630"/>
        <v>0</v>
      </c>
      <c r="CQ295" s="58">
        <f t="shared" ca="1" si="630"/>
        <v>0</v>
      </c>
      <c r="CR295" s="58">
        <f t="shared" ca="1" si="630"/>
        <v>0</v>
      </c>
      <c r="CS295" s="58">
        <f t="shared" ca="1" si="630"/>
        <v>0</v>
      </c>
      <c r="CT295" s="58">
        <f t="shared" ca="1" si="630"/>
        <v>0</v>
      </c>
      <c r="CU295" s="58">
        <f t="shared" ca="1" si="630"/>
        <v>0</v>
      </c>
      <c r="CV295" s="58">
        <f t="shared" ca="1" si="630"/>
        <v>0</v>
      </c>
      <c r="CW295" s="58">
        <f t="shared" ca="1" si="630"/>
        <v>0</v>
      </c>
      <c r="CX295" s="58">
        <f t="shared" ca="1" si="630"/>
        <v>0</v>
      </c>
      <c r="CY295" s="58">
        <f t="shared" ref="CY295:ED295" ca="1" si="631">+IF(OR($F295+CY$175&lt;1,(CY$176-1)*12&lt;-$F295),0,OFFSET(CY125,0,$F295))</f>
        <v>0</v>
      </c>
      <c r="CZ295" s="58">
        <f t="shared" ca="1" si="631"/>
        <v>0</v>
      </c>
      <c r="DA295" s="58">
        <f t="shared" ca="1" si="631"/>
        <v>0</v>
      </c>
      <c r="DB295" s="58">
        <f t="shared" ca="1" si="631"/>
        <v>0</v>
      </c>
      <c r="DC295" s="58">
        <f t="shared" ca="1" si="631"/>
        <v>0</v>
      </c>
      <c r="DD295" s="58">
        <f t="shared" ca="1" si="631"/>
        <v>0</v>
      </c>
      <c r="DE295" s="58">
        <f t="shared" ca="1" si="631"/>
        <v>0</v>
      </c>
      <c r="DF295" s="58">
        <f t="shared" ca="1" si="631"/>
        <v>0</v>
      </c>
      <c r="DG295" s="58">
        <f t="shared" ca="1" si="631"/>
        <v>0</v>
      </c>
      <c r="DH295" s="58">
        <f t="shared" ca="1" si="631"/>
        <v>0</v>
      </c>
      <c r="DI295" s="58">
        <f t="shared" ca="1" si="631"/>
        <v>0</v>
      </c>
      <c r="DJ295" s="58">
        <f t="shared" ca="1" si="631"/>
        <v>0</v>
      </c>
      <c r="DK295" s="58">
        <f t="shared" ca="1" si="631"/>
        <v>0</v>
      </c>
      <c r="DL295" s="58">
        <f t="shared" ca="1" si="631"/>
        <v>0</v>
      </c>
      <c r="DM295" s="58">
        <f t="shared" ca="1" si="631"/>
        <v>0</v>
      </c>
      <c r="DN295" s="58">
        <f t="shared" ca="1" si="631"/>
        <v>0</v>
      </c>
      <c r="DO295" s="58">
        <f t="shared" ca="1" si="631"/>
        <v>0</v>
      </c>
      <c r="DP295" s="58">
        <f t="shared" ca="1" si="631"/>
        <v>0</v>
      </c>
      <c r="DQ295" s="58">
        <f t="shared" ca="1" si="631"/>
        <v>0</v>
      </c>
      <c r="DR295" s="58">
        <f t="shared" ca="1" si="631"/>
        <v>0</v>
      </c>
      <c r="DS295" s="58">
        <f t="shared" ca="1" si="631"/>
        <v>0</v>
      </c>
      <c r="DT295" s="58">
        <f t="shared" ca="1" si="631"/>
        <v>0</v>
      </c>
      <c r="DU295" s="58">
        <f t="shared" ca="1" si="631"/>
        <v>0</v>
      </c>
      <c r="DV295" s="58">
        <f t="shared" ca="1" si="631"/>
        <v>0</v>
      </c>
      <c r="DW295" s="58">
        <f t="shared" ca="1" si="631"/>
        <v>0</v>
      </c>
      <c r="DX295" s="58">
        <f t="shared" ca="1" si="631"/>
        <v>0</v>
      </c>
      <c r="DY295" s="58">
        <f t="shared" ca="1" si="631"/>
        <v>0</v>
      </c>
      <c r="DZ295" s="58">
        <f t="shared" ca="1" si="631"/>
        <v>0</v>
      </c>
      <c r="EA295" s="58">
        <f t="shared" ca="1" si="631"/>
        <v>0</v>
      </c>
      <c r="EB295" s="58">
        <f t="shared" ca="1" si="631"/>
        <v>0</v>
      </c>
      <c r="EC295" s="58">
        <f t="shared" ca="1" si="631"/>
        <v>0</v>
      </c>
      <c r="ED295" s="58">
        <f t="shared" ca="1" si="631"/>
        <v>0</v>
      </c>
      <c r="EE295" s="58">
        <f t="shared" ref="EE295:FN295" ca="1" si="632">+IF(OR($F295+EE$175&lt;1,(EE$176-1)*12&lt;-$F295),0,OFFSET(EE125,0,$F295))</f>
        <v>0</v>
      </c>
      <c r="EF295" s="58">
        <f t="shared" ca="1" si="632"/>
        <v>0</v>
      </c>
      <c r="EG295" s="58">
        <f t="shared" ca="1" si="632"/>
        <v>0</v>
      </c>
      <c r="EH295" s="58">
        <f t="shared" ca="1" si="632"/>
        <v>0</v>
      </c>
      <c r="EI295" s="58">
        <f t="shared" ca="1" si="632"/>
        <v>0</v>
      </c>
      <c r="EJ295" s="58">
        <f t="shared" ca="1" si="632"/>
        <v>0</v>
      </c>
      <c r="EK295" s="58">
        <f t="shared" ca="1" si="632"/>
        <v>0</v>
      </c>
      <c r="EL295" s="58">
        <f t="shared" ca="1" si="632"/>
        <v>0</v>
      </c>
      <c r="EM295" s="58">
        <f t="shared" ca="1" si="632"/>
        <v>0</v>
      </c>
      <c r="EN295" s="58">
        <f t="shared" ca="1" si="632"/>
        <v>0</v>
      </c>
      <c r="EO295" s="58">
        <f t="shared" ca="1" si="632"/>
        <v>0</v>
      </c>
      <c r="EP295" s="58">
        <f t="shared" ca="1" si="632"/>
        <v>0</v>
      </c>
      <c r="EQ295" s="58">
        <f t="shared" ca="1" si="632"/>
        <v>0</v>
      </c>
      <c r="ER295" s="58">
        <f t="shared" ca="1" si="632"/>
        <v>0</v>
      </c>
      <c r="ES295" s="58">
        <f t="shared" ca="1" si="632"/>
        <v>0</v>
      </c>
      <c r="ET295" s="58">
        <f t="shared" ca="1" si="632"/>
        <v>0</v>
      </c>
      <c r="EU295" s="58">
        <f t="shared" ca="1" si="632"/>
        <v>0</v>
      </c>
      <c r="EV295" s="58">
        <f t="shared" ca="1" si="632"/>
        <v>0</v>
      </c>
      <c r="EW295" s="58">
        <f t="shared" ca="1" si="632"/>
        <v>0</v>
      </c>
      <c r="EX295" s="58">
        <f t="shared" ca="1" si="632"/>
        <v>0</v>
      </c>
      <c r="EY295" s="58">
        <f t="shared" ca="1" si="632"/>
        <v>0</v>
      </c>
      <c r="EZ295" s="58">
        <f t="shared" ca="1" si="632"/>
        <v>0</v>
      </c>
      <c r="FA295" s="58">
        <f t="shared" ca="1" si="632"/>
        <v>0</v>
      </c>
      <c r="FB295" s="58">
        <f t="shared" ca="1" si="632"/>
        <v>0</v>
      </c>
      <c r="FC295" s="58">
        <f t="shared" ca="1" si="632"/>
        <v>0</v>
      </c>
      <c r="FD295" s="58">
        <f t="shared" ca="1" si="632"/>
        <v>0</v>
      </c>
      <c r="FE295" s="58">
        <f t="shared" ca="1" si="632"/>
        <v>0</v>
      </c>
      <c r="FF295" s="58">
        <f t="shared" ca="1" si="632"/>
        <v>0</v>
      </c>
      <c r="FG295" s="58">
        <f t="shared" ca="1" si="632"/>
        <v>0</v>
      </c>
      <c r="FH295" s="58">
        <f t="shared" ca="1" si="632"/>
        <v>0</v>
      </c>
      <c r="FI295" s="58">
        <f t="shared" ca="1" si="632"/>
        <v>0</v>
      </c>
      <c r="FJ295" s="58">
        <f t="shared" ca="1" si="632"/>
        <v>0</v>
      </c>
      <c r="FK295" s="58">
        <f t="shared" ca="1" si="632"/>
        <v>0</v>
      </c>
      <c r="FL295" s="58">
        <f t="shared" ca="1" si="632"/>
        <v>0</v>
      </c>
      <c r="FM295" s="58">
        <f t="shared" ca="1" si="632"/>
        <v>0</v>
      </c>
      <c r="FN295" s="58">
        <f t="shared" ca="1" si="632"/>
        <v>0</v>
      </c>
      <c r="FO295" s="13"/>
    </row>
    <row r="296" spans="1:171" outlineLevel="1" x14ac:dyDescent="0.3">
      <c r="A296" s="13"/>
      <c r="B296" s="13"/>
      <c r="C296" s="13"/>
      <c r="D296" s="52">
        <f t="shared" si="520"/>
        <v>43770</v>
      </c>
      <c r="E296" s="53">
        <f t="shared" si="521"/>
        <v>2019</v>
      </c>
      <c r="F296" s="53">
        <f t="shared" si="522"/>
        <v>70</v>
      </c>
      <c r="G296" s="58">
        <f t="shared" ref="G296:AL296" ca="1" si="633">+IF(OR($F296+G$175&lt;1,(G$176-1)*12&lt;-$F296),0,OFFSET(G126,0,$F296))</f>
        <v>0</v>
      </c>
      <c r="H296" s="58">
        <f t="shared" ca="1" si="633"/>
        <v>0</v>
      </c>
      <c r="I296" s="58">
        <f t="shared" ca="1" si="633"/>
        <v>0</v>
      </c>
      <c r="J296" s="58">
        <f t="shared" ca="1" si="633"/>
        <v>0</v>
      </c>
      <c r="K296" s="58">
        <f t="shared" ca="1" si="633"/>
        <v>0</v>
      </c>
      <c r="L296" s="58">
        <f t="shared" ca="1" si="633"/>
        <v>0</v>
      </c>
      <c r="M296" s="58">
        <f t="shared" ca="1" si="633"/>
        <v>0</v>
      </c>
      <c r="N296" s="58">
        <f t="shared" ca="1" si="633"/>
        <v>0</v>
      </c>
      <c r="O296" s="58">
        <f t="shared" ca="1" si="633"/>
        <v>0</v>
      </c>
      <c r="P296" s="58">
        <f t="shared" ca="1" si="633"/>
        <v>0</v>
      </c>
      <c r="Q296" s="58">
        <f t="shared" ca="1" si="633"/>
        <v>0</v>
      </c>
      <c r="R296" s="58">
        <f t="shared" ca="1" si="633"/>
        <v>0</v>
      </c>
      <c r="S296" s="58">
        <f t="shared" ca="1" si="633"/>
        <v>0</v>
      </c>
      <c r="T296" s="58">
        <f t="shared" ca="1" si="633"/>
        <v>0</v>
      </c>
      <c r="U296" s="58">
        <f t="shared" ca="1" si="633"/>
        <v>0</v>
      </c>
      <c r="V296" s="58">
        <f t="shared" ca="1" si="633"/>
        <v>0</v>
      </c>
      <c r="W296" s="58">
        <f t="shared" ca="1" si="633"/>
        <v>0</v>
      </c>
      <c r="X296" s="58">
        <f t="shared" ca="1" si="633"/>
        <v>0</v>
      </c>
      <c r="Y296" s="58">
        <f t="shared" ca="1" si="633"/>
        <v>0</v>
      </c>
      <c r="Z296" s="58">
        <f t="shared" ca="1" si="633"/>
        <v>0</v>
      </c>
      <c r="AA296" s="58">
        <f t="shared" ca="1" si="633"/>
        <v>0</v>
      </c>
      <c r="AB296" s="58">
        <f t="shared" ca="1" si="633"/>
        <v>0</v>
      </c>
      <c r="AC296" s="58">
        <f t="shared" ca="1" si="633"/>
        <v>0</v>
      </c>
      <c r="AD296" s="58">
        <f t="shared" ca="1" si="633"/>
        <v>0</v>
      </c>
      <c r="AE296" s="58">
        <f t="shared" ca="1" si="633"/>
        <v>0</v>
      </c>
      <c r="AF296" s="58">
        <f t="shared" ca="1" si="633"/>
        <v>0</v>
      </c>
      <c r="AG296" s="58">
        <f t="shared" ca="1" si="633"/>
        <v>0</v>
      </c>
      <c r="AH296" s="58">
        <f t="shared" ca="1" si="633"/>
        <v>0</v>
      </c>
      <c r="AI296" s="58">
        <f t="shared" ca="1" si="633"/>
        <v>0</v>
      </c>
      <c r="AJ296" s="58">
        <f t="shared" ca="1" si="633"/>
        <v>0</v>
      </c>
      <c r="AK296" s="58">
        <f t="shared" ca="1" si="633"/>
        <v>0</v>
      </c>
      <c r="AL296" s="58">
        <f t="shared" ca="1" si="633"/>
        <v>0</v>
      </c>
      <c r="AM296" s="58">
        <f t="shared" ref="AM296:BR296" ca="1" si="634">+IF(OR($F296+AM$175&lt;1,(AM$176-1)*12&lt;-$F296),0,OFFSET(AM126,0,$F296))</f>
        <v>0</v>
      </c>
      <c r="AN296" s="58">
        <f t="shared" ca="1" si="634"/>
        <v>0</v>
      </c>
      <c r="AO296" s="58">
        <f t="shared" ca="1" si="634"/>
        <v>0</v>
      </c>
      <c r="AP296" s="58">
        <f t="shared" ca="1" si="634"/>
        <v>0</v>
      </c>
      <c r="AQ296" s="58">
        <f t="shared" ca="1" si="634"/>
        <v>0</v>
      </c>
      <c r="AR296" s="58">
        <f t="shared" ca="1" si="634"/>
        <v>0</v>
      </c>
      <c r="AS296" s="58">
        <f t="shared" ca="1" si="634"/>
        <v>0</v>
      </c>
      <c r="AT296" s="58">
        <f t="shared" ca="1" si="634"/>
        <v>0</v>
      </c>
      <c r="AU296" s="58">
        <f t="shared" ca="1" si="634"/>
        <v>0</v>
      </c>
      <c r="AV296" s="58">
        <f t="shared" ca="1" si="634"/>
        <v>0</v>
      </c>
      <c r="AW296" s="58">
        <f t="shared" ca="1" si="634"/>
        <v>0</v>
      </c>
      <c r="AX296" s="58">
        <f t="shared" ca="1" si="634"/>
        <v>0</v>
      </c>
      <c r="AY296" s="58">
        <f t="shared" ca="1" si="634"/>
        <v>0</v>
      </c>
      <c r="AZ296" s="58">
        <f t="shared" ca="1" si="634"/>
        <v>0</v>
      </c>
      <c r="BA296" s="58">
        <f t="shared" ca="1" si="634"/>
        <v>0</v>
      </c>
      <c r="BB296" s="58">
        <f t="shared" ca="1" si="634"/>
        <v>0</v>
      </c>
      <c r="BC296" s="58">
        <f t="shared" ca="1" si="634"/>
        <v>0</v>
      </c>
      <c r="BD296" s="58">
        <f t="shared" ca="1" si="634"/>
        <v>0</v>
      </c>
      <c r="BE296" s="58">
        <f t="shared" ca="1" si="634"/>
        <v>0</v>
      </c>
      <c r="BF296" s="58">
        <f t="shared" ca="1" si="634"/>
        <v>0</v>
      </c>
      <c r="BG296" s="58">
        <f t="shared" ca="1" si="634"/>
        <v>0</v>
      </c>
      <c r="BH296" s="58">
        <f t="shared" ca="1" si="634"/>
        <v>0</v>
      </c>
      <c r="BI296" s="58">
        <f t="shared" ca="1" si="634"/>
        <v>0</v>
      </c>
      <c r="BJ296" s="58">
        <f t="shared" ca="1" si="634"/>
        <v>0</v>
      </c>
      <c r="BK296" s="58">
        <f t="shared" ca="1" si="634"/>
        <v>0</v>
      </c>
      <c r="BL296" s="58">
        <f t="shared" ca="1" si="634"/>
        <v>0</v>
      </c>
      <c r="BM296" s="58">
        <f t="shared" ca="1" si="634"/>
        <v>0</v>
      </c>
      <c r="BN296" s="58">
        <f t="shared" ca="1" si="634"/>
        <v>0</v>
      </c>
      <c r="BO296" s="58">
        <f t="shared" ca="1" si="634"/>
        <v>0</v>
      </c>
      <c r="BP296" s="58">
        <f t="shared" ca="1" si="634"/>
        <v>0</v>
      </c>
      <c r="BQ296" s="58">
        <f t="shared" ca="1" si="634"/>
        <v>0</v>
      </c>
      <c r="BR296" s="58">
        <f t="shared" ca="1" si="634"/>
        <v>0</v>
      </c>
      <c r="BS296" s="58">
        <f t="shared" ref="BS296:CX296" ca="1" si="635">+IF(OR($F296+BS$175&lt;1,(BS$176-1)*12&lt;-$F296),0,OFFSET(BS126,0,$F296))</f>
        <v>0</v>
      </c>
      <c r="BT296" s="58">
        <f t="shared" ca="1" si="635"/>
        <v>0</v>
      </c>
      <c r="BU296" s="58">
        <f t="shared" ca="1" si="635"/>
        <v>0</v>
      </c>
      <c r="BV296" s="58">
        <f t="shared" ca="1" si="635"/>
        <v>0</v>
      </c>
      <c r="BW296" s="58">
        <f t="shared" ca="1" si="635"/>
        <v>0</v>
      </c>
      <c r="BX296" s="58">
        <f t="shared" ca="1" si="635"/>
        <v>0</v>
      </c>
      <c r="BY296" s="58">
        <f t="shared" ca="1" si="635"/>
        <v>0</v>
      </c>
      <c r="BZ296" s="58">
        <f t="shared" ca="1" si="635"/>
        <v>0</v>
      </c>
      <c r="CA296" s="58">
        <f t="shared" ca="1" si="635"/>
        <v>0</v>
      </c>
      <c r="CB296" s="58">
        <f t="shared" ca="1" si="635"/>
        <v>0</v>
      </c>
      <c r="CC296" s="58">
        <f t="shared" ca="1" si="635"/>
        <v>0</v>
      </c>
      <c r="CD296" s="58">
        <f t="shared" ca="1" si="635"/>
        <v>0</v>
      </c>
      <c r="CE296" s="58">
        <f t="shared" ca="1" si="635"/>
        <v>0</v>
      </c>
      <c r="CF296" s="58">
        <f t="shared" ca="1" si="635"/>
        <v>0</v>
      </c>
      <c r="CG296" s="58">
        <f t="shared" ca="1" si="635"/>
        <v>0</v>
      </c>
      <c r="CH296" s="58">
        <f t="shared" ca="1" si="635"/>
        <v>0</v>
      </c>
      <c r="CI296" s="58">
        <f t="shared" ca="1" si="635"/>
        <v>0</v>
      </c>
      <c r="CJ296" s="58">
        <f t="shared" ca="1" si="635"/>
        <v>0</v>
      </c>
      <c r="CK296" s="58">
        <f t="shared" ca="1" si="635"/>
        <v>0</v>
      </c>
      <c r="CL296" s="58">
        <f t="shared" ca="1" si="635"/>
        <v>0</v>
      </c>
      <c r="CM296" s="58">
        <f t="shared" ca="1" si="635"/>
        <v>0</v>
      </c>
      <c r="CN296" s="58">
        <f t="shared" ca="1" si="635"/>
        <v>0</v>
      </c>
      <c r="CO296" s="58">
        <f t="shared" ca="1" si="635"/>
        <v>0</v>
      </c>
      <c r="CP296" s="58">
        <f t="shared" ca="1" si="635"/>
        <v>0</v>
      </c>
      <c r="CQ296" s="58">
        <f t="shared" ca="1" si="635"/>
        <v>0</v>
      </c>
      <c r="CR296" s="58">
        <f t="shared" ca="1" si="635"/>
        <v>0</v>
      </c>
      <c r="CS296" s="58">
        <f t="shared" ca="1" si="635"/>
        <v>0</v>
      </c>
      <c r="CT296" s="58">
        <f t="shared" ca="1" si="635"/>
        <v>0</v>
      </c>
      <c r="CU296" s="58">
        <f t="shared" ca="1" si="635"/>
        <v>0</v>
      </c>
      <c r="CV296" s="58">
        <f t="shared" ca="1" si="635"/>
        <v>0</v>
      </c>
      <c r="CW296" s="58">
        <f t="shared" ca="1" si="635"/>
        <v>0</v>
      </c>
      <c r="CX296" s="58">
        <f t="shared" ca="1" si="635"/>
        <v>0</v>
      </c>
      <c r="CY296" s="58">
        <f t="shared" ref="CY296:ED296" ca="1" si="636">+IF(OR($F296+CY$175&lt;1,(CY$176-1)*12&lt;-$F296),0,OFFSET(CY126,0,$F296))</f>
        <v>0</v>
      </c>
      <c r="CZ296" s="58">
        <f t="shared" ca="1" si="636"/>
        <v>0</v>
      </c>
      <c r="DA296" s="58">
        <f t="shared" ca="1" si="636"/>
        <v>0</v>
      </c>
      <c r="DB296" s="58">
        <f t="shared" ca="1" si="636"/>
        <v>0</v>
      </c>
      <c r="DC296" s="58">
        <f t="shared" ca="1" si="636"/>
        <v>0</v>
      </c>
      <c r="DD296" s="58">
        <f t="shared" ca="1" si="636"/>
        <v>0</v>
      </c>
      <c r="DE296" s="58">
        <f t="shared" ca="1" si="636"/>
        <v>0</v>
      </c>
      <c r="DF296" s="58">
        <f t="shared" ca="1" si="636"/>
        <v>0</v>
      </c>
      <c r="DG296" s="58">
        <f t="shared" ca="1" si="636"/>
        <v>0</v>
      </c>
      <c r="DH296" s="58">
        <f t="shared" ca="1" si="636"/>
        <v>0</v>
      </c>
      <c r="DI296" s="58">
        <f t="shared" ca="1" si="636"/>
        <v>0</v>
      </c>
      <c r="DJ296" s="58">
        <f t="shared" ca="1" si="636"/>
        <v>0</v>
      </c>
      <c r="DK296" s="58">
        <f t="shared" ca="1" si="636"/>
        <v>0</v>
      </c>
      <c r="DL296" s="58">
        <f t="shared" ca="1" si="636"/>
        <v>0</v>
      </c>
      <c r="DM296" s="58">
        <f t="shared" ca="1" si="636"/>
        <v>0</v>
      </c>
      <c r="DN296" s="58">
        <f t="shared" ca="1" si="636"/>
        <v>0</v>
      </c>
      <c r="DO296" s="58">
        <f t="shared" ca="1" si="636"/>
        <v>0</v>
      </c>
      <c r="DP296" s="58">
        <f t="shared" ca="1" si="636"/>
        <v>0</v>
      </c>
      <c r="DQ296" s="58">
        <f t="shared" ca="1" si="636"/>
        <v>0</v>
      </c>
      <c r="DR296" s="58">
        <f t="shared" ca="1" si="636"/>
        <v>0</v>
      </c>
      <c r="DS296" s="58">
        <f t="shared" ca="1" si="636"/>
        <v>0</v>
      </c>
      <c r="DT296" s="58">
        <f t="shared" ca="1" si="636"/>
        <v>0</v>
      </c>
      <c r="DU296" s="58">
        <f t="shared" ca="1" si="636"/>
        <v>0</v>
      </c>
      <c r="DV296" s="58">
        <f t="shared" ca="1" si="636"/>
        <v>0</v>
      </c>
      <c r="DW296" s="58">
        <f t="shared" ca="1" si="636"/>
        <v>0</v>
      </c>
      <c r="DX296" s="58">
        <f t="shared" ca="1" si="636"/>
        <v>0</v>
      </c>
      <c r="DY296" s="58">
        <f t="shared" ca="1" si="636"/>
        <v>0</v>
      </c>
      <c r="DZ296" s="58">
        <f t="shared" ca="1" si="636"/>
        <v>0</v>
      </c>
      <c r="EA296" s="58">
        <f t="shared" ca="1" si="636"/>
        <v>0</v>
      </c>
      <c r="EB296" s="58">
        <f t="shared" ca="1" si="636"/>
        <v>0</v>
      </c>
      <c r="EC296" s="58">
        <f t="shared" ca="1" si="636"/>
        <v>0</v>
      </c>
      <c r="ED296" s="58">
        <f t="shared" ca="1" si="636"/>
        <v>0</v>
      </c>
      <c r="EE296" s="58">
        <f t="shared" ref="EE296:FN296" ca="1" si="637">+IF(OR($F296+EE$175&lt;1,(EE$176-1)*12&lt;-$F296),0,OFFSET(EE126,0,$F296))</f>
        <v>0</v>
      </c>
      <c r="EF296" s="58">
        <f t="shared" ca="1" si="637"/>
        <v>0</v>
      </c>
      <c r="EG296" s="58">
        <f t="shared" ca="1" si="637"/>
        <v>0</v>
      </c>
      <c r="EH296" s="58">
        <f t="shared" ca="1" si="637"/>
        <v>0</v>
      </c>
      <c r="EI296" s="58">
        <f t="shared" ca="1" si="637"/>
        <v>0</v>
      </c>
      <c r="EJ296" s="58">
        <f t="shared" ca="1" si="637"/>
        <v>0</v>
      </c>
      <c r="EK296" s="58">
        <f t="shared" ca="1" si="637"/>
        <v>0</v>
      </c>
      <c r="EL296" s="58">
        <f t="shared" ca="1" si="637"/>
        <v>0</v>
      </c>
      <c r="EM296" s="58">
        <f t="shared" ca="1" si="637"/>
        <v>0</v>
      </c>
      <c r="EN296" s="58">
        <f t="shared" ca="1" si="637"/>
        <v>0</v>
      </c>
      <c r="EO296" s="58">
        <f t="shared" ca="1" si="637"/>
        <v>0</v>
      </c>
      <c r="EP296" s="58">
        <f t="shared" ca="1" si="637"/>
        <v>0</v>
      </c>
      <c r="EQ296" s="58">
        <f t="shared" ca="1" si="637"/>
        <v>0</v>
      </c>
      <c r="ER296" s="58">
        <f t="shared" ca="1" si="637"/>
        <v>0</v>
      </c>
      <c r="ES296" s="58">
        <f t="shared" ca="1" si="637"/>
        <v>0</v>
      </c>
      <c r="ET296" s="58">
        <f t="shared" ca="1" si="637"/>
        <v>0</v>
      </c>
      <c r="EU296" s="58">
        <f t="shared" ca="1" si="637"/>
        <v>0</v>
      </c>
      <c r="EV296" s="58">
        <f t="shared" ca="1" si="637"/>
        <v>0</v>
      </c>
      <c r="EW296" s="58">
        <f t="shared" ca="1" si="637"/>
        <v>0</v>
      </c>
      <c r="EX296" s="58">
        <f t="shared" ca="1" si="637"/>
        <v>0</v>
      </c>
      <c r="EY296" s="58">
        <f t="shared" ca="1" si="637"/>
        <v>0</v>
      </c>
      <c r="EZ296" s="58">
        <f t="shared" ca="1" si="637"/>
        <v>0</v>
      </c>
      <c r="FA296" s="58">
        <f t="shared" ca="1" si="637"/>
        <v>0</v>
      </c>
      <c r="FB296" s="58">
        <f t="shared" ca="1" si="637"/>
        <v>0</v>
      </c>
      <c r="FC296" s="58">
        <f t="shared" ca="1" si="637"/>
        <v>0</v>
      </c>
      <c r="FD296" s="58">
        <f t="shared" ca="1" si="637"/>
        <v>0</v>
      </c>
      <c r="FE296" s="58">
        <f t="shared" ca="1" si="637"/>
        <v>0</v>
      </c>
      <c r="FF296" s="58">
        <f t="shared" ca="1" si="637"/>
        <v>0</v>
      </c>
      <c r="FG296" s="58">
        <f t="shared" ca="1" si="637"/>
        <v>0</v>
      </c>
      <c r="FH296" s="58">
        <f t="shared" ca="1" si="637"/>
        <v>0</v>
      </c>
      <c r="FI296" s="58">
        <f t="shared" ca="1" si="637"/>
        <v>0</v>
      </c>
      <c r="FJ296" s="58">
        <f t="shared" ca="1" si="637"/>
        <v>0</v>
      </c>
      <c r="FK296" s="58">
        <f t="shared" ca="1" si="637"/>
        <v>0</v>
      </c>
      <c r="FL296" s="58">
        <f t="shared" ca="1" si="637"/>
        <v>0</v>
      </c>
      <c r="FM296" s="58">
        <f t="shared" ca="1" si="637"/>
        <v>0</v>
      </c>
      <c r="FN296" s="58">
        <f t="shared" ca="1" si="637"/>
        <v>0</v>
      </c>
      <c r="FO296" s="13"/>
    </row>
    <row r="297" spans="1:171" outlineLevel="1" x14ac:dyDescent="0.3">
      <c r="A297" s="13"/>
      <c r="B297" s="13"/>
      <c r="C297" s="13"/>
      <c r="D297" s="52">
        <f t="shared" si="520"/>
        <v>43800</v>
      </c>
      <c r="E297" s="53">
        <f t="shared" si="521"/>
        <v>2019</v>
      </c>
      <c r="F297" s="53">
        <f t="shared" si="522"/>
        <v>71</v>
      </c>
      <c r="G297" s="58">
        <f t="shared" ref="G297:AL297" ca="1" si="638">+IF(OR($F297+G$175&lt;1,(G$176-1)*12&lt;-$F297),0,OFFSET(G127,0,$F297))</f>
        <v>0</v>
      </c>
      <c r="H297" s="58">
        <f t="shared" ca="1" si="638"/>
        <v>0</v>
      </c>
      <c r="I297" s="58">
        <f t="shared" ca="1" si="638"/>
        <v>0</v>
      </c>
      <c r="J297" s="58">
        <f t="shared" ca="1" si="638"/>
        <v>0</v>
      </c>
      <c r="K297" s="58">
        <f t="shared" ca="1" si="638"/>
        <v>0</v>
      </c>
      <c r="L297" s="58">
        <f t="shared" ca="1" si="638"/>
        <v>0</v>
      </c>
      <c r="M297" s="58">
        <f t="shared" ca="1" si="638"/>
        <v>0</v>
      </c>
      <c r="N297" s="58">
        <f t="shared" ca="1" si="638"/>
        <v>0</v>
      </c>
      <c r="O297" s="58">
        <f t="shared" ca="1" si="638"/>
        <v>0</v>
      </c>
      <c r="P297" s="58">
        <f t="shared" ca="1" si="638"/>
        <v>0</v>
      </c>
      <c r="Q297" s="58">
        <f t="shared" ca="1" si="638"/>
        <v>0</v>
      </c>
      <c r="R297" s="58">
        <f t="shared" ca="1" si="638"/>
        <v>0</v>
      </c>
      <c r="S297" s="58">
        <f t="shared" ca="1" si="638"/>
        <v>0</v>
      </c>
      <c r="T297" s="58">
        <f t="shared" ca="1" si="638"/>
        <v>0</v>
      </c>
      <c r="U297" s="58">
        <f t="shared" ca="1" si="638"/>
        <v>0</v>
      </c>
      <c r="V297" s="58">
        <f t="shared" ca="1" si="638"/>
        <v>0</v>
      </c>
      <c r="W297" s="58">
        <f t="shared" ca="1" si="638"/>
        <v>0</v>
      </c>
      <c r="X297" s="58">
        <f t="shared" ca="1" si="638"/>
        <v>0</v>
      </c>
      <c r="Y297" s="58">
        <f t="shared" ca="1" si="638"/>
        <v>0</v>
      </c>
      <c r="Z297" s="58">
        <f t="shared" ca="1" si="638"/>
        <v>0</v>
      </c>
      <c r="AA297" s="58">
        <f t="shared" ca="1" si="638"/>
        <v>0</v>
      </c>
      <c r="AB297" s="58">
        <f t="shared" ca="1" si="638"/>
        <v>0</v>
      </c>
      <c r="AC297" s="58">
        <f t="shared" ca="1" si="638"/>
        <v>0</v>
      </c>
      <c r="AD297" s="58">
        <f t="shared" ca="1" si="638"/>
        <v>0</v>
      </c>
      <c r="AE297" s="58">
        <f t="shared" ca="1" si="638"/>
        <v>0</v>
      </c>
      <c r="AF297" s="58">
        <f t="shared" ca="1" si="638"/>
        <v>0</v>
      </c>
      <c r="AG297" s="58">
        <f t="shared" ca="1" si="638"/>
        <v>0</v>
      </c>
      <c r="AH297" s="58">
        <f t="shared" ca="1" si="638"/>
        <v>0</v>
      </c>
      <c r="AI297" s="58">
        <f t="shared" ca="1" si="638"/>
        <v>0</v>
      </c>
      <c r="AJ297" s="58">
        <f t="shared" ca="1" si="638"/>
        <v>0</v>
      </c>
      <c r="AK297" s="58">
        <f t="shared" ca="1" si="638"/>
        <v>0</v>
      </c>
      <c r="AL297" s="58">
        <f t="shared" ca="1" si="638"/>
        <v>0</v>
      </c>
      <c r="AM297" s="58">
        <f t="shared" ref="AM297:BR297" ca="1" si="639">+IF(OR($F297+AM$175&lt;1,(AM$176-1)*12&lt;-$F297),0,OFFSET(AM127,0,$F297))</f>
        <v>0</v>
      </c>
      <c r="AN297" s="58">
        <f t="shared" ca="1" si="639"/>
        <v>0</v>
      </c>
      <c r="AO297" s="58">
        <f t="shared" ca="1" si="639"/>
        <v>0</v>
      </c>
      <c r="AP297" s="58">
        <f t="shared" ca="1" si="639"/>
        <v>0</v>
      </c>
      <c r="AQ297" s="58">
        <f t="shared" ca="1" si="639"/>
        <v>0</v>
      </c>
      <c r="AR297" s="58">
        <f t="shared" ca="1" si="639"/>
        <v>0</v>
      </c>
      <c r="AS297" s="58">
        <f t="shared" ca="1" si="639"/>
        <v>0</v>
      </c>
      <c r="AT297" s="58">
        <f t="shared" ca="1" si="639"/>
        <v>0</v>
      </c>
      <c r="AU297" s="58">
        <f t="shared" ca="1" si="639"/>
        <v>0</v>
      </c>
      <c r="AV297" s="58">
        <f t="shared" ca="1" si="639"/>
        <v>0</v>
      </c>
      <c r="AW297" s="58">
        <f t="shared" ca="1" si="639"/>
        <v>0</v>
      </c>
      <c r="AX297" s="58">
        <f t="shared" ca="1" si="639"/>
        <v>0</v>
      </c>
      <c r="AY297" s="58">
        <f t="shared" ca="1" si="639"/>
        <v>0</v>
      </c>
      <c r="AZ297" s="58">
        <f t="shared" ca="1" si="639"/>
        <v>0</v>
      </c>
      <c r="BA297" s="58">
        <f t="shared" ca="1" si="639"/>
        <v>0</v>
      </c>
      <c r="BB297" s="58">
        <f t="shared" ca="1" si="639"/>
        <v>0</v>
      </c>
      <c r="BC297" s="58">
        <f t="shared" ca="1" si="639"/>
        <v>0</v>
      </c>
      <c r="BD297" s="58">
        <f t="shared" ca="1" si="639"/>
        <v>0</v>
      </c>
      <c r="BE297" s="58">
        <f t="shared" ca="1" si="639"/>
        <v>0</v>
      </c>
      <c r="BF297" s="58">
        <f t="shared" ca="1" si="639"/>
        <v>0</v>
      </c>
      <c r="BG297" s="58">
        <f t="shared" ca="1" si="639"/>
        <v>0</v>
      </c>
      <c r="BH297" s="58">
        <f t="shared" ca="1" si="639"/>
        <v>0</v>
      </c>
      <c r="BI297" s="58">
        <f t="shared" ca="1" si="639"/>
        <v>0</v>
      </c>
      <c r="BJ297" s="58">
        <f t="shared" ca="1" si="639"/>
        <v>0</v>
      </c>
      <c r="BK297" s="58">
        <f t="shared" ca="1" si="639"/>
        <v>0</v>
      </c>
      <c r="BL297" s="58">
        <f t="shared" ca="1" si="639"/>
        <v>0</v>
      </c>
      <c r="BM297" s="58">
        <f t="shared" ca="1" si="639"/>
        <v>0</v>
      </c>
      <c r="BN297" s="58">
        <f t="shared" ca="1" si="639"/>
        <v>0</v>
      </c>
      <c r="BO297" s="58">
        <f t="shared" ca="1" si="639"/>
        <v>0</v>
      </c>
      <c r="BP297" s="58">
        <f t="shared" ca="1" si="639"/>
        <v>0</v>
      </c>
      <c r="BQ297" s="58">
        <f t="shared" ca="1" si="639"/>
        <v>0</v>
      </c>
      <c r="BR297" s="58">
        <f t="shared" ca="1" si="639"/>
        <v>0</v>
      </c>
      <c r="BS297" s="58">
        <f t="shared" ref="BS297:CX297" ca="1" si="640">+IF(OR($F297+BS$175&lt;1,(BS$176-1)*12&lt;-$F297),0,OFFSET(BS127,0,$F297))</f>
        <v>0</v>
      </c>
      <c r="BT297" s="58">
        <f t="shared" ca="1" si="640"/>
        <v>0</v>
      </c>
      <c r="BU297" s="58">
        <f t="shared" ca="1" si="640"/>
        <v>0</v>
      </c>
      <c r="BV297" s="58">
        <f t="shared" ca="1" si="640"/>
        <v>0</v>
      </c>
      <c r="BW297" s="58">
        <f t="shared" ca="1" si="640"/>
        <v>0</v>
      </c>
      <c r="BX297" s="58">
        <f t="shared" ca="1" si="640"/>
        <v>0</v>
      </c>
      <c r="BY297" s="58">
        <f t="shared" ca="1" si="640"/>
        <v>0</v>
      </c>
      <c r="BZ297" s="58">
        <f t="shared" ca="1" si="640"/>
        <v>0</v>
      </c>
      <c r="CA297" s="58">
        <f t="shared" ca="1" si="640"/>
        <v>0</v>
      </c>
      <c r="CB297" s="58">
        <f t="shared" ca="1" si="640"/>
        <v>0</v>
      </c>
      <c r="CC297" s="58">
        <f t="shared" ca="1" si="640"/>
        <v>0</v>
      </c>
      <c r="CD297" s="58">
        <f t="shared" ca="1" si="640"/>
        <v>0</v>
      </c>
      <c r="CE297" s="58">
        <f t="shared" ca="1" si="640"/>
        <v>0</v>
      </c>
      <c r="CF297" s="58">
        <f t="shared" ca="1" si="640"/>
        <v>0</v>
      </c>
      <c r="CG297" s="58">
        <f t="shared" ca="1" si="640"/>
        <v>0</v>
      </c>
      <c r="CH297" s="58">
        <f t="shared" ca="1" si="640"/>
        <v>0</v>
      </c>
      <c r="CI297" s="58">
        <f t="shared" ca="1" si="640"/>
        <v>0</v>
      </c>
      <c r="CJ297" s="58">
        <f t="shared" ca="1" si="640"/>
        <v>0</v>
      </c>
      <c r="CK297" s="58">
        <f t="shared" ca="1" si="640"/>
        <v>0</v>
      </c>
      <c r="CL297" s="58">
        <f t="shared" ca="1" si="640"/>
        <v>0</v>
      </c>
      <c r="CM297" s="58">
        <f t="shared" ca="1" si="640"/>
        <v>0</v>
      </c>
      <c r="CN297" s="58">
        <f t="shared" ca="1" si="640"/>
        <v>0</v>
      </c>
      <c r="CO297" s="58">
        <f t="shared" ca="1" si="640"/>
        <v>0</v>
      </c>
      <c r="CP297" s="58">
        <f t="shared" ca="1" si="640"/>
        <v>0</v>
      </c>
      <c r="CQ297" s="58">
        <f t="shared" ca="1" si="640"/>
        <v>0</v>
      </c>
      <c r="CR297" s="58">
        <f t="shared" ca="1" si="640"/>
        <v>0</v>
      </c>
      <c r="CS297" s="58">
        <f t="shared" ca="1" si="640"/>
        <v>0</v>
      </c>
      <c r="CT297" s="58">
        <f t="shared" ca="1" si="640"/>
        <v>0</v>
      </c>
      <c r="CU297" s="58">
        <f t="shared" ca="1" si="640"/>
        <v>0</v>
      </c>
      <c r="CV297" s="58">
        <f t="shared" ca="1" si="640"/>
        <v>0</v>
      </c>
      <c r="CW297" s="58">
        <f t="shared" ca="1" si="640"/>
        <v>0</v>
      </c>
      <c r="CX297" s="58">
        <f t="shared" ca="1" si="640"/>
        <v>0</v>
      </c>
      <c r="CY297" s="58">
        <f t="shared" ref="CY297:ED297" ca="1" si="641">+IF(OR($F297+CY$175&lt;1,(CY$176-1)*12&lt;-$F297),0,OFFSET(CY127,0,$F297))</f>
        <v>0</v>
      </c>
      <c r="CZ297" s="58">
        <f t="shared" ca="1" si="641"/>
        <v>0</v>
      </c>
      <c r="DA297" s="58">
        <f t="shared" ca="1" si="641"/>
        <v>0</v>
      </c>
      <c r="DB297" s="58">
        <f t="shared" ca="1" si="641"/>
        <v>0</v>
      </c>
      <c r="DC297" s="58">
        <f t="shared" ca="1" si="641"/>
        <v>0</v>
      </c>
      <c r="DD297" s="58">
        <f t="shared" ca="1" si="641"/>
        <v>0</v>
      </c>
      <c r="DE297" s="58">
        <f t="shared" ca="1" si="641"/>
        <v>0</v>
      </c>
      <c r="DF297" s="58">
        <f t="shared" ca="1" si="641"/>
        <v>0</v>
      </c>
      <c r="DG297" s="58">
        <f t="shared" ca="1" si="641"/>
        <v>0</v>
      </c>
      <c r="DH297" s="58">
        <f t="shared" ca="1" si="641"/>
        <v>0</v>
      </c>
      <c r="DI297" s="58">
        <f t="shared" ca="1" si="641"/>
        <v>0</v>
      </c>
      <c r="DJ297" s="58">
        <f t="shared" ca="1" si="641"/>
        <v>0</v>
      </c>
      <c r="DK297" s="58">
        <f t="shared" ca="1" si="641"/>
        <v>0</v>
      </c>
      <c r="DL297" s="58">
        <f t="shared" ca="1" si="641"/>
        <v>0</v>
      </c>
      <c r="DM297" s="58">
        <f t="shared" ca="1" si="641"/>
        <v>0</v>
      </c>
      <c r="DN297" s="58">
        <f t="shared" ca="1" si="641"/>
        <v>0</v>
      </c>
      <c r="DO297" s="58">
        <f t="shared" ca="1" si="641"/>
        <v>0</v>
      </c>
      <c r="DP297" s="58">
        <f t="shared" ca="1" si="641"/>
        <v>0</v>
      </c>
      <c r="DQ297" s="58">
        <f t="shared" ca="1" si="641"/>
        <v>0</v>
      </c>
      <c r="DR297" s="58">
        <f t="shared" ca="1" si="641"/>
        <v>0</v>
      </c>
      <c r="DS297" s="58">
        <f t="shared" ca="1" si="641"/>
        <v>0</v>
      </c>
      <c r="DT297" s="58">
        <f t="shared" ca="1" si="641"/>
        <v>0</v>
      </c>
      <c r="DU297" s="58">
        <f t="shared" ca="1" si="641"/>
        <v>0</v>
      </c>
      <c r="DV297" s="58">
        <f t="shared" ca="1" si="641"/>
        <v>0</v>
      </c>
      <c r="DW297" s="58">
        <f t="shared" ca="1" si="641"/>
        <v>0</v>
      </c>
      <c r="DX297" s="58">
        <f t="shared" ca="1" si="641"/>
        <v>0</v>
      </c>
      <c r="DY297" s="58">
        <f t="shared" ca="1" si="641"/>
        <v>0</v>
      </c>
      <c r="DZ297" s="58">
        <f t="shared" ca="1" si="641"/>
        <v>0</v>
      </c>
      <c r="EA297" s="58">
        <f t="shared" ca="1" si="641"/>
        <v>0</v>
      </c>
      <c r="EB297" s="58">
        <f t="shared" ca="1" si="641"/>
        <v>0</v>
      </c>
      <c r="EC297" s="58">
        <f t="shared" ca="1" si="641"/>
        <v>0</v>
      </c>
      <c r="ED297" s="58">
        <f t="shared" ca="1" si="641"/>
        <v>0</v>
      </c>
      <c r="EE297" s="58">
        <f t="shared" ref="EE297:FN297" ca="1" si="642">+IF(OR($F297+EE$175&lt;1,(EE$176-1)*12&lt;-$F297),0,OFFSET(EE127,0,$F297))</f>
        <v>0</v>
      </c>
      <c r="EF297" s="58">
        <f t="shared" ca="1" si="642"/>
        <v>0</v>
      </c>
      <c r="EG297" s="58">
        <f t="shared" ca="1" si="642"/>
        <v>0</v>
      </c>
      <c r="EH297" s="58">
        <f t="shared" ca="1" si="642"/>
        <v>0</v>
      </c>
      <c r="EI297" s="58">
        <f t="shared" ca="1" si="642"/>
        <v>0</v>
      </c>
      <c r="EJ297" s="58">
        <f t="shared" ca="1" si="642"/>
        <v>0</v>
      </c>
      <c r="EK297" s="58">
        <f t="shared" ca="1" si="642"/>
        <v>0</v>
      </c>
      <c r="EL297" s="58">
        <f t="shared" ca="1" si="642"/>
        <v>0</v>
      </c>
      <c r="EM297" s="58">
        <f t="shared" ca="1" si="642"/>
        <v>0</v>
      </c>
      <c r="EN297" s="58">
        <f t="shared" ca="1" si="642"/>
        <v>0</v>
      </c>
      <c r="EO297" s="58">
        <f t="shared" ca="1" si="642"/>
        <v>0</v>
      </c>
      <c r="EP297" s="58">
        <f t="shared" ca="1" si="642"/>
        <v>0</v>
      </c>
      <c r="EQ297" s="58">
        <f t="shared" ca="1" si="642"/>
        <v>0</v>
      </c>
      <c r="ER297" s="58">
        <f t="shared" ca="1" si="642"/>
        <v>0</v>
      </c>
      <c r="ES297" s="58">
        <f t="shared" ca="1" si="642"/>
        <v>0</v>
      </c>
      <c r="ET297" s="58">
        <f t="shared" ca="1" si="642"/>
        <v>0</v>
      </c>
      <c r="EU297" s="58">
        <f t="shared" ca="1" si="642"/>
        <v>0</v>
      </c>
      <c r="EV297" s="58">
        <f t="shared" ca="1" si="642"/>
        <v>0</v>
      </c>
      <c r="EW297" s="58">
        <f t="shared" ca="1" si="642"/>
        <v>0</v>
      </c>
      <c r="EX297" s="58">
        <f t="shared" ca="1" si="642"/>
        <v>0</v>
      </c>
      <c r="EY297" s="58">
        <f t="shared" ca="1" si="642"/>
        <v>0</v>
      </c>
      <c r="EZ297" s="58">
        <f t="shared" ca="1" si="642"/>
        <v>0</v>
      </c>
      <c r="FA297" s="58">
        <f t="shared" ca="1" si="642"/>
        <v>0</v>
      </c>
      <c r="FB297" s="58">
        <f t="shared" ca="1" si="642"/>
        <v>0</v>
      </c>
      <c r="FC297" s="58">
        <f t="shared" ca="1" si="642"/>
        <v>0</v>
      </c>
      <c r="FD297" s="58">
        <f t="shared" ca="1" si="642"/>
        <v>0</v>
      </c>
      <c r="FE297" s="58">
        <f t="shared" ca="1" si="642"/>
        <v>0</v>
      </c>
      <c r="FF297" s="58">
        <f t="shared" ca="1" si="642"/>
        <v>0</v>
      </c>
      <c r="FG297" s="58">
        <f t="shared" ca="1" si="642"/>
        <v>0</v>
      </c>
      <c r="FH297" s="58">
        <f t="shared" ca="1" si="642"/>
        <v>0</v>
      </c>
      <c r="FI297" s="58">
        <f t="shared" ca="1" si="642"/>
        <v>0</v>
      </c>
      <c r="FJ297" s="58">
        <f t="shared" ca="1" si="642"/>
        <v>0</v>
      </c>
      <c r="FK297" s="58">
        <f t="shared" ca="1" si="642"/>
        <v>0</v>
      </c>
      <c r="FL297" s="58">
        <f t="shared" ca="1" si="642"/>
        <v>0</v>
      </c>
      <c r="FM297" s="58">
        <f t="shared" ca="1" si="642"/>
        <v>0</v>
      </c>
      <c r="FN297" s="58">
        <f t="shared" ca="1" si="642"/>
        <v>0</v>
      </c>
      <c r="FO297" s="13"/>
    </row>
    <row r="298" spans="1:171" outlineLevel="1" x14ac:dyDescent="0.3">
      <c r="A298" s="13"/>
      <c r="B298" s="13"/>
      <c r="C298" s="13"/>
      <c r="D298" s="52">
        <f t="shared" si="520"/>
        <v>43831</v>
      </c>
      <c r="E298" s="53">
        <f t="shared" si="521"/>
        <v>2020</v>
      </c>
      <c r="F298" s="53">
        <f t="shared" si="522"/>
        <v>72</v>
      </c>
      <c r="G298" s="58">
        <f t="shared" ref="G298:AL298" ca="1" si="643">+IF(OR($F298+G$175&lt;1,(G$176-1)*12&lt;-$F298),0,OFFSET(G128,0,$F298))</f>
        <v>0</v>
      </c>
      <c r="H298" s="58">
        <f t="shared" ca="1" si="643"/>
        <v>0</v>
      </c>
      <c r="I298" s="58">
        <f t="shared" ca="1" si="643"/>
        <v>0</v>
      </c>
      <c r="J298" s="58">
        <f t="shared" ca="1" si="643"/>
        <v>0</v>
      </c>
      <c r="K298" s="58">
        <f t="shared" ca="1" si="643"/>
        <v>0</v>
      </c>
      <c r="L298" s="58">
        <f t="shared" ca="1" si="643"/>
        <v>0</v>
      </c>
      <c r="M298" s="58">
        <f t="shared" ca="1" si="643"/>
        <v>0</v>
      </c>
      <c r="N298" s="58">
        <f t="shared" ca="1" si="643"/>
        <v>0</v>
      </c>
      <c r="O298" s="58">
        <f t="shared" ca="1" si="643"/>
        <v>0</v>
      </c>
      <c r="P298" s="58">
        <f t="shared" ca="1" si="643"/>
        <v>0</v>
      </c>
      <c r="Q298" s="58">
        <f t="shared" ca="1" si="643"/>
        <v>0</v>
      </c>
      <c r="R298" s="58">
        <f t="shared" ca="1" si="643"/>
        <v>0</v>
      </c>
      <c r="S298" s="58">
        <f t="shared" ca="1" si="643"/>
        <v>0</v>
      </c>
      <c r="T298" s="58">
        <f t="shared" ca="1" si="643"/>
        <v>0</v>
      </c>
      <c r="U298" s="58">
        <f t="shared" ca="1" si="643"/>
        <v>0</v>
      </c>
      <c r="V298" s="58">
        <f t="shared" ca="1" si="643"/>
        <v>0</v>
      </c>
      <c r="W298" s="58">
        <f t="shared" ca="1" si="643"/>
        <v>0</v>
      </c>
      <c r="X298" s="58">
        <f t="shared" ca="1" si="643"/>
        <v>0</v>
      </c>
      <c r="Y298" s="58">
        <f t="shared" ca="1" si="643"/>
        <v>0</v>
      </c>
      <c r="Z298" s="58">
        <f t="shared" ca="1" si="643"/>
        <v>0</v>
      </c>
      <c r="AA298" s="58">
        <f t="shared" ca="1" si="643"/>
        <v>0</v>
      </c>
      <c r="AB298" s="58">
        <f t="shared" ca="1" si="643"/>
        <v>0</v>
      </c>
      <c r="AC298" s="58">
        <f t="shared" ca="1" si="643"/>
        <v>0</v>
      </c>
      <c r="AD298" s="58">
        <f t="shared" ca="1" si="643"/>
        <v>0</v>
      </c>
      <c r="AE298" s="58">
        <f t="shared" ca="1" si="643"/>
        <v>0</v>
      </c>
      <c r="AF298" s="58">
        <f t="shared" ca="1" si="643"/>
        <v>0</v>
      </c>
      <c r="AG298" s="58">
        <f t="shared" ca="1" si="643"/>
        <v>0</v>
      </c>
      <c r="AH298" s="58">
        <f t="shared" ca="1" si="643"/>
        <v>0</v>
      </c>
      <c r="AI298" s="58">
        <f t="shared" ca="1" si="643"/>
        <v>0</v>
      </c>
      <c r="AJ298" s="58">
        <f t="shared" ca="1" si="643"/>
        <v>0</v>
      </c>
      <c r="AK298" s="58">
        <f t="shared" ca="1" si="643"/>
        <v>0</v>
      </c>
      <c r="AL298" s="58">
        <f t="shared" ca="1" si="643"/>
        <v>0</v>
      </c>
      <c r="AM298" s="58">
        <f t="shared" ref="AM298:BR298" ca="1" si="644">+IF(OR($F298+AM$175&lt;1,(AM$176-1)*12&lt;-$F298),0,OFFSET(AM128,0,$F298))</f>
        <v>0</v>
      </c>
      <c r="AN298" s="58">
        <f t="shared" ca="1" si="644"/>
        <v>0</v>
      </c>
      <c r="AO298" s="58">
        <f t="shared" ca="1" si="644"/>
        <v>0</v>
      </c>
      <c r="AP298" s="58">
        <f t="shared" ca="1" si="644"/>
        <v>0</v>
      </c>
      <c r="AQ298" s="58">
        <f t="shared" ca="1" si="644"/>
        <v>0</v>
      </c>
      <c r="AR298" s="58">
        <f t="shared" ca="1" si="644"/>
        <v>0</v>
      </c>
      <c r="AS298" s="58">
        <f t="shared" ca="1" si="644"/>
        <v>0</v>
      </c>
      <c r="AT298" s="58">
        <f t="shared" ca="1" si="644"/>
        <v>0</v>
      </c>
      <c r="AU298" s="58">
        <f t="shared" ca="1" si="644"/>
        <v>0</v>
      </c>
      <c r="AV298" s="58">
        <f t="shared" ca="1" si="644"/>
        <v>0</v>
      </c>
      <c r="AW298" s="58">
        <f t="shared" ca="1" si="644"/>
        <v>0</v>
      </c>
      <c r="AX298" s="58">
        <f t="shared" ca="1" si="644"/>
        <v>0</v>
      </c>
      <c r="AY298" s="58">
        <f t="shared" ca="1" si="644"/>
        <v>0</v>
      </c>
      <c r="AZ298" s="58">
        <f t="shared" ca="1" si="644"/>
        <v>0</v>
      </c>
      <c r="BA298" s="58">
        <f t="shared" ca="1" si="644"/>
        <v>0</v>
      </c>
      <c r="BB298" s="58">
        <f t="shared" ca="1" si="644"/>
        <v>0</v>
      </c>
      <c r="BC298" s="58">
        <f t="shared" ca="1" si="644"/>
        <v>0</v>
      </c>
      <c r="BD298" s="58">
        <f t="shared" ca="1" si="644"/>
        <v>0</v>
      </c>
      <c r="BE298" s="58">
        <f t="shared" ca="1" si="644"/>
        <v>0</v>
      </c>
      <c r="BF298" s="58">
        <f t="shared" ca="1" si="644"/>
        <v>0</v>
      </c>
      <c r="BG298" s="58">
        <f t="shared" ca="1" si="644"/>
        <v>0</v>
      </c>
      <c r="BH298" s="58">
        <f t="shared" ca="1" si="644"/>
        <v>0</v>
      </c>
      <c r="BI298" s="58">
        <f t="shared" ca="1" si="644"/>
        <v>0</v>
      </c>
      <c r="BJ298" s="58">
        <f t="shared" ca="1" si="644"/>
        <v>0</v>
      </c>
      <c r="BK298" s="58">
        <f t="shared" ca="1" si="644"/>
        <v>0</v>
      </c>
      <c r="BL298" s="58">
        <f t="shared" ca="1" si="644"/>
        <v>0</v>
      </c>
      <c r="BM298" s="58">
        <f t="shared" ca="1" si="644"/>
        <v>0</v>
      </c>
      <c r="BN298" s="58">
        <f t="shared" ca="1" si="644"/>
        <v>0</v>
      </c>
      <c r="BO298" s="58">
        <f t="shared" ca="1" si="644"/>
        <v>0</v>
      </c>
      <c r="BP298" s="58">
        <f t="shared" ca="1" si="644"/>
        <v>0</v>
      </c>
      <c r="BQ298" s="58">
        <f t="shared" ca="1" si="644"/>
        <v>0</v>
      </c>
      <c r="BR298" s="58">
        <f t="shared" ca="1" si="644"/>
        <v>0</v>
      </c>
      <c r="BS298" s="58">
        <f t="shared" ref="BS298:CX298" ca="1" si="645">+IF(OR($F298+BS$175&lt;1,(BS$176-1)*12&lt;-$F298),0,OFFSET(BS128,0,$F298))</f>
        <v>0</v>
      </c>
      <c r="BT298" s="58">
        <f t="shared" ca="1" si="645"/>
        <v>0</v>
      </c>
      <c r="BU298" s="58">
        <f t="shared" ca="1" si="645"/>
        <v>0</v>
      </c>
      <c r="BV298" s="58">
        <f t="shared" ca="1" si="645"/>
        <v>0</v>
      </c>
      <c r="BW298" s="58">
        <f t="shared" ca="1" si="645"/>
        <v>0</v>
      </c>
      <c r="BX298" s="58">
        <f t="shared" ca="1" si="645"/>
        <v>0</v>
      </c>
      <c r="BY298" s="58">
        <f t="shared" ca="1" si="645"/>
        <v>0</v>
      </c>
      <c r="BZ298" s="58">
        <f t="shared" ca="1" si="645"/>
        <v>0</v>
      </c>
      <c r="CA298" s="58">
        <f t="shared" ca="1" si="645"/>
        <v>0</v>
      </c>
      <c r="CB298" s="58">
        <f t="shared" ca="1" si="645"/>
        <v>0</v>
      </c>
      <c r="CC298" s="58">
        <f t="shared" ca="1" si="645"/>
        <v>0</v>
      </c>
      <c r="CD298" s="58">
        <f t="shared" ca="1" si="645"/>
        <v>0</v>
      </c>
      <c r="CE298" s="58">
        <f t="shared" ca="1" si="645"/>
        <v>0</v>
      </c>
      <c r="CF298" s="58">
        <f t="shared" ca="1" si="645"/>
        <v>0</v>
      </c>
      <c r="CG298" s="58">
        <f t="shared" ca="1" si="645"/>
        <v>0</v>
      </c>
      <c r="CH298" s="58">
        <f t="shared" ca="1" si="645"/>
        <v>0</v>
      </c>
      <c r="CI298" s="58">
        <f t="shared" ca="1" si="645"/>
        <v>0</v>
      </c>
      <c r="CJ298" s="58">
        <f t="shared" ca="1" si="645"/>
        <v>0</v>
      </c>
      <c r="CK298" s="58">
        <f t="shared" ca="1" si="645"/>
        <v>0</v>
      </c>
      <c r="CL298" s="58">
        <f t="shared" ca="1" si="645"/>
        <v>0</v>
      </c>
      <c r="CM298" s="58">
        <f t="shared" ca="1" si="645"/>
        <v>0</v>
      </c>
      <c r="CN298" s="58">
        <f t="shared" ca="1" si="645"/>
        <v>0</v>
      </c>
      <c r="CO298" s="58">
        <f t="shared" ca="1" si="645"/>
        <v>0</v>
      </c>
      <c r="CP298" s="58">
        <f t="shared" ca="1" si="645"/>
        <v>0</v>
      </c>
      <c r="CQ298" s="58">
        <f t="shared" ca="1" si="645"/>
        <v>0</v>
      </c>
      <c r="CR298" s="58">
        <f t="shared" ca="1" si="645"/>
        <v>0</v>
      </c>
      <c r="CS298" s="58">
        <f t="shared" ca="1" si="645"/>
        <v>0</v>
      </c>
      <c r="CT298" s="58">
        <f t="shared" ca="1" si="645"/>
        <v>0</v>
      </c>
      <c r="CU298" s="58">
        <f t="shared" ca="1" si="645"/>
        <v>0</v>
      </c>
      <c r="CV298" s="58">
        <f t="shared" ca="1" si="645"/>
        <v>0</v>
      </c>
      <c r="CW298" s="58">
        <f t="shared" ca="1" si="645"/>
        <v>0</v>
      </c>
      <c r="CX298" s="58">
        <f t="shared" ca="1" si="645"/>
        <v>0</v>
      </c>
      <c r="CY298" s="58">
        <f t="shared" ref="CY298:ED298" ca="1" si="646">+IF(OR($F298+CY$175&lt;1,(CY$176-1)*12&lt;-$F298),0,OFFSET(CY128,0,$F298))</f>
        <v>0</v>
      </c>
      <c r="CZ298" s="58">
        <f t="shared" ca="1" si="646"/>
        <v>0</v>
      </c>
      <c r="DA298" s="58">
        <f t="shared" ca="1" si="646"/>
        <v>0</v>
      </c>
      <c r="DB298" s="58">
        <f t="shared" ca="1" si="646"/>
        <v>0</v>
      </c>
      <c r="DC298" s="58">
        <f t="shared" ca="1" si="646"/>
        <v>0</v>
      </c>
      <c r="DD298" s="58">
        <f t="shared" ca="1" si="646"/>
        <v>0</v>
      </c>
      <c r="DE298" s="58">
        <f t="shared" ca="1" si="646"/>
        <v>0</v>
      </c>
      <c r="DF298" s="58">
        <f t="shared" ca="1" si="646"/>
        <v>0</v>
      </c>
      <c r="DG298" s="58">
        <f t="shared" ca="1" si="646"/>
        <v>0</v>
      </c>
      <c r="DH298" s="58">
        <f t="shared" ca="1" si="646"/>
        <v>0</v>
      </c>
      <c r="DI298" s="58">
        <f t="shared" ca="1" si="646"/>
        <v>0</v>
      </c>
      <c r="DJ298" s="58">
        <f t="shared" ca="1" si="646"/>
        <v>0</v>
      </c>
      <c r="DK298" s="58">
        <f t="shared" ca="1" si="646"/>
        <v>0</v>
      </c>
      <c r="DL298" s="58">
        <f t="shared" ca="1" si="646"/>
        <v>0</v>
      </c>
      <c r="DM298" s="58">
        <f t="shared" ca="1" si="646"/>
        <v>0</v>
      </c>
      <c r="DN298" s="58">
        <f t="shared" ca="1" si="646"/>
        <v>0</v>
      </c>
      <c r="DO298" s="58">
        <f t="shared" ca="1" si="646"/>
        <v>0</v>
      </c>
      <c r="DP298" s="58">
        <f t="shared" ca="1" si="646"/>
        <v>0</v>
      </c>
      <c r="DQ298" s="58">
        <f t="shared" ca="1" si="646"/>
        <v>0</v>
      </c>
      <c r="DR298" s="58">
        <f t="shared" ca="1" si="646"/>
        <v>0</v>
      </c>
      <c r="DS298" s="58">
        <f t="shared" ca="1" si="646"/>
        <v>0</v>
      </c>
      <c r="DT298" s="58">
        <f t="shared" ca="1" si="646"/>
        <v>0</v>
      </c>
      <c r="DU298" s="58">
        <f t="shared" ca="1" si="646"/>
        <v>0</v>
      </c>
      <c r="DV298" s="58">
        <f t="shared" ca="1" si="646"/>
        <v>0</v>
      </c>
      <c r="DW298" s="58">
        <f t="shared" ca="1" si="646"/>
        <v>0</v>
      </c>
      <c r="DX298" s="58">
        <f t="shared" ca="1" si="646"/>
        <v>0</v>
      </c>
      <c r="DY298" s="58">
        <f t="shared" ca="1" si="646"/>
        <v>0</v>
      </c>
      <c r="DZ298" s="58">
        <f t="shared" ca="1" si="646"/>
        <v>0</v>
      </c>
      <c r="EA298" s="58">
        <f t="shared" ca="1" si="646"/>
        <v>0</v>
      </c>
      <c r="EB298" s="58">
        <f t="shared" ca="1" si="646"/>
        <v>0</v>
      </c>
      <c r="EC298" s="58">
        <f t="shared" ca="1" si="646"/>
        <v>0</v>
      </c>
      <c r="ED298" s="58">
        <f t="shared" ca="1" si="646"/>
        <v>0</v>
      </c>
      <c r="EE298" s="58">
        <f t="shared" ref="EE298:FN298" ca="1" si="647">+IF(OR($F298+EE$175&lt;1,(EE$176-1)*12&lt;-$F298),0,OFFSET(EE128,0,$F298))</f>
        <v>0</v>
      </c>
      <c r="EF298" s="58">
        <f t="shared" ca="1" si="647"/>
        <v>0</v>
      </c>
      <c r="EG298" s="58">
        <f t="shared" ca="1" si="647"/>
        <v>0</v>
      </c>
      <c r="EH298" s="58">
        <f t="shared" ca="1" si="647"/>
        <v>0</v>
      </c>
      <c r="EI298" s="58">
        <f t="shared" ca="1" si="647"/>
        <v>0</v>
      </c>
      <c r="EJ298" s="58">
        <f t="shared" ca="1" si="647"/>
        <v>0</v>
      </c>
      <c r="EK298" s="58">
        <f t="shared" ca="1" si="647"/>
        <v>0</v>
      </c>
      <c r="EL298" s="58">
        <f t="shared" ca="1" si="647"/>
        <v>0</v>
      </c>
      <c r="EM298" s="58">
        <f t="shared" ca="1" si="647"/>
        <v>0</v>
      </c>
      <c r="EN298" s="58">
        <f t="shared" ca="1" si="647"/>
        <v>0</v>
      </c>
      <c r="EO298" s="58">
        <f t="shared" ca="1" si="647"/>
        <v>0</v>
      </c>
      <c r="EP298" s="58">
        <f t="shared" ca="1" si="647"/>
        <v>0</v>
      </c>
      <c r="EQ298" s="58">
        <f t="shared" ca="1" si="647"/>
        <v>0</v>
      </c>
      <c r="ER298" s="58">
        <f t="shared" ca="1" si="647"/>
        <v>0</v>
      </c>
      <c r="ES298" s="58">
        <f t="shared" ca="1" si="647"/>
        <v>0</v>
      </c>
      <c r="ET298" s="58">
        <f t="shared" ca="1" si="647"/>
        <v>0</v>
      </c>
      <c r="EU298" s="58">
        <f t="shared" ca="1" si="647"/>
        <v>0</v>
      </c>
      <c r="EV298" s="58">
        <f t="shared" ca="1" si="647"/>
        <v>0</v>
      </c>
      <c r="EW298" s="58">
        <f t="shared" ca="1" si="647"/>
        <v>0</v>
      </c>
      <c r="EX298" s="58">
        <f t="shared" ca="1" si="647"/>
        <v>0</v>
      </c>
      <c r="EY298" s="58">
        <f t="shared" ca="1" si="647"/>
        <v>0</v>
      </c>
      <c r="EZ298" s="58">
        <f t="shared" ca="1" si="647"/>
        <v>0</v>
      </c>
      <c r="FA298" s="58">
        <f t="shared" ca="1" si="647"/>
        <v>0</v>
      </c>
      <c r="FB298" s="58">
        <f t="shared" ca="1" si="647"/>
        <v>0</v>
      </c>
      <c r="FC298" s="58">
        <f t="shared" ca="1" si="647"/>
        <v>0</v>
      </c>
      <c r="FD298" s="58">
        <f t="shared" ca="1" si="647"/>
        <v>0</v>
      </c>
      <c r="FE298" s="58">
        <f t="shared" ca="1" si="647"/>
        <v>0</v>
      </c>
      <c r="FF298" s="58">
        <f t="shared" ca="1" si="647"/>
        <v>0</v>
      </c>
      <c r="FG298" s="58">
        <f t="shared" ca="1" si="647"/>
        <v>0</v>
      </c>
      <c r="FH298" s="58">
        <f t="shared" ca="1" si="647"/>
        <v>0</v>
      </c>
      <c r="FI298" s="58">
        <f t="shared" ca="1" si="647"/>
        <v>0</v>
      </c>
      <c r="FJ298" s="58">
        <f t="shared" ca="1" si="647"/>
        <v>0</v>
      </c>
      <c r="FK298" s="58">
        <f t="shared" ca="1" si="647"/>
        <v>0</v>
      </c>
      <c r="FL298" s="58">
        <f t="shared" ca="1" si="647"/>
        <v>0</v>
      </c>
      <c r="FM298" s="58">
        <f t="shared" ca="1" si="647"/>
        <v>0</v>
      </c>
      <c r="FN298" s="58">
        <f t="shared" ca="1" si="647"/>
        <v>0</v>
      </c>
      <c r="FO298" s="13"/>
    </row>
    <row r="299" spans="1:171" outlineLevel="1" x14ac:dyDescent="0.3">
      <c r="A299" s="13"/>
      <c r="B299" s="13"/>
      <c r="C299" s="13"/>
      <c r="D299" s="52">
        <f t="shared" si="520"/>
        <v>43862</v>
      </c>
      <c r="E299" s="53">
        <f t="shared" si="521"/>
        <v>2020</v>
      </c>
      <c r="F299" s="53">
        <f t="shared" si="522"/>
        <v>73</v>
      </c>
      <c r="G299" s="58">
        <f t="shared" ref="G299:AL299" ca="1" si="648">+IF(OR($F299+G$175&lt;1,(G$176-1)*12&lt;-$F299),0,OFFSET(G129,0,$F299))</f>
        <v>0</v>
      </c>
      <c r="H299" s="58">
        <f t="shared" ca="1" si="648"/>
        <v>0</v>
      </c>
      <c r="I299" s="58">
        <f t="shared" ca="1" si="648"/>
        <v>0</v>
      </c>
      <c r="J299" s="58">
        <f t="shared" ca="1" si="648"/>
        <v>0</v>
      </c>
      <c r="K299" s="58">
        <f t="shared" ca="1" si="648"/>
        <v>0</v>
      </c>
      <c r="L299" s="58">
        <f t="shared" ca="1" si="648"/>
        <v>0</v>
      </c>
      <c r="M299" s="58">
        <f t="shared" ca="1" si="648"/>
        <v>0</v>
      </c>
      <c r="N299" s="58">
        <f t="shared" ca="1" si="648"/>
        <v>0</v>
      </c>
      <c r="O299" s="58">
        <f t="shared" ca="1" si="648"/>
        <v>0</v>
      </c>
      <c r="P299" s="58">
        <f t="shared" ca="1" si="648"/>
        <v>0</v>
      </c>
      <c r="Q299" s="58">
        <f t="shared" ca="1" si="648"/>
        <v>0</v>
      </c>
      <c r="R299" s="58">
        <f t="shared" ca="1" si="648"/>
        <v>0</v>
      </c>
      <c r="S299" s="58">
        <f t="shared" ca="1" si="648"/>
        <v>0</v>
      </c>
      <c r="T299" s="58">
        <f t="shared" ca="1" si="648"/>
        <v>0</v>
      </c>
      <c r="U299" s="58">
        <f t="shared" ca="1" si="648"/>
        <v>0</v>
      </c>
      <c r="V299" s="58">
        <f t="shared" ca="1" si="648"/>
        <v>0</v>
      </c>
      <c r="W299" s="58">
        <f t="shared" ca="1" si="648"/>
        <v>0</v>
      </c>
      <c r="X299" s="58">
        <f t="shared" ca="1" si="648"/>
        <v>0</v>
      </c>
      <c r="Y299" s="58">
        <f t="shared" ca="1" si="648"/>
        <v>0</v>
      </c>
      <c r="Z299" s="58">
        <f t="shared" ca="1" si="648"/>
        <v>0</v>
      </c>
      <c r="AA299" s="58">
        <f t="shared" ca="1" si="648"/>
        <v>0</v>
      </c>
      <c r="AB299" s="58">
        <f t="shared" ca="1" si="648"/>
        <v>0</v>
      </c>
      <c r="AC299" s="58">
        <f t="shared" ca="1" si="648"/>
        <v>0</v>
      </c>
      <c r="AD299" s="58">
        <f t="shared" ca="1" si="648"/>
        <v>0</v>
      </c>
      <c r="AE299" s="58">
        <f t="shared" ca="1" si="648"/>
        <v>0</v>
      </c>
      <c r="AF299" s="58">
        <f t="shared" ca="1" si="648"/>
        <v>0</v>
      </c>
      <c r="AG299" s="58">
        <f t="shared" ca="1" si="648"/>
        <v>0</v>
      </c>
      <c r="AH299" s="58">
        <f t="shared" ca="1" si="648"/>
        <v>0</v>
      </c>
      <c r="AI299" s="58">
        <f t="shared" ca="1" si="648"/>
        <v>0</v>
      </c>
      <c r="AJ299" s="58">
        <f t="shared" ca="1" si="648"/>
        <v>0</v>
      </c>
      <c r="AK299" s="58">
        <f t="shared" ca="1" si="648"/>
        <v>0</v>
      </c>
      <c r="AL299" s="58">
        <f t="shared" ca="1" si="648"/>
        <v>0</v>
      </c>
      <c r="AM299" s="58">
        <f t="shared" ref="AM299:BR299" ca="1" si="649">+IF(OR($F299+AM$175&lt;1,(AM$176-1)*12&lt;-$F299),0,OFFSET(AM129,0,$F299))</f>
        <v>0</v>
      </c>
      <c r="AN299" s="58">
        <f t="shared" ca="1" si="649"/>
        <v>0</v>
      </c>
      <c r="AO299" s="58">
        <f t="shared" ca="1" si="649"/>
        <v>0</v>
      </c>
      <c r="AP299" s="58">
        <f t="shared" ca="1" si="649"/>
        <v>0</v>
      </c>
      <c r="AQ299" s="58">
        <f t="shared" ca="1" si="649"/>
        <v>0</v>
      </c>
      <c r="AR299" s="58">
        <f t="shared" ca="1" si="649"/>
        <v>0</v>
      </c>
      <c r="AS299" s="58">
        <f t="shared" ca="1" si="649"/>
        <v>0</v>
      </c>
      <c r="AT299" s="58">
        <f t="shared" ca="1" si="649"/>
        <v>0</v>
      </c>
      <c r="AU299" s="58">
        <f t="shared" ca="1" si="649"/>
        <v>0</v>
      </c>
      <c r="AV299" s="58">
        <f t="shared" ca="1" si="649"/>
        <v>0</v>
      </c>
      <c r="AW299" s="58">
        <f t="shared" ca="1" si="649"/>
        <v>0</v>
      </c>
      <c r="AX299" s="58">
        <f t="shared" ca="1" si="649"/>
        <v>0</v>
      </c>
      <c r="AY299" s="58">
        <f t="shared" ca="1" si="649"/>
        <v>0</v>
      </c>
      <c r="AZ299" s="58">
        <f t="shared" ca="1" si="649"/>
        <v>0</v>
      </c>
      <c r="BA299" s="58">
        <f t="shared" ca="1" si="649"/>
        <v>0</v>
      </c>
      <c r="BB299" s="58">
        <f t="shared" ca="1" si="649"/>
        <v>0</v>
      </c>
      <c r="BC299" s="58">
        <f t="shared" ca="1" si="649"/>
        <v>0</v>
      </c>
      <c r="BD299" s="58">
        <f t="shared" ca="1" si="649"/>
        <v>0</v>
      </c>
      <c r="BE299" s="58">
        <f t="shared" ca="1" si="649"/>
        <v>0</v>
      </c>
      <c r="BF299" s="58">
        <f t="shared" ca="1" si="649"/>
        <v>0</v>
      </c>
      <c r="BG299" s="58">
        <f t="shared" ca="1" si="649"/>
        <v>0</v>
      </c>
      <c r="BH299" s="58">
        <f t="shared" ca="1" si="649"/>
        <v>0</v>
      </c>
      <c r="BI299" s="58">
        <f t="shared" ca="1" si="649"/>
        <v>0</v>
      </c>
      <c r="BJ299" s="58">
        <f t="shared" ca="1" si="649"/>
        <v>0</v>
      </c>
      <c r="BK299" s="58">
        <f t="shared" ca="1" si="649"/>
        <v>0</v>
      </c>
      <c r="BL299" s="58">
        <f t="shared" ca="1" si="649"/>
        <v>0</v>
      </c>
      <c r="BM299" s="58">
        <f t="shared" ca="1" si="649"/>
        <v>0</v>
      </c>
      <c r="BN299" s="58">
        <f t="shared" ca="1" si="649"/>
        <v>0</v>
      </c>
      <c r="BO299" s="58">
        <f t="shared" ca="1" si="649"/>
        <v>0</v>
      </c>
      <c r="BP299" s="58">
        <f t="shared" ca="1" si="649"/>
        <v>0</v>
      </c>
      <c r="BQ299" s="58">
        <f t="shared" ca="1" si="649"/>
        <v>0</v>
      </c>
      <c r="BR299" s="58">
        <f t="shared" ca="1" si="649"/>
        <v>0</v>
      </c>
      <c r="BS299" s="58">
        <f t="shared" ref="BS299:CX299" ca="1" si="650">+IF(OR($F299+BS$175&lt;1,(BS$176-1)*12&lt;-$F299),0,OFFSET(BS129,0,$F299))</f>
        <v>0</v>
      </c>
      <c r="BT299" s="58">
        <f t="shared" ca="1" si="650"/>
        <v>0</v>
      </c>
      <c r="BU299" s="58">
        <f t="shared" ca="1" si="650"/>
        <v>0</v>
      </c>
      <c r="BV299" s="58">
        <f t="shared" ca="1" si="650"/>
        <v>0</v>
      </c>
      <c r="BW299" s="58">
        <f t="shared" ca="1" si="650"/>
        <v>0</v>
      </c>
      <c r="BX299" s="58">
        <f t="shared" ca="1" si="650"/>
        <v>0</v>
      </c>
      <c r="BY299" s="58">
        <f t="shared" ca="1" si="650"/>
        <v>0</v>
      </c>
      <c r="BZ299" s="58">
        <f t="shared" ca="1" si="650"/>
        <v>0</v>
      </c>
      <c r="CA299" s="58">
        <f t="shared" ca="1" si="650"/>
        <v>0</v>
      </c>
      <c r="CB299" s="58">
        <f t="shared" ca="1" si="650"/>
        <v>0</v>
      </c>
      <c r="CC299" s="58">
        <f t="shared" ca="1" si="650"/>
        <v>0</v>
      </c>
      <c r="CD299" s="58">
        <f t="shared" ca="1" si="650"/>
        <v>0</v>
      </c>
      <c r="CE299" s="58">
        <f t="shared" ca="1" si="650"/>
        <v>0</v>
      </c>
      <c r="CF299" s="58">
        <f t="shared" ca="1" si="650"/>
        <v>0</v>
      </c>
      <c r="CG299" s="58">
        <f t="shared" ca="1" si="650"/>
        <v>0</v>
      </c>
      <c r="CH299" s="58">
        <f t="shared" ca="1" si="650"/>
        <v>0</v>
      </c>
      <c r="CI299" s="58">
        <f t="shared" ca="1" si="650"/>
        <v>0</v>
      </c>
      <c r="CJ299" s="58">
        <f t="shared" ca="1" si="650"/>
        <v>0</v>
      </c>
      <c r="CK299" s="58">
        <f t="shared" ca="1" si="650"/>
        <v>0</v>
      </c>
      <c r="CL299" s="58">
        <f t="shared" ca="1" si="650"/>
        <v>0</v>
      </c>
      <c r="CM299" s="58">
        <f t="shared" ca="1" si="650"/>
        <v>0</v>
      </c>
      <c r="CN299" s="58">
        <f t="shared" ca="1" si="650"/>
        <v>0</v>
      </c>
      <c r="CO299" s="58">
        <f t="shared" ca="1" si="650"/>
        <v>0</v>
      </c>
      <c r="CP299" s="58">
        <f t="shared" ca="1" si="650"/>
        <v>0</v>
      </c>
      <c r="CQ299" s="58">
        <f t="shared" ca="1" si="650"/>
        <v>0</v>
      </c>
      <c r="CR299" s="58">
        <f t="shared" ca="1" si="650"/>
        <v>0</v>
      </c>
      <c r="CS299" s="58">
        <f t="shared" ca="1" si="650"/>
        <v>0</v>
      </c>
      <c r="CT299" s="58">
        <f t="shared" ca="1" si="650"/>
        <v>0</v>
      </c>
      <c r="CU299" s="58">
        <f t="shared" ca="1" si="650"/>
        <v>0</v>
      </c>
      <c r="CV299" s="58">
        <f t="shared" ca="1" si="650"/>
        <v>0</v>
      </c>
      <c r="CW299" s="58">
        <f t="shared" ca="1" si="650"/>
        <v>0</v>
      </c>
      <c r="CX299" s="58">
        <f t="shared" ca="1" si="650"/>
        <v>0</v>
      </c>
      <c r="CY299" s="58">
        <f t="shared" ref="CY299:ED299" ca="1" si="651">+IF(OR($F299+CY$175&lt;1,(CY$176-1)*12&lt;-$F299),0,OFFSET(CY129,0,$F299))</f>
        <v>0</v>
      </c>
      <c r="CZ299" s="58">
        <f t="shared" ca="1" si="651"/>
        <v>0</v>
      </c>
      <c r="DA299" s="58">
        <f t="shared" ca="1" si="651"/>
        <v>0</v>
      </c>
      <c r="DB299" s="58">
        <f t="shared" ca="1" si="651"/>
        <v>0</v>
      </c>
      <c r="DC299" s="58">
        <f t="shared" ca="1" si="651"/>
        <v>0</v>
      </c>
      <c r="DD299" s="58">
        <f t="shared" ca="1" si="651"/>
        <v>0</v>
      </c>
      <c r="DE299" s="58">
        <f t="shared" ca="1" si="651"/>
        <v>0</v>
      </c>
      <c r="DF299" s="58">
        <f t="shared" ca="1" si="651"/>
        <v>0</v>
      </c>
      <c r="DG299" s="58">
        <f t="shared" ca="1" si="651"/>
        <v>0</v>
      </c>
      <c r="DH299" s="58">
        <f t="shared" ca="1" si="651"/>
        <v>0</v>
      </c>
      <c r="DI299" s="58">
        <f t="shared" ca="1" si="651"/>
        <v>0</v>
      </c>
      <c r="DJ299" s="58">
        <f t="shared" ca="1" si="651"/>
        <v>0</v>
      </c>
      <c r="DK299" s="58">
        <f t="shared" ca="1" si="651"/>
        <v>0</v>
      </c>
      <c r="DL299" s="58">
        <f t="shared" ca="1" si="651"/>
        <v>0</v>
      </c>
      <c r="DM299" s="58">
        <f t="shared" ca="1" si="651"/>
        <v>0</v>
      </c>
      <c r="DN299" s="58">
        <f t="shared" ca="1" si="651"/>
        <v>0</v>
      </c>
      <c r="DO299" s="58">
        <f t="shared" ca="1" si="651"/>
        <v>0</v>
      </c>
      <c r="DP299" s="58">
        <f t="shared" ca="1" si="651"/>
        <v>0</v>
      </c>
      <c r="DQ299" s="58">
        <f t="shared" ca="1" si="651"/>
        <v>0</v>
      </c>
      <c r="DR299" s="58">
        <f t="shared" ca="1" si="651"/>
        <v>0</v>
      </c>
      <c r="DS299" s="58">
        <f t="shared" ca="1" si="651"/>
        <v>0</v>
      </c>
      <c r="DT299" s="58">
        <f t="shared" ca="1" si="651"/>
        <v>0</v>
      </c>
      <c r="DU299" s="58">
        <f t="shared" ca="1" si="651"/>
        <v>0</v>
      </c>
      <c r="DV299" s="58">
        <f t="shared" ca="1" si="651"/>
        <v>0</v>
      </c>
      <c r="DW299" s="58">
        <f t="shared" ca="1" si="651"/>
        <v>0</v>
      </c>
      <c r="DX299" s="58">
        <f t="shared" ca="1" si="651"/>
        <v>0</v>
      </c>
      <c r="DY299" s="58">
        <f t="shared" ca="1" si="651"/>
        <v>0</v>
      </c>
      <c r="DZ299" s="58">
        <f t="shared" ca="1" si="651"/>
        <v>0</v>
      </c>
      <c r="EA299" s="58">
        <f t="shared" ca="1" si="651"/>
        <v>0</v>
      </c>
      <c r="EB299" s="58">
        <f t="shared" ca="1" si="651"/>
        <v>0</v>
      </c>
      <c r="EC299" s="58">
        <f t="shared" ca="1" si="651"/>
        <v>0</v>
      </c>
      <c r="ED299" s="58">
        <f t="shared" ca="1" si="651"/>
        <v>0</v>
      </c>
      <c r="EE299" s="58">
        <f t="shared" ref="EE299:FN299" ca="1" si="652">+IF(OR($F299+EE$175&lt;1,(EE$176-1)*12&lt;-$F299),0,OFFSET(EE129,0,$F299))</f>
        <v>0</v>
      </c>
      <c r="EF299" s="58">
        <f t="shared" ca="1" si="652"/>
        <v>0</v>
      </c>
      <c r="EG299" s="58">
        <f t="shared" ca="1" si="652"/>
        <v>0</v>
      </c>
      <c r="EH299" s="58">
        <f t="shared" ca="1" si="652"/>
        <v>0</v>
      </c>
      <c r="EI299" s="58">
        <f t="shared" ca="1" si="652"/>
        <v>0</v>
      </c>
      <c r="EJ299" s="58">
        <f t="shared" ca="1" si="652"/>
        <v>0</v>
      </c>
      <c r="EK299" s="58">
        <f t="shared" ca="1" si="652"/>
        <v>0</v>
      </c>
      <c r="EL299" s="58">
        <f t="shared" ca="1" si="652"/>
        <v>0</v>
      </c>
      <c r="EM299" s="58">
        <f t="shared" ca="1" si="652"/>
        <v>0</v>
      </c>
      <c r="EN299" s="58">
        <f t="shared" ca="1" si="652"/>
        <v>0</v>
      </c>
      <c r="EO299" s="58">
        <f t="shared" ca="1" si="652"/>
        <v>0</v>
      </c>
      <c r="EP299" s="58">
        <f t="shared" ca="1" si="652"/>
        <v>0</v>
      </c>
      <c r="EQ299" s="58">
        <f t="shared" ca="1" si="652"/>
        <v>0</v>
      </c>
      <c r="ER299" s="58">
        <f t="shared" ca="1" si="652"/>
        <v>0</v>
      </c>
      <c r="ES299" s="58">
        <f t="shared" ca="1" si="652"/>
        <v>0</v>
      </c>
      <c r="ET299" s="58">
        <f t="shared" ca="1" si="652"/>
        <v>0</v>
      </c>
      <c r="EU299" s="58">
        <f t="shared" ca="1" si="652"/>
        <v>0</v>
      </c>
      <c r="EV299" s="58">
        <f t="shared" ca="1" si="652"/>
        <v>0</v>
      </c>
      <c r="EW299" s="58">
        <f t="shared" ca="1" si="652"/>
        <v>0</v>
      </c>
      <c r="EX299" s="58">
        <f t="shared" ca="1" si="652"/>
        <v>0</v>
      </c>
      <c r="EY299" s="58">
        <f t="shared" ca="1" si="652"/>
        <v>0</v>
      </c>
      <c r="EZ299" s="58">
        <f t="shared" ca="1" si="652"/>
        <v>0</v>
      </c>
      <c r="FA299" s="58">
        <f t="shared" ca="1" si="652"/>
        <v>0</v>
      </c>
      <c r="FB299" s="58">
        <f t="shared" ca="1" si="652"/>
        <v>0</v>
      </c>
      <c r="FC299" s="58">
        <f t="shared" ca="1" si="652"/>
        <v>0</v>
      </c>
      <c r="FD299" s="58">
        <f t="shared" ca="1" si="652"/>
        <v>0</v>
      </c>
      <c r="FE299" s="58">
        <f t="shared" ca="1" si="652"/>
        <v>0</v>
      </c>
      <c r="FF299" s="58">
        <f t="shared" ca="1" si="652"/>
        <v>0</v>
      </c>
      <c r="FG299" s="58">
        <f t="shared" ca="1" si="652"/>
        <v>0</v>
      </c>
      <c r="FH299" s="58">
        <f t="shared" ca="1" si="652"/>
        <v>0</v>
      </c>
      <c r="FI299" s="58">
        <f t="shared" ca="1" si="652"/>
        <v>0</v>
      </c>
      <c r="FJ299" s="58">
        <f t="shared" ca="1" si="652"/>
        <v>0</v>
      </c>
      <c r="FK299" s="58">
        <f t="shared" ca="1" si="652"/>
        <v>0</v>
      </c>
      <c r="FL299" s="58">
        <f t="shared" ca="1" si="652"/>
        <v>0</v>
      </c>
      <c r="FM299" s="58">
        <f t="shared" ca="1" si="652"/>
        <v>0</v>
      </c>
      <c r="FN299" s="58">
        <f t="shared" ca="1" si="652"/>
        <v>0</v>
      </c>
      <c r="FO299" s="13"/>
    </row>
    <row r="300" spans="1:171" outlineLevel="1" x14ac:dyDescent="0.3">
      <c r="A300" s="13"/>
      <c r="B300" s="13"/>
      <c r="C300" s="13"/>
      <c r="D300" s="52">
        <f t="shared" si="520"/>
        <v>43891</v>
      </c>
      <c r="E300" s="53">
        <f t="shared" si="521"/>
        <v>2020</v>
      </c>
      <c r="F300" s="53">
        <f t="shared" si="522"/>
        <v>74</v>
      </c>
      <c r="G300" s="58">
        <f t="shared" ref="G300:AL300" ca="1" si="653">+IF(OR($F300+G$175&lt;1,(G$176-1)*12&lt;-$F300),0,OFFSET(G130,0,$F300))</f>
        <v>0</v>
      </c>
      <c r="H300" s="58">
        <f t="shared" ca="1" si="653"/>
        <v>0</v>
      </c>
      <c r="I300" s="58">
        <f t="shared" ca="1" si="653"/>
        <v>0</v>
      </c>
      <c r="J300" s="58">
        <f t="shared" ca="1" si="653"/>
        <v>0</v>
      </c>
      <c r="K300" s="58">
        <f t="shared" ca="1" si="653"/>
        <v>0</v>
      </c>
      <c r="L300" s="58">
        <f t="shared" ca="1" si="653"/>
        <v>0</v>
      </c>
      <c r="M300" s="58">
        <f t="shared" ca="1" si="653"/>
        <v>0</v>
      </c>
      <c r="N300" s="58">
        <f t="shared" ca="1" si="653"/>
        <v>0</v>
      </c>
      <c r="O300" s="58">
        <f t="shared" ca="1" si="653"/>
        <v>0</v>
      </c>
      <c r="P300" s="58">
        <f t="shared" ca="1" si="653"/>
        <v>0</v>
      </c>
      <c r="Q300" s="58">
        <f t="shared" ca="1" si="653"/>
        <v>0</v>
      </c>
      <c r="R300" s="58">
        <f t="shared" ca="1" si="653"/>
        <v>0</v>
      </c>
      <c r="S300" s="58">
        <f t="shared" ca="1" si="653"/>
        <v>0</v>
      </c>
      <c r="T300" s="58">
        <f t="shared" ca="1" si="653"/>
        <v>0</v>
      </c>
      <c r="U300" s="58">
        <f t="shared" ca="1" si="653"/>
        <v>0</v>
      </c>
      <c r="V300" s="58">
        <f t="shared" ca="1" si="653"/>
        <v>0</v>
      </c>
      <c r="W300" s="58">
        <f t="shared" ca="1" si="653"/>
        <v>0</v>
      </c>
      <c r="X300" s="58">
        <f t="shared" ca="1" si="653"/>
        <v>0</v>
      </c>
      <c r="Y300" s="58">
        <f t="shared" ca="1" si="653"/>
        <v>0</v>
      </c>
      <c r="Z300" s="58">
        <f t="shared" ca="1" si="653"/>
        <v>0</v>
      </c>
      <c r="AA300" s="58">
        <f t="shared" ca="1" si="653"/>
        <v>0</v>
      </c>
      <c r="AB300" s="58">
        <f t="shared" ca="1" si="653"/>
        <v>0</v>
      </c>
      <c r="AC300" s="58">
        <f t="shared" ca="1" si="653"/>
        <v>0</v>
      </c>
      <c r="AD300" s="58">
        <f t="shared" ca="1" si="653"/>
        <v>0</v>
      </c>
      <c r="AE300" s="58">
        <f t="shared" ca="1" si="653"/>
        <v>0</v>
      </c>
      <c r="AF300" s="58">
        <f t="shared" ca="1" si="653"/>
        <v>0</v>
      </c>
      <c r="AG300" s="58">
        <f t="shared" ca="1" si="653"/>
        <v>0</v>
      </c>
      <c r="AH300" s="58">
        <f t="shared" ca="1" si="653"/>
        <v>0</v>
      </c>
      <c r="AI300" s="58">
        <f t="shared" ca="1" si="653"/>
        <v>0</v>
      </c>
      <c r="AJ300" s="58">
        <f t="shared" ca="1" si="653"/>
        <v>0</v>
      </c>
      <c r="AK300" s="58">
        <f t="shared" ca="1" si="653"/>
        <v>0</v>
      </c>
      <c r="AL300" s="58">
        <f t="shared" ca="1" si="653"/>
        <v>0</v>
      </c>
      <c r="AM300" s="58">
        <f t="shared" ref="AM300:BR300" ca="1" si="654">+IF(OR($F300+AM$175&lt;1,(AM$176-1)*12&lt;-$F300),0,OFFSET(AM130,0,$F300))</f>
        <v>0</v>
      </c>
      <c r="AN300" s="58">
        <f t="shared" ca="1" si="654"/>
        <v>0</v>
      </c>
      <c r="AO300" s="58">
        <f t="shared" ca="1" si="654"/>
        <v>0</v>
      </c>
      <c r="AP300" s="58">
        <f t="shared" ca="1" si="654"/>
        <v>0</v>
      </c>
      <c r="AQ300" s="58">
        <f t="shared" ca="1" si="654"/>
        <v>0</v>
      </c>
      <c r="AR300" s="58">
        <f t="shared" ca="1" si="654"/>
        <v>0</v>
      </c>
      <c r="AS300" s="58">
        <f t="shared" ca="1" si="654"/>
        <v>0</v>
      </c>
      <c r="AT300" s="58">
        <f t="shared" ca="1" si="654"/>
        <v>0</v>
      </c>
      <c r="AU300" s="58">
        <f t="shared" ca="1" si="654"/>
        <v>0</v>
      </c>
      <c r="AV300" s="58">
        <f t="shared" ca="1" si="654"/>
        <v>0</v>
      </c>
      <c r="AW300" s="58">
        <f t="shared" ca="1" si="654"/>
        <v>0</v>
      </c>
      <c r="AX300" s="58">
        <f t="shared" ca="1" si="654"/>
        <v>0</v>
      </c>
      <c r="AY300" s="58">
        <f t="shared" ca="1" si="654"/>
        <v>0</v>
      </c>
      <c r="AZ300" s="58">
        <f t="shared" ca="1" si="654"/>
        <v>0</v>
      </c>
      <c r="BA300" s="58">
        <f t="shared" ca="1" si="654"/>
        <v>0</v>
      </c>
      <c r="BB300" s="58">
        <f t="shared" ca="1" si="654"/>
        <v>0</v>
      </c>
      <c r="BC300" s="58">
        <f t="shared" ca="1" si="654"/>
        <v>0</v>
      </c>
      <c r="BD300" s="58">
        <f t="shared" ca="1" si="654"/>
        <v>0</v>
      </c>
      <c r="BE300" s="58">
        <f t="shared" ca="1" si="654"/>
        <v>0</v>
      </c>
      <c r="BF300" s="58">
        <f t="shared" ca="1" si="654"/>
        <v>0</v>
      </c>
      <c r="BG300" s="58">
        <f t="shared" ca="1" si="654"/>
        <v>0</v>
      </c>
      <c r="BH300" s="58">
        <f t="shared" ca="1" si="654"/>
        <v>0</v>
      </c>
      <c r="BI300" s="58">
        <f t="shared" ca="1" si="654"/>
        <v>0</v>
      </c>
      <c r="BJ300" s="58">
        <f t="shared" ca="1" si="654"/>
        <v>0</v>
      </c>
      <c r="BK300" s="58">
        <f t="shared" ca="1" si="654"/>
        <v>0</v>
      </c>
      <c r="BL300" s="58">
        <f t="shared" ca="1" si="654"/>
        <v>0</v>
      </c>
      <c r="BM300" s="58">
        <f t="shared" ca="1" si="654"/>
        <v>0</v>
      </c>
      <c r="BN300" s="58">
        <f t="shared" ca="1" si="654"/>
        <v>0</v>
      </c>
      <c r="BO300" s="58">
        <f t="shared" ca="1" si="654"/>
        <v>0</v>
      </c>
      <c r="BP300" s="58">
        <f t="shared" ca="1" si="654"/>
        <v>0</v>
      </c>
      <c r="BQ300" s="58">
        <f t="shared" ca="1" si="654"/>
        <v>0</v>
      </c>
      <c r="BR300" s="58">
        <f t="shared" ca="1" si="654"/>
        <v>0</v>
      </c>
      <c r="BS300" s="58">
        <f t="shared" ref="BS300:CX300" ca="1" si="655">+IF(OR($F300+BS$175&lt;1,(BS$176-1)*12&lt;-$F300),0,OFFSET(BS130,0,$F300))</f>
        <v>0</v>
      </c>
      <c r="BT300" s="58">
        <f t="shared" ca="1" si="655"/>
        <v>0</v>
      </c>
      <c r="BU300" s="58">
        <f t="shared" ca="1" si="655"/>
        <v>0</v>
      </c>
      <c r="BV300" s="58">
        <f t="shared" ca="1" si="655"/>
        <v>0</v>
      </c>
      <c r="BW300" s="58">
        <f t="shared" ca="1" si="655"/>
        <v>0</v>
      </c>
      <c r="BX300" s="58">
        <f t="shared" ca="1" si="655"/>
        <v>0</v>
      </c>
      <c r="BY300" s="58">
        <f t="shared" ca="1" si="655"/>
        <v>0</v>
      </c>
      <c r="BZ300" s="58">
        <f t="shared" ca="1" si="655"/>
        <v>0</v>
      </c>
      <c r="CA300" s="58">
        <f t="shared" ca="1" si="655"/>
        <v>0</v>
      </c>
      <c r="CB300" s="58">
        <f t="shared" ca="1" si="655"/>
        <v>0</v>
      </c>
      <c r="CC300" s="58">
        <f t="shared" ca="1" si="655"/>
        <v>0</v>
      </c>
      <c r="CD300" s="58">
        <f t="shared" ca="1" si="655"/>
        <v>0</v>
      </c>
      <c r="CE300" s="58">
        <f t="shared" ca="1" si="655"/>
        <v>0</v>
      </c>
      <c r="CF300" s="58">
        <f t="shared" ca="1" si="655"/>
        <v>0</v>
      </c>
      <c r="CG300" s="58">
        <f t="shared" ca="1" si="655"/>
        <v>0</v>
      </c>
      <c r="CH300" s="58">
        <f t="shared" ca="1" si="655"/>
        <v>0</v>
      </c>
      <c r="CI300" s="58">
        <f t="shared" ca="1" si="655"/>
        <v>0</v>
      </c>
      <c r="CJ300" s="58">
        <f t="shared" ca="1" si="655"/>
        <v>0</v>
      </c>
      <c r="CK300" s="58">
        <f t="shared" ca="1" si="655"/>
        <v>0</v>
      </c>
      <c r="CL300" s="58">
        <f t="shared" ca="1" si="655"/>
        <v>0</v>
      </c>
      <c r="CM300" s="58">
        <f t="shared" ca="1" si="655"/>
        <v>0</v>
      </c>
      <c r="CN300" s="58">
        <f t="shared" ca="1" si="655"/>
        <v>0</v>
      </c>
      <c r="CO300" s="58">
        <f t="shared" ca="1" si="655"/>
        <v>0</v>
      </c>
      <c r="CP300" s="58">
        <f t="shared" ca="1" si="655"/>
        <v>0</v>
      </c>
      <c r="CQ300" s="58">
        <f t="shared" ca="1" si="655"/>
        <v>0</v>
      </c>
      <c r="CR300" s="58">
        <f t="shared" ca="1" si="655"/>
        <v>0</v>
      </c>
      <c r="CS300" s="58">
        <f t="shared" ca="1" si="655"/>
        <v>0</v>
      </c>
      <c r="CT300" s="58">
        <f t="shared" ca="1" si="655"/>
        <v>0</v>
      </c>
      <c r="CU300" s="58">
        <f t="shared" ca="1" si="655"/>
        <v>0</v>
      </c>
      <c r="CV300" s="58">
        <f t="shared" ca="1" si="655"/>
        <v>0</v>
      </c>
      <c r="CW300" s="58">
        <f t="shared" ca="1" si="655"/>
        <v>0</v>
      </c>
      <c r="CX300" s="58">
        <f t="shared" ca="1" si="655"/>
        <v>0</v>
      </c>
      <c r="CY300" s="58">
        <f t="shared" ref="CY300:ED300" ca="1" si="656">+IF(OR($F300+CY$175&lt;1,(CY$176-1)*12&lt;-$F300),0,OFFSET(CY130,0,$F300))</f>
        <v>0</v>
      </c>
      <c r="CZ300" s="58">
        <f t="shared" ca="1" si="656"/>
        <v>0</v>
      </c>
      <c r="DA300" s="58">
        <f t="shared" ca="1" si="656"/>
        <v>0</v>
      </c>
      <c r="DB300" s="58">
        <f t="shared" ca="1" si="656"/>
        <v>0</v>
      </c>
      <c r="DC300" s="58">
        <f t="shared" ca="1" si="656"/>
        <v>0</v>
      </c>
      <c r="DD300" s="58">
        <f t="shared" ca="1" si="656"/>
        <v>0</v>
      </c>
      <c r="DE300" s="58">
        <f t="shared" ca="1" si="656"/>
        <v>0</v>
      </c>
      <c r="DF300" s="58">
        <f t="shared" ca="1" si="656"/>
        <v>0</v>
      </c>
      <c r="DG300" s="58">
        <f t="shared" ca="1" si="656"/>
        <v>0</v>
      </c>
      <c r="DH300" s="58">
        <f t="shared" ca="1" si="656"/>
        <v>0</v>
      </c>
      <c r="DI300" s="58">
        <f t="shared" ca="1" si="656"/>
        <v>0</v>
      </c>
      <c r="DJ300" s="58">
        <f t="shared" ca="1" si="656"/>
        <v>0</v>
      </c>
      <c r="DK300" s="58">
        <f t="shared" ca="1" si="656"/>
        <v>0</v>
      </c>
      <c r="DL300" s="58">
        <f t="shared" ca="1" si="656"/>
        <v>0</v>
      </c>
      <c r="DM300" s="58">
        <f t="shared" ca="1" si="656"/>
        <v>0</v>
      </c>
      <c r="DN300" s="58">
        <f t="shared" ca="1" si="656"/>
        <v>0</v>
      </c>
      <c r="DO300" s="58">
        <f t="shared" ca="1" si="656"/>
        <v>0</v>
      </c>
      <c r="DP300" s="58">
        <f t="shared" ca="1" si="656"/>
        <v>0</v>
      </c>
      <c r="DQ300" s="58">
        <f t="shared" ca="1" si="656"/>
        <v>0</v>
      </c>
      <c r="DR300" s="58">
        <f t="shared" ca="1" si="656"/>
        <v>0</v>
      </c>
      <c r="DS300" s="58">
        <f t="shared" ca="1" si="656"/>
        <v>0</v>
      </c>
      <c r="DT300" s="58">
        <f t="shared" ca="1" si="656"/>
        <v>0</v>
      </c>
      <c r="DU300" s="58">
        <f t="shared" ca="1" si="656"/>
        <v>0</v>
      </c>
      <c r="DV300" s="58">
        <f t="shared" ca="1" si="656"/>
        <v>0</v>
      </c>
      <c r="DW300" s="58">
        <f t="shared" ca="1" si="656"/>
        <v>0</v>
      </c>
      <c r="DX300" s="58">
        <f t="shared" ca="1" si="656"/>
        <v>0</v>
      </c>
      <c r="DY300" s="58">
        <f t="shared" ca="1" si="656"/>
        <v>0</v>
      </c>
      <c r="DZ300" s="58">
        <f t="shared" ca="1" si="656"/>
        <v>0</v>
      </c>
      <c r="EA300" s="58">
        <f t="shared" ca="1" si="656"/>
        <v>0</v>
      </c>
      <c r="EB300" s="58">
        <f t="shared" ca="1" si="656"/>
        <v>0</v>
      </c>
      <c r="EC300" s="58">
        <f t="shared" ca="1" si="656"/>
        <v>0</v>
      </c>
      <c r="ED300" s="58">
        <f t="shared" ca="1" si="656"/>
        <v>0</v>
      </c>
      <c r="EE300" s="58">
        <f t="shared" ref="EE300:FN300" ca="1" si="657">+IF(OR($F300+EE$175&lt;1,(EE$176-1)*12&lt;-$F300),0,OFFSET(EE130,0,$F300))</f>
        <v>0</v>
      </c>
      <c r="EF300" s="58">
        <f t="shared" ca="1" si="657"/>
        <v>0</v>
      </c>
      <c r="EG300" s="58">
        <f t="shared" ca="1" si="657"/>
        <v>0</v>
      </c>
      <c r="EH300" s="58">
        <f t="shared" ca="1" si="657"/>
        <v>0</v>
      </c>
      <c r="EI300" s="58">
        <f t="shared" ca="1" si="657"/>
        <v>0</v>
      </c>
      <c r="EJ300" s="58">
        <f t="shared" ca="1" si="657"/>
        <v>0</v>
      </c>
      <c r="EK300" s="58">
        <f t="shared" ca="1" si="657"/>
        <v>0</v>
      </c>
      <c r="EL300" s="58">
        <f t="shared" ca="1" si="657"/>
        <v>0</v>
      </c>
      <c r="EM300" s="58">
        <f t="shared" ca="1" si="657"/>
        <v>0</v>
      </c>
      <c r="EN300" s="58">
        <f t="shared" ca="1" si="657"/>
        <v>0</v>
      </c>
      <c r="EO300" s="58">
        <f t="shared" ca="1" si="657"/>
        <v>0</v>
      </c>
      <c r="EP300" s="58">
        <f t="shared" ca="1" si="657"/>
        <v>0</v>
      </c>
      <c r="EQ300" s="58">
        <f t="shared" ca="1" si="657"/>
        <v>0</v>
      </c>
      <c r="ER300" s="58">
        <f t="shared" ca="1" si="657"/>
        <v>0</v>
      </c>
      <c r="ES300" s="58">
        <f t="shared" ca="1" si="657"/>
        <v>0</v>
      </c>
      <c r="ET300" s="58">
        <f t="shared" ca="1" si="657"/>
        <v>0</v>
      </c>
      <c r="EU300" s="58">
        <f t="shared" ca="1" si="657"/>
        <v>0</v>
      </c>
      <c r="EV300" s="58">
        <f t="shared" ca="1" si="657"/>
        <v>0</v>
      </c>
      <c r="EW300" s="58">
        <f t="shared" ca="1" si="657"/>
        <v>0</v>
      </c>
      <c r="EX300" s="58">
        <f t="shared" ca="1" si="657"/>
        <v>0</v>
      </c>
      <c r="EY300" s="58">
        <f t="shared" ca="1" si="657"/>
        <v>0</v>
      </c>
      <c r="EZ300" s="58">
        <f t="shared" ca="1" si="657"/>
        <v>0</v>
      </c>
      <c r="FA300" s="58">
        <f t="shared" ca="1" si="657"/>
        <v>0</v>
      </c>
      <c r="FB300" s="58">
        <f t="shared" ca="1" si="657"/>
        <v>0</v>
      </c>
      <c r="FC300" s="58">
        <f t="shared" ca="1" si="657"/>
        <v>0</v>
      </c>
      <c r="FD300" s="58">
        <f t="shared" ca="1" si="657"/>
        <v>0</v>
      </c>
      <c r="FE300" s="58">
        <f t="shared" ca="1" si="657"/>
        <v>0</v>
      </c>
      <c r="FF300" s="58">
        <f t="shared" ca="1" si="657"/>
        <v>0</v>
      </c>
      <c r="FG300" s="58">
        <f t="shared" ca="1" si="657"/>
        <v>0</v>
      </c>
      <c r="FH300" s="58">
        <f t="shared" ca="1" si="657"/>
        <v>0</v>
      </c>
      <c r="FI300" s="58">
        <f t="shared" ca="1" si="657"/>
        <v>0</v>
      </c>
      <c r="FJ300" s="58">
        <f t="shared" ca="1" si="657"/>
        <v>0</v>
      </c>
      <c r="FK300" s="58">
        <f t="shared" ca="1" si="657"/>
        <v>0</v>
      </c>
      <c r="FL300" s="58">
        <f t="shared" ca="1" si="657"/>
        <v>0</v>
      </c>
      <c r="FM300" s="58">
        <f t="shared" ca="1" si="657"/>
        <v>0</v>
      </c>
      <c r="FN300" s="58">
        <f t="shared" ca="1" si="657"/>
        <v>0</v>
      </c>
      <c r="FO300" s="13"/>
    </row>
    <row r="301" spans="1:171" outlineLevel="1" x14ac:dyDescent="0.3">
      <c r="A301" s="13"/>
      <c r="B301" s="13"/>
      <c r="C301" s="13"/>
      <c r="D301" s="52">
        <f t="shared" si="520"/>
        <v>43922</v>
      </c>
      <c r="E301" s="53">
        <f t="shared" si="521"/>
        <v>2020</v>
      </c>
      <c r="F301" s="53">
        <f t="shared" si="522"/>
        <v>75</v>
      </c>
      <c r="G301" s="58">
        <f t="shared" ref="G301:AL301" ca="1" si="658">+IF(OR($F301+G$175&lt;1,(G$176-1)*12&lt;-$F301),0,OFFSET(G131,0,$F301))</f>
        <v>0</v>
      </c>
      <c r="H301" s="58">
        <f t="shared" ca="1" si="658"/>
        <v>0</v>
      </c>
      <c r="I301" s="58">
        <f t="shared" ca="1" si="658"/>
        <v>0</v>
      </c>
      <c r="J301" s="58">
        <f t="shared" ca="1" si="658"/>
        <v>0</v>
      </c>
      <c r="K301" s="58">
        <f t="shared" ca="1" si="658"/>
        <v>0</v>
      </c>
      <c r="L301" s="58">
        <f t="shared" ca="1" si="658"/>
        <v>0</v>
      </c>
      <c r="M301" s="58">
        <f t="shared" ca="1" si="658"/>
        <v>0</v>
      </c>
      <c r="N301" s="58">
        <f t="shared" ca="1" si="658"/>
        <v>0</v>
      </c>
      <c r="O301" s="58">
        <f t="shared" ca="1" si="658"/>
        <v>0</v>
      </c>
      <c r="P301" s="58">
        <f t="shared" ca="1" si="658"/>
        <v>0</v>
      </c>
      <c r="Q301" s="58">
        <f t="shared" ca="1" si="658"/>
        <v>0</v>
      </c>
      <c r="R301" s="58">
        <f t="shared" ca="1" si="658"/>
        <v>0</v>
      </c>
      <c r="S301" s="58">
        <f t="shared" ca="1" si="658"/>
        <v>0</v>
      </c>
      <c r="T301" s="58">
        <f t="shared" ca="1" si="658"/>
        <v>0</v>
      </c>
      <c r="U301" s="58">
        <f t="shared" ca="1" si="658"/>
        <v>0</v>
      </c>
      <c r="V301" s="58">
        <f t="shared" ca="1" si="658"/>
        <v>0</v>
      </c>
      <c r="W301" s="58">
        <f t="shared" ca="1" si="658"/>
        <v>0</v>
      </c>
      <c r="X301" s="58">
        <f t="shared" ca="1" si="658"/>
        <v>0</v>
      </c>
      <c r="Y301" s="58">
        <f t="shared" ca="1" si="658"/>
        <v>0</v>
      </c>
      <c r="Z301" s="58">
        <f t="shared" ca="1" si="658"/>
        <v>0</v>
      </c>
      <c r="AA301" s="58">
        <f t="shared" ca="1" si="658"/>
        <v>0</v>
      </c>
      <c r="AB301" s="58">
        <f t="shared" ca="1" si="658"/>
        <v>0</v>
      </c>
      <c r="AC301" s="58">
        <f t="shared" ca="1" si="658"/>
        <v>0</v>
      </c>
      <c r="AD301" s="58">
        <f t="shared" ca="1" si="658"/>
        <v>0</v>
      </c>
      <c r="AE301" s="58">
        <f t="shared" ca="1" si="658"/>
        <v>0</v>
      </c>
      <c r="AF301" s="58">
        <f t="shared" ca="1" si="658"/>
        <v>0</v>
      </c>
      <c r="AG301" s="58">
        <f t="shared" ca="1" si="658"/>
        <v>0</v>
      </c>
      <c r="AH301" s="58">
        <f t="shared" ca="1" si="658"/>
        <v>0</v>
      </c>
      <c r="AI301" s="58">
        <f t="shared" ca="1" si="658"/>
        <v>0</v>
      </c>
      <c r="AJ301" s="58">
        <f t="shared" ca="1" si="658"/>
        <v>0</v>
      </c>
      <c r="AK301" s="58">
        <f t="shared" ca="1" si="658"/>
        <v>0</v>
      </c>
      <c r="AL301" s="58">
        <f t="shared" ca="1" si="658"/>
        <v>0</v>
      </c>
      <c r="AM301" s="58">
        <f t="shared" ref="AM301:BR301" ca="1" si="659">+IF(OR($F301+AM$175&lt;1,(AM$176-1)*12&lt;-$F301),0,OFFSET(AM131,0,$F301))</f>
        <v>0</v>
      </c>
      <c r="AN301" s="58">
        <f t="shared" ca="1" si="659"/>
        <v>0</v>
      </c>
      <c r="AO301" s="58">
        <f t="shared" ca="1" si="659"/>
        <v>0</v>
      </c>
      <c r="AP301" s="58">
        <f t="shared" ca="1" si="659"/>
        <v>0</v>
      </c>
      <c r="AQ301" s="58">
        <f t="shared" ca="1" si="659"/>
        <v>0</v>
      </c>
      <c r="AR301" s="58">
        <f t="shared" ca="1" si="659"/>
        <v>0</v>
      </c>
      <c r="AS301" s="58">
        <f t="shared" ca="1" si="659"/>
        <v>0</v>
      </c>
      <c r="AT301" s="58">
        <f t="shared" ca="1" si="659"/>
        <v>0</v>
      </c>
      <c r="AU301" s="58">
        <f t="shared" ca="1" si="659"/>
        <v>0</v>
      </c>
      <c r="AV301" s="58">
        <f t="shared" ca="1" si="659"/>
        <v>0</v>
      </c>
      <c r="AW301" s="58">
        <f t="shared" ca="1" si="659"/>
        <v>0</v>
      </c>
      <c r="AX301" s="58">
        <f t="shared" ca="1" si="659"/>
        <v>0</v>
      </c>
      <c r="AY301" s="58">
        <f t="shared" ca="1" si="659"/>
        <v>0</v>
      </c>
      <c r="AZ301" s="58">
        <f t="shared" ca="1" si="659"/>
        <v>0</v>
      </c>
      <c r="BA301" s="58">
        <f t="shared" ca="1" si="659"/>
        <v>0</v>
      </c>
      <c r="BB301" s="58">
        <f t="shared" ca="1" si="659"/>
        <v>0</v>
      </c>
      <c r="BC301" s="58">
        <f t="shared" ca="1" si="659"/>
        <v>0</v>
      </c>
      <c r="BD301" s="58">
        <f t="shared" ca="1" si="659"/>
        <v>0</v>
      </c>
      <c r="BE301" s="58">
        <f t="shared" ca="1" si="659"/>
        <v>0</v>
      </c>
      <c r="BF301" s="58">
        <f t="shared" ca="1" si="659"/>
        <v>0</v>
      </c>
      <c r="BG301" s="58">
        <f t="shared" ca="1" si="659"/>
        <v>0</v>
      </c>
      <c r="BH301" s="58">
        <f t="shared" ca="1" si="659"/>
        <v>0</v>
      </c>
      <c r="BI301" s="58">
        <f t="shared" ca="1" si="659"/>
        <v>0</v>
      </c>
      <c r="BJ301" s="58">
        <f t="shared" ca="1" si="659"/>
        <v>0</v>
      </c>
      <c r="BK301" s="58">
        <f t="shared" ca="1" si="659"/>
        <v>0</v>
      </c>
      <c r="BL301" s="58">
        <f t="shared" ca="1" si="659"/>
        <v>0</v>
      </c>
      <c r="BM301" s="58">
        <f t="shared" ca="1" si="659"/>
        <v>0</v>
      </c>
      <c r="BN301" s="58">
        <f t="shared" ca="1" si="659"/>
        <v>0</v>
      </c>
      <c r="BO301" s="58">
        <f t="shared" ca="1" si="659"/>
        <v>0</v>
      </c>
      <c r="BP301" s="58">
        <f t="shared" ca="1" si="659"/>
        <v>0</v>
      </c>
      <c r="BQ301" s="58">
        <f t="shared" ca="1" si="659"/>
        <v>0</v>
      </c>
      <c r="BR301" s="58">
        <f t="shared" ca="1" si="659"/>
        <v>0</v>
      </c>
      <c r="BS301" s="58">
        <f t="shared" ref="BS301:CX301" ca="1" si="660">+IF(OR($F301+BS$175&lt;1,(BS$176-1)*12&lt;-$F301),0,OFFSET(BS131,0,$F301))</f>
        <v>0</v>
      </c>
      <c r="BT301" s="58">
        <f t="shared" ca="1" si="660"/>
        <v>0</v>
      </c>
      <c r="BU301" s="58">
        <f t="shared" ca="1" si="660"/>
        <v>0</v>
      </c>
      <c r="BV301" s="58">
        <f t="shared" ca="1" si="660"/>
        <v>0</v>
      </c>
      <c r="BW301" s="58">
        <f t="shared" ca="1" si="660"/>
        <v>0</v>
      </c>
      <c r="BX301" s="58">
        <f t="shared" ca="1" si="660"/>
        <v>0</v>
      </c>
      <c r="BY301" s="58">
        <f t="shared" ca="1" si="660"/>
        <v>0</v>
      </c>
      <c r="BZ301" s="58">
        <f t="shared" ca="1" si="660"/>
        <v>0</v>
      </c>
      <c r="CA301" s="58">
        <f t="shared" ca="1" si="660"/>
        <v>0</v>
      </c>
      <c r="CB301" s="58">
        <f t="shared" ca="1" si="660"/>
        <v>0</v>
      </c>
      <c r="CC301" s="58">
        <f t="shared" ca="1" si="660"/>
        <v>0</v>
      </c>
      <c r="CD301" s="58">
        <f t="shared" ca="1" si="660"/>
        <v>0</v>
      </c>
      <c r="CE301" s="58">
        <f t="shared" ca="1" si="660"/>
        <v>0</v>
      </c>
      <c r="CF301" s="58">
        <f t="shared" ca="1" si="660"/>
        <v>0</v>
      </c>
      <c r="CG301" s="58">
        <f t="shared" ca="1" si="660"/>
        <v>0</v>
      </c>
      <c r="CH301" s="58">
        <f t="shared" ca="1" si="660"/>
        <v>0</v>
      </c>
      <c r="CI301" s="58">
        <f t="shared" ca="1" si="660"/>
        <v>0</v>
      </c>
      <c r="CJ301" s="58">
        <f t="shared" ca="1" si="660"/>
        <v>0</v>
      </c>
      <c r="CK301" s="58">
        <f t="shared" ca="1" si="660"/>
        <v>0</v>
      </c>
      <c r="CL301" s="58">
        <f t="shared" ca="1" si="660"/>
        <v>0</v>
      </c>
      <c r="CM301" s="58">
        <f t="shared" ca="1" si="660"/>
        <v>0</v>
      </c>
      <c r="CN301" s="58">
        <f t="shared" ca="1" si="660"/>
        <v>0</v>
      </c>
      <c r="CO301" s="58">
        <f t="shared" ca="1" si="660"/>
        <v>0</v>
      </c>
      <c r="CP301" s="58">
        <f t="shared" ca="1" si="660"/>
        <v>0</v>
      </c>
      <c r="CQ301" s="58">
        <f t="shared" ca="1" si="660"/>
        <v>0</v>
      </c>
      <c r="CR301" s="58">
        <f t="shared" ca="1" si="660"/>
        <v>0</v>
      </c>
      <c r="CS301" s="58">
        <f t="shared" ca="1" si="660"/>
        <v>0</v>
      </c>
      <c r="CT301" s="58">
        <f t="shared" ca="1" si="660"/>
        <v>0</v>
      </c>
      <c r="CU301" s="58">
        <f t="shared" ca="1" si="660"/>
        <v>0</v>
      </c>
      <c r="CV301" s="58">
        <f t="shared" ca="1" si="660"/>
        <v>0</v>
      </c>
      <c r="CW301" s="58">
        <f t="shared" ca="1" si="660"/>
        <v>0</v>
      </c>
      <c r="CX301" s="58">
        <f t="shared" ca="1" si="660"/>
        <v>0</v>
      </c>
      <c r="CY301" s="58">
        <f t="shared" ref="CY301:ED301" ca="1" si="661">+IF(OR($F301+CY$175&lt;1,(CY$176-1)*12&lt;-$F301),0,OFFSET(CY131,0,$F301))</f>
        <v>0</v>
      </c>
      <c r="CZ301" s="58">
        <f t="shared" ca="1" si="661"/>
        <v>0</v>
      </c>
      <c r="DA301" s="58">
        <f t="shared" ca="1" si="661"/>
        <v>0</v>
      </c>
      <c r="DB301" s="58">
        <f t="shared" ca="1" si="661"/>
        <v>0</v>
      </c>
      <c r="DC301" s="58">
        <f t="shared" ca="1" si="661"/>
        <v>0</v>
      </c>
      <c r="DD301" s="58">
        <f t="shared" ca="1" si="661"/>
        <v>0</v>
      </c>
      <c r="DE301" s="58">
        <f t="shared" ca="1" si="661"/>
        <v>0</v>
      </c>
      <c r="DF301" s="58">
        <f t="shared" ca="1" si="661"/>
        <v>0</v>
      </c>
      <c r="DG301" s="58">
        <f t="shared" ca="1" si="661"/>
        <v>0</v>
      </c>
      <c r="DH301" s="58">
        <f t="shared" ca="1" si="661"/>
        <v>0</v>
      </c>
      <c r="DI301" s="58">
        <f t="shared" ca="1" si="661"/>
        <v>0</v>
      </c>
      <c r="DJ301" s="58">
        <f t="shared" ca="1" si="661"/>
        <v>0</v>
      </c>
      <c r="DK301" s="58">
        <f t="shared" ca="1" si="661"/>
        <v>0</v>
      </c>
      <c r="DL301" s="58">
        <f t="shared" ca="1" si="661"/>
        <v>0</v>
      </c>
      <c r="DM301" s="58">
        <f t="shared" ca="1" si="661"/>
        <v>0</v>
      </c>
      <c r="DN301" s="58">
        <f t="shared" ca="1" si="661"/>
        <v>0</v>
      </c>
      <c r="DO301" s="58">
        <f t="shared" ca="1" si="661"/>
        <v>0</v>
      </c>
      <c r="DP301" s="58">
        <f t="shared" ca="1" si="661"/>
        <v>0</v>
      </c>
      <c r="DQ301" s="58">
        <f t="shared" ca="1" si="661"/>
        <v>0</v>
      </c>
      <c r="DR301" s="58">
        <f t="shared" ca="1" si="661"/>
        <v>0</v>
      </c>
      <c r="DS301" s="58">
        <f t="shared" ca="1" si="661"/>
        <v>0</v>
      </c>
      <c r="DT301" s="58">
        <f t="shared" ca="1" si="661"/>
        <v>0</v>
      </c>
      <c r="DU301" s="58">
        <f t="shared" ca="1" si="661"/>
        <v>0</v>
      </c>
      <c r="DV301" s="58">
        <f t="shared" ca="1" si="661"/>
        <v>0</v>
      </c>
      <c r="DW301" s="58">
        <f t="shared" ca="1" si="661"/>
        <v>0</v>
      </c>
      <c r="DX301" s="58">
        <f t="shared" ca="1" si="661"/>
        <v>0</v>
      </c>
      <c r="DY301" s="58">
        <f t="shared" ca="1" si="661"/>
        <v>0</v>
      </c>
      <c r="DZ301" s="58">
        <f t="shared" ca="1" si="661"/>
        <v>0</v>
      </c>
      <c r="EA301" s="58">
        <f t="shared" ca="1" si="661"/>
        <v>0</v>
      </c>
      <c r="EB301" s="58">
        <f t="shared" ca="1" si="661"/>
        <v>0</v>
      </c>
      <c r="EC301" s="58">
        <f t="shared" ca="1" si="661"/>
        <v>0</v>
      </c>
      <c r="ED301" s="58">
        <f t="shared" ca="1" si="661"/>
        <v>0</v>
      </c>
      <c r="EE301" s="58">
        <f t="shared" ref="EE301:FN301" ca="1" si="662">+IF(OR($F301+EE$175&lt;1,(EE$176-1)*12&lt;-$F301),0,OFFSET(EE131,0,$F301))</f>
        <v>0</v>
      </c>
      <c r="EF301" s="58">
        <f t="shared" ca="1" si="662"/>
        <v>0</v>
      </c>
      <c r="EG301" s="58">
        <f t="shared" ca="1" si="662"/>
        <v>0</v>
      </c>
      <c r="EH301" s="58">
        <f t="shared" ca="1" si="662"/>
        <v>0</v>
      </c>
      <c r="EI301" s="58">
        <f t="shared" ca="1" si="662"/>
        <v>0</v>
      </c>
      <c r="EJ301" s="58">
        <f t="shared" ca="1" si="662"/>
        <v>0</v>
      </c>
      <c r="EK301" s="58">
        <f t="shared" ca="1" si="662"/>
        <v>0</v>
      </c>
      <c r="EL301" s="58">
        <f t="shared" ca="1" si="662"/>
        <v>0</v>
      </c>
      <c r="EM301" s="58">
        <f t="shared" ca="1" si="662"/>
        <v>0</v>
      </c>
      <c r="EN301" s="58">
        <f t="shared" ca="1" si="662"/>
        <v>0</v>
      </c>
      <c r="EO301" s="58">
        <f t="shared" ca="1" si="662"/>
        <v>0</v>
      </c>
      <c r="EP301" s="58">
        <f t="shared" ca="1" si="662"/>
        <v>0</v>
      </c>
      <c r="EQ301" s="58">
        <f t="shared" ca="1" si="662"/>
        <v>0</v>
      </c>
      <c r="ER301" s="58">
        <f t="shared" ca="1" si="662"/>
        <v>0</v>
      </c>
      <c r="ES301" s="58">
        <f t="shared" ca="1" si="662"/>
        <v>0</v>
      </c>
      <c r="ET301" s="58">
        <f t="shared" ca="1" si="662"/>
        <v>0</v>
      </c>
      <c r="EU301" s="58">
        <f t="shared" ca="1" si="662"/>
        <v>0</v>
      </c>
      <c r="EV301" s="58">
        <f t="shared" ca="1" si="662"/>
        <v>0</v>
      </c>
      <c r="EW301" s="58">
        <f t="shared" ca="1" si="662"/>
        <v>0</v>
      </c>
      <c r="EX301" s="58">
        <f t="shared" ca="1" si="662"/>
        <v>0</v>
      </c>
      <c r="EY301" s="58">
        <f t="shared" ca="1" si="662"/>
        <v>0</v>
      </c>
      <c r="EZ301" s="58">
        <f t="shared" ca="1" si="662"/>
        <v>0</v>
      </c>
      <c r="FA301" s="58">
        <f t="shared" ca="1" si="662"/>
        <v>0</v>
      </c>
      <c r="FB301" s="58">
        <f t="shared" ca="1" si="662"/>
        <v>0</v>
      </c>
      <c r="FC301" s="58">
        <f t="shared" ca="1" si="662"/>
        <v>0</v>
      </c>
      <c r="FD301" s="58">
        <f t="shared" ca="1" si="662"/>
        <v>0</v>
      </c>
      <c r="FE301" s="58">
        <f t="shared" ca="1" si="662"/>
        <v>0</v>
      </c>
      <c r="FF301" s="58">
        <f t="shared" ca="1" si="662"/>
        <v>0</v>
      </c>
      <c r="FG301" s="58">
        <f t="shared" ca="1" si="662"/>
        <v>0</v>
      </c>
      <c r="FH301" s="58">
        <f t="shared" ca="1" si="662"/>
        <v>0</v>
      </c>
      <c r="FI301" s="58">
        <f t="shared" ca="1" si="662"/>
        <v>0</v>
      </c>
      <c r="FJ301" s="58">
        <f t="shared" ca="1" si="662"/>
        <v>0</v>
      </c>
      <c r="FK301" s="58">
        <f t="shared" ca="1" si="662"/>
        <v>0</v>
      </c>
      <c r="FL301" s="58">
        <f t="shared" ca="1" si="662"/>
        <v>0</v>
      </c>
      <c r="FM301" s="58">
        <f t="shared" ca="1" si="662"/>
        <v>0</v>
      </c>
      <c r="FN301" s="58">
        <f t="shared" ca="1" si="662"/>
        <v>0</v>
      </c>
      <c r="FO301" s="13"/>
    </row>
    <row r="302" spans="1:171" outlineLevel="1" x14ac:dyDescent="0.3">
      <c r="A302" s="13"/>
      <c r="B302" s="13"/>
      <c r="C302" s="13"/>
      <c r="D302" s="52">
        <f t="shared" si="520"/>
        <v>43952</v>
      </c>
      <c r="E302" s="53">
        <f t="shared" si="521"/>
        <v>2020</v>
      </c>
      <c r="F302" s="53">
        <f t="shared" si="522"/>
        <v>76</v>
      </c>
      <c r="G302" s="58">
        <f t="shared" ref="G302:AL302" ca="1" si="663">+IF(OR($F302+G$175&lt;1,(G$176-1)*12&lt;-$F302),0,OFFSET(G132,0,$F302))</f>
        <v>0</v>
      </c>
      <c r="H302" s="58">
        <f t="shared" ca="1" si="663"/>
        <v>0</v>
      </c>
      <c r="I302" s="58">
        <f t="shared" ca="1" si="663"/>
        <v>0</v>
      </c>
      <c r="J302" s="58">
        <f t="shared" ca="1" si="663"/>
        <v>0</v>
      </c>
      <c r="K302" s="58">
        <f t="shared" ca="1" si="663"/>
        <v>0</v>
      </c>
      <c r="L302" s="58">
        <f t="shared" ca="1" si="663"/>
        <v>0</v>
      </c>
      <c r="M302" s="58">
        <f t="shared" ca="1" si="663"/>
        <v>0</v>
      </c>
      <c r="N302" s="58">
        <f t="shared" ca="1" si="663"/>
        <v>0</v>
      </c>
      <c r="O302" s="58">
        <f t="shared" ca="1" si="663"/>
        <v>0</v>
      </c>
      <c r="P302" s="58">
        <f t="shared" ca="1" si="663"/>
        <v>0</v>
      </c>
      <c r="Q302" s="58">
        <f t="shared" ca="1" si="663"/>
        <v>0</v>
      </c>
      <c r="R302" s="58">
        <f t="shared" ca="1" si="663"/>
        <v>0</v>
      </c>
      <c r="S302" s="58">
        <f t="shared" ca="1" si="663"/>
        <v>0</v>
      </c>
      <c r="T302" s="58">
        <f t="shared" ca="1" si="663"/>
        <v>0</v>
      </c>
      <c r="U302" s="58">
        <f t="shared" ca="1" si="663"/>
        <v>0</v>
      </c>
      <c r="V302" s="58">
        <f t="shared" ca="1" si="663"/>
        <v>0</v>
      </c>
      <c r="W302" s="58">
        <f t="shared" ca="1" si="663"/>
        <v>0</v>
      </c>
      <c r="X302" s="58">
        <f t="shared" ca="1" si="663"/>
        <v>0</v>
      </c>
      <c r="Y302" s="58">
        <f t="shared" ca="1" si="663"/>
        <v>0</v>
      </c>
      <c r="Z302" s="58">
        <f t="shared" ca="1" si="663"/>
        <v>0</v>
      </c>
      <c r="AA302" s="58">
        <f t="shared" ca="1" si="663"/>
        <v>0</v>
      </c>
      <c r="AB302" s="58">
        <f t="shared" ca="1" si="663"/>
        <v>0</v>
      </c>
      <c r="AC302" s="58">
        <f t="shared" ca="1" si="663"/>
        <v>0</v>
      </c>
      <c r="AD302" s="58">
        <f t="shared" ca="1" si="663"/>
        <v>0</v>
      </c>
      <c r="AE302" s="58">
        <f t="shared" ca="1" si="663"/>
        <v>0</v>
      </c>
      <c r="AF302" s="58">
        <f t="shared" ca="1" si="663"/>
        <v>0</v>
      </c>
      <c r="AG302" s="58">
        <f t="shared" ca="1" si="663"/>
        <v>0</v>
      </c>
      <c r="AH302" s="58">
        <f t="shared" ca="1" si="663"/>
        <v>0</v>
      </c>
      <c r="AI302" s="58">
        <f t="shared" ca="1" si="663"/>
        <v>0</v>
      </c>
      <c r="AJ302" s="58">
        <f t="shared" ca="1" si="663"/>
        <v>0</v>
      </c>
      <c r="AK302" s="58">
        <f t="shared" ca="1" si="663"/>
        <v>0</v>
      </c>
      <c r="AL302" s="58">
        <f t="shared" ca="1" si="663"/>
        <v>0</v>
      </c>
      <c r="AM302" s="58">
        <f t="shared" ref="AM302:BR302" ca="1" si="664">+IF(OR($F302+AM$175&lt;1,(AM$176-1)*12&lt;-$F302),0,OFFSET(AM132,0,$F302))</f>
        <v>0</v>
      </c>
      <c r="AN302" s="58">
        <f t="shared" ca="1" si="664"/>
        <v>0</v>
      </c>
      <c r="AO302" s="58">
        <f t="shared" ca="1" si="664"/>
        <v>0</v>
      </c>
      <c r="AP302" s="58">
        <f t="shared" ca="1" si="664"/>
        <v>0</v>
      </c>
      <c r="AQ302" s="58">
        <f t="shared" ca="1" si="664"/>
        <v>0</v>
      </c>
      <c r="AR302" s="58">
        <f t="shared" ca="1" si="664"/>
        <v>0</v>
      </c>
      <c r="AS302" s="58">
        <f t="shared" ca="1" si="664"/>
        <v>0</v>
      </c>
      <c r="AT302" s="58">
        <f t="shared" ca="1" si="664"/>
        <v>0</v>
      </c>
      <c r="AU302" s="58">
        <f t="shared" ca="1" si="664"/>
        <v>0</v>
      </c>
      <c r="AV302" s="58">
        <f t="shared" ca="1" si="664"/>
        <v>0</v>
      </c>
      <c r="AW302" s="58">
        <f t="shared" ca="1" si="664"/>
        <v>0</v>
      </c>
      <c r="AX302" s="58">
        <f t="shared" ca="1" si="664"/>
        <v>0</v>
      </c>
      <c r="AY302" s="58">
        <f t="shared" ca="1" si="664"/>
        <v>0</v>
      </c>
      <c r="AZ302" s="58">
        <f t="shared" ca="1" si="664"/>
        <v>0</v>
      </c>
      <c r="BA302" s="58">
        <f t="shared" ca="1" si="664"/>
        <v>0</v>
      </c>
      <c r="BB302" s="58">
        <f t="shared" ca="1" si="664"/>
        <v>0</v>
      </c>
      <c r="BC302" s="58">
        <f t="shared" ca="1" si="664"/>
        <v>0</v>
      </c>
      <c r="BD302" s="58">
        <f t="shared" ca="1" si="664"/>
        <v>0</v>
      </c>
      <c r="BE302" s="58">
        <f t="shared" ca="1" si="664"/>
        <v>0</v>
      </c>
      <c r="BF302" s="58">
        <f t="shared" ca="1" si="664"/>
        <v>0</v>
      </c>
      <c r="BG302" s="58">
        <f t="shared" ca="1" si="664"/>
        <v>0</v>
      </c>
      <c r="BH302" s="58">
        <f t="shared" ca="1" si="664"/>
        <v>0</v>
      </c>
      <c r="BI302" s="58">
        <f t="shared" ca="1" si="664"/>
        <v>0</v>
      </c>
      <c r="BJ302" s="58">
        <f t="shared" ca="1" si="664"/>
        <v>0</v>
      </c>
      <c r="BK302" s="58">
        <f t="shared" ca="1" si="664"/>
        <v>0</v>
      </c>
      <c r="BL302" s="58">
        <f t="shared" ca="1" si="664"/>
        <v>0</v>
      </c>
      <c r="BM302" s="58">
        <f t="shared" ca="1" si="664"/>
        <v>0</v>
      </c>
      <c r="BN302" s="58">
        <f t="shared" ca="1" si="664"/>
        <v>0</v>
      </c>
      <c r="BO302" s="58">
        <f t="shared" ca="1" si="664"/>
        <v>0</v>
      </c>
      <c r="BP302" s="58">
        <f t="shared" ca="1" si="664"/>
        <v>0</v>
      </c>
      <c r="BQ302" s="58">
        <f t="shared" ca="1" si="664"/>
        <v>0</v>
      </c>
      <c r="BR302" s="58">
        <f t="shared" ca="1" si="664"/>
        <v>0</v>
      </c>
      <c r="BS302" s="58">
        <f t="shared" ref="BS302:CX302" ca="1" si="665">+IF(OR($F302+BS$175&lt;1,(BS$176-1)*12&lt;-$F302),0,OFFSET(BS132,0,$F302))</f>
        <v>0</v>
      </c>
      <c r="BT302" s="58">
        <f t="shared" ca="1" si="665"/>
        <v>0</v>
      </c>
      <c r="BU302" s="58">
        <f t="shared" ca="1" si="665"/>
        <v>0</v>
      </c>
      <c r="BV302" s="58">
        <f t="shared" ca="1" si="665"/>
        <v>0</v>
      </c>
      <c r="BW302" s="58">
        <f t="shared" ca="1" si="665"/>
        <v>0</v>
      </c>
      <c r="BX302" s="58">
        <f t="shared" ca="1" si="665"/>
        <v>0</v>
      </c>
      <c r="BY302" s="58">
        <f t="shared" ca="1" si="665"/>
        <v>0</v>
      </c>
      <c r="BZ302" s="58">
        <f t="shared" ca="1" si="665"/>
        <v>0</v>
      </c>
      <c r="CA302" s="58">
        <f t="shared" ca="1" si="665"/>
        <v>0</v>
      </c>
      <c r="CB302" s="58">
        <f t="shared" ca="1" si="665"/>
        <v>0</v>
      </c>
      <c r="CC302" s="58">
        <f t="shared" ca="1" si="665"/>
        <v>0</v>
      </c>
      <c r="CD302" s="58">
        <f t="shared" ca="1" si="665"/>
        <v>0</v>
      </c>
      <c r="CE302" s="58">
        <f t="shared" ca="1" si="665"/>
        <v>0</v>
      </c>
      <c r="CF302" s="58">
        <f t="shared" ca="1" si="665"/>
        <v>0</v>
      </c>
      <c r="CG302" s="58">
        <f t="shared" ca="1" si="665"/>
        <v>0</v>
      </c>
      <c r="CH302" s="58">
        <f t="shared" ca="1" si="665"/>
        <v>0</v>
      </c>
      <c r="CI302" s="58">
        <f t="shared" ca="1" si="665"/>
        <v>0</v>
      </c>
      <c r="CJ302" s="58">
        <f t="shared" ca="1" si="665"/>
        <v>0</v>
      </c>
      <c r="CK302" s="58">
        <f t="shared" ca="1" si="665"/>
        <v>0</v>
      </c>
      <c r="CL302" s="58">
        <f t="shared" ca="1" si="665"/>
        <v>0</v>
      </c>
      <c r="CM302" s="58">
        <f t="shared" ca="1" si="665"/>
        <v>0</v>
      </c>
      <c r="CN302" s="58">
        <f t="shared" ca="1" si="665"/>
        <v>0</v>
      </c>
      <c r="CO302" s="58">
        <f t="shared" ca="1" si="665"/>
        <v>0</v>
      </c>
      <c r="CP302" s="58">
        <f t="shared" ca="1" si="665"/>
        <v>0</v>
      </c>
      <c r="CQ302" s="58">
        <f t="shared" ca="1" si="665"/>
        <v>0</v>
      </c>
      <c r="CR302" s="58">
        <f t="shared" ca="1" si="665"/>
        <v>0</v>
      </c>
      <c r="CS302" s="58">
        <f t="shared" ca="1" si="665"/>
        <v>0</v>
      </c>
      <c r="CT302" s="58">
        <f t="shared" ca="1" si="665"/>
        <v>0</v>
      </c>
      <c r="CU302" s="58">
        <f t="shared" ca="1" si="665"/>
        <v>0</v>
      </c>
      <c r="CV302" s="58">
        <f t="shared" ca="1" si="665"/>
        <v>0</v>
      </c>
      <c r="CW302" s="58">
        <f t="shared" ca="1" si="665"/>
        <v>0</v>
      </c>
      <c r="CX302" s="58">
        <f t="shared" ca="1" si="665"/>
        <v>0</v>
      </c>
      <c r="CY302" s="58">
        <f t="shared" ref="CY302:ED302" ca="1" si="666">+IF(OR($F302+CY$175&lt;1,(CY$176-1)*12&lt;-$F302),0,OFFSET(CY132,0,$F302))</f>
        <v>0</v>
      </c>
      <c r="CZ302" s="58">
        <f t="shared" ca="1" si="666"/>
        <v>0</v>
      </c>
      <c r="DA302" s="58">
        <f t="shared" ca="1" si="666"/>
        <v>0</v>
      </c>
      <c r="DB302" s="58">
        <f t="shared" ca="1" si="666"/>
        <v>0</v>
      </c>
      <c r="DC302" s="58">
        <f t="shared" ca="1" si="666"/>
        <v>0</v>
      </c>
      <c r="DD302" s="58">
        <f t="shared" ca="1" si="666"/>
        <v>0</v>
      </c>
      <c r="DE302" s="58">
        <f t="shared" ca="1" si="666"/>
        <v>0</v>
      </c>
      <c r="DF302" s="58">
        <f t="shared" ca="1" si="666"/>
        <v>0</v>
      </c>
      <c r="DG302" s="58">
        <f t="shared" ca="1" si="666"/>
        <v>0</v>
      </c>
      <c r="DH302" s="58">
        <f t="shared" ca="1" si="666"/>
        <v>0</v>
      </c>
      <c r="DI302" s="58">
        <f t="shared" ca="1" si="666"/>
        <v>0</v>
      </c>
      <c r="DJ302" s="58">
        <f t="shared" ca="1" si="666"/>
        <v>0</v>
      </c>
      <c r="DK302" s="58">
        <f t="shared" ca="1" si="666"/>
        <v>0</v>
      </c>
      <c r="DL302" s="58">
        <f t="shared" ca="1" si="666"/>
        <v>0</v>
      </c>
      <c r="DM302" s="58">
        <f t="shared" ca="1" si="666"/>
        <v>0</v>
      </c>
      <c r="DN302" s="58">
        <f t="shared" ca="1" si="666"/>
        <v>0</v>
      </c>
      <c r="DO302" s="58">
        <f t="shared" ca="1" si="666"/>
        <v>0</v>
      </c>
      <c r="DP302" s="58">
        <f t="shared" ca="1" si="666"/>
        <v>0</v>
      </c>
      <c r="DQ302" s="58">
        <f t="shared" ca="1" si="666"/>
        <v>0</v>
      </c>
      <c r="DR302" s="58">
        <f t="shared" ca="1" si="666"/>
        <v>0</v>
      </c>
      <c r="DS302" s="58">
        <f t="shared" ca="1" si="666"/>
        <v>0</v>
      </c>
      <c r="DT302" s="58">
        <f t="shared" ca="1" si="666"/>
        <v>0</v>
      </c>
      <c r="DU302" s="58">
        <f t="shared" ca="1" si="666"/>
        <v>0</v>
      </c>
      <c r="DV302" s="58">
        <f t="shared" ca="1" si="666"/>
        <v>0</v>
      </c>
      <c r="DW302" s="58">
        <f t="shared" ca="1" si="666"/>
        <v>0</v>
      </c>
      <c r="DX302" s="58">
        <f t="shared" ca="1" si="666"/>
        <v>0</v>
      </c>
      <c r="DY302" s="58">
        <f t="shared" ca="1" si="666"/>
        <v>0</v>
      </c>
      <c r="DZ302" s="58">
        <f t="shared" ca="1" si="666"/>
        <v>0</v>
      </c>
      <c r="EA302" s="58">
        <f t="shared" ca="1" si="666"/>
        <v>0</v>
      </c>
      <c r="EB302" s="58">
        <f t="shared" ca="1" si="666"/>
        <v>0</v>
      </c>
      <c r="EC302" s="58">
        <f t="shared" ca="1" si="666"/>
        <v>0</v>
      </c>
      <c r="ED302" s="58">
        <f t="shared" ca="1" si="666"/>
        <v>0</v>
      </c>
      <c r="EE302" s="58">
        <f t="shared" ref="EE302:FN302" ca="1" si="667">+IF(OR($F302+EE$175&lt;1,(EE$176-1)*12&lt;-$F302),0,OFFSET(EE132,0,$F302))</f>
        <v>0</v>
      </c>
      <c r="EF302" s="58">
        <f t="shared" ca="1" si="667"/>
        <v>0</v>
      </c>
      <c r="EG302" s="58">
        <f t="shared" ca="1" si="667"/>
        <v>0</v>
      </c>
      <c r="EH302" s="58">
        <f t="shared" ca="1" si="667"/>
        <v>0</v>
      </c>
      <c r="EI302" s="58">
        <f t="shared" ca="1" si="667"/>
        <v>0</v>
      </c>
      <c r="EJ302" s="58">
        <f t="shared" ca="1" si="667"/>
        <v>0</v>
      </c>
      <c r="EK302" s="58">
        <f t="shared" ca="1" si="667"/>
        <v>0</v>
      </c>
      <c r="EL302" s="58">
        <f t="shared" ca="1" si="667"/>
        <v>0</v>
      </c>
      <c r="EM302" s="58">
        <f t="shared" ca="1" si="667"/>
        <v>0</v>
      </c>
      <c r="EN302" s="58">
        <f t="shared" ca="1" si="667"/>
        <v>0</v>
      </c>
      <c r="EO302" s="58">
        <f t="shared" ca="1" si="667"/>
        <v>0</v>
      </c>
      <c r="EP302" s="58">
        <f t="shared" ca="1" si="667"/>
        <v>0</v>
      </c>
      <c r="EQ302" s="58">
        <f t="shared" ca="1" si="667"/>
        <v>0</v>
      </c>
      <c r="ER302" s="58">
        <f t="shared" ca="1" si="667"/>
        <v>0</v>
      </c>
      <c r="ES302" s="58">
        <f t="shared" ca="1" si="667"/>
        <v>0</v>
      </c>
      <c r="ET302" s="58">
        <f t="shared" ca="1" si="667"/>
        <v>0</v>
      </c>
      <c r="EU302" s="58">
        <f t="shared" ca="1" si="667"/>
        <v>0</v>
      </c>
      <c r="EV302" s="58">
        <f t="shared" ca="1" si="667"/>
        <v>0</v>
      </c>
      <c r="EW302" s="58">
        <f t="shared" ca="1" si="667"/>
        <v>0</v>
      </c>
      <c r="EX302" s="58">
        <f t="shared" ca="1" si="667"/>
        <v>0</v>
      </c>
      <c r="EY302" s="58">
        <f t="shared" ca="1" si="667"/>
        <v>0</v>
      </c>
      <c r="EZ302" s="58">
        <f t="shared" ca="1" si="667"/>
        <v>0</v>
      </c>
      <c r="FA302" s="58">
        <f t="shared" ca="1" si="667"/>
        <v>0</v>
      </c>
      <c r="FB302" s="58">
        <f t="shared" ca="1" si="667"/>
        <v>0</v>
      </c>
      <c r="FC302" s="58">
        <f t="shared" ca="1" si="667"/>
        <v>0</v>
      </c>
      <c r="FD302" s="58">
        <f t="shared" ca="1" si="667"/>
        <v>0</v>
      </c>
      <c r="FE302" s="58">
        <f t="shared" ca="1" si="667"/>
        <v>0</v>
      </c>
      <c r="FF302" s="58">
        <f t="shared" ca="1" si="667"/>
        <v>0</v>
      </c>
      <c r="FG302" s="58">
        <f t="shared" ca="1" si="667"/>
        <v>0</v>
      </c>
      <c r="FH302" s="58">
        <f t="shared" ca="1" si="667"/>
        <v>0</v>
      </c>
      <c r="FI302" s="58">
        <f t="shared" ca="1" si="667"/>
        <v>0</v>
      </c>
      <c r="FJ302" s="58">
        <f t="shared" ca="1" si="667"/>
        <v>0</v>
      </c>
      <c r="FK302" s="58">
        <f t="shared" ca="1" si="667"/>
        <v>0</v>
      </c>
      <c r="FL302" s="58">
        <f t="shared" ca="1" si="667"/>
        <v>0</v>
      </c>
      <c r="FM302" s="58">
        <f t="shared" ca="1" si="667"/>
        <v>0</v>
      </c>
      <c r="FN302" s="58">
        <f t="shared" ca="1" si="667"/>
        <v>0</v>
      </c>
      <c r="FO302" s="13"/>
    </row>
    <row r="303" spans="1:171" outlineLevel="1" x14ac:dyDescent="0.3">
      <c r="A303" s="13"/>
      <c r="B303" s="13"/>
      <c r="C303" s="13"/>
      <c r="D303" s="52">
        <f t="shared" si="520"/>
        <v>43983</v>
      </c>
      <c r="E303" s="53">
        <f t="shared" si="521"/>
        <v>2020</v>
      </c>
      <c r="F303" s="53">
        <f t="shared" si="522"/>
        <v>77</v>
      </c>
      <c r="G303" s="58">
        <f t="shared" ref="G303:AL303" ca="1" si="668">+IF(OR($F303+G$175&lt;1,(G$176-1)*12&lt;-$F303),0,OFFSET(G133,0,$F303))</f>
        <v>0</v>
      </c>
      <c r="H303" s="58">
        <f t="shared" ca="1" si="668"/>
        <v>0</v>
      </c>
      <c r="I303" s="58">
        <f t="shared" ca="1" si="668"/>
        <v>0</v>
      </c>
      <c r="J303" s="58">
        <f t="shared" ca="1" si="668"/>
        <v>0</v>
      </c>
      <c r="K303" s="58">
        <f t="shared" ca="1" si="668"/>
        <v>0</v>
      </c>
      <c r="L303" s="58">
        <f t="shared" ca="1" si="668"/>
        <v>0</v>
      </c>
      <c r="M303" s="58">
        <f t="shared" ca="1" si="668"/>
        <v>0</v>
      </c>
      <c r="N303" s="58">
        <f t="shared" ca="1" si="668"/>
        <v>0</v>
      </c>
      <c r="O303" s="58">
        <f t="shared" ca="1" si="668"/>
        <v>0</v>
      </c>
      <c r="P303" s="58">
        <f t="shared" ca="1" si="668"/>
        <v>0</v>
      </c>
      <c r="Q303" s="58">
        <f t="shared" ca="1" si="668"/>
        <v>0</v>
      </c>
      <c r="R303" s="58">
        <f t="shared" ca="1" si="668"/>
        <v>0</v>
      </c>
      <c r="S303" s="58">
        <f t="shared" ca="1" si="668"/>
        <v>0</v>
      </c>
      <c r="T303" s="58">
        <f t="shared" ca="1" si="668"/>
        <v>0</v>
      </c>
      <c r="U303" s="58">
        <f t="shared" ca="1" si="668"/>
        <v>0</v>
      </c>
      <c r="V303" s="58">
        <f t="shared" ca="1" si="668"/>
        <v>0</v>
      </c>
      <c r="W303" s="58">
        <f t="shared" ca="1" si="668"/>
        <v>0</v>
      </c>
      <c r="X303" s="58">
        <f t="shared" ca="1" si="668"/>
        <v>0</v>
      </c>
      <c r="Y303" s="58">
        <f t="shared" ca="1" si="668"/>
        <v>0</v>
      </c>
      <c r="Z303" s="58">
        <f t="shared" ca="1" si="668"/>
        <v>0</v>
      </c>
      <c r="AA303" s="58">
        <f t="shared" ca="1" si="668"/>
        <v>0</v>
      </c>
      <c r="AB303" s="58">
        <f t="shared" ca="1" si="668"/>
        <v>0</v>
      </c>
      <c r="AC303" s="58">
        <f t="shared" ca="1" si="668"/>
        <v>0</v>
      </c>
      <c r="AD303" s="58">
        <f t="shared" ca="1" si="668"/>
        <v>0</v>
      </c>
      <c r="AE303" s="58">
        <f t="shared" ca="1" si="668"/>
        <v>0</v>
      </c>
      <c r="AF303" s="58">
        <f t="shared" ca="1" si="668"/>
        <v>0</v>
      </c>
      <c r="AG303" s="58">
        <f t="shared" ca="1" si="668"/>
        <v>0</v>
      </c>
      <c r="AH303" s="58">
        <f t="shared" ca="1" si="668"/>
        <v>0</v>
      </c>
      <c r="AI303" s="58">
        <f t="shared" ca="1" si="668"/>
        <v>0</v>
      </c>
      <c r="AJ303" s="58">
        <f t="shared" ca="1" si="668"/>
        <v>0</v>
      </c>
      <c r="AK303" s="58">
        <f t="shared" ca="1" si="668"/>
        <v>0</v>
      </c>
      <c r="AL303" s="58">
        <f t="shared" ca="1" si="668"/>
        <v>0</v>
      </c>
      <c r="AM303" s="58">
        <f t="shared" ref="AM303:BR303" ca="1" si="669">+IF(OR($F303+AM$175&lt;1,(AM$176-1)*12&lt;-$F303),0,OFFSET(AM133,0,$F303))</f>
        <v>0</v>
      </c>
      <c r="AN303" s="58">
        <f t="shared" ca="1" si="669"/>
        <v>0</v>
      </c>
      <c r="AO303" s="58">
        <f t="shared" ca="1" si="669"/>
        <v>0</v>
      </c>
      <c r="AP303" s="58">
        <f t="shared" ca="1" si="669"/>
        <v>0</v>
      </c>
      <c r="AQ303" s="58">
        <f t="shared" ca="1" si="669"/>
        <v>0</v>
      </c>
      <c r="AR303" s="58">
        <f t="shared" ca="1" si="669"/>
        <v>0</v>
      </c>
      <c r="AS303" s="58">
        <f t="shared" ca="1" si="669"/>
        <v>0</v>
      </c>
      <c r="AT303" s="58">
        <f t="shared" ca="1" si="669"/>
        <v>0</v>
      </c>
      <c r="AU303" s="58">
        <f t="shared" ca="1" si="669"/>
        <v>0</v>
      </c>
      <c r="AV303" s="58">
        <f t="shared" ca="1" si="669"/>
        <v>0</v>
      </c>
      <c r="AW303" s="58">
        <f t="shared" ca="1" si="669"/>
        <v>0</v>
      </c>
      <c r="AX303" s="58">
        <f t="shared" ca="1" si="669"/>
        <v>0</v>
      </c>
      <c r="AY303" s="58">
        <f t="shared" ca="1" si="669"/>
        <v>0</v>
      </c>
      <c r="AZ303" s="58">
        <f t="shared" ca="1" si="669"/>
        <v>0</v>
      </c>
      <c r="BA303" s="58">
        <f t="shared" ca="1" si="669"/>
        <v>0</v>
      </c>
      <c r="BB303" s="58">
        <f t="shared" ca="1" si="669"/>
        <v>0</v>
      </c>
      <c r="BC303" s="58">
        <f t="shared" ca="1" si="669"/>
        <v>0</v>
      </c>
      <c r="BD303" s="58">
        <f t="shared" ca="1" si="669"/>
        <v>0</v>
      </c>
      <c r="BE303" s="58">
        <f t="shared" ca="1" si="669"/>
        <v>0</v>
      </c>
      <c r="BF303" s="58">
        <f t="shared" ca="1" si="669"/>
        <v>0</v>
      </c>
      <c r="BG303" s="58">
        <f t="shared" ca="1" si="669"/>
        <v>0</v>
      </c>
      <c r="BH303" s="58">
        <f t="shared" ca="1" si="669"/>
        <v>0</v>
      </c>
      <c r="BI303" s="58">
        <f t="shared" ca="1" si="669"/>
        <v>0</v>
      </c>
      <c r="BJ303" s="58">
        <f t="shared" ca="1" si="669"/>
        <v>0</v>
      </c>
      <c r="BK303" s="58">
        <f t="shared" ca="1" si="669"/>
        <v>0</v>
      </c>
      <c r="BL303" s="58">
        <f t="shared" ca="1" si="669"/>
        <v>0</v>
      </c>
      <c r="BM303" s="58">
        <f t="shared" ca="1" si="669"/>
        <v>0</v>
      </c>
      <c r="BN303" s="58">
        <f t="shared" ca="1" si="669"/>
        <v>0</v>
      </c>
      <c r="BO303" s="58">
        <f t="shared" ca="1" si="669"/>
        <v>0</v>
      </c>
      <c r="BP303" s="58">
        <f t="shared" ca="1" si="669"/>
        <v>0</v>
      </c>
      <c r="BQ303" s="58">
        <f t="shared" ca="1" si="669"/>
        <v>0</v>
      </c>
      <c r="BR303" s="58">
        <f t="shared" ca="1" si="669"/>
        <v>0</v>
      </c>
      <c r="BS303" s="58">
        <f t="shared" ref="BS303:CX303" ca="1" si="670">+IF(OR($F303+BS$175&lt;1,(BS$176-1)*12&lt;-$F303),0,OFFSET(BS133,0,$F303))</f>
        <v>0</v>
      </c>
      <c r="BT303" s="58">
        <f t="shared" ca="1" si="670"/>
        <v>0</v>
      </c>
      <c r="BU303" s="58">
        <f t="shared" ca="1" si="670"/>
        <v>0</v>
      </c>
      <c r="BV303" s="58">
        <f t="shared" ca="1" si="670"/>
        <v>0</v>
      </c>
      <c r="BW303" s="58">
        <f t="shared" ca="1" si="670"/>
        <v>0</v>
      </c>
      <c r="BX303" s="58">
        <f t="shared" ca="1" si="670"/>
        <v>0</v>
      </c>
      <c r="BY303" s="58">
        <f t="shared" ca="1" si="670"/>
        <v>0</v>
      </c>
      <c r="BZ303" s="58">
        <f t="shared" ca="1" si="670"/>
        <v>0</v>
      </c>
      <c r="CA303" s="58">
        <f t="shared" ca="1" si="670"/>
        <v>0</v>
      </c>
      <c r="CB303" s="58">
        <f t="shared" ca="1" si="670"/>
        <v>0</v>
      </c>
      <c r="CC303" s="58">
        <f t="shared" ca="1" si="670"/>
        <v>0</v>
      </c>
      <c r="CD303" s="58">
        <f t="shared" ca="1" si="670"/>
        <v>0</v>
      </c>
      <c r="CE303" s="58">
        <f t="shared" ca="1" si="670"/>
        <v>0</v>
      </c>
      <c r="CF303" s="58">
        <f t="shared" ca="1" si="670"/>
        <v>0</v>
      </c>
      <c r="CG303" s="58">
        <f t="shared" ca="1" si="670"/>
        <v>0</v>
      </c>
      <c r="CH303" s="58">
        <f t="shared" ca="1" si="670"/>
        <v>0</v>
      </c>
      <c r="CI303" s="58">
        <f t="shared" ca="1" si="670"/>
        <v>0</v>
      </c>
      <c r="CJ303" s="58">
        <f t="shared" ca="1" si="670"/>
        <v>0</v>
      </c>
      <c r="CK303" s="58">
        <f t="shared" ca="1" si="670"/>
        <v>0</v>
      </c>
      <c r="CL303" s="58">
        <f t="shared" ca="1" si="670"/>
        <v>0</v>
      </c>
      <c r="CM303" s="58">
        <f t="shared" ca="1" si="670"/>
        <v>0</v>
      </c>
      <c r="CN303" s="58">
        <f t="shared" ca="1" si="670"/>
        <v>0</v>
      </c>
      <c r="CO303" s="58">
        <f t="shared" ca="1" si="670"/>
        <v>0</v>
      </c>
      <c r="CP303" s="58">
        <f t="shared" ca="1" si="670"/>
        <v>0</v>
      </c>
      <c r="CQ303" s="58">
        <f t="shared" ca="1" si="670"/>
        <v>0</v>
      </c>
      <c r="CR303" s="58">
        <f t="shared" ca="1" si="670"/>
        <v>0</v>
      </c>
      <c r="CS303" s="58">
        <f t="shared" ca="1" si="670"/>
        <v>0</v>
      </c>
      <c r="CT303" s="58">
        <f t="shared" ca="1" si="670"/>
        <v>0</v>
      </c>
      <c r="CU303" s="58">
        <f t="shared" ca="1" si="670"/>
        <v>0</v>
      </c>
      <c r="CV303" s="58">
        <f t="shared" ca="1" si="670"/>
        <v>0</v>
      </c>
      <c r="CW303" s="58">
        <f t="shared" ca="1" si="670"/>
        <v>0</v>
      </c>
      <c r="CX303" s="58">
        <f t="shared" ca="1" si="670"/>
        <v>0</v>
      </c>
      <c r="CY303" s="58">
        <f t="shared" ref="CY303:ED303" ca="1" si="671">+IF(OR($F303+CY$175&lt;1,(CY$176-1)*12&lt;-$F303),0,OFFSET(CY133,0,$F303))</f>
        <v>0</v>
      </c>
      <c r="CZ303" s="58">
        <f t="shared" ca="1" si="671"/>
        <v>0</v>
      </c>
      <c r="DA303" s="58">
        <f t="shared" ca="1" si="671"/>
        <v>0</v>
      </c>
      <c r="DB303" s="58">
        <f t="shared" ca="1" si="671"/>
        <v>0</v>
      </c>
      <c r="DC303" s="58">
        <f t="shared" ca="1" si="671"/>
        <v>0</v>
      </c>
      <c r="DD303" s="58">
        <f t="shared" ca="1" si="671"/>
        <v>0</v>
      </c>
      <c r="DE303" s="58">
        <f t="shared" ca="1" si="671"/>
        <v>0</v>
      </c>
      <c r="DF303" s="58">
        <f t="shared" ca="1" si="671"/>
        <v>0</v>
      </c>
      <c r="DG303" s="58">
        <f t="shared" ca="1" si="671"/>
        <v>0</v>
      </c>
      <c r="DH303" s="58">
        <f t="shared" ca="1" si="671"/>
        <v>0</v>
      </c>
      <c r="DI303" s="58">
        <f t="shared" ca="1" si="671"/>
        <v>0</v>
      </c>
      <c r="DJ303" s="58">
        <f t="shared" ca="1" si="671"/>
        <v>0</v>
      </c>
      <c r="DK303" s="58">
        <f t="shared" ca="1" si="671"/>
        <v>0</v>
      </c>
      <c r="DL303" s="58">
        <f t="shared" ca="1" si="671"/>
        <v>0</v>
      </c>
      <c r="DM303" s="58">
        <f t="shared" ca="1" si="671"/>
        <v>0</v>
      </c>
      <c r="DN303" s="58">
        <f t="shared" ca="1" si="671"/>
        <v>0</v>
      </c>
      <c r="DO303" s="58">
        <f t="shared" ca="1" si="671"/>
        <v>0</v>
      </c>
      <c r="DP303" s="58">
        <f t="shared" ca="1" si="671"/>
        <v>0</v>
      </c>
      <c r="DQ303" s="58">
        <f t="shared" ca="1" si="671"/>
        <v>0</v>
      </c>
      <c r="DR303" s="58">
        <f t="shared" ca="1" si="671"/>
        <v>0</v>
      </c>
      <c r="DS303" s="58">
        <f t="shared" ca="1" si="671"/>
        <v>0</v>
      </c>
      <c r="DT303" s="58">
        <f t="shared" ca="1" si="671"/>
        <v>0</v>
      </c>
      <c r="DU303" s="58">
        <f t="shared" ca="1" si="671"/>
        <v>0</v>
      </c>
      <c r="DV303" s="58">
        <f t="shared" ca="1" si="671"/>
        <v>0</v>
      </c>
      <c r="DW303" s="58">
        <f t="shared" ca="1" si="671"/>
        <v>0</v>
      </c>
      <c r="DX303" s="58">
        <f t="shared" ca="1" si="671"/>
        <v>0</v>
      </c>
      <c r="DY303" s="58">
        <f t="shared" ca="1" si="671"/>
        <v>0</v>
      </c>
      <c r="DZ303" s="58">
        <f t="shared" ca="1" si="671"/>
        <v>0</v>
      </c>
      <c r="EA303" s="58">
        <f t="shared" ca="1" si="671"/>
        <v>0</v>
      </c>
      <c r="EB303" s="58">
        <f t="shared" ca="1" si="671"/>
        <v>0</v>
      </c>
      <c r="EC303" s="58">
        <f t="shared" ca="1" si="671"/>
        <v>0</v>
      </c>
      <c r="ED303" s="58">
        <f t="shared" ca="1" si="671"/>
        <v>0</v>
      </c>
      <c r="EE303" s="58">
        <f t="shared" ref="EE303:FN303" ca="1" si="672">+IF(OR($F303+EE$175&lt;1,(EE$176-1)*12&lt;-$F303),0,OFFSET(EE133,0,$F303))</f>
        <v>0</v>
      </c>
      <c r="EF303" s="58">
        <f t="shared" ca="1" si="672"/>
        <v>0</v>
      </c>
      <c r="EG303" s="58">
        <f t="shared" ca="1" si="672"/>
        <v>0</v>
      </c>
      <c r="EH303" s="58">
        <f t="shared" ca="1" si="672"/>
        <v>0</v>
      </c>
      <c r="EI303" s="58">
        <f t="shared" ca="1" si="672"/>
        <v>0</v>
      </c>
      <c r="EJ303" s="58">
        <f t="shared" ca="1" si="672"/>
        <v>0</v>
      </c>
      <c r="EK303" s="58">
        <f t="shared" ca="1" si="672"/>
        <v>0</v>
      </c>
      <c r="EL303" s="58">
        <f t="shared" ca="1" si="672"/>
        <v>0</v>
      </c>
      <c r="EM303" s="58">
        <f t="shared" ca="1" si="672"/>
        <v>0</v>
      </c>
      <c r="EN303" s="58">
        <f t="shared" ca="1" si="672"/>
        <v>0</v>
      </c>
      <c r="EO303" s="58">
        <f t="shared" ca="1" si="672"/>
        <v>0</v>
      </c>
      <c r="EP303" s="58">
        <f t="shared" ca="1" si="672"/>
        <v>0</v>
      </c>
      <c r="EQ303" s="58">
        <f t="shared" ca="1" si="672"/>
        <v>0</v>
      </c>
      <c r="ER303" s="58">
        <f t="shared" ca="1" si="672"/>
        <v>0</v>
      </c>
      <c r="ES303" s="58">
        <f t="shared" ca="1" si="672"/>
        <v>0</v>
      </c>
      <c r="ET303" s="58">
        <f t="shared" ca="1" si="672"/>
        <v>0</v>
      </c>
      <c r="EU303" s="58">
        <f t="shared" ca="1" si="672"/>
        <v>0</v>
      </c>
      <c r="EV303" s="58">
        <f t="shared" ca="1" si="672"/>
        <v>0</v>
      </c>
      <c r="EW303" s="58">
        <f t="shared" ca="1" si="672"/>
        <v>0</v>
      </c>
      <c r="EX303" s="58">
        <f t="shared" ca="1" si="672"/>
        <v>0</v>
      </c>
      <c r="EY303" s="58">
        <f t="shared" ca="1" si="672"/>
        <v>0</v>
      </c>
      <c r="EZ303" s="58">
        <f t="shared" ca="1" si="672"/>
        <v>0</v>
      </c>
      <c r="FA303" s="58">
        <f t="shared" ca="1" si="672"/>
        <v>0</v>
      </c>
      <c r="FB303" s="58">
        <f t="shared" ca="1" si="672"/>
        <v>0</v>
      </c>
      <c r="FC303" s="58">
        <f t="shared" ca="1" si="672"/>
        <v>0</v>
      </c>
      <c r="FD303" s="58">
        <f t="shared" ca="1" si="672"/>
        <v>0</v>
      </c>
      <c r="FE303" s="58">
        <f t="shared" ca="1" si="672"/>
        <v>0</v>
      </c>
      <c r="FF303" s="58">
        <f t="shared" ca="1" si="672"/>
        <v>0</v>
      </c>
      <c r="FG303" s="58">
        <f t="shared" ca="1" si="672"/>
        <v>0</v>
      </c>
      <c r="FH303" s="58">
        <f t="shared" ca="1" si="672"/>
        <v>0</v>
      </c>
      <c r="FI303" s="58">
        <f t="shared" ca="1" si="672"/>
        <v>0</v>
      </c>
      <c r="FJ303" s="58">
        <f t="shared" ca="1" si="672"/>
        <v>0</v>
      </c>
      <c r="FK303" s="58">
        <f t="shared" ca="1" si="672"/>
        <v>0</v>
      </c>
      <c r="FL303" s="58">
        <f t="shared" ca="1" si="672"/>
        <v>0</v>
      </c>
      <c r="FM303" s="58">
        <f t="shared" ca="1" si="672"/>
        <v>0</v>
      </c>
      <c r="FN303" s="58">
        <f t="shared" ca="1" si="672"/>
        <v>0</v>
      </c>
      <c r="FO303" s="13"/>
    </row>
    <row r="304" spans="1:171" outlineLevel="1" x14ac:dyDescent="0.3">
      <c r="A304" s="13"/>
      <c r="B304" s="13"/>
      <c r="C304" s="13"/>
      <c r="D304" s="52">
        <f t="shared" si="520"/>
        <v>44013</v>
      </c>
      <c r="E304" s="53">
        <f t="shared" si="521"/>
        <v>2020</v>
      </c>
      <c r="F304" s="53">
        <f t="shared" si="522"/>
        <v>78</v>
      </c>
      <c r="G304" s="58">
        <f t="shared" ref="G304:AL304" ca="1" si="673">+IF(OR($F304+G$175&lt;1,(G$176-1)*12&lt;-$F304),0,OFFSET(G134,0,$F304))</f>
        <v>0</v>
      </c>
      <c r="H304" s="58">
        <f t="shared" ca="1" si="673"/>
        <v>0</v>
      </c>
      <c r="I304" s="58">
        <f t="shared" ca="1" si="673"/>
        <v>0</v>
      </c>
      <c r="J304" s="58">
        <f t="shared" ca="1" si="673"/>
        <v>0</v>
      </c>
      <c r="K304" s="58">
        <f t="shared" ca="1" si="673"/>
        <v>0</v>
      </c>
      <c r="L304" s="58">
        <f t="shared" ca="1" si="673"/>
        <v>0</v>
      </c>
      <c r="M304" s="58">
        <f t="shared" ca="1" si="673"/>
        <v>0</v>
      </c>
      <c r="N304" s="58">
        <f t="shared" ca="1" si="673"/>
        <v>0</v>
      </c>
      <c r="O304" s="58">
        <f t="shared" ca="1" si="673"/>
        <v>0</v>
      </c>
      <c r="P304" s="58">
        <f t="shared" ca="1" si="673"/>
        <v>0</v>
      </c>
      <c r="Q304" s="58">
        <f t="shared" ca="1" si="673"/>
        <v>0</v>
      </c>
      <c r="R304" s="58">
        <f t="shared" ca="1" si="673"/>
        <v>0</v>
      </c>
      <c r="S304" s="58">
        <f t="shared" ca="1" si="673"/>
        <v>0</v>
      </c>
      <c r="T304" s="58">
        <f t="shared" ca="1" si="673"/>
        <v>0</v>
      </c>
      <c r="U304" s="58">
        <f t="shared" ca="1" si="673"/>
        <v>0</v>
      </c>
      <c r="V304" s="58">
        <f t="shared" ca="1" si="673"/>
        <v>0</v>
      </c>
      <c r="W304" s="58">
        <f t="shared" ca="1" si="673"/>
        <v>0</v>
      </c>
      <c r="X304" s="58">
        <f t="shared" ca="1" si="673"/>
        <v>0</v>
      </c>
      <c r="Y304" s="58">
        <f t="shared" ca="1" si="673"/>
        <v>0</v>
      </c>
      <c r="Z304" s="58">
        <f t="shared" ca="1" si="673"/>
        <v>0</v>
      </c>
      <c r="AA304" s="58">
        <f t="shared" ca="1" si="673"/>
        <v>0</v>
      </c>
      <c r="AB304" s="58">
        <f t="shared" ca="1" si="673"/>
        <v>0</v>
      </c>
      <c r="AC304" s="58">
        <f t="shared" ca="1" si="673"/>
        <v>0</v>
      </c>
      <c r="AD304" s="58">
        <f t="shared" ca="1" si="673"/>
        <v>0</v>
      </c>
      <c r="AE304" s="58">
        <f t="shared" ca="1" si="673"/>
        <v>0</v>
      </c>
      <c r="AF304" s="58">
        <f t="shared" ca="1" si="673"/>
        <v>0</v>
      </c>
      <c r="AG304" s="58">
        <f t="shared" ca="1" si="673"/>
        <v>0</v>
      </c>
      <c r="AH304" s="58">
        <f t="shared" ca="1" si="673"/>
        <v>0</v>
      </c>
      <c r="AI304" s="58">
        <f t="shared" ca="1" si="673"/>
        <v>0</v>
      </c>
      <c r="AJ304" s="58">
        <f t="shared" ca="1" si="673"/>
        <v>0</v>
      </c>
      <c r="AK304" s="58">
        <f t="shared" ca="1" si="673"/>
        <v>0</v>
      </c>
      <c r="AL304" s="58">
        <f t="shared" ca="1" si="673"/>
        <v>0</v>
      </c>
      <c r="AM304" s="58">
        <f t="shared" ref="AM304:BR304" ca="1" si="674">+IF(OR($F304+AM$175&lt;1,(AM$176-1)*12&lt;-$F304),0,OFFSET(AM134,0,$F304))</f>
        <v>0</v>
      </c>
      <c r="AN304" s="58">
        <f t="shared" ca="1" si="674"/>
        <v>0</v>
      </c>
      <c r="AO304" s="58">
        <f t="shared" ca="1" si="674"/>
        <v>0</v>
      </c>
      <c r="AP304" s="58">
        <f t="shared" ca="1" si="674"/>
        <v>0</v>
      </c>
      <c r="AQ304" s="58">
        <f t="shared" ca="1" si="674"/>
        <v>0</v>
      </c>
      <c r="AR304" s="58">
        <f t="shared" ca="1" si="674"/>
        <v>0</v>
      </c>
      <c r="AS304" s="58">
        <f t="shared" ca="1" si="674"/>
        <v>0</v>
      </c>
      <c r="AT304" s="58">
        <f t="shared" ca="1" si="674"/>
        <v>0</v>
      </c>
      <c r="AU304" s="58">
        <f t="shared" ca="1" si="674"/>
        <v>0</v>
      </c>
      <c r="AV304" s="58">
        <f t="shared" ca="1" si="674"/>
        <v>0</v>
      </c>
      <c r="AW304" s="58">
        <f t="shared" ca="1" si="674"/>
        <v>0</v>
      </c>
      <c r="AX304" s="58">
        <f t="shared" ca="1" si="674"/>
        <v>0</v>
      </c>
      <c r="AY304" s="58">
        <f t="shared" ca="1" si="674"/>
        <v>0</v>
      </c>
      <c r="AZ304" s="58">
        <f t="shared" ca="1" si="674"/>
        <v>0</v>
      </c>
      <c r="BA304" s="58">
        <f t="shared" ca="1" si="674"/>
        <v>0</v>
      </c>
      <c r="BB304" s="58">
        <f t="shared" ca="1" si="674"/>
        <v>0</v>
      </c>
      <c r="BC304" s="58">
        <f t="shared" ca="1" si="674"/>
        <v>0</v>
      </c>
      <c r="BD304" s="58">
        <f t="shared" ca="1" si="674"/>
        <v>0</v>
      </c>
      <c r="BE304" s="58">
        <f t="shared" ca="1" si="674"/>
        <v>0</v>
      </c>
      <c r="BF304" s="58">
        <f t="shared" ca="1" si="674"/>
        <v>0</v>
      </c>
      <c r="BG304" s="58">
        <f t="shared" ca="1" si="674"/>
        <v>0</v>
      </c>
      <c r="BH304" s="58">
        <f t="shared" ca="1" si="674"/>
        <v>0</v>
      </c>
      <c r="BI304" s="58">
        <f t="shared" ca="1" si="674"/>
        <v>0</v>
      </c>
      <c r="BJ304" s="58">
        <f t="shared" ca="1" si="674"/>
        <v>0</v>
      </c>
      <c r="BK304" s="58">
        <f t="shared" ca="1" si="674"/>
        <v>0</v>
      </c>
      <c r="BL304" s="58">
        <f t="shared" ca="1" si="674"/>
        <v>0</v>
      </c>
      <c r="BM304" s="58">
        <f t="shared" ca="1" si="674"/>
        <v>0</v>
      </c>
      <c r="BN304" s="58">
        <f t="shared" ca="1" si="674"/>
        <v>0</v>
      </c>
      <c r="BO304" s="58">
        <f t="shared" ca="1" si="674"/>
        <v>0</v>
      </c>
      <c r="BP304" s="58">
        <f t="shared" ca="1" si="674"/>
        <v>0</v>
      </c>
      <c r="BQ304" s="58">
        <f t="shared" ca="1" si="674"/>
        <v>0</v>
      </c>
      <c r="BR304" s="58">
        <f t="shared" ca="1" si="674"/>
        <v>0</v>
      </c>
      <c r="BS304" s="58">
        <f t="shared" ref="BS304:CX304" ca="1" si="675">+IF(OR($F304+BS$175&lt;1,(BS$176-1)*12&lt;-$F304),0,OFFSET(BS134,0,$F304))</f>
        <v>0</v>
      </c>
      <c r="BT304" s="58">
        <f t="shared" ca="1" si="675"/>
        <v>0</v>
      </c>
      <c r="BU304" s="58">
        <f t="shared" ca="1" si="675"/>
        <v>0</v>
      </c>
      <c r="BV304" s="58">
        <f t="shared" ca="1" si="675"/>
        <v>0</v>
      </c>
      <c r="BW304" s="58">
        <f t="shared" ca="1" si="675"/>
        <v>0</v>
      </c>
      <c r="BX304" s="58">
        <f t="shared" ca="1" si="675"/>
        <v>0</v>
      </c>
      <c r="BY304" s="58">
        <f t="shared" ca="1" si="675"/>
        <v>0</v>
      </c>
      <c r="BZ304" s="58">
        <f t="shared" ca="1" si="675"/>
        <v>0</v>
      </c>
      <c r="CA304" s="58">
        <f t="shared" ca="1" si="675"/>
        <v>0</v>
      </c>
      <c r="CB304" s="58">
        <f t="shared" ca="1" si="675"/>
        <v>0</v>
      </c>
      <c r="CC304" s="58">
        <f t="shared" ca="1" si="675"/>
        <v>0</v>
      </c>
      <c r="CD304" s="58">
        <f t="shared" ca="1" si="675"/>
        <v>0</v>
      </c>
      <c r="CE304" s="58">
        <f t="shared" ca="1" si="675"/>
        <v>0</v>
      </c>
      <c r="CF304" s="58">
        <f t="shared" ca="1" si="675"/>
        <v>0</v>
      </c>
      <c r="CG304" s="58">
        <f t="shared" ca="1" si="675"/>
        <v>0</v>
      </c>
      <c r="CH304" s="58">
        <f t="shared" ca="1" si="675"/>
        <v>0</v>
      </c>
      <c r="CI304" s="58">
        <f t="shared" ca="1" si="675"/>
        <v>0</v>
      </c>
      <c r="CJ304" s="58">
        <f t="shared" ca="1" si="675"/>
        <v>0</v>
      </c>
      <c r="CK304" s="58">
        <f t="shared" ca="1" si="675"/>
        <v>0</v>
      </c>
      <c r="CL304" s="58">
        <f t="shared" ca="1" si="675"/>
        <v>0</v>
      </c>
      <c r="CM304" s="58">
        <f t="shared" ca="1" si="675"/>
        <v>0</v>
      </c>
      <c r="CN304" s="58">
        <f t="shared" ca="1" si="675"/>
        <v>0</v>
      </c>
      <c r="CO304" s="58">
        <f t="shared" ca="1" si="675"/>
        <v>0</v>
      </c>
      <c r="CP304" s="58">
        <f t="shared" ca="1" si="675"/>
        <v>0</v>
      </c>
      <c r="CQ304" s="58">
        <f t="shared" ca="1" si="675"/>
        <v>0</v>
      </c>
      <c r="CR304" s="58">
        <f t="shared" ca="1" si="675"/>
        <v>0</v>
      </c>
      <c r="CS304" s="58">
        <f t="shared" ca="1" si="675"/>
        <v>0</v>
      </c>
      <c r="CT304" s="58">
        <f t="shared" ca="1" si="675"/>
        <v>0</v>
      </c>
      <c r="CU304" s="58">
        <f t="shared" ca="1" si="675"/>
        <v>0</v>
      </c>
      <c r="CV304" s="58">
        <f t="shared" ca="1" si="675"/>
        <v>0</v>
      </c>
      <c r="CW304" s="58">
        <f t="shared" ca="1" si="675"/>
        <v>0</v>
      </c>
      <c r="CX304" s="58">
        <f t="shared" ca="1" si="675"/>
        <v>0</v>
      </c>
      <c r="CY304" s="58">
        <f t="shared" ref="CY304:ED304" ca="1" si="676">+IF(OR($F304+CY$175&lt;1,(CY$176-1)*12&lt;-$F304),0,OFFSET(CY134,0,$F304))</f>
        <v>0</v>
      </c>
      <c r="CZ304" s="58">
        <f t="shared" ca="1" si="676"/>
        <v>0</v>
      </c>
      <c r="DA304" s="58">
        <f t="shared" ca="1" si="676"/>
        <v>0</v>
      </c>
      <c r="DB304" s="58">
        <f t="shared" ca="1" si="676"/>
        <v>0</v>
      </c>
      <c r="DC304" s="58">
        <f t="shared" ca="1" si="676"/>
        <v>0</v>
      </c>
      <c r="DD304" s="58">
        <f t="shared" ca="1" si="676"/>
        <v>0</v>
      </c>
      <c r="DE304" s="58">
        <f t="shared" ca="1" si="676"/>
        <v>0</v>
      </c>
      <c r="DF304" s="58">
        <f t="shared" ca="1" si="676"/>
        <v>0</v>
      </c>
      <c r="DG304" s="58">
        <f t="shared" ca="1" si="676"/>
        <v>0</v>
      </c>
      <c r="DH304" s="58">
        <f t="shared" ca="1" si="676"/>
        <v>0</v>
      </c>
      <c r="DI304" s="58">
        <f t="shared" ca="1" si="676"/>
        <v>0</v>
      </c>
      <c r="DJ304" s="58">
        <f t="shared" ca="1" si="676"/>
        <v>0</v>
      </c>
      <c r="DK304" s="58">
        <f t="shared" ca="1" si="676"/>
        <v>0</v>
      </c>
      <c r="DL304" s="58">
        <f t="shared" ca="1" si="676"/>
        <v>0</v>
      </c>
      <c r="DM304" s="58">
        <f t="shared" ca="1" si="676"/>
        <v>0</v>
      </c>
      <c r="DN304" s="58">
        <f t="shared" ca="1" si="676"/>
        <v>0</v>
      </c>
      <c r="DO304" s="58">
        <f t="shared" ca="1" si="676"/>
        <v>0</v>
      </c>
      <c r="DP304" s="58">
        <f t="shared" ca="1" si="676"/>
        <v>0</v>
      </c>
      <c r="DQ304" s="58">
        <f t="shared" ca="1" si="676"/>
        <v>0</v>
      </c>
      <c r="DR304" s="58">
        <f t="shared" ca="1" si="676"/>
        <v>0</v>
      </c>
      <c r="DS304" s="58">
        <f t="shared" ca="1" si="676"/>
        <v>0</v>
      </c>
      <c r="DT304" s="58">
        <f t="shared" ca="1" si="676"/>
        <v>0</v>
      </c>
      <c r="DU304" s="58">
        <f t="shared" ca="1" si="676"/>
        <v>0</v>
      </c>
      <c r="DV304" s="58">
        <f t="shared" ca="1" si="676"/>
        <v>0</v>
      </c>
      <c r="DW304" s="58">
        <f t="shared" ca="1" si="676"/>
        <v>0</v>
      </c>
      <c r="DX304" s="58">
        <f t="shared" ca="1" si="676"/>
        <v>0</v>
      </c>
      <c r="DY304" s="58">
        <f t="shared" ca="1" si="676"/>
        <v>0</v>
      </c>
      <c r="DZ304" s="58">
        <f t="shared" ca="1" si="676"/>
        <v>0</v>
      </c>
      <c r="EA304" s="58">
        <f t="shared" ca="1" si="676"/>
        <v>0</v>
      </c>
      <c r="EB304" s="58">
        <f t="shared" ca="1" si="676"/>
        <v>0</v>
      </c>
      <c r="EC304" s="58">
        <f t="shared" ca="1" si="676"/>
        <v>0</v>
      </c>
      <c r="ED304" s="58">
        <f t="shared" ca="1" si="676"/>
        <v>0</v>
      </c>
      <c r="EE304" s="58">
        <f t="shared" ref="EE304:FN304" ca="1" si="677">+IF(OR($F304+EE$175&lt;1,(EE$176-1)*12&lt;-$F304),0,OFFSET(EE134,0,$F304))</f>
        <v>0</v>
      </c>
      <c r="EF304" s="58">
        <f t="shared" ca="1" si="677"/>
        <v>0</v>
      </c>
      <c r="EG304" s="58">
        <f t="shared" ca="1" si="677"/>
        <v>0</v>
      </c>
      <c r="EH304" s="58">
        <f t="shared" ca="1" si="677"/>
        <v>0</v>
      </c>
      <c r="EI304" s="58">
        <f t="shared" ca="1" si="677"/>
        <v>0</v>
      </c>
      <c r="EJ304" s="58">
        <f t="shared" ca="1" si="677"/>
        <v>0</v>
      </c>
      <c r="EK304" s="58">
        <f t="shared" ca="1" si="677"/>
        <v>0</v>
      </c>
      <c r="EL304" s="58">
        <f t="shared" ca="1" si="677"/>
        <v>0</v>
      </c>
      <c r="EM304" s="58">
        <f t="shared" ca="1" si="677"/>
        <v>0</v>
      </c>
      <c r="EN304" s="58">
        <f t="shared" ca="1" si="677"/>
        <v>0</v>
      </c>
      <c r="EO304" s="58">
        <f t="shared" ca="1" si="677"/>
        <v>0</v>
      </c>
      <c r="EP304" s="58">
        <f t="shared" ca="1" si="677"/>
        <v>0</v>
      </c>
      <c r="EQ304" s="58">
        <f t="shared" ca="1" si="677"/>
        <v>0</v>
      </c>
      <c r="ER304" s="58">
        <f t="shared" ca="1" si="677"/>
        <v>0</v>
      </c>
      <c r="ES304" s="58">
        <f t="shared" ca="1" si="677"/>
        <v>0</v>
      </c>
      <c r="ET304" s="58">
        <f t="shared" ca="1" si="677"/>
        <v>0</v>
      </c>
      <c r="EU304" s="58">
        <f t="shared" ca="1" si="677"/>
        <v>0</v>
      </c>
      <c r="EV304" s="58">
        <f t="shared" ca="1" si="677"/>
        <v>0</v>
      </c>
      <c r="EW304" s="58">
        <f t="shared" ca="1" si="677"/>
        <v>0</v>
      </c>
      <c r="EX304" s="58">
        <f t="shared" ca="1" si="677"/>
        <v>0</v>
      </c>
      <c r="EY304" s="58">
        <f t="shared" ca="1" si="677"/>
        <v>0</v>
      </c>
      <c r="EZ304" s="58">
        <f t="shared" ca="1" si="677"/>
        <v>0</v>
      </c>
      <c r="FA304" s="58">
        <f t="shared" ca="1" si="677"/>
        <v>0</v>
      </c>
      <c r="FB304" s="58">
        <f t="shared" ca="1" si="677"/>
        <v>0</v>
      </c>
      <c r="FC304" s="58">
        <f t="shared" ca="1" si="677"/>
        <v>0</v>
      </c>
      <c r="FD304" s="58">
        <f t="shared" ca="1" si="677"/>
        <v>0</v>
      </c>
      <c r="FE304" s="58">
        <f t="shared" ca="1" si="677"/>
        <v>0</v>
      </c>
      <c r="FF304" s="58">
        <f t="shared" ca="1" si="677"/>
        <v>0</v>
      </c>
      <c r="FG304" s="58">
        <f t="shared" ca="1" si="677"/>
        <v>0</v>
      </c>
      <c r="FH304" s="58">
        <f t="shared" ca="1" si="677"/>
        <v>0</v>
      </c>
      <c r="FI304" s="58">
        <f t="shared" ca="1" si="677"/>
        <v>0</v>
      </c>
      <c r="FJ304" s="58">
        <f t="shared" ca="1" si="677"/>
        <v>0</v>
      </c>
      <c r="FK304" s="58">
        <f t="shared" ca="1" si="677"/>
        <v>0</v>
      </c>
      <c r="FL304" s="58">
        <f t="shared" ca="1" si="677"/>
        <v>0</v>
      </c>
      <c r="FM304" s="58">
        <f t="shared" ca="1" si="677"/>
        <v>0</v>
      </c>
      <c r="FN304" s="58">
        <f t="shared" ca="1" si="677"/>
        <v>0</v>
      </c>
      <c r="FO304" s="13"/>
    </row>
    <row r="305" spans="1:171" outlineLevel="1" x14ac:dyDescent="0.3">
      <c r="A305" s="13"/>
      <c r="B305" s="13"/>
      <c r="C305" s="13"/>
      <c r="D305" s="52">
        <f t="shared" si="520"/>
        <v>44044</v>
      </c>
      <c r="E305" s="53">
        <f t="shared" si="521"/>
        <v>2020</v>
      </c>
      <c r="F305" s="53">
        <f t="shared" si="522"/>
        <v>79</v>
      </c>
      <c r="G305" s="58">
        <f t="shared" ref="G305:AL305" ca="1" si="678">+IF(OR($F305+G$175&lt;1,(G$176-1)*12&lt;-$F305),0,OFFSET(G135,0,$F305))</f>
        <v>0</v>
      </c>
      <c r="H305" s="58">
        <f t="shared" ca="1" si="678"/>
        <v>0</v>
      </c>
      <c r="I305" s="58">
        <f t="shared" ca="1" si="678"/>
        <v>0</v>
      </c>
      <c r="J305" s="58">
        <f t="shared" ca="1" si="678"/>
        <v>0</v>
      </c>
      <c r="K305" s="58">
        <f t="shared" ca="1" si="678"/>
        <v>0</v>
      </c>
      <c r="L305" s="58">
        <f t="shared" ca="1" si="678"/>
        <v>0</v>
      </c>
      <c r="M305" s="58">
        <f t="shared" ca="1" si="678"/>
        <v>0</v>
      </c>
      <c r="N305" s="58">
        <f t="shared" ca="1" si="678"/>
        <v>0</v>
      </c>
      <c r="O305" s="58">
        <f t="shared" ca="1" si="678"/>
        <v>0</v>
      </c>
      <c r="P305" s="58">
        <f t="shared" ca="1" si="678"/>
        <v>0</v>
      </c>
      <c r="Q305" s="58">
        <f t="shared" ca="1" si="678"/>
        <v>0</v>
      </c>
      <c r="R305" s="58">
        <f t="shared" ca="1" si="678"/>
        <v>0</v>
      </c>
      <c r="S305" s="58">
        <f t="shared" ca="1" si="678"/>
        <v>0</v>
      </c>
      <c r="T305" s="58">
        <f t="shared" ca="1" si="678"/>
        <v>0</v>
      </c>
      <c r="U305" s="58">
        <f t="shared" ca="1" si="678"/>
        <v>0</v>
      </c>
      <c r="V305" s="58">
        <f t="shared" ca="1" si="678"/>
        <v>0</v>
      </c>
      <c r="W305" s="58">
        <f t="shared" ca="1" si="678"/>
        <v>0</v>
      </c>
      <c r="X305" s="58">
        <f t="shared" ca="1" si="678"/>
        <v>0</v>
      </c>
      <c r="Y305" s="58">
        <f t="shared" ca="1" si="678"/>
        <v>0</v>
      </c>
      <c r="Z305" s="58">
        <f t="shared" ca="1" si="678"/>
        <v>0</v>
      </c>
      <c r="AA305" s="58">
        <f t="shared" ca="1" si="678"/>
        <v>0</v>
      </c>
      <c r="AB305" s="58">
        <f t="shared" ca="1" si="678"/>
        <v>0</v>
      </c>
      <c r="AC305" s="58">
        <f t="shared" ca="1" si="678"/>
        <v>0</v>
      </c>
      <c r="AD305" s="58">
        <f t="shared" ca="1" si="678"/>
        <v>0</v>
      </c>
      <c r="AE305" s="58">
        <f t="shared" ca="1" si="678"/>
        <v>0</v>
      </c>
      <c r="AF305" s="58">
        <f t="shared" ca="1" si="678"/>
        <v>0</v>
      </c>
      <c r="AG305" s="58">
        <f t="shared" ca="1" si="678"/>
        <v>0</v>
      </c>
      <c r="AH305" s="58">
        <f t="shared" ca="1" si="678"/>
        <v>0</v>
      </c>
      <c r="AI305" s="58">
        <f t="shared" ca="1" si="678"/>
        <v>0</v>
      </c>
      <c r="AJ305" s="58">
        <f t="shared" ca="1" si="678"/>
        <v>0</v>
      </c>
      <c r="AK305" s="58">
        <f t="shared" ca="1" si="678"/>
        <v>0</v>
      </c>
      <c r="AL305" s="58">
        <f t="shared" ca="1" si="678"/>
        <v>0</v>
      </c>
      <c r="AM305" s="58">
        <f t="shared" ref="AM305:BR305" ca="1" si="679">+IF(OR($F305+AM$175&lt;1,(AM$176-1)*12&lt;-$F305),0,OFFSET(AM135,0,$F305))</f>
        <v>0</v>
      </c>
      <c r="AN305" s="58">
        <f t="shared" ca="1" si="679"/>
        <v>0</v>
      </c>
      <c r="AO305" s="58">
        <f t="shared" ca="1" si="679"/>
        <v>0</v>
      </c>
      <c r="AP305" s="58">
        <f t="shared" ca="1" si="679"/>
        <v>0</v>
      </c>
      <c r="AQ305" s="58">
        <f t="shared" ca="1" si="679"/>
        <v>0</v>
      </c>
      <c r="AR305" s="58">
        <f t="shared" ca="1" si="679"/>
        <v>0</v>
      </c>
      <c r="AS305" s="58">
        <f t="shared" ca="1" si="679"/>
        <v>0</v>
      </c>
      <c r="AT305" s="58">
        <f t="shared" ca="1" si="679"/>
        <v>0</v>
      </c>
      <c r="AU305" s="58">
        <f t="shared" ca="1" si="679"/>
        <v>0</v>
      </c>
      <c r="AV305" s="58">
        <f t="shared" ca="1" si="679"/>
        <v>0</v>
      </c>
      <c r="AW305" s="58">
        <f t="shared" ca="1" si="679"/>
        <v>0</v>
      </c>
      <c r="AX305" s="58">
        <f t="shared" ca="1" si="679"/>
        <v>0</v>
      </c>
      <c r="AY305" s="58">
        <f t="shared" ca="1" si="679"/>
        <v>0</v>
      </c>
      <c r="AZ305" s="58">
        <f t="shared" ca="1" si="679"/>
        <v>0</v>
      </c>
      <c r="BA305" s="58">
        <f t="shared" ca="1" si="679"/>
        <v>0</v>
      </c>
      <c r="BB305" s="58">
        <f t="shared" ca="1" si="679"/>
        <v>0</v>
      </c>
      <c r="BC305" s="58">
        <f t="shared" ca="1" si="679"/>
        <v>0</v>
      </c>
      <c r="BD305" s="58">
        <f t="shared" ca="1" si="679"/>
        <v>0</v>
      </c>
      <c r="BE305" s="58">
        <f t="shared" ca="1" si="679"/>
        <v>0</v>
      </c>
      <c r="BF305" s="58">
        <f t="shared" ca="1" si="679"/>
        <v>0</v>
      </c>
      <c r="BG305" s="58">
        <f t="shared" ca="1" si="679"/>
        <v>0</v>
      </c>
      <c r="BH305" s="58">
        <f t="shared" ca="1" si="679"/>
        <v>0</v>
      </c>
      <c r="BI305" s="58">
        <f t="shared" ca="1" si="679"/>
        <v>0</v>
      </c>
      <c r="BJ305" s="58">
        <f t="shared" ca="1" si="679"/>
        <v>0</v>
      </c>
      <c r="BK305" s="58">
        <f t="shared" ca="1" si="679"/>
        <v>0</v>
      </c>
      <c r="BL305" s="58">
        <f t="shared" ca="1" si="679"/>
        <v>0</v>
      </c>
      <c r="BM305" s="58">
        <f t="shared" ca="1" si="679"/>
        <v>0</v>
      </c>
      <c r="BN305" s="58">
        <f t="shared" ca="1" si="679"/>
        <v>0</v>
      </c>
      <c r="BO305" s="58">
        <f t="shared" ca="1" si="679"/>
        <v>0</v>
      </c>
      <c r="BP305" s="58">
        <f t="shared" ca="1" si="679"/>
        <v>0</v>
      </c>
      <c r="BQ305" s="58">
        <f t="shared" ca="1" si="679"/>
        <v>0</v>
      </c>
      <c r="BR305" s="58">
        <f t="shared" ca="1" si="679"/>
        <v>0</v>
      </c>
      <c r="BS305" s="58">
        <f t="shared" ref="BS305:CX305" ca="1" si="680">+IF(OR($F305+BS$175&lt;1,(BS$176-1)*12&lt;-$F305),0,OFFSET(BS135,0,$F305))</f>
        <v>0</v>
      </c>
      <c r="BT305" s="58">
        <f t="shared" ca="1" si="680"/>
        <v>0</v>
      </c>
      <c r="BU305" s="58">
        <f t="shared" ca="1" si="680"/>
        <v>0</v>
      </c>
      <c r="BV305" s="58">
        <f t="shared" ca="1" si="680"/>
        <v>0</v>
      </c>
      <c r="BW305" s="58">
        <f t="shared" ca="1" si="680"/>
        <v>0</v>
      </c>
      <c r="BX305" s="58">
        <f t="shared" ca="1" si="680"/>
        <v>0</v>
      </c>
      <c r="BY305" s="58">
        <f t="shared" ca="1" si="680"/>
        <v>0</v>
      </c>
      <c r="BZ305" s="58">
        <f t="shared" ca="1" si="680"/>
        <v>0</v>
      </c>
      <c r="CA305" s="58">
        <f t="shared" ca="1" si="680"/>
        <v>0</v>
      </c>
      <c r="CB305" s="58">
        <f t="shared" ca="1" si="680"/>
        <v>0</v>
      </c>
      <c r="CC305" s="58">
        <f t="shared" ca="1" si="680"/>
        <v>0</v>
      </c>
      <c r="CD305" s="58">
        <f t="shared" ca="1" si="680"/>
        <v>0</v>
      </c>
      <c r="CE305" s="58">
        <f t="shared" ca="1" si="680"/>
        <v>0</v>
      </c>
      <c r="CF305" s="58">
        <f t="shared" ca="1" si="680"/>
        <v>0</v>
      </c>
      <c r="CG305" s="58">
        <f t="shared" ca="1" si="680"/>
        <v>0</v>
      </c>
      <c r="CH305" s="58">
        <f t="shared" ca="1" si="680"/>
        <v>0</v>
      </c>
      <c r="CI305" s="58">
        <f t="shared" ca="1" si="680"/>
        <v>0</v>
      </c>
      <c r="CJ305" s="58">
        <f t="shared" ca="1" si="680"/>
        <v>0</v>
      </c>
      <c r="CK305" s="58">
        <f t="shared" ca="1" si="680"/>
        <v>0</v>
      </c>
      <c r="CL305" s="58">
        <f t="shared" ca="1" si="680"/>
        <v>0</v>
      </c>
      <c r="CM305" s="58">
        <f t="shared" ca="1" si="680"/>
        <v>0</v>
      </c>
      <c r="CN305" s="58">
        <f t="shared" ca="1" si="680"/>
        <v>0</v>
      </c>
      <c r="CO305" s="58">
        <f t="shared" ca="1" si="680"/>
        <v>0</v>
      </c>
      <c r="CP305" s="58">
        <f t="shared" ca="1" si="680"/>
        <v>0</v>
      </c>
      <c r="CQ305" s="58">
        <f t="shared" ca="1" si="680"/>
        <v>0</v>
      </c>
      <c r="CR305" s="58">
        <f t="shared" ca="1" si="680"/>
        <v>0</v>
      </c>
      <c r="CS305" s="58">
        <f t="shared" ca="1" si="680"/>
        <v>0</v>
      </c>
      <c r="CT305" s="58">
        <f t="shared" ca="1" si="680"/>
        <v>0</v>
      </c>
      <c r="CU305" s="58">
        <f t="shared" ca="1" si="680"/>
        <v>0</v>
      </c>
      <c r="CV305" s="58">
        <f t="shared" ca="1" si="680"/>
        <v>0</v>
      </c>
      <c r="CW305" s="58">
        <f t="shared" ca="1" si="680"/>
        <v>0</v>
      </c>
      <c r="CX305" s="58">
        <f t="shared" ca="1" si="680"/>
        <v>0</v>
      </c>
      <c r="CY305" s="58">
        <f t="shared" ref="CY305:ED305" ca="1" si="681">+IF(OR($F305+CY$175&lt;1,(CY$176-1)*12&lt;-$F305),0,OFFSET(CY135,0,$F305))</f>
        <v>0</v>
      </c>
      <c r="CZ305" s="58">
        <f t="shared" ca="1" si="681"/>
        <v>0</v>
      </c>
      <c r="DA305" s="58">
        <f t="shared" ca="1" si="681"/>
        <v>0</v>
      </c>
      <c r="DB305" s="58">
        <f t="shared" ca="1" si="681"/>
        <v>0</v>
      </c>
      <c r="DC305" s="58">
        <f t="shared" ca="1" si="681"/>
        <v>0</v>
      </c>
      <c r="DD305" s="58">
        <f t="shared" ca="1" si="681"/>
        <v>0</v>
      </c>
      <c r="DE305" s="58">
        <f t="shared" ca="1" si="681"/>
        <v>0</v>
      </c>
      <c r="DF305" s="58">
        <f t="shared" ca="1" si="681"/>
        <v>0</v>
      </c>
      <c r="DG305" s="58">
        <f t="shared" ca="1" si="681"/>
        <v>0</v>
      </c>
      <c r="DH305" s="58">
        <f t="shared" ca="1" si="681"/>
        <v>0</v>
      </c>
      <c r="DI305" s="58">
        <f t="shared" ca="1" si="681"/>
        <v>0</v>
      </c>
      <c r="DJ305" s="58">
        <f t="shared" ca="1" si="681"/>
        <v>0</v>
      </c>
      <c r="DK305" s="58">
        <f t="shared" ca="1" si="681"/>
        <v>0</v>
      </c>
      <c r="DL305" s="58">
        <f t="shared" ca="1" si="681"/>
        <v>0</v>
      </c>
      <c r="DM305" s="58">
        <f t="shared" ca="1" si="681"/>
        <v>0</v>
      </c>
      <c r="DN305" s="58">
        <f t="shared" ca="1" si="681"/>
        <v>0</v>
      </c>
      <c r="DO305" s="58">
        <f t="shared" ca="1" si="681"/>
        <v>0</v>
      </c>
      <c r="DP305" s="58">
        <f t="shared" ca="1" si="681"/>
        <v>0</v>
      </c>
      <c r="DQ305" s="58">
        <f t="shared" ca="1" si="681"/>
        <v>0</v>
      </c>
      <c r="DR305" s="58">
        <f t="shared" ca="1" si="681"/>
        <v>0</v>
      </c>
      <c r="DS305" s="58">
        <f t="shared" ca="1" si="681"/>
        <v>0</v>
      </c>
      <c r="DT305" s="58">
        <f t="shared" ca="1" si="681"/>
        <v>0</v>
      </c>
      <c r="DU305" s="58">
        <f t="shared" ca="1" si="681"/>
        <v>0</v>
      </c>
      <c r="DV305" s="58">
        <f t="shared" ca="1" si="681"/>
        <v>0</v>
      </c>
      <c r="DW305" s="58">
        <f t="shared" ca="1" si="681"/>
        <v>0</v>
      </c>
      <c r="DX305" s="58">
        <f t="shared" ca="1" si="681"/>
        <v>0</v>
      </c>
      <c r="DY305" s="58">
        <f t="shared" ca="1" si="681"/>
        <v>0</v>
      </c>
      <c r="DZ305" s="58">
        <f t="shared" ca="1" si="681"/>
        <v>0</v>
      </c>
      <c r="EA305" s="58">
        <f t="shared" ca="1" si="681"/>
        <v>0</v>
      </c>
      <c r="EB305" s="58">
        <f t="shared" ca="1" si="681"/>
        <v>0</v>
      </c>
      <c r="EC305" s="58">
        <f t="shared" ca="1" si="681"/>
        <v>0</v>
      </c>
      <c r="ED305" s="58">
        <f t="shared" ca="1" si="681"/>
        <v>0</v>
      </c>
      <c r="EE305" s="58">
        <f t="shared" ref="EE305:FN305" ca="1" si="682">+IF(OR($F305+EE$175&lt;1,(EE$176-1)*12&lt;-$F305),0,OFFSET(EE135,0,$F305))</f>
        <v>0</v>
      </c>
      <c r="EF305" s="58">
        <f t="shared" ca="1" si="682"/>
        <v>0</v>
      </c>
      <c r="EG305" s="58">
        <f t="shared" ca="1" si="682"/>
        <v>0</v>
      </c>
      <c r="EH305" s="58">
        <f t="shared" ca="1" si="682"/>
        <v>0</v>
      </c>
      <c r="EI305" s="58">
        <f t="shared" ca="1" si="682"/>
        <v>0</v>
      </c>
      <c r="EJ305" s="58">
        <f t="shared" ca="1" si="682"/>
        <v>0</v>
      </c>
      <c r="EK305" s="58">
        <f t="shared" ca="1" si="682"/>
        <v>0</v>
      </c>
      <c r="EL305" s="58">
        <f t="shared" ca="1" si="682"/>
        <v>0</v>
      </c>
      <c r="EM305" s="58">
        <f t="shared" ca="1" si="682"/>
        <v>0</v>
      </c>
      <c r="EN305" s="58">
        <f t="shared" ca="1" si="682"/>
        <v>0</v>
      </c>
      <c r="EO305" s="58">
        <f t="shared" ca="1" si="682"/>
        <v>0</v>
      </c>
      <c r="EP305" s="58">
        <f t="shared" ca="1" si="682"/>
        <v>0</v>
      </c>
      <c r="EQ305" s="58">
        <f t="shared" ca="1" si="682"/>
        <v>0</v>
      </c>
      <c r="ER305" s="58">
        <f t="shared" ca="1" si="682"/>
        <v>0</v>
      </c>
      <c r="ES305" s="58">
        <f t="shared" ca="1" si="682"/>
        <v>0</v>
      </c>
      <c r="ET305" s="58">
        <f t="shared" ca="1" si="682"/>
        <v>0</v>
      </c>
      <c r="EU305" s="58">
        <f t="shared" ca="1" si="682"/>
        <v>0</v>
      </c>
      <c r="EV305" s="58">
        <f t="shared" ca="1" si="682"/>
        <v>0</v>
      </c>
      <c r="EW305" s="58">
        <f t="shared" ca="1" si="682"/>
        <v>0</v>
      </c>
      <c r="EX305" s="58">
        <f t="shared" ca="1" si="682"/>
        <v>0</v>
      </c>
      <c r="EY305" s="58">
        <f t="shared" ca="1" si="682"/>
        <v>0</v>
      </c>
      <c r="EZ305" s="58">
        <f t="shared" ca="1" si="682"/>
        <v>0</v>
      </c>
      <c r="FA305" s="58">
        <f t="shared" ca="1" si="682"/>
        <v>0</v>
      </c>
      <c r="FB305" s="58">
        <f t="shared" ca="1" si="682"/>
        <v>0</v>
      </c>
      <c r="FC305" s="58">
        <f t="shared" ca="1" si="682"/>
        <v>0</v>
      </c>
      <c r="FD305" s="58">
        <f t="shared" ca="1" si="682"/>
        <v>0</v>
      </c>
      <c r="FE305" s="58">
        <f t="shared" ca="1" si="682"/>
        <v>0</v>
      </c>
      <c r="FF305" s="58">
        <f t="shared" ca="1" si="682"/>
        <v>0</v>
      </c>
      <c r="FG305" s="58">
        <f t="shared" ca="1" si="682"/>
        <v>0</v>
      </c>
      <c r="FH305" s="58">
        <f t="shared" ca="1" si="682"/>
        <v>0</v>
      </c>
      <c r="FI305" s="58">
        <f t="shared" ca="1" si="682"/>
        <v>0</v>
      </c>
      <c r="FJ305" s="58">
        <f t="shared" ca="1" si="682"/>
        <v>0</v>
      </c>
      <c r="FK305" s="58">
        <f t="shared" ca="1" si="682"/>
        <v>0</v>
      </c>
      <c r="FL305" s="58">
        <f t="shared" ca="1" si="682"/>
        <v>0</v>
      </c>
      <c r="FM305" s="58">
        <f t="shared" ca="1" si="682"/>
        <v>0</v>
      </c>
      <c r="FN305" s="58">
        <f t="shared" ca="1" si="682"/>
        <v>0</v>
      </c>
      <c r="FO305" s="13"/>
    </row>
    <row r="306" spans="1:171" outlineLevel="1" x14ac:dyDescent="0.3">
      <c r="A306" s="13"/>
      <c r="B306" s="13"/>
      <c r="C306" s="13"/>
      <c r="D306" s="52">
        <f t="shared" ref="D306:D337" si="683">+D136</f>
        <v>44075</v>
      </c>
      <c r="E306" s="53">
        <f t="shared" ref="E306:E337" si="684">+YEAR(D306)</f>
        <v>2020</v>
      </c>
      <c r="F306" s="53">
        <f t="shared" ref="F306:F337" si="685">+F136</f>
        <v>80</v>
      </c>
      <c r="G306" s="58">
        <f t="shared" ref="G306:AL306" ca="1" si="686">+IF(OR($F306+G$175&lt;1,(G$176-1)*12&lt;-$F306),0,OFFSET(G136,0,$F306))</f>
        <v>0</v>
      </c>
      <c r="H306" s="58">
        <f t="shared" ca="1" si="686"/>
        <v>0</v>
      </c>
      <c r="I306" s="58">
        <f t="shared" ca="1" si="686"/>
        <v>0</v>
      </c>
      <c r="J306" s="58">
        <f t="shared" ca="1" si="686"/>
        <v>0</v>
      </c>
      <c r="K306" s="58">
        <f t="shared" ca="1" si="686"/>
        <v>0</v>
      </c>
      <c r="L306" s="58">
        <f t="shared" ca="1" si="686"/>
        <v>0</v>
      </c>
      <c r="M306" s="58">
        <f t="shared" ca="1" si="686"/>
        <v>0</v>
      </c>
      <c r="N306" s="58">
        <f t="shared" ca="1" si="686"/>
        <v>0</v>
      </c>
      <c r="O306" s="58">
        <f t="shared" ca="1" si="686"/>
        <v>0</v>
      </c>
      <c r="P306" s="58">
        <f t="shared" ca="1" si="686"/>
        <v>0</v>
      </c>
      <c r="Q306" s="58">
        <f t="shared" ca="1" si="686"/>
        <v>0</v>
      </c>
      <c r="R306" s="58">
        <f t="shared" ca="1" si="686"/>
        <v>0</v>
      </c>
      <c r="S306" s="58">
        <f t="shared" ca="1" si="686"/>
        <v>0</v>
      </c>
      <c r="T306" s="58">
        <f t="shared" ca="1" si="686"/>
        <v>0</v>
      </c>
      <c r="U306" s="58">
        <f t="shared" ca="1" si="686"/>
        <v>0</v>
      </c>
      <c r="V306" s="58">
        <f t="shared" ca="1" si="686"/>
        <v>0</v>
      </c>
      <c r="W306" s="58">
        <f t="shared" ca="1" si="686"/>
        <v>0</v>
      </c>
      <c r="X306" s="58">
        <f t="shared" ca="1" si="686"/>
        <v>0</v>
      </c>
      <c r="Y306" s="58">
        <f t="shared" ca="1" si="686"/>
        <v>0</v>
      </c>
      <c r="Z306" s="58">
        <f t="shared" ca="1" si="686"/>
        <v>0</v>
      </c>
      <c r="AA306" s="58">
        <f t="shared" ca="1" si="686"/>
        <v>0</v>
      </c>
      <c r="AB306" s="58">
        <f t="shared" ca="1" si="686"/>
        <v>0</v>
      </c>
      <c r="AC306" s="58">
        <f t="shared" ca="1" si="686"/>
        <v>0</v>
      </c>
      <c r="AD306" s="58">
        <f t="shared" ca="1" si="686"/>
        <v>0</v>
      </c>
      <c r="AE306" s="58">
        <f t="shared" ca="1" si="686"/>
        <v>0</v>
      </c>
      <c r="AF306" s="58">
        <f t="shared" ca="1" si="686"/>
        <v>0</v>
      </c>
      <c r="AG306" s="58">
        <f t="shared" ca="1" si="686"/>
        <v>0</v>
      </c>
      <c r="AH306" s="58">
        <f t="shared" ca="1" si="686"/>
        <v>0</v>
      </c>
      <c r="AI306" s="58">
        <f t="shared" ca="1" si="686"/>
        <v>0</v>
      </c>
      <c r="AJ306" s="58">
        <f t="shared" ca="1" si="686"/>
        <v>0</v>
      </c>
      <c r="AK306" s="58">
        <f t="shared" ca="1" si="686"/>
        <v>0</v>
      </c>
      <c r="AL306" s="58">
        <f t="shared" ca="1" si="686"/>
        <v>0</v>
      </c>
      <c r="AM306" s="58">
        <f t="shared" ref="AM306:BR306" ca="1" si="687">+IF(OR($F306+AM$175&lt;1,(AM$176-1)*12&lt;-$F306),0,OFFSET(AM136,0,$F306))</f>
        <v>0</v>
      </c>
      <c r="AN306" s="58">
        <f t="shared" ca="1" si="687"/>
        <v>0</v>
      </c>
      <c r="AO306" s="58">
        <f t="shared" ca="1" si="687"/>
        <v>0</v>
      </c>
      <c r="AP306" s="58">
        <f t="shared" ca="1" si="687"/>
        <v>0</v>
      </c>
      <c r="AQ306" s="58">
        <f t="shared" ca="1" si="687"/>
        <v>0</v>
      </c>
      <c r="AR306" s="58">
        <f t="shared" ca="1" si="687"/>
        <v>0</v>
      </c>
      <c r="AS306" s="58">
        <f t="shared" ca="1" si="687"/>
        <v>0</v>
      </c>
      <c r="AT306" s="58">
        <f t="shared" ca="1" si="687"/>
        <v>0</v>
      </c>
      <c r="AU306" s="58">
        <f t="shared" ca="1" si="687"/>
        <v>0</v>
      </c>
      <c r="AV306" s="58">
        <f t="shared" ca="1" si="687"/>
        <v>0</v>
      </c>
      <c r="AW306" s="58">
        <f t="shared" ca="1" si="687"/>
        <v>0</v>
      </c>
      <c r="AX306" s="58">
        <f t="shared" ca="1" si="687"/>
        <v>0</v>
      </c>
      <c r="AY306" s="58">
        <f t="shared" ca="1" si="687"/>
        <v>0</v>
      </c>
      <c r="AZ306" s="58">
        <f t="shared" ca="1" si="687"/>
        <v>0</v>
      </c>
      <c r="BA306" s="58">
        <f t="shared" ca="1" si="687"/>
        <v>0</v>
      </c>
      <c r="BB306" s="58">
        <f t="shared" ca="1" si="687"/>
        <v>0</v>
      </c>
      <c r="BC306" s="58">
        <f t="shared" ca="1" si="687"/>
        <v>0</v>
      </c>
      <c r="BD306" s="58">
        <f t="shared" ca="1" si="687"/>
        <v>0</v>
      </c>
      <c r="BE306" s="58">
        <f t="shared" ca="1" si="687"/>
        <v>0</v>
      </c>
      <c r="BF306" s="58">
        <f t="shared" ca="1" si="687"/>
        <v>0</v>
      </c>
      <c r="BG306" s="58">
        <f t="shared" ca="1" si="687"/>
        <v>0</v>
      </c>
      <c r="BH306" s="58">
        <f t="shared" ca="1" si="687"/>
        <v>0</v>
      </c>
      <c r="BI306" s="58">
        <f t="shared" ca="1" si="687"/>
        <v>0</v>
      </c>
      <c r="BJ306" s="58">
        <f t="shared" ca="1" si="687"/>
        <v>0</v>
      </c>
      <c r="BK306" s="58">
        <f t="shared" ca="1" si="687"/>
        <v>0</v>
      </c>
      <c r="BL306" s="58">
        <f t="shared" ca="1" si="687"/>
        <v>0</v>
      </c>
      <c r="BM306" s="58">
        <f t="shared" ca="1" si="687"/>
        <v>0</v>
      </c>
      <c r="BN306" s="58">
        <f t="shared" ca="1" si="687"/>
        <v>0</v>
      </c>
      <c r="BO306" s="58">
        <f t="shared" ca="1" si="687"/>
        <v>0</v>
      </c>
      <c r="BP306" s="58">
        <f t="shared" ca="1" si="687"/>
        <v>0</v>
      </c>
      <c r="BQ306" s="58">
        <f t="shared" ca="1" si="687"/>
        <v>0</v>
      </c>
      <c r="BR306" s="58">
        <f t="shared" ca="1" si="687"/>
        <v>0</v>
      </c>
      <c r="BS306" s="58">
        <f t="shared" ref="BS306:CX306" ca="1" si="688">+IF(OR($F306+BS$175&lt;1,(BS$176-1)*12&lt;-$F306),0,OFFSET(BS136,0,$F306))</f>
        <v>0</v>
      </c>
      <c r="BT306" s="58">
        <f t="shared" ca="1" si="688"/>
        <v>0</v>
      </c>
      <c r="BU306" s="58">
        <f t="shared" ca="1" si="688"/>
        <v>0</v>
      </c>
      <c r="BV306" s="58">
        <f t="shared" ca="1" si="688"/>
        <v>0</v>
      </c>
      <c r="BW306" s="58">
        <f t="shared" ca="1" si="688"/>
        <v>0</v>
      </c>
      <c r="BX306" s="58">
        <f t="shared" ca="1" si="688"/>
        <v>0</v>
      </c>
      <c r="BY306" s="58">
        <f t="shared" ca="1" si="688"/>
        <v>0</v>
      </c>
      <c r="BZ306" s="58">
        <f t="shared" ca="1" si="688"/>
        <v>0</v>
      </c>
      <c r="CA306" s="58">
        <f t="shared" ca="1" si="688"/>
        <v>0</v>
      </c>
      <c r="CB306" s="58">
        <f t="shared" ca="1" si="688"/>
        <v>0</v>
      </c>
      <c r="CC306" s="58">
        <f t="shared" ca="1" si="688"/>
        <v>0</v>
      </c>
      <c r="CD306" s="58">
        <f t="shared" ca="1" si="688"/>
        <v>0</v>
      </c>
      <c r="CE306" s="58">
        <f t="shared" ca="1" si="688"/>
        <v>0</v>
      </c>
      <c r="CF306" s="58">
        <f t="shared" ca="1" si="688"/>
        <v>0</v>
      </c>
      <c r="CG306" s="58">
        <f t="shared" ca="1" si="688"/>
        <v>0</v>
      </c>
      <c r="CH306" s="58">
        <f t="shared" ca="1" si="688"/>
        <v>0</v>
      </c>
      <c r="CI306" s="58">
        <f t="shared" ca="1" si="688"/>
        <v>0</v>
      </c>
      <c r="CJ306" s="58">
        <f t="shared" ca="1" si="688"/>
        <v>0</v>
      </c>
      <c r="CK306" s="58">
        <f t="shared" ca="1" si="688"/>
        <v>0</v>
      </c>
      <c r="CL306" s="58">
        <f t="shared" ca="1" si="688"/>
        <v>0</v>
      </c>
      <c r="CM306" s="58">
        <f t="shared" ca="1" si="688"/>
        <v>0</v>
      </c>
      <c r="CN306" s="58">
        <f t="shared" ca="1" si="688"/>
        <v>0</v>
      </c>
      <c r="CO306" s="58">
        <f t="shared" ca="1" si="688"/>
        <v>0</v>
      </c>
      <c r="CP306" s="58">
        <f t="shared" ca="1" si="688"/>
        <v>0</v>
      </c>
      <c r="CQ306" s="58">
        <f t="shared" ca="1" si="688"/>
        <v>0</v>
      </c>
      <c r="CR306" s="58">
        <f t="shared" ca="1" si="688"/>
        <v>0</v>
      </c>
      <c r="CS306" s="58">
        <f t="shared" ca="1" si="688"/>
        <v>0</v>
      </c>
      <c r="CT306" s="58">
        <f t="shared" ca="1" si="688"/>
        <v>0</v>
      </c>
      <c r="CU306" s="58">
        <f t="shared" ca="1" si="688"/>
        <v>0</v>
      </c>
      <c r="CV306" s="58">
        <f t="shared" ca="1" si="688"/>
        <v>0</v>
      </c>
      <c r="CW306" s="58">
        <f t="shared" ca="1" si="688"/>
        <v>0</v>
      </c>
      <c r="CX306" s="58">
        <f t="shared" ca="1" si="688"/>
        <v>0</v>
      </c>
      <c r="CY306" s="58">
        <f t="shared" ref="CY306:ED306" ca="1" si="689">+IF(OR($F306+CY$175&lt;1,(CY$176-1)*12&lt;-$F306),0,OFFSET(CY136,0,$F306))</f>
        <v>0</v>
      </c>
      <c r="CZ306" s="58">
        <f t="shared" ca="1" si="689"/>
        <v>0</v>
      </c>
      <c r="DA306" s="58">
        <f t="shared" ca="1" si="689"/>
        <v>0</v>
      </c>
      <c r="DB306" s="58">
        <f t="shared" ca="1" si="689"/>
        <v>0</v>
      </c>
      <c r="DC306" s="58">
        <f t="shared" ca="1" si="689"/>
        <v>0</v>
      </c>
      <c r="DD306" s="58">
        <f t="shared" ca="1" si="689"/>
        <v>0</v>
      </c>
      <c r="DE306" s="58">
        <f t="shared" ca="1" si="689"/>
        <v>0</v>
      </c>
      <c r="DF306" s="58">
        <f t="shared" ca="1" si="689"/>
        <v>0</v>
      </c>
      <c r="DG306" s="58">
        <f t="shared" ca="1" si="689"/>
        <v>0</v>
      </c>
      <c r="DH306" s="58">
        <f t="shared" ca="1" si="689"/>
        <v>0</v>
      </c>
      <c r="DI306" s="58">
        <f t="shared" ca="1" si="689"/>
        <v>0</v>
      </c>
      <c r="DJ306" s="58">
        <f t="shared" ca="1" si="689"/>
        <v>0</v>
      </c>
      <c r="DK306" s="58">
        <f t="shared" ca="1" si="689"/>
        <v>0</v>
      </c>
      <c r="DL306" s="58">
        <f t="shared" ca="1" si="689"/>
        <v>0</v>
      </c>
      <c r="DM306" s="58">
        <f t="shared" ca="1" si="689"/>
        <v>0</v>
      </c>
      <c r="DN306" s="58">
        <f t="shared" ca="1" si="689"/>
        <v>0</v>
      </c>
      <c r="DO306" s="58">
        <f t="shared" ca="1" si="689"/>
        <v>0</v>
      </c>
      <c r="DP306" s="58">
        <f t="shared" ca="1" si="689"/>
        <v>0</v>
      </c>
      <c r="DQ306" s="58">
        <f t="shared" ca="1" si="689"/>
        <v>0</v>
      </c>
      <c r="DR306" s="58">
        <f t="shared" ca="1" si="689"/>
        <v>0</v>
      </c>
      <c r="DS306" s="58">
        <f t="shared" ca="1" si="689"/>
        <v>0</v>
      </c>
      <c r="DT306" s="58">
        <f t="shared" ca="1" si="689"/>
        <v>0</v>
      </c>
      <c r="DU306" s="58">
        <f t="shared" ca="1" si="689"/>
        <v>0</v>
      </c>
      <c r="DV306" s="58">
        <f t="shared" ca="1" si="689"/>
        <v>0</v>
      </c>
      <c r="DW306" s="58">
        <f t="shared" ca="1" si="689"/>
        <v>0</v>
      </c>
      <c r="DX306" s="58">
        <f t="shared" ca="1" si="689"/>
        <v>0</v>
      </c>
      <c r="DY306" s="58">
        <f t="shared" ca="1" si="689"/>
        <v>0</v>
      </c>
      <c r="DZ306" s="58">
        <f t="shared" ca="1" si="689"/>
        <v>0</v>
      </c>
      <c r="EA306" s="58">
        <f t="shared" ca="1" si="689"/>
        <v>0</v>
      </c>
      <c r="EB306" s="58">
        <f t="shared" ca="1" si="689"/>
        <v>0</v>
      </c>
      <c r="EC306" s="58">
        <f t="shared" ca="1" si="689"/>
        <v>0</v>
      </c>
      <c r="ED306" s="58">
        <f t="shared" ca="1" si="689"/>
        <v>0</v>
      </c>
      <c r="EE306" s="58">
        <f t="shared" ref="EE306:FN306" ca="1" si="690">+IF(OR($F306+EE$175&lt;1,(EE$176-1)*12&lt;-$F306),0,OFFSET(EE136,0,$F306))</f>
        <v>0</v>
      </c>
      <c r="EF306" s="58">
        <f t="shared" ca="1" si="690"/>
        <v>0</v>
      </c>
      <c r="EG306" s="58">
        <f t="shared" ca="1" si="690"/>
        <v>0</v>
      </c>
      <c r="EH306" s="58">
        <f t="shared" ca="1" si="690"/>
        <v>0</v>
      </c>
      <c r="EI306" s="58">
        <f t="shared" ca="1" si="690"/>
        <v>0</v>
      </c>
      <c r="EJ306" s="58">
        <f t="shared" ca="1" si="690"/>
        <v>0</v>
      </c>
      <c r="EK306" s="58">
        <f t="shared" ca="1" si="690"/>
        <v>0</v>
      </c>
      <c r="EL306" s="58">
        <f t="shared" ca="1" si="690"/>
        <v>0</v>
      </c>
      <c r="EM306" s="58">
        <f t="shared" ca="1" si="690"/>
        <v>0</v>
      </c>
      <c r="EN306" s="58">
        <f t="shared" ca="1" si="690"/>
        <v>0</v>
      </c>
      <c r="EO306" s="58">
        <f t="shared" ca="1" si="690"/>
        <v>0</v>
      </c>
      <c r="EP306" s="58">
        <f t="shared" ca="1" si="690"/>
        <v>0</v>
      </c>
      <c r="EQ306" s="58">
        <f t="shared" ca="1" si="690"/>
        <v>0</v>
      </c>
      <c r="ER306" s="58">
        <f t="shared" ca="1" si="690"/>
        <v>0</v>
      </c>
      <c r="ES306" s="58">
        <f t="shared" ca="1" si="690"/>
        <v>0</v>
      </c>
      <c r="ET306" s="58">
        <f t="shared" ca="1" si="690"/>
        <v>0</v>
      </c>
      <c r="EU306" s="58">
        <f t="shared" ca="1" si="690"/>
        <v>0</v>
      </c>
      <c r="EV306" s="58">
        <f t="shared" ca="1" si="690"/>
        <v>0</v>
      </c>
      <c r="EW306" s="58">
        <f t="shared" ca="1" si="690"/>
        <v>0</v>
      </c>
      <c r="EX306" s="58">
        <f t="shared" ca="1" si="690"/>
        <v>0</v>
      </c>
      <c r="EY306" s="58">
        <f t="shared" ca="1" si="690"/>
        <v>0</v>
      </c>
      <c r="EZ306" s="58">
        <f t="shared" ca="1" si="690"/>
        <v>0</v>
      </c>
      <c r="FA306" s="58">
        <f t="shared" ca="1" si="690"/>
        <v>0</v>
      </c>
      <c r="FB306" s="58">
        <f t="shared" ca="1" si="690"/>
        <v>0</v>
      </c>
      <c r="FC306" s="58">
        <f t="shared" ca="1" si="690"/>
        <v>0</v>
      </c>
      <c r="FD306" s="58">
        <f t="shared" ca="1" si="690"/>
        <v>0</v>
      </c>
      <c r="FE306" s="58">
        <f t="shared" ca="1" si="690"/>
        <v>0</v>
      </c>
      <c r="FF306" s="58">
        <f t="shared" ca="1" si="690"/>
        <v>0</v>
      </c>
      <c r="FG306" s="58">
        <f t="shared" ca="1" si="690"/>
        <v>0</v>
      </c>
      <c r="FH306" s="58">
        <f t="shared" ca="1" si="690"/>
        <v>0</v>
      </c>
      <c r="FI306" s="58">
        <f t="shared" ca="1" si="690"/>
        <v>0</v>
      </c>
      <c r="FJ306" s="58">
        <f t="shared" ca="1" si="690"/>
        <v>0</v>
      </c>
      <c r="FK306" s="58">
        <f t="shared" ca="1" si="690"/>
        <v>0</v>
      </c>
      <c r="FL306" s="58">
        <f t="shared" ca="1" si="690"/>
        <v>0</v>
      </c>
      <c r="FM306" s="58">
        <f t="shared" ca="1" si="690"/>
        <v>0</v>
      </c>
      <c r="FN306" s="58">
        <f t="shared" ca="1" si="690"/>
        <v>0</v>
      </c>
      <c r="FO306" s="13"/>
    </row>
    <row r="307" spans="1:171" outlineLevel="1" x14ac:dyDescent="0.3">
      <c r="A307" s="13"/>
      <c r="B307" s="13"/>
      <c r="C307" s="13"/>
      <c r="D307" s="52">
        <f t="shared" si="683"/>
        <v>44105</v>
      </c>
      <c r="E307" s="53">
        <f t="shared" si="684"/>
        <v>2020</v>
      </c>
      <c r="F307" s="53">
        <f t="shared" si="685"/>
        <v>81</v>
      </c>
      <c r="G307" s="58">
        <f t="shared" ref="G307:AL307" ca="1" si="691">+IF(OR($F307+G$175&lt;1,(G$176-1)*12&lt;-$F307),0,OFFSET(G137,0,$F307))</f>
        <v>0</v>
      </c>
      <c r="H307" s="58">
        <f t="shared" ca="1" si="691"/>
        <v>0</v>
      </c>
      <c r="I307" s="58">
        <f t="shared" ca="1" si="691"/>
        <v>0</v>
      </c>
      <c r="J307" s="58">
        <f t="shared" ca="1" si="691"/>
        <v>0</v>
      </c>
      <c r="K307" s="58">
        <f t="shared" ca="1" si="691"/>
        <v>0</v>
      </c>
      <c r="L307" s="58">
        <f t="shared" ca="1" si="691"/>
        <v>0</v>
      </c>
      <c r="M307" s="58">
        <f t="shared" ca="1" si="691"/>
        <v>0</v>
      </c>
      <c r="N307" s="58">
        <f t="shared" ca="1" si="691"/>
        <v>0</v>
      </c>
      <c r="O307" s="58">
        <f t="shared" ca="1" si="691"/>
        <v>0</v>
      </c>
      <c r="P307" s="58">
        <f t="shared" ca="1" si="691"/>
        <v>0</v>
      </c>
      <c r="Q307" s="58">
        <f t="shared" ca="1" si="691"/>
        <v>0</v>
      </c>
      <c r="R307" s="58">
        <f t="shared" ca="1" si="691"/>
        <v>0</v>
      </c>
      <c r="S307" s="58">
        <f t="shared" ca="1" si="691"/>
        <v>0</v>
      </c>
      <c r="T307" s="58">
        <f t="shared" ca="1" si="691"/>
        <v>0</v>
      </c>
      <c r="U307" s="58">
        <f t="shared" ca="1" si="691"/>
        <v>0</v>
      </c>
      <c r="V307" s="58">
        <f t="shared" ca="1" si="691"/>
        <v>0</v>
      </c>
      <c r="W307" s="58">
        <f t="shared" ca="1" si="691"/>
        <v>0</v>
      </c>
      <c r="X307" s="58">
        <f t="shared" ca="1" si="691"/>
        <v>0</v>
      </c>
      <c r="Y307" s="58">
        <f t="shared" ca="1" si="691"/>
        <v>0</v>
      </c>
      <c r="Z307" s="58">
        <f t="shared" ca="1" si="691"/>
        <v>0</v>
      </c>
      <c r="AA307" s="58">
        <f t="shared" ca="1" si="691"/>
        <v>0</v>
      </c>
      <c r="AB307" s="58">
        <f t="shared" ca="1" si="691"/>
        <v>0</v>
      </c>
      <c r="AC307" s="58">
        <f t="shared" ca="1" si="691"/>
        <v>0</v>
      </c>
      <c r="AD307" s="58">
        <f t="shared" ca="1" si="691"/>
        <v>0</v>
      </c>
      <c r="AE307" s="58">
        <f t="shared" ca="1" si="691"/>
        <v>0</v>
      </c>
      <c r="AF307" s="58">
        <f t="shared" ca="1" si="691"/>
        <v>0</v>
      </c>
      <c r="AG307" s="58">
        <f t="shared" ca="1" si="691"/>
        <v>0</v>
      </c>
      <c r="AH307" s="58">
        <f t="shared" ca="1" si="691"/>
        <v>0</v>
      </c>
      <c r="AI307" s="58">
        <f t="shared" ca="1" si="691"/>
        <v>0</v>
      </c>
      <c r="AJ307" s="58">
        <f t="shared" ca="1" si="691"/>
        <v>0</v>
      </c>
      <c r="AK307" s="58">
        <f t="shared" ca="1" si="691"/>
        <v>0</v>
      </c>
      <c r="AL307" s="58">
        <f t="shared" ca="1" si="691"/>
        <v>0</v>
      </c>
      <c r="AM307" s="58">
        <f t="shared" ref="AM307:BR307" ca="1" si="692">+IF(OR($F307+AM$175&lt;1,(AM$176-1)*12&lt;-$F307),0,OFFSET(AM137,0,$F307))</f>
        <v>0</v>
      </c>
      <c r="AN307" s="58">
        <f t="shared" ca="1" si="692"/>
        <v>0</v>
      </c>
      <c r="AO307" s="58">
        <f t="shared" ca="1" si="692"/>
        <v>0</v>
      </c>
      <c r="AP307" s="58">
        <f t="shared" ca="1" si="692"/>
        <v>0</v>
      </c>
      <c r="AQ307" s="58">
        <f t="shared" ca="1" si="692"/>
        <v>0</v>
      </c>
      <c r="AR307" s="58">
        <f t="shared" ca="1" si="692"/>
        <v>0</v>
      </c>
      <c r="AS307" s="58">
        <f t="shared" ca="1" si="692"/>
        <v>0</v>
      </c>
      <c r="AT307" s="58">
        <f t="shared" ca="1" si="692"/>
        <v>0</v>
      </c>
      <c r="AU307" s="58">
        <f t="shared" ca="1" si="692"/>
        <v>0</v>
      </c>
      <c r="AV307" s="58">
        <f t="shared" ca="1" si="692"/>
        <v>0</v>
      </c>
      <c r="AW307" s="58">
        <f t="shared" ca="1" si="692"/>
        <v>0</v>
      </c>
      <c r="AX307" s="58">
        <f t="shared" ca="1" si="692"/>
        <v>0</v>
      </c>
      <c r="AY307" s="58">
        <f t="shared" ca="1" si="692"/>
        <v>0</v>
      </c>
      <c r="AZ307" s="58">
        <f t="shared" ca="1" si="692"/>
        <v>0</v>
      </c>
      <c r="BA307" s="58">
        <f t="shared" ca="1" si="692"/>
        <v>0</v>
      </c>
      <c r="BB307" s="58">
        <f t="shared" ca="1" si="692"/>
        <v>0</v>
      </c>
      <c r="BC307" s="58">
        <f t="shared" ca="1" si="692"/>
        <v>0</v>
      </c>
      <c r="BD307" s="58">
        <f t="shared" ca="1" si="692"/>
        <v>0</v>
      </c>
      <c r="BE307" s="58">
        <f t="shared" ca="1" si="692"/>
        <v>0</v>
      </c>
      <c r="BF307" s="58">
        <f t="shared" ca="1" si="692"/>
        <v>0</v>
      </c>
      <c r="BG307" s="58">
        <f t="shared" ca="1" si="692"/>
        <v>0</v>
      </c>
      <c r="BH307" s="58">
        <f t="shared" ca="1" si="692"/>
        <v>0</v>
      </c>
      <c r="BI307" s="58">
        <f t="shared" ca="1" si="692"/>
        <v>0</v>
      </c>
      <c r="BJ307" s="58">
        <f t="shared" ca="1" si="692"/>
        <v>0</v>
      </c>
      <c r="BK307" s="58">
        <f t="shared" ca="1" si="692"/>
        <v>0</v>
      </c>
      <c r="BL307" s="58">
        <f t="shared" ca="1" si="692"/>
        <v>0</v>
      </c>
      <c r="BM307" s="58">
        <f t="shared" ca="1" si="692"/>
        <v>0</v>
      </c>
      <c r="BN307" s="58">
        <f t="shared" ca="1" si="692"/>
        <v>0</v>
      </c>
      <c r="BO307" s="58">
        <f t="shared" ca="1" si="692"/>
        <v>0</v>
      </c>
      <c r="BP307" s="58">
        <f t="shared" ca="1" si="692"/>
        <v>0</v>
      </c>
      <c r="BQ307" s="58">
        <f t="shared" ca="1" si="692"/>
        <v>0</v>
      </c>
      <c r="BR307" s="58">
        <f t="shared" ca="1" si="692"/>
        <v>0</v>
      </c>
      <c r="BS307" s="58">
        <f t="shared" ref="BS307:CX307" ca="1" si="693">+IF(OR($F307+BS$175&lt;1,(BS$176-1)*12&lt;-$F307),0,OFFSET(BS137,0,$F307))</f>
        <v>0</v>
      </c>
      <c r="BT307" s="58">
        <f t="shared" ca="1" si="693"/>
        <v>0</v>
      </c>
      <c r="BU307" s="58">
        <f t="shared" ca="1" si="693"/>
        <v>0</v>
      </c>
      <c r="BV307" s="58">
        <f t="shared" ca="1" si="693"/>
        <v>0</v>
      </c>
      <c r="BW307" s="58">
        <f t="shared" ca="1" si="693"/>
        <v>0</v>
      </c>
      <c r="BX307" s="58">
        <f t="shared" ca="1" si="693"/>
        <v>0</v>
      </c>
      <c r="BY307" s="58">
        <f t="shared" ca="1" si="693"/>
        <v>0</v>
      </c>
      <c r="BZ307" s="58">
        <f t="shared" ca="1" si="693"/>
        <v>0</v>
      </c>
      <c r="CA307" s="58">
        <f t="shared" ca="1" si="693"/>
        <v>0</v>
      </c>
      <c r="CB307" s="58">
        <f t="shared" ca="1" si="693"/>
        <v>0</v>
      </c>
      <c r="CC307" s="58">
        <f t="shared" ca="1" si="693"/>
        <v>0</v>
      </c>
      <c r="CD307" s="58">
        <f t="shared" ca="1" si="693"/>
        <v>0</v>
      </c>
      <c r="CE307" s="58">
        <f t="shared" ca="1" si="693"/>
        <v>0</v>
      </c>
      <c r="CF307" s="58">
        <f t="shared" ca="1" si="693"/>
        <v>0</v>
      </c>
      <c r="CG307" s="58">
        <f t="shared" ca="1" si="693"/>
        <v>0</v>
      </c>
      <c r="CH307" s="58">
        <f t="shared" ca="1" si="693"/>
        <v>0</v>
      </c>
      <c r="CI307" s="58">
        <f t="shared" ca="1" si="693"/>
        <v>0</v>
      </c>
      <c r="CJ307" s="58">
        <f t="shared" ca="1" si="693"/>
        <v>0</v>
      </c>
      <c r="CK307" s="58">
        <f t="shared" ca="1" si="693"/>
        <v>0</v>
      </c>
      <c r="CL307" s="58">
        <f t="shared" ca="1" si="693"/>
        <v>0</v>
      </c>
      <c r="CM307" s="58">
        <f t="shared" ca="1" si="693"/>
        <v>0</v>
      </c>
      <c r="CN307" s="58">
        <f t="shared" ca="1" si="693"/>
        <v>0</v>
      </c>
      <c r="CO307" s="58">
        <f t="shared" ca="1" si="693"/>
        <v>0</v>
      </c>
      <c r="CP307" s="58">
        <f t="shared" ca="1" si="693"/>
        <v>0</v>
      </c>
      <c r="CQ307" s="58">
        <f t="shared" ca="1" si="693"/>
        <v>0</v>
      </c>
      <c r="CR307" s="58">
        <f t="shared" ca="1" si="693"/>
        <v>0</v>
      </c>
      <c r="CS307" s="58">
        <f t="shared" ca="1" si="693"/>
        <v>0</v>
      </c>
      <c r="CT307" s="58">
        <f t="shared" ca="1" si="693"/>
        <v>0</v>
      </c>
      <c r="CU307" s="58">
        <f t="shared" ca="1" si="693"/>
        <v>0</v>
      </c>
      <c r="CV307" s="58">
        <f t="shared" ca="1" si="693"/>
        <v>0</v>
      </c>
      <c r="CW307" s="58">
        <f t="shared" ca="1" si="693"/>
        <v>0</v>
      </c>
      <c r="CX307" s="58">
        <f t="shared" ca="1" si="693"/>
        <v>0</v>
      </c>
      <c r="CY307" s="58">
        <f t="shared" ref="CY307:ED307" ca="1" si="694">+IF(OR($F307+CY$175&lt;1,(CY$176-1)*12&lt;-$F307),0,OFFSET(CY137,0,$F307))</f>
        <v>0</v>
      </c>
      <c r="CZ307" s="58">
        <f t="shared" ca="1" si="694"/>
        <v>0</v>
      </c>
      <c r="DA307" s="58">
        <f t="shared" ca="1" si="694"/>
        <v>0</v>
      </c>
      <c r="DB307" s="58">
        <f t="shared" ca="1" si="694"/>
        <v>0</v>
      </c>
      <c r="DC307" s="58">
        <f t="shared" ca="1" si="694"/>
        <v>0</v>
      </c>
      <c r="DD307" s="58">
        <f t="shared" ca="1" si="694"/>
        <v>0</v>
      </c>
      <c r="DE307" s="58">
        <f t="shared" ca="1" si="694"/>
        <v>0</v>
      </c>
      <c r="DF307" s="58">
        <f t="shared" ca="1" si="694"/>
        <v>0</v>
      </c>
      <c r="DG307" s="58">
        <f t="shared" ca="1" si="694"/>
        <v>0</v>
      </c>
      <c r="DH307" s="58">
        <f t="shared" ca="1" si="694"/>
        <v>0</v>
      </c>
      <c r="DI307" s="58">
        <f t="shared" ca="1" si="694"/>
        <v>0</v>
      </c>
      <c r="DJ307" s="58">
        <f t="shared" ca="1" si="694"/>
        <v>0</v>
      </c>
      <c r="DK307" s="58">
        <f t="shared" ca="1" si="694"/>
        <v>0</v>
      </c>
      <c r="DL307" s="58">
        <f t="shared" ca="1" si="694"/>
        <v>0</v>
      </c>
      <c r="DM307" s="58">
        <f t="shared" ca="1" si="694"/>
        <v>0</v>
      </c>
      <c r="DN307" s="58">
        <f t="shared" ca="1" si="694"/>
        <v>0</v>
      </c>
      <c r="DO307" s="58">
        <f t="shared" ca="1" si="694"/>
        <v>0</v>
      </c>
      <c r="DP307" s="58">
        <f t="shared" ca="1" si="694"/>
        <v>0</v>
      </c>
      <c r="DQ307" s="58">
        <f t="shared" ca="1" si="694"/>
        <v>0</v>
      </c>
      <c r="DR307" s="58">
        <f t="shared" ca="1" si="694"/>
        <v>0</v>
      </c>
      <c r="DS307" s="58">
        <f t="shared" ca="1" si="694"/>
        <v>0</v>
      </c>
      <c r="DT307" s="58">
        <f t="shared" ca="1" si="694"/>
        <v>0</v>
      </c>
      <c r="DU307" s="58">
        <f t="shared" ca="1" si="694"/>
        <v>0</v>
      </c>
      <c r="DV307" s="58">
        <f t="shared" ca="1" si="694"/>
        <v>0</v>
      </c>
      <c r="DW307" s="58">
        <f t="shared" ca="1" si="694"/>
        <v>0</v>
      </c>
      <c r="DX307" s="58">
        <f t="shared" ca="1" si="694"/>
        <v>0</v>
      </c>
      <c r="DY307" s="58">
        <f t="shared" ca="1" si="694"/>
        <v>0</v>
      </c>
      <c r="DZ307" s="58">
        <f t="shared" ca="1" si="694"/>
        <v>0</v>
      </c>
      <c r="EA307" s="58">
        <f t="shared" ca="1" si="694"/>
        <v>0</v>
      </c>
      <c r="EB307" s="58">
        <f t="shared" ca="1" si="694"/>
        <v>0</v>
      </c>
      <c r="EC307" s="58">
        <f t="shared" ca="1" si="694"/>
        <v>0</v>
      </c>
      <c r="ED307" s="58">
        <f t="shared" ca="1" si="694"/>
        <v>0</v>
      </c>
      <c r="EE307" s="58">
        <f t="shared" ref="EE307:FN307" ca="1" si="695">+IF(OR($F307+EE$175&lt;1,(EE$176-1)*12&lt;-$F307),0,OFFSET(EE137,0,$F307))</f>
        <v>0</v>
      </c>
      <c r="EF307" s="58">
        <f t="shared" ca="1" si="695"/>
        <v>0</v>
      </c>
      <c r="EG307" s="58">
        <f t="shared" ca="1" si="695"/>
        <v>0</v>
      </c>
      <c r="EH307" s="58">
        <f t="shared" ca="1" si="695"/>
        <v>0</v>
      </c>
      <c r="EI307" s="58">
        <f t="shared" ca="1" si="695"/>
        <v>0</v>
      </c>
      <c r="EJ307" s="58">
        <f t="shared" ca="1" si="695"/>
        <v>0</v>
      </c>
      <c r="EK307" s="58">
        <f t="shared" ca="1" si="695"/>
        <v>0</v>
      </c>
      <c r="EL307" s="58">
        <f t="shared" ca="1" si="695"/>
        <v>0</v>
      </c>
      <c r="EM307" s="58">
        <f t="shared" ca="1" si="695"/>
        <v>0</v>
      </c>
      <c r="EN307" s="58">
        <f t="shared" ca="1" si="695"/>
        <v>0</v>
      </c>
      <c r="EO307" s="58">
        <f t="shared" ca="1" si="695"/>
        <v>0</v>
      </c>
      <c r="EP307" s="58">
        <f t="shared" ca="1" si="695"/>
        <v>0</v>
      </c>
      <c r="EQ307" s="58">
        <f t="shared" ca="1" si="695"/>
        <v>0</v>
      </c>
      <c r="ER307" s="58">
        <f t="shared" ca="1" si="695"/>
        <v>0</v>
      </c>
      <c r="ES307" s="58">
        <f t="shared" ca="1" si="695"/>
        <v>0</v>
      </c>
      <c r="ET307" s="58">
        <f t="shared" ca="1" si="695"/>
        <v>0</v>
      </c>
      <c r="EU307" s="58">
        <f t="shared" ca="1" si="695"/>
        <v>0</v>
      </c>
      <c r="EV307" s="58">
        <f t="shared" ca="1" si="695"/>
        <v>0</v>
      </c>
      <c r="EW307" s="58">
        <f t="shared" ca="1" si="695"/>
        <v>0</v>
      </c>
      <c r="EX307" s="58">
        <f t="shared" ca="1" si="695"/>
        <v>0</v>
      </c>
      <c r="EY307" s="58">
        <f t="shared" ca="1" si="695"/>
        <v>0</v>
      </c>
      <c r="EZ307" s="58">
        <f t="shared" ca="1" si="695"/>
        <v>0</v>
      </c>
      <c r="FA307" s="58">
        <f t="shared" ca="1" si="695"/>
        <v>0</v>
      </c>
      <c r="FB307" s="58">
        <f t="shared" ca="1" si="695"/>
        <v>0</v>
      </c>
      <c r="FC307" s="58">
        <f t="shared" ca="1" si="695"/>
        <v>0</v>
      </c>
      <c r="FD307" s="58">
        <f t="shared" ca="1" si="695"/>
        <v>0</v>
      </c>
      <c r="FE307" s="58">
        <f t="shared" ca="1" si="695"/>
        <v>0</v>
      </c>
      <c r="FF307" s="58">
        <f t="shared" ca="1" si="695"/>
        <v>0</v>
      </c>
      <c r="FG307" s="58">
        <f t="shared" ca="1" si="695"/>
        <v>0</v>
      </c>
      <c r="FH307" s="58">
        <f t="shared" ca="1" si="695"/>
        <v>0</v>
      </c>
      <c r="FI307" s="58">
        <f t="shared" ca="1" si="695"/>
        <v>0</v>
      </c>
      <c r="FJ307" s="58">
        <f t="shared" ca="1" si="695"/>
        <v>0</v>
      </c>
      <c r="FK307" s="58">
        <f t="shared" ca="1" si="695"/>
        <v>0</v>
      </c>
      <c r="FL307" s="58">
        <f t="shared" ca="1" si="695"/>
        <v>0</v>
      </c>
      <c r="FM307" s="58">
        <f t="shared" ca="1" si="695"/>
        <v>0</v>
      </c>
      <c r="FN307" s="58">
        <f t="shared" ca="1" si="695"/>
        <v>0</v>
      </c>
      <c r="FO307" s="13"/>
    </row>
    <row r="308" spans="1:171" outlineLevel="1" x14ac:dyDescent="0.3">
      <c r="A308" s="13"/>
      <c r="B308" s="13"/>
      <c r="C308" s="13"/>
      <c r="D308" s="52">
        <f t="shared" si="683"/>
        <v>44136</v>
      </c>
      <c r="E308" s="53">
        <f t="shared" si="684"/>
        <v>2020</v>
      </c>
      <c r="F308" s="53">
        <f t="shared" si="685"/>
        <v>82</v>
      </c>
      <c r="G308" s="58">
        <f t="shared" ref="G308:AL308" ca="1" si="696">+IF(OR($F308+G$175&lt;1,(G$176-1)*12&lt;-$F308),0,OFFSET(G138,0,$F308))</f>
        <v>0</v>
      </c>
      <c r="H308" s="58">
        <f t="shared" ca="1" si="696"/>
        <v>0</v>
      </c>
      <c r="I308" s="58">
        <f t="shared" ca="1" si="696"/>
        <v>0</v>
      </c>
      <c r="J308" s="58">
        <f t="shared" ca="1" si="696"/>
        <v>0</v>
      </c>
      <c r="K308" s="58">
        <f t="shared" ca="1" si="696"/>
        <v>0</v>
      </c>
      <c r="L308" s="58">
        <f t="shared" ca="1" si="696"/>
        <v>0</v>
      </c>
      <c r="M308" s="58">
        <f t="shared" ca="1" si="696"/>
        <v>0</v>
      </c>
      <c r="N308" s="58">
        <f t="shared" ca="1" si="696"/>
        <v>0</v>
      </c>
      <c r="O308" s="58">
        <f t="shared" ca="1" si="696"/>
        <v>0</v>
      </c>
      <c r="P308" s="58">
        <f t="shared" ca="1" si="696"/>
        <v>0</v>
      </c>
      <c r="Q308" s="58">
        <f t="shared" ca="1" si="696"/>
        <v>0</v>
      </c>
      <c r="R308" s="58">
        <f t="shared" ca="1" si="696"/>
        <v>0</v>
      </c>
      <c r="S308" s="58">
        <f t="shared" ca="1" si="696"/>
        <v>0</v>
      </c>
      <c r="T308" s="58">
        <f t="shared" ca="1" si="696"/>
        <v>0</v>
      </c>
      <c r="U308" s="58">
        <f t="shared" ca="1" si="696"/>
        <v>0</v>
      </c>
      <c r="V308" s="58">
        <f t="shared" ca="1" si="696"/>
        <v>0</v>
      </c>
      <c r="W308" s="58">
        <f t="shared" ca="1" si="696"/>
        <v>0</v>
      </c>
      <c r="X308" s="58">
        <f t="shared" ca="1" si="696"/>
        <v>0</v>
      </c>
      <c r="Y308" s="58">
        <f t="shared" ca="1" si="696"/>
        <v>0</v>
      </c>
      <c r="Z308" s="58">
        <f t="shared" ca="1" si="696"/>
        <v>0</v>
      </c>
      <c r="AA308" s="58">
        <f t="shared" ca="1" si="696"/>
        <v>0</v>
      </c>
      <c r="AB308" s="58">
        <f t="shared" ca="1" si="696"/>
        <v>0</v>
      </c>
      <c r="AC308" s="58">
        <f t="shared" ca="1" si="696"/>
        <v>0</v>
      </c>
      <c r="AD308" s="58">
        <f t="shared" ca="1" si="696"/>
        <v>0</v>
      </c>
      <c r="AE308" s="58">
        <f t="shared" ca="1" si="696"/>
        <v>0</v>
      </c>
      <c r="AF308" s="58">
        <f t="shared" ca="1" si="696"/>
        <v>0</v>
      </c>
      <c r="AG308" s="58">
        <f t="shared" ca="1" si="696"/>
        <v>0</v>
      </c>
      <c r="AH308" s="58">
        <f t="shared" ca="1" si="696"/>
        <v>0</v>
      </c>
      <c r="AI308" s="58">
        <f t="shared" ca="1" si="696"/>
        <v>0</v>
      </c>
      <c r="AJ308" s="58">
        <f t="shared" ca="1" si="696"/>
        <v>0</v>
      </c>
      <c r="AK308" s="58">
        <f t="shared" ca="1" si="696"/>
        <v>0</v>
      </c>
      <c r="AL308" s="58">
        <f t="shared" ca="1" si="696"/>
        <v>0</v>
      </c>
      <c r="AM308" s="58">
        <f t="shared" ref="AM308:BR308" ca="1" si="697">+IF(OR($F308+AM$175&lt;1,(AM$176-1)*12&lt;-$F308),0,OFFSET(AM138,0,$F308))</f>
        <v>0</v>
      </c>
      <c r="AN308" s="58">
        <f t="shared" ca="1" si="697"/>
        <v>0</v>
      </c>
      <c r="AO308" s="58">
        <f t="shared" ca="1" si="697"/>
        <v>0</v>
      </c>
      <c r="AP308" s="58">
        <f t="shared" ca="1" si="697"/>
        <v>0</v>
      </c>
      <c r="AQ308" s="58">
        <f t="shared" ca="1" si="697"/>
        <v>0</v>
      </c>
      <c r="AR308" s="58">
        <f t="shared" ca="1" si="697"/>
        <v>0</v>
      </c>
      <c r="AS308" s="58">
        <f t="shared" ca="1" si="697"/>
        <v>0</v>
      </c>
      <c r="AT308" s="58">
        <f t="shared" ca="1" si="697"/>
        <v>0</v>
      </c>
      <c r="AU308" s="58">
        <f t="shared" ca="1" si="697"/>
        <v>0</v>
      </c>
      <c r="AV308" s="58">
        <f t="shared" ca="1" si="697"/>
        <v>0</v>
      </c>
      <c r="AW308" s="58">
        <f t="shared" ca="1" si="697"/>
        <v>0</v>
      </c>
      <c r="AX308" s="58">
        <f t="shared" ca="1" si="697"/>
        <v>0</v>
      </c>
      <c r="AY308" s="58">
        <f t="shared" ca="1" si="697"/>
        <v>0</v>
      </c>
      <c r="AZ308" s="58">
        <f t="shared" ca="1" si="697"/>
        <v>0</v>
      </c>
      <c r="BA308" s="58">
        <f t="shared" ca="1" si="697"/>
        <v>0</v>
      </c>
      <c r="BB308" s="58">
        <f t="shared" ca="1" si="697"/>
        <v>0</v>
      </c>
      <c r="BC308" s="58">
        <f t="shared" ca="1" si="697"/>
        <v>0</v>
      </c>
      <c r="BD308" s="58">
        <f t="shared" ca="1" si="697"/>
        <v>0</v>
      </c>
      <c r="BE308" s="58">
        <f t="shared" ca="1" si="697"/>
        <v>0</v>
      </c>
      <c r="BF308" s="58">
        <f t="shared" ca="1" si="697"/>
        <v>0</v>
      </c>
      <c r="BG308" s="58">
        <f t="shared" ca="1" si="697"/>
        <v>0</v>
      </c>
      <c r="BH308" s="58">
        <f t="shared" ca="1" si="697"/>
        <v>0</v>
      </c>
      <c r="BI308" s="58">
        <f t="shared" ca="1" si="697"/>
        <v>0</v>
      </c>
      <c r="BJ308" s="58">
        <f t="shared" ca="1" si="697"/>
        <v>0</v>
      </c>
      <c r="BK308" s="58">
        <f t="shared" ca="1" si="697"/>
        <v>0</v>
      </c>
      <c r="BL308" s="58">
        <f t="shared" ca="1" si="697"/>
        <v>0</v>
      </c>
      <c r="BM308" s="58">
        <f t="shared" ca="1" si="697"/>
        <v>0</v>
      </c>
      <c r="BN308" s="58">
        <f t="shared" ca="1" si="697"/>
        <v>0</v>
      </c>
      <c r="BO308" s="58">
        <f t="shared" ca="1" si="697"/>
        <v>0</v>
      </c>
      <c r="BP308" s="58">
        <f t="shared" ca="1" si="697"/>
        <v>0</v>
      </c>
      <c r="BQ308" s="58">
        <f t="shared" ca="1" si="697"/>
        <v>0</v>
      </c>
      <c r="BR308" s="58">
        <f t="shared" ca="1" si="697"/>
        <v>0</v>
      </c>
      <c r="BS308" s="58">
        <f t="shared" ref="BS308:CX308" ca="1" si="698">+IF(OR($F308+BS$175&lt;1,(BS$176-1)*12&lt;-$F308),0,OFFSET(BS138,0,$F308))</f>
        <v>0</v>
      </c>
      <c r="BT308" s="58">
        <f t="shared" ca="1" si="698"/>
        <v>0</v>
      </c>
      <c r="BU308" s="58">
        <f t="shared" ca="1" si="698"/>
        <v>0</v>
      </c>
      <c r="BV308" s="58">
        <f t="shared" ca="1" si="698"/>
        <v>0</v>
      </c>
      <c r="BW308" s="58">
        <f t="shared" ca="1" si="698"/>
        <v>0</v>
      </c>
      <c r="BX308" s="58">
        <f t="shared" ca="1" si="698"/>
        <v>0</v>
      </c>
      <c r="BY308" s="58">
        <f t="shared" ca="1" si="698"/>
        <v>0</v>
      </c>
      <c r="BZ308" s="58">
        <f t="shared" ca="1" si="698"/>
        <v>0</v>
      </c>
      <c r="CA308" s="58">
        <f t="shared" ca="1" si="698"/>
        <v>0</v>
      </c>
      <c r="CB308" s="58">
        <f t="shared" ca="1" si="698"/>
        <v>0</v>
      </c>
      <c r="CC308" s="58">
        <f t="shared" ca="1" si="698"/>
        <v>0</v>
      </c>
      <c r="CD308" s="58">
        <f t="shared" ca="1" si="698"/>
        <v>0</v>
      </c>
      <c r="CE308" s="58">
        <f t="shared" ca="1" si="698"/>
        <v>0</v>
      </c>
      <c r="CF308" s="58">
        <f t="shared" ca="1" si="698"/>
        <v>0</v>
      </c>
      <c r="CG308" s="58">
        <f t="shared" ca="1" si="698"/>
        <v>0</v>
      </c>
      <c r="CH308" s="58">
        <f t="shared" ca="1" si="698"/>
        <v>0</v>
      </c>
      <c r="CI308" s="58">
        <f t="shared" ca="1" si="698"/>
        <v>0</v>
      </c>
      <c r="CJ308" s="58">
        <f t="shared" ca="1" si="698"/>
        <v>0</v>
      </c>
      <c r="CK308" s="58">
        <f t="shared" ca="1" si="698"/>
        <v>0</v>
      </c>
      <c r="CL308" s="58">
        <f t="shared" ca="1" si="698"/>
        <v>0</v>
      </c>
      <c r="CM308" s="58">
        <f t="shared" ca="1" si="698"/>
        <v>0</v>
      </c>
      <c r="CN308" s="58">
        <f t="shared" ca="1" si="698"/>
        <v>0</v>
      </c>
      <c r="CO308" s="58">
        <f t="shared" ca="1" si="698"/>
        <v>0</v>
      </c>
      <c r="CP308" s="58">
        <f t="shared" ca="1" si="698"/>
        <v>0</v>
      </c>
      <c r="CQ308" s="58">
        <f t="shared" ca="1" si="698"/>
        <v>0</v>
      </c>
      <c r="CR308" s="58">
        <f t="shared" ca="1" si="698"/>
        <v>0</v>
      </c>
      <c r="CS308" s="58">
        <f t="shared" ca="1" si="698"/>
        <v>0</v>
      </c>
      <c r="CT308" s="58">
        <f t="shared" ca="1" si="698"/>
        <v>0</v>
      </c>
      <c r="CU308" s="58">
        <f t="shared" ca="1" si="698"/>
        <v>0</v>
      </c>
      <c r="CV308" s="58">
        <f t="shared" ca="1" si="698"/>
        <v>0</v>
      </c>
      <c r="CW308" s="58">
        <f t="shared" ca="1" si="698"/>
        <v>0</v>
      </c>
      <c r="CX308" s="58">
        <f t="shared" ca="1" si="698"/>
        <v>0</v>
      </c>
      <c r="CY308" s="58">
        <f t="shared" ref="CY308:ED308" ca="1" si="699">+IF(OR($F308+CY$175&lt;1,(CY$176-1)*12&lt;-$F308),0,OFFSET(CY138,0,$F308))</f>
        <v>0</v>
      </c>
      <c r="CZ308" s="58">
        <f t="shared" ca="1" si="699"/>
        <v>0</v>
      </c>
      <c r="DA308" s="58">
        <f t="shared" ca="1" si="699"/>
        <v>0</v>
      </c>
      <c r="DB308" s="58">
        <f t="shared" ca="1" si="699"/>
        <v>0</v>
      </c>
      <c r="DC308" s="58">
        <f t="shared" ca="1" si="699"/>
        <v>0</v>
      </c>
      <c r="DD308" s="58">
        <f t="shared" ca="1" si="699"/>
        <v>0</v>
      </c>
      <c r="DE308" s="58">
        <f t="shared" ca="1" si="699"/>
        <v>0</v>
      </c>
      <c r="DF308" s="58">
        <f t="shared" ca="1" si="699"/>
        <v>0</v>
      </c>
      <c r="DG308" s="58">
        <f t="shared" ca="1" si="699"/>
        <v>0</v>
      </c>
      <c r="DH308" s="58">
        <f t="shared" ca="1" si="699"/>
        <v>0</v>
      </c>
      <c r="DI308" s="58">
        <f t="shared" ca="1" si="699"/>
        <v>0</v>
      </c>
      <c r="DJ308" s="58">
        <f t="shared" ca="1" si="699"/>
        <v>0</v>
      </c>
      <c r="DK308" s="58">
        <f t="shared" ca="1" si="699"/>
        <v>0</v>
      </c>
      <c r="DL308" s="58">
        <f t="shared" ca="1" si="699"/>
        <v>0</v>
      </c>
      <c r="DM308" s="58">
        <f t="shared" ca="1" si="699"/>
        <v>0</v>
      </c>
      <c r="DN308" s="58">
        <f t="shared" ca="1" si="699"/>
        <v>0</v>
      </c>
      <c r="DO308" s="58">
        <f t="shared" ca="1" si="699"/>
        <v>0</v>
      </c>
      <c r="DP308" s="58">
        <f t="shared" ca="1" si="699"/>
        <v>0</v>
      </c>
      <c r="DQ308" s="58">
        <f t="shared" ca="1" si="699"/>
        <v>0</v>
      </c>
      <c r="DR308" s="58">
        <f t="shared" ca="1" si="699"/>
        <v>0</v>
      </c>
      <c r="DS308" s="58">
        <f t="shared" ca="1" si="699"/>
        <v>0</v>
      </c>
      <c r="DT308" s="58">
        <f t="shared" ca="1" si="699"/>
        <v>0</v>
      </c>
      <c r="DU308" s="58">
        <f t="shared" ca="1" si="699"/>
        <v>0</v>
      </c>
      <c r="DV308" s="58">
        <f t="shared" ca="1" si="699"/>
        <v>0</v>
      </c>
      <c r="DW308" s="58">
        <f t="shared" ca="1" si="699"/>
        <v>0</v>
      </c>
      <c r="DX308" s="58">
        <f t="shared" ca="1" si="699"/>
        <v>0</v>
      </c>
      <c r="DY308" s="58">
        <f t="shared" ca="1" si="699"/>
        <v>0</v>
      </c>
      <c r="DZ308" s="58">
        <f t="shared" ca="1" si="699"/>
        <v>0</v>
      </c>
      <c r="EA308" s="58">
        <f t="shared" ca="1" si="699"/>
        <v>0</v>
      </c>
      <c r="EB308" s="58">
        <f t="shared" ca="1" si="699"/>
        <v>0</v>
      </c>
      <c r="EC308" s="58">
        <f t="shared" ca="1" si="699"/>
        <v>0</v>
      </c>
      <c r="ED308" s="58">
        <f t="shared" ca="1" si="699"/>
        <v>0</v>
      </c>
      <c r="EE308" s="58">
        <f t="shared" ref="EE308:FN308" ca="1" si="700">+IF(OR($F308+EE$175&lt;1,(EE$176-1)*12&lt;-$F308),0,OFFSET(EE138,0,$F308))</f>
        <v>0</v>
      </c>
      <c r="EF308" s="58">
        <f t="shared" ca="1" si="700"/>
        <v>0</v>
      </c>
      <c r="EG308" s="58">
        <f t="shared" ca="1" si="700"/>
        <v>0</v>
      </c>
      <c r="EH308" s="58">
        <f t="shared" ca="1" si="700"/>
        <v>0</v>
      </c>
      <c r="EI308" s="58">
        <f t="shared" ca="1" si="700"/>
        <v>0</v>
      </c>
      <c r="EJ308" s="58">
        <f t="shared" ca="1" si="700"/>
        <v>0</v>
      </c>
      <c r="EK308" s="58">
        <f t="shared" ca="1" si="700"/>
        <v>0</v>
      </c>
      <c r="EL308" s="58">
        <f t="shared" ca="1" si="700"/>
        <v>0</v>
      </c>
      <c r="EM308" s="58">
        <f t="shared" ca="1" si="700"/>
        <v>0</v>
      </c>
      <c r="EN308" s="58">
        <f t="shared" ca="1" si="700"/>
        <v>0</v>
      </c>
      <c r="EO308" s="58">
        <f t="shared" ca="1" si="700"/>
        <v>0</v>
      </c>
      <c r="EP308" s="58">
        <f t="shared" ca="1" si="700"/>
        <v>0</v>
      </c>
      <c r="EQ308" s="58">
        <f t="shared" ca="1" si="700"/>
        <v>0</v>
      </c>
      <c r="ER308" s="58">
        <f t="shared" ca="1" si="700"/>
        <v>0</v>
      </c>
      <c r="ES308" s="58">
        <f t="shared" ca="1" si="700"/>
        <v>0</v>
      </c>
      <c r="ET308" s="58">
        <f t="shared" ca="1" si="700"/>
        <v>0</v>
      </c>
      <c r="EU308" s="58">
        <f t="shared" ca="1" si="700"/>
        <v>0</v>
      </c>
      <c r="EV308" s="58">
        <f t="shared" ca="1" si="700"/>
        <v>0</v>
      </c>
      <c r="EW308" s="58">
        <f t="shared" ca="1" si="700"/>
        <v>0</v>
      </c>
      <c r="EX308" s="58">
        <f t="shared" ca="1" si="700"/>
        <v>0</v>
      </c>
      <c r="EY308" s="58">
        <f t="shared" ca="1" si="700"/>
        <v>0</v>
      </c>
      <c r="EZ308" s="58">
        <f t="shared" ca="1" si="700"/>
        <v>0</v>
      </c>
      <c r="FA308" s="58">
        <f t="shared" ca="1" si="700"/>
        <v>0</v>
      </c>
      <c r="FB308" s="58">
        <f t="shared" ca="1" si="700"/>
        <v>0</v>
      </c>
      <c r="FC308" s="58">
        <f t="shared" ca="1" si="700"/>
        <v>0</v>
      </c>
      <c r="FD308" s="58">
        <f t="shared" ca="1" si="700"/>
        <v>0</v>
      </c>
      <c r="FE308" s="58">
        <f t="shared" ca="1" si="700"/>
        <v>0</v>
      </c>
      <c r="FF308" s="58">
        <f t="shared" ca="1" si="700"/>
        <v>0</v>
      </c>
      <c r="FG308" s="58">
        <f t="shared" ca="1" si="700"/>
        <v>0</v>
      </c>
      <c r="FH308" s="58">
        <f t="shared" ca="1" si="700"/>
        <v>0</v>
      </c>
      <c r="FI308" s="58">
        <f t="shared" ca="1" si="700"/>
        <v>0</v>
      </c>
      <c r="FJ308" s="58">
        <f t="shared" ca="1" si="700"/>
        <v>0</v>
      </c>
      <c r="FK308" s="58">
        <f t="shared" ca="1" si="700"/>
        <v>0</v>
      </c>
      <c r="FL308" s="58">
        <f t="shared" ca="1" si="700"/>
        <v>0</v>
      </c>
      <c r="FM308" s="58">
        <f t="shared" ca="1" si="700"/>
        <v>0</v>
      </c>
      <c r="FN308" s="58">
        <f t="shared" ca="1" si="700"/>
        <v>0</v>
      </c>
      <c r="FO308" s="13"/>
    </row>
    <row r="309" spans="1:171" outlineLevel="1" x14ac:dyDescent="0.3">
      <c r="A309" s="13"/>
      <c r="B309" s="13"/>
      <c r="C309" s="13"/>
      <c r="D309" s="52">
        <f t="shared" si="683"/>
        <v>44166</v>
      </c>
      <c r="E309" s="53">
        <f t="shared" si="684"/>
        <v>2020</v>
      </c>
      <c r="F309" s="53">
        <f t="shared" si="685"/>
        <v>83</v>
      </c>
      <c r="G309" s="58">
        <f t="shared" ref="G309:AL309" ca="1" si="701">+IF(OR($F309+G$175&lt;1,(G$176-1)*12&lt;-$F309),0,OFFSET(G139,0,$F309))</f>
        <v>0</v>
      </c>
      <c r="H309" s="58">
        <f t="shared" ca="1" si="701"/>
        <v>0</v>
      </c>
      <c r="I309" s="58">
        <f t="shared" ca="1" si="701"/>
        <v>0</v>
      </c>
      <c r="J309" s="58">
        <f t="shared" ca="1" si="701"/>
        <v>0</v>
      </c>
      <c r="K309" s="58">
        <f t="shared" ca="1" si="701"/>
        <v>0</v>
      </c>
      <c r="L309" s="58">
        <f t="shared" ca="1" si="701"/>
        <v>0</v>
      </c>
      <c r="M309" s="58">
        <f t="shared" ca="1" si="701"/>
        <v>0</v>
      </c>
      <c r="N309" s="58">
        <f t="shared" ca="1" si="701"/>
        <v>0</v>
      </c>
      <c r="O309" s="58">
        <f t="shared" ca="1" si="701"/>
        <v>0</v>
      </c>
      <c r="P309" s="58">
        <f t="shared" ca="1" si="701"/>
        <v>0</v>
      </c>
      <c r="Q309" s="58">
        <f t="shared" ca="1" si="701"/>
        <v>0</v>
      </c>
      <c r="R309" s="58">
        <f t="shared" ca="1" si="701"/>
        <v>0</v>
      </c>
      <c r="S309" s="58">
        <f t="shared" ca="1" si="701"/>
        <v>0</v>
      </c>
      <c r="T309" s="58">
        <f t="shared" ca="1" si="701"/>
        <v>0</v>
      </c>
      <c r="U309" s="58">
        <f t="shared" ca="1" si="701"/>
        <v>0</v>
      </c>
      <c r="V309" s="58">
        <f t="shared" ca="1" si="701"/>
        <v>0</v>
      </c>
      <c r="W309" s="58">
        <f t="shared" ca="1" si="701"/>
        <v>0</v>
      </c>
      <c r="X309" s="58">
        <f t="shared" ca="1" si="701"/>
        <v>0</v>
      </c>
      <c r="Y309" s="58">
        <f t="shared" ca="1" si="701"/>
        <v>0</v>
      </c>
      <c r="Z309" s="58">
        <f t="shared" ca="1" si="701"/>
        <v>0</v>
      </c>
      <c r="AA309" s="58">
        <f t="shared" ca="1" si="701"/>
        <v>0</v>
      </c>
      <c r="AB309" s="58">
        <f t="shared" ca="1" si="701"/>
        <v>0</v>
      </c>
      <c r="AC309" s="58">
        <f t="shared" ca="1" si="701"/>
        <v>0</v>
      </c>
      <c r="AD309" s="58">
        <f t="shared" ca="1" si="701"/>
        <v>0</v>
      </c>
      <c r="AE309" s="58">
        <f t="shared" ca="1" si="701"/>
        <v>0</v>
      </c>
      <c r="AF309" s="58">
        <f t="shared" ca="1" si="701"/>
        <v>0</v>
      </c>
      <c r="AG309" s="58">
        <f t="shared" ca="1" si="701"/>
        <v>0</v>
      </c>
      <c r="AH309" s="58">
        <f t="shared" ca="1" si="701"/>
        <v>0</v>
      </c>
      <c r="AI309" s="58">
        <f t="shared" ca="1" si="701"/>
        <v>0</v>
      </c>
      <c r="AJ309" s="58">
        <f t="shared" ca="1" si="701"/>
        <v>0</v>
      </c>
      <c r="AK309" s="58">
        <f t="shared" ca="1" si="701"/>
        <v>0</v>
      </c>
      <c r="AL309" s="58">
        <f t="shared" ca="1" si="701"/>
        <v>0</v>
      </c>
      <c r="AM309" s="58">
        <f t="shared" ref="AM309:BR309" ca="1" si="702">+IF(OR($F309+AM$175&lt;1,(AM$176-1)*12&lt;-$F309),0,OFFSET(AM139,0,$F309))</f>
        <v>0</v>
      </c>
      <c r="AN309" s="58">
        <f t="shared" ca="1" si="702"/>
        <v>0</v>
      </c>
      <c r="AO309" s="58">
        <f t="shared" ca="1" si="702"/>
        <v>0</v>
      </c>
      <c r="AP309" s="58">
        <f t="shared" ca="1" si="702"/>
        <v>0</v>
      </c>
      <c r="AQ309" s="58">
        <f t="shared" ca="1" si="702"/>
        <v>0</v>
      </c>
      <c r="AR309" s="58">
        <f t="shared" ca="1" si="702"/>
        <v>0</v>
      </c>
      <c r="AS309" s="58">
        <f t="shared" ca="1" si="702"/>
        <v>0</v>
      </c>
      <c r="AT309" s="58">
        <f t="shared" ca="1" si="702"/>
        <v>0</v>
      </c>
      <c r="AU309" s="58">
        <f t="shared" ca="1" si="702"/>
        <v>0</v>
      </c>
      <c r="AV309" s="58">
        <f t="shared" ca="1" si="702"/>
        <v>0</v>
      </c>
      <c r="AW309" s="58">
        <f t="shared" ca="1" si="702"/>
        <v>0</v>
      </c>
      <c r="AX309" s="58">
        <f t="shared" ca="1" si="702"/>
        <v>0</v>
      </c>
      <c r="AY309" s="58">
        <f t="shared" ca="1" si="702"/>
        <v>0</v>
      </c>
      <c r="AZ309" s="58">
        <f t="shared" ca="1" si="702"/>
        <v>0</v>
      </c>
      <c r="BA309" s="58">
        <f t="shared" ca="1" si="702"/>
        <v>0</v>
      </c>
      <c r="BB309" s="58">
        <f t="shared" ca="1" si="702"/>
        <v>0</v>
      </c>
      <c r="BC309" s="58">
        <f t="shared" ca="1" si="702"/>
        <v>0</v>
      </c>
      <c r="BD309" s="58">
        <f t="shared" ca="1" si="702"/>
        <v>0</v>
      </c>
      <c r="BE309" s="58">
        <f t="shared" ca="1" si="702"/>
        <v>0</v>
      </c>
      <c r="BF309" s="58">
        <f t="shared" ca="1" si="702"/>
        <v>0</v>
      </c>
      <c r="BG309" s="58">
        <f t="shared" ca="1" si="702"/>
        <v>0</v>
      </c>
      <c r="BH309" s="58">
        <f t="shared" ca="1" si="702"/>
        <v>0</v>
      </c>
      <c r="BI309" s="58">
        <f t="shared" ca="1" si="702"/>
        <v>0</v>
      </c>
      <c r="BJ309" s="58">
        <f t="shared" ca="1" si="702"/>
        <v>0</v>
      </c>
      <c r="BK309" s="58">
        <f t="shared" ca="1" si="702"/>
        <v>0</v>
      </c>
      <c r="BL309" s="58">
        <f t="shared" ca="1" si="702"/>
        <v>0</v>
      </c>
      <c r="BM309" s="58">
        <f t="shared" ca="1" si="702"/>
        <v>0</v>
      </c>
      <c r="BN309" s="58">
        <f t="shared" ca="1" si="702"/>
        <v>0</v>
      </c>
      <c r="BO309" s="58">
        <f t="shared" ca="1" si="702"/>
        <v>0</v>
      </c>
      <c r="BP309" s="58">
        <f t="shared" ca="1" si="702"/>
        <v>0</v>
      </c>
      <c r="BQ309" s="58">
        <f t="shared" ca="1" si="702"/>
        <v>0</v>
      </c>
      <c r="BR309" s="58">
        <f t="shared" ca="1" si="702"/>
        <v>0</v>
      </c>
      <c r="BS309" s="58">
        <f t="shared" ref="BS309:CX309" ca="1" si="703">+IF(OR($F309+BS$175&lt;1,(BS$176-1)*12&lt;-$F309),0,OFFSET(BS139,0,$F309))</f>
        <v>0</v>
      </c>
      <c r="BT309" s="58">
        <f t="shared" ca="1" si="703"/>
        <v>0</v>
      </c>
      <c r="BU309" s="58">
        <f t="shared" ca="1" si="703"/>
        <v>0</v>
      </c>
      <c r="BV309" s="58">
        <f t="shared" ca="1" si="703"/>
        <v>0</v>
      </c>
      <c r="BW309" s="58">
        <f t="shared" ca="1" si="703"/>
        <v>0</v>
      </c>
      <c r="BX309" s="58">
        <f t="shared" ca="1" si="703"/>
        <v>0</v>
      </c>
      <c r="BY309" s="58">
        <f t="shared" ca="1" si="703"/>
        <v>0</v>
      </c>
      <c r="BZ309" s="58">
        <f t="shared" ca="1" si="703"/>
        <v>0</v>
      </c>
      <c r="CA309" s="58">
        <f t="shared" ca="1" si="703"/>
        <v>0</v>
      </c>
      <c r="CB309" s="58">
        <f t="shared" ca="1" si="703"/>
        <v>0</v>
      </c>
      <c r="CC309" s="58">
        <f t="shared" ca="1" si="703"/>
        <v>0</v>
      </c>
      <c r="CD309" s="58">
        <f t="shared" ca="1" si="703"/>
        <v>0</v>
      </c>
      <c r="CE309" s="58">
        <f t="shared" ca="1" si="703"/>
        <v>0</v>
      </c>
      <c r="CF309" s="58">
        <f t="shared" ca="1" si="703"/>
        <v>0</v>
      </c>
      <c r="CG309" s="58">
        <f t="shared" ca="1" si="703"/>
        <v>0</v>
      </c>
      <c r="CH309" s="58">
        <f t="shared" ca="1" si="703"/>
        <v>0</v>
      </c>
      <c r="CI309" s="58">
        <f t="shared" ca="1" si="703"/>
        <v>0</v>
      </c>
      <c r="CJ309" s="58">
        <f t="shared" ca="1" si="703"/>
        <v>0</v>
      </c>
      <c r="CK309" s="58">
        <f t="shared" ca="1" si="703"/>
        <v>0</v>
      </c>
      <c r="CL309" s="58">
        <f t="shared" ca="1" si="703"/>
        <v>0</v>
      </c>
      <c r="CM309" s="58">
        <f t="shared" ca="1" si="703"/>
        <v>0</v>
      </c>
      <c r="CN309" s="58">
        <f t="shared" ca="1" si="703"/>
        <v>0</v>
      </c>
      <c r="CO309" s="58">
        <f t="shared" ca="1" si="703"/>
        <v>0</v>
      </c>
      <c r="CP309" s="58">
        <f t="shared" ca="1" si="703"/>
        <v>0</v>
      </c>
      <c r="CQ309" s="58">
        <f t="shared" ca="1" si="703"/>
        <v>0</v>
      </c>
      <c r="CR309" s="58">
        <f t="shared" ca="1" si="703"/>
        <v>0</v>
      </c>
      <c r="CS309" s="58">
        <f t="shared" ca="1" si="703"/>
        <v>0</v>
      </c>
      <c r="CT309" s="58">
        <f t="shared" ca="1" si="703"/>
        <v>0</v>
      </c>
      <c r="CU309" s="58">
        <f t="shared" ca="1" si="703"/>
        <v>0</v>
      </c>
      <c r="CV309" s="58">
        <f t="shared" ca="1" si="703"/>
        <v>0</v>
      </c>
      <c r="CW309" s="58">
        <f t="shared" ca="1" si="703"/>
        <v>0</v>
      </c>
      <c r="CX309" s="58">
        <f t="shared" ca="1" si="703"/>
        <v>0</v>
      </c>
      <c r="CY309" s="58">
        <f t="shared" ref="CY309:ED309" ca="1" si="704">+IF(OR($F309+CY$175&lt;1,(CY$176-1)*12&lt;-$F309),0,OFFSET(CY139,0,$F309))</f>
        <v>0</v>
      </c>
      <c r="CZ309" s="58">
        <f t="shared" ca="1" si="704"/>
        <v>0</v>
      </c>
      <c r="DA309" s="58">
        <f t="shared" ca="1" si="704"/>
        <v>0</v>
      </c>
      <c r="DB309" s="58">
        <f t="shared" ca="1" si="704"/>
        <v>0</v>
      </c>
      <c r="DC309" s="58">
        <f t="shared" ca="1" si="704"/>
        <v>0</v>
      </c>
      <c r="DD309" s="58">
        <f t="shared" ca="1" si="704"/>
        <v>0</v>
      </c>
      <c r="DE309" s="58">
        <f t="shared" ca="1" si="704"/>
        <v>0</v>
      </c>
      <c r="DF309" s="58">
        <f t="shared" ca="1" si="704"/>
        <v>0</v>
      </c>
      <c r="DG309" s="58">
        <f t="shared" ca="1" si="704"/>
        <v>0</v>
      </c>
      <c r="DH309" s="58">
        <f t="shared" ca="1" si="704"/>
        <v>0</v>
      </c>
      <c r="DI309" s="58">
        <f t="shared" ca="1" si="704"/>
        <v>0</v>
      </c>
      <c r="DJ309" s="58">
        <f t="shared" ca="1" si="704"/>
        <v>0</v>
      </c>
      <c r="DK309" s="58">
        <f t="shared" ca="1" si="704"/>
        <v>0</v>
      </c>
      <c r="DL309" s="58">
        <f t="shared" ca="1" si="704"/>
        <v>0</v>
      </c>
      <c r="DM309" s="58">
        <f t="shared" ca="1" si="704"/>
        <v>0</v>
      </c>
      <c r="DN309" s="58">
        <f t="shared" ca="1" si="704"/>
        <v>0</v>
      </c>
      <c r="DO309" s="58">
        <f t="shared" ca="1" si="704"/>
        <v>0</v>
      </c>
      <c r="DP309" s="58">
        <f t="shared" ca="1" si="704"/>
        <v>0</v>
      </c>
      <c r="DQ309" s="58">
        <f t="shared" ca="1" si="704"/>
        <v>0</v>
      </c>
      <c r="DR309" s="58">
        <f t="shared" ca="1" si="704"/>
        <v>0</v>
      </c>
      <c r="DS309" s="58">
        <f t="shared" ca="1" si="704"/>
        <v>0</v>
      </c>
      <c r="DT309" s="58">
        <f t="shared" ca="1" si="704"/>
        <v>0</v>
      </c>
      <c r="DU309" s="58">
        <f t="shared" ca="1" si="704"/>
        <v>0</v>
      </c>
      <c r="DV309" s="58">
        <f t="shared" ca="1" si="704"/>
        <v>0</v>
      </c>
      <c r="DW309" s="58">
        <f t="shared" ca="1" si="704"/>
        <v>0</v>
      </c>
      <c r="DX309" s="58">
        <f t="shared" ca="1" si="704"/>
        <v>0</v>
      </c>
      <c r="DY309" s="58">
        <f t="shared" ca="1" si="704"/>
        <v>0</v>
      </c>
      <c r="DZ309" s="58">
        <f t="shared" ca="1" si="704"/>
        <v>0</v>
      </c>
      <c r="EA309" s="58">
        <f t="shared" ca="1" si="704"/>
        <v>0</v>
      </c>
      <c r="EB309" s="58">
        <f t="shared" ca="1" si="704"/>
        <v>0</v>
      </c>
      <c r="EC309" s="58">
        <f t="shared" ca="1" si="704"/>
        <v>0</v>
      </c>
      <c r="ED309" s="58">
        <f t="shared" ca="1" si="704"/>
        <v>0</v>
      </c>
      <c r="EE309" s="58">
        <f t="shared" ref="EE309:FN309" ca="1" si="705">+IF(OR($F309+EE$175&lt;1,(EE$176-1)*12&lt;-$F309),0,OFFSET(EE139,0,$F309))</f>
        <v>0</v>
      </c>
      <c r="EF309" s="58">
        <f t="shared" ca="1" si="705"/>
        <v>0</v>
      </c>
      <c r="EG309" s="58">
        <f t="shared" ca="1" si="705"/>
        <v>0</v>
      </c>
      <c r="EH309" s="58">
        <f t="shared" ca="1" si="705"/>
        <v>0</v>
      </c>
      <c r="EI309" s="58">
        <f t="shared" ca="1" si="705"/>
        <v>0</v>
      </c>
      <c r="EJ309" s="58">
        <f t="shared" ca="1" si="705"/>
        <v>0</v>
      </c>
      <c r="EK309" s="58">
        <f t="shared" ca="1" si="705"/>
        <v>0</v>
      </c>
      <c r="EL309" s="58">
        <f t="shared" ca="1" si="705"/>
        <v>0</v>
      </c>
      <c r="EM309" s="58">
        <f t="shared" ca="1" si="705"/>
        <v>0</v>
      </c>
      <c r="EN309" s="58">
        <f t="shared" ca="1" si="705"/>
        <v>0</v>
      </c>
      <c r="EO309" s="58">
        <f t="shared" ca="1" si="705"/>
        <v>0</v>
      </c>
      <c r="EP309" s="58">
        <f t="shared" ca="1" si="705"/>
        <v>0</v>
      </c>
      <c r="EQ309" s="58">
        <f t="shared" ca="1" si="705"/>
        <v>0</v>
      </c>
      <c r="ER309" s="58">
        <f t="shared" ca="1" si="705"/>
        <v>0</v>
      </c>
      <c r="ES309" s="58">
        <f t="shared" ca="1" si="705"/>
        <v>0</v>
      </c>
      <c r="ET309" s="58">
        <f t="shared" ca="1" si="705"/>
        <v>0</v>
      </c>
      <c r="EU309" s="58">
        <f t="shared" ca="1" si="705"/>
        <v>0</v>
      </c>
      <c r="EV309" s="58">
        <f t="shared" ca="1" si="705"/>
        <v>0</v>
      </c>
      <c r="EW309" s="58">
        <f t="shared" ca="1" si="705"/>
        <v>0</v>
      </c>
      <c r="EX309" s="58">
        <f t="shared" ca="1" si="705"/>
        <v>0</v>
      </c>
      <c r="EY309" s="58">
        <f t="shared" ca="1" si="705"/>
        <v>0</v>
      </c>
      <c r="EZ309" s="58">
        <f t="shared" ca="1" si="705"/>
        <v>0</v>
      </c>
      <c r="FA309" s="58">
        <f t="shared" ca="1" si="705"/>
        <v>0</v>
      </c>
      <c r="FB309" s="58">
        <f t="shared" ca="1" si="705"/>
        <v>0</v>
      </c>
      <c r="FC309" s="58">
        <f t="shared" ca="1" si="705"/>
        <v>0</v>
      </c>
      <c r="FD309" s="58">
        <f t="shared" ca="1" si="705"/>
        <v>0</v>
      </c>
      <c r="FE309" s="58">
        <f t="shared" ca="1" si="705"/>
        <v>0</v>
      </c>
      <c r="FF309" s="58">
        <f t="shared" ca="1" si="705"/>
        <v>0</v>
      </c>
      <c r="FG309" s="58">
        <f t="shared" ca="1" si="705"/>
        <v>0</v>
      </c>
      <c r="FH309" s="58">
        <f t="shared" ca="1" si="705"/>
        <v>0</v>
      </c>
      <c r="FI309" s="58">
        <f t="shared" ca="1" si="705"/>
        <v>0</v>
      </c>
      <c r="FJ309" s="58">
        <f t="shared" ca="1" si="705"/>
        <v>0</v>
      </c>
      <c r="FK309" s="58">
        <f t="shared" ca="1" si="705"/>
        <v>0</v>
      </c>
      <c r="FL309" s="58">
        <f t="shared" ca="1" si="705"/>
        <v>0</v>
      </c>
      <c r="FM309" s="58">
        <f t="shared" ca="1" si="705"/>
        <v>0</v>
      </c>
      <c r="FN309" s="58">
        <f t="shared" ca="1" si="705"/>
        <v>0</v>
      </c>
      <c r="FO309" s="13"/>
    </row>
    <row r="310" spans="1:171" outlineLevel="1" x14ac:dyDescent="0.3">
      <c r="A310" s="13"/>
      <c r="B310" s="13"/>
      <c r="C310" s="13"/>
      <c r="D310" s="52">
        <f t="shared" si="683"/>
        <v>44197</v>
      </c>
      <c r="E310" s="53">
        <f t="shared" si="684"/>
        <v>2021</v>
      </c>
      <c r="F310" s="53">
        <f t="shared" si="685"/>
        <v>84</v>
      </c>
      <c r="G310" s="58">
        <f t="shared" ref="G310:AL310" ca="1" si="706">+IF(OR($F310+G$175&lt;1,(G$176-1)*12&lt;-$F310),0,OFFSET(G140,0,$F310))</f>
        <v>0</v>
      </c>
      <c r="H310" s="58">
        <f t="shared" ca="1" si="706"/>
        <v>0</v>
      </c>
      <c r="I310" s="58">
        <f t="shared" ca="1" si="706"/>
        <v>0</v>
      </c>
      <c r="J310" s="58">
        <f t="shared" ca="1" si="706"/>
        <v>0</v>
      </c>
      <c r="K310" s="58">
        <f t="shared" ca="1" si="706"/>
        <v>0</v>
      </c>
      <c r="L310" s="58">
        <f t="shared" ca="1" si="706"/>
        <v>0</v>
      </c>
      <c r="M310" s="58">
        <f t="shared" ca="1" si="706"/>
        <v>0</v>
      </c>
      <c r="N310" s="58">
        <f t="shared" ca="1" si="706"/>
        <v>0</v>
      </c>
      <c r="O310" s="58">
        <f t="shared" ca="1" si="706"/>
        <v>0</v>
      </c>
      <c r="P310" s="58">
        <f t="shared" ca="1" si="706"/>
        <v>0</v>
      </c>
      <c r="Q310" s="58">
        <f t="shared" ca="1" si="706"/>
        <v>0</v>
      </c>
      <c r="R310" s="58">
        <f t="shared" ca="1" si="706"/>
        <v>0</v>
      </c>
      <c r="S310" s="58">
        <f t="shared" ca="1" si="706"/>
        <v>0</v>
      </c>
      <c r="T310" s="58">
        <f t="shared" ca="1" si="706"/>
        <v>0</v>
      </c>
      <c r="U310" s="58">
        <f t="shared" ca="1" si="706"/>
        <v>0</v>
      </c>
      <c r="V310" s="58">
        <f t="shared" ca="1" si="706"/>
        <v>0</v>
      </c>
      <c r="W310" s="58">
        <f t="shared" ca="1" si="706"/>
        <v>0</v>
      </c>
      <c r="X310" s="58">
        <f t="shared" ca="1" si="706"/>
        <v>0</v>
      </c>
      <c r="Y310" s="58">
        <f t="shared" ca="1" si="706"/>
        <v>0</v>
      </c>
      <c r="Z310" s="58">
        <f t="shared" ca="1" si="706"/>
        <v>0</v>
      </c>
      <c r="AA310" s="58">
        <f t="shared" ca="1" si="706"/>
        <v>0</v>
      </c>
      <c r="AB310" s="58">
        <f t="shared" ca="1" si="706"/>
        <v>0</v>
      </c>
      <c r="AC310" s="58">
        <f t="shared" ca="1" si="706"/>
        <v>0</v>
      </c>
      <c r="AD310" s="58">
        <f t="shared" ca="1" si="706"/>
        <v>0</v>
      </c>
      <c r="AE310" s="58">
        <f t="shared" ca="1" si="706"/>
        <v>0</v>
      </c>
      <c r="AF310" s="58">
        <f t="shared" ca="1" si="706"/>
        <v>0</v>
      </c>
      <c r="AG310" s="58">
        <f t="shared" ca="1" si="706"/>
        <v>0</v>
      </c>
      <c r="AH310" s="58">
        <f t="shared" ca="1" si="706"/>
        <v>0</v>
      </c>
      <c r="AI310" s="58">
        <f t="shared" ca="1" si="706"/>
        <v>0</v>
      </c>
      <c r="AJ310" s="58">
        <f t="shared" ca="1" si="706"/>
        <v>0</v>
      </c>
      <c r="AK310" s="58">
        <f t="shared" ca="1" si="706"/>
        <v>0</v>
      </c>
      <c r="AL310" s="58">
        <f t="shared" ca="1" si="706"/>
        <v>0</v>
      </c>
      <c r="AM310" s="58">
        <f t="shared" ref="AM310:BR310" ca="1" si="707">+IF(OR($F310+AM$175&lt;1,(AM$176-1)*12&lt;-$F310),0,OFFSET(AM140,0,$F310))</f>
        <v>0</v>
      </c>
      <c r="AN310" s="58">
        <f t="shared" ca="1" si="707"/>
        <v>0</v>
      </c>
      <c r="AO310" s="58">
        <f t="shared" ca="1" si="707"/>
        <v>0</v>
      </c>
      <c r="AP310" s="58">
        <f t="shared" ca="1" si="707"/>
        <v>0</v>
      </c>
      <c r="AQ310" s="58">
        <f t="shared" ca="1" si="707"/>
        <v>0</v>
      </c>
      <c r="AR310" s="58">
        <f t="shared" ca="1" si="707"/>
        <v>0</v>
      </c>
      <c r="AS310" s="58">
        <f t="shared" ca="1" si="707"/>
        <v>0</v>
      </c>
      <c r="AT310" s="58">
        <f t="shared" ca="1" si="707"/>
        <v>0</v>
      </c>
      <c r="AU310" s="58">
        <f t="shared" ca="1" si="707"/>
        <v>0</v>
      </c>
      <c r="AV310" s="58">
        <f t="shared" ca="1" si="707"/>
        <v>0</v>
      </c>
      <c r="AW310" s="58">
        <f t="shared" ca="1" si="707"/>
        <v>0</v>
      </c>
      <c r="AX310" s="58">
        <f t="shared" ca="1" si="707"/>
        <v>0</v>
      </c>
      <c r="AY310" s="58">
        <f t="shared" ca="1" si="707"/>
        <v>0</v>
      </c>
      <c r="AZ310" s="58">
        <f t="shared" ca="1" si="707"/>
        <v>0</v>
      </c>
      <c r="BA310" s="58">
        <f t="shared" ca="1" si="707"/>
        <v>0</v>
      </c>
      <c r="BB310" s="58">
        <f t="shared" ca="1" si="707"/>
        <v>0</v>
      </c>
      <c r="BC310" s="58">
        <f t="shared" ca="1" si="707"/>
        <v>0</v>
      </c>
      <c r="BD310" s="58">
        <f t="shared" ca="1" si="707"/>
        <v>0</v>
      </c>
      <c r="BE310" s="58">
        <f t="shared" ca="1" si="707"/>
        <v>0</v>
      </c>
      <c r="BF310" s="58">
        <f t="shared" ca="1" si="707"/>
        <v>0</v>
      </c>
      <c r="BG310" s="58">
        <f t="shared" ca="1" si="707"/>
        <v>0</v>
      </c>
      <c r="BH310" s="58">
        <f t="shared" ca="1" si="707"/>
        <v>0</v>
      </c>
      <c r="BI310" s="58">
        <f t="shared" ca="1" si="707"/>
        <v>0</v>
      </c>
      <c r="BJ310" s="58">
        <f t="shared" ca="1" si="707"/>
        <v>0</v>
      </c>
      <c r="BK310" s="58">
        <f t="shared" ca="1" si="707"/>
        <v>0</v>
      </c>
      <c r="BL310" s="58">
        <f t="shared" ca="1" si="707"/>
        <v>0</v>
      </c>
      <c r="BM310" s="58">
        <f t="shared" ca="1" si="707"/>
        <v>0</v>
      </c>
      <c r="BN310" s="58">
        <f t="shared" ca="1" si="707"/>
        <v>0</v>
      </c>
      <c r="BO310" s="58">
        <f t="shared" ca="1" si="707"/>
        <v>0</v>
      </c>
      <c r="BP310" s="58">
        <f t="shared" ca="1" si="707"/>
        <v>0</v>
      </c>
      <c r="BQ310" s="58">
        <f t="shared" ca="1" si="707"/>
        <v>0</v>
      </c>
      <c r="BR310" s="58">
        <f t="shared" ca="1" si="707"/>
        <v>0</v>
      </c>
      <c r="BS310" s="58">
        <f t="shared" ref="BS310:CX310" ca="1" si="708">+IF(OR($F310+BS$175&lt;1,(BS$176-1)*12&lt;-$F310),0,OFFSET(BS140,0,$F310))</f>
        <v>0</v>
      </c>
      <c r="BT310" s="58">
        <f t="shared" ca="1" si="708"/>
        <v>0</v>
      </c>
      <c r="BU310" s="58">
        <f t="shared" ca="1" si="708"/>
        <v>0</v>
      </c>
      <c r="BV310" s="58">
        <f t="shared" ca="1" si="708"/>
        <v>0</v>
      </c>
      <c r="BW310" s="58">
        <f t="shared" ca="1" si="708"/>
        <v>0</v>
      </c>
      <c r="BX310" s="58">
        <f t="shared" ca="1" si="708"/>
        <v>0</v>
      </c>
      <c r="BY310" s="58">
        <f t="shared" ca="1" si="708"/>
        <v>0</v>
      </c>
      <c r="BZ310" s="58">
        <f t="shared" ca="1" si="708"/>
        <v>0</v>
      </c>
      <c r="CA310" s="58">
        <f t="shared" ca="1" si="708"/>
        <v>0</v>
      </c>
      <c r="CB310" s="58">
        <f t="shared" ca="1" si="708"/>
        <v>0</v>
      </c>
      <c r="CC310" s="58">
        <f t="shared" ca="1" si="708"/>
        <v>0</v>
      </c>
      <c r="CD310" s="58">
        <f t="shared" ca="1" si="708"/>
        <v>0</v>
      </c>
      <c r="CE310" s="58">
        <f t="shared" ca="1" si="708"/>
        <v>0</v>
      </c>
      <c r="CF310" s="58">
        <f t="shared" ca="1" si="708"/>
        <v>0</v>
      </c>
      <c r="CG310" s="58">
        <f t="shared" ca="1" si="708"/>
        <v>0</v>
      </c>
      <c r="CH310" s="58">
        <f t="shared" ca="1" si="708"/>
        <v>0</v>
      </c>
      <c r="CI310" s="58">
        <f t="shared" ca="1" si="708"/>
        <v>0</v>
      </c>
      <c r="CJ310" s="58">
        <f t="shared" ca="1" si="708"/>
        <v>0</v>
      </c>
      <c r="CK310" s="58">
        <f t="shared" ca="1" si="708"/>
        <v>0</v>
      </c>
      <c r="CL310" s="58">
        <f t="shared" ca="1" si="708"/>
        <v>0</v>
      </c>
      <c r="CM310" s="58">
        <f t="shared" ca="1" si="708"/>
        <v>0</v>
      </c>
      <c r="CN310" s="58">
        <f t="shared" ca="1" si="708"/>
        <v>0</v>
      </c>
      <c r="CO310" s="58">
        <f t="shared" ca="1" si="708"/>
        <v>0</v>
      </c>
      <c r="CP310" s="58">
        <f t="shared" ca="1" si="708"/>
        <v>0</v>
      </c>
      <c r="CQ310" s="58">
        <f t="shared" ca="1" si="708"/>
        <v>0</v>
      </c>
      <c r="CR310" s="58">
        <f t="shared" ca="1" si="708"/>
        <v>0</v>
      </c>
      <c r="CS310" s="58">
        <f t="shared" ca="1" si="708"/>
        <v>0</v>
      </c>
      <c r="CT310" s="58">
        <f t="shared" ca="1" si="708"/>
        <v>0</v>
      </c>
      <c r="CU310" s="58">
        <f t="shared" ca="1" si="708"/>
        <v>0</v>
      </c>
      <c r="CV310" s="58">
        <f t="shared" ca="1" si="708"/>
        <v>0</v>
      </c>
      <c r="CW310" s="58">
        <f t="shared" ca="1" si="708"/>
        <v>0</v>
      </c>
      <c r="CX310" s="58">
        <f t="shared" ca="1" si="708"/>
        <v>0</v>
      </c>
      <c r="CY310" s="58">
        <f t="shared" ref="CY310:ED310" ca="1" si="709">+IF(OR($F310+CY$175&lt;1,(CY$176-1)*12&lt;-$F310),0,OFFSET(CY140,0,$F310))</f>
        <v>0</v>
      </c>
      <c r="CZ310" s="58">
        <f t="shared" ca="1" si="709"/>
        <v>0</v>
      </c>
      <c r="DA310" s="58">
        <f t="shared" ca="1" si="709"/>
        <v>0</v>
      </c>
      <c r="DB310" s="58">
        <f t="shared" ca="1" si="709"/>
        <v>0</v>
      </c>
      <c r="DC310" s="58">
        <f t="shared" ca="1" si="709"/>
        <v>0</v>
      </c>
      <c r="DD310" s="58">
        <f t="shared" ca="1" si="709"/>
        <v>0</v>
      </c>
      <c r="DE310" s="58">
        <f t="shared" ca="1" si="709"/>
        <v>0</v>
      </c>
      <c r="DF310" s="58">
        <f t="shared" ca="1" si="709"/>
        <v>0</v>
      </c>
      <c r="DG310" s="58">
        <f t="shared" ca="1" si="709"/>
        <v>0</v>
      </c>
      <c r="DH310" s="58">
        <f t="shared" ca="1" si="709"/>
        <v>0</v>
      </c>
      <c r="DI310" s="58">
        <f t="shared" ca="1" si="709"/>
        <v>0</v>
      </c>
      <c r="DJ310" s="58">
        <f t="shared" ca="1" si="709"/>
        <v>0</v>
      </c>
      <c r="DK310" s="58">
        <f t="shared" ca="1" si="709"/>
        <v>0</v>
      </c>
      <c r="DL310" s="58">
        <f t="shared" ca="1" si="709"/>
        <v>0</v>
      </c>
      <c r="DM310" s="58">
        <f t="shared" ca="1" si="709"/>
        <v>0</v>
      </c>
      <c r="DN310" s="58">
        <f t="shared" ca="1" si="709"/>
        <v>0</v>
      </c>
      <c r="DO310" s="58">
        <f t="shared" ca="1" si="709"/>
        <v>0</v>
      </c>
      <c r="DP310" s="58">
        <f t="shared" ca="1" si="709"/>
        <v>0</v>
      </c>
      <c r="DQ310" s="58">
        <f t="shared" ca="1" si="709"/>
        <v>0</v>
      </c>
      <c r="DR310" s="58">
        <f t="shared" ca="1" si="709"/>
        <v>0</v>
      </c>
      <c r="DS310" s="58">
        <f t="shared" ca="1" si="709"/>
        <v>0</v>
      </c>
      <c r="DT310" s="58">
        <f t="shared" ca="1" si="709"/>
        <v>0</v>
      </c>
      <c r="DU310" s="58">
        <f t="shared" ca="1" si="709"/>
        <v>0</v>
      </c>
      <c r="DV310" s="58">
        <f t="shared" ca="1" si="709"/>
        <v>0</v>
      </c>
      <c r="DW310" s="58">
        <f t="shared" ca="1" si="709"/>
        <v>0</v>
      </c>
      <c r="DX310" s="58">
        <f t="shared" ca="1" si="709"/>
        <v>0</v>
      </c>
      <c r="DY310" s="58">
        <f t="shared" ca="1" si="709"/>
        <v>0</v>
      </c>
      <c r="DZ310" s="58">
        <f t="shared" ca="1" si="709"/>
        <v>0</v>
      </c>
      <c r="EA310" s="58">
        <f t="shared" ca="1" si="709"/>
        <v>0</v>
      </c>
      <c r="EB310" s="58">
        <f t="shared" ca="1" si="709"/>
        <v>0</v>
      </c>
      <c r="EC310" s="58">
        <f t="shared" ca="1" si="709"/>
        <v>0</v>
      </c>
      <c r="ED310" s="58">
        <f t="shared" ca="1" si="709"/>
        <v>0</v>
      </c>
      <c r="EE310" s="58">
        <f t="shared" ref="EE310:FN310" ca="1" si="710">+IF(OR($F310+EE$175&lt;1,(EE$176-1)*12&lt;-$F310),0,OFFSET(EE140,0,$F310))</f>
        <v>0</v>
      </c>
      <c r="EF310" s="58">
        <f t="shared" ca="1" si="710"/>
        <v>0</v>
      </c>
      <c r="EG310" s="58">
        <f t="shared" ca="1" si="710"/>
        <v>0</v>
      </c>
      <c r="EH310" s="58">
        <f t="shared" ca="1" si="710"/>
        <v>0</v>
      </c>
      <c r="EI310" s="58">
        <f t="shared" ca="1" si="710"/>
        <v>0</v>
      </c>
      <c r="EJ310" s="58">
        <f t="shared" ca="1" si="710"/>
        <v>0</v>
      </c>
      <c r="EK310" s="58">
        <f t="shared" ca="1" si="710"/>
        <v>0</v>
      </c>
      <c r="EL310" s="58">
        <f t="shared" ca="1" si="710"/>
        <v>0</v>
      </c>
      <c r="EM310" s="58">
        <f t="shared" ca="1" si="710"/>
        <v>0</v>
      </c>
      <c r="EN310" s="58">
        <f t="shared" ca="1" si="710"/>
        <v>0</v>
      </c>
      <c r="EO310" s="58">
        <f t="shared" ca="1" si="710"/>
        <v>0</v>
      </c>
      <c r="EP310" s="58">
        <f t="shared" ca="1" si="710"/>
        <v>0</v>
      </c>
      <c r="EQ310" s="58">
        <f t="shared" ca="1" si="710"/>
        <v>0</v>
      </c>
      <c r="ER310" s="58">
        <f t="shared" ca="1" si="710"/>
        <v>0</v>
      </c>
      <c r="ES310" s="58">
        <f t="shared" ca="1" si="710"/>
        <v>0</v>
      </c>
      <c r="ET310" s="58">
        <f t="shared" ca="1" si="710"/>
        <v>0</v>
      </c>
      <c r="EU310" s="58">
        <f t="shared" ca="1" si="710"/>
        <v>0</v>
      </c>
      <c r="EV310" s="58">
        <f t="shared" ca="1" si="710"/>
        <v>0</v>
      </c>
      <c r="EW310" s="58">
        <f t="shared" ca="1" si="710"/>
        <v>0</v>
      </c>
      <c r="EX310" s="58">
        <f t="shared" ca="1" si="710"/>
        <v>0</v>
      </c>
      <c r="EY310" s="58">
        <f t="shared" ca="1" si="710"/>
        <v>0</v>
      </c>
      <c r="EZ310" s="58">
        <f t="shared" ca="1" si="710"/>
        <v>0</v>
      </c>
      <c r="FA310" s="58">
        <f t="shared" ca="1" si="710"/>
        <v>0</v>
      </c>
      <c r="FB310" s="58">
        <f t="shared" ca="1" si="710"/>
        <v>0</v>
      </c>
      <c r="FC310" s="58">
        <f t="shared" ca="1" si="710"/>
        <v>0</v>
      </c>
      <c r="FD310" s="58">
        <f t="shared" ca="1" si="710"/>
        <v>0</v>
      </c>
      <c r="FE310" s="58">
        <f t="shared" ca="1" si="710"/>
        <v>0</v>
      </c>
      <c r="FF310" s="58">
        <f t="shared" ca="1" si="710"/>
        <v>0</v>
      </c>
      <c r="FG310" s="58">
        <f t="shared" ca="1" si="710"/>
        <v>0</v>
      </c>
      <c r="FH310" s="58">
        <f t="shared" ca="1" si="710"/>
        <v>0</v>
      </c>
      <c r="FI310" s="58">
        <f t="shared" ca="1" si="710"/>
        <v>0</v>
      </c>
      <c r="FJ310" s="58">
        <f t="shared" ca="1" si="710"/>
        <v>0</v>
      </c>
      <c r="FK310" s="58">
        <f t="shared" ca="1" si="710"/>
        <v>0</v>
      </c>
      <c r="FL310" s="58">
        <f t="shared" ca="1" si="710"/>
        <v>0</v>
      </c>
      <c r="FM310" s="58">
        <f t="shared" ca="1" si="710"/>
        <v>0</v>
      </c>
      <c r="FN310" s="58">
        <f t="shared" ca="1" si="710"/>
        <v>0</v>
      </c>
      <c r="FO310" s="13"/>
    </row>
    <row r="311" spans="1:171" outlineLevel="1" x14ac:dyDescent="0.3">
      <c r="A311" s="13"/>
      <c r="B311" s="13"/>
      <c r="C311" s="13"/>
      <c r="D311" s="52">
        <f t="shared" si="683"/>
        <v>44228</v>
      </c>
      <c r="E311" s="53">
        <f t="shared" si="684"/>
        <v>2021</v>
      </c>
      <c r="F311" s="53">
        <f t="shared" si="685"/>
        <v>85</v>
      </c>
      <c r="G311" s="58">
        <f t="shared" ref="G311:AL311" ca="1" si="711">+IF(OR($F311+G$175&lt;1,(G$176-1)*12&lt;-$F311),0,OFFSET(G141,0,$F311))</f>
        <v>0</v>
      </c>
      <c r="H311" s="58">
        <f t="shared" ca="1" si="711"/>
        <v>0</v>
      </c>
      <c r="I311" s="58">
        <f t="shared" ca="1" si="711"/>
        <v>0</v>
      </c>
      <c r="J311" s="58">
        <f t="shared" ca="1" si="711"/>
        <v>0</v>
      </c>
      <c r="K311" s="58">
        <f t="shared" ca="1" si="711"/>
        <v>0</v>
      </c>
      <c r="L311" s="58">
        <f t="shared" ca="1" si="711"/>
        <v>0</v>
      </c>
      <c r="M311" s="58">
        <f t="shared" ca="1" si="711"/>
        <v>0</v>
      </c>
      <c r="N311" s="58">
        <f t="shared" ca="1" si="711"/>
        <v>0</v>
      </c>
      <c r="O311" s="58">
        <f t="shared" ca="1" si="711"/>
        <v>0</v>
      </c>
      <c r="P311" s="58">
        <f t="shared" ca="1" si="711"/>
        <v>0</v>
      </c>
      <c r="Q311" s="58">
        <f t="shared" ca="1" si="711"/>
        <v>0</v>
      </c>
      <c r="R311" s="58">
        <f t="shared" ca="1" si="711"/>
        <v>0</v>
      </c>
      <c r="S311" s="58">
        <f t="shared" ca="1" si="711"/>
        <v>0</v>
      </c>
      <c r="T311" s="58">
        <f t="shared" ca="1" si="711"/>
        <v>0</v>
      </c>
      <c r="U311" s="58">
        <f t="shared" ca="1" si="711"/>
        <v>0</v>
      </c>
      <c r="V311" s="58">
        <f t="shared" ca="1" si="711"/>
        <v>0</v>
      </c>
      <c r="W311" s="58">
        <f t="shared" ca="1" si="711"/>
        <v>0</v>
      </c>
      <c r="X311" s="58">
        <f t="shared" ca="1" si="711"/>
        <v>0</v>
      </c>
      <c r="Y311" s="58">
        <f t="shared" ca="1" si="711"/>
        <v>0</v>
      </c>
      <c r="Z311" s="58">
        <f t="shared" ca="1" si="711"/>
        <v>0</v>
      </c>
      <c r="AA311" s="58">
        <f t="shared" ca="1" si="711"/>
        <v>0</v>
      </c>
      <c r="AB311" s="58">
        <f t="shared" ca="1" si="711"/>
        <v>0</v>
      </c>
      <c r="AC311" s="58">
        <f t="shared" ca="1" si="711"/>
        <v>0</v>
      </c>
      <c r="AD311" s="58">
        <f t="shared" ca="1" si="711"/>
        <v>0</v>
      </c>
      <c r="AE311" s="58">
        <f t="shared" ca="1" si="711"/>
        <v>0</v>
      </c>
      <c r="AF311" s="58">
        <f t="shared" ca="1" si="711"/>
        <v>0</v>
      </c>
      <c r="AG311" s="58">
        <f t="shared" ca="1" si="711"/>
        <v>0</v>
      </c>
      <c r="AH311" s="58">
        <f t="shared" ca="1" si="711"/>
        <v>0</v>
      </c>
      <c r="AI311" s="58">
        <f t="shared" ca="1" si="711"/>
        <v>0</v>
      </c>
      <c r="AJ311" s="58">
        <f t="shared" ca="1" si="711"/>
        <v>0</v>
      </c>
      <c r="AK311" s="58">
        <f t="shared" ca="1" si="711"/>
        <v>0</v>
      </c>
      <c r="AL311" s="58">
        <f t="shared" ca="1" si="711"/>
        <v>0</v>
      </c>
      <c r="AM311" s="58">
        <f t="shared" ref="AM311:BR311" ca="1" si="712">+IF(OR($F311+AM$175&lt;1,(AM$176-1)*12&lt;-$F311),0,OFFSET(AM141,0,$F311))</f>
        <v>0</v>
      </c>
      <c r="AN311" s="58">
        <f t="shared" ca="1" si="712"/>
        <v>0</v>
      </c>
      <c r="AO311" s="58">
        <f t="shared" ca="1" si="712"/>
        <v>0</v>
      </c>
      <c r="AP311" s="58">
        <f t="shared" ca="1" si="712"/>
        <v>0</v>
      </c>
      <c r="AQ311" s="58">
        <f t="shared" ca="1" si="712"/>
        <v>0</v>
      </c>
      <c r="AR311" s="58">
        <f t="shared" ca="1" si="712"/>
        <v>0</v>
      </c>
      <c r="AS311" s="58">
        <f t="shared" ca="1" si="712"/>
        <v>0</v>
      </c>
      <c r="AT311" s="58">
        <f t="shared" ca="1" si="712"/>
        <v>0</v>
      </c>
      <c r="AU311" s="58">
        <f t="shared" ca="1" si="712"/>
        <v>0</v>
      </c>
      <c r="AV311" s="58">
        <f t="shared" ca="1" si="712"/>
        <v>0</v>
      </c>
      <c r="AW311" s="58">
        <f t="shared" ca="1" si="712"/>
        <v>0</v>
      </c>
      <c r="AX311" s="58">
        <f t="shared" ca="1" si="712"/>
        <v>0</v>
      </c>
      <c r="AY311" s="58">
        <f t="shared" ca="1" si="712"/>
        <v>0</v>
      </c>
      <c r="AZ311" s="58">
        <f t="shared" ca="1" si="712"/>
        <v>0</v>
      </c>
      <c r="BA311" s="58">
        <f t="shared" ca="1" si="712"/>
        <v>0</v>
      </c>
      <c r="BB311" s="58">
        <f t="shared" ca="1" si="712"/>
        <v>0</v>
      </c>
      <c r="BC311" s="58">
        <f t="shared" ca="1" si="712"/>
        <v>0</v>
      </c>
      <c r="BD311" s="58">
        <f t="shared" ca="1" si="712"/>
        <v>0</v>
      </c>
      <c r="BE311" s="58">
        <f t="shared" ca="1" si="712"/>
        <v>0</v>
      </c>
      <c r="BF311" s="58">
        <f t="shared" ca="1" si="712"/>
        <v>0</v>
      </c>
      <c r="BG311" s="58">
        <f t="shared" ca="1" si="712"/>
        <v>0</v>
      </c>
      <c r="BH311" s="58">
        <f t="shared" ca="1" si="712"/>
        <v>0</v>
      </c>
      <c r="BI311" s="58">
        <f t="shared" ca="1" si="712"/>
        <v>0</v>
      </c>
      <c r="BJ311" s="58">
        <f t="shared" ca="1" si="712"/>
        <v>0</v>
      </c>
      <c r="BK311" s="58">
        <f t="shared" ca="1" si="712"/>
        <v>0</v>
      </c>
      <c r="BL311" s="58">
        <f t="shared" ca="1" si="712"/>
        <v>0</v>
      </c>
      <c r="BM311" s="58">
        <f t="shared" ca="1" si="712"/>
        <v>0</v>
      </c>
      <c r="BN311" s="58">
        <f t="shared" ca="1" si="712"/>
        <v>0</v>
      </c>
      <c r="BO311" s="58">
        <f t="shared" ca="1" si="712"/>
        <v>0</v>
      </c>
      <c r="BP311" s="58">
        <f t="shared" ca="1" si="712"/>
        <v>0</v>
      </c>
      <c r="BQ311" s="58">
        <f t="shared" ca="1" si="712"/>
        <v>0</v>
      </c>
      <c r="BR311" s="58">
        <f t="shared" ca="1" si="712"/>
        <v>0</v>
      </c>
      <c r="BS311" s="58">
        <f t="shared" ref="BS311:CX311" ca="1" si="713">+IF(OR($F311+BS$175&lt;1,(BS$176-1)*12&lt;-$F311),0,OFFSET(BS141,0,$F311))</f>
        <v>0</v>
      </c>
      <c r="BT311" s="58">
        <f t="shared" ca="1" si="713"/>
        <v>0</v>
      </c>
      <c r="BU311" s="58">
        <f t="shared" ca="1" si="713"/>
        <v>0</v>
      </c>
      <c r="BV311" s="58">
        <f t="shared" ca="1" si="713"/>
        <v>0</v>
      </c>
      <c r="BW311" s="58">
        <f t="shared" ca="1" si="713"/>
        <v>0</v>
      </c>
      <c r="BX311" s="58">
        <f t="shared" ca="1" si="713"/>
        <v>0</v>
      </c>
      <c r="BY311" s="58">
        <f t="shared" ca="1" si="713"/>
        <v>0</v>
      </c>
      <c r="BZ311" s="58">
        <f t="shared" ca="1" si="713"/>
        <v>0</v>
      </c>
      <c r="CA311" s="58">
        <f t="shared" ca="1" si="713"/>
        <v>0</v>
      </c>
      <c r="CB311" s="58">
        <f t="shared" ca="1" si="713"/>
        <v>0</v>
      </c>
      <c r="CC311" s="58">
        <f t="shared" ca="1" si="713"/>
        <v>0</v>
      </c>
      <c r="CD311" s="58">
        <f t="shared" ca="1" si="713"/>
        <v>0</v>
      </c>
      <c r="CE311" s="58">
        <f t="shared" ca="1" si="713"/>
        <v>0</v>
      </c>
      <c r="CF311" s="58">
        <f t="shared" ca="1" si="713"/>
        <v>0</v>
      </c>
      <c r="CG311" s="58">
        <f t="shared" ca="1" si="713"/>
        <v>0</v>
      </c>
      <c r="CH311" s="58">
        <f t="shared" ca="1" si="713"/>
        <v>0</v>
      </c>
      <c r="CI311" s="58">
        <f t="shared" ca="1" si="713"/>
        <v>0</v>
      </c>
      <c r="CJ311" s="58">
        <f t="shared" ca="1" si="713"/>
        <v>0</v>
      </c>
      <c r="CK311" s="58">
        <f t="shared" ca="1" si="713"/>
        <v>0</v>
      </c>
      <c r="CL311" s="58">
        <f t="shared" ca="1" si="713"/>
        <v>0</v>
      </c>
      <c r="CM311" s="58">
        <f t="shared" ca="1" si="713"/>
        <v>0</v>
      </c>
      <c r="CN311" s="58">
        <f t="shared" ca="1" si="713"/>
        <v>0</v>
      </c>
      <c r="CO311" s="58">
        <f t="shared" ca="1" si="713"/>
        <v>0</v>
      </c>
      <c r="CP311" s="58">
        <f t="shared" ca="1" si="713"/>
        <v>0</v>
      </c>
      <c r="CQ311" s="58">
        <f t="shared" ca="1" si="713"/>
        <v>0</v>
      </c>
      <c r="CR311" s="58">
        <f t="shared" ca="1" si="713"/>
        <v>0</v>
      </c>
      <c r="CS311" s="58">
        <f t="shared" ca="1" si="713"/>
        <v>0</v>
      </c>
      <c r="CT311" s="58">
        <f t="shared" ca="1" si="713"/>
        <v>0</v>
      </c>
      <c r="CU311" s="58">
        <f t="shared" ca="1" si="713"/>
        <v>0</v>
      </c>
      <c r="CV311" s="58">
        <f t="shared" ca="1" si="713"/>
        <v>0</v>
      </c>
      <c r="CW311" s="58">
        <f t="shared" ca="1" si="713"/>
        <v>0</v>
      </c>
      <c r="CX311" s="58">
        <f t="shared" ca="1" si="713"/>
        <v>0</v>
      </c>
      <c r="CY311" s="58">
        <f t="shared" ref="CY311:ED311" ca="1" si="714">+IF(OR($F311+CY$175&lt;1,(CY$176-1)*12&lt;-$F311),0,OFFSET(CY141,0,$F311))</f>
        <v>0</v>
      </c>
      <c r="CZ311" s="58">
        <f t="shared" ca="1" si="714"/>
        <v>0</v>
      </c>
      <c r="DA311" s="58">
        <f t="shared" ca="1" si="714"/>
        <v>0</v>
      </c>
      <c r="DB311" s="58">
        <f t="shared" ca="1" si="714"/>
        <v>0</v>
      </c>
      <c r="DC311" s="58">
        <f t="shared" ca="1" si="714"/>
        <v>0</v>
      </c>
      <c r="DD311" s="58">
        <f t="shared" ca="1" si="714"/>
        <v>0</v>
      </c>
      <c r="DE311" s="58">
        <f t="shared" ca="1" si="714"/>
        <v>0</v>
      </c>
      <c r="DF311" s="58">
        <f t="shared" ca="1" si="714"/>
        <v>0</v>
      </c>
      <c r="DG311" s="58">
        <f t="shared" ca="1" si="714"/>
        <v>0</v>
      </c>
      <c r="DH311" s="58">
        <f t="shared" ca="1" si="714"/>
        <v>0</v>
      </c>
      <c r="DI311" s="58">
        <f t="shared" ca="1" si="714"/>
        <v>0</v>
      </c>
      <c r="DJ311" s="58">
        <f t="shared" ca="1" si="714"/>
        <v>0</v>
      </c>
      <c r="DK311" s="58">
        <f t="shared" ca="1" si="714"/>
        <v>0</v>
      </c>
      <c r="DL311" s="58">
        <f t="shared" ca="1" si="714"/>
        <v>0</v>
      </c>
      <c r="DM311" s="58">
        <f t="shared" ca="1" si="714"/>
        <v>0</v>
      </c>
      <c r="DN311" s="58">
        <f t="shared" ca="1" si="714"/>
        <v>0</v>
      </c>
      <c r="DO311" s="58">
        <f t="shared" ca="1" si="714"/>
        <v>0</v>
      </c>
      <c r="DP311" s="58">
        <f t="shared" ca="1" si="714"/>
        <v>0</v>
      </c>
      <c r="DQ311" s="58">
        <f t="shared" ca="1" si="714"/>
        <v>0</v>
      </c>
      <c r="DR311" s="58">
        <f t="shared" ca="1" si="714"/>
        <v>0</v>
      </c>
      <c r="DS311" s="58">
        <f t="shared" ca="1" si="714"/>
        <v>0</v>
      </c>
      <c r="DT311" s="58">
        <f t="shared" ca="1" si="714"/>
        <v>0</v>
      </c>
      <c r="DU311" s="58">
        <f t="shared" ca="1" si="714"/>
        <v>0</v>
      </c>
      <c r="DV311" s="58">
        <f t="shared" ca="1" si="714"/>
        <v>0</v>
      </c>
      <c r="DW311" s="58">
        <f t="shared" ca="1" si="714"/>
        <v>0</v>
      </c>
      <c r="DX311" s="58">
        <f t="shared" ca="1" si="714"/>
        <v>0</v>
      </c>
      <c r="DY311" s="58">
        <f t="shared" ca="1" si="714"/>
        <v>0</v>
      </c>
      <c r="DZ311" s="58">
        <f t="shared" ca="1" si="714"/>
        <v>0</v>
      </c>
      <c r="EA311" s="58">
        <f t="shared" ca="1" si="714"/>
        <v>0</v>
      </c>
      <c r="EB311" s="58">
        <f t="shared" ca="1" si="714"/>
        <v>0</v>
      </c>
      <c r="EC311" s="58">
        <f t="shared" ca="1" si="714"/>
        <v>0</v>
      </c>
      <c r="ED311" s="58">
        <f t="shared" ca="1" si="714"/>
        <v>0</v>
      </c>
      <c r="EE311" s="58">
        <f t="shared" ref="EE311:FN311" ca="1" si="715">+IF(OR($F311+EE$175&lt;1,(EE$176-1)*12&lt;-$F311),0,OFFSET(EE141,0,$F311))</f>
        <v>0</v>
      </c>
      <c r="EF311" s="58">
        <f t="shared" ca="1" si="715"/>
        <v>0</v>
      </c>
      <c r="EG311" s="58">
        <f t="shared" ca="1" si="715"/>
        <v>0</v>
      </c>
      <c r="EH311" s="58">
        <f t="shared" ca="1" si="715"/>
        <v>0</v>
      </c>
      <c r="EI311" s="58">
        <f t="shared" ca="1" si="715"/>
        <v>0</v>
      </c>
      <c r="EJ311" s="58">
        <f t="shared" ca="1" si="715"/>
        <v>0</v>
      </c>
      <c r="EK311" s="58">
        <f t="shared" ca="1" si="715"/>
        <v>0</v>
      </c>
      <c r="EL311" s="58">
        <f t="shared" ca="1" si="715"/>
        <v>0</v>
      </c>
      <c r="EM311" s="58">
        <f t="shared" ca="1" si="715"/>
        <v>0</v>
      </c>
      <c r="EN311" s="58">
        <f t="shared" ca="1" si="715"/>
        <v>0</v>
      </c>
      <c r="EO311" s="58">
        <f t="shared" ca="1" si="715"/>
        <v>0</v>
      </c>
      <c r="EP311" s="58">
        <f t="shared" ca="1" si="715"/>
        <v>0</v>
      </c>
      <c r="EQ311" s="58">
        <f t="shared" ca="1" si="715"/>
        <v>0</v>
      </c>
      <c r="ER311" s="58">
        <f t="shared" ca="1" si="715"/>
        <v>0</v>
      </c>
      <c r="ES311" s="58">
        <f t="shared" ca="1" si="715"/>
        <v>0</v>
      </c>
      <c r="ET311" s="58">
        <f t="shared" ca="1" si="715"/>
        <v>0</v>
      </c>
      <c r="EU311" s="58">
        <f t="shared" ca="1" si="715"/>
        <v>0</v>
      </c>
      <c r="EV311" s="58">
        <f t="shared" ca="1" si="715"/>
        <v>0</v>
      </c>
      <c r="EW311" s="58">
        <f t="shared" ca="1" si="715"/>
        <v>0</v>
      </c>
      <c r="EX311" s="58">
        <f t="shared" ca="1" si="715"/>
        <v>0</v>
      </c>
      <c r="EY311" s="58">
        <f t="shared" ca="1" si="715"/>
        <v>0</v>
      </c>
      <c r="EZ311" s="58">
        <f t="shared" ca="1" si="715"/>
        <v>0</v>
      </c>
      <c r="FA311" s="58">
        <f t="shared" ca="1" si="715"/>
        <v>0</v>
      </c>
      <c r="FB311" s="58">
        <f t="shared" ca="1" si="715"/>
        <v>0</v>
      </c>
      <c r="FC311" s="58">
        <f t="shared" ca="1" si="715"/>
        <v>0</v>
      </c>
      <c r="FD311" s="58">
        <f t="shared" ca="1" si="715"/>
        <v>0</v>
      </c>
      <c r="FE311" s="58">
        <f t="shared" ca="1" si="715"/>
        <v>0</v>
      </c>
      <c r="FF311" s="58">
        <f t="shared" ca="1" si="715"/>
        <v>0</v>
      </c>
      <c r="FG311" s="58">
        <f t="shared" ca="1" si="715"/>
        <v>0</v>
      </c>
      <c r="FH311" s="58">
        <f t="shared" ca="1" si="715"/>
        <v>0</v>
      </c>
      <c r="FI311" s="58">
        <f t="shared" ca="1" si="715"/>
        <v>0</v>
      </c>
      <c r="FJ311" s="58">
        <f t="shared" ca="1" si="715"/>
        <v>0</v>
      </c>
      <c r="FK311" s="58">
        <f t="shared" ca="1" si="715"/>
        <v>0</v>
      </c>
      <c r="FL311" s="58">
        <f t="shared" ca="1" si="715"/>
        <v>0</v>
      </c>
      <c r="FM311" s="58">
        <f t="shared" ca="1" si="715"/>
        <v>0</v>
      </c>
      <c r="FN311" s="58">
        <f t="shared" ca="1" si="715"/>
        <v>0</v>
      </c>
      <c r="FO311" s="13"/>
    </row>
    <row r="312" spans="1:171" outlineLevel="1" x14ac:dyDescent="0.3">
      <c r="A312" s="13"/>
      <c r="B312" s="13"/>
      <c r="C312" s="13"/>
      <c r="D312" s="52">
        <f t="shared" si="683"/>
        <v>44256</v>
      </c>
      <c r="E312" s="53">
        <f t="shared" si="684"/>
        <v>2021</v>
      </c>
      <c r="F312" s="53">
        <f t="shared" si="685"/>
        <v>86</v>
      </c>
      <c r="G312" s="58">
        <f t="shared" ref="G312:AL312" ca="1" si="716">+IF(OR($F312+G$175&lt;1,(G$176-1)*12&lt;-$F312),0,OFFSET(G142,0,$F312))</f>
        <v>0</v>
      </c>
      <c r="H312" s="58">
        <f t="shared" ca="1" si="716"/>
        <v>0</v>
      </c>
      <c r="I312" s="58">
        <f t="shared" ca="1" si="716"/>
        <v>0</v>
      </c>
      <c r="J312" s="58">
        <f t="shared" ca="1" si="716"/>
        <v>0</v>
      </c>
      <c r="K312" s="58">
        <f t="shared" ca="1" si="716"/>
        <v>0</v>
      </c>
      <c r="L312" s="58">
        <f t="shared" ca="1" si="716"/>
        <v>0</v>
      </c>
      <c r="M312" s="58">
        <f t="shared" ca="1" si="716"/>
        <v>0</v>
      </c>
      <c r="N312" s="58">
        <f t="shared" ca="1" si="716"/>
        <v>0</v>
      </c>
      <c r="O312" s="58">
        <f t="shared" ca="1" si="716"/>
        <v>0</v>
      </c>
      <c r="P312" s="58">
        <f t="shared" ca="1" si="716"/>
        <v>0</v>
      </c>
      <c r="Q312" s="58">
        <f t="shared" ca="1" si="716"/>
        <v>0</v>
      </c>
      <c r="R312" s="58">
        <f t="shared" ca="1" si="716"/>
        <v>0</v>
      </c>
      <c r="S312" s="58">
        <f t="shared" ca="1" si="716"/>
        <v>0</v>
      </c>
      <c r="T312" s="58">
        <f t="shared" ca="1" si="716"/>
        <v>0</v>
      </c>
      <c r="U312" s="58">
        <f t="shared" ca="1" si="716"/>
        <v>0</v>
      </c>
      <c r="V312" s="58">
        <f t="shared" ca="1" si="716"/>
        <v>0</v>
      </c>
      <c r="W312" s="58">
        <f t="shared" ca="1" si="716"/>
        <v>0</v>
      </c>
      <c r="X312" s="58">
        <f t="shared" ca="1" si="716"/>
        <v>0</v>
      </c>
      <c r="Y312" s="58">
        <f t="shared" ca="1" si="716"/>
        <v>0</v>
      </c>
      <c r="Z312" s="58">
        <f t="shared" ca="1" si="716"/>
        <v>0</v>
      </c>
      <c r="AA312" s="58">
        <f t="shared" ca="1" si="716"/>
        <v>0</v>
      </c>
      <c r="AB312" s="58">
        <f t="shared" ca="1" si="716"/>
        <v>0</v>
      </c>
      <c r="AC312" s="58">
        <f t="shared" ca="1" si="716"/>
        <v>0</v>
      </c>
      <c r="AD312" s="58">
        <f t="shared" ca="1" si="716"/>
        <v>0</v>
      </c>
      <c r="AE312" s="58">
        <f t="shared" ca="1" si="716"/>
        <v>0</v>
      </c>
      <c r="AF312" s="58">
        <f t="shared" ca="1" si="716"/>
        <v>0</v>
      </c>
      <c r="AG312" s="58">
        <f t="shared" ca="1" si="716"/>
        <v>0</v>
      </c>
      <c r="AH312" s="58">
        <f t="shared" ca="1" si="716"/>
        <v>0</v>
      </c>
      <c r="AI312" s="58">
        <f t="shared" ca="1" si="716"/>
        <v>0</v>
      </c>
      <c r="AJ312" s="58">
        <f t="shared" ca="1" si="716"/>
        <v>0</v>
      </c>
      <c r="AK312" s="58">
        <f t="shared" ca="1" si="716"/>
        <v>0</v>
      </c>
      <c r="AL312" s="58">
        <f t="shared" ca="1" si="716"/>
        <v>0</v>
      </c>
      <c r="AM312" s="58">
        <f t="shared" ref="AM312:BR312" ca="1" si="717">+IF(OR($F312+AM$175&lt;1,(AM$176-1)*12&lt;-$F312),0,OFFSET(AM142,0,$F312))</f>
        <v>0</v>
      </c>
      <c r="AN312" s="58">
        <f t="shared" ca="1" si="717"/>
        <v>0</v>
      </c>
      <c r="AO312" s="58">
        <f t="shared" ca="1" si="717"/>
        <v>0</v>
      </c>
      <c r="AP312" s="58">
        <f t="shared" ca="1" si="717"/>
        <v>0</v>
      </c>
      <c r="AQ312" s="58">
        <f t="shared" ca="1" si="717"/>
        <v>0</v>
      </c>
      <c r="AR312" s="58">
        <f t="shared" ca="1" si="717"/>
        <v>0</v>
      </c>
      <c r="AS312" s="58">
        <f t="shared" ca="1" si="717"/>
        <v>0</v>
      </c>
      <c r="AT312" s="58">
        <f t="shared" ca="1" si="717"/>
        <v>0</v>
      </c>
      <c r="AU312" s="58">
        <f t="shared" ca="1" si="717"/>
        <v>0</v>
      </c>
      <c r="AV312" s="58">
        <f t="shared" ca="1" si="717"/>
        <v>0</v>
      </c>
      <c r="AW312" s="58">
        <f t="shared" ca="1" si="717"/>
        <v>0</v>
      </c>
      <c r="AX312" s="58">
        <f t="shared" ca="1" si="717"/>
        <v>0</v>
      </c>
      <c r="AY312" s="58">
        <f t="shared" ca="1" si="717"/>
        <v>0</v>
      </c>
      <c r="AZ312" s="58">
        <f t="shared" ca="1" si="717"/>
        <v>0</v>
      </c>
      <c r="BA312" s="58">
        <f t="shared" ca="1" si="717"/>
        <v>0</v>
      </c>
      <c r="BB312" s="58">
        <f t="shared" ca="1" si="717"/>
        <v>0</v>
      </c>
      <c r="BC312" s="58">
        <f t="shared" ca="1" si="717"/>
        <v>0</v>
      </c>
      <c r="BD312" s="58">
        <f t="shared" ca="1" si="717"/>
        <v>0</v>
      </c>
      <c r="BE312" s="58">
        <f t="shared" ca="1" si="717"/>
        <v>0</v>
      </c>
      <c r="BF312" s="58">
        <f t="shared" ca="1" si="717"/>
        <v>0</v>
      </c>
      <c r="BG312" s="58">
        <f t="shared" ca="1" si="717"/>
        <v>0</v>
      </c>
      <c r="BH312" s="58">
        <f t="shared" ca="1" si="717"/>
        <v>0</v>
      </c>
      <c r="BI312" s="58">
        <f t="shared" ca="1" si="717"/>
        <v>0</v>
      </c>
      <c r="BJ312" s="58">
        <f t="shared" ca="1" si="717"/>
        <v>0</v>
      </c>
      <c r="BK312" s="58">
        <f t="shared" ca="1" si="717"/>
        <v>0</v>
      </c>
      <c r="BL312" s="58">
        <f t="shared" ca="1" si="717"/>
        <v>0</v>
      </c>
      <c r="BM312" s="58">
        <f t="shared" ca="1" si="717"/>
        <v>0</v>
      </c>
      <c r="BN312" s="58">
        <f t="shared" ca="1" si="717"/>
        <v>0</v>
      </c>
      <c r="BO312" s="58">
        <f t="shared" ca="1" si="717"/>
        <v>0</v>
      </c>
      <c r="BP312" s="58">
        <f t="shared" ca="1" si="717"/>
        <v>0</v>
      </c>
      <c r="BQ312" s="58">
        <f t="shared" ca="1" si="717"/>
        <v>0</v>
      </c>
      <c r="BR312" s="58">
        <f t="shared" ca="1" si="717"/>
        <v>0</v>
      </c>
      <c r="BS312" s="58">
        <f t="shared" ref="BS312:CX312" ca="1" si="718">+IF(OR($F312+BS$175&lt;1,(BS$176-1)*12&lt;-$F312),0,OFFSET(BS142,0,$F312))</f>
        <v>0</v>
      </c>
      <c r="BT312" s="58">
        <f t="shared" ca="1" si="718"/>
        <v>0</v>
      </c>
      <c r="BU312" s="58">
        <f t="shared" ca="1" si="718"/>
        <v>0</v>
      </c>
      <c r="BV312" s="58">
        <f t="shared" ca="1" si="718"/>
        <v>0</v>
      </c>
      <c r="BW312" s="58">
        <f t="shared" ca="1" si="718"/>
        <v>0</v>
      </c>
      <c r="BX312" s="58">
        <f t="shared" ca="1" si="718"/>
        <v>0</v>
      </c>
      <c r="BY312" s="58">
        <f t="shared" ca="1" si="718"/>
        <v>0</v>
      </c>
      <c r="BZ312" s="58">
        <f t="shared" ca="1" si="718"/>
        <v>0</v>
      </c>
      <c r="CA312" s="58">
        <f t="shared" ca="1" si="718"/>
        <v>0</v>
      </c>
      <c r="CB312" s="58">
        <f t="shared" ca="1" si="718"/>
        <v>0</v>
      </c>
      <c r="CC312" s="58">
        <f t="shared" ca="1" si="718"/>
        <v>0</v>
      </c>
      <c r="CD312" s="58">
        <f t="shared" ca="1" si="718"/>
        <v>0</v>
      </c>
      <c r="CE312" s="58">
        <f t="shared" ca="1" si="718"/>
        <v>0</v>
      </c>
      <c r="CF312" s="58">
        <f t="shared" ca="1" si="718"/>
        <v>0</v>
      </c>
      <c r="CG312" s="58">
        <f t="shared" ca="1" si="718"/>
        <v>0</v>
      </c>
      <c r="CH312" s="58">
        <f t="shared" ca="1" si="718"/>
        <v>0</v>
      </c>
      <c r="CI312" s="58">
        <f t="shared" ca="1" si="718"/>
        <v>0</v>
      </c>
      <c r="CJ312" s="58">
        <f t="shared" ca="1" si="718"/>
        <v>0</v>
      </c>
      <c r="CK312" s="58">
        <f t="shared" ca="1" si="718"/>
        <v>0</v>
      </c>
      <c r="CL312" s="58">
        <f t="shared" ca="1" si="718"/>
        <v>0</v>
      </c>
      <c r="CM312" s="58">
        <f t="shared" ca="1" si="718"/>
        <v>0</v>
      </c>
      <c r="CN312" s="58">
        <f t="shared" ca="1" si="718"/>
        <v>0</v>
      </c>
      <c r="CO312" s="58">
        <f t="shared" ca="1" si="718"/>
        <v>0</v>
      </c>
      <c r="CP312" s="58">
        <f t="shared" ca="1" si="718"/>
        <v>0</v>
      </c>
      <c r="CQ312" s="58">
        <f t="shared" ca="1" si="718"/>
        <v>0</v>
      </c>
      <c r="CR312" s="58">
        <f t="shared" ca="1" si="718"/>
        <v>0</v>
      </c>
      <c r="CS312" s="58">
        <f t="shared" ca="1" si="718"/>
        <v>0</v>
      </c>
      <c r="CT312" s="58">
        <f t="shared" ca="1" si="718"/>
        <v>0</v>
      </c>
      <c r="CU312" s="58">
        <f t="shared" ca="1" si="718"/>
        <v>0</v>
      </c>
      <c r="CV312" s="58">
        <f t="shared" ca="1" si="718"/>
        <v>0</v>
      </c>
      <c r="CW312" s="58">
        <f t="shared" ca="1" si="718"/>
        <v>0</v>
      </c>
      <c r="CX312" s="58">
        <f t="shared" ca="1" si="718"/>
        <v>0</v>
      </c>
      <c r="CY312" s="58">
        <f t="shared" ref="CY312:ED312" ca="1" si="719">+IF(OR($F312+CY$175&lt;1,(CY$176-1)*12&lt;-$F312),0,OFFSET(CY142,0,$F312))</f>
        <v>0</v>
      </c>
      <c r="CZ312" s="58">
        <f t="shared" ca="1" si="719"/>
        <v>0</v>
      </c>
      <c r="DA312" s="58">
        <f t="shared" ca="1" si="719"/>
        <v>0</v>
      </c>
      <c r="DB312" s="58">
        <f t="shared" ca="1" si="719"/>
        <v>0</v>
      </c>
      <c r="DC312" s="58">
        <f t="shared" ca="1" si="719"/>
        <v>0</v>
      </c>
      <c r="DD312" s="58">
        <f t="shared" ca="1" si="719"/>
        <v>0</v>
      </c>
      <c r="DE312" s="58">
        <f t="shared" ca="1" si="719"/>
        <v>0</v>
      </c>
      <c r="DF312" s="58">
        <f t="shared" ca="1" si="719"/>
        <v>0</v>
      </c>
      <c r="DG312" s="58">
        <f t="shared" ca="1" si="719"/>
        <v>0</v>
      </c>
      <c r="DH312" s="58">
        <f t="shared" ca="1" si="719"/>
        <v>0</v>
      </c>
      <c r="DI312" s="58">
        <f t="shared" ca="1" si="719"/>
        <v>0</v>
      </c>
      <c r="DJ312" s="58">
        <f t="shared" ca="1" si="719"/>
        <v>0</v>
      </c>
      <c r="DK312" s="58">
        <f t="shared" ca="1" si="719"/>
        <v>0</v>
      </c>
      <c r="DL312" s="58">
        <f t="shared" ca="1" si="719"/>
        <v>0</v>
      </c>
      <c r="DM312" s="58">
        <f t="shared" ca="1" si="719"/>
        <v>0</v>
      </c>
      <c r="DN312" s="58">
        <f t="shared" ca="1" si="719"/>
        <v>0</v>
      </c>
      <c r="DO312" s="58">
        <f t="shared" ca="1" si="719"/>
        <v>0</v>
      </c>
      <c r="DP312" s="58">
        <f t="shared" ca="1" si="719"/>
        <v>0</v>
      </c>
      <c r="DQ312" s="58">
        <f t="shared" ca="1" si="719"/>
        <v>0</v>
      </c>
      <c r="DR312" s="58">
        <f t="shared" ca="1" si="719"/>
        <v>0</v>
      </c>
      <c r="DS312" s="58">
        <f t="shared" ca="1" si="719"/>
        <v>0</v>
      </c>
      <c r="DT312" s="58">
        <f t="shared" ca="1" si="719"/>
        <v>0</v>
      </c>
      <c r="DU312" s="58">
        <f t="shared" ca="1" si="719"/>
        <v>0</v>
      </c>
      <c r="DV312" s="58">
        <f t="shared" ca="1" si="719"/>
        <v>0</v>
      </c>
      <c r="DW312" s="58">
        <f t="shared" ca="1" si="719"/>
        <v>0</v>
      </c>
      <c r="DX312" s="58">
        <f t="shared" ca="1" si="719"/>
        <v>0</v>
      </c>
      <c r="DY312" s="58">
        <f t="shared" ca="1" si="719"/>
        <v>0</v>
      </c>
      <c r="DZ312" s="58">
        <f t="shared" ca="1" si="719"/>
        <v>0</v>
      </c>
      <c r="EA312" s="58">
        <f t="shared" ca="1" si="719"/>
        <v>0</v>
      </c>
      <c r="EB312" s="58">
        <f t="shared" ca="1" si="719"/>
        <v>0</v>
      </c>
      <c r="EC312" s="58">
        <f t="shared" ca="1" si="719"/>
        <v>0</v>
      </c>
      <c r="ED312" s="58">
        <f t="shared" ca="1" si="719"/>
        <v>0</v>
      </c>
      <c r="EE312" s="58">
        <f t="shared" ref="EE312:FN312" ca="1" si="720">+IF(OR($F312+EE$175&lt;1,(EE$176-1)*12&lt;-$F312),0,OFFSET(EE142,0,$F312))</f>
        <v>0</v>
      </c>
      <c r="EF312" s="58">
        <f t="shared" ca="1" si="720"/>
        <v>0</v>
      </c>
      <c r="EG312" s="58">
        <f t="shared" ca="1" si="720"/>
        <v>0</v>
      </c>
      <c r="EH312" s="58">
        <f t="shared" ca="1" si="720"/>
        <v>0</v>
      </c>
      <c r="EI312" s="58">
        <f t="shared" ca="1" si="720"/>
        <v>0</v>
      </c>
      <c r="EJ312" s="58">
        <f t="shared" ca="1" si="720"/>
        <v>0</v>
      </c>
      <c r="EK312" s="58">
        <f t="shared" ca="1" si="720"/>
        <v>0</v>
      </c>
      <c r="EL312" s="58">
        <f t="shared" ca="1" si="720"/>
        <v>0</v>
      </c>
      <c r="EM312" s="58">
        <f t="shared" ca="1" si="720"/>
        <v>0</v>
      </c>
      <c r="EN312" s="58">
        <f t="shared" ca="1" si="720"/>
        <v>0</v>
      </c>
      <c r="EO312" s="58">
        <f t="shared" ca="1" si="720"/>
        <v>0</v>
      </c>
      <c r="EP312" s="58">
        <f t="shared" ca="1" si="720"/>
        <v>0</v>
      </c>
      <c r="EQ312" s="58">
        <f t="shared" ca="1" si="720"/>
        <v>0</v>
      </c>
      <c r="ER312" s="58">
        <f t="shared" ca="1" si="720"/>
        <v>0</v>
      </c>
      <c r="ES312" s="58">
        <f t="shared" ca="1" si="720"/>
        <v>0</v>
      </c>
      <c r="ET312" s="58">
        <f t="shared" ca="1" si="720"/>
        <v>0</v>
      </c>
      <c r="EU312" s="58">
        <f t="shared" ca="1" si="720"/>
        <v>0</v>
      </c>
      <c r="EV312" s="58">
        <f t="shared" ca="1" si="720"/>
        <v>0</v>
      </c>
      <c r="EW312" s="58">
        <f t="shared" ca="1" si="720"/>
        <v>0</v>
      </c>
      <c r="EX312" s="58">
        <f t="shared" ca="1" si="720"/>
        <v>0</v>
      </c>
      <c r="EY312" s="58">
        <f t="shared" ca="1" si="720"/>
        <v>0</v>
      </c>
      <c r="EZ312" s="58">
        <f t="shared" ca="1" si="720"/>
        <v>0</v>
      </c>
      <c r="FA312" s="58">
        <f t="shared" ca="1" si="720"/>
        <v>0</v>
      </c>
      <c r="FB312" s="58">
        <f t="shared" ca="1" si="720"/>
        <v>0</v>
      </c>
      <c r="FC312" s="58">
        <f t="shared" ca="1" si="720"/>
        <v>0</v>
      </c>
      <c r="FD312" s="58">
        <f t="shared" ca="1" si="720"/>
        <v>0</v>
      </c>
      <c r="FE312" s="58">
        <f t="shared" ca="1" si="720"/>
        <v>0</v>
      </c>
      <c r="FF312" s="58">
        <f t="shared" ca="1" si="720"/>
        <v>0</v>
      </c>
      <c r="FG312" s="58">
        <f t="shared" ca="1" si="720"/>
        <v>0</v>
      </c>
      <c r="FH312" s="58">
        <f t="shared" ca="1" si="720"/>
        <v>0</v>
      </c>
      <c r="FI312" s="58">
        <f t="shared" ca="1" si="720"/>
        <v>0</v>
      </c>
      <c r="FJ312" s="58">
        <f t="shared" ca="1" si="720"/>
        <v>0</v>
      </c>
      <c r="FK312" s="58">
        <f t="shared" ca="1" si="720"/>
        <v>0</v>
      </c>
      <c r="FL312" s="58">
        <f t="shared" ca="1" si="720"/>
        <v>0</v>
      </c>
      <c r="FM312" s="58">
        <f t="shared" ca="1" si="720"/>
        <v>0</v>
      </c>
      <c r="FN312" s="58">
        <f t="shared" ca="1" si="720"/>
        <v>0</v>
      </c>
      <c r="FO312" s="13"/>
    </row>
    <row r="313" spans="1:171" outlineLevel="1" x14ac:dyDescent="0.3">
      <c r="A313" s="13"/>
      <c r="B313" s="13"/>
      <c r="C313" s="13"/>
      <c r="D313" s="52">
        <f t="shared" si="683"/>
        <v>44287</v>
      </c>
      <c r="E313" s="53">
        <f t="shared" si="684"/>
        <v>2021</v>
      </c>
      <c r="F313" s="53">
        <f t="shared" si="685"/>
        <v>87</v>
      </c>
      <c r="G313" s="58">
        <f t="shared" ref="G313:AL313" ca="1" si="721">+IF(OR($F313+G$175&lt;1,(G$176-1)*12&lt;-$F313),0,OFFSET(G143,0,$F313))</f>
        <v>0</v>
      </c>
      <c r="H313" s="58">
        <f t="shared" ca="1" si="721"/>
        <v>0</v>
      </c>
      <c r="I313" s="58">
        <f t="shared" ca="1" si="721"/>
        <v>0</v>
      </c>
      <c r="J313" s="58">
        <f t="shared" ca="1" si="721"/>
        <v>0</v>
      </c>
      <c r="K313" s="58">
        <f t="shared" ca="1" si="721"/>
        <v>0</v>
      </c>
      <c r="L313" s="58">
        <f t="shared" ca="1" si="721"/>
        <v>0</v>
      </c>
      <c r="M313" s="58">
        <f t="shared" ca="1" si="721"/>
        <v>0</v>
      </c>
      <c r="N313" s="58">
        <f t="shared" ca="1" si="721"/>
        <v>0</v>
      </c>
      <c r="O313" s="58">
        <f t="shared" ca="1" si="721"/>
        <v>0</v>
      </c>
      <c r="P313" s="58">
        <f t="shared" ca="1" si="721"/>
        <v>0</v>
      </c>
      <c r="Q313" s="58">
        <f t="shared" ca="1" si="721"/>
        <v>0</v>
      </c>
      <c r="R313" s="58">
        <f t="shared" ca="1" si="721"/>
        <v>0</v>
      </c>
      <c r="S313" s="58">
        <f t="shared" ca="1" si="721"/>
        <v>0</v>
      </c>
      <c r="T313" s="58">
        <f t="shared" ca="1" si="721"/>
        <v>0</v>
      </c>
      <c r="U313" s="58">
        <f t="shared" ca="1" si="721"/>
        <v>0</v>
      </c>
      <c r="V313" s="58">
        <f t="shared" ca="1" si="721"/>
        <v>0</v>
      </c>
      <c r="W313" s="58">
        <f t="shared" ca="1" si="721"/>
        <v>0</v>
      </c>
      <c r="X313" s="58">
        <f t="shared" ca="1" si="721"/>
        <v>0</v>
      </c>
      <c r="Y313" s="58">
        <f t="shared" ca="1" si="721"/>
        <v>0</v>
      </c>
      <c r="Z313" s="58">
        <f t="shared" ca="1" si="721"/>
        <v>0</v>
      </c>
      <c r="AA313" s="58">
        <f t="shared" ca="1" si="721"/>
        <v>0</v>
      </c>
      <c r="AB313" s="58">
        <f t="shared" ca="1" si="721"/>
        <v>0</v>
      </c>
      <c r="AC313" s="58">
        <f t="shared" ca="1" si="721"/>
        <v>0</v>
      </c>
      <c r="AD313" s="58">
        <f t="shared" ca="1" si="721"/>
        <v>0</v>
      </c>
      <c r="AE313" s="58">
        <f t="shared" ca="1" si="721"/>
        <v>0</v>
      </c>
      <c r="AF313" s="58">
        <f t="shared" ca="1" si="721"/>
        <v>0</v>
      </c>
      <c r="AG313" s="58">
        <f t="shared" ca="1" si="721"/>
        <v>0</v>
      </c>
      <c r="AH313" s="58">
        <f t="shared" ca="1" si="721"/>
        <v>0</v>
      </c>
      <c r="AI313" s="58">
        <f t="shared" ca="1" si="721"/>
        <v>0</v>
      </c>
      <c r="AJ313" s="58">
        <f t="shared" ca="1" si="721"/>
        <v>0</v>
      </c>
      <c r="AK313" s="58">
        <f t="shared" ca="1" si="721"/>
        <v>0</v>
      </c>
      <c r="AL313" s="58">
        <f t="shared" ca="1" si="721"/>
        <v>0</v>
      </c>
      <c r="AM313" s="58">
        <f t="shared" ref="AM313:BR313" ca="1" si="722">+IF(OR($F313+AM$175&lt;1,(AM$176-1)*12&lt;-$F313),0,OFFSET(AM143,0,$F313))</f>
        <v>0</v>
      </c>
      <c r="AN313" s="58">
        <f t="shared" ca="1" si="722"/>
        <v>0</v>
      </c>
      <c r="AO313" s="58">
        <f t="shared" ca="1" si="722"/>
        <v>0</v>
      </c>
      <c r="AP313" s="58">
        <f t="shared" ca="1" si="722"/>
        <v>0</v>
      </c>
      <c r="AQ313" s="58">
        <f t="shared" ca="1" si="722"/>
        <v>0</v>
      </c>
      <c r="AR313" s="58">
        <f t="shared" ca="1" si="722"/>
        <v>0</v>
      </c>
      <c r="AS313" s="58">
        <f t="shared" ca="1" si="722"/>
        <v>0</v>
      </c>
      <c r="AT313" s="58">
        <f t="shared" ca="1" si="722"/>
        <v>0</v>
      </c>
      <c r="AU313" s="58">
        <f t="shared" ca="1" si="722"/>
        <v>0</v>
      </c>
      <c r="AV313" s="58">
        <f t="shared" ca="1" si="722"/>
        <v>0</v>
      </c>
      <c r="AW313" s="58">
        <f t="shared" ca="1" si="722"/>
        <v>0</v>
      </c>
      <c r="AX313" s="58">
        <f t="shared" ca="1" si="722"/>
        <v>0</v>
      </c>
      <c r="AY313" s="58">
        <f t="shared" ca="1" si="722"/>
        <v>0</v>
      </c>
      <c r="AZ313" s="58">
        <f t="shared" ca="1" si="722"/>
        <v>0</v>
      </c>
      <c r="BA313" s="58">
        <f t="shared" ca="1" si="722"/>
        <v>0</v>
      </c>
      <c r="BB313" s="58">
        <f t="shared" ca="1" si="722"/>
        <v>0</v>
      </c>
      <c r="BC313" s="58">
        <f t="shared" ca="1" si="722"/>
        <v>0</v>
      </c>
      <c r="BD313" s="58">
        <f t="shared" ca="1" si="722"/>
        <v>0</v>
      </c>
      <c r="BE313" s="58">
        <f t="shared" ca="1" si="722"/>
        <v>0</v>
      </c>
      <c r="BF313" s="58">
        <f t="shared" ca="1" si="722"/>
        <v>0</v>
      </c>
      <c r="BG313" s="58">
        <f t="shared" ca="1" si="722"/>
        <v>0</v>
      </c>
      <c r="BH313" s="58">
        <f t="shared" ca="1" si="722"/>
        <v>0</v>
      </c>
      <c r="BI313" s="58">
        <f t="shared" ca="1" si="722"/>
        <v>0</v>
      </c>
      <c r="BJ313" s="58">
        <f t="shared" ca="1" si="722"/>
        <v>0</v>
      </c>
      <c r="BK313" s="58">
        <f t="shared" ca="1" si="722"/>
        <v>0</v>
      </c>
      <c r="BL313" s="58">
        <f t="shared" ca="1" si="722"/>
        <v>0</v>
      </c>
      <c r="BM313" s="58">
        <f t="shared" ca="1" si="722"/>
        <v>0</v>
      </c>
      <c r="BN313" s="58">
        <f t="shared" ca="1" si="722"/>
        <v>0</v>
      </c>
      <c r="BO313" s="58">
        <f t="shared" ca="1" si="722"/>
        <v>0</v>
      </c>
      <c r="BP313" s="58">
        <f t="shared" ca="1" si="722"/>
        <v>0</v>
      </c>
      <c r="BQ313" s="58">
        <f t="shared" ca="1" si="722"/>
        <v>0</v>
      </c>
      <c r="BR313" s="58">
        <f t="shared" ca="1" si="722"/>
        <v>0</v>
      </c>
      <c r="BS313" s="58">
        <f t="shared" ref="BS313:CX313" ca="1" si="723">+IF(OR($F313+BS$175&lt;1,(BS$176-1)*12&lt;-$F313),0,OFFSET(BS143,0,$F313))</f>
        <v>0</v>
      </c>
      <c r="BT313" s="58">
        <f t="shared" ca="1" si="723"/>
        <v>0</v>
      </c>
      <c r="BU313" s="58">
        <f t="shared" ca="1" si="723"/>
        <v>0</v>
      </c>
      <c r="BV313" s="58">
        <f t="shared" ca="1" si="723"/>
        <v>0</v>
      </c>
      <c r="BW313" s="58">
        <f t="shared" ca="1" si="723"/>
        <v>0</v>
      </c>
      <c r="BX313" s="58">
        <f t="shared" ca="1" si="723"/>
        <v>0</v>
      </c>
      <c r="BY313" s="58">
        <f t="shared" ca="1" si="723"/>
        <v>0</v>
      </c>
      <c r="BZ313" s="58">
        <f t="shared" ca="1" si="723"/>
        <v>0</v>
      </c>
      <c r="CA313" s="58">
        <f t="shared" ca="1" si="723"/>
        <v>0</v>
      </c>
      <c r="CB313" s="58">
        <f t="shared" ca="1" si="723"/>
        <v>0</v>
      </c>
      <c r="CC313" s="58">
        <f t="shared" ca="1" si="723"/>
        <v>0</v>
      </c>
      <c r="CD313" s="58">
        <f t="shared" ca="1" si="723"/>
        <v>0</v>
      </c>
      <c r="CE313" s="58">
        <f t="shared" ca="1" si="723"/>
        <v>0</v>
      </c>
      <c r="CF313" s="58">
        <f t="shared" ca="1" si="723"/>
        <v>0</v>
      </c>
      <c r="CG313" s="58">
        <f t="shared" ca="1" si="723"/>
        <v>0</v>
      </c>
      <c r="CH313" s="58">
        <f t="shared" ca="1" si="723"/>
        <v>0</v>
      </c>
      <c r="CI313" s="58">
        <f t="shared" ca="1" si="723"/>
        <v>0</v>
      </c>
      <c r="CJ313" s="58">
        <f t="shared" ca="1" si="723"/>
        <v>0</v>
      </c>
      <c r="CK313" s="58">
        <f t="shared" ca="1" si="723"/>
        <v>0</v>
      </c>
      <c r="CL313" s="58">
        <f t="shared" ca="1" si="723"/>
        <v>0</v>
      </c>
      <c r="CM313" s="58">
        <f t="shared" ca="1" si="723"/>
        <v>0</v>
      </c>
      <c r="CN313" s="58">
        <f t="shared" ca="1" si="723"/>
        <v>0</v>
      </c>
      <c r="CO313" s="58">
        <f t="shared" ca="1" si="723"/>
        <v>0</v>
      </c>
      <c r="CP313" s="58">
        <f t="shared" ca="1" si="723"/>
        <v>0</v>
      </c>
      <c r="CQ313" s="58">
        <f t="shared" ca="1" si="723"/>
        <v>0</v>
      </c>
      <c r="CR313" s="58">
        <f t="shared" ca="1" si="723"/>
        <v>0</v>
      </c>
      <c r="CS313" s="58">
        <f t="shared" ca="1" si="723"/>
        <v>0</v>
      </c>
      <c r="CT313" s="58">
        <f t="shared" ca="1" si="723"/>
        <v>0</v>
      </c>
      <c r="CU313" s="58">
        <f t="shared" ca="1" si="723"/>
        <v>0</v>
      </c>
      <c r="CV313" s="58">
        <f t="shared" ca="1" si="723"/>
        <v>0</v>
      </c>
      <c r="CW313" s="58">
        <f t="shared" ca="1" si="723"/>
        <v>0</v>
      </c>
      <c r="CX313" s="58">
        <f t="shared" ca="1" si="723"/>
        <v>0</v>
      </c>
      <c r="CY313" s="58">
        <f t="shared" ref="CY313:ED313" ca="1" si="724">+IF(OR($F313+CY$175&lt;1,(CY$176-1)*12&lt;-$F313),0,OFFSET(CY143,0,$F313))</f>
        <v>0</v>
      </c>
      <c r="CZ313" s="58">
        <f t="shared" ca="1" si="724"/>
        <v>0</v>
      </c>
      <c r="DA313" s="58">
        <f t="shared" ca="1" si="724"/>
        <v>0</v>
      </c>
      <c r="DB313" s="58">
        <f t="shared" ca="1" si="724"/>
        <v>0</v>
      </c>
      <c r="DC313" s="58">
        <f t="shared" ca="1" si="724"/>
        <v>0</v>
      </c>
      <c r="DD313" s="58">
        <f t="shared" ca="1" si="724"/>
        <v>0</v>
      </c>
      <c r="DE313" s="58">
        <f t="shared" ca="1" si="724"/>
        <v>0</v>
      </c>
      <c r="DF313" s="58">
        <f t="shared" ca="1" si="724"/>
        <v>0</v>
      </c>
      <c r="DG313" s="58">
        <f t="shared" ca="1" si="724"/>
        <v>0</v>
      </c>
      <c r="DH313" s="58">
        <f t="shared" ca="1" si="724"/>
        <v>0</v>
      </c>
      <c r="DI313" s="58">
        <f t="shared" ca="1" si="724"/>
        <v>0</v>
      </c>
      <c r="DJ313" s="58">
        <f t="shared" ca="1" si="724"/>
        <v>0</v>
      </c>
      <c r="DK313" s="58">
        <f t="shared" ca="1" si="724"/>
        <v>0</v>
      </c>
      <c r="DL313" s="58">
        <f t="shared" ca="1" si="724"/>
        <v>0</v>
      </c>
      <c r="DM313" s="58">
        <f t="shared" ca="1" si="724"/>
        <v>0</v>
      </c>
      <c r="DN313" s="58">
        <f t="shared" ca="1" si="724"/>
        <v>0</v>
      </c>
      <c r="DO313" s="58">
        <f t="shared" ca="1" si="724"/>
        <v>0</v>
      </c>
      <c r="DP313" s="58">
        <f t="shared" ca="1" si="724"/>
        <v>0</v>
      </c>
      <c r="DQ313" s="58">
        <f t="shared" ca="1" si="724"/>
        <v>0</v>
      </c>
      <c r="DR313" s="58">
        <f t="shared" ca="1" si="724"/>
        <v>0</v>
      </c>
      <c r="DS313" s="58">
        <f t="shared" ca="1" si="724"/>
        <v>0</v>
      </c>
      <c r="DT313" s="58">
        <f t="shared" ca="1" si="724"/>
        <v>0</v>
      </c>
      <c r="DU313" s="58">
        <f t="shared" ca="1" si="724"/>
        <v>0</v>
      </c>
      <c r="DV313" s="58">
        <f t="shared" ca="1" si="724"/>
        <v>0</v>
      </c>
      <c r="DW313" s="58">
        <f t="shared" ca="1" si="724"/>
        <v>0</v>
      </c>
      <c r="DX313" s="58">
        <f t="shared" ca="1" si="724"/>
        <v>0</v>
      </c>
      <c r="DY313" s="58">
        <f t="shared" ca="1" si="724"/>
        <v>0</v>
      </c>
      <c r="DZ313" s="58">
        <f t="shared" ca="1" si="724"/>
        <v>0</v>
      </c>
      <c r="EA313" s="58">
        <f t="shared" ca="1" si="724"/>
        <v>0</v>
      </c>
      <c r="EB313" s="58">
        <f t="shared" ca="1" si="724"/>
        <v>0</v>
      </c>
      <c r="EC313" s="58">
        <f t="shared" ca="1" si="724"/>
        <v>0</v>
      </c>
      <c r="ED313" s="58">
        <f t="shared" ca="1" si="724"/>
        <v>0</v>
      </c>
      <c r="EE313" s="58">
        <f t="shared" ref="EE313:FN313" ca="1" si="725">+IF(OR($F313+EE$175&lt;1,(EE$176-1)*12&lt;-$F313),0,OFFSET(EE143,0,$F313))</f>
        <v>0</v>
      </c>
      <c r="EF313" s="58">
        <f t="shared" ca="1" si="725"/>
        <v>0</v>
      </c>
      <c r="EG313" s="58">
        <f t="shared" ca="1" si="725"/>
        <v>0</v>
      </c>
      <c r="EH313" s="58">
        <f t="shared" ca="1" si="725"/>
        <v>0</v>
      </c>
      <c r="EI313" s="58">
        <f t="shared" ca="1" si="725"/>
        <v>0</v>
      </c>
      <c r="EJ313" s="58">
        <f t="shared" ca="1" si="725"/>
        <v>0</v>
      </c>
      <c r="EK313" s="58">
        <f t="shared" ca="1" si="725"/>
        <v>0</v>
      </c>
      <c r="EL313" s="58">
        <f t="shared" ca="1" si="725"/>
        <v>0</v>
      </c>
      <c r="EM313" s="58">
        <f t="shared" ca="1" si="725"/>
        <v>0</v>
      </c>
      <c r="EN313" s="58">
        <f t="shared" ca="1" si="725"/>
        <v>0</v>
      </c>
      <c r="EO313" s="58">
        <f t="shared" ca="1" si="725"/>
        <v>0</v>
      </c>
      <c r="EP313" s="58">
        <f t="shared" ca="1" si="725"/>
        <v>0</v>
      </c>
      <c r="EQ313" s="58">
        <f t="shared" ca="1" si="725"/>
        <v>0</v>
      </c>
      <c r="ER313" s="58">
        <f t="shared" ca="1" si="725"/>
        <v>0</v>
      </c>
      <c r="ES313" s="58">
        <f t="shared" ca="1" si="725"/>
        <v>0</v>
      </c>
      <c r="ET313" s="58">
        <f t="shared" ca="1" si="725"/>
        <v>0</v>
      </c>
      <c r="EU313" s="58">
        <f t="shared" ca="1" si="725"/>
        <v>0</v>
      </c>
      <c r="EV313" s="58">
        <f t="shared" ca="1" si="725"/>
        <v>0</v>
      </c>
      <c r="EW313" s="58">
        <f t="shared" ca="1" si="725"/>
        <v>0</v>
      </c>
      <c r="EX313" s="58">
        <f t="shared" ca="1" si="725"/>
        <v>0</v>
      </c>
      <c r="EY313" s="58">
        <f t="shared" ca="1" si="725"/>
        <v>0</v>
      </c>
      <c r="EZ313" s="58">
        <f t="shared" ca="1" si="725"/>
        <v>0</v>
      </c>
      <c r="FA313" s="58">
        <f t="shared" ca="1" si="725"/>
        <v>0</v>
      </c>
      <c r="FB313" s="58">
        <f t="shared" ca="1" si="725"/>
        <v>0</v>
      </c>
      <c r="FC313" s="58">
        <f t="shared" ca="1" si="725"/>
        <v>0</v>
      </c>
      <c r="FD313" s="58">
        <f t="shared" ca="1" si="725"/>
        <v>0</v>
      </c>
      <c r="FE313" s="58">
        <f t="shared" ca="1" si="725"/>
        <v>0</v>
      </c>
      <c r="FF313" s="58">
        <f t="shared" ca="1" si="725"/>
        <v>0</v>
      </c>
      <c r="FG313" s="58">
        <f t="shared" ca="1" si="725"/>
        <v>0</v>
      </c>
      <c r="FH313" s="58">
        <f t="shared" ca="1" si="725"/>
        <v>0</v>
      </c>
      <c r="FI313" s="58">
        <f t="shared" ca="1" si="725"/>
        <v>0</v>
      </c>
      <c r="FJ313" s="58">
        <f t="shared" ca="1" si="725"/>
        <v>0</v>
      </c>
      <c r="FK313" s="58">
        <f t="shared" ca="1" si="725"/>
        <v>0</v>
      </c>
      <c r="FL313" s="58">
        <f t="shared" ca="1" si="725"/>
        <v>0</v>
      </c>
      <c r="FM313" s="58">
        <f t="shared" ca="1" si="725"/>
        <v>0</v>
      </c>
      <c r="FN313" s="58">
        <f t="shared" ca="1" si="725"/>
        <v>0</v>
      </c>
      <c r="FO313" s="13"/>
    </row>
    <row r="314" spans="1:171" outlineLevel="1" x14ac:dyDescent="0.3">
      <c r="A314" s="13"/>
      <c r="B314" s="13"/>
      <c r="C314" s="13"/>
      <c r="D314" s="52">
        <f t="shared" si="683"/>
        <v>44317</v>
      </c>
      <c r="E314" s="53">
        <f t="shared" si="684"/>
        <v>2021</v>
      </c>
      <c r="F314" s="53">
        <f t="shared" si="685"/>
        <v>88</v>
      </c>
      <c r="G314" s="58">
        <f t="shared" ref="G314:AL314" ca="1" si="726">+IF(OR($F314+G$175&lt;1,(G$176-1)*12&lt;-$F314),0,OFFSET(G144,0,$F314))</f>
        <v>0</v>
      </c>
      <c r="H314" s="58">
        <f t="shared" ca="1" si="726"/>
        <v>0</v>
      </c>
      <c r="I314" s="58">
        <f t="shared" ca="1" si="726"/>
        <v>0</v>
      </c>
      <c r="J314" s="58">
        <f t="shared" ca="1" si="726"/>
        <v>0</v>
      </c>
      <c r="K314" s="58">
        <f t="shared" ca="1" si="726"/>
        <v>0</v>
      </c>
      <c r="L314" s="58">
        <f t="shared" ca="1" si="726"/>
        <v>0</v>
      </c>
      <c r="M314" s="58">
        <f t="shared" ca="1" si="726"/>
        <v>0</v>
      </c>
      <c r="N314" s="58">
        <f t="shared" ca="1" si="726"/>
        <v>0</v>
      </c>
      <c r="O314" s="58">
        <f t="shared" ca="1" si="726"/>
        <v>0</v>
      </c>
      <c r="P314" s="58">
        <f t="shared" ca="1" si="726"/>
        <v>0</v>
      </c>
      <c r="Q314" s="58">
        <f t="shared" ca="1" si="726"/>
        <v>0</v>
      </c>
      <c r="R314" s="58">
        <f t="shared" ca="1" si="726"/>
        <v>0</v>
      </c>
      <c r="S314" s="58">
        <f t="shared" ca="1" si="726"/>
        <v>0</v>
      </c>
      <c r="T314" s="58">
        <f t="shared" ca="1" si="726"/>
        <v>0</v>
      </c>
      <c r="U314" s="58">
        <f t="shared" ca="1" si="726"/>
        <v>0</v>
      </c>
      <c r="V314" s="58">
        <f t="shared" ca="1" si="726"/>
        <v>0</v>
      </c>
      <c r="W314" s="58">
        <f t="shared" ca="1" si="726"/>
        <v>0</v>
      </c>
      <c r="X314" s="58">
        <f t="shared" ca="1" si="726"/>
        <v>0</v>
      </c>
      <c r="Y314" s="58">
        <f t="shared" ca="1" si="726"/>
        <v>0</v>
      </c>
      <c r="Z314" s="58">
        <f t="shared" ca="1" si="726"/>
        <v>0</v>
      </c>
      <c r="AA314" s="58">
        <f t="shared" ca="1" si="726"/>
        <v>0</v>
      </c>
      <c r="AB314" s="58">
        <f t="shared" ca="1" si="726"/>
        <v>0</v>
      </c>
      <c r="AC314" s="58">
        <f t="shared" ca="1" si="726"/>
        <v>0</v>
      </c>
      <c r="AD314" s="58">
        <f t="shared" ca="1" si="726"/>
        <v>0</v>
      </c>
      <c r="AE314" s="58">
        <f t="shared" ca="1" si="726"/>
        <v>0</v>
      </c>
      <c r="AF314" s="58">
        <f t="shared" ca="1" si="726"/>
        <v>0</v>
      </c>
      <c r="AG314" s="58">
        <f t="shared" ca="1" si="726"/>
        <v>0</v>
      </c>
      <c r="AH314" s="58">
        <f t="shared" ca="1" si="726"/>
        <v>0</v>
      </c>
      <c r="AI314" s="58">
        <f t="shared" ca="1" si="726"/>
        <v>0</v>
      </c>
      <c r="AJ314" s="58">
        <f t="shared" ca="1" si="726"/>
        <v>0</v>
      </c>
      <c r="AK314" s="58">
        <f t="shared" ca="1" si="726"/>
        <v>0</v>
      </c>
      <c r="AL314" s="58">
        <f t="shared" ca="1" si="726"/>
        <v>0</v>
      </c>
      <c r="AM314" s="58">
        <f t="shared" ref="AM314:BR314" ca="1" si="727">+IF(OR($F314+AM$175&lt;1,(AM$176-1)*12&lt;-$F314),0,OFFSET(AM144,0,$F314))</f>
        <v>0</v>
      </c>
      <c r="AN314" s="58">
        <f t="shared" ca="1" si="727"/>
        <v>0</v>
      </c>
      <c r="AO314" s="58">
        <f t="shared" ca="1" si="727"/>
        <v>0</v>
      </c>
      <c r="AP314" s="58">
        <f t="shared" ca="1" si="727"/>
        <v>0</v>
      </c>
      <c r="AQ314" s="58">
        <f t="shared" ca="1" si="727"/>
        <v>0</v>
      </c>
      <c r="AR314" s="58">
        <f t="shared" ca="1" si="727"/>
        <v>0</v>
      </c>
      <c r="AS314" s="58">
        <f t="shared" ca="1" si="727"/>
        <v>0</v>
      </c>
      <c r="AT314" s="58">
        <f t="shared" ca="1" si="727"/>
        <v>0</v>
      </c>
      <c r="AU314" s="58">
        <f t="shared" ca="1" si="727"/>
        <v>0</v>
      </c>
      <c r="AV314" s="58">
        <f t="shared" ca="1" si="727"/>
        <v>0</v>
      </c>
      <c r="AW314" s="58">
        <f t="shared" ca="1" si="727"/>
        <v>0</v>
      </c>
      <c r="AX314" s="58">
        <f t="shared" ca="1" si="727"/>
        <v>0</v>
      </c>
      <c r="AY314" s="58">
        <f t="shared" ca="1" si="727"/>
        <v>0</v>
      </c>
      <c r="AZ314" s="58">
        <f t="shared" ca="1" si="727"/>
        <v>0</v>
      </c>
      <c r="BA314" s="58">
        <f t="shared" ca="1" si="727"/>
        <v>0</v>
      </c>
      <c r="BB314" s="58">
        <f t="shared" ca="1" si="727"/>
        <v>0</v>
      </c>
      <c r="BC314" s="58">
        <f t="shared" ca="1" si="727"/>
        <v>0</v>
      </c>
      <c r="BD314" s="58">
        <f t="shared" ca="1" si="727"/>
        <v>0</v>
      </c>
      <c r="BE314" s="58">
        <f t="shared" ca="1" si="727"/>
        <v>0</v>
      </c>
      <c r="BF314" s="58">
        <f t="shared" ca="1" si="727"/>
        <v>0</v>
      </c>
      <c r="BG314" s="58">
        <f t="shared" ca="1" si="727"/>
        <v>0</v>
      </c>
      <c r="BH314" s="58">
        <f t="shared" ca="1" si="727"/>
        <v>0</v>
      </c>
      <c r="BI314" s="58">
        <f t="shared" ca="1" si="727"/>
        <v>0</v>
      </c>
      <c r="BJ314" s="58">
        <f t="shared" ca="1" si="727"/>
        <v>0</v>
      </c>
      <c r="BK314" s="58">
        <f t="shared" ca="1" si="727"/>
        <v>0</v>
      </c>
      <c r="BL314" s="58">
        <f t="shared" ca="1" si="727"/>
        <v>0</v>
      </c>
      <c r="BM314" s="58">
        <f t="shared" ca="1" si="727"/>
        <v>0</v>
      </c>
      <c r="BN314" s="58">
        <f t="shared" ca="1" si="727"/>
        <v>0</v>
      </c>
      <c r="BO314" s="58">
        <f t="shared" ca="1" si="727"/>
        <v>0</v>
      </c>
      <c r="BP314" s="58">
        <f t="shared" ca="1" si="727"/>
        <v>0</v>
      </c>
      <c r="BQ314" s="58">
        <f t="shared" ca="1" si="727"/>
        <v>0</v>
      </c>
      <c r="BR314" s="58">
        <f t="shared" ca="1" si="727"/>
        <v>0</v>
      </c>
      <c r="BS314" s="58">
        <f t="shared" ref="BS314:CX314" ca="1" si="728">+IF(OR($F314+BS$175&lt;1,(BS$176-1)*12&lt;-$F314),0,OFFSET(BS144,0,$F314))</f>
        <v>0</v>
      </c>
      <c r="BT314" s="58">
        <f t="shared" ca="1" si="728"/>
        <v>0</v>
      </c>
      <c r="BU314" s="58">
        <f t="shared" ca="1" si="728"/>
        <v>0</v>
      </c>
      <c r="BV314" s="58">
        <f t="shared" ca="1" si="728"/>
        <v>0</v>
      </c>
      <c r="BW314" s="58">
        <f t="shared" ca="1" si="728"/>
        <v>0</v>
      </c>
      <c r="BX314" s="58">
        <f t="shared" ca="1" si="728"/>
        <v>0</v>
      </c>
      <c r="BY314" s="58">
        <f t="shared" ca="1" si="728"/>
        <v>0</v>
      </c>
      <c r="BZ314" s="58">
        <f t="shared" ca="1" si="728"/>
        <v>0</v>
      </c>
      <c r="CA314" s="58">
        <f t="shared" ca="1" si="728"/>
        <v>0</v>
      </c>
      <c r="CB314" s="58">
        <f t="shared" ca="1" si="728"/>
        <v>0</v>
      </c>
      <c r="CC314" s="58">
        <f t="shared" ca="1" si="728"/>
        <v>0</v>
      </c>
      <c r="CD314" s="58">
        <f t="shared" ca="1" si="728"/>
        <v>0</v>
      </c>
      <c r="CE314" s="58">
        <f t="shared" ca="1" si="728"/>
        <v>0</v>
      </c>
      <c r="CF314" s="58">
        <f t="shared" ca="1" si="728"/>
        <v>0</v>
      </c>
      <c r="CG314" s="58">
        <f t="shared" ca="1" si="728"/>
        <v>0</v>
      </c>
      <c r="CH314" s="58">
        <f t="shared" ca="1" si="728"/>
        <v>0</v>
      </c>
      <c r="CI314" s="58">
        <f t="shared" ca="1" si="728"/>
        <v>0</v>
      </c>
      <c r="CJ314" s="58">
        <f t="shared" ca="1" si="728"/>
        <v>0</v>
      </c>
      <c r="CK314" s="58">
        <f t="shared" ca="1" si="728"/>
        <v>0</v>
      </c>
      <c r="CL314" s="58">
        <f t="shared" ca="1" si="728"/>
        <v>0</v>
      </c>
      <c r="CM314" s="58">
        <f t="shared" ca="1" si="728"/>
        <v>0</v>
      </c>
      <c r="CN314" s="58">
        <f t="shared" ca="1" si="728"/>
        <v>0</v>
      </c>
      <c r="CO314" s="58">
        <f t="shared" ca="1" si="728"/>
        <v>0</v>
      </c>
      <c r="CP314" s="58">
        <f t="shared" ca="1" si="728"/>
        <v>0</v>
      </c>
      <c r="CQ314" s="58">
        <f t="shared" ca="1" si="728"/>
        <v>0</v>
      </c>
      <c r="CR314" s="58">
        <f t="shared" ca="1" si="728"/>
        <v>0</v>
      </c>
      <c r="CS314" s="58">
        <f t="shared" ca="1" si="728"/>
        <v>0</v>
      </c>
      <c r="CT314" s="58">
        <f t="shared" ca="1" si="728"/>
        <v>0</v>
      </c>
      <c r="CU314" s="58">
        <f t="shared" ca="1" si="728"/>
        <v>0</v>
      </c>
      <c r="CV314" s="58">
        <f t="shared" ca="1" si="728"/>
        <v>0</v>
      </c>
      <c r="CW314" s="58">
        <f t="shared" ca="1" si="728"/>
        <v>0</v>
      </c>
      <c r="CX314" s="58">
        <f t="shared" ca="1" si="728"/>
        <v>0</v>
      </c>
      <c r="CY314" s="58">
        <f t="shared" ref="CY314:ED314" ca="1" si="729">+IF(OR($F314+CY$175&lt;1,(CY$176-1)*12&lt;-$F314),0,OFFSET(CY144,0,$F314))</f>
        <v>0</v>
      </c>
      <c r="CZ314" s="58">
        <f t="shared" ca="1" si="729"/>
        <v>0</v>
      </c>
      <c r="DA314" s="58">
        <f t="shared" ca="1" si="729"/>
        <v>0</v>
      </c>
      <c r="DB314" s="58">
        <f t="shared" ca="1" si="729"/>
        <v>0</v>
      </c>
      <c r="DC314" s="58">
        <f t="shared" ca="1" si="729"/>
        <v>0</v>
      </c>
      <c r="DD314" s="58">
        <f t="shared" ca="1" si="729"/>
        <v>0</v>
      </c>
      <c r="DE314" s="58">
        <f t="shared" ca="1" si="729"/>
        <v>0</v>
      </c>
      <c r="DF314" s="58">
        <f t="shared" ca="1" si="729"/>
        <v>0</v>
      </c>
      <c r="DG314" s="58">
        <f t="shared" ca="1" si="729"/>
        <v>0</v>
      </c>
      <c r="DH314" s="58">
        <f t="shared" ca="1" si="729"/>
        <v>0</v>
      </c>
      <c r="DI314" s="58">
        <f t="shared" ca="1" si="729"/>
        <v>0</v>
      </c>
      <c r="DJ314" s="58">
        <f t="shared" ca="1" si="729"/>
        <v>0</v>
      </c>
      <c r="DK314" s="58">
        <f t="shared" ca="1" si="729"/>
        <v>0</v>
      </c>
      <c r="DL314" s="58">
        <f t="shared" ca="1" si="729"/>
        <v>0</v>
      </c>
      <c r="DM314" s="58">
        <f t="shared" ca="1" si="729"/>
        <v>0</v>
      </c>
      <c r="DN314" s="58">
        <f t="shared" ca="1" si="729"/>
        <v>0</v>
      </c>
      <c r="DO314" s="58">
        <f t="shared" ca="1" si="729"/>
        <v>0</v>
      </c>
      <c r="DP314" s="58">
        <f t="shared" ca="1" si="729"/>
        <v>0</v>
      </c>
      <c r="DQ314" s="58">
        <f t="shared" ca="1" si="729"/>
        <v>0</v>
      </c>
      <c r="DR314" s="58">
        <f t="shared" ca="1" si="729"/>
        <v>0</v>
      </c>
      <c r="DS314" s="58">
        <f t="shared" ca="1" si="729"/>
        <v>0</v>
      </c>
      <c r="DT314" s="58">
        <f t="shared" ca="1" si="729"/>
        <v>0</v>
      </c>
      <c r="DU314" s="58">
        <f t="shared" ca="1" si="729"/>
        <v>0</v>
      </c>
      <c r="DV314" s="58">
        <f t="shared" ca="1" si="729"/>
        <v>0</v>
      </c>
      <c r="DW314" s="58">
        <f t="shared" ca="1" si="729"/>
        <v>0</v>
      </c>
      <c r="DX314" s="58">
        <f t="shared" ca="1" si="729"/>
        <v>0</v>
      </c>
      <c r="DY314" s="58">
        <f t="shared" ca="1" si="729"/>
        <v>0</v>
      </c>
      <c r="DZ314" s="58">
        <f t="shared" ca="1" si="729"/>
        <v>0</v>
      </c>
      <c r="EA314" s="58">
        <f t="shared" ca="1" si="729"/>
        <v>0</v>
      </c>
      <c r="EB314" s="58">
        <f t="shared" ca="1" si="729"/>
        <v>0</v>
      </c>
      <c r="EC314" s="58">
        <f t="shared" ca="1" si="729"/>
        <v>0</v>
      </c>
      <c r="ED314" s="58">
        <f t="shared" ca="1" si="729"/>
        <v>0</v>
      </c>
      <c r="EE314" s="58">
        <f t="shared" ref="EE314:FN314" ca="1" si="730">+IF(OR($F314+EE$175&lt;1,(EE$176-1)*12&lt;-$F314),0,OFFSET(EE144,0,$F314))</f>
        <v>0</v>
      </c>
      <c r="EF314" s="58">
        <f t="shared" ca="1" si="730"/>
        <v>0</v>
      </c>
      <c r="EG314" s="58">
        <f t="shared" ca="1" si="730"/>
        <v>0</v>
      </c>
      <c r="EH314" s="58">
        <f t="shared" ca="1" si="730"/>
        <v>0</v>
      </c>
      <c r="EI314" s="58">
        <f t="shared" ca="1" si="730"/>
        <v>0</v>
      </c>
      <c r="EJ314" s="58">
        <f t="shared" ca="1" si="730"/>
        <v>0</v>
      </c>
      <c r="EK314" s="58">
        <f t="shared" ca="1" si="730"/>
        <v>0</v>
      </c>
      <c r="EL314" s="58">
        <f t="shared" ca="1" si="730"/>
        <v>0</v>
      </c>
      <c r="EM314" s="58">
        <f t="shared" ca="1" si="730"/>
        <v>0</v>
      </c>
      <c r="EN314" s="58">
        <f t="shared" ca="1" si="730"/>
        <v>0</v>
      </c>
      <c r="EO314" s="58">
        <f t="shared" ca="1" si="730"/>
        <v>0</v>
      </c>
      <c r="EP314" s="58">
        <f t="shared" ca="1" si="730"/>
        <v>0</v>
      </c>
      <c r="EQ314" s="58">
        <f t="shared" ca="1" si="730"/>
        <v>0</v>
      </c>
      <c r="ER314" s="58">
        <f t="shared" ca="1" si="730"/>
        <v>0</v>
      </c>
      <c r="ES314" s="58">
        <f t="shared" ca="1" si="730"/>
        <v>0</v>
      </c>
      <c r="ET314" s="58">
        <f t="shared" ca="1" si="730"/>
        <v>0</v>
      </c>
      <c r="EU314" s="58">
        <f t="shared" ca="1" si="730"/>
        <v>0</v>
      </c>
      <c r="EV314" s="58">
        <f t="shared" ca="1" si="730"/>
        <v>0</v>
      </c>
      <c r="EW314" s="58">
        <f t="shared" ca="1" si="730"/>
        <v>0</v>
      </c>
      <c r="EX314" s="58">
        <f t="shared" ca="1" si="730"/>
        <v>0</v>
      </c>
      <c r="EY314" s="58">
        <f t="shared" ca="1" si="730"/>
        <v>0</v>
      </c>
      <c r="EZ314" s="58">
        <f t="shared" ca="1" si="730"/>
        <v>0</v>
      </c>
      <c r="FA314" s="58">
        <f t="shared" ca="1" si="730"/>
        <v>0</v>
      </c>
      <c r="FB314" s="58">
        <f t="shared" ca="1" si="730"/>
        <v>0</v>
      </c>
      <c r="FC314" s="58">
        <f t="shared" ca="1" si="730"/>
        <v>0</v>
      </c>
      <c r="FD314" s="58">
        <f t="shared" ca="1" si="730"/>
        <v>0</v>
      </c>
      <c r="FE314" s="58">
        <f t="shared" ca="1" si="730"/>
        <v>0</v>
      </c>
      <c r="FF314" s="58">
        <f t="shared" ca="1" si="730"/>
        <v>0</v>
      </c>
      <c r="FG314" s="58">
        <f t="shared" ca="1" si="730"/>
        <v>0</v>
      </c>
      <c r="FH314" s="58">
        <f t="shared" ca="1" si="730"/>
        <v>0</v>
      </c>
      <c r="FI314" s="58">
        <f t="shared" ca="1" si="730"/>
        <v>0</v>
      </c>
      <c r="FJ314" s="58">
        <f t="shared" ca="1" si="730"/>
        <v>0</v>
      </c>
      <c r="FK314" s="58">
        <f t="shared" ca="1" si="730"/>
        <v>0</v>
      </c>
      <c r="FL314" s="58">
        <f t="shared" ca="1" si="730"/>
        <v>0</v>
      </c>
      <c r="FM314" s="58">
        <f t="shared" ca="1" si="730"/>
        <v>0</v>
      </c>
      <c r="FN314" s="58">
        <f t="shared" ca="1" si="730"/>
        <v>0</v>
      </c>
      <c r="FO314" s="13"/>
    </row>
    <row r="315" spans="1:171" outlineLevel="1" x14ac:dyDescent="0.3">
      <c r="A315" s="13"/>
      <c r="B315" s="13"/>
      <c r="C315" s="13"/>
      <c r="D315" s="52">
        <f t="shared" si="683"/>
        <v>44348</v>
      </c>
      <c r="E315" s="53">
        <f t="shared" si="684"/>
        <v>2021</v>
      </c>
      <c r="F315" s="53">
        <f t="shared" si="685"/>
        <v>89</v>
      </c>
      <c r="G315" s="58">
        <f t="shared" ref="G315:AL315" ca="1" si="731">+IF(OR($F315+G$175&lt;1,(G$176-1)*12&lt;-$F315),0,OFFSET(G145,0,$F315))</f>
        <v>0</v>
      </c>
      <c r="H315" s="58">
        <f t="shared" ca="1" si="731"/>
        <v>0</v>
      </c>
      <c r="I315" s="58">
        <f t="shared" ca="1" si="731"/>
        <v>0</v>
      </c>
      <c r="J315" s="58">
        <f t="shared" ca="1" si="731"/>
        <v>0</v>
      </c>
      <c r="K315" s="58">
        <f t="shared" ca="1" si="731"/>
        <v>0</v>
      </c>
      <c r="L315" s="58">
        <f t="shared" ca="1" si="731"/>
        <v>0</v>
      </c>
      <c r="M315" s="58">
        <f t="shared" ca="1" si="731"/>
        <v>0</v>
      </c>
      <c r="N315" s="58">
        <f t="shared" ca="1" si="731"/>
        <v>0</v>
      </c>
      <c r="O315" s="58">
        <f t="shared" ca="1" si="731"/>
        <v>0</v>
      </c>
      <c r="P315" s="58">
        <f t="shared" ca="1" si="731"/>
        <v>0</v>
      </c>
      <c r="Q315" s="58">
        <f t="shared" ca="1" si="731"/>
        <v>0</v>
      </c>
      <c r="R315" s="58">
        <f t="shared" ca="1" si="731"/>
        <v>0</v>
      </c>
      <c r="S315" s="58">
        <f t="shared" ca="1" si="731"/>
        <v>0</v>
      </c>
      <c r="T315" s="58">
        <f t="shared" ca="1" si="731"/>
        <v>0</v>
      </c>
      <c r="U315" s="58">
        <f t="shared" ca="1" si="731"/>
        <v>0</v>
      </c>
      <c r="V315" s="58">
        <f t="shared" ca="1" si="731"/>
        <v>0</v>
      </c>
      <c r="W315" s="58">
        <f t="shared" ca="1" si="731"/>
        <v>0</v>
      </c>
      <c r="X315" s="58">
        <f t="shared" ca="1" si="731"/>
        <v>0</v>
      </c>
      <c r="Y315" s="58">
        <f t="shared" ca="1" si="731"/>
        <v>0</v>
      </c>
      <c r="Z315" s="58">
        <f t="shared" ca="1" si="731"/>
        <v>0</v>
      </c>
      <c r="AA315" s="58">
        <f t="shared" ca="1" si="731"/>
        <v>0</v>
      </c>
      <c r="AB315" s="58">
        <f t="shared" ca="1" si="731"/>
        <v>0</v>
      </c>
      <c r="AC315" s="58">
        <f t="shared" ca="1" si="731"/>
        <v>0</v>
      </c>
      <c r="AD315" s="58">
        <f t="shared" ca="1" si="731"/>
        <v>0</v>
      </c>
      <c r="AE315" s="58">
        <f t="shared" ca="1" si="731"/>
        <v>0</v>
      </c>
      <c r="AF315" s="58">
        <f t="shared" ca="1" si="731"/>
        <v>0</v>
      </c>
      <c r="AG315" s="58">
        <f t="shared" ca="1" si="731"/>
        <v>0</v>
      </c>
      <c r="AH315" s="58">
        <f t="shared" ca="1" si="731"/>
        <v>0</v>
      </c>
      <c r="AI315" s="58">
        <f t="shared" ca="1" si="731"/>
        <v>0</v>
      </c>
      <c r="AJ315" s="58">
        <f t="shared" ca="1" si="731"/>
        <v>0</v>
      </c>
      <c r="AK315" s="58">
        <f t="shared" ca="1" si="731"/>
        <v>0</v>
      </c>
      <c r="AL315" s="58">
        <f t="shared" ca="1" si="731"/>
        <v>0</v>
      </c>
      <c r="AM315" s="58">
        <f t="shared" ref="AM315:BR315" ca="1" si="732">+IF(OR($F315+AM$175&lt;1,(AM$176-1)*12&lt;-$F315),0,OFFSET(AM145,0,$F315))</f>
        <v>0</v>
      </c>
      <c r="AN315" s="58">
        <f t="shared" ca="1" si="732"/>
        <v>0</v>
      </c>
      <c r="AO315" s="58">
        <f t="shared" ca="1" si="732"/>
        <v>0</v>
      </c>
      <c r="AP315" s="58">
        <f t="shared" ca="1" si="732"/>
        <v>0</v>
      </c>
      <c r="AQ315" s="58">
        <f t="shared" ca="1" si="732"/>
        <v>0</v>
      </c>
      <c r="AR315" s="58">
        <f t="shared" ca="1" si="732"/>
        <v>0</v>
      </c>
      <c r="AS315" s="58">
        <f t="shared" ca="1" si="732"/>
        <v>0</v>
      </c>
      <c r="AT315" s="58">
        <f t="shared" ca="1" si="732"/>
        <v>0</v>
      </c>
      <c r="AU315" s="58">
        <f t="shared" ca="1" si="732"/>
        <v>0</v>
      </c>
      <c r="AV315" s="58">
        <f t="shared" ca="1" si="732"/>
        <v>0</v>
      </c>
      <c r="AW315" s="58">
        <f t="shared" ca="1" si="732"/>
        <v>0</v>
      </c>
      <c r="AX315" s="58">
        <f t="shared" ca="1" si="732"/>
        <v>0</v>
      </c>
      <c r="AY315" s="58">
        <f t="shared" ca="1" si="732"/>
        <v>0</v>
      </c>
      <c r="AZ315" s="58">
        <f t="shared" ca="1" si="732"/>
        <v>0</v>
      </c>
      <c r="BA315" s="58">
        <f t="shared" ca="1" si="732"/>
        <v>0</v>
      </c>
      <c r="BB315" s="58">
        <f t="shared" ca="1" si="732"/>
        <v>0</v>
      </c>
      <c r="BC315" s="58">
        <f t="shared" ca="1" si="732"/>
        <v>0</v>
      </c>
      <c r="BD315" s="58">
        <f t="shared" ca="1" si="732"/>
        <v>0</v>
      </c>
      <c r="BE315" s="58">
        <f t="shared" ca="1" si="732"/>
        <v>0</v>
      </c>
      <c r="BF315" s="58">
        <f t="shared" ca="1" si="732"/>
        <v>0</v>
      </c>
      <c r="BG315" s="58">
        <f t="shared" ca="1" si="732"/>
        <v>0</v>
      </c>
      <c r="BH315" s="58">
        <f t="shared" ca="1" si="732"/>
        <v>0</v>
      </c>
      <c r="BI315" s="58">
        <f t="shared" ca="1" si="732"/>
        <v>0</v>
      </c>
      <c r="BJ315" s="58">
        <f t="shared" ca="1" si="732"/>
        <v>0</v>
      </c>
      <c r="BK315" s="58">
        <f t="shared" ca="1" si="732"/>
        <v>0</v>
      </c>
      <c r="BL315" s="58">
        <f t="shared" ca="1" si="732"/>
        <v>0</v>
      </c>
      <c r="BM315" s="58">
        <f t="shared" ca="1" si="732"/>
        <v>0</v>
      </c>
      <c r="BN315" s="58">
        <f t="shared" ca="1" si="732"/>
        <v>0</v>
      </c>
      <c r="BO315" s="58">
        <f t="shared" ca="1" si="732"/>
        <v>0</v>
      </c>
      <c r="BP315" s="58">
        <f t="shared" ca="1" si="732"/>
        <v>0</v>
      </c>
      <c r="BQ315" s="58">
        <f t="shared" ca="1" si="732"/>
        <v>0</v>
      </c>
      <c r="BR315" s="58">
        <f t="shared" ca="1" si="732"/>
        <v>0</v>
      </c>
      <c r="BS315" s="58">
        <f t="shared" ref="BS315:CX315" ca="1" si="733">+IF(OR($F315+BS$175&lt;1,(BS$176-1)*12&lt;-$F315),0,OFFSET(BS145,0,$F315))</f>
        <v>0</v>
      </c>
      <c r="BT315" s="58">
        <f t="shared" ca="1" si="733"/>
        <v>0</v>
      </c>
      <c r="BU315" s="58">
        <f t="shared" ca="1" si="733"/>
        <v>0</v>
      </c>
      <c r="BV315" s="58">
        <f t="shared" ca="1" si="733"/>
        <v>0</v>
      </c>
      <c r="BW315" s="58">
        <f t="shared" ca="1" si="733"/>
        <v>0</v>
      </c>
      <c r="BX315" s="58">
        <f t="shared" ca="1" si="733"/>
        <v>0</v>
      </c>
      <c r="BY315" s="58">
        <f t="shared" ca="1" si="733"/>
        <v>0</v>
      </c>
      <c r="BZ315" s="58">
        <f t="shared" ca="1" si="733"/>
        <v>0</v>
      </c>
      <c r="CA315" s="58">
        <f t="shared" ca="1" si="733"/>
        <v>0</v>
      </c>
      <c r="CB315" s="58">
        <f t="shared" ca="1" si="733"/>
        <v>0</v>
      </c>
      <c r="CC315" s="58">
        <f t="shared" ca="1" si="733"/>
        <v>0</v>
      </c>
      <c r="CD315" s="58">
        <f t="shared" ca="1" si="733"/>
        <v>0</v>
      </c>
      <c r="CE315" s="58">
        <f t="shared" ca="1" si="733"/>
        <v>0</v>
      </c>
      <c r="CF315" s="58">
        <f t="shared" ca="1" si="733"/>
        <v>0</v>
      </c>
      <c r="CG315" s="58">
        <f t="shared" ca="1" si="733"/>
        <v>0</v>
      </c>
      <c r="CH315" s="58">
        <f t="shared" ca="1" si="733"/>
        <v>0</v>
      </c>
      <c r="CI315" s="58">
        <f t="shared" ca="1" si="733"/>
        <v>0</v>
      </c>
      <c r="CJ315" s="58">
        <f t="shared" ca="1" si="733"/>
        <v>0</v>
      </c>
      <c r="CK315" s="58">
        <f t="shared" ca="1" si="733"/>
        <v>0</v>
      </c>
      <c r="CL315" s="58">
        <f t="shared" ca="1" si="733"/>
        <v>0</v>
      </c>
      <c r="CM315" s="58">
        <f t="shared" ca="1" si="733"/>
        <v>0</v>
      </c>
      <c r="CN315" s="58">
        <f t="shared" ca="1" si="733"/>
        <v>0</v>
      </c>
      <c r="CO315" s="58">
        <f t="shared" ca="1" si="733"/>
        <v>0</v>
      </c>
      <c r="CP315" s="58">
        <f t="shared" ca="1" si="733"/>
        <v>0</v>
      </c>
      <c r="CQ315" s="58">
        <f t="shared" ca="1" si="733"/>
        <v>0</v>
      </c>
      <c r="CR315" s="58">
        <f t="shared" ca="1" si="733"/>
        <v>0</v>
      </c>
      <c r="CS315" s="58">
        <f t="shared" ca="1" si="733"/>
        <v>0</v>
      </c>
      <c r="CT315" s="58">
        <f t="shared" ca="1" si="733"/>
        <v>0</v>
      </c>
      <c r="CU315" s="58">
        <f t="shared" ca="1" si="733"/>
        <v>0</v>
      </c>
      <c r="CV315" s="58">
        <f t="shared" ca="1" si="733"/>
        <v>0</v>
      </c>
      <c r="CW315" s="58">
        <f t="shared" ca="1" si="733"/>
        <v>0</v>
      </c>
      <c r="CX315" s="58">
        <f t="shared" ca="1" si="733"/>
        <v>0</v>
      </c>
      <c r="CY315" s="58">
        <f t="shared" ref="CY315:ED315" ca="1" si="734">+IF(OR($F315+CY$175&lt;1,(CY$176-1)*12&lt;-$F315),0,OFFSET(CY145,0,$F315))</f>
        <v>0</v>
      </c>
      <c r="CZ315" s="58">
        <f t="shared" ca="1" si="734"/>
        <v>0</v>
      </c>
      <c r="DA315" s="58">
        <f t="shared" ca="1" si="734"/>
        <v>0</v>
      </c>
      <c r="DB315" s="58">
        <f t="shared" ca="1" si="734"/>
        <v>0</v>
      </c>
      <c r="DC315" s="58">
        <f t="shared" ca="1" si="734"/>
        <v>0</v>
      </c>
      <c r="DD315" s="58">
        <f t="shared" ca="1" si="734"/>
        <v>0</v>
      </c>
      <c r="DE315" s="58">
        <f t="shared" ca="1" si="734"/>
        <v>0</v>
      </c>
      <c r="DF315" s="58">
        <f t="shared" ca="1" si="734"/>
        <v>0</v>
      </c>
      <c r="DG315" s="58">
        <f t="shared" ca="1" si="734"/>
        <v>0</v>
      </c>
      <c r="DH315" s="58">
        <f t="shared" ca="1" si="734"/>
        <v>0</v>
      </c>
      <c r="DI315" s="58">
        <f t="shared" ca="1" si="734"/>
        <v>0</v>
      </c>
      <c r="DJ315" s="58">
        <f t="shared" ca="1" si="734"/>
        <v>0</v>
      </c>
      <c r="DK315" s="58">
        <f t="shared" ca="1" si="734"/>
        <v>0</v>
      </c>
      <c r="DL315" s="58">
        <f t="shared" ca="1" si="734"/>
        <v>0</v>
      </c>
      <c r="DM315" s="58">
        <f t="shared" ca="1" si="734"/>
        <v>0</v>
      </c>
      <c r="DN315" s="58">
        <f t="shared" ca="1" si="734"/>
        <v>0</v>
      </c>
      <c r="DO315" s="58">
        <f t="shared" ca="1" si="734"/>
        <v>0</v>
      </c>
      <c r="DP315" s="58">
        <f t="shared" ca="1" si="734"/>
        <v>0</v>
      </c>
      <c r="DQ315" s="58">
        <f t="shared" ca="1" si="734"/>
        <v>0</v>
      </c>
      <c r="DR315" s="58">
        <f t="shared" ca="1" si="734"/>
        <v>0</v>
      </c>
      <c r="DS315" s="58">
        <f t="shared" ca="1" si="734"/>
        <v>0</v>
      </c>
      <c r="DT315" s="58">
        <f t="shared" ca="1" si="734"/>
        <v>0</v>
      </c>
      <c r="DU315" s="58">
        <f t="shared" ca="1" si="734"/>
        <v>0</v>
      </c>
      <c r="DV315" s="58">
        <f t="shared" ca="1" si="734"/>
        <v>0</v>
      </c>
      <c r="DW315" s="58">
        <f t="shared" ca="1" si="734"/>
        <v>0</v>
      </c>
      <c r="DX315" s="58">
        <f t="shared" ca="1" si="734"/>
        <v>0</v>
      </c>
      <c r="DY315" s="58">
        <f t="shared" ca="1" si="734"/>
        <v>0</v>
      </c>
      <c r="DZ315" s="58">
        <f t="shared" ca="1" si="734"/>
        <v>0</v>
      </c>
      <c r="EA315" s="58">
        <f t="shared" ca="1" si="734"/>
        <v>0</v>
      </c>
      <c r="EB315" s="58">
        <f t="shared" ca="1" si="734"/>
        <v>0</v>
      </c>
      <c r="EC315" s="58">
        <f t="shared" ca="1" si="734"/>
        <v>0</v>
      </c>
      <c r="ED315" s="58">
        <f t="shared" ca="1" si="734"/>
        <v>0</v>
      </c>
      <c r="EE315" s="58">
        <f t="shared" ref="EE315:FN315" ca="1" si="735">+IF(OR($F315+EE$175&lt;1,(EE$176-1)*12&lt;-$F315),0,OFFSET(EE145,0,$F315))</f>
        <v>0</v>
      </c>
      <c r="EF315" s="58">
        <f t="shared" ca="1" si="735"/>
        <v>0</v>
      </c>
      <c r="EG315" s="58">
        <f t="shared" ca="1" si="735"/>
        <v>0</v>
      </c>
      <c r="EH315" s="58">
        <f t="shared" ca="1" si="735"/>
        <v>0</v>
      </c>
      <c r="EI315" s="58">
        <f t="shared" ca="1" si="735"/>
        <v>0</v>
      </c>
      <c r="EJ315" s="58">
        <f t="shared" ca="1" si="735"/>
        <v>0</v>
      </c>
      <c r="EK315" s="58">
        <f t="shared" ca="1" si="735"/>
        <v>0</v>
      </c>
      <c r="EL315" s="58">
        <f t="shared" ca="1" si="735"/>
        <v>0</v>
      </c>
      <c r="EM315" s="58">
        <f t="shared" ca="1" si="735"/>
        <v>0</v>
      </c>
      <c r="EN315" s="58">
        <f t="shared" ca="1" si="735"/>
        <v>0</v>
      </c>
      <c r="EO315" s="58">
        <f t="shared" ca="1" si="735"/>
        <v>0</v>
      </c>
      <c r="EP315" s="58">
        <f t="shared" ca="1" si="735"/>
        <v>0</v>
      </c>
      <c r="EQ315" s="58">
        <f t="shared" ca="1" si="735"/>
        <v>0</v>
      </c>
      <c r="ER315" s="58">
        <f t="shared" ca="1" si="735"/>
        <v>0</v>
      </c>
      <c r="ES315" s="58">
        <f t="shared" ca="1" si="735"/>
        <v>0</v>
      </c>
      <c r="ET315" s="58">
        <f t="shared" ca="1" si="735"/>
        <v>0</v>
      </c>
      <c r="EU315" s="58">
        <f t="shared" ca="1" si="735"/>
        <v>0</v>
      </c>
      <c r="EV315" s="58">
        <f t="shared" ca="1" si="735"/>
        <v>0</v>
      </c>
      <c r="EW315" s="58">
        <f t="shared" ca="1" si="735"/>
        <v>0</v>
      </c>
      <c r="EX315" s="58">
        <f t="shared" ca="1" si="735"/>
        <v>0</v>
      </c>
      <c r="EY315" s="58">
        <f t="shared" ca="1" si="735"/>
        <v>0</v>
      </c>
      <c r="EZ315" s="58">
        <f t="shared" ca="1" si="735"/>
        <v>0</v>
      </c>
      <c r="FA315" s="58">
        <f t="shared" ca="1" si="735"/>
        <v>0</v>
      </c>
      <c r="FB315" s="58">
        <f t="shared" ca="1" si="735"/>
        <v>0</v>
      </c>
      <c r="FC315" s="58">
        <f t="shared" ca="1" si="735"/>
        <v>0</v>
      </c>
      <c r="FD315" s="58">
        <f t="shared" ca="1" si="735"/>
        <v>0</v>
      </c>
      <c r="FE315" s="58">
        <f t="shared" ca="1" si="735"/>
        <v>0</v>
      </c>
      <c r="FF315" s="58">
        <f t="shared" ca="1" si="735"/>
        <v>0</v>
      </c>
      <c r="FG315" s="58">
        <f t="shared" ca="1" si="735"/>
        <v>0</v>
      </c>
      <c r="FH315" s="58">
        <f t="shared" ca="1" si="735"/>
        <v>0</v>
      </c>
      <c r="FI315" s="58">
        <f t="shared" ca="1" si="735"/>
        <v>0</v>
      </c>
      <c r="FJ315" s="58">
        <f t="shared" ca="1" si="735"/>
        <v>0</v>
      </c>
      <c r="FK315" s="58">
        <f t="shared" ca="1" si="735"/>
        <v>0</v>
      </c>
      <c r="FL315" s="58">
        <f t="shared" ca="1" si="735"/>
        <v>0</v>
      </c>
      <c r="FM315" s="58">
        <f t="shared" ca="1" si="735"/>
        <v>0</v>
      </c>
      <c r="FN315" s="58">
        <f t="shared" ca="1" si="735"/>
        <v>0</v>
      </c>
      <c r="FO315" s="13"/>
    </row>
    <row r="316" spans="1:171" outlineLevel="1" x14ac:dyDescent="0.3">
      <c r="A316" s="13"/>
      <c r="B316" s="13"/>
      <c r="C316" s="13"/>
      <c r="D316" s="52">
        <f t="shared" si="683"/>
        <v>44378</v>
      </c>
      <c r="E316" s="53">
        <f t="shared" si="684"/>
        <v>2021</v>
      </c>
      <c r="F316" s="53">
        <f t="shared" si="685"/>
        <v>90</v>
      </c>
      <c r="G316" s="58">
        <f t="shared" ref="G316:AL316" ca="1" si="736">+IF(OR($F316+G$175&lt;1,(G$176-1)*12&lt;-$F316),0,OFFSET(G146,0,$F316))</f>
        <v>0</v>
      </c>
      <c r="H316" s="58">
        <f t="shared" ca="1" si="736"/>
        <v>0</v>
      </c>
      <c r="I316" s="58">
        <f t="shared" ca="1" si="736"/>
        <v>0</v>
      </c>
      <c r="J316" s="58">
        <f t="shared" ca="1" si="736"/>
        <v>0</v>
      </c>
      <c r="K316" s="58">
        <f t="shared" ca="1" si="736"/>
        <v>0</v>
      </c>
      <c r="L316" s="58">
        <f t="shared" ca="1" si="736"/>
        <v>0</v>
      </c>
      <c r="M316" s="58">
        <f t="shared" ca="1" si="736"/>
        <v>0</v>
      </c>
      <c r="N316" s="58">
        <f t="shared" ca="1" si="736"/>
        <v>0</v>
      </c>
      <c r="O316" s="58">
        <f t="shared" ca="1" si="736"/>
        <v>0</v>
      </c>
      <c r="P316" s="58">
        <f t="shared" ca="1" si="736"/>
        <v>0</v>
      </c>
      <c r="Q316" s="58">
        <f t="shared" ca="1" si="736"/>
        <v>0</v>
      </c>
      <c r="R316" s="58">
        <f t="shared" ca="1" si="736"/>
        <v>0</v>
      </c>
      <c r="S316" s="58">
        <f t="shared" ca="1" si="736"/>
        <v>0</v>
      </c>
      <c r="T316" s="58">
        <f t="shared" ca="1" si="736"/>
        <v>0</v>
      </c>
      <c r="U316" s="58">
        <f t="shared" ca="1" si="736"/>
        <v>0</v>
      </c>
      <c r="V316" s="58">
        <f t="shared" ca="1" si="736"/>
        <v>0</v>
      </c>
      <c r="W316" s="58">
        <f t="shared" ca="1" si="736"/>
        <v>0</v>
      </c>
      <c r="X316" s="58">
        <f t="shared" ca="1" si="736"/>
        <v>0</v>
      </c>
      <c r="Y316" s="58">
        <f t="shared" ca="1" si="736"/>
        <v>0</v>
      </c>
      <c r="Z316" s="58">
        <f t="shared" ca="1" si="736"/>
        <v>0</v>
      </c>
      <c r="AA316" s="58">
        <f t="shared" ca="1" si="736"/>
        <v>0</v>
      </c>
      <c r="AB316" s="58">
        <f t="shared" ca="1" si="736"/>
        <v>0</v>
      </c>
      <c r="AC316" s="58">
        <f t="shared" ca="1" si="736"/>
        <v>0</v>
      </c>
      <c r="AD316" s="58">
        <f t="shared" ca="1" si="736"/>
        <v>0</v>
      </c>
      <c r="AE316" s="58">
        <f t="shared" ca="1" si="736"/>
        <v>0</v>
      </c>
      <c r="AF316" s="58">
        <f t="shared" ca="1" si="736"/>
        <v>0</v>
      </c>
      <c r="AG316" s="58">
        <f t="shared" ca="1" si="736"/>
        <v>0</v>
      </c>
      <c r="AH316" s="58">
        <f t="shared" ca="1" si="736"/>
        <v>0</v>
      </c>
      <c r="AI316" s="58">
        <f t="shared" ca="1" si="736"/>
        <v>0</v>
      </c>
      <c r="AJ316" s="58">
        <f t="shared" ca="1" si="736"/>
        <v>0</v>
      </c>
      <c r="AK316" s="58">
        <f t="shared" ca="1" si="736"/>
        <v>0</v>
      </c>
      <c r="AL316" s="58">
        <f t="shared" ca="1" si="736"/>
        <v>0</v>
      </c>
      <c r="AM316" s="58">
        <f t="shared" ref="AM316:BR316" ca="1" si="737">+IF(OR($F316+AM$175&lt;1,(AM$176-1)*12&lt;-$F316),0,OFFSET(AM146,0,$F316))</f>
        <v>0</v>
      </c>
      <c r="AN316" s="58">
        <f t="shared" ca="1" si="737"/>
        <v>0</v>
      </c>
      <c r="AO316" s="58">
        <f t="shared" ca="1" si="737"/>
        <v>0</v>
      </c>
      <c r="AP316" s="58">
        <f t="shared" ca="1" si="737"/>
        <v>0</v>
      </c>
      <c r="AQ316" s="58">
        <f t="shared" ca="1" si="737"/>
        <v>0</v>
      </c>
      <c r="AR316" s="58">
        <f t="shared" ca="1" si="737"/>
        <v>0</v>
      </c>
      <c r="AS316" s="58">
        <f t="shared" ca="1" si="737"/>
        <v>0</v>
      </c>
      <c r="AT316" s="58">
        <f t="shared" ca="1" si="737"/>
        <v>0</v>
      </c>
      <c r="AU316" s="58">
        <f t="shared" ca="1" si="737"/>
        <v>0</v>
      </c>
      <c r="AV316" s="58">
        <f t="shared" ca="1" si="737"/>
        <v>0</v>
      </c>
      <c r="AW316" s="58">
        <f t="shared" ca="1" si="737"/>
        <v>0</v>
      </c>
      <c r="AX316" s="58">
        <f t="shared" ca="1" si="737"/>
        <v>0</v>
      </c>
      <c r="AY316" s="58">
        <f t="shared" ca="1" si="737"/>
        <v>0</v>
      </c>
      <c r="AZ316" s="58">
        <f t="shared" ca="1" si="737"/>
        <v>0</v>
      </c>
      <c r="BA316" s="58">
        <f t="shared" ca="1" si="737"/>
        <v>0</v>
      </c>
      <c r="BB316" s="58">
        <f t="shared" ca="1" si="737"/>
        <v>0</v>
      </c>
      <c r="BC316" s="58">
        <f t="shared" ca="1" si="737"/>
        <v>0</v>
      </c>
      <c r="BD316" s="58">
        <f t="shared" ca="1" si="737"/>
        <v>0</v>
      </c>
      <c r="BE316" s="58">
        <f t="shared" ca="1" si="737"/>
        <v>0</v>
      </c>
      <c r="BF316" s="58">
        <f t="shared" ca="1" si="737"/>
        <v>0</v>
      </c>
      <c r="BG316" s="58">
        <f t="shared" ca="1" si="737"/>
        <v>0</v>
      </c>
      <c r="BH316" s="58">
        <f t="shared" ca="1" si="737"/>
        <v>0</v>
      </c>
      <c r="BI316" s="58">
        <f t="shared" ca="1" si="737"/>
        <v>0</v>
      </c>
      <c r="BJ316" s="58">
        <f t="shared" ca="1" si="737"/>
        <v>0</v>
      </c>
      <c r="BK316" s="58">
        <f t="shared" ca="1" si="737"/>
        <v>0</v>
      </c>
      <c r="BL316" s="58">
        <f t="shared" ca="1" si="737"/>
        <v>0</v>
      </c>
      <c r="BM316" s="58">
        <f t="shared" ca="1" si="737"/>
        <v>0</v>
      </c>
      <c r="BN316" s="58">
        <f t="shared" ca="1" si="737"/>
        <v>0</v>
      </c>
      <c r="BO316" s="58">
        <f t="shared" ca="1" si="737"/>
        <v>0</v>
      </c>
      <c r="BP316" s="58">
        <f t="shared" ca="1" si="737"/>
        <v>0</v>
      </c>
      <c r="BQ316" s="58">
        <f t="shared" ca="1" si="737"/>
        <v>0</v>
      </c>
      <c r="BR316" s="58">
        <f t="shared" ca="1" si="737"/>
        <v>0</v>
      </c>
      <c r="BS316" s="58">
        <f t="shared" ref="BS316:CX316" ca="1" si="738">+IF(OR($F316+BS$175&lt;1,(BS$176-1)*12&lt;-$F316),0,OFFSET(BS146,0,$F316))</f>
        <v>0</v>
      </c>
      <c r="BT316" s="58">
        <f t="shared" ca="1" si="738"/>
        <v>0</v>
      </c>
      <c r="BU316" s="58">
        <f t="shared" ca="1" si="738"/>
        <v>0</v>
      </c>
      <c r="BV316" s="58">
        <f t="shared" ca="1" si="738"/>
        <v>0</v>
      </c>
      <c r="BW316" s="58">
        <f t="shared" ca="1" si="738"/>
        <v>0</v>
      </c>
      <c r="BX316" s="58">
        <f t="shared" ca="1" si="738"/>
        <v>0</v>
      </c>
      <c r="BY316" s="58">
        <f t="shared" ca="1" si="738"/>
        <v>0</v>
      </c>
      <c r="BZ316" s="58">
        <f t="shared" ca="1" si="738"/>
        <v>0</v>
      </c>
      <c r="CA316" s="58">
        <f t="shared" ca="1" si="738"/>
        <v>0</v>
      </c>
      <c r="CB316" s="58">
        <f t="shared" ca="1" si="738"/>
        <v>0</v>
      </c>
      <c r="CC316" s="58">
        <f t="shared" ca="1" si="738"/>
        <v>0</v>
      </c>
      <c r="CD316" s="58">
        <f t="shared" ca="1" si="738"/>
        <v>0</v>
      </c>
      <c r="CE316" s="58">
        <f t="shared" ca="1" si="738"/>
        <v>0</v>
      </c>
      <c r="CF316" s="58">
        <f t="shared" ca="1" si="738"/>
        <v>0</v>
      </c>
      <c r="CG316" s="58">
        <f t="shared" ca="1" si="738"/>
        <v>0</v>
      </c>
      <c r="CH316" s="58">
        <f t="shared" ca="1" si="738"/>
        <v>0</v>
      </c>
      <c r="CI316" s="58">
        <f t="shared" ca="1" si="738"/>
        <v>0</v>
      </c>
      <c r="CJ316" s="58">
        <f t="shared" ca="1" si="738"/>
        <v>0</v>
      </c>
      <c r="CK316" s="58">
        <f t="shared" ca="1" si="738"/>
        <v>0</v>
      </c>
      <c r="CL316" s="58">
        <f t="shared" ca="1" si="738"/>
        <v>0</v>
      </c>
      <c r="CM316" s="58">
        <f t="shared" ca="1" si="738"/>
        <v>0</v>
      </c>
      <c r="CN316" s="58">
        <f t="shared" ca="1" si="738"/>
        <v>0</v>
      </c>
      <c r="CO316" s="58">
        <f t="shared" ca="1" si="738"/>
        <v>0</v>
      </c>
      <c r="CP316" s="58">
        <f t="shared" ca="1" si="738"/>
        <v>0</v>
      </c>
      <c r="CQ316" s="58">
        <f t="shared" ca="1" si="738"/>
        <v>0</v>
      </c>
      <c r="CR316" s="58">
        <f t="shared" ca="1" si="738"/>
        <v>0</v>
      </c>
      <c r="CS316" s="58">
        <f t="shared" ca="1" si="738"/>
        <v>0</v>
      </c>
      <c r="CT316" s="58">
        <f t="shared" ca="1" si="738"/>
        <v>0</v>
      </c>
      <c r="CU316" s="58">
        <f t="shared" ca="1" si="738"/>
        <v>0</v>
      </c>
      <c r="CV316" s="58">
        <f t="shared" ca="1" si="738"/>
        <v>0</v>
      </c>
      <c r="CW316" s="58">
        <f t="shared" ca="1" si="738"/>
        <v>0</v>
      </c>
      <c r="CX316" s="58">
        <f t="shared" ca="1" si="738"/>
        <v>0</v>
      </c>
      <c r="CY316" s="58">
        <f t="shared" ref="CY316:ED316" ca="1" si="739">+IF(OR($F316+CY$175&lt;1,(CY$176-1)*12&lt;-$F316),0,OFFSET(CY146,0,$F316))</f>
        <v>0</v>
      </c>
      <c r="CZ316" s="58">
        <f t="shared" ca="1" si="739"/>
        <v>0</v>
      </c>
      <c r="DA316" s="58">
        <f t="shared" ca="1" si="739"/>
        <v>0</v>
      </c>
      <c r="DB316" s="58">
        <f t="shared" ca="1" si="739"/>
        <v>0</v>
      </c>
      <c r="DC316" s="58">
        <f t="shared" ca="1" si="739"/>
        <v>0</v>
      </c>
      <c r="DD316" s="58">
        <f t="shared" ca="1" si="739"/>
        <v>0</v>
      </c>
      <c r="DE316" s="58">
        <f t="shared" ca="1" si="739"/>
        <v>0</v>
      </c>
      <c r="DF316" s="58">
        <f t="shared" ca="1" si="739"/>
        <v>0</v>
      </c>
      <c r="DG316" s="58">
        <f t="shared" ca="1" si="739"/>
        <v>0</v>
      </c>
      <c r="DH316" s="58">
        <f t="shared" ca="1" si="739"/>
        <v>0</v>
      </c>
      <c r="DI316" s="58">
        <f t="shared" ca="1" si="739"/>
        <v>0</v>
      </c>
      <c r="DJ316" s="58">
        <f t="shared" ca="1" si="739"/>
        <v>0</v>
      </c>
      <c r="DK316" s="58">
        <f t="shared" ca="1" si="739"/>
        <v>0</v>
      </c>
      <c r="DL316" s="58">
        <f t="shared" ca="1" si="739"/>
        <v>0</v>
      </c>
      <c r="DM316" s="58">
        <f t="shared" ca="1" si="739"/>
        <v>0</v>
      </c>
      <c r="DN316" s="58">
        <f t="shared" ca="1" si="739"/>
        <v>0</v>
      </c>
      <c r="DO316" s="58">
        <f t="shared" ca="1" si="739"/>
        <v>0</v>
      </c>
      <c r="DP316" s="58">
        <f t="shared" ca="1" si="739"/>
        <v>0</v>
      </c>
      <c r="DQ316" s="58">
        <f t="shared" ca="1" si="739"/>
        <v>0</v>
      </c>
      <c r="DR316" s="58">
        <f t="shared" ca="1" si="739"/>
        <v>0</v>
      </c>
      <c r="DS316" s="58">
        <f t="shared" ca="1" si="739"/>
        <v>0</v>
      </c>
      <c r="DT316" s="58">
        <f t="shared" ca="1" si="739"/>
        <v>0</v>
      </c>
      <c r="DU316" s="58">
        <f t="shared" ca="1" si="739"/>
        <v>0</v>
      </c>
      <c r="DV316" s="58">
        <f t="shared" ca="1" si="739"/>
        <v>0</v>
      </c>
      <c r="DW316" s="58">
        <f t="shared" ca="1" si="739"/>
        <v>0</v>
      </c>
      <c r="DX316" s="58">
        <f t="shared" ca="1" si="739"/>
        <v>0</v>
      </c>
      <c r="DY316" s="58">
        <f t="shared" ca="1" si="739"/>
        <v>0</v>
      </c>
      <c r="DZ316" s="58">
        <f t="shared" ca="1" si="739"/>
        <v>0</v>
      </c>
      <c r="EA316" s="58">
        <f t="shared" ca="1" si="739"/>
        <v>0</v>
      </c>
      <c r="EB316" s="58">
        <f t="shared" ca="1" si="739"/>
        <v>0</v>
      </c>
      <c r="EC316" s="58">
        <f t="shared" ca="1" si="739"/>
        <v>0</v>
      </c>
      <c r="ED316" s="58">
        <f t="shared" ca="1" si="739"/>
        <v>0</v>
      </c>
      <c r="EE316" s="58">
        <f t="shared" ref="EE316:FN316" ca="1" si="740">+IF(OR($F316+EE$175&lt;1,(EE$176-1)*12&lt;-$F316),0,OFFSET(EE146,0,$F316))</f>
        <v>0</v>
      </c>
      <c r="EF316" s="58">
        <f t="shared" ca="1" si="740"/>
        <v>0</v>
      </c>
      <c r="EG316" s="58">
        <f t="shared" ca="1" si="740"/>
        <v>0</v>
      </c>
      <c r="EH316" s="58">
        <f t="shared" ca="1" si="740"/>
        <v>0</v>
      </c>
      <c r="EI316" s="58">
        <f t="shared" ca="1" si="740"/>
        <v>0</v>
      </c>
      <c r="EJ316" s="58">
        <f t="shared" ca="1" si="740"/>
        <v>0</v>
      </c>
      <c r="EK316" s="58">
        <f t="shared" ca="1" si="740"/>
        <v>0</v>
      </c>
      <c r="EL316" s="58">
        <f t="shared" ca="1" si="740"/>
        <v>0</v>
      </c>
      <c r="EM316" s="58">
        <f t="shared" ca="1" si="740"/>
        <v>0</v>
      </c>
      <c r="EN316" s="58">
        <f t="shared" ca="1" si="740"/>
        <v>0</v>
      </c>
      <c r="EO316" s="58">
        <f t="shared" ca="1" si="740"/>
        <v>0</v>
      </c>
      <c r="EP316" s="58">
        <f t="shared" ca="1" si="740"/>
        <v>0</v>
      </c>
      <c r="EQ316" s="58">
        <f t="shared" ca="1" si="740"/>
        <v>0</v>
      </c>
      <c r="ER316" s="58">
        <f t="shared" ca="1" si="740"/>
        <v>0</v>
      </c>
      <c r="ES316" s="58">
        <f t="shared" ca="1" si="740"/>
        <v>0</v>
      </c>
      <c r="ET316" s="58">
        <f t="shared" ca="1" si="740"/>
        <v>0</v>
      </c>
      <c r="EU316" s="58">
        <f t="shared" ca="1" si="740"/>
        <v>0</v>
      </c>
      <c r="EV316" s="58">
        <f t="shared" ca="1" si="740"/>
        <v>0</v>
      </c>
      <c r="EW316" s="58">
        <f t="shared" ca="1" si="740"/>
        <v>0</v>
      </c>
      <c r="EX316" s="58">
        <f t="shared" ca="1" si="740"/>
        <v>0</v>
      </c>
      <c r="EY316" s="58">
        <f t="shared" ca="1" si="740"/>
        <v>0</v>
      </c>
      <c r="EZ316" s="58">
        <f t="shared" ca="1" si="740"/>
        <v>0</v>
      </c>
      <c r="FA316" s="58">
        <f t="shared" ca="1" si="740"/>
        <v>0</v>
      </c>
      <c r="FB316" s="58">
        <f t="shared" ca="1" si="740"/>
        <v>0</v>
      </c>
      <c r="FC316" s="58">
        <f t="shared" ca="1" si="740"/>
        <v>0</v>
      </c>
      <c r="FD316" s="58">
        <f t="shared" ca="1" si="740"/>
        <v>0</v>
      </c>
      <c r="FE316" s="58">
        <f t="shared" ca="1" si="740"/>
        <v>0</v>
      </c>
      <c r="FF316" s="58">
        <f t="shared" ca="1" si="740"/>
        <v>0</v>
      </c>
      <c r="FG316" s="58">
        <f t="shared" ca="1" si="740"/>
        <v>0</v>
      </c>
      <c r="FH316" s="58">
        <f t="shared" ca="1" si="740"/>
        <v>0</v>
      </c>
      <c r="FI316" s="58">
        <f t="shared" ca="1" si="740"/>
        <v>0</v>
      </c>
      <c r="FJ316" s="58">
        <f t="shared" ca="1" si="740"/>
        <v>0</v>
      </c>
      <c r="FK316" s="58">
        <f t="shared" ca="1" si="740"/>
        <v>0</v>
      </c>
      <c r="FL316" s="58">
        <f t="shared" ca="1" si="740"/>
        <v>0</v>
      </c>
      <c r="FM316" s="58">
        <f t="shared" ca="1" si="740"/>
        <v>0</v>
      </c>
      <c r="FN316" s="58">
        <f t="shared" ca="1" si="740"/>
        <v>0</v>
      </c>
      <c r="FO316" s="13"/>
    </row>
    <row r="317" spans="1:171" outlineLevel="1" x14ac:dyDescent="0.3">
      <c r="A317" s="13"/>
      <c r="B317" s="13"/>
      <c r="C317" s="13"/>
      <c r="D317" s="52">
        <f t="shared" si="683"/>
        <v>44409</v>
      </c>
      <c r="E317" s="53">
        <f t="shared" si="684"/>
        <v>2021</v>
      </c>
      <c r="F317" s="53">
        <f t="shared" si="685"/>
        <v>91</v>
      </c>
      <c r="G317" s="58">
        <f t="shared" ref="G317:AL317" ca="1" si="741">+IF(OR($F317+G$175&lt;1,(G$176-1)*12&lt;-$F317),0,OFFSET(G147,0,$F317))</f>
        <v>0</v>
      </c>
      <c r="H317" s="58">
        <f t="shared" ca="1" si="741"/>
        <v>0</v>
      </c>
      <c r="I317" s="58">
        <f t="shared" ca="1" si="741"/>
        <v>0</v>
      </c>
      <c r="J317" s="58">
        <f t="shared" ca="1" si="741"/>
        <v>0</v>
      </c>
      <c r="K317" s="58">
        <f t="shared" ca="1" si="741"/>
        <v>0</v>
      </c>
      <c r="L317" s="58">
        <f t="shared" ca="1" si="741"/>
        <v>0</v>
      </c>
      <c r="M317" s="58">
        <f t="shared" ca="1" si="741"/>
        <v>0</v>
      </c>
      <c r="N317" s="58">
        <f t="shared" ca="1" si="741"/>
        <v>0</v>
      </c>
      <c r="O317" s="58">
        <f t="shared" ca="1" si="741"/>
        <v>0</v>
      </c>
      <c r="P317" s="58">
        <f t="shared" ca="1" si="741"/>
        <v>0</v>
      </c>
      <c r="Q317" s="58">
        <f t="shared" ca="1" si="741"/>
        <v>0</v>
      </c>
      <c r="R317" s="58">
        <f t="shared" ca="1" si="741"/>
        <v>0</v>
      </c>
      <c r="S317" s="58">
        <f t="shared" ca="1" si="741"/>
        <v>0</v>
      </c>
      <c r="T317" s="58">
        <f t="shared" ca="1" si="741"/>
        <v>0</v>
      </c>
      <c r="U317" s="58">
        <f t="shared" ca="1" si="741"/>
        <v>0</v>
      </c>
      <c r="V317" s="58">
        <f t="shared" ca="1" si="741"/>
        <v>0</v>
      </c>
      <c r="W317" s="58">
        <f t="shared" ca="1" si="741"/>
        <v>0</v>
      </c>
      <c r="X317" s="58">
        <f t="shared" ca="1" si="741"/>
        <v>0</v>
      </c>
      <c r="Y317" s="58">
        <f t="shared" ca="1" si="741"/>
        <v>0</v>
      </c>
      <c r="Z317" s="58">
        <f t="shared" ca="1" si="741"/>
        <v>0</v>
      </c>
      <c r="AA317" s="58">
        <f t="shared" ca="1" si="741"/>
        <v>0</v>
      </c>
      <c r="AB317" s="58">
        <f t="shared" ca="1" si="741"/>
        <v>0</v>
      </c>
      <c r="AC317" s="58">
        <f t="shared" ca="1" si="741"/>
        <v>0</v>
      </c>
      <c r="AD317" s="58">
        <f t="shared" ca="1" si="741"/>
        <v>0</v>
      </c>
      <c r="AE317" s="58">
        <f t="shared" ca="1" si="741"/>
        <v>0</v>
      </c>
      <c r="AF317" s="58">
        <f t="shared" ca="1" si="741"/>
        <v>0</v>
      </c>
      <c r="AG317" s="58">
        <f t="shared" ca="1" si="741"/>
        <v>0</v>
      </c>
      <c r="AH317" s="58">
        <f t="shared" ca="1" si="741"/>
        <v>0</v>
      </c>
      <c r="AI317" s="58">
        <f t="shared" ca="1" si="741"/>
        <v>0</v>
      </c>
      <c r="AJ317" s="58">
        <f t="shared" ca="1" si="741"/>
        <v>0</v>
      </c>
      <c r="AK317" s="58">
        <f t="shared" ca="1" si="741"/>
        <v>0</v>
      </c>
      <c r="AL317" s="58">
        <f t="shared" ca="1" si="741"/>
        <v>0</v>
      </c>
      <c r="AM317" s="58">
        <f t="shared" ref="AM317:BR317" ca="1" si="742">+IF(OR($F317+AM$175&lt;1,(AM$176-1)*12&lt;-$F317),0,OFFSET(AM147,0,$F317))</f>
        <v>0</v>
      </c>
      <c r="AN317" s="58">
        <f t="shared" ca="1" si="742"/>
        <v>0</v>
      </c>
      <c r="AO317" s="58">
        <f t="shared" ca="1" si="742"/>
        <v>0</v>
      </c>
      <c r="AP317" s="58">
        <f t="shared" ca="1" si="742"/>
        <v>0</v>
      </c>
      <c r="AQ317" s="58">
        <f t="shared" ca="1" si="742"/>
        <v>0</v>
      </c>
      <c r="AR317" s="58">
        <f t="shared" ca="1" si="742"/>
        <v>0</v>
      </c>
      <c r="AS317" s="58">
        <f t="shared" ca="1" si="742"/>
        <v>0</v>
      </c>
      <c r="AT317" s="58">
        <f t="shared" ca="1" si="742"/>
        <v>0</v>
      </c>
      <c r="AU317" s="58">
        <f t="shared" ca="1" si="742"/>
        <v>0</v>
      </c>
      <c r="AV317" s="58">
        <f t="shared" ca="1" si="742"/>
        <v>0</v>
      </c>
      <c r="AW317" s="58">
        <f t="shared" ca="1" si="742"/>
        <v>0</v>
      </c>
      <c r="AX317" s="58">
        <f t="shared" ca="1" si="742"/>
        <v>0</v>
      </c>
      <c r="AY317" s="58">
        <f t="shared" ca="1" si="742"/>
        <v>0</v>
      </c>
      <c r="AZ317" s="58">
        <f t="shared" ca="1" si="742"/>
        <v>0</v>
      </c>
      <c r="BA317" s="58">
        <f t="shared" ca="1" si="742"/>
        <v>0</v>
      </c>
      <c r="BB317" s="58">
        <f t="shared" ca="1" si="742"/>
        <v>0</v>
      </c>
      <c r="BC317" s="58">
        <f t="shared" ca="1" si="742"/>
        <v>0</v>
      </c>
      <c r="BD317" s="58">
        <f t="shared" ca="1" si="742"/>
        <v>0</v>
      </c>
      <c r="BE317" s="58">
        <f t="shared" ca="1" si="742"/>
        <v>0</v>
      </c>
      <c r="BF317" s="58">
        <f t="shared" ca="1" si="742"/>
        <v>0</v>
      </c>
      <c r="BG317" s="58">
        <f t="shared" ca="1" si="742"/>
        <v>0</v>
      </c>
      <c r="BH317" s="58">
        <f t="shared" ca="1" si="742"/>
        <v>0</v>
      </c>
      <c r="BI317" s="58">
        <f t="shared" ca="1" si="742"/>
        <v>0</v>
      </c>
      <c r="BJ317" s="58">
        <f t="shared" ca="1" si="742"/>
        <v>0</v>
      </c>
      <c r="BK317" s="58">
        <f t="shared" ca="1" si="742"/>
        <v>0</v>
      </c>
      <c r="BL317" s="58">
        <f t="shared" ca="1" si="742"/>
        <v>0</v>
      </c>
      <c r="BM317" s="58">
        <f t="shared" ca="1" si="742"/>
        <v>0</v>
      </c>
      <c r="BN317" s="58">
        <f t="shared" ca="1" si="742"/>
        <v>0</v>
      </c>
      <c r="BO317" s="58">
        <f t="shared" ca="1" si="742"/>
        <v>0</v>
      </c>
      <c r="BP317" s="58">
        <f t="shared" ca="1" si="742"/>
        <v>0</v>
      </c>
      <c r="BQ317" s="58">
        <f t="shared" ca="1" si="742"/>
        <v>0</v>
      </c>
      <c r="BR317" s="58">
        <f t="shared" ca="1" si="742"/>
        <v>0</v>
      </c>
      <c r="BS317" s="58">
        <f t="shared" ref="BS317:CX317" ca="1" si="743">+IF(OR($F317+BS$175&lt;1,(BS$176-1)*12&lt;-$F317),0,OFFSET(BS147,0,$F317))</f>
        <v>0</v>
      </c>
      <c r="BT317" s="58">
        <f t="shared" ca="1" si="743"/>
        <v>0</v>
      </c>
      <c r="BU317" s="58">
        <f t="shared" ca="1" si="743"/>
        <v>0</v>
      </c>
      <c r="BV317" s="58">
        <f t="shared" ca="1" si="743"/>
        <v>0</v>
      </c>
      <c r="BW317" s="58">
        <f t="shared" ca="1" si="743"/>
        <v>0</v>
      </c>
      <c r="BX317" s="58">
        <f t="shared" ca="1" si="743"/>
        <v>0</v>
      </c>
      <c r="BY317" s="58">
        <f t="shared" ca="1" si="743"/>
        <v>0</v>
      </c>
      <c r="BZ317" s="58">
        <f t="shared" ca="1" si="743"/>
        <v>0</v>
      </c>
      <c r="CA317" s="58">
        <f t="shared" ca="1" si="743"/>
        <v>0</v>
      </c>
      <c r="CB317" s="58">
        <f t="shared" ca="1" si="743"/>
        <v>0</v>
      </c>
      <c r="CC317" s="58">
        <f t="shared" ca="1" si="743"/>
        <v>0</v>
      </c>
      <c r="CD317" s="58">
        <f t="shared" ca="1" si="743"/>
        <v>0</v>
      </c>
      <c r="CE317" s="58">
        <f t="shared" ca="1" si="743"/>
        <v>0</v>
      </c>
      <c r="CF317" s="58">
        <f t="shared" ca="1" si="743"/>
        <v>0</v>
      </c>
      <c r="CG317" s="58">
        <f t="shared" ca="1" si="743"/>
        <v>0</v>
      </c>
      <c r="CH317" s="58">
        <f t="shared" ca="1" si="743"/>
        <v>0</v>
      </c>
      <c r="CI317" s="58">
        <f t="shared" ca="1" si="743"/>
        <v>0</v>
      </c>
      <c r="CJ317" s="58">
        <f t="shared" ca="1" si="743"/>
        <v>0</v>
      </c>
      <c r="CK317" s="58">
        <f t="shared" ca="1" si="743"/>
        <v>0</v>
      </c>
      <c r="CL317" s="58">
        <f t="shared" ca="1" si="743"/>
        <v>0</v>
      </c>
      <c r="CM317" s="58">
        <f t="shared" ca="1" si="743"/>
        <v>0</v>
      </c>
      <c r="CN317" s="58">
        <f t="shared" ca="1" si="743"/>
        <v>0</v>
      </c>
      <c r="CO317" s="58">
        <f t="shared" ca="1" si="743"/>
        <v>0</v>
      </c>
      <c r="CP317" s="58">
        <f t="shared" ca="1" si="743"/>
        <v>0</v>
      </c>
      <c r="CQ317" s="58">
        <f t="shared" ca="1" si="743"/>
        <v>0</v>
      </c>
      <c r="CR317" s="58">
        <f t="shared" ca="1" si="743"/>
        <v>0</v>
      </c>
      <c r="CS317" s="58">
        <f t="shared" ca="1" si="743"/>
        <v>0</v>
      </c>
      <c r="CT317" s="58">
        <f t="shared" ca="1" si="743"/>
        <v>0</v>
      </c>
      <c r="CU317" s="58">
        <f t="shared" ca="1" si="743"/>
        <v>0</v>
      </c>
      <c r="CV317" s="58">
        <f t="shared" ca="1" si="743"/>
        <v>0</v>
      </c>
      <c r="CW317" s="58">
        <f t="shared" ca="1" si="743"/>
        <v>0</v>
      </c>
      <c r="CX317" s="58">
        <f t="shared" ca="1" si="743"/>
        <v>0</v>
      </c>
      <c r="CY317" s="58">
        <f t="shared" ref="CY317:ED317" ca="1" si="744">+IF(OR($F317+CY$175&lt;1,(CY$176-1)*12&lt;-$F317),0,OFFSET(CY147,0,$F317))</f>
        <v>0</v>
      </c>
      <c r="CZ317" s="58">
        <f t="shared" ca="1" si="744"/>
        <v>0</v>
      </c>
      <c r="DA317" s="58">
        <f t="shared" ca="1" si="744"/>
        <v>0</v>
      </c>
      <c r="DB317" s="58">
        <f t="shared" ca="1" si="744"/>
        <v>0</v>
      </c>
      <c r="DC317" s="58">
        <f t="shared" ca="1" si="744"/>
        <v>0</v>
      </c>
      <c r="DD317" s="58">
        <f t="shared" ca="1" si="744"/>
        <v>0</v>
      </c>
      <c r="DE317" s="58">
        <f t="shared" ca="1" si="744"/>
        <v>0</v>
      </c>
      <c r="DF317" s="58">
        <f t="shared" ca="1" si="744"/>
        <v>0</v>
      </c>
      <c r="DG317" s="58">
        <f t="shared" ca="1" si="744"/>
        <v>0</v>
      </c>
      <c r="DH317" s="58">
        <f t="shared" ca="1" si="744"/>
        <v>0</v>
      </c>
      <c r="DI317" s="58">
        <f t="shared" ca="1" si="744"/>
        <v>0</v>
      </c>
      <c r="DJ317" s="58">
        <f t="shared" ca="1" si="744"/>
        <v>0</v>
      </c>
      <c r="DK317" s="58">
        <f t="shared" ca="1" si="744"/>
        <v>0</v>
      </c>
      <c r="DL317" s="58">
        <f t="shared" ca="1" si="744"/>
        <v>0</v>
      </c>
      <c r="DM317" s="58">
        <f t="shared" ca="1" si="744"/>
        <v>0</v>
      </c>
      <c r="DN317" s="58">
        <f t="shared" ca="1" si="744"/>
        <v>0</v>
      </c>
      <c r="DO317" s="58">
        <f t="shared" ca="1" si="744"/>
        <v>0</v>
      </c>
      <c r="DP317" s="58">
        <f t="shared" ca="1" si="744"/>
        <v>0</v>
      </c>
      <c r="DQ317" s="58">
        <f t="shared" ca="1" si="744"/>
        <v>0</v>
      </c>
      <c r="DR317" s="58">
        <f t="shared" ca="1" si="744"/>
        <v>0</v>
      </c>
      <c r="DS317" s="58">
        <f t="shared" ca="1" si="744"/>
        <v>0</v>
      </c>
      <c r="DT317" s="58">
        <f t="shared" ca="1" si="744"/>
        <v>0</v>
      </c>
      <c r="DU317" s="58">
        <f t="shared" ca="1" si="744"/>
        <v>0</v>
      </c>
      <c r="DV317" s="58">
        <f t="shared" ca="1" si="744"/>
        <v>0</v>
      </c>
      <c r="DW317" s="58">
        <f t="shared" ca="1" si="744"/>
        <v>0</v>
      </c>
      <c r="DX317" s="58">
        <f t="shared" ca="1" si="744"/>
        <v>0</v>
      </c>
      <c r="DY317" s="58">
        <f t="shared" ca="1" si="744"/>
        <v>0</v>
      </c>
      <c r="DZ317" s="58">
        <f t="shared" ca="1" si="744"/>
        <v>0</v>
      </c>
      <c r="EA317" s="58">
        <f t="shared" ca="1" si="744"/>
        <v>0</v>
      </c>
      <c r="EB317" s="58">
        <f t="shared" ca="1" si="744"/>
        <v>0</v>
      </c>
      <c r="EC317" s="58">
        <f t="shared" ca="1" si="744"/>
        <v>0</v>
      </c>
      <c r="ED317" s="58">
        <f t="shared" ca="1" si="744"/>
        <v>0</v>
      </c>
      <c r="EE317" s="58">
        <f t="shared" ref="EE317:FN317" ca="1" si="745">+IF(OR($F317+EE$175&lt;1,(EE$176-1)*12&lt;-$F317),0,OFFSET(EE147,0,$F317))</f>
        <v>0</v>
      </c>
      <c r="EF317" s="58">
        <f t="shared" ca="1" si="745"/>
        <v>0</v>
      </c>
      <c r="EG317" s="58">
        <f t="shared" ca="1" si="745"/>
        <v>0</v>
      </c>
      <c r="EH317" s="58">
        <f t="shared" ca="1" si="745"/>
        <v>0</v>
      </c>
      <c r="EI317" s="58">
        <f t="shared" ca="1" si="745"/>
        <v>0</v>
      </c>
      <c r="EJ317" s="58">
        <f t="shared" ca="1" si="745"/>
        <v>0</v>
      </c>
      <c r="EK317" s="58">
        <f t="shared" ca="1" si="745"/>
        <v>0</v>
      </c>
      <c r="EL317" s="58">
        <f t="shared" ca="1" si="745"/>
        <v>0</v>
      </c>
      <c r="EM317" s="58">
        <f t="shared" ca="1" si="745"/>
        <v>0</v>
      </c>
      <c r="EN317" s="58">
        <f t="shared" ca="1" si="745"/>
        <v>0</v>
      </c>
      <c r="EO317" s="58">
        <f t="shared" ca="1" si="745"/>
        <v>0</v>
      </c>
      <c r="EP317" s="58">
        <f t="shared" ca="1" si="745"/>
        <v>0</v>
      </c>
      <c r="EQ317" s="58">
        <f t="shared" ca="1" si="745"/>
        <v>0</v>
      </c>
      <c r="ER317" s="58">
        <f t="shared" ca="1" si="745"/>
        <v>0</v>
      </c>
      <c r="ES317" s="58">
        <f t="shared" ca="1" si="745"/>
        <v>0</v>
      </c>
      <c r="ET317" s="58">
        <f t="shared" ca="1" si="745"/>
        <v>0</v>
      </c>
      <c r="EU317" s="58">
        <f t="shared" ca="1" si="745"/>
        <v>0</v>
      </c>
      <c r="EV317" s="58">
        <f t="shared" ca="1" si="745"/>
        <v>0</v>
      </c>
      <c r="EW317" s="58">
        <f t="shared" ca="1" si="745"/>
        <v>0</v>
      </c>
      <c r="EX317" s="58">
        <f t="shared" ca="1" si="745"/>
        <v>0</v>
      </c>
      <c r="EY317" s="58">
        <f t="shared" ca="1" si="745"/>
        <v>0</v>
      </c>
      <c r="EZ317" s="58">
        <f t="shared" ca="1" si="745"/>
        <v>0</v>
      </c>
      <c r="FA317" s="58">
        <f t="shared" ca="1" si="745"/>
        <v>0</v>
      </c>
      <c r="FB317" s="58">
        <f t="shared" ca="1" si="745"/>
        <v>0</v>
      </c>
      <c r="FC317" s="58">
        <f t="shared" ca="1" si="745"/>
        <v>0</v>
      </c>
      <c r="FD317" s="58">
        <f t="shared" ca="1" si="745"/>
        <v>0</v>
      </c>
      <c r="FE317" s="58">
        <f t="shared" ca="1" si="745"/>
        <v>0</v>
      </c>
      <c r="FF317" s="58">
        <f t="shared" ca="1" si="745"/>
        <v>0</v>
      </c>
      <c r="FG317" s="58">
        <f t="shared" ca="1" si="745"/>
        <v>0</v>
      </c>
      <c r="FH317" s="58">
        <f t="shared" ca="1" si="745"/>
        <v>0</v>
      </c>
      <c r="FI317" s="58">
        <f t="shared" ca="1" si="745"/>
        <v>0</v>
      </c>
      <c r="FJ317" s="58">
        <f t="shared" ca="1" si="745"/>
        <v>0</v>
      </c>
      <c r="FK317" s="58">
        <f t="shared" ca="1" si="745"/>
        <v>0</v>
      </c>
      <c r="FL317" s="58">
        <f t="shared" ca="1" si="745"/>
        <v>0</v>
      </c>
      <c r="FM317" s="58">
        <f t="shared" ca="1" si="745"/>
        <v>0</v>
      </c>
      <c r="FN317" s="58">
        <f t="shared" ca="1" si="745"/>
        <v>0</v>
      </c>
      <c r="FO317" s="13"/>
    </row>
    <row r="318" spans="1:171" outlineLevel="1" x14ac:dyDescent="0.3">
      <c r="A318" s="13"/>
      <c r="B318" s="13"/>
      <c r="C318" s="13"/>
      <c r="D318" s="52">
        <f t="shared" si="683"/>
        <v>44440</v>
      </c>
      <c r="E318" s="53">
        <f t="shared" si="684"/>
        <v>2021</v>
      </c>
      <c r="F318" s="53">
        <f t="shared" si="685"/>
        <v>92</v>
      </c>
      <c r="G318" s="58">
        <f t="shared" ref="G318:AL318" ca="1" si="746">+IF(OR($F318+G$175&lt;1,(G$176-1)*12&lt;-$F318),0,OFFSET(G148,0,$F318))</f>
        <v>0</v>
      </c>
      <c r="H318" s="58">
        <f t="shared" ca="1" si="746"/>
        <v>0</v>
      </c>
      <c r="I318" s="58">
        <f t="shared" ca="1" si="746"/>
        <v>0</v>
      </c>
      <c r="J318" s="58">
        <f t="shared" ca="1" si="746"/>
        <v>0</v>
      </c>
      <c r="K318" s="58">
        <f t="shared" ca="1" si="746"/>
        <v>0</v>
      </c>
      <c r="L318" s="58">
        <f t="shared" ca="1" si="746"/>
        <v>0</v>
      </c>
      <c r="M318" s="58">
        <f t="shared" ca="1" si="746"/>
        <v>0</v>
      </c>
      <c r="N318" s="58">
        <f t="shared" ca="1" si="746"/>
        <v>0</v>
      </c>
      <c r="O318" s="58">
        <f t="shared" ca="1" si="746"/>
        <v>0</v>
      </c>
      <c r="P318" s="58">
        <f t="shared" ca="1" si="746"/>
        <v>0</v>
      </c>
      <c r="Q318" s="58">
        <f t="shared" ca="1" si="746"/>
        <v>0</v>
      </c>
      <c r="R318" s="58">
        <f t="shared" ca="1" si="746"/>
        <v>0</v>
      </c>
      <c r="S318" s="58">
        <f t="shared" ca="1" si="746"/>
        <v>0</v>
      </c>
      <c r="T318" s="58">
        <f t="shared" ca="1" si="746"/>
        <v>0</v>
      </c>
      <c r="U318" s="58">
        <f t="shared" ca="1" si="746"/>
        <v>0</v>
      </c>
      <c r="V318" s="58">
        <f t="shared" ca="1" si="746"/>
        <v>0</v>
      </c>
      <c r="W318" s="58">
        <f t="shared" ca="1" si="746"/>
        <v>0</v>
      </c>
      <c r="X318" s="58">
        <f t="shared" ca="1" si="746"/>
        <v>0</v>
      </c>
      <c r="Y318" s="58">
        <f t="shared" ca="1" si="746"/>
        <v>0</v>
      </c>
      <c r="Z318" s="58">
        <f t="shared" ca="1" si="746"/>
        <v>0</v>
      </c>
      <c r="AA318" s="58">
        <f t="shared" ca="1" si="746"/>
        <v>0</v>
      </c>
      <c r="AB318" s="58">
        <f t="shared" ca="1" si="746"/>
        <v>0</v>
      </c>
      <c r="AC318" s="58">
        <f t="shared" ca="1" si="746"/>
        <v>0</v>
      </c>
      <c r="AD318" s="58">
        <f t="shared" ca="1" si="746"/>
        <v>0</v>
      </c>
      <c r="AE318" s="58">
        <f t="shared" ca="1" si="746"/>
        <v>0</v>
      </c>
      <c r="AF318" s="58">
        <f t="shared" ca="1" si="746"/>
        <v>0</v>
      </c>
      <c r="AG318" s="58">
        <f t="shared" ca="1" si="746"/>
        <v>0</v>
      </c>
      <c r="AH318" s="58">
        <f t="shared" ca="1" si="746"/>
        <v>0</v>
      </c>
      <c r="AI318" s="58">
        <f t="shared" ca="1" si="746"/>
        <v>0</v>
      </c>
      <c r="AJ318" s="58">
        <f t="shared" ca="1" si="746"/>
        <v>0</v>
      </c>
      <c r="AK318" s="58">
        <f t="shared" ca="1" si="746"/>
        <v>0</v>
      </c>
      <c r="AL318" s="58">
        <f t="shared" ca="1" si="746"/>
        <v>0</v>
      </c>
      <c r="AM318" s="58">
        <f t="shared" ref="AM318:BR318" ca="1" si="747">+IF(OR($F318+AM$175&lt;1,(AM$176-1)*12&lt;-$F318),0,OFFSET(AM148,0,$F318))</f>
        <v>0</v>
      </c>
      <c r="AN318" s="58">
        <f t="shared" ca="1" si="747"/>
        <v>0</v>
      </c>
      <c r="AO318" s="58">
        <f t="shared" ca="1" si="747"/>
        <v>0</v>
      </c>
      <c r="AP318" s="58">
        <f t="shared" ca="1" si="747"/>
        <v>0</v>
      </c>
      <c r="AQ318" s="58">
        <f t="shared" ca="1" si="747"/>
        <v>0</v>
      </c>
      <c r="AR318" s="58">
        <f t="shared" ca="1" si="747"/>
        <v>0</v>
      </c>
      <c r="AS318" s="58">
        <f t="shared" ca="1" si="747"/>
        <v>0</v>
      </c>
      <c r="AT318" s="58">
        <f t="shared" ca="1" si="747"/>
        <v>0</v>
      </c>
      <c r="AU318" s="58">
        <f t="shared" ca="1" si="747"/>
        <v>0</v>
      </c>
      <c r="AV318" s="58">
        <f t="shared" ca="1" si="747"/>
        <v>0</v>
      </c>
      <c r="AW318" s="58">
        <f t="shared" ca="1" si="747"/>
        <v>0</v>
      </c>
      <c r="AX318" s="58">
        <f t="shared" ca="1" si="747"/>
        <v>0</v>
      </c>
      <c r="AY318" s="58">
        <f t="shared" ca="1" si="747"/>
        <v>0</v>
      </c>
      <c r="AZ318" s="58">
        <f t="shared" ca="1" si="747"/>
        <v>0</v>
      </c>
      <c r="BA318" s="58">
        <f t="shared" ca="1" si="747"/>
        <v>0</v>
      </c>
      <c r="BB318" s="58">
        <f t="shared" ca="1" si="747"/>
        <v>0</v>
      </c>
      <c r="BC318" s="58">
        <f t="shared" ca="1" si="747"/>
        <v>0</v>
      </c>
      <c r="BD318" s="58">
        <f t="shared" ca="1" si="747"/>
        <v>0</v>
      </c>
      <c r="BE318" s="58">
        <f t="shared" ca="1" si="747"/>
        <v>0</v>
      </c>
      <c r="BF318" s="58">
        <f t="shared" ca="1" si="747"/>
        <v>0</v>
      </c>
      <c r="BG318" s="58">
        <f t="shared" ca="1" si="747"/>
        <v>0</v>
      </c>
      <c r="BH318" s="58">
        <f t="shared" ca="1" si="747"/>
        <v>0</v>
      </c>
      <c r="BI318" s="58">
        <f t="shared" ca="1" si="747"/>
        <v>0</v>
      </c>
      <c r="BJ318" s="58">
        <f t="shared" ca="1" si="747"/>
        <v>0</v>
      </c>
      <c r="BK318" s="58">
        <f t="shared" ca="1" si="747"/>
        <v>0</v>
      </c>
      <c r="BL318" s="58">
        <f t="shared" ca="1" si="747"/>
        <v>0</v>
      </c>
      <c r="BM318" s="58">
        <f t="shared" ca="1" si="747"/>
        <v>0</v>
      </c>
      <c r="BN318" s="58">
        <f t="shared" ca="1" si="747"/>
        <v>0</v>
      </c>
      <c r="BO318" s="58">
        <f t="shared" ca="1" si="747"/>
        <v>0</v>
      </c>
      <c r="BP318" s="58">
        <f t="shared" ca="1" si="747"/>
        <v>0</v>
      </c>
      <c r="BQ318" s="58">
        <f t="shared" ca="1" si="747"/>
        <v>0</v>
      </c>
      <c r="BR318" s="58">
        <f t="shared" ca="1" si="747"/>
        <v>0</v>
      </c>
      <c r="BS318" s="58">
        <f t="shared" ref="BS318:CX318" ca="1" si="748">+IF(OR($F318+BS$175&lt;1,(BS$176-1)*12&lt;-$F318),0,OFFSET(BS148,0,$F318))</f>
        <v>0</v>
      </c>
      <c r="BT318" s="58">
        <f t="shared" ca="1" si="748"/>
        <v>0</v>
      </c>
      <c r="BU318" s="58">
        <f t="shared" ca="1" si="748"/>
        <v>0</v>
      </c>
      <c r="BV318" s="58">
        <f t="shared" ca="1" si="748"/>
        <v>0</v>
      </c>
      <c r="BW318" s="58">
        <f t="shared" ca="1" si="748"/>
        <v>0</v>
      </c>
      <c r="BX318" s="58">
        <f t="shared" ca="1" si="748"/>
        <v>0</v>
      </c>
      <c r="BY318" s="58">
        <f t="shared" ca="1" si="748"/>
        <v>0</v>
      </c>
      <c r="BZ318" s="58">
        <f t="shared" ca="1" si="748"/>
        <v>0</v>
      </c>
      <c r="CA318" s="58">
        <f t="shared" ca="1" si="748"/>
        <v>0</v>
      </c>
      <c r="CB318" s="58">
        <f t="shared" ca="1" si="748"/>
        <v>0</v>
      </c>
      <c r="CC318" s="58">
        <f t="shared" ca="1" si="748"/>
        <v>0</v>
      </c>
      <c r="CD318" s="58">
        <f t="shared" ca="1" si="748"/>
        <v>0</v>
      </c>
      <c r="CE318" s="58">
        <f t="shared" ca="1" si="748"/>
        <v>0</v>
      </c>
      <c r="CF318" s="58">
        <f t="shared" ca="1" si="748"/>
        <v>0</v>
      </c>
      <c r="CG318" s="58">
        <f t="shared" ca="1" si="748"/>
        <v>0</v>
      </c>
      <c r="CH318" s="58">
        <f t="shared" ca="1" si="748"/>
        <v>0</v>
      </c>
      <c r="CI318" s="58">
        <f t="shared" ca="1" si="748"/>
        <v>0</v>
      </c>
      <c r="CJ318" s="58">
        <f t="shared" ca="1" si="748"/>
        <v>0</v>
      </c>
      <c r="CK318" s="58">
        <f t="shared" ca="1" si="748"/>
        <v>0</v>
      </c>
      <c r="CL318" s="58">
        <f t="shared" ca="1" si="748"/>
        <v>0</v>
      </c>
      <c r="CM318" s="58">
        <f t="shared" ca="1" si="748"/>
        <v>0</v>
      </c>
      <c r="CN318" s="58">
        <f t="shared" ca="1" si="748"/>
        <v>0</v>
      </c>
      <c r="CO318" s="58">
        <f t="shared" ca="1" si="748"/>
        <v>0</v>
      </c>
      <c r="CP318" s="58">
        <f t="shared" ca="1" si="748"/>
        <v>0</v>
      </c>
      <c r="CQ318" s="58">
        <f t="shared" ca="1" si="748"/>
        <v>0</v>
      </c>
      <c r="CR318" s="58">
        <f t="shared" ca="1" si="748"/>
        <v>0</v>
      </c>
      <c r="CS318" s="58">
        <f t="shared" ca="1" si="748"/>
        <v>0</v>
      </c>
      <c r="CT318" s="58">
        <f t="shared" ca="1" si="748"/>
        <v>0</v>
      </c>
      <c r="CU318" s="58">
        <f t="shared" ca="1" si="748"/>
        <v>0</v>
      </c>
      <c r="CV318" s="58">
        <f t="shared" ca="1" si="748"/>
        <v>0</v>
      </c>
      <c r="CW318" s="58">
        <f t="shared" ca="1" si="748"/>
        <v>0</v>
      </c>
      <c r="CX318" s="58">
        <f t="shared" ca="1" si="748"/>
        <v>0</v>
      </c>
      <c r="CY318" s="58">
        <f t="shared" ref="CY318:ED318" ca="1" si="749">+IF(OR($F318+CY$175&lt;1,(CY$176-1)*12&lt;-$F318),0,OFFSET(CY148,0,$F318))</f>
        <v>0</v>
      </c>
      <c r="CZ318" s="58">
        <f t="shared" ca="1" si="749"/>
        <v>0</v>
      </c>
      <c r="DA318" s="58">
        <f t="shared" ca="1" si="749"/>
        <v>0</v>
      </c>
      <c r="DB318" s="58">
        <f t="shared" ca="1" si="749"/>
        <v>0</v>
      </c>
      <c r="DC318" s="58">
        <f t="shared" ca="1" si="749"/>
        <v>0</v>
      </c>
      <c r="DD318" s="58">
        <f t="shared" ca="1" si="749"/>
        <v>0</v>
      </c>
      <c r="DE318" s="58">
        <f t="shared" ca="1" si="749"/>
        <v>0</v>
      </c>
      <c r="DF318" s="58">
        <f t="shared" ca="1" si="749"/>
        <v>0</v>
      </c>
      <c r="DG318" s="58">
        <f t="shared" ca="1" si="749"/>
        <v>0</v>
      </c>
      <c r="DH318" s="58">
        <f t="shared" ca="1" si="749"/>
        <v>0</v>
      </c>
      <c r="DI318" s="58">
        <f t="shared" ca="1" si="749"/>
        <v>0</v>
      </c>
      <c r="DJ318" s="58">
        <f t="shared" ca="1" si="749"/>
        <v>0</v>
      </c>
      <c r="DK318" s="58">
        <f t="shared" ca="1" si="749"/>
        <v>0</v>
      </c>
      <c r="DL318" s="58">
        <f t="shared" ca="1" si="749"/>
        <v>0</v>
      </c>
      <c r="DM318" s="58">
        <f t="shared" ca="1" si="749"/>
        <v>0</v>
      </c>
      <c r="DN318" s="58">
        <f t="shared" ca="1" si="749"/>
        <v>0</v>
      </c>
      <c r="DO318" s="58">
        <f t="shared" ca="1" si="749"/>
        <v>0</v>
      </c>
      <c r="DP318" s="58">
        <f t="shared" ca="1" si="749"/>
        <v>0</v>
      </c>
      <c r="DQ318" s="58">
        <f t="shared" ca="1" si="749"/>
        <v>0</v>
      </c>
      <c r="DR318" s="58">
        <f t="shared" ca="1" si="749"/>
        <v>0</v>
      </c>
      <c r="DS318" s="58">
        <f t="shared" ca="1" si="749"/>
        <v>0</v>
      </c>
      <c r="DT318" s="58">
        <f t="shared" ca="1" si="749"/>
        <v>0</v>
      </c>
      <c r="DU318" s="58">
        <f t="shared" ca="1" si="749"/>
        <v>0</v>
      </c>
      <c r="DV318" s="58">
        <f t="shared" ca="1" si="749"/>
        <v>0</v>
      </c>
      <c r="DW318" s="58">
        <f t="shared" ca="1" si="749"/>
        <v>0</v>
      </c>
      <c r="DX318" s="58">
        <f t="shared" ca="1" si="749"/>
        <v>0</v>
      </c>
      <c r="DY318" s="58">
        <f t="shared" ca="1" si="749"/>
        <v>0</v>
      </c>
      <c r="DZ318" s="58">
        <f t="shared" ca="1" si="749"/>
        <v>0</v>
      </c>
      <c r="EA318" s="58">
        <f t="shared" ca="1" si="749"/>
        <v>0</v>
      </c>
      <c r="EB318" s="58">
        <f t="shared" ca="1" si="749"/>
        <v>0</v>
      </c>
      <c r="EC318" s="58">
        <f t="shared" ca="1" si="749"/>
        <v>0</v>
      </c>
      <c r="ED318" s="58">
        <f t="shared" ca="1" si="749"/>
        <v>0</v>
      </c>
      <c r="EE318" s="58">
        <f t="shared" ref="EE318:FN318" ca="1" si="750">+IF(OR($F318+EE$175&lt;1,(EE$176-1)*12&lt;-$F318),0,OFFSET(EE148,0,$F318))</f>
        <v>0</v>
      </c>
      <c r="EF318" s="58">
        <f t="shared" ca="1" si="750"/>
        <v>0</v>
      </c>
      <c r="EG318" s="58">
        <f t="shared" ca="1" si="750"/>
        <v>0</v>
      </c>
      <c r="EH318" s="58">
        <f t="shared" ca="1" si="750"/>
        <v>0</v>
      </c>
      <c r="EI318" s="58">
        <f t="shared" ca="1" si="750"/>
        <v>0</v>
      </c>
      <c r="EJ318" s="58">
        <f t="shared" ca="1" si="750"/>
        <v>0</v>
      </c>
      <c r="EK318" s="58">
        <f t="shared" ca="1" si="750"/>
        <v>0</v>
      </c>
      <c r="EL318" s="58">
        <f t="shared" ca="1" si="750"/>
        <v>0</v>
      </c>
      <c r="EM318" s="58">
        <f t="shared" ca="1" si="750"/>
        <v>0</v>
      </c>
      <c r="EN318" s="58">
        <f t="shared" ca="1" si="750"/>
        <v>0</v>
      </c>
      <c r="EO318" s="58">
        <f t="shared" ca="1" si="750"/>
        <v>0</v>
      </c>
      <c r="EP318" s="58">
        <f t="shared" ca="1" si="750"/>
        <v>0</v>
      </c>
      <c r="EQ318" s="58">
        <f t="shared" ca="1" si="750"/>
        <v>0</v>
      </c>
      <c r="ER318" s="58">
        <f t="shared" ca="1" si="750"/>
        <v>0</v>
      </c>
      <c r="ES318" s="58">
        <f t="shared" ca="1" si="750"/>
        <v>0</v>
      </c>
      <c r="ET318" s="58">
        <f t="shared" ca="1" si="750"/>
        <v>0</v>
      </c>
      <c r="EU318" s="58">
        <f t="shared" ca="1" si="750"/>
        <v>0</v>
      </c>
      <c r="EV318" s="58">
        <f t="shared" ca="1" si="750"/>
        <v>0</v>
      </c>
      <c r="EW318" s="58">
        <f t="shared" ca="1" si="750"/>
        <v>0</v>
      </c>
      <c r="EX318" s="58">
        <f t="shared" ca="1" si="750"/>
        <v>0</v>
      </c>
      <c r="EY318" s="58">
        <f t="shared" ca="1" si="750"/>
        <v>0</v>
      </c>
      <c r="EZ318" s="58">
        <f t="shared" ca="1" si="750"/>
        <v>0</v>
      </c>
      <c r="FA318" s="58">
        <f t="shared" ca="1" si="750"/>
        <v>0</v>
      </c>
      <c r="FB318" s="58">
        <f t="shared" ca="1" si="750"/>
        <v>0</v>
      </c>
      <c r="FC318" s="58">
        <f t="shared" ca="1" si="750"/>
        <v>0</v>
      </c>
      <c r="FD318" s="58">
        <f t="shared" ca="1" si="750"/>
        <v>0</v>
      </c>
      <c r="FE318" s="58">
        <f t="shared" ca="1" si="750"/>
        <v>0</v>
      </c>
      <c r="FF318" s="58">
        <f t="shared" ca="1" si="750"/>
        <v>0</v>
      </c>
      <c r="FG318" s="58">
        <f t="shared" ca="1" si="750"/>
        <v>0</v>
      </c>
      <c r="FH318" s="58">
        <f t="shared" ca="1" si="750"/>
        <v>0</v>
      </c>
      <c r="FI318" s="58">
        <f t="shared" ca="1" si="750"/>
        <v>0</v>
      </c>
      <c r="FJ318" s="58">
        <f t="shared" ca="1" si="750"/>
        <v>0</v>
      </c>
      <c r="FK318" s="58">
        <f t="shared" ca="1" si="750"/>
        <v>0</v>
      </c>
      <c r="FL318" s="58">
        <f t="shared" ca="1" si="750"/>
        <v>0</v>
      </c>
      <c r="FM318" s="58">
        <f t="shared" ca="1" si="750"/>
        <v>0</v>
      </c>
      <c r="FN318" s="58">
        <f t="shared" ca="1" si="750"/>
        <v>0</v>
      </c>
      <c r="FO318" s="13"/>
    </row>
    <row r="319" spans="1:171" outlineLevel="1" x14ac:dyDescent="0.3">
      <c r="A319" s="13"/>
      <c r="B319" s="13"/>
      <c r="C319" s="13"/>
      <c r="D319" s="52">
        <f t="shared" si="683"/>
        <v>44470</v>
      </c>
      <c r="E319" s="53">
        <f t="shared" si="684"/>
        <v>2021</v>
      </c>
      <c r="F319" s="53">
        <f t="shared" si="685"/>
        <v>93</v>
      </c>
      <c r="G319" s="58">
        <f t="shared" ref="G319:AL319" ca="1" si="751">+IF(OR($F319+G$175&lt;1,(G$176-1)*12&lt;-$F319),0,OFFSET(G149,0,$F319))</f>
        <v>0</v>
      </c>
      <c r="H319" s="58">
        <f t="shared" ca="1" si="751"/>
        <v>0</v>
      </c>
      <c r="I319" s="58">
        <f t="shared" ca="1" si="751"/>
        <v>0</v>
      </c>
      <c r="J319" s="58">
        <f t="shared" ca="1" si="751"/>
        <v>0</v>
      </c>
      <c r="K319" s="58">
        <f t="shared" ca="1" si="751"/>
        <v>0</v>
      </c>
      <c r="L319" s="58">
        <f t="shared" ca="1" si="751"/>
        <v>0</v>
      </c>
      <c r="M319" s="58">
        <f t="shared" ca="1" si="751"/>
        <v>0</v>
      </c>
      <c r="N319" s="58">
        <f t="shared" ca="1" si="751"/>
        <v>0</v>
      </c>
      <c r="O319" s="58">
        <f t="shared" ca="1" si="751"/>
        <v>0</v>
      </c>
      <c r="P319" s="58">
        <f t="shared" ca="1" si="751"/>
        <v>0</v>
      </c>
      <c r="Q319" s="58">
        <f t="shared" ca="1" si="751"/>
        <v>0</v>
      </c>
      <c r="R319" s="58">
        <f t="shared" ca="1" si="751"/>
        <v>0</v>
      </c>
      <c r="S319" s="58">
        <f t="shared" ca="1" si="751"/>
        <v>0</v>
      </c>
      <c r="T319" s="58">
        <f t="shared" ca="1" si="751"/>
        <v>0</v>
      </c>
      <c r="U319" s="58">
        <f t="shared" ca="1" si="751"/>
        <v>0</v>
      </c>
      <c r="V319" s="58">
        <f t="shared" ca="1" si="751"/>
        <v>0</v>
      </c>
      <c r="W319" s="58">
        <f t="shared" ca="1" si="751"/>
        <v>0</v>
      </c>
      <c r="X319" s="58">
        <f t="shared" ca="1" si="751"/>
        <v>0</v>
      </c>
      <c r="Y319" s="58">
        <f t="shared" ca="1" si="751"/>
        <v>0</v>
      </c>
      <c r="Z319" s="58">
        <f t="shared" ca="1" si="751"/>
        <v>0</v>
      </c>
      <c r="AA319" s="58">
        <f t="shared" ca="1" si="751"/>
        <v>0</v>
      </c>
      <c r="AB319" s="58">
        <f t="shared" ca="1" si="751"/>
        <v>0</v>
      </c>
      <c r="AC319" s="58">
        <f t="shared" ca="1" si="751"/>
        <v>0</v>
      </c>
      <c r="AD319" s="58">
        <f t="shared" ca="1" si="751"/>
        <v>0</v>
      </c>
      <c r="AE319" s="58">
        <f t="shared" ca="1" si="751"/>
        <v>0</v>
      </c>
      <c r="AF319" s="58">
        <f t="shared" ca="1" si="751"/>
        <v>0</v>
      </c>
      <c r="AG319" s="58">
        <f t="shared" ca="1" si="751"/>
        <v>0</v>
      </c>
      <c r="AH319" s="58">
        <f t="shared" ca="1" si="751"/>
        <v>0</v>
      </c>
      <c r="AI319" s="58">
        <f t="shared" ca="1" si="751"/>
        <v>0</v>
      </c>
      <c r="AJ319" s="58">
        <f t="shared" ca="1" si="751"/>
        <v>0</v>
      </c>
      <c r="AK319" s="58">
        <f t="shared" ca="1" si="751"/>
        <v>0</v>
      </c>
      <c r="AL319" s="58">
        <f t="shared" ca="1" si="751"/>
        <v>0</v>
      </c>
      <c r="AM319" s="58">
        <f t="shared" ref="AM319:BR319" ca="1" si="752">+IF(OR($F319+AM$175&lt;1,(AM$176-1)*12&lt;-$F319),0,OFFSET(AM149,0,$F319))</f>
        <v>0</v>
      </c>
      <c r="AN319" s="58">
        <f t="shared" ca="1" si="752"/>
        <v>0</v>
      </c>
      <c r="AO319" s="58">
        <f t="shared" ca="1" si="752"/>
        <v>0</v>
      </c>
      <c r="AP319" s="58">
        <f t="shared" ca="1" si="752"/>
        <v>0</v>
      </c>
      <c r="AQ319" s="58">
        <f t="shared" ca="1" si="752"/>
        <v>0</v>
      </c>
      <c r="AR319" s="58">
        <f t="shared" ca="1" si="752"/>
        <v>0</v>
      </c>
      <c r="AS319" s="58">
        <f t="shared" ca="1" si="752"/>
        <v>0</v>
      </c>
      <c r="AT319" s="58">
        <f t="shared" ca="1" si="752"/>
        <v>0</v>
      </c>
      <c r="AU319" s="58">
        <f t="shared" ca="1" si="752"/>
        <v>0</v>
      </c>
      <c r="AV319" s="58">
        <f t="shared" ca="1" si="752"/>
        <v>0</v>
      </c>
      <c r="AW319" s="58">
        <f t="shared" ca="1" si="752"/>
        <v>0</v>
      </c>
      <c r="AX319" s="58">
        <f t="shared" ca="1" si="752"/>
        <v>0</v>
      </c>
      <c r="AY319" s="58">
        <f t="shared" ca="1" si="752"/>
        <v>0</v>
      </c>
      <c r="AZ319" s="58">
        <f t="shared" ca="1" si="752"/>
        <v>0</v>
      </c>
      <c r="BA319" s="58">
        <f t="shared" ca="1" si="752"/>
        <v>0</v>
      </c>
      <c r="BB319" s="58">
        <f t="shared" ca="1" si="752"/>
        <v>0</v>
      </c>
      <c r="BC319" s="58">
        <f t="shared" ca="1" si="752"/>
        <v>0</v>
      </c>
      <c r="BD319" s="58">
        <f t="shared" ca="1" si="752"/>
        <v>0</v>
      </c>
      <c r="BE319" s="58">
        <f t="shared" ca="1" si="752"/>
        <v>0</v>
      </c>
      <c r="BF319" s="58">
        <f t="shared" ca="1" si="752"/>
        <v>0</v>
      </c>
      <c r="BG319" s="58">
        <f t="shared" ca="1" si="752"/>
        <v>0</v>
      </c>
      <c r="BH319" s="58">
        <f t="shared" ca="1" si="752"/>
        <v>0</v>
      </c>
      <c r="BI319" s="58">
        <f t="shared" ca="1" si="752"/>
        <v>0</v>
      </c>
      <c r="BJ319" s="58">
        <f t="shared" ca="1" si="752"/>
        <v>0</v>
      </c>
      <c r="BK319" s="58">
        <f t="shared" ca="1" si="752"/>
        <v>0</v>
      </c>
      <c r="BL319" s="58">
        <f t="shared" ca="1" si="752"/>
        <v>0</v>
      </c>
      <c r="BM319" s="58">
        <f t="shared" ca="1" si="752"/>
        <v>0</v>
      </c>
      <c r="BN319" s="58">
        <f t="shared" ca="1" si="752"/>
        <v>0</v>
      </c>
      <c r="BO319" s="58">
        <f t="shared" ca="1" si="752"/>
        <v>0</v>
      </c>
      <c r="BP319" s="58">
        <f t="shared" ca="1" si="752"/>
        <v>0</v>
      </c>
      <c r="BQ319" s="58">
        <f t="shared" ca="1" si="752"/>
        <v>0</v>
      </c>
      <c r="BR319" s="58">
        <f t="shared" ca="1" si="752"/>
        <v>0</v>
      </c>
      <c r="BS319" s="58">
        <f t="shared" ref="BS319:CX319" ca="1" si="753">+IF(OR($F319+BS$175&lt;1,(BS$176-1)*12&lt;-$F319),0,OFFSET(BS149,0,$F319))</f>
        <v>0</v>
      </c>
      <c r="BT319" s="58">
        <f t="shared" ca="1" si="753"/>
        <v>0</v>
      </c>
      <c r="BU319" s="58">
        <f t="shared" ca="1" si="753"/>
        <v>0</v>
      </c>
      <c r="BV319" s="58">
        <f t="shared" ca="1" si="753"/>
        <v>0</v>
      </c>
      <c r="BW319" s="58">
        <f t="shared" ca="1" si="753"/>
        <v>0</v>
      </c>
      <c r="BX319" s="58">
        <f t="shared" ca="1" si="753"/>
        <v>0</v>
      </c>
      <c r="BY319" s="58">
        <f t="shared" ca="1" si="753"/>
        <v>0</v>
      </c>
      <c r="BZ319" s="58">
        <f t="shared" ca="1" si="753"/>
        <v>0</v>
      </c>
      <c r="CA319" s="58">
        <f t="shared" ca="1" si="753"/>
        <v>0</v>
      </c>
      <c r="CB319" s="58">
        <f t="shared" ca="1" si="753"/>
        <v>0</v>
      </c>
      <c r="CC319" s="58">
        <f t="shared" ca="1" si="753"/>
        <v>0</v>
      </c>
      <c r="CD319" s="58">
        <f t="shared" ca="1" si="753"/>
        <v>0</v>
      </c>
      <c r="CE319" s="58">
        <f t="shared" ca="1" si="753"/>
        <v>0</v>
      </c>
      <c r="CF319" s="58">
        <f t="shared" ca="1" si="753"/>
        <v>0</v>
      </c>
      <c r="CG319" s="58">
        <f t="shared" ca="1" si="753"/>
        <v>0</v>
      </c>
      <c r="CH319" s="58">
        <f t="shared" ca="1" si="753"/>
        <v>0</v>
      </c>
      <c r="CI319" s="58">
        <f t="shared" ca="1" si="753"/>
        <v>0</v>
      </c>
      <c r="CJ319" s="58">
        <f t="shared" ca="1" si="753"/>
        <v>0</v>
      </c>
      <c r="CK319" s="58">
        <f t="shared" ca="1" si="753"/>
        <v>0</v>
      </c>
      <c r="CL319" s="58">
        <f t="shared" ca="1" si="753"/>
        <v>0</v>
      </c>
      <c r="CM319" s="58">
        <f t="shared" ca="1" si="753"/>
        <v>0</v>
      </c>
      <c r="CN319" s="58">
        <f t="shared" ca="1" si="753"/>
        <v>0</v>
      </c>
      <c r="CO319" s="58">
        <f t="shared" ca="1" si="753"/>
        <v>0</v>
      </c>
      <c r="CP319" s="58">
        <f t="shared" ca="1" si="753"/>
        <v>0</v>
      </c>
      <c r="CQ319" s="58">
        <f t="shared" ca="1" si="753"/>
        <v>0</v>
      </c>
      <c r="CR319" s="58">
        <f t="shared" ca="1" si="753"/>
        <v>0</v>
      </c>
      <c r="CS319" s="58">
        <f t="shared" ca="1" si="753"/>
        <v>0</v>
      </c>
      <c r="CT319" s="58">
        <f t="shared" ca="1" si="753"/>
        <v>0</v>
      </c>
      <c r="CU319" s="58">
        <f t="shared" ca="1" si="753"/>
        <v>0</v>
      </c>
      <c r="CV319" s="58">
        <f t="shared" ca="1" si="753"/>
        <v>0</v>
      </c>
      <c r="CW319" s="58">
        <f t="shared" ca="1" si="753"/>
        <v>0</v>
      </c>
      <c r="CX319" s="58">
        <f t="shared" ca="1" si="753"/>
        <v>0</v>
      </c>
      <c r="CY319" s="58">
        <f t="shared" ref="CY319:ED319" ca="1" si="754">+IF(OR($F319+CY$175&lt;1,(CY$176-1)*12&lt;-$F319),0,OFFSET(CY149,0,$F319))</f>
        <v>0</v>
      </c>
      <c r="CZ319" s="58">
        <f t="shared" ca="1" si="754"/>
        <v>0</v>
      </c>
      <c r="DA319" s="58">
        <f t="shared" ca="1" si="754"/>
        <v>0</v>
      </c>
      <c r="DB319" s="58">
        <f t="shared" ca="1" si="754"/>
        <v>0</v>
      </c>
      <c r="DC319" s="58">
        <f t="shared" ca="1" si="754"/>
        <v>0</v>
      </c>
      <c r="DD319" s="58">
        <f t="shared" ca="1" si="754"/>
        <v>0</v>
      </c>
      <c r="DE319" s="58">
        <f t="shared" ca="1" si="754"/>
        <v>0</v>
      </c>
      <c r="DF319" s="58">
        <f t="shared" ca="1" si="754"/>
        <v>0</v>
      </c>
      <c r="DG319" s="58">
        <f t="shared" ca="1" si="754"/>
        <v>0</v>
      </c>
      <c r="DH319" s="58">
        <f t="shared" ca="1" si="754"/>
        <v>0</v>
      </c>
      <c r="DI319" s="58">
        <f t="shared" ca="1" si="754"/>
        <v>0</v>
      </c>
      <c r="DJ319" s="58">
        <f t="shared" ca="1" si="754"/>
        <v>0</v>
      </c>
      <c r="DK319" s="58">
        <f t="shared" ca="1" si="754"/>
        <v>0</v>
      </c>
      <c r="DL319" s="58">
        <f t="shared" ca="1" si="754"/>
        <v>0</v>
      </c>
      <c r="DM319" s="58">
        <f t="shared" ca="1" si="754"/>
        <v>0</v>
      </c>
      <c r="DN319" s="58">
        <f t="shared" ca="1" si="754"/>
        <v>0</v>
      </c>
      <c r="DO319" s="58">
        <f t="shared" ca="1" si="754"/>
        <v>0</v>
      </c>
      <c r="DP319" s="58">
        <f t="shared" ca="1" si="754"/>
        <v>0</v>
      </c>
      <c r="DQ319" s="58">
        <f t="shared" ca="1" si="754"/>
        <v>0</v>
      </c>
      <c r="DR319" s="58">
        <f t="shared" ca="1" si="754"/>
        <v>0</v>
      </c>
      <c r="DS319" s="58">
        <f t="shared" ca="1" si="754"/>
        <v>0</v>
      </c>
      <c r="DT319" s="58">
        <f t="shared" ca="1" si="754"/>
        <v>0</v>
      </c>
      <c r="DU319" s="58">
        <f t="shared" ca="1" si="754"/>
        <v>0</v>
      </c>
      <c r="DV319" s="58">
        <f t="shared" ca="1" si="754"/>
        <v>0</v>
      </c>
      <c r="DW319" s="58">
        <f t="shared" ca="1" si="754"/>
        <v>0</v>
      </c>
      <c r="DX319" s="58">
        <f t="shared" ca="1" si="754"/>
        <v>0</v>
      </c>
      <c r="DY319" s="58">
        <f t="shared" ca="1" si="754"/>
        <v>0</v>
      </c>
      <c r="DZ319" s="58">
        <f t="shared" ca="1" si="754"/>
        <v>0</v>
      </c>
      <c r="EA319" s="58">
        <f t="shared" ca="1" si="754"/>
        <v>0</v>
      </c>
      <c r="EB319" s="58">
        <f t="shared" ca="1" si="754"/>
        <v>0</v>
      </c>
      <c r="EC319" s="58">
        <f t="shared" ca="1" si="754"/>
        <v>0</v>
      </c>
      <c r="ED319" s="58">
        <f t="shared" ca="1" si="754"/>
        <v>0</v>
      </c>
      <c r="EE319" s="58">
        <f t="shared" ref="EE319:FN319" ca="1" si="755">+IF(OR($F319+EE$175&lt;1,(EE$176-1)*12&lt;-$F319),0,OFFSET(EE149,0,$F319))</f>
        <v>0</v>
      </c>
      <c r="EF319" s="58">
        <f t="shared" ca="1" si="755"/>
        <v>0</v>
      </c>
      <c r="EG319" s="58">
        <f t="shared" ca="1" si="755"/>
        <v>0</v>
      </c>
      <c r="EH319" s="58">
        <f t="shared" ca="1" si="755"/>
        <v>0</v>
      </c>
      <c r="EI319" s="58">
        <f t="shared" ca="1" si="755"/>
        <v>0</v>
      </c>
      <c r="EJ319" s="58">
        <f t="shared" ca="1" si="755"/>
        <v>0</v>
      </c>
      <c r="EK319" s="58">
        <f t="shared" ca="1" si="755"/>
        <v>0</v>
      </c>
      <c r="EL319" s="58">
        <f t="shared" ca="1" si="755"/>
        <v>0</v>
      </c>
      <c r="EM319" s="58">
        <f t="shared" ca="1" si="755"/>
        <v>0</v>
      </c>
      <c r="EN319" s="58">
        <f t="shared" ca="1" si="755"/>
        <v>0</v>
      </c>
      <c r="EO319" s="58">
        <f t="shared" ca="1" si="755"/>
        <v>0</v>
      </c>
      <c r="EP319" s="58">
        <f t="shared" ca="1" si="755"/>
        <v>0</v>
      </c>
      <c r="EQ319" s="58">
        <f t="shared" ca="1" si="755"/>
        <v>0</v>
      </c>
      <c r="ER319" s="58">
        <f t="shared" ca="1" si="755"/>
        <v>0</v>
      </c>
      <c r="ES319" s="58">
        <f t="shared" ca="1" si="755"/>
        <v>0</v>
      </c>
      <c r="ET319" s="58">
        <f t="shared" ca="1" si="755"/>
        <v>0</v>
      </c>
      <c r="EU319" s="58">
        <f t="shared" ca="1" si="755"/>
        <v>0</v>
      </c>
      <c r="EV319" s="58">
        <f t="shared" ca="1" si="755"/>
        <v>0</v>
      </c>
      <c r="EW319" s="58">
        <f t="shared" ca="1" si="755"/>
        <v>0</v>
      </c>
      <c r="EX319" s="58">
        <f t="shared" ca="1" si="755"/>
        <v>0</v>
      </c>
      <c r="EY319" s="58">
        <f t="shared" ca="1" si="755"/>
        <v>0</v>
      </c>
      <c r="EZ319" s="58">
        <f t="shared" ca="1" si="755"/>
        <v>0</v>
      </c>
      <c r="FA319" s="58">
        <f t="shared" ca="1" si="755"/>
        <v>0</v>
      </c>
      <c r="FB319" s="58">
        <f t="shared" ca="1" si="755"/>
        <v>0</v>
      </c>
      <c r="FC319" s="58">
        <f t="shared" ca="1" si="755"/>
        <v>0</v>
      </c>
      <c r="FD319" s="58">
        <f t="shared" ca="1" si="755"/>
        <v>0</v>
      </c>
      <c r="FE319" s="58">
        <f t="shared" ca="1" si="755"/>
        <v>0</v>
      </c>
      <c r="FF319" s="58">
        <f t="shared" ca="1" si="755"/>
        <v>0</v>
      </c>
      <c r="FG319" s="58">
        <f t="shared" ca="1" si="755"/>
        <v>0</v>
      </c>
      <c r="FH319" s="58">
        <f t="shared" ca="1" si="755"/>
        <v>0</v>
      </c>
      <c r="FI319" s="58">
        <f t="shared" ca="1" si="755"/>
        <v>0</v>
      </c>
      <c r="FJ319" s="58">
        <f t="shared" ca="1" si="755"/>
        <v>0</v>
      </c>
      <c r="FK319" s="58">
        <f t="shared" ca="1" si="755"/>
        <v>0</v>
      </c>
      <c r="FL319" s="58">
        <f t="shared" ca="1" si="755"/>
        <v>0</v>
      </c>
      <c r="FM319" s="58">
        <f t="shared" ca="1" si="755"/>
        <v>0</v>
      </c>
      <c r="FN319" s="58">
        <f t="shared" ca="1" si="755"/>
        <v>0</v>
      </c>
      <c r="FO319" s="13"/>
    </row>
    <row r="320" spans="1:171" outlineLevel="1" x14ac:dyDescent="0.3">
      <c r="A320" s="13"/>
      <c r="B320" s="13"/>
      <c r="C320" s="13"/>
      <c r="D320" s="52">
        <f t="shared" si="683"/>
        <v>44501</v>
      </c>
      <c r="E320" s="53">
        <f t="shared" si="684"/>
        <v>2021</v>
      </c>
      <c r="F320" s="53">
        <f t="shared" si="685"/>
        <v>94</v>
      </c>
      <c r="G320" s="58">
        <f t="shared" ref="G320:AL320" ca="1" si="756">+IF(OR($F320+G$175&lt;1,(G$176-1)*12&lt;-$F320),0,OFFSET(G150,0,$F320))</f>
        <v>0</v>
      </c>
      <c r="H320" s="58">
        <f t="shared" ca="1" si="756"/>
        <v>0</v>
      </c>
      <c r="I320" s="58">
        <f t="shared" ca="1" si="756"/>
        <v>0</v>
      </c>
      <c r="J320" s="58">
        <f t="shared" ca="1" si="756"/>
        <v>0</v>
      </c>
      <c r="K320" s="58">
        <f t="shared" ca="1" si="756"/>
        <v>0</v>
      </c>
      <c r="L320" s="58">
        <f t="shared" ca="1" si="756"/>
        <v>0</v>
      </c>
      <c r="M320" s="58">
        <f t="shared" ca="1" si="756"/>
        <v>0</v>
      </c>
      <c r="N320" s="58">
        <f t="shared" ca="1" si="756"/>
        <v>0</v>
      </c>
      <c r="O320" s="58">
        <f t="shared" ca="1" si="756"/>
        <v>0</v>
      </c>
      <c r="P320" s="58">
        <f t="shared" ca="1" si="756"/>
        <v>0</v>
      </c>
      <c r="Q320" s="58">
        <f t="shared" ca="1" si="756"/>
        <v>0</v>
      </c>
      <c r="R320" s="58">
        <f t="shared" ca="1" si="756"/>
        <v>0</v>
      </c>
      <c r="S320" s="58">
        <f t="shared" ca="1" si="756"/>
        <v>0</v>
      </c>
      <c r="T320" s="58">
        <f t="shared" ca="1" si="756"/>
        <v>0</v>
      </c>
      <c r="U320" s="58">
        <f t="shared" ca="1" si="756"/>
        <v>0</v>
      </c>
      <c r="V320" s="58">
        <f t="shared" ca="1" si="756"/>
        <v>0</v>
      </c>
      <c r="W320" s="58">
        <f t="shared" ca="1" si="756"/>
        <v>0</v>
      </c>
      <c r="X320" s="58">
        <f t="shared" ca="1" si="756"/>
        <v>0</v>
      </c>
      <c r="Y320" s="58">
        <f t="shared" ca="1" si="756"/>
        <v>0</v>
      </c>
      <c r="Z320" s="58">
        <f t="shared" ca="1" si="756"/>
        <v>0</v>
      </c>
      <c r="AA320" s="58">
        <f t="shared" ca="1" si="756"/>
        <v>0</v>
      </c>
      <c r="AB320" s="58">
        <f t="shared" ca="1" si="756"/>
        <v>0</v>
      </c>
      <c r="AC320" s="58">
        <f t="shared" ca="1" si="756"/>
        <v>0</v>
      </c>
      <c r="AD320" s="58">
        <f t="shared" ca="1" si="756"/>
        <v>0</v>
      </c>
      <c r="AE320" s="58">
        <f t="shared" ca="1" si="756"/>
        <v>0</v>
      </c>
      <c r="AF320" s="58">
        <f t="shared" ca="1" si="756"/>
        <v>0</v>
      </c>
      <c r="AG320" s="58">
        <f t="shared" ca="1" si="756"/>
        <v>0</v>
      </c>
      <c r="AH320" s="58">
        <f t="shared" ca="1" si="756"/>
        <v>0</v>
      </c>
      <c r="AI320" s="58">
        <f t="shared" ca="1" si="756"/>
        <v>0</v>
      </c>
      <c r="AJ320" s="58">
        <f t="shared" ca="1" si="756"/>
        <v>0</v>
      </c>
      <c r="AK320" s="58">
        <f t="shared" ca="1" si="756"/>
        <v>0</v>
      </c>
      <c r="AL320" s="58">
        <f t="shared" ca="1" si="756"/>
        <v>0</v>
      </c>
      <c r="AM320" s="58">
        <f t="shared" ref="AM320:BR320" ca="1" si="757">+IF(OR($F320+AM$175&lt;1,(AM$176-1)*12&lt;-$F320),0,OFFSET(AM150,0,$F320))</f>
        <v>0</v>
      </c>
      <c r="AN320" s="58">
        <f t="shared" ca="1" si="757"/>
        <v>0</v>
      </c>
      <c r="AO320" s="58">
        <f t="shared" ca="1" si="757"/>
        <v>0</v>
      </c>
      <c r="AP320" s="58">
        <f t="shared" ca="1" si="757"/>
        <v>0</v>
      </c>
      <c r="AQ320" s="58">
        <f t="shared" ca="1" si="757"/>
        <v>0</v>
      </c>
      <c r="AR320" s="58">
        <f t="shared" ca="1" si="757"/>
        <v>0</v>
      </c>
      <c r="AS320" s="58">
        <f t="shared" ca="1" si="757"/>
        <v>0</v>
      </c>
      <c r="AT320" s="58">
        <f t="shared" ca="1" si="757"/>
        <v>0</v>
      </c>
      <c r="AU320" s="58">
        <f t="shared" ca="1" si="757"/>
        <v>0</v>
      </c>
      <c r="AV320" s="58">
        <f t="shared" ca="1" si="757"/>
        <v>0</v>
      </c>
      <c r="AW320" s="58">
        <f t="shared" ca="1" si="757"/>
        <v>0</v>
      </c>
      <c r="AX320" s="58">
        <f t="shared" ca="1" si="757"/>
        <v>0</v>
      </c>
      <c r="AY320" s="58">
        <f t="shared" ca="1" si="757"/>
        <v>0</v>
      </c>
      <c r="AZ320" s="58">
        <f t="shared" ca="1" si="757"/>
        <v>0</v>
      </c>
      <c r="BA320" s="58">
        <f t="shared" ca="1" si="757"/>
        <v>0</v>
      </c>
      <c r="BB320" s="58">
        <f t="shared" ca="1" si="757"/>
        <v>0</v>
      </c>
      <c r="BC320" s="58">
        <f t="shared" ca="1" si="757"/>
        <v>0</v>
      </c>
      <c r="BD320" s="58">
        <f t="shared" ca="1" si="757"/>
        <v>0</v>
      </c>
      <c r="BE320" s="58">
        <f t="shared" ca="1" si="757"/>
        <v>0</v>
      </c>
      <c r="BF320" s="58">
        <f t="shared" ca="1" si="757"/>
        <v>0</v>
      </c>
      <c r="BG320" s="58">
        <f t="shared" ca="1" si="757"/>
        <v>0</v>
      </c>
      <c r="BH320" s="58">
        <f t="shared" ca="1" si="757"/>
        <v>0</v>
      </c>
      <c r="BI320" s="58">
        <f t="shared" ca="1" si="757"/>
        <v>0</v>
      </c>
      <c r="BJ320" s="58">
        <f t="shared" ca="1" si="757"/>
        <v>0</v>
      </c>
      <c r="BK320" s="58">
        <f t="shared" ca="1" si="757"/>
        <v>0</v>
      </c>
      <c r="BL320" s="58">
        <f t="shared" ca="1" si="757"/>
        <v>0</v>
      </c>
      <c r="BM320" s="58">
        <f t="shared" ca="1" si="757"/>
        <v>0</v>
      </c>
      <c r="BN320" s="58">
        <f t="shared" ca="1" si="757"/>
        <v>0</v>
      </c>
      <c r="BO320" s="58">
        <f t="shared" ca="1" si="757"/>
        <v>0</v>
      </c>
      <c r="BP320" s="58">
        <f t="shared" ca="1" si="757"/>
        <v>0</v>
      </c>
      <c r="BQ320" s="58">
        <f t="shared" ca="1" si="757"/>
        <v>0</v>
      </c>
      <c r="BR320" s="58">
        <f t="shared" ca="1" si="757"/>
        <v>0</v>
      </c>
      <c r="BS320" s="58">
        <f t="shared" ref="BS320:CX320" ca="1" si="758">+IF(OR($F320+BS$175&lt;1,(BS$176-1)*12&lt;-$F320),0,OFFSET(BS150,0,$F320))</f>
        <v>0</v>
      </c>
      <c r="BT320" s="58">
        <f t="shared" ca="1" si="758"/>
        <v>0</v>
      </c>
      <c r="BU320" s="58">
        <f t="shared" ca="1" si="758"/>
        <v>0</v>
      </c>
      <c r="BV320" s="58">
        <f t="shared" ca="1" si="758"/>
        <v>0</v>
      </c>
      <c r="BW320" s="58">
        <f t="shared" ca="1" si="758"/>
        <v>0</v>
      </c>
      <c r="BX320" s="58">
        <f t="shared" ca="1" si="758"/>
        <v>0</v>
      </c>
      <c r="BY320" s="58">
        <f t="shared" ca="1" si="758"/>
        <v>0</v>
      </c>
      <c r="BZ320" s="58">
        <f t="shared" ca="1" si="758"/>
        <v>0</v>
      </c>
      <c r="CA320" s="58">
        <f t="shared" ca="1" si="758"/>
        <v>0</v>
      </c>
      <c r="CB320" s="58">
        <f t="shared" ca="1" si="758"/>
        <v>0</v>
      </c>
      <c r="CC320" s="58">
        <f t="shared" ca="1" si="758"/>
        <v>0</v>
      </c>
      <c r="CD320" s="58">
        <f t="shared" ca="1" si="758"/>
        <v>0</v>
      </c>
      <c r="CE320" s="58">
        <f t="shared" ca="1" si="758"/>
        <v>0</v>
      </c>
      <c r="CF320" s="58">
        <f t="shared" ca="1" si="758"/>
        <v>0</v>
      </c>
      <c r="CG320" s="58">
        <f t="shared" ca="1" si="758"/>
        <v>0</v>
      </c>
      <c r="CH320" s="58">
        <f t="shared" ca="1" si="758"/>
        <v>0</v>
      </c>
      <c r="CI320" s="58">
        <f t="shared" ca="1" si="758"/>
        <v>0</v>
      </c>
      <c r="CJ320" s="58">
        <f t="shared" ca="1" si="758"/>
        <v>0</v>
      </c>
      <c r="CK320" s="58">
        <f t="shared" ca="1" si="758"/>
        <v>0</v>
      </c>
      <c r="CL320" s="58">
        <f t="shared" ca="1" si="758"/>
        <v>0</v>
      </c>
      <c r="CM320" s="58">
        <f t="shared" ca="1" si="758"/>
        <v>0</v>
      </c>
      <c r="CN320" s="58">
        <f t="shared" ca="1" si="758"/>
        <v>0</v>
      </c>
      <c r="CO320" s="58">
        <f t="shared" ca="1" si="758"/>
        <v>0</v>
      </c>
      <c r="CP320" s="58">
        <f t="shared" ca="1" si="758"/>
        <v>0</v>
      </c>
      <c r="CQ320" s="58">
        <f t="shared" ca="1" si="758"/>
        <v>0</v>
      </c>
      <c r="CR320" s="58">
        <f t="shared" ca="1" si="758"/>
        <v>0</v>
      </c>
      <c r="CS320" s="58">
        <f t="shared" ca="1" si="758"/>
        <v>0</v>
      </c>
      <c r="CT320" s="58">
        <f t="shared" ca="1" si="758"/>
        <v>0</v>
      </c>
      <c r="CU320" s="58">
        <f t="shared" ca="1" si="758"/>
        <v>0</v>
      </c>
      <c r="CV320" s="58">
        <f t="shared" ca="1" si="758"/>
        <v>0</v>
      </c>
      <c r="CW320" s="58">
        <f t="shared" ca="1" si="758"/>
        <v>0</v>
      </c>
      <c r="CX320" s="58">
        <f t="shared" ca="1" si="758"/>
        <v>0</v>
      </c>
      <c r="CY320" s="58">
        <f t="shared" ref="CY320:ED320" ca="1" si="759">+IF(OR($F320+CY$175&lt;1,(CY$176-1)*12&lt;-$F320),0,OFFSET(CY150,0,$F320))</f>
        <v>0</v>
      </c>
      <c r="CZ320" s="58">
        <f t="shared" ca="1" si="759"/>
        <v>0</v>
      </c>
      <c r="DA320" s="58">
        <f t="shared" ca="1" si="759"/>
        <v>0</v>
      </c>
      <c r="DB320" s="58">
        <f t="shared" ca="1" si="759"/>
        <v>0</v>
      </c>
      <c r="DC320" s="58">
        <f t="shared" ca="1" si="759"/>
        <v>0</v>
      </c>
      <c r="DD320" s="58">
        <f t="shared" ca="1" si="759"/>
        <v>0</v>
      </c>
      <c r="DE320" s="58">
        <f t="shared" ca="1" si="759"/>
        <v>0</v>
      </c>
      <c r="DF320" s="58">
        <f t="shared" ca="1" si="759"/>
        <v>0</v>
      </c>
      <c r="DG320" s="58">
        <f t="shared" ca="1" si="759"/>
        <v>0</v>
      </c>
      <c r="DH320" s="58">
        <f t="shared" ca="1" si="759"/>
        <v>0</v>
      </c>
      <c r="DI320" s="58">
        <f t="shared" ca="1" si="759"/>
        <v>0</v>
      </c>
      <c r="DJ320" s="58">
        <f t="shared" ca="1" si="759"/>
        <v>0</v>
      </c>
      <c r="DK320" s="58">
        <f t="shared" ca="1" si="759"/>
        <v>0</v>
      </c>
      <c r="DL320" s="58">
        <f t="shared" ca="1" si="759"/>
        <v>0</v>
      </c>
      <c r="DM320" s="58">
        <f t="shared" ca="1" si="759"/>
        <v>0</v>
      </c>
      <c r="DN320" s="58">
        <f t="shared" ca="1" si="759"/>
        <v>0</v>
      </c>
      <c r="DO320" s="58">
        <f t="shared" ca="1" si="759"/>
        <v>0</v>
      </c>
      <c r="DP320" s="58">
        <f t="shared" ca="1" si="759"/>
        <v>0</v>
      </c>
      <c r="DQ320" s="58">
        <f t="shared" ca="1" si="759"/>
        <v>0</v>
      </c>
      <c r="DR320" s="58">
        <f t="shared" ca="1" si="759"/>
        <v>0</v>
      </c>
      <c r="DS320" s="58">
        <f t="shared" ca="1" si="759"/>
        <v>0</v>
      </c>
      <c r="DT320" s="58">
        <f t="shared" ca="1" si="759"/>
        <v>0</v>
      </c>
      <c r="DU320" s="58">
        <f t="shared" ca="1" si="759"/>
        <v>0</v>
      </c>
      <c r="DV320" s="58">
        <f t="shared" ca="1" si="759"/>
        <v>0</v>
      </c>
      <c r="DW320" s="58">
        <f t="shared" ca="1" si="759"/>
        <v>0</v>
      </c>
      <c r="DX320" s="58">
        <f t="shared" ca="1" si="759"/>
        <v>0</v>
      </c>
      <c r="DY320" s="58">
        <f t="shared" ca="1" si="759"/>
        <v>0</v>
      </c>
      <c r="DZ320" s="58">
        <f t="shared" ca="1" si="759"/>
        <v>0</v>
      </c>
      <c r="EA320" s="58">
        <f t="shared" ca="1" si="759"/>
        <v>0</v>
      </c>
      <c r="EB320" s="58">
        <f t="shared" ca="1" si="759"/>
        <v>0</v>
      </c>
      <c r="EC320" s="58">
        <f t="shared" ca="1" si="759"/>
        <v>0</v>
      </c>
      <c r="ED320" s="58">
        <f t="shared" ca="1" si="759"/>
        <v>0</v>
      </c>
      <c r="EE320" s="58">
        <f t="shared" ref="EE320:FN320" ca="1" si="760">+IF(OR($F320+EE$175&lt;1,(EE$176-1)*12&lt;-$F320),0,OFFSET(EE150,0,$F320))</f>
        <v>0</v>
      </c>
      <c r="EF320" s="58">
        <f t="shared" ca="1" si="760"/>
        <v>0</v>
      </c>
      <c r="EG320" s="58">
        <f t="shared" ca="1" si="760"/>
        <v>0</v>
      </c>
      <c r="EH320" s="58">
        <f t="shared" ca="1" si="760"/>
        <v>0</v>
      </c>
      <c r="EI320" s="58">
        <f t="shared" ca="1" si="760"/>
        <v>0</v>
      </c>
      <c r="EJ320" s="58">
        <f t="shared" ca="1" si="760"/>
        <v>0</v>
      </c>
      <c r="EK320" s="58">
        <f t="shared" ca="1" si="760"/>
        <v>0</v>
      </c>
      <c r="EL320" s="58">
        <f t="shared" ca="1" si="760"/>
        <v>0</v>
      </c>
      <c r="EM320" s="58">
        <f t="shared" ca="1" si="760"/>
        <v>0</v>
      </c>
      <c r="EN320" s="58">
        <f t="shared" ca="1" si="760"/>
        <v>0</v>
      </c>
      <c r="EO320" s="58">
        <f t="shared" ca="1" si="760"/>
        <v>0</v>
      </c>
      <c r="EP320" s="58">
        <f t="shared" ca="1" si="760"/>
        <v>0</v>
      </c>
      <c r="EQ320" s="58">
        <f t="shared" ca="1" si="760"/>
        <v>0</v>
      </c>
      <c r="ER320" s="58">
        <f t="shared" ca="1" si="760"/>
        <v>0</v>
      </c>
      <c r="ES320" s="58">
        <f t="shared" ca="1" si="760"/>
        <v>0</v>
      </c>
      <c r="ET320" s="58">
        <f t="shared" ca="1" si="760"/>
        <v>0</v>
      </c>
      <c r="EU320" s="58">
        <f t="shared" ca="1" si="760"/>
        <v>0</v>
      </c>
      <c r="EV320" s="58">
        <f t="shared" ca="1" si="760"/>
        <v>0</v>
      </c>
      <c r="EW320" s="58">
        <f t="shared" ca="1" si="760"/>
        <v>0</v>
      </c>
      <c r="EX320" s="58">
        <f t="shared" ca="1" si="760"/>
        <v>0</v>
      </c>
      <c r="EY320" s="58">
        <f t="shared" ca="1" si="760"/>
        <v>0</v>
      </c>
      <c r="EZ320" s="58">
        <f t="shared" ca="1" si="760"/>
        <v>0</v>
      </c>
      <c r="FA320" s="58">
        <f t="shared" ca="1" si="760"/>
        <v>0</v>
      </c>
      <c r="FB320" s="58">
        <f t="shared" ca="1" si="760"/>
        <v>0</v>
      </c>
      <c r="FC320" s="58">
        <f t="shared" ca="1" si="760"/>
        <v>0</v>
      </c>
      <c r="FD320" s="58">
        <f t="shared" ca="1" si="760"/>
        <v>0</v>
      </c>
      <c r="FE320" s="58">
        <f t="shared" ca="1" si="760"/>
        <v>0</v>
      </c>
      <c r="FF320" s="58">
        <f t="shared" ca="1" si="760"/>
        <v>0</v>
      </c>
      <c r="FG320" s="58">
        <f t="shared" ca="1" si="760"/>
        <v>0</v>
      </c>
      <c r="FH320" s="58">
        <f t="shared" ca="1" si="760"/>
        <v>0</v>
      </c>
      <c r="FI320" s="58">
        <f t="shared" ca="1" si="760"/>
        <v>0</v>
      </c>
      <c r="FJ320" s="58">
        <f t="shared" ca="1" si="760"/>
        <v>0</v>
      </c>
      <c r="FK320" s="58">
        <f t="shared" ca="1" si="760"/>
        <v>0</v>
      </c>
      <c r="FL320" s="58">
        <f t="shared" ca="1" si="760"/>
        <v>0</v>
      </c>
      <c r="FM320" s="58">
        <f t="shared" ca="1" si="760"/>
        <v>0</v>
      </c>
      <c r="FN320" s="58">
        <f t="shared" ca="1" si="760"/>
        <v>0</v>
      </c>
      <c r="FO320" s="13"/>
    </row>
    <row r="321" spans="1:171" outlineLevel="1" x14ac:dyDescent="0.3">
      <c r="A321" s="13"/>
      <c r="B321" s="13"/>
      <c r="C321" s="13"/>
      <c r="D321" s="52">
        <f t="shared" si="683"/>
        <v>44531</v>
      </c>
      <c r="E321" s="53">
        <f t="shared" si="684"/>
        <v>2021</v>
      </c>
      <c r="F321" s="53">
        <f t="shared" si="685"/>
        <v>95</v>
      </c>
      <c r="G321" s="58">
        <f t="shared" ref="G321:AL321" ca="1" si="761">+IF(OR($F321+G$175&lt;1,(G$176-1)*12&lt;-$F321),0,OFFSET(G151,0,$F321))</f>
        <v>0</v>
      </c>
      <c r="H321" s="58">
        <f t="shared" ca="1" si="761"/>
        <v>0</v>
      </c>
      <c r="I321" s="58">
        <f t="shared" ca="1" si="761"/>
        <v>0</v>
      </c>
      <c r="J321" s="58">
        <f t="shared" ca="1" si="761"/>
        <v>0</v>
      </c>
      <c r="K321" s="58">
        <f t="shared" ca="1" si="761"/>
        <v>0</v>
      </c>
      <c r="L321" s="58">
        <f t="shared" ca="1" si="761"/>
        <v>0</v>
      </c>
      <c r="M321" s="58">
        <f t="shared" ca="1" si="761"/>
        <v>0</v>
      </c>
      <c r="N321" s="58">
        <f t="shared" ca="1" si="761"/>
        <v>0</v>
      </c>
      <c r="O321" s="58">
        <f t="shared" ca="1" si="761"/>
        <v>0</v>
      </c>
      <c r="P321" s="58">
        <f t="shared" ca="1" si="761"/>
        <v>0</v>
      </c>
      <c r="Q321" s="58">
        <f t="shared" ca="1" si="761"/>
        <v>0</v>
      </c>
      <c r="R321" s="58">
        <f t="shared" ca="1" si="761"/>
        <v>0</v>
      </c>
      <c r="S321" s="58">
        <f t="shared" ca="1" si="761"/>
        <v>0</v>
      </c>
      <c r="T321" s="58">
        <f t="shared" ca="1" si="761"/>
        <v>0</v>
      </c>
      <c r="U321" s="58">
        <f t="shared" ca="1" si="761"/>
        <v>0</v>
      </c>
      <c r="V321" s="58">
        <f t="shared" ca="1" si="761"/>
        <v>0</v>
      </c>
      <c r="W321" s="58">
        <f t="shared" ca="1" si="761"/>
        <v>0</v>
      </c>
      <c r="X321" s="58">
        <f t="shared" ca="1" si="761"/>
        <v>0</v>
      </c>
      <c r="Y321" s="58">
        <f t="shared" ca="1" si="761"/>
        <v>0</v>
      </c>
      <c r="Z321" s="58">
        <f t="shared" ca="1" si="761"/>
        <v>0</v>
      </c>
      <c r="AA321" s="58">
        <f t="shared" ca="1" si="761"/>
        <v>0</v>
      </c>
      <c r="AB321" s="58">
        <f t="shared" ca="1" si="761"/>
        <v>0</v>
      </c>
      <c r="AC321" s="58">
        <f t="shared" ca="1" si="761"/>
        <v>0</v>
      </c>
      <c r="AD321" s="58">
        <f t="shared" ca="1" si="761"/>
        <v>0</v>
      </c>
      <c r="AE321" s="58">
        <f t="shared" ca="1" si="761"/>
        <v>0</v>
      </c>
      <c r="AF321" s="58">
        <f t="shared" ca="1" si="761"/>
        <v>0</v>
      </c>
      <c r="AG321" s="58">
        <f t="shared" ca="1" si="761"/>
        <v>0</v>
      </c>
      <c r="AH321" s="58">
        <f t="shared" ca="1" si="761"/>
        <v>0</v>
      </c>
      <c r="AI321" s="58">
        <f t="shared" ca="1" si="761"/>
        <v>0</v>
      </c>
      <c r="AJ321" s="58">
        <f t="shared" ca="1" si="761"/>
        <v>0</v>
      </c>
      <c r="AK321" s="58">
        <f t="shared" ca="1" si="761"/>
        <v>0</v>
      </c>
      <c r="AL321" s="58">
        <f t="shared" ca="1" si="761"/>
        <v>0</v>
      </c>
      <c r="AM321" s="58">
        <f t="shared" ref="AM321:BR321" ca="1" si="762">+IF(OR($F321+AM$175&lt;1,(AM$176-1)*12&lt;-$F321),0,OFFSET(AM151,0,$F321))</f>
        <v>0</v>
      </c>
      <c r="AN321" s="58">
        <f t="shared" ca="1" si="762"/>
        <v>0</v>
      </c>
      <c r="AO321" s="58">
        <f t="shared" ca="1" si="762"/>
        <v>0</v>
      </c>
      <c r="AP321" s="58">
        <f t="shared" ca="1" si="762"/>
        <v>0</v>
      </c>
      <c r="AQ321" s="58">
        <f t="shared" ca="1" si="762"/>
        <v>0</v>
      </c>
      <c r="AR321" s="58">
        <f t="shared" ca="1" si="762"/>
        <v>0</v>
      </c>
      <c r="AS321" s="58">
        <f t="shared" ca="1" si="762"/>
        <v>0</v>
      </c>
      <c r="AT321" s="58">
        <f t="shared" ca="1" si="762"/>
        <v>0</v>
      </c>
      <c r="AU321" s="58">
        <f t="shared" ca="1" si="762"/>
        <v>0</v>
      </c>
      <c r="AV321" s="58">
        <f t="shared" ca="1" si="762"/>
        <v>0</v>
      </c>
      <c r="AW321" s="58">
        <f t="shared" ca="1" si="762"/>
        <v>0</v>
      </c>
      <c r="AX321" s="58">
        <f t="shared" ca="1" si="762"/>
        <v>0</v>
      </c>
      <c r="AY321" s="58">
        <f t="shared" ca="1" si="762"/>
        <v>0</v>
      </c>
      <c r="AZ321" s="58">
        <f t="shared" ca="1" si="762"/>
        <v>0</v>
      </c>
      <c r="BA321" s="58">
        <f t="shared" ca="1" si="762"/>
        <v>0</v>
      </c>
      <c r="BB321" s="58">
        <f t="shared" ca="1" si="762"/>
        <v>0</v>
      </c>
      <c r="BC321" s="58">
        <f t="shared" ca="1" si="762"/>
        <v>0</v>
      </c>
      <c r="BD321" s="58">
        <f t="shared" ca="1" si="762"/>
        <v>0</v>
      </c>
      <c r="BE321" s="58">
        <f t="shared" ca="1" si="762"/>
        <v>0</v>
      </c>
      <c r="BF321" s="58">
        <f t="shared" ca="1" si="762"/>
        <v>0</v>
      </c>
      <c r="BG321" s="58">
        <f t="shared" ca="1" si="762"/>
        <v>0</v>
      </c>
      <c r="BH321" s="58">
        <f t="shared" ca="1" si="762"/>
        <v>0</v>
      </c>
      <c r="BI321" s="58">
        <f t="shared" ca="1" si="762"/>
        <v>0</v>
      </c>
      <c r="BJ321" s="58">
        <f t="shared" ca="1" si="762"/>
        <v>0</v>
      </c>
      <c r="BK321" s="58">
        <f t="shared" ca="1" si="762"/>
        <v>0</v>
      </c>
      <c r="BL321" s="58">
        <f t="shared" ca="1" si="762"/>
        <v>0</v>
      </c>
      <c r="BM321" s="58">
        <f t="shared" ca="1" si="762"/>
        <v>0</v>
      </c>
      <c r="BN321" s="58">
        <f t="shared" ca="1" si="762"/>
        <v>0</v>
      </c>
      <c r="BO321" s="58">
        <f t="shared" ca="1" si="762"/>
        <v>0</v>
      </c>
      <c r="BP321" s="58">
        <f t="shared" ca="1" si="762"/>
        <v>0</v>
      </c>
      <c r="BQ321" s="58">
        <f t="shared" ca="1" si="762"/>
        <v>0</v>
      </c>
      <c r="BR321" s="58">
        <f t="shared" ca="1" si="762"/>
        <v>0</v>
      </c>
      <c r="BS321" s="58">
        <f t="shared" ref="BS321:CX321" ca="1" si="763">+IF(OR($F321+BS$175&lt;1,(BS$176-1)*12&lt;-$F321),0,OFFSET(BS151,0,$F321))</f>
        <v>0</v>
      </c>
      <c r="BT321" s="58">
        <f t="shared" ca="1" si="763"/>
        <v>0</v>
      </c>
      <c r="BU321" s="58">
        <f t="shared" ca="1" si="763"/>
        <v>0</v>
      </c>
      <c r="BV321" s="58">
        <f t="shared" ca="1" si="763"/>
        <v>0</v>
      </c>
      <c r="BW321" s="58">
        <f t="shared" ca="1" si="763"/>
        <v>0</v>
      </c>
      <c r="BX321" s="58">
        <f t="shared" ca="1" si="763"/>
        <v>0</v>
      </c>
      <c r="BY321" s="58">
        <f t="shared" ca="1" si="763"/>
        <v>0</v>
      </c>
      <c r="BZ321" s="58">
        <f t="shared" ca="1" si="763"/>
        <v>0</v>
      </c>
      <c r="CA321" s="58">
        <f t="shared" ca="1" si="763"/>
        <v>0</v>
      </c>
      <c r="CB321" s="58">
        <f t="shared" ca="1" si="763"/>
        <v>0</v>
      </c>
      <c r="CC321" s="58">
        <f t="shared" ca="1" si="763"/>
        <v>0</v>
      </c>
      <c r="CD321" s="58">
        <f t="shared" ca="1" si="763"/>
        <v>0</v>
      </c>
      <c r="CE321" s="58">
        <f t="shared" ca="1" si="763"/>
        <v>0</v>
      </c>
      <c r="CF321" s="58">
        <f t="shared" ca="1" si="763"/>
        <v>0</v>
      </c>
      <c r="CG321" s="58">
        <f t="shared" ca="1" si="763"/>
        <v>0</v>
      </c>
      <c r="CH321" s="58">
        <f t="shared" ca="1" si="763"/>
        <v>0</v>
      </c>
      <c r="CI321" s="58">
        <f t="shared" ca="1" si="763"/>
        <v>0</v>
      </c>
      <c r="CJ321" s="58">
        <f t="shared" ca="1" si="763"/>
        <v>0</v>
      </c>
      <c r="CK321" s="58">
        <f t="shared" ca="1" si="763"/>
        <v>0</v>
      </c>
      <c r="CL321" s="58">
        <f t="shared" ca="1" si="763"/>
        <v>0</v>
      </c>
      <c r="CM321" s="58">
        <f t="shared" ca="1" si="763"/>
        <v>0</v>
      </c>
      <c r="CN321" s="58">
        <f t="shared" ca="1" si="763"/>
        <v>0</v>
      </c>
      <c r="CO321" s="58">
        <f t="shared" ca="1" si="763"/>
        <v>0</v>
      </c>
      <c r="CP321" s="58">
        <f t="shared" ca="1" si="763"/>
        <v>0</v>
      </c>
      <c r="CQ321" s="58">
        <f t="shared" ca="1" si="763"/>
        <v>0</v>
      </c>
      <c r="CR321" s="58">
        <f t="shared" ca="1" si="763"/>
        <v>0</v>
      </c>
      <c r="CS321" s="58">
        <f t="shared" ca="1" si="763"/>
        <v>0</v>
      </c>
      <c r="CT321" s="58">
        <f t="shared" ca="1" si="763"/>
        <v>0</v>
      </c>
      <c r="CU321" s="58">
        <f t="shared" ca="1" si="763"/>
        <v>0</v>
      </c>
      <c r="CV321" s="58">
        <f t="shared" ca="1" si="763"/>
        <v>0</v>
      </c>
      <c r="CW321" s="58">
        <f t="shared" ca="1" si="763"/>
        <v>0</v>
      </c>
      <c r="CX321" s="58">
        <f t="shared" ca="1" si="763"/>
        <v>0</v>
      </c>
      <c r="CY321" s="58">
        <f t="shared" ref="CY321:ED321" ca="1" si="764">+IF(OR($F321+CY$175&lt;1,(CY$176-1)*12&lt;-$F321),0,OFFSET(CY151,0,$F321))</f>
        <v>0</v>
      </c>
      <c r="CZ321" s="58">
        <f t="shared" ca="1" si="764"/>
        <v>0</v>
      </c>
      <c r="DA321" s="58">
        <f t="shared" ca="1" si="764"/>
        <v>0</v>
      </c>
      <c r="DB321" s="58">
        <f t="shared" ca="1" si="764"/>
        <v>0</v>
      </c>
      <c r="DC321" s="58">
        <f t="shared" ca="1" si="764"/>
        <v>0</v>
      </c>
      <c r="DD321" s="58">
        <f t="shared" ca="1" si="764"/>
        <v>0</v>
      </c>
      <c r="DE321" s="58">
        <f t="shared" ca="1" si="764"/>
        <v>0</v>
      </c>
      <c r="DF321" s="58">
        <f t="shared" ca="1" si="764"/>
        <v>0</v>
      </c>
      <c r="DG321" s="58">
        <f t="shared" ca="1" si="764"/>
        <v>0</v>
      </c>
      <c r="DH321" s="58">
        <f t="shared" ca="1" si="764"/>
        <v>0</v>
      </c>
      <c r="DI321" s="58">
        <f t="shared" ca="1" si="764"/>
        <v>0</v>
      </c>
      <c r="DJ321" s="58">
        <f t="shared" ca="1" si="764"/>
        <v>0</v>
      </c>
      <c r="DK321" s="58">
        <f t="shared" ca="1" si="764"/>
        <v>0</v>
      </c>
      <c r="DL321" s="58">
        <f t="shared" ca="1" si="764"/>
        <v>0</v>
      </c>
      <c r="DM321" s="58">
        <f t="shared" ca="1" si="764"/>
        <v>0</v>
      </c>
      <c r="DN321" s="58">
        <f t="shared" ca="1" si="764"/>
        <v>0</v>
      </c>
      <c r="DO321" s="58">
        <f t="shared" ca="1" si="764"/>
        <v>0</v>
      </c>
      <c r="DP321" s="58">
        <f t="shared" ca="1" si="764"/>
        <v>0</v>
      </c>
      <c r="DQ321" s="58">
        <f t="shared" ca="1" si="764"/>
        <v>0</v>
      </c>
      <c r="DR321" s="58">
        <f t="shared" ca="1" si="764"/>
        <v>0</v>
      </c>
      <c r="DS321" s="58">
        <f t="shared" ca="1" si="764"/>
        <v>0</v>
      </c>
      <c r="DT321" s="58">
        <f t="shared" ca="1" si="764"/>
        <v>0</v>
      </c>
      <c r="DU321" s="58">
        <f t="shared" ca="1" si="764"/>
        <v>0</v>
      </c>
      <c r="DV321" s="58">
        <f t="shared" ca="1" si="764"/>
        <v>0</v>
      </c>
      <c r="DW321" s="58">
        <f t="shared" ca="1" si="764"/>
        <v>0</v>
      </c>
      <c r="DX321" s="58">
        <f t="shared" ca="1" si="764"/>
        <v>0</v>
      </c>
      <c r="DY321" s="58">
        <f t="shared" ca="1" si="764"/>
        <v>0</v>
      </c>
      <c r="DZ321" s="58">
        <f t="shared" ca="1" si="764"/>
        <v>0</v>
      </c>
      <c r="EA321" s="58">
        <f t="shared" ca="1" si="764"/>
        <v>0</v>
      </c>
      <c r="EB321" s="58">
        <f t="shared" ca="1" si="764"/>
        <v>0</v>
      </c>
      <c r="EC321" s="58">
        <f t="shared" ca="1" si="764"/>
        <v>0</v>
      </c>
      <c r="ED321" s="58">
        <f t="shared" ca="1" si="764"/>
        <v>0</v>
      </c>
      <c r="EE321" s="58">
        <f t="shared" ref="EE321:FN321" ca="1" si="765">+IF(OR($F321+EE$175&lt;1,(EE$176-1)*12&lt;-$F321),0,OFFSET(EE151,0,$F321))</f>
        <v>0</v>
      </c>
      <c r="EF321" s="58">
        <f t="shared" ca="1" si="765"/>
        <v>0</v>
      </c>
      <c r="EG321" s="58">
        <f t="shared" ca="1" si="765"/>
        <v>0</v>
      </c>
      <c r="EH321" s="58">
        <f t="shared" ca="1" si="765"/>
        <v>0</v>
      </c>
      <c r="EI321" s="58">
        <f t="shared" ca="1" si="765"/>
        <v>0</v>
      </c>
      <c r="EJ321" s="58">
        <f t="shared" ca="1" si="765"/>
        <v>0</v>
      </c>
      <c r="EK321" s="58">
        <f t="shared" ca="1" si="765"/>
        <v>0</v>
      </c>
      <c r="EL321" s="58">
        <f t="shared" ca="1" si="765"/>
        <v>0</v>
      </c>
      <c r="EM321" s="58">
        <f t="shared" ca="1" si="765"/>
        <v>0</v>
      </c>
      <c r="EN321" s="58">
        <f t="shared" ca="1" si="765"/>
        <v>0</v>
      </c>
      <c r="EO321" s="58">
        <f t="shared" ca="1" si="765"/>
        <v>0</v>
      </c>
      <c r="EP321" s="58">
        <f t="shared" ca="1" si="765"/>
        <v>0</v>
      </c>
      <c r="EQ321" s="58">
        <f t="shared" ca="1" si="765"/>
        <v>0</v>
      </c>
      <c r="ER321" s="58">
        <f t="shared" ca="1" si="765"/>
        <v>0</v>
      </c>
      <c r="ES321" s="58">
        <f t="shared" ca="1" si="765"/>
        <v>0</v>
      </c>
      <c r="ET321" s="58">
        <f t="shared" ca="1" si="765"/>
        <v>0</v>
      </c>
      <c r="EU321" s="58">
        <f t="shared" ca="1" si="765"/>
        <v>0</v>
      </c>
      <c r="EV321" s="58">
        <f t="shared" ca="1" si="765"/>
        <v>0</v>
      </c>
      <c r="EW321" s="58">
        <f t="shared" ca="1" si="765"/>
        <v>0</v>
      </c>
      <c r="EX321" s="58">
        <f t="shared" ca="1" si="765"/>
        <v>0</v>
      </c>
      <c r="EY321" s="58">
        <f t="shared" ca="1" si="765"/>
        <v>0</v>
      </c>
      <c r="EZ321" s="58">
        <f t="shared" ca="1" si="765"/>
        <v>0</v>
      </c>
      <c r="FA321" s="58">
        <f t="shared" ca="1" si="765"/>
        <v>0</v>
      </c>
      <c r="FB321" s="58">
        <f t="shared" ca="1" si="765"/>
        <v>0</v>
      </c>
      <c r="FC321" s="58">
        <f t="shared" ca="1" si="765"/>
        <v>0</v>
      </c>
      <c r="FD321" s="58">
        <f t="shared" ca="1" si="765"/>
        <v>0</v>
      </c>
      <c r="FE321" s="58">
        <f t="shared" ca="1" si="765"/>
        <v>0</v>
      </c>
      <c r="FF321" s="58">
        <f t="shared" ca="1" si="765"/>
        <v>0</v>
      </c>
      <c r="FG321" s="58">
        <f t="shared" ca="1" si="765"/>
        <v>0</v>
      </c>
      <c r="FH321" s="58">
        <f t="shared" ca="1" si="765"/>
        <v>0</v>
      </c>
      <c r="FI321" s="58">
        <f t="shared" ca="1" si="765"/>
        <v>0</v>
      </c>
      <c r="FJ321" s="58">
        <f t="shared" ca="1" si="765"/>
        <v>0</v>
      </c>
      <c r="FK321" s="58">
        <f t="shared" ca="1" si="765"/>
        <v>0</v>
      </c>
      <c r="FL321" s="58">
        <f t="shared" ca="1" si="765"/>
        <v>0</v>
      </c>
      <c r="FM321" s="58">
        <f t="shared" ca="1" si="765"/>
        <v>0</v>
      </c>
      <c r="FN321" s="58">
        <f t="shared" ca="1" si="765"/>
        <v>0</v>
      </c>
      <c r="FO321" s="13"/>
    </row>
    <row r="322" spans="1:171" outlineLevel="1" x14ac:dyDescent="0.3">
      <c r="A322" s="13"/>
      <c r="B322" s="13"/>
      <c r="C322" s="13"/>
      <c r="D322" s="52">
        <f t="shared" si="683"/>
        <v>44562</v>
      </c>
      <c r="E322" s="53">
        <f t="shared" si="684"/>
        <v>2022</v>
      </c>
      <c r="F322" s="53">
        <f t="shared" si="685"/>
        <v>96</v>
      </c>
      <c r="G322" s="58">
        <f t="shared" ref="G322:AL322" ca="1" si="766">+IF(OR($F322+G$175&lt;1,(G$176-1)*12&lt;-$F322),0,OFFSET(G152,0,$F322))</f>
        <v>0</v>
      </c>
      <c r="H322" s="58">
        <f t="shared" ca="1" si="766"/>
        <v>0</v>
      </c>
      <c r="I322" s="58">
        <f t="shared" ca="1" si="766"/>
        <v>0</v>
      </c>
      <c r="J322" s="58">
        <f t="shared" ca="1" si="766"/>
        <v>0</v>
      </c>
      <c r="K322" s="58">
        <f t="shared" ca="1" si="766"/>
        <v>0</v>
      </c>
      <c r="L322" s="58">
        <f t="shared" ca="1" si="766"/>
        <v>0</v>
      </c>
      <c r="M322" s="58">
        <f t="shared" ca="1" si="766"/>
        <v>0</v>
      </c>
      <c r="N322" s="58">
        <f t="shared" ca="1" si="766"/>
        <v>0</v>
      </c>
      <c r="O322" s="58">
        <f t="shared" ca="1" si="766"/>
        <v>0</v>
      </c>
      <c r="P322" s="58">
        <f t="shared" ca="1" si="766"/>
        <v>0</v>
      </c>
      <c r="Q322" s="58">
        <f t="shared" ca="1" si="766"/>
        <v>0</v>
      </c>
      <c r="R322" s="58">
        <f t="shared" ca="1" si="766"/>
        <v>0</v>
      </c>
      <c r="S322" s="58">
        <f t="shared" ca="1" si="766"/>
        <v>0</v>
      </c>
      <c r="T322" s="58">
        <f t="shared" ca="1" si="766"/>
        <v>0</v>
      </c>
      <c r="U322" s="58">
        <f t="shared" ca="1" si="766"/>
        <v>0</v>
      </c>
      <c r="V322" s="58">
        <f t="shared" ca="1" si="766"/>
        <v>0</v>
      </c>
      <c r="W322" s="58">
        <f t="shared" ca="1" si="766"/>
        <v>0</v>
      </c>
      <c r="X322" s="58">
        <f t="shared" ca="1" si="766"/>
        <v>0</v>
      </c>
      <c r="Y322" s="58">
        <f t="shared" ca="1" si="766"/>
        <v>0</v>
      </c>
      <c r="Z322" s="58">
        <f t="shared" ca="1" si="766"/>
        <v>0</v>
      </c>
      <c r="AA322" s="58">
        <f t="shared" ca="1" si="766"/>
        <v>0</v>
      </c>
      <c r="AB322" s="58">
        <f t="shared" ca="1" si="766"/>
        <v>0</v>
      </c>
      <c r="AC322" s="58">
        <f t="shared" ca="1" si="766"/>
        <v>0</v>
      </c>
      <c r="AD322" s="58">
        <f t="shared" ca="1" si="766"/>
        <v>0</v>
      </c>
      <c r="AE322" s="58">
        <f t="shared" ca="1" si="766"/>
        <v>0</v>
      </c>
      <c r="AF322" s="58">
        <f t="shared" ca="1" si="766"/>
        <v>0</v>
      </c>
      <c r="AG322" s="58">
        <f t="shared" ca="1" si="766"/>
        <v>0</v>
      </c>
      <c r="AH322" s="58">
        <f t="shared" ca="1" si="766"/>
        <v>0</v>
      </c>
      <c r="AI322" s="58">
        <f t="shared" ca="1" si="766"/>
        <v>0</v>
      </c>
      <c r="AJ322" s="58">
        <f t="shared" ca="1" si="766"/>
        <v>0</v>
      </c>
      <c r="AK322" s="58">
        <f t="shared" ca="1" si="766"/>
        <v>0</v>
      </c>
      <c r="AL322" s="58">
        <f t="shared" ca="1" si="766"/>
        <v>0</v>
      </c>
      <c r="AM322" s="58">
        <f t="shared" ref="AM322:BR322" ca="1" si="767">+IF(OR($F322+AM$175&lt;1,(AM$176-1)*12&lt;-$F322),0,OFFSET(AM152,0,$F322))</f>
        <v>0</v>
      </c>
      <c r="AN322" s="58">
        <f t="shared" ca="1" si="767"/>
        <v>0</v>
      </c>
      <c r="AO322" s="58">
        <f t="shared" ca="1" si="767"/>
        <v>0</v>
      </c>
      <c r="AP322" s="58">
        <f t="shared" ca="1" si="767"/>
        <v>0</v>
      </c>
      <c r="AQ322" s="58">
        <f t="shared" ca="1" si="767"/>
        <v>0</v>
      </c>
      <c r="AR322" s="58">
        <f t="shared" ca="1" si="767"/>
        <v>0</v>
      </c>
      <c r="AS322" s="58">
        <f t="shared" ca="1" si="767"/>
        <v>0</v>
      </c>
      <c r="AT322" s="58">
        <f t="shared" ca="1" si="767"/>
        <v>0</v>
      </c>
      <c r="AU322" s="58">
        <f t="shared" ca="1" si="767"/>
        <v>0</v>
      </c>
      <c r="AV322" s="58">
        <f t="shared" ca="1" si="767"/>
        <v>0</v>
      </c>
      <c r="AW322" s="58">
        <f t="shared" ca="1" si="767"/>
        <v>0</v>
      </c>
      <c r="AX322" s="58">
        <f t="shared" ca="1" si="767"/>
        <v>0</v>
      </c>
      <c r="AY322" s="58">
        <f t="shared" ca="1" si="767"/>
        <v>0</v>
      </c>
      <c r="AZ322" s="58">
        <f t="shared" ca="1" si="767"/>
        <v>0</v>
      </c>
      <c r="BA322" s="58">
        <f t="shared" ca="1" si="767"/>
        <v>0</v>
      </c>
      <c r="BB322" s="58">
        <f t="shared" ca="1" si="767"/>
        <v>0</v>
      </c>
      <c r="BC322" s="58">
        <f t="shared" ca="1" si="767"/>
        <v>0</v>
      </c>
      <c r="BD322" s="58">
        <f t="shared" ca="1" si="767"/>
        <v>0</v>
      </c>
      <c r="BE322" s="58">
        <f t="shared" ca="1" si="767"/>
        <v>0</v>
      </c>
      <c r="BF322" s="58">
        <f t="shared" ca="1" si="767"/>
        <v>0</v>
      </c>
      <c r="BG322" s="58">
        <f t="shared" ca="1" si="767"/>
        <v>0</v>
      </c>
      <c r="BH322" s="58">
        <f t="shared" ca="1" si="767"/>
        <v>0</v>
      </c>
      <c r="BI322" s="58">
        <f t="shared" ca="1" si="767"/>
        <v>0</v>
      </c>
      <c r="BJ322" s="58">
        <f t="shared" ca="1" si="767"/>
        <v>0</v>
      </c>
      <c r="BK322" s="58">
        <f t="shared" ca="1" si="767"/>
        <v>0</v>
      </c>
      <c r="BL322" s="58">
        <f t="shared" ca="1" si="767"/>
        <v>0</v>
      </c>
      <c r="BM322" s="58">
        <f t="shared" ca="1" si="767"/>
        <v>0</v>
      </c>
      <c r="BN322" s="58">
        <f t="shared" ca="1" si="767"/>
        <v>0</v>
      </c>
      <c r="BO322" s="58">
        <f t="shared" ca="1" si="767"/>
        <v>0</v>
      </c>
      <c r="BP322" s="58">
        <f t="shared" ca="1" si="767"/>
        <v>0</v>
      </c>
      <c r="BQ322" s="58">
        <f t="shared" ca="1" si="767"/>
        <v>0</v>
      </c>
      <c r="BR322" s="58">
        <f t="shared" ca="1" si="767"/>
        <v>0</v>
      </c>
      <c r="BS322" s="58">
        <f t="shared" ref="BS322:CX322" ca="1" si="768">+IF(OR($F322+BS$175&lt;1,(BS$176-1)*12&lt;-$F322),0,OFFSET(BS152,0,$F322))</f>
        <v>0</v>
      </c>
      <c r="BT322" s="58">
        <f t="shared" ca="1" si="768"/>
        <v>0</v>
      </c>
      <c r="BU322" s="58">
        <f t="shared" ca="1" si="768"/>
        <v>0</v>
      </c>
      <c r="BV322" s="58">
        <f t="shared" ca="1" si="768"/>
        <v>0</v>
      </c>
      <c r="BW322" s="58">
        <f t="shared" ca="1" si="768"/>
        <v>0</v>
      </c>
      <c r="BX322" s="58">
        <f t="shared" ca="1" si="768"/>
        <v>0</v>
      </c>
      <c r="BY322" s="58">
        <f t="shared" ca="1" si="768"/>
        <v>0</v>
      </c>
      <c r="BZ322" s="58">
        <f t="shared" ca="1" si="768"/>
        <v>0</v>
      </c>
      <c r="CA322" s="58">
        <f t="shared" ca="1" si="768"/>
        <v>0</v>
      </c>
      <c r="CB322" s="58">
        <f t="shared" ca="1" si="768"/>
        <v>0</v>
      </c>
      <c r="CC322" s="58">
        <f t="shared" ca="1" si="768"/>
        <v>0</v>
      </c>
      <c r="CD322" s="58">
        <f t="shared" ca="1" si="768"/>
        <v>0</v>
      </c>
      <c r="CE322" s="58">
        <f t="shared" ca="1" si="768"/>
        <v>0</v>
      </c>
      <c r="CF322" s="58">
        <f t="shared" ca="1" si="768"/>
        <v>0</v>
      </c>
      <c r="CG322" s="58">
        <f t="shared" ca="1" si="768"/>
        <v>0</v>
      </c>
      <c r="CH322" s="58">
        <f t="shared" ca="1" si="768"/>
        <v>0</v>
      </c>
      <c r="CI322" s="58">
        <f t="shared" ca="1" si="768"/>
        <v>0</v>
      </c>
      <c r="CJ322" s="58">
        <f t="shared" ca="1" si="768"/>
        <v>0</v>
      </c>
      <c r="CK322" s="58">
        <f t="shared" ca="1" si="768"/>
        <v>0</v>
      </c>
      <c r="CL322" s="58">
        <f t="shared" ca="1" si="768"/>
        <v>0</v>
      </c>
      <c r="CM322" s="58">
        <f t="shared" ca="1" si="768"/>
        <v>0</v>
      </c>
      <c r="CN322" s="58">
        <f t="shared" ca="1" si="768"/>
        <v>0</v>
      </c>
      <c r="CO322" s="58">
        <f t="shared" ca="1" si="768"/>
        <v>0</v>
      </c>
      <c r="CP322" s="58">
        <f t="shared" ca="1" si="768"/>
        <v>0</v>
      </c>
      <c r="CQ322" s="58">
        <f t="shared" ca="1" si="768"/>
        <v>0</v>
      </c>
      <c r="CR322" s="58">
        <f t="shared" ca="1" si="768"/>
        <v>0</v>
      </c>
      <c r="CS322" s="58">
        <f t="shared" ca="1" si="768"/>
        <v>0</v>
      </c>
      <c r="CT322" s="58">
        <f t="shared" ca="1" si="768"/>
        <v>0</v>
      </c>
      <c r="CU322" s="58">
        <f t="shared" ca="1" si="768"/>
        <v>0</v>
      </c>
      <c r="CV322" s="58">
        <f t="shared" ca="1" si="768"/>
        <v>0</v>
      </c>
      <c r="CW322" s="58">
        <f t="shared" ca="1" si="768"/>
        <v>0</v>
      </c>
      <c r="CX322" s="58">
        <f t="shared" ca="1" si="768"/>
        <v>0</v>
      </c>
      <c r="CY322" s="58">
        <f t="shared" ref="CY322:ED322" ca="1" si="769">+IF(OR($F322+CY$175&lt;1,(CY$176-1)*12&lt;-$F322),0,OFFSET(CY152,0,$F322))</f>
        <v>0</v>
      </c>
      <c r="CZ322" s="58">
        <f t="shared" ca="1" si="769"/>
        <v>0</v>
      </c>
      <c r="DA322" s="58">
        <f t="shared" ca="1" si="769"/>
        <v>0</v>
      </c>
      <c r="DB322" s="58">
        <f t="shared" ca="1" si="769"/>
        <v>0</v>
      </c>
      <c r="DC322" s="58">
        <f t="shared" ca="1" si="769"/>
        <v>0</v>
      </c>
      <c r="DD322" s="58">
        <f t="shared" ca="1" si="769"/>
        <v>0</v>
      </c>
      <c r="DE322" s="58">
        <f t="shared" ca="1" si="769"/>
        <v>0</v>
      </c>
      <c r="DF322" s="58">
        <f t="shared" ca="1" si="769"/>
        <v>0</v>
      </c>
      <c r="DG322" s="58">
        <f t="shared" ca="1" si="769"/>
        <v>0</v>
      </c>
      <c r="DH322" s="58">
        <f t="shared" ca="1" si="769"/>
        <v>0</v>
      </c>
      <c r="DI322" s="58">
        <f t="shared" ca="1" si="769"/>
        <v>0</v>
      </c>
      <c r="DJ322" s="58">
        <f t="shared" ca="1" si="769"/>
        <v>0</v>
      </c>
      <c r="DK322" s="58">
        <f t="shared" ca="1" si="769"/>
        <v>0</v>
      </c>
      <c r="DL322" s="58">
        <f t="shared" ca="1" si="769"/>
        <v>0</v>
      </c>
      <c r="DM322" s="58">
        <f t="shared" ca="1" si="769"/>
        <v>0</v>
      </c>
      <c r="DN322" s="58">
        <f t="shared" ca="1" si="769"/>
        <v>0</v>
      </c>
      <c r="DO322" s="58">
        <f t="shared" ca="1" si="769"/>
        <v>0</v>
      </c>
      <c r="DP322" s="58">
        <f t="shared" ca="1" si="769"/>
        <v>0</v>
      </c>
      <c r="DQ322" s="58">
        <f t="shared" ca="1" si="769"/>
        <v>0</v>
      </c>
      <c r="DR322" s="58">
        <f t="shared" ca="1" si="769"/>
        <v>0</v>
      </c>
      <c r="DS322" s="58">
        <f t="shared" ca="1" si="769"/>
        <v>0</v>
      </c>
      <c r="DT322" s="58">
        <f t="shared" ca="1" si="769"/>
        <v>0</v>
      </c>
      <c r="DU322" s="58">
        <f t="shared" ca="1" si="769"/>
        <v>0</v>
      </c>
      <c r="DV322" s="58">
        <f t="shared" ca="1" si="769"/>
        <v>0</v>
      </c>
      <c r="DW322" s="58">
        <f t="shared" ca="1" si="769"/>
        <v>0</v>
      </c>
      <c r="DX322" s="58">
        <f t="shared" ca="1" si="769"/>
        <v>0</v>
      </c>
      <c r="DY322" s="58">
        <f t="shared" ca="1" si="769"/>
        <v>0</v>
      </c>
      <c r="DZ322" s="58">
        <f t="shared" ca="1" si="769"/>
        <v>0</v>
      </c>
      <c r="EA322" s="58">
        <f t="shared" ca="1" si="769"/>
        <v>0</v>
      </c>
      <c r="EB322" s="58">
        <f t="shared" ca="1" si="769"/>
        <v>0</v>
      </c>
      <c r="EC322" s="58">
        <f t="shared" ca="1" si="769"/>
        <v>0</v>
      </c>
      <c r="ED322" s="58">
        <f t="shared" ca="1" si="769"/>
        <v>0</v>
      </c>
      <c r="EE322" s="58">
        <f t="shared" ref="EE322:FN322" ca="1" si="770">+IF(OR($F322+EE$175&lt;1,(EE$176-1)*12&lt;-$F322),0,OFFSET(EE152,0,$F322))</f>
        <v>0</v>
      </c>
      <c r="EF322" s="58">
        <f t="shared" ca="1" si="770"/>
        <v>0</v>
      </c>
      <c r="EG322" s="58">
        <f t="shared" ca="1" si="770"/>
        <v>0</v>
      </c>
      <c r="EH322" s="58">
        <f t="shared" ca="1" si="770"/>
        <v>0</v>
      </c>
      <c r="EI322" s="58">
        <f t="shared" ca="1" si="770"/>
        <v>0</v>
      </c>
      <c r="EJ322" s="58">
        <f t="shared" ca="1" si="770"/>
        <v>0</v>
      </c>
      <c r="EK322" s="58">
        <f t="shared" ca="1" si="770"/>
        <v>0</v>
      </c>
      <c r="EL322" s="58">
        <f t="shared" ca="1" si="770"/>
        <v>0</v>
      </c>
      <c r="EM322" s="58">
        <f t="shared" ca="1" si="770"/>
        <v>0</v>
      </c>
      <c r="EN322" s="58">
        <f t="shared" ca="1" si="770"/>
        <v>0</v>
      </c>
      <c r="EO322" s="58">
        <f t="shared" ca="1" si="770"/>
        <v>0</v>
      </c>
      <c r="EP322" s="58">
        <f t="shared" ca="1" si="770"/>
        <v>0</v>
      </c>
      <c r="EQ322" s="58">
        <f t="shared" ca="1" si="770"/>
        <v>0</v>
      </c>
      <c r="ER322" s="58">
        <f t="shared" ca="1" si="770"/>
        <v>0</v>
      </c>
      <c r="ES322" s="58">
        <f t="shared" ca="1" si="770"/>
        <v>0</v>
      </c>
      <c r="ET322" s="58">
        <f t="shared" ca="1" si="770"/>
        <v>0</v>
      </c>
      <c r="EU322" s="58">
        <f t="shared" ca="1" si="770"/>
        <v>0</v>
      </c>
      <c r="EV322" s="58">
        <f t="shared" ca="1" si="770"/>
        <v>0</v>
      </c>
      <c r="EW322" s="58">
        <f t="shared" ca="1" si="770"/>
        <v>0</v>
      </c>
      <c r="EX322" s="58">
        <f t="shared" ca="1" si="770"/>
        <v>0</v>
      </c>
      <c r="EY322" s="58">
        <f t="shared" ca="1" si="770"/>
        <v>0</v>
      </c>
      <c r="EZ322" s="58">
        <f t="shared" ca="1" si="770"/>
        <v>0</v>
      </c>
      <c r="FA322" s="58">
        <f t="shared" ca="1" si="770"/>
        <v>0</v>
      </c>
      <c r="FB322" s="58">
        <f t="shared" ca="1" si="770"/>
        <v>0</v>
      </c>
      <c r="FC322" s="58">
        <f t="shared" ca="1" si="770"/>
        <v>0</v>
      </c>
      <c r="FD322" s="58">
        <f t="shared" ca="1" si="770"/>
        <v>0</v>
      </c>
      <c r="FE322" s="58">
        <f t="shared" ca="1" si="770"/>
        <v>0</v>
      </c>
      <c r="FF322" s="58">
        <f t="shared" ca="1" si="770"/>
        <v>0</v>
      </c>
      <c r="FG322" s="58">
        <f t="shared" ca="1" si="770"/>
        <v>0</v>
      </c>
      <c r="FH322" s="58">
        <f t="shared" ca="1" si="770"/>
        <v>0</v>
      </c>
      <c r="FI322" s="58">
        <f t="shared" ca="1" si="770"/>
        <v>0</v>
      </c>
      <c r="FJ322" s="58">
        <f t="shared" ca="1" si="770"/>
        <v>0</v>
      </c>
      <c r="FK322" s="58">
        <f t="shared" ca="1" si="770"/>
        <v>0</v>
      </c>
      <c r="FL322" s="58">
        <f t="shared" ca="1" si="770"/>
        <v>0</v>
      </c>
      <c r="FM322" s="58">
        <f t="shared" ca="1" si="770"/>
        <v>0</v>
      </c>
      <c r="FN322" s="58">
        <f t="shared" ca="1" si="770"/>
        <v>0</v>
      </c>
      <c r="FO322" s="13"/>
    </row>
    <row r="323" spans="1:171" outlineLevel="1" x14ac:dyDescent="0.3">
      <c r="A323" s="13"/>
      <c r="B323" s="13"/>
      <c r="C323" s="13"/>
      <c r="D323" s="52">
        <f t="shared" si="683"/>
        <v>44593</v>
      </c>
      <c r="E323" s="53">
        <f t="shared" si="684"/>
        <v>2022</v>
      </c>
      <c r="F323" s="53">
        <f t="shared" si="685"/>
        <v>97</v>
      </c>
      <c r="G323" s="58">
        <f t="shared" ref="G323:AL323" ca="1" si="771">+IF(OR($F323+G$175&lt;1,(G$176-1)*12&lt;-$F323),0,OFFSET(G153,0,$F323))</f>
        <v>0</v>
      </c>
      <c r="H323" s="58">
        <f t="shared" ca="1" si="771"/>
        <v>0</v>
      </c>
      <c r="I323" s="58">
        <f t="shared" ca="1" si="771"/>
        <v>0</v>
      </c>
      <c r="J323" s="58">
        <f t="shared" ca="1" si="771"/>
        <v>0</v>
      </c>
      <c r="K323" s="58">
        <f t="shared" ca="1" si="771"/>
        <v>0</v>
      </c>
      <c r="L323" s="58">
        <f t="shared" ca="1" si="771"/>
        <v>0</v>
      </c>
      <c r="M323" s="58">
        <f t="shared" ca="1" si="771"/>
        <v>0</v>
      </c>
      <c r="N323" s="58">
        <f t="shared" ca="1" si="771"/>
        <v>0</v>
      </c>
      <c r="O323" s="58">
        <f t="shared" ca="1" si="771"/>
        <v>0</v>
      </c>
      <c r="P323" s="58">
        <f t="shared" ca="1" si="771"/>
        <v>0</v>
      </c>
      <c r="Q323" s="58">
        <f t="shared" ca="1" si="771"/>
        <v>0</v>
      </c>
      <c r="R323" s="58">
        <f t="shared" ca="1" si="771"/>
        <v>0</v>
      </c>
      <c r="S323" s="58">
        <f t="shared" ca="1" si="771"/>
        <v>0</v>
      </c>
      <c r="T323" s="58">
        <f t="shared" ca="1" si="771"/>
        <v>0</v>
      </c>
      <c r="U323" s="58">
        <f t="shared" ca="1" si="771"/>
        <v>0</v>
      </c>
      <c r="V323" s="58">
        <f t="shared" ca="1" si="771"/>
        <v>0</v>
      </c>
      <c r="W323" s="58">
        <f t="shared" ca="1" si="771"/>
        <v>0</v>
      </c>
      <c r="X323" s="58">
        <f t="shared" ca="1" si="771"/>
        <v>0</v>
      </c>
      <c r="Y323" s="58">
        <f t="shared" ca="1" si="771"/>
        <v>0</v>
      </c>
      <c r="Z323" s="58">
        <f t="shared" ca="1" si="771"/>
        <v>0</v>
      </c>
      <c r="AA323" s="58">
        <f t="shared" ca="1" si="771"/>
        <v>0</v>
      </c>
      <c r="AB323" s="58">
        <f t="shared" ca="1" si="771"/>
        <v>0</v>
      </c>
      <c r="AC323" s="58">
        <f t="shared" ca="1" si="771"/>
        <v>0</v>
      </c>
      <c r="AD323" s="58">
        <f t="shared" ca="1" si="771"/>
        <v>0</v>
      </c>
      <c r="AE323" s="58">
        <f t="shared" ca="1" si="771"/>
        <v>0</v>
      </c>
      <c r="AF323" s="58">
        <f t="shared" ca="1" si="771"/>
        <v>0</v>
      </c>
      <c r="AG323" s="58">
        <f t="shared" ca="1" si="771"/>
        <v>0</v>
      </c>
      <c r="AH323" s="58">
        <f t="shared" ca="1" si="771"/>
        <v>0</v>
      </c>
      <c r="AI323" s="58">
        <f t="shared" ca="1" si="771"/>
        <v>0</v>
      </c>
      <c r="AJ323" s="58">
        <f t="shared" ca="1" si="771"/>
        <v>0</v>
      </c>
      <c r="AK323" s="58">
        <f t="shared" ca="1" si="771"/>
        <v>0</v>
      </c>
      <c r="AL323" s="58">
        <f t="shared" ca="1" si="771"/>
        <v>0</v>
      </c>
      <c r="AM323" s="58">
        <f t="shared" ref="AM323:BR323" ca="1" si="772">+IF(OR($F323+AM$175&lt;1,(AM$176-1)*12&lt;-$F323),0,OFFSET(AM153,0,$F323))</f>
        <v>0</v>
      </c>
      <c r="AN323" s="58">
        <f t="shared" ca="1" si="772"/>
        <v>0</v>
      </c>
      <c r="AO323" s="58">
        <f t="shared" ca="1" si="772"/>
        <v>0</v>
      </c>
      <c r="AP323" s="58">
        <f t="shared" ca="1" si="772"/>
        <v>0</v>
      </c>
      <c r="AQ323" s="58">
        <f t="shared" ca="1" si="772"/>
        <v>0</v>
      </c>
      <c r="AR323" s="58">
        <f t="shared" ca="1" si="772"/>
        <v>0</v>
      </c>
      <c r="AS323" s="58">
        <f t="shared" ca="1" si="772"/>
        <v>0</v>
      </c>
      <c r="AT323" s="58">
        <f t="shared" ca="1" si="772"/>
        <v>0</v>
      </c>
      <c r="AU323" s="58">
        <f t="shared" ca="1" si="772"/>
        <v>0</v>
      </c>
      <c r="AV323" s="58">
        <f t="shared" ca="1" si="772"/>
        <v>0</v>
      </c>
      <c r="AW323" s="58">
        <f t="shared" ca="1" si="772"/>
        <v>0</v>
      </c>
      <c r="AX323" s="58">
        <f t="shared" ca="1" si="772"/>
        <v>0</v>
      </c>
      <c r="AY323" s="58">
        <f t="shared" ca="1" si="772"/>
        <v>0</v>
      </c>
      <c r="AZ323" s="58">
        <f t="shared" ca="1" si="772"/>
        <v>0</v>
      </c>
      <c r="BA323" s="58">
        <f t="shared" ca="1" si="772"/>
        <v>0</v>
      </c>
      <c r="BB323" s="58">
        <f t="shared" ca="1" si="772"/>
        <v>0</v>
      </c>
      <c r="BC323" s="58">
        <f t="shared" ca="1" si="772"/>
        <v>0</v>
      </c>
      <c r="BD323" s="58">
        <f t="shared" ca="1" si="772"/>
        <v>0</v>
      </c>
      <c r="BE323" s="58">
        <f t="shared" ca="1" si="772"/>
        <v>0</v>
      </c>
      <c r="BF323" s="58">
        <f t="shared" ca="1" si="772"/>
        <v>0</v>
      </c>
      <c r="BG323" s="58">
        <f t="shared" ca="1" si="772"/>
        <v>0</v>
      </c>
      <c r="BH323" s="58">
        <f t="shared" ca="1" si="772"/>
        <v>0</v>
      </c>
      <c r="BI323" s="58">
        <f t="shared" ca="1" si="772"/>
        <v>0</v>
      </c>
      <c r="BJ323" s="58">
        <f t="shared" ca="1" si="772"/>
        <v>0</v>
      </c>
      <c r="BK323" s="58">
        <f t="shared" ca="1" si="772"/>
        <v>0</v>
      </c>
      <c r="BL323" s="58">
        <f t="shared" ca="1" si="772"/>
        <v>0</v>
      </c>
      <c r="BM323" s="58">
        <f t="shared" ca="1" si="772"/>
        <v>0</v>
      </c>
      <c r="BN323" s="58">
        <f t="shared" ca="1" si="772"/>
        <v>0</v>
      </c>
      <c r="BO323" s="58">
        <f t="shared" ca="1" si="772"/>
        <v>0</v>
      </c>
      <c r="BP323" s="58">
        <f t="shared" ca="1" si="772"/>
        <v>0</v>
      </c>
      <c r="BQ323" s="58">
        <f t="shared" ca="1" si="772"/>
        <v>0</v>
      </c>
      <c r="BR323" s="58">
        <f t="shared" ca="1" si="772"/>
        <v>0</v>
      </c>
      <c r="BS323" s="58">
        <f t="shared" ref="BS323:CX323" ca="1" si="773">+IF(OR($F323+BS$175&lt;1,(BS$176-1)*12&lt;-$F323),0,OFFSET(BS153,0,$F323))</f>
        <v>0</v>
      </c>
      <c r="BT323" s="58">
        <f t="shared" ca="1" si="773"/>
        <v>0</v>
      </c>
      <c r="BU323" s="58">
        <f t="shared" ca="1" si="773"/>
        <v>0</v>
      </c>
      <c r="BV323" s="58">
        <f t="shared" ca="1" si="773"/>
        <v>0</v>
      </c>
      <c r="BW323" s="58">
        <f t="shared" ca="1" si="773"/>
        <v>0</v>
      </c>
      <c r="BX323" s="58">
        <f t="shared" ca="1" si="773"/>
        <v>0</v>
      </c>
      <c r="BY323" s="58">
        <f t="shared" ca="1" si="773"/>
        <v>0</v>
      </c>
      <c r="BZ323" s="58">
        <f t="shared" ca="1" si="773"/>
        <v>0</v>
      </c>
      <c r="CA323" s="58">
        <f t="shared" ca="1" si="773"/>
        <v>0</v>
      </c>
      <c r="CB323" s="58">
        <f t="shared" ca="1" si="773"/>
        <v>0</v>
      </c>
      <c r="CC323" s="58">
        <f t="shared" ca="1" si="773"/>
        <v>0</v>
      </c>
      <c r="CD323" s="58">
        <f t="shared" ca="1" si="773"/>
        <v>0</v>
      </c>
      <c r="CE323" s="58">
        <f t="shared" ca="1" si="773"/>
        <v>0</v>
      </c>
      <c r="CF323" s="58">
        <f t="shared" ca="1" si="773"/>
        <v>0</v>
      </c>
      <c r="CG323" s="58">
        <f t="shared" ca="1" si="773"/>
        <v>0</v>
      </c>
      <c r="CH323" s="58">
        <f t="shared" ca="1" si="773"/>
        <v>0</v>
      </c>
      <c r="CI323" s="58">
        <f t="shared" ca="1" si="773"/>
        <v>0</v>
      </c>
      <c r="CJ323" s="58">
        <f t="shared" ca="1" si="773"/>
        <v>0</v>
      </c>
      <c r="CK323" s="58">
        <f t="shared" ca="1" si="773"/>
        <v>0</v>
      </c>
      <c r="CL323" s="58">
        <f t="shared" ca="1" si="773"/>
        <v>0</v>
      </c>
      <c r="CM323" s="58">
        <f t="shared" ca="1" si="773"/>
        <v>0</v>
      </c>
      <c r="CN323" s="58">
        <f t="shared" ca="1" si="773"/>
        <v>0</v>
      </c>
      <c r="CO323" s="58">
        <f t="shared" ca="1" si="773"/>
        <v>0</v>
      </c>
      <c r="CP323" s="58">
        <f t="shared" ca="1" si="773"/>
        <v>0</v>
      </c>
      <c r="CQ323" s="58">
        <f t="shared" ca="1" si="773"/>
        <v>0</v>
      </c>
      <c r="CR323" s="58">
        <f t="shared" ca="1" si="773"/>
        <v>0</v>
      </c>
      <c r="CS323" s="58">
        <f t="shared" ca="1" si="773"/>
        <v>0</v>
      </c>
      <c r="CT323" s="58">
        <f t="shared" ca="1" si="773"/>
        <v>0</v>
      </c>
      <c r="CU323" s="58">
        <f t="shared" ca="1" si="773"/>
        <v>0</v>
      </c>
      <c r="CV323" s="58">
        <f t="shared" ca="1" si="773"/>
        <v>0</v>
      </c>
      <c r="CW323" s="58">
        <f t="shared" ca="1" si="773"/>
        <v>0</v>
      </c>
      <c r="CX323" s="58">
        <f t="shared" ca="1" si="773"/>
        <v>0</v>
      </c>
      <c r="CY323" s="58">
        <f t="shared" ref="CY323:ED323" ca="1" si="774">+IF(OR($F323+CY$175&lt;1,(CY$176-1)*12&lt;-$F323),0,OFFSET(CY153,0,$F323))</f>
        <v>0</v>
      </c>
      <c r="CZ323" s="58">
        <f t="shared" ca="1" si="774"/>
        <v>0</v>
      </c>
      <c r="DA323" s="58">
        <f t="shared" ca="1" si="774"/>
        <v>0</v>
      </c>
      <c r="DB323" s="58">
        <f t="shared" ca="1" si="774"/>
        <v>0</v>
      </c>
      <c r="DC323" s="58">
        <f t="shared" ca="1" si="774"/>
        <v>0</v>
      </c>
      <c r="DD323" s="58">
        <f t="shared" ca="1" si="774"/>
        <v>0</v>
      </c>
      <c r="DE323" s="58">
        <f t="shared" ca="1" si="774"/>
        <v>0</v>
      </c>
      <c r="DF323" s="58">
        <f t="shared" ca="1" si="774"/>
        <v>0</v>
      </c>
      <c r="DG323" s="58">
        <f t="shared" ca="1" si="774"/>
        <v>0</v>
      </c>
      <c r="DH323" s="58">
        <f t="shared" ca="1" si="774"/>
        <v>0</v>
      </c>
      <c r="DI323" s="58">
        <f t="shared" ca="1" si="774"/>
        <v>0</v>
      </c>
      <c r="DJ323" s="58">
        <f t="shared" ca="1" si="774"/>
        <v>0</v>
      </c>
      <c r="DK323" s="58">
        <f t="shared" ca="1" si="774"/>
        <v>0</v>
      </c>
      <c r="DL323" s="58">
        <f t="shared" ca="1" si="774"/>
        <v>0</v>
      </c>
      <c r="DM323" s="58">
        <f t="shared" ca="1" si="774"/>
        <v>0</v>
      </c>
      <c r="DN323" s="58">
        <f t="shared" ca="1" si="774"/>
        <v>0</v>
      </c>
      <c r="DO323" s="58">
        <f t="shared" ca="1" si="774"/>
        <v>0</v>
      </c>
      <c r="DP323" s="58">
        <f t="shared" ca="1" si="774"/>
        <v>0</v>
      </c>
      <c r="DQ323" s="58">
        <f t="shared" ca="1" si="774"/>
        <v>0</v>
      </c>
      <c r="DR323" s="58">
        <f t="shared" ca="1" si="774"/>
        <v>0</v>
      </c>
      <c r="DS323" s="58">
        <f t="shared" ca="1" si="774"/>
        <v>0</v>
      </c>
      <c r="DT323" s="58">
        <f t="shared" ca="1" si="774"/>
        <v>0</v>
      </c>
      <c r="DU323" s="58">
        <f t="shared" ca="1" si="774"/>
        <v>0</v>
      </c>
      <c r="DV323" s="58">
        <f t="shared" ca="1" si="774"/>
        <v>0</v>
      </c>
      <c r="DW323" s="58">
        <f t="shared" ca="1" si="774"/>
        <v>0</v>
      </c>
      <c r="DX323" s="58">
        <f t="shared" ca="1" si="774"/>
        <v>0</v>
      </c>
      <c r="DY323" s="58">
        <f t="shared" ca="1" si="774"/>
        <v>0</v>
      </c>
      <c r="DZ323" s="58">
        <f t="shared" ca="1" si="774"/>
        <v>0</v>
      </c>
      <c r="EA323" s="58">
        <f t="shared" ca="1" si="774"/>
        <v>0</v>
      </c>
      <c r="EB323" s="58">
        <f t="shared" ca="1" si="774"/>
        <v>0</v>
      </c>
      <c r="EC323" s="58">
        <f t="shared" ca="1" si="774"/>
        <v>0</v>
      </c>
      <c r="ED323" s="58">
        <f t="shared" ca="1" si="774"/>
        <v>0</v>
      </c>
      <c r="EE323" s="58">
        <f t="shared" ref="EE323:FN323" ca="1" si="775">+IF(OR($F323+EE$175&lt;1,(EE$176-1)*12&lt;-$F323),0,OFFSET(EE153,0,$F323))</f>
        <v>0</v>
      </c>
      <c r="EF323" s="58">
        <f t="shared" ca="1" si="775"/>
        <v>0</v>
      </c>
      <c r="EG323" s="58">
        <f t="shared" ca="1" si="775"/>
        <v>0</v>
      </c>
      <c r="EH323" s="58">
        <f t="shared" ca="1" si="775"/>
        <v>0</v>
      </c>
      <c r="EI323" s="58">
        <f t="shared" ca="1" si="775"/>
        <v>0</v>
      </c>
      <c r="EJ323" s="58">
        <f t="shared" ca="1" si="775"/>
        <v>0</v>
      </c>
      <c r="EK323" s="58">
        <f t="shared" ca="1" si="775"/>
        <v>0</v>
      </c>
      <c r="EL323" s="58">
        <f t="shared" ca="1" si="775"/>
        <v>0</v>
      </c>
      <c r="EM323" s="58">
        <f t="shared" ca="1" si="775"/>
        <v>0</v>
      </c>
      <c r="EN323" s="58">
        <f t="shared" ca="1" si="775"/>
        <v>0</v>
      </c>
      <c r="EO323" s="58">
        <f t="shared" ca="1" si="775"/>
        <v>0</v>
      </c>
      <c r="EP323" s="58">
        <f t="shared" ca="1" si="775"/>
        <v>0</v>
      </c>
      <c r="EQ323" s="58">
        <f t="shared" ca="1" si="775"/>
        <v>0</v>
      </c>
      <c r="ER323" s="58">
        <f t="shared" ca="1" si="775"/>
        <v>0</v>
      </c>
      <c r="ES323" s="58">
        <f t="shared" ca="1" si="775"/>
        <v>0</v>
      </c>
      <c r="ET323" s="58">
        <f t="shared" ca="1" si="775"/>
        <v>0</v>
      </c>
      <c r="EU323" s="58">
        <f t="shared" ca="1" si="775"/>
        <v>0</v>
      </c>
      <c r="EV323" s="58">
        <f t="shared" ca="1" si="775"/>
        <v>0</v>
      </c>
      <c r="EW323" s="58">
        <f t="shared" ca="1" si="775"/>
        <v>0</v>
      </c>
      <c r="EX323" s="58">
        <f t="shared" ca="1" si="775"/>
        <v>0</v>
      </c>
      <c r="EY323" s="58">
        <f t="shared" ca="1" si="775"/>
        <v>0</v>
      </c>
      <c r="EZ323" s="58">
        <f t="shared" ca="1" si="775"/>
        <v>0</v>
      </c>
      <c r="FA323" s="58">
        <f t="shared" ca="1" si="775"/>
        <v>0</v>
      </c>
      <c r="FB323" s="58">
        <f t="shared" ca="1" si="775"/>
        <v>0</v>
      </c>
      <c r="FC323" s="58">
        <f t="shared" ca="1" si="775"/>
        <v>0</v>
      </c>
      <c r="FD323" s="58">
        <f t="shared" ca="1" si="775"/>
        <v>0</v>
      </c>
      <c r="FE323" s="58">
        <f t="shared" ca="1" si="775"/>
        <v>0</v>
      </c>
      <c r="FF323" s="58">
        <f t="shared" ca="1" si="775"/>
        <v>0</v>
      </c>
      <c r="FG323" s="58">
        <f t="shared" ca="1" si="775"/>
        <v>0</v>
      </c>
      <c r="FH323" s="58">
        <f t="shared" ca="1" si="775"/>
        <v>0</v>
      </c>
      <c r="FI323" s="58">
        <f t="shared" ca="1" si="775"/>
        <v>0</v>
      </c>
      <c r="FJ323" s="58">
        <f t="shared" ca="1" si="775"/>
        <v>0</v>
      </c>
      <c r="FK323" s="58">
        <f t="shared" ca="1" si="775"/>
        <v>0</v>
      </c>
      <c r="FL323" s="58">
        <f t="shared" ca="1" si="775"/>
        <v>0</v>
      </c>
      <c r="FM323" s="58">
        <f t="shared" ca="1" si="775"/>
        <v>0</v>
      </c>
      <c r="FN323" s="58">
        <f t="shared" ca="1" si="775"/>
        <v>0</v>
      </c>
      <c r="FO323" s="13"/>
    </row>
    <row r="324" spans="1:171" outlineLevel="1" x14ac:dyDescent="0.3">
      <c r="A324" s="13"/>
      <c r="B324" s="13"/>
      <c r="C324" s="13"/>
      <c r="D324" s="52">
        <f t="shared" si="683"/>
        <v>44621</v>
      </c>
      <c r="E324" s="53">
        <f t="shared" si="684"/>
        <v>2022</v>
      </c>
      <c r="F324" s="53">
        <f t="shared" si="685"/>
        <v>98</v>
      </c>
      <c r="G324" s="58">
        <f t="shared" ref="G324:AL324" ca="1" si="776">+IF(OR($F324+G$175&lt;1,(G$176-1)*12&lt;-$F324),0,OFFSET(G154,0,$F324))</f>
        <v>0</v>
      </c>
      <c r="H324" s="58">
        <f t="shared" ca="1" si="776"/>
        <v>0</v>
      </c>
      <c r="I324" s="58">
        <f t="shared" ca="1" si="776"/>
        <v>0</v>
      </c>
      <c r="J324" s="58">
        <f t="shared" ca="1" si="776"/>
        <v>0</v>
      </c>
      <c r="K324" s="58">
        <f t="shared" ca="1" si="776"/>
        <v>0</v>
      </c>
      <c r="L324" s="58">
        <f t="shared" ca="1" si="776"/>
        <v>0</v>
      </c>
      <c r="M324" s="58">
        <f t="shared" ca="1" si="776"/>
        <v>0</v>
      </c>
      <c r="N324" s="58">
        <f t="shared" ca="1" si="776"/>
        <v>0</v>
      </c>
      <c r="O324" s="58">
        <f t="shared" ca="1" si="776"/>
        <v>0</v>
      </c>
      <c r="P324" s="58">
        <f t="shared" ca="1" si="776"/>
        <v>0</v>
      </c>
      <c r="Q324" s="58">
        <f t="shared" ca="1" si="776"/>
        <v>0</v>
      </c>
      <c r="R324" s="58">
        <f t="shared" ca="1" si="776"/>
        <v>0</v>
      </c>
      <c r="S324" s="58">
        <f t="shared" ca="1" si="776"/>
        <v>0</v>
      </c>
      <c r="T324" s="58">
        <f t="shared" ca="1" si="776"/>
        <v>0</v>
      </c>
      <c r="U324" s="58">
        <f t="shared" ca="1" si="776"/>
        <v>0</v>
      </c>
      <c r="V324" s="58">
        <f t="shared" ca="1" si="776"/>
        <v>0</v>
      </c>
      <c r="W324" s="58">
        <f t="shared" ca="1" si="776"/>
        <v>0</v>
      </c>
      <c r="X324" s="58">
        <f t="shared" ca="1" si="776"/>
        <v>0</v>
      </c>
      <c r="Y324" s="58">
        <f t="shared" ca="1" si="776"/>
        <v>0</v>
      </c>
      <c r="Z324" s="58">
        <f t="shared" ca="1" si="776"/>
        <v>0</v>
      </c>
      <c r="AA324" s="58">
        <f t="shared" ca="1" si="776"/>
        <v>0</v>
      </c>
      <c r="AB324" s="58">
        <f t="shared" ca="1" si="776"/>
        <v>0</v>
      </c>
      <c r="AC324" s="58">
        <f t="shared" ca="1" si="776"/>
        <v>0</v>
      </c>
      <c r="AD324" s="58">
        <f t="shared" ca="1" si="776"/>
        <v>0</v>
      </c>
      <c r="AE324" s="58">
        <f t="shared" ca="1" si="776"/>
        <v>0</v>
      </c>
      <c r="AF324" s="58">
        <f t="shared" ca="1" si="776"/>
        <v>0</v>
      </c>
      <c r="AG324" s="58">
        <f t="shared" ca="1" si="776"/>
        <v>0</v>
      </c>
      <c r="AH324" s="58">
        <f t="shared" ca="1" si="776"/>
        <v>0</v>
      </c>
      <c r="AI324" s="58">
        <f t="shared" ca="1" si="776"/>
        <v>0</v>
      </c>
      <c r="AJ324" s="58">
        <f t="shared" ca="1" si="776"/>
        <v>0</v>
      </c>
      <c r="AK324" s="58">
        <f t="shared" ca="1" si="776"/>
        <v>0</v>
      </c>
      <c r="AL324" s="58">
        <f t="shared" ca="1" si="776"/>
        <v>0</v>
      </c>
      <c r="AM324" s="58">
        <f t="shared" ref="AM324:BR324" ca="1" si="777">+IF(OR($F324+AM$175&lt;1,(AM$176-1)*12&lt;-$F324),0,OFFSET(AM154,0,$F324))</f>
        <v>0</v>
      </c>
      <c r="AN324" s="58">
        <f t="shared" ca="1" si="777"/>
        <v>0</v>
      </c>
      <c r="AO324" s="58">
        <f t="shared" ca="1" si="777"/>
        <v>0</v>
      </c>
      <c r="AP324" s="58">
        <f t="shared" ca="1" si="777"/>
        <v>0</v>
      </c>
      <c r="AQ324" s="58">
        <f t="shared" ca="1" si="777"/>
        <v>0</v>
      </c>
      <c r="AR324" s="58">
        <f t="shared" ca="1" si="777"/>
        <v>0</v>
      </c>
      <c r="AS324" s="58">
        <f t="shared" ca="1" si="777"/>
        <v>0</v>
      </c>
      <c r="AT324" s="58">
        <f t="shared" ca="1" si="777"/>
        <v>0</v>
      </c>
      <c r="AU324" s="58">
        <f t="shared" ca="1" si="777"/>
        <v>0</v>
      </c>
      <c r="AV324" s="58">
        <f t="shared" ca="1" si="777"/>
        <v>0</v>
      </c>
      <c r="AW324" s="58">
        <f t="shared" ca="1" si="777"/>
        <v>0</v>
      </c>
      <c r="AX324" s="58">
        <f t="shared" ca="1" si="777"/>
        <v>0</v>
      </c>
      <c r="AY324" s="58">
        <f t="shared" ca="1" si="777"/>
        <v>0</v>
      </c>
      <c r="AZ324" s="58">
        <f t="shared" ca="1" si="777"/>
        <v>0</v>
      </c>
      <c r="BA324" s="58">
        <f t="shared" ca="1" si="777"/>
        <v>0</v>
      </c>
      <c r="BB324" s="58">
        <f t="shared" ca="1" si="777"/>
        <v>0</v>
      </c>
      <c r="BC324" s="58">
        <f t="shared" ca="1" si="777"/>
        <v>0</v>
      </c>
      <c r="BD324" s="58">
        <f t="shared" ca="1" si="777"/>
        <v>0</v>
      </c>
      <c r="BE324" s="58">
        <f t="shared" ca="1" si="777"/>
        <v>0</v>
      </c>
      <c r="BF324" s="58">
        <f t="shared" ca="1" si="777"/>
        <v>0</v>
      </c>
      <c r="BG324" s="58">
        <f t="shared" ca="1" si="777"/>
        <v>0</v>
      </c>
      <c r="BH324" s="58">
        <f t="shared" ca="1" si="777"/>
        <v>0</v>
      </c>
      <c r="BI324" s="58">
        <f t="shared" ca="1" si="777"/>
        <v>0</v>
      </c>
      <c r="BJ324" s="58">
        <f t="shared" ca="1" si="777"/>
        <v>0</v>
      </c>
      <c r="BK324" s="58">
        <f t="shared" ca="1" si="777"/>
        <v>0</v>
      </c>
      <c r="BL324" s="58">
        <f t="shared" ca="1" si="777"/>
        <v>0</v>
      </c>
      <c r="BM324" s="58">
        <f t="shared" ca="1" si="777"/>
        <v>0</v>
      </c>
      <c r="BN324" s="58">
        <f t="shared" ca="1" si="777"/>
        <v>0</v>
      </c>
      <c r="BO324" s="58">
        <f t="shared" ca="1" si="777"/>
        <v>0</v>
      </c>
      <c r="BP324" s="58">
        <f t="shared" ca="1" si="777"/>
        <v>0</v>
      </c>
      <c r="BQ324" s="58">
        <f t="shared" ca="1" si="777"/>
        <v>0</v>
      </c>
      <c r="BR324" s="58">
        <f t="shared" ca="1" si="777"/>
        <v>0</v>
      </c>
      <c r="BS324" s="58">
        <f t="shared" ref="BS324:CX324" ca="1" si="778">+IF(OR($F324+BS$175&lt;1,(BS$176-1)*12&lt;-$F324),0,OFFSET(BS154,0,$F324))</f>
        <v>0</v>
      </c>
      <c r="BT324" s="58">
        <f t="shared" ca="1" si="778"/>
        <v>0</v>
      </c>
      <c r="BU324" s="58">
        <f t="shared" ca="1" si="778"/>
        <v>0</v>
      </c>
      <c r="BV324" s="58">
        <f t="shared" ca="1" si="778"/>
        <v>0</v>
      </c>
      <c r="BW324" s="58">
        <f t="shared" ca="1" si="778"/>
        <v>0</v>
      </c>
      <c r="BX324" s="58">
        <f t="shared" ca="1" si="778"/>
        <v>0</v>
      </c>
      <c r="BY324" s="58">
        <f t="shared" ca="1" si="778"/>
        <v>0</v>
      </c>
      <c r="BZ324" s="58">
        <f t="shared" ca="1" si="778"/>
        <v>0</v>
      </c>
      <c r="CA324" s="58">
        <f t="shared" ca="1" si="778"/>
        <v>0</v>
      </c>
      <c r="CB324" s="58">
        <f t="shared" ca="1" si="778"/>
        <v>0</v>
      </c>
      <c r="CC324" s="58">
        <f t="shared" ca="1" si="778"/>
        <v>0</v>
      </c>
      <c r="CD324" s="58">
        <f t="shared" ca="1" si="778"/>
        <v>0</v>
      </c>
      <c r="CE324" s="58">
        <f t="shared" ca="1" si="778"/>
        <v>0</v>
      </c>
      <c r="CF324" s="58">
        <f t="shared" ca="1" si="778"/>
        <v>0</v>
      </c>
      <c r="CG324" s="58">
        <f t="shared" ca="1" si="778"/>
        <v>0</v>
      </c>
      <c r="CH324" s="58">
        <f t="shared" ca="1" si="778"/>
        <v>0</v>
      </c>
      <c r="CI324" s="58">
        <f t="shared" ca="1" si="778"/>
        <v>0</v>
      </c>
      <c r="CJ324" s="58">
        <f t="shared" ca="1" si="778"/>
        <v>0</v>
      </c>
      <c r="CK324" s="58">
        <f t="shared" ca="1" si="778"/>
        <v>0</v>
      </c>
      <c r="CL324" s="58">
        <f t="shared" ca="1" si="778"/>
        <v>0</v>
      </c>
      <c r="CM324" s="58">
        <f t="shared" ca="1" si="778"/>
        <v>0</v>
      </c>
      <c r="CN324" s="58">
        <f t="shared" ca="1" si="778"/>
        <v>0</v>
      </c>
      <c r="CO324" s="58">
        <f t="shared" ca="1" si="778"/>
        <v>0</v>
      </c>
      <c r="CP324" s="58">
        <f t="shared" ca="1" si="778"/>
        <v>0</v>
      </c>
      <c r="CQ324" s="58">
        <f t="shared" ca="1" si="778"/>
        <v>0</v>
      </c>
      <c r="CR324" s="58">
        <f t="shared" ca="1" si="778"/>
        <v>0</v>
      </c>
      <c r="CS324" s="58">
        <f t="shared" ca="1" si="778"/>
        <v>0</v>
      </c>
      <c r="CT324" s="58">
        <f t="shared" ca="1" si="778"/>
        <v>0</v>
      </c>
      <c r="CU324" s="58">
        <f t="shared" ca="1" si="778"/>
        <v>0</v>
      </c>
      <c r="CV324" s="58">
        <f t="shared" ca="1" si="778"/>
        <v>0</v>
      </c>
      <c r="CW324" s="58">
        <f t="shared" ca="1" si="778"/>
        <v>0</v>
      </c>
      <c r="CX324" s="58">
        <f t="shared" ca="1" si="778"/>
        <v>0</v>
      </c>
      <c r="CY324" s="58">
        <f t="shared" ref="CY324:ED324" ca="1" si="779">+IF(OR($F324+CY$175&lt;1,(CY$176-1)*12&lt;-$F324),0,OFFSET(CY154,0,$F324))</f>
        <v>0</v>
      </c>
      <c r="CZ324" s="58">
        <f t="shared" ca="1" si="779"/>
        <v>0</v>
      </c>
      <c r="DA324" s="58">
        <f t="shared" ca="1" si="779"/>
        <v>0</v>
      </c>
      <c r="DB324" s="58">
        <f t="shared" ca="1" si="779"/>
        <v>0</v>
      </c>
      <c r="DC324" s="58">
        <f t="shared" ca="1" si="779"/>
        <v>0</v>
      </c>
      <c r="DD324" s="58">
        <f t="shared" ca="1" si="779"/>
        <v>0</v>
      </c>
      <c r="DE324" s="58">
        <f t="shared" ca="1" si="779"/>
        <v>0</v>
      </c>
      <c r="DF324" s="58">
        <f t="shared" ca="1" si="779"/>
        <v>0</v>
      </c>
      <c r="DG324" s="58">
        <f t="shared" ca="1" si="779"/>
        <v>0</v>
      </c>
      <c r="DH324" s="58">
        <f t="shared" ca="1" si="779"/>
        <v>0</v>
      </c>
      <c r="DI324" s="58">
        <f t="shared" ca="1" si="779"/>
        <v>0</v>
      </c>
      <c r="DJ324" s="58">
        <f t="shared" ca="1" si="779"/>
        <v>0</v>
      </c>
      <c r="DK324" s="58">
        <f t="shared" ca="1" si="779"/>
        <v>0</v>
      </c>
      <c r="DL324" s="58">
        <f t="shared" ca="1" si="779"/>
        <v>0</v>
      </c>
      <c r="DM324" s="58">
        <f t="shared" ca="1" si="779"/>
        <v>0</v>
      </c>
      <c r="DN324" s="58">
        <f t="shared" ca="1" si="779"/>
        <v>0</v>
      </c>
      <c r="DO324" s="58">
        <f t="shared" ca="1" si="779"/>
        <v>0</v>
      </c>
      <c r="DP324" s="58">
        <f t="shared" ca="1" si="779"/>
        <v>0</v>
      </c>
      <c r="DQ324" s="58">
        <f t="shared" ca="1" si="779"/>
        <v>0</v>
      </c>
      <c r="DR324" s="58">
        <f t="shared" ca="1" si="779"/>
        <v>0</v>
      </c>
      <c r="DS324" s="58">
        <f t="shared" ca="1" si="779"/>
        <v>0</v>
      </c>
      <c r="DT324" s="58">
        <f t="shared" ca="1" si="779"/>
        <v>0</v>
      </c>
      <c r="DU324" s="58">
        <f t="shared" ca="1" si="779"/>
        <v>0</v>
      </c>
      <c r="DV324" s="58">
        <f t="shared" ca="1" si="779"/>
        <v>0</v>
      </c>
      <c r="DW324" s="58">
        <f t="shared" ca="1" si="779"/>
        <v>0</v>
      </c>
      <c r="DX324" s="58">
        <f t="shared" ca="1" si="779"/>
        <v>0</v>
      </c>
      <c r="DY324" s="58">
        <f t="shared" ca="1" si="779"/>
        <v>0</v>
      </c>
      <c r="DZ324" s="58">
        <f t="shared" ca="1" si="779"/>
        <v>0</v>
      </c>
      <c r="EA324" s="58">
        <f t="shared" ca="1" si="779"/>
        <v>0</v>
      </c>
      <c r="EB324" s="58">
        <f t="shared" ca="1" si="779"/>
        <v>0</v>
      </c>
      <c r="EC324" s="58">
        <f t="shared" ca="1" si="779"/>
        <v>0</v>
      </c>
      <c r="ED324" s="58">
        <f t="shared" ca="1" si="779"/>
        <v>0</v>
      </c>
      <c r="EE324" s="58">
        <f t="shared" ref="EE324:FN324" ca="1" si="780">+IF(OR($F324+EE$175&lt;1,(EE$176-1)*12&lt;-$F324),0,OFFSET(EE154,0,$F324))</f>
        <v>0</v>
      </c>
      <c r="EF324" s="58">
        <f t="shared" ca="1" si="780"/>
        <v>0</v>
      </c>
      <c r="EG324" s="58">
        <f t="shared" ca="1" si="780"/>
        <v>0</v>
      </c>
      <c r="EH324" s="58">
        <f t="shared" ca="1" si="780"/>
        <v>0</v>
      </c>
      <c r="EI324" s="58">
        <f t="shared" ca="1" si="780"/>
        <v>0</v>
      </c>
      <c r="EJ324" s="58">
        <f t="shared" ca="1" si="780"/>
        <v>0</v>
      </c>
      <c r="EK324" s="58">
        <f t="shared" ca="1" si="780"/>
        <v>0</v>
      </c>
      <c r="EL324" s="58">
        <f t="shared" ca="1" si="780"/>
        <v>0</v>
      </c>
      <c r="EM324" s="58">
        <f t="shared" ca="1" si="780"/>
        <v>0</v>
      </c>
      <c r="EN324" s="58">
        <f t="shared" ca="1" si="780"/>
        <v>0</v>
      </c>
      <c r="EO324" s="58">
        <f t="shared" ca="1" si="780"/>
        <v>0</v>
      </c>
      <c r="EP324" s="58">
        <f t="shared" ca="1" si="780"/>
        <v>0</v>
      </c>
      <c r="EQ324" s="58">
        <f t="shared" ca="1" si="780"/>
        <v>0</v>
      </c>
      <c r="ER324" s="58">
        <f t="shared" ca="1" si="780"/>
        <v>0</v>
      </c>
      <c r="ES324" s="58">
        <f t="shared" ca="1" si="780"/>
        <v>0</v>
      </c>
      <c r="ET324" s="58">
        <f t="shared" ca="1" si="780"/>
        <v>0</v>
      </c>
      <c r="EU324" s="58">
        <f t="shared" ca="1" si="780"/>
        <v>0</v>
      </c>
      <c r="EV324" s="58">
        <f t="shared" ca="1" si="780"/>
        <v>0</v>
      </c>
      <c r="EW324" s="58">
        <f t="shared" ca="1" si="780"/>
        <v>0</v>
      </c>
      <c r="EX324" s="58">
        <f t="shared" ca="1" si="780"/>
        <v>0</v>
      </c>
      <c r="EY324" s="58">
        <f t="shared" ca="1" si="780"/>
        <v>0</v>
      </c>
      <c r="EZ324" s="58">
        <f t="shared" ca="1" si="780"/>
        <v>0</v>
      </c>
      <c r="FA324" s="58">
        <f t="shared" ca="1" si="780"/>
        <v>0</v>
      </c>
      <c r="FB324" s="58">
        <f t="shared" ca="1" si="780"/>
        <v>0</v>
      </c>
      <c r="FC324" s="58">
        <f t="shared" ca="1" si="780"/>
        <v>0</v>
      </c>
      <c r="FD324" s="58">
        <f t="shared" ca="1" si="780"/>
        <v>0</v>
      </c>
      <c r="FE324" s="58">
        <f t="shared" ca="1" si="780"/>
        <v>0</v>
      </c>
      <c r="FF324" s="58">
        <f t="shared" ca="1" si="780"/>
        <v>0</v>
      </c>
      <c r="FG324" s="58">
        <f t="shared" ca="1" si="780"/>
        <v>0</v>
      </c>
      <c r="FH324" s="58">
        <f t="shared" ca="1" si="780"/>
        <v>0</v>
      </c>
      <c r="FI324" s="58">
        <f t="shared" ca="1" si="780"/>
        <v>0</v>
      </c>
      <c r="FJ324" s="58">
        <f t="shared" ca="1" si="780"/>
        <v>0</v>
      </c>
      <c r="FK324" s="58">
        <f t="shared" ca="1" si="780"/>
        <v>0</v>
      </c>
      <c r="FL324" s="58">
        <f t="shared" ca="1" si="780"/>
        <v>0</v>
      </c>
      <c r="FM324" s="58">
        <f t="shared" ca="1" si="780"/>
        <v>0</v>
      </c>
      <c r="FN324" s="58">
        <f t="shared" ca="1" si="780"/>
        <v>0</v>
      </c>
      <c r="FO324" s="13"/>
    </row>
    <row r="325" spans="1:171" outlineLevel="1" x14ac:dyDescent="0.3">
      <c r="A325" s="13"/>
      <c r="B325" s="13"/>
      <c r="C325" s="13"/>
      <c r="D325" s="52">
        <f t="shared" si="683"/>
        <v>44652</v>
      </c>
      <c r="E325" s="53">
        <f t="shared" si="684"/>
        <v>2022</v>
      </c>
      <c r="F325" s="53">
        <f t="shared" si="685"/>
        <v>99</v>
      </c>
      <c r="G325" s="58">
        <f t="shared" ref="G325:AL325" ca="1" si="781">+IF(OR($F325+G$175&lt;1,(G$176-1)*12&lt;-$F325),0,OFFSET(G155,0,$F325))</f>
        <v>0</v>
      </c>
      <c r="H325" s="58">
        <f t="shared" ca="1" si="781"/>
        <v>0</v>
      </c>
      <c r="I325" s="58">
        <f t="shared" ca="1" si="781"/>
        <v>0</v>
      </c>
      <c r="J325" s="58">
        <f t="shared" ca="1" si="781"/>
        <v>0</v>
      </c>
      <c r="K325" s="58">
        <f t="shared" ca="1" si="781"/>
        <v>0</v>
      </c>
      <c r="L325" s="58">
        <f t="shared" ca="1" si="781"/>
        <v>0</v>
      </c>
      <c r="M325" s="58">
        <f t="shared" ca="1" si="781"/>
        <v>0</v>
      </c>
      <c r="N325" s="58">
        <f t="shared" ca="1" si="781"/>
        <v>0</v>
      </c>
      <c r="O325" s="58">
        <f t="shared" ca="1" si="781"/>
        <v>0</v>
      </c>
      <c r="P325" s="58">
        <f t="shared" ca="1" si="781"/>
        <v>0</v>
      </c>
      <c r="Q325" s="58">
        <f t="shared" ca="1" si="781"/>
        <v>0</v>
      </c>
      <c r="R325" s="58">
        <f t="shared" ca="1" si="781"/>
        <v>0</v>
      </c>
      <c r="S325" s="58">
        <f t="shared" ca="1" si="781"/>
        <v>0</v>
      </c>
      <c r="T325" s="58">
        <f t="shared" ca="1" si="781"/>
        <v>0</v>
      </c>
      <c r="U325" s="58">
        <f t="shared" ca="1" si="781"/>
        <v>0</v>
      </c>
      <c r="V325" s="58">
        <f t="shared" ca="1" si="781"/>
        <v>0</v>
      </c>
      <c r="W325" s="58">
        <f t="shared" ca="1" si="781"/>
        <v>0</v>
      </c>
      <c r="X325" s="58">
        <f t="shared" ca="1" si="781"/>
        <v>0</v>
      </c>
      <c r="Y325" s="58">
        <f t="shared" ca="1" si="781"/>
        <v>0</v>
      </c>
      <c r="Z325" s="58">
        <f t="shared" ca="1" si="781"/>
        <v>0</v>
      </c>
      <c r="AA325" s="58">
        <f t="shared" ca="1" si="781"/>
        <v>0</v>
      </c>
      <c r="AB325" s="58">
        <f t="shared" ca="1" si="781"/>
        <v>0</v>
      </c>
      <c r="AC325" s="58">
        <f t="shared" ca="1" si="781"/>
        <v>0</v>
      </c>
      <c r="AD325" s="58">
        <f t="shared" ca="1" si="781"/>
        <v>0</v>
      </c>
      <c r="AE325" s="58">
        <f t="shared" ca="1" si="781"/>
        <v>0</v>
      </c>
      <c r="AF325" s="58">
        <f t="shared" ca="1" si="781"/>
        <v>0</v>
      </c>
      <c r="AG325" s="58">
        <f t="shared" ca="1" si="781"/>
        <v>0</v>
      </c>
      <c r="AH325" s="58">
        <f t="shared" ca="1" si="781"/>
        <v>0</v>
      </c>
      <c r="AI325" s="58">
        <f t="shared" ca="1" si="781"/>
        <v>0</v>
      </c>
      <c r="AJ325" s="58">
        <f t="shared" ca="1" si="781"/>
        <v>0</v>
      </c>
      <c r="AK325" s="58">
        <f t="shared" ca="1" si="781"/>
        <v>0</v>
      </c>
      <c r="AL325" s="58">
        <f t="shared" ca="1" si="781"/>
        <v>0</v>
      </c>
      <c r="AM325" s="58">
        <f t="shared" ref="AM325:BR325" ca="1" si="782">+IF(OR($F325+AM$175&lt;1,(AM$176-1)*12&lt;-$F325),0,OFFSET(AM155,0,$F325))</f>
        <v>0</v>
      </c>
      <c r="AN325" s="58">
        <f t="shared" ca="1" si="782"/>
        <v>0</v>
      </c>
      <c r="AO325" s="58">
        <f t="shared" ca="1" si="782"/>
        <v>0</v>
      </c>
      <c r="AP325" s="58">
        <f t="shared" ca="1" si="782"/>
        <v>0</v>
      </c>
      <c r="AQ325" s="58">
        <f t="shared" ca="1" si="782"/>
        <v>0</v>
      </c>
      <c r="AR325" s="58">
        <f t="shared" ca="1" si="782"/>
        <v>0</v>
      </c>
      <c r="AS325" s="58">
        <f t="shared" ca="1" si="782"/>
        <v>0</v>
      </c>
      <c r="AT325" s="58">
        <f t="shared" ca="1" si="782"/>
        <v>0</v>
      </c>
      <c r="AU325" s="58">
        <f t="shared" ca="1" si="782"/>
        <v>0</v>
      </c>
      <c r="AV325" s="58">
        <f t="shared" ca="1" si="782"/>
        <v>0</v>
      </c>
      <c r="AW325" s="58">
        <f t="shared" ca="1" si="782"/>
        <v>0</v>
      </c>
      <c r="AX325" s="58">
        <f t="shared" ca="1" si="782"/>
        <v>0</v>
      </c>
      <c r="AY325" s="58">
        <f t="shared" ca="1" si="782"/>
        <v>0</v>
      </c>
      <c r="AZ325" s="58">
        <f t="shared" ca="1" si="782"/>
        <v>0</v>
      </c>
      <c r="BA325" s="58">
        <f t="shared" ca="1" si="782"/>
        <v>0</v>
      </c>
      <c r="BB325" s="58">
        <f t="shared" ca="1" si="782"/>
        <v>0</v>
      </c>
      <c r="BC325" s="58">
        <f t="shared" ca="1" si="782"/>
        <v>0</v>
      </c>
      <c r="BD325" s="58">
        <f t="shared" ca="1" si="782"/>
        <v>0</v>
      </c>
      <c r="BE325" s="58">
        <f t="shared" ca="1" si="782"/>
        <v>0</v>
      </c>
      <c r="BF325" s="58">
        <f t="shared" ca="1" si="782"/>
        <v>0</v>
      </c>
      <c r="BG325" s="58">
        <f t="shared" ca="1" si="782"/>
        <v>0</v>
      </c>
      <c r="BH325" s="58">
        <f t="shared" ca="1" si="782"/>
        <v>0</v>
      </c>
      <c r="BI325" s="58">
        <f t="shared" ca="1" si="782"/>
        <v>0</v>
      </c>
      <c r="BJ325" s="58">
        <f t="shared" ca="1" si="782"/>
        <v>0</v>
      </c>
      <c r="BK325" s="58">
        <f t="shared" ca="1" si="782"/>
        <v>0</v>
      </c>
      <c r="BL325" s="58">
        <f t="shared" ca="1" si="782"/>
        <v>0</v>
      </c>
      <c r="BM325" s="58">
        <f t="shared" ca="1" si="782"/>
        <v>0</v>
      </c>
      <c r="BN325" s="58">
        <f t="shared" ca="1" si="782"/>
        <v>0</v>
      </c>
      <c r="BO325" s="58">
        <f t="shared" ca="1" si="782"/>
        <v>0</v>
      </c>
      <c r="BP325" s="58">
        <f t="shared" ca="1" si="782"/>
        <v>0</v>
      </c>
      <c r="BQ325" s="58">
        <f t="shared" ca="1" si="782"/>
        <v>0</v>
      </c>
      <c r="BR325" s="58">
        <f t="shared" ca="1" si="782"/>
        <v>0</v>
      </c>
      <c r="BS325" s="58">
        <f t="shared" ref="BS325:CX325" ca="1" si="783">+IF(OR($F325+BS$175&lt;1,(BS$176-1)*12&lt;-$F325),0,OFFSET(BS155,0,$F325))</f>
        <v>0</v>
      </c>
      <c r="BT325" s="58">
        <f t="shared" ca="1" si="783"/>
        <v>0</v>
      </c>
      <c r="BU325" s="58">
        <f t="shared" ca="1" si="783"/>
        <v>0</v>
      </c>
      <c r="BV325" s="58">
        <f t="shared" ca="1" si="783"/>
        <v>0</v>
      </c>
      <c r="BW325" s="58">
        <f t="shared" ca="1" si="783"/>
        <v>0</v>
      </c>
      <c r="BX325" s="58">
        <f t="shared" ca="1" si="783"/>
        <v>0</v>
      </c>
      <c r="BY325" s="58">
        <f t="shared" ca="1" si="783"/>
        <v>0</v>
      </c>
      <c r="BZ325" s="58">
        <f t="shared" ca="1" si="783"/>
        <v>0</v>
      </c>
      <c r="CA325" s="58">
        <f t="shared" ca="1" si="783"/>
        <v>0</v>
      </c>
      <c r="CB325" s="58">
        <f t="shared" ca="1" si="783"/>
        <v>0</v>
      </c>
      <c r="CC325" s="58">
        <f t="shared" ca="1" si="783"/>
        <v>0</v>
      </c>
      <c r="CD325" s="58">
        <f t="shared" ca="1" si="783"/>
        <v>0</v>
      </c>
      <c r="CE325" s="58">
        <f t="shared" ca="1" si="783"/>
        <v>0</v>
      </c>
      <c r="CF325" s="58">
        <f t="shared" ca="1" si="783"/>
        <v>0</v>
      </c>
      <c r="CG325" s="58">
        <f t="shared" ca="1" si="783"/>
        <v>0</v>
      </c>
      <c r="CH325" s="58">
        <f t="shared" ca="1" si="783"/>
        <v>0</v>
      </c>
      <c r="CI325" s="58">
        <f t="shared" ca="1" si="783"/>
        <v>0</v>
      </c>
      <c r="CJ325" s="58">
        <f t="shared" ca="1" si="783"/>
        <v>0</v>
      </c>
      <c r="CK325" s="58">
        <f t="shared" ca="1" si="783"/>
        <v>0</v>
      </c>
      <c r="CL325" s="58">
        <f t="shared" ca="1" si="783"/>
        <v>0</v>
      </c>
      <c r="CM325" s="58">
        <f t="shared" ca="1" si="783"/>
        <v>0</v>
      </c>
      <c r="CN325" s="58">
        <f t="shared" ca="1" si="783"/>
        <v>0</v>
      </c>
      <c r="CO325" s="58">
        <f t="shared" ca="1" si="783"/>
        <v>0</v>
      </c>
      <c r="CP325" s="58">
        <f t="shared" ca="1" si="783"/>
        <v>0</v>
      </c>
      <c r="CQ325" s="58">
        <f t="shared" ca="1" si="783"/>
        <v>0</v>
      </c>
      <c r="CR325" s="58">
        <f t="shared" ca="1" si="783"/>
        <v>0</v>
      </c>
      <c r="CS325" s="58">
        <f t="shared" ca="1" si="783"/>
        <v>0</v>
      </c>
      <c r="CT325" s="58">
        <f t="shared" ca="1" si="783"/>
        <v>0</v>
      </c>
      <c r="CU325" s="58">
        <f t="shared" ca="1" si="783"/>
        <v>0</v>
      </c>
      <c r="CV325" s="58">
        <f t="shared" ca="1" si="783"/>
        <v>0</v>
      </c>
      <c r="CW325" s="58">
        <f t="shared" ca="1" si="783"/>
        <v>0</v>
      </c>
      <c r="CX325" s="58">
        <f t="shared" ca="1" si="783"/>
        <v>0</v>
      </c>
      <c r="CY325" s="58">
        <f t="shared" ref="CY325:ED325" ca="1" si="784">+IF(OR($F325+CY$175&lt;1,(CY$176-1)*12&lt;-$F325),0,OFFSET(CY155,0,$F325))</f>
        <v>0</v>
      </c>
      <c r="CZ325" s="58">
        <f t="shared" ca="1" si="784"/>
        <v>0</v>
      </c>
      <c r="DA325" s="58">
        <f t="shared" ca="1" si="784"/>
        <v>0</v>
      </c>
      <c r="DB325" s="58">
        <f t="shared" ca="1" si="784"/>
        <v>0</v>
      </c>
      <c r="DC325" s="58">
        <f t="shared" ca="1" si="784"/>
        <v>0</v>
      </c>
      <c r="DD325" s="58">
        <f t="shared" ca="1" si="784"/>
        <v>0</v>
      </c>
      <c r="DE325" s="58">
        <f t="shared" ca="1" si="784"/>
        <v>0</v>
      </c>
      <c r="DF325" s="58">
        <f t="shared" ca="1" si="784"/>
        <v>0</v>
      </c>
      <c r="DG325" s="58">
        <f t="shared" ca="1" si="784"/>
        <v>0</v>
      </c>
      <c r="DH325" s="58">
        <f t="shared" ca="1" si="784"/>
        <v>0</v>
      </c>
      <c r="DI325" s="58">
        <f t="shared" ca="1" si="784"/>
        <v>0</v>
      </c>
      <c r="DJ325" s="58">
        <f t="shared" ca="1" si="784"/>
        <v>0</v>
      </c>
      <c r="DK325" s="58">
        <f t="shared" ca="1" si="784"/>
        <v>0</v>
      </c>
      <c r="DL325" s="58">
        <f t="shared" ca="1" si="784"/>
        <v>0</v>
      </c>
      <c r="DM325" s="58">
        <f t="shared" ca="1" si="784"/>
        <v>0</v>
      </c>
      <c r="DN325" s="58">
        <f t="shared" ca="1" si="784"/>
        <v>0</v>
      </c>
      <c r="DO325" s="58">
        <f t="shared" ca="1" si="784"/>
        <v>0</v>
      </c>
      <c r="DP325" s="58">
        <f t="shared" ca="1" si="784"/>
        <v>0</v>
      </c>
      <c r="DQ325" s="58">
        <f t="shared" ca="1" si="784"/>
        <v>0</v>
      </c>
      <c r="DR325" s="58">
        <f t="shared" ca="1" si="784"/>
        <v>0</v>
      </c>
      <c r="DS325" s="58">
        <f t="shared" ca="1" si="784"/>
        <v>0</v>
      </c>
      <c r="DT325" s="58">
        <f t="shared" ca="1" si="784"/>
        <v>0</v>
      </c>
      <c r="DU325" s="58">
        <f t="shared" ca="1" si="784"/>
        <v>0</v>
      </c>
      <c r="DV325" s="58">
        <f t="shared" ca="1" si="784"/>
        <v>0</v>
      </c>
      <c r="DW325" s="58">
        <f t="shared" ca="1" si="784"/>
        <v>0</v>
      </c>
      <c r="DX325" s="58">
        <f t="shared" ca="1" si="784"/>
        <v>0</v>
      </c>
      <c r="DY325" s="58">
        <f t="shared" ca="1" si="784"/>
        <v>0</v>
      </c>
      <c r="DZ325" s="58">
        <f t="shared" ca="1" si="784"/>
        <v>0</v>
      </c>
      <c r="EA325" s="58">
        <f t="shared" ca="1" si="784"/>
        <v>0</v>
      </c>
      <c r="EB325" s="58">
        <f t="shared" ca="1" si="784"/>
        <v>0</v>
      </c>
      <c r="EC325" s="58">
        <f t="shared" ca="1" si="784"/>
        <v>0</v>
      </c>
      <c r="ED325" s="58">
        <f t="shared" ca="1" si="784"/>
        <v>0</v>
      </c>
      <c r="EE325" s="58">
        <f t="shared" ref="EE325:FN325" ca="1" si="785">+IF(OR($F325+EE$175&lt;1,(EE$176-1)*12&lt;-$F325),0,OFFSET(EE155,0,$F325))</f>
        <v>0</v>
      </c>
      <c r="EF325" s="58">
        <f t="shared" ca="1" si="785"/>
        <v>0</v>
      </c>
      <c r="EG325" s="58">
        <f t="shared" ca="1" si="785"/>
        <v>0</v>
      </c>
      <c r="EH325" s="58">
        <f t="shared" ca="1" si="785"/>
        <v>0</v>
      </c>
      <c r="EI325" s="58">
        <f t="shared" ca="1" si="785"/>
        <v>0</v>
      </c>
      <c r="EJ325" s="58">
        <f t="shared" ca="1" si="785"/>
        <v>0</v>
      </c>
      <c r="EK325" s="58">
        <f t="shared" ca="1" si="785"/>
        <v>0</v>
      </c>
      <c r="EL325" s="58">
        <f t="shared" ca="1" si="785"/>
        <v>0</v>
      </c>
      <c r="EM325" s="58">
        <f t="shared" ca="1" si="785"/>
        <v>0</v>
      </c>
      <c r="EN325" s="58">
        <f t="shared" ca="1" si="785"/>
        <v>0</v>
      </c>
      <c r="EO325" s="58">
        <f t="shared" ca="1" si="785"/>
        <v>0</v>
      </c>
      <c r="EP325" s="58">
        <f t="shared" ca="1" si="785"/>
        <v>0</v>
      </c>
      <c r="EQ325" s="58">
        <f t="shared" ca="1" si="785"/>
        <v>0</v>
      </c>
      <c r="ER325" s="58">
        <f t="shared" ca="1" si="785"/>
        <v>0</v>
      </c>
      <c r="ES325" s="58">
        <f t="shared" ca="1" si="785"/>
        <v>0</v>
      </c>
      <c r="ET325" s="58">
        <f t="shared" ca="1" si="785"/>
        <v>0</v>
      </c>
      <c r="EU325" s="58">
        <f t="shared" ca="1" si="785"/>
        <v>0</v>
      </c>
      <c r="EV325" s="58">
        <f t="shared" ca="1" si="785"/>
        <v>0</v>
      </c>
      <c r="EW325" s="58">
        <f t="shared" ca="1" si="785"/>
        <v>0</v>
      </c>
      <c r="EX325" s="58">
        <f t="shared" ca="1" si="785"/>
        <v>0</v>
      </c>
      <c r="EY325" s="58">
        <f t="shared" ca="1" si="785"/>
        <v>0</v>
      </c>
      <c r="EZ325" s="58">
        <f t="shared" ca="1" si="785"/>
        <v>0</v>
      </c>
      <c r="FA325" s="58">
        <f t="shared" ca="1" si="785"/>
        <v>0</v>
      </c>
      <c r="FB325" s="58">
        <f t="shared" ca="1" si="785"/>
        <v>0</v>
      </c>
      <c r="FC325" s="58">
        <f t="shared" ca="1" si="785"/>
        <v>0</v>
      </c>
      <c r="FD325" s="58">
        <f t="shared" ca="1" si="785"/>
        <v>0</v>
      </c>
      <c r="FE325" s="58">
        <f t="shared" ca="1" si="785"/>
        <v>0</v>
      </c>
      <c r="FF325" s="58">
        <f t="shared" ca="1" si="785"/>
        <v>0</v>
      </c>
      <c r="FG325" s="58">
        <f t="shared" ca="1" si="785"/>
        <v>0</v>
      </c>
      <c r="FH325" s="58">
        <f t="shared" ca="1" si="785"/>
        <v>0</v>
      </c>
      <c r="FI325" s="58">
        <f t="shared" ca="1" si="785"/>
        <v>0</v>
      </c>
      <c r="FJ325" s="58">
        <f t="shared" ca="1" si="785"/>
        <v>0</v>
      </c>
      <c r="FK325" s="58">
        <f t="shared" ca="1" si="785"/>
        <v>0</v>
      </c>
      <c r="FL325" s="58">
        <f t="shared" ca="1" si="785"/>
        <v>0</v>
      </c>
      <c r="FM325" s="58">
        <f t="shared" ca="1" si="785"/>
        <v>0</v>
      </c>
      <c r="FN325" s="58">
        <f t="shared" ca="1" si="785"/>
        <v>0</v>
      </c>
      <c r="FO325" s="13"/>
    </row>
    <row r="326" spans="1:171" outlineLevel="1" x14ac:dyDescent="0.3">
      <c r="A326" s="13"/>
      <c r="B326" s="13"/>
      <c r="C326" s="13"/>
      <c r="D326" s="52">
        <f t="shared" si="683"/>
        <v>44682</v>
      </c>
      <c r="E326" s="53">
        <f t="shared" si="684"/>
        <v>2022</v>
      </c>
      <c r="F326" s="53">
        <f t="shared" si="685"/>
        <v>100</v>
      </c>
      <c r="G326" s="58">
        <f t="shared" ref="G326:AL326" ca="1" si="786">+IF(OR($F326+G$175&lt;1,(G$176-1)*12&lt;-$F326),0,OFFSET(G156,0,$F326))</f>
        <v>0</v>
      </c>
      <c r="H326" s="58">
        <f t="shared" ca="1" si="786"/>
        <v>0</v>
      </c>
      <c r="I326" s="58">
        <f t="shared" ca="1" si="786"/>
        <v>0</v>
      </c>
      <c r="J326" s="58">
        <f t="shared" ca="1" si="786"/>
        <v>0</v>
      </c>
      <c r="K326" s="58">
        <f t="shared" ca="1" si="786"/>
        <v>0</v>
      </c>
      <c r="L326" s="58">
        <f t="shared" ca="1" si="786"/>
        <v>0</v>
      </c>
      <c r="M326" s="58">
        <f t="shared" ca="1" si="786"/>
        <v>0</v>
      </c>
      <c r="N326" s="58">
        <f t="shared" ca="1" si="786"/>
        <v>0</v>
      </c>
      <c r="O326" s="58">
        <f t="shared" ca="1" si="786"/>
        <v>0</v>
      </c>
      <c r="P326" s="58">
        <f t="shared" ca="1" si="786"/>
        <v>0</v>
      </c>
      <c r="Q326" s="58">
        <f t="shared" ca="1" si="786"/>
        <v>0</v>
      </c>
      <c r="R326" s="58">
        <f t="shared" ca="1" si="786"/>
        <v>0</v>
      </c>
      <c r="S326" s="58">
        <f t="shared" ca="1" si="786"/>
        <v>0</v>
      </c>
      <c r="T326" s="58">
        <f t="shared" ca="1" si="786"/>
        <v>0</v>
      </c>
      <c r="U326" s="58">
        <f t="shared" ca="1" si="786"/>
        <v>0</v>
      </c>
      <c r="V326" s="58">
        <f t="shared" ca="1" si="786"/>
        <v>0</v>
      </c>
      <c r="W326" s="58">
        <f t="shared" ca="1" si="786"/>
        <v>0</v>
      </c>
      <c r="X326" s="58">
        <f t="shared" ca="1" si="786"/>
        <v>0</v>
      </c>
      <c r="Y326" s="58">
        <f t="shared" ca="1" si="786"/>
        <v>0</v>
      </c>
      <c r="Z326" s="58">
        <f t="shared" ca="1" si="786"/>
        <v>0</v>
      </c>
      <c r="AA326" s="58">
        <f t="shared" ca="1" si="786"/>
        <v>0</v>
      </c>
      <c r="AB326" s="58">
        <f t="shared" ca="1" si="786"/>
        <v>0</v>
      </c>
      <c r="AC326" s="58">
        <f t="shared" ca="1" si="786"/>
        <v>0</v>
      </c>
      <c r="AD326" s="58">
        <f t="shared" ca="1" si="786"/>
        <v>0</v>
      </c>
      <c r="AE326" s="58">
        <f t="shared" ca="1" si="786"/>
        <v>0</v>
      </c>
      <c r="AF326" s="58">
        <f t="shared" ca="1" si="786"/>
        <v>0</v>
      </c>
      <c r="AG326" s="58">
        <f t="shared" ca="1" si="786"/>
        <v>0</v>
      </c>
      <c r="AH326" s="58">
        <f t="shared" ca="1" si="786"/>
        <v>0</v>
      </c>
      <c r="AI326" s="58">
        <f t="shared" ca="1" si="786"/>
        <v>0</v>
      </c>
      <c r="AJ326" s="58">
        <f t="shared" ca="1" si="786"/>
        <v>0</v>
      </c>
      <c r="AK326" s="58">
        <f t="shared" ca="1" si="786"/>
        <v>0</v>
      </c>
      <c r="AL326" s="58">
        <f t="shared" ca="1" si="786"/>
        <v>0</v>
      </c>
      <c r="AM326" s="58">
        <f t="shared" ref="AM326:BR326" ca="1" si="787">+IF(OR($F326+AM$175&lt;1,(AM$176-1)*12&lt;-$F326),0,OFFSET(AM156,0,$F326))</f>
        <v>0</v>
      </c>
      <c r="AN326" s="58">
        <f t="shared" ca="1" si="787"/>
        <v>0</v>
      </c>
      <c r="AO326" s="58">
        <f t="shared" ca="1" si="787"/>
        <v>0</v>
      </c>
      <c r="AP326" s="58">
        <f t="shared" ca="1" si="787"/>
        <v>0</v>
      </c>
      <c r="AQ326" s="58">
        <f t="shared" ca="1" si="787"/>
        <v>0</v>
      </c>
      <c r="AR326" s="58">
        <f t="shared" ca="1" si="787"/>
        <v>0</v>
      </c>
      <c r="AS326" s="58">
        <f t="shared" ca="1" si="787"/>
        <v>0</v>
      </c>
      <c r="AT326" s="58">
        <f t="shared" ca="1" si="787"/>
        <v>0</v>
      </c>
      <c r="AU326" s="58">
        <f t="shared" ca="1" si="787"/>
        <v>0</v>
      </c>
      <c r="AV326" s="58">
        <f t="shared" ca="1" si="787"/>
        <v>0</v>
      </c>
      <c r="AW326" s="58">
        <f t="shared" ca="1" si="787"/>
        <v>0</v>
      </c>
      <c r="AX326" s="58">
        <f t="shared" ca="1" si="787"/>
        <v>0</v>
      </c>
      <c r="AY326" s="58">
        <f t="shared" ca="1" si="787"/>
        <v>0</v>
      </c>
      <c r="AZ326" s="58">
        <f t="shared" ca="1" si="787"/>
        <v>0</v>
      </c>
      <c r="BA326" s="58">
        <f t="shared" ca="1" si="787"/>
        <v>0</v>
      </c>
      <c r="BB326" s="58">
        <f t="shared" ca="1" si="787"/>
        <v>0</v>
      </c>
      <c r="BC326" s="58">
        <f t="shared" ca="1" si="787"/>
        <v>0</v>
      </c>
      <c r="BD326" s="58">
        <f t="shared" ca="1" si="787"/>
        <v>0</v>
      </c>
      <c r="BE326" s="58">
        <f t="shared" ca="1" si="787"/>
        <v>0</v>
      </c>
      <c r="BF326" s="58">
        <f t="shared" ca="1" si="787"/>
        <v>0</v>
      </c>
      <c r="BG326" s="58">
        <f t="shared" ca="1" si="787"/>
        <v>0</v>
      </c>
      <c r="BH326" s="58">
        <f t="shared" ca="1" si="787"/>
        <v>0</v>
      </c>
      <c r="BI326" s="58">
        <f t="shared" ca="1" si="787"/>
        <v>0</v>
      </c>
      <c r="BJ326" s="58">
        <f t="shared" ca="1" si="787"/>
        <v>0</v>
      </c>
      <c r="BK326" s="58">
        <f t="shared" ca="1" si="787"/>
        <v>0</v>
      </c>
      <c r="BL326" s="58">
        <f t="shared" ca="1" si="787"/>
        <v>0</v>
      </c>
      <c r="BM326" s="58">
        <f t="shared" ca="1" si="787"/>
        <v>0</v>
      </c>
      <c r="BN326" s="58">
        <f t="shared" ca="1" si="787"/>
        <v>0</v>
      </c>
      <c r="BO326" s="58">
        <f t="shared" ca="1" si="787"/>
        <v>0</v>
      </c>
      <c r="BP326" s="58">
        <f t="shared" ca="1" si="787"/>
        <v>0</v>
      </c>
      <c r="BQ326" s="58">
        <f t="shared" ca="1" si="787"/>
        <v>0</v>
      </c>
      <c r="BR326" s="58">
        <f t="shared" ca="1" si="787"/>
        <v>0</v>
      </c>
      <c r="BS326" s="58">
        <f t="shared" ref="BS326:CX326" ca="1" si="788">+IF(OR($F326+BS$175&lt;1,(BS$176-1)*12&lt;-$F326),0,OFFSET(BS156,0,$F326))</f>
        <v>0</v>
      </c>
      <c r="BT326" s="58">
        <f t="shared" ca="1" si="788"/>
        <v>0</v>
      </c>
      <c r="BU326" s="58">
        <f t="shared" ca="1" si="788"/>
        <v>0</v>
      </c>
      <c r="BV326" s="58">
        <f t="shared" ca="1" si="788"/>
        <v>0</v>
      </c>
      <c r="BW326" s="58">
        <f t="shared" ca="1" si="788"/>
        <v>0</v>
      </c>
      <c r="BX326" s="58">
        <f t="shared" ca="1" si="788"/>
        <v>0</v>
      </c>
      <c r="BY326" s="58">
        <f t="shared" ca="1" si="788"/>
        <v>0</v>
      </c>
      <c r="BZ326" s="58">
        <f t="shared" ca="1" si="788"/>
        <v>0</v>
      </c>
      <c r="CA326" s="58">
        <f t="shared" ca="1" si="788"/>
        <v>0</v>
      </c>
      <c r="CB326" s="58">
        <f t="shared" ca="1" si="788"/>
        <v>0</v>
      </c>
      <c r="CC326" s="58">
        <f t="shared" ca="1" si="788"/>
        <v>0</v>
      </c>
      <c r="CD326" s="58">
        <f t="shared" ca="1" si="788"/>
        <v>0</v>
      </c>
      <c r="CE326" s="58">
        <f t="shared" ca="1" si="788"/>
        <v>0</v>
      </c>
      <c r="CF326" s="58">
        <f t="shared" ca="1" si="788"/>
        <v>0</v>
      </c>
      <c r="CG326" s="58">
        <f t="shared" ca="1" si="788"/>
        <v>0</v>
      </c>
      <c r="CH326" s="58">
        <f t="shared" ca="1" si="788"/>
        <v>0</v>
      </c>
      <c r="CI326" s="58">
        <f t="shared" ca="1" si="788"/>
        <v>0</v>
      </c>
      <c r="CJ326" s="58">
        <f t="shared" ca="1" si="788"/>
        <v>0</v>
      </c>
      <c r="CK326" s="58">
        <f t="shared" ca="1" si="788"/>
        <v>0</v>
      </c>
      <c r="CL326" s="58">
        <f t="shared" ca="1" si="788"/>
        <v>0</v>
      </c>
      <c r="CM326" s="58">
        <f t="shared" ca="1" si="788"/>
        <v>0</v>
      </c>
      <c r="CN326" s="58">
        <f t="shared" ca="1" si="788"/>
        <v>0</v>
      </c>
      <c r="CO326" s="58">
        <f t="shared" ca="1" si="788"/>
        <v>0</v>
      </c>
      <c r="CP326" s="58">
        <f t="shared" ca="1" si="788"/>
        <v>0</v>
      </c>
      <c r="CQ326" s="58">
        <f t="shared" ca="1" si="788"/>
        <v>0</v>
      </c>
      <c r="CR326" s="58">
        <f t="shared" ca="1" si="788"/>
        <v>0</v>
      </c>
      <c r="CS326" s="58">
        <f t="shared" ca="1" si="788"/>
        <v>0</v>
      </c>
      <c r="CT326" s="58">
        <f t="shared" ca="1" si="788"/>
        <v>0</v>
      </c>
      <c r="CU326" s="58">
        <f t="shared" ca="1" si="788"/>
        <v>0</v>
      </c>
      <c r="CV326" s="58">
        <f t="shared" ca="1" si="788"/>
        <v>0</v>
      </c>
      <c r="CW326" s="58">
        <f t="shared" ca="1" si="788"/>
        <v>0</v>
      </c>
      <c r="CX326" s="58">
        <f t="shared" ca="1" si="788"/>
        <v>0</v>
      </c>
      <c r="CY326" s="58">
        <f t="shared" ref="CY326:ED326" ca="1" si="789">+IF(OR($F326+CY$175&lt;1,(CY$176-1)*12&lt;-$F326),0,OFFSET(CY156,0,$F326))</f>
        <v>0</v>
      </c>
      <c r="CZ326" s="58">
        <f t="shared" ca="1" si="789"/>
        <v>0</v>
      </c>
      <c r="DA326" s="58">
        <f t="shared" ca="1" si="789"/>
        <v>0</v>
      </c>
      <c r="DB326" s="58">
        <f t="shared" ca="1" si="789"/>
        <v>0</v>
      </c>
      <c r="DC326" s="58">
        <f t="shared" ca="1" si="789"/>
        <v>0</v>
      </c>
      <c r="DD326" s="58">
        <f t="shared" ca="1" si="789"/>
        <v>0</v>
      </c>
      <c r="DE326" s="58">
        <f t="shared" ca="1" si="789"/>
        <v>0</v>
      </c>
      <c r="DF326" s="58">
        <f t="shared" ca="1" si="789"/>
        <v>0</v>
      </c>
      <c r="DG326" s="58">
        <f t="shared" ca="1" si="789"/>
        <v>0</v>
      </c>
      <c r="DH326" s="58">
        <f t="shared" ca="1" si="789"/>
        <v>0</v>
      </c>
      <c r="DI326" s="58">
        <f t="shared" ca="1" si="789"/>
        <v>0</v>
      </c>
      <c r="DJ326" s="58">
        <f t="shared" ca="1" si="789"/>
        <v>0</v>
      </c>
      <c r="DK326" s="58">
        <f t="shared" ca="1" si="789"/>
        <v>0</v>
      </c>
      <c r="DL326" s="58">
        <f t="shared" ca="1" si="789"/>
        <v>0</v>
      </c>
      <c r="DM326" s="58">
        <f t="shared" ca="1" si="789"/>
        <v>0</v>
      </c>
      <c r="DN326" s="58">
        <f t="shared" ca="1" si="789"/>
        <v>0</v>
      </c>
      <c r="DO326" s="58">
        <f t="shared" ca="1" si="789"/>
        <v>0</v>
      </c>
      <c r="DP326" s="58">
        <f t="shared" ca="1" si="789"/>
        <v>0</v>
      </c>
      <c r="DQ326" s="58">
        <f t="shared" ca="1" si="789"/>
        <v>0</v>
      </c>
      <c r="DR326" s="58">
        <f t="shared" ca="1" si="789"/>
        <v>0</v>
      </c>
      <c r="DS326" s="58">
        <f t="shared" ca="1" si="789"/>
        <v>0</v>
      </c>
      <c r="DT326" s="58">
        <f t="shared" ca="1" si="789"/>
        <v>0</v>
      </c>
      <c r="DU326" s="58">
        <f t="shared" ca="1" si="789"/>
        <v>0</v>
      </c>
      <c r="DV326" s="58">
        <f t="shared" ca="1" si="789"/>
        <v>0</v>
      </c>
      <c r="DW326" s="58">
        <f t="shared" ca="1" si="789"/>
        <v>0</v>
      </c>
      <c r="DX326" s="58">
        <f t="shared" ca="1" si="789"/>
        <v>0</v>
      </c>
      <c r="DY326" s="58">
        <f t="shared" ca="1" si="789"/>
        <v>0</v>
      </c>
      <c r="DZ326" s="58">
        <f t="shared" ca="1" si="789"/>
        <v>0</v>
      </c>
      <c r="EA326" s="58">
        <f t="shared" ca="1" si="789"/>
        <v>0</v>
      </c>
      <c r="EB326" s="58">
        <f t="shared" ca="1" si="789"/>
        <v>0</v>
      </c>
      <c r="EC326" s="58">
        <f t="shared" ca="1" si="789"/>
        <v>0</v>
      </c>
      <c r="ED326" s="58">
        <f t="shared" ca="1" si="789"/>
        <v>0</v>
      </c>
      <c r="EE326" s="58">
        <f t="shared" ref="EE326:FN326" ca="1" si="790">+IF(OR($F326+EE$175&lt;1,(EE$176-1)*12&lt;-$F326),0,OFFSET(EE156,0,$F326))</f>
        <v>0</v>
      </c>
      <c r="EF326" s="58">
        <f t="shared" ca="1" si="790"/>
        <v>0</v>
      </c>
      <c r="EG326" s="58">
        <f t="shared" ca="1" si="790"/>
        <v>0</v>
      </c>
      <c r="EH326" s="58">
        <f t="shared" ca="1" si="790"/>
        <v>0</v>
      </c>
      <c r="EI326" s="58">
        <f t="shared" ca="1" si="790"/>
        <v>0</v>
      </c>
      <c r="EJ326" s="58">
        <f t="shared" ca="1" si="790"/>
        <v>0</v>
      </c>
      <c r="EK326" s="58">
        <f t="shared" ca="1" si="790"/>
        <v>0</v>
      </c>
      <c r="EL326" s="58">
        <f t="shared" ca="1" si="790"/>
        <v>0</v>
      </c>
      <c r="EM326" s="58">
        <f t="shared" ca="1" si="790"/>
        <v>0</v>
      </c>
      <c r="EN326" s="58">
        <f t="shared" ca="1" si="790"/>
        <v>0</v>
      </c>
      <c r="EO326" s="58">
        <f t="shared" ca="1" si="790"/>
        <v>0</v>
      </c>
      <c r="EP326" s="58">
        <f t="shared" ca="1" si="790"/>
        <v>0</v>
      </c>
      <c r="EQ326" s="58">
        <f t="shared" ca="1" si="790"/>
        <v>0</v>
      </c>
      <c r="ER326" s="58">
        <f t="shared" ca="1" si="790"/>
        <v>0</v>
      </c>
      <c r="ES326" s="58">
        <f t="shared" ca="1" si="790"/>
        <v>0</v>
      </c>
      <c r="ET326" s="58">
        <f t="shared" ca="1" si="790"/>
        <v>0</v>
      </c>
      <c r="EU326" s="58">
        <f t="shared" ca="1" si="790"/>
        <v>0</v>
      </c>
      <c r="EV326" s="58">
        <f t="shared" ca="1" si="790"/>
        <v>0</v>
      </c>
      <c r="EW326" s="58">
        <f t="shared" ca="1" si="790"/>
        <v>0</v>
      </c>
      <c r="EX326" s="58">
        <f t="shared" ca="1" si="790"/>
        <v>0</v>
      </c>
      <c r="EY326" s="58">
        <f t="shared" ca="1" si="790"/>
        <v>0</v>
      </c>
      <c r="EZ326" s="58">
        <f t="shared" ca="1" si="790"/>
        <v>0</v>
      </c>
      <c r="FA326" s="58">
        <f t="shared" ca="1" si="790"/>
        <v>0</v>
      </c>
      <c r="FB326" s="58">
        <f t="shared" ca="1" si="790"/>
        <v>0</v>
      </c>
      <c r="FC326" s="58">
        <f t="shared" ca="1" si="790"/>
        <v>0</v>
      </c>
      <c r="FD326" s="58">
        <f t="shared" ca="1" si="790"/>
        <v>0</v>
      </c>
      <c r="FE326" s="58">
        <f t="shared" ca="1" si="790"/>
        <v>0</v>
      </c>
      <c r="FF326" s="58">
        <f t="shared" ca="1" si="790"/>
        <v>0</v>
      </c>
      <c r="FG326" s="58">
        <f t="shared" ca="1" si="790"/>
        <v>0</v>
      </c>
      <c r="FH326" s="58">
        <f t="shared" ca="1" si="790"/>
        <v>0</v>
      </c>
      <c r="FI326" s="58">
        <f t="shared" ca="1" si="790"/>
        <v>0</v>
      </c>
      <c r="FJ326" s="58">
        <f t="shared" ca="1" si="790"/>
        <v>0</v>
      </c>
      <c r="FK326" s="58">
        <f t="shared" ca="1" si="790"/>
        <v>0</v>
      </c>
      <c r="FL326" s="58">
        <f t="shared" ca="1" si="790"/>
        <v>0</v>
      </c>
      <c r="FM326" s="58">
        <f t="shared" ca="1" si="790"/>
        <v>0</v>
      </c>
      <c r="FN326" s="58">
        <f t="shared" ca="1" si="790"/>
        <v>0</v>
      </c>
      <c r="FO326" s="13"/>
    </row>
    <row r="327" spans="1:171" outlineLevel="1" x14ac:dyDescent="0.3">
      <c r="A327" s="13"/>
      <c r="B327" s="13"/>
      <c r="C327" s="13"/>
      <c r="D327" s="52">
        <f t="shared" si="683"/>
        <v>44713</v>
      </c>
      <c r="E327" s="53">
        <f t="shared" si="684"/>
        <v>2022</v>
      </c>
      <c r="F327" s="53">
        <f t="shared" si="685"/>
        <v>101</v>
      </c>
      <c r="G327" s="58">
        <f t="shared" ref="G327:AL327" ca="1" si="791">+IF(OR($F327+G$175&lt;1,(G$176-1)*12&lt;-$F327),0,OFFSET(G157,0,$F327))</f>
        <v>0</v>
      </c>
      <c r="H327" s="58">
        <f t="shared" ca="1" si="791"/>
        <v>0</v>
      </c>
      <c r="I327" s="58">
        <f t="shared" ca="1" si="791"/>
        <v>0</v>
      </c>
      <c r="J327" s="58">
        <f t="shared" ca="1" si="791"/>
        <v>0</v>
      </c>
      <c r="K327" s="58">
        <f t="shared" ca="1" si="791"/>
        <v>0</v>
      </c>
      <c r="L327" s="58">
        <f t="shared" ca="1" si="791"/>
        <v>0</v>
      </c>
      <c r="M327" s="58">
        <f t="shared" ca="1" si="791"/>
        <v>0</v>
      </c>
      <c r="N327" s="58">
        <f t="shared" ca="1" si="791"/>
        <v>0</v>
      </c>
      <c r="O327" s="58">
        <f t="shared" ca="1" si="791"/>
        <v>0</v>
      </c>
      <c r="P327" s="58">
        <f t="shared" ca="1" si="791"/>
        <v>0</v>
      </c>
      <c r="Q327" s="58">
        <f t="shared" ca="1" si="791"/>
        <v>0</v>
      </c>
      <c r="R327" s="58">
        <f t="shared" ca="1" si="791"/>
        <v>0</v>
      </c>
      <c r="S327" s="58">
        <f t="shared" ca="1" si="791"/>
        <v>0</v>
      </c>
      <c r="T327" s="58">
        <f t="shared" ca="1" si="791"/>
        <v>0</v>
      </c>
      <c r="U327" s="58">
        <f t="shared" ca="1" si="791"/>
        <v>0</v>
      </c>
      <c r="V327" s="58">
        <f t="shared" ca="1" si="791"/>
        <v>0</v>
      </c>
      <c r="W327" s="58">
        <f t="shared" ca="1" si="791"/>
        <v>0</v>
      </c>
      <c r="X327" s="58">
        <f t="shared" ca="1" si="791"/>
        <v>0</v>
      </c>
      <c r="Y327" s="58">
        <f t="shared" ca="1" si="791"/>
        <v>0</v>
      </c>
      <c r="Z327" s="58">
        <f t="shared" ca="1" si="791"/>
        <v>0</v>
      </c>
      <c r="AA327" s="58">
        <f t="shared" ca="1" si="791"/>
        <v>0</v>
      </c>
      <c r="AB327" s="58">
        <f t="shared" ca="1" si="791"/>
        <v>0</v>
      </c>
      <c r="AC327" s="58">
        <f t="shared" ca="1" si="791"/>
        <v>0</v>
      </c>
      <c r="AD327" s="58">
        <f t="shared" ca="1" si="791"/>
        <v>0</v>
      </c>
      <c r="AE327" s="58">
        <f t="shared" ca="1" si="791"/>
        <v>0</v>
      </c>
      <c r="AF327" s="58">
        <f t="shared" ca="1" si="791"/>
        <v>0</v>
      </c>
      <c r="AG327" s="58">
        <f t="shared" ca="1" si="791"/>
        <v>0</v>
      </c>
      <c r="AH327" s="58">
        <f t="shared" ca="1" si="791"/>
        <v>0</v>
      </c>
      <c r="AI327" s="58">
        <f t="shared" ca="1" si="791"/>
        <v>0</v>
      </c>
      <c r="AJ327" s="58">
        <f t="shared" ca="1" si="791"/>
        <v>0</v>
      </c>
      <c r="AK327" s="58">
        <f t="shared" ca="1" si="791"/>
        <v>0</v>
      </c>
      <c r="AL327" s="58">
        <f t="shared" ca="1" si="791"/>
        <v>0</v>
      </c>
      <c r="AM327" s="58">
        <f t="shared" ref="AM327:BR327" ca="1" si="792">+IF(OR($F327+AM$175&lt;1,(AM$176-1)*12&lt;-$F327),0,OFFSET(AM157,0,$F327))</f>
        <v>0</v>
      </c>
      <c r="AN327" s="58">
        <f t="shared" ca="1" si="792"/>
        <v>0</v>
      </c>
      <c r="AO327" s="58">
        <f t="shared" ca="1" si="792"/>
        <v>0</v>
      </c>
      <c r="AP327" s="58">
        <f t="shared" ca="1" si="792"/>
        <v>0</v>
      </c>
      <c r="AQ327" s="58">
        <f t="shared" ca="1" si="792"/>
        <v>0</v>
      </c>
      <c r="AR327" s="58">
        <f t="shared" ca="1" si="792"/>
        <v>0</v>
      </c>
      <c r="AS327" s="58">
        <f t="shared" ca="1" si="792"/>
        <v>0</v>
      </c>
      <c r="AT327" s="58">
        <f t="shared" ca="1" si="792"/>
        <v>0</v>
      </c>
      <c r="AU327" s="58">
        <f t="shared" ca="1" si="792"/>
        <v>0</v>
      </c>
      <c r="AV327" s="58">
        <f t="shared" ca="1" si="792"/>
        <v>0</v>
      </c>
      <c r="AW327" s="58">
        <f t="shared" ca="1" si="792"/>
        <v>0</v>
      </c>
      <c r="AX327" s="58">
        <f t="shared" ca="1" si="792"/>
        <v>0</v>
      </c>
      <c r="AY327" s="58">
        <f t="shared" ca="1" si="792"/>
        <v>0</v>
      </c>
      <c r="AZ327" s="58">
        <f t="shared" ca="1" si="792"/>
        <v>0</v>
      </c>
      <c r="BA327" s="58">
        <f t="shared" ca="1" si="792"/>
        <v>0</v>
      </c>
      <c r="BB327" s="58">
        <f t="shared" ca="1" si="792"/>
        <v>0</v>
      </c>
      <c r="BC327" s="58">
        <f t="shared" ca="1" si="792"/>
        <v>0</v>
      </c>
      <c r="BD327" s="58">
        <f t="shared" ca="1" si="792"/>
        <v>0</v>
      </c>
      <c r="BE327" s="58">
        <f t="shared" ca="1" si="792"/>
        <v>0</v>
      </c>
      <c r="BF327" s="58">
        <f t="shared" ca="1" si="792"/>
        <v>0</v>
      </c>
      <c r="BG327" s="58">
        <f t="shared" ca="1" si="792"/>
        <v>0</v>
      </c>
      <c r="BH327" s="58">
        <f t="shared" ca="1" si="792"/>
        <v>0</v>
      </c>
      <c r="BI327" s="58">
        <f t="shared" ca="1" si="792"/>
        <v>0</v>
      </c>
      <c r="BJ327" s="58">
        <f t="shared" ca="1" si="792"/>
        <v>0</v>
      </c>
      <c r="BK327" s="58">
        <f t="shared" ca="1" si="792"/>
        <v>0</v>
      </c>
      <c r="BL327" s="58">
        <f t="shared" ca="1" si="792"/>
        <v>0</v>
      </c>
      <c r="BM327" s="58">
        <f t="shared" ca="1" si="792"/>
        <v>0</v>
      </c>
      <c r="BN327" s="58">
        <f t="shared" ca="1" si="792"/>
        <v>0</v>
      </c>
      <c r="BO327" s="58">
        <f t="shared" ca="1" si="792"/>
        <v>0</v>
      </c>
      <c r="BP327" s="58">
        <f t="shared" ca="1" si="792"/>
        <v>0</v>
      </c>
      <c r="BQ327" s="58">
        <f t="shared" ca="1" si="792"/>
        <v>0</v>
      </c>
      <c r="BR327" s="58">
        <f t="shared" ca="1" si="792"/>
        <v>0</v>
      </c>
      <c r="BS327" s="58">
        <f t="shared" ref="BS327:CX327" ca="1" si="793">+IF(OR($F327+BS$175&lt;1,(BS$176-1)*12&lt;-$F327),0,OFFSET(BS157,0,$F327))</f>
        <v>0</v>
      </c>
      <c r="BT327" s="58">
        <f t="shared" ca="1" si="793"/>
        <v>0</v>
      </c>
      <c r="BU327" s="58">
        <f t="shared" ca="1" si="793"/>
        <v>0</v>
      </c>
      <c r="BV327" s="58">
        <f t="shared" ca="1" si="793"/>
        <v>0</v>
      </c>
      <c r="BW327" s="58">
        <f t="shared" ca="1" si="793"/>
        <v>0</v>
      </c>
      <c r="BX327" s="58">
        <f t="shared" ca="1" si="793"/>
        <v>0</v>
      </c>
      <c r="BY327" s="58">
        <f t="shared" ca="1" si="793"/>
        <v>0</v>
      </c>
      <c r="BZ327" s="58">
        <f t="shared" ca="1" si="793"/>
        <v>0</v>
      </c>
      <c r="CA327" s="58">
        <f t="shared" ca="1" si="793"/>
        <v>0</v>
      </c>
      <c r="CB327" s="58">
        <f t="shared" ca="1" si="793"/>
        <v>0</v>
      </c>
      <c r="CC327" s="58">
        <f t="shared" ca="1" si="793"/>
        <v>0</v>
      </c>
      <c r="CD327" s="58">
        <f t="shared" ca="1" si="793"/>
        <v>0</v>
      </c>
      <c r="CE327" s="58">
        <f t="shared" ca="1" si="793"/>
        <v>0</v>
      </c>
      <c r="CF327" s="58">
        <f t="shared" ca="1" si="793"/>
        <v>0</v>
      </c>
      <c r="CG327" s="58">
        <f t="shared" ca="1" si="793"/>
        <v>0</v>
      </c>
      <c r="CH327" s="58">
        <f t="shared" ca="1" si="793"/>
        <v>0</v>
      </c>
      <c r="CI327" s="58">
        <f t="shared" ca="1" si="793"/>
        <v>0</v>
      </c>
      <c r="CJ327" s="58">
        <f t="shared" ca="1" si="793"/>
        <v>0</v>
      </c>
      <c r="CK327" s="58">
        <f t="shared" ca="1" si="793"/>
        <v>0</v>
      </c>
      <c r="CL327" s="58">
        <f t="shared" ca="1" si="793"/>
        <v>0</v>
      </c>
      <c r="CM327" s="58">
        <f t="shared" ca="1" si="793"/>
        <v>0</v>
      </c>
      <c r="CN327" s="58">
        <f t="shared" ca="1" si="793"/>
        <v>0</v>
      </c>
      <c r="CO327" s="58">
        <f t="shared" ca="1" si="793"/>
        <v>0</v>
      </c>
      <c r="CP327" s="58">
        <f t="shared" ca="1" si="793"/>
        <v>0</v>
      </c>
      <c r="CQ327" s="58">
        <f t="shared" ca="1" si="793"/>
        <v>0</v>
      </c>
      <c r="CR327" s="58">
        <f t="shared" ca="1" si="793"/>
        <v>0</v>
      </c>
      <c r="CS327" s="58">
        <f t="shared" ca="1" si="793"/>
        <v>0</v>
      </c>
      <c r="CT327" s="58">
        <f t="shared" ca="1" si="793"/>
        <v>0</v>
      </c>
      <c r="CU327" s="58">
        <f t="shared" ca="1" si="793"/>
        <v>0</v>
      </c>
      <c r="CV327" s="58">
        <f t="shared" ca="1" si="793"/>
        <v>0</v>
      </c>
      <c r="CW327" s="58">
        <f t="shared" ca="1" si="793"/>
        <v>0</v>
      </c>
      <c r="CX327" s="58">
        <f t="shared" ca="1" si="793"/>
        <v>0</v>
      </c>
      <c r="CY327" s="58">
        <f t="shared" ref="CY327:ED327" ca="1" si="794">+IF(OR($F327+CY$175&lt;1,(CY$176-1)*12&lt;-$F327),0,OFFSET(CY157,0,$F327))</f>
        <v>0</v>
      </c>
      <c r="CZ327" s="58">
        <f t="shared" ca="1" si="794"/>
        <v>0</v>
      </c>
      <c r="DA327" s="58">
        <f t="shared" ca="1" si="794"/>
        <v>0</v>
      </c>
      <c r="DB327" s="58">
        <f t="shared" ca="1" si="794"/>
        <v>0</v>
      </c>
      <c r="DC327" s="58">
        <f t="shared" ca="1" si="794"/>
        <v>0</v>
      </c>
      <c r="DD327" s="58">
        <f t="shared" ca="1" si="794"/>
        <v>0</v>
      </c>
      <c r="DE327" s="58">
        <f t="shared" ca="1" si="794"/>
        <v>0</v>
      </c>
      <c r="DF327" s="58">
        <f t="shared" ca="1" si="794"/>
        <v>0</v>
      </c>
      <c r="DG327" s="58">
        <f t="shared" ca="1" si="794"/>
        <v>0</v>
      </c>
      <c r="DH327" s="58">
        <f t="shared" ca="1" si="794"/>
        <v>0</v>
      </c>
      <c r="DI327" s="58">
        <f t="shared" ca="1" si="794"/>
        <v>0</v>
      </c>
      <c r="DJ327" s="58">
        <f t="shared" ca="1" si="794"/>
        <v>0</v>
      </c>
      <c r="DK327" s="58">
        <f t="shared" ca="1" si="794"/>
        <v>0</v>
      </c>
      <c r="DL327" s="58">
        <f t="shared" ca="1" si="794"/>
        <v>0</v>
      </c>
      <c r="DM327" s="58">
        <f t="shared" ca="1" si="794"/>
        <v>0</v>
      </c>
      <c r="DN327" s="58">
        <f t="shared" ca="1" si="794"/>
        <v>0</v>
      </c>
      <c r="DO327" s="58">
        <f t="shared" ca="1" si="794"/>
        <v>0</v>
      </c>
      <c r="DP327" s="58">
        <f t="shared" ca="1" si="794"/>
        <v>0</v>
      </c>
      <c r="DQ327" s="58">
        <f t="shared" ca="1" si="794"/>
        <v>0</v>
      </c>
      <c r="DR327" s="58">
        <f t="shared" ca="1" si="794"/>
        <v>0</v>
      </c>
      <c r="DS327" s="58">
        <f t="shared" ca="1" si="794"/>
        <v>0</v>
      </c>
      <c r="DT327" s="58">
        <f t="shared" ca="1" si="794"/>
        <v>0</v>
      </c>
      <c r="DU327" s="58">
        <f t="shared" ca="1" si="794"/>
        <v>0</v>
      </c>
      <c r="DV327" s="58">
        <f t="shared" ca="1" si="794"/>
        <v>0</v>
      </c>
      <c r="DW327" s="58">
        <f t="shared" ca="1" si="794"/>
        <v>0</v>
      </c>
      <c r="DX327" s="58">
        <f t="shared" ca="1" si="794"/>
        <v>0</v>
      </c>
      <c r="DY327" s="58">
        <f t="shared" ca="1" si="794"/>
        <v>0</v>
      </c>
      <c r="DZ327" s="58">
        <f t="shared" ca="1" si="794"/>
        <v>0</v>
      </c>
      <c r="EA327" s="58">
        <f t="shared" ca="1" si="794"/>
        <v>0</v>
      </c>
      <c r="EB327" s="58">
        <f t="shared" ca="1" si="794"/>
        <v>0</v>
      </c>
      <c r="EC327" s="58">
        <f t="shared" ca="1" si="794"/>
        <v>0</v>
      </c>
      <c r="ED327" s="58">
        <f t="shared" ca="1" si="794"/>
        <v>0</v>
      </c>
      <c r="EE327" s="58">
        <f t="shared" ref="EE327:FN327" ca="1" si="795">+IF(OR($F327+EE$175&lt;1,(EE$176-1)*12&lt;-$F327),0,OFFSET(EE157,0,$F327))</f>
        <v>0</v>
      </c>
      <c r="EF327" s="58">
        <f t="shared" ca="1" si="795"/>
        <v>0</v>
      </c>
      <c r="EG327" s="58">
        <f t="shared" ca="1" si="795"/>
        <v>0</v>
      </c>
      <c r="EH327" s="58">
        <f t="shared" ca="1" si="795"/>
        <v>0</v>
      </c>
      <c r="EI327" s="58">
        <f t="shared" ca="1" si="795"/>
        <v>0</v>
      </c>
      <c r="EJ327" s="58">
        <f t="shared" ca="1" si="795"/>
        <v>0</v>
      </c>
      <c r="EK327" s="58">
        <f t="shared" ca="1" si="795"/>
        <v>0</v>
      </c>
      <c r="EL327" s="58">
        <f t="shared" ca="1" si="795"/>
        <v>0</v>
      </c>
      <c r="EM327" s="58">
        <f t="shared" ca="1" si="795"/>
        <v>0</v>
      </c>
      <c r="EN327" s="58">
        <f t="shared" ca="1" si="795"/>
        <v>0</v>
      </c>
      <c r="EO327" s="58">
        <f t="shared" ca="1" si="795"/>
        <v>0</v>
      </c>
      <c r="EP327" s="58">
        <f t="shared" ca="1" si="795"/>
        <v>0</v>
      </c>
      <c r="EQ327" s="58">
        <f t="shared" ca="1" si="795"/>
        <v>0</v>
      </c>
      <c r="ER327" s="58">
        <f t="shared" ca="1" si="795"/>
        <v>0</v>
      </c>
      <c r="ES327" s="58">
        <f t="shared" ca="1" si="795"/>
        <v>0</v>
      </c>
      <c r="ET327" s="58">
        <f t="shared" ca="1" si="795"/>
        <v>0</v>
      </c>
      <c r="EU327" s="58">
        <f t="shared" ca="1" si="795"/>
        <v>0</v>
      </c>
      <c r="EV327" s="58">
        <f t="shared" ca="1" si="795"/>
        <v>0</v>
      </c>
      <c r="EW327" s="58">
        <f t="shared" ca="1" si="795"/>
        <v>0</v>
      </c>
      <c r="EX327" s="58">
        <f t="shared" ca="1" si="795"/>
        <v>0</v>
      </c>
      <c r="EY327" s="58">
        <f t="shared" ca="1" si="795"/>
        <v>0</v>
      </c>
      <c r="EZ327" s="58">
        <f t="shared" ca="1" si="795"/>
        <v>0</v>
      </c>
      <c r="FA327" s="58">
        <f t="shared" ca="1" si="795"/>
        <v>0</v>
      </c>
      <c r="FB327" s="58">
        <f t="shared" ca="1" si="795"/>
        <v>0</v>
      </c>
      <c r="FC327" s="58">
        <f t="shared" ca="1" si="795"/>
        <v>0</v>
      </c>
      <c r="FD327" s="58">
        <f t="shared" ca="1" si="795"/>
        <v>0</v>
      </c>
      <c r="FE327" s="58">
        <f t="shared" ca="1" si="795"/>
        <v>0</v>
      </c>
      <c r="FF327" s="58">
        <f t="shared" ca="1" si="795"/>
        <v>0</v>
      </c>
      <c r="FG327" s="58">
        <f t="shared" ca="1" si="795"/>
        <v>0</v>
      </c>
      <c r="FH327" s="58">
        <f t="shared" ca="1" si="795"/>
        <v>0</v>
      </c>
      <c r="FI327" s="58">
        <f t="shared" ca="1" si="795"/>
        <v>0</v>
      </c>
      <c r="FJ327" s="58">
        <f t="shared" ca="1" si="795"/>
        <v>0</v>
      </c>
      <c r="FK327" s="58">
        <f t="shared" ca="1" si="795"/>
        <v>0</v>
      </c>
      <c r="FL327" s="58">
        <f t="shared" ca="1" si="795"/>
        <v>0</v>
      </c>
      <c r="FM327" s="58">
        <f t="shared" ca="1" si="795"/>
        <v>0</v>
      </c>
      <c r="FN327" s="58">
        <f t="shared" ca="1" si="795"/>
        <v>0</v>
      </c>
      <c r="FO327" s="13"/>
    </row>
    <row r="328" spans="1:171" outlineLevel="1" x14ac:dyDescent="0.3">
      <c r="A328" s="13"/>
      <c r="B328" s="13"/>
      <c r="C328" s="13"/>
      <c r="D328" s="52">
        <f t="shared" si="683"/>
        <v>44743</v>
      </c>
      <c r="E328" s="53">
        <f t="shared" si="684"/>
        <v>2022</v>
      </c>
      <c r="F328" s="53">
        <f t="shared" si="685"/>
        <v>102</v>
      </c>
      <c r="G328" s="58">
        <f t="shared" ref="G328:AL328" ca="1" si="796">+IF(OR($F328+G$175&lt;1,(G$176-1)*12&lt;-$F328),0,OFFSET(G158,0,$F328))</f>
        <v>0</v>
      </c>
      <c r="H328" s="58">
        <f t="shared" ca="1" si="796"/>
        <v>0</v>
      </c>
      <c r="I328" s="58">
        <f t="shared" ca="1" si="796"/>
        <v>0</v>
      </c>
      <c r="J328" s="58">
        <f t="shared" ca="1" si="796"/>
        <v>0</v>
      </c>
      <c r="K328" s="58">
        <f t="shared" ca="1" si="796"/>
        <v>0</v>
      </c>
      <c r="L328" s="58">
        <f t="shared" ca="1" si="796"/>
        <v>0</v>
      </c>
      <c r="M328" s="58">
        <f t="shared" ca="1" si="796"/>
        <v>0</v>
      </c>
      <c r="N328" s="58">
        <f t="shared" ca="1" si="796"/>
        <v>0</v>
      </c>
      <c r="O328" s="58">
        <f t="shared" ca="1" si="796"/>
        <v>0</v>
      </c>
      <c r="P328" s="58">
        <f t="shared" ca="1" si="796"/>
        <v>0</v>
      </c>
      <c r="Q328" s="58">
        <f t="shared" ca="1" si="796"/>
        <v>0</v>
      </c>
      <c r="R328" s="58">
        <f t="shared" ca="1" si="796"/>
        <v>0</v>
      </c>
      <c r="S328" s="58">
        <f t="shared" ca="1" si="796"/>
        <v>0</v>
      </c>
      <c r="T328" s="58">
        <f t="shared" ca="1" si="796"/>
        <v>0</v>
      </c>
      <c r="U328" s="58">
        <f t="shared" ca="1" si="796"/>
        <v>0</v>
      </c>
      <c r="V328" s="58">
        <f t="shared" ca="1" si="796"/>
        <v>0</v>
      </c>
      <c r="W328" s="58">
        <f t="shared" ca="1" si="796"/>
        <v>0</v>
      </c>
      <c r="X328" s="58">
        <f t="shared" ca="1" si="796"/>
        <v>0</v>
      </c>
      <c r="Y328" s="58">
        <f t="shared" ca="1" si="796"/>
        <v>0</v>
      </c>
      <c r="Z328" s="58">
        <f t="shared" ca="1" si="796"/>
        <v>0</v>
      </c>
      <c r="AA328" s="58">
        <f t="shared" ca="1" si="796"/>
        <v>0</v>
      </c>
      <c r="AB328" s="58">
        <f t="shared" ca="1" si="796"/>
        <v>0</v>
      </c>
      <c r="AC328" s="58">
        <f t="shared" ca="1" si="796"/>
        <v>0</v>
      </c>
      <c r="AD328" s="58">
        <f t="shared" ca="1" si="796"/>
        <v>0</v>
      </c>
      <c r="AE328" s="58">
        <f t="shared" ca="1" si="796"/>
        <v>0</v>
      </c>
      <c r="AF328" s="58">
        <f t="shared" ca="1" si="796"/>
        <v>0</v>
      </c>
      <c r="AG328" s="58">
        <f t="shared" ca="1" si="796"/>
        <v>0</v>
      </c>
      <c r="AH328" s="58">
        <f t="shared" ca="1" si="796"/>
        <v>0</v>
      </c>
      <c r="AI328" s="58">
        <f t="shared" ca="1" si="796"/>
        <v>0</v>
      </c>
      <c r="AJ328" s="58">
        <f t="shared" ca="1" si="796"/>
        <v>0</v>
      </c>
      <c r="AK328" s="58">
        <f t="shared" ca="1" si="796"/>
        <v>0</v>
      </c>
      <c r="AL328" s="58">
        <f t="shared" ca="1" si="796"/>
        <v>0</v>
      </c>
      <c r="AM328" s="58">
        <f t="shared" ref="AM328:BR328" ca="1" si="797">+IF(OR($F328+AM$175&lt;1,(AM$176-1)*12&lt;-$F328),0,OFFSET(AM158,0,$F328))</f>
        <v>0</v>
      </c>
      <c r="AN328" s="58">
        <f t="shared" ca="1" si="797"/>
        <v>0</v>
      </c>
      <c r="AO328" s="58">
        <f t="shared" ca="1" si="797"/>
        <v>0</v>
      </c>
      <c r="AP328" s="58">
        <f t="shared" ca="1" si="797"/>
        <v>0</v>
      </c>
      <c r="AQ328" s="58">
        <f t="shared" ca="1" si="797"/>
        <v>0</v>
      </c>
      <c r="AR328" s="58">
        <f t="shared" ca="1" si="797"/>
        <v>0</v>
      </c>
      <c r="AS328" s="58">
        <f t="shared" ca="1" si="797"/>
        <v>0</v>
      </c>
      <c r="AT328" s="58">
        <f t="shared" ca="1" si="797"/>
        <v>0</v>
      </c>
      <c r="AU328" s="58">
        <f t="shared" ca="1" si="797"/>
        <v>0</v>
      </c>
      <c r="AV328" s="58">
        <f t="shared" ca="1" si="797"/>
        <v>0</v>
      </c>
      <c r="AW328" s="58">
        <f t="shared" ca="1" si="797"/>
        <v>0</v>
      </c>
      <c r="AX328" s="58">
        <f t="shared" ca="1" si="797"/>
        <v>0</v>
      </c>
      <c r="AY328" s="58">
        <f t="shared" ca="1" si="797"/>
        <v>0</v>
      </c>
      <c r="AZ328" s="58">
        <f t="shared" ca="1" si="797"/>
        <v>0</v>
      </c>
      <c r="BA328" s="58">
        <f t="shared" ca="1" si="797"/>
        <v>0</v>
      </c>
      <c r="BB328" s="58">
        <f t="shared" ca="1" si="797"/>
        <v>0</v>
      </c>
      <c r="BC328" s="58">
        <f t="shared" ca="1" si="797"/>
        <v>0</v>
      </c>
      <c r="BD328" s="58">
        <f t="shared" ca="1" si="797"/>
        <v>0</v>
      </c>
      <c r="BE328" s="58">
        <f t="shared" ca="1" si="797"/>
        <v>0</v>
      </c>
      <c r="BF328" s="58">
        <f t="shared" ca="1" si="797"/>
        <v>0</v>
      </c>
      <c r="BG328" s="58">
        <f t="shared" ca="1" si="797"/>
        <v>0</v>
      </c>
      <c r="BH328" s="58">
        <f t="shared" ca="1" si="797"/>
        <v>0</v>
      </c>
      <c r="BI328" s="58">
        <f t="shared" ca="1" si="797"/>
        <v>0</v>
      </c>
      <c r="BJ328" s="58">
        <f t="shared" ca="1" si="797"/>
        <v>0</v>
      </c>
      <c r="BK328" s="58">
        <f t="shared" ca="1" si="797"/>
        <v>0</v>
      </c>
      <c r="BL328" s="58">
        <f t="shared" ca="1" si="797"/>
        <v>0</v>
      </c>
      <c r="BM328" s="58">
        <f t="shared" ca="1" si="797"/>
        <v>0</v>
      </c>
      <c r="BN328" s="58">
        <f t="shared" ca="1" si="797"/>
        <v>0</v>
      </c>
      <c r="BO328" s="58">
        <f t="shared" ca="1" si="797"/>
        <v>0</v>
      </c>
      <c r="BP328" s="58">
        <f t="shared" ca="1" si="797"/>
        <v>0</v>
      </c>
      <c r="BQ328" s="58">
        <f t="shared" ca="1" si="797"/>
        <v>0</v>
      </c>
      <c r="BR328" s="58">
        <f t="shared" ca="1" si="797"/>
        <v>0</v>
      </c>
      <c r="BS328" s="58">
        <f t="shared" ref="BS328:CX328" ca="1" si="798">+IF(OR($F328+BS$175&lt;1,(BS$176-1)*12&lt;-$F328),0,OFFSET(BS158,0,$F328))</f>
        <v>0</v>
      </c>
      <c r="BT328" s="58">
        <f t="shared" ca="1" si="798"/>
        <v>0</v>
      </c>
      <c r="BU328" s="58">
        <f t="shared" ca="1" si="798"/>
        <v>0</v>
      </c>
      <c r="BV328" s="58">
        <f t="shared" ca="1" si="798"/>
        <v>0</v>
      </c>
      <c r="BW328" s="58">
        <f t="shared" ca="1" si="798"/>
        <v>0</v>
      </c>
      <c r="BX328" s="58">
        <f t="shared" ca="1" si="798"/>
        <v>0</v>
      </c>
      <c r="BY328" s="58">
        <f t="shared" ca="1" si="798"/>
        <v>0</v>
      </c>
      <c r="BZ328" s="58">
        <f t="shared" ca="1" si="798"/>
        <v>0</v>
      </c>
      <c r="CA328" s="58">
        <f t="shared" ca="1" si="798"/>
        <v>0</v>
      </c>
      <c r="CB328" s="58">
        <f t="shared" ca="1" si="798"/>
        <v>0</v>
      </c>
      <c r="CC328" s="58">
        <f t="shared" ca="1" si="798"/>
        <v>0</v>
      </c>
      <c r="CD328" s="58">
        <f t="shared" ca="1" si="798"/>
        <v>0</v>
      </c>
      <c r="CE328" s="58">
        <f t="shared" ca="1" si="798"/>
        <v>0</v>
      </c>
      <c r="CF328" s="58">
        <f t="shared" ca="1" si="798"/>
        <v>0</v>
      </c>
      <c r="CG328" s="58">
        <f t="shared" ca="1" si="798"/>
        <v>0</v>
      </c>
      <c r="CH328" s="58">
        <f t="shared" ca="1" si="798"/>
        <v>0</v>
      </c>
      <c r="CI328" s="58">
        <f t="shared" ca="1" si="798"/>
        <v>0</v>
      </c>
      <c r="CJ328" s="58">
        <f t="shared" ca="1" si="798"/>
        <v>0</v>
      </c>
      <c r="CK328" s="58">
        <f t="shared" ca="1" si="798"/>
        <v>0</v>
      </c>
      <c r="CL328" s="58">
        <f t="shared" ca="1" si="798"/>
        <v>0</v>
      </c>
      <c r="CM328" s="58">
        <f t="shared" ca="1" si="798"/>
        <v>0</v>
      </c>
      <c r="CN328" s="58">
        <f t="shared" ca="1" si="798"/>
        <v>0</v>
      </c>
      <c r="CO328" s="58">
        <f t="shared" ca="1" si="798"/>
        <v>0</v>
      </c>
      <c r="CP328" s="58">
        <f t="shared" ca="1" si="798"/>
        <v>0</v>
      </c>
      <c r="CQ328" s="58">
        <f t="shared" ca="1" si="798"/>
        <v>0</v>
      </c>
      <c r="CR328" s="58">
        <f t="shared" ca="1" si="798"/>
        <v>0</v>
      </c>
      <c r="CS328" s="58">
        <f t="shared" ca="1" si="798"/>
        <v>0</v>
      </c>
      <c r="CT328" s="58">
        <f t="shared" ca="1" si="798"/>
        <v>0</v>
      </c>
      <c r="CU328" s="58">
        <f t="shared" ca="1" si="798"/>
        <v>0</v>
      </c>
      <c r="CV328" s="58">
        <f t="shared" ca="1" si="798"/>
        <v>0</v>
      </c>
      <c r="CW328" s="58">
        <f t="shared" ca="1" si="798"/>
        <v>0</v>
      </c>
      <c r="CX328" s="58">
        <f t="shared" ca="1" si="798"/>
        <v>0</v>
      </c>
      <c r="CY328" s="58">
        <f t="shared" ref="CY328:ED328" ca="1" si="799">+IF(OR($F328+CY$175&lt;1,(CY$176-1)*12&lt;-$F328),0,OFFSET(CY158,0,$F328))</f>
        <v>0</v>
      </c>
      <c r="CZ328" s="58">
        <f t="shared" ca="1" si="799"/>
        <v>0</v>
      </c>
      <c r="DA328" s="58">
        <f t="shared" ca="1" si="799"/>
        <v>0</v>
      </c>
      <c r="DB328" s="58">
        <f t="shared" ca="1" si="799"/>
        <v>0</v>
      </c>
      <c r="DC328" s="58">
        <f t="shared" ca="1" si="799"/>
        <v>0</v>
      </c>
      <c r="DD328" s="58">
        <f t="shared" ca="1" si="799"/>
        <v>0</v>
      </c>
      <c r="DE328" s="58">
        <f t="shared" ca="1" si="799"/>
        <v>0</v>
      </c>
      <c r="DF328" s="58">
        <f t="shared" ca="1" si="799"/>
        <v>0</v>
      </c>
      <c r="DG328" s="58">
        <f t="shared" ca="1" si="799"/>
        <v>0</v>
      </c>
      <c r="DH328" s="58">
        <f t="shared" ca="1" si="799"/>
        <v>0</v>
      </c>
      <c r="DI328" s="58">
        <f t="shared" ca="1" si="799"/>
        <v>0</v>
      </c>
      <c r="DJ328" s="58">
        <f t="shared" ca="1" si="799"/>
        <v>0</v>
      </c>
      <c r="DK328" s="58">
        <f t="shared" ca="1" si="799"/>
        <v>0</v>
      </c>
      <c r="DL328" s="58">
        <f t="shared" ca="1" si="799"/>
        <v>0</v>
      </c>
      <c r="DM328" s="58">
        <f t="shared" ca="1" si="799"/>
        <v>0</v>
      </c>
      <c r="DN328" s="58">
        <f t="shared" ca="1" si="799"/>
        <v>0</v>
      </c>
      <c r="DO328" s="58">
        <f t="shared" ca="1" si="799"/>
        <v>0</v>
      </c>
      <c r="DP328" s="58">
        <f t="shared" ca="1" si="799"/>
        <v>0</v>
      </c>
      <c r="DQ328" s="58">
        <f t="shared" ca="1" si="799"/>
        <v>0</v>
      </c>
      <c r="DR328" s="58">
        <f t="shared" ca="1" si="799"/>
        <v>0</v>
      </c>
      <c r="DS328" s="58">
        <f t="shared" ca="1" si="799"/>
        <v>0</v>
      </c>
      <c r="DT328" s="58">
        <f t="shared" ca="1" si="799"/>
        <v>0</v>
      </c>
      <c r="DU328" s="58">
        <f t="shared" ca="1" si="799"/>
        <v>0</v>
      </c>
      <c r="DV328" s="58">
        <f t="shared" ca="1" si="799"/>
        <v>0</v>
      </c>
      <c r="DW328" s="58">
        <f t="shared" ca="1" si="799"/>
        <v>0</v>
      </c>
      <c r="DX328" s="58">
        <f t="shared" ca="1" si="799"/>
        <v>0</v>
      </c>
      <c r="DY328" s="58">
        <f t="shared" ca="1" si="799"/>
        <v>0</v>
      </c>
      <c r="DZ328" s="58">
        <f t="shared" ca="1" si="799"/>
        <v>0</v>
      </c>
      <c r="EA328" s="58">
        <f t="shared" ca="1" si="799"/>
        <v>0</v>
      </c>
      <c r="EB328" s="58">
        <f t="shared" ca="1" si="799"/>
        <v>0</v>
      </c>
      <c r="EC328" s="58">
        <f t="shared" ca="1" si="799"/>
        <v>0</v>
      </c>
      <c r="ED328" s="58">
        <f t="shared" ca="1" si="799"/>
        <v>0</v>
      </c>
      <c r="EE328" s="58">
        <f t="shared" ref="EE328:FN328" ca="1" si="800">+IF(OR($F328+EE$175&lt;1,(EE$176-1)*12&lt;-$F328),0,OFFSET(EE158,0,$F328))</f>
        <v>0</v>
      </c>
      <c r="EF328" s="58">
        <f t="shared" ca="1" si="800"/>
        <v>0</v>
      </c>
      <c r="EG328" s="58">
        <f t="shared" ca="1" si="800"/>
        <v>0</v>
      </c>
      <c r="EH328" s="58">
        <f t="shared" ca="1" si="800"/>
        <v>0</v>
      </c>
      <c r="EI328" s="58">
        <f t="shared" ca="1" si="800"/>
        <v>0</v>
      </c>
      <c r="EJ328" s="58">
        <f t="shared" ca="1" si="800"/>
        <v>0</v>
      </c>
      <c r="EK328" s="58">
        <f t="shared" ca="1" si="800"/>
        <v>0</v>
      </c>
      <c r="EL328" s="58">
        <f t="shared" ca="1" si="800"/>
        <v>0</v>
      </c>
      <c r="EM328" s="58">
        <f t="shared" ca="1" si="800"/>
        <v>0</v>
      </c>
      <c r="EN328" s="58">
        <f t="shared" ca="1" si="800"/>
        <v>0</v>
      </c>
      <c r="EO328" s="58">
        <f t="shared" ca="1" si="800"/>
        <v>0</v>
      </c>
      <c r="EP328" s="58">
        <f t="shared" ca="1" si="800"/>
        <v>0</v>
      </c>
      <c r="EQ328" s="58">
        <f t="shared" ca="1" si="800"/>
        <v>0</v>
      </c>
      <c r="ER328" s="58">
        <f t="shared" ca="1" si="800"/>
        <v>0</v>
      </c>
      <c r="ES328" s="58">
        <f t="shared" ca="1" si="800"/>
        <v>0</v>
      </c>
      <c r="ET328" s="58">
        <f t="shared" ca="1" si="800"/>
        <v>0</v>
      </c>
      <c r="EU328" s="58">
        <f t="shared" ca="1" si="800"/>
        <v>0</v>
      </c>
      <c r="EV328" s="58">
        <f t="shared" ca="1" si="800"/>
        <v>0</v>
      </c>
      <c r="EW328" s="58">
        <f t="shared" ca="1" si="800"/>
        <v>0</v>
      </c>
      <c r="EX328" s="58">
        <f t="shared" ca="1" si="800"/>
        <v>0</v>
      </c>
      <c r="EY328" s="58">
        <f t="shared" ca="1" si="800"/>
        <v>0</v>
      </c>
      <c r="EZ328" s="58">
        <f t="shared" ca="1" si="800"/>
        <v>0</v>
      </c>
      <c r="FA328" s="58">
        <f t="shared" ca="1" si="800"/>
        <v>0</v>
      </c>
      <c r="FB328" s="58">
        <f t="shared" ca="1" si="800"/>
        <v>0</v>
      </c>
      <c r="FC328" s="58">
        <f t="shared" ca="1" si="800"/>
        <v>0</v>
      </c>
      <c r="FD328" s="58">
        <f t="shared" ca="1" si="800"/>
        <v>0</v>
      </c>
      <c r="FE328" s="58">
        <f t="shared" ca="1" si="800"/>
        <v>0</v>
      </c>
      <c r="FF328" s="58">
        <f t="shared" ca="1" si="800"/>
        <v>0</v>
      </c>
      <c r="FG328" s="58">
        <f t="shared" ca="1" si="800"/>
        <v>0</v>
      </c>
      <c r="FH328" s="58">
        <f t="shared" ca="1" si="800"/>
        <v>0</v>
      </c>
      <c r="FI328" s="58">
        <f t="shared" ca="1" si="800"/>
        <v>0</v>
      </c>
      <c r="FJ328" s="58">
        <f t="shared" ca="1" si="800"/>
        <v>0</v>
      </c>
      <c r="FK328" s="58">
        <f t="shared" ca="1" si="800"/>
        <v>0</v>
      </c>
      <c r="FL328" s="58">
        <f t="shared" ca="1" si="800"/>
        <v>0</v>
      </c>
      <c r="FM328" s="58">
        <f t="shared" ca="1" si="800"/>
        <v>0</v>
      </c>
      <c r="FN328" s="58">
        <f t="shared" ca="1" si="800"/>
        <v>0</v>
      </c>
      <c r="FO328" s="13"/>
    </row>
    <row r="329" spans="1:171" outlineLevel="1" x14ac:dyDescent="0.3">
      <c r="A329" s="13"/>
      <c r="B329" s="13"/>
      <c r="C329" s="13"/>
      <c r="D329" s="52">
        <f t="shared" si="683"/>
        <v>44774</v>
      </c>
      <c r="E329" s="53">
        <f t="shared" si="684"/>
        <v>2022</v>
      </c>
      <c r="F329" s="53">
        <f t="shared" si="685"/>
        <v>103</v>
      </c>
      <c r="G329" s="58">
        <f t="shared" ref="G329:AL329" ca="1" si="801">+IF(OR($F329+G$175&lt;1,(G$176-1)*12&lt;-$F329),0,OFFSET(G159,0,$F329))</f>
        <v>0</v>
      </c>
      <c r="H329" s="58">
        <f t="shared" ca="1" si="801"/>
        <v>0</v>
      </c>
      <c r="I329" s="58">
        <f t="shared" ca="1" si="801"/>
        <v>0</v>
      </c>
      <c r="J329" s="58">
        <f t="shared" ca="1" si="801"/>
        <v>0</v>
      </c>
      <c r="K329" s="58">
        <f t="shared" ca="1" si="801"/>
        <v>0</v>
      </c>
      <c r="L329" s="58">
        <f t="shared" ca="1" si="801"/>
        <v>0</v>
      </c>
      <c r="M329" s="58">
        <f t="shared" ca="1" si="801"/>
        <v>0</v>
      </c>
      <c r="N329" s="58">
        <f t="shared" ca="1" si="801"/>
        <v>0</v>
      </c>
      <c r="O329" s="58">
        <f t="shared" ca="1" si="801"/>
        <v>0</v>
      </c>
      <c r="P329" s="58">
        <f t="shared" ca="1" si="801"/>
        <v>0</v>
      </c>
      <c r="Q329" s="58">
        <f t="shared" ca="1" si="801"/>
        <v>0</v>
      </c>
      <c r="R329" s="58">
        <f t="shared" ca="1" si="801"/>
        <v>0</v>
      </c>
      <c r="S329" s="58">
        <f t="shared" ca="1" si="801"/>
        <v>0</v>
      </c>
      <c r="T329" s="58">
        <f t="shared" ca="1" si="801"/>
        <v>0</v>
      </c>
      <c r="U329" s="58">
        <f t="shared" ca="1" si="801"/>
        <v>0</v>
      </c>
      <c r="V329" s="58">
        <f t="shared" ca="1" si="801"/>
        <v>0</v>
      </c>
      <c r="W329" s="58">
        <f t="shared" ca="1" si="801"/>
        <v>0</v>
      </c>
      <c r="X329" s="58">
        <f t="shared" ca="1" si="801"/>
        <v>0</v>
      </c>
      <c r="Y329" s="58">
        <f t="shared" ca="1" si="801"/>
        <v>0</v>
      </c>
      <c r="Z329" s="58">
        <f t="shared" ca="1" si="801"/>
        <v>0</v>
      </c>
      <c r="AA329" s="58">
        <f t="shared" ca="1" si="801"/>
        <v>0</v>
      </c>
      <c r="AB329" s="58">
        <f t="shared" ca="1" si="801"/>
        <v>0</v>
      </c>
      <c r="AC329" s="58">
        <f t="shared" ca="1" si="801"/>
        <v>0</v>
      </c>
      <c r="AD329" s="58">
        <f t="shared" ca="1" si="801"/>
        <v>0</v>
      </c>
      <c r="AE329" s="58">
        <f t="shared" ca="1" si="801"/>
        <v>0</v>
      </c>
      <c r="AF329" s="58">
        <f t="shared" ca="1" si="801"/>
        <v>0</v>
      </c>
      <c r="AG329" s="58">
        <f t="shared" ca="1" si="801"/>
        <v>0</v>
      </c>
      <c r="AH329" s="58">
        <f t="shared" ca="1" si="801"/>
        <v>0</v>
      </c>
      <c r="AI329" s="58">
        <f t="shared" ca="1" si="801"/>
        <v>0</v>
      </c>
      <c r="AJ329" s="58">
        <f t="shared" ca="1" si="801"/>
        <v>0</v>
      </c>
      <c r="AK329" s="58">
        <f t="shared" ca="1" si="801"/>
        <v>0</v>
      </c>
      <c r="AL329" s="58">
        <f t="shared" ca="1" si="801"/>
        <v>0</v>
      </c>
      <c r="AM329" s="58">
        <f t="shared" ref="AM329:BR329" ca="1" si="802">+IF(OR($F329+AM$175&lt;1,(AM$176-1)*12&lt;-$F329),0,OFFSET(AM159,0,$F329))</f>
        <v>0</v>
      </c>
      <c r="AN329" s="58">
        <f t="shared" ca="1" si="802"/>
        <v>0</v>
      </c>
      <c r="AO329" s="58">
        <f t="shared" ca="1" si="802"/>
        <v>0</v>
      </c>
      <c r="AP329" s="58">
        <f t="shared" ca="1" si="802"/>
        <v>0</v>
      </c>
      <c r="AQ329" s="58">
        <f t="shared" ca="1" si="802"/>
        <v>0</v>
      </c>
      <c r="AR329" s="58">
        <f t="shared" ca="1" si="802"/>
        <v>0</v>
      </c>
      <c r="AS329" s="58">
        <f t="shared" ca="1" si="802"/>
        <v>0</v>
      </c>
      <c r="AT329" s="58">
        <f t="shared" ca="1" si="802"/>
        <v>0</v>
      </c>
      <c r="AU329" s="58">
        <f t="shared" ca="1" si="802"/>
        <v>0</v>
      </c>
      <c r="AV329" s="58">
        <f t="shared" ca="1" si="802"/>
        <v>0</v>
      </c>
      <c r="AW329" s="58">
        <f t="shared" ca="1" si="802"/>
        <v>0</v>
      </c>
      <c r="AX329" s="58">
        <f t="shared" ca="1" si="802"/>
        <v>0</v>
      </c>
      <c r="AY329" s="58">
        <f t="shared" ca="1" si="802"/>
        <v>0</v>
      </c>
      <c r="AZ329" s="58">
        <f t="shared" ca="1" si="802"/>
        <v>0</v>
      </c>
      <c r="BA329" s="58">
        <f t="shared" ca="1" si="802"/>
        <v>0</v>
      </c>
      <c r="BB329" s="58">
        <f t="shared" ca="1" si="802"/>
        <v>0</v>
      </c>
      <c r="BC329" s="58">
        <f t="shared" ca="1" si="802"/>
        <v>0</v>
      </c>
      <c r="BD329" s="58">
        <f t="shared" ca="1" si="802"/>
        <v>0</v>
      </c>
      <c r="BE329" s="58">
        <f t="shared" ca="1" si="802"/>
        <v>0</v>
      </c>
      <c r="BF329" s="58">
        <f t="shared" ca="1" si="802"/>
        <v>0</v>
      </c>
      <c r="BG329" s="58">
        <f t="shared" ca="1" si="802"/>
        <v>0</v>
      </c>
      <c r="BH329" s="58">
        <f t="shared" ca="1" si="802"/>
        <v>0</v>
      </c>
      <c r="BI329" s="58">
        <f t="shared" ca="1" si="802"/>
        <v>0</v>
      </c>
      <c r="BJ329" s="58">
        <f t="shared" ca="1" si="802"/>
        <v>0</v>
      </c>
      <c r="BK329" s="58">
        <f t="shared" ca="1" si="802"/>
        <v>0</v>
      </c>
      <c r="BL329" s="58">
        <f t="shared" ca="1" si="802"/>
        <v>0</v>
      </c>
      <c r="BM329" s="58">
        <f t="shared" ca="1" si="802"/>
        <v>0</v>
      </c>
      <c r="BN329" s="58">
        <f t="shared" ca="1" si="802"/>
        <v>0</v>
      </c>
      <c r="BO329" s="58">
        <f t="shared" ca="1" si="802"/>
        <v>0</v>
      </c>
      <c r="BP329" s="58">
        <f t="shared" ca="1" si="802"/>
        <v>0</v>
      </c>
      <c r="BQ329" s="58">
        <f t="shared" ca="1" si="802"/>
        <v>0</v>
      </c>
      <c r="BR329" s="58">
        <f t="shared" ca="1" si="802"/>
        <v>0</v>
      </c>
      <c r="BS329" s="58">
        <f t="shared" ref="BS329:CX329" ca="1" si="803">+IF(OR($F329+BS$175&lt;1,(BS$176-1)*12&lt;-$F329),0,OFFSET(BS159,0,$F329))</f>
        <v>0</v>
      </c>
      <c r="BT329" s="58">
        <f t="shared" ca="1" si="803"/>
        <v>0</v>
      </c>
      <c r="BU329" s="58">
        <f t="shared" ca="1" si="803"/>
        <v>0</v>
      </c>
      <c r="BV329" s="58">
        <f t="shared" ca="1" si="803"/>
        <v>0</v>
      </c>
      <c r="BW329" s="58">
        <f t="shared" ca="1" si="803"/>
        <v>0</v>
      </c>
      <c r="BX329" s="58">
        <f t="shared" ca="1" si="803"/>
        <v>0</v>
      </c>
      <c r="BY329" s="58">
        <f t="shared" ca="1" si="803"/>
        <v>0</v>
      </c>
      <c r="BZ329" s="58">
        <f t="shared" ca="1" si="803"/>
        <v>0</v>
      </c>
      <c r="CA329" s="58">
        <f t="shared" ca="1" si="803"/>
        <v>0</v>
      </c>
      <c r="CB329" s="58">
        <f t="shared" ca="1" si="803"/>
        <v>0</v>
      </c>
      <c r="CC329" s="58">
        <f t="shared" ca="1" si="803"/>
        <v>0</v>
      </c>
      <c r="CD329" s="58">
        <f t="shared" ca="1" si="803"/>
        <v>0</v>
      </c>
      <c r="CE329" s="58">
        <f t="shared" ca="1" si="803"/>
        <v>0</v>
      </c>
      <c r="CF329" s="58">
        <f t="shared" ca="1" si="803"/>
        <v>0</v>
      </c>
      <c r="CG329" s="58">
        <f t="shared" ca="1" si="803"/>
        <v>0</v>
      </c>
      <c r="CH329" s="58">
        <f t="shared" ca="1" si="803"/>
        <v>0</v>
      </c>
      <c r="CI329" s="58">
        <f t="shared" ca="1" si="803"/>
        <v>0</v>
      </c>
      <c r="CJ329" s="58">
        <f t="shared" ca="1" si="803"/>
        <v>0</v>
      </c>
      <c r="CK329" s="58">
        <f t="shared" ca="1" si="803"/>
        <v>0</v>
      </c>
      <c r="CL329" s="58">
        <f t="shared" ca="1" si="803"/>
        <v>0</v>
      </c>
      <c r="CM329" s="58">
        <f t="shared" ca="1" si="803"/>
        <v>0</v>
      </c>
      <c r="CN329" s="58">
        <f t="shared" ca="1" si="803"/>
        <v>0</v>
      </c>
      <c r="CO329" s="58">
        <f t="shared" ca="1" si="803"/>
        <v>0</v>
      </c>
      <c r="CP329" s="58">
        <f t="shared" ca="1" si="803"/>
        <v>0</v>
      </c>
      <c r="CQ329" s="58">
        <f t="shared" ca="1" si="803"/>
        <v>0</v>
      </c>
      <c r="CR329" s="58">
        <f t="shared" ca="1" si="803"/>
        <v>0</v>
      </c>
      <c r="CS329" s="58">
        <f t="shared" ca="1" si="803"/>
        <v>0</v>
      </c>
      <c r="CT329" s="58">
        <f t="shared" ca="1" si="803"/>
        <v>0</v>
      </c>
      <c r="CU329" s="58">
        <f t="shared" ca="1" si="803"/>
        <v>0</v>
      </c>
      <c r="CV329" s="58">
        <f t="shared" ca="1" si="803"/>
        <v>0</v>
      </c>
      <c r="CW329" s="58">
        <f t="shared" ca="1" si="803"/>
        <v>0</v>
      </c>
      <c r="CX329" s="58">
        <f t="shared" ca="1" si="803"/>
        <v>0</v>
      </c>
      <c r="CY329" s="58">
        <f t="shared" ref="CY329:ED329" ca="1" si="804">+IF(OR($F329+CY$175&lt;1,(CY$176-1)*12&lt;-$F329),0,OFFSET(CY159,0,$F329))</f>
        <v>0</v>
      </c>
      <c r="CZ329" s="58">
        <f t="shared" ca="1" si="804"/>
        <v>0</v>
      </c>
      <c r="DA329" s="58">
        <f t="shared" ca="1" si="804"/>
        <v>0</v>
      </c>
      <c r="DB329" s="58">
        <f t="shared" ca="1" si="804"/>
        <v>0</v>
      </c>
      <c r="DC329" s="58">
        <f t="shared" ca="1" si="804"/>
        <v>0</v>
      </c>
      <c r="DD329" s="58">
        <f t="shared" ca="1" si="804"/>
        <v>0</v>
      </c>
      <c r="DE329" s="58">
        <f t="shared" ca="1" si="804"/>
        <v>0</v>
      </c>
      <c r="DF329" s="58">
        <f t="shared" ca="1" si="804"/>
        <v>0</v>
      </c>
      <c r="DG329" s="58">
        <f t="shared" ca="1" si="804"/>
        <v>0</v>
      </c>
      <c r="DH329" s="58">
        <f t="shared" ca="1" si="804"/>
        <v>0</v>
      </c>
      <c r="DI329" s="58">
        <f t="shared" ca="1" si="804"/>
        <v>0</v>
      </c>
      <c r="DJ329" s="58">
        <f t="shared" ca="1" si="804"/>
        <v>0</v>
      </c>
      <c r="DK329" s="58">
        <f t="shared" ca="1" si="804"/>
        <v>0</v>
      </c>
      <c r="DL329" s="58">
        <f t="shared" ca="1" si="804"/>
        <v>0</v>
      </c>
      <c r="DM329" s="58">
        <f t="shared" ca="1" si="804"/>
        <v>0</v>
      </c>
      <c r="DN329" s="58">
        <f t="shared" ca="1" si="804"/>
        <v>0</v>
      </c>
      <c r="DO329" s="58">
        <f t="shared" ca="1" si="804"/>
        <v>0</v>
      </c>
      <c r="DP329" s="58">
        <f t="shared" ca="1" si="804"/>
        <v>0</v>
      </c>
      <c r="DQ329" s="58">
        <f t="shared" ca="1" si="804"/>
        <v>0</v>
      </c>
      <c r="DR329" s="58">
        <f t="shared" ca="1" si="804"/>
        <v>0</v>
      </c>
      <c r="DS329" s="58">
        <f t="shared" ca="1" si="804"/>
        <v>0</v>
      </c>
      <c r="DT329" s="58">
        <f t="shared" ca="1" si="804"/>
        <v>0</v>
      </c>
      <c r="DU329" s="58">
        <f t="shared" ca="1" si="804"/>
        <v>0</v>
      </c>
      <c r="DV329" s="58">
        <f t="shared" ca="1" si="804"/>
        <v>0</v>
      </c>
      <c r="DW329" s="58">
        <f t="shared" ca="1" si="804"/>
        <v>0</v>
      </c>
      <c r="DX329" s="58">
        <f t="shared" ca="1" si="804"/>
        <v>0</v>
      </c>
      <c r="DY329" s="58">
        <f t="shared" ca="1" si="804"/>
        <v>0</v>
      </c>
      <c r="DZ329" s="58">
        <f t="shared" ca="1" si="804"/>
        <v>0</v>
      </c>
      <c r="EA329" s="58">
        <f t="shared" ca="1" si="804"/>
        <v>0</v>
      </c>
      <c r="EB329" s="58">
        <f t="shared" ca="1" si="804"/>
        <v>0</v>
      </c>
      <c r="EC329" s="58">
        <f t="shared" ca="1" si="804"/>
        <v>0</v>
      </c>
      <c r="ED329" s="58">
        <f t="shared" ca="1" si="804"/>
        <v>0</v>
      </c>
      <c r="EE329" s="58">
        <f t="shared" ref="EE329:FN329" ca="1" si="805">+IF(OR($F329+EE$175&lt;1,(EE$176-1)*12&lt;-$F329),0,OFFSET(EE159,0,$F329))</f>
        <v>0</v>
      </c>
      <c r="EF329" s="58">
        <f t="shared" ca="1" si="805"/>
        <v>0</v>
      </c>
      <c r="EG329" s="58">
        <f t="shared" ca="1" si="805"/>
        <v>0</v>
      </c>
      <c r="EH329" s="58">
        <f t="shared" ca="1" si="805"/>
        <v>0</v>
      </c>
      <c r="EI329" s="58">
        <f t="shared" ca="1" si="805"/>
        <v>0</v>
      </c>
      <c r="EJ329" s="58">
        <f t="shared" ca="1" si="805"/>
        <v>0</v>
      </c>
      <c r="EK329" s="58">
        <f t="shared" ca="1" si="805"/>
        <v>0</v>
      </c>
      <c r="EL329" s="58">
        <f t="shared" ca="1" si="805"/>
        <v>0</v>
      </c>
      <c r="EM329" s="58">
        <f t="shared" ca="1" si="805"/>
        <v>0</v>
      </c>
      <c r="EN329" s="58">
        <f t="shared" ca="1" si="805"/>
        <v>0</v>
      </c>
      <c r="EO329" s="58">
        <f t="shared" ca="1" si="805"/>
        <v>0</v>
      </c>
      <c r="EP329" s="58">
        <f t="shared" ca="1" si="805"/>
        <v>0</v>
      </c>
      <c r="EQ329" s="58">
        <f t="shared" ca="1" si="805"/>
        <v>0</v>
      </c>
      <c r="ER329" s="58">
        <f t="shared" ca="1" si="805"/>
        <v>0</v>
      </c>
      <c r="ES329" s="58">
        <f t="shared" ca="1" si="805"/>
        <v>0</v>
      </c>
      <c r="ET329" s="58">
        <f t="shared" ca="1" si="805"/>
        <v>0</v>
      </c>
      <c r="EU329" s="58">
        <f t="shared" ca="1" si="805"/>
        <v>0</v>
      </c>
      <c r="EV329" s="58">
        <f t="shared" ca="1" si="805"/>
        <v>0</v>
      </c>
      <c r="EW329" s="58">
        <f t="shared" ca="1" si="805"/>
        <v>0</v>
      </c>
      <c r="EX329" s="58">
        <f t="shared" ca="1" si="805"/>
        <v>0</v>
      </c>
      <c r="EY329" s="58">
        <f t="shared" ca="1" si="805"/>
        <v>0</v>
      </c>
      <c r="EZ329" s="58">
        <f t="shared" ca="1" si="805"/>
        <v>0</v>
      </c>
      <c r="FA329" s="58">
        <f t="shared" ca="1" si="805"/>
        <v>0</v>
      </c>
      <c r="FB329" s="58">
        <f t="shared" ca="1" si="805"/>
        <v>0</v>
      </c>
      <c r="FC329" s="58">
        <f t="shared" ca="1" si="805"/>
        <v>0</v>
      </c>
      <c r="FD329" s="58">
        <f t="shared" ca="1" si="805"/>
        <v>0</v>
      </c>
      <c r="FE329" s="58">
        <f t="shared" ca="1" si="805"/>
        <v>0</v>
      </c>
      <c r="FF329" s="58">
        <f t="shared" ca="1" si="805"/>
        <v>0</v>
      </c>
      <c r="FG329" s="58">
        <f t="shared" ca="1" si="805"/>
        <v>0</v>
      </c>
      <c r="FH329" s="58">
        <f t="shared" ca="1" si="805"/>
        <v>0</v>
      </c>
      <c r="FI329" s="58">
        <f t="shared" ca="1" si="805"/>
        <v>0</v>
      </c>
      <c r="FJ329" s="58">
        <f t="shared" ca="1" si="805"/>
        <v>0</v>
      </c>
      <c r="FK329" s="58">
        <f t="shared" ca="1" si="805"/>
        <v>0</v>
      </c>
      <c r="FL329" s="58">
        <f t="shared" ca="1" si="805"/>
        <v>0</v>
      </c>
      <c r="FM329" s="58">
        <f t="shared" ca="1" si="805"/>
        <v>0</v>
      </c>
      <c r="FN329" s="58">
        <f t="shared" ca="1" si="805"/>
        <v>0</v>
      </c>
      <c r="FO329" s="13"/>
    </row>
    <row r="330" spans="1:171" outlineLevel="1" x14ac:dyDescent="0.3">
      <c r="A330" s="13"/>
      <c r="B330" s="13"/>
      <c r="C330" s="13"/>
      <c r="D330" s="52">
        <f t="shared" si="683"/>
        <v>44805</v>
      </c>
      <c r="E330" s="53">
        <f t="shared" si="684"/>
        <v>2022</v>
      </c>
      <c r="F330" s="53">
        <f t="shared" si="685"/>
        <v>104</v>
      </c>
      <c r="G330" s="58">
        <f t="shared" ref="G330:AL330" ca="1" si="806">+IF(OR($F330+G$175&lt;1,(G$176-1)*12&lt;-$F330),0,OFFSET(G160,0,$F330))</f>
        <v>0</v>
      </c>
      <c r="H330" s="58">
        <f t="shared" ca="1" si="806"/>
        <v>0</v>
      </c>
      <c r="I330" s="58">
        <f t="shared" ca="1" si="806"/>
        <v>0</v>
      </c>
      <c r="J330" s="58">
        <f t="shared" ca="1" si="806"/>
        <v>0</v>
      </c>
      <c r="K330" s="58">
        <f t="shared" ca="1" si="806"/>
        <v>0</v>
      </c>
      <c r="L330" s="58">
        <f t="shared" ca="1" si="806"/>
        <v>0</v>
      </c>
      <c r="M330" s="58">
        <f t="shared" ca="1" si="806"/>
        <v>0</v>
      </c>
      <c r="N330" s="58">
        <f t="shared" ca="1" si="806"/>
        <v>0</v>
      </c>
      <c r="O330" s="58">
        <f t="shared" ca="1" si="806"/>
        <v>0</v>
      </c>
      <c r="P330" s="58">
        <f t="shared" ca="1" si="806"/>
        <v>0</v>
      </c>
      <c r="Q330" s="58">
        <f t="shared" ca="1" si="806"/>
        <v>0</v>
      </c>
      <c r="R330" s="58">
        <f t="shared" ca="1" si="806"/>
        <v>0</v>
      </c>
      <c r="S330" s="58">
        <f t="shared" ca="1" si="806"/>
        <v>0</v>
      </c>
      <c r="T330" s="58">
        <f t="shared" ca="1" si="806"/>
        <v>0</v>
      </c>
      <c r="U330" s="58">
        <f t="shared" ca="1" si="806"/>
        <v>0</v>
      </c>
      <c r="V330" s="58">
        <f t="shared" ca="1" si="806"/>
        <v>0</v>
      </c>
      <c r="W330" s="58">
        <f t="shared" ca="1" si="806"/>
        <v>0</v>
      </c>
      <c r="X330" s="58">
        <f t="shared" ca="1" si="806"/>
        <v>0</v>
      </c>
      <c r="Y330" s="58">
        <f t="shared" ca="1" si="806"/>
        <v>0</v>
      </c>
      <c r="Z330" s="58">
        <f t="shared" ca="1" si="806"/>
        <v>0</v>
      </c>
      <c r="AA330" s="58">
        <f t="shared" ca="1" si="806"/>
        <v>0</v>
      </c>
      <c r="AB330" s="58">
        <f t="shared" ca="1" si="806"/>
        <v>0</v>
      </c>
      <c r="AC330" s="58">
        <f t="shared" ca="1" si="806"/>
        <v>0</v>
      </c>
      <c r="AD330" s="58">
        <f t="shared" ca="1" si="806"/>
        <v>0</v>
      </c>
      <c r="AE330" s="58">
        <f t="shared" ca="1" si="806"/>
        <v>0</v>
      </c>
      <c r="AF330" s="58">
        <f t="shared" ca="1" si="806"/>
        <v>0</v>
      </c>
      <c r="AG330" s="58">
        <f t="shared" ca="1" si="806"/>
        <v>0</v>
      </c>
      <c r="AH330" s="58">
        <f t="shared" ca="1" si="806"/>
        <v>0</v>
      </c>
      <c r="AI330" s="58">
        <f t="shared" ca="1" si="806"/>
        <v>0</v>
      </c>
      <c r="AJ330" s="58">
        <f t="shared" ca="1" si="806"/>
        <v>0</v>
      </c>
      <c r="AK330" s="58">
        <f t="shared" ca="1" si="806"/>
        <v>0</v>
      </c>
      <c r="AL330" s="58">
        <f t="shared" ca="1" si="806"/>
        <v>0</v>
      </c>
      <c r="AM330" s="58">
        <f t="shared" ref="AM330:BR330" ca="1" si="807">+IF(OR($F330+AM$175&lt;1,(AM$176-1)*12&lt;-$F330),0,OFFSET(AM160,0,$F330))</f>
        <v>0</v>
      </c>
      <c r="AN330" s="58">
        <f t="shared" ca="1" si="807"/>
        <v>0</v>
      </c>
      <c r="AO330" s="58">
        <f t="shared" ca="1" si="807"/>
        <v>0</v>
      </c>
      <c r="AP330" s="58">
        <f t="shared" ca="1" si="807"/>
        <v>0</v>
      </c>
      <c r="AQ330" s="58">
        <f t="shared" ca="1" si="807"/>
        <v>0</v>
      </c>
      <c r="AR330" s="58">
        <f t="shared" ca="1" si="807"/>
        <v>0</v>
      </c>
      <c r="AS330" s="58">
        <f t="shared" ca="1" si="807"/>
        <v>0</v>
      </c>
      <c r="AT330" s="58">
        <f t="shared" ca="1" si="807"/>
        <v>0</v>
      </c>
      <c r="AU330" s="58">
        <f t="shared" ca="1" si="807"/>
        <v>0</v>
      </c>
      <c r="AV330" s="58">
        <f t="shared" ca="1" si="807"/>
        <v>0</v>
      </c>
      <c r="AW330" s="58">
        <f t="shared" ca="1" si="807"/>
        <v>0</v>
      </c>
      <c r="AX330" s="58">
        <f t="shared" ca="1" si="807"/>
        <v>0</v>
      </c>
      <c r="AY330" s="58">
        <f t="shared" ca="1" si="807"/>
        <v>0</v>
      </c>
      <c r="AZ330" s="58">
        <f t="shared" ca="1" si="807"/>
        <v>0</v>
      </c>
      <c r="BA330" s="58">
        <f t="shared" ca="1" si="807"/>
        <v>0</v>
      </c>
      <c r="BB330" s="58">
        <f t="shared" ca="1" si="807"/>
        <v>0</v>
      </c>
      <c r="BC330" s="58">
        <f t="shared" ca="1" si="807"/>
        <v>0</v>
      </c>
      <c r="BD330" s="58">
        <f t="shared" ca="1" si="807"/>
        <v>0</v>
      </c>
      <c r="BE330" s="58">
        <f t="shared" ca="1" si="807"/>
        <v>0</v>
      </c>
      <c r="BF330" s="58">
        <f t="shared" ca="1" si="807"/>
        <v>0</v>
      </c>
      <c r="BG330" s="58">
        <f t="shared" ca="1" si="807"/>
        <v>0</v>
      </c>
      <c r="BH330" s="58">
        <f t="shared" ca="1" si="807"/>
        <v>0</v>
      </c>
      <c r="BI330" s="58">
        <f t="shared" ca="1" si="807"/>
        <v>0</v>
      </c>
      <c r="BJ330" s="58">
        <f t="shared" ca="1" si="807"/>
        <v>0</v>
      </c>
      <c r="BK330" s="58">
        <f t="shared" ca="1" si="807"/>
        <v>0</v>
      </c>
      <c r="BL330" s="58">
        <f t="shared" ca="1" si="807"/>
        <v>0</v>
      </c>
      <c r="BM330" s="58">
        <f t="shared" ca="1" si="807"/>
        <v>0</v>
      </c>
      <c r="BN330" s="58">
        <f t="shared" ca="1" si="807"/>
        <v>0</v>
      </c>
      <c r="BO330" s="58">
        <f t="shared" ca="1" si="807"/>
        <v>0</v>
      </c>
      <c r="BP330" s="58">
        <f t="shared" ca="1" si="807"/>
        <v>0</v>
      </c>
      <c r="BQ330" s="58">
        <f t="shared" ca="1" si="807"/>
        <v>0</v>
      </c>
      <c r="BR330" s="58">
        <f t="shared" ca="1" si="807"/>
        <v>0</v>
      </c>
      <c r="BS330" s="58">
        <f t="shared" ref="BS330:CX330" ca="1" si="808">+IF(OR($F330+BS$175&lt;1,(BS$176-1)*12&lt;-$F330),0,OFFSET(BS160,0,$F330))</f>
        <v>0</v>
      </c>
      <c r="BT330" s="58">
        <f t="shared" ca="1" si="808"/>
        <v>0</v>
      </c>
      <c r="BU330" s="58">
        <f t="shared" ca="1" si="808"/>
        <v>0</v>
      </c>
      <c r="BV330" s="58">
        <f t="shared" ca="1" si="808"/>
        <v>0</v>
      </c>
      <c r="BW330" s="58">
        <f t="shared" ca="1" si="808"/>
        <v>0</v>
      </c>
      <c r="BX330" s="58">
        <f t="shared" ca="1" si="808"/>
        <v>0</v>
      </c>
      <c r="BY330" s="58">
        <f t="shared" ca="1" si="808"/>
        <v>0</v>
      </c>
      <c r="BZ330" s="58">
        <f t="shared" ca="1" si="808"/>
        <v>0</v>
      </c>
      <c r="CA330" s="58">
        <f t="shared" ca="1" si="808"/>
        <v>0</v>
      </c>
      <c r="CB330" s="58">
        <f t="shared" ca="1" si="808"/>
        <v>0</v>
      </c>
      <c r="CC330" s="58">
        <f t="shared" ca="1" si="808"/>
        <v>0</v>
      </c>
      <c r="CD330" s="58">
        <f t="shared" ca="1" si="808"/>
        <v>0</v>
      </c>
      <c r="CE330" s="58">
        <f t="shared" ca="1" si="808"/>
        <v>0</v>
      </c>
      <c r="CF330" s="58">
        <f t="shared" ca="1" si="808"/>
        <v>0</v>
      </c>
      <c r="CG330" s="58">
        <f t="shared" ca="1" si="808"/>
        <v>0</v>
      </c>
      <c r="CH330" s="58">
        <f t="shared" ca="1" si="808"/>
        <v>0</v>
      </c>
      <c r="CI330" s="58">
        <f t="shared" ca="1" si="808"/>
        <v>0</v>
      </c>
      <c r="CJ330" s="58">
        <f t="shared" ca="1" si="808"/>
        <v>0</v>
      </c>
      <c r="CK330" s="58">
        <f t="shared" ca="1" si="808"/>
        <v>0</v>
      </c>
      <c r="CL330" s="58">
        <f t="shared" ca="1" si="808"/>
        <v>0</v>
      </c>
      <c r="CM330" s="58">
        <f t="shared" ca="1" si="808"/>
        <v>0</v>
      </c>
      <c r="CN330" s="58">
        <f t="shared" ca="1" si="808"/>
        <v>0</v>
      </c>
      <c r="CO330" s="58">
        <f t="shared" ca="1" si="808"/>
        <v>0</v>
      </c>
      <c r="CP330" s="58">
        <f t="shared" ca="1" si="808"/>
        <v>0</v>
      </c>
      <c r="CQ330" s="58">
        <f t="shared" ca="1" si="808"/>
        <v>0</v>
      </c>
      <c r="CR330" s="58">
        <f t="shared" ca="1" si="808"/>
        <v>0</v>
      </c>
      <c r="CS330" s="58">
        <f t="shared" ca="1" si="808"/>
        <v>0</v>
      </c>
      <c r="CT330" s="58">
        <f t="shared" ca="1" si="808"/>
        <v>0</v>
      </c>
      <c r="CU330" s="58">
        <f t="shared" ca="1" si="808"/>
        <v>0</v>
      </c>
      <c r="CV330" s="58">
        <f t="shared" ca="1" si="808"/>
        <v>0</v>
      </c>
      <c r="CW330" s="58">
        <f t="shared" ca="1" si="808"/>
        <v>0</v>
      </c>
      <c r="CX330" s="58">
        <f t="shared" ca="1" si="808"/>
        <v>0</v>
      </c>
      <c r="CY330" s="58">
        <f t="shared" ref="CY330:ED330" ca="1" si="809">+IF(OR($F330+CY$175&lt;1,(CY$176-1)*12&lt;-$F330),0,OFFSET(CY160,0,$F330))</f>
        <v>0</v>
      </c>
      <c r="CZ330" s="58">
        <f t="shared" ca="1" si="809"/>
        <v>0</v>
      </c>
      <c r="DA330" s="58">
        <f t="shared" ca="1" si="809"/>
        <v>0</v>
      </c>
      <c r="DB330" s="58">
        <f t="shared" ca="1" si="809"/>
        <v>0</v>
      </c>
      <c r="DC330" s="58">
        <f t="shared" ca="1" si="809"/>
        <v>0</v>
      </c>
      <c r="DD330" s="58">
        <f t="shared" ca="1" si="809"/>
        <v>0</v>
      </c>
      <c r="DE330" s="58">
        <f t="shared" ca="1" si="809"/>
        <v>0</v>
      </c>
      <c r="DF330" s="58">
        <f t="shared" ca="1" si="809"/>
        <v>0</v>
      </c>
      <c r="DG330" s="58">
        <f t="shared" ca="1" si="809"/>
        <v>0</v>
      </c>
      <c r="DH330" s="58">
        <f t="shared" ca="1" si="809"/>
        <v>0</v>
      </c>
      <c r="DI330" s="58">
        <f t="shared" ca="1" si="809"/>
        <v>0</v>
      </c>
      <c r="DJ330" s="58">
        <f t="shared" ca="1" si="809"/>
        <v>0</v>
      </c>
      <c r="DK330" s="58">
        <f t="shared" ca="1" si="809"/>
        <v>0</v>
      </c>
      <c r="DL330" s="58">
        <f t="shared" ca="1" si="809"/>
        <v>0</v>
      </c>
      <c r="DM330" s="58">
        <f t="shared" ca="1" si="809"/>
        <v>0</v>
      </c>
      <c r="DN330" s="58">
        <f t="shared" ca="1" si="809"/>
        <v>0</v>
      </c>
      <c r="DO330" s="58">
        <f t="shared" ca="1" si="809"/>
        <v>0</v>
      </c>
      <c r="DP330" s="58">
        <f t="shared" ca="1" si="809"/>
        <v>0</v>
      </c>
      <c r="DQ330" s="58">
        <f t="shared" ca="1" si="809"/>
        <v>0</v>
      </c>
      <c r="DR330" s="58">
        <f t="shared" ca="1" si="809"/>
        <v>0</v>
      </c>
      <c r="DS330" s="58">
        <f t="shared" ca="1" si="809"/>
        <v>0</v>
      </c>
      <c r="DT330" s="58">
        <f t="shared" ca="1" si="809"/>
        <v>0</v>
      </c>
      <c r="DU330" s="58">
        <f t="shared" ca="1" si="809"/>
        <v>0</v>
      </c>
      <c r="DV330" s="58">
        <f t="shared" ca="1" si="809"/>
        <v>0</v>
      </c>
      <c r="DW330" s="58">
        <f t="shared" ca="1" si="809"/>
        <v>0</v>
      </c>
      <c r="DX330" s="58">
        <f t="shared" ca="1" si="809"/>
        <v>0</v>
      </c>
      <c r="DY330" s="58">
        <f t="shared" ca="1" si="809"/>
        <v>0</v>
      </c>
      <c r="DZ330" s="58">
        <f t="shared" ca="1" si="809"/>
        <v>0</v>
      </c>
      <c r="EA330" s="58">
        <f t="shared" ca="1" si="809"/>
        <v>0</v>
      </c>
      <c r="EB330" s="58">
        <f t="shared" ca="1" si="809"/>
        <v>0</v>
      </c>
      <c r="EC330" s="58">
        <f t="shared" ca="1" si="809"/>
        <v>0</v>
      </c>
      <c r="ED330" s="58">
        <f t="shared" ca="1" si="809"/>
        <v>0</v>
      </c>
      <c r="EE330" s="58">
        <f t="shared" ref="EE330:FN330" ca="1" si="810">+IF(OR($F330+EE$175&lt;1,(EE$176-1)*12&lt;-$F330),0,OFFSET(EE160,0,$F330))</f>
        <v>0</v>
      </c>
      <c r="EF330" s="58">
        <f t="shared" ca="1" si="810"/>
        <v>0</v>
      </c>
      <c r="EG330" s="58">
        <f t="shared" ca="1" si="810"/>
        <v>0</v>
      </c>
      <c r="EH330" s="58">
        <f t="shared" ca="1" si="810"/>
        <v>0</v>
      </c>
      <c r="EI330" s="58">
        <f t="shared" ca="1" si="810"/>
        <v>0</v>
      </c>
      <c r="EJ330" s="58">
        <f t="shared" ca="1" si="810"/>
        <v>0</v>
      </c>
      <c r="EK330" s="58">
        <f t="shared" ca="1" si="810"/>
        <v>0</v>
      </c>
      <c r="EL330" s="58">
        <f t="shared" ca="1" si="810"/>
        <v>0</v>
      </c>
      <c r="EM330" s="58">
        <f t="shared" ca="1" si="810"/>
        <v>0</v>
      </c>
      <c r="EN330" s="58">
        <f t="shared" ca="1" si="810"/>
        <v>0</v>
      </c>
      <c r="EO330" s="58">
        <f t="shared" ca="1" si="810"/>
        <v>0</v>
      </c>
      <c r="EP330" s="58">
        <f t="shared" ca="1" si="810"/>
        <v>0</v>
      </c>
      <c r="EQ330" s="58">
        <f t="shared" ca="1" si="810"/>
        <v>0</v>
      </c>
      <c r="ER330" s="58">
        <f t="shared" ca="1" si="810"/>
        <v>0</v>
      </c>
      <c r="ES330" s="58">
        <f t="shared" ca="1" si="810"/>
        <v>0</v>
      </c>
      <c r="ET330" s="58">
        <f t="shared" ca="1" si="810"/>
        <v>0</v>
      </c>
      <c r="EU330" s="58">
        <f t="shared" ca="1" si="810"/>
        <v>0</v>
      </c>
      <c r="EV330" s="58">
        <f t="shared" ca="1" si="810"/>
        <v>0</v>
      </c>
      <c r="EW330" s="58">
        <f t="shared" ca="1" si="810"/>
        <v>0</v>
      </c>
      <c r="EX330" s="58">
        <f t="shared" ca="1" si="810"/>
        <v>0</v>
      </c>
      <c r="EY330" s="58">
        <f t="shared" ca="1" si="810"/>
        <v>0</v>
      </c>
      <c r="EZ330" s="58">
        <f t="shared" ca="1" si="810"/>
        <v>0</v>
      </c>
      <c r="FA330" s="58">
        <f t="shared" ca="1" si="810"/>
        <v>0</v>
      </c>
      <c r="FB330" s="58">
        <f t="shared" ca="1" si="810"/>
        <v>0</v>
      </c>
      <c r="FC330" s="58">
        <f t="shared" ca="1" si="810"/>
        <v>0</v>
      </c>
      <c r="FD330" s="58">
        <f t="shared" ca="1" si="810"/>
        <v>0</v>
      </c>
      <c r="FE330" s="58">
        <f t="shared" ca="1" si="810"/>
        <v>0</v>
      </c>
      <c r="FF330" s="58">
        <f t="shared" ca="1" si="810"/>
        <v>0</v>
      </c>
      <c r="FG330" s="58">
        <f t="shared" ca="1" si="810"/>
        <v>0</v>
      </c>
      <c r="FH330" s="58">
        <f t="shared" ca="1" si="810"/>
        <v>0</v>
      </c>
      <c r="FI330" s="58">
        <f t="shared" ca="1" si="810"/>
        <v>0</v>
      </c>
      <c r="FJ330" s="58">
        <f t="shared" ca="1" si="810"/>
        <v>0</v>
      </c>
      <c r="FK330" s="58">
        <f t="shared" ca="1" si="810"/>
        <v>0</v>
      </c>
      <c r="FL330" s="58">
        <f t="shared" ca="1" si="810"/>
        <v>0</v>
      </c>
      <c r="FM330" s="58">
        <f t="shared" ca="1" si="810"/>
        <v>0</v>
      </c>
      <c r="FN330" s="58">
        <f t="shared" ca="1" si="810"/>
        <v>0</v>
      </c>
      <c r="FO330" s="13"/>
    </row>
    <row r="331" spans="1:171" outlineLevel="1" x14ac:dyDescent="0.3">
      <c r="A331" s="13"/>
      <c r="B331" s="13"/>
      <c r="C331" s="13"/>
      <c r="D331" s="52">
        <f t="shared" si="683"/>
        <v>44835</v>
      </c>
      <c r="E331" s="53">
        <f t="shared" si="684"/>
        <v>2022</v>
      </c>
      <c r="F331" s="53">
        <f t="shared" si="685"/>
        <v>105</v>
      </c>
      <c r="G331" s="58">
        <f t="shared" ref="G331:AL331" ca="1" si="811">+IF(OR($F331+G$175&lt;1,(G$176-1)*12&lt;-$F331),0,OFFSET(G161,0,$F331))</f>
        <v>0</v>
      </c>
      <c r="H331" s="58">
        <f t="shared" ca="1" si="811"/>
        <v>0</v>
      </c>
      <c r="I331" s="58">
        <f t="shared" ca="1" si="811"/>
        <v>0</v>
      </c>
      <c r="J331" s="58">
        <f t="shared" ca="1" si="811"/>
        <v>0</v>
      </c>
      <c r="K331" s="58">
        <f t="shared" ca="1" si="811"/>
        <v>0</v>
      </c>
      <c r="L331" s="58">
        <f t="shared" ca="1" si="811"/>
        <v>0</v>
      </c>
      <c r="M331" s="58">
        <f t="shared" ca="1" si="811"/>
        <v>0</v>
      </c>
      <c r="N331" s="58">
        <f t="shared" ca="1" si="811"/>
        <v>0</v>
      </c>
      <c r="O331" s="58">
        <f t="shared" ca="1" si="811"/>
        <v>0</v>
      </c>
      <c r="P331" s="58">
        <f t="shared" ca="1" si="811"/>
        <v>0</v>
      </c>
      <c r="Q331" s="58">
        <f t="shared" ca="1" si="811"/>
        <v>0</v>
      </c>
      <c r="R331" s="58">
        <f t="shared" ca="1" si="811"/>
        <v>0</v>
      </c>
      <c r="S331" s="58">
        <f t="shared" ca="1" si="811"/>
        <v>0</v>
      </c>
      <c r="T331" s="58">
        <f t="shared" ca="1" si="811"/>
        <v>0</v>
      </c>
      <c r="U331" s="58">
        <f t="shared" ca="1" si="811"/>
        <v>0</v>
      </c>
      <c r="V331" s="58">
        <f t="shared" ca="1" si="811"/>
        <v>0</v>
      </c>
      <c r="W331" s="58">
        <f t="shared" ca="1" si="811"/>
        <v>0</v>
      </c>
      <c r="X331" s="58">
        <f t="shared" ca="1" si="811"/>
        <v>0</v>
      </c>
      <c r="Y331" s="58">
        <f t="shared" ca="1" si="811"/>
        <v>0</v>
      </c>
      <c r="Z331" s="58">
        <f t="shared" ca="1" si="811"/>
        <v>0</v>
      </c>
      <c r="AA331" s="58">
        <f t="shared" ca="1" si="811"/>
        <v>0</v>
      </c>
      <c r="AB331" s="58">
        <f t="shared" ca="1" si="811"/>
        <v>0</v>
      </c>
      <c r="AC331" s="58">
        <f t="shared" ca="1" si="811"/>
        <v>0</v>
      </c>
      <c r="AD331" s="58">
        <f t="shared" ca="1" si="811"/>
        <v>0</v>
      </c>
      <c r="AE331" s="58">
        <f t="shared" ca="1" si="811"/>
        <v>0</v>
      </c>
      <c r="AF331" s="58">
        <f t="shared" ca="1" si="811"/>
        <v>0</v>
      </c>
      <c r="AG331" s="58">
        <f t="shared" ca="1" si="811"/>
        <v>0</v>
      </c>
      <c r="AH331" s="58">
        <f t="shared" ca="1" si="811"/>
        <v>0</v>
      </c>
      <c r="AI331" s="58">
        <f t="shared" ca="1" si="811"/>
        <v>0</v>
      </c>
      <c r="AJ331" s="58">
        <f t="shared" ca="1" si="811"/>
        <v>0</v>
      </c>
      <c r="AK331" s="58">
        <f t="shared" ca="1" si="811"/>
        <v>0</v>
      </c>
      <c r="AL331" s="58">
        <f t="shared" ca="1" si="811"/>
        <v>0</v>
      </c>
      <c r="AM331" s="58">
        <f t="shared" ref="AM331:BR331" ca="1" si="812">+IF(OR($F331+AM$175&lt;1,(AM$176-1)*12&lt;-$F331),0,OFFSET(AM161,0,$F331))</f>
        <v>0</v>
      </c>
      <c r="AN331" s="58">
        <f t="shared" ca="1" si="812"/>
        <v>0</v>
      </c>
      <c r="AO331" s="58">
        <f t="shared" ca="1" si="812"/>
        <v>0</v>
      </c>
      <c r="AP331" s="58">
        <f t="shared" ca="1" si="812"/>
        <v>0</v>
      </c>
      <c r="AQ331" s="58">
        <f t="shared" ca="1" si="812"/>
        <v>0</v>
      </c>
      <c r="AR331" s="58">
        <f t="shared" ca="1" si="812"/>
        <v>0</v>
      </c>
      <c r="AS331" s="58">
        <f t="shared" ca="1" si="812"/>
        <v>0</v>
      </c>
      <c r="AT331" s="58">
        <f t="shared" ca="1" si="812"/>
        <v>0</v>
      </c>
      <c r="AU331" s="58">
        <f t="shared" ca="1" si="812"/>
        <v>0</v>
      </c>
      <c r="AV331" s="58">
        <f t="shared" ca="1" si="812"/>
        <v>0</v>
      </c>
      <c r="AW331" s="58">
        <f t="shared" ca="1" si="812"/>
        <v>0</v>
      </c>
      <c r="AX331" s="58">
        <f t="shared" ca="1" si="812"/>
        <v>0</v>
      </c>
      <c r="AY331" s="58">
        <f t="shared" ca="1" si="812"/>
        <v>0</v>
      </c>
      <c r="AZ331" s="58">
        <f t="shared" ca="1" si="812"/>
        <v>0</v>
      </c>
      <c r="BA331" s="58">
        <f t="shared" ca="1" si="812"/>
        <v>0</v>
      </c>
      <c r="BB331" s="58">
        <f t="shared" ca="1" si="812"/>
        <v>0</v>
      </c>
      <c r="BC331" s="58">
        <f t="shared" ca="1" si="812"/>
        <v>0</v>
      </c>
      <c r="BD331" s="58">
        <f t="shared" ca="1" si="812"/>
        <v>0</v>
      </c>
      <c r="BE331" s="58">
        <f t="shared" ca="1" si="812"/>
        <v>0</v>
      </c>
      <c r="BF331" s="58">
        <f t="shared" ca="1" si="812"/>
        <v>0</v>
      </c>
      <c r="BG331" s="58">
        <f t="shared" ca="1" si="812"/>
        <v>0</v>
      </c>
      <c r="BH331" s="58">
        <f t="shared" ca="1" si="812"/>
        <v>0</v>
      </c>
      <c r="BI331" s="58">
        <f t="shared" ca="1" si="812"/>
        <v>0</v>
      </c>
      <c r="BJ331" s="58">
        <f t="shared" ca="1" si="812"/>
        <v>0</v>
      </c>
      <c r="BK331" s="58">
        <f t="shared" ca="1" si="812"/>
        <v>0</v>
      </c>
      <c r="BL331" s="58">
        <f t="shared" ca="1" si="812"/>
        <v>0</v>
      </c>
      <c r="BM331" s="58">
        <f t="shared" ca="1" si="812"/>
        <v>0</v>
      </c>
      <c r="BN331" s="58">
        <f t="shared" ca="1" si="812"/>
        <v>0</v>
      </c>
      <c r="BO331" s="58">
        <f t="shared" ca="1" si="812"/>
        <v>0</v>
      </c>
      <c r="BP331" s="58">
        <f t="shared" ca="1" si="812"/>
        <v>0</v>
      </c>
      <c r="BQ331" s="58">
        <f t="shared" ca="1" si="812"/>
        <v>0</v>
      </c>
      <c r="BR331" s="58">
        <f t="shared" ca="1" si="812"/>
        <v>0</v>
      </c>
      <c r="BS331" s="58">
        <f t="shared" ref="BS331:CX331" ca="1" si="813">+IF(OR($F331+BS$175&lt;1,(BS$176-1)*12&lt;-$F331),0,OFFSET(BS161,0,$F331))</f>
        <v>0</v>
      </c>
      <c r="BT331" s="58">
        <f t="shared" ca="1" si="813"/>
        <v>0</v>
      </c>
      <c r="BU331" s="58">
        <f t="shared" ca="1" si="813"/>
        <v>0</v>
      </c>
      <c r="BV331" s="58">
        <f t="shared" ca="1" si="813"/>
        <v>0</v>
      </c>
      <c r="BW331" s="58">
        <f t="shared" ca="1" si="813"/>
        <v>0</v>
      </c>
      <c r="BX331" s="58">
        <f t="shared" ca="1" si="813"/>
        <v>0</v>
      </c>
      <c r="BY331" s="58">
        <f t="shared" ca="1" si="813"/>
        <v>0</v>
      </c>
      <c r="BZ331" s="58">
        <f t="shared" ca="1" si="813"/>
        <v>0</v>
      </c>
      <c r="CA331" s="58">
        <f t="shared" ca="1" si="813"/>
        <v>0</v>
      </c>
      <c r="CB331" s="58">
        <f t="shared" ca="1" si="813"/>
        <v>0</v>
      </c>
      <c r="CC331" s="58">
        <f t="shared" ca="1" si="813"/>
        <v>0</v>
      </c>
      <c r="CD331" s="58">
        <f t="shared" ca="1" si="813"/>
        <v>0</v>
      </c>
      <c r="CE331" s="58">
        <f t="shared" ca="1" si="813"/>
        <v>0</v>
      </c>
      <c r="CF331" s="58">
        <f t="shared" ca="1" si="813"/>
        <v>0</v>
      </c>
      <c r="CG331" s="58">
        <f t="shared" ca="1" si="813"/>
        <v>0</v>
      </c>
      <c r="CH331" s="58">
        <f t="shared" ca="1" si="813"/>
        <v>0</v>
      </c>
      <c r="CI331" s="58">
        <f t="shared" ca="1" si="813"/>
        <v>0</v>
      </c>
      <c r="CJ331" s="58">
        <f t="shared" ca="1" si="813"/>
        <v>0</v>
      </c>
      <c r="CK331" s="58">
        <f t="shared" ca="1" si="813"/>
        <v>0</v>
      </c>
      <c r="CL331" s="58">
        <f t="shared" ca="1" si="813"/>
        <v>0</v>
      </c>
      <c r="CM331" s="58">
        <f t="shared" ca="1" si="813"/>
        <v>0</v>
      </c>
      <c r="CN331" s="58">
        <f t="shared" ca="1" si="813"/>
        <v>0</v>
      </c>
      <c r="CO331" s="58">
        <f t="shared" ca="1" si="813"/>
        <v>0</v>
      </c>
      <c r="CP331" s="58">
        <f t="shared" ca="1" si="813"/>
        <v>0</v>
      </c>
      <c r="CQ331" s="58">
        <f t="shared" ca="1" si="813"/>
        <v>0</v>
      </c>
      <c r="CR331" s="58">
        <f t="shared" ca="1" si="813"/>
        <v>0</v>
      </c>
      <c r="CS331" s="58">
        <f t="shared" ca="1" si="813"/>
        <v>0</v>
      </c>
      <c r="CT331" s="58">
        <f t="shared" ca="1" si="813"/>
        <v>0</v>
      </c>
      <c r="CU331" s="58">
        <f t="shared" ca="1" si="813"/>
        <v>0</v>
      </c>
      <c r="CV331" s="58">
        <f t="shared" ca="1" si="813"/>
        <v>0</v>
      </c>
      <c r="CW331" s="58">
        <f t="shared" ca="1" si="813"/>
        <v>0</v>
      </c>
      <c r="CX331" s="58">
        <f t="shared" ca="1" si="813"/>
        <v>0</v>
      </c>
      <c r="CY331" s="58">
        <f t="shared" ref="CY331:ED331" ca="1" si="814">+IF(OR($F331+CY$175&lt;1,(CY$176-1)*12&lt;-$F331),0,OFFSET(CY161,0,$F331))</f>
        <v>0</v>
      </c>
      <c r="CZ331" s="58">
        <f t="shared" ca="1" si="814"/>
        <v>0</v>
      </c>
      <c r="DA331" s="58">
        <f t="shared" ca="1" si="814"/>
        <v>0</v>
      </c>
      <c r="DB331" s="58">
        <f t="shared" ca="1" si="814"/>
        <v>0</v>
      </c>
      <c r="DC331" s="58">
        <f t="shared" ca="1" si="814"/>
        <v>0</v>
      </c>
      <c r="DD331" s="58">
        <f t="shared" ca="1" si="814"/>
        <v>0</v>
      </c>
      <c r="DE331" s="58">
        <f t="shared" ca="1" si="814"/>
        <v>0</v>
      </c>
      <c r="DF331" s="58">
        <f t="shared" ca="1" si="814"/>
        <v>0</v>
      </c>
      <c r="DG331" s="58">
        <f t="shared" ca="1" si="814"/>
        <v>0</v>
      </c>
      <c r="DH331" s="58">
        <f t="shared" ca="1" si="814"/>
        <v>0</v>
      </c>
      <c r="DI331" s="58">
        <f t="shared" ca="1" si="814"/>
        <v>0</v>
      </c>
      <c r="DJ331" s="58">
        <f t="shared" ca="1" si="814"/>
        <v>0</v>
      </c>
      <c r="DK331" s="58">
        <f t="shared" ca="1" si="814"/>
        <v>0</v>
      </c>
      <c r="DL331" s="58">
        <f t="shared" ca="1" si="814"/>
        <v>0</v>
      </c>
      <c r="DM331" s="58">
        <f t="shared" ca="1" si="814"/>
        <v>0</v>
      </c>
      <c r="DN331" s="58">
        <f t="shared" ca="1" si="814"/>
        <v>0</v>
      </c>
      <c r="DO331" s="58">
        <f t="shared" ca="1" si="814"/>
        <v>0</v>
      </c>
      <c r="DP331" s="58">
        <f t="shared" ca="1" si="814"/>
        <v>0</v>
      </c>
      <c r="DQ331" s="58">
        <f t="shared" ca="1" si="814"/>
        <v>0</v>
      </c>
      <c r="DR331" s="58">
        <f t="shared" ca="1" si="814"/>
        <v>0</v>
      </c>
      <c r="DS331" s="58">
        <f t="shared" ca="1" si="814"/>
        <v>0</v>
      </c>
      <c r="DT331" s="58">
        <f t="shared" ca="1" si="814"/>
        <v>0</v>
      </c>
      <c r="DU331" s="58">
        <f t="shared" ca="1" si="814"/>
        <v>0</v>
      </c>
      <c r="DV331" s="58">
        <f t="shared" ca="1" si="814"/>
        <v>0</v>
      </c>
      <c r="DW331" s="58">
        <f t="shared" ca="1" si="814"/>
        <v>0</v>
      </c>
      <c r="DX331" s="58">
        <f t="shared" ca="1" si="814"/>
        <v>0</v>
      </c>
      <c r="DY331" s="58">
        <f t="shared" ca="1" si="814"/>
        <v>0</v>
      </c>
      <c r="DZ331" s="58">
        <f t="shared" ca="1" si="814"/>
        <v>0</v>
      </c>
      <c r="EA331" s="58">
        <f t="shared" ca="1" si="814"/>
        <v>0</v>
      </c>
      <c r="EB331" s="58">
        <f t="shared" ca="1" si="814"/>
        <v>0</v>
      </c>
      <c r="EC331" s="58">
        <f t="shared" ca="1" si="814"/>
        <v>0</v>
      </c>
      <c r="ED331" s="58">
        <f t="shared" ca="1" si="814"/>
        <v>0</v>
      </c>
      <c r="EE331" s="58">
        <f t="shared" ref="EE331:FN331" ca="1" si="815">+IF(OR($F331+EE$175&lt;1,(EE$176-1)*12&lt;-$F331),0,OFFSET(EE161,0,$F331))</f>
        <v>0</v>
      </c>
      <c r="EF331" s="58">
        <f t="shared" ca="1" si="815"/>
        <v>0</v>
      </c>
      <c r="EG331" s="58">
        <f t="shared" ca="1" si="815"/>
        <v>0</v>
      </c>
      <c r="EH331" s="58">
        <f t="shared" ca="1" si="815"/>
        <v>0</v>
      </c>
      <c r="EI331" s="58">
        <f t="shared" ca="1" si="815"/>
        <v>0</v>
      </c>
      <c r="EJ331" s="58">
        <f t="shared" ca="1" si="815"/>
        <v>0</v>
      </c>
      <c r="EK331" s="58">
        <f t="shared" ca="1" si="815"/>
        <v>0</v>
      </c>
      <c r="EL331" s="58">
        <f t="shared" ca="1" si="815"/>
        <v>0</v>
      </c>
      <c r="EM331" s="58">
        <f t="shared" ca="1" si="815"/>
        <v>0</v>
      </c>
      <c r="EN331" s="58">
        <f t="shared" ca="1" si="815"/>
        <v>0</v>
      </c>
      <c r="EO331" s="58">
        <f t="shared" ca="1" si="815"/>
        <v>0</v>
      </c>
      <c r="EP331" s="58">
        <f t="shared" ca="1" si="815"/>
        <v>0</v>
      </c>
      <c r="EQ331" s="58">
        <f t="shared" ca="1" si="815"/>
        <v>0</v>
      </c>
      <c r="ER331" s="58">
        <f t="shared" ca="1" si="815"/>
        <v>0</v>
      </c>
      <c r="ES331" s="58">
        <f t="shared" ca="1" si="815"/>
        <v>0</v>
      </c>
      <c r="ET331" s="58">
        <f t="shared" ca="1" si="815"/>
        <v>0</v>
      </c>
      <c r="EU331" s="58">
        <f t="shared" ca="1" si="815"/>
        <v>0</v>
      </c>
      <c r="EV331" s="58">
        <f t="shared" ca="1" si="815"/>
        <v>0</v>
      </c>
      <c r="EW331" s="58">
        <f t="shared" ca="1" si="815"/>
        <v>0</v>
      </c>
      <c r="EX331" s="58">
        <f t="shared" ca="1" si="815"/>
        <v>0</v>
      </c>
      <c r="EY331" s="58">
        <f t="shared" ca="1" si="815"/>
        <v>0</v>
      </c>
      <c r="EZ331" s="58">
        <f t="shared" ca="1" si="815"/>
        <v>0</v>
      </c>
      <c r="FA331" s="58">
        <f t="shared" ca="1" si="815"/>
        <v>0</v>
      </c>
      <c r="FB331" s="58">
        <f t="shared" ca="1" si="815"/>
        <v>0</v>
      </c>
      <c r="FC331" s="58">
        <f t="shared" ca="1" si="815"/>
        <v>0</v>
      </c>
      <c r="FD331" s="58">
        <f t="shared" ca="1" si="815"/>
        <v>0</v>
      </c>
      <c r="FE331" s="58">
        <f t="shared" ca="1" si="815"/>
        <v>0</v>
      </c>
      <c r="FF331" s="58">
        <f t="shared" ca="1" si="815"/>
        <v>0</v>
      </c>
      <c r="FG331" s="58">
        <f t="shared" ca="1" si="815"/>
        <v>0</v>
      </c>
      <c r="FH331" s="58">
        <f t="shared" ca="1" si="815"/>
        <v>0</v>
      </c>
      <c r="FI331" s="58">
        <f t="shared" ca="1" si="815"/>
        <v>0</v>
      </c>
      <c r="FJ331" s="58">
        <f t="shared" ca="1" si="815"/>
        <v>0</v>
      </c>
      <c r="FK331" s="58">
        <f t="shared" ca="1" si="815"/>
        <v>0</v>
      </c>
      <c r="FL331" s="58">
        <f t="shared" ca="1" si="815"/>
        <v>0</v>
      </c>
      <c r="FM331" s="58">
        <f t="shared" ca="1" si="815"/>
        <v>0</v>
      </c>
      <c r="FN331" s="58">
        <f t="shared" ca="1" si="815"/>
        <v>0</v>
      </c>
      <c r="FO331" s="13"/>
    </row>
    <row r="332" spans="1:171" outlineLevel="1" x14ac:dyDescent="0.3">
      <c r="A332" s="13"/>
      <c r="B332" s="13"/>
      <c r="C332" s="13"/>
      <c r="D332" s="52">
        <f t="shared" si="683"/>
        <v>44866</v>
      </c>
      <c r="E332" s="53">
        <f t="shared" si="684"/>
        <v>2022</v>
      </c>
      <c r="F332" s="53">
        <f t="shared" si="685"/>
        <v>106</v>
      </c>
      <c r="G332" s="58">
        <f t="shared" ref="G332:AL332" ca="1" si="816">+IF(OR($F332+G$175&lt;1,(G$176-1)*12&lt;-$F332),0,OFFSET(G162,0,$F332))</f>
        <v>0</v>
      </c>
      <c r="H332" s="58">
        <f t="shared" ca="1" si="816"/>
        <v>0</v>
      </c>
      <c r="I332" s="58">
        <f t="shared" ca="1" si="816"/>
        <v>0</v>
      </c>
      <c r="J332" s="58">
        <f t="shared" ca="1" si="816"/>
        <v>0</v>
      </c>
      <c r="K332" s="58">
        <f t="shared" ca="1" si="816"/>
        <v>0</v>
      </c>
      <c r="L332" s="58">
        <f t="shared" ca="1" si="816"/>
        <v>0</v>
      </c>
      <c r="M332" s="58">
        <f t="shared" ca="1" si="816"/>
        <v>0</v>
      </c>
      <c r="N332" s="58">
        <f t="shared" ca="1" si="816"/>
        <v>0</v>
      </c>
      <c r="O332" s="58">
        <f t="shared" ca="1" si="816"/>
        <v>0</v>
      </c>
      <c r="P332" s="58">
        <f t="shared" ca="1" si="816"/>
        <v>0</v>
      </c>
      <c r="Q332" s="58">
        <f t="shared" ca="1" si="816"/>
        <v>0</v>
      </c>
      <c r="R332" s="58">
        <f t="shared" ca="1" si="816"/>
        <v>0</v>
      </c>
      <c r="S332" s="58">
        <f t="shared" ca="1" si="816"/>
        <v>0</v>
      </c>
      <c r="T332" s="58">
        <f t="shared" ca="1" si="816"/>
        <v>0</v>
      </c>
      <c r="U332" s="58">
        <f t="shared" ca="1" si="816"/>
        <v>0</v>
      </c>
      <c r="V332" s="58">
        <f t="shared" ca="1" si="816"/>
        <v>0</v>
      </c>
      <c r="W332" s="58">
        <f t="shared" ca="1" si="816"/>
        <v>0</v>
      </c>
      <c r="X332" s="58">
        <f t="shared" ca="1" si="816"/>
        <v>0</v>
      </c>
      <c r="Y332" s="58">
        <f t="shared" ca="1" si="816"/>
        <v>0</v>
      </c>
      <c r="Z332" s="58">
        <f t="shared" ca="1" si="816"/>
        <v>0</v>
      </c>
      <c r="AA332" s="58">
        <f t="shared" ca="1" si="816"/>
        <v>0</v>
      </c>
      <c r="AB332" s="58">
        <f t="shared" ca="1" si="816"/>
        <v>0</v>
      </c>
      <c r="AC332" s="58">
        <f t="shared" ca="1" si="816"/>
        <v>0</v>
      </c>
      <c r="AD332" s="58">
        <f t="shared" ca="1" si="816"/>
        <v>0</v>
      </c>
      <c r="AE332" s="58">
        <f t="shared" ca="1" si="816"/>
        <v>0</v>
      </c>
      <c r="AF332" s="58">
        <f t="shared" ca="1" si="816"/>
        <v>0</v>
      </c>
      <c r="AG332" s="58">
        <f t="shared" ca="1" si="816"/>
        <v>0</v>
      </c>
      <c r="AH332" s="58">
        <f t="shared" ca="1" si="816"/>
        <v>0</v>
      </c>
      <c r="AI332" s="58">
        <f t="shared" ca="1" si="816"/>
        <v>0</v>
      </c>
      <c r="AJ332" s="58">
        <f t="shared" ca="1" si="816"/>
        <v>0</v>
      </c>
      <c r="AK332" s="58">
        <f t="shared" ca="1" si="816"/>
        <v>0</v>
      </c>
      <c r="AL332" s="58">
        <f t="shared" ca="1" si="816"/>
        <v>0</v>
      </c>
      <c r="AM332" s="58">
        <f t="shared" ref="AM332:BR332" ca="1" si="817">+IF(OR($F332+AM$175&lt;1,(AM$176-1)*12&lt;-$F332),0,OFFSET(AM162,0,$F332))</f>
        <v>0</v>
      </c>
      <c r="AN332" s="58">
        <f t="shared" ca="1" si="817"/>
        <v>0</v>
      </c>
      <c r="AO332" s="58">
        <f t="shared" ca="1" si="817"/>
        <v>0</v>
      </c>
      <c r="AP332" s="58">
        <f t="shared" ca="1" si="817"/>
        <v>0</v>
      </c>
      <c r="AQ332" s="58">
        <f t="shared" ca="1" si="817"/>
        <v>0</v>
      </c>
      <c r="AR332" s="58">
        <f t="shared" ca="1" si="817"/>
        <v>0</v>
      </c>
      <c r="AS332" s="58">
        <f t="shared" ca="1" si="817"/>
        <v>0</v>
      </c>
      <c r="AT332" s="58">
        <f t="shared" ca="1" si="817"/>
        <v>0</v>
      </c>
      <c r="AU332" s="58">
        <f t="shared" ca="1" si="817"/>
        <v>0</v>
      </c>
      <c r="AV332" s="58">
        <f t="shared" ca="1" si="817"/>
        <v>0</v>
      </c>
      <c r="AW332" s="58">
        <f t="shared" ca="1" si="817"/>
        <v>0</v>
      </c>
      <c r="AX332" s="58">
        <f t="shared" ca="1" si="817"/>
        <v>0</v>
      </c>
      <c r="AY332" s="58">
        <f t="shared" ca="1" si="817"/>
        <v>0</v>
      </c>
      <c r="AZ332" s="58">
        <f t="shared" ca="1" si="817"/>
        <v>0</v>
      </c>
      <c r="BA332" s="58">
        <f t="shared" ca="1" si="817"/>
        <v>0</v>
      </c>
      <c r="BB332" s="58">
        <f t="shared" ca="1" si="817"/>
        <v>0</v>
      </c>
      <c r="BC332" s="58">
        <f t="shared" ca="1" si="817"/>
        <v>0</v>
      </c>
      <c r="BD332" s="58">
        <f t="shared" ca="1" si="817"/>
        <v>0</v>
      </c>
      <c r="BE332" s="58">
        <f t="shared" ca="1" si="817"/>
        <v>0</v>
      </c>
      <c r="BF332" s="58">
        <f t="shared" ca="1" si="817"/>
        <v>0</v>
      </c>
      <c r="BG332" s="58">
        <f t="shared" ca="1" si="817"/>
        <v>0</v>
      </c>
      <c r="BH332" s="58">
        <f t="shared" ca="1" si="817"/>
        <v>0</v>
      </c>
      <c r="BI332" s="58">
        <f t="shared" ca="1" si="817"/>
        <v>0</v>
      </c>
      <c r="BJ332" s="58">
        <f t="shared" ca="1" si="817"/>
        <v>0</v>
      </c>
      <c r="BK332" s="58">
        <f t="shared" ca="1" si="817"/>
        <v>0</v>
      </c>
      <c r="BL332" s="58">
        <f t="shared" ca="1" si="817"/>
        <v>0</v>
      </c>
      <c r="BM332" s="58">
        <f t="shared" ca="1" si="817"/>
        <v>0</v>
      </c>
      <c r="BN332" s="58">
        <f t="shared" ca="1" si="817"/>
        <v>0</v>
      </c>
      <c r="BO332" s="58">
        <f t="shared" ca="1" si="817"/>
        <v>0</v>
      </c>
      <c r="BP332" s="58">
        <f t="shared" ca="1" si="817"/>
        <v>0</v>
      </c>
      <c r="BQ332" s="58">
        <f t="shared" ca="1" si="817"/>
        <v>0</v>
      </c>
      <c r="BR332" s="58">
        <f t="shared" ca="1" si="817"/>
        <v>0</v>
      </c>
      <c r="BS332" s="58">
        <f t="shared" ref="BS332:CX332" ca="1" si="818">+IF(OR($F332+BS$175&lt;1,(BS$176-1)*12&lt;-$F332),0,OFFSET(BS162,0,$F332))</f>
        <v>0</v>
      </c>
      <c r="BT332" s="58">
        <f t="shared" ca="1" si="818"/>
        <v>0</v>
      </c>
      <c r="BU332" s="58">
        <f t="shared" ca="1" si="818"/>
        <v>0</v>
      </c>
      <c r="BV332" s="58">
        <f t="shared" ca="1" si="818"/>
        <v>0</v>
      </c>
      <c r="BW332" s="58">
        <f t="shared" ca="1" si="818"/>
        <v>0</v>
      </c>
      <c r="BX332" s="58">
        <f t="shared" ca="1" si="818"/>
        <v>0</v>
      </c>
      <c r="BY332" s="58">
        <f t="shared" ca="1" si="818"/>
        <v>0</v>
      </c>
      <c r="BZ332" s="58">
        <f t="shared" ca="1" si="818"/>
        <v>0</v>
      </c>
      <c r="CA332" s="58">
        <f t="shared" ca="1" si="818"/>
        <v>0</v>
      </c>
      <c r="CB332" s="58">
        <f t="shared" ca="1" si="818"/>
        <v>0</v>
      </c>
      <c r="CC332" s="58">
        <f t="shared" ca="1" si="818"/>
        <v>0</v>
      </c>
      <c r="CD332" s="58">
        <f t="shared" ca="1" si="818"/>
        <v>0</v>
      </c>
      <c r="CE332" s="58">
        <f t="shared" ca="1" si="818"/>
        <v>0</v>
      </c>
      <c r="CF332" s="58">
        <f t="shared" ca="1" si="818"/>
        <v>0</v>
      </c>
      <c r="CG332" s="58">
        <f t="shared" ca="1" si="818"/>
        <v>0</v>
      </c>
      <c r="CH332" s="58">
        <f t="shared" ca="1" si="818"/>
        <v>0</v>
      </c>
      <c r="CI332" s="58">
        <f t="shared" ca="1" si="818"/>
        <v>0</v>
      </c>
      <c r="CJ332" s="58">
        <f t="shared" ca="1" si="818"/>
        <v>0</v>
      </c>
      <c r="CK332" s="58">
        <f t="shared" ca="1" si="818"/>
        <v>0</v>
      </c>
      <c r="CL332" s="58">
        <f t="shared" ca="1" si="818"/>
        <v>0</v>
      </c>
      <c r="CM332" s="58">
        <f t="shared" ca="1" si="818"/>
        <v>0</v>
      </c>
      <c r="CN332" s="58">
        <f t="shared" ca="1" si="818"/>
        <v>0</v>
      </c>
      <c r="CO332" s="58">
        <f t="shared" ca="1" si="818"/>
        <v>0</v>
      </c>
      <c r="CP332" s="58">
        <f t="shared" ca="1" si="818"/>
        <v>0</v>
      </c>
      <c r="CQ332" s="58">
        <f t="shared" ca="1" si="818"/>
        <v>0</v>
      </c>
      <c r="CR332" s="58">
        <f t="shared" ca="1" si="818"/>
        <v>0</v>
      </c>
      <c r="CS332" s="58">
        <f t="shared" ca="1" si="818"/>
        <v>0</v>
      </c>
      <c r="CT332" s="58">
        <f t="shared" ca="1" si="818"/>
        <v>0</v>
      </c>
      <c r="CU332" s="58">
        <f t="shared" ca="1" si="818"/>
        <v>0</v>
      </c>
      <c r="CV332" s="58">
        <f t="shared" ca="1" si="818"/>
        <v>0</v>
      </c>
      <c r="CW332" s="58">
        <f t="shared" ca="1" si="818"/>
        <v>0</v>
      </c>
      <c r="CX332" s="58">
        <f t="shared" ca="1" si="818"/>
        <v>0</v>
      </c>
      <c r="CY332" s="58">
        <f t="shared" ref="CY332:ED332" ca="1" si="819">+IF(OR($F332+CY$175&lt;1,(CY$176-1)*12&lt;-$F332),0,OFFSET(CY162,0,$F332))</f>
        <v>0</v>
      </c>
      <c r="CZ332" s="58">
        <f t="shared" ca="1" si="819"/>
        <v>0</v>
      </c>
      <c r="DA332" s="58">
        <f t="shared" ca="1" si="819"/>
        <v>0</v>
      </c>
      <c r="DB332" s="58">
        <f t="shared" ca="1" si="819"/>
        <v>0</v>
      </c>
      <c r="DC332" s="58">
        <f t="shared" ca="1" si="819"/>
        <v>0</v>
      </c>
      <c r="DD332" s="58">
        <f t="shared" ca="1" si="819"/>
        <v>0</v>
      </c>
      <c r="DE332" s="58">
        <f t="shared" ca="1" si="819"/>
        <v>0</v>
      </c>
      <c r="DF332" s="58">
        <f t="shared" ca="1" si="819"/>
        <v>0</v>
      </c>
      <c r="DG332" s="58">
        <f t="shared" ca="1" si="819"/>
        <v>0</v>
      </c>
      <c r="DH332" s="58">
        <f t="shared" ca="1" si="819"/>
        <v>0</v>
      </c>
      <c r="DI332" s="58">
        <f t="shared" ca="1" si="819"/>
        <v>0</v>
      </c>
      <c r="DJ332" s="58">
        <f t="shared" ca="1" si="819"/>
        <v>0</v>
      </c>
      <c r="DK332" s="58">
        <f t="shared" ca="1" si="819"/>
        <v>0</v>
      </c>
      <c r="DL332" s="58">
        <f t="shared" ca="1" si="819"/>
        <v>0</v>
      </c>
      <c r="DM332" s="58">
        <f t="shared" ca="1" si="819"/>
        <v>0</v>
      </c>
      <c r="DN332" s="58">
        <f t="shared" ca="1" si="819"/>
        <v>0</v>
      </c>
      <c r="DO332" s="58">
        <f t="shared" ca="1" si="819"/>
        <v>0</v>
      </c>
      <c r="DP332" s="58">
        <f t="shared" ca="1" si="819"/>
        <v>0</v>
      </c>
      <c r="DQ332" s="58">
        <f t="shared" ca="1" si="819"/>
        <v>0</v>
      </c>
      <c r="DR332" s="58">
        <f t="shared" ca="1" si="819"/>
        <v>0</v>
      </c>
      <c r="DS332" s="58">
        <f t="shared" ca="1" si="819"/>
        <v>0</v>
      </c>
      <c r="DT332" s="58">
        <f t="shared" ca="1" si="819"/>
        <v>0</v>
      </c>
      <c r="DU332" s="58">
        <f t="shared" ca="1" si="819"/>
        <v>0</v>
      </c>
      <c r="DV332" s="58">
        <f t="shared" ca="1" si="819"/>
        <v>0</v>
      </c>
      <c r="DW332" s="58">
        <f t="shared" ca="1" si="819"/>
        <v>0</v>
      </c>
      <c r="DX332" s="58">
        <f t="shared" ca="1" si="819"/>
        <v>0</v>
      </c>
      <c r="DY332" s="58">
        <f t="shared" ca="1" si="819"/>
        <v>0</v>
      </c>
      <c r="DZ332" s="58">
        <f t="shared" ca="1" si="819"/>
        <v>0</v>
      </c>
      <c r="EA332" s="58">
        <f t="shared" ca="1" si="819"/>
        <v>0</v>
      </c>
      <c r="EB332" s="58">
        <f t="shared" ca="1" si="819"/>
        <v>0</v>
      </c>
      <c r="EC332" s="58">
        <f t="shared" ca="1" si="819"/>
        <v>0</v>
      </c>
      <c r="ED332" s="58">
        <f t="shared" ca="1" si="819"/>
        <v>0</v>
      </c>
      <c r="EE332" s="58">
        <f t="shared" ref="EE332:FN332" ca="1" si="820">+IF(OR($F332+EE$175&lt;1,(EE$176-1)*12&lt;-$F332),0,OFFSET(EE162,0,$F332))</f>
        <v>0</v>
      </c>
      <c r="EF332" s="58">
        <f t="shared" ca="1" si="820"/>
        <v>0</v>
      </c>
      <c r="EG332" s="58">
        <f t="shared" ca="1" si="820"/>
        <v>0</v>
      </c>
      <c r="EH332" s="58">
        <f t="shared" ca="1" si="820"/>
        <v>0</v>
      </c>
      <c r="EI332" s="58">
        <f t="shared" ca="1" si="820"/>
        <v>0</v>
      </c>
      <c r="EJ332" s="58">
        <f t="shared" ca="1" si="820"/>
        <v>0</v>
      </c>
      <c r="EK332" s="58">
        <f t="shared" ca="1" si="820"/>
        <v>0</v>
      </c>
      <c r="EL332" s="58">
        <f t="shared" ca="1" si="820"/>
        <v>0</v>
      </c>
      <c r="EM332" s="58">
        <f t="shared" ca="1" si="820"/>
        <v>0</v>
      </c>
      <c r="EN332" s="58">
        <f t="shared" ca="1" si="820"/>
        <v>0</v>
      </c>
      <c r="EO332" s="58">
        <f t="shared" ca="1" si="820"/>
        <v>0</v>
      </c>
      <c r="EP332" s="58">
        <f t="shared" ca="1" si="820"/>
        <v>0</v>
      </c>
      <c r="EQ332" s="58">
        <f t="shared" ca="1" si="820"/>
        <v>0</v>
      </c>
      <c r="ER332" s="58">
        <f t="shared" ca="1" si="820"/>
        <v>0</v>
      </c>
      <c r="ES332" s="58">
        <f t="shared" ca="1" si="820"/>
        <v>0</v>
      </c>
      <c r="ET332" s="58">
        <f t="shared" ca="1" si="820"/>
        <v>0</v>
      </c>
      <c r="EU332" s="58">
        <f t="shared" ca="1" si="820"/>
        <v>0</v>
      </c>
      <c r="EV332" s="58">
        <f t="shared" ca="1" si="820"/>
        <v>0</v>
      </c>
      <c r="EW332" s="58">
        <f t="shared" ca="1" si="820"/>
        <v>0</v>
      </c>
      <c r="EX332" s="58">
        <f t="shared" ca="1" si="820"/>
        <v>0</v>
      </c>
      <c r="EY332" s="58">
        <f t="shared" ca="1" si="820"/>
        <v>0</v>
      </c>
      <c r="EZ332" s="58">
        <f t="shared" ca="1" si="820"/>
        <v>0</v>
      </c>
      <c r="FA332" s="58">
        <f t="shared" ca="1" si="820"/>
        <v>0</v>
      </c>
      <c r="FB332" s="58">
        <f t="shared" ca="1" si="820"/>
        <v>0</v>
      </c>
      <c r="FC332" s="58">
        <f t="shared" ca="1" si="820"/>
        <v>0</v>
      </c>
      <c r="FD332" s="58">
        <f t="shared" ca="1" si="820"/>
        <v>0</v>
      </c>
      <c r="FE332" s="58">
        <f t="shared" ca="1" si="820"/>
        <v>0</v>
      </c>
      <c r="FF332" s="58">
        <f t="shared" ca="1" si="820"/>
        <v>0</v>
      </c>
      <c r="FG332" s="58">
        <f t="shared" ca="1" si="820"/>
        <v>0</v>
      </c>
      <c r="FH332" s="58">
        <f t="shared" ca="1" si="820"/>
        <v>0</v>
      </c>
      <c r="FI332" s="58">
        <f t="shared" ca="1" si="820"/>
        <v>0</v>
      </c>
      <c r="FJ332" s="58">
        <f t="shared" ca="1" si="820"/>
        <v>0</v>
      </c>
      <c r="FK332" s="58">
        <f t="shared" ca="1" si="820"/>
        <v>0</v>
      </c>
      <c r="FL332" s="58">
        <f t="shared" ca="1" si="820"/>
        <v>0</v>
      </c>
      <c r="FM332" s="58">
        <f t="shared" ca="1" si="820"/>
        <v>0</v>
      </c>
      <c r="FN332" s="58">
        <f t="shared" ca="1" si="820"/>
        <v>0</v>
      </c>
      <c r="FO332" s="13"/>
    </row>
    <row r="333" spans="1:171" outlineLevel="1" x14ac:dyDescent="0.3">
      <c r="A333" s="13"/>
      <c r="B333" s="13"/>
      <c r="C333" s="13"/>
      <c r="D333" s="52">
        <f t="shared" si="683"/>
        <v>44896</v>
      </c>
      <c r="E333" s="53">
        <f t="shared" si="684"/>
        <v>2022</v>
      </c>
      <c r="F333" s="53">
        <f t="shared" si="685"/>
        <v>107</v>
      </c>
      <c r="G333" s="58">
        <f t="shared" ref="G333:AL333" ca="1" si="821">+IF(OR($F333+G$175&lt;1,(G$176-1)*12&lt;-$F333),0,OFFSET(G163,0,$F333))</f>
        <v>0</v>
      </c>
      <c r="H333" s="58">
        <f t="shared" ca="1" si="821"/>
        <v>0</v>
      </c>
      <c r="I333" s="58">
        <f t="shared" ca="1" si="821"/>
        <v>0</v>
      </c>
      <c r="J333" s="58">
        <f t="shared" ca="1" si="821"/>
        <v>0</v>
      </c>
      <c r="K333" s="58">
        <f t="shared" ca="1" si="821"/>
        <v>0</v>
      </c>
      <c r="L333" s="58">
        <f t="shared" ca="1" si="821"/>
        <v>0</v>
      </c>
      <c r="M333" s="58">
        <f t="shared" ca="1" si="821"/>
        <v>0</v>
      </c>
      <c r="N333" s="58">
        <f t="shared" ca="1" si="821"/>
        <v>0</v>
      </c>
      <c r="O333" s="58">
        <f t="shared" ca="1" si="821"/>
        <v>0</v>
      </c>
      <c r="P333" s="58">
        <f t="shared" ca="1" si="821"/>
        <v>0</v>
      </c>
      <c r="Q333" s="58">
        <f t="shared" ca="1" si="821"/>
        <v>0</v>
      </c>
      <c r="R333" s="58">
        <f t="shared" ca="1" si="821"/>
        <v>0</v>
      </c>
      <c r="S333" s="58">
        <f t="shared" ca="1" si="821"/>
        <v>0</v>
      </c>
      <c r="T333" s="58">
        <f t="shared" ca="1" si="821"/>
        <v>0</v>
      </c>
      <c r="U333" s="58">
        <f t="shared" ca="1" si="821"/>
        <v>0</v>
      </c>
      <c r="V333" s="58">
        <f t="shared" ca="1" si="821"/>
        <v>0</v>
      </c>
      <c r="W333" s="58">
        <f t="shared" ca="1" si="821"/>
        <v>0</v>
      </c>
      <c r="X333" s="58">
        <f t="shared" ca="1" si="821"/>
        <v>0</v>
      </c>
      <c r="Y333" s="58">
        <f t="shared" ca="1" si="821"/>
        <v>0</v>
      </c>
      <c r="Z333" s="58">
        <f t="shared" ca="1" si="821"/>
        <v>0</v>
      </c>
      <c r="AA333" s="58">
        <f t="shared" ca="1" si="821"/>
        <v>0</v>
      </c>
      <c r="AB333" s="58">
        <f t="shared" ca="1" si="821"/>
        <v>0</v>
      </c>
      <c r="AC333" s="58">
        <f t="shared" ca="1" si="821"/>
        <v>0</v>
      </c>
      <c r="AD333" s="58">
        <f t="shared" ca="1" si="821"/>
        <v>0</v>
      </c>
      <c r="AE333" s="58">
        <f t="shared" ca="1" si="821"/>
        <v>0</v>
      </c>
      <c r="AF333" s="58">
        <f t="shared" ca="1" si="821"/>
        <v>0</v>
      </c>
      <c r="AG333" s="58">
        <f t="shared" ca="1" si="821"/>
        <v>0</v>
      </c>
      <c r="AH333" s="58">
        <f t="shared" ca="1" si="821"/>
        <v>0</v>
      </c>
      <c r="AI333" s="58">
        <f t="shared" ca="1" si="821"/>
        <v>0</v>
      </c>
      <c r="AJ333" s="58">
        <f t="shared" ca="1" si="821"/>
        <v>0</v>
      </c>
      <c r="AK333" s="58">
        <f t="shared" ca="1" si="821"/>
        <v>0</v>
      </c>
      <c r="AL333" s="58">
        <f t="shared" ca="1" si="821"/>
        <v>0</v>
      </c>
      <c r="AM333" s="58">
        <f t="shared" ref="AM333:BR333" ca="1" si="822">+IF(OR($F333+AM$175&lt;1,(AM$176-1)*12&lt;-$F333),0,OFFSET(AM163,0,$F333))</f>
        <v>0</v>
      </c>
      <c r="AN333" s="58">
        <f t="shared" ca="1" si="822"/>
        <v>0</v>
      </c>
      <c r="AO333" s="58">
        <f t="shared" ca="1" si="822"/>
        <v>0</v>
      </c>
      <c r="AP333" s="58">
        <f t="shared" ca="1" si="822"/>
        <v>0</v>
      </c>
      <c r="AQ333" s="58">
        <f t="shared" ca="1" si="822"/>
        <v>0</v>
      </c>
      <c r="AR333" s="58">
        <f t="shared" ca="1" si="822"/>
        <v>0</v>
      </c>
      <c r="AS333" s="58">
        <f t="shared" ca="1" si="822"/>
        <v>0</v>
      </c>
      <c r="AT333" s="58">
        <f t="shared" ca="1" si="822"/>
        <v>0</v>
      </c>
      <c r="AU333" s="58">
        <f t="shared" ca="1" si="822"/>
        <v>0</v>
      </c>
      <c r="AV333" s="58">
        <f t="shared" ca="1" si="822"/>
        <v>0</v>
      </c>
      <c r="AW333" s="58">
        <f t="shared" ca="1" si="822"/>
        <v>0</v>
      </c>
      <c r="AX333" s="58">
        <f t="shared" ca="1" si="822"/>
        <v>0</v>
      </c>
      <c r="AY333" s="58">
        <f t="shared" ca="1" si="822"/>
        <v>0</v>
      </c>
      <c r="AZ333" s="58">
        <f t="shared" ca="1" si="822"/>
        <v>0</v>
      </c>
      <c r="BA333" s="58">
        <f t="shared" ca="1" si="822"/>
        <v>0</v>
      </c>
      <c r="BB333" s="58">
        <f t="shared" ca="1" si="822"/>
        <v>0</v>
      </c>
      <c r="BC333" s="58">
        <f t="shared" ca="1" si="822"/>
        <v>0</v>
      </c>
      <c r="BD333" s="58">
        <f t="shared" ca="1" si="822"/>
        <v>0</v>
      </c>
      <c r="BE333" s="58">
        <f t="shared" ca="1" si="822"/>
        <v>0</v>
      </c>
      <c r="BF333" s="58">
        <f t="shared" ca="1" si="822"/>
        <v>0</v>
      </c>
      <c r="BG333" s="58">
        <f t="shared" ca="1" si="822"/>
        <v>0</v>
      </c>
      <c r="BH333" s="58">
        <f t="shared" ca="1" si="822"/>
        <v>0</v>
      </c>
      <c r="BI333" s="58">
        <f t="shared" ca="1" si="822"/>
        <v>0</v>
      </c>
      <c r="BJ333" s="58">
        <f t="shared" ca="1" si="822"/>
        <v>0</v>
      </c>
      <c r="BK333" s="58">
        <f t="shared" ca="1" si="822"/>
        <v>0</v>
      </c>
      <c r="BL333" s="58">
        <f t="shared" ca="1" si="822"/>
        <v>0</v>
      </c>
      <c r="BM333" s="58">
        <f t="shared" ca="1" si="822"/>
        <v>0</v>
      </c>
      <c r="BN333" s="58">
        <f t="shared" ca="1" si="822"/>
        <v>0</v>
      </c>
      <c r="BO333" s="58">
        <f t="shared" ca="1" si="822"/>
        <v>0</v>
      </c>
      <c r="BP333" s="58">
        <f t="shared" ca="1" si="822"/>
        <v>0</v>
      </c>
      <c r="BQ333" s="58">
        <f t="shared" ca="1" si="822"/>
        <v>0</v>
      </c>
      <c r="BR333" s="58">
        <f t="shared" ca="1" si="822"/>
        <v>0</v>
      </c>
      <c r="BS333" s="58">
        <f t="shared" ref="BS333:CX333" ca="1" si="823">+IF(OR($F333+BS$175&lt;1,(BS$176-1)*12&lt;-$F333),0,OFFSET(BS163,0,$F333))</f>
        <v>0</v>
      </c>
      <c r="BT333" s="58">
        <f t="shared" ca="1" si="823"/>
        <v>0</v>
      </c>
      <c r="BU333" s="58">
        <f t="shared" ca="1" si="823"/>
        <v>0</v>
      </c>
      <c r="BV333" s="58">
        <f t="shared" ca="1" si="823"/>
        <v>0</v>
      </c>
      <c r="BW333" s="58">
        <f t="shared" ca="1" si="823"/>
        <v>0</v>
      </c>
      <c r="BX333" s="58">
        <f t="shared" ca="1" si="823"/>
        <v>0</v>
      </c>
      <c r="BY333" s="58">
        <f t="shared" ca="1" si="823"/>
        <v>0</v>
      </c>
      <c r="BZ333" s="58">
        <f t="shared" ca="1" si="823"/>
        <v>0</v>
      </c>
      <c r="CA333" s="58">
        <f t="shared" ca="1" si="823"/>
        <v>0</v>
      </c>
      <c r="CB333" s="58">
        <f t="shared" ca="1" si="823"/>
        <v>0</v>
      </c>
      <c r="CC333" s="58">
        <f t="shared" ca="1" si="823"/>
        <v>0</v>
      </c>
      <c r="CD333" s="58">
        <f t="shared" ca="1" si="823"/>
        <v>0</v>
      </c>
      <c r="CE333" s="58">
        <f t="shared" ca="1" si="823"/>
        <v>0</v>
      </c>
      <c r="CF333" s="58">
        <f t="shared" ca="1" si="823"/>
        <v>0</v>
      </c>
      <c r="CG333" s="58">
        <f t="shared" ca="1" si="823"/>
        <v>0</v>
      </c>
      <c r="CH333" s="58">
        <f t="shared" ca="1" si="823"/>
        <v>0</v>
      </c>
      <c r="CI333" s="58">
        <f t="shared" ca="1" si="823"/>
        <v>0</v>
      </c>
      <c r="CJ333" s="58">
        <f t="shared" ca="1" si="823"/>
        <v>0</v>
      </c>
      <c r="CK333" s="58">
        <f t="shared" ca="1" si="823"/>
        <v>0</v>
      </c>
      <c r="CL333" s="58">
        <f t="shared" ca="1" si="823"/>
        <v>0</v>
      </c>
      <c r="CM333" s="58">
        <f t="shared" ca="1" si="823"/>
        <v>0</v>
      </c>
      <c r="CN333" s="58">
        <f t="shared" ca="1" si="823"/>
        <v>0</v>
      </c>
      <c r="CO333" s="58">
        <f t="shared" ca="1" si="823"/>
        <v>0</v>
      </c>
      <c r="CP333" s="58">
        <f t="shared" ca="1" si="823"/>
        <v>0</v>
      </c>
      <c r="CQ333" s="58">
        <f t="shared" ca="1" si="823"/>
        <v>0</v>
      </c>
      <c r="CR333" s="58">
        <f t="shared" ca="1" si="823"/>
        <v>0</v>
      </c>
      <c r="CS333" s="58">
        <f t="shared" ca="1" si="823"/>
        <v>0</v>
      </c>
      <c r="CT333" s="58">
        <f t="shared" ca="1" si="823"/>
        <v>0</v>
      </c>
      <c r="CU333" s="58">
        <f t="shared" ca="1" si="823"/>
        <v>0</v>
      </c>
      <c r="CV333" s="58">
        <f t="shared" ca="1" si="823"/>
        <v>0</v>
      </c>
      <c r="CW333" s="58">
        <f t="shared" ca="1" si="823"/>
        <v>0</v>
      </c>
      <c r="CX333" s="58">
        <f t="shared" ca="1" si="823"/>
        <v>0</v>
      </c>
      <c r="CY333" s="58">
        <f t="shared" ref="CY333:ED333" ca="1" si="824">+IF(OR($F333+CY$175&lt;1,(CY$176-1)*12&lt;-$F333),0,OFFSET(CY163,0,$F333))</f>
        <v>0</v>
      </c>
      <c r="CZ333" s="58">
        <f t="shared" ca="1" si="824"/>
        <v>0</v>
      </c>
      <c r="DA333" s="58">
        <f t="shared" ca="1" si="824"/>
        <v>0</v>
      </c>
      <c r="DB333" s="58">
        <f t="shared" ca="1" si="824"/>
        <v>0</v>
      </c>
      <c r="DC333" s="58">
        <f t="shared" ca="1" si="824"/>
        <v>0</v>
      </c>
      <c r="DD333" s="58">
        <f t="shared" ca="1" si="824"/>
        <v>0</v>
      </c>
      <c r="DE333" s="58">
        <f t="shared" ca="1" si="824"/>
        <v>0</v>
      </c>
      <c r="DF333" s="58">
        <f t="shared" ca="1" si="824"/>
        <v>0</v>
      </c>
      <c r="DG333" s="58">
        <f t="shared" ca="1" si="824"/>
        <v>0</v>
      </c>
      <c r="DH333" s="58">
        <f t="shared" ca="1" si="824"/>
        <v>0</v>
      </c>
      <c r="DI333" s="58">
        <f t="shared" ca="1" si="824"/>
        <v>0</v>
      </c>
      <c r="DJ333" s="58">
        <f t="shared" ca="1" si="824"/>
        <v>0</v>
      </c>
      <c r="DK333" s="58">
        <f t="shared" ca="1" si="824"/>
        <v>0</v>
      </c>
      <c r="DL333" s="58">
        <f t="shared" ca="1" si="824"/>
        <v>0</v>
      </c>
      <c r="DM333" s="58">
        <f t="shared" ca="1" si="824"/>
        <v>0</v>
      </c>
      <c r="DN333" s="58">
        <f t="shared" ca="1" si="824"/>
        <v>0</v>
      </c>
      <c r="DO333" s="58">
        <f t="shared" ca="1" si="824"/>
        <v>0</v>
      </c>
      <c r="DP333" s="58">
        <f t="shared" ca="1" si="824"/>
        <v>0</v>
      </c>
      <c r="DQ333" s="58">
        <f t="shared" ca="1" si="824"/>
        <v>0</v>
      </c>
      <c r="DR333" s="58">
        <f t="shared" ca="1" si="824"/>
        <v>0</v>
      </c>
      <c r="DS333" s="58">
        <f t="shared" ca="1" si="824"/>
        <v>0</v>
      </c>
      <c r="DT333" s="58">
        <f t="shared" ca="1" si="824"/>
        <v>0</v>
      </c>
      <c r="DU333" s="58">
        <f t="shared" ca="1" si="824"/>
        <v>0</v>
      </c>
      <c r="DV333" s="58">
        <f t="shared" ca="1" si="824"/>
        <v>0</v>
      </c>
      <c r="DW333" s="58">
        <f t="shared" ca="1" si="824"/>
        <v>0</v>
      </c>
      <c r="DX333" s="58">
        <f t="shared" ca="1" si="824"/>
        <v>0</v>
      </c>
      <c r="DY333" s="58">
        <f t="shared" ca="1" si="824"/>
        <v>0</v>
      </c>
      <c r="DZ333" s="58">
        <f t="shared" ca="1" si="824"/>
        <v>0</v>
      </c>
      <c r="EA333" s="58">
        <f t="shared" ca="1" si="824"/>
        <v>0</v>
      </c>
      <c r="EB333" s="58">
        <f t="shared" ca="1" si="824"/>
        <v>0</v>
      </c>
      <c r="EC333" s="58">
        <f t="shared" ca="1" si="824"/>
        <v>0</v>
      </c>
      <c r="ED333" s="58">
        <f t="shared" ca="1" si="824"/>
        <v>0</v>
      </c>
      <c r="EE333" s="58">
        <f t="shared" ref="EE333:FN333" ca="1" si="825">+IF(OR($F333+EE$175&lt;1,(EE$176-1)*12&lt;-$F333),0,OFFSET(EE163,0,$F333))</f>
        <v>0</v>
      </c>
      <c r="EF333" s="58">
        <f t="shared" ca="1" si="825"/>
        <v>0</v>
      </c>
      <c r="EG333" s="58">
        <f t="shared" ca="1" si="825"/>
        <v>0</v>
      </c>
      <c r="EH333" s="58">
        <f t="shared" ca="1" si="825"/>
        <v>0</v>
      </c>
      <c r="EI333" s="58">
        <f t="shared" ca="1" si="825"/>
        <v>0</v>
      </c>
      <c r="EJ333" s="58">
        <f t="shared" ca="1" si="825"/>
        <v>0</v>
      </c>
      <c r="EK333" s="58">
        <f t="shared" ca="1" si="825"/>
        <v>0</v>
      </c>
      <c r="EL333" s="58">
        <f t="shared" ca="1" si="825"/>
        <v>0</v>
      </c>
      <c r="EM333" s="58">
        <f t="shared" ca="1" si="825"/>
        <v>0</v>
      </c>
      <c r="EN333" s="58">
        <f t="shared" ca="1" si="825"/>
        <v>0</v>
      </c>
      <c r="EO333" s="58">
        <f t="shared" ca="1" si="825"/>
        <v>0</v>
      </c>
      <c r="EP333" s="58">
        <f t="shared" ca="1" si="825"/>
        <v>0</v>
      </c>
      <c r="EQ333" s="58">
        <f t="shared" ca="1" si="825"/>
        <v>0</v>
      </c>
      <c r="ER333" s="58">
        <f t="shared" ca="1" si="825"/>
        <v>0</v>
      </c>
      <c r="ES333" s="58">
        <f t="shared" ca="1" si="825"/>
        <v>0</v>
      </c>
      <c r="ET333" s="58">
        <f t="shared" ca="1" si="825"/>
        <v>0</v>
      </c>
      <c r="EU333" s="58">
        <f t="shared" ca="1" si="825"/>
        <v>0</v>
      </c>
      <c r="EV333" s="58">
        <f t="shared" ca="1" si="825"/>
        <v>0</v>
      </c>
      <c r="EW333" s="58">
        <f t="shared" ca="1" si="825"/>
        <v>0</v>
      </c>
      <c r="EX333" s="58">
        <f t="shared" ca="1" si="825"/>
        <v>0</v>
      </c>
      <c r="EY333" s="58">
        <f t="shared" ca="1" si="825"/>
        <v>0</v>
      </c>
      <c r="EZ333" s="58">
        <f t="shared" ca="1" si="825"/>
        <v>0</v>
      </c>
      <c r="FA333" s="58">
        <f t="shared" ca="1" si="825"/>
        <v>0</v>
      </c>
      <c r="FB333" s="58">
        <f t="shared" ca="1" si="825"/>
        <v>0</v>
      </c>
      <c r="FC333" s="58">
        <f t="shared" ca="1" si="825"/>
        <v>0</v>
      </c>
      <c r="FD333" s="58">
        <f t="shared" ca="1" si="825"/>
        <v>0</v>
      </c>
      <c r="FE333" s="58">
        <f t="shared" ca="1" si="825"/>
        <v>0</v>
      </c>
      <c r="FF333" s="58">
        <f t="shared" ca="1" si="825"/>
        <v>0</v>
      </c>
      <c r="FG333" s="58">
        <f t="shared" ca="1" si="825"/>
        <v>0</v>
      </c>
      <c r="FH333" s="58">
        <f t="shared" ca="1" si="825"/>
        <v>0</v>
      </c>
      <c r="FI333" s="58">
        <f t="shared" ca="1" si="825"/>
        <v>0</v>
      </c>
      <c r="FJ333" s="58">
        <f t="shared" ca="1" si="825"/>
        <v>0</v>
      </c>
      <c r="FK333" s="58">
        <f t="shared" ca="1" si="825"/>
        <v>0</v>
      </c>
      <c r="FL333" s="58">
        <f t="shared" ca="1" si="825"/>
        <v>0</v>
      </c>
      <c r="FM333" s="58">
        <f t="shared" ca="1" si="825"/>
        <v>0</v>
      </c>
      <c r="FN333" s="58">
        <f t="shared" ca="1" si="825"/>
        <v>0</v>
      </c>
      <c r="FO333" s="13"/>
    </row>
    <row r="334" spans="1:171" outlineLevel="1" x14ac:dyDescent="0.3">
      <c r="A334" s="13"/>
      <c r="B334" s="13"/>
      <c r="C334" s="13"/>
      <c r="D334" s="52">
        <f t="shared" si="683"/>
        <v>44927</v>
      </c>
      <c r="E334" s="53">
        <f t="shared" si="684"/>
        <v>2023</v>
      </c>
      <c r="F334" s="53">
        <f t="shared" si="685"/>
        <v>108</v>
      </c>
      <c r="G334" s="58">
        <f t="shared" ref="G334:AL334" ca="1" si="826">+IF(OR($F334+G$175&lt;1,(G$176-1)*12&lt;-$F334),0,OFFSET(G164,0,$F334))</f>
        <v>0</v>
      </c>
      <c r="H334" s="58">
        <f t="shared" ca="1" si="826"/>
        <v>0</v>
      </c>
      <c r="I334" s="58">
        <f t="shared" ca="1" si="826"/>
        <v>0</v>
      </c>
      <c r="J334" s="58">
        <f t="shared" ca="1" si="826"/>
        <v>0</v>
      </c>
      <c r="K334" s="58">
        <f t="shared" ca="1" si="826"/>
        <v>0</v>
      </c>
      <c r="L334" s="58">
        <f t="shared" ca="1" si="826"/>
        <v>0</v>
      </c>
      <c r="M334" s="58">
        <f t="shared" ca="1" si="826"/>
        <v>0</v>
      </c>
      <c r="N334" s="58">
        <f t="shared" ca="1" si="826"/>
        <v>0</v>
      </c>
      <c r="O334" s="58">
        <f t="shared" ca="1" si="826"/>
        <v>0</v>
      </c>
      <c r="P334" s="58">
        <f t="shared" ca="1" si="826"/>
        <v>0</v>
      </c>
      <c r="Q334" s="58">
        <f t="shared" ca="1" si="826"/>
        <v>0</v>
      </c>
      <c r="R334" s="58">
        <f t="shared" ca="1" si="826"/>
        <v>0</v>
      </c>
      <c r="S334" s="58">
        <f t="shared" ca="1" si="826"/>
        <v>0</v>
      </c>
      <c r="T334" s="58">
        <f t="shared" ca="1" si="826"/>
        <v>0</v>
      </c>
      <c r="U334" s="58">
        <f t="shared" ca="1" si="826"/>
        <v>0</v>
      </c>
      <c r="V334" s="58">
        <f t="shared" ca="1" si="826"/>
        <v>0</v>
      </c>
      <c r="W334" s="58">
        <f t="shared" ca="1" si="826"/>
        <v>0</v>
      </c>
      <c r="X334" s="58">
        <f t="shared" ca="1" si="826"/>
        <v>0</v>
      </c>
      <c r="Y334" s="58">
        <f t="shared" ca="1" si="826"/>
        <v>0</v>
      </c>
      <c r="Z334" s="58">
        <f t="shared" ca="1" si="826"/>
        <v>0</v>
      </c>
      <c r="AA334" s="58">
        <f t="shared" ca="1" si="826"/>
        <v>0</v>
      </c>
      <c r="AB334" s="58">
        <f t="shared" ca="1" si="826"/>
        <v>0</v>
      </c>
      <c r="AC334" s="58">
        <f t="shared" ca="1" si="826"/>
        <v>0</v>
      </c>
      <c r="AD334" s="58">
        <f t="shared" ca="1" si="826"/>
        <v>0</v>
      </c>
      <c r="AE334" s="58">
        <f t="shared" ca="1" si="826"/>
        <v>0</v>
      </c>
      <c r="AF334" s="58">
        <f t="shared" ca="1" si="826"/>
        <v>0</v>
      </c>
      <c r="AG334" s="58">
        <f t="shared" ca="1" si="826"/>
        <v>0</v>
      </c>
      <c r="AH334" s="58">
        <f t="shared" ca="1" si="826"/>
        <v>0</v>
      </c>
      <c r="AI334" s="58">
        <f t="shared" ca="1" si="826"/>
        <v>0</v>
      </c>
      <c r="AJ334" s="58">
        <f t="shared" ca="1" si="826"/>
        <v>0</v>
      </c>
      <c r="AK334" s="58">
        <f t="shared" ca="1" si="826"/>
        <v>0</v>
      </c>
      <c r="AL334" s="58">
        <f t="shared" ca="1" si="826"/>
        <v>0</v>
      </c>
      <c r="AM334" s="58">
        <f t="shared" ref="AM334:BR334" ca="1" si="827">+IF(OR($F334+AM$175&lt;1,(AM$176-1)*12&lt;-$F334),0,OFFSET(AM164,0,$F334))</f>
        <v>0</v>
      </c>
      <c r="AN334" s="58">
        <f t="shared" ca="1" si="827"/>
        <v>0</v>
      </c>
      <c r="AO334" s="58">
        <f t="shared" ca="1" si="827"/>
        <v>0</v>
      </c>
      <c r="AP334" s="58">
        <f t="shared" ca="1" si="827"/>
        <v>0</v>
      </c>
      <c r="AQ334" s="58">
        <f t="shared" ca="1" si="827"/>
        <v>0</v>
      </c>
      <c r="AR334" s="58">
        <f t="shared" ca="1" si="827"/>
        <v>0</v>
      </c>
      <c r="AS334" s="58">
        <f t="shared" ca="1" si="827"/>
        <v>0</v>
      </c>
      <c r="AT334" s="58">
        <f t="shared" ca="1" si="827"/>
        <v>0</v>
      </c>
      <c r="AU334" s="58">
        <f t="shared" ca="1" si="827"/>
        <v>0</v>
      </c>
      <c r="AV334" s="58">
        <f t="shared" ca="1" si="827"/>
        <v>0</v>
      </c>
      <c r="AW334" s="58">
        <f t="shared" ca="1" si="827"/>
        <v>0</v>
      </c>
      <c r="AX334" s="58">
        <f t="shared" ca="1" si="827"/>
        <v>0</v>
      </c>
      <c r="AY334" s="58">
        <f t="shared" ca="1" si="827"/>
        <v>0</v>
      </c>
      <c r="AZ334" s="58">
        <f t="shared" ca="1" si="827"/>
        <v>0</v>
      </c>
      <c r="BA334" s="58">
        <f t="shared" ca="1" si="827"/>
        <v>0</v>
      </c>
      <c r="BB334" s="58">
        <f t="shared" ca="1" si="827"/>
        <v>0</v>
      </c>
      <c r="BC334" s="58">
        <f t="shared" ca="1" si="827"/>
        <v>0</v>
      </c>
      <c r="BD334" s="58">
        <f t="shared" ca="1" si="827"/>
        <v>0</v>
      </c>
      <c r="BE334" s="58">
        <f t="shared" ca="1" si="827"/>
        <v>0</v>
      </c>
      <c r="BF334" s="58">
        <f t="shared" ca="1" si="827"/>
        <v>0</v>
      </c>
      <c r="BG334" s="58">
        <f t="shared" ca="1" si="827"/>
        <v>0</v>
      </c>
      <c r="BH334" s="58">
        <f t="shared" ca="1" si="827"/>
        <v>0</v>
      </c>
      <c r="BI334" s="58">
        <f t="shared" ca="1" si="827"/>
        <v>0</v>
      </c>
      <c r="BJ334" s="58">
        <f t="shared" ca="1" si="827"/>
        <v>0</v>
      </c>
      <c r="BK334" s="58">
        <f t="shared" ca="1" si="827"/>
        <v>0</v>
      </c>
      <c r="BL334" s="58">
        <f t="shared" ca="1" si="827"/>
        <v>0</v>
      </c>
      <c r="BM334" s="58">
        <f t="shared" ca="1" si="827"/>
        <v>0</v>
      </c>
      <c r="BN334" s="58">
        <f t="shared" ca="1" si="827"/>
        <v>0</v>
      </c>
      <c r="BO334" s="58">
        <f t="shared" ca="1" si="827"/>
        <v>0</v>
      </c>
      <c r="BP334" s="58">
        <f t="shared" ca="1" si="827"/>
        <v>0</v>
      </c>
      <c r="BQ334" s="58">
        <f t="shared" ca="1" si="827"/>
        <v>0</v>
      </c>
      <c r="BR334" s="58">
        <f t="shared" ca="1" si="827"/>
        <v>0</v>
      </c>
      <c r="BS334" s="58">
        <f t="shared" ref="BS334:CX334" ca="1" si="828">+IF(OR($F334+BS$175&lt;1,(BS$176-1)*12&lt;-$F334),0,OFFSET(BS164,0,$F334))</f>
        <v>0</v>
      </c>
      <c r="BT334" s="58">
        <f t="shared" ca="1" si="828"/>
        <v>0</v>
      </c>
      <c r="BU334" s="58">
        <f t="shared" ca="1" si="828"/>
        <v>0</v>
      </c>
      <c r="BV334" s="58">
        <f t="shared" ca="1" si="828"/>
        <v>0</v>
      </c>
      <c r="BW334" s="58">
        <f t="shared" ca="1" si="828"/>
        <v>0</v>
      </c>
      <c r="BX334" s="58">
        <f t="shared" ca="1" si="828"/>
        <v>0</v>
      </c>
      <c r="BY334" s="58">
        <f t="shared" ca="1" si="828"/>
        <v>0</v>
      </c>
      <c r="BZ334" s="58">
        <f t="shared" ca="1" si="828"/>
        <v>0</v>
      </c>
      <c r="CA334" s="58">
        <f t="shared" ca="1" si="828"/>
        <v>0</v>
      </c>
      <c r="CB334" s="58">
        <f t="shared" ca="1" si="828"/>
        <v>0</v>
      </c>
      <c r="CC334" s="58">
        <f t="shared" ca="1" si="828"/>
        <v>0</v>
      </c>
      <c r="CD334" s="58">
        <f t="shared" ca="1" si="828"/>
        <v>0</v>
      </c>
      <c r="CE334" s="58">
        <f t="shared" ca="1" si="828"/>
        <v>0</v>
      </c>
      <c r="CF334" s="58">
        <f t="shared" ca="1" si="828"/>
        <v>0</v>
      </c>
      <c r="CG334" s="58">
        <f t="shared" ca="1" si="828"/>
        <v>0</v>
      </c>
      <c r="CH334" s="58">
        <f t="shared" ca="1" si="828"/>
        <v>0</v>
      </c>
      <c r="CI334" s="58">
        <f t="shared" ca="1" si="828"/>
        <v>0</v>
      </c>
      <c r="CJ334" s="58">
        <f t="shared" ca="1" si="828"/>
        <v>0</v>
      </c>
      <c r="CK334" s="58">
        <f t="shared" ca="1" si="828"/>
        <v>0</v>
      </c>
      <c r="CL334" s="58">
        <f t="shared" ca="1" si="828"/>
        <v>0</v>
      </c>
      <c r="CM334" s="58">
        <f t="shared" ca="1" si="828"/>
        <v>0</v>
      </c>
      <c r="CN334" s="58">
        <f t="shared" ca="1" si="828"/>
        <v>0</v>
      </c>
      <c r="CO334" s="58">
        <f t="shared" ca="1" si="828"/>
        <v>0</v>
      </c>
      <c r="CP334" s="58">
        <f t="shared" ca="1" si="828"/>
        <v>0</v>
      </c>
      <c r="CQ334" s="58">
        <f t="shared" ca="1" si="828"/>
        <v>0</v>
      </c>
      <c r="CR334" s="58">
        <f t="shared" ca="1" si="828"/>
        <v>0</v>
      </c>
      <c r="CS334" s="58">
        <f t="shared" ca="1" si="828"/>
        <v>0</v>
      </c>
      <c r="CT334" s="58">
        <f t="shared" ca="1" si="828"/>
        <v>0</v>
      </c>
      <c r="CU334" s="58">
        <f t="shared" ca="1" si="828"/>
        <v>0</v>
      </c>
      <c r="CV334" s="58">
        <f t="shared" ca="1" si="828"/>
        <v>0</v>
      </c>
      <c r="CW334" s="58">
        <f t="shared" ca="1" si="828"/>
        <v>0</v>
      </c>
      <c r="CX334" s="58">
        <f t="shared" ca="1" si="828"/>
        <v>0</v>
      </c>
      <c r="CY334" s="58">
        <f t="shared" ref="CY334:ED334" ca="1" si="829">+IF(OR($F334+CY$175&lt;1,(CY$176-1)*12&lt;-$F334),0,OFFSET(CY164,0,$F334))</f>
        <v>0</v>
      </c>
      <c r="CZ334" s="58">
        <f t="shared" ca="1" si="829"/>
        <v>0</v>
      </c>
      <c r="DA334" s="58">
        <f t="shared" ca="1" si="829"/>
        <v>0</v>
      </c>
      <c r="DB334" s="58">
        <f t="shared" ca="1" si="829"/>
        <v>0</v>
      </c>
      <c r="DC334" s="58">
        <f t="shared" ca="1" si="829"/>
        <v>0</v>
      </c>
      <c r="DD334" s="58">
        <f t="shared" ca="1" si="829"/>
        <v>0</v>
      </c>
      <c r="DE334" s="58">
        <f t="shared" ca="1" si="829"/>
        <v>0</v>
      </c>
      <c r="DF334" s="58">
        <f t="shared" ca="1" si="829"/>
        <v>0</v>
      </c>
      <c r="DG334" s="58">
        <f t="shared" ca="1" si="829"/>
        <v>0</v>
      </c>
      <c r="DH334" s="58">
        <f t="shared" ca="1" si="829"/>
        <v>0</v>
      </c>
      <c r="DI334" s="58">
        <f t="shared" ca="1" si="829"/>
        <v>0</v>
      </c>
      <c r="DJ334" s="58">
        <f t="shared" ca="1" si="829"/>
        <v>0</v>
      </c>
      <c r="DK334" s="58">
        <f t="shared" ca="1" si="829"/>
        <v>0</v>
      </c>
      <c r="DL334" s="58">
        <f t="shared" ca="1" si="829"/>
        <v>0</v>
      </c>
      <c r="DM334" s="58">
        <f t="shared" ca="1" si="829"/>
        <v>0</v>
      </c>
      <c r="DN334" s="58">
        <f t="shared" ca="1" si="829"/>
        <v>0</v>
      </c>
      <c r="DO334" s="58">
        <f t="shared" ca="1" si="829"/>
        <v>0</v>
      </c>
      <c r="DP334" s="58">
        <f t="shared" ca="1" si="829"/>
        <v>0</v>
      </c>
      <c r="DQ334" s="58">
        <f t="shared" ca="1" si="829"/>
        <v>0</v>
      </c>
      <c r="DR334" s="58">
        <f t="shared" ca="1" si="829"/>
        <v>0</v>
      </c>
      <c r="DS334" s="58">
        <f t="shared" ca="1" si="829"/>
        <v>0</v>
      </c>
      <c r="DT334" s="58">
        <f t="shared" ca="1" si="829"/>
        <v>0</v>
      </c>
      <c r="DU334" s="58">
        <f t="shared" ca="1" si="829"/>
        <v>0</v>
      </c>
      <c r="DV334" s="58">
        <f t="shared" ca="1" si="829"/>
        <v>0</v>
      </c>
      <c r="DW334" s="58">
        <f t="shared" ca="1" si="829"/>
        <v>0</v>
      </c>
      <c r="DX334" s="58">
        <f t="shared" ca="1" si="829"/>
        <v>0</v>
      </c>
      <c r="DY334" s="58">
        <f t="shared" ca="1" si="829"/>
        <v>0</v>
      </c>
      <c r="DZ334" s="58">
        <f t="shared" ca="1" si="829"/>
        <v>0</v>
      </c>
      <c r="EA334" s="58">
        <f t="shared" ca="1" si="829"/>
        <v>0</v>
      </c>
      <c r="EB334" s="58">
        <f t="shared" ca="1" si="829"/>
        <v>0</v>
      </c>
      <c r="EC334" s="58">
        <f t="shared" ca="1" si="829"/>
        <v>0</v>
      </c>
      <c r="ED334" s="58">
        <f t="shared" ca="1" si="829"/>
        <v>0</v>
      </c>
      <c r="EE334" s="58">
        <f t="shared" ref="EE334:FN334" ca="1" si="830">+IF(OR($F334+EE$175&lt;1,(EE$176-1)*12&lt;-$F334),0,OFFSET(EE164,0,$F334))</f>
        <v>0</v>
      </c>
      <c r="EF334" s="58">
        <f t="shared" ca="1" si="830"/>
        <v>0</v>
      </c>
      <c r="EG334" s="58">
        <f t="shared" ca="1" si="830"/>
        <v>0</v>
      </c>
      <c r="EH334" s="58">
        <f t="shared" ca="1" si="830"/>
        <v>0</v>
      </c>
      <c r="EI334" s="58">
        <f t="shared" ca="1" si="830"/>
        <v>0</v>
      </c>
      <c r="EJ334" s="58">
        <f t="shared" ca="1" si="830"/>
        <v>0</v>
      </c>
      <c r="EK334" s="58">
        <f t="shared" ca="1" si="830"/>
        <v>0</v>
      </c>
      <c r="EL334" s="58">
        <f t="shared" ca="1" si="830"/>
        <v>0</v>
      </c>
      <c r="EM334" s="58">
        <f t="shared" ca="1" si="830"/>
        <v>0</v>
      </c>
      <c r="EN334" s="58">
        <f t="shared" ca="1" si="830"/>
        <v>0</v>
      </c>
      <c r="EO334" s="58">
        <f t="shared" ca="1" si="830"/>
        <v>0</v>
      </c>
      <c r="EP334" s="58">
        <f t="shared" ca="1" si="830"/>
        <v>0</v>
      </c>
      <c r="EQ334" s="58">
        <f t="shared" ca="1" si="830"/>
        <v>0</v>
      </c>
      <c r="ER334" s="58">
        <f t="shared" ca="1" si="830"/>
        <v>0</v>
      </c>
      <c r="ES334" s="58">
        <f t="shared" ca="1" si="830"/>
        <v>0</v>
      </c>
      <c r="ET334" s="58">
        <f t="shared" ca="1" si="830"/>
        <v>0</v>
      </c>
      <c r="EU334" s="58">
        <f t="shared" ca="1" si="830"/>
        <v>0</v>
      </c>
      <c r="EV334" s="58">
        <f t="shared" ca="1" si="830"/>
        <v>0</v>
      </c>
      <c r="EW334" s="58">
        <f t="shared" ca="1" si="830"/>
        <v>0</v>
      </c>
      <c r="EX334" s="58">
        <f t="shared" ca="1" si="830"/>
        <v>0</v>
      </c>
      <c r="EY334" s="58">
        <f t="shared" ca="1" si="830"/>
        <v>0</v>
      </c>
      <c r="EZ334" s="58">
        <f t="shared" ca="1" si="830"/>
        <v>0</v>
      </c>
      <c r="FA334" s="58">
        <f t="shared" ca="1" si="830"/>
        <v>0</v>
      </c>
      <c r="FB334" s="58">
        <f t="shared" ca="1" si="830"/>
        <v>0</v>
      </c>
      <c r="FC334" s="58">
        <f t="shared" ca="1" si="830"/>
        <v>0</v>
      </c>
      <c r="FD334" s="58">
        <f t="shared" ca="1" si="830"/>
        <v>0</v>
      </c>
      <c r="FE334" s="58">
        <f t="shared" ca="1" si="830"/>
        <v>0</v>
      </c>
      <c r="FF334" s="58">
        <f t="shared" ca="1" si="830"/>
        <v>0</v>
      </c>
      <c r="FG334" s="58">
        <f t="shared" ca="1" si="830"/>
        <v>0</v>
      </c>
      <c r="FH334" s="58">
        <f t="shared" ca="1" si="830"/>
        <v>0</v>
      </c>
      <c r="FI334" s="58">
        <f t="shared" ca="1" si="830"/>
        <v>0</v>
      </c>
      <c r="FJ334" s="58">
        <f t="shared" ca="1" si="830"/>
        <v>0</v>
      </c>
      <c r="FK334" s="58">
        <f t="shared" ca="1" si="830"/>
        <v>0</v>
      </c>
      <c r="FL334" s="58">
        <f t="shared" ca="1" si="830"/>
        <v>0</v>
      </c>
      <c r="FM334" s="58">
        <f t="shared" ca="1" si="830"/>
        <v>0</v>
      </c>
      <c r="FN334" s="58">
        <f t="shared" ca="1" si="830"/>
        <v>0</v>
      </c>
      <c r="FO334" s="13"/>
    </row>
    <row r="335" spans="1:171" outlineLevel="1" x14ac:dyDescent="0.3">
      <c r="A335" s="13"/>
      <c r="B335" s="13"/>
      <c r="C335" s="13"/>
      <c r="D335" s="52">
        <f t="shared" si="683"/>
        <v>44958</v>
      </c>
      <c r="E335" s="53">
        <f t="shared" si="684"/>
        <v>2023</v>
      </c>
      <c r="F335" s="53">
        <f t="shared" si="685"/>
        <v>109</v>
      </c>
      <c r="G335" s="58">
        <f t="shared" ref="G335:AL335" ca="1" si="831">+IF(OR($F335+G$175&lt;1,(G$176-1)*12&lt;-$F335),0,OFFSET(G165,0,$F335))</f>
        <v>0</v>
      </c>
      <c r="H335" s="58">
        <f t="shared" ca="1" si="831"/>
        <v>0</v>
      </c>
      <c r="I335" s="58">
        <f t="shared" ca="1" si="831"/>
        <v>0</v>
      </c>
      <c r="J335" s="58">
        <f t="shared" ca="1" si="831"/>
        <v>0</v>
      </c>
      <c r="K335" s="58">
        <f t="shared" ca="1" si="831"/>
        <v>0</v>
      </c>
      <c r="L335" s="58">
        <f t="shared" ca="1" si="831"/>
        <v>0</v>
      </c>
      <c r="M335" s="58">
        <f t="shared" ca="1" si="831"/>
        <v>0</v>
      </c>
      <c r="N335" s="58">
        <f t="shared" ca="1" si="831"/>
        <v>0</v>
      </c>
      <c r="O335" s="58">
        <f t="shared" ca="1" si="831"/>
        <v>0</v>
      </c>
      <c r="P335" s="58">
        <f t="shared" ca="1" si="831"/>
        <v>0</v>
      </c>
      <c r="Q335" s="58">
        <f t="shared" ca="1" si="831"/>
        <v>0</v>
      </c>
      <c r="R335" s="58">
        <f t="shared" ca="1" si="831"/>
        <v>0</v>
      </c>
      <c r="S335" s="58">
        <f t="shared" ca="1" si="831"/>
        <v>0</v>
      </c>
      <c r="T335" s="58">
        <f t="shared" ca="1" si="831"/>
        <v>0</v>
      </c>
      <c r="U335" s="58">
        <f t="shared" ca="1" si="831"/>
        <v>0</v>
      </c>
      <c r="V335" s="58">
        <f t="shared" ca="1" si="831"/>
        <v>0</v>
      </c>
      <c r="W335" s="58">
        <f t="shared" ca="1" si="831"/>
        <v>0</v>
      </c>
      <c r="X335" s="58">
        <f t="shared" ca="1" si="831"/>
        <v>0</v>
      </c>
      <c r="Y335" s="58">
        <f t="shared" ca="1" si="831"/>
        <v>0</v>
      </c>
      <c r="Z335" s="58">
        <f t="shared" ca="1" si="831"/>
        <v>0</v>
      </c>
      <c r="AA335" s="58">
        <f t="shared" ca="1" si="831"/>
        <v>0</v>
      </c>
      <c r="AB335" s="58">
        <f t="shared" ca="1" si="831"/>
        <v>0</v>
      </c>
      <c r="AC335" s="58">
        <f t="shared" ca="1" si="831"/>
        <v>0</v>
      </c>
      <c r="AD335" s="58">
        <f t="shared" ca="1" si="831"/>
        <v>0</v>
      </c>
      <c r="AE335" s="58">
        <f t="shared" ca="1" si="831"/>
        <v>0</v>
      </c>
      <c r="AF335" s="58">
        <f t="shared" ca="1" si="831"/>
        <v>0</v>
      </c>
      <c r="AG335" s="58">
        <f t="shared" ca="1" si="831"/>
        <v>0</v>
      </c>
      <c r="AH335" s="58">
        <f t="shared" ca="1" si="831"/>
        <v>0</v>
      </c>
      <c r="AI335" s="58">
        <f t="shared" ca="1" si="831"/>
        <v>0</v>
      </c>
      <c r="AJ335" s="58">
        <f t="shared" ca="1" si="831"/>
        <v>0</v>
      </c>
      <c r="AK335" s="58">
        <f t="shared" ca="1" si="831"/>
        <v>0</v>
      </c>
      <c r="AL335" s="58">
        <f t="shared" ca="1" si="831"/>
        <v>0</v>
      </c>
      <c r="AM335" s="58">
        <f t="shared" ref="AM335:BR335" ca="1" si="832">+IF(OR($F335+AM$175&lt;1,(AM$176-1)*12&lt;-$F335),0,OFFSET(AM165,0,$F335))</f>
        <v>0</v>
      </c>
      <c r="AN335" s="58">
        <f t="shared" ca="1" si="832"/>
        <v>0</v>
      </c>
      <c r="AO335" s="58">
        <f t="shared" ca="1" si="832"/>
        <v>0</v>
      </c>
      <c r="AP335" s="58">
        <f t="shared" ca="1" si="832"/>
        <v>0</v>
      </c>
      <c r="AQ335" s="58">
        <f t="shared" ca="1" si="832"/>
        <v>0</v>
      </c>
      <c r="AR335" s="58">
        <f t="shared" ca="1" si="832"/>
        <v>0</v>
      </c>
      <c r="AS335" s="58">
        <f t="shared" ca="1" si="832"/>
        <v>0</v>
      </c>
      <c r="AT335" s="58">
        <f t="shared" ca="1" si="832"/>
        <v>0</v>
      </c>
      <c r="AU335" s="58">
        <f t="shared" ca="1" si="832"/>
        <v>0</v>
      </c>
      <c r="AV335" s="58">
        <f t="shared" ca="1" si="832"/>
        <v>0</v>
      </c>
      <c r="AW335" s="58">
        <f t="shared" ca="1" si="832"/>
        <v>0</v>
      </c>
      <c r="AX335" s="58">
        <f t="shared" ca="1" si="832"/>
        <v>0</v>
      </c>
      <c r="AY335" s="58">
        <f t="shared" ca="1" si="832"/>
        <v>0</v>
      </c>
      <c r="AZ335" s="58">
        <f t="shared" ca="1" si="832"/>
        <v>0</v>
      </c>
      <c r="BA335" s="58">
        <f t="shared" ca="1" si="832"/>
        <v>0</v>
      </c>
      <c r="BB335" s="58">
        <f t="shared" ca="1" si="832"/>
        <v>0</v>
      </c>
      <c r="BC335" s="58">
        <f t="shared" ca="1" si="832"/>
        <v>0</v>
      </c>
      <c r="BD335" s="58">
        <f t="shared" ca="1" si="832"/>
        <v>0</v>
      </c>
      <c r="BE335" s="58">
        <f t="shared" ca="1" si="832"/>
        <v>0</v>
      </c>
      <c r="BF335" s="58">
        <f t="shared" ca="1" si="832"/>
        <v>0</v>
      </c>
      <c r="BG335" s="58">
        <f t="shared" ca="1" si="832"/>
        <v>0</v>
      </c>
      <c r="BH335" s="58">
        <f t="shared" ca="1" si="832"/>
        <v>0</v>
      </c>
      <c r="BI335" s="58">
        <f t="shared" ca="1" si="832"/>
        <v>0</v>
      </c>
      <c r="BJ335" s="58">
        <f t="shared" ca="1" si="832"/>
        <v>0</v>
      </c>
      <c r="BK335" s="58">
        <f t="shared" ca="1" si="832"/>
        <v>0</v>
      </c>
      <c r="BL335" s="58">
        <f t="shared" ca="1" si="832"/>
        <v>0</v>
      </c>
      <c r="BM335" s="58">
        <f t="shared" ca="1" si="832"/>
        <v>0</v>
      </c>
      <c r="BN335" s="58">
        <f t="shared" ca="1" si="832"/>
        <v>0</v>
      </c>
      <c r="BO335" s="58">
        <f t="shared" ca="1" si="832"/>
        <v>0</v>
      </c>
      <c r="BP335" s="58">
        <f t="shared" ca="1" si="832"/>
        <v>0</v>
      </c>
      <c r="BQ335" s="58">
        <f t="shared" ca="1" si="832"/>
        <v>0</v>
      </c>
      <c r="BR335" s="58">
        <f t="shared" ca="1" si="832"/>
        <v>0</v>
      </c>
      <c r="BS335" s="58">
        <f t="shared" ref="BS335:CX335" ca="1" si="833">+IF(OR($F335+BS$175&lt;1,(BS$176-1)*12&lt;-$F335),0,OFFSET(BS165,0,$F335))</f>
        <v>0</v>
      </c>
      <c r="BT335" s="58">
        <f t="shared" ca="1" si="833"/>
        <v>0</v>
      </c>
      <c r="BU335" s="58">
        <f t="shared" ca="1" si="833"/>
        <v>0</v>
      </c>
      <c r="BV335" s="58">
        <f t="shared" ca="1" si="833"/>
        <v>0</v>
      </c>
      <c r="BW335" s="58">
        <f t="shared" ca="1" si="833"/>
        <v>0</v>
      </c>
      <c r="BX335" s="58">
        <f t="shared" ca="1" si="833"/>
        <v>0</v>
      </c>
      <c r="BY335" s="58">
        <f t="shared" ca="1" si="833"/>
        <v>0</v>
      </c>
      <c r="BZ335" s="58">
        <f t="shared" ca="1" si="833"/>
        <v>0</v>
      </c>
      <c r="CA335" s="58">
        <f t="shared" ca="1" si="833"/>
        <v>0</v>
      </c>
      <c r="CB335" s="58">
        <f t="shared" ca="1" si="833"/>
        <v>0</v>
      </c>
      <c r="CC335" s="58">
        <f t="shared" ca="1" si="833"/>
        <v>0</v>
      </c>
      <c r="CD335" s="58">
        <f t="shared" ca="1" si="833"/>
        <v>0</v>
      </c>
      <c r="CE335" s="58">
        <f t="shared" ca="1" si="833"/>
        <v>0</v>
      </c>
      <c r="CF335" s="58">
        <f t="shared" ca="1" si="833"/>
        <v>0</v>
      </c>
      <c r="CG335" s="58">
        <f t="shared" ca="1" si="833"/>
        <v>0</v>
      </c>
      <c r="CH335" s="58">
        <f t="shared" ca="1" si="833"/>
        <v>0</v>
      </c>
      <c r="CI335" s="58">
        <f t="shared" ca="1" si="833"/>
        <v>0</v>
      </c>
      <c r="CJ335" s="58">
        <f t="shared" ca="1" si="833"/>
        <v>0</v>
      </c>
      <c r="CK335" s="58">
        <f t="shared" ca="1" si="833"/>
        <v>0</v>
      </c>
      <c r="CL335" s="58">
        <f t="shared" ca="1" si="833"/>
        <v>0</v>
      </c>
      <c r="CM335" s="58">
        <f t="shared" ca="1" si="833"/>
        <v>0</v>
      </c>
      <c r="CN335" s="58">
        <f t="shared" ca="1" si="833"/>
        <v>0</v>
      </c>
      <c r="CO335" s="58">
        <f t="shared" ca="1" si="833"/>
        <v>0</v>
      </c>
      <c r="CP335" s="58">
        <f t="shared" ca="1" si="833"/>
        <v>0</v>
      </c>
      <c r="CQ335" s="58">
        <f t="shared" ca="1" si="833"/>
        <v>0</v>
      </c>
      <c r="CR335" s="58">
        <f t="shared" ca="1" si="833"/>
        <v>0</v>
      </c>
      <c r="CS335" s="58">
        <f t="shared" ca="1" si="833"/>
        <v>0</v>
      </c>
      <c r="CT335" s="58">
        <f t="shared" ca="1" si="833"/>
        <v>0</v>
      </c>
      <c r="CU335" s="58">
        <f t="shared" ca="1" si="833"/>
        <v>0</v>
      </c>
      <c r="CV335" s="58">
        <f t="shared" ca="1" si="833"/>
        <v>0</v>
      </c>
      <c r="CW335" s="58">
        <f t="shared" ca="1" si="833"/>
        <v>0</v>
      </c>
      <c r="CX335" s="58">
        <f t="shared" ca="1" si="833"/>
        <v>0</v>
      </c>
      <c r="CY335" s="58">
        <f t="shared" ref="CY335:ED335" ca="1" si="834">+IF(OR($F335+CY$175&lt;1,(CY$176-1)*12&lt;-$F335),0,OFFSET(CY165,0,$F335))</f>
        <v>0</v>
      </c>
      <c r="CZ335" s="58">
        <f t="shared" ca="1" si="834"/>
        <v>0</v>
      </c>
      <c r="DA335" s="58">
        <f t="shared" ca="1" si="834"/>
        <v>0</v>
      </c>
      <c r="DB335" s="58">
        <f t="shared" ca="1" si="834"/>
        <v>0</v>
      </c>
      <c r="DC335" s="58">
        <f t="shared" ca="1" si="834"/>
        <v>0</v>
      </c>
      <c r="DD335" s="58">
        <f t="shared" ca="1" si="834"/>
        <v>0</v>
      </c>
      <c r="DE335" s="58">
        <f t="shared" ca="1" si="834"/>
        <v>0</v>
      </c>
      <c r="DF335" s="58">
        <f t="shared" ca="1" si="834"/>
        <v>0</v>
      </c>
      <c r="DG335" s="58">
        <f t="shared" ca="1" si="834"/>
        <v>0</v>
      </c>
      <c r="DH335" s="58">
        <f t="shared" ca="1" si="834"/>
        <v>0</v>
      </c>
      <c r="DI335" s="58">
        <f t="shared" ca="1" si="834"/>
        <v>0</v>
      </c>
      <c r="DJ335" s="58">
        <f t="shared" ca="1" si="834"/>
        <v>0</v>
      </c>
      <c r="DK335" s="58">
        <f t="shared" ca="1" si="834"/>
        <v>0</v>
      </c>
      <c r="DL335" s="58">
        <f t="shared" ca="1" si="834"/>
        <v>0</v>
      </c>
      <c r="DM335" s="58">
        <f t="shared" ca="1" si="834"/>
        <v>0</v>
      </c>
      <c r="DN335" s="58">
        <f t="shared" ca="1" si="834"/>
        <v>0</v>
      </c>
      <c r="DO335" s="58">
        <f t="shared" ca="1" si="834"/>
        <v>0</v>
      </c>
      <c r="DP335" s="58">
        <f t="shared" ca="1" si="834"/>
        <v>0</v>
      </c>
      <c r="DQ335" s="58">
        <f t="shared" ca="1" si="834"/>
        <v>0</v>
      </c>
      <c r="DR335" s="58">
        <f t="shared" ca="1" si="834"/>
        <v>0</v>
      </c>
      <c r="DS335" s="58">
        <f t="shared" ca="1" si="834"/>
        <v>0</v>
      </c>
      <c r="DT335" s="58">
        <f t="shared" ca="1" si="834"/>
        <v>0</v>
      </c>
      <c r="DU335" s="58">
        <f t="shared" ca="1" si="834"/>
        <v>0</v>
      </c>
      <c r="DV335" s="58">
        <f t="shared" ca="1" si="834"/>
        <v>0</v>
      </c>
      <c r="DW335" s="58">
        <f t="shared" ca="1" si="834"/>
        <v>0</v>
      </c>
      <c r="DX335" s="58">
        <f t="shared" ca="1" si="834"/>
        <v>0</v>
      </c>
      <c r="DY335" s="58">
        <f t="shared" ca="1" si="834"/>
        <v>0</v>
      </c>
      <c r="DZ335" s="58">
        <f t="shared" ca="1" si="834"/>
        <v>0</v>
      </c>
      <c r="EA335" s="58">
        <f t="shared" ca="1" si="834"/>
        <v>0</v>
      </c>
      <c r="EB335" s="58">
        <f t="shared" ca="1" si="834"/>
        <v>0</v>
      </c>
      <c r="EC335" s="58">
        <f t="shared" ca="1" si="834"/>
        <v>0</v>
      </c>
      <c r="ED335" s="58">
        <f t="shared" ca="1" si="834"/>
        <v>0</v>
      </c>
      <c r="EE335" s="58">
        <f t="shared" ref="EE335:FN335" ca="1" si="835">+IF(OR($F335+EE$175&lt;1,(EE$176-1)*12&lt;-$F335),0,OFFSET(EE165,0,$F335))</f>
        <v>0</v>
      </c>
      <c r="EF335" s="58">
        <f t="shared" ca="1" si="835"/>
        <v>0</v>
      </c>
      <c r="EG335" s="58">
        <f t="shared" ca="1" si="835"/>
        <v>0</v>
      </c>
      <c r="EH335" s="58">
        <f t="shared" ca="1" si="835"/>
        <v>0</v>
      </c>
      <c r="EI335" s="58">
        <f t="shared" ca="1" si="835"/>
        <v>0</v>
      </c>
      <c r="EJ335" s="58">
        <f t="shared" ca="1" si="835"/>
        <v>0</v>
      </c>
      <c r="EK335" s="58">
        <f t="shared" ca="1" si="835"/>
        <v>0</v>
      </c>
      <c r="EL335" s="58">
        <f t="shared" ca="1" si="835"/>
        <v>0</v>
      </c>
      <c r="EM335" s="58">
        <f t="shared" ca="1" si="835"/>
        <v>0</v>
      </c>
      <c r="EN335" s="58">
        <f t="shared" ca="1" si="835"/>
        <v>0</v>
      </c>
      <c r="EO335" s="58">
        <f t="shared" ca="1" si="835"/>
        <v>0</v>
      </c>
      <c r="EP335" s="58">
        <f t="shared" ca="1" si="835"/>
        <v>0</v>
      </c>
      <c r="EQ335" s="58">
        <f t="shared" ca="1" si="835"/>
        <v>0</v>
      </c>
      <c r="ER335" s="58">
        <f t="shared" ca="1" si="835"/>
        <v>0</v>
      </c>
      <c r="ES335" s="58">
        <f t="shared" ca="1" si="835"/>
        <v>0</v>
      </c>
      <c r="ET335" s="58">
        <f t="shared" ca="1" si="835"/>
        <v>0</v>
      </c>
      <c r="EU335" s="58">
        <f t="shared" ca="1" si="835"/>
        <v>0</v>
      </c>
      <c r="EV335" s="58">
        <f t="shared" ca="1" si="835"/>
        <v>0</v>
      </c>
      <c r="EW335" s="58">
        <f t="shared" ca="1" si="835"/>
        <v>0</v>
      </c>
      <c r="EX335" s="58">
        <f t="shared" ca="1" si="835"/>
        <v>0</v>
      </c>
      <c r="EY335" s="58">
        <f t="shared" ca="1" si="835"/>
        <v>0</v>
      </c>
      <c r="EZ335" s="58">
        <f t="shared" ca="1" si="835"/>
        <v>0</v>
      </c>
      <c r="FA335" s="58">
        <f t="shared" ca="1" si="835"/>
        <v>0</v>
      </c>
      <c r="FB335" s="58">
        <f t="shared" ca="1" si="835"/>
        <v>0</v>
      </c>
      <c r="FC335" s="58">
        <f t="shared" ca="1" si="835"/>
        <v>0</v>
      </c>
      <c r="FD335" s="58">
        <f t="shared" ca="1" si="835"/>
        <v>0</v>
      </c>
      <c r="FE335" s="58">
        <f t="shared" ca="1" si="835"/>
        <v>0</v>
      </c>
      <c r="FF335" s="58">
        <f t="shared" ca="1" si="835"/>
        <v>0</v>
      </c>
      <c r="FG335" s="58">
        <f t="shared" ca="1" si="835"/>
        <v>0</v>
      </c>
      <c r="FH335" s="58">
        <f t="shared" ca="1" si="835"/>
        <v>0</v>
      </c>
      <c r="FI335" s="58">
        <f t="shared" ca="1" si="835"/>
        <v>0</v>
      </c>
      <c r="FJ335" s="58">
        <f t="shared" ca="1" si="835"/>
        <v>0</v>
      </c>
      <c r="FK335" s="58">
        <f t="shared" ca="1" si="835"/>
        <v>0</v>
      </c>
      <c r="FL335" s="58">
        <f t="shared" ca="1" si="835"/>
        <v>0</v>
      </c>
      <c r="FM335" s="58">
        <f t="shared" ca="1" si="835"/>
        <v>0</v>
      </c>
      <c r="FN335" s="58">
        <f t="shared" ca="1" si="835"/>
        <v>0</v>
      </c>
      <c r="FO335" s="13"/>
    </row>
    <row r="336" spans="1:171" outlineLevel="1" x14ac:dyDescent="0.3">
      <c r="A336" s="13"/>
      <c r="B336" s="13"/>
      <c r="C336" s="13"/>
      <c r="D336" s="52">
        <f t="shared" si="683"/>
        <v>44986</v>
      </c>
      <c r="E336" s="53">
        <f t="shared" si="684"/>
        <v>2023</v>
      </c>
      <c r="F336" s="53">
        <f t="shared" si="685"/>
        <v>110</v>
      </c>
      <c r="G336" s="58">
        <f t="shared" ref="G336:AL336" ca="1" si="836">+IF(OR($F336+G$175&lt;1,(G$176-1)*12&lt;-$F336),0,OFFSET(G166,0,$F336))</f>
        <v>0</v>
      </c>
      <c r="H336" s="58">
        <f t="shared" ca="1" si="836"/>
        <v>0</v>
      </c>
      <c r="I336" s="58">
        <f t="shared" ca="1" si="836"/>
        <v>0</v>
      </c>
      <c r="J336" s="58">
        <f t="shared" ca="1" si="836"/>
        <v>0</v>
      </c>
      <c r="K336" s="58">
        <f t="shared" ca="1" si="836"/>
        <v>0</v>
      </c>
      <c r="L336" s="58">
        <f t="shared" ca="1" si="836"/>
        <v>0</v>
      </c>
      <c r="M336" s="58">
        <f t="shared" ca="1" si="836"/>
        <v>0</v>
      </c>
      <c r="N336" s="58">
        <f t="shared" ca="1" si="836"/>
        <v>0</v>
      </c>
      <c r="O336" s="58">
        <f t="shared" ca="1" si="836"/>
        <v>0</v>
      </c>
      <c r="P336" s="58">
        <f t="shared" ca="1" si="836"/>
        <v>0</v>
      </c>
      <c r="Q336" s="58">
        <f t="shared" ca="1" si="836"/>
        <v>0</v>
      </c>
      <c r="R336" s="58">
        <f t="shared" ca="1" si="836"/>
        <v>0</v>
      </c>
      <c r="S336" s="58">
        <f t="shared" ca="1" si="836"/>
        <v>0</v>
      </c>
      <c r="T336" s="58">
        <f t="shared" ca="1" si="836"/>
        <v>0</v>
      </c>
      <c r="U336" s="58">
        <f t="shared" ca="1" si="836"/>
        <v>0</v>
      </c>
      <c r="V336" s="58">
        <f t="shared" ca="1" si="836"/>
        <v>0</v>
      </c>
      <c r="W336" s="58">
        <f t="shared" ca="1" si="836"/>
        <v>0</v>
      </c>
      <c r="X336" s="58">
        <f t="shared" ca="1" si="836"/>
        <v>0</v>
      </c>
      <c r="Y336" s="58">
        <f t="shared" ca="1" si="836"/>
        <v>0</v>
      </c>
      <c r="Z336" s="58">
        <f t="shared" ca="1" si="836"/>
        <v>0</v>
      </c>
      <c r="AA336" s="58">
        <f t="shared" ca="1" si="836"/>
        <v>0</v>
      </c>
      <c r="AB336" s="58">
        <f t="shared" ca="1" si="836"/>
        <v>0</v>
      </c>
      <c r="AC336" s="58">
        <f t="shared" ca="1" si="836"/>
        <v>0</v>
      </c>
      <c r="AD336" s="58">
        <f t="shared" ca="1" si="836"/>
        <v>0</v>
      </c>
      <c r="AE336" s="58">
        <f t="shared" ca="1" si="836"/>
        <v>0</v>
      </c>
      <c r="AF336" s="58">
        <f t="shared" ca="1" si="836"/>
        <v>0</v>
      </c>
      <c r="AG336" s="58">
        <f t="shared" ca="1" si="836"/>
        <v>0</v>
      </c>
      <c r="AH336" s="58">
        <f t="shared" ca="1" si="836"/>
        <v>0</v>
      </c>
      <c r="AI336" s="58">
        <f t="shared" ca="1" si="836"/>
        <v>0</v>
      </c>
      <c r="AJ336" s="58">
        <f t="shared" ca="1" si="836"/>
        <v>0</v>
      </c>
      <c r="AK336" s="58">
        <f t="shared" ca="1" si="836"/>
        <v>0</v>
      </c>
      <c r="AL336" s="58">
        <f t="shared" ca="1" si="836"/>
        <v>0</v>
      </c>
      <c r="AM336" s="58">
        <f t="shared" ref="AM336:BR336" ca="1" si="837">+IF(OR($F336+AM$175&lt;1,(AM$176-1)*12&lt;-$F336),0,OFFSET(AM166,0,$F336))</f>
        <v>0</v>
      </c>
      <c r="AN336" s="58">
        <f t="shared" ca="1" si="837"/>
        <v>0</v>
      </c>
      <c r="AO336" s="58">
        <f t="shared" ca="1" si="837"/>
        <v>0</v>
      </c>
      <c r="AP336" s="58">
        <f t="shared" ca="1" si="837"/>
        <v>0</v>
      </c>
      <c r="AQ336" s="58">
        <f t="shared" ca="1" si="837"/>
        <v>0</v>
      </c>
      <c r="AR336" s="58">
        <f t="shared" ca="1" si="837"/>
        <v>0</v>
      </c>
      <c r="AS336" s="58">
        <f t="shared" ca="1" si="837"/>
        <v>0</v>
      </c>
      <c r="AT336" s="58">
        <f t="shared" ca="1" si="837"/>
        <v>0</v>
      </c>
      <c r="AU336" s="58">
        <f t="shared" ca="1" si="837"/>
        <v>0</v>
      </c>
      <c r="AV336" s="58">
        <f t="shared" ca="1" si="837"/>
        <v>0</v>
      </c>
      <c r="AW336" s="58">
        <f t="shared" ca="1" si="837"/>
        <v>0</v>
      </c>
      <c r="AX336" s="58">
        <f t="shared" ca="1" si="837"/>
        <v>0</v>
      </c>
      <c r="AY336" s="58">
        <f t="shared" ca="1" si="837"/>
        <v>0</v>
      </c>
      <c r="AZ336" s="58">
        <f t="shared" ca="1" si="837"/>
        <v>0</v>
      </c>
      <c r="BA336" s="58">
        <f t="shared" ca="1" si="837"/>
        <v>0</v>
      </c>
      <c r="BB336" s="58">
        <f t="shared" ca="1" si="837"/>
        <v>0</v>
      </c>
      <c r="BC336" s="58">
        <f t="shared" ca="1" si="837"/>
        <v>0</v>
      </c>
      <c r="BD336" s="58">
        <f t="shared" ca="1" si="837"/>
        <v>0</v>
      </c>
      <c r="BE336" s="58">
        <f t="shared" ca="1" si="837"/>
        <v>0</v>
      </c>
      <c r="BF336" s="58">
        <f t="shared" ca="1" si="837"/>
        <v>0</v>
      </c>
      <c r="BG336" s="58">
        <f t="shared" ca="1" si="837"/>
        <v>0</v>
      </c>
      <c r="BH336" s="58">
        <f t="shared" ca="1" si="837"/>
        <v>0</v>
      </c>
      <c r="BI336" s="58">
        <f t="shared" ca="1" si="837"/>
        <v>0</v>
      </c>
      <c r="BJ336" s="58">
        <f t="shared" ca="1" si="837"/>
        <v>0</v>
      </c>
      <c r="BK336" s="58">
        <f t="shared" ca="1" si="837"/>
        <v>0</v>
      </c>
      <c r="BL336" s="58">
        <f t="shared" ca="1" si="837"/>
        <v>0</v>
      </c>
      <c r="BM336" s="58">
        <f t="shared" ca="1" si="837"/>
        <v>0</v>
      </c>
      <c r="BN336" s="58">
        <f t="shared" ca="1" si="837"/>
        <v>0</v>
      </c>
      <c r="BO336" s="58">
        <f t="shared" ca="1" si="837"/>
        <v>0</v>
      </c>
      <c r="BP336" s="58">
        <f t="shared" ca="1" si="837"/>
        <v>0</v>
      </c>
      <c r="BQ336" s="58">
        <f t="shared" ca="1" si="837"/>
        <v>0</v>
      </c>
      <c r="BR336" s="58">
        <f t="shared" ca="1" si="837"/>
        <v>0</v>
      </c>
      <c r="BS336" s="58">
        <f t="shared" ref="BS336:CX336" ca="1" si="838">+IF(OR($F336+BS$175&lt;1,(BS$176-1)*12&lt;-$F336),0,OFFSET(BS166,0,$F336))</f>
        <v>0</v>
      </c>
      <c r="BT336" s="58">
        <f t="shared" ca="1" si="838"/>
        <v>0</v>
      </c>
      <c r="BU336" s="58">
        <f t="shared" ca="1" si="838"/>
        <v>0</v>
      </c>
      <c r="BV336" s="58">
        <f t="shared" ca="1" si="838"/>
        <v>0</v>
      </c>
      <c r="BW336" s="58">
        <f t="shared" ca="1" si="838"/>
        <v>0</v>
      </c>
      <c r="BX336" s="58">
        <f t="shared" ca="1" si="838"/>
        <v>0</v>
      </c>
      <c r="BY336" s="58">
        <f t="shared" ca="1" si="838"/>
        <v>0</v>
      </c>
      <c r="BZ336" s="58">
        <f t="shared" ca="1" si="838"/>
        <v>0</v>
      </c>
      <c r="CA336" s="58">
        <f t="shared" ca="1" si="838"/>
        <v>0</v>
      </c>
      <c r="CB336" s="58">
        <f t="shared" ca="1" si="838"/>
        <v>0</v>
      </c>
      <c r="CC336" s="58">
        <f t="shared" ca="1" si="838"/>
        <v>0</v>
      </c>
      <c r="CD336" s="58">
        <f t="shared" ca="1" si="838"/>
        <v>0</v>
      </c>
      <c r="CE336" s="58">
        <f t="shared" ca="1" si="838"/>
        <v>0</v>
      </c>
      <c r="CF336" s="58">
        <f t="shared" ca="1" si="838"/>
        <v>0</v>
      </c>
      <c r="CG336" s="58">
        <f t="shared" ca="1" si="838"/>
        <v>0</v>
      </c>
      <c r="CH336" s="58">
        <f t="shared" ca="1" si="838"/>
        <v>0</v>
      </c>
      <c r="CI336" s="58">
        <f t="shared" ca="1" si="838"/>
        <v>0</v>
      </c>
      <c r="CJ336" s="58">
        <f t="shared" ca="1" si="838"/>
        <v>0</v>
      </c>
      <c r="CK336" s="58">
        <f t="shared" ca="1" si="838"/>
        <v>0</v>
      </c>
      <c r="CL336" s="58">
        <f t="shared" ca="1" si="838"/>
        <v>0</v>
      </c>
      <c r="CM336" s="58">
        <f t="shared" ca="1" si="838"/>
        <v>0</v>
      </c>
      <c r="CN336" s="58">
        <f t="shared" ca="1" si="838"/>
        <v>0</v>
      </c>
      <c r="CO336" s="58">
        <f t="shared" ca="1" si="838"/>
        <v>0</v>
      </c>
      <c r="CP336" s="58">
        <f t="shared" ca="1" si="838"/>
        <v>0</v>
      </c>
      <c r="CQ336" s="58">
        <f t="shared" ca="1" si="838"/>
        <v>0</v>
      </c>
      <c r="CR336" s="58">
        <f t="shared" ca="1" si="838"/>
        <v>0</v>
      </c>
      <c r="CS336" s="58">
        <f t="shared" ca="1" si="838"/>
        <v>0</v>
      </c>
      <c r="CT336" s="58">
        <f t="shared" ca="1" si="838"/>
        <v>0</v>
      </c>
      <c r="CU336" s="58">
        <f t="shared" ca="1" si="838"/>
        <v>0</v>
      </c>
      <c r="CV336" s="58">
        <f t="shared" ca="1" si="838"/>
        <v>0</v>
      </c>
      <c r="CW336" s="58">
        <f t="shared" ca="1" si="838"/>
        <v>0</v>
      </c>
      <c r="CX336" s="58">
        <f t="shared" ca="1" si="838"/>
        <v>0</v>
      </c>
      <c r="CY336" s="58">
        <f t="shared" ref="CY336:ED336" ca="1" si="839">+IF(OR($F336+CY$175&lt;1,(CY$176-1)*12&lt;-$F336),0,OFFSET(CY166,0,$F336))</f>
        <v>0</v>
      </c>
      <c r="CZ336" s="58">
        <f t="shared" ca="1" si="839"/>
        <v>0</v>
      </c>
      <c r="DA336" s="58">
        <f t="shared" ca="1" si="839"/>
        <v>0</v>
      </c>
      <c r="DB336" s="58">
        <f t="shared" ca="1" si="839"/>
        <v>0</v>
      </c>
      <c r="DC336" s="58">
        <f t="shared" ca="1" si="839"/>
        <v>0</v>
      </c>
      <c r="DD336" s="58">
        <f t="shared" ca="1" si="839"/>
        <v>0</v>
      </c>
      <c r="DE336" s="58">
        <f t="shared" ca="1" si="839"/>
        <v>0</v>
      </c>
      <c r="DF336" s="58">
        <f t="shared" ca="1" si="839"/>
        <v>0</v>
      </c>
      <c r="DG336" s="58">
        <f t="shared" ca="1" si="839"/>
        <v>0</v>
      </c>
      <c r="DH336" s="58">
        <f t="shared" ca="1" si="839"/>
        <v>0</v>
      </c>
      <c r="DI336" s="58">
        <f t="shared" ca="1" si="839"/>
        <v>0</v>
      </c>
      <c r="DJ336" s="58">
        <f t="shared" ca="1" si="839"/>
        <v>0</v>
      </c>
      <c r="DK336" s="58">
        <f t="shared" ca="1" si="839"/>
        <v>0</v>
      </c>
      <c r="DL336" s="58">
        <f t="shared" ca="1" si="839"/>
        <v>0</v>
      </c>
      <c r="DM336" s="58">
        <f t="shared" ca="1" si="839"/>
        <v>0</v>
      </c>
      <c r="DN336" s="58">
        <f t="shared" ca="1" si="839"/>
        <v>0</v>
      </c>
      <c r="DO336" s="58">
        <f t="shared" ca="1" si="839"/>
        <v>0</v>
      </c>
      <c r="DP336" s="58">
        <f t="shared" ca="1" si="839"/>
        <v>0</v>
      </c>
      <c r="DQ336" s="58">
        <f t="shared" ca="1" si="839"/>
        <v>0</v>
      </c>
      <c r="DR336" s="58">
        <f t="shared" ca="1" si="839"/>
        <v>0</v>
      </c>
      <c r="DS336" s="58">
        <f t="shared" ca="1" si="839"/>
        <v>0</v>
      </c>
      <c r="DT336" s="58">
        <f t="shared" ca="1" si="839"/>
        <v>0</v>
      </c>
      <c r="DU336" s="58">
        <f t="shared" ca="1" si="839"/>
        <v>0</v>
      </c>
      <c r="DV336" s="58">
        <f t="shared" ca="1" si="839"/>
        <v>0</v>
      </c>
      <c r="DW336" s="58">
        <f t="shared" ca="1" si="839"/>
        <v>0</v>
      </c>
      <c r="DX336" s="58">
        <f t="shared" ca="1" si="839"/>
        <v>0</v>
      </c>
      <c r="DY336" s="58">
        <f t="shared" ca="1" si="839"/>
        <v>0</v>
      </c>
      <c r="DZ336" s="58">
        <f t="shared" ca="1" si="839"/>
        <v>0</v>
      </c>
      <c r="EA336" s="58">
        <f t="shared" ca="1" si="839"/>
        <v>0</v>
      </c>
      <c r="EB336" s="58">
        <f t="shared" ca="1" si="839"/>
        <v>0</v>
      </c>
      <c r="EC336" s="58">
        <f t="shared" ca="1" si="839"/>
        <v>0</v>
      </c>
      <c r="ED336" s="58">
        <f t="shared" ca="1" si="839"/>
        <v>0</v>
      </c>
      <c r="EE336" s="58">
        <f t="shared" ref="EE336:FN336" ca="1" si="840">+IF(OR($F336+EE$175&lt;1,(EE$176-1)*12&lt;-$F336),0,OFFSET(EE166,0,$F336))</f>
        <v>0</v>
      </c>
      <c r="EF336" s="58">
        <f t="shared" ca="1" si="840"/>
        <v>0</v>
      </c>
      <c r="EG336" s="58">
        <f t="shared" ca="1" si="840"/>
        <v>0</v>
      </c>
      <c r="EH336" s="58">
        <f t="shared" ca="1" si="840"/>
        <v>0</v>
      </c>
      <c r="EI336" s="58">
        <f t="shared" ca="1" si="840"/>
        <v>0</v>
      </c>
      <c r="EJ336" s="58">
        <f t="shared" ca="1" si="840"/>
        <v>0</v>
      </c>
      <c r="EK336" s="58">
        <f t="shared" ca="1" si="840"/>
        <v>0</v>
      </c>
      <c r="EL336" s="58">
        <f t="shared" ca="1" si="840"/>
        <v>0</v>
      </c>
      <c r="EM336" s="58">
        <f t="shared" ca="1" si="840"/>
        <v>0</v>
      </c>
      <c r="EN336" s="58">
        <f t="shared" ca="1" si="840"/>
        <v>0</v>
      </c>
      <c r="EO336" s="58">
        <f t="shared" ca="1" si="840"/>
        <v>0</v>
      </c>
      <c r="EP336" s="58">
        <f t="shared" ca="1" si="840"/>
        <v>0</v>
      </c>
      <c r="EQ336" s="58">
        <f t="shared" ca="1" si="840"/>
        <v>0</v>
      </c>
      <c r="ER336" s="58">
        <f t="shared" ca="1" si="840"/>
        <v>0</v>
      </c>
      <c r="ES336" s="58">
        <f t="shared" ca="1" si="840"/>
        <v>0</v>
      </c>
      <c r="ET336" s="58">
        <f t="shared" ca="1" si="840"/>
        <v>0</v>
      </c>
      <c r="EU336" s="58">
        <f t="shared" ca="1" si="840"/>
        <v>0</v>
      </c>
      <c r="EV336" s="58">
        <f t="shared" ca="1" si="840"/>
        <v>0</v>
      </c>
      <c r="EW336" s="58">
        <f t="shared" ca="1" si="840"/>
        <v>0</v>
      </c>
      <c r="EX336" s="58">
        <f t="shared" ca="1" si="840"/>
        <v>0</v>
      </c>
      <c r="EY336" s="58">
        <f t="shared" ca="1" si="840"/>
        <v>0</v>
      </c>
      <c r="EZ336" s="58">
        <f t="shared" ca="1" si="840"/>
        <v>0</v>
      </c>
      <c r="FA336" s="58">
        <f t="shared" ca="1" si="840"/>
        <v>0</v>
      </c>
      <c r="FB336" s="58">
        <f t="shared" ca="1" si="840"/>
        <v>0</v>
      </c>
      <c r="FC336" s="58">
        <f t="shared" ca="1" si="840"/>
        <v>0</v>
      </c>
      <c r="FD336" s="58">
        <f t="shared" ca="1" si="840"/>
        <v>0</v>
      </c>
      <c r="FE336" s="58">
        <f t="shared" ca="1" si="840"/>
        <v>0</v>
      </c>
      <c r="FF336" s="58">
        <f t="shared" ca="1" si="840"/>
        <v>0</v>
      </c>
      <c r="FG336" s="58">
        <f t="shared" ca="1" si="840"/>
        <v>0</v>
      </c>
      <c r="FH336" s="58">
        <f t="shared" ca="1" si="840"/>
        <v>0</v>
      </c>
      <c r="FI336" s="58">
        <f t="shared" ca="1" si="840"/>
        <v>0</v>
      </c>
      <c r="FJ336" s="58">
        <f t="shared" ca="1" si="840"/>
        <v>0</v>
      </c>
      <c r="FK336" s="58">
        <f t="shared" ca="1" si="840"/>
        <v>0</v>
      </c>
      <c r="FL336" s="58">
        <f t="shared" ca="1" si="840"/>
        <v>0</v>
      </c>
      <c r="FM336" s="58">
        <f t="shared" ca="1" si="840"/>
        <v>0</v>
      </c>
      <c r="FN336" s="58">
        <f t="shared" ca="1" si="840"/>
        <v>0</v>
      </c>
      <c r="FO336" s="13"/>
    </row>
    <row r="337" spans="1:171" outlineLevel="1" x14ac:dyDescent="0.3">
      <c r="A337" s="13"/>
      <c r="B337" s="13"/>
      <c r="C337" s="13"/>
      <c r="D337" s="52">
        <f t="shared" si="683"/>
        <v>45017</v>
      </c>
      <c r="E337" s="53">
        <f t="shared" si="684"/>
        <v>2023</v>
      </c>
      <c r="F337" s="53">
        <f t="shared" si="685"/>
        <v>111</v>
      </c>
      <c r="G337" s="58">
        <f t="shared" ref="G337:AL337" ca="1" si="841">+IF(OR($F337+G$175&lt;1,(G$176-1)*12&lt;-$F337),0,OFFSET(G167,0,$F337))</f>
        <v>0</v>
      </c>
      <c r="H337" s="58">
        <f t="shared" ca="1" si="841"/>
        <v>0</v>
      </c>
      <c r="I337" s="58">
        <f t="shared" ca="1" si="841"/>
        <v>0</v>
      </c>
      <c r="J337" s="58">
        <f t="shared" ca="1" si="841"/>
        <v>0</v>
      </c>
      <c r="K337" s="58">
        <f t="shared" ca="1" si="841"/>
        <v>0</v>
      </c>
      <c r="L337" s="58">
        <f t="shared" ca="1" si="841"/>
        <v>0</v>
      </c>
      <c r="M337" s="58">
        <f t="shared" ca="1" si="841"/>
        <v>0</v>
      </c>
      <c r="N337" s="58">
        <f t="shared" ca="1" si="841"/>
        <v>0</v>
      </c>
      <c r="O337" s="58">
        <f t="shared" ca="1" si="841"/>
        <v>0</v>
      </c>
      <c r="P337" s="58">
        <f t="shared" ca="1" si="841"/>
        <v>0</v>
      </c>
      <c r="Q337" s="58">
        <f t="shared" ca="1" si="841"/>
        <v>0</v>
      </c>
      <c r="R337" s="58">
        <f t="shared" ca="1" si="841"/>
        <v>0</v>
      </c>
      <c r="S337" s="58">
        <f t="shared" ca="1" si="841"/>
        <v>0</v>
      </c>
      <c r="T337" s="58">
        <f t="shared" ca="1" si="841"/>
        <v>0</v>
      </c>
      <c r="U337" s="58">
        <f t="shared" ca="1" si="841"/>
        <v>0</v>
      </c>
      <c r="V337" s="58">
        <f t="shared" ca="1" si="841"/>
        <v>0</v>
      </c>
      <c r="W337" s="58">
        <f t="shared" ca="1" si="841"/>
        <v>0</v>
      </c>
      <c r="X337" s="58">
        <f t="shared" ca="1" si="841"/>
        <v>0</v>
      </c>
      <c r="Y337" s="58">
        <f t="shared" ca="1" si="841"/>
        <v>0</v>
      </c>
      <c r="Z337" s="58">
        <f t="shared" ca="1" si="841"/>
        <v>0</v>
      </c>
      <c r="AA337" s="58">
        <f t="shared" ca="1" si="841"/>
        <v>0</v>
      </c>
      <c r="AB337" s="58">
        <f t="shared" ca="1" si="841"/>
        <v>0</v>
      </c>
      <c r="AC337" s="58">
        <f t="shared" ca="1" si="841"/>
        <v>0</v>
      </c>
      <c r="AD337" s="58">
        <f t="shared" ca="1" si="841"/>
        <v>0</v>
      </c>
      <c r="AE337" s="58">
        <f t="shared" ca="1" si="841"/>
        <v>0</v>
      </c>
      <c r="AF337" s="58">
        <f t="shared" ca="1" si="841"/>
        <v>0</v>
      </c>
      <c r="AG337" s="58">
        <f t="shared" ca="1" si="841"/>
        <v>0</v>
      </c>
      <c r="AH337" s="58">
        <f t="shared" ca="1" si="841"/>
        <v>0</v>
      </c>
      <c r="AI337" s="58">
        <f t="shared" ca="1" si="841"/>
        <v>0</v>
      </c>
      <c r="AJ337" s="58">
        <f t="shared" ca="1" si="841"/>
        <v>0</v>
      </c>
      <c r="AK337" s="58">
        <f t="shared" ca="1" si="841"/>
        <v>0</v>
      </c>
      <c r="AL337" s="58">
        <f t="shared" ca="1" si="841"/>
        <v>0</v>
      </c>
      <c r="AM337" s="58">
        <f t="shared" ref="AM337:BR337" ca="1" si="842">+IF(OR($F337+AM$175&lt;1,(AM$176-1)*12&lt;-$F337),0,OFFSET(AM167,0,$F337))</f>
        <v>0</v>
      </c>
      <c r="AN337" s="58">
        <f t="shared" ca="1" si="842"/>
        <v>0</v>
      </c>
      <c r="AO337" s="58">
        <f t="shared" ca="1" si="842"/>
        <v>0</v>
      </c>
      <c r="AP337" s="58">
        <f t="shared" ca="1" si="842"/>
        <v>0</v>
      </c>
      <c r="AQ337" s="58">
        <f t="shared" ca="1" si="842"/>
        <v>0</v>
      </c>
      <c r="AR337" s="58">
        <f t="shared" ca="1" si="842"/>
        <v>0</v>
      </c>
      <c r="AS337" s="58">
        <f t="shared" ca="1" si="842"/>
        <v>0</v>
      </c>
      <c r="AT337" s="58">
        <f t="shared" ca="1" si="842"/>
        <v>0</v>
      </c>
      <c r="AU337" s="58">
        <f t="shared" ca="1" si="842"/>
        <v>0</v>
      </c>
      <c r="AV337" s="58">
        <f t="shared" ca="1" si="842"/>
        <v>0</v>
      </c>
      <c r="AW337" s="58">
        <f t="shared" ca="1" si="842"/>
        <v>0</v>
      </c>
      <c r="AX337" s="58">
        <f t="shared" ca="1" si="842"/>
        <v>0</v>
      </c>
      <c r="AY337" s="58">
        <f t="shared" ca="1" si="842"/>
        <v>0</v>
      </c>
      <c r="AZ337" s="58">
        <f t="shared" ca="1" si="842"/>
        <v>0</v>
      </c>
      <c r="BA337" s="58">
        <f t="shared" ca="1" si="842"/>
        <v>0</v>
      </c>
      <c r="BB337" s="58">
        <f t="shared" ca="1" si="842"/>
        <v>0</v>
      </c>
      <c r="BC337" s="58">
        <f t="shared" ca="1" si="842"/>
        <v>0</v>
      </c>
      <c r="BD337" s="58">
        <f t="shared" ca="1" si="842"/>
        <v>0</v>
      </c>
      <c r="BE337" s="58">
        <f t="shared" ca="1" si="842"/>
        <v>0</v>
      </c>
      <c r="BF337" s="58">
        <f t="shared" ca="1" si="842"/>
        <v>0</v>
      </c>
      <c r="BG337" s="58">
        <f t="shared" ca="1" si="842"/>
        <v>0</v>
      </c>
      <c r="BH337" s="58">
        <f t="shared" ca="1" si="842"/>
        <v>0</v>
      </c>
      <c r="BI337" s="58">
        <f t="shared" ca="1" si="842"/>
        <v>0</v>
      </c>
      <c r="BJ337" s="58">
        <f t="shared" ca="1" si="842"/>
        <v>0</v>
      </c>
      <c r="BK337" s="58">
        <f t="shared" ca="1" si="842"/>
        <v>0</v>
      </c>
      <c r="BL337" s="58">
        <f t="shared" ca="1" si="842"/>
        <v>0</v>
      </c>
      <c r="BM337" s="58">
        <f t="shared" ca="1" si="842"/>
        <v>0</v>
      </c>
      <c r="BN337" s="58">
        <f t="shared" ca="1" si="842"/>
        <v>0</v>
      </c>
      <c r="BO337" s="58">
        <f t="shared" ca="1" si="842"/>
        <v>0</v>
      </c>
      <c r="BP337" s="58">
        <f t="shared" ca="1" si="842"/>
        <v>0</v>
      </c>
      <c r="BQ337" s="58">
        <f t="shared" ca="1" si="842"/>
        <v>0</v>
      </c>
      <c r="BR337" s="58">
        <f t="shared" ca="1" si="842"/>
        <v>0</v>
      </c>
      <c r="BS337" s="58">
        <f t="shared" ref="BS337:CX337" ca="1" si="843">+IF(OR($F337+BS$175&lt;1,(BS$176-1)*12&lt;-$F337),0,OFFSET(BS167,0,$F337))</f>
        <v>0</v>
      </c>
      <c r="BT337" s="58">
        <f t="shared" ca="1" si="843"/>
        <v>0</v>
      </c>
      <c r="BU337" s="58">
        <f t="shared" ca="1" si="843"/>
        <v>0</v>
      </c>
      <c r="BV337" s="58">
        <f t="shared" ca="1" si="843"/>
        <v>0</v>
      </c>
      <c r="BW337" s="58">
        <f t="shared" ca="1" si="843"/>
        <v>0</v>
      </c>
      <c r="BX337" s="58">
        <f t="shared" ca="1" si="843"/>
        <v>0</v>
      </c>
      <c r="BY337" s="58">
        <f t="shared" ca="1" si="843"/>
        <v>0</v>
      </c>
      <c r="BZ337" s="58">
        <f t="shared" ca="1" si="843"/>
        <v>0</v>
      </c>
      <c r="CA337" s="58">
        <f t="shared" ca="1" si="843"/>
        <v>0</v>
      </c>
      <c r="CB337" s="58">
        <f t="shared" ca="1" si="843"/>
        <v>0</v>
      </c>
      <c r="CC337" s="58">
        <f t="shared" ca="1" si="843"/>
        <v>0</v>
      </c>
      <c r="CD337" s="58">
        <f t="shared" ca="1" si="843"/>
        <v>0</v>
      </c>
      <c r="CE337" s="58">
        <f t="shared" ca="1" si="843"/>
        <v>0</v>
      </c>
      <c r="CF337" s="58">
        <f t="shared" ca="1" si="843"/>
        <v>0</v>
      </c>
      <c r="CG337" s="58">
        <f t="shared" ca="1" si="843"/>
        <v>0</v>
      </c>
      <c r="CH337" s="58">
        <f t="shared" ca="1" si="843"/>
        <v>0</v>
      </c>
      <c r="CI337" s="58">
        <f t="shared" ca="1" si="843"/>
        <v>0</v>
      </c>
      <c r="CJ337" s="58">
        <f t="shared" ca="1" si="843"/>
        <v>0</v>
      </c>
      <c r="CK337" s="58">
        <f t="shared" ca="1" si="843"/>
        <v>0</v>
      </c>
      <c r="CL337" s="58">
        <f t="shared" ca="1" si="843"/>
        <v>0</v>
      </c>
      <c r="CM337" s="58">
        <f t="shared" ca="1" si="843"/>
        <v>0</v>
      </c>
      <c r="CN337" s="58">
        <f t="shared" ca="1" si="843"/>
        <v>0</v>
      </c>
      <c r="CO337" s="58">
        <f t="shared" ca="1" si="843"/>
        <v>0</v>
      </c>
      <c r="CP337" s="58">
        <f t="shared" ca="1" si="843"/>
        <v>0</v>
      </c>
      <c r="CQ337" s="58">
        <f t="shared" ca="1" si="843"/>
        <v>0</v>
      </c>
      <c r="CR337" s="58">
        <f t="shared" ca="1" si="843"/>
        <v>0</v>
      </c>
      <c r="CS337" s="58">
        <f t="shared" ca="1" si="843"/>
        <v>0</v>
      </c>
      <c r="CT337" s="58">
        <f t="shared" ca="1" si="843"/>
        <v>0</v>
      </c>
      <c r="CU337" s="58">
        <f t="shared" ca="1" si="843"/>
        <v>0</v>
      </c>
      <c r="CV337" s="58">
        <f t="shared" ca="1" si="843"/>
        <v>0</v>
      </c>
      <c r="CW337" s="58">
        <f t="shared" ca="1" si="843"/>
        <v>0</v>
      </c>
      <c r="CX337" s="58">
        <f t="shared" ca="1" si="843"/>
        <v>0</v>
      </c>
      <c r="CY337" s="58">
        <f t="shared" ref="CY337:ED337" ca="1" si="844">+IF(OR($F337+CY$175&lt;1,(CY$176-1)*12&lt;-$F337),0,OFFSET(CY167,0,$F337))</f>
        <v>0</v>
      </c>
      <c r="CZ337" s="58">
        <f t="shared" ca="1" si="844"/>
        <v>0</v>
      </c>
      <c r="DA337" s="58">
        <f t="shared" ca="1" si="844"/>
        <v>0</v>
      </c>
      <c r="DB337" s="58">
        <f t="shared" ca="1" si="844"/>
        <v>0</v>
      </c>
      <c r="DC337" s="58">
        <f t="shared" ca="1" si="844"/>
        <v>0</v>
      </c>
      <c r="DD337" s="58">
        <f t="shared" ca="1" si="844"/>
        <v>0</v>
      </c>
      <c r="DE337" s="58">
        <f t="shared" ca="1" si="844"/>
        <v>0</v>
      </c>
      <c r="DF337" s="58">
        <f t="shared" ca="1" si="844"/>
        <v>0</v>
      </c>
      <c r="DG337" s="58">
        <f t="shared" ca="1" si="844"/>
        <v>0</v>
      </c>
      <c r="DH337" s="58">
        <f t="shared" ca="1" si="844"/>
        <v>0</v>
      </c>
      <c r="DI337" s="58">
        <f t="shared" ca="1" si="844"/>
        <v>0</v>
      </c>
      <c r="DJ337" s="58">
        <f t="shared" ca="1" si="844"/>
        <v>0</v>
      </c>
      <c r="DK337" s="58">
        <f t="shared" ca="1" si="844"/>
        <v>0</v>
      </c>
      <c r="DL337" s="58">
        <f t="shared" ca="1" si="844"/>
        <v>0</v>
      </c>
      <c r="DM337" s="58">
        <f t="shared" ca="1" si="844"/>
        <v>0</v>
      </c>
      <c r="DN337" s="58">
        <f t="shared" ca="1" si="844"/>
        <v>0</v>
      </c>
      <c r="DO337" s="58">
        <f t="shared" ca="1" si="844"/>
        <v>0</v>
      </c>
      <c r="DP337" s="58">
        <f t="shared" ca="1" si="844"/>
        <v>0</v>
      </c>
      <c r="DQ337" s="58">
        <f t="shared" ca="1" si="844"/>
        <v>0</v>
      </c>
      <c r="DR337" s="58">
        <f t="shared" ca="1" si="844"/>
        <v>0</v>
      </c>
      <c r="DS337" s="58">
        <f t="shared" ca="1" si="844"/>
        <v>0</v>
      </c>
      <c r="DT337" s="58">
        <f t="shared" ca="1" si="844"/>
        <v>0</v>
      </c>
      <c r="DU337" s="58">
        <f t="shared" ca="1" si="844"/>
        <v>0</v>
      </c>
      <c r="DV337" s="58">
        <f t="shared" ca="1" si="844"/>
        <v>0</v>
      </c>
      <c r="DW337" s="58">
        <f t="shared" ca="1" si="844"/>
        <v>0</v>
      </c>
      <c r="DX337" s="58">
        <f t="shared" ca="1" si="844"/>
        <v>0</v>
      </c>
      <c r="DY337" s="58">
        <f t="shared" ca="1" si="844"/>
        <v>0</v>
      </c>
      <c r="DZ337" s="58">
        <f t="shared" ca="1" si="844"/>
        <v>0</v>
      </c>
      <c r="EA337" s="58">
        <f t="shared" ca="1" si="844"/>
        <v>0</v>
      </c>
      <c r="EB337" s="58">
        <f t="shared" ca="1" si="844"/>
        <v>0</v>
      </c>
      <c r="EC337" s="58">
        <f t="shared" ca="1" si="844"/>
        <v>0</v>
      </c>
      <c r="ED337" s="58">
        <f t="shared" ca="1" si="844"/>
        <v>0</v>
      </c>
      <c r="EE337" s="58">
        <f t="shared" ref="EE337:FN337" ca="1" si="845">+IF(OR($F337+EE$175&lt;1,(EE$176-1)*12&lt;-$F337),0,OFFSET(EE167,0,$F337))</f>
        <v>0</v>
      </c>
      <c r="EF337" s="58">
        <f t="shared" ca="1" si="845"/>
        <v>0</v>
      </c>
      <c r="EG337" s="58">
        <f t="shared" ca="1" si="845"/>
        <v>0</v>
      </c>
      <c r="EH337" s="58">
        <f t="shared" ca="1" si="845"/>
        <v>0</v>
      </c>
      <c r="EI337" s="58">
        <f t="shared" ca="1" si="845"/>
        <v>0</v>
      </c>
      <c r="EJ337" s="58">
        <f t="shared" ca="1" si="845"/>
        <v>0</v>
      </c>
      <c r="EK337" s="58">
        <f t="shared" ca="1" si="845"/>
        <v>0</v>
      </c>
      <c r="EL337" s="58">
        <f t="shared" ca="1" si="845"/>
        <v>0</v>
      </c>
      <c r="EM337" s="58">
        <f t="shared" ca="1" si="845"/>
        <v>0</v>
      </c>
      <c r="EN337" s="58">
        <f t="shared" ca="1" si="845"/>
        <v>0</v>
      </c>
      <c r="EO337" s="58">
        <f t="shared" ca="1" si="845"/>
        <v>0</v>
      </c>
      <c r="EP337" s="58">
        <f t="shared" ca="1" si="845"/>
        <v>0</v>
      </c>
      <c r="EQ337" s="58">
        <f t="shared" ca="1" si="845"/>
        <v>0</v>
      </c>
      <c r="ER337" s="58">
        <f t="shared" ca="1" si="845"/>
        <v>0</v>
      </c>
      <c r="ES337" s="58">
        <f t="shared" ca="1" si="845"/>
        <v>0</v>
      </c>
      <c r="ET337" s="58">
        <f t="shared" ca="1" si="845"/>
        <v>0</v>
      </c>
      <c r="EU337" s="58">
        <f t="shared" ca="1" si="845"/>
        <v>0</v>
      </c>
      <c r="EV337" s="58">
        <f t="shared" ca="1" si="845"/>
        <v>0</v>
      </c>
      <c r="EW337" s="58">
        <f t="shared" ca="1" si="845"/>
        <v>0</v>
      </c>
      <c r="EX337" s="58">
        <f t="shared" ca="1" si="845"/>
        <v>0</v>
      </c>
      <c r="EY337" s="58">
        <f t="shared" ca="1" si="845"/>
        <v>0</v>
      </c>
      <c r="EZ337" s="58">
        <f t="shared" ca="1" si="845"/>
        <v>0</v>
      </c>
      <c r="FA337" s="58">
        <f t="shared" ca="1" si="845"/>
        <v>0</v>
      </c>
      <c r="FB337" s="58">
        <f t="shared" ca="1" si="845"/>
        <v>0</v>
      </c>
      <c r="FC337" s="58">
        <f t="shared" ca="1" si="845"/>
        <v>0</v>
      </c>
      <c r="FD337" s="58">
        <f t="shared" ca="1" si="845"/>
        <v>0</v>
      </c>
      <c r="FE337" s="58">
        <f t="shared" ca="1" si="845"/>
        <v>0</v>
      </c>
      <c r="FF337" s="58">
        <f t="shared" ca="1" si="845"/>
        <v>0</v>
      </c>
      <c r="FG337" s="58">
        <f t="shared" ca="1" si="845"/>
        <v>0</v>
      </c>
      <c r="FH337" s="58">
        <f t="shared" ca="1" si="845"/>
        <v>0</v>
      </c>
      <c r="FI337" s="58">
        <f t="shared" ca="1" si="845"/>
        <v>0</v>
      </c>
      <c r="FJ337" s="58">
        <f t="shared" ca="1" si="845"/>
        <v>0</v>
      </c>
      <c r="FK337" s="58">
        <f t="shared" ca="1" si="845"/>
        <v>0</v>
      </c>
      <c r="FL337" s="58">
        <f t="shared" ca="1" si="845"/>
        <v>0</v>
      </c>
      <c r="FM337" s="58">
        <f t="shared" ca="1" si="845"/>
        <v>0</v>
      </c>
      <c r="FN337" s="58">
        <f t="shared" ca="1" si="845"/>
        <v>0</v>
      </c>
      <c r="FO337" s="13"/>
    </row>
    <row r="338" spans="1:171" outlineLevel="1" x14ac:dyDescent="0.3">
      <c r="A338" s="13"/>
      <c r="B338" s="13"/>
      <c r="C338" s="13"/>
      <c r="D338" s="52">
        <f t="shared" ref="D338:D369" si="846">+D168</f>
        <v>45047</v>
      </c>
      <c r="E338" s="53">
        <f t="shared" ref="E338:E369" si="847">+YEAR(D338)</f>
        <v>2023</v>
      </c>
      <c r="F338" s="53">
        <f t="shared" ref="F338:F369" si="848">+F168</f>
        <v>112</v>
      </c>
      <c r="G338" s="58">
        <f t="shared" ref="G338:AL338" ca="1" si="849">+IF(OR($F338+G$175&lt;1,(G$176-1)*12&lt;-$F338),0,OFFSET(G168,0,$F338))</f>
        <v>0</v>
      </c>
      <c r="H338" s="58">
        <f t="shared" ca="1" si="849"/>
        <v>0</v>
      </c>
      <c r="I338" s="58">
        <f t="shared" ca="1" si="849"/>
        <v>0</v>
      </c>
      <c r="J338" s="58">
        <f t="shared" ca="1" si="849"/>
        <v>0</v>
      </c>
      <c r="K338" s="58">
        <f t="shared" ca="1" si="849"/>
        <v>0</v>
      </c>
      <c r="L338" s="58">
        <f t="shared" ca="1" si="849"/>
        <v>0</v>
      </c>
      <c r="M338" s="58">
        <f t="shared" ca="1" si="849"/>
        <v>0</v>
      </c>
      <c r="N338" s="58">
        <f t="shared" ca="1" si="849"/>
        <v>0</v>
      </c>
      <c r="O338" s="58">
        <f t="shared" ca="1" si="849"/>
        <v>0</v>
      </c>
      <c r="P338" s="58">
        <f t="shared" ca="1" si="849"/>
        <v>0</v>
      </c>
      <c r="Q338" s="58">
        <f t="shared" ca="1" si="849"/>
        <v>0</v>
      </c>
      <c r="R338" s="58">
        <f t="shared" ca="1" si="849"/>
        <v>0</v>
      </c>
      <c r="S338" s="58">
        <f t="shared" ca="1" si="849"/>
        <v>0</v>
      </c>
      <c r="T338" s="58">
        <f t="shared" ca="1" si="849"/>
        <v>0</v>
      </c>
      <c r="U338" s="58">
        <f t="shared" ca="1" si="849"/>
        <v>0</v>
      </c>
      <c r="V338" s="58">
        <f t="shared" ca="1" si="849"/>
        <v>0</v>
      </c>
      <c r="W338" s="58">
        <f t="shared" ca="1" si="849"/>
        <v>0</v>
      </c>
      <c r="X338" s="58">
        <f t="shared" ca="1" si="849"/>
        <v>0</v>
      </c>
      <c r="Y338" s="58">
        <f t="shared" ca="1" si="849"/>
        <v>0</v>
      </c>
      <c r="Z338" s="58">
        <f t="shared" ca="1" si="849"/>
        <v>0</v>
      </c>
      <c r="AA338" s="58">
        <f t="shared" ca="1" si="849"/>
        <v>0</v>
      </c>
      <c r="AB338" s="58">
        <f t="shared" ca="1" si="849"/>
        <v>0</v>
      </c>
      <c r="AC338" s="58">
        <f t="shared" ca="1" si="849"/>
        <v>0</v>
      </c>
      <c r="AD338" s="58">
        <f t="shared" ca="1" si="849"/>
        <v>0</v>
      </c>
      <c r="AE338" s="58">
        <f t="shared" ca="1" si="849"/>
        <v>0</v>
      </c>
      <c r="AF338" s="58">
        <f t="shared" ca="1" si="849"/>
        <v>0</v>
      </c>
      <c r="AG338" s="58">
        <f t="shared" ca="1" si="849"/>
        <v>0</v>
      </c>
      <c r="AH338" s="58">
        <f t="shared" ca="1" si="849"/>
        <v>0</v>
      </c>
      <c r="AI338" s="58">
        <f t="shared" ca="1" si="849"/>
        <v>0</v>
      </c>
      <c r="AJ338" s="58">
        <f t="shared" ca="1" si="849"/>
        <v>0</v>
      </c>
      <c r="AK338" s="58">
        <f t="shared" ca="1" si="849"/>
        <v>0</v>
      </c>
      <c r="AL338" s="58">
        <f t="shared" ca="1" si="849"/>
        <v>0</v>
      </c>
      <c r="AM338" s="58">
        <f t="shared" ref="AM338:BR338" ca="1" si="850">+IF(OR($F338+AM$175&lt;1,(AM$176-1)*12&lt;-$F338),0,OFFSET(AM168,0,$F338))</f>
        <v>0</v>
      </c>
      <c r="AN338" s="58">
        <f t="shared" ca="1" si="850"/>
        <v>0</v>
      </c>
      <c r="AO338" s="58">
        <f t="shared" ca="1" si="850"/>
        <v>0</v>
      </c>
      <c r="AP338" s="58">
        <f t="shared" ca="1" si="850"/>
        <v>0</v>
      </c>
      <c r="AQ338" s="58">
        <f t="shared" ca="1" si="850"/>
        <v>0</v>
      </c>
      <c r="AR338" s="58">
        <f t="shared" ca="1" si="850"/>
        <v>0</v>
      </c>
      <c r="AS338" s="58">
        <f t="shared" ca="1" si="850"/>
        <v>0</v>
      </c>
      <c r="AT338" s="58">
        <f t="shared" ca="1" si="850"/>
        <v>0</v>
      </c>
      <c r="AU338" s="58">
        <f t="shared" ca="1" si="850"/>
        <v>0</v>
      </c>
      <c r="AV338" s="58">
        <f t="shared" ca="1" si="850"/>
        <v>0</v>
      </c>
      <c r="AW338" s="58">
        <f t="shared" ca="1" si="850"/>
        <v>0</v>
      </c>
      <c r="AX338" s="58">
        <f t="shared" ca="1" si="850"/>
        <v>0</v>
      </c>
      <c r="AY338" s="58">
        <f t="shared" ca="1" si="850"/>
        <v>0</v>
      </c>
      <c r="AZ338" s="58">
        <f t="shared" ca="1" si="850"/>
        <v>0</v>
      </c>
      <c r="BA338" s="58">
        <f t="shared" ca="1" si="850"/>
        <v>0</v>
      </c>
      <c r="BB338" s="58">
        <f t="shared" ca="1" si="850"/>
        <v>0</v>
      </c>
      <c r="BC338" s="58">
        <f t="shared" ca="1" si="850"/>
        <v>0</v>
      </c>
      <c r="BD338" s="58">
        <f t="shared" ca="1" si="850"/>
        <v>0</v>
      </c>
      <c r="BE338" s="58">
        <f t="shared" ca="1" si="850"/>
        <v>0</v>
      </c>
      <c r="BF338" s="58">
        <f t="shared" ca="1" si="850"/>
        <v>0</v>
      </c>
      <c r="BG338" s="58">
        <f t="shared" ca="1" si="850"/>
        <v>0</v>
      </c>
      <c r="BH338" s="58">
        <f t="shared" ca="1" si="850"/>
        <v>0</v>
      </c>
      <c r="BI338" s="58">
        <f t="shared" ca="1" si="850"/>
        <v>0</v>
      </c>
      <c r="BJ338" s="58">
        <f t="shared" ca="1" si="850"/>
        <v>0</v>
      </c>
      <c r="BK338" s="58">
        <f t="shared" ca="1" si="850"/>
        <v>0</v>
      </c>
      <c r="BL338" s="58">
        <f t="shared" ca="1" si="850"/>
        <v>0</v>
      </c>
      <c r="BM338" s="58">
        <f t="shared" ca="1" si="850"/>
        <v>0</v>
      </c>
      <c r="BN338" s="58">
        <f t="shared" ca="1" si="850"/>
        <v>0</v>
      </c>
      <c r="BO338" s="58">
        <f t="shared" ca="1" si="850"/>
        <v>0</v>
      </c>
      <c r="BP338" s="58">
        <f t="shared" ca="1" si="850"/>
        <v>0</v>
      </c>
      <c r="BQ338" s="58">
        <f t="shared" ca="1" si="850"/>
        <v>0</v>
      </c>
      <c r="BR338" s="58">
        <f t="shared" ca="1" si="850"/>
        <v>0</v>
      </c>
      <c r="BS338" s="58">
        <f t="shared" ref="BS338:CX338" ca="1" si="851">+IF(OR($F338+BS$175&lt;1,(BS$176-1)*12&lt;-$F338),0,OFFSET(BS168,0,$F338))</f>
        <v>0</v>
      </c>
      <c r="BT338" s="58">
        <f t="shared" ca="1" si="851"/>
        <v>0</v>
      </c>
      <c r="BU338" s="58">
        <f t="shared" ca="1" si="851"/>
        <v>0</v>
      </c>
      <c r="BV338" s="58">
        <f t="shared" ca="1" si="851"/>
        <v>0</v>
      </c>
      <c r="BW338" s="58">
        <f t="shared" ca="1" si="851"/>
        <v>0</v>
      </c>
      <c r="BX338" s="58">
        <f t="shared" ca="1" si="851"/>
        <v>0</v>
      </c>
      <c r="BY338" s="58">
        <f t="shared" ca="1" si="851"/>
        <v>0</v>
      </c>
      <c r="BZ338" s="58">
        <f t="shared" ca="1" si="851"/>
        <v>0</v>
      </c>
      <c r="CA338" s="58">
        <f t="shared" ca="1" si="851"/>
        <v>0</v>
      </c>
      <c r="CB338" s="58">
        <f t="shared" ca="1" si="851"/>
        <v>0</v>
      </c>
      <c r="CC338" s="58">
        <f t="shared" ca="1" si="851"/>
        <v>0</v>
      </c>
      <c r="CD338" s="58">
        <f t="shared" ca="1" si="851"/>
        <v>0</v>
      </c>
      <c r="CE338" s="58">
        <f t="shared" ca="1" si="851"/>
        <v>0</v>
      </c>
      <c r="CF338" s="58">
        <f t="shared" ca="1" si="851"/>
        <v>0</v>
      </c>
      <c r="CG338" s="58">
        <f t="shared" ca="1" si="851"/>
        <v>0</v>
      </c>
      <c r="CH338" s="58">
        <f t="shared" ca="1" si="851"/>
        <v>0</v>
      </c>
      <c r="CI338" s="58">
        <f t="shared" ca="1" si="851"/>
        <v>0</v>
      </c>
      <c r="CJ338" s="58">
        <f t="shared" ca="1" si="851"/>
        <v>0</v>
      </c>
      <c r="CK338" s="58">
        <f t="shared" ca="1" si="851"/>
        <v>0</v>
      </c>
      <c r="CL338" s="58">
        <f t="shared" ca="1" si="851"/>
        <v>0</v>
      </c>
      <c r="CM338" s="58">
        <f t="shared" ca="1" si="851"/>
        <v>0</v>
      </c>
      <c r="CN338" s="58">
        <f t="shared" ca="1" si="851"/>
        <v>0</v>
      </c>
      <c r="CO338" s="58">
        <f t="shared" ca="1" si="851"/>
        <v>0</v>
      </c>
      <c r="CP338" s="58">
        <f t="shared" ca="1" si="851"/>
        <v>0</v>
      </c>
      <c r="CQ338" s="58">
        <f t="shared" ca="1" si="851"/>
        <v>0</v>
      </c>
      <c r="CR338" s="58">
        <f t="shared" ca="1" si="851"/>
        <v>0</v>
      </c>
      <c r="CS338" s="58">
        <f t="shared" ca="1" si="851"/>
        <v>0</v>
      </c>
      <c r="CT338" s="58">
        <f t="shared" ca="1" si="851"/>
        <v>0</v>
      </c>
      <c r="CU338" s="58">
        <f t="shared" ca="1" si="851"/>
        <v>0</v>
      </c>
      <c r="CV338" s="58">
        <f t="shared" ca="1" si="851"/>
        <v>0</v>
      </c>
      <c r="CW338" s="58">
        <f t="shared" ca="1" si="851"/>
        <v>0</v>
      </c>
      <c r="CX338" s="58">
        <f t="shared" ca="1" si="851"/>
        <v>0</v>
      </c>
      <c r="CY338" s="58">
        <f t="shared" ref="CY338:ED338" ca="1" si="852">+IF(OR($F338+CY$175&lt;1,(CY$176-1)*12&lt;-$F338),0,OFFSET(CY168,0,$F338))</f>
        <v>0</v>
      </c>
      <c r="CZ338" s="58">
        <f t="shared" ca="1" si="852"/>
        <v>0</v>
      </c>
      <c r="DA338" s="58">
        <f t="shared" ca="1" si="852"/>
        <v>0</v>
      </c>
      <c r="DB338" s="58">
        <f t="shared" ca="1" si="852"/>
        <v>0</v>
      </c>
      <c r="DC338" s="58">
        <f t="shared" ca="1" si="852"/>
        <v>0</v>
      </c>
      <c r="DD338" s="58">
        <f t="shared" ca="1" si="852"/>
        <v>0</v>
      </c>
      <c r="DE338" s="58">
        <f t="shared" ca="1" si="852"/>
        <v>0</v>
      </c>
      <c r="DF338" s="58">
        <f t="shared" ca="1" si="852"/>
        <v>0</v>
      </c>
      <c r="DG338" s="58">
        <f t="shared" ca="1" si="852"/>
        <v>0</v>
      </c>
      <c r="DH338" s="58">
        <f t="shared" ca="1" si="852"/>
        <v>0</v>
      </c>
      <c r="DI338" s="58">
        <f t="shared" ca="1" si="852"/>
        <v>0</v>
      </c>
      <c r="DJ338" s="58">
        <f t="shared" ca="1" si="852"/>
        <v>0</v>
      </c>
      <c r="DK338" s="58">
        <f t="shared" ca="1" si="852"/>
        <v>0</v>
      </c>
      <c r="DL338" s="58">
        <f t="shared" ca="1" si="852"/>
        <v>0</v>
      </c>
      <c r="DM338" s="58">
        <f t="shared" ca="1" si="852"/>
        <v>0</v>
      </c>
      <c r="DN338" s="58">
        <f t="shared" ca="1" si="852"/>
        <v>0</v>
      </c>
      <c r="DO338" s="58">
        <f t="shared" ca="1" si="852"/>
        <v>0</v>
      </c>
      <c r="DP338" s="58">
        <f t="shared" ca="1" si="852"/>
        <v>0</v>
      </c>
      <c r="DQ338" s="58">
        <f t="shared" ca="1" si="852"/>
        <v>0</v>
      </c>
      <c r="DR338" s="58">
        <f t="shared" ca="1" si="852"/>
        <v>0</v>
      </c>
      <c r="DS338" s="58">
        <f t="shared" ca="1" si="852"/>
        <v>0</v>
      </c>
      <c r="DT338" s="58">
        <f t="shared" ca="1" si="852"/>
        <v>0</v>
      </c>
      <c r="DU338" s="58">
        <f t="shared" ca="1" si="852"/>
        <v>0</v>
      </c>
      <c r="DV338" s="58">
        <f t="shared" ca="1" si="852"/>
        <v>0</v>
      </c>
      <c r="DW338" s="58">
        <f t="shared" ca="1" si="852"/>
        <v>0</v>
      </c>
      <c r="DX338" s="58">
        <f t="shared" ca="1" si="852"/>
        <v>0</v>
      </c>
      <c r="DY338" s="58">
        <f t="shared" ca="1" si="852"/>
        <v>0</v>
      </c>
      <c r="DZ338" s="58">
        <f t="shared" ca="1" si="852"/>
        <v>0</v>
      </c>
      <c r="EA338" s="58">
        <f t="shared" ca="1" si="852"/>
        <v>0</v>
      </c>
      <c r="EB338" s="58">
        <f t="shared" ca="1" si="852"/>
        <v>0</v>
      </c>
      <c r="EC338" s="58">
        <f t="shared" ca="1" si="852"/>
        <v>0</v>
      </c>
      <c r="ED338" s="58">
        <f t="shared" ca="1" si="852"/>
        <v>0</v>
      </c>
      <c r="EE338" s="58">
        <f t="shared" ref="EE338:FN338" ca="1" si="853">+IF(OR($F338+EE$175&lt;1,(EE$176-1)*12&lt;-$F338),0,OFFSET(EE168,0,$F338))</f>
        <v>0</v>
      </c>
      <c r="EF338" s="58">
        <f t="shared" ca="1" si="853"/>
        <v>0</v>
      </c>
      <c r="EG338" s="58">
        <f t="shared" ca="1" si="853"/>
        <v>0</v>
      </c>
      <c r="EH338" s="58">
        <f t="shared" ca="1" si="853"/>
        <v>0</v>
      </c>
      <c r="EI338" s="58">
        <f t="shared" ca="1" si="853"/>
        <v>0</v>
      </c>
      <c r="EJ338" s="58">
        <f t="shared" ca="1" si="853"/>
        <v>0</v>
      </c>
      <c r="EK338" s="58">
        <f t="shared" ca="1" si="853"/>
        <v>0</v>
      </c>
      <c r="EL338" s="58">
        <f t="shared" ca="1" si="853"/>
        <v>0</v>
      </c>
      <c r="EM338" s="58">
        <f t="shared" ca="1" si="853"/>
        <v>0</v>
      </c>
      <c r="EN338" s="58">
        <f t="shared" ca="1" si="853"/>
        <v>0</v>
      </c>
      <c r="EO338" s="58">
        <f t="shared" ca="1" si="853"/>
        <v>0</v>
      </c>
      <c r="EP338" s="58">
        <f t="shared" ca="1" si="853"/>
        <v>0</v>
      </c>
      <c r="EQ338" s="58">
        <f t="shared" ca="1" si="853"/>
        <v>0</v>
      </c>
      <c r="ER338" s="58">
        <f t="shared" ca="1" si="853"/>
        <v>0</v>
      </c>
      <c r="ES338" s="58">
        <f t="shared" ca="1" si="853"/>
        <v>0</v>
      </c>
      <c r="ET338" s="58">
        <f t="shared" ca="1" si="853"/>
        <v>0</v>
      </c>
      <c r="EU338" s="58">
        <f t="shared" ca="1" si="853"/>
        <v>0</v>
      </c>
      <c r="EV338" s="58">
        <f t="shared" ca="1" si="853"/>
        <v>0</v>
      </c>
      <c r="EW338" s="58">
        <f t="shared" ca="1" si="853"/>
        <v>0</v>
      </c>
      <c r="EX338" s="58">
        <f t="shared" ca="1" si="853"/>
        <v>0</v>
      </c>
      <c r="EY338" s="58">
        <f t="shared" ca="1" si="853"/>
        <v>0</v>
      </c>
      <c r="EZ338" s="58">
        <f t="shared" ca="1" si="853"/>
        <v>0</v>
      </c>
      <c r="FA338" s="58">
        <f t="shared" ca="1" si="853"/>
        <v>0</v>
      </c>
      <c r="FB338" s="58">
        <f t="shared" ca="1" si="853"/>
        <v>0</v>
      </c>
      <c r="FC338" s="58">
        <f t="shared" ca="1" si="853"/>
        <v>0</v>
      </c>
      <c r="FD338" s="58">
        <f t="shared" ca="1" si="853"/>
        <v>0</v>
      </c>
      <c r="FE338" s="58">
        <f t="shared" ca="1" si="853"/>
        <v>0</v>
      </c>
      <c r="FF338" s="58">
        <f t="shared" ca="1" si="853"/>
        <v>0</v>
      </c>
      <c r="FG338" s="58">
        <f t="shared" ca="1" si="853"/>
        <v>0</v>
      </c>
      <c r="FH338" s="58">
        <f t="shared" ca="1" si="853"/>
        <v>0</v>
      </c>
      <c r="FI338" s="58">
        <f t="shared" ca="1" si="853"/>
        <v>0</v>
      </c>
      <c r="FJ338" s="58">
        <f t="shared" ca="1" si="853"/>
        <v>0</v>
      </c>
      <c r="FK338" s="58">
        <f t="shared" ca="1" si="853"/>
        <v>0</v>
      </c>
      <c r="FL338" s="58">
        <f t="shared" ca="1" si="853"/>
        <v>0</v>
      </c>
      <c r="FM338" s="58">
        <f t="shared" ca="1" si="853"/>
        <v>0</v>
      </c>
      <c r="FN338" s="58">
        <f t="shared" ca="1" si="853"/>
        <v>0</v>
      </c>
      <c r="FO338" s="13"/>
    </row>
    <row r="339" spans="1:171" outlineLevel="1" x14ac:dyDescent="0.3">
      <c r="A339" s="13"/>
      <c r="B339" s="13"/>
      <c r="C339" s="13"/>
      <c r="D339" s="52">
        <f t="shared" si="846"/>
        <v>45078</v>
      </c>
      <c r="E339" s="53">
        <f t="shared" si="847"/>
        <v>2023</v>
      </c>
      <c r="F339" s="53">
        <f t="shared" si="848"/>
        <v>113</v>
      </c>
      <c r="G339" s="58">
        <f t="shared" ref="G339:AL339" ca="1" si="854">+IF(OR($F339+G$175&lt;1,(G$176-1)*12&lt;-$F339),0,OFFSET(G169,0,$F339))</f>
        <v>0</v>
      </c>
      <c r="H339" s="58">
        <f t="shared" ca="1" si="854"/>
        <v>0</v>
      </c>
      <c r="I339" s="58">
        <f t="shared" ca="1" si="854"/>
        <v>0</v>
      </c>
      <c r="J339" s="58">
        <f t="shared" ca="1" si="854"/>
        <v>0</v>
      </c>
      <c r="K339" s="58">
        <f t="shared" ca="1" si="854"/>
        <v>0</v>
      </c>
      <c r="L339" s="58">
        <f t="shared" ca="1" si="854"/>
        <v>0</v>
      </c>
      <c r="M339" s="58">
        <f t="shared" ca="1" si="854"/>
        <v>0</v>
      </c>
      <c r="N339" s="58">
        <f t="shared" ca="1" si="854"/>
        <v>0</v>
      </c>
      <c r="O339" s="58">
        <f t="shared" ca="1" si="854"/>
        <v>0</v>
      </c>
      <c r="P339" s="58">
        <f t="shared" ca="1" si="854"/>
        <v>0</v>
      </c>
      <c r="Q339" s="58">
        <f t="shared" ca="1" si="854"/>
        <v>0</v>
      </c>
      <c r="R339" s="58">
        <f t="shared" ca="1" si="854"/>
        <v>0</v>
      </c>
      <c r="S339" s="58">
        <f t="shared" ca="1" si="854"/>
        <v>0</v>
      </c>
      <c r="T339" s="58">
        <f t="shared" ca="1" si="854"/>
        <v>0</v>
      </c>
      <c r="U339" s="58">
        <f t="shared" ca="1" si="854"/>
        <v>0</v>
      </c>
      <c r="V339" s="58">
        <f t="shared" ca="1" si="854"/>
        <v>0</v>
      </c>
      <c r="W339" s="58">
        <f t="shared" ca="1" si="854"/>
        <v>0</v>
      </c>
      <c r="X339" s="58">
        <f t="shared" ca="1" si="854"/>
        <v>0</v>
      </c>
      <c r="Y339" s="58">
        <f t="shared" ca="1" si="854"/>
        <v>0</v>
      </c>
      <c r="Z339" s="58">
        <f t="shared" ca="1" si="854"/>
        <v>0</v>
      </c>
      <c r="AA339" s="58">
        <f t="shared" ca="1" si="854"/>
        <v>0</v>
      </c>
      <c r="AB339" s="58">
        <f t="shared" ca="1" si="854"/>
        <v>0</v>
      </c>
      <c r="AC339" s="58">
        <f t="shared" ca="1" si="854"/>
        <v>0</v>
      </c>
      <c r="AD339" s="58">
        <f t="shared" ca="1" si="854"/>
        <v>0</v>
      </c>
      <c r="AE339" s="58">
        <f t="shared" ca="1" si="854"/>
        <v>0</v>
      </c>
      <c r="AF339" s="58">
        <f t="shared" ca="1" si="854"/>
        <v>0</v>
      </c>
      <c r="AG339" s="58">
        <f t="shared" ca="1" si="854"/>
        <v>0</v>
      </c>
      <c r="AH339" s="58">
        <f t="shared" ca="1" si="854"/>
        <v>0</v>
      </c>
      <c r="AI339" s="58">
        <f t="shared" ca="1" si="854"/>
        <v>0</v>
      </c>
      <c r="AJ339" s="58">
        <f t="shared" ca="1" si="854"/>
        <v>0</v>
      </c>
      <c r="AK339" s="58">
        <f t="shared" ca="1" si="854"/>
        <v>0</v>
      </c>
      <c r="AL339" s="58">
        <f t="shared" ca="1" si="854"/>
        <v>0</v>
      </c>
      <c r="AM339" s="58">
        <f t="shared" ref="AM339:BR339" ca="1" si="855">+IF(OR($F339+AM$175&lt;1,(AM$176-1)*12&lt;-$F339),0,OFFSET(AM169,0,$F339))</f>
        <v>0</v>
      </c>
      <c r="AN339" s="58">
        <f t="shared" ca="1" si="855"/>
        <v>0</v>
      </c>
      <c r="AO339" s="58">
        <f t="shared" ca="1" si="855"/>
        <v>0</v>
      </c>
      <c r="AP339" s="58">
        <f t="shared" ca="1" si="855"/>
        <v>0</v>
      </c>
      <c r="AQ339" s="58">
        <f t="shared" ca="1" si="855"/>
        <v>0</v>
      </c>
      <c r="AR339" s="58">
        <f t="shared" ca="1" si="855"/>
        <v>0</v>
      </c>
      <c r="AS339" s="58">
        <f t="shared" ca="1" si="855"/>
        <v>0</v>
      </c>
      <c r="AT339" s="58">
        <f t="shared" ca="1" si="855"/>
        <v>0</v>
      </c>
      <c r="AU339" s="58">
        <f t="shared" ca="1" si="855"/>
        <v>0</v>
      </c>
      <c r="AV339" s="58">
        <f t="shared" ca="1" si="855"/>
        <v>0</v>
      </c>
      <c r="AW339" s="58">
        <f t="shared" ca="1" si="855"/>
        <v>0</v>
      </c>
      <c r="AX339" s="58">
        <f t="shared" ca="1" si="855"/>
        <v>0</v>
      </c>
      <c r="AY339" s="58">
        <f t="shared" ca="1" si="855"/>
        <v>0</v>
      </c>
      <c r="AZ339" s="58">
        <f t="shared" ca="1" si="855"/>
        <v>0</v>
      </c>
      <c r="BA339" s="58">
        <f t="shared" ca="1" si="855"/>
        <v>0</v>
      </c>
      <c r="BB339" s="58">
        <f t="shared" ca="1" si="855"/>
        <v>0</v>
      </c>
      <c r="BC339" s="58">
        <f t="shared" ca="1" si="855"/>
        <v>0</v>
      </c>
      <c r="BD339" s="58">
        <f t="shared" ca="1" si="855"/>
        <v>0</v>
      </c>
      <c r="BE339" s="58">
        <f t="shared" ca="1" si="855"/>
        <v>0</v>
      </c>
      <c r="BF339" s="58">
        <f t="shared" ca="1" si="855"/>
        <v>0</v>
      </c>
      <c r="BG339" s="58">
        <f t="shared" ca="1" si="855"/>
        <v>0</v>
      </c>
      <c r="BH339" s="58">
        <f t="shared" ca="1" si="855"/>
        <v>0</v>
      </c>
      <c r="BI339" s="58">
        <f t="shared" ca="1" si="855"/>
        <v>0</v>
      </c>
      <c r="BJ339" s="58">
        <f t="shared" ca="1" si="855"/>
        <v>0</v>
      </c>
      <c r="BK339" s="58">
        <f t="shared" ca="1" si="855"/>
        <v>0</v>
      </c>
      <c r="BL339" s="58">
        <f t="shared" ca="1" si="855"/>
        <v>0</v>
      </c>
      <c r="BM339" s="58">
        <f t="shared" ca="1" si="855"/>
        <v>0</v>
      </c>
      <c r="BN339" s="58">
        <f t="shared" ca="1" si="855"/>
        <v>0</v>
      </c>
      <c r="BO339" s="58">
        <f t="shared" ca="1" si="855"/>
        <v>0</v>
      </c>
      <c r="BP339" s="58">
        <f t="shared" ca="1" si="855"/>
        <v>0</v>
      </c>
      <c r="BQ339" s="58">
        <f t="shared" ca="1" si="855"/>
        <v>0</v>
      </c>
      <c r="BR339" s="58">
        <f t="shared" ca="1" si="855"/>
        <v>0</v>
      </c>
      <c r="BS339" s="58">
        <f t="shared" ref="BS339:CX339" ca="1" si="856">+IF(OR($F339+BS$175&lt;1,(BS$176-1)*12&lt;-$F339),0,OFFSET(BS169,0,$F339))</f>
        <v>0</v>
      </c>
      <c r="BT339" s="58">
        <f t="shared" ca="1" si="856"/>
        <v>0</v>
      </c>
      <c r="BU339" s="58">
        <f t="shared" ca="1" si="856"/>
        <v>0</v>
      </c>
      <c r="BV339" s="58">
        <f t="shared" ca="1" si="856"/>
        <v>0</v>
      </c>
      <c r="BW339" s="58">
        <f t="shared" ca="1" si="856"/>
        <v>0</v>
      </c>
      <c r="BX339" s="58">
        <f t="shared" ca="1" si="856"/>
        <v>0</v>
      </c>
      <c r="BY339" s="58">
        <f t="shared" ca="1" si="856"/>
        <v>0</v>
      </c>
      <c r="BZ339" s="58">
        <f t="shared" ca="1" si="856"/>
        <v>0</v>
      </c>
      <c r="CA339" s="58">
        <f t="shared" ca="1" si="856"/>
        <v>0</v>
      </c>
      <c r="CB339" s="58">
        <f t="shared" ca="1" si="856"/>
        <v>0</v>
      </c>
      <c r="CC339" s="58">
        <f t="shared" ca="1" si="856"/>
        <v>0</v>
      </c>
      <c r="CD339" s="58">
        <f t="shared" ca="1" si="856"/>
        <v>0</v>
      </c>
      <c r="CE339" s="58">
        <f t="shared" ca="1" si="856"/>
        <v>0</v>
      </c>
      <c r="CF339" s="58">
        <f t="shared" ca="1" si="856"/>
        <v>0</v>
      </c>
      <c r="CG339" s="58">
        <f t="shared" ca="1" si="856"/>
        <v>0</v>
      </c>
      <c r="CH339" s="58">
        <f t="shared" ca="1" si="856"/>
        <v>0</v>
      </c>
      <c r="CI339" s="58">
        <f t="shared" ca="1" si="856"/>
        <v>0</v>
      </c>
      <c r="CJ339" s="58">
        <f t="shared" ca="1" si="856"/>
        <v>0</v>
      </c>
      <c r="CK339" s="58">
        <f t="shared" ca="1" si="856"/>
        <v>0</v>
      </c>
      <c r="CL339" s="58">
        <f t="shared" ca="1" si="856"/>
        <v>0</v>
      </c>
      <c r="CM339" s="58">
        <f t="shared" ca="1" si="856"/>
        <v>0</v>
      </c>
      <c r="CN339" s="58">
        <f t="shared" ca="1" si="856"/>
        <v>0</v>
      </c>
      <c r="CO339" s="58">
        <f t="shared" ca="1" si="856"/>
        <v>0</v>
      </c>
      <c r="CP339" s="58">
        <f t="shared" ca="1" si="856"/>
        <v>0</v>
      </c>
      <c r="CQ339" s="58">
        <f t="shared" ca="1" si="856"/>
        <v>0</v>
      </c>
      <c r="CR339" s="58">
        <f t="shared" ca="1" si="856"/>
        <v>0</v>
      </c>
      <c r="CS339" s="58">
        <f t="shared" ca="1" si="856"/>
        <v>0</v>
      </c>
      <c r="CT339" s="58">
        <f t="shared" ca="1" si="856"/>
        <v>0</v>
      </c>
      <c r="CU339" s="58">
        <f t="shared" ca="1" si="856"/>
        <v>0</v>
      </c>
      <c r="CV339" s="58">
        <f t="shared" ca="1" si="856"/>
        <v>0</v>
      </c>
      <c r="CW339" s="58">
        <f t="shared" ca="1" si="856"/>
        <v>0</v>
      </c>
      <c r="CX339" s="58">
        <f t="shared" ca="1" si="856"/>
        <v>0</v>
      </c>
      <c r="CY339" s="58">
        <f t="shared" ref="CY339:ED339" ca="1" si="857">+IF(OR($F339+CY$175&lt;1,(CY$176-1)*12&lt;-$F339),0,OFFSET(CY169,0,$F339))</f>
        <v>0</v>
      </c>
      <c r="CZ339" s="58">
        <f t="shared" ca="1" si="857"/>
        <v>0</v>
      </c>
      <c r="DA339" s="58">
        <f t="shared" ca="1" si="857"/>
        <v>0</v>
      </c>
      <c r="DB339" s="58">
        <f t="shared" ca="1" si="857"/>
        <v>0</v>
      </c>
      <c r="DC339" s="58">
        <f t="shared" ca="1" si="857"/>
        <v>0</v>
      </c>
      <c r="DD339" s="58">
        <f t="shared" ca="1" si="857"/>
        <v>0</v>
      </c>
      <c r="DE339" s="58">
        <f t="shared" ca="1" si="857"/>
        <v>0</v>
      </c>
      <c r="DF339" s="58">
        <f t="shared" ca="1" si="857"/>
        <v>0</v>
      </c>
      <c r="DG339" s="58">
        <f t="shared" ca="1" si="857"/>
        <v>0</v>
      </c>
      <c r="DH339" s="58">
        <f t="shared" ca="1" si="857"/>
        <v>0</v>
      </c>
      <c r="DI339" s="58">
        <f t="shared" ca="1" si="857"/>
        <v>0</v>
      </c>
      <c r="DJ339" s="58">
        <f t="shared" ca="1" si="857"/>
        <v>0</v>
      </c>
      <c r="DK339" s="58">
        <f t="shared" ca="1" si="857"/>
        <v>0</v>
      </c>
      <c r="DL339" s="58">
        <f t="shared" ca="1" si="857"/>
        <v>0</v>
      </c>
      <c r="DM339" s="58">
        <f t="shared" ca="1" si="857"/>
        <v>0</v>
      </c>
      <c r="DN339" s="58">
        <f t="shared" ca="1" si="857"/>
        <v>0</v>
      </c>
      <c r="DO339" s="58">
        <f t="shared" ca="1" si="857"/>
        <v>0</v>
      </c>
      <c r="DP339" s="58">
        <f t="shared" ca="1" si="857"/>
        <v>0</v>
      </c>
      <c r="DQ339" s="58">
        <f t="shared" ca="1" si="857"/>
        <v>0</v>
      </c>
      <c r="DR339" s="58">
        <f t="shared" ca="1" si="857"/>
        <v>0</v>
      </c>
      <c r="DS339" s="58">
        <f t="shared" ca="1" si="857"/>
        <v>0</v>
      </c>
      <c r="DT339" s="58">
        <f t="shared" ca="1" si="857"/>
        <v>0</v>
      </c>
      <c r="DU339" s="58">
        <f t="shared" ca="1" si="857"/>
        <v>0</v>
      </c>
      <c r="DV339" s="58">
        <f t="shared" ca="1" si="857"/>
        <v>0</v>
      </c>
      <c r="DW339" s="58">
        <f t="shared" ca="1" si="857"/>
        <v>0</v>
      </c>
      <c r="DX339" s="58">
        <f t="shared" ca="1" si="857"/>
        <v>0</v>
      </c>
      <c r="DY339" s="58">
        <f t="shared" ca="1" si="857"/>
        <v>0</v>
      </c>
      <c r="DZ339" s="58">
        <f t="shared" ca="1" si="857"/>
        <v>0</v>
      </c>
      <c r="EA339" s="58">
        <f t="shared" ca="1" si="857"/>
        <v>0</v>
      </c>
      <c r="EB339" s="58">
        <f t="shared" ca="1" si="857"/>
        <v>0</v>
      </c>
      <c r="EC339" s="58">
        <f t="shared" ca="1" si="857"/>
        <v>0</v>
      </c>
      <c r="ED339" s="58">
        <f t="shared" ca="1" si="857"/>
        <v>0</v>
      </c>
      <c r="EE339" s="58">
        <f t="shared" ref="EE339:FN339" ca="1" si="858">+IF(OR($F339+EE$175&lt;1,(EE$176-1)*12&lt;-$F339),0,OFFSET(EE169,0,$F339))</f>
        <v>0</v>
      </c>
      <c r="EF339" s="58">
        <f t="shared" ca="1" si="858"/>
        <v>0</v>
      </c>
      <c r="EG339" s="58">
        <f t="shared" ca="1" si="858"/>
        <v>0</v>
      </c>
      <c r="EH339" s="58">
        <f t="shared" ca="1" si="858"/>
        <v>0</v>
      </c>
      <c r="EI339" s="58">
        <f t="shared" ca="1" si="858"/>
        <v>0</v>
      </c>
      <c r="EJ339" s="58">
        <f t="shared" ca="1" si="858"/>
        <v>0</v>
      </c>
      <c r="EK339" s="58">
        <f t="shared" ca="1" si="858"/>
        <v>0</v>
      </c>
      <c r="EL339" s="58">
        <f t="shared" ca="1" si="858"/>
        <v>0</v>
      </c>
      <c r="EM339" s="58">
        <f t="shared" ca="1" si="858"/>
        <v>0</v>
      </c>
      <c r="EN339" s="58">
        <f t="shared" ca="1" si="858"/>
        <v>0</v>
      </c>
      <c r="EO339" s="58">
        <f t="shared" ca="1" si="858"/>
        <v>0</v>
      </c>
      <c r="EP339" s="58">
        <f t="shared" ca="1" si="858"/>
        <v>0</v>
      </c>
      <c r="EQ339" s="58">
        <f t="shared" ca="1" si="858"/>
        <v>0</v>
      </c>
      <c r="ER339" s="58">
        <f t="shared" ca="1" si="858"/>
        <v>0</v>
      </c>
      <c r="ES339" s="58">
        <f t="shared" ca="1" si="858"/>
        <v>0</v>
      </c>
      <c r="ET339" s="58">
        <f t="shared" ca="1" si="858"/>
        <v>0</v>
      </c>
      <c r="EU339" s="58">
        <f t="shared" ca="1" si="858"/>
        <v>0</v>
      </c>
      <c r="EV339" s="58">
        <f t="shared" ca="1" si="858"/>
        <v>0</v>
      </c>
      <c r="EW339" s="58">
        <f t="shared" ca="1" si="858"/>
        <v>0</v>
      </c>
      <c r="EX339" s="58">
        <f t="shared" ca="1" si="858"/>
        <v>0</v>
      </c>
      <c r="EY339" s="58">
        <f t="shared" ca="1" si="858"/>
        <v>0</v>
      </c>
      <c r="EZ339" s="58">
        <f t="shared" ca="1" si="858"/>
        <v>0</v>
      </c>
      <c r="FA339" s="58">
        <f t="shared" ca="1" si="858"/>
        <v>0</v>
      </c>
      <c r="FB339" s="58">
        <f t="shared" ca="1" si="858"/>
        <v>0</v>
      </c>
      <c r="FC339" s="58">
        <f t="shared" ca="1" si="858"/>
        <v>0</v>
      </c>
      <c r="FD339" s="58">
        <f t="shared" ca="1" si="858"/>
        <v>0</v>
      </c>
      <c r="FE339" s="58">
        <f t="shared" ca="1" si="858"/>
        <v>0</v>
      </c>
      <c r="FF339" s="58">
        <f t="shared" ca="1" si="858"/>
        <v>0</v>
      </c>
      <c r="FG339" s="58">
        <f t="shared" ca="1" si="858"/>
        <v>0</v>
      </c>
      <c r="FH339" s="58">
        <f t="shared" ca="1" si="858"/>
        <v>0</v>
      </c>
      <c r="FI339" s="58">
        <f t="shared" ca="1" si="858"/>
        <v>0</v>
      </c>
      <c r="FJ339" s="58">
        <f t="shared" ca="1" si="858"/>
        <v>0</v>
      </c>
      <c r="FK339" s="58">
        <f t="shared" ca="1" si="858"/>
        <v>0</v>
      </c>
      <c r="FL339" s="58">
        <f t="shared" ca="1" si="858"/>
        <v>0</v>
      </c>
      <c r="FM339" s="58">
        <f t="shared" ca="1" si="858"/>
        <v>0</v>
      </c>
      <c r="FN339" s="58">
        <f t="shared" ca="1" si="858"/>
        <v>0</v>
      </c>
      <c r="FO339" s="13"/>
    </row>
    <row r="340" spans="1:171" outlineLevel="1" x14ac:dyDescent="0.3">
      <c r="A340" s="13"/>
      <c r="B340" s="13"/>
      <c r="C340" s="13"/>
      <c r="D340" s="52">
        <f t="shared" si="846"/>
        <v>45108</v>
      </c>
      <c r="E340" s="53">
        <f t="shared" si="847"/>
        <v>2023</v>
      </c>
      <c r="F340" s="53">
        <f t="shared" si="848"/>
        <v>114</v>
      </c>
      <c r="G340" s="58">
        <f t="shared" ref="G340:AL340" ca="1" si="859">+IF(OR($F340+G$175&lt;1,(G$176-1)*12&lt;-$F340),0,OFFSET(G170,0,$F340))</f>
        <v>0</v>
      </c>
      <c r="H340" s="58">
        <f t="shared" ca="1" si="859"/>
        <v>0</v>
      </c>
      <c r="I340" s="58">
        <f t="shared" ca="1" si="859"/>
        <v>0</v>
      </c>
      <c r="J340" s="58">
        <f t="shared" ca="1" si="859"/>
        <v>0</v>
      </c>
      <c r="K340" s="58">
        <f t="shared" ca="1" si="859"/>
        <v>0</v>
      </c>
      <c r="L340" s="58">
        <f t="shared" ca="1" si="859"/>
        <v>0</v>
      </c>
      <c r="M340" s="58">
        <f t="shared" ca="1" si="859"/>
        <v>0</v>
      </c>
      <c r="N340" s="58">
        <f t="shared" ca="1" si="859"/>
        <v>0</v>
      </c>
      <c r="O340" s="58">
        <f t="shared" ca="1" si="859"/>
        <v>0</v>
      </c>
      <c r="P340" s="58">
        <f t="shared" ca="1" si="859"/>
        <v>0</v>
      </c>
      <c r="Q340" s="58">
        <f t="shared" ca="1" si="859"/>
        <v>0</v>
      </c>
      <c r="R340" s="58">
        <f t="shared" ca="1" si="859"/>
        <v>0</v>
      </c>
      <c r="S340" s="58">
        <f t="shared" ca="1" si="859"/>
        <v>0</v>
      </c>
      <c r="T340" s="58">
        <f t="shared" ca="1" si="859"/>
        <v>0</v>
      </c>
      <c r="U340" s="58">
        <f t="shared" ca="1" si="859"/>
        <v>0</v>
      </c>
      <c r="V340" s="58">
        <f t="shared" ca="1" si="859"/>
        <v>0</v>
      </c>
      <c r="W340" s="58">
        <f t="shared" ca="1" si="859"/>
        <v>0</v>
      </c>
      <c r="X340" s="58">
        <f t="shared" ca="1" si="859"/>
        <v>0</v>
      </c>
      <c r="Y340" s="58">
        <f t="shared" ca="1" si="859"/>
        <v>0</v>
      </c>
      <c r="Z340" s="58">
        <f t="shared" ca="1" si="859"/>
        <v>0</v>
      </c>
      <c r="AA340" s="58">
        <f t="shared" ca="1" si="859"/>
        <v>0</v>
      </c>
      <c r="AB340" s="58">
        <f t="shared" ca="1" si="859"/>
        <v>0</v>
      </c>
      <c r="AC340" s="58">
        <f t="shared" ca="1" si="859"/>
        <v>0</v>
      </c>
      <c r="AD340" s="58">
        <f t="shared" ca="1" si="859"/>
        <v>0</v>
      </c>
      <c r="AE340" s="58">
        <f t="shared" ca="1" si="859"/>
        <v>0</v>
      </c>
      <c r="AF340" s="58">
        <f t="shared" ca="1" si="859"/>
        <v>0</v>
      </c>
      <c r="AG340" s="58">
        <f t="shared" ca="1" si="859"/>
        <v>0</v>
      </c>
      <c r="AH340" s="58">
        <f t="shared" ca="1" si="859"/>
        <v>0</v>
      </c>
      <c r="AI340" s="58">
        <f t="shared" ca="1" si="859"/>
        <v>0</v>
      </c>
      <c r="AJ340" s="58">
        <f t="shared" ca="1" si="859"/>
        <v>0</v>
      </c>
      <c r="AK340" s="58">
        <f t="shared" ca="1" si="859"/>
        <v>0</v>
      </c>
      <c r="AL340" s="58">
        <f t="shared" ca="1" si="859"/>
        <v>0</v>
      </c>
      <c r="AM340" s="58">
        <f t="shared" ref="AM340:BR340" ca="1" si="860">+IF(OR($F340+AM$175&lt;1,(AM$176-1)*12&lt;-$F340),0,OFFSET(AM170,0,$F340))</f>
        <v>0</v>
      </c>
      <c r="AN340" s="58">
        <f t="shared" ca="1" si="860"/>
        <v>0</v>
      </c>
      <c r="AO340" s="58">
        <f t="shared" ca="1" si="860"/>
        <v>0</v>
      </c>
      <c r="AP340" s="58">
        <f t="shared" ca="1" si="860"/>
        <v>0</v>
      </c>
      <c r="AQ340" s="58">
        <f t="shared" ca="1" si="860"/>
        <v>0</v>
      </c>
      <c r="AR340" s="58">
        <f t="shared" ca="1" si="860"/>
        <v>0</v>
      </c>
      <c r="AS340" s="58">
        <f t="shared" ca="1" si="860"/>
        <v>0</v>
      </c>
      <c r="AT340" s="58">
        <f t="shared" ca="1" si="860"/>
        <v>0</v>
      </c>
      <c r="AU340" s="58">
        <f t="shared" ca="1" si="860"/>
        <v>0</v>
      </c>
      <c r="AV340" s="58">
        <f t="shared" ca="1" si="860"/>
        <v>0</v>
      </c>
      <c r="AW340" s="58">
        <f t="shared" ca="1" si="860"/>
        <v>0</v>
      </c>
      <c r="AX340" s="58">
        <f t="shared" ca="1" si="860"/>
        <v>0</v>
      </c>
      <c r="AY340" s="58">
        <f t="shared" ca="1" si="860"/>
        <v>0</v>
      </c>
      <c r="AZ340" s="58">
        <f t="shared" ca="1" si="860"/>
        <v>0</v>
      </c>
      <c r="BA340" s="58">
        <f t="shared" ca="1" si="860"/>
        <v>0</v>
      </c>
      <c r="BB340" s="58">
        <f t="shared" ca="1" si="860"/>
        <v>0</v>
      </c>
      <c r="BC340" s="58">
        <f t="shared" ca="1" si="860"/>
        <v>0</v>
      </c>
      <c r="BD340" s="58">
        <f t="shared" ca="1" si="860"/>
        <v>0</v>
      </c>
      <c r="BE340" s="58">
        <f t="shared" ca="1" si="860"/>
        <v>0</v>
      </c>
      <c r="BF340" s="58">
        <f t="shared" ca="1" si="860"/>
        <v>0</v>
      </c>
      <c r="BG340" s="58">
        <f t="shared" ca="1" si="860"/>
        <v>0</v>
      </c>
      <c r="BH340" s="58">
        <f t="shared" ca="1" si="860"/>
        <v>0</v>
      </c>
      <c r="BI340" s="58">
        <f t="shared" ca="1" si="860"/>
        <v>0</v>
      </c>
      <c r="BJ340" s="58">
        <f t="shared" ca="1" si="860"/>
        <v>0</v>
      </c>
      <c r="BK340" s="58">
        <f t="shared" ca="1" si="860"/>
        <v>0</v>
      </c>
      <c r="BL340" s="58">
        <f t="shared" ca="1" si="860"/>
        <v>0</v>
      </c>
      <c r="BM340" s="58">
        <f t="shared" ca="1" si="860"/>
        <v>0</v>
      </c>
      <c r="BN340" s="58">
        <f t="shared" ca="1" si="860"/>
        <v>0</v>
      </c>
      <c r="BO340" s="58">
        <f t="shared" ca="1" si="860"/>
        <v>0</v>
      </c>
      <c r="BP340" s="58">
        <f t="shared" ca="1" si="860"/>
        <v>0</v>
      </c>
      <c r="BQ340" s="58">
        <f t="shared" ca="1" si="860"/>
        <v>0</v>
      </c>
      <c r="BR340" s="58">
        <f t="shared" ca="1" si="860"/>
        <v>0</v>
      </c>
      <c r="BS340" s="58">
        <f t="shared" ref="BS340:CX340" ca="1" si="861">+IF(OR($F340+BS$175&lt;1,(BS$176-1)*12&lt;-$F340),0,OFFSET(BS170,0,$F340))</f>
        <v>0</v>
      </c>
      <c r="BT340" s="58">
        <f t="shared" ca="1" si="861"/>
        <v>0</v>
      </c>
      <c r="BU340" s="58">
        <f t="shared" ca="1" si="861"/>
        <v>0</v>
      </c>
      <c r="BV340" s="58">
        <f t="shared" ca="1" si="861"/>
        <v>0</v>
      </c>
      <c r="BW340" s="58">
        <f t="shared" ca="1" si="861"/>
        <v>0</v>
      </c>
      <c r="BX340" s="58">
        <f t="shared" ca="1" si="861"/>
        <v>0</v>
      </c>
      <c r="BY340" s="58">
        <f t="shared" ca="1" si="861"/>
        <v>0</v>
      </c>
      <c r="BZ340" s="58">
        <f t="shared" ca="1" si="861"/>
        <v>0</v>
      </c>
      <c r="CA340" s="58">
        <f t="shared" ca="1" si="861"/>
        <v>0</v>
      </c>
      <c r="CB340" s="58">
        <f t="shared" ca="1" si="861"/>
        <v>0</v>
      </c>
      <c r="CC340" s="58">
        <f t="shared" ca="1" si="861"/>
        <v>0</v>
      </c>
      <c r="CD340" s="58">
        <f t="shared" ca="1" si="861"/>
        <v>0</v>
      </c>
      <c r="CE340" s="58">
        <f t="shared" ca="1" si="861"/>
        <v>0</v>
      </c>
      <c r="CF340" s="58">
        <f t="shared" ca="1" si="861"/>
        <v>0</v>
      </c>
      <c r="CG340" s="58">
        <f t="shared" ca="1" si="861"/>
        <v>0</v>
      </c>
      <c r="CH340" s="58">
        <f t="shared" ca="1" si="861"/>
        <v>0</v>
      </c>
      <c r="CI340" s="58">
        <f t="shared" ca="1" si="861"/>
        <v>0</v>
      </c>
      <c r="CJ340" s="58">
        <f t="shared" ca="1" si="861"/>
        <v>0</v>
      </c>
      <c r="CK340" s="58">
        <f t="shared" ca="1" si="861"/>
        <v>0</v>
      </c>
      <c r="CL340" s="58">
        <f t="shared" ca="1" si="861"/>
        <v>0</v>
      </c>
      <c r="CM340" s="58">
        <f t="shared" ca="1" si="861"/>
        <v>0</v>
      </c>
      <c r="CN340" s="58">
        <f t="shared" ca="1" si="861"/>
        <v>0</v>
      </c>
      <c r="CO340" s="58">
        <f t="shared" ca="1" si="861"/>
        <v>0</v>
      </c>
      <c r="CP340" s="58">
        <f t="shared" ca="1" si="861"/>
        <v>0</v>
      </c>
      <c r="CQ340" s="58">
        <f t="shared" ca="1" si="861"/>
        <v>0</v>
      </c>
      <c r="CR340" s="58">
        <f t="shared" ca="1" si="861"/>
        <v>0</v>
      </c>
      <c r="CS340" s="58">
        <f t="shared" ca="1" si="861"/>
        <v>0</v>
      </c>
      <c r="CT340" s="58">
        <f t="shared" ca="1" si="861"/>
        <v>0</v>
      </c>
      <c r="CU340" s="58">
        <f t="shared" ca="1" si="861"/>
        <v>0</v>
      </c>
      <c r="CV340" s="58">
        <f t="shared" ca="1" si="861"/>
        <v>0</v>
      </c>
      <c r="CW340" s="58">
        <f t="shared" ca="1" si="861"/>
        <v>0</v>
      </c>
      <c r="CX340" s="58">
        <f t="shared" ca="1" si="861"/>
        <v>0</v>
      </c>
      <c r="CY340" s="58">
        <f t="shared" ref="CY340:ED340" ca="1" si="862">+IF(OR($F340+CY$175&lt;1,(CY$176-1)*12&lt;-$F340),0,OFFSET(CY170,0,$F340))</f>
        <v>0</v>
      </c>
      <c r="CZ340" s="58">
        <f t="shared" ca="1" si="862"/>
        <v>0</v>
      </c>
      <c r="DA340" s="58">
        <f t="shared" ca="1" si="862"/>
        <v>0</v>
      </c>
      <c r="DB340" s="58">
        <f t="shared" ca="1" si="862"/>
        <v>0</v>
      </c>
      <c r="DC340" s="58">
        <f t="shared" ca="1" si="862"/>
        <v>0</v>
      </c>
      <c r="DD340" s="58">
        <f t="shared" ca="1" si="862"/>
        <v>0</v>
      </c>
      <c r="DE340" s="58">
        <f t="shared" ca="1" si="862"/>
        <v>0</v>
      </c>
      <c r="DF340" s="58">
        <f t="shared" ca="1" si="862"/>
        <v>0</v>
      </c>
      <c r="DG340" s="58">
        <f t="shared" ca="1" si="862"/>
        <v>0</v>
      </c>
      <c r="DH340" s="58">
        <f t="shared" ca="1" si="862"/>
        <v>0</v>
      </c>
      <c r="DI340" s="58">
        <f t="shared" ca="1" si="862"/>
        <v>0</v>
      </c>
      <c r="DJ340" s="58">
        <f t="shared" ca="1" si="862"/>
        <v>0</v>
      </c>
      <c r="DK340" s="58">
        <f t="shared" ca="1" si="862"/>
        <v>0</v>
      </c>
      <c r="DL340" s="58">
        <f t="shared" ca="1" si="862"/>
        <v>0</v>
      </c>
      <c r="DM340" s="58">
        <f t="shared" ca="1" si="862"/>
        <v>0</v>
      </c>
      <c r="DN340" s="58">
        <f t="shared" ca="1" si="862"/>
        <v>0</v>
      </c>
      <c r="DO340" s="58">
        <f t="shared" ca="1" si="862"/>
        <v>0</v>
      </c>
      <c r="DP340" s="58">
        <f t="shared" ca="1" si="862"/>
        <v>0</v>
      </c>
      <c r="DQ340" s="58">
        <f t="shared" ca="1" si="862"/>
        <v>0</v>
      </c>
      <c r="DR340" s="58">
        <f t="shared" ca="1" si="862"/>
        <v>0</v>
      </c>
      <c r="DS340" s="58">
        <f t="shared" ca="1" si="862"/>
        <v>0</v>
      </c>
      <c r="DT340" s="58">
        <f t="shared" ca="1" si="862"/>
        <v>0</v>
      </c>
      <c r="DU340" s="58">
        <f t="shared" ca="1" si="862"/>
        <v>0</v>
      </c>
      <c r="DV340" s="58">
        <f t="shared" ca="1" si="862"/>
        <v>0</v>
      </c>
      <c r="DW340" s="58">
        <f t="shared" ca="1" si="862"/>
        <v>0</v>
      </c>
      <c r="DX340" s="58">
        <f t="shared" ca="1" si="862"/>
        <v>0</v>
      </c>
      <c r="DY340" s="58">
        <f t="shared" ca="1" si="862"/>
        <v>0</v>
      </c>
      <c r="DZ340" s="58">
        <f t="shared" ca="1" si="862"/>
        <v>0</v>
      </c>
      <c r="EA340" s="58">
        <f t="shared" ca="1" si="862"/>
        <v>0</v>
      </c>
      <c r="EB340" s="58">
        <f t="shared" ca="1" si="862"/>
        <v>0</v>
      </c>
      <c r="EC340" s="58">
        <f t="shared" ca="1" si="862"/>
        <v>0</v>
      </c>
      <c r="ED340" s="58">
        <f t="shared" ca="1" si="862"/>
        <v>0</v>
      </c>
      <c r="EE340" s="58">
        <f t="shared" ref="EE340:FN340" ca="1" si="863">+IF(OR($F340+EE$175&lt;1,(EE$176-1)*12&lt;-$F340),0,OFFSET(EE170,0,$F340))</f>
        <v>0</v>
      </c>
      <c r="EF340" s="58">
        <f t="shared" ca="1" si="863"/>
        <v>0</v>
      </c>
      <c r="EG340" s="58">
        <f t="shared" ca="1" si="863"/>
        <v>0</v>
      </c>
      <c r="EH340" s="58">
        <f t="shared" ca="1" si="863"/>
        <v>0</v>
      </c>
      <c r="EI340" s="58">
        <f t="shared" ca="1" si="863"/>
        <v>0</v>
      </c>
      <c r="EJ340" s="58">
        <f t="shared" ca="1" si="863"/>
        <v>0</v>
      </c>
      <c r="EK340" s="58">
        <f t="shared" ca="1" si="863"/>
        <v>0</v>
      </c>
      <c r="EL340" s="58">
        <f t="shared" ca="1" si="863"/>
        <v>0</v>
      </c>
      <c r="EM340" s="58">
        <f t="shared" ca="1" si="863"/>
        <v>0</v>
      </c>
      <c r="EN340" s="58">
        <f t="shared" ca="1" si="863"/>
        <v>0</v>
      </c>
      <c r="EO340" s="58">
        <f t="shared" ca="1" si="863"/>
        <v>0</v>
      </c>
      <c r="EP340" s="58">
        <f t="shared" ca="1" si="863"/>
        <v>0</v>
      </c>
      <c r="EQ340" s="58">
        <f t="shared" ca="1" si="863"/>
        <v>0</v>
      </c>
      <c r="ER340" s="58">
        <f t="shared" ca="1" si="863"/>
        <v>0</v>
      </c>
      <c r="ES340" s="58">
        <f t="shared" ca="1" si="863"/>
        <v>0</v>
      </c>
      <c r="ET340" s="58">
        <f t="shared" ca="1" si="863"/>
        <v>0</v>
      </c>
      <c r="EU340" s="58">
        <f t="shared" ca="1" si="863"/>
        <v>0</v>
      </c>
      <c r="EV340" s="58">
        <f t="shared" ca="1" si="863"/>
        <v>0</v>
      </c>
      <c r="EW340" s="58">
        <f t="shared" ca="1" si="863"/>
        <v>0</v>
      </c>
      <c r="EX340" s="58">
        <f t="shared" ca="1" si="863"/>
        <v>0</v>
      </c>
      <c r="EY340" s="58">
        <f t="shared" ca="1" si="863"/>
        <v>0</v>
      </c>
      <c r="EZ340" s="58">
        <f t="shared" ca="1" si="863"/>
        <v>0</v>
      </c>
      <c r="FA340" s="58">
        <f t="shared" ca="1" si="863"/>
        <v>0</v>
      </c>
      <c r="FB340" s="58">
        <f t="shared" ca="1" si="863"/>
        <v>0</v>
      </c>
      <c r="FC340" s="58">
        <f t="shared" ca="1" si="863"/>
        <v>0</v>
      </c>
      <c r="FD340" s="58">
        <f t="shared" ca="1" si="863"/>
        <v>0</v>
      </c>
      <c r="FE340" s="58">
        <f t="shared" ca="1" si="863"/>
        <v>0</v>
      </c>
      <c r="FF340" s="58">
        <f t="shared" ca="1" si="863"/>
        <v>0</v>
      </c>
      <c r="FG340" s="58">
        <f t="shared" ca="1" si="863"/>
        <v>0</v>
      </c>
      <c r="FH340" s="58">
        <f t="shared" ca="1" si="863"/>
        <v>0</v>
      </c>
      <c r="FI340" s="58">
        <f t="shared" ca="1" si="863"/>
        <v>0</v>
      </c>
      <c r="FJ340" s="58">
        <f t="shared" ca="1" si="863"/>
        <v>0</v>
      </c>
      <c r="FK340" s="58">
        <f t="shared" ca="1" si="863"/>
        <v>0</v>
      </c>
      <c r="FL340" s="58">
        <f t="shared" ca="1" si="863"/>
        <v>0</v>
      </c>
      <c r="FM340" s="58">
        <f t="shared" ca="1" si="863"/>
        <v>0</v>
      </c>
      <c r="FN340" s="58">
        <f t="shared" ca="1" si="863"/>
        <v>0</v>
      </c>
      <c r="FO340" s="13"/>
    </row>
    <row r="341" spans="1:171" outlineLevel="1" x14ac:dyDescent="0.3">
      <c r="A341" s="13"/>
      <c r="B341" s="13"/>
      <c r="C341" s="13"/>
      <c r="D341" s="52">
        <f t="shared" si="846"/>
        <v>45139</v>
      </c>
      <c r="E341" s="53">
        <f t="shared" si="847"/>
        <v>2023</v>
      </c>
      <c r="F341" s="53">
        <f t="shared" si="848"/>
        <v>115</v>
      </c>
      <c r="G341" s="58">
        <f t="shared" ref="G341:AL341" ca="1" si="864">+IF(OR($F341+G$175&lt;1,(G$176-1)*12&lt;-$F341),0,OFFSET(G171,0,$F341))</f>
        <v>0</v>
      </c>
      <c r="H341" s="58">
        <f t="shared" ca="1" si="864"/>
        <v>0</v>
      </c>
      <c r="I341" s="58">
        <f t="shared" ca="1" si="864"/>
        <v>0</v>
      </c>
      <c r="J341" s="58">
        <f t="shared" ca="1" si="864"/>
        <v>0</v>
      </c>
      <c r="K341" s="58">
        <f t="shared" ca="1" si="864"/>
        <v>0</v>
      </c>
      <c r="L341" s="58">
        <f t="shared" ca="1" si="864"/>
        <v>0</v>
      </c>
      <c r="M341" s="58">
        <f t="shared" ca="1" si="864"/>
        <v>0</v>
      </c>
      <c r="N341" s="58">
        <f t="shared" ca="1" si="864"/>
        <v>0</v>
      </c>
      <c r="O341" s="58">
        <f t="shared" ca="1" si="864"/>
        <v>0</v>
      </c>
      <c r="P341" s="58">
        <f t="shared" ca="1" si="864"/>
        <v>0</v>
      </c>
      <c r="Q341" s="58">
        <f t="shared" ca="1" si="864"/>
        <v>0</v>
      </c>
      <c r="R341" s="58">
        <f t="shared" ca="1" si="864"/>
        <v>0</v>
      </c>
      <c r="S341" s="58">
        <f t="shared" ca="1" si="864"/>
        <v>0</v>
      </c>
      <c r="T341" s="58">
        <f t="shared" ca="1" si="864"/>
        <v>0</v>
      </c>
      <c r="U341" s="58">
        <f t="shared" ca="1" si="864"/>
        <v>0</v>
      </c>
      <c r="V341" s="58">
        <f t="shared" ca="1" si="864"/>
        <v>0</v>
      </c>
      <c r="W341" s="58">
        <f t="shared" ca="1" si="864"/>
        <v>0</v>
      </c>
      <c r="X341" s="58">
        <f t="shared" ca="1" si="864"/>
        <v>0</v>
      </c>
      <c r="Y341" s="58">
        <f t="shared" ca="1" si="864"/>
        <v>0</v>
      </c>
      <c r="Z341" s="58">
        <f t="shared" ca="1" si="864"/>
        <v>0</v>
      </c>
      <c r="AA341" s="58">
        <f t="shared" ca="1" si="864"/>
        <v>0</v>
      </c>
      <c r="AB341" s="58">
        <f t="shared" ca="1" si="864"/>
        <v>0</v>
      </c>
      <c r="AC341" s="58">
        <f t="shared" ca="1" si="864"/>
        <v>0</v>
      </c>
      <c r="AD341" s="58">
        <f t="shared" ca="1" si="864"/>
        <v>0</v>
      </c>
      <c r="AE341" s="58">
        <f t="shared" ca="1" si="864"/>
        <v>0</v>
      </c>
      <c r="AF341" s="58">
        <f t="shared" ca="1" si="864"/>
        <v>0</v>
      </c>
      <c r="AG341" s="58">
        <f t="shared" ca="1" si="864"/>
        <v>0</v>
      </c>
      <c r="AH341" s="58">
        <f t="shared" ca="1" si="864"/>
        <v>0</v>
      </c>
      <c r="AI341" s="58">
        <f t="shared" ca="1" si="864"/>
        <v>0</v>
      </c>
      <c r="AJ341" s="58">
        <f t="shared" ca="1" si="864"/>
        <v>0</v>
      </c>
      <c r="AK341" s="58">
        <f t="shared" ca="1" si="864"/>
        <v>0</v>
      </c>
      <c r="AL341" s="58">
        <f t="shared" ca="1" si="864"/>
        <v>0</v>
      </c>
      <c r="AM341" s="58">
        <f t="shared" ref="AM341:BR341" ca="1" si="865">+IF(OR($F341+AM$175&lt;1,(AM$176-1)*12&lt;-$F341),0,OFFSET(AM171,0,$F341))</f>
        <v>0</v>
      </c>
      <c r="AN341" s="58">
        <f t="shared" ca="1" si="865"/>
        <v>0</v>
      </c>
      <c r="AO341" s="58">
        <f t="shared" ca="1" si="865"/>
        <v>0</v>
      </c>
      <c r="AP341" s="58">
        <f t="shared" ca="1" si="865"/>
        <v>0</v>
      </c>
      <c r="AQ341" s="58">
        <f t="shared" ca="1" si="865"/>
        <v>0</v>
      </c>
      <c r="AR341" s="58">
        <f t="shared" ca="1" si="865"/>
        <v>0</v>
      </c>
      <c r="AS341" s="58">
        <f t="shared" ca="1" si="865"/>
        <v>0</v>
      </c>
      <c r="AT341" s="58">
        <f t="shared" ca="1" si="865"/>
        <v>0</v>
      </c>
      <c r="AU341" s="58">
        <f t="shared" ca="1" si="865"/>
        <v>0</v>
      </c>
      <c r="AV341" s="58">
        <f t="shared" ca="1" si="865"/>
        <v>0</v>
      </c>
      <c r="AW341" s="58">
        <f t="shared" ca="1" si="865"/>
        <v>0</v>
      </c>
      <c r="AX341" s="58">
        <f t="shared" ca="1" si="865"/>
        <v>0</v>
      </c>
      <c r="AY341" s="58">
        <f t="shared" ca="1" si="865"/>
        <v>0</v>
      </c>
      <c r="AZ341" s="58">
        <f t="shared" ca="1" si="865"/>
        <v>0</v>
      </c>
      <c r="BA341" s="58">
        <f t="shared" ca="1" si="865"/>
        <v>0</v>
      </c>
      <c r="BB341" s="58">
        <f t="shared" ca="1" si="865"/>
        <v>0</v>
      </c>
      <c r="BC341" s="58">
        <f t="shared" ca="1" si="865"/>
        <v>0</v>
      </c>
      <c r="BD341" s="58">
        <f t="shared" ca="1" si="865"/>
        <v>0</v>
      </c>
      <c r="BE341" s="58">
        <f t="shared" ca="1" si="865"/>
        <v>0</v>
      </c>
      <c r="BF341" s="58">
        <f t="shared" ca="1" si="865"/>
        <v>0</v>
      </c>
      <c r="BG341" s="58">
        <f t="shared" ca="1" si="865"/>
        <v>0</v>
      </c>
      <c r="BH341" s="58">
        <f t="shared" ca="1" si="865"/>
        <v>0</v>
      </c>
      <c r="BI341" s="58">
        <f t="shared" ca="1" si="865"/>
        <v>0</v>
      </c>
      <c r="BJ341" s="58">
        <f t="shared" ca="1" si="865"/>
        <v>0</v>
      </c>
      <c r="BK341" s="58">
        <f t="shared" ca="1" si="865"/>
        <v>0</v>
      </c>
      <c r="BL341" s="58">
        <f t="shared" ca="1" si="865"/>
        <v>0</v>
      </c>
      <c r="BM341" s="58">
        <f t="shared" ca="1" si="865"/>
        <v>0</v>
      </c>
      <c r="BN341" s="58">
        <f t="shared" ca="1" si="865"/>
        <v>0</v>
      </c>
      <c r="BO341" s="58">
        <f t="shared" ca="1" si="865"/>
        <v>0</v>
      </c>
      <c r="BP341" s="58">
        <f t="shared" ca="1" si="865"/>
        <v>0</v>
      </c>
      <c r="BQ341" s="58">
        <f t="shared" ca="1" si="865"/>
        <v>0</v>
      </c>
      <c r="BR341" s="58">
        <f t="shared" ca="1" si="865"/>
        <v>0</v>
      </c>
      <c r="BS341" s="58">
        <f t="shared" ref="BS341:CX341" ca="1" si="866">+IF(OR($F341+BS$175&lt;1,(BS$176-1)*12&lt;-$F341),0,OFFSET(BS171,0,$F341))</f>
        <v>0</v>
      </c>
      <c r="BT341" s="58">
        <f t="shared" ca="1" si="866"/>
        <v>0</v>
      </c>
      <c r="BU341" s="58">
        <f t="shared" ca="1" si="866"/>
        <v>0</v>
      </c>
      <c r="BV341" s="58">
        <f t="shared" ca="1" si="866"/>
        <v>0</v>
      </c>
      <c r="BW341" s="58">
        <f t="shared" ca="1" si="866"/>
        <v>0</v>
      </c>
      <c r="BX341" s="58">
        <f t="shared" ca="1" si="866"/>
        <v>0</v>
      </c>
      <c r="BY341" s="58">
        <f t="shared" ca="1" si="866"/>
        <v>0</v>
      </c>
      <c r="BZ341" s="58">
        <f t="shared" ca="1" si="866"/>
        <v>0</v>
      </c>
      <c r="CA341" s="58">
        <f t="shared" ca="1" si="866"/>
        <v>0</v>
      </c>
      <c r="CB341" s="58">
        <f t="shared" ca="1" si="866"/>
        <v>0</v>
      </c>
      <c r="CC341" s="58">
        <f t="shared" ca="1" si="866"/>
        <v>0</v>
      </c>
      <c r="CD341" s="58">
        <f t="shared" ca="1" si="866"/>
        <v>0</v>
      </c>
      <c r="CE341" s="58">
        <f t="shared" ca="1" si="866"/>
        <v>0</v>
      </c>
      <c r="CF341" s="58">
        <f t="shared" ca="1" si="866"/>
        <v>0</v>
      </c>
      <c r="CG341" s="58">
        <f t="shared" ca="1" si="866"/>
        <v>0</v>
      </c>
      <c r="CH341" s="58">
        <f t="shared" ca="1" si="866"/>
        <v>0</v>
      </c>
      <c r="CI341" s="58">
        <f t="shared" ca="1" si="866"/>
        <v>0</v>
      </c>
      <c r="CJ341" s="58">
        <f t="shared" ca="1" si="866"/>
        <v>0</v>
      </c>
      <c r="CK341" s="58">
        <f t="shared" ca="1" si="866"/>
        <v>0</v>
      </c>
      <c r="CL341" s="58">
        <f t="shared" ca="1" si="866"/>
        <v>0</v>
      </c>
      <c r="CM341" s="58">
        <f t="shared" ca="1" si="866"/>
        <v>0</v>
      </c>
      <c r="CN341" s="58">
        <f t="shared" ca="1" si="866"/>
        <v>0</v>
      </c>
      <c r="CO341" s="58">
        <f t="shared" ca="1" si="866"/>
        <v>0</v>
      </c>
      <c r="CP341" s="58">
        <f t="shared" ca="1" si="866"/>
        <v>0</v>
      </c>
      <c r="CQ341" s="58">
        <f t="shared" ca="1" si="866"/>
        <v>0</v>
      </c>
      <c r="CR341" s="58">
        <f t="shared" ca="1" si="866"/>
        <v>0</v>
      </c>
      <c r="CS341" s="58">
        <f t="shared" ca="1" si="866"/>
        <v>0</v>
      </c>
      <c r="CT341" s="58">
        <f t="shared" ca="1" si="866"/>
        <v>0</v>
      </c>
      <c r="CU341" s="58">
        <f t="shared" ca="1" si="866"/>
        <v>0</v>
      </c>
      <c r="CV341" s="58">
        <f t="shared" ca="1" si="866"/>
        <v>0</v>
      </c>
      <c r="CW341" s="58">
        <f t="shared" ca="1" si="866"/>
        <v>0</v>
      </c>
      <c r="CX341" s="58">
        <f t="shared" ca="1" si="866"/>
        <v>0</v>
      </c>
      <c r="CY341" s="58">
        <f t="shared" ref="CY341:ED341" ca="1" si="867">+IF(OR($F341+CY$175&lt;1,(CY$176-1)*12&lt;-$F341),0,OFFSET(CY171,0,$F341))</f>
        <v>0</v>
      </c>
      <c r="CZ341" s="58">
        <f t="shared" ca="1" si="867"/>
        <v>0</v>
      </c>
      <c r="DA341" s="58">
        <f t="shared" ca="1" si="867"/>
        <v>0</v>
      </c>
      <c r="DB341" s="58">
        <f t="shared" ca="1" si="867"/>
        <v>0</v>
      </c>
      <c r="DC341" s="58">
        <f t="shared" ca="1" si="867"/>
        <v>0</v>
      </c>
      <c r="DD341" s="58">
        <f t="shared" ca="1" si="867"/>
        <v>0</v>
      </c>
      <c r="DE341" s="58">
        <f t="shared" ca="1" si="867"/>
        <v>0</v>
      </c>
      <c r="DF341" s="58">
        <f t="shared" ca="1" si="867"/>
        <v>0</v>
      </c>
      <c r="DG341" s="58">
        <f t="shared" ca="1" si="867"/>
        <v>0</v>
      </c>
      <c r="DH341" s="58">
        <f t="shared" ca="1" si="867"/>
        <v>0</v>
      </c>
      <c r="DI341" s="58">
        <f t="shared" ca="1" si="867"/>
        <v>0</v>
      </c>
      <c r="DJ341" s="58">
        <f t="shared" ca="1" si="867"/>
        <v>0</v>
      </c>
      <c r="DK341" s="58">
        <f t="shared" ca="1" si="867"/>
        <v>0</v>
      </c>
      <c r="DL341" s="58">
        <f t="shared" ca="1" si="867"/>
        <v>0</v>
      </c>
      <c r="DM341" s="58">
        <f t="shared" ca="1" si="867"/>
        <v>0</v>
      </c>
      <c r="DN341" s="58">
        <f t="shared" ca="1" si="867"/>
        <v>0</v>
      </c>
      <c r="DO341" s="58">
        <f t="shared" ca="1" si="867"/>
        <v>0</v>
      </c>
      <c r="DP341" s="58">
        <f t="shared" ca="1" si="867"/>
        <v>0</v>
      </c>
      <c r="DQ341" s="58">
        <f t="shared" ca="1" si="867"/>
        <v>0</v>
      </c>
      <c r="DR341" s="58">
        <f t="shared" ca="1" si="867"/>
        <v>0</v>
      </c>
      <c r="DS341" s="58">
        <f t="shared" ca="1" si="867"/>
        <v>0</v>
      </c>
      <c r="DT341" s="58">
        <f t="shared" ca="1" si="867"/>
        <v>0</v>
      </c>
      <c r="DU341" s="58">
        <f t="shared" ca="1" si="867"/>
        <v>0</v>
      </c>
      <c r="DV341" s="58">
        <f t="shared" ca="1" si="867"/>
        <v>0</v>
      </c>
      <c r="DW341" s="58">
        <f t="shared" ca="1" si="867"/>
        <v>0</v>
      </c>
      <c r="DX341" s="58">
        <f t="shared" ca="1" si="867"/>
        <v>0</v>
      </c>
      <c r="DY341" s="58">
        <f t="shared" ca="1" si="867"/>
        <v>0</v>
      </c>
      <c r="DZ341" s="58">
        <f t="shared" ca="1" si="867"/>
        <v>0</v>
      </c>
      <c r="EA341" s="58">
        <f t="shared" ca="1" si="867"/>
        <v>0</v>
      </c>
      <c r="EB341" s="58">
        <f t="shared" ca="1" si="867"/>
        <v>0</v>
      </c>
      <c r="EC341" s="58">
        <f t="shared" ca="1" si="867"/>
        <v>0</v>
      </c>
      <c r="ED341" s="58">
        <f t="shared" ca="1" si="867"/>
        <v>0</v>
      </c>
      <c r="EE341" s="58">
        <f t="shared" ref="EE341:FN341" ca="1" si="868">+IF(OR($F341+EE$175&lt;1,(EE$176-1)*12&lt;-$F341),0,OFFSET(EE171,0,$F341))</f>
        <v>0</v>
      </c>
      <c r="EF341" s="58">
        <f t="shared" ca="1" si="868"/>
        <v>0</v>
      </c>
      <c r="EG341" s="58">
        <f t="shared" ca="1" si="868"/>
        <v>0</v>
      </c>
      <c r="EH341" s="58">
        <f t="shared" ca="1" si="868"/>
        <v>0</v>
      </c>
      <c r="EI341" s="58">
        <f t="shared" ca="1" si="868"/>
        <v>0</v>
      </c>
      <c r="EJ341" s="58">
        <f t="shared" ca="1" si="868"/>
        <v>0</v>
      </c>
      <c r="EK341" s="58">
        <f t="shared" ca="1" si="868"/>
        <v>0</v>
      </c>
      <c r="EL341" s="58">
        <f t="shared" ca="1" si="868"/>
        <v>0</v>
      </c>
      <c r="EM341" s="58">
        <f t="shared" ca="1" si="868"/>
        <v>0</v>
      </c>
      <c r="EN341" s="58">
        <f t="shared" ca="1" si="868"/>
        <v>0</v>
      </c>
      <c r="EO341" s="58">
        <f t="shared" ca="1" si="868"/>
        <v>0</v>
      </c>
      <c r="EP341" s="58">
        <f t="shared" ca="1" si="868"/>
        <v>0</v>
      </c>
      <c r="EQ341" s="58">
        <f t="shared" ca="1" si="868"/>
        <v>0</v>
      </c>
      <c r="ER341" s="58">
        <f t="shared" ca="1" si="868"/>
        <v>0</v>
      </c>
      <c r="ES341" s="58">
        <f t="shared" ca="1" si="868"/>
        <v>0</v>
      </c>
      <c r="ET341" s="58">
        <f t="shared" ca="1" si="868"/>
        <v>0</v>
      </c>
      <c r="EU341" s="58">
        <f t="shared" ca="1" si="868"/>
        <v>0</v>
      </c>
      <c r="EV341" s="58">
        <f t="shared" ca="1" si="868"/>
        <v>0</v>
      </c>
      <c r="EW341" s="58">
        <f t="shared" ca="1" si="868"/>
        <v>0</v>
      </c>
      <c r="EX341" s="58">
        <f t="shared" ca="1" si="868"/>
        <v>0</v>
      </c>
      <c r="EY341" s="58">
        <f t="shared" ca="1" si="868"/>
        <v>0</v>
      </c>
      <c r="EZ341" s="58">
        <f t="shared" ca="1" si="868"/>
        <v>0</v>
      </c>
      <c r="FA341" s="58">
        <f t="shared" ca="1" si="868"/>
        <v>0</v>
      </c>
      <c r="FB341" s="58">
        <f t="shared" ca="1" si="868"/>
        <v>0</v>
      </c>
      <c r="FC341" s="58">
        <f t="shared" ca="1" si="868"/>
        <v>0</v>
      </c>
      <c r="FD341" s="58">
        <f t="shared" ca="1" si="868"/>
        <v>0</v>
      </c>
      <c r="FE341" s="58">
        <f t="shared" ca="1" si="868"/>
        <v>0</v>
      </c>
      <c r="FF341" s="58">
        <f t="shared" ca="1" si="868"/>
        <v>0</v>
      </c>
      <c r="FG341" s="58">
        <f t="shared" ca="1" si="868"/>
        <v>0</v>
      </c>
      <c r="FH341" s="58">
        <f t="shared" ca="1" si="868"/>
        <v>0</v>
      </c>
      <c r="FI341" s="58">
        <f t="shared" ca="1" si="868"/>
        <v>0</v>
      </c>
      <c r="FJ341" s="58">
        <f t="shared" ca="1" si="868"/>
        <v>0</v>
      </c>
      <c r="FK341" s="58">
        <f t="shared" ca="1" si="868"/>
        <v>0</v>
      </c>
      <c r="FL341" s="58">
        <f t="shared" ca="1" si="868"/>
        <v>0</v>
      </c>
      <c r="FM341" s="58">
        <f t="shared" ca="1" si="868"/>
        <v>0</v>
      </c>
      <c r="FN341" s="58">
        <f t="shared" ca="1" si="868"/>
        <v>0</v>
      </c>
      <c r="FO341" s="13"/>
    </row>
  </sheetData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E690-E8FE-4DB8-84B0-51EBD932920D}">
  <sheetPr>
    <tabColor rgb="FF1F3864"/>
    <pageSetUpPr fitToPage="1"/>
  </sheetPr>
  <dimension ref="A4:FO92"/>
  <sheetViews>
    <sheetView showGridLines="0" zoomScale="68" zoomScaleNormal="50" workbookViewId="0"/>
  </sheetViews>
  <sheetFormatPr defaultColWidth="0" defaultRowHeight="15.6" outlineLevelRow="1" x14ac:dyDescent="0.3"/>
  <cols>
    <col min="1" max="2" width="3.109375" style="3" customWidth="1"/>
    <col min="3" max="3" width="8" style="3" customWidth="1"/>
    <col min="4" max="4" width="44" style="3" customWidth="1"/>
    <col min="5" max="5" width="18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</row>
    <row r="5" spans="1:171" x14ac:dyDescent="0.3">
      <c r="A5" s="13"/>
      <c r="B5" s="16" t="s">
        <v>0</v>
      </c>
      <c r="C5" s="16" t="s">
        <v>19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3"/>
    </row>
    <row r="6" spans="1:171" outlineLevel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outlineLevel="1" x14ac:dyDescent="0.3">
      <c r="A7" s="13"/>
      <c r="B7" s="13"/>
      <c r="C7" s="13"/>
      <c r="D7" s="18"/>
      <c r="E7" s="18"/>
      <c r="F7" s="49" t="s">
        <v>28</v>
      </c>
      <c r="G7" s="56">
        <v>1</v>
      </c>
      <c r="H7" s="57">
        <f t="shared" ref="H7:AM7" si="0">+G7+1</f>
        <v>2</v>
      </c>
      <c r="I7" s="57">
        <f t="shared" si="0"/>
        <v>3</v>
      </c>
      <c r="J7" s="57">
        <f t="shared" si="0"/>
        <v>4</v>
      </c>
      <c r="K7" s="57">
        <f t="shared" si="0"/>
        <v>5</v>
      </c>
      <c r="L7" s="57">
        <f t="shared" si="0"/>
        <v>6</v>
      </c>
      <c r="M7" s="57">
        <f t="shared" si="0"/>
        <v>7</v>
      </c>
      <c r="N7" s="57">
        <f t="shared" si="0"/>
        <v>8</v>
      </c>
      <c r="O7" s="57">
        <f t="shared" si="0"/>
        <v>9</v>
      </c>
      <c r="P7" s="57">
        <f t="shared" si="0"/>
        <v>10</v>
      </c>
      <c r="Q7" s="57">
        <f t="shared" si="0"/>
        <v>11</v>
      </c>
      <c r="R7" s="57">
        <f t="shared" si="0"/>
        <v>12</v>
      </c>
      <c r="S7" s="57">
        <f t="shared" si="0"/>
        <v>13</v>
      </c>
      <c r="T7" s="57">
        <f t="shared" si="0"/>
        <v>14</v>
      </c>
      <c r="U7" s="57">
        <f t="shared" si="0"/>
        <v>15</v>
      </c>
      <c r="V7" s="57">
        <f t="shared" si="0"/>
        <v>16</v>
      </c>
      <c r="W7" s="57">
        <f t="shared" si="0"/>
        <v>17</v>
      </c>
      <c r="X7" s="57">
        <f t="shared" si="0"/>
        <v>18</v>
      </c>
      <c r="Y7" s="57">
        <f t="shared" si="0"/>
        <v>19</v>
      </c>
      <c r="Z7" s="57">
        <f t="shared" si="0"/>
        <v>20</v>
      </c>
      <c r="AA7" s="57">
        <f t="shared" si="0"/>
        <v>21</v>
      </c>
      <c r="AB7" s="57">
        <f t="shared" si="0"/>
        <v>22</v>
      </c>
      <c r="AC7" s="57">
        <f t="shared" si="0"/>
        <v>23</v>
      </c>
      <c r="AD7" s="57">
        <f t="shared" si="0"/>
        <v>24</v>
      </c>
      <c r="AE7" s="57">
        <f t="shared" si="0"/>
        <v>25</v>
      </c>
      <c r="AF7" s="57">
        <f t="shared" si="0"/>
        <v>26</v>
      </c>
      <c r="AG7" s="57">
        <f t="shared" si="0"/>
        <v>27</v>
      </c>
      <c r="AH7" s="57">
        <f t="shared" si="0"/>
        <v>28</v>
      </c>
      <c r="AI7" s="57">
        <f t="shared" si="0"/>
        <v>29</v>
      </c>
      <c r="AJ7" s="57">
        <f t="shared" si="0"/>
        <v>30</v>
      </c>
      <c r="AK7" s="57">
        <f t="shared" si="0"/>
        <v>31</v>
      </c>
      <c r="AL7" s="57">
        <f t="shared" si="0"/>
        <v>32</v>
      </c>
      <c r="AM7" s="57">
        <f t="shared" si="0"/>
        <v>33</v>
      </c>
      <c r="AN7" s="57">
        <f t="shared" ref="AN7:BS7" si="1">+AM7+1</f>
        <v>34</v>
      </c>
      <c r="AO7" s="57">
        <f t="shared" si="1"/>
        <v>35</v>
      </c>
      <c r="AP7" s="57">
        <f t="shared" si="1"/>
        <v>36</v>
      </c>
      <c r="AQ7" s="57">
        <f t="shared" si="1"/>
        <v>37</v>
      </c>
      <c r="AR7" s="57">
        <f t="shared" si="1"/>
        <v>38</v>
      </c>
      <c r="AS7" s="57">
        <f t="shared" si="1"/>
        <v>39</v>
      </c>
      <c r="AT7" s="57">
        <f t="shared" si="1"/>
        <v>40</v>
      </c>
      <c r="AU7" s="57">
        <f t="shared" si="1"/>
        <v>41</v>
      </c>
      <c r="AV7" s="57">
        <f t="shared" si="1"/>
        <v>42</v>
      </c>
      <c r="AW7" s="57">
        <f t="shared" si="1"/>
        <v>43</v>
      </c>
      <c r="AX7" s="57">
        <f t="shared" si="1"/>
        <v>44</v>
      </c>
      <c r="AY7" s="57">
        <f t="shared" si="1"/>
        <v>45</v>
      </c>
      <c r="AZ7" s="57">
        <f t="shared" si="1"/>
        <v>46</v>
      </c>
      <c r="BA7" s="57">
        <f t="shared" si="1"/>
        <v>47</v>
      </c>
      <c r="BB7" s="57">
        <f t="shared" si="1"/>
        <v>48</v>
      </c>
      <c r="BC7" s="57">
        <f t="shared" si="1"/>
        <v>49</v>
      </c>
      <c r="BD7" s="57">
        <f t="shared" si="1"/>
        <v>50</v>
      </c>
      <c r="BE7" s="57">
        <f t="shared" si="1"/>
        <v>51</v>
      </c>
      <c r="BF7" s="57">
        <f t="shared" si="1"/>
        <v>52</v>
      </c>
      <c r="BG7" s="57">
        <f t="shared" si="1"/>
        <v>53</v>
      </c>
      <c r="BH7" s="57">
        <f t="shared" si="1"/>
        <v>54</v>
      </c>
      <c r="BI7" s="57">
        <f t="shared" si="1"/>
        <v>55</v>
      </c>
      <c r="BJ7" s="57">
        <f t="shared" si="1"/>
        <v>56</v>
      </c>
      <c r="BK7" s="57">
        <f t="shared" si="1"/>
        <v>57</v>
      </c>
      <c r="BL7" s="57">
        <f t="shared" si="1"/>
        <v>58</v>
      </c>
      <c r="BM7" s="57">
        <f t="shared" si="1"/>
        <v>59</v>
      </c>
      <c r="BN7" s="57">
        <f t="shared" si="1"/>
        <v>60</v>
      </c>
      <c r="BO7" s="57">
        <f t="shared" si="1"/>
        <v>61</v>
      </c>
      <c r="BP7" s="57">
        <f t="shared" si="1"/>
        <v>62</v>
      </c>
      <c r="BQ7" s="57">
        <f t="shared" si="1"/>
        <v>63</v>
      </c>
      <c r="BR7" s="57">
        <f t="shared" si="1"/>
        <v>64</v>
      </c>
      <c r="BS7" s="57">
        <f t="shared" si="1"/>
        <v>65</v>
      </c>
      <c r="BT7" s="57">
        <f t="shared" ref="BT7:CY7" si="2">+BS7+1</f>
        <v>66</v>
      </c>
      <c r="BU7" s="57">
        <f t="shared" si="2"/>
        <v>67</v>
      </c>
      <c r="BV7" s="57">
        <f t="shared" si="2"/>
        <v>68</v>
      </c>
      <c r="BW7" s="57">
        <f t="shared" si="2"/>
        <v>69</v>
      </c>
      <c r="BX7" s="57">
        <f t="shared" si="2"/>
        <v>70</v>
      </c>
      <c r="BY7" s="57">
        <f t="shared" si="2"/>
        <v>71</v>
      </c>
      <c r="BZ7" s="57">
        <f t="shared" si="2"/>
        <v>72</v>
      </c>
      <c r="CA7" s="57">
        <f t="shared" si="2"/>
        <v>73</v>
      </c>
      <c r="CB7" s="57">
        <f t="shared" si="2"/>
        <v>74</v>
      </c>
      <c r="CC7" s="57">
        <f t="shared" si="2"/>
        <v>75</v>
      </c>
      <c r="CD7" s="57">
        <f t="shared" si="2"/>
        <v>76</v>
      </c>
      <c r="CE7" s="57">
        <f t="shared" si="2"/>
        <v>77</v>
      </c>
      <c r="CF7" s="57">
        <f t="shared" si="2"/>
        <v>78</v>
      </c>
      <c r="CG7" s="57">
        <f t="shared" si="2"/>
        <v>79</v>
      </c>
      <c r="CH7" s="57">
        <f t="shared" si="2"/>
        <v>80</v>
      </c>
      <c r="CI7" s="57">
        <f t="shared" si="2"/>
        <v>81</v>
      </c>
      <c r="CJ7" s="57">
        <f t="shared" si="2"/>
        <v>82</v>
      </c>
      <c r="CK7" s="57">
        <f t="shared" si="2"/>
        <v>83</v>
      </c>
      <c r="CL7" s="57">
        <f t="shared" si="2"/>
        <v>84</v>
      </c>
      <c r="CM7" s="57">
        <f t="shared" si="2"/>
        <v>85</v>
      </c>
      <c r="CN7" s="57">
        <f t="shared" si="2"/>
        <v>86</v>
      </c>
      <c r="CO7" s="57">
        <f t="shared" si="2"/>
        <v>87</v>
      </c>
      <c r="CP7" s="57">
        <f t="shared" si="2"/>
        <v>88</v>
      </c>
      <c r="CQ7" s="57">
        <f t="shared" si="2"/>
        <v>89</v>
      </c>
      <c r="CR7" s="57">
        <f t="shared" si="2"/>
        <v>90</v>
      </c>
      <c r="CS7" s="57">
        <f t="shared" si="2"/>
        <v>91</v>
      </c>
      <c r="CT7" s="57">
        <f t="shared" si="2"/>
        <v>92</v>
      </c>
      <c r="CU7" s="57">
        <f t="shared" si="2"/>
        <v>93</v>
      </c>
      <c r="CV7" s="57">
        <f t="shared" si="2"/>
        <v>94</v>
      </c>
      <c r="CW7" s="57">
        <f t="shared" si="2"/>
        <v>95</v>
      </c>
      <c r="CX7" s="57">
        <f t="shared" si="2"/>
        <v>96</v>
      </c>
      <c r="CY7" s="57">
        <f t="shared" si="2"/>
        <v>97</v>
      </c>
      <c r="CZ7" s="57">
        <f t="shared" ref="CZ7:EE7" si="3">+CY7+1</f>
        <v>98</v>
      </c>
      <c r="DA7" s="57">
        <f t="shared" si="3"/>
        <v>99</v>
      </c>
      <c r="DB7" s="57">
        <f t="shared" si="3"/>
        <v>100</v>
      </c>
      <c r="DC7" s="57">
        <f t="shared" si="3"/>
        <v>101</v>
      </c>
      <c r="DD7" s="57">
        <f t="shared" si="3"/>
        <v>102</v>
      </c>
      <c r="DE7" s="57">
        <f t="shared" si="3"/>
        <v>103</v>
      </c>
      <c r="DF7" s="57">
        <f t="shared" si="3"/>
        <v>104</v>
      </c>
      <c r="DG7" s="57">
        <f t="shared" si="3"/>
        <v>105</v>
      </c>
      <c r="DH7" s="57">
        <f t="shared" si="3"/>
        <v>106</v>
      </c>
      <c r="DI7" s="57">
        <f t="shared" si="3"/>
        <v>107</v>
      </c>
      <c r="DJ7" s="57">
        <f t="shared" si="3"/>
        <v>108</v>
      </c>
      <c r="DK7" s="57">
        <f t="shared" si="3"/>
        <v>109</v>
      </c>
      <c r="DL7" s="57">
        <f t="shared" si="3"/>
        <v>110</v>
      </c>
      <c r="DM7" s="57">
        <f t="shared" si="3"/>
        <v>111</v>
      </c>
      <c r="DN7" s="57">
        <f t="shared" si="3"/>
        <v>112</v>
      </c>
      <c r="DO7" s="57">
        <f t="shared" si="3"/>
        <v>113</v>
      </c>
      <c r="DP7" s="57">
        <f t="shared" si="3"/>
        <v>114</v>
      </c>
      <c r="DQ7" s="57">
        <f t="shared" si="3"/>
        <v>115</v>
      </c>
      <c r="DR7" s="57">
        <f t="shared" si="3"/>
        <v>116</v>
      </c>
      <c r="DS7" s="57">
        <f t="shared" si="3"/>
        <v>117</v>
      </c>
      <c r="DT7" s="57">
        <f t="shared" si="3"/>
        <v>118</v>
      </c>
      <c r="DU7" s="57">
        <f t="shared" si="3"/>
        <v>119</v>
      </c>
      <c r="DV7" s="57">
        <f t="shared" si="3"/>
        <v>120</v>
      </c>
      <c r="DW7" s="57">
        <f t="shared" si="3"/>
        <v>121</v>
      </c>
      <c r="DX7" s="57">
        <f t="shared" si="3"/>
        <v>122</v>
      </c>
      <c r="DY7" s="57">
        <f t="shared" si="3"/>
        <v>123</v>
      </c>
      <c r="DZ7" s="57">
        <f t="shared" si="3"/>
        <v>124</v>
      </c>
      <c r="EA7" s="57">
        <f t="shared" si="3"/>
        <v>125</v>
      </c>
      <c r="EB7" s="57">
        <f t="shared" si="3"/>
        <v>126</v>
      </c>
      <c r="EC7" s="57">
        <f t="shared" si="3"/>
        <v>127</v>
      </c>
      <c r="ED7" s="57">
        <f t="shared" si="3"/>
        <v>128</v>
      </c>
      <c r="EE7" s="57">
        <f t="shared" si="3"/>
        <v>129</v>
      </c>
      <c r="EF7" s="57">
        <f t="shared" ref="EF7:FN7" si="4">+EE7+1</f>
        <v>130</v>
      </c>
      <c r="EG7" s="57">
        <f t="shared" si="4"/>
        <v>131</v>
      </c>
      <c r="EH7" s="57">
        <f t="shared" si="4"/>
        <v>132</v>
      </c>
      <c r="EI7" s="57">
        <f t="shared" si="4"/>
        <v>133</v>
      </c>
      <c r="EJ7" s="57">
        <f t="shared" si="4"/>
        <v>134</v>
      </c>
      <c r="EK7" s="57">
        <f t="shared" si="4"/>
        <v>135</v>
      </c>
      <c r="EL7" s="57">
        <f t="shared" si="4"/>
        <v>136</v>
      </c>
      <c r="EM7" s="57">
        <f t="shared" si="4"/>
        <v>137</v>
      </c>
      <c r="EN7" s="57">
        <f t="shared" si="4"/>
        <v>138</v>
      </c>
      <c r="EO7" s="57">
        <f t="shared" si="4"/>
        <v>139</v>
      </c>
      <c r="EP7" s="57">
        <f t="shared" si="4"/>
        <v>140</v>
      </c>
      <c r="EQ7" s="57">
        <f t="shared" si="4"/>
        <v>141</v>
      </c>
      <c r="ER7" s="57">
        <f t="shared" si="4"/>
        <v>142</v>
      </c>
      <c r="ES7" s="57">
        <f t="shared" si="4"/>
        <v>143</v>
      </c>
      <c r="ET7" s="57">
        <f t="shared" si="4"/>
        <v>144</v>
      </c>
      <c r="EU7" s="57">
        <f t="shared" si="4"/>
        <v>145</v>
      </c>
      <c r="EV7" s="57">
        <f t="shared" si="4"/>
        <v>146</v>
      </c>
      <c r="EW7" s="57">
        <f t="shared" si="4"/>
        <v>147</v>
      </c>
      <c r="EX7" s="57">
        <f t="shared" si="4"/>
        <v>148</v>
      </c>
      <c r="EY7" s="57">
        <f t="shared" si="4"/>
        <v>149</v>
      </c>
      <c r="EZ7" s="57">
        <f t="shared" si="4"/>
        <v>150</v>
      </c>
      <c r="FA7" s="57">
        <f t="shared" si="4"/>
        <v>151</v>
      </c>
      <c r="FB7" s="57">
        <f t="shared" si="4"/>
        <v>152</v>
      </c>
      <c r="FC7" s="57">
        <f t="shared" si="4"/>
        <v>153</v>
      </c>
      <c r="FD7" s="57">
        <f t="shared" si="4"/>
        <v>154</v>
      </c>
      <c r="FE7" s="57">
        <f t="shared" si="4"/>
        <v>155</v>
      </c>
      <c r="FF7" s="57">
        <f t="shared" si="4"/>
        <v>156</v>
      </c>
      <c r="FG7" s="57">
        <f t="shared" si="4"/>
        <v>157</v>
      </c>
      <c r="FH7" s="57">
        <f t="shared" si="4"/>
        <v>158</v>
      </c>
      <c r="FI7" s="57">
        <f t="shared" si="4"/>
        <v>159</v>
      </c>
      <c r="FJ7" s="57">
        <f t="shared" si="4"/>
        <v>160</v>
      </c>
      <c r="FK7" s="57">
        <f t="shared" si="4"/>
        <v>161</v>
      </c>
      <c r="FL7" s="57">
        <f t="shared" si="4"/>
        <v>162</v>
      </c>
      <c r="FM7" s="57">
        <f t="shared" si="4"/>
        <v>163</v>
      </c>
      <c r="FN7" s="57">
        <f t="shared" si="4"/>
        <v>164</v>
      </c>
      <c r="FO7" s="13"/>
    </row>
    <row r="8" spans="1:171" outlineLevel="1" x14ac:dyDescent="0.3">
      <c r="A8" s="13"/>
      <c r="B8" s="13"/>
      <c r="C8" s="13"/>
      <c r="D8" s="18"/>
      <c r="E8" s="18"/>
      <c r="F8" s="49" t="s">
        <v>10</v>
      </c>
      <c r="G8" s="57">
        <f t="shared" ref="G8:AL8" si="5">+ROUNDUP(G7/12,0)</f>
        <v>1</v>
      </c>
      <c r="H8" s="57">
        <f t="shared" si="5"/>
        <v>1</v>
      </c>
      <c r="I8" s="57">
        <f t="shared" si="5"/>
        <v>1</v>
      </c>
      <c r="J8" s="57">
        <f t="shared" si="5"/>
        <v>1</v>
      </c>
      <c r="K8" s="57">
        <f t="shared" si="5"/>
        <v>1</v>
      </c>
      <c r="L8" s="57">
        <f t="shared" si="5"/>
        <v>1</v>
      </c>
      <c r="M8" s="57">
        <f t="shared" si="5"/>
        <v>1</v>
      </c>
      <c r="N8" s="57">
        <f t="shared" si="5"/>
        <v>1</v>
      </c>
      <c r="O8" s="57">
        <f t="shared" si="5"/>
        <v>1</v>
      </c>
      <c r="P8" s="57">
        <f t="shared" si="5"/>
        <v>1</v>
      </c>
      <c r="Q8" s="57">
        <f t="shared" si="5"/>
        <v>1</v>
      </c>
      <c r="R8" s="57">
        <f t="shared" si="5"/>
        <v>1</v>
      </c>
      <c r="S8" s="57">
        <f t="shared" si="5"/>
        <v>2</v>
      </c>
      <c r="T8" s="57">
        <f t="shared" si="5"/>
        <v>2</v>
      </c>
      <c r="U8" s="57">
        <f t="shared" si="5"/>
        <v>2</v>
      </c>
      <c r="V8" s="57">
        <f t="shared" si="5"/>
        <v>2</v>
      </c>
      <c r="W8" s="57">
        <f t="shared" si="5"/>
        <v>2</v>
      </c>
      <c r="X8" s="57">
        <f t="shared" si="5"/>
        <v>2</v>
      </c>
      <c r="Y8" s="57">
        <f t="shared" si="5"/>
        <v>2</v>
      </c>
      <c r="Z8" s="57">
        <f t="shared" si="5"/>
        <v>2</v>
      </c>
      <c r="AA8" s="57">
        <f t="shared" si="5"/>
        <v>2</v>
      </c>
      <c r="AB8" s="57">
        <f t="shared" si="5"/>
        <v>2</v>
      </c>
      <c r="AC8" s="57">
        <f t="shared" si="5"/>
        <v>2</v>
      </c>
      <c r="AD8" s="57">
        <f t="shared" si="5"/>
        <v>2</v>
      </c>
      <c r="AE8" s="57">
        <f t="shared" si="5"/>
        <v>3</v>
      </c>
      <c r="AF8" s="57">
        <f t="shared" si="5"/>
        <v>3</v>
      </c>
      <c r="AG8" s="57">
        <f t="shared" si="5"/>
        <v>3</v>
      </c>
      <c r="AH8" s="57">
        <f t="shared" si="5"/>
        <v>3</v>
      </c>
      <c r="AI8" s="57">
        <f t="shared" si="5"/>
        <v>3</v>
      </c>
      <c r="AJ8" s="57">
        <f t="shared" si="5"/>
        <v>3</v>
      </c>
      <c r="AK8" s="57">
        <f t="shared" si="5"/>
        <v>3</v>
      </c>
      <c r="AL8" s="57">
        <f t="shared" si="5"/>
        <v>3</v>
      </c>
      <c r="AM8" s="57">
        <f t="shared" ref="AM8:BR8" si="6">+ROUNDUP(AM7/12,0)</f>
        <v>3</v>
      </c>
      <c r="AN8" s="57">
        <f t="shared" si="6"/>
        <v>3</v>
      </c>
      <c r="AO8" s="57">
        <f t="shared" si="6"/>
        <v>3</v>
      </c>
      <c r="AP8" s="57">
        <f t="shared" si="6"/>
        <v>3</v>
      </c>
      <c r="AQ8" s="57">
        <f t="shared" si="6"/>
        <v>4</v>
      </c>
      <c r="AR8" s="57">
        <f t="shared" si="6"/>
        <v>4</v>
      </c>
      <c r="AS8" s="57">
        <f t="shared" si="6"/>
        <v>4</v>
      </c>
      <c r="AT8" s="57">
        <f t="shared" si="6"/>
        <v>4</v>
      </c>
      <c r="AU8" s="57">
        <f t="shared" si="6"/>
        <v>4</v>
      </c>
      <c r="AV8" s="57">
        <f t="shared" si="6"/>
        <v>4</v>
      </c>
      <c r="AW8" s="57">
        <f t="shared" si="6"/>
        <v>4</v>
      </c>
      <c r="AX8" s="57">
        <f t="shared" si="6"/>
        <v>4</v>
      </c>
      <c r="AY8" s="57">
        <f t="shared" si="6"/>
        <v>4</v>
      </c>
      <c r="AZ8" s="57">
        <f t="shared" si="6"/>
        <v>4</v>
      </c>
      <c r="BA8" s="57">
        <f t="shared" si="6"/>
        <v>4</v>
      </c>
      <c r="BB8" s="57">
        <f t="shared" si="6"/>
        <v>4</v>
      </c>
      <c r="BC8" s="57">
        <f t="shared" si="6"/>
        <v>5</v>
      </c>
      <c r="BD8" s="57">
        <f t="shared" si="6"/>
        <v>5</v>
      </c>
      <c r="BE8" s="57">
        <f t="shared" si="6"/>
        <v>5</v>
      </c>
      <c r="BF8" s="57">
        <f t="shared" si="6"/>
        <v>5</v>
      </c>
      <c r="BG8" s="57">
        <f t="shared" si="6"/>
        <v>5</v>
      </c>
      <c r="BH8" s="57">
        <f t="shared" si="6"/>
        <v>5</v>
      </c>
      <c r="BI8" s="57">
        <f t="shared" si="6"/>
        <v>5</v>
      </c>
      <c r="BJ8" s="57">
        <f t="shared" si="6"/>
        <v>5</v>
      </c>
      <c r="BK8" s="57">
        <f t="shared" si="6"/>
        <v>5</v>
      </c>
      <c r="BL8" s="57">
        <f t="shared" si="6"/>
        <v>5</v>
      </c>
      <c r="BM8" s="57">
        <f t="shared" si="6"/>
        <v>5</v>
      </c>
      <c r="BN8" s="57">
        <f t="shared" si="6"/>
        <v>5</v>
      </c>
      <c r="BO8" s="57">
        <f t="shared" si="6"/>
        <v>6</v>
      </c>
      <c r="BP8" s="57">
        <f t="shared" si="6"/>
        <v>6</v>
      </c>
      <c r="BQ8" s="57">
        <f t="shared" si="6"/>
        <v>6</v>
      </c>
      <c r="BR8" s="57">
        <f t="shared" si="6"/>
        <v>6</v>
      </c>
      <c r="BS8" s="57">
        <f t="shared" ref="BS8:CX8" si="7">+ROUNDUP(BS7/12,0)</f>
        <v>6</v>
      </c>
      <c r="BT8" s="57">
        <f t="shared" si="7"/>
        <v>6</v>
      </c>
      <c r="BU8" s="57">
        <f t="shared" si="7"/>
        <v>6</v>
      </c>
      <c r="BV8" s="57">
        <f t="shared" si="7"/>
        <v>6</v>
      </c>
      <c r="BW8" s="57">
        <f t="shared" si="7"/>
        <v>6</v>
      </c>
      <c r="BX8" s="57">
        <f t="shared" si="7"/>
        <v>6</v>
      </c>
      <c r="BY8" s="57">
        <f t="shared" si="7"/>
        <v>6</v>
      </c>
      <c r="BZ8" s="57">
        <f t="shared" si="7"/>
        <v>6</v>
      </c>
      <c r="CA8" s="57">
        <f t="shared" si="7"/>
        <v>7</v>
      </c>
      <c r="CB8" s="57">
        <f t="shared" si="7"/>
        <v>7</v>
      </c>
      <c r="CC8" s="57">
        <f t="shared" si="7"/>
        <v>7</v>
      </c>
      <c r="CD8" s="57">
        <f t="shared" si="7"/>
        <v>7</v>
      </c>
      <c r="CE8" s="57">
        <f t="shared" si="7"/>
        <v>7</v>
      </c>
      <c r="CF8" s="57">
        <f t="shared" si="7"/>
        <v>7</v>
      </c>
      <c r="CG8" s="57">
        <f t="shared" si="7"/>
        <v>7</v>
      </c>
      <c r="CH8" s="57">
        <f t="shared" si="7"/>
        <v>7</v>
      </c>
      <c r="CI8" s="57">
        <f t="shared" si="7"/>
        <v>7</v>
      </c>
      <c r="CJ8" s="57">
        <f t="shared" si="7"/>
        <v>7</v>
      </c>
      <c r="CK8" s="57">
        <f t="shared" si="7"/>
        <v>7</v>
      </c>
      <c r="CL8" s="57">
        <f t="shared" si="7"/>
        <v>7</v>
      </c>
      <c r="CM8" s="57">
        <f t="shared" si="7"/>
        <v>8</v>
      </c>
      <c r="CN8" s="57">
        <f t="shared" si="7"/>
        <v>8</v>
      </c>
      <c r="CO8" s="57">
        <f t="shared" si="7"/>
        <v>8</v>
      </c>
      <c r="CP8" s="57">
        <f t="shared" si="7"/>
        <v>8</v>
      </c>
      <c r="CQ8" s="57">
        <f t="shared" si="7"/>
        <v>8</v>
      </c>
      <c r="CR8" s="57">
        <f t="shared" si="7"/>
        <v>8</v>
      </c>
      <c r="CS8" s="57">
        <f t="shared" si="7"/>
        <v>8</v>
      </c>
      <c r="CT8" s="57">
        <f t="shared" si="7"/>
        <v>8</v>
      </c>
      <c r="CU8" s="57">
        <f t="shared" si="7"/>
        <v>8</v>
      </c>
      <c r="CV8" s="57">
        <f t="shared" si="7"/>
        <v>8</v>
      </c>
      <c r="CW8" s="57">
        <f t="shared" si="7"/>
        <v>8</v>
      </c>
      <c r="CX8" s="57">
        <f t="shared" si="7"/>
        <v>8</v>
      </c>
      <c r="CY8" s="57">
        <f t="shared" ref="CY8:ED8" si="8">+ROUNDUP(CY7/12,0)</f>
        <v>9</v>
      </c>
      <c r="CZ8" s="57">
        <f t="shared" si="8"/>
        <v>9</v>
      </c>
      <c r="DA8" s="57">
        <f t="shared" si="8"/>
        <v>9</v>
      </c>
      <c r="DB8" s="57">
        <f t="shared" si="8"/>
        <v>9</v>
      </c>
      <c r="DC8" s="57">
        <f t="shared" si="8"/>
        <v>9</v>
      </c>
      <c r="DD8" s="57">
        <f t="shared" si="8"/>
        <v>9</v>
      </c>
      <c r="DE8" s="57">
        <f t="shared" si="8"/>
        <v>9</v>
      </c>
      <c r="DF8" s="57">
        <f t="shared" si="8"/>
        <v>9</v>
      </c>
      <c r="DG8" s="57">
        <f t="shared" si="8"/>
        <v>9</v>
      </c>
      <c r="DH8" s="57">
        <f t="shared" si="8"/>
        <v>9</v>
      </c>
      <c r="DI8" s="57">
        <f t="shared" si="8"/>
        <v>9</v>
      </c>
      <c r="DJ8" s="57">
        <f t="shared" si="8"/>
        <v>9</v>
      </c>
      <c r="DK8" s="57">
        <f t="shared" si="8"/>
        <v>10</v>
      </c>
      <c r="DL8" s="57">
        <f t="shared" si="8"/>
        <v>10</v>
      </c>
      <c r="DM8" s="57">
        <f t="shared" si="8"/>
        <v>10</v>
      </c>
      <c r="DN8" s="57">
        <f t="shared" si="8"/>
        <v>10</v>
      </c>
      <c r="DO8" s="57">
        <f t="shared" si="8"/>
        <v>10</v>
      </c>
      <c r="DP8" s="57">
        <f t="shared" si="8"/>
        <v>10</v>
      </c>
      <c r="DQ8" s="57">
        <f t="shared" si="8"/>
        <v>10</v>
      </c>
      <c r="DR8" s="57">
        <f t="shared" si="8"/>
        <v>10</v>
      </c>
      <c r="DS8" s="57">
        <f t="shared" si="8"/>
        <v>10</v>
      </c>
      <c r="DT8" s="57">
        <f t="shared" si="8"/>
        <v>10</v>
      </c>
      <c r="DU8" s="57">
        <f t="shared" si="8"/>
        <v>10</v>
      </c>
      <c r="DV8" s="57">
        <f t="shared" si="8"/>
        <v>10</v>
      </c>
      <c r="DW8" s="57">
        <f t="shared" si="8"/>
        <v>11</v>
      </c>
      <c r="DX8" s="57">
        <f t="shared" si="8"/>
        <v>11</v>
      </c>
      <c r="DY8" s="57">
        <f t="shared" si="8"/>
        <v>11</v>
      </c>
      <c r="DZ8" s="57">
        <f t="shared" si="8"/>
        <v>11</v>
      </c>
      <c r="EA8" s="57">
        <f t="shared" si="8"/>
        <v>11</v>
      </c>
      <c r="EB8" s="57">
        <f t="shared" si="8"/>
        <v>11</v>
      </c>
      <c r="EC8" s="57">
        <f t="shared" si="8"/>
        <v>11</v>
      </c>
      <c r="ED8" s="57">
        <f t="shared" si="8"/>
        <v>11</v>
      </c>
      <c r="EE8" s="57">
        <f t="shared" ref="EE8:FJ8" si="9">+ROUNDUP(EE7/12,0)</f>
        <v>11</v>
      </c>
      <c r="EF8" s="57">
        <f t="shared" si="9"/>
        <v>11</v>
      </c>
      <c r="EG8" s="57">
        <f t="shared" si="9"/>
        <v>11</v>
      </c>
      <c r="EH8" s="57">
        <f t="shared" si="9"/>
        <v>11</v>
      </c>
      <c r="EI8" s="57">
        <f t="shared" si="9"/>
        <v>12</v>
      </c>
      <c r="EJ8" s="57">
        <f t="shared" si="9"/>
        <v>12</v>
      </c>
      <c r="EK8" s="57">
        <f t="shared" si="9"/>
        <v>12</v>
      </c>
      <c r="EL8" s="57">
        <f t="shared" si="9"/>
        <v>12</v>
      </c>
      <c r="EM8" s="57">
        <f t="shared" si="9"/>
        <v>12</v>
      </c>
      <c r="EN8" s="57">
        <f t="shared" si="9"/>
        <v>12</v>
      </c>
      <c r="EO8" s="57">
        <f t="shared" si="9"/>
        <v>12</v>
      </c>
      <c r="EP8" s="57">
        <f t="shared" si="9"/>
        <v>12</v>
      </c>
      <c r="EQ8" s="57">
        <f t="shared" si="9"/>
        <v>12</v>
      </c>
      <c r="ER8" s="57">
        <f t="shared" si="9"/>
        <v>12</v>
      </c>
      <c r="ES8" s="57">
        <f t="shared" si="9"/>
        <v>12</v>
      </c>
      <c r="ET8" s="57">
        <f t="shared" si="9"/>
        <v>12</v>
      </c>
      <c r="EU8" s="57">
        <f t="shared" si="9"/>
        <v>13</v>
      </c>
      <c r="EV8" s="57">
        <f t="shared" si="9"/>
        <v>13</v>
      </c>
      <c r="EW8" s="57">
        <f t="shared" si="9"/>
        <v>13</v>
      </c>
      <c r="EX8" s="57">
        <f t="shared" si="9"/>
        <v>13</v>
      </c>
      <c r="EY8" s="57">
        <f t="shared" si="9"/>
        <v>13</v>
      </c>
      <c r="EZ8" s="57">
        <f t="shared" si="9"/>
        <v>13</v>
      </c>
      <c r="FA8" s="57">
        <f t="shared" si="9"/>
        <v>13</v>
      </c>
      <c r="FB8" s="57">
        <f t="shared" si="9"/>
        <v>13</v>
      </c>
      <c r="FC8" s="57">
        <f t="shared" si="9"/>
        <v>13</v>
      </c>
      <c r="FD8" s="57">
        <f t="shared" si="9"/>
        <v>13</v>
      </c>
      <c r="FE8" s="57">
        <f t="shared" si="9"/>
        <v>13</v>
      </c>
      <c r="FF8" s="57">
        <f t="shared" si="9"/>
        <v>13</v>
      </c>
      <c r="FG8" s="57">
        <f t="shared" si="9"/>
        <v>14</v>
      </c>
      <c r="FH8" s="57">
        <f t="shared" si="9"/>
        <v>14</v>
      </c>
      <c r="FI8" s="57">
        <f t="shared" si="9"/>
        <v>14</v>
      </c>
      <c r="FJ8" s="57">
        <f t="shared" si="9"/>
        <v>14</v>
      </c>
      <c r="FK8" s="57">
        <f t="shared" ref="FK8:GP8" si="10">+ROUNDUP(FK7/12,0)</f>
        <v>14</v>
      </c>
      <c r="FL8" s="57">
        <f t="shared" si="10"/>
        <v>14</v>
      </c>
      <c r="FM8" s="57">
        <f t="shared" si="10"/>
        <v>14</v>
      </c>
      <c r="FN8" s="57">
        <f t="shared" si="10"/>
        <v>14</v>
      </c>
      <c r="FO8" s="13"/>
    </row>
    <row r="9" spans="1:171" ht="32.4" outlineLevel="1" x14ac:dyDescent="0.45">
      <c r="A9" s="13"/>
      <c r="B9" s="13"/>
      <c r="C9" s="13"/>
      <c r="D9" s="51" t="s">
        <v>23</v>
      </c>
      <c r="E9" s="28"/>
      <c r="F9" s="2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9">
        <v>2010</v>
      </c>
      <c r="E10" s="25"/>
      <c r="F10" s="20"/>
      <c r="G10" s="58">
        <f ca="1">+SUMIF('Monthly Cohorts'!$E$178:'Monthly Cohorts'!$E$341,$D10,'Monthly Cohorts'!G$178:'Monthly Cohorts'!G$341)</f>
        <v>0</v>
      </c>
      <c r="H10" s="58">
        <f ca="1">+SUMIF('Monthly Cohorts'!$E$178:'Monthly Cohorts'!$E$341,$D10,'Monthly Cohorts'!H$178:'Monthly Cohorts'!H$341)</f>
        <v>0</v>
      </c>
      <c r="I10" s="58">
        <f ca="1">+SUMIF('Monthly Cohorts'!$E$178:'Monthly Cohorts'!$E$341,$D10,'Monthly Cohorts'!I$178:'Monthly Cohorts'!I$341)</f>
        <v>0</v>
      </c>
      <c r="J10" s="58">
        <f ca="1">+SUMIF('Monthly Cohorts'!$E$178:'Monthly Cohorts'!$E$341,$D10,'Monthly Cohorts'!J$178:'Monthly Cohorts'!J$341)</f>
        <v>0</v>
      </c>
      <c r="K10" s="58">
        <f ca="1">+SUMIF('Monthly Cohorts'!$E$178:'Monthly Cohorts'!$E$341,$D10,'Monthly Cohorts'!K$178:'Monthly Cohorts'!K$341)</f>
        <v>0</v>
      </c>
      <c r="L10" s="58">
        <f ca="1">+SUMIF('Monthly Cohorts'!$E$178:'Monthly Cohorts'!$E$341,$D10,'Monthly Cohorts'!L$178:'Monthly Cohorts'!L$341)</f>
        <v>0</v>
      </c>
      <c r="M10" s="58">
        <f ca="1">+SUMIF('Monthly Cohorts'!$E$178:'Monthly Cohorts'!$E$341,$D10,'Monthly Cohorts'!M$178:'Monthly Cohorts'!M$341)</f>
        <v>0</v>
      </c>
      <c r="N10" s="58">
        <f ca="1">+SUMIF('Monthly Cohorts'!$E$178:'Monthly Cohorts'!$E$341,$D10,'Monthly Cohorts'!N$178:'Monthly Cohorts'!N$341)</f>
        <v>0</v>
      </c>
      <c r="O10" s="58">
        <f ca="1">+SUMIF('Monthly Cohorts'!$E$178:'Monthly Cohorts'!$E$341,$D10,'Monthly Cohorts'!O$178:'Monthly Cohorts'!O$341)</f>
        <v>0</v>
      </c>
      <c r="P10" s="58">
        <f ca="1">+SUMIF('Monthly Cohorts'!$E$178:'Monthly Cohorts'!$E$341,$D10,'Monthly Cohorts'!P$178:'Monthly Cohorts'!P$341)</f>
        <v>0</v>
      </c>
      <c r="Q10" s="58">
        <f ca="1">+SUMIF('Monthly Cohorts'!$E$178:'Monthly Cohorts'!$E$341,$D10,'Monthly Cohorts'!Q$178:'Monthly Cohorts'!Q$341)</f>
        <v>0</v>
      </c>
      <c r="R10" s="58">
        <f ca="1">+SUMIF('Monthly Cohorts'!$E$178:'Monthly Cohorts'!$E$341,$D10,'Monthly Cohorts'!R$178:'Monthly Cohorts'!R$341)</f>
        <v>0</v>
      </c>
      <c r="S10" s="58">
        <f ca="1">+SUMIF('Monthly Cohorts'!$E$178:'Monthly Cohorts'!$E$341,$D10,'Monthly Cohorts'!S$178:'Monthly Cohorts'!S$341)</f>
        <v>0</v>
      </c>
      <c r="T10" s="58">
        <f ca="1">+SUMIF('Monthly Cohorts'!$E$178:'Monthly Cohorts'!$E$341,$D10,'Monthly Cohorts'!T$178:'Monthly Cohorts'!T$341)</f>
        <v>0</v>
      </c>
      <c r="U10" s="58">
        <f ca="1">+SUMIF('Monthly Cohorts'!$E$178:'Monthly Cohorts'!$E$341,$D10,'Monthly Cohorts'!U$178:'Monthly Cohorts'!U$341)</f>
        <v>0</v>
      </c>
      <c r="V10" s="58">
        <f ca="1">+SUMIF('Monthly Cohorts'!$E$178:'Monthly Cohorts'!$E$341,$D10,'Monthly Cohorts'!V$178:'Monthly Cohorts'!V$341)</f>
        <v>0</v>
      </c>
      <c r="W10" s="58">
        <f ca="1">+SUMIF('Monthly Cohorts'!$E$178:'Monthly Cohorts'!$E$341,$D10,'Monthly Cohorts'!W$178:'Monthly Cohorts'!W$341)</f>
        <v>0</v>
      </c>
      <c r="X10" s="58">
        <f ca="1">+SUMIF('Monthly Cohorts'!$E$178:'Monthly Cohorts'!$E$341,$D10,'Monthly Cohorts'!X$178:'Monthly Cohorts'!X$341)</f>
        <v>0</v>
      </c>
      <c r="Y10" s="58">
        <f ca="1">+SUMIF('Monthly Cohorts'!$E$178:'Monthly Cohorts'!$E$341,$D10,'Monthly Cohorts'!Y$178:'Monthly Cohorts'!Y$341)</f>
        <v>0</v>
      </c>
      <c r="Z10" s="58">
        <f ca="1">+SUMIF('Monthly Cohorts'!$E$178:'Monthly Cohorts'!$E$341,$D10,'Monthly Cohorts'!Z$178:'Monthly Cohorts'!Z$341)</f>
        <v>0</v>
      </c>
      <c r="AA10" s="58">
        <f ca="1">+SUMIF('Monthly Cohorts'!$E$178:'Monthly Cohorts'!$E$341,$D10,'Monthly Cohorts'!AA$178:'Monthly Cohorts'!AA$341)</f>
        <v>0</v>
      </c>
      <c r="AB10" s="58">
        <f ca="1">+SUMIF('Monthly Cohorts'!$E$178:'Monthly Cohorts'!$E$341,$D10,'Monthly Cohorts'!AB$178:'Monthly Cohorts'!AB$341)</f>
        <v>0</v>
      </c>
      <c r="AC10" s="58">
        <f ca="1">+SUMIF('Monthly Cohorts'!$E$178:'Monthly Cohorts'!$E$341,$D10,'Monthly Cohorts'!AC$178:'Monthly Cohorts'!AC$341)</f>
        <v>0</v>
      </c>
      <c r="AD10" s="58">
        <f ca="1">+SUMIF('Monthly Cohorts'!$E$178:'Monthly Cohorts'!$E$341,$D10,'Monthly Cohorts'!AD$178:'Monthly Cohorts'!AD$341)</f>
        <v>0</v>
      </c>
      <c r="AE10" s="58">
        <f ca="1">+SUMIF('Monthly Cohorts'!$E$178:'Monthly Cohorts'!$E$341,$D10,'Monthly Cohorts'!AE$178:'Monthly Cohorts'!AE$341)</f>
        <v>0</v>
      </c>
      <c r="AF10" s="58">
        <f ca="1">+SUMIF('Monthly Cohorts'!$E$178:'Monthly Cohorts'!$E$341,$D10,'Monthly Cohorts'!AF$178:'Monthly Cohorts'!AF$341)</f>
        <v>0</v>
      </c>
      <c r="AG10" s="58">
        <f ca="1">+SUMIF('Monthly Cohorts'!$E$178:'Monthly Cohorts'!$E$341,$D10,'Monthly Cohorts'!AG$178:'Monthly Cohorts'!AG$341)</f>
        <v>0</v>
      </c>
      <c r="AH10" s="58">
        <f ca="1">+SUMIF('Monthly Cohorts'!$E$178:'Monthly Cohorts'!$E$341,$D10,'Monthly Cohorts'!AH$178:'Monthly Cohorts'!AH$341)</f>
        <v>0</v>
      </c>
      <c r="AI10" s="58">
        <f ca="1">+SUMIF('Monthly Cohorts'!$E$178:'Monthly Cohorts'!$E$341,$D10,'Monthly Cohorts'!AI$178:'Monthly Cohorts'!AI$341)</f>
        <v>0</v>
      </c>
      <c r="AJ10" s="58">
        <f ca="1">+SUMIF('Monthly Cohorts'!$E$178:'Monthly Cohorts'!$E$341,$D10,'Monthly Cohorts'!AJ$178:'Monthly Cohorts'!AJ$341)</f>
        <v>0</v>
      </c>
      <c r="AK10" s="58">
        <f ca="1">+SUMIF('Monthly Cohorts'!$E$178:'Monthly Cohorts'!$E$341,$D10,'Monthly Cohorts'!AK$178:'Monthly Cohorts'!AK$341)</f>
        <v>0</v>
      </c>
      <c r="AL10" s="58">
        <f ca="1">+SUMIF('Monthly Cohorts'!$E$178:'Monthly Cohorts'!$E$341,$D10,'Monthly Cohorts'!AL$178:'Monthly Cohorts'!AL$341)</f>
        <v>0</v>
      </c>
      <c r="AM10" s="58">
        <f ca="1">+SUMIF('Monthly Cohorts'!$E$178:'Monthly Cohorts'!$E$341,$D10,'Monthly Cohorts'!AM$178:'Monthly Cohorts'!AM$341)</f>
        <v>0</v>
      </c>
      <c r="AN10" s="58">
        <f ca="1">+SUMIF('Monthly Cohorts'!$E$178:'Monthly Cohorts'!$E$341,$D10,'Monthly Cohorts'!AN$178:'Monthly Cohorts'!AN$341)</f>
        <v>0</v>
      </c>
      <c r="AO10" s="58">
        <f ca="1">+SUMIF('Monthly Cohorts'!$E$178:'Monthly Cohorts'!$E$341,$D10,'Monthly Cohorts'!AO$178:'Monthly Cohorts'!AO$341)</f>
        <v>0</v>
      </c>
      <c r="AP10" s="58">
        <f ca="1">+SUMIF('Monthly Cohorts'!$E$178:'Monthly Cohorts'!$E$341,$D10,'Monthly Cohorts'!AP$178:'Monthly Cohorts'!AP$341)</f>
        <v>0</v>
      </c>
      <c r="AQ10" s="58">
        <f ca="1">+SUMIF('Monthly Cohorts'!$E$178:'Monthly Cohorts'!$E$341,$D10,'Monthly Cohorts'!AQ$178:'Monthly Cohorts'!AQ$341)</f>
        <v>0</v>
      </c>
      <c r="AR10" s="58">
        <f ca="1">+SUMIF('Monthly Cohorts'!$E$178:'Monthly Cohorts'!$E$341,$D10,'Monthly Cohorts'!AR$178:'Monthly Cohorts'!AR$341)</f>
        <v>0</v>
      </c>
      <c r="AS10" s="58">
        <f ca="1">+SUMIF('Monthly Cohorts'!$E$178:'Monthly Cohorts'!$E$341,$D10,'Monthly Cohorts'!AS$178:'Monthly Cohorts'!AS$341)</f>
        <v>0</v>
      </c>
      <c r="AT10" s="58">
        <f ca="1">+SUMIF('Monthly Cohorts'!$E$178:'Monthly Cohorts'!$E$341,$D10,'Monthly Cohorts'!AT$178:'Monthly Cohorts'!AT$341)</f>
        <v>0</v>
      </c>
      <c r="AU10" s="58">
        <f ca="1">+SUMIF('Monthly Cohorts'!$E$178:'Monthly Cohorts'!$E$341,$D10,'Monthly Cohorts'!AU$178:'Monthly Cohorts'!AU$341)</f>
        <v>0</v>
      </c>
      <c r="AV10" s="58">
        <f ca="1">+SUMIF('Monthly Cohorts'!$E$178:'Monthly Cohorts'!$E$341,$D10,'Monthly Cohorts'!AV$178:'Monthly Cohorts'!AV$341)</f>
        <v>0</v>
      </c>
      <c r="AW10" s="58">
        <f ca="1">+SUMIF('Monthly Cohorts'!$E$178:'Monthly Cohorts'!$E$341,$D10,'Monthly Cohorts'!AW$178:'Monthly Cohorts'!AW$341)</f>
        <v>0</v>
      </c>
      <c r="AX10" s="58">
        <f ca="1">+SUMIF('Monthly Cohorts'!$E$178:'Monthly Cohorts'!$E$341,$D10,'Monthly Cohorts'!AX$178:'Monthly Cohorts'!AX$341)</f>
        <v>0</v>
      </c>
      <c r="AY10" s="58">
        <f ca="1">+SUMIF('Monthly Cohorts'!$E$178:'Monthly Cohorts'!$E$341,$D10,'Monthly Cohorts'!AY$178:'Monthly Cohorts'!AY$341)</f>
        <v>0</v>
      </c>
      <c r="AZ10" s="58">
        <f ca="1">+SUMIF('Monthly Cohorts'!$E$178:'Monthly Cohorts'!$E$341,$D10,'Monthly Cohorts'!AZ$178:'Monthly Cohorts'!AZ$341)</f>
        <v>0</v>
      </c>
      <c r="BA10" s="58">
        <f ca="1">+SUMIF('Monthly Cohorts'!$E$178:'Monthly Cohorts'!$E$341,$D10,'Monthly Cohorts'!BA$178:'Monthly Cohorts'!BA$341)</f>
        <v>0</v>
      </c>
      <c r="BB10" s="58">
        <f ca="1">+SUMIF('Monthly Cohorts'!$E$178:'Monthly Cohorts'!$E$341,$D10,'Monthly Cohorts'!BB$178:'Monthly Cohorts'!BB$341)</f>
        <v>0</v>
      </c>
      <c r="BC10" s="58">
        <f ca="1">+SUMIF('Monthly Cohorts'!$E$178:'Monthly Cohorts'!$E$341,$D10,'Monthly Cohorts'!BC$178:'Monthly Cohorts'!BC$341)</f>
        <v>0</v>
      </c>
      <c r="BD10" s="58">
        <f ca="1">+SUMIF('Monthly Cohorts'!$E$178:'Monthly Cohorts'!$E$341,$D10,'Monthly Cohorts'!BD$178:'Monthly Cohorts'!BD$341)</f>
        <v>0</v>
      </c>
      <c r="BE10" s="58">
        <f ca="1">+SUMIF('Monthly Cohorts'!$E$178:'Monthly Cohorts'!$E$341,$D10,'Monthly Cohorts'!BE$178:'Monthly Cohorts'!BE$341)</f>
        <v>0</v>
      </c>
      <c r="BF10" s="58">
        <f ca="1">+SUMIF('Monthly Cohorts'!$E$178:'Monthly Cohorts'!$E$341,$D10,'Monthly Cohorts'!BF$178:'Monthly Cohorts'!BF$341)</f>
        <v>0</v>
      </c>
      <c r="BG10" s="58">
        <f ca="1">+SUMIF('Monthly Cohorts'!$E$178:'Monthly Cohorts'!$E$341,$D10,'Monthly Cohorts'!BG$178:'Monthly Cohorts'!BG$341)</f>
        <v>0</v>
      </c>
      <c r="BH10" s="58">
        <f ca="1">+SUMIF('Monthly Cohorts'!$E$178:'Monthly Cohorts'!$E$341,$D10,'Monthly Cohorts'!BH$178:'Monthly Cohorts'!BH$341)</f>
        <v>0</v>
      </c>
      <c r="BI10" s="58">
        <f ca="1">+SUMIF('Monthly Cohorts'!$E$178:'Monthly Cohorts'!$E$341,$D10,'Monthly Cohorts'!BI$178:'Monthly Cohorts'!BI$341)</f>
        <v>0</v>
      </c>
      <c r="BJ10" s="58">
        <f ca="1">+SUMIF('Monthly Cohorts'!$E$178:'Monthly Cohorts'!$E$341,$D10,'Monthly Cohorts'!BJ$178:'Monthly Cohorts'!BJ$341)</f>
        <v>0</v>
      </c>
      <c r="BK10" s="58">
        <f ca="1">+SUMIF('Monthly Cohorts'!$E$178:'Monthly Cohorts'!$E$341,$D10,'Monthly Cohorts'!BK$178:'Monthly Cohorts'!BK$341)</f>
        <v>0</v>
      </c>
      <c r="BL10" s="58">
        <f ca="1">+SUMIF('Monthly Cohorts'!$E$178:'Monthly Cohorts'!$E$341,$D10,'Monthly Cohorts'!BL$178:'Monthly Cohorts'!BL$341)</f>
        <v>0</v>
      </c>
      <c r="BM10" s="58">
        <f ca="1">+SUMIF('Monthly Cohorts'!$E$178:'Monthly Cohorts'!$E$341,$D10,'Monthly Cohorts'!BM$178:'Monthly Cohorts'!BM$341)</f>
        <v>0</v>
      </c>
      <c r="BN10" s="58">
        <f ca="1">+SUMIF('Monthly Cohorts'!$E$178:'Monthly Cohorts'!$E$341,$D10,'Monthly Cohorts'!BN$178:'Monthly Cohorts'!BN$341)</f>
        <v>0</v>
      </c>
      <c r="BO10" s="58">
        <f ca="1">+SUMIF('Monthly Cohorts'!$E$178:'Monthly Cohorts'!$E$341,$D10,'Monthly Cohorts'!BO$178:'Monthly Cohorts'!BO$341)</f>
        <v>0</v>
      </c>
      <c r="BP10" s="58">
        <f ca="1">+SUMIF('Monthly Cohorts'!$E$178:'Monthly Cohorts'!$E$341,$D10,'Monthly Cohorts'!BP$178:'Monthly Cohorts'!BP$341)</f>
        <v>0</v>
      </c>
      <c r="BQ10" s="58">
        <f ca="1">+SUMIF('Monthly Cohorts'!$E$178:'Monthly Cohorts'!$E$341,$D10,'Monthly Cohorts'!BQ$178:'Monthly Cohorts'!BQ$341)</f>
        <v>0</v>
      </c>
      <c r="BR10" s="58">
        <f ca="1">+SUMIF('Monthly Cohorts'!$E$178:'Monthly Cohorts'!$E$341,$D10,'Monthly Cohorts'!BR$178:'Monthly Cohorts'!BR$341)</f>
        <v>0</v>
      </c>
      <c r="BS10" s="58">
        <f ca="1">+SUMIF('Monthly Cohorts'!$E$178:'Monthly Cohorts'!$E$341,$D10,'Monthly Cohorts'!BS$178:'Monthly Cohorts'!BS$341)</f>
        <v>0</v>
      </c>
      <c r="BT10" s="58">
        <f ca="1">+SUMIF('Monthly Cohorts'!$E$178:'Monthly Cohorts'!$E$341,$D10,'Monthly Cohorts'!BT$178:'Monthly Cohorts'!BT$341)</f>
        <v>0</v>
      </c>
      <c r="BU10" s="58">
        <f ca="1">+SUMIF('Monthly Cohorts'!$E$178:'Monthly Cohorts'!$E$341,$D10,'Monthly Cohorts'!BU$178:'Monthly Cohorts'!BU$341)</f>
        <v>0</v>
      </c>
      <c r="BV10" s="58">
        <f ca="1">+SUMIF('Monthly Cohorts'!$E$178:'Monthly Cohorts'!$E$341,$D10,'Monthly Cohorts'!BV$178:'Monthly Cohorts'!BV$341)</f>
        <v>0</v>
      </c>
      <c r="BW10" s="58">
        <f ca="1">+SUMIF('Monthly Cohorts'!$E$178:'Monthly Cohorts'!$E$341,$D10,'Monthly Cohorts'!BW$178:'Monthly Cohorts'!BW$341)</f>
        <v>0</v>
      </c>
      <c r="BX10" s="58">
        <f ca="1">+SUMIF('Monthly Cohorts'!$E$178:'Monthly Cohorts'!$E$341,$D10,'Monthly Cohorts'!BX$178:'Monthly Cohorts'!BX$341)</f>
        <v>0</v>
      </c>
      <c r="BY10" s="58">
        <f ca="1">+SUMIF('Monthly Cohorts'!$E$178:'Monthly Cohorts'!$E$341,$D10,'Monthly Cohorts'!BY$178:'Monthly Cohorts'!BY$341)</f>
        <v>0</v>
      </c>
      <c r="BZ10" s="58">
        <f ca="1">+SUMIF('Monthly Cohorts'!$E$178:'Monthly Cohorts'!$E$341,$D10,'Monthly Cohorts'!BZ$178:'Monthly Cohorts'!BZ$341)</f>
        <v>0</v>
      </c>
      <c r="CA10" s="58">
        <f ca="1">+SUMIF('Monthly Cohorts'!$E$178:'Monthly Cohorts'!$E$341,$D10,'Monthly Cohorts'!CA$178:'Monthly Cohorts'!CA$341)</f>
        <v>0</v>
      </c>
      <c r="CB10" s="58">
        <f ca="1">+SUMIF('Monthly Cohorts'!$E$178:'Monthly Cohorts'!$E$341,$D10,'Monthly Cohorts'!CB$178:'Monthly Cohorts'!CB$341)</f>
        <v>0</v>
      </c>
      <c r="CC10" s="58">
        <f ca="1">+SUMIF('Monthly Cohorts'!$E$178:'Monthly Cohorts'!$E$341,$D10,'Monthly Cohorts'!CC$178:'Monthly Cohorts'!CC$341)</f>
        <v>0</v>
      </c>
      <c r="CD10" s="58">
        <f ca="1">+SUMIF('Monthly Cohorts'!$E$178:'Monthly Cohorts'!$E$341,$D10,'Monthly Cohorts'!CD$178:'Monthly Cohorts'!CD$341)</f>
        <v>0</v>
      </c>
      <c r="CE10" s="58">
        <f ca="1">+SUMIF('Monthly Cohorts'!$E$178:'Monthly Cohorts'!$E$341,$D10,'Monthly Cohorts'!CE$178:'Monthly Cohorts'!CE$341)</f>
        <v>0</v>
      </c>
      <c r="CF10" s="58">
        <f ca="1">+SUMIF('Monthly Cohorts'!$E$178:'Monthly Cohorts'!$E$341,$D10,'Monthly Cohorts'!CF$178:'Monthly Cohorts'!CF$341)</f>
        <v>0</v>
      </c>
      <c r="CG10" s="58">
        <f ca="1">+SUMIF('Monthly Cohorts'!$E$178:'Monthly Cohorts'!$E$341,$D10,'Monthly Cohorts'!CG$178:'Monthly Cohorts'!CG$341)</f>
        <v>0</v>
      </c>
      <c r="CH10" s="58">
        <f ca="1">+SUMIF('Monthly Cohorts'!$E$178:'Monthly Cohorts'!$E$341,$D10,'Monthly Cohorts'!CH$178:'Monthly Cohorts'!CH$341)</f>
        <v>0</v>
      </c>
      <c r="CI10" s="58">
        <f ca="1">+SUMIF('Monthly Cohorts'!$E$178:'Monthly Cohorts'!$E$341,$D10,'Monthly Cohorts'!CI$178:'Monthly Cohorts'!CI$341)</f>
        <v>0</v>
      </c>
      <c r="CJ10" s="58">
        <f ca="1">+SUMIF('Monthly Cohorts'!$E$178:'Monthly Cohorts'!$E$341,$D10,'Monthly Cohorts'!CJ$178:'Monthly Cohorts'!CJ$341)</f>
        <v>0</v>
      </c>
      <c r="CK10" s="58">
        <f ca="1">+SUMIF('Monthly Cohorts'!$E$178:'Monthly Cohorts'!$E$341,$D10,'Monthly Cohorts'!CK$178:'Monthly Cohorts'!CK$341)</f>
        <v>0</v>
      </c>
      <c r="CL10" s="58">
        <f ca="1">+SUMIF('Monthly Cohorts'!$E$178:'Monthly Cohorts'!$E$341,$D10,'Monthly Cohorts'!CL$178:'Monthly Cohorts'!CL$341)</f>
        <v>0</v>
      </c>
      <c r="CM10" s="58">
        <f ca="1">+SUMIF('Monthly Cohorts'!$E$178:'Monthly Cohorts'!$E$341,$D10,'Monthly Cohorts'!CM$178:'Monthly Cohorts'!CM$341)</f>
        <v>0</v>
      </c>
      <c r="CN10" s="58">
        <f ca="1">+SUMIF('Monthly Cohorts'!$E$178:'Monthly Cohorts'!$E$341,$D10,'Monthly Cohorts'!CN$178:'Monthly Cohorts'!CN$341)</f>
        <v>0</v>
      </c>
      <c r="CO10" s="58">
        <f ca="1">+SUMIF('Monthly Cohorts'!$E$178:'Monthly Cohorts'!$E$341,$D10,'Monthly Cohorts'!CO$178:'Monthly Cohorts'!CO$341)</f>
        <v>0</v>
      </c>
      <c r="CP10" s="58">
        <f ca="1">+SUMIF('Monthly Cohorts'!$E$178:'Monthly Cohorts'!$E$341,$D10,'Monthly Cohorts'!CP$178:'Monthly Cohorts'!CP$341)</f>
        <v>0</v>
      </c>
      <c r="CQ10" s="58">
        <f ca="1">+SUMIF('Monthly Cohorts'!$E$178:'Monthly Cohorts'!$E$341,$D10,'Monthly Cohorts'!CQ$178:'Monthly Cohorts'!CQ$341)</f>
        <v>0</v>
      </c>
      <c r="CR10" s="58">
        <f ca="1">+SUMIF('Monthly Cohorts'!$E$178:'Monthly Cohorts'!$E$341,$D10,'Monthly Cohorts'!CR$178:'Monthly Cohorts'!CR$341)</f>
        <v>0</v>
      </c>
      <c r="CS10" s="58">
        <f ca="1">+SUMIF('Monthly Cohorts'!$E$178:'Monthly Cohorts'!$E$341,$D10,'Monthly Cohorts'!CS$178:'Monthly Cohorts'!CS$341)</f>
        <v>0</v>
      </c>
      <c r="CT10" s="58">
        <f ca="1">+SUMIF('Monthly Cohorts'!$E$178:'Monthly Cohorts'!$E$341,$D10,'Monthly Cohorts'!CT$178:'Monthly Cohorts'!CT$341)</f>
        <v>0</v>
      </c>
      <c r="CU10" s="58">
        <f ca="1">+SUMIF('Monthly Cohorts'!$E$178:'Monthly Cohorts'!$E$341,$D10,'Monthly Cohorts'!CU$178:'Monthly Cohorts'!CU$341)</f>
        <v>0</v>
      </c>
      <c r="CV10" s="58">
        <f ca="1">+SUMIF('Monthly Cohorts'!$E$178:'Monthly Cohorts'!$E$341,$D10,'Monthly Cohorts'!CV$178:'Monthly Cohorts'!CV$341)</f>
        <v>0</v>
      </c>
      <c r="CW10" s="58">
        <f ca="1">+SUMIF('Monthly Cohorts'!$E$178:'Monthly Cohorts'!$E$341,$D10,'Monthly Cohorts'!CW$178:'Monthly Cohorts'!CW$341)</f>
        <v>0</v>
      </c>
      <c r="CX10" s="58">
        <f ca="1">+SUMIF('Monthly Cohorts'!$E$178:'Monthly Cohorts'!$E$341,$D10,'Monthly Cohorts'!CX$178:'Monthly Cohorts'!CX$341)</f>
        <v>0</v>
      </c>
      <c r="CY10" s="58">
        <f ca="1">+SUMIF('Monthly Cohorts'!$E$178:'Monthly Cohorts'!$E$341,$D10,'Monthly Cohorts'!CY$178:'Monthly Cohorts'!CY$341)</f>
        <v>0</v>
      </c>
      <c r="CZ10" s="58">
        <f ca="1">+SUMIF('Monthly Cohorts'!$E$178:'Monthly Cohorts'!$E$341,$D10,'Monthly Cohorts'!CZ$178:'Monthly Cohorts'!CZ$341)</f>
        <v>0</v>
      </c>
      <c r="DA10" s="58">
        <f ca="1">+SUMIF('Monthly Cohorts'!$E$178:'Monthly Cohorts'!$E$341,$D10,'Monthly Cohorts'!DA$178:'Monthly Cohorts'!DA$341)</f>
        <v>0</v>
      </c>
      <c r="DB10" s="58">
        <f ca="1">+SUMIF('Monthly Cohorts'!$E$178:'Monthly Cohorts'!$E$341,$D10,'Monthly Cohorts'!DB$178:'Monthly Cohorts'!DB$341)</f>
        <v>0</v>
      </c>
      <c r="DC10" s="58">
        <f ca="1">+SUMIF('Monthly Cohorts'!$E$178:'Monthly Cohorts'!$E$341,$D10,'Monthly Cohorts'!DC$178:'Monthly Cohorts'!DC$341)</f>
        <v>0</v>
      </c>
      <c r="DD10" s="58">
        <f ca="1">+SUMIF('Monthly Cohorts'!$E$178:'Monthly Cohorts'!$E$341,$D10,'Monthly Cohorts'!DD$178:'Monthly Cohorts'!DD$341)</f>
        <v>0</v>
      </c>
      <c r="DE10" s="58">
        <f ca="1">+SUMIF('Monthly Cohorts'!$E$178:'Monthly Cohorts'!$E$341,$D10,'Monthly Cohorts'!DE$178:'Monthly Cohorts'!DE$341)</f>
        <v>0</v>
      </c>
      <c r="DF10" s="58">
        <f ca="1">+SUMIF('Monthly Cohorts'!$E$178:'Monthly Cohorts'!$E$341,$D10,'Monthly Cohorts'!DF$178:'Monthly Cohorts'!DF$341)</f>
        <v>0</v>
      </c>
      <c r="DG10" s="58">
        <f ca="1">+SUMIF('Monthly Cohorts'!$E$178:'Monthly Cohorts'!$E$341,$D10,'Monthly Cohorts'!DG$178:'Monthly Cohorts'!DG$341)</f>
        <v>0</v>
      </c>
      <c r="DH10" s="58">
        <f ca="1">+SUMIF('Monthly Cohorts'!$E$178:'Monthly Cohorts'!$E$341,$D10,'Monthly Cohorts'!DH$178:'Monthly Cohorts'!DH$341)</f>
        <v>0</v>
      </c>
      <c r="DI10" s="58">
        <f ca="1">+SUMIF('Monthly Cohorts'!$E$178:'Monthly Cohorts'!$E$341,$D10,'Monthly Cohorts'!DI$178:'Monthly Cohorts'!DI$341)</f>
        <v>0</v>
      </c>
      <c r="DJ10" s="58">
        <f ca="1">+SUMIF('Monthly Cohorts'!$E$178:'Monthly Cohorts'!$E$341,$D10,'Monthly Cohorts'!DJ$178:'Monthly Cohorts'!DJ$341)</f>
        <v>0</v>
      </c>
      <c r="DK10" s="58">
        <f ca="1">+SUMIF('Monthly Cohorts'!$E$178:'Monthly Cohorts'!$E$341,$D10,'Monthly Cohorts'!DK$178:'Monthly Cohorts'!DK$341)</f>
        <v>0</v>
      </c>
      <c r="DL10" s="58">
        <f ca="1">+SUMIF('Monthly Cohorts'!$E$178:'Monthly Cohorts'!$E$341,$D10,'Monthly Cohorts'!DL$178:'Monthly Cohorts'!DL$341)</f>
        <v>0</v>
      </c>
      <c r="DM10" s="58">
        <f ca="1">+SUMIF('Monthly Cohorts'!$E$178:'Monthly Cohorts'!$E$341,$D10,'Monthly Cohorts'!DM$178:'Monthly Cohorts'!DM$341)</f>
        <v>0</v>
      </c>
      <c r="DN10" s="58">
        <f ca="1">+SUMIF('Monthly Cohorts'!$E$178:'Monthly Cohorts'!$E$341,$D10,'Monthly Cohorts'!DN$178:'Monthly Cohorts'!DN$341)</f>
        <v>0</v>
      </c>
      <c r="DO10" s="58">
        <f ca="1">+SUMIF('Monthly Cohorts'!$E$178:'Monthly Cohorts'!$E$341,$D10,'Monthly Cohorts'!DO$178:'Monthly Cohorts'!DO$341)</f>
        <v>0</v>
      </c>
      <c r="DP10" s="58">
        <f ca="1">+SUMIF('Monthly Cohorts'!$E$178:'Monthly Cohorts'!$E$341,$D10,'Monthly Cohorts'!DP$178:'Monthly Cohorts'!DP$341)</f>
        <v>0</v>
      </c>
      <c r="DQ10" s="58">
        <f ca="1">+SUMIF('Monthly Cohorts'!$E$178:'Monthly Cohorts'!$E$341,$D10,'Monthly Cohorts'!DQ$178:'Monthly Cohorts'!DQ$341)</f>
        <v>0</v>
      </c>
      <c r="DR10" s="58">
        <f ca="1">+SUMIF('Monthly Cohorts'!$E$178:'Monthly Cohorts'!$E$341,$D10,'Monthly Cohorts'!DR$178:'Monthly Cohorts'!DR$341)</f>
        <v>0</v>
      </c>
      <c r="DS10" s="58">
        <f ca="1">+SUMIF('Monthly Cohorts'!$E$178:'Monthly Cohorts'!$E$341,$D10,'Monthly Cohorts'!DS$178:'Monthly Cohorts'!DS$341)</f>
        <v>0</v>
      </c>
      <c r="DT10" s="58">
        <f ca="1">+SUMIF('Monthly Cohorts'!$E$178:'Monthly Cohorts'!$E$341,$D10,'Monthly Cohorts'!DT$178:'Monthly Cohorts'!DT$341)</f>
        <v>0</v>
      </c>
      <c r="DU10" s="58">
        <f ca="1">+SUMIF('Monthly Cohorts'!$E$178:'Monthly Cohorts'!$E$341,$D10,'Monthly Cohorts'!DU$178:'Monthly Cohorts'!DU$341)</f>
        <v>0</v>
      </c>
      <c r="DV10" s="58">
        <f ca="1">+SUMIF('Monthly Cohorts'!$E$178:'Monthly Cohorts'!$E$341,$D10,'Monthly Cohorts'!DV$178:'Monthly Cohorts'!DV$341)</f>
        <v>0</v>
      </c>
      <c r="DW10" s="58">
        <f ca="1">+SUMIF('Monthly Cohorts'!$E$178:'Monthly Cohorts'!$E$341,$D10,'Monthly Cohorts'!DW$178:'Monthly Cohorts'!DW$341)</f>
        <v>0</v>
      </c>
      <c r="DX10" s="58">
        <f ca="1">+SUMIF('Monthly Cohorts'!$E$178:'Monthly Cohorts'!$E$341,$D10,'Monthly Cohorts'!DX$178:'Monthly Cohorts'!DX$341)</f>
        <v>0</v>
      </c>
      <c r="DY10" s="58">
        <f ca="1">+SUMIF('Monthly Cohorts'!$E$178:'Monthly Cohorts'!$E$341,$D10,'Monthly Cohorts'!DY$178:'Monthly Cohorts'!DY$341)</f>
        <v>0</v>
      </c>
      <c r="DZ10" s="58">
        <f ca="1">+SUMIF('Monthly Cohorts'!$E$178:'Monthly Cohorts'!$E$341,$D10,'Monthly Cohorts'!DZ$178:'Monthly Cohorts'!DZ$341)</f>
        <v>0</v>
      </c>
      <c r="EA10" s="58">
        <f ca="1">+SUMIF('Monthly Cohorts'!$E$178:'Monthly Cohorts'!$E$341,$D10,'Monthly Cohorts'!EA$178:'Monthly Cohorts'!EA$341)</f>
        <v>0</v>
      </c>
      <c r="EB10" s="58">
        <f ca="1">+SUMIF('Monthly Cohorts'!$E$178:'Monthly Cohorts'!$E$341,$D10,'Monthly Cohorts'!EB$178:'Monthly Cohorts'!EB$341)</f>
        <v>0</v>
      </c>
      <c r="EC10" s="58">
        <f ca="1">+SUMIF('Monthly Cohorts'!$E$178:'Monthly Cohorts'!$E$341,$D10,'Monthly Cohorts'!EC$178:'Monthly Cohorts'!EC$341)</f>
        <v>0</v>
      </c>
      <c r="ED10" s="58">
        <f ca="1">+SUMIF('Monthly Cohorts'!$E$178:'Monthly Cohorts'!$E$341,$D10,'Monthly Cohorts'!ED$178:'Monthly Cohorts'!ED$341)</f>
        <v>0</v>
      </c>
      <c r="EE10" s="58">
        <f ca="1">+SUMIF('Monthly Cohorts'!$E$178:'Monthly Cohorts'!$E$341,$D10,'Monthly Cohorts'!EE$178:'Monthly Cohorts'!EE$341)</f>
        <v>0</v>
      </c>
      <c r="EF10" s="58">
        <f ca="1">+SUMIF('Monthly Cohorts'!$E$178:'Monthly Cohorts'!$E$341,$D10,'Monthly Cohorts'!EF$178:'Monthly Cohorts'!EF$341)</f>
        <v>0</v>
      </c>
      <c r="EG10" s="58">
        <f ca="1">+SUMIF('Monthly Cohorts'!$E$178:'Monthly Cohorts'!$E$341,$D10,'Monthly Cohorts'!EG$178:'Monthly Cohorts'!EG$341)</f>
        <v>0</v>
      </c>
      <c r="EH10" s="58">
        <f ca="1">+SUMIF('Monthly Cohorts'!$E$178:'Monthly Cohorts'!$E$341,$D10,'Monthly Cohorts'!EH$178:'Monthly Cohorts'!EH$341)</f>
        <v>0</v>
      </c>
      <c r="EI10" s="58">
        <f ca="1">+SUMIF('Monthly Cohorts'!$E$178:'Monthly Cohorts'!$E$341,$D10,'Monthly Cohorts'!EI$178:'Monthly Cohorts'!EI$341)</f>
        <v>0</v>
      </c>
      <c r="EJ10" s="58">
        <f ca="1">+SUMIF('Monthly Cohorts'!$E$178:'Monthly Cohorts'!$E$341,$D10,'Monthly Cohorts'!EJ$178:'Monthly Cohorts'!EJ$341)</f>
        <v>0</v>
      </c>
      <c r="EK10" s="58">
        <f ca="1">+SUMIF('Monthly Cohorts'!$E$178:'Monthly Cohorts'!$E$341,$D10,'Monthly Cohorts'!EK$178:'Monthly Cohorts'!EK$341)</f>
        <v>0</v>
      </c>
      <c r="EL10" s="58">
        <f ca="1">+SUMIF('Monthly Cohorts'!$E$178:'Monthly Cohorts'!$E$341,$D10,'Monthly Cohorts'!EL$178:'Monthly Cohorts'!EL$341)</f>
        <v>0</v>
      </c>
      <c r="EM10" s="58">
        <f ca="1">+SUMIF('Monthly Cohorts'!$E$178:'Monthly Cohorts'!$E$341,$D10,'Monthly Cohorts'!EM$178:'Monthly Cohorts'!EM$341)</f>
        <v>0</v>
      </c>
      <c r="EN10" s="58">
        <f ca="1">+SUMIF('Monthly Cohorts'!$E$178:'Monthly Cohorts'!$E$341,$D10,'Monthly Cohorts'!EN$178:'Monthly Cohorts'!EN$341)</f>
        <v>0</v>
      </c>
      <c r="EO10" s="58">
        <f ca="1">+SUMIF('Monthly Cohorts'!$E$178:'Monthly Cohorts'!$E$341,$D10,'Monthly Cohorts'!EO$178:'Monthly Cohorts'!EO$341)</f>
        <v>0</v>
      </c>
      <c r="EP10" s="58">
        <f ca="1">+SUMIF('Monthly Cohorts'!$E$178:'Monthly Cohorts'!$E$341,$D10,'Monthly Cohorts'!EP$178:'Monthly Cohorts'!EP$341)</f>
        <v>0</v>
      </c>
      <c r="EQ10" s="58">
        <f ca="1">+SUMIF('Monthly Cohorts'!$E$178:'Monthly Cohorts'!$E$341,$D10,'Monthly Cohorts'!EQ$178:'Monthly Cohorts'!EQ$341)</f>
        <v>0</v>
      </c>
      <c r="ER10" s="58">
        <f ca="1">+SUMIF('Monthly Cohorts'!$E$178:'Monthly Cohorts'!$E$341,$D10,'Monthly Cohorts'!ER$178:'Monthly Cohorts'!ER$341)</f>
        <v>0</v>
      </c>
      <c r="ES10" s="58">
        <f ca="1">+SUMIF('Monthly Cohorts'!$E$178:'Monthly Cohorts'!$E$341,$D10,'Monthly Cohorts'!ES$178:'Monthly Cohorts'!ES$341)</f>
        <v>0</v>
      </c>
      <c r="ET10" s="58">
        <f ca="1">+SUMIF('Monthly Cohorts'!$E$178:'Monthly Cohorts'!$E$341,$D10,'Monthly Cohorts'!ET$178:'Monthly Cohorts'!ET$341)</f>
        <v>0</v>
      </c>
      <c r="EU10" s="58">
        <f ca="1">+SUMIF('Monthly Cohorts'!$E$178:'Monthly Cohorts'!$E$341,$D10,'Monthly Cohorts'!EU$178:'Monthly Cohorts'!EU$341)</f>
        <v>0</v>
      </c>
      <c r="EV10" s="58">
        <f ca="1">+SUMIF('Monthly Cohorts'!$E$178:'Monthly Cohorts'!$E$341,$D10,'Monthly Cohorts'!EV$178:'Monthly Cohorts'!EV$341)</f>
        <v>0</v>
      </c>
      <c r="EW10" s="58">
        <f ca="1">+SUMIF('Monthly Cohorts'!$E$178:'Monthly Cohorts'!$E$341,$D10,'Monthly Cohorts'!EW$178:'Monthly Cohorts'!EW$341)</f>
        <v>0</v>
      </c>
      <c r="EX10" s="58">
        <f ca="1">+SUMIF('Monthly Cohorts'!$E$178:'Monthly Cohorts'!$E$341,$D10,'Monthly Cohorts'!EX$178:'Monthly Cohorts'!EX$341)</f>
        <v>0</v>
      </c>
      <c r="EY10" s="58">
        <f ca="1">+SUMIF('Monthly Cohorts'!$E$178:'Monthly Cohorts'!$E$341,$D10,'Monthly Cohorts'!EY$178:'Monthly Cohorts'!EY$341)</f>
        <v>0</v>
      </c>
      <c r="EZ10" s="58">
        <f ca="1">+SUMIF('Monthly Cohorts'!$E$178:'Monthly Cohorts'!$E$341,$D10,'Monthly Cohorts'!EZ$178:'Monthly Cohorts'!EZ$341)</f>
        <v>0</v>
      </c>
      <c r="FA10" s="58">
        <f ca="1">+SUMIF('Monthly Cohorts'!$E$178:'Monthly Cohorts'!$E$341,$D10,'Monthly Cohorts'!FA$178:'Monthly Cohorts'!FA$341)</f>
        <v>0</v>
      </c>
      <c r="FB10" s="58">
        <f ca="1">+SUMIF('Monthly Cohorts'!$E$178:'Monthly Cohorts'!$E$341,$D10,'Monthly Cohorts'!FB$178:'Monthly Cohorts'!FB$341)</f>
        <v>0</v>
      </c>
      <c r="FC10" s="58">
        <f ca="1">+SUMIF('Monthly Cohorts'!$E$178:'Monthly Cohorts'!$E$341,$D10,'Monthly Cohorts'!FC$178:'Monthly Cohorts'!FC$341)</f>
        <v>0</v>
      </c>
      <c r="FD10" s="58">
        <f ca="1">+SUMIF('Monthly Cohorts'!$E$178:'Monthly Cohorts'!$E$341,$D10,'Monthly Cohorts'!FD$178:'Monthly Cohorts'!FD$341)</f>
        <v>0</v>
      </c>
      <c r="FE10" s="58">
        <f ca="1">+SUMIF('Monthly Cohorts'!$E$178:'Monthly Cohorts'!$E$341,$D10,'Monthly Cohorts'!FE$178:'Monthly Cohorts'!FE$341)</f>
        <v>0</v>
      </c>
      <c r="FF10" s="58">
        <f ca="1">+SUMIF('Monthly Cohorts'!$E$178:'Monthly Cohorts'!$E$341,$D10,'Monthly Cohorts'!FF$178:'Monthly Cohorts'!FF$341)</f>
        <v>0</v>
      </c>
      <c r="FG10" s="58">
        <f ca="1">+SUMIF('Monthly Cohorts'!$E$178:'Monthly Cohorts'!$E$341,$D10,'Monthly Cohorts'!FG$178:'Monthly Cohorts'!FG$341)</f>
        <v>0</v>
      </c>
      <c r="FH10" s="58">
        <f ca="1">+SUMIF('Monthly Cohorts'!$E$178:'Monthly Cohorts'!$E$341,$D10,'Monthly Cohorts'!FH$178:'Monthly Cohorts'!FH$341)</f>
        <v>0</v>
      </c>
      <c r="FI10" s="58">
        <f ca="1">+SUMIF('Monthly Cohorts'!$E$178:'Monthly Cohorts'!$E$341,$D10,'Monthly Cohorts'!FI$178:'Monthly Cohorts'!FI$341)</f>
        <v>0</v>
      </c>
      <c r="FJ10" s="58">
        <f ca="1">+SUMIF('Monthly Cohorts'!$E$178:'Monthly Cohorts'!$E$341,$D10,'Monthly Cohorts'!FJ$178:'Monthly Cohorts'!FJ$341)</f>
        <v>0</v>
      </c>
      <c r="FK10" s="58">
        <f ca="1">+SUMIF('Monthly Cohorts'!$E$178:'Monthly Cohorts'!$E$341,$D10,'Monthly Cohorts'!FK$178:'Monthly Cohorts'!FK$341)</f>
        <v>0</v>
      </c>
      <c r="FL10" s="58">
        <f ca="1">+SUMIF('Monthly Cohorts'!$E$178:'Monthly Cohorts'!$E$341,$D10,'Monthly Cohorts'!FL$178:'Monthly Cohorts'!FL$341)</f>
        <v>0</v>
      </c>
      <c r="FM10" s="58">
        <f ca="1">+SUMIF('Monthly Cohorts'!$E$178:'Monthly Cohorts'!$E$341,$D10,'Monthly Cohorts'!FM$178:'Monthly Cohorts'!FM$341)</f>
        <v>0</v>
      </c>
      <c r="FN10" s="58">
        <f ca="1">+SUMIF('Monthly Cohorts'!$E$178:'Monthly Cohorts'!$E$341,$D10,'Monthly Cohorts'!FN$178:'Monthly Cohorts'!FN$341)</f>
        <v>0</v>
      </c>
      <c r="FO10" s="13"/>
    </row>
    <row r="11" spans="1:171" outlineLevel="1" x14ac:dyDescent="0.3">
      <c r="A11" s="13"/>
      <c r="B11" s="13"/>
      <c r="C11" s="13"/>
      <c r="D11" s="59">
        <f t="shared" ref="D11:D23" si="11">+D10+1</f>
        <v>2011</v>
      </c>
      <c r="E11" s="25"/>
      <c r="F11" s="20"/>
      <c r="G11" s="58">
        <f ca="1">+SUMIF('Monthly Cohorts'!$E$178:'Monthly Cohorts'!$E$341,$D11,'Monthly Cohorts'!G$178:'Monthly Cohorts'!G$341)</f>
        <v>0</v>
      </c>
      <c r="H11" s="58">
        <f ca="1">+SUMIF('Monthly Cohorts'!$E$178:'Monthly Cohorts'!$E$341,$D11,'Monthly Cohorts'!H$178:'Monthly Cohorts'!H$341)</f>
        <v>0</v>
      </c>
      <c r="I11" s="58">
        <f ca="1">+SUMIF('Monthly Cohorts'!$E$178:'Monthly Cohorts'!$E$341,$D11,'Monthly Cohorts'!I$178:'Monthly Cohorts'!I$341)</f>
        <v>0</v>
      </c>
      <c r="J11" s="58">
        <f ca="1">+SUMIF('Monthly Cohorts'!$E$178:'Monthly Cohorts'!$E$341,$D11,'Monthly Cohorts'!J$178:'Monthly Cohorts'!J$341)</f>
        <v>0</v>
      </c>
      <c r="K11" s="58">
        <f ca="1">+SUMIF('Monthly Cohorts'!$E$178:'Monthly Cohorts'!$E$341,$D11,'Monthly Cohorts'!K$178:'Monthly Cohorts'!K$341)</f>
        <v>0</v>
      </c>
      <c r="L11" s="58">
        <f ca="1">+SUMIF('Monthly Cohorts'!$E$178:'Monthly Cohorts'!$E$341,$D11,'Monthly Cohorts'!L$178:'Monthly Cohorts'!L$341)</f>
        <v>0</v>
      </c>
      <c r="M11" s="58">
        <f ca="1">+SUMIF('Monthly Cohorts'!$E$178:'Monthly Cohorts'!$E$341,$D11,'Monthly Cohorts'!M$178:'Monthly Cohorts'!M$341)</f>
        <v>0</v>
      </c>
      <c r="N11" s="58">
        <f ca="1">+SUMIF('Monthly Cohorts'!$E$178:'Monthly Cohorts'!$E$341,$D11,'Monthly Cohorts'!N$178:'Monthly Cohorts'!N$341)</f>
        <v>0</v>
      </c>
      <c r="O11" s="58">
        <f ca="1">+SUMIF('Monthly Cohorts'!$E$178:'Monthly Cohorts'!$E$341,$D11,'Monthly Cohorts'!O$178:'Monthly Cohorts'!O$341)</f>
        <v>0</v>
      </c>
      <c r="P11" s="58">
        <f ca="1">+SUMIF('Monthly Cohorts'!$E$178:'Monthly Cohorts'!$E$341,$D11,'Monthly Cohorts'!P$178:'Monthly Cohorts'!P$341)</f>
        <v>0</v>
      </c>
      <c r="Q11" s="58">
        <f ca="1">+SUMIF('Monthly Cohorts'!$E$178:'Monthly Cohorts'!$E$341,$D11,'Monthly Cohorts'!Q$178:'Monthly Cohorts'!Q$341)</f>
        <v>0</v>
      </c>
      <c r="R11" s="58">
        <f ca="1">+SUMIF('Monthly Cohorts'!$E$178:'Monthly Cohorts'!$E$341,$D11,'Monthly Cohorts'!R$178:'Monthly Cohorts'!R$341)</f>
        <v>0</v>
      </c>
      <c r="S11" s="58">
        <f ca="1">+SUMIF('Monthly Cohorts'!$E$178:'Monthly Cohorts'!$E$341,$D11,'Monthly Cohorts'!S$178:'Monthly Cohorts'!S$341)</f>
        <v>0</v>
      </c>
      <c r="T11" s="58">
        <f ca="1">+SUMIF('Monthly Cohorts'!$E$178:'Monthly Cohorts'!$E$341,$D11,'Monthly Cohorts'!T$178:'Monthly Cohorts'!T$341)</f>
        <v>0</v>
      </c>
      <c r="U11" s="58">
        <f ca="1">+SUMIF('Monthly Cohorts'!$E$178:'Monthly Cohorts'!$E$341,$D11,'Monthly Cohorts'!U$178:'Monthly Cohorts'!U$341)</f>
        <v>0</v>
      </c>
      <c r="V11" s="58">
        <f ca="1">+SUMIF('Monthly Cohorts'!$E$178:'Monthly Cohorts'!$E$341,$D11,'Monthly Cohorts'!V$178:'Monthly Cohorts'!V$341)</f>
        <v>0</v>
      </c>
      <c r="W11" s="58">
        <f ca="1">+SUMIF('Monthly Cohorts'!$E$178:'Monthly Cohorts'!$E$341,$D11,'Monthly Cohorts'!W$178:'Monthly Cohorts'!W$341)</f>
        <v>0</v>
      </c>
      <c r="X11" s="58">
        <f ca="1">+SUMIF('Monthly Cohorts'!$E$178:'Monthly Cohorts'!$E$341,$D11,'Monthly Cohorts'!X$178:'Monthly Cohorts'!X$341)</f>
        <v>0</v>
      </c>
      <c r="Y11" s="58">
        <f ca="1">+SUMIF('Monthly Cohorts'!$E$178:'Monthly Cohorts'!$E$341,$D11,'Monthly Cohorts'!Y$178:'Monthly Cohorts'!Y$341)</f>
        <v>0</v>
      </c>
      <c r="Z11" s="58">
        <f ca="1">+SUMIF('Monthly Cohorts'!$E$178:'Monthly Cohorts'!$E$341,$D11,'Monthly Cohorts'!Z$178:'Monthly Cohorts'!Z$341)</f>
        <v>0</v>
      </c>
      <c r="AA11" s="58">
        <f ca="1">+SUMIF('Monthly Cohorts'!$E$178:'Monthly Cohorts'!$E$341,$D11,'Monthly Cohorts'!AA$178:'Monthly Cohorts'!AA$341)</f>
        <v>0</v>
      </c>
      <c r="AB11" s="58">
        <f ca="1">+SUMIF('Monthly Cohorts'!$E$178:'Monthly Cohorts'!$E$341,$D11,'Monthly Cohorts'!AB$178:'Monthly Cohorts'!AB$341)</f>
        <v>0</v>
      </c>
      <c r="AC11" s="58">
        <f ca="1">+SUMIF('Monthly Cohorts'!$E$178:'Monthly Cohorts'!$E$341,$D11,'Monthly Cohorts'!AC$178:'Monthly Cohorts'!AC$341)</f>
        <v>0</v>
      </c>
      <c r="AD11" s="58">
        <f ca="1">+SUMIF('Monthly Cohorts'!$E$178:'Monthly Cohorts'!$E$341,$D11,'Monthly Cohorts'!AD$178:'Monthly Cohorts'!AD$341)</f>
        <v>0</v>
      </c>
      <c r="AE11" s="58">
        <f ca="1">+SUMIF('Monthly Cohorts'!$E$178:'Monthly Cohorts'!$E$341,$D11,'Monthly Cohorts'!AE$178:'Monthly Cohorts'!AE$341)</f>
        <v>0</v>
      </c>
      <c r="AF11" s="58">
        <f ca="1">+SUMIF('Monthly Cohorts'!$E$178:'Monthly Cohorts'!$E$341,$D11,'Monthly Cohorts'!AF$178:'Monthly Cohorts'!AF$341)</f>
        <v>0</v>
      </c>
      <c r="AG11" s="58">
        <f ca="1">+SUMIF('Monthly Cohorts'!$E$178:'Monthly Cohorts'!$E$341,$D11,'Monthly Cohorts'!AG$178:'Monthly Cohorts'!AG$341)</f>
        <v>0</v>
      </c>
      <c r="AH11" s="58">
        <f ca="1">+SUMIF('Monthly Cohorts'!$E$178:'Monthly Cohorts'!$E$341,$D11,'Monthly Cohorts'!AH$178:'Monthly Cohorts'!AH$341)</f>
        <v>0</v>
      </c>
      <c r="AI11" s="58">
        <f ca="1">+SUMIF('Monthly Cohorts'!$E$178:'Monthly Cohorts'!$E$341,$D11,'Monthly Cohorts'!AI$178:'Monthly Cohorts'!AI$341)</f>
        <v>0</v>
      </c>
      <c r="AJ11" s="58">
        <f ca="1">+SUMIF('Monthly Cohorts'!$E$178:'Monthly Cohorts'!$E$341,$D11,'Monthly Cohorts'!AJ$178:'Monthly Cohorts'!AJ$341)</f>
        <v>0</v>
      </c>
      <c r="AK11" s="58">
        <f ca="1">+SUMIF('Monthly Cohorts'!$E$178:'Monthly Cohorts'!$E$341,$D11,'Monthly Cohorts'!AK$178:'Monthly Cohorts'!AK$341)</f>
        <v>0</v>
      </c>
      <c r="AL11" s="58">
        <f ca="1">+SUMIF('Monthly Cohorts'!$E$178:'Monthly Cohorts'!$E$341,$D11,'Monthly Cohorts'!AL$178:'Monthly Cohorts'!AL$341)</f>
        <v>0</v>
      </c>
      <c r="AM11" s="58">
        <f ca="1">+SUMIF('Monthly Cohorts'!$E$178:'Monthly Cohorts'!$E$341,$D11,'Monthly Cohorts'!AM$178:'Monthly Cohorts'!AM$341)</f>
        <v>0</v>
      </c>
      <c r="AN11" s="58">
        <f ca="1">+SUMIF('Monthly Cohorts'!$E$178:'Monthly Cohorts'!$E$341,$D11,'Monthly Cohorts'!AN$178:'Monthly Cohorts'!AN$341)</f>
        <v>0</v>
      </c>
      <c r="AO11" s="58">
        <f ca="1">+SUMIF('Monthly Cohorts'!$E$178:'Monthly Cohorts'!$E$341,$D11,'Monthly Cohorts'!AO$178:'Monthly Cohorts'!AO$341)</f>
        <v>0</v>
      </c>
      <c r="AP11" s="58">
        <f ca="1">+SUMIF('Monthly Cohorts'!$E$178:'Monthly Cohorts'!$E$341,$D11,'Monthly Cohorts'!AP$178:'Monthly Cohorts'!AP$341)</f>
        <v>0</v>
      </c>
      <c r="AQ11" s="58">
        <f ca="1">+SUMIF('Monthly Cohorts'!$E$178:'Monthly Cohorts'!$E$341,$D11,'Monthly Cohorts'!AQ$178:'Monthly Cohorts'!AQ$341)</f>
        <v>0</v>
      </c>
      <c r="AR11" s="58">
        <f ca="1">+SUMIF('Monthly Cohorts'!$E$178:'Monthly Cohorts'!$E$341,$D11,'Monthly Cohorts'!AR$178:'Monthly Cohorts'!AR$341)</f>
        <v>0</v>
      </c>
      <c r="AS11" s="58">
        <f ca="1">+SUMIF('Monthly Cohorts'!$E$178:'Monthly Cohorts'!$E$341,$D11,'Monthly Cohorts'!AS$178:'Monthly Cohorts'!AS$341)</f>
        <v>0</v>
      </c>
      <c r="AT11" s="58">
        <f ca="1">+SUMIF('Monthly Cohorts'!$E$178:'Monthly Cohorts'!$E$341,$D11,'Monthly Cohorts'!AT$178:'Monthly Cohorts'!AT$341)</f>
        <v>0</v>
      </c>
      <c r="AU11" s="58">
        <f ca="1">+SUMIF('Monthly Cohorts'!$E$178:'Monthly Cohorts'!$E$341,$D11,'Monthly Cohorts'!AU$178:'Monthly Cohorts'!AU$341)</f>
        <v>0</v>
      </c>
      <c r="AV11" s="58">
        <f ca="1">+SUMIF('Monthly Cohorts'!$E$178:'Monthly Cohorts'!$E$341,$D11,'Monthly Cohorts'!AV$178:'Monthly Cohorts'!AV$341)</f>
        <v>0</v>
      </c>
      <c r="AW11" s="58">
        <f ca="1">+SUMIF('Monthly Cohorts'!$E$178:'Monthly Cohorts'!$E$341,$D11,'Monthly Cohorts'!AW$178:'Monthly Cohorts'!AW$341)</f>
        <v>0</v>
      </c>
      <c r="AX11" s="58">
        <f ca="1">+SUMIF('Monthly Cohorts'!$E$178:'Monthly Cohorts'!$E$341,$D11,'Monthly Cohorts'!AX$178:'Monthly Cohorts'!AX$341)</f>
        <v>0</v>
      </c>
      <c r="AY11" s="58">
        <f ca="1">+SUMIF('Monthly Cohorts'!$E$178:'Monthly Cohorts'!$E$341,$D11,'Monthly Cohorts'!AY$178:'Monthly Cohorts'!AY$341)</f>
        <v>0</v>
      </c>
      <c r="AZ11" s="58">
        <f ca="1">+SUMIF('Monthly Cohorts'!$E$178:'Monthly Cohorts'!$E$341,$D11,'Monthly Cohorts'!AZ$178:'Monthly Cohorts'!AZ$341)</f>
        <v>0</v>
      </c>
      <c r="BA11" s="58">
        <f ca="1">+SUMIF('Monthly Cohorts'!$E$178:'Monthly Cohorts'!$E$341,$D11,'Monthly Cohorts'!BA$178:'Monthly Cohorts'!BA$341)</f>
        <v>0</v>
      </c>
      <c r="BB11" s="58">
        <f ca="1">+SUMIF('Monthly Cohorts'!$E$178:'Monthly Cohorts'!$E$341,$D11,'Monthly Cohorts'!BB$178:'Monthly Cohorts'!BB$341)</f>
        <v>0</v>
      </c>
      <c r="BC11" s="58">
        <f ca="1">+SUMIF('Monthly Cohorts'!$E$178:'Monthly Cohorts'!$E$341,$D11,'Monthly Cohorts'!BC$178:'Monthly Cohorts'!BC$341)</f>
        <v>0</v>
      </c>
      <c r="BD11" s="58">
        <f ca="1">+SUMIF('Monthly Cohorts'!$E$178:'Monthly Cohorts'!$E$341,$D11,'Monthly Cohorts'!BD$178:'Monthly Cohorts'!BD$341)</f>
        <v>0</v>
      </c>
      <c r="BE11" s="58">
        <f ca="1">+SUMIF('Monthly Cohorts'!$E$178:'Monthly Cohorts'!$E$341,$D11,'Monthly Cohorts'!BE$178:'Monthly Cohorts'!BE$341)</f>
        <v>0</v>
      </c>
      <c r="BF11" s="58">
        <f ca="1">+SUMIF('Monthly Cohorts'!$E$178:'Monthly Cohorts'!$E$341,$D11,'Monthly Cohorts'!BF$178:'Monthly Cohorts'!BF$341)</f>
        <v>0</v>
      </c>
      <c r="BG11" s="58">
        <f ca="1">+SUMIF('Monthly Cohorts'!$E$178:'Monthly Cohorts'!$E$341,$D11,'Monthly Cohorts'!BG$178:'Monthly Cohorts'!BG$341)</f>
        <v>0</v>
      </c>
      <c r="BH11" s="58">
        <f ca="1">+SUMIF('Monthly Cohorts'!$E$178:'Monthly Cohorts'!$E$341,$D11,'Monthly Cohorts'!BH$178:'Monthly Cohorts'!BH$341)</f>
        <v>0</v>
      </c>
      <c r="BI11" s="58">
        <f ca="1">+SUMIF('Monthly Cohorts'!$E$178:'Monthly Cohorts'!$E$341,$D11,'Monthly Cohorts'!BI$178:'Monthly Cohorts'!BI$341)</f>
        <v>0</v>
      </c>
      <c r="BJ11" s="58">
        <f ca="1">+SUMIF('Monthly Cohorts'!$E$178:'Monthly Cohorts'!$E$341,$D11,'Monthly Cohorts'!BJ$178:'Monthly Cohorts'!BJ$341)</f>
        <v>0</v>
      </c>
      <c r="BK11" s="58">
        <f ca="1">+SUMIF('Monthly Cohorts'!$E$178:'Monthly Cohorts'!$E$341,$D11,'Monthly Cohorts'!BK$178:'Monthly Cohorts'!BK$341)</f>
        <v>0</v>
      </c>
      <c r="BL11" s="58">
        <f ca="1">+SUMIF('Monthly Cohorts'!$E$178:'Monthly Cohorts'!$E$341,$D11,'Monthly Cohorts'!BL$178:'Monthly Cohorts'!BL$341)</f>
        <v>0</v>
      </c>
      <c r="BM11" s="58">
        <f ca="1">+SUMIF('Monthly Cohorts'!$E$178:'Monthly Cohorts'!$E$341,$D11,'Monthly Cohorts'!BM$178:'Monthly Cohorts'!BM$341)</f>
        <v>0</v>
      </c>
      <c r="BN11" s="58">
        <f ca="1">+SUMIF('Monthly Cohorts'!$E$178:'Monthly Cohorts'!$E$341,$D11,'Monthly Cohorts'!BN$178:'Monthly Cohorts'!BN$341)</f>
        <v>0</v>
      </c>
      <c r="BO11" s="58">
        <f ca="1">+SUMIF('Monthly Cohorts'!$E$178:'Monthly Cohorts'!$E$341,$D11,'Monthly Cohorts'!BO$178:'Monthly Cohorts'!BO$341)</f>
        <v>0</v>
      </c>
      <c r="BP11" s="58">
        <f ca="1">+SUMIF('Monthly Cohorts'!$E$178:'Monthly Cohorts'!$E$341,$D11,'Monthly Cohorts'!BP$178:'Monthly Cohorts'!BP$341)</f>
        <v>0</v>
      </c>
      <c r="BQ11" s="58">
        <f ca="1">+SUMIF('Monthly Cohorts'!$E$178:'Monthly Cohorts'!$E$341,$D11,'Monthly Cohorts'!BQ$178:'Monthly Cohorts'!BQ$341)</f>
        <v>0</v>
      </c>
      <c r="BR11" s="58">
        <f ca="1">+SUMIF('Monthly Cohorts'!$E$178:'Monthly Cohorts'!$E$341,$D11,'Monthly Cohorts'!BR$178:'Monthly Cohorts'!BR$341)</f>
        <v>0</v>
      </c>
      <c r="BS11" s="58">
        <f ca="1">+SUMIF('Monthly Cohorts'!$E$178:'Monthly Cohorts'!$E$341,$D11,'Monthly Cohorts'!BS$178:'Monthly Cohorts'!BS$341)</f>
        <v>0</v>
      </c>
      <c r="BT11" s="58">
        <f ca="1">+SUMIF('Monthly Cohorts'!$E$178:'Monthly Cohorts'!$E$341,$D11,'Monthly Cohorts'!BT$178:'Monthly Cohorts'!BT$341)</f>
        <v>0</v>
      </c>
      <c r="BU11" s="58">
        <f ca="1">+SUMIF('Monthly Cohorts'!$E$178:'Monthly Cohorts'!$E$341,$D11,'Monthly Cohorts'!BU$178:'Monthly Cohorts'!BU$341)</f>
        <v>0</v>
      </c>
      <c r="BV11" s="58">
        <f ca="1">+SUMIF('Monthly Cohorts'!$E$178:'Monthly Cohorts'!$E$341,$D11,'Monthly Cohorts'!BV$178:'Monthly Cohorts'!BV$341)</f>
        <v>0</v>
      </c>
      <c r="BW11" s="58">
        <f ca="1">+SUMIF('Monthly Cohorts'!$E$178:'Monthly Cohorts'!$E$341,$D11,'Monthly Cohorts'!BW$178:'Monthly Cohorts'!BW$341)</f>
        <v>0</v>
      </c>
      <c r="BX11" s="58">
        <f ca="1">+SUMIF('Monthly Cohorts'!$E$178:'Monthly Cohorts'!$E$341,$D11,'Monthly Cohorts'!BX$178:'Monthly Cohorts'!BX$341)</f>
        <v>0</v>
      </c>
      <c r="BY11" s="58">
        <f ca="1">+SUMIF('Monthly Cohorts'!$E$178:'Monthly Cohorts'!$E$341,$D11,'Monthly Cohorts'!BY$178:'Monthly Cohorts'!BY$341)</f>
        <v>0</v>
      </c>
      <c r="BZ11" s="58">
        <f ca="1">+SUMIF('Monthly Cohorts'!$E$178:'Monthly Cohorts'!$E$341,$D11,'Monthly Cohorts'!BZ$178:'Monthly Cohorts'!BZ$341)</f>
        <v>0</v>
      </c>
      <c r="CA11" s="58">
        <f ca="1">+SUMIF('Monthly Cohorts'!$E$178:'Monthly Cohorts'!$E$341,$D11,'Monthly Cohorts'!CA$178:'Monthly Cohorts'!CA$341)</f>
        <v>0</v>
      </c>
      <c r="CB11" s="58">
        <f ca="1">+SUMIF('Monthly Cohorts'!$E$178:'Monthly Cohorts'!$E$341,$D11,'Monthly Cohorts'!CB$178:'Monthly Cohorts'!CB$341)</f>
        <v>0</v>
      </c>
      <c r="CC11" s="58">
        <f ca="1">+SUMIF('Monthly Cohorts'!$E$178:'Monthly Cohorts'!$E$341,$D11,'Monthly Cohorts'!CC$178:'Monthly Cohorts'!CC$341)</f>
        <v>0</v>
      </c>
      <c r="CD11" s="58">
        <f ca="1">+SUMIF('Monthly Cohorts'!$E$178:'Monthly Cohorts'!$E$341,$D11,'Monthly Cohorts'!CD$178:'Monthly Cohorts'!CD$341)</f>
        <v>0</v>
      </c>
      <c r="CE11" s="58">
        <f ca="1">+SUMIF('Monthly Cohorts'!$E$178:'Monthly Cohorts'!$E$341,$D11,'Monthly Cohorts'!CE$178:'Monthly Cohorts'!CE$341)</f>
        <v>0</v>
      </c>
      <c r="CF11" s="58">
        <f ca="1">+SUMIF('Monthly Cohorts'!$E$178:'Monthly Cohorts'!$E$341,$D11,'Monthly Cohorts'!CF$178:'Monthly Cohorts'!CF$341)</f>
        <v>0</v>
      </c>
      <c r="CG11" s="58">
        <f ca="1">+SUMIF('Monthly Cohorts'!$E$178:'Monthly Cohorts'!$E$341,$D11,'Monthly Cohorts'!CG$178:'Monthly Cohorts'!CG$341)</f>
        <v>0</v>
      </c>
      <c r="CH11" s="58">
        <f ca="1">+SUMIF('Monthly Cohorts'!$E$178:'Monthly Cohorts'!$E$341,$D11,'Monthly Cohorts'!CH$178:'Monthly Cohorts'!CH$341)</f>
        <v>0</v>
      </c>
      <c r="CI11" s="58">
        <f ca="1">+SUMIF('Monthly Cohorts'!$E$178:'Monthly Cohorts'!$E$341,$D11,'Monthly Cohorts'!CI$178:'Monthly Cohorts'!CI$341)</f>
        <v>0</v>
      </c>
      <c r="CJ11" s="58">
        <f ca="1">+SUMIF('Monthly Cohorts'!$E$178:'Monthly Cohorts'!$E$341,$D11,'Monthly Cohorts'!CJ$178:'Monthly Cohorts'!CJ$341)</f>
        <v>0</v>
      </c>
      <c r="CK11" s="58">
        <f ca="1">+SUMIF('Monthly Cohorts'!$E$178:'Monthly Cohorts'!$E$341,$D11,'Monthly Cohorts'!CK$178:'Monthly Cohorts'!CK$341)</f>
        <v>0</v>
      </c>
      <c r="CL11" s="58">
        <f ca="1">+SUMIF('Monthly Cohorts'!$E$178:'Monthly Cohorts'!$E$341,$D11,'Monthly Cohorts'!CL$178:'Monthly Cohorts'!CL$341)</f>
        <v>0</v>
      </c>
      <c r="CM11" s="58">
        <f ca="1">+SUMIF('Monthly Cohorts'!$E$178:'Monthly Cohorts'!$E$341,$D11,'Monthly Cohorts'!CM$178:'Monthly Cohorts'!CM$341)</f>
        <v>0</v>
      </c>
      <c r="CN11" s="58">
        <f ca="1">+SUMIF('Monthly Cohorts'!$E$178:'Monthly Cohorts'!$E$341,$D11,'Monthly Cohorts'!CN$178:'Monthly Cohorts'!CN$341)</f>
        <v>0</v>
      </c>
      <c r="CO11" s="58">
        <f ca="1">+SUMIF('Monthly Cohorts'!$E$178:'Monthly Cohorts'!$E$341,$D11,'Monthly Cohorts'!CO$178:'Monthly Cohorts'!CO$341)</f>
        <v>0</v>
      </c>
      <c r="CP11" s="58">
        <f ca="1">+SUMIF('Monthly Cohorts'!$E$178:'Monthly Cohorts'!$E$341,$D11,'Monthly Cohorts'!CP$178:'Monthly Cohorts'!CP$341)</f>
        <v>0</v>
      </c>
      <c r="CQ11" s="58">
        <f ca="1">+SUMIF('Monthly Cohorts'!$E$178:'Monthly Cohorts'!$E$341,$D11,'Monthly Cohorts'!CQ$178:'Monthly Cohorts'!CQ$341)</f>
        <v>0</v>
      </c>
      <c r="CR11" s="58">
        <f ca="1">+SUMIF('Monthly Cohorts'!$E$178:'Monthly Cohorts'!$E$341,$D11,'Monthly Cohorts'!CR$178:'Monthly Cohorts'!CR$341)</f>
        <v>0</v>
      </c>
      <c r="CS11" s="58">
        <f ca="1">+SUMIF('Monthly Cohorts'!$E$178:'Monthly Cohorts'!$E$341,$D11,'Monthly Cohorts'!CS$178:'Monthly Cohorts'!CS$341)</f>
        <v>0</v>
      </c>
      <c r="CT11" s="58">
        <f ca="1">+SUMIF('Monthly Cohorts'!$E$178:'Monthly Cohorts'!$E$341,$D11,'Monthly Cohorts'!CT$178:'Monthly Cohorts'!CT$341)</f>
        <v>0</v>
      </c>
      <c r="CU11" s="58">
        <f ca="1">+SUMIF('Monthly Cohorts'!$E$178:'Monthly Cohorts'!$E$341,$D11,'Monthly Cohorts'!CU$178:'Monthly Cohorts'!CU$341)</f>
        <v>0</v>
      </c>
      <c r="CV11" s="58">
        <f ca="1">+SUMIF('Monthly Cohorts'!$E$178:'Monthly Cohorts'!$E$341,$D11,'Monthly Cohorts'!CV$178:'Monthly Cohorts'!CV$341)</f>
        <v>0</v>
      </c>
      <c r="CW11" s="58">
        <f ca="1">+SUMIF('Monthly Cohorts'!$E$178:'Monthly Cohorts'!$E$341,$D11,'Monthly Cohorts'!CW$178:'Monthly Cohorts'!CW$341)</f>
        <v>0</v>
      </c>
      <c r="CX11" s="58">
        <f ca="1">+SUMIF('Monthly Cohorts'!$E$178:'Monthly Cohorts'!$E$341,$D11,'Monthly Cohorts'!CX$178:'Monthly Cohorts'!CX$341)</f>
        <v>0</v>
      </c>
      <c r="CY11" s="58">
        <f ca="1">+SUMIF('Monthly Cohorts'!$E$178:'Monthly Cohorts'!$E$341,$D11,'Monthly Cohorts'!CY$178:'Monthly Cohorts'!CY$341)</f>
        <v>0</v>
      </c>
      <c r="CZ11" s="58">
        <f ca="1">+SUMIF('Monthly Cohorts'!$E$178:'Monthly Cohorts'!$E$341,$D11,'Monthly Cohorts'!CZ$178:'Monthly Cohorts'!CZ$341)</f>
        <v>0</v>
      </c>
      <c r="DA11" s="58">
        <f ca="1">+SUMIF('Monthly Cohorts'!$E$178:'Monthly Cohorts'!$E$341,$D11,'Monthly Cohorts'!DA$178:'Monthly Cohorts'!DA$341)</f>
        <v>0</v>
      </c>
      <c r="DB11" s="58">
        <f ca="1">+SUMIF('Monthly Cohorts'!$E$178:'Monthly Cohorts'!$E$341,$D11,'Monthly Cohorts'!DB$178:'Monthly Cohorts'!DB$341)</f>
        <v>0</v>
      </c>
      <c r="DC11" s="58">
        <f ca="1">+SUMIF('Monthly Cohorts'!$E$178:'Monthly Cohorts'!$E$341,$D11,'Monthly Cohorts'!DC$178:'Monthly Cohorts'!DC$341)</f>
        <v>0</v>
      </c>
      <c r="DD11" s="58">
        <f ca="1">+SUMIF('Monthly Cohorts'!$E$178:'Monthly Cohorts'!$E$341,$D11,'Monthly Cohorts'!DD$178:'Monthly Cohorts'!DD$341)</f>
        <v>0</v>
      </c>
      <c r="DE11" s="58">
        <f ca="1">+SUMIF('Monthly Cohorts'!$E$178:'Monthly Cohorts'!$E$341,$D11,'Monthly Cohorts'!DE$178:'Monthly Cohorts'!DE$341)</f>
        <v>0</v>
      </c>
      <c r="DF11" s="58">
        <f ca="1">+SUMIF('Monthly Cohorts'!$E$178:'Monthly Cohorts'!$E$341,$D11,'Monthly Cohorts'!DF$178:'Monthly Cohorts'!DF$341)</f>
        <v>0</v>
      </c>
      <c r="DG11" s="58">
        <f ca="1">+SUMIF('Monthly Cohorts'!$E$178:'Monthly Cohorts'!$E$341,$D11,'Monthly Cohorts'!DG$178:'Monthly Cohorts'!DG$341)</f>
        <v>0</v>
      </c>
      <c r="DH11" s="58">
        <f ca="1">+SUMIF('Monthly Cohorts'!$E$178:'Monthly Cohorts'!$E$341,$D11,'Monthly Cohorts'!DH$178:'Monthly Cohorts'!DH$341)</f>
        <v>0</v>
      </c>
      <c r="DI11" s="58">
        <f ca="1">+SUMIF('Monthly Cohorts'!$E$178:'Monthly Cohorts'!$E$341,$D11,'Monthly Cohorts'!DI$178:'Monthly Cohorts'!DI$341)</f>
        <v>0</v>
      </c>
      <c r="DJ11" s="58">
        <f ca="1">+SUMIF('Monthly Cohorts'!$E$178:'Monthly Cohorts'!$E$341,$D11,'Monthly Cohorts'!DJ$178:'Monthly Cohorts'!DJ$341)</f>
        <v>0</v>
      </c>
      <c r="DK11" s="58">
        <f ca="1">+SUMIF('Monthly Cohorts'!$E$178:'Monthly Cohorts'!$E$341,$D11,'Monthly Cohorts'!DK$178:'Monthly Cohorts'!DK$341)</f>
        <v>0</v>
      </c>
      <c r="DL11" s="58">
        <f ca="1">+SUMIF('Monthly Cohorts'!$E$178:'Monthly Cohorts'!$E$341,$D11,'Monthly Cohorts'!DL$178:'Monthly Cohorts'!DL$341)</f>
        <v>0</v>
      </c>
      <c r="DM11" s="58">
        <f ca="1">+SUMIF('Monthly Cohorts'!$E$178:'Monthly Cohorts'!$E$341,$D11,'Monthly Cohorts'!DM$178:'Monthly Cohorts'!DM$341)</f>
        <v>0</v>
      </c>
      <c r="DN11" s="58">
        <f ca="1">+SUMIF('Monthly Cohorts'!$E$178:'Monthly Cohorts'!$E$341,$D11,'Monthly Cohorts'!DN$178:'Monthly Cohorts'!DN$341)</f>
        <v>0</v>
      </c>
      <c r="DO11" s="58">
        <f ca="1">+SUMIF('Monthly Cohorts'!$E$178:'Monthly Cohorts'!$E$341,$D11,'Monthly Cohorts'!DO$178:'Monthly Cohorts'!DO$341)</f>
        <v>0</v>
      </c>
      <c r="DP11" s="58">
        <f ca="1">+SUMIF('Monthly Cohorts'!$E$178:'Monthly Cohorts'!$E$341,$D11,'Monthly Cohorts'!DP$178:'Monthly Cohorts'!DP$341)</f>
        <v>0</v>
      </c>
      <c r="DQ11" s="58">
        <f ca="1">+SUMIF('Monthly Cohorts'!$E$178:'Monthly Cohorts'!$E$341,$D11,'Monthly Cohorts'!DQ$178:'Monthly Cohorts'!DQ$341)</f>
        <v>0</v>
      </c>
      <c r="DR11" s="58">
        <f ca="1">+SUMIF('Monthly Cohorts'!$E$178:'Monthly Cohorts'!$E$341,$D11,'Monthly Cohorts'!DR$178:'Monthly Cohorts'!DR$341)</f>
        <v>0</v>
      </c>
      <c r="DS11" s="58">
        <f ca="1">+SUMIF('Monthly Cohorts'!$E$178:'Monthly Cohorts'!$E$341,$D11,'Monthly Cohorts'!DS$178:'Monthly Cohorts'!DS$341)</f>
        <v>0</v>
      </c>
      <c r="DT11" s="58">
        <f ca="1">+SUMIF('Monthly Cohorts'!$E$178:'Monthly Cohorts'!$E$341,$D11,'Monthly Cohorts'!DT$178:'Monthly Cohorts'!DT$341)</f>
        <v>0</v>
      </c>
      <c r="DU11" s="58">
        <f ca="1">+SUMIF('Monthly Cohorts'!$E$178:'Monthly Cohorts'!$E$341,$D11,'Monthly Cohorts'!DU$178:'Monthly Cohorts'!DU$341)</f>
        <v>0</v>
      </c>
      <c r="DV11" s="58">
        <f ca="1">+SUMIF('Monthly Cohorts'!$E$178:'Monthly Cohorts'!$E$341,$D11,'Monthly Cohorts'!DV$178:'Monthly Cohorts'!DV$341)</f>
        <v>0</v>
      </c>
      <c r="DW11" s="58">
        <f ca="1">+SUMIF('Monthly Cohorts'!$E$178:'Monthly Cohorts'!$E$341,$D11,'Monthly Cohorts'!DW$178:'Monthly Cohorts'!DW$341)</f>
        <v>0</v>
      </c>
      <c r="DX11" s="58">
        <f ca="1">+SUMIF('Monthly Cohorts'!$E$178:'Monthly Cohorts'!$E$341,$D11,'Monthly Cohorts'!DX$178:'Monthly Cohorts'!DX$341)</f>
        <v>0</v>
      </c>
      <c r="DY11" s="58">
        <f ca="1">+SUMIF('Monthly Cohorts'!$E$178:'Monthly Cohorts'!$E$341,$D11,'Monthly Cohorts'!DY$178:'Monthly Cohorts'!DY$341)</f>
        <v>0</v>
      </c>
      <c r="DZ11" s="58">
        <f ca="1">+SUMIF('Monthly Cohorts'!$E$178:'Monthly Cohorts'!$E$341,$D11,'Monthly Cohorts'!DZ$178:'Monthly Cohorts'!DZ$341)</f>
        <v>0</v>
      </c>
      <c r="EA11" s="58">
        <f ca="1">+SUMIF('Monthly Cohorts'!$E$178:'Monthly Cohorts'!$E$341,$D11,'Monthly Cohorts'!EA$178:'Monthly Cohorts'!EA$341)</f>
        <v>0</v>
      </c>
      <c r="EB11" s="58">
        <f ca="1">+SUMIF('Monthly Cohorts'!$E$178:'Monthly Cohorts'!$E$341,$D11,'Monthly Cohorts'!EB$178:'Monthly Cohorts'!EB$341)</f>
        <v>0</v>
      </c>
      <c r="EC11" s="58">
        <f ca="1">+SUMIF('Monthly Cohorts'!$E$178:'Monthly Cohorts'!$E$341,$D11,'Monthly Cohorts'!EC$178:'Monthly Cohorts'!EC$341)</f>
        <v>0</v>
      </c>
      <c r="ED11" s="58">
        <f ca="1">+SUMIF('Monthly Cohorts'!$E$178:'Monthly Cohorts'!$E$341,$D11,'Monthly Cohorts'!ED$178:'Monthly Cohorts'!ED$341)</f>
        <v>0</v>
      </c>
      <c r="EE11" s="58">
        <f ca="1">+SUMIF('Monthly Cohorts'!$E$178:'Monthly Cohorts'!$E$341,$D11,'Monthly Cohorts'!EE$178:'Monthly Cohorts'!EE$341)</f>
        <v>0</v>
      </c>
      <c r="EF11" s="58">
        <f ca="1">+SUMIF('Monthly Cohorts'!$E$178:'Monthly Cohorts'!$E$341,$D11,'Monthly Cohorts'!EF$178:'Monthly Cohorts'!EF$341)</f>
        <v>0</v>
      </c>
      <c r="EG11" s="58">
        <f ca="1">+SUMIF('Monthly Cohorts'!$E$178:'Monthly Cohorts'!$E$341,$D11,'Monthly Cohorts'!EG$178:'Monthly Cohorts'!EG$341)</f>
        <v>0</v>
      </c>
      <c r="EH11" s="58">
        <f ca="1">+SUMIF('Monthly Cohorts'!$E$178:'Monthly Cohorts'!$E$341,$D11,'Monthly Cohorts'!EH$178:'Monthly Cohorts'!EH$341)</f>
        <v>0</v>
      </c>
      <c r="EI11" s="58">
        <f ca="1">+SUMIF('Monthly Cohorts'!$E$178:'Monthly Cohorts'!$E$341,$D11,'Monthly Cohorts'!EI$178:'Monthly Cohorts'!EI$341)</f>
        <v>0</v>
      </c>
      <c r="EJ11" s="58">
        <f ca="1">+SUMIF('Monthly Cohorts'!$E$178:'Monthly Cohorts'!$E$341,$D11,'Monthly Cohorts'!EJ$178:'Monthly Cohorts'!EJ$341)</f>
        <v>0</v>
      </c>
      <c r="EK11" s="58">
        <f ca="1">+SUMIF('Monthly Cohorts'!$E$178:'Monthly Cohorts'!$E$341,$D11,'Monthly Cohorts'!EK$178:'Monthly Cohorts'!EK$341)</f>
        <v>0</v>
      </c>
      <c r="EL11" s="58">
        <f ca="1">+SUMIF('Monthly Cohorts'!$E$178:'Monthly Cohorts'!$E$341,$D11,'Monthly Cohorts'!EL$178:'Monthly Cohorts'!EL$341)</f>
        <v>0</v>
      </c>
      <c r="EM11" s="58">
        <f ca="1">+SUMIF('Monthly Cohorts'!$E$178:'Monthly Cohorts'!$E$341,$D11,'Monthly Cohorts'!EM$178:'Monthly Cohorts'!EM$341)</f>
        <v>0</v>
      </c>
      <c r="EN11" s="58">
        <f ca="1">+SUMIF('Monthly Cohorts'!$E$178:'Monthly Cohorts'!$E$341,$D11,'Monthly Cohorts'!EN$178:'Monthly Cohorts'!EN$341)</f>
        <v>0</v>
      </c>
      <c r="EO11" s="58">
        <f ca="1">+SUMIF('Monthly Cohorts'!$E$178:'Monthly Cohorts'!$E$341,$D11,'Monthly Cohorts'!EO$178:'Monthly Cohorts'!EO$341)</f>
        <v>0</v>
      </c>
      <c r="EP11" s="58">
        <f ca="1">+SUMIF('Monthly Cohorts'!$E$178:'Monthly Cohorts'!$E$341,$D11,'Monthly Cohorts'!EP$178:'Monthly Cohorts'!EP$341)</f>
        <v>0</v>
      </c>
      <c r="EQ11" s="58">
        <f ca="1">+SUMIF('Monthly Cohorts'!$E$178:'Monthly Cohorts'!$E$341,$D11,'Monthly Cohorts'!EQ$178:'Monthly Cohorts'!EQ$341)</f>
        <v>0</v>
      </c>
      <c r="ER11" s="58">
        <f ca="1">+SUMIF('Monthly Cohorts'!$E$178:'Monthly Cohorts'!$E$341,$D11,'Monthly Cohorts'!ER$178:'Monthly Cohorts'!ER$341)</f>
        <v>0</v>
      </c>
      <c r="ES11" s="58">
        <f ca="1">+SUMIF('Monthly Cohorts'!$E$178:'Monthly Cohorts'!$E$341,$D11,'Monthly Cohorts'!ES$178:'Monthly Cohorts'!ES$341)</f>
        <v>0</v>
      </c>
      <c r="ET11" s="58">
        <f ca="1">+SUMIF('Monthly Cohorts'!$E$178:'Monthly Cohorts'!$E$341,$D11,'Monthly Cohorts'!ET$178:'Monthly Cohorts'!ET$341)</f>
        <v>0</v>
      </c>
      <c r="EU11" s="58">
        <f ca="1">+SUMIF('Monthly Cohorts'!$E$178:'Monthly Cohorts'!$E$341,$D11,'Monthly Cohorts'!EU$178:'Monthly Cohorts'!EU$341)</f>
        <v>0</v>
      </c>
      <c r="EV11" s="58">
        <f ca="1">+SUMIF('Monthly Cohorts'!$E$178:'Monthly Cohorts'!$E$341,$D11,'Monthly Cohorts'!EV$178:'Monthly Cohorts'!EV$341)</f>
        <v>0</v>
      </c>
      <c r="EW11" s="58">
        <f ca="1">+SUMIF('Monthly Cohorts'!$E$178:'Monthly Cohorts'!$E$341,$D11,'Monthly Cohorts'!EW$178:'Monthly Cohorts'!EW$341)</f>
        <v>0</v>
      </c>
      <c r="EX11" s="58">
        <f ca="1">+SUMIF('Monthly Cohorts'!$E$178:'Monthly Cohorts'!$E$341,$D11,'Monthly Cohorts'!EX$178:'Monthly Cohorts'!EX$341)</f>
        <v>0</v>
      </c>
      <c r="EY11" s="58">
        <f ca="1">+SUMIF('Monthly Cohorts'!$E$178:'Monthly Cohorts'!$E$341,$D11,'Monthly Cohorts'!EY$178:'Monthly Cohorts'!EY$341)</f>
        <v>0</v>
      </c>
      <c r="EZ11" s="58">
        <f ca="1">+SUMIF('Monthly Cohorts'!$E$178:'Monthly Cohorts'!$E$341,$D11,'Monthly Cohorts'!EZ$178:'Monthly Cohorts'!EZ$341)</f>
        <v>0</v>
      </c>
      <c r="FA11" s="58">
        <f ca="1">+SUMIF('Monthly Cohorts'!$E$178:'Monthly Cohorts'!$E$341,$D11,'Monthly Cohorts'!FA$178:'Monthly Cohorts'!FA$341)</f>
        <v>0</v>
      </c>
      <c r="FB11" s="58">
        <f ca="1">+SUMIF('Monthly Cohorts'!$E$178:'Monthly Cohorts'!$E$341,$D11,'Monthly Cohorts'!FB$178:'Monthly Cohorts'!FB$341)</f>
        <v>0</v>
      </c>
      <c r="FC11" s="58">
        <f ca="1">+SUMIF('Monthly Cohorts'!$E$178:'Monthly Cohorts'!$E$341,$D11,'Monthly Cohorts'!FC$178:'Monthly Cohorts'!FC$341)</f>
        <v>0</v>
      </c>
      <c r="FD11" s="58">
        <f ca="1">+SUMIF('Monthly Cohorts'!$E$178:'Monthly Cohorts'!$E$341,$D11,'Monthly Cohorts'!FD$178:'Monthly Cohorts'!FD$341)</f>
        <v>0</v>
      </c>
      <c r="FE11" s="58">
        <f ca="1">+SUMIF('Monthly Cohorts'!$E$178:'Monthly Cohorts'!$E$341,$D11,'Monthly Cohorts'!FE$178:'Monthly Cohorts'!FE$341)</f>
        <v>0</v>
      </c>
      <c r="FF11" s="58">
        <f ca="1">+SUMIF('Monthly Cohorts'!$E$178:'Monthly Cohorts'!$E$341,$D11,'Monthly Cohorts'!FF$178:'Monthly Cohorts'!FF$341)</f>
        <v>0</v>
      </c>
      <c r="FG11" s="58">
        <f ca="1">+SUMIF('Monthly Cohorts'!$E$178:'Monthly Cohorts'!$E$341,$D11,'Monthly Cohorts'!FG$178:'Monthly Cohorts'!FG$341)</f>
        <v>0</v>
      </c>
      <c r="FH11" s="58">
        <f ca="1">+SUMIF('Monthly Cohorts'!$E$178:'Monthly Cohorts'!$E$341,$D11,'Monthly Cohorts'!FH$178:'Monthly Cohorts'!FH$341)</f>
        <v>0</v>
      </c>
      <c r="FI11" s="58">
        <f ca="1">+SUMIF('Monthly Cohorts'!$E$178:'Monthly Cohorts'!$E$341,$D11,'Monthly Cohorts'!FI$178:'Monthly Cohorts'!FI$341)</f>
        <v>0</v>
      </c>
      <c r="FJ11" s="58">
        <f ca="1">+SUMIF('Monthly Cohorts'!$E$178:'Monthly Cohorts'!$E$341,$D11,'Monthly Cohorts'!FJ$178:'Monthly Cohorts'!FJ$341)</f>
        <v>0</v>
      </c>
      <c r="FK11" s="58">
        <f ca="1">+SUMIF('Monthly Cohorts'!$E$178:'Monthly Cohorts'!$E$341,$D11,'Monthly Cohorts'!FK$178:'Monthly Cohorts'!FK$341)</f>
        <v>0</v>
      </c>
      <c r="FL11" s="58">
        <f ca="1">+SUMIF('Monthly Cohorts'!$E$178:'Monthly Cohorts'!$E$341,$D11,'Monthly Cohorts'!FL$178:'Monthly Cohorts'!FL$341)</f>
        <v>0</v>
      </c>
      <c r="FM11" s="58">
        <f ca="1">+SUMIF('Monthly Cohorts'!$E$178:'Monthly Cohorts'!$E$341,$D11,'Monthly Cohorts'!FM$178:'Monthly Cohorts'!FM$341)</f>
        <v>0</v>
      </c>
      <c r="FN11" s="58">
        <f ca="1">+SUMIF('Monthly Cohorts'!$E$178:'Monthly Cohorts'!$E$341,$D11,'Monthly Cohorts'!FN$178:'Monthly Cohorts'!FN$341)</f>
        <v>0</v>
      </c>
      <c r="FO11" s="13"/>
    </row>
    <row r="12" spans="1:171" outlineLevel="1" x14ac:dyDescent="0.3">
      <c r="A12" s="13"/>
      <c r="B12" s="13"/>
      <c r="C12" s="13"/>
      <c r="D12" s="59">
        <f t="shared" si="11"/>
        <v>2012</v>
      </c>
      <c r="E12" s="25"/>
      <c r="F12" s="20"/>
      <c r="G12" s="58">
        <f ca="1">+SUMIF('Monthly Cohorts'!$E$178:'Monthly Cohorts'!$E$341,$D12,'Monthly Cohorts'!G$178:'Monthly Cohorts'!G$341)</f>
        <v>0</v>
      </c>
      <c r="H12" s="58">
        <f ca="1">+SUMIF('Monthly Cohorts'!$E$178:'Monthly Cohorts'!$E$341,$D12,'Monthly Cohorts'!H$178:'Monthly Cohorts'!H$341)</f>
        <v>0</v>
      </c>
      <c r="I12" s="58">
        <f ca="1">+SUMIF('Monthly Cohorts'!$E$178:'Monthly Cohorts'!$E$341,$D12,'Monthly Cohorts'!I$178:'Monthly Cohorts'!I$341)</f>
        <v>0</v>
      </c>
      <c r="J12" s="58">
        <f ca="1">+SUMIF('Monthly Cohorts'!$E$178:'Monthly Cohorts'!$E$341,$D12,'Monthly Cohorts'!J$178:'Monthly Cohorts'!J$341)</f>
        <v>0</v>
      </c>
      <c r="K12" s="58">
        <f ca="1">+SUMIF('Monthly Cohorts'!$E$178:'Monthly Cohorts'!$E$341,$D12,'Monthly Cohorts'!K$178:'Monthly Cohorts'!K$341)</f>
        <v>0</v>
      </c>
      <c r="L12" s="58">
        <f ca="1">+SUMIF('Monthly Cohorts'!$E$178:'Monthly Cohorts'!$E$341,$D12,'Monthly Cohorts'!L$178:'Monthly Cohorts'!L$341)</f>
        <v>0</v>
      </c>
      <c r="M12" s="58">
        <f ca="1">+SUMIF('Monthly Cohorts'!$E$178:'Monthly Cohorts'!$E$341,$D12,'Monthly Cohorts'!M$178:'Monthly Cohorts'!M$341)</f>
        <v>0</v>
      </c>
      <c r="N12" s="58">
        <f ca="1">+SUMIF('Monthly Cohorts'!$E$178:'Monthly Cohorts'!$E$341,$D12,'Monthly Cohorts'!N$178:'Monthly Cohorts'!N$341)</f>
        <v>0</v>
      </c>
      <c r="O12" s="58">
        <f ca="1">+SUMIF('Monthly Cohorts'!$E$178:'Monthly Cohorts'!$E$341,$D12,'Monthly Cohorts'!O$178:'Monthly Cohorts'!O$341)</f>
        <v>0</v>
      </c>
      <c r="P12" s="58">
        <f ca="1">+SUMIF('Monthly Cohorts'!$E$178:'Monthly Cohorts'!$E$341,$D12,'Monthly Cohorts'!P$178:'Monthly Cohorts'!P$341)</f>
        <v>0</v>
      </c>
      <c r="Q12" s="58">
        <f ca="1">+SUMIF('Monthly Cohorts'!$E$178:'Monthly Cohorts'!$E$341,$D12,'Monthly Cohorts'!Q$178:'Monthly Cohorts'!Q$341)</f>
        <v>0</v>
      </c>
      <c r="R12" s="58">
        <f ca="1">+SUMIF('Monthly Cohorts'!$E$178:'Monthly Cohorts'!$E$341,$D12,'Monthly Cohorts'!R$178:'Monthly Cohorts'!R$341)</f>
        <v>0</v>
      </c>
      <c r="S12" s="58">
        <f ca="1">+SUMIF('Monthly Cohorts'!$E$178:'Monthly Cohorts'!$E$341,$D12,'Monthly Cohorts'!S$178:'Monthly Cohorts'!S$341)</f>
        <v>0</v>
      </c>
      <c r="T12" s="58">
        <f ca="1">+SUMIF('Monthly Cohorts'!$E$178:'Monthly Cohorts'!$E$341,$D12,'Monthly Cohorts'!T$178:'Monthly Cohorts'!T$341)</f>
        <v>0</v>
      </c>
      <c r="U12" s="58">
        <f ca="1">+SUMIF('Monthly Cohorts'!$E$178:'Monthly Cohorts'!$E$341,$D12,'Monthly Cohorts'!U$178:'Monthly Cohorts'!U$341)</f>
        <v>0</v>
      </c>
      <c r="V12" s="58">
        <f ca="1">+SUMIF('Monthly Cohorts'!$E$178:'Monthly Cohorts'!$E$341,$D12,'Monthly Cohorts'!V$178:'Monthly Cohorts'!V$341)</f>
        <v>0</v>
      </c>
      <c r="W12" s="58">
        <f ca="1">+SUMIF('Monthly Cohorts'!$E$178:'Monthly Cohorts'!$E$341,$D12,'Monthly Cohorts'!W$178:'Monthly Cohorts'!W$341)</f>
        <v>0</v>
      </c>
      <c r="X12" s="58">
        <f ca="1">+SUMIF('Monthly Cohorts'!$E$178:'Monthly Cohorts'!$E$341,$D12,'Monthly Cohorts'!X$178:'Monthly Cohorts'!X$341)</f>
        <v>0</v>
      </c>
      <c r="Y12" s="58">
        <f ca="1">+SUMIF('Monthly Cohorts'!$E$178:'Monthly Cohorts'!$E$341,$D12,'Monthly Cohorts'!Y$178:'Monthly Cohorts'!Y$341)</f>
        <v>0</v>
      </c>
      <c r="Z12" s="58">
        <f ca="1">+SUMIF('Monthly Cohorts'!$E$178:'Monthly Cohorts'!$E$341,$D12,'Monthly Cohorts'!Z$178:'Monthly Cohorts'!Z$341)</f>
        <v>0</v>
      </c>
      <c r="AA12" s="58">
        <f ca="1">+SUMIF('Monthly Cohorts'!$E$178:'Monthly Cohorts'!$E$341,$D12,'Monthly Cohorts'!AA$178:'Monthly Cohorts'!AA$341)</f>
        <v>0</v>
      </c>
      <c r="AB12" s="58">
        <f ca="1">+SUMIF('Monthly Cohorts'!$E$178:'Monthly Cohorts'!$E$341,$D12,'Monthly Cohorts'!AB$178:'Monthly Cohorts'!AB$341)</f>
        <v>0</v>
      </c>
      <c r="AC12" s="58">
        <f ca="1">+SUMIF('Monthly Cohorts'!$E$178:'Monthly Cohorts'!$E$341,$D12,'Monthly Cohorts'!AC$178:'Monthly Cohorts'!AC$341)</f>
        <v>0</v>
      </c>
      <c r="AD12" s="58">
        <f ca="1">+SUMIF('Monthly Cohorts'!$E$178:'Monthly Cohorts'!$E$341,$D12,'Monthly Cohorts'!AD$178:'Monthly Cohorts'!AD$341)</f>
        <v>0</v>
      </c>
      <c r="AE12" s="58">
        <f ca="1">+SUMIF('Monthly Cohorts'!$E$178:'Monthly Cohorts'!$E$341,$D12,'Monthly Cohorts'!AE$178:'Monthly Cohorts'!AE$341)</f>
        <v>0</v>
      </c>
      <c r="AF12" s="58">
        <f ca="1">+SUMIF('Monthly Cohorts'!$E$178:'Monthly Cohorts'!$E$341,$D12,'Monthly Cohorts'!AF$178:'Monthly Cohorts'!AF$341)</f>
        <v>0</v>
      </c>
      <c r="AG12" s="58">
        <f ca="1">+SUMIF('Monthly Cohorts'!$E$178:'Monthly Cohorts'!$E$341,$D12,'Monthly Cohorts'!AG$178:'Monthly Cohorts'!AG$341)</f>
        <v>0</v>
      </c>
      <c r="AH12" s="58">
        <f ca="1">+SUMIF('Monthly Cohorts'!$E$178:'Monthly Cohorts'!$E$341,$D12,'Monthly Cohorts'!AH$178:'Monthly Cohorts'!AH$341)</f>
        <v>0</v>
      </c>
      <c r="AI12" s="58">
        <f ca="1">+SUMIF('Monthly Cohorts'!$E$178:'Monthly Cohorts'!$E$341,$D12,'Monthly Cohorts'!AI$178:'Monthly Cohorts'!AI$341)</f>
        <v>0</v>
      </c>
      <c r="AJ12" s="58">
        <f ca="1">+SUMIF('Monthly Cohorts'!$E$178:'Monthly Cohorts'!$E$341,$D12,'Monthly Cohorts'!AJ$178:'Monthly Cohorts'!AJ$341)</f>
        <v>0</v>
      </c>
      <c r="AK12" s="58">
        <f ca="1">+SUMIF('Monthly Cohorts'!$E$178:'Monthly Cohorts'!$E$341,$D12,'Monthly Cohorts'!AK$178:'Monthly Cohorts'!AK$341)</f>
        <v>0</v>
      </c>
      <c r="AL12" s="58">
        <f ca="1">+SUMIF('Monthly Cohorts'!$E$178:'Monthly Cohorts'!$E$341,$D12,'Monthly Cohorts'!AL$178:'Monthly Cohorts'!AL$341)</f>
        <v>0</v>
      </c>
      <c r="AM12" s="58">
        <f ca="1">+SUMIF('Monthly Cohorts'!$E$178:'Monthly Cohorts'!$E$341,$D12,'Monthly Cohorts'!AM$178:'Monthly Cohorts'!AM$341)</f>
        <v>0</v>
      </c>
      <c r="AN12" s="58">
        <f ca="1">+SUMIF('Monthly Cohorts'!$E$178:'Monthly Cohorts'!$E$341,$D12,'Monthly Cohorts'!AN$178:'Monthly Cohorts'!AN$341)</f>
        <v>0</v>
      </c>
      <c r="AO12" s="58">
        <f ca="1">+SUMIF('Monthly Cohorts'!$E$178:'Monthly Cohorts'!$E$341,$D12,'Monthly Cohorts'!AO$178:'Monthly Cohorts'!AO$341)</f>
        <v>0</v>
      </c>
      <c r="AP12" s="58">
        <f ca="1">+SUMIF('Monthly Cohorts'!$E$178:'Monthly Cohorts'!$E$341,$D12,'Monthly Cohorts'!AP$178:'Monthly Cohorts'!AP$341)</f>
        <v>0</v>
      </c>
      <c r="AQ12" s="58">
        <f ca="1">+SUMIF('Monthly Cohorts'!$E$178:'Monthly Cohorts'!$E$341,$D12,'Monthly Cohorts'!AQ$178:'Monthly Cohorts'!AQ$341)</f>
        <v>0</v>
      </c>
      <c r="AR12" s="58">
        <f ca="1">+SUMIF('Monthly Cohorts'!$E$178:'Monthly Cohorts'!$E$341,$D12,'Monthly Cohorts'!AR$178:'Monthly Cohorts'!AR$341)</f>
        <v>0</v>
      </c>
      <c r="AS12" s="58">
        <f ca="1">+SUMIF('Monthly Cohorts'!$E$178:'Monthly Cohorts'!$E$341,$D12,'Monthly Cohorts'!AS$178:'Monthly Cohorts'!AS$341)</f>
        <v>0</v>
      </c>
      <c r="AT12" s="58">
        <f ca="1">+SUMIF('Monthly Cohorts'!$E$178:'Monthly Cohorts'!$E$341,$D12,'Monthly Cohorts'!AT$178:'Monthly Cohorts'!AT$341)</f>
        <v>0</v>
      </c>
      <c r="AU12" s="58">
        <f ca="1">+SUMIF('Monthly Cohorts'!$E$178:'Monthly Cohorts'!$E$341,$D12,'Monthly Cohorts'!AU$178:'Monthly Cohorts'!AU$341)</f>
        <v>0</v>
      </c>
      <c r="AV12" s="58">
        <f ca="1">+SUMIF('Monthly Cohorts'!$E$178:'Monthly Cohorts'!$E$341,$D12,'Monthly Cohorts'!AV$178:'Monthly Cohorts'!AV$341)</f>
        <v>0</v>
      </c>
      <c r="AW12" s="58">
        <f ca="1">+SUMIF('Monthly Cohorts'!$E$178:'Monthly Cohorts'!$E$341,$D12,'Monthly Cohorts'!AW$178:'Monthly Cohorts'!AW$341)</f>
        <v>0</v>
      </c>
      <c r="AX12" s="58">
        <f ca="1">+SUMIF('Monthly Cohorts'!$E$178:'Monthly Cohorts'!$E$341,$D12,'Monthly Cohorts'!AX$178:'Monthly Cohorts'!AX$341)</f>
        <v>0</v>
      </c>
      <c r="AY12" s="58">
        <f ca="1">+SUMIF('Monthly Cohorts'!$E$178:'Monthly Cohorts'!$E$341,$D12,'Monthly Cohorts'!AY$178:'Monthly Cohorts'!AY$341)</f>
        <v>0</v>
      </c>
      <c r="AZ12" s="58">
        <f ca="1">+SUMIF('Monthly Cohorts'!$E$178:'Monthly Cohorts'!$E$341,$D12,'Monthly Cohorts'!AZ$178:'Monthly Cohorts'!AZ$341)</f>
        <v>0</v>
      </c>
      <c r="BA12" s="58">
        <f ca="1">+SUMIF('Monthly Cohorts'!$E$178:'Monthly Cohorts'!$E$341,$D12,'Monthly Cohorts'!BA$178:'Monthly Cohorts'!BA$341)</f>
        <v>0</v>
      </c>
      <c r="BB12" s="58">
        <f ca="1">+SUMIF('Monthly Cohorts'!$E$178:'Monthly Cohorts'!$E$341,$D12,'Monthly Cohorts'!BB$178:'Monthly Cohorts'!BB$341)</f>
        <v>0</v>
      </c>
      <c r="BC12" s="58">
        <f ca="1">+SUMIF('Monthly Cohorts'!$E$178:'Monthly Cohorts'!$E$341,$D12,'Monthly Cohorts'!BC$178:'Monthly Cohorts'!BC$341)</f>
        <v>0</v>
      </c>
      <c r="BD12" s="58">
        <f ca="1">+SUMIF('Monthly Cohorts'!$E$178:'Monthly Cohorts'!$E$341,$D12,'Monthly Cohorts'!BD$178:'Monthly Cohorts'!BD$341)</f>
        <v>0</v>
      </c>
      <c r="BE12" s="58">
        <f ca="1">+SUMIF('Monthly Cohorts'!$E$178:'Monthly Cohorts'!$E$341,$D12,'Monthly Cohorts'!BE$178:'Monthly Cohorts'!BE$341)</f>
        <v>0</v>
      </c>
      <c r="BF12" s="58">
        <f ca="1">+SUMIF('Monthly Cohorts'!$E$178:'Monthly Cohorts'!$E$341,$D12,'Monthly Cohorts'!BF$178:'Monthly Cohorts'!BF$341)</f>
        <v>0</v>
      </c>
      <c r="BG12" s="58">
        <f ca="1">+SUMIF('Monthly Cohorts'!$E$178:'Monthly Cohorts'!$E$341,$D12,'Monthly Cohorts'!BG$178:'Monthly Cohorts'!BG$341)</f>
        <v>0</v>
      </c>
      <c r="BH12" s="58">
        <f ca="1">+SUMIF('Monthly Cohorts'!$E$178:'Monthly Cohorts'!$E$341,$D12,'Monthly Cohorts'!BH$178:'Monthly Cohorts'!BH$341)</f>
        <v>0</v>
      </c>
      <c r="BI12" s="58">
        <f ca="1">+SUMIF('Monthly Cohorts'!$E$178:'Monthly Cohorts'!$E$341,$D12,'Monthly Cohorts'!BI$178:'Monthly Cohorts'!BI$341)</f>
        <v>0</v>
      </c>
      <c r="BJ12" s="58">
        <f ca="1">+SUMIF('Monthly Cohorts'!$E$178:'Monthly Cohorts'!$E$341,$D12,'Monthly Cohorts'!BJ$178:'Monthly Cohorts'!BJ$341)</f>
        <v>0</v>
      </c>
      <c r="BK12" s="58">
        <f ca="1">+SUMIF('Monthly Cohorts'!$E$178:'Monthly Cohorts'!$E$341,$D12,'Monthly Cohorts'!BK$178:'Monthly Cohorts'!BK$341)</f>
        <v>0</v>
      </c>
      <c r="BL12" s="58">
        <f ca="1">+SUMIF('Monthly Cohorts'!$E$178:'Monthly Cohorts'!$E$341,$D12,'Monthly Cohorts'!BL$178:'Monthly Cohorts'!BL$341)</f>
        <v>0</v>
      </c>
      <c r="BM12" s="58">
        <f ca="1">+SUMIF('Monthly Cohorts'!$E$178:'Monthly Cohorts'!$E$341,$D12,'Monthly Cohorts'!BM$178:'Monthly Cohorts'!BM$341)</f>
        <v>0</v>
      </c>
      <c r="BN12" s="58">
        <f ca="1">+SUMIF('Monthly Cohorts'!$E$178:'Monthly Cohorts'!$E$341,$D12,'Monthly Cohorts'!BN$178:'Monthly Cohorts'!BN$341)</f>
        <v>0</v>
      </c>
      <c r="BO12" s="58">
        <f ca="1">+SUMIF('Monthly Cohorts'!$E$178:'Monthly Cohorts'!$E$341,$D12,'Monthly Cohorts'!BO$178:'Monthly Cohorts'!BO$341)</f>
        <v>0</v>
      </c>
      <c r="BP12" s="58">
        <f ca="1">+SUMIF('Monthly Cohorts'!$E$178:'Monthly Cohorts'!$E$341,$D12,'Monthly Cohorts'!BP$178:'Monthly Cohorts'!BP$341)</f>
        <v>0</v>
      </c>
      <c r="BQ12" s="58">
        <f ca="1">+SUMIF('Monthly Cohorts'!$E$178:'Monthly Cohorts'!$E$341,$D12,'Monthly Cohorts'!BQ$178:'Monthly Cohorts'!BQ$341)</f>
        <v>0</v>
      </c>
      <c r="BR12" s="58">
        <f ca="1">+SUMIF('Monthly Cohorts'!$E$178:'Monthly Cohorts'!$E$341,$D12,'Monthly Cohorts'!BR$178:'Monthly Cohorts'!BR$341)</f>
        <v>0</v>
      </c>
      <c r="BS12" s="58">
        <f ca="1">+SUMIF('Monthly Cohorts'!$E$178:'Monthly Cohorts'!$E$341,$D12,'Monthly Cohorts'!BS$178:'Monthly Cohorts'!BS$341)</f>
        <v>0</v>
      </c>
      <c r="BT12" s="58">
        <f ca="1">+SUMIF('Monthly Cohorts'!$E$178:'Monthly Cohorts'!$E$341,$D12,'Monthly Cohorts'!BT$178:'Monthly Cohorts'!BT$341)</f>
        <v>0</v>
      </c>
      <c r="BU12" s="58">
        <f ca="1">+SUMIF('Monthly Cohorts'!$E$178:'Monthly Cohorts'!$E$341,$D12,'Monthly Cohorts'!BU$178:'Monthly Cohorts'!BU$341)</f>
        <v>0</v>
      </c>
      <c r="BV12" s="58">
        <f ca="1">+SUMIF('Monthly Cohorts'!$E$178:'Monthly Cohorts'!$E$341,$D12,'Monthly Cohorts'!BV$178:'Monthly Cohorts'!BV$341)</f>
        <v>0</v>
      </c>
      <c r="BW12" s="58">
        <f ca="1">+SUMIF('Monthly Cohorts'!$E$178:'Monthly Cohorts'!$E$341,$D12,'Monthly Cohorts'!BW$178:'Monthly Cohorts'!BW$341)</f>
        <v>0</v>
      </c>
      <c r="BX12" s="58">
        <f ca="1">+SUMIF('Monthly Cohorts'!$E$178:'Monthly Cohorts'!$E$341,$D12,'Monthly Cohorts'!BX$178:'Monthly Cohorts'!BX$341)</f>
        <v>0</v>
      </c>
      <c r="BY12" s="58">
        <f ca="1">+SUMIF('Monthly Cohorts'!$E$178:'Monthly Cohorts'!$E$341,$D12,'Monthly Cohorts'!BY$178:'Monthly Cohorts'!BY$341)</f>
        <v>0</v>
      </c>
      <c r="BZ12" s="58">
        <f ca="1">+SUMIF('Monthly Cohorts'!$E$178:'Monthly Cohorts'!$E$341,$D12,'Monthly Cohorts'!BZ$178:'Monthly Cohorts'!BZ$341)</f>
        <v>0</v>
      </c>
      <c r="CA12" s="58">
        <f ca="1">+SUMIF('Monthly Cohorts'!$E$178:'Monthly Cohorts'!$E$341,$D12,'Monthly Cohorts'!CA$178:'Monthly Cohorts'!CA$341)</f>
        <v>0</v>
      </c>
      <c r="CB12" s="58">
        <f ca="1">+SUMIF('Monthly Cohorts'!$E$178:'Monthly Cohorts'!$E$341,$D12,'Monthly Cohorts'!CB$178:'Monthly Cohorts'!CB$341)</f>
        <v>0</v>
      </c>
      <c r="CC12" s="58">
        <f ca="1">+SUMIF('Monthly Cohorts'!$E$178:'Monthly Cohorts'!$E$341,$D12,'Monthly Cohorts'!CC$178:'Monthly Cohorts'!CC$341)</f>
        <v>0</v>
      </c>
      <c r="CD12" s="58">
        <f ca="1">+SUMIF('Monthly Cohorts'!$E$178:'Monthly Cohorts'!$E$341,$D12,'Monthly Cohorts'!CD$178:'Monthly Cohorts'!CD$341)</f>
        <v>0</v>
      </c>
      <c r="CE12" s="58">
        <f ca="1">+SUMIF('Monthly Cohorts'!$E$178:'Monthly Cohorts'!$E$341,$D12,'Monthly Cohorts'!CE$178:'Monthly Cohorts'!CE$341)</f>
        <v>0</v>
      </c>
      <c r="CF12" s="58">
        <f ca="1">+SUMIF('Monthly Cohorts'!$E$178:'Monthly Cohorts'!$E$341,$D12,'Monthly Cohorts'!CF$178:'Monthly Cohorts'!CF$341)</f>
        <v>0</v>
      </c>
      <c r="CG12" s="58">
        <f ca="1">+SUMIF('Monthly Cohorts'!$E$178:'Monthly Cohorts'!$E$341,$D12,'Monthly Cohorts'!CG$178:'Monthly Cohorts'!CG$341)</f>
        <v>0</v>
      </c>
      <c r="CH12" s="58">
        <f ca="1">+SUMIF('Monthly Cohorts'!$E$178:'Monthly Cohorts'!$E$341,$D12,'Monthly Cohorts'!CH$178:'Monthly Cohorts'!CH$341)</f>
        <v>0</v>
      </c>
      <c r="CI12" s="58">
        <f ca="1">+SUMIF('Monthly Cohorts'!$E$178:'Monthly Cohorts'!$E$341,$D12,'Monthly Cohorts'!CI$178:'Monthly Cohorts'!CI$341)</f>
        <v>0</v>
      </c>
      <c r="CJ12" s="58">
        <f ca="1">+SUMIF('Monthly Cohorts'!$E$178:'Monthly Cohorts'!$E$341,$D12,'Monthly Cohorts'!CJ$178:'Monthly Cohorts'!CJ$341)</f>
        <v>0</v>
      </c>
      <c r="CK12" s="58">
        <f ca="1">+SUMIF('Monthly Cohorts'!$E$178:'Monthly Cohorts'!$E$341,$D12,'Monthly Cohorts'!CK$178:'Monthly Cohorts'!CK$341)</f>
        <v>0</v>
      </c>
      <c r="CL12" s="58">
        <f ca="1">+SUMIF('Monthly Cohorts'!$E$178:'Monthly Cohorts'!$E$341,$D12,'Monthly Cohorts'!CL$178:'Monthly Cohorts'!CL$341)</f>
        <v>0</v>
      </c>
      <c r="CM12" s="58">
        <f ca="1">+SUMIF('Monthly Cohorts'!$E$178:'Monthly Cohorts'!$E$341,$D12,'Monthly Cohorts'!CM$178:'Monthly Cohorts'!CM$341)</f>
        <v>0</v>
      </c>
      <c r="CN12" s="58">
        <f ca="1">+SUMIF('Monthly Cohorts'!$E$178:'Monthly Cohorts'!$E$341,$D12,'Monthly Cohorts'!CN$178:'Monthly Cohorts'!CN$341)</f>
        <v>0</v>
      </c>
      <c r="CO12" s="58">
        <f ca="1">+SUMIF('Monthly Cohorts'!$E$178:'Monthly Cohorts'!$E$341,$D12,'Monthly Cohorts'!CO$178:'Monthly Cohorts'!CO$341)</f>
        <v>0</v>
      </c>
      <c r="CP12" s="58">
        <f ca="1">+SUMIF('Monthly Cohorts'!$E$178:'Monthly Cohorts'!$E$341,$D12,'Monthly Cohorts'!CP$178:'Monthly Cohorts'!CP$341)</f>
        <v>0</v>
      </c>
      <c r="CQ12" s="58">
        <f ca="1">+SUMIF('Monthly Cohorts'!$E$178:'Monthly Cohorts'!$E$341,$D12,'Monthly Cohorts'!CQ$178:'Monthly Cohorts'!CQ$341)</f>
        <v>0</v>
      </c>
      <c r="CR12" s="58">
        <f ca="1">+SUMIF('Monthly Cohorts'!$E$178:'Monthly Cohorts'!$E$341,$D12,'Monthly Cohorts'!CR$178:'Monthly Cohorts'!CR$341)</f>
        <v>0</v>
      </c>
      <c r="CS12" s="58">
        <f ca="1">+SUMIF('Monthly Cohorts'!$E$178:'Monthly Cohorts'!$E$341,$D12,'Monthly Cohorts'!CS$178:'Monthly Cohorts'!CS$341)</f>
        <v>0</v>
      </c>
      <c r="CT12" s="58">
        <f ca="1">+SUMIF('Monthly Cohorts'!$E$178:'Monthly Cohorts'!$E$341,$D12,'Monthly Cohorts'!CT$178:'Monthly Cohorts'!CT$341)</f>
        <v>0</v>
      </c>
      <c r="CU12" s="58">
        <f ca="1">+SUMIF('Monthly Cohorts'!$E$178:'Monthly Cohorts'!$E$341,$D12,'Monthly Cohorts'!CU$178:'Monthly Cohorts'!CU$341)</f>
        <v>0</v>
      </c>
      <c r="CV12" s="58">
        <f ca="1">+SUMIF('Monthly Cohorts'!$E$178:'Monthly Cohorts'!$E$341,$D12,'Monthly Cohorts'!CV$178:'Monthly Cohorts'!CV$341)</f>
        <v>0</v>
      </c>
      <c r="CW12" s="58">
        <f ca="1">+SUMIF('Monthly Cohorts'!$E$178:'Monthly Cohorts'!$E$341,$D12,'Monthly Cohorts'!CW$178:'Monthly Cohorts'!CW$341)</f>
        <v>0</v>
      </c>
      <c r="CX12" s="58">
        <f ca="1">+SUMIF('Monthly Cohorts'!$E$178:'Monthly Cohorts'!$E$341,$D12,'Monthly Cohorts'!CX$178:'Monthly Cohorts'!CX$341)</f>
        <v>0</v>
      </c>
      <c r="CY12" s="58">
        <f ca="1">+SUMIF('Monthly Cohorts'!$E$178:'Monthly Cohorts'!$E$341,$D12,'Monthly Cohorts'!CY$178:'Monthly Cohorts'!CY$341)</f>
        <v>0</v>
      </c>
      <c r="CZ12" s="58">
        <f ca="1">+SUMIF('Monthly Cohorts'!$E$178:'Monthly Cohorts'!$E$341,$D12,'Monthly Cohorts'!CZ$178:'Monthly Cohorts'!CZ$341)</f>
        <v>0</v>
      </c>
      <c r="DA12" s="58">
        <f ca="1">+SUMIF('Monthly Cohorts'!$E$178:'Monthly Cohorts'!$E$341,$D12,'Monthly Cohorts'!DA$178:'Monthly Cohorts'!DA$341)</f>
        <v>0</v>
      </c>
      <c r="DB12" s="58">
        <f ca="1">+SUMIF('Monthly Cohorts'!$E$178:'Monthly Cohorts'!$E$341,$D12,'Monthly Cohorts'!DB$178:'Monthly Cohorts'!DB$341)</f>
        <v>0</v>
      </c>
      <c r="DC12" s="58">
        <f ca="1">+SUMIF('Monthly Cohorts'!$E$178:'Monthly Cohorts'!$E$341,$D12,'Monthly Cohorts'!DC$178:'Monthly Cohorts'!DC$341)</f>
        <v>0</v>
      </c>
      <c r="DD12" s="58">
        <f ca="1">+SUMIF('Monthly Cohorts'!$E$178:'Monthly Cohorts'!$E$341,$D12,'Monthly Cohorts'!DD$178:'Monthly Cohorts'!DD$341)</f>
        <v>0</v>
      </c>
      <c r="DE12" s="58">
        <f ca="1">+SUMIF('Monthly Cohorts'!$E$178:'Monthly Cohorts'!$E$341,$D12,'Monthly Cohorts'!DE$178:'Monthly Cohorts'!DE$341)</f>
        <v>0</v>
      </c>
      <c r="DF12" s="58">
        <f ca="1">+SUMIF('Monthly Cohorts'!$E$178:'Monthly Cohorts'!$E$341,$D12,'Monthly Cohorts'!DF$178:'Monthly Cohorts'!DF$341)</f>
        <v>0</v>
      </c>
      <c r="DG12" s="58">
        <f ca="1">+SUMIF('Monthly Cohorts'!$E$178:'Monthly Cohorts'!$E$341,$D12,'Monthly Cohorts'!DG$178:'Monthly Cohorts'!DG$341)</f>
        <v>0</v>
      </c>
      <c r="DH12" s="58">
        <f ca="1">+SUMIF('Monthly Cohorts'!$E$178:'Monthly Cohorts'!$E$341,$D12,'Monthly Cohorts'!DH$178:'Monthly Cohorts'!DH$341)</f>
        <v>0</v>
      </c>
      <c r="DI12" s="58">
        <f ca="1">+SUMIF('Monthly Cohorts'!$E$178:'Monthly Cohorts'!$E$341,$D12,'Monthly Cohorts'!DI$178:'Monthly Cohorts'!DI$341)</f>
        <v>0</v>
      </c>
      <c r="DJ12" s="58">
        <f ca="1">+SUMIF('Monthly Cohorts'!$E$178:'Monthly Cohorts'!$E$341,$D12,'Monthly Cohorts'!DJ$178:'Monthly Cohorts'!DJ$341)</f>
        <v>0</v>
      </c>
      <c r="DK12" s="58">
        <f ca="1">+SUMIF('Monthly Cohorts'!$E$178:'Monthly Cohorts'!$E$341,$D12,'Monthly Cohorts'!DK$178:'Monthly Cohorts'!DK$341)</f>
        <v>0</v>
      </c>
      <c r="DL12" s="58">
        <f ca="1">+SUMIF('Monthly Cohorts'!$E$178:'Monthly Cohorts'!$E$341,$D12,'Monthly Cohorts'!DL$178:'Monthly Cohorts'!DL$341)</f>
        <v>0</v>
      </c>
      <c r="DM12" s="58">
        <f ca="1">+SUMIF('Monthly Cohorts'!$E$178:'Monthly Cohorts'!$E$341,$D12,'Monthly Cohorts'!DM$178:'Monthly Cohorts'!DM$341)</f>
        <v>0</v>
      </c>
      <c r="DN12" s="58">
        <f ca="1">+SUMIF('Monthly Cohorts'!$E$178:'Monthly Cohorts'!$E$341,$D12,'Monthly Cohorts'!DN$178:'Monthly Cohorts'!DN$341)</f>
        <v>0</v>
      </c>
      <c r="DO12" s="58">
        <f ca="1">+SUMIF('Monthly Cohorts'!$E$178:'Monthly Cohorts'!$E$341,$D12,'Monthly Cohorts'!DO$178:'Monthly Cohorts'!DO$341)</f>
        <v>0</v>
      </c>
      <c r="DP12" s="58">
        <f ca="1">+SUMIF('Monthly Cohorts'!$E$178:'Monthly Cohorts'!$E$341,$D12,'Monthly Cohorts'!DP$178:'Monthly Cohorts'!DP$341)</f>
        <v>0</v>
      </c>
      <c r="DQ12" s="58">
        <f ca="1">+SUMIF('Monthly Cohorts'!$E$178:'Monthly Cohorts'!$E$341,$D12,'Monthly Cohorts'!DQ$178:'Monthly Cohorts'!DQ$341)</f>
        <v>0</v>
      </c>
      <c r="DR12" s="58">
        <f ca="1">+SUMIF('Monthly Cohorts'!$E$178:'Monthly Cohorts'!$E$341,$D12,'Monthly Cohorts'!DR$178:'Monthly Cohorts'!DR$341)</f>
        <v>0</v>
      </c>
      <c r="DS12" s="58">
        <f ca="1">+SUMIF('Monthly Cohorts'!$E$178:'Monthly Cohorts'!$E$341,$D12,'Monthly Cohorts'!DS$178:'Monthly Cohorts'!DS$341)</f>
        <v>0</v>
      </c>
      <c r="DT12" s="58">
        <f ca="1">+SUMIF('Monthly Cohorts'!$E$178:'Monthly Cohorts'!$E$341,$D12,'Monthly Cohorts'!DT$178:'Monthly Cohorts'!DT$341)</f>
        <v>0</v>
      </c>
      <c r="DU12" s="58">
        <f ca="1">+SUMIF('Monthly Cohorts'!$E$178:'Monthly Cohorts'!$E$341,$D12,'Monthly Cohorts'!DU$178:'Monthly Cohorts'!DU$341)</f>
        <v>0</v>
      </c>
      <c r="DV12" s="58">
        <f ca="1">+SUMIF('Monthly Cohorts'!$E$178:'Monthly Cohorts'!$E$341,$D12,'Monthly Cohorts'!DV$178:'Monthly Cohorts'!DV$341)</f>
        <v>0</v>
      </c>
      <c r="DW12" s="58">
        <f ca="1">+SUMIF('Monthly Cohorts'!$E$178:'Monthly Cohorts'!$E$341,$D12,'Monthly Cohorts'!DW$178:'Monthly Cohorts'!DW$341)</f>
        <v>0</v>
      </c>
      <c r="DX12" s="58">
        <f ca="1">+SUMIF('Monthly Cohorts'!$E$178:'Monthly Cohorts'!$E$341,$D12,'Monthly Cohorts'!DX$178:'Monthly Cohorts'!DX$341)</f>
        <v>0</v>
      </c>
      <c r="DY12" s="58">
        <f ca="1">+SUMIF('Monthly Cohorts'!$E$178:'Monthly Cohorts'!$E$341,$D12,'Monthly Cohorts'!DY$178:'Monthly Cohorts'!DY$341)</f>
        <v>0</v>
      </c>
      <c r="DZ12" s="58">
        <f ca="1">+SUMIF('Monthly Cohorts'!$E$178:'Monthly Cohorts'!$E$341,$D12,'Monthly Cohorts'!DZ$178:'Monthly Cohorts'!DZ$341)</f>
        <v>0</v>
      </c>
      <c r="EA12" s="58">
        <f ca="1">+SUMIF('Monthly Cohorts'!$E$178:'Monthly Cohorts'!$E$341,$D12,'Monthly Cohorts'!EA$178:'Monthly Cohorts'!EA$341)</f>
        <v>0</v>
      </c>
      <c r="EB12" s="58">
        <f ca="1">+SUMIF('Monthly Cohorts'!$E$178:'Monthly Cohorts'!$E$341,$D12,'Monthly Cohorts'!EB$178:'Monthly Cohorts'!EB$341)</f>
        <v>0</v>
      </c>
      <c r="EC12" s="58">
        <f ca="1">+SUMIF('Monthly Cohorts'!$E$178:'Monthly Cohorts'!$E$341,$D12,'Monthly Cohorts'!EC$178:'Monthly Cohorts'!EC$341)</f>
        <v>0</v>
      </c>
      <c r="ED12" s="58">
        <f ca="1">+SUMIF('Monthly Cohorts'!$E$178:'Monthly Cohorts'!$E$341,$D12,'Monthly Cohorts'!ED$178:'Monthly Cohorts'!ED$341)</f>
        <v>0</v>
      </c>
      <c r="EE12" s="58">
        <f ca="1">+SUMIF('Monthly Cohorts'!$E$178:'Monthly Cohorts'!$E$341,$D12,'Monthly Cohorts'!EE$178:'Monthly Cohorts'!EE$341)</f>
        <v>0</v>
      </c>
      <c r="EF12" s="58">
        <f ca="1">+SUMIF('Monthly Cohorts'!$E$178:'Monthly Cohorts'!$E$341,$D12,'Monthly Cohorts'!EF$178:'Monthly Cohorts'!EF$341)</f>
        <v>0</v>
      </c>
      <c r="EG12" s="58">
        <f ca="1">+SUMIF('Monthly Cohorts'!$E$178:'Monthly Cohorts'!$E$341,$D12,'Monthly Cohorts'!EG$178:'Monthly Cohorts'!EG$341)</f>
        <v>0</v>
      </c>
      <c r="EH12" s="58">
        <f ca="1">+SUMIF('Monthly Cohorts'!$E$178:'Monthly Cohorts'!$E$341,$D12,'Monthly Cohorts'!EH$178:'Monthly Cohorts'!EH$341)</f>
        <v>0</v>
      </c>
      <c r="EI12" s="58">
        <f ca="1">+SUMIF('Monthly Cohorts'!$E$178:'Monthly Cohorts'!$E$341,$D12,'Monthly Cohorts'!EI$178:'Monthly Cohorts'!EI$341)</f>
        <v>0</v>
      </c>
      <c r="EJ12" s="58">
        <f ca="1">+SUMIF('Monthly Cohorts'!$E$178:'Monthly Cohorts'!$E$341,$D12,'Monthly Cohorts'!EJ$178:'Monthly Cohorts'!EJ$341)</f>
        <v>0</v>
      </c>
      <c r="EK12" s="58">
        <f ca="1">+SUMIF('Monthly Cohorts'!$E$178:'Monthly Cohorts'!$E$341,$D12,'Monthly Cohorts'!EK$178:'Monthly Cohorts'!EK$341)</f>
        <v>0</v>
      </c>
      <c r="EL12" s="58">
        <f ca="1">+SUMIF('Monthly Cohorts'!$E$178:'Monthly Cohorts'!$E$341,$D12,'Monthly Cohorts'!EL$178:'Monthly Cohorts'!EL$341)</f>
        <v>0</v>
      </c>
      <c r="EM12" s="58">
        <f ca="1">+SUMIF('Monthly Cohorts'!$E$178:'Monthly Cohorts'!$E$341,$D12,'Monthly Cohorts'!EM$178:'Monthly Cohorts'!EM$341)</f>
        <v>0</v>
      </c>
      <c r="EN12" s="58">
        <f ca="1">+SUMIF('Monthly Cohorts'!$E$178:'Monthly Cohorts'!$E$341,$D12,'Monthly Cohorts'!EN$178:'Monthly Cohorts'!EN$341)</f>
        <v>0</v>
      </c>
      <c r="EO12" s="58">
        <f ca="1">+SUMIF('Monthly Cohorts'!$E$178:'Monthly Cohorts'!$E$341,$D12,'Monthly Cohorts'!EO$178:'Monthly Cohorts'!EO$341)</f>
        <v>0</v>
      </c>
      <c r="EP12" s="58">
        <f ca="1">+SUMIF('Monthly Cohorts'!$E$178:'Monthly Cohorts'!$E$341,$D12,'Monthly Cohorts'!EP$178:'Monthly Cohorts'!EP$341)</f>
        <v>0</v>
      </c>
      <c r="EQ12" s="58">
        <f ca="1">+SUMIF('Monthly Cohorts'!$E$178:'Monthly Cohorts'!$E$341,$D12,'Monthly Cohorts'!EQ$178:'Monthly Cohorts'!EQ$341)</f>
        <v>0</v>
      </c>
      <c r="ER12" s="58">
        <f ca="1">+SUMIF('Monthly Cohorts'!$E$178:'Monthly Cohorts'!$E$341,$D12,'Monthly Cohorts'!ER$178:'Monthly Cohorts'!ER$341)</f>
        <v>0</v>
      </c>
      <c r="ES12" s="58">
        <f ca="1">+SUMIF('Monthly Cohorts'!$E$178:'Monthly Cohorts'!$E$341,$D12,'Monthly Cohorts'!ES$178:'Monthly Cohorts'!ES$341)</f>
        <v>0</v>
      </c>
      <c r="ET12" s="58">
        <f ca="1">+SUMIF('Monthly Cohorts'!$E$178:'Monthly Cohorts'!$E$341,$D12,'Monthly Cohorts'!ET$178:'Monthly Cohorts'!ET$341)</f>
        <v>0</v>
      </c>
      <c r="EU12" s="58">
        <f ca="1">+SUMIF('Monthly Cohorts'!$E$178:'Monthly Cohorts'!$E$341,$D12,'Monthly Cohorts'!EU$178:'Monthly Cohorts'!EU$341)</f>
        <v>0</v>
      </c>
      <c r="EV12" s="58">
        <f ca="1">+SUMIF('Monthly Cohorts'!$E$178:'Monthly Cohorts'!$E$341,$D12,'Monthly Cohorts'!EV$178:'Monthly Cohorts'!EV$341)</f>
        <v>0</v>
      </c>
      <c r="EW12" s="58">
        <f ca="1">+SUMIF('Monthly Cohorts'!$E$178:'Monthly Cohorts'!$E$341,$D12,'Monthly Cohorts'!EW$178:'Monthly Cohorts'!EW$341)</f>
        <v>0</v>
      </c>
      <c r="EX12" s="58">
        <f ca="1">+SUMIF('Monthly Cohorts'!$E$178:'Monthly Cohorts'!$E$341,$D12,'Monthly Cohorts'!EX$178:'Monthly Cohorts'!EX$341)</f>
        <v>0</v>
      </c>
      <c r="EY12" s="58">
        <f ca="1">+SUMIF('Monthly Cohorts'!$E$178:'Monthly Cohorts'!$E$341,$D12,'Monthly Cohorts'!EY$178:'Monthly Cohorts'!EY$341)</f>
        <v>0</v>
      </c>
      <c r="EZ12" s="58">
        <f ca="1">+SUMIF('Monthly Cohorts'!$E$178:'Monthly Cohorts'!$E$341,$D12,'Monthly Cohorts'!EZ$178:'Monthly Cohorts'!EZ$341)</f>
        <v>0</v>
      </c>
      <c r="FA12" s="58">
        <f ca="1">+SUMIF('Monthly Cohorts'!$E$178:'Monthly Cohorts'!$E$341,$D12,'Monthly Cohorts'!FA$178:'Monthly Cohorts'!FA$341)</f>
        <v>0</v>
      </c>
      <c r="FB12" s="58">
        <f ca="1">+SUMIF('Monthly Cohorts'!$E$178:'Monthly Cohorts'!$E$341,$D12,'Monthly Cohorts'!FB$178:'Monthly Cohorts'!FB$341)</f>
        <v>0</v>
      </c>
      <c r="FC12" s="58">
        <f ca="1">+SUMIF('Monthly Cohorts'!$E$178:'Monthly Cohorts'!$E$341,$D12,'Monthly Cohorts'!FC$178:'Monthly Cohorts'!FC$341)</f>
        <v>0</v>
      </c>
      <c r="FD12" s="58">
        <f ca="1">+SUMIF('Monthly Cohorts'!$E$178:'Monthly Cohorts'!$E$341,$D12,'Monthly Cohorts'!FD$178:'Monthly Cohorts'!FD$341)</f>
        <v>0</v>
      </c>
      <c r="FE12" s="58">
        <f ca="1">+SUMIF('Monthly Cohorts'!$E$178:'Monthly Cohorts'!$E$341,$D12,'Monthly Cohorts'!FE$178:'Monthly Cohorts'!FE$341)</f>
        <v>0</v>
      </c>
      <c r="FF12" s="58">
        <f ca="1">+SUMIF('Monthly Cohorts'!$E$178:'Monthly Cohorts'!$E$341,$D12,'Monthly Cohorts'!FF$178:'Monthly Cohorts'!FF$341)</f>
        <v>0</v>
      </c>
      <c r="FG12" s="58">
        <f ca="1">+SUMIF('Monthly Cohorts'!$E$178:'Monthly Cohorts'!$E$341,$D12,'Monthly Cohorts'!FG$178:'Monthly Cohorts'!FG$341)</f>
        <v>0</v>
      </c>
      <c r="FH12" s="58">
        <f ca="1">+SUMIF('Monthly Cohorts'!$E$178:'Monthly Cohorts'!$E$341,$D12,'Monthly Cohorts'!FH$178:'Monthly Cohorts'!FH$341)</f>
        <v>0</v>
      </c>
      <c r="FI12" s="58">
        <f ca="1">+SUMIF('Monthly Cohorts'!$E$178:'Monthly Cohorts'!$E$341,$D12,'Monthly Cohorts'!FI$178:'Monthly Cohorts'!FI$341)</f>
        <v>0</v>
      </c>
      <c r="FJ12" s="58">
        <f ca="1">+SUMIF('Monthly Cohorts'!$E$178:'Monthly Cohorts'!$E$341,$D12,'Monthly Cohorts'!FJ$178:'Monthly Cohorts'!FJ$341)</f>
        <v>0</v>
      </c>
      <c r="FK12" s="58">
        <f ca="1">+SUMIF('Monthly Cohorts'!$E$178:'Monthly Cohorts'!$E$341,$D12,'Monthly Cohorts'!FK$178:'Monthly Cohorts'!FK$341)</f>
        <v>0</v>
      </c>
      <c r="FL12" s="58">
        <f ca="1">+SUMIF('Monthly Cohorts'!$E$178:'Monthly Cohorts'!$E$341,$D12,'Monthly Cohorts'!FL$178:'Monthly Cohorts'!FL$341)</f>
        <v>0</v>
      </c>
      <c r="FM12" s="58">
        <f ca="1">+SUMIF('Monthly Cohorts'!$E$178:'Monthly Cohorts'!$E$341,$D12,'Monthly Cohorts'!FM$178:'Monthly Cohorts'!FM$341)</f>
        <v>0</v>
      </c>
      <c r="FN12" s="58">
        <f ca="1">+SUMIF('Monthly Cohorts'!$E$178:'Monthly Cohorts'!$E$341,$D12,'Monthly Cohorts'!FN$178:'Monthly Cohorts'!FN$341)</f>
        <v>0</v>
      </c>
      <c r="FO12" s="13"/>
    </row>
    <row r="13" spans="1:171" outlineLevel="1" x14ac:dyDescent="0.3">
      <c r="A13" s="13"/>
      <c r="B13" s="13"/>
      <c r="C13" s="13"/>
      <c r="D13" s="59">
        <f t="shared" si="11"/>
        <v>2013</v>
      </c>
      <c r="E13" s="25"/>
      <c r="F13" s="20"/>
      <c r="G13" s="58">
        <f ca="1">+SUMIF('Monthly Cohorts'!$E$178:'Monthly Cohorts'!$E$341,$D13,'Monthly Cohorts'!G$178:'Monthly Cohorts'!G$341)</f>
        <v>0</v>
      </c>
      <c r="H13" s="58">
        <f ca="1">+SUMIF('Monthly Cohorts'!$E$178:'Monthly Cohorts'!$E$341,$D13,'Monthly Cohorts'!H$178:'Monthly Cohorts'!H$341)</f>
        <v>0</v>
      </c>
      <c r="I13" s="58">
        <f ca="1">+SUMIF('Monthly Cohorts'!$E$178:'Monthly Cohorts'!$E$341,$D13,'Monthly Cohorts'!I$178:'Monthly Cohorts'!I$341)</f>
        <v>0</v>
      </c>
      <c r="J13" s="58">
        <f ca="1">+SUMIF('Monthly Cohorts'!$E$178:'Monthly Cohorts'!$E$341,$D13,'Monthly Cohorts'!J$178:'Monthly Cohorts'!J$341)</f>
        <v>0</v>
      </c>
      <c r="K13" s="58">
        <f ca="1">+SUMIF('Monthly Cohorts'!$E$178:'Monthly Cohorts'!$E$341,$D13,'Monthly Cohorts'!K$178:'Monthly Cohorts'!K$341)</f>
        <v>0</v>
      </c>
      <c r="L13" s="58">
        <f ca="1">+SUMIF('Monthly Cohorts'!$E$178:'Monthly Cohorts'!$E$341,$D13,'Monthly Cohorts'!L$178:'Monthly Cohorts'!L$341)</f>
        <v>0</v>
      </c>
      <c r="M13" s="58">
        <f ca="1">+SUMIF('Monthly Cohorts'!$E$178:'Monthly Cohorts'!$E$341,$D13,'Monthly Cohorts'!M$178:'Monthly Cohorts'!M$341)</f>
        <v>0</v>
      </c>
      <c r="N13" s="58">
        <f ca="1">+SUMIF('Monthly Cohorts'!$E$178:'Monthly Cohorts'!$E$341,$D13,'Monthly Cohorts'!N$178:'Monthly Cohorts'!N$341)</f>
        <v>0</v>
      </c>
      <c r="O13" s="58">
        <f ca="1">+SUMIF('Monthly Cohorts'!$E$178:'Monthly Cohorts'!$E$341,$D13,'Monthly Cohorts'!O$178:'Monthly Cohorts'!O$341)</f>
        <v>0</v>
      </c>
      <c r="P13" s="58">
        <f ca="1">+SUMIF('Monthly Cohorts'!$E$178:'Monthly Cohorts'!$E$341,$D13,'Monthly Cohorts'!P$178:'Monthly Cohorts'!P$341)</f>
        <v>0</v>
      </c>
      <c r="Q13" s="58">
        <f ca="1">+SUMIF('Monthly Cohorts'!$E$178:'Monthly Cohorts'!$E$341,$D13,'Monthly Cohorts'!Q$178:'Monthly Cohorts'!Q$341)</f>
        <v>0</v>
      </c>
      <c r="R13" s="58">
        <f ca="1">+SUMIF('Monthly Cohorts'!$E$178:'Monthly Cohorts'!$E$341,$D13,'Monthly Cohorts'!R$178:'Monthly Cohorts'!R$341)</f>
        <v>0</v>
      </c>
      <c r="S13" s="58">
        <f ca="1">+SUMIF('Monthly Cohorts'!$E$178:'Monthly Cohorts'!$E$341,$D13,'Monthly Cohorts'!S$178:'Monthly Cohorts'!S$341)</f>
        <v>0</v>
      </c>
      <c r="T13" s="58">
        <f ca="1">+SUMIF('Monthly Cohorts'!$E$178:'Monthly Cohorts'!$E$341,$D13,'Monthly Cohorts'!T$178:'Monthly Cohorts'!T$341)</f>
        <v>0</v>
      </c>
      <c r="U13" s="58">
        <f ca="1">+SUMIF('Monthly Cohorts'!$E$178:'Monthly Cohorts'!$E$341,$D13,'Monthly Cohorts'!U$178:'Monthly Cohorts'!U$341)</f>
        <v>0</v>
      </c>
      <c r="V13" s="58">
        <f ca="1">+SUMIF('Monthly Cohorts'!$E$178:'Monthly Cohorts'!$E$341,$D13,'Monthly Cohorts'!V$178:'Monthly Cohorts'!V$341)</f>
        <v>0</v>
      </c>
      <c r="W13" s="58">
        <f ca="1">+SUMIF('Monthly Cohorts'!$E$178:'Monthly Cohorts'!$E$341,$D13,'Monthly Cohorts'!W$178:'Monthly Cohorts'!W$341)</f>
        <v>0</v>
      </c>
      <c r="X13" s="58">
        <f ca="1">+SUMIF('Monthly Cohorts'!$E$178:'Monthly Cohorts'!$E$341,$D13,'Monthly Cohorts'!X$178:'Monthly Cohorts'!X$341)</f>
        <v>0</v>
      </c>
      <c r="Y13" s="58">
        <f ca="1">+SUMIF('Monthly Cohorts'!$E$178:'Monthly Cohorts'!$E$341,$D13,'Monthly Cohorts'!Y$178:'Monthly Cohorts'!Y$341)</f>
        <v>0</v>
      </c>
      <c r="Z13" s="58">
        <f ca="1">+SUMIF('Monthly Cohorts'!$E$178:'Monthly Cohorts'!$E$341,$D13,'Monthly Cohorts'!Z$178:'Monthly Cohorts'!Z$341)</f>
        <v>0</v>
      </c>
      <c r="AA13" s="58">
        <f ca="1">+SUMIF('Monthly Cohorts'!$E$178:'Monthly Cohorts'!$E$341,$D13,'Monthly Cohorts'!AA$178:'Monthly Cohorts'!AA$341)</f>
        <v>0</v>
      </c>
      <c r="AB13" s="58">
        <f ca="1">+SUMIF('Monthly Cohorts'!$E$178:'Monthly Cohorts'!$E$341,$D13,'Monthly Cohorts'!AB$178:'Monthly Cohorts'!AB$341)</f>
        <v>0</v>
      </c>
      <c r="AC13" s="58">
        <f ca="1">+SUMIF('Monthly Cohorts'!$E$178:'Monthly Cohorts'!$E$341,$D13,'Monthly Cohorts'!AC$178:'Monthly Cohorts'!AC$341)</f>
        <v>0</v>
      </c>
      <c r="AD13" s="58">
        <f ca="1">+SUMIF('Monthly Cohorts'!$E$178:'Monthly Cohorts'!$E$341,$D13,'Monthly Cohorts'!AD$178:'Monthly Cohorts'!AD$341)</f>
        <v>0</v>
      </c>
      <c r="AE13" s="58">
        <f ca="1">+SUMIF('Monthly Cohorts'!$E$178:'Monthly Cohorts'!$E$341,$D13,'Monthly Cohorts'!AE$178:'Monthly Cohorts'!AE$341)</f>
        <v>0</v>
      </c>
      <c r="AF13" s="58">
        <f ca="1">+SUMIF('Monthly Cohorts'!$E$178:'Monthly Cohorts'!$E$341,$D13,'Monthly Cohorts'!AF$178:'Monthly Cohorts'!AF$341)</f>
        <v>0</v>
      </c>
      <c r="AG13" s="58">
        <f ca="1">+SUMIF('Monthly Cohorts'!$E$178:'Monthly Cohorts'!$E$341,$D13,'Monthly Cohorts'!AG$178:'Monthly Cohorts'!AG$341)</f>
        <v>0</v>
      </c>
      <c r="AH13" s="58">
        <f ca="1">+SUMIF('Monthly Cohorts'!$E$178:'Monthly Cohorts'!$E$341,$D13,'Monthly Cohorts'!AH$178:'Monthly Cohorts'!AH$341)</f>
        <v>0</v>
      </c>
      <c r="AI13" s="58">
        <f ca="1">+SUMIF('Monthly Cohorts'!$E$178:'Monthly Cohorts'!$E$341,$D13,'Monthly Cohorts'!AI$178:'Monthly Cohorts'!AI$341)</f>
        <v>0</v>
      </c>
      <c r="AJ13" s="58">
        <f ca="1">+SUMIF('Monthly Cohorts'!$E$178:'Monthly Cohorts'!$E$341,$D13,'Monthly Cohorts'!AJ$178:'Monthly Cohorts'!AJ$341)</f>
        <v>0</v>
      </c>
      <c r="AK13" s="58">
        <f ca="1">+SUMIF('Monthly Cohorts'!$E$178:'Monthly Cohorts'!$E$341,$D13,'Monthly Cohorts'!AK$178:'Monthly Cohorts'!AK$341)</f>
        <v>0</v>
      </c>
      <c r="AL13" s="58">
        <f ca="1">+SUMIF('Monthly Cohorts'!$E$178:'Monthly Cohorts'!$E$341,$D13,'Monthly Cohorts'!AL$178:'Monthly Cohorts'!AL$341)</f>
        <v>0</v>
      </c>
      <c r="AM13" s="58">
        <f ca="1">+SUMIF('Monthly Cohorts'!$E$178:'Monthly Cohorts'!$E$341,$D13,'Monthly Cohorts'!AM$178:'Monthly Cohorts'!AM$341)</f>
        <v>0</v>
      </c>
      <c r="AN13" s="58">
        <f ca="1">+SUMIF('Monthly Cohorts'!$E$178:'Monthly Cohorts'!$E$341,$D13,'Monthly Cohorts'!AN$178:'Monthly Cohorts'!AN$341)</f>
        <v>0</v>
      </c>
      <c r="AO13" s="58">
        <f ca="1">+SUMIF('Monthly Cohorts'!$E$178:'Monthly Cohorts'!$E$341,$D13,'Monthly Cohorts'!AO$178:'Monthly Cohorts'!AO$341)</f>
        <v>0</v>
      </c>
      <c r="AP13" s="58">
        <f ca="1">+SUMIF('Monthly Cohorts'!$E$178:'Monthly Cohorts'!$E$341,$D13,'Monthly Cohorts'!AP$178:'Monthly Cohorts'!AP$341)</f>
        <v>0</v>
      </c>
      <c r="AQ13" s="58">
        <f ca="1">+SUMIF('Monthly Cohorts'!$E$178:'Monthly Cohorts'!$E$341,$D13,'Monthly Cohorts'!AQ$178:'Monthly Cohorts'!AQ$341)</f>
        <v>0</v>
      </c>
      <c r="AR13" s="58">
        <f ca="1">+SUMIF('Monthly Cohorts'!$E$178:'Monthly Cohorts'!$E$341,$D13,'Monthly Cohorts'!AR$178:'Monthly Cohorts'!AR$341)</f>
        <v>0</v>
      </c>
      <c r="AS13" s="58">
        <f ca="1">+SUMIF('Monthly Cohorts'!$E$178:'Monthly Cohorts'!$E$341,$D13,'Monthly Cohorts'!AS$178:'Monthly Cohorts'!AS$341)</f>
        <v>0</v>
      </c>
      <c r="AT13" s="58">
        <f ca="1">+SUMIF('Monthly Cohorts'!$E$178:'Monthly Cohorts'!$E$341,$D13,'Monthly Cohorts'!AT$178:'Monthly Cohorts'!AT$341)</f>
        <v>0</v>
      </c>
      <c r="AU13" s="58">
        <f ca="1">+SUMIF('Monthly Cohorts'!$E$178:'Monthly Cohorts'!$E$341,$D13,'Monthly Cohorts'!AU$178:'Monthly Cohorts'!AU$341)</f>
        <v>0</v>
      </c>
      <c r="AV13" s="58">
        <f ca="1">+SUMIF('Monthly Cohorts'!$E$178:'Monthly Cohorts'!$E$341,$D13,'Monthly Cohorts'!AV$178:'Monthly Cohorts'!AV$341)</f>
        <v>0</v>
      </c>
      <c r="AW13" s="58">
        <f ca="1">+SUMIF('Monthly Cohorts'!$E$178:'Monthly Cohorts'!$E$341,$D13,'Monthly Cohorts'!AW$178:'Monthly Cohorts'!AW$341)</f>
        <v>0</v>
      </c>
      <c r="AX13" s="58">
        <f ca="1">+SUMIF('Monthly Cohorts'!$E$178:'Monthly Cohorts'!$E$341,$D13,'Monthly Cohorts'!AX$178:'Monthly Cohorts'!AX$341)</f>
        <v>0</v>
      </c>
      <c r="AY13" s="58">
        <f ca="1">+SUMIF('Monthly Cohorts'!$E$178:'Monthly Cohorts'!$E$341,$D13,'Monthly Cohorts'!AY$178:'Monthly Cohorts'!AY$341)</f>
        <v>0</v>
      </c>
      <c r="AZ13" s="58">
        <f ca="1">+SUMIF('Monthly Cohorts'!$E$178:'Monthly Cohorts'!$E$341,$D13,'Monthly Cohorts'!AZ$178:'Monthly Cohorts'!AZ$341)</f>
        <v>0</v>
      </c>
      <c r="BA13" s="58">
        <f ca="1">+SUMIF('Monthly Cohorts'!$E$178:'Monthly Cohorts'!$E$341,$D13,'Monthly Cohorts'!BA$178:'Monthly Cohorts'!BA$341)</f>
        <v>0</v>
      </c>
      <c r="BB13" s="58">
        <f ca="1">+SUMIF('Monthly Cohorts'!$E$178:'Monthly Cohorts'!$E$341,$D13,'Monthly Cohorts'!BB$178:'Monthly Cohorts'!BB$341)</f>
        <v>0</v>
      </c>
      <c r="BC13" s="58">
        <f ca="1">+SUMIF('Monthly Cohorts'!$E$178:'Monthly Cohorts'!$E$341,$D13,'Monthly Cohorts'!BC$178:'Monthly Cohorts'!BC$341)</f>
        <v>0</v>
      </c>
      <c r="BD13" s="58">
        <f ca="1">+SUMIF('Monthly Cohorts'!$E$178:'Monthly Cohorts'!$E$341,$D13,'Monthly Cohorts'!BD$178:'Monthly Cohorts'!BD$341)</f>
        <v>0</v>
      </c>
      <c r="BE13" s="58">
        <f ca="1">+SUMIF('Monthly Cohorts'!$E$178:'Monthly Cohorts'!$E$341,$D13,'Monthly Cohorts'!BE$178:'Monthly Cohorts'!BE$341)</f>
        <v>0</v>
      </c>
      <c r="BF13" s="58">
        <f ca="1">+SUMIF('Monthly Cohorts'!$E$178:'Monthly Cohorts'!$E$341,$D13,'Monthly Cohorts'!BF$178:'Monthly Cohorts'!BF$341)</f>
        <v>0</v>
      </c>
      <c r="BG13" s="58">
        <f ca="1">+SUMIF('Monthly Cohorts'!$E$178:'Monthly Cohorts'!$E$341,$D13,'Monthly Cohorts'!BG$178:'Monthly Cohorts'!BG$341)</f>
        <v>0</v>
      </c>
      <c r="BH13" s="58">
        <f ca="1">+SUMIF('Monthly Cohorts'!$E$178:'Monthly Cohorts'!$E$341,$D13,'Monthly Cohorts'!BH$178:'Monthly Cohorts'!BH$341)</f>
        <v>0</v>
      </c>
      <c r="BI13" s="58">
        <f ca="1">+SUMIF('Monthly Cohorts'!$E$178:'Monthly Cohorts'!$E$341,$D13,'Monthly Cohorts'!BI$178:'Monthly Cohorts'!BI$341)</f>
        <v>0</v>
      </c>
      <c r="BJ13" s="58">
        <f ca="1">+SUMIF('Monthly Cohorts'!$E$178:'Monthly Cohorts'!$E$341,$D13,'Monthly Cohorts'!BJ$178:'Monthly Cohorts'!BJ$341)</f>
        <v>0</v>
      </c>
      <c r="BK13" s="58">
        <f ca="1">+SUMIF('Monthly Cohorts'!$E$178:'Monthly Cohorts'!$E$341,$D13,'Monthly Cohorts'!BK$178:'Monthly Cohorts'!BK$341)</f>
        <v>0</v>
      </c>
      <c r="BL13" s="58">
        <f ca="1">+SUMIF('Monthly Cohorts'!$E$178:'Monthly Cohorts'!$E$341,$D13,'Monthly Cohorts'!BL$178:'Monthly Cohorts'!BL$341)</f>
        <v>0</v>
      </c>
      <c r="BM13" s="58">
        <f ca="1">+SUMIF('Monthly Cohorts'!$E$178:'Monthly Cohorts'!$E$341,$D13,'Monthly Cohorts'!BM$178:'Monthly Cohorts'!BM$341)</f>
        <v>0</v>
      </c>
      <c r="BN13" s="58">
        <f ca="1">+SUMIF('Monthly Cohorts'!$E$178:'Monthly Cohorts'!$E$341,$D13,'Monthly Cohorts'!BN$178:'Monthly Cohorts'!BN$341)</f>
        <v>0</v>
      </c>
      <c r="BO13" s="58">
        <f ca="1">+SUMIF('Monthly Cohorts'!$E$178:'Monthly Cohorts'!$E$341,$D13,'Monthly Cohorts'!BO$178:'Monthly Cohorts'!BO$341)</f>
        <v>0</v>
      </c>
      <c r="BP13" s="58">
        <f ca="1">+SUMIF('Monthly Cohorts'!$E$178:'Monthly Cohorts'!$E$341,$D13,'Monthly Cohorts'!BP$178:'Monthly Cohorts'!BP$341)</f>
        <v>0</v>
      </c>
      <c r="BQ13" s="58">
        <f ca="1">+SUMIF('Monthly Cohorts'!$E$178:'Monthly Cohorts'!$E$341,$D13,'Monthly Cohorts'!BQ$178:'Monthly Cohorts'!BQ$341)</f>
        <v>0</v>
      </c>
      <c r="BR13" s="58">
        <f ca="1">+SUMIF('Monthly Cohorts'!$E$178:'Monthly Cohorts'!$E$341,$D13,'Monthly Cohorts'!BR$178:'Monthly Cohorts'!BR$341)</f>
        <v>0</v>
      </c>
      <c r="BS13" s="58">
        <f ca="1">+SUMIF('Monthly Cohorts'!$E$178:'Monthly Cohorts'!$E$341,$D13,'Monthly Cohorts'!BS$178:'Monthly Cohorts'!BS$341)</f>
        <v>0</v>
      </c>
      <c r="BT13" s="58">
        <f ca="1">+SUMIF('Monthly Cohorts'!$E$178:'Monthly Cohorts'!$E$341,$D13,'Monthly Cohorts'!BT$178:'Monthly Cohorts'!BT$341)</f>
        <v>0</v>
      </c>
      <c r="BU13" s="58">
        <f ca="1">+SUMIF('Monthly Cohorts'!$E$178:'Monthly Cohorts'!$E$341,$D13,'Monthly Cohorts'!BU$178:'Monthly Cohorts'!BU$341)</f>
        <v>0</v>
      </c>
      <c r="BV13" s="58">
        <f ca="1">+SUMIF('Monthly Cohorts'!$E$178:'Monthly Cohorts'!$E$341,$D13,'Monthly Cohorts'!BV$178:'Monthly Cohorts'!BV$341)</f>
        <v>0</v>
      </c>
      <c r="BW13" s="58">
        <f ca="1">+SUMIF('Monthly Cohorts'!$E$178:'Monthly Cohorts'!$E$341,$D13,'Monthly Cohorts'!BW$178:'Monthly Cohorts'!BW$341)</f>
        <v>0</v>
      </c>
      <c r="BX13" s="58">
        <f ca="1">+SUMIF('Monthly Cohorts'!$E$178:'Monthly Cohorts'!$E$341,$D13,'Monthly Cohorts'!BX$178:'Monthly Cohorts'!BX$341)</f>
        <v>0</v>
      </c>
      <c r="BY13" s="58">
        <f ca="1">+SUMIF('Monthly Cohorts'!$E$178:'Monthly Cohorts'!$E$341,$D13,'Monthly Cohorts'!BY$178:'Monthly Cohorts'!BY$341)</f>
        <v>0</v>
      </c>
      <c r="BZ13" s="58">
        <f ca="1">+SUMIF('Monthly Cohorts'!$E$178:'Monthly Cohorts'!$E$341,$D13,'Monthly Cohorts'!BZ$178:'Monthly Cohorts'!BZ$341)</f>
        <v>0</v>
      </c>
      <c r="CA13" s="58">
        <f ca="1">+SUMIF('Monthly Cohorts'!$E$178:'Monthly Cohorts'!$E$341,$D13,'Monthly Cohorts'!CA$178:'Monthly Cohorts'!CA$341)</f>
        <v>0</v>
      </c>
      <c r="CB13" s="58">
        <f ca="1">+SUMIF('Monthly Cohorts'!$E$178:'Monthly Cohorts'!$E$341,$D13,'Monthly Cohorts'!CB$178:'Monthly Cohorts'!CB$341)</f>
        <v>0</v>
      </c>
      <c r="CC13" s="58">
        <f ca="1">+SUMIF('Monthly Cohorts'!$E$178:'Monthly Cohorts'!$E$341,$D13,'Monthly Cohorts'!CC$178:'Monthly Cohorts'!CC$341)</f>
        <v>0</v>
      </c>
      <c r="CD13" s="58">
        <f ca="1">+SUMIF('Monthly Cohorts'!$E$178:'Monthly Cohorts'!$E$341,$D13,'Monthly Cohorts'!CD$178:'Monthly Cohorts'!CD$341)</f>
        <v>0</v>
      </c>
      <c r="CE13" s="58">
        <f ca="1">+SUMIF('Monthly Cohorts'!$E$178:'Monthly Cohorts'!$E$341,$D13,'Monthly Cohorts'!CE$178:'Monthly Cohorts'!CE$341)</f>
        <v>0</v>
      </c>
      <c r="CF13" s="58">
        <f ca="1">+SUMIF('Monthly Cohorts'!$E$178:'Monthly Cohorts'!$E$341,$D13,'Monthly Cohorts'!CF$178:'Monthly Cohorts'!CF$341)</f>
        <v>0</v>
      </c>
      <c r="CG13" s="58">
        <f ca="1">+SUMIF('Monthly Cohorts'!$E$178:'Monthly Cohorts'!$E$341,$D13,'Monthly Cohorts'!CG$178:'Monthly Cohorts'!CG$341)</f>
        <v>0</v>
      </c>
      <c r="CH13" s="58">
        <f ca="1">+SUMIF('Monthly Cohorts'!$E$178:'Monthly Cohorts'!$E$341,$D13,'Monthly Cohorts'!CH$178:'Monthly Cohorts'!CH$341)</f>
        <v>0</v>
      </c>
      <c r="CI13" s="58">
        <f ca="1">+SUMIF('Monthly Cohorts'!$E$178:'Monthly Cohorts'!$E$341,$D13,'Monthly Cohorts'!CI$178:'Monthly Cohorts'!CI$341)</f>
        <v>0</v>
      </c>
      <c r="CJ13" s="58">
        <f ca="1">+SUMIF('Monthly Cohorts'!$E$178:'Monthly Cohorts'!$E$341,$D13,'Monthly Cohorts'!CJ$178:'Monthly Cohorts'!CJ$341)</f>
        <v>0</v>
      </c>
      <c r="CK13" s="58">
        <f ca="1">+SUMIF('Monthly Cohorts'!$E$178:'Monthly Cohorts'!$E$341,$D13,'Monthly Cohorts'!CK$178:'Monthly Cohorts'!CK$341)</f>
        <v>0</v>
      </c>
      <c r="CL13" s="58">
        <f ca="1">+SUMIF('Monthly Cohorts'!$E$178:'Monthly Cohorts'!$E$341,$D13,'Monthly Cohorts'!CL$178:'Monthly Cohorts'!CL$341)</f>
        <v>0</v>
      </c>
      <c r="CM13" s="58">
        <f ca="1">+SUMIF('Monthly Cohorts'!$E$178:'Monthly Cohorts'!$E$341,$D13,'Monthly Cohorts'!CM$178:'Monthly Cohorts'!CM$341)</f>
        <v>0</v>
      </c>
      <c r="CN13" s="58">
        <f ca="1">+SUMIF('Monthly Cohorts'!$E$178:'Monthly Cohorts'!$E$341,$D13,'Monthly Cohorts'!CN$178:'Monthly Cohorts'!CN$341)</f>
        <v>0</v>
      </c>
      <c r="CO13" s="58">
        <f ca="1">+SUMIF('Monthly Cohorts'!$E$178:'Monthly Cohorts'!$E$341,$D13,'Monthly Cohorts'!CO$178:'Monthly Cohorts'!CO$341)</f>
        <v>0</v>
      </c>
      <c r="CP13" s="58">
        <f ca="1">+SUMIF('Monthly Cohorts'!$E$178:'Monthly Cohorts'!$E$341,$D13,'Monthly Cohorts'!CP$178:'Monthly Cohorts'!CP$341)</f>
        <v>0</v>
      </c>
      <c r="CQ13" s="58">
        <f ca="1">+SUMIF('Monthly Cohorts'!$E$178:'Monthly Cohorts'!$E$341,$D13,'Monthly Cohorts'!CQ$178:'Monthly Cohorts'!CQ$341)</f>
        <v>0</v>
      </c>
      <c r="CR13" s="58">
        <f ca="1">+SUMIF('Monthly Cohorts'!$E$178:'Monthly Cohorts'!$E$341,$D13,'Monthly Cohorts'!CR$178:'Monthly Cohorts'!CR$341)</f>
        <v>0</v>
      </c>
      <c r="CS13" s="58">
        <f ca="1">+SUMIF('Monthly Cohorts'!$E$178:'Monthly Cohorts'!$E$341,$D13,'Monthly Cohorts'!CS$178:'Monthly Cohorts'!CS$341)</f>
        <v>0</v>
      </c>
      <c r="CT13" s="58">
        <f ca="1">+SUMIF('Monthly Cohorts'!$E$178:'Monthly Cohorts'!$E$341,$D13,'Monthly Cohorts'!CT$178:'Monthly Cohorts'!CT$341)</f>
        <v>0</v>
      </c>
      <c r="CU13" s="58">
        <f ca="1">+SUMIF('Monthly Cohorts'!$E$178:'Monthly Cohorts'!$E$341,$D13,'Monthly Cohorts'!CU$178:'Monthly Cohorts'!CU$341)</f>
        <v>0</v>
      </c>
      <c r="CV13" s="58">
        <f ca="1">+SUMIF('Monthly Cohorts'!$E$178:'Monthly Cohorts'!$E$341,$D13,'Monthly Cohorts'!CV$178:'Monthly Cohorts'!CV$341)</f>
        <v>0</v>
      </c>
      <c r="CW13" s="58">
        <f ca="1">+SUMIF('Monthly Cohorts'!$E$178:'Monthly Cohorts'!$E$341,$D13,'Monthly Cohorts'!CW$178:'Monthly Cohorts'!CW$341)</f>
        <v>0</v>
      </c>
      <c r="CX13" s="58">
        <f ca="1">+SUMIF('Monthly Cohorts'!$E$178:'Monthly Cohorts'!$E$341,$D13,'Monthly Cohorts'!CX$178:'Monthly Cohorts'!CX$341)</f>
        <v>0</v>
      </c>
      <c r="CY13" s="58">
        <f ca="1">+SUMIF('Monthly Cohorts'!$E$178:'Monthly Cohorts'!$E$341,$D13,'Monthly Cohorts'!CY$178:'Monthly Cohorts'!CY$341)</f>
        <v>0</v>
      </c>
      <c r="CZ13" s="58">
        <f ca="1">+SUMIF('Monthly Cohorts'!$E$178:'Monthly Cohorts'!$E$341,$D13,'Monthly Cohorts'!CZ$178:'Monthly Cohorts'!CZ$341)</f>
        <v>0</v>
      </c>
      <c r="DA13" s="58">
        <f ca="1">+SUMIF('Monthly Cohorts'!$E$178:'Monthly Cohorts'!$E$341,$D13,'Monthly Cohorts'!DA$178:'Monthly Cohorts'!DA$341)</f>
        <v>0</v>
      </c>
      <c r="DB13" s="58">
        <f ca="1">+SUMIF('Monthly Cohorts'!$E$178:'Monthly Cohorts'!$E$341,$D13,'Monthly Cohorts'!DB$178:'Monthly Cohorts'!DB$341)</f>
        <v>0</v>
      </c>
      <c r="DC13" s="58">
        <f ca="1">+SUMIF('Monthly Cohorts'!$E$178:'Monthly Cohorts'!$E$341,$D13,'Monthly Cohorts'!DC$178:'Monthly Cohorts'!DC$341)</f>
        <v>0</v>
      </c>
      <c r="DD13" s="58">
        <f ca="1">+SUMIF('Monthly Cohorts'!$E$178:'Monthly Cohorts'!$E$341,$D13,'Monthly Cohorts'!DD$178:'Monthly Cohorts'!DD$341)</f>
        <v>0</v>
      </c>
      <c r="DE13" s="58">
        <f ca="1">+SUMIF('Monthly Cohorts'!$E$178:'Monthly Cohorts'!$E$341,$D13,'Monthly Cohorts'!DE$178:'Monthly Cohorts'!DE$341)</f>
        <v>0</v>
      </c>
      <c r="DF13" s="58">
        <f ca="1">+SUMIF('Monthly Cohorts'!$E$178:'Monthly Cohorts'!$E$341,$D13,'Monthly Cohorts'!DF$178:'Monthly Cohorts'!DF$341)</f>
        <v>0</v>
      </c>
      <c r="DG13" s="58">
        <f ca="1">+SUMIF('Monthly Cohorts'!$E$178:'Monthly Cohorts'!$E$341,$D13,'Monthly Cohorts'!DG$178:'Monthly Cohorts'!DG$341)</f>
        <v>0</v>
      </c>
      <c r="DH13" s="58">
        <f ca="1">+SUMIF('Monthly Cohorts'!$E$178:'Monthly Cohorts'!$E$341,$D13,'Monthly Cohorts'!DH$178:'Monthly Cohorts'!DH$341)</f>
        <v>0</v>
      </c>
      <c r="DI13" s="58">
        <f ca="1">+SUMIF('Monthly Cohorts'!$E$178:'Monthly Cohorts'!$E$341,$D13,'Monthly Cohorts'!DI$178:'Monthly Cohorts'!DI$341)</f>
        <v>0</v>
      </c>
      <c r="DJ13" s="58">
        <f ca="1">+SUMIF('Monthly Cohorts'!$E$178:'Monthly Cohorts'!$E$341,$D13,'Monthly Cohorts'!DJ$178:'Monthly Cohorts'!DJ$341)</f>
        <v>0</v>
      </c>
      <c r="DK13" s="58">
        <f ca="1">+SUMIF('Monthly Cohorts'!$E$178:'Monthly Cohorts'!$E$341,$D13,'Monthly Cohorts'!DK$178:'Monthly Cohorts'!DK$341)</f>
        <v>0</v>
      </c>
      <c r="DL13" s="58">
        <f ca="1">+SUMIF('Monthly Cohorts'!$E$178:'Monthly Cohorts'!$E$341,$D13,'Monthly Cohorts'!DL$178:'Monthly Cohorts'!DL$341)</f>
        <v>0</v>
      </c>
      <c r="DM13" s="58">
        <f ca="1">+SUMIF('Monthly Cohorts'!$E$178:'Monthly Cohorts'!$E$341,$D13,'Monthly Cohorts'!DM$178:'Monthly Cohorts'!DM$341)</f>
        <v>0</v>
      </c>
      <c r="DN13" s="58">
        <f ca="1">+SUMIF('Monthly Cohorts'!$E$178:'Monthly Cohorts'!$E$341,$D13,'Monthly Cohorts'!DN$178:'Monthly Cohorts'!DN$341)</f>
        <v>0</v>
      </c>
      <c r="DO13" s="58">
        <f ca="1">+SUMIF('Monthly Cohorts'!$E$178:'Monthly Cohorts'!$E$341,$D13,'Monthly Cohorts'!DO$178:'Monthly Cohorts'!DO$341)</f>
        <v>0</v>
      </c>
      <c r="DP13" s="58">
        <f ca="1">+SUMIF('Monthly Cohorts'!$E$178:'Monthly Cohorts'!$E$341,$D13,'Monthly Cohorts'!DP$178:'Monthly Cohorts'!DP$341)</f>
        <v>0</v>
      </c>
      <c r="DQ13" s="58">
        <f ca="1">+SUMIF('Monthly Cohorts'!$E$178:'Monthly Cohorts'!$E$341,$D13,'Monthly Cohorts'!DQ$178:'Monthly Cohorts'!DQ$341)</f>
        <v>0</v>
      </c>
      <c r="DR13" s="58">
        <f ca="1">+SUMIF('Monthly Cohorts'!$E$178:'Monthly Cohorts'!$E$341,$D13,'Monthly Cohorts'!DR$178:'Monthly Cohorts'!DR$341)</f>
        <v>0</v>
      </c>
      <c r="DS13" s="58">
        <f ca="1">+SUMIF('Monthly Cohorts'!$E$178:'Monthly Cohorts'!$E$341,$D13,'Monthly Cohorts'!DS$178:'Monthly Cohorts'!DS$341)</f>
        <v>0</v>
      </c>
      <c r="DT13" s="58">
        <f ca="1">+SUMIF('Monthly Cohorts'!$E$178:'Monthly Cohorts'!$E$341,$D13,'Monthly Cohorts'!DT$178:'Monthly Cohorts'!DT$341)</f>
        <v>0</v>
      </c>
      <c r="DU13" s="58">
        <f ca="1">+SUMIF('Monthly Cohorts'!$E$178:'Monthly Cohorts'!$E$341,$D13,'Monthly Cohorts'!DU$178:'Monthly Cohorts'!DU$341)</f>
        <v>0</v>
      </c>
      <c r="DV13" s="58">
        <f ca="1">+SUMIF('Monthly Cohorts'!$E$178:'Monthly Cohorts'!$E$341,$D13,'Monthly Cohorts'!DV$178:'Monthly Cohorts'!DV$341)</f>
        <v>0</v>
      </c>
      <c r="DW13" s="58">
        <f ca="1">+SUMIF('Monthly Cohorts'!$E$178:'Monthly Cohorts'!$E$341,$D13,'Monthly Cohorts'!DW$178:'Monthly Cohorts'!DW$341)</f>
        <v>0</v>
      </c>
      <c r="DX13" s="58">
        <f ca="1">+SUMIF('Monthly Cohorts'!$E$178:'Monthly Cohorts'!$E$341,$D13,'Monthly Cohorts'!DX$178:'Monthly Cohorts'!DX$341)</f>
        <v>0</v>
      </c>
      <c r="DY13" s="58">
        <f ca="1">+SUMIF('Monthly Cohorts'!$E$178:'Monthly Cohorts'!$E$341,$D13,'Monthly Cohorts'!DY$178:'Monthly Cohorts'!DY$341)</f>
        <v>0</v>
      </c>
      <c r="DZ13" s="58">
        <f ca="1">+SUMIF('Monthly Cohorts'!$E$178:'Monthly Cohorts'!$E$341,$D13,'Monthly Cohorts'!DZ$178:'Monthly Cohorts'!DZ$341)</f>
        <v>0</v>
      </c>
      <c r="EA13" s="58">
        <f ca="1">+SUMIF('Monthly Cohorts'!$E$178:'Monthly Cohorts'!$E$341,$D13,'Monthly Cohorts'!EA$178:'Monthly Cohorts'!EA$341)</f>
        <v>0</v>
      </c>
      <c r="EB13" s="58">
        <f ca="1">+SUMIF('Monthly Cohorts'!$E$178:'Monthly Cohorts'!$E$341,$D13,'Monthly Cohorts'!EB$178:'Monthly Cohorts'!EB$341)</f>
        <v>0</v>
      </c>
      <c r="EC13" s="58">
        <f ca="1">+SUMIF('Monthly Cohorts'!$E$178:'Monthly Cohorts'!$E$341,$D13,'Monthly Cohorts'!EC$178:'Monthly Cohorts'!EC$341)</f>
        <v>0</v>
      </c>
      <c r="ED13" s="58">
        <f ca="1">+SUMIF('Monthly Cohorts'!$E$178:'Monthly Cohorts'!$E$341,$D13,'Monthly Cohorts'!ED$178:'Monthly Cohorts'!ED$341)</f>
        <v>0</v>
      </c>
      <c r="EE13" s="58">
        <f ca="1">+SUMIF('Monthly Cohorts'!$E$178:'Monthly Cohorts'!$E$341,$D13,'Monthly Cohorts'!EE$178:'Monthly Cohorts'!EE$341)</f>
        <v>0</v>
      </c>
      <c r="EF13" s="58">
        <f ca="1">+SUMIF('Monthly Cohorts'!$E$178:'Monthly Cohorts'!$E$341,$D13,'Monthly Cohorts'!EF$178:'Monthly Cohorts'!EF$341)</f>
        <v>0</v>
      </c>
      <c r="EG13" s="58">
        <f ca="1">+SUMIF('Monthly Cohorts'!$E$178:'Monthly Cohorts'!$E$341,$D13,'Monthly Cohorts'!EG$178:'Monthly Cohorts'!EG$341)</f>
        <v>0</v>
      </c>
      <c r="EH13" s="58">
        <f ca="1">+SUMIF('Monthly Cohorts'!$E$178:'Monthly Cohorts'!$E$341,$D13,'Monthly Cohorts'!EH$178:'Monthly Cohorts'!EH$341)</f>
        <v>0</v>
      </c>
      <c r="EI13" s="58">
        <f ca="1">+SUMIF('Monthly Cohorts'!$E$178:'Monthly Cohorts'!$E$341,$D13,'Monthly Cohorts'!EI$178:'Monthly Cohorts'!EI$341)</f>
        <v>0</v>
      </c>
      <c r="EJ13" s="58">
        <f ca="1">+SUMIF('Monthly Cohorts'!$E$178:'Monthly Cohorts'!$E$341,$D13,'Monthly Cohorts'!EJ$178:'Monthly Cohorts'!EJ$341)</f>
        <v>0</v>
      </c>
      <c r="EK13" s="58">
        <f ca="1">+SUMIF('Monthly Cohorts'!$E$178:'Monthly Cohorts'!$E$341,$D13,'Monthly Cohorts'!EK$178:'Monthly Cohorts'!EK$341)</f>
        <v>0</v>
      </c>
      <c r="EL13" s="58">
        <f ca="1">+SUMIF('Monthly Cohorts'!$E$178:'Monthly Cohorts'!$E$341,$D13,'Monthly Cohorts'!EL$178:'Monthly Cohorts'!EL$341)</f>
        <v>0</v>
      </c>
      <c r="EM13" s="58">
        <f ca="1">+SUMIF('Monthly Cohorts'!$E$178:'Monthly Cohorts'!$E$341,$D13,'Monthly Cohorts'!EM$178:'Monthly Cohorts'!EM$341)</f>
        <v>0</v>
      </c>
      <c r="EN13" s="58">
        <f ca="1">+SUMIF('Monthly Cohorts'!$E$178:'Monthly Cohorts'!$E$341,$D13,'Monthly Cohorts'!EN$178:'Monthly Cohorts'!EN$341)</f>
        <v>0</v>
      </c>
      <c r="EO13" s="58">
        <f ca="1">+SUMIF('Monthly Cohorts'!$E$178:'Monthly Cohorts'!$E$341,$D13,'Monthly Cohorts'!EO$178:'Monthly Cohorts'!EO$341)</f>
        <v>0</v>
      </c>
      <c r="EP13" s="58">
        <f ca="1">+SUMIF('Monthly Cohorts'!$E$178:'Monthly Cohorts'!$E$341,$D13,'Monthly Cohorts'!EP$178:'Monthly Cohorts'!EP$341)</f>
        <v>0</v>
      </c>
      <c r="EQ13" s="58">
        <f ca="1">+SUMIF('Monthly Cohorts'!$E$178:'Monthly Cohorts'!$E$341,$D13,'Monthly Cohorts'!EQ$178:'Monthly Cohorts'!EQ$341)</f>
        <v>0</v>
      </c>
      <c r="ER13" s="58">
        <f ca="1">+SUMIF('Monthly Cohorts'!$E$178:'Monthly Cohorts'!$E$341,$D13,'Monthly Cohorts'!ER$178:'Monthly Cohorts'!ER$341)</f>
        <v>0</v>
      </c>
      <c r="ES13" s="58">
        <f ca="1">+SUMIF('Monthly Cohorts'!$E$178:'Monthly Cohorts'!$E$341,$D13,'Monthly Cohorts'!ES$178:'Monthly Cohorts'!ES$341)</f>
        <v>0</v>
      </c>
      <c r="ET13" s="58">
        <f ca="1">+SUMIF('Monthly Cohorts'!$E$178:'Monthly Cohorts'!$E$341,$D13,'Monthly Cohorts'!ET$178:'Monthly Cohorts'!ET$341)</f>
        <v>0</v>
      </c>
      <c r="EU13" s="58">
        <f ca="1">+SUMIF('Monthly Cohorts'!$E$178:'Monthly Cohorts'!$E$341,$D13,'Monthly Cohorts'!EU$178:'Monthly Cohorts'!EU$341)</f>
        <v>0</v>
      </c>
      <c r="EV13" s="58">
        <f ca="1">+SUMIF('Monthly Cohorts'!$E$178:'Monthly Cohorts'!$E$341,$D13,'Monthly Cohorts'!EV$178:'Monthly Cohorts'!EV$341)</f>
        <v>0</v>
      </c>
      <c r="EW13" s="58">
        <f ca="1">+SUMIF('Monthly Cohorts'!$E$178:'Monthly Cohorts'!$E$341,$D13,'Monthly Cohorts'!EW$178:'Monthly Cohorts'!EW$341)</f>
        <v>0</v>
      </c>
      <c r="EX13" s="58">
        <f ca="1">+SUMIF('Monthly Cohorts'!$E$178:'Monthly Cohorts'!$E$341,$D13,'Monthly Cohorts'!EX$178:'Monthly Cohorts'!EX$341)</f>
        <v>0</v>
      </c>
      <c r="EY13" s="58">
        <f ca="1">+SUMIF('Monthly Cohorts'!$E$178:'Monthly Cohorts'!$E$341,$D13,'Monthly Cohorts'!EY$178:'Monthly Cohorts'!EY$341)</f>
        <v>0</v>
      </c>
      <c r="EZ13" s="58">
        <f ca="1">+SUMIF('Monthly Cohorts'!$E$178:'Monthly Cohorts'!$E$341,$D13,'Monthly Cohorts'!EZ$178:'Monthly Cohorts'!EZ$341)</f>
        <v>0</v>
      </c>
      <c r="FA13" s="58">
        <f ca="1">+SUMIF('Monthly Cohorts'!$E$178:'Monthly Cohorts'!$E$341,$D13,'Monthly Cohorts'!FA$178:'Monthly Cohorts'!FA$341)</f>
        <v>0</v>
      </c>
      <c r="FB13" s="58">
        <f ca="1">+SUMIF('Monthly Cohorts'!$E$178:'Monthly Cohorts'!$E$341,$D13,'Monthly Cohorts'!FB$178:'Monthly Cohorts'!FB$341)</f>
        <v>0</v>
      </c>
      <c r="FC13" s="58">
        <f ca="1">+SUMIF('Monthly Cohorts'!$E$178:'Monthly Cohorts'!$E$341,$D13,'Monthly Cohorts'!FC$178:'Monthly Cohorts'!FC$341)</f>
        <v>0</v>
      </c>
      <c r="FD13" s="58">
        <f ca="1">+SUMIF('Monthly Cohorts'!$E$178:'Monthly Cohorts'!$E$341,$D13,'Monthly Cohorts'!FD$178:'Monthly Cohorts'!FD$341)</f>
        <v>0</v>
      </c>
      <c r="FE13" s="58">
        <f ca="1">+SUMIF('Monthly Cohorts'!$E$178:'Monthly Cohorts'!$E$341,$D13,'Monthly Cohorts'!FE$178:'Monthly Cohorts'!FE$341)</f>
        <v>0</v>
      </c>
      <c r="FF13" s="58">
        <f ca="1">+SUMIF('Monthly Cohorts'!$E$178:'Monthly Cohorts'!$E$341,$D13,'Monthly Cohorts'!FF$178:'Monthly Cohorts'!FF$341)</f>
        <v>0</v>
      </c>
      <c r="FG13" s="58">
        <f ca="1">+SUMIF('Monthly Cohorts'!$E$178:'Monthly Cohorts'!$E$341,$D13,'Monthly Cohorts'!FG$178:'Monthly Cohorts'!FG$341)</f>
        <v>0</v>
      </c>
      <c r="FH13" s="58">
        <f ca="1">+SUMIF('Monthly Cohorts'!$E$178:'Monthly Cohorts'!$E$341,$D13,'Monthly Cohorts'!FH$178:'Monthly Cohorts'!FH$341)</f>
        <v>0</v>
      </c>
      <c r="FI13" s="58">
        <f ca="1">+SUMIF('Monthly Cohorts'!$E$178:'Monthly Cohorts'!$E$341,$D13,'Monthly Cohorts'!FI$178:'Monthly Cohorts'!FI$341)</f>
        <v>0</v>
      </c>
      <c r="FJ13" s="58">
        <f ca="1">+SUMIF('Monthly Cohorts'!$E$178:'Monthly Cohorts'!$E$341,$D13,'Monthly Cohorts'!FJ$178:'Monthly Cohorts'!FJ$341)</f>
        <v>0</v>
      </c>
      <c r="FK13" s="58">
        <f ca="1">+SUMIF('Monthly Cohorts'!$E$178:'Monthly Cohorts'!$E$341,$D13,'Monthly Cohorts'!FK$178:'Monthly Cohorts'!FK$341)</f>
        <v>0</v>
      </c>
      <c r="FL13" s="58">
        <f ca="1">+SUMIF('Monthly Cohorts'!$E$178:'Monthly Cohorts'!$E$341,$D13,'Monthly Cohorts'!FL$178:'Monthly Cohorts'!FL$341)</f>
        <v>0</v>
      </c>
      <c r="FM13" s="58">
        <f ca="1">+SUMIF('Monthly Cohorts'!$E$178:'Monthly Cohorts'!$E$341,$D13,'Monthly Cohorts'!FM$178:'Monthly Cohorts'!FM$341)</f>
        <v>0</v>
      </c>
      <c r="FN13" s="58">
        <f ca="1">+SUMIF('Monthly Cohorts'!$E$178:'Monthly Cohorts'!$E$341,$D13,'Monthly Cohorts'!FN$178:'Monthly Cohorts'!FN$341)</f>
        <v>0</v>
      </c>
      <c r="FO13" s="13"/>
    </row>
    <row r="14" spans="1:171" outlineLevel="1" x14ac:dyDescent="0.3">
      <c r="A14" s="13"/>
      <c r="B14" s="13"/>
      <c r="C14" s="13"/>
      <c r="D14" s="59">
        <f t="shared" si="11"/>
        <v>2014</v>
      </c>
      <c r="E14" s="25"/>
      <c r="F14" s="20"/>
      <c r="G14" s="58">
        <f ca="1">+SUMIF('Monthly Cohorts'!$E$178:'Monthly Cohorts'!$E$341,$D14,'Monthly Cohorts'!G$178:'Monthly Cohorts'!G$341)</f>
        <v>0</v>
      </c>
      <c r="H14" s="58">
        <f ca="1">+SUMIF('Monthly Cohorts'!$E$178:'Monthly Cohorts'!$E$341,$D14,'Monthly Cohorts'!H$178:'Monthly Cohorts'!H$341)</f>
        <v>0</v>
      </c>
      <c r="I14" s="58">
        <f ca="1">+SUMIF('Monthly Cohorts'!$E$178:'Monthly Cohorts'!$E$341,$D14,'Monthly Cohorts'!I$178:'Monthly Cohorts'!I$341)</f>
        <v>0</v>
      </c>
      <c r="J14" s="58">
        <f ca="1">+SUMIF('Monthly Cohorts'!$E$178:'Monthly Cohorts'!$E$341,$D14,'Monthly Cohorts'!J$178:'Monthly Cohorts'!J$341)</f>
        <v>0</v>
      </c>
      <c r="K14" s="58">
        <f ca="1">+SUMIF('Monthly Cohorts'!$E$178:'Monthly Cohorts'!$E$341,$D14,'Monthly Cohorts'!K$178:'Monthly Cohorts'!K$341)</f>
        <v>0</v>
      </c>
      <c r="L14" s="58">
        <f ca="1">+SUMIF('Monthly Cohorts'!$E$178:'Monthly Cohorts'!$E$341,$D14,'Monthly Cohorts'!L$178:'Monthly Cohorts'!L$341)</f>
        <v>0</v>
      </c>
      <c r="M14" s="58">
        <f ca="1">+SUMIF('Monthly Cohorts'!$E$178:'Monthly Cohorts'!$E$341,$D14,'Monthly Cohorts'!M$178:'Monthly Cohorts'!M$341)</f>
        <v>0</v>
      </c>
      <c r="N14" s="58">
        <f ca="1">+SUMIF('Monthly Cohorts'!$E$178:'Monthly Cohorts'!$E$341,$D14,'Monthly Cohorts'!N$178:'Monthly Cohorts'!N$341)</f>
        <v>0</v>
      </c>
      <c r="O14" s="58">
        <f ca="1">+SUMIF('Monthly Cohorts'!$E$178:'Monthly Cohorts'!$E$341,$D14,'Monthly Cohorts'!O$178:'Monthly Cohorts'!O$341)</f>
        <v>0</v>
      </c>
      <c r="P14" s="58">
        <f ca="1">+SUMIF('Monthly Cohorts'!$E$178:'Monthly Cohorts'!$E$341,$D14,'Monthly Cohorts'!P$178:'Monthly Cohorts'!P$341)</f>
        <v>0</v>
      </c>
      <c r="Q14" s="58">
        <f ca="1">+SUMIF('Monthly Cohorts'!$E$178:'Monthly Cohorts'!$E$341,$D14,'Monthly Cohorts'!Q$178:'Monthly Cohorts'!Q$341)</f>
        <v>0</v>
      </c>
      <c r="R14" s="58">
        <f ca="1">+SUMIF('Monthly Cohorts'!$E$178:'Monthly Cohorts'!$E$341,$D14,'Monthly Cohorts'!R$178:'Monthly Cohorts'!R$341)</f>
        <v>0</v>
      </c>
      <c r="S14" s="58">
        <f ca="1">+SUMIF('Monthly Cohorts'!$E$178:'Monthly Cohorts'!$E$341,$D14,'Monthly Cohorts'!S$178:'Monthly Cohorts'!S$341)</f>
        <v>0</v>
      </c>
      <c r="T14" s="58">
        <f ca="1">+SUMIF('Monthly Cohorts'!$E$178:'Monthly Cohorts'!$E$341,$D14,'Monthly Cohorts'!T$178:'Monthly Cohorts'!T$341)</f>
        <v>0</v>
      </c>
      <c r="U14" s="58">
        <f ca="1">+SUMIF('Monthly Cohorts'!$E$178:'Monthly Cohorts'!$E$341,$D14,'Monthly Cohorts'!U$178:'Monthly Cohorts'!U$341)</f>
        <v>0</v>
      </c>
      <c r="V14" s="58">
        <f ca="1">+SUMIF('Monthly Cohorts'!$E$178:'Monthly Cohorts'!$E$341,$D14,'Monthly Cohorts'!V$178:'Monthly Cohorts'!V$341)</f>
        <v>0</v>
      </c>
      <c r="W14" s="58">
        <f ca="1">+SUMIF('Monthly Cohorts'!$E$178:'Monthly Cohorts'!$E$341,$D14,'Monthly Cohorts'!W$178:'Monthly Cohorts'!W$341)</f>
        <v>0</v>
      </c>
      <c r="X14" s="58">
        <f ca="1">+SUMIF('Monthly Cohorts'!$E$178:'Monthly Cohorts'!$E$341,$D14,'Monthly Cohorts'!X$178:'Monthly Cohorts'!X$341)</f>
        <v>0</v>
      </c>
      <c r="Y14" s="58">
        <f ca="1">+SUMIF('Monthly Cohorts'!$E$178:'Monthly Cohorts'!$E$341,$D14,'Monthly Cohorts'!Y$178:'Monthly Cohorts'!Y$341)</f>
        <v>0</v>
      </c>
      <c r="Z14" s="58">
        <f ca="1">+SUMIF('Monthly Cohorts'!$E$178:'Monthly Cohorts'!$E$341,$D14,'Monthly Cohorts'!Z$178:'Monthly Cohorts'!Z$341)</f>
        <v>0</v>
      </c>
      <c r="AA14" s="58">
        <f ca="1">+SUMIF('Monthly Cohorts'!$E$178:'Monthly Cohorts'!$E$341,$D14,'Monthly Cohorts'!AA$178:'Monthly Cohorts'!AA$341)</f>
        <v>0</v>
      </c>
      <c r="AB14" s="58">
        <f ca="1">+SUMIF('Monthly Cohorts'!$E$178:'Monthly Cohorts'!$E$341,$D14,'Monthly Cohorts'!AB$178:'Monthly Cohorts'!AB$341)</f>
        <v>0</v>
      </c>
      <c r="AC14" s="58">
        <f ca="1">+SUMIF('Monthly Cohorts'!$E$178:'Monthly Cohorts'!$E$341,$D14,'Monthly Cohorts'!AC$178:'Monthly Cohorts'!AC$341)</f>
        <v>0</v>
      </c>
      <c r="AD14" s="58">
        <f ca="1">+SUMIF('Monthly Cohorts'!$E$178:'Monthly Cohorts'!$E$341,$D14,'Monthly Cohorts'!AD$178:'Monthly Cohorts'!AD$341)</f>
        <v>0</v>
      </c>
      <c r="AE14" s="58">
        <f ca="1">+SUMIF('Monthly Cohorts'!$E$178:'Monthly Cohorts'!$E$341,$D14,'Monthly Cohorts'!AE$178:'Monthly Cohorts'!AE$341)</f>
        <v>0</v>
      </c>
      <c r="AF14" s="58">
        <f ca="1">+SUMIF('Monthly Cohorts'!$E$178:'Monthly Cohorts'!$E$341,$D14,'Monthly Cohorts'!AF$178:'Monthly Cohorts'!AF$341)</f>
        <v>0</v>
      </c>
      <c r="AG14" s="58">
        <f ca="1">+SUMIF('Monthly Cohorts'!$E$178:'Monthly Cohorts'!$E$341,$D14,'Monthly Cohorts'!AG$178:'Monthly Cohorts'!AG$341)</f>
        <v>0</v>
      </c>
      <c r="AH14" s="58">
        <f ca="1">+SUMIF('Monthly Cohorts'!$E$178:'Monthly Cohorts'!$E$341,$D14,'Monthly Cohorts'!AH$178:'Monthly Cohorts'!AH$341)</f>
        <v>0</v>
      </c>
      <c r="AI14" s="58">
        <f ca="1">+SUMIF('Monthly Cohorts'!$E$178:'Monthly Cohorts'!$E$341,$D14,'Monthly Cohorts'!AI$178:'Monthly Cohorts'!AI$341)</f>
        <v>0</v>
      </c>
      <c r="AJ14" s="58">
        <f ca="1">+SUMIF('Monthly Cohorts'!$E$178:'Monthly Cohorts'!$E$341,$D14,'Monthly Cohorts'!AJ$178:'Monthly Cohorts'!AJ$341)</f>
        <v>0</v>
      </c>
      <c r="AK14" s="58">
        <f ca="1">+SUMIF('Monthly Cohorts'!$E$178:'Monthly Cohorts'!$E$341,$D14,'Monthly Cohorts'!AK$178:'Monthly Cohorts'!AK$341)</f>
        <v>0</v>
      </c>
      <c r="AL14" s="58">
        <f ca="1">+SUMIF('Monthly Cohorts'!$E$178:'Monthly Cohorts'!$E$341,$D14,'Monthly Cohorts'!AL$178:'Monthly Cohorts'!AL$341)</f>
        <v>0</v>
      </c>
      <c r="AM14" s="58">
        <f ca="1">+SUMIF('Monthly Cohorts'!$E$178:'Monthly Cohorts'!$E$341,$D14,'Monthly Cohorts'!AM$178:'Monthly Cohorts'!AM$341)</f>
        <v>0</v>
      </c>
      <c r="AN14" s="58">
        <f ca="1">+SUMIF('Monthly Cohorts'!$E$178:'Monthly Cohorts'!$E$341,$D14,'Monthly Cohorts'!AN$178:'Monthly Cohorts'!AN$341)</f>
        <v>0</v>
      </c>
      <c r="AO14" s="58">
        <f ca="1">+SUMIF('Monthly Cohorts'!$E$178:'Monthly Cohorts'!$E$341,$D14,'Monthly Cohorts'!AO$178:'Monthly Cohorts'!AO$341)</f>
        <v>0</v>
      </c>
      <c r="AP14" s="58">
        <f ca="1">+SUMIF('Monthly Cohorts'!$E$178:'Monthly Cohorts'!$E$341,$D14,'Monthly Cohorts'!AP$178:'Monthly Cohorts'!AP$341)</f>
        <v>0</v>
      </c>
      <c r="AQ14" s="58">
        <f ca="1">+SUMIF('Monthly Cohorts'!$E$178:'Monthly Cohorts'!$E$341,$D14,'Monthly Cohorts'!AQ$178:'Monthly Cohorts'!AQ$341)</f>
        <v>0</v>
      </c>
      <c r="AR14" s="58">
        <f ca="1">+SUMIF('Monthly Cohorts'!$E$178:'Monthly Cohorts'!$E$341,$D14,'Monthly Cohorts'!AR$178:'Monthly Cohorts'!AR$341)</f>
        <v>0</v>
      </c>
      <c r="AS14" s="58">
        <f ca="1">+SUMIF('Monthly Cohorts'!$E$178:'Monthly Cohorts'!$E$341,$D14,'Monthly Cohorts'!AS$178:'Monthly Cohorts'!AS$341)</f>
        <v>0</v>
      </c>
      <c r="AT14" s="58">
        <f ca="1">+SUMIF('Monthly Cohorts'!$E$178:'Monthly Cohorts'!$E$341,$D14,'Monthly Cohorts'!AT$178:'Monthly Cohorts'!AT$341)</f>
        <v>0</v>
      </c>
      <c r="AU14" s="58">
        <f ca="1">+SUMIF('Monthly Cohorts'!$E$178:'Monthly Cohorts'!$E$341,$D14,'Monthly Cohorts'!AU$178:'Monthly Cohorts'!AU$341)</f>
        <v>0</v>
      </c>
      <c r="AV14" s="58">
        <f ca="1">+SUMIF('Monthly Cohorts'!$E$178:'Monthly Cohorts'!$E$341,$D14,'Monthly Cohorts'!AV$178:'Monthly Cohorts'!AV$341)</f>
        <v>0</v>
      </c>
      <c r="AW14" s="58">
        <f ca="1">+SUMIF('Monthly Cohorts'!$E$178:'Monthly Cohorts'!$E$341,$D14,'Monthly Cohorts'!AW$178:'Monthly Cohorts'!AW$341)</f>
        <v>0</v>
      </c>
      <c r="AX14" s="58">
        <f ca="1">+SUMIF('Monthly Cohorts'!$E$178:'Monthly Cohorts'!$E$341,$D14,'Monthly Cohorts'!AX$178:'Monthly Cohorts'!AX$341)</f>
        <v>0</v>
      </c>
      <c r="AY14" s="58">
        <f ca="1">+SUMIF('Monthly Cohorts'!$E$178:'Monthly Cohorts'!$E$341,$D14,'Monthly Cohorts'!AY$178:'Monthly Cohorts'!AY$341)</f>
        <v>0</v>
      </c>
      <c r="AZ14" s="58">
        <f ca="1">+SUMIF('Monthly Cohorts'!$E$178:'Monthly Cohorts'!$E$341,$D14,'Monthly Cohorts'!AZ$178:'Monthly Cohorts'!AZ$341)</f>
        <v>0</v>
      </c>
      <c r="BA14" s="58">
        <f ca="1">+SUMIF('Monthly Cohorts'!$E$178:'Monthly Cohorts'!$E$341,$D14,'Monthly Cohorts'!BA$178:'Monthly Cohorts'!BA$341)</f>
        <v>0</v>
      </c>
      <c r="BB14" s="58">
        <f ca="1">+SUMIF('Monthly Cohorts'!$E$178:'Monthly Cohorts'!$E$341,$D14,'Monthly Cohorts'!BB$178:'Monthly Cohorts'!BB$341)</f>
        <v>0</v>
      </c>
      <c r="BC14" s="58">
        <f ca="1">+SUMIF('Monthly Cohorts'!$E$178:'Monthly Cohorts'!$E$341,$D14,'Monthly Cohorts'!BC$178:'Monthly Cohorts'!BC$341)</f>
        <v>0</v>
      </c>
      <c r="BD14" s="58">
        <f ca="1">+SUMIF('Monthly Cohorts'!$E$178:'Monthly Cohorts'!$E$341,$D14,'Monthly Cohorts'!BD$178:'Monthly Cohorts'!BD$341)</f>
        <v>0</v>
      </c>
      <c r="BE14" s="58">
        <f ca="1">+SUMIF('Monthly Cohorts'!$E$178:'Monthly Cohorts'!$E$341,$D14,'Monthly Cohorts'!BE$178:'Monthly Cohorts'!BE$341)</f>
        <v>0</v>
      </c>
      <c r="BF14" s="58">
        <f ca="1">+SUMIF('Monthly Cohorts'!$E$178:'Monthly Cohorts'!$E$341,$D14,'Monthly Cohorts'!BF$178:'Monthly Cohorts'!BF$341)</f>
        <v>0</v>
      </c>
      <c r="BG14" s="58">
        <f ca="1">+SUMIF('Monthly Cohorts'!$E$178:'Monthly Cohorts'!$E$341,$D14,'Monthly Cohorts'!BG$178:'Monthly Cohorts'!BG$341)</f>
        <v>0</v>
      </c>
      <c r="BH14" s="58">
        <f ca="1">+SUMIF('Monthly Cohorts'!$E$178:'Monthly Cohorts'!$E$341,$D14,'Monthly Cohorts'!BH$178:'Monthly Cohorts'!BH$341)</f>
        <v>0</v>
      </c>
      <c r="BI14" s="58">
        <f ca="1">+SUMIF('Monthly Cohorts'!$E$178:'Monthly Cohorts'!$E$341,$D14,'Monthly Cohorts'!BI$178:'Monthly Cohorts'!BI$341)</f>
        <v>0</v>
      </c>
      <c r="BJ14" s="58">
        <f ca="1">+SUMIF('Monthly Cohorts'!$E$178:'Monthly Cohorts'!$E$341,$D14,'Monthly Cohorts'!BJ$178:'Monthly Cohorts'!BJ$341)</f>
        <v>0</v>
      </c>
      <c r="BK14" s="58">
        <f ca="1">+SUMIF('Monthly Cohorts'!$E$178:'Monthly Cohorts'!$E$341,$D14,'Monthly Cohorts'!BK$178:'Monthly Cohorts'!BK$341)</f>
        <v>0</v>
      </c>
      <c r="BL14" s="58">
        <f ca="1">+SUMIF('Monthly Cohorts'!$E$178:'Monthly Cohorts'!$E$341,$D14,'Monthly Cohorts'!BL$178:'Monthly Cohorts'!BL$341)</f>
        <v>0</v>
      </c>
      <c r="BM14" s="58">
        <f ca="1">+SUMIF('Monthly Cohorts'!$E$178:'Monthly Cohorts'!$E$341,$D14,'Monthly Cohorts'!BM$178:'Monthly Cohorts'!BM$341)</f>
        <v>0</v>
      </c>
      <c r="BN14" s="58">
        <f ca="1">+SUMIF('Monthly Cohorts'!$E$178:'Monthly Cohorts'!$E$341,$D14,'Monthly Cohorts'!BN$178:'Monthly Cohorts'!BN$341)</f>
        <v>0</v>
      </c>
      <c r="BO14" s="58">
        <f ca="1">+SUMIF('Monthly Cohorts'!$E$178:'Monthly Cohorts'!$E$341,$D14,'Monthly Cohorts'!BO$178:'Monthly Cohorts'!BO$341)</f>
        <v>0</v>
      </c>
      <c r="BP14" s="58">
        <f ca="1">+SUMIF('Monthly Cohorts'!$E$178:'Monthly Cohorts'!$E$341,$D14,'Monthly Cohorts'!BP$178:'Monthly Cohorts'!BP$341)</f>
        <v>0</v>
      </c>
      <c r="BQ14" s="58">
        <f ca="1">+SUMIF('Monthly Cohorts'!$E$178:'Monthly Cohorts'!$E$341,$D14,'Monthly Cohorts'!BQ$178:'Monthly Cohorts'!BQ$341)</f>
        <v>0</v>
      </c>
      <c r="BR14" s="58">
        <f ca="1">+SUMIF('Monthly Cohorts'!$E$178:'Monthly Cohorts'!$E$341,$D14,'Monthly Cohorts'!BR$178:'Monthly Cohorts'!BR$341)</f>
        <v>0</v>
      </c>
      <c r="BS14" s="58">
        <f ca="1">+SUMIF('Monthly Cohorts'!$E$178:'Monthly Cohorts'!$E$341,$D14,'Monthly Cohorts'!BS$178:'Monthly Cohorts'!BS$341)</f>
        <v>0</v>
      </c>
      <c r="BT14" s="58">
        <f ca="1">+SUMIF('Monthly Cohorts'!$E$178:'Monthly Cohorts'!$E$341,$D14,'Monthly Cohorts'!BT$178:'Monthly Cohorts'!BT$341)</f>
        <v>0</v>
      </c>
      <c r="BU14" s="58">
        <f ca="1">+SUMIF('Monthly Cohorts'!$E$178:'Monthly Cohorts'!$E$341,$D14,'Monthly Cohorts'!BU$178:'Monthly Cohorts'!BU$341)</f>
        <v>0</v>
      </c>
      <c r="BV14" s="58">
        <f ca="1">+SUMIF('Monthly Cohorts'!$E$178:'Monthly Cohorts'!$E$341,$D14,'Monthly Cohorts'!BV$178:'Monthly Cohorts'!BV$341)</f>
        <v>0</v>
      </c>
      <c r="BW14" s="58">
        <f ca="1">+SUMIF('Monthly Cohorts'!$E$178:'Monthly Cohorts'!$E$341,$D14,'Monthly Cohorts'!BW$178:'Monthly Cohorts'!BW$341)</f>
        <v>0</v>
      </c>
      <c r="BX14" s="58">
        <f ca="1">+SUMIF('Monthly Cohorts'!$E$178:'Monthly Cohorts'!$E$341,$D14,'Monthly Cohorts'!BX$178:'Monthly Cohorts'!BX$341)</f>
        <v>0</v>
      </c>
      <c r="BY14" s="58">
        <f ca="1">+SUMIF('Monthly Cohorts'!$E$178:'Monthly Cohorts'!$E$341,$D14,'Monthly Cohorts'!BY$178:'Monthly Cohorts'!BY$341)</f>
        <v>0</v>
      </c>
      <c r="BZ14" s="58">
        <f ca="1">+SUMIF('Monthly Cohorts'!$E$178:'Monthly Cohorts'!$E$341,$D14,'Monthly Cohorts'!BZ$178:'Monthly Cohorts'!BZ$341)</f>
        <v>0</v>
      </c>
      <c r="CA14" s="58">
        <f ca="1">+SUMIF('Monthly Cohorts'!$E$178:'Monthly Cohorts'!$E$341,$D14,'Monthly Cohorts'!CA$178:'Monthly Cohorts'!CA$341)</f>
        <v>0</v>
      </c>
      <c r="CB14" s="58">
        <f ca="1">+SUMIF('Monthly Cohorts'!$E$178:'Monthly Cohorts'!$E$341,$D14,'Monthly Cohorts'!CB$178:'Monthly Cohorts'!CB$341)</f>
        <v>0</v>
      </c>
      <c r="CC14" s="58">
        <f ca="1">+SUMIF('Monthly Cohorts'!$E$178:'Monthly Cohorts'!$E$341,$D14,'Monthly Cohorts'!CC$178:'Monthly Cohorts'!CC$341)</f>
        <v>0</v>
      </c>
      <c r="CD14" s="58">
        <f ca="1">+SUMIF('Monthly Cohorts'!$E$178:'Monthly Cohorts'!$E$341,$D14,'Monthly Cohorts'!CD$178:'Monthly Cohorts'!CD$341)</f>
        <v>0</v>
      </c>
      <c r="CE14" s="58">
        <f ca="1">+SUMIF('Monthly Cohorts'!$E$178:'Monthly Cohorts'!$E$341,$D14,'Monthly Cohorts'!CE$178:'Monthly Cohorts'!CE$341)</f>
        <v>0</v>
      </c>
      <c r="CF14" s="58">
        <f ca="1">+SUMIF('Monthly Cohorts'!$E$178:'Monthly Cohorts'!$E$341,$D14,'Monthly Cohorts'!CF$178:'Monthly Cohorts'!CF$341)</f>
        <v>0</v>
      </c>
      <c r="CG14" s="58">
        <f ca="1">+SUMIF('Monthly Cohorts'!$E$178:'Monthly Cohorts'!$E$341,$D14,'Monthly Cohorts'!CG$178:'Monthly Cohorts'!CG$341)</f>
        <v>0</v>
      </c>
      <c r="CH14" s="58">
        <f ca="1">+SUMIF('Monthly Cohorts'!$E$178:'Monthly Cohorts'!$E$341,$D14,'Monthly Cohorts'!CH$178:'Monthly Cohorts'!CH$341)</f>
        <v>0</v>
      </c>
      <c r="CI14" s="58">
        <f ca="1">+SUMIF('Monthly Cohorts'!$E$178:'Monthly Cohorts'!$E$341,$D14,'Monthly Cohorts'!CI$178:'Monthly Cohorts'!CI$341)</f>
        <v>0</v>
      </c>
      <c r="CJ14" s="58">
        <f ca="1">+SUMIF('Monthly Cohorts'!$E$178:'Monthly Cohorts'!$E$341,$D14,'Monthly Cohorts'!CJ$178:'Monthly Cohorts'!CJ$341)</f>
        <v>0</v>
      </c>
      <c r="CK14" s="58">
        <f ca="1">+SUMIF('Monthly Cohorts'!$E$178:'Monthly Cohorts'!$E$341,$D14,'Monthly Cohorts'!CK$178:'Monthly Cohorts'!CK$341)</f>
        <v>0</v>
      </c>
      <c r="CL14" s="58">
        <f ca="1">+SUMIF('Monthly Cohorts'!$E$178:'Monthly Cohorts'!$E$341,$D14,'Monthly Cohorts'!CL$178:'Monthly Cohorts'!CL$341)</f>
        <v>0</v>
      </c>
      <c r="CM14" s="58">
        <f ca="1">+SUMIF('Monthly Cohorts'!$E$178:'Monthly Cohorts'!$E$341,$D14,'Monthly Cohorts'!CM$178:'Monthly Cohorts'!CM$341)</f>
        <v>0</v>
      </c>
      <c r="CN14" s="58">
        <f ca="1">+SUMIF('Monthly Cohorts'!$E$178:'Monthly Cohorts'!$E$341,$D14,'Monthly Cohorts'!CN$178:'Monthly Cohorts'!CN$341)</f>
        <v>0</v>
      </c>
      <c r="CO14" s="58">
        <f ca="1">+SUMIF('Monthly Cohorts'!$E$178:'Monthly Cohorts'!$E$341,$D14,'Monthly Cohorts'!CO$178:'Monthly Cohorts'!CO$341)</f>
        <v>0</v>
      </c>
      <c r="CP14" s="58">
        <f ca="1">+SUMIF('Monthly Cohorts'!$E$178:'Monthly Cohorts'!$E$341,$D14,'Monthly Cohorts'!CP$178:'Monthly Cohorts'!CP$341)</f>
        <v>0</v>
      </c>
      <c r="CQ14" s="58">
        <f ca="1">+SUMIF('Monthly Cohorts'!$E$178:'Monthly Cohorts'!$E$341,$D14,'Monthly Cohorts'!CQ$178:'Monthly Cohorts'!CQ$341)</f>
        <v>0</v>
      </c>
      <c r="CR14" s="58">
        <f ca="1">+SUMIF('Monthly Cohorts'!$E$178:'Monthly Cohorts'!$E$341,$D14,'Monthly Cohorts'!CR$178:'Monthly Cohorts'!CR$341)</f>
        <v>0</v>
      </c>
      <c r="CS14" s="58">
        <f ca="1">+SUMIF('Monthly Cohorts'!$E$178:'Monthly Cohorts'!$E$341,$D14,'Monthly Cohorts'!CS$178:'Monthly Cohorts'!CS$341)</f>
        <v>0</v>
      </c>
      <c r="CT14" s="58">
        <f ca="1">+SUMIF('Monthly Cohorts'!$E$178:'Monthly Cohorts'!$E$341,$D14,'Monthly Cohorts'!CT$178:'Monthly Cohorts'!CT$341)</f>
        <v>0</v>
      </c>
      <c r="CU14" s="58">
        <f ca="1">+SUMIF('Monthly Cohorts'!$E$178:'Monthly Cohorts'!$E$341,$D14,'Monthly Cohorts'!CU$178:'Monthly Cohorts'!CU$341)</f>
        <v>0</v>
      </c>
      <c r="CV14" s="58">
        <f ca="1">+SUMIF('Monthly Cohorts'!$E$178:'Monthly Cohorts'!$E$341,$D14,'Monthly Cohorts'!CV$178:'Monthly Cohorts'!CV$341)</f>
        <v>0</v>
      </c>
      <c r="CW14" s="58">
        <f ca="1">+SUMIF('Monthly Cohorts'!$E$178:'Monthly Cohorts'!$E$341,$D14,'Monthly Cohorts'!CW$178:'Monthly Cohorts'!CW$341)</f>
        <v>0</v>
      </c>
      <c r="CX14" s="58">
        <f ca="1">+SUMIF('Monthly Cohorts'!$E$178:'Monthly Cohorts'!$E$341,$D14,'Monthly Cohorts'!CX$178:'Monthly Cohorts'!CX$341)</f>
        <v>0</v>
      </c>
      <c r="CY14" s="58">
        <f ca="1">+SUMIF('Monthly Cohorts'!$E$178:'Monthly Cohorts'!$E$341,$D14,'Monthly Cohorts'!CY$178:'Monthly Cohorts'!CY$341)</f>
        <v>0</v>
      </c>
      <c r="CZ14" s="58">
        <f ca="1">+SUMIF('Monthly Cohorts'!$E$178:'Monthly Cohorts'!$E$341,$D14,'Monthly Cohorts'!CZ$178:'Monthly Cohorts'!CZ$341)</f>
        <v>0</v>
      </c>
      <c r="DA14" s="58">
        <f ca="1">+SUMIF('Monthly Cohorts'!$E$178:'Monthly Cohorts'!$E$341,$D14,'Monthly Cohorts'!DA$178:'Monthly Cohorts'!DA$341)</f>
        <v>0</v>
      </c>
      <c r="DB14" s="58">
        <f ca="1">+SUMIF('Monthly Cohorts'!$E$178:'Monthly Cohorts'!$E$341,$D14,'Monthly Cohorts'!DB$178:'Monthly Cohorts'!DB$341)</f>
        <v>0</v>
      </c>
      <c r="DC14" s="58">
        <f ca="1">+SUMIF('Monthly Cohorts'!$E$178:'Monthly Cohorts'!$E$341,$D14,'Monthly Cohorts'!DC$178:'Monthly Cohorts'!DC$341)</f>
        <v>0</v>
      </c>
      <c r="DD14" s="58">
        <f ca="1">+SUMIF('Monthly Cohorts'!$E$178:'Monthly Cohorts'!$E$341,$D14,'Monthly Cohorts'!DD$178:'Monthly Cohorts'!DD$341)</f>
        <v>0</v>
      </c>
      <c r="DE14" s="58">
        <f ca="1">+SUMIF('Monthly Cohorts'!$E$178:'Monthly Cohorts'!$E$341,$D14,'Monthly Cohorts'!DE$178:'Monthly Cohorts'!DE$341)</f>
        <v>0</v>
      </c>
      <c r="DF14" s="58">
        <f ca="1">+SUMIF('Monthly Cohorts'!$E$178:'Monthly Cohorts'!$E$341,$D14,'Monthly Cohorts'!DF$178:'Monthly Cohorts'!DF$341)</f>
        <v>0</v>
      </c>
      <c r="DG14" s="58">
        <f ca="1">+SUMIF('Monthly Cohorts'!$E$178:'Monthly Cohorts'!$E$341,$D14,'Monthly Cohorts'!DG$178:'Monthly Cohorts'!DG$341)</f>
        <v>0</v>
      </c>
      <c r="DH14" s="58">
        <f ca="1">+SUMIF('Monthly Cohorts'!$E$178:'Monthly Cohorts'!$E$341,$D14,'Monthly Cohorts'!DH$178:'Monthly Cohorts'!DH$341)</f>
        <v>0</v>
      </c>
      <c r="DI14" s="58">
        <f ca="1">+SUMIF('Monthly Cohorts'!$E$178:'Monthly Cohorts'!$E$341,$D14,'Monthly Cohorts'!DI$178:'Monthly Cohorts'!DI$341)</f>
        <v>0</v>
      </c>
      <c r="DJ14" s="58">
        <f ca="1">+SUMIF('Monthly Cohorts'!$E$178:'Monthly Cohorts'!$E$341,$D14,'Monthly Cohorts'!DJ$178:'Monthly Cohorts'!DJ$341)</f>
        <v>0</v>
      </c>
      <c r="DK14" s="58">
        <f ca="1">+SUMIF('Monthly Cohorts'!$E$178:'Monthly Cohorts'!$E$341,$D14,'Monthly Cohorts'!DK$178:'Monthly Cohorts'!DK$341)</f>
        <v>0</v>
      </c>
      <c r="DL14" s="58">
        <f ca="1">+SUMIF('Monthly Cohorts'!$E$178:'Monthly Cohorts'!$E$341,$D14,'Monthly Cohorts'!DL$178:'Monthly Cohorts'!DL$341)</f>
        <v>0</v>
      </c>
      <c r="DM14" s="58">
        <f ca="1">+SUMIF('Monthly Cohorts'!$E$178:'Monthly Cohorts'!$E$341,$D14,'Monthly Cohorts'!DM$178:'Monthly Cohorts'!DM$341)</f>
        <v>0</v>
      </c>
      <c r="DN14" s="58">
        <f ca="1">+SUMIF('Monthly Cohorts'!$E$178:'Monthly Cohorts'!$E$341,$D14,'Monthly Cohorts'!DN$178:'Monthly Cohorts'!DN$341)</f>
        <v>0</v>
      </c>
      <c r="DO14" s="58">
        <f ca="1">+SUMIF('Monthly Cohorts'!$E$178:'Monthly Cohorts'!$E$341,$D14,'Monthly Cohorts'!DO$178:'Monthly Cohorts'!DO$341)</f>
        <v>0</v>
      </c>
      <c r="DP14" s="58">
        <f ca="1">+SUMIF('Monthly Cohorts'!$E$178:'Monthly Cohorts'!$E$341,$D14,'Monthly Cohorts'!DP$178:'Monthly Cohorts'!DP$341)</f>
        <v>0</v>
      </c>
      <c r="DQ14" s="58">
        <f ca="1">+SUMIF('Monthly Cohorts'!$E$178:'Monthly Cohorts'!$E$341,$D14,'Monthly Cohorts'!DQ$178:'Monthly Cohorts'!DQ$341)</f>
        <v>0</v>
      </c>
      <c r="DR14" s="58">
        <f ca="1">+SUMIF('Monthly Cohorts'!$E$178:'Monthly Cohorts'!$E$341,$D14,'Monthly Cohorts'!DR$178:'Monthly Cohorts'!DR$341)</f>
        <v>0</v>
      </c>
      <c r="DS14" s="58">
        <f ca="1">+SUMIF('Monthly Cohorts'!$E$178:'Monthly Cohorts'!$E$341,$D14,'Monthly Cohorts'!DS$178:'Monthly Cohorts'!DS$341)</f>
        <v>0</v>
      </c>
      <c r="DT14" s="58">
        <f ca="1">+SUMIF('Monthly Cohorts'!$E$178:'Monthly Cohorts'!$E$341,$D14,'Monthly Cohorts'!DT$178:'Monthly Cohorts'!DT$341)</f>
        <v>0</v>
      </c>
      <c r="DU14" s="58">
        <f ca="1">+SUMIF('Monthly Cohorts'!$E$178:'Monthly Cohorts'!$E$341,$D14,'Monthly Cohorts'!DU$178:'Monthly Cohorts'!DU$341)</f>
        <v>0</v>
      </c>
      <c r="DV14" s="58">
        <f ca="1">+SUMIF('Monthly Cohorts'!$E$178:'Monthly Cohorts'!$E$341,$D14,'Monthly Cohorts'!DV$178:'Monthly Cohorts'!DV$341)</f>
        <v>0</v>
      </c>
      <c r="DW14" s="58">
        <f ca="1">+SUMIF('Monthly Cohorts'!$E$178:'Monthly Cohorts'!$E$341,$D14,'Monthly Cohorts'!DW$178:'Monthly Cohorts'!DW$341)</f>
        <v>0</v>
      </c>
      <c r="DX14" s="58">
        <f ca="1">+SUMIF('Monthly Cohorts'!$E$178:'Monthly Cohorts'!$E$341,$D14,'Monthly Cohorts'!DX$178:'Monthly Cohorts'!DX$341)</f>
        <v>0</v>
      </c>
      <c r="DY14" s="58">
        <f ca="1">+SUMIF('Monthly Cohorts'!$E$178:'Monthly Cohorts'!$E$341,$D14,'Monthly Cohorts'!DY$178:'Monthly Cohorts'!DY$341)</f>
        <v>0</v>
      </c>
      <c r="DZ14" s="58">
        <f ca="1">+SUMIF('Monthly Cohorts'!$E$178:'Monthly Cohorts'!$E$341,$D14,'Monthly Cohorts'!DZ$178:'Monthly Cohorts'!DZ$341)</f>
        <v>0</v>
      </c>
      <c r="EA14" s="58">
        <f ca="1">+SUMIF('Monthly Cohorts'!$E$178:'Monthly Cohorts'!$E$341,$D14,'Monthly Cohorts'!EA$178:'Monthly Cohorts'!EA$341)</f>
        <v>0</v>
      </c>
      <c r="EB14" s="58">
        <f ca="1">+SUMIF('Monthly Cohorts'!$E$178:'Monthly Cohorts'!$E$341,$D14,'Monthly Cohorts'!EB$178:'Monthly Cohorts'!EB$341)</f>
        <v>0</v>
      </c>
      <c r="EC14" s="58">
        <f ca="1">+SUMIF('Monthly Cohorts'!$E$178:'Monthly Cohorts'!$E$341,$D14,'Monthly Cohorts'!EC$178:'Monthly Cohorts'!EC$341)</f>
        <v>0</v>
      </c>
      <c r="ED14" s="58">
        <f ca="1">+SUMIF('Monthly Cohorts'!$E$178:'Monthly Cohorts'!$E$341,$D14,'Monthly Cohorts'!ED$178:'Monthly Cohorts'!ED$341)</f>
        <v>0</v>
      </c>
      <c r="EE14" s="58">
        <f ca="1">+SUMIF('Monthly Cohorts'!$E$178:'Monthly Cohorts'!$E$341,$D14,'Monthly Cohorts'!EE$178:'Monthly Cohorts'!EE$341)</f>
        <v>0</v>
      </c>
      <c r="EF14" s="58">
        <f ca="1">+SUMIF('Monthly Cohorts'!$E$178:'Monthly Cohorts'!$E$341,$D14,'Monthly Cohorts'!EF$178:'Monthly Cohorts'!EF$341)</f>
        <v>0</v>
      </c>
      <c r="EG14" s="58">
        <f ca="1">+SUMIF('Monthly Cohorts'!$E$178:'Monthly Cohorts'!$E$341,$D14,'Monthly Cohorts'!EG$178:'Monthly Cohorts'!EG$341)</f>
        <v>0</v>
      </c>
      <c r="EH14" s="58">
        <f ca="1">+SUMIF('Monthly Cohorts'!$E$178:'Monthly Cohorts'!$E$341,$D14,'Monthly Cohorts'!EH$178:'Monthly Cohorts'!EH$341)</f>
        <v>0</v>
      </c>
      <c r="EI14" s="58">
        <f ca="1">+SUMIF('Monthly Cohorts'!$E$178:'Monthly Cohorts'!$E$341,$D14,'Monthly Cohorts'!EI$178:'Monthly Cohorts'!EI$341)</f>
        <v>0</v>
      </c>
      <c r="EJ14" s="58">
        <f ca="1">+SUMIF('Monthly Cohorts'!$E$178:'Monthly Cohorts'!$E$341,$D14,'Monthly Cohorts'!EJ$178:'Monthly Cohorts'!EJ$341)</f>
        <v>0</v>
      </c>
      <c r="EK14" s="58">
        <f ca="1">+SUMIF('Monthly Cohorts'!$E$178:'Monthly Cohorts'!$E$341,$D14,'Monthly Cohorts'!EK$178:'Monthly Cohorts'!EK$341)</f>
        <v>0</v>
      </c>
      <c r="EL14" s="58">
        <f ca="1">+SUMIF('Monthly Cohorts'!$E$178:'Monthly Cohorts'!$E$341,$D14,'Monthly Cohorts'!EL$178:'Monthly Cohorts'!EL$341)</f>
        <v>0</v>
      </c>
      <c r="EM14" s="58">
        <f ca="1">+SUMIF('Monthly Cohorts'!$E$178:'Monthly Cohorts'!$E$341,$D14,'Monthly Cohorts'!EM$178:'Monthly Cohorts'!EM$341)</f>
        <v>0</v>
      </c>
      <c r="EN14" s="58">
        <f ca="1">+SUMIF('Monthly Cohorts'!$E$178:'Monthly Cohorts'!$E$341,$D14,'Monthly Cohorts'!EN$178:'Monthly Cohorts'!EN$341)</f>
        <v>0</v>
      </c>
      <c r="EO14" s="58">
        <f ca="1">+SUMIF('Monthly Cohorts'!$E$178:'Monthly Cohorts'!$E$341,$D14,'Monthly Cohorts'!EO$178:'Monthly Cohorts'!EO$341)</f>
        <v>0</v>
      </c>
      <c r="EP14" s="58">
        <f ca="1">+SUMIF('Monthly Cohorts'!$E$178:'Monthly Cohorts'!$E$341,$D14,'Monthly Cohorts'!EP$178:'Monthly Cohorts'!EP$341)</f>
        <v>0</v>
      </c>
      <c r="EQ14" s="58">
        <f ca="1">+SUMIF('Monthly Cohorts'!$E$178:'Monthly Cohorts'!$E$341,$D14,'Monthly Cohorts'!EQ$178:'Monthly Cohorts'!EQ$341)</f>
        <v>0</v>
      </c>
      <c r="ER14" s="58">
        <f ca="1">+SUMIF('Monthly Cohorts'!$E$178:'Monthly Cohorts'!$E$341,$D14,'Monthly Cohorts'!ER$178:'Monthly Cohorts'!ER$341)</f>
        <v>0</v>
      </c>
      <c r="ES14" s="58">
        <f ca="1">+SUMIF('Monthly Cohorts'!$E$178:'Monthly Cohorts'!$E$341,$D14,'Monthly Cohorts'!ES$178:'Monthly Cohorts'!ES$341)</f>
        <v>0</v>
      </c>
      <c r="ET14" s="58">
        <f ca="1">+SUMIF('Monthly Cohorts'!$E$178:'Monthly Cohorts'!$E$341,$D14,'Monthly Cohorts'!ET$178:'Monthly Cohorts'!ET$341)</f>
        <v>0</v>
      </c>
      <c r="EU14" s="58">
        <f ca="1">+SUMIF('Monthly Cohorts'!$E$178:'Monthly Cohorts'!$E$341,$D14,'Monthly Cohorts'!EU$178:'Monthly Cohorts'!EU$341)</f>
        <v>0</v>
      </c>
      <c r="EV14" s="58">
        <f ca="1">+SUMIF('Monthly Cohorts'!$E$178:'Monthly Cohorts'!$E$341,$D14,'Monthly Cohorts'!EV$178:'Monthly Cohorts'!EV$341)</f>
        <v>0</v>
      </c>
      <c r="EW14" s="58">
        <f ca="1">+SUMIF('Monthly Cohorts'!$E$178:'Monthly Cohorts'!$E$341,$D14,'Monthly Cohorts'!EW$178:'Monthly Cohorts'!EW$341)</f>
        <v>0</v>
      </c>
      <c r="EX14" s="58">
        <f ca="1">+SUMIF('Monthly Cohorts'!$E$178:'Monthly Cohorts'!$E$341,$D14,'Monthly Cohorts'!EX$178:'Monthly Cohorts'!EX$341)</f>
        <v>0</v>
      </c>
      <c r="EY14" s="58">
        <f ca="1">+SUMIF('Monthly Cohorts'!$E$178:'Monthly Cohorts'!$E$341,$D14,'Monthly Cohorts'!EY$178:'Monthly Cohorts'!EY$341)</f>
        <v>0</v>
      </c>
      <c r="EZ14" s="58">
        <f ca="1">+SUMIF('Monthly Cohorts'!$E$178:'Monthly Cohorts'!$E$341,$D14,'Monthly Cohorts'!EZ$178:'Monthly Cohorts'!EZ$341)</f>
        <v>0</v>
      </c>
      <c r="FA14" s="58">
        <f ca="1">+SUMIF('Monthly Cohorts'!$E$178:'Monthly Cohorts'!$E$341,$D14,'Monthly Cohorts'!FA$178:'Monthly Cohorts'!FA$341)</f>
        <v>0</v>
      </c>
      <c r="FB14" s="58">
        <f ca="1">+SUMIF('Monthly Cohorts'!$E$178:'Monthly Cohorts'!$E$341,$D14,'Monthly Cohorts'!FB$178:'Monthly Cohorts'!FB$341)</f>
        <v>0</v>
      </c>
      <c r="FC14" s="58">
        <f ca="1">+SUMIF('Monthly Cohorts'!$E$178:'Monthly Cohorts'!$E$341,$D14,'Monthly Cohorts'!FC$178:'Monthly Cohorts'!FC$341)</f>
        <v>0</v>
      </c>
      <c r="FD14" s="58">
        <f ca="1">+SUMIF('Monthly Cohorts'!$E$178:'Monthly Cohorts'!$E$341,$D14,'Monthly Cohorts'!FD$178:'Monthly Cohorts'!FD$341)</f>
        <v>0</v>
      </c>
      <c r="FE14" s="58">
        <f ca="1">+SUMIF('Monthly Cohorts'!$E$178:'Monthly Cohorts'!$E$341,$D14,'Monthly Cohorts'!FE$178:'Monthly Cohorts'!FE$341)</f>
        <v>0</v>
      </c>
      <c r="FF14" s="58">
        <f ca="1">+SUMIF('Monthly Cohorts'!$E$178:'Monthly Cohorts'!$E$341,$D14,'Monthly Cohorts'!FF$178:'Monthly Cohorts'!FF$341)</f>
        <v>0</v>
      </c>
      <c r="FG14" s="58">
        <f ca="1">+SUMIF('Monthly Cohorts'!$E$178:'Monthly Cohorts'!$E$341,$D14,'Monthly Cohorts'!FG$178:'Monthly Cohorts'!FG$341)</f>
        <v>0</v>
      </c>
      <c r="FH14" s="58">
        <f ca="1">+SUMIF('Monthly Cohorts'!$E$178:'Monthly Cohorts'!$E$341,$D14,'Monthly Cohorts'!FH$178:'Monthly Cohorts'!FH$341)</f>
        <v>0</v>
      </c>
      <c r="FI14" s="58">
        <f ca="1">+SUMIF('Monthly Cohorts'!$E$178:'Monthly Cohorts'!$E$341,$D14,'Monthly Cohorts'!FI$178:'Monthly Cohorts'!FI$341)</f>
        <v>0</v>
      </c>
      <c r="FJ14" s="58">
        <f ca="1">+SUMIF('Monthly Cohorts'!$E$178:'Monthly Cohorts'!$E$341,$D14,'Monthly Cohorts'!FJ$178:'Monthly Cohorts'!FJ$341)</f>
        <v>0</v>
      </c>
      <c r="FK14" s="58">
        <f ca="1">+SUMIF('Monthly Cohorts'!$E$178:'Monthly Cohorts'!$E$341,$D14,'Monthly Cohorts'!FK$178:'Monthly Cohorts'!FK$341)</f>
        <v>0</v>
      </c>
      <c r="FL14" s="58">
        <f ca="1">+SUMIF('Monthly Cohorts'!$E$178:'Monthly Cohorts'!$E$341,$D14,'Monthly Cohorts'!FL$178:'Monthly Cohorts'!FL$341)</f>
        <v>0</v>
      </c>
      <c r="FM14" s="58">
        <f ca="1">+SUMIF('Monthly Cohorts'!$E$178:'Monthly Cohorts'!$E$341,$D14,'Monthly Cohorts'!FM$178:'Monthly Cohorts'!FM$341)</f>
        <v>0</v>
      </c>
      <c r="FN14" s="58">
        <f ca="1">+SUMIF('Monthly Cohorts'!$E$178:'Monthly Cohorts'!$E$341,$D14,'Monthly Cohorts'!FN$178:'Monthly Cohorts'!FN$341)</f>
        <v>0</v>
      </c>
      <c r="FO14" s="13"/>
    </row>
    <row r="15" spans="1:171" outlineLevel="1" x14ac:dyDescent="0.3">
      <c r="A15" s="13"/>
      <c r="B15" s="13"/>
      <c r="C15" s="13"/>
      <c r="D15" s="59">
        <f t="shared" si="11"/>
        <v>2015</v>
      </c>
      <c r="E15" s="25"/>
      <c r="F15" s="20"/>
      <c r="G15" s="58">
        <f ca="1">+SUMIF('Monthly Cohorts'!$E$178:'Monthly Cohorts'!$E$341,$D15,'Monthly Cohorts'!G$178:'Monthly Cohorts'!G$341)</f>
        <v>0</v>
      </c>
      <c r="H15" s="58">
        <f ca="1">+SUMIF('Monthly Cohorts'!$E$178:'Monthly Cohorts'!$E$341,$D15,'Monthly Cohorts'!H$178:'Monthly Cohorts'!H$341)</f>
        <v>0</v>
      </c>
      <c r="I15" s="58">
        <f ca="1">+SUMIF('Monthly Cohorts'!$E$178:'Monthly Cohorts'!$E$341,$D15,'Monthly Cohorts'!I$178:'Monthly Cohorts'!I$341)</f>
        <v>0</v>
      </c>
      <c r="J15" s="58">
        <f ca="1">+SUMIF('Monthly Cohorts'!$E$178:'Monthly Cohorts'!$E$341,$D15,'Monthly Cohorts'!J$178:'Monthly Cohorts'!J$341)</f>
        <v>0</v>
      </c>
      <c r="K15" s="58">
        <f ca="1">+SUMIF('Monthly Cohorts'!$E$178:'Monthly Cohorts'!$E$341,$D15,'Monthly Cohorts'!K$178:'Monthly Cohorts'!K$341)</f>
        <v>0</v>
      </c>
      <c r="L15" s="58">
        <f ca="1">+SUMIF('Monthly Cohorts'!$E$178:'Monthly Cohorts'!$E$341,$D15,'Monthly Cohorts'!L$178:'Monthly Cohorts'!L$341)</f>
        <v>0</v>
      </c>
      <c r="M15" s="58">
        <f ca="1">+SUMIF('Monthly Cohorts'!$E$178:'Monthly Cohorts'!$E$341,$D15,'Monthly Cohorts'!M$178:'Monthly Cohorts'!M$341)</f>
        <v>0</v>
      </c>
      <c r="N15" s="58">
        <f ca="1">+SUMIF('Monthly Cohorts'!$E$178:'Monthly Cohorts'!$E$341,$D15,'Monthly Cohorts'!N$178:'Monthly Cohorts'!N$341)</f>
        <v>0</v>
      </c>
      <c r="O15" s="58">
        <f ca="1">+SUMIF('Monthly Cohorts'!$E$178:'Monthly Cohorts'!$E$341,$D15,'Monthly Cohorts'!O$178:'Monthly Cohorts'!O$341)</f>
        <v>0</v>
      </c>
      <c r="P15" s="58">
        <f ca="1">+SUMIF('Monthly Cohorts'!$E$178:'Monthly Cohorts'!$E$341,$D15,'Monthly Cohorts'!P$178:'Monthly Cohorts'!P$341)</f>
        <v>0</v>
      </c>
      <c r="Q15" s="58">
        <f ca="1">+SUMIF('Monthly Cohorts'!$E$178:'Monthly Cohorts'!$E$341,$D15,'Monthly Cohorts'!Q$178:'Monthly Cohorts'!Q$341)</f>
        <v>0</v>
      </c>
      <c r="R15" s="58">
        <f ca="1">+SUMIF('Monthly Cohorts'!$E$178:'Monthly Cohorts'!$E$341,$D15,'Monthly Cohorts'!R$178:'Monthly Cohorts'!R$341)</f>
        <v>0</v>
      </c>
      <c r="S15" s="58">
        <f ca="1">+SUMIF('Monthly Cohorts'!$E$178:'Monthly Cohorts'!$E$341,$D15,'Monthly Cohorts'!S$178:'Monthly Cohorts'!S$341)</f>
        <v>0</v>
      </c>
      <c r="T15" s="58">
        <f ca="1">+SUMIF('Monthly Cohorts'!$E$178:'Monthly Cohorts'!$E$341,$D15,'Monthly Cohorts'!T$178:'Monthly Cohorts'!T$341)</f>
        <v>0</v>
      </c>
      <c r="U15" s="58">
        <f ca="1">+SUMIF('Monthly Cohorts'!$E$178:'Monthly Cohorts'!$E$341,$D15,'Monthly Cohorts'!U$178:'Monthly Cohorts'!U$341)</f>
        <v>0</v>
      </c>
      <c r="V15" s="58">
        <f ca="1">+SUMIF('Monthly Cohorts'!$E$178:'Monthly Cohorts'!$E$341,$D15,'Monthly Cohorts'!V$178:'Monthly Cohorts'!V$341)</f>
        <v>0</v>
      </c>
      <c r="W15" s="58">
        <f ca="1">+SUMIF('Monthly Cohorts'!$E$178:'Monthly Cohorts'!$E$341,$D15,'Monthly Cohorts'!W$178:'Monthly Cohorts'!W$341)</f>
        <v>0</v>
      </c>
      <c r="X15" s="58">
        <f ca="1">+SUMIF('Monthly Cohorts'!$E$178:'Monthly Cohorts'!$E$341,$D15,'Monthly Cohorts'!X$178:'Monthly Cohorts'!X$341)</f>
        <v>0</v>
      </c>
      <c r="Y15" s="58">
        <f ca="1">+SUMIF('Monthly Cohorts'!$E$178:'Monthly Cohorts'!$E$341,$D15,'Monthly Cohorts'!Y$178:'Monthly Cohorts'!Y$341)</f>
        <v>0</v>
      </c>
      <c r="Z15" s="58">
        <f ca="1">+SUMIF('Monthly Cohorts'!$E$178:'Monthly Cohorts'!$E$341,$D15,'Monthly Cohorts'!Z$178:'Monthly Cohorts'!Z$341)</f>
        <v>0</v>
      </c>
      <c r="AA15" s="58">
        <f ca="1">+SUMIF('Monthly Cohorts'!$E$178:'Monthly Cohorts'!$E$341,$D15,'Monthly Cohorts'!AA$178:'Monthly Cohorts'!AA$341)</f>
        <v>0</v>
      </c>
      <c r="AB15" s="58">
        <f ca="1">+SUMIF('Monthly Cohorts'!$E$178:'Monthly Cohorts'!$E$341,$D15,'Monthly Cohorts'!AB$178:'Monthly Cohorts'!AB$341)</f>
        <v>0</v>
      </c>
      <c r="AC15" s="58">
        <f ca="1">+SUMIF('Monthly Cohorts'!$E$178:'Monthly Cohorts'!$E$341,$D15,'Monthly Cohorts'!AC$178:'Monthly Cohorts'!AC$341)</f>
        <v>0</v>
      </c>
      <c r="AD15" s="58">
        <f ca="1">+SUMIF('Monthly Cohorts'!$E$178:'Monthly Cohorts'!$E$341,$D15,'Monthly Cohorts'!AD$178:'Monthly Cohorts'!AD$341)</f>
        <v>0</v>
      </c>
      <c r="AE15" s="58">
        <f ca="1">+SUMIF('Monthly Cohorts'!$E$178:'Monthly Cohorts'!$E$341,$D15,'Monthly Cohorts'!AE$178:'Monthly Cohorts'!AE$341)</f>
        <v>0</v>
      </c>
      <c r="AF15" s="58">
        <f ca="1">+SUMIF('Monthly Cohorts'!$E$178:'Monthly Cohorts'!$E$341,$D15,'Monthly Cohorts'!AF$178:'Monthly Cohorts'!AF$341)</f>
        <v>0</v>
      </c>
      <c r="AG15" s="58">
        <f ca="1">+SUMIF('Monthly Cohorts'!$E$178:'Monthly Cohorts'!$E$341,$D15,'Monthly Cohorts'!AG$178:'Monthly Cohorts'!AG$341)</f>
        <v>0</v>
      </c>
      <c r="AH15" s="58">
        <f ca="1">+SUMIF('Monthly Cohorts'!$E$178:'Monthly Cohorts'!$E$341,$D15,'Monthly Cohorts'!AH$178:'Monthly Cohorts'!AH$341)</f>
        <v>0</v>
      </c>
      <c r="AI15" s="58">
        <f ca="1">+SUMIF('Monthly Cohorts'!$E$178:'Monthly Cohorts'!$E$341,$D15,'Monthly Cohorts'!AI$178:'Monthly Cohorts'!AI$341)</f>
        <v>0</v>
      </c>
      <c r="AJ15" s="58">
        <f ca="1">+SUMIF('Monthly Cohorts'!$E$178:'Monthly Cohorts'!$E$341,$D15,'Monthly Cohorts'!AJ$178:'Monthly Cohorts'!AJ$341)</f>
        <v>0</v>
      </c>
      <c r="AK15" s="58">
        <f ca="1">+SUMIF('Monthly Cohorts'!$E$178:'Monthly Cohorts'!$E$341,$D15,'Monthly Cohorts'!AK$178:'Monthly Cohorts'!AK$341)</f>
        <v>0</v>
      </c>
      <c r="AL15" s="58">
        <f ca="1">+SUMIF('Monthly Cohorts'!$E$178:'Monthly Cohorts'!$E$341,$D15,'Monthly Cohorts'!AL$178:'Monthly Cohorts'!AL$341)</f>
        <v>0</v>
      </c>
      <c r="AM15" s="58">
        <f ca="1">+SUMIF('Monthly Cohorts'!$E$178:'Monthly Cohorts'!$E$341,$D15,'Monthly Cohorts'!AM$178:'Monthly Cohorts'!AM$341)</f>
        <v>0</v>
      </c>
      <c r="AN15" s="58">
        <f ca="1">+SUMIF('Monthly Cohorts'!$E$178:'Monthly Cohorts'!$E$341,$D15,'Monthly Cohorts'!AN$178:'Monthly Cohorts'!AN$341)</f>
        <v>0</v>
      </c>
      <c r="AO15" s="58">
        <f ca="1">+SUMIF('Monthly Cohorts'!$E$178:'Monthly Cohorts'!$E$341,$D15,'Monthly Cohorts'!AO$178:'Monthly Cohorts'!AO$341)</f>
        <v>0</v>
      </c>
      <c r="AP15" s="58">
        <f ca="1">+SUMIF('Monthly Cohorts'!$E$178:'Monthly Cohorts'!$E$341,$D15,'Monthly Cohorts'!AP$178:'Monthly Cohorts'!AP$341)</f>
        <v>0</v>
      </c>
      <c r="AQ15" s="58">
        <f ca="1">+SUMIF('Monthly Cohorts'!$E$178:'Monthly Cohorts'!$E$341,$D15,'Monthly Cohorts'!AQ$178:'Monthly Cohorts'!AQ$341)</f>
        <v>0</v>
      </c>
      <c r="AR15" s="58">
        <f ca="1">+SUMIF('Monthly Cohorts'!$E$178:'Monthly Cohorts'!$E$341,$D15,'Monthly Cohorts'!AR$178:'Monthly Cohorts'!AR$341)</f>
        <v>0</v>
      </c>
      <c r="AS15" s="58">
        <f ca="1">+SUMIF('Monthly Cohorts'!$E$178:'Monthly Cohorts'!$E$341,$D15,'Monthly Cohorts'!AS$178:'Monthly Cohorts'!AS$341)</f>
        <v>0</v>
      </c>
      <c r="AT15" s="58">
        <f ca="1">+SUMIF('Monthly Cohorts'!$E$178:'Monthly Cohorts'!$E$341,$D15,'Monthly Cohorts'!AT$178:'Monthly Cohorts'!AT$341)</f>
        <v>0</v>
      </c>
      <c r="AU15" s="58">
        <f ca="1">+SUMIF('Monthly Cohorts'!$E$178:'Monthly Cohorts'!$E$341,$D15,'Monthly Cohorts'!AU$178:'Monthly Cohorts'!AU$341)</f>
        <v>0</v>
      </c>
      <c r="AV15" s="58">
        <f ca="1">+SUMIF('Monthly Cohorts'!$E$178:'Monthly Cohorts'!$E$341,$D15,'Monthly Cohorts'!AV$178:'Monthly Cohorts'!AV$341)</f>
        <v>0</v>
      </c>
      <c r="AW15" s="58">
        <f ca="1">+SUMIF('Monthly Cohorts'!$E$178:'Monthly Cohorts'!$E$341,$D15,'Monthly Cohorts'!AW$178:'Monthly Cohorts'!AW$341)</f>
        <v>0</v>
      </c>
      <c r="AX15" s="58">
        <f ca="1">+SUMIF('Monthly Cohorts'!$E$178:'Monthly Cohorts'!$E$341,$D15,'Monthly Cohorts'!AX$178:'Monthly Cohorts'!AX$341)</f>
        <v>0</v>
      </c>
      <c r="AY15" s="58">
        <f ca="1">+SUMIF('Monthly Cohorts'!$E$178:'Monthly Cohorts'!$E$341,$D15,'Monthly Cohorts'!AY$178:'Monthly Cohorts'!AY$341)</f>
        <v>0</v>
      </c>
      <c r="AZ15" s="58">
        <f ca="1">+SUMIF('Monthly Cohorts'!$E$178:'Monthly Cohorts'!$E$341,$D15,'Monthly Cohorts'!AZ$178:'Monthly Cohorts'!AZ$341)</f>
        <v>0</v>
      </c>
      <c r="BA15" s="58">
        <f ca="1">+SUMIF('Monthly Cohorts'!$E$178:'Monthly Cohorts'!$E$341,$D15,'Monthly Cohorts'!BA$178:'Monthly Cohorts'!BA$341)</f>
        <v>0</v>
      </c>
      <c r="BB15" s="58">
        <f ca="1">+SUMIF('Monthly Cohorts'!$E$178:'Monthly Cohorts'!$E$341,$D15,'Monthly Cohorts'!BB$178:'Monthly Cohorts'!BB$341)</f>
        <v>0</v>
      </c>
      <c r="BC15" s="58">
        <f ca="1">+SUMIF('Monthly Cohorts'!$E$178:'Monthly Cohorts'!$E$341,$D15,'Monthly Cohorts'!BC$178:'Monthly Cohorts'!BC$341)</f>
        <v>0</v>
      </c>
      <c r="BD15" s="58">
        <f ca="1">+SUMIF('Monthly Cohorts'!$E$178:'Monthly Cohorts'!$E$341,$D15,'Monthly Cohorts'!BD$178:'Monthly Cohorts'!BD$341)</f>
        <v>0</v>
      </c>
      <c r="BE15" s="58">
        <f ca="1">+SUMIF('Monthly Cohorts'!$E$178:'Monthly Cohorts'!$E$341,$D15,'Monthly Cohorts'!BE$178:'Monthly Cohorts'!BE$341)</f>
        <v>0</v>
      </c>
      <c r="BF15" s="58">
        <f ca="1">+SUMIF('Monthly Cohorts'!$E$178:'Monthly Cohorts'!$E$341,$D15,'Monthly Cohorts'!BF$178:'Monthly Cohorts'!BF$341)</f>
        <v>0</v>
      </c>
      <c r="BG15" s="58">
        <f ca="1">+SUMIF('Monthly Cohorts'!$E$178:'Monthly Cohorts'!$E$341,$D15,'Monthly Cohorts'!BG$178:'Monthly Cohorts'!BG$341)</f>
        <v>0</v>
      </c>
      <c r="BH15" s="58">
        <f ca="1">+SUMIF('Monthly Cohorts'!$E$178:'Monthly Cohorts'!$E$341,$D15,'Monthly Cohorts'!BH$178:'Monthly Cohorts'!BH$341)</f>
        <v>0</v>
      </c>
      <c r="BI15" s="58">
        <f ca="1">+SUMIF('Monthly Cohorts'!$E$178:'Monthly Cohorts'!$E$341,$D15,'Monthly Cohorts'!BI$178:'Monthly Cohorts'!BI$341)</f>
        <v>0</v>
      </c>
      <c r="BJ15" s="58">
        <f ca="1">+SUMIF('Monthly Cohorts'!$E$178:'Monthly Cohorts'!$E$341,$D15,'Monthly Cohorts'!BJ$178:'Monthly Cohorts'!BJ$341)</f>
        <v>0</v>
      </c>
      <c r="BK15" s="58">
        <f ca="1">+SUMIF('Monthly Cohorts'!$E$178:'Monthly Cohorts'!$E$341,$D15,'Monthly Cohorts'!BK$178:'Monthly Cohorts'!BK$341)</f>
        <v>0</v>
      </c>
      <c r="BL15" s="58">
        <f ca="1">+SUMIF('Monthly Cohorts'!$E$178:'Monthly Cohorts'!$E$341,$D15,'Monthly Cohorts'!BL$178:'Monthly Cohorts'!BL$341)</f>
        <v>0</v>
      </c>
      <c r="BM15" s="58">
        <f ca="1">+SUMIF('Monthly Cohorts'!$E$178:'Monthly Cohorts'!$E$341,$D15,'Monthly Cohorts'!BM$178:'Monthly Cohorts'!BM$341)</f>
        <v>0</v>
      </c>
      <c r="BN15" s="58">
        <f ca="1">+SUMIF('Monthly Cohorts'!$E$178:'Monthly Cohorts'!$E$341,$D15,'Monthly Cohorts'!BN$178:'Monthly Cohorts'!BN$341)</f>
        <v>0</v>
      </c>
      <c r="BO15" s="58">
        <f ca="1">+SUMIF('Monthly Cohorts'!$E$178:'Monthly Cohorts'!$E$341,$D15,'Monthly Cohorts'!BO$178:'Monthly Cohorts'!BO$341)</f>
        <v>0</v>
      </c>
      <c r="BP15" s="58">
        <f ca="1">+SUMIF('Monthly Cohorts'!$E$178:'Monthly Cohorts'!$E$341,$D15,'Monthly Cohorts'!BP$178:'Monthly Cohorts'!BP$341)</f>
        <v>0</v>
      </c>
      <c r="BQ15" s="58">
        <f ca="1">+SUMIF('Monthly Cohorts'!$E$178:'Monthly Cohorts'!$E$341,$D15,'Monthly Cohorts'!BQ$178:'Monthly Cohorts'!BQ$341)</f>
        <v>0</v>
      </c>
      <c r="BR15" s="58">
        <f ca="1">+SUMIF('Monthly Cohorts'!$E$178:'Monthly Cohorts'!$E$341,$D15,'Monthly Cohorts'!BR$178:'Monthly Cohorts'!BR$341)</f>
        <v>0</v>
      </c>
      <c r="BS15" s="58">
        <f ca="1">+SUMIF('Monthly Cohorts'!$E$178:'Monthly Cohorts'!$E$341,$D15,'Monthly Cohorts'!BS$178:'Monthly Cohorts'!BS$341)</f>
        <v>0</v>
      </c>
      <c r="BT15" s="58">
        <f ca="1">+SUMIF('Monthly Cohorts'!$E$178:'Monthly Cohorts'!$E$341,$D15,'Monthly Cohorts'!BT$178:'Monthly Cohorts'!BT$341)</f>
        <v>0</v>
      </c>
      <c r="BU15" s="58">
        <f ca="1">+SUMIF('Monthly Cohorts'!$E$178:'Monthly Cohorts'!$E$341,$D15,'Monthly Cohorts'!BU$178:'Monthly Cohorts'!BU$341)</f>
        <v>0</v>
      </c>
      <c r="BV15" s="58">
        <f ca="1">+SUMIF('Monthly Cohorts'!$E$178:'Monthly Cohorts'!$E$341,$D15,'Monthly Cohorts'!BV$178:'Monthly Cohorts'!BV$341)</f>
        <v>0</v>
      </c>
      <c r="BW15" s="58">
        <f ca="1">+SUMIF('Monthly Cohorts'!$E$178:'Monthly Cohorts'!$E$341,$D15,'Monthly Cohorts'!BW$178:'Monthly Cohorts'!BW$341)</f>
        <v>0</v>
      </c>
      <c r="BX15" s="58">
        <f ca="1">+SUMIF('Monthly Cohorts'!$E$178:'Monthly Cohorts'!$E$341,$D15,'Monthly Cohorts'!BX$178:'Monthly Cohorts'!BX$341)</f>
        <v>0</v>
      </c>
      <c r="BY15" s="58">
        <f ca="1">+SUMIF('Monthly Cohorts'!$E$178:'Monthly Cohorts'!$E$341,$D15,'Monthly Cohorts'!BY$178:'Monthly Cohorts'!BY$341)</f>
        <v>0</v>
      </c>
      <c r="BZ15" s="58">
        <f ca="1">+SUMIF('Monthly Cohorts'!$E$178:'Monthly Cohorts'!$E$341,$D15,'Monthly Cohorts'!BZ$178:'Monthly Cohorts'!BZ$341)</f>
        <v>0</v>
      </c>
      <c r="CA15" s="58">
        <f ca="1">+SUMIF('Monthly Cohorts'!$E$178:'Monthly Cohorts'!$E$341,$D15,'Monthly Cohorts'!CA$178:'Monthly Cohorts'!CA$341)</f>
        <v>0</v>
      </c>
      <c r="CB15" s="58">
        <f ca="1">+SUMIF('Monthly Cohorts'!$E$178:'Monthly Cohorts'!$E$341,$D15,'Monthly Cohorts'!CB$178:'Monthly Cohorts'!CB$341)</f>
        <v>0</v>
      </c>
      <c r="CC15" s="58">
        <f ca="1">+SUMIF('Monthly Cohorts'!$E$178:'Monthly Cohorts'!$E$341,$D15,'Monthly Cohorts'!CC$178:'Monthly Cohorts'!CC$341)</f>
        <v>0</v>
      </c>
      <c r="CD15" s="58">
        <f ca="1">+SUMIF('Monthly Cohorts'!$E$178:'Monthly Cohorts'!$E$341,$D15,'Monthly Cohorts'!CD$178:'Monthly Cohorts'!CD$341)</f>
        <v>0</v>
      </c>
      <c r="CE15" s="58">
        <f ca="1">+SUMIF('Monthly Cohorts'!$E$178:'Monthly Cohorts'!$E$341,$D15,'Monthly Cohorts'!CE$178:'Monthly Cohorts'!CE$341)</f>
        <v>0</v>
      </c>
      <c r="CF15" s="58">
        <f ca="1">+SUMIF('Monthly Cohorts'!$E$178:'Monthly Cohorts'!$E$341,$D15,'Monthly Cohorts'!CF$178:'Monthly Cohorts'!CF$341)</f>
        <v>0</v>
      </c>
      <c r="CG15" s="58">
        <f ca="1">+SUMIF('Monthly Cohorts'!$E$178:'Monthly Cohorts'!$E$341,$D15,'Monthly Cohorts'!CG$178:'Monthly Cohorts'!CG$341)</f>
        <v>0</v>
      </c>
      <c r="CH15" s="58">
        <f ca="1">+SUMIF('Monthly Cohorts'!$E$178:'Monthly Cohorts'!$E$341,$D15,'Monthly Cohorts'!CH$178:'Monthly Cohorts'!CH$341)</f>
        <v>0</v>
      </c>
      <c r="CI15" s="58">
        <f ca="1">+SUMIF('Monthly Cohorts'!$E$178:'Monthly Cohorts'!$E$341,$D15,'Monthly Cohorts'!CI$178:'Monthly Cohorts'!CI$341)</f>
        <v>0</v>
      </c>
      <c r="CJ15" s="58">
        <f ca="1">+SUMIF('Monthly Cohorts'!$E$178:'Monthly Cohorts'!$E$341,$D15,'Monthly Cohorts'!CJ$178:'Monthly Cohorts'!CJ$341)</f>
        <v>0</v>
      </c>
      <c r="CK15" s="58">
        <f ca="1">+SUMIF('Monthly Cohorts'!$E$178:'Monthly Cohorts'!$E$341,$D15,'Monthly Cohorts'!CK$178:'Monthly Cohorts'!CK$341)</f>
        <v>0</v>
      </c>
      <c r="CL15" s="58">
        <f ca="1">+SUMIF('Monthly Cohorts'!$E$178:'Monthly Cohorts'!$E$341,$D15,'Monthly Cohorts'!CL$178:'Monthly Cohorts'!CL$341)</f>
        <v>0</v>
      </c>
      <c r="CM15" s="58">
        <f ca="1">+SUMIF('Monthly Cohorts'!$E$178:'Monthly Cohorts'!$E$341,$D15,'Monthly Cohorts'!CM$178:'Monthly Cohorts'!CM$341)</f>
        <v>0</v>
      </c>
      <c r="CN15" s="58">
        <f ca="1">+SUMIF('Monthly Cohorts'!$E$178:'Monthly Cohorts'!$E$341,$D15,'Monthly Cohorts'!CN$178:'Monthly Cohorts'!CN$341)</f>
        <v>0</v>
      </c>
      <c r="CO15" s="58">
        <f ca="1">+SUMIF('Monthly Cohorts'!$E$178:'Monthly Cohorts'!$E$341,$D15,'Monthly Cohorts'!CO$178:'Monthly Cohorts'!CO$341)</f>
        <v>0</v>
      </c>
      <c r="CP15" s="58">
        <f ca="1">+SUMIF('Monthly Cohorts'!$E$178:'Monthly Cohorts'!$E$341,$D15,'Monthly Cohorts'!CP$178:'Monthly Cohorts'!CP$341)</f>
        <v>0</v>
      </c>
      <c r="CQ15" s="58">
        <f ca="1">+SUMIF('Monthly Cohorts'!$E$178:'Monthly Cohorts'!$E$341,$D15,'Monthly Cohorts'!CQ$178:'Monthly Cohorts'!CQ$341)</f>
        <v>0</v>
      </c>
      <c r="CR15" s="58">
        <f ca="1">+SUMIF('Monthly Cohorts'!$E$178:'Monthly Cohorts'!$E$341,$D15,'Monthly Cohorts'!CR$178:'Monthly Cohorts'!CR$341)</f>
        <v>0</v>
      </c>
      <c r="CS15" s="58">
        <f ca="1">+SUMIF('Monthly Cohorts'!$E$178:'Monthly Cohorts'!$E$341,$D15,'Monthly Cohorts'!CS$178:'Monthly Cohorts'!CS$341)</f>
        <v>0</v>
      </c>
      <c r="CT15" s="58">
        <f ca="1">+SUMIF('Monthly Cohorts'!$E$178:'Monthly Cohorts'!$E$341,$D15,'Monthly Cohorts'!CT$178:'Monthly Cohorts'!CT$341)</f>
        <v>0</v>
      </c>
      <c r="CU15" s="58">
        <f ca="1">+SUMIF('Monthly Cohorts'!$E$178:'Monthly Cohorts'!$E$341,$D15,'Monthly Cohorts'!CU$178:'Monthly Cohorts'!CU$341)</f>
        <v>0</v>
      </c>
      <c r="CV15" s="58">
        <f ca="1">+SUMIF('Monthly Cohorts'!$E$178:'Monthly Cohorts'!$E$341,$D15,'Monthly Cohorts'!CV$178:'Monthly Cohorts'!CV$341)</f>
        <v>0</v>
      </c>
      <c r="CW15" s="58">
        <f ca="1">+SUMIF('Monthly Cohorts'!$E$178:'Monthly Cohorts'!$E$341,$D15,'Monthly Cohorts'!CW$178:'Monthly Cohorts'!CW$341)</f>
        <v>0</v>
      </c>
      <c r="CX15" s="58">
        <f ca="1">+SUMIF('Monthly Cohorts'!$E$178:'Monthly Cohorts'!$E$341,$D15,'Monthly Cohorts'!CX$178:'Monthly Cohorts'!CX$341)</f>
        <v>0</v>
      </c>
      <c r="CY15" s="58">
        <f ca="1">+SUMIF('Monthly Cohorts'!$E$178:'Monthly Cohorts'!$E$341,$D15,'Monthly Cohorts'!CY$178:'Monthly Cohorts'!CY$341)</f>
        <v>0</v>
      </c>
      <c r="CZ15" s="58">
        <f ca="1">+SUMIF('Monthly Cohorts'!$E$178:'Monthly Cohorts'!$E$341,$D15,'Monthly Cohorts'!CZ$178:'Monthly Cohorts'!CZ$341)</f>
        <v>0</v>
      </c>
      <c r="DA15" s="58">
        <f ca="1">+SUMIF('Monthly Cohorts'!$E$178:'Monthly Cohorts'!$E$341,$D15,'Monthly Cohorts'!DA$178:'Monthly Cohorts'!DA$341)</f>
        <v>0</v>
      </c>
      <c r="DB15" s="58">
        <f ca="1">+SUMIF('Monthly Cohorts'!$E$178:'Monthly Cohorts'!$E$341,$D15,'Monthly Cohorts'!DB$178:'Monthly Cohorts'!DB$341)</f>
        <v>0</v>
      </c>
      <c r="DC15" s="58">
        <f ca="1">+SUMIF('Monthly Cohorts'!$E$178:'Monthly Cohorts'!$E$341,$D15,'Monthly Cohorts'!DC$178:'Monthly Cohorts'!DC$341)</f>
        <v>0</v>
      </c>
      <c r="DD15" s="58">
        <f ca="1">+SUMIF('Monthly Cohorts'!$E$178:'Monthly Cohorts'!$E$341,$D15,'Monthly Cohorts'!DD$178:'Monthly Cohorts'!DD$341)</f>
        <v>0</v>
      </c>
      <c r="DE15" s="58">
        <f ca="1">+SUMIF('Monthly Cohorts'!$E$178:'Monthly Cohorts'!$E$341,$D15,'Monthly Cohorts'!DE$178:'Monthly Cohorts'!DE$341)</f>
        <v>0</v>
      </c>
      <c r="DF15" s="58">
        <f ca="1">+SUMIF('Monthly Cohorts'!$E$178:'Monthly Cohorts'!$E$341,$D15,'Monthly Cohorts'!DF$178:'Monthly Cohorts'!DF$341)</f>
        <v>0</v>
      </c>
      <c r="DG15" s="58">
        <f ca="1">+SUMIF('Monthly Cohorts'!$E$178:'Monthly Cohorts'!$E$341,$D15,'Monthly Cohorts'!DG$178:'Monthly Cohorts'!DG$341)</f>
        <v>0</v>
      </c>
      <c r="DH15" s="58">
        <f ca="1">+SUMIF('Monthly Cohorts'!$E$178:'Monthly Cohorts'!$E$341,$D15,'Monthly Cohorts'!DH$178:'Monthly Cohorts'!DH$341)</f>
        <v>0</v>
      </c>
      <c r="DI15" s="58">
        <f ca="1">+SUMIF('Monthly Cohorts'!$E$178:'Monthly Cohorts'!$E$341,$D15,'Monthly Cohorts'!DI$178:'Monthly Cohorts'!DI$341)</f>
        <v>0</v>
      </c>
      <c r="DJ15" s="58">
        <f ca="1">+SUMIF('Monthly Cohorts'!$E$178:'Monthly Cohorts'!$E$341,$D15,'Monthly Cohorts'!DJ$178:'Monthly Cohorts'!DJ$341)</f>
        <v>0</v>
      </c>
      <c r="DK15" s="58">
        <f ca="1">+SUMIF('Monthly Cohorts'!$E$178:'Monthly Cohorts'!$E$341,$D15,'Monthly Cohorts'!DK$178:'Monthly Cohorts'!DK$341)</f>
        <v>0</v>
      </c>
      <c r="DL15" s="58">
        <f ca="1">+SUMIF('Monthly Cohorts'!$E$178:'Monthly Cohorts'!$E$341,$D15,'Monthly Cohorts'!DL$178:'Monthly Cohorts'!DL$341)</f>
        <v>0</v>
      </c>
      <c r="DM15" s="58">
        <f ca="1">+SUMIF('Monthly Cohorts'!$E$178:'Monthly Cohorts'!$E$341,$D15,'Monthly Cohorts'!DM$178:'Monthly Cohorts'!DM$341)</f>
        <v>0</v>
      </c>
      <c r="DN15" s="58">
        <f ca="1">+SUMIF('Monthly Cohorts'!$E$178:'Monthly Cohorts'!$E$341,$D15,'Monthly Cohorts'!DN$178:'Monthly Cohorts'!DN$341)</f>
        <v>0</v>
      </c>
      <c r="DO15" s="58">
        <f ca="1">+SUMIF('Monthly Cohorts'!$E$178:'Monthly Cohorts'!$E$341,$D15,'Monthly Cohorts'!DO$178:'Monthly Cohorts'!DO$341)</f>
        <v>0</v>
      </c>
      <c r="DP15" s="58">
        <f ca="1">+SUMIF('Monthly Cohorts'!$E$178:'Monthly Cohorts'!$E$341,$D15,'Monthly Cohorts'!DP$178:'Monthly Cohorts'!DP$341)</f>
        <v>0</v>
      </c>
      <c r="DQ15" s="58">
        <f ca="1">+SUMIF('Monthly Cohorts'!$E$178:'Monthly Cohorts'!$E$341,$D15,'Monthly Cohorts'!DQ$178:'Monthly Cohorts'!DQ$341)</f>
        <v>0</v>
      </c>
      <c r="DR15" s="58">
        <f ca="1">+SUMIF('Monthly Cohorts'!$E$178:'Monthly Cohorts'!$E$341,$D15,'Monthly Cohorts'!DR$178:'Monthly Cohorts'!DR$341)</f>
        <v>0</v>
      </c>
      <c r="DS15" s="58">
        <f ca="1">+SUMIF('Monthly Cohorts'!$E$178:'Monthly Cohorts'!$E$341,$D15,'Monthly Cohorts'!DS$178:'Monthly Cohorts'!DS$341)</f>
        <v>0</v>
      </c>
      <c r="DT15" s="58">
        <f ca="1">+SUMIF('Monthly Cohorts'!$E$178:'Monthly Cohorts'!$E$341,$D15,'Monthly Cohorts'!DT$178:'Monthly Cohorts'!DT$341)</f>
        <v>0</v>
      </c>
      <c r="DU15" s="58">
        <f ca="1">+SUMIF('Monthly Cohorts'!$E$178:'Monthly Cohorts'!$E$341,$D15,'Monthly Cohorts'!DU$178:'Monthly Cohorts'!DU$341)</f>
        <v>0</v>
      </c>
      <c r="DV15" s="58">
        <f ca="1">+SUMIF('Monthly Cohorts'!$E$178:'Monthly Cohorts'!$E$341,$D15,'Monthly Cohorts'!DV$178:'Monthly Cohorts'!DV$341)</f>
        <v>0</v>
      </c>
      <c r="DW15" s="58">
        <f ca="1">+SUMIF('Monthly Cohorts'!$E$178:'Monthly Cohorts'!$E$341,$D15,'Monthly Cohorts'!DW$178:'Monthly Cohorts'!DW$341)</f>
        <v>0</v>
      </c>
      <c r="DX15" s="58">
        <f ca="1">+SUMIF('Monthly Cohorts'!$E$178:'Monthly Cohorts'!$E$341,$D15,'Monthly Cohorts'!DX$178:'Monthly Cohorts'!DX$341)</f>
        <v>0</v>
      </c>
      <c r="DY15" s="58">
        <f ca="1">+SUMIF('Monthly Cohorts'!$E$178:'Monthly Cohorts'!$E$341,$D15,'Monthly Cohorts'!DY$178:'Monthly Cohorts'!DY$341)</f>
        <v>0</v>
      </c>
      <c r="DZ15" s="58">
        <f ca="1">+SUMIF('Monthly Cohorts'!$E$178:'Monthly Cohorts'!$E$341,$D15,'Monthly Cohorts'!DZ$178:'Monthly Cohorts'!DZ$341)</f>
        <v>0</v>
      </c>
      <c r="EA15" s="58">
        <f ca="1">+SUMIF('Monthly Cohorts'!$E$178:'Monthly Cohorts'!$E$341,$D15,'Monthly Cohorts'!EA$178:'Monthly Cohorts'!EA$341)</f>
        <v>0</v>
      </c>
      <c r="EB15" s="58">
        <f ca="1">+SUMIF('Monthly Cohorts'!$E$178:'Monthly Cohorts'!$E$341,$D15,'Monthly Cohorts'!EB$178:'Monthly Cohorts'!EB$341)</f>
        <v>0</v>
      </c>
      <c r="EC15" s="58">
        <f ca="1">+SUMIF('Monthly Cohorts'!$E$178:'Monthly Cohorts'!$E$341,$D15,'Monthly Cohorts'!EC$178:'Monthly Cohorts'!EC$341)</f>
        <v>0</v>
      </c>
      <c r="ED15" s="58">
        <f ca="1">+SUMIF('Monthly Cohorts'!$E$178:'Monthly Cohorts'!$E$341,$D15,'Monthly Cohorts'!ED$178:'Monthly Cohorts'!ED$341)</f>
        <v>0</v>
      </c>
      <c r="EE15" s="58">
        <f ca="1">+SUMIF('Monthly Cohorts'!$E$178:'Monthly Cohorts'!$E$341,$D15,'Monthly Cohorts'!EE$178:'Monthly Cohorts'!EE$341)</f>
        <v>0</v>
      </c>
      <c r="EF15" s="58">
        <f ca="1">+SUMIF('Monthly Cohorts'!$E$178:'Monthly Cohorts'!$E$341,$D15,'Monthly Cohorts'!EF$178:'Monthly Cohorts'!EF$341)</f>
        <v>0</v>
      </c>
      <c r="EG15" s="58">
        <f ca="1">+SUMIF('Monthly Cohorts'!$E$178:'Monthly Cohorts'!$E$341,$D15,'Monthly Cohorts'!EG$178:'Monthly Cohorts'!EG$341)</f>
        <v>0</v>
      </c>
      <c r="EH15" s="58">
        <f ca="1">+SUMIF('Monthly Cohorts'!$E$178:'Monthly Cohorts'!$E$341,$D15,'Monthly Cohorts'!EH$178:'Monthly Cohorts'!EH$341)</f>
        <v>0</v>
      </c>
      <c r="EI15" s="58">
        <f ca="1">+SUMIF('Monthly Cohorts'!$E$178:'Monthly Cohorts'!$E$341,$D15,'Monthly Cohorts'!EI$178:'Monthly Cohorts'!EI$341)</f>
        <v>0</v>
      </c>
      <c r="EJ15" s="58">
        <f ca="1">+SUMIF('Monthly Cohorts'!$E$178:'Monthly Cohorts'!$E$341,$D15,'Monthly Cohorts'!EJ$178:'Monthly Cohorts'!EJ$341)</f>
        <v>0</v>
      </c>
      <c r="EK15" s="58">
        <f ca="1">+SUMIF('Monthly Cohorts'!$E$178:'Monthly Cohorts'!$E$341,$D15,'Monthly Cohorts'!EK$178:'Monthly Cohorts'!EK$341)</f>
        <v>0</v>
      </c>
      <c r="EL15" s="58">
        <f ca="1">+SUMIF('Monthly Cohorts'!$E$178:'Monthly Cohorts'!$E$341,$D15,'Monthly Cohorts'!EL$178:'Monthly Cohorts'!EL$341)</f>
        <v>0</v>
      </c>
      <c r="EM15" s="58">
        <f ca="1">+SUMIF('Monthly Cohorts'!$E$178:'Monthly Cohorts'!$E$341,$D15,'Monthly Cohorts'!EM$178:'Monthly Cohorts'!EM$341)</f>
        <v>0</v>
      </c>
      <c r="EN15" s="58">
        <f ca="1">+SUMIF('Monthly Cohorts'!$E$178:'Monthly Cohorts'!$E$341,$D15,'Monthly Cohorts'!EN$178:'Monthly Cohorts'!EN$341)</f>
        <v>0</v>
      </c>
      <c r="EO15" s="58">
        <f ca="1">+SUMIF('Monthly Cohorts'!$E$178:'Monthly Cohorts'!$E$341,$D15,'Monthly Cohorts'!EO$178:'Monthly Cohorts'!EO$341)</f>
        <v>0</v>
      </c>
      <c r="EP15" s="58">
        <f ca="1">+SUMIF('Monthly Cohorts'!$E$178:'Monthly Cohorts'!$E$341,$D15,'Monthly Cohorts'!EP$178:'Monthly Cohorts'!EP$341)</f>
        <v>0</v>
      </c>
      <c r="EQ15" s="58">
        <f ca="1">+SUMIF('Monthly Cohorts'!$E$178:'Monthly Cohorts'!$E$341,$D15,'Monthly Cohorts'!EQ$178:'Monthly Cohorts'!EQ$341)</f>
        <v>0</v>
      </c>
      <c r="ER15" s="58">
        <f ca="1">+SUMIF('Monthly Cohorts'!$E$178:'Monthly Cohorts'!$E$341,$D15,'Monthly Cohorts'!ER$178:'Monthly Cohorts'!ER$341)</f>
        <v>0</v>
      </c>
      <c r="ES15" s="58">
        <f ca="1">+SUMIF('Monthly Cohorts'!$E$178:'Monthly Cohorts'!$E$341,$D15,'Monthly Cohorts'!ES$178:'Monthly Cohorts'!ES$341)</f>
        <v>0</v>
      </c>
      <c r="ET15" s="58">
        <f ca="1">+SUMIF('Monthly Cohorts'!$E$178:'Monthly Cohorts'!$E$341,$D15,'Monthly Cohorts'!ET$178:'Monthly Cohorts'!ET$341)</f>
        <v>0</v>
      </c>
      <c r="EU15" s="58">
        <f ca="1">+SUMIF('Monthly Cohorts'!$E$178:'Monthly Cohorts'!$E$341,$D15,'Monthly Cohorts'!EU$178:'Monthly Cohorts'!EU$341)</f>
        <v>0</v>
      </c>
      <c r="EV15" s="58">
        <f ca="1">+SUMIF('Monthly Cohorts'!$E$178:'Monthly Cohorts'!$E$341,$D15,'Monthly Cohorts'!EV$178:'Monthly Cohorts'!EV$341)</f>
        <v>0</v>
      </c>
      <c r="EW15" s="58">
        <f ca="1">+SUMIF('Monthly Cohorts'!$E$178:'Monthly Cohorts'!$E$341,$D15,'Monthly Cohorts'!EW$178:'Monthly Cohorts'!EW$341)</f>
        <v>0</v>
      </c>
      <c r="EX15" s="58">
        <f ca="1">+SUMIF('Monthly Cohorts'!$E$178:'Monthly Cohorts'!$E$341,$D15,'Monthly Cohorts'!EX$178:'Monthly Cohorts'!EX$341)</f>
        <v>0</v>
      </c>
      <c r="EY15" s="58">
        <f ca="1">+SUMIF('Monthly Cohorts'!$E$178:'Monthly Cohorts'!$E$341,$D15,'Monthly Cohorts'!EY$178:'Monthly Cohorts'!EY$341)</f>
        <v>0</v>
      </c>
      <c r="EZ15" s="58">
        <f ca="1">+SUMIF('Monthly Cohorts'!$E$178:'Monthly Cohorts'!$E$341,$D15,'Monthly Cohorts'!EZ$178:'Monthly Cohorts'!EZ$341)</f>
        <v>0</v>
      </c>
      <c r="FA15" s="58">
        <f ca="1">+SUMIF('Monthly Cohorts'!$E$178:'Monthly Cohorts'!$E$341,$D15,'Monthly Cohorts'!FA$178:'Monthly Cohorts'!FA$341)</f>
        <v>0</v>
      </c>
      <c r="FB15" s="58">
        <f ca="1">+SUMIF('Monthly Cohorts'!$E$178:'Monthly Cohorts'!$E$341,$D15,'Monthly Cohorts'!FB$178:'Monthly Cohorts'!FB$341)</f>
        <v>0</v>
      </c>
      <c r="FC15" s="58">
        <f ca="1">+SUMIF('Monthly Cohorts'!$E$178:'Monthly Cohorts'!$E$341,$D15,'Monthly Cohorts'!FC$178:'Monthly Cohorts'!FC$341)</f>
        <v>0</v>
      </c>
      <c r="FD15" s="58">
        <f ca="1">+SUMIF('Monthly Cohorts'!$E$178:'Monthly Cohorts'!$E$341,$D15,'Monthly Cohorts'!FD$178:'Monthly Cohorts'!FD$341)</f>
        <v>0</v>
      </c>
      <c r="FE15" s="58">
        <f ca="1">+SUMIF('Monthly Cohorts'!$E$178:'Monthly Cohorts'!$E$341,$D15,'Monthly Cohorts'!FE$178:'Monthly Cohorts'!FE$341)</f>
        <v>0</v>
      </c>
      <c r="FF15" s="58">
        <f ca="1">+SUMIF('Monthly Cohorts'!$E$178:'Monthly Cohorts'!$E$341,$D15,'Monthly Cohorts'!FF$178:'Monthly Cohorts'!FF$341)</f>
        <v>0</v>
      </c>
      <c r="FG15" s="58">
        <f ca="1">+SUMIF('Monthly Cohorts'!$E$178:'Monthly Cohorts'!$E$341,$D15,'Monthly Cohorts'!FG$178:'Monthly Cohorts'!FG$341)</f>
        <v>0</v>
      </c>
      <c r="FH15" s="58">
        <f ca="1">+SUMIF('Monthly Cohorts'!$E$178:'Monthly Cohorts'!$E$341,$D15,'Monthly Cohorts'!FH$178:'Monthly Cohorts'!FH$341)</f>
        <v>0</v>
      </c>
      <c r="FI15" s="58">
        <f ca="1">+SUMIF('Monthly Cohorts'!$E$178:'Monthly Cohorts'!$E$341,$D15,'Monthly Cohorts'!FI$178:'Monthly Cohorts'!FI$341)</f>
        <v>0</v>
      </c>
      <c r="FJ15" s="58">
        <f ca="1">+SUMIF('Monthly Cohorts'!$E$178:'Monthly Cohorts'!$E$341,$D15,'Monthly Cohorts'!FJ$178:'Monthly Cohorts'!FJ$341)</f>
        <v>0</v>
      </c>
      <c r="FK15" s="58">
        <f ca="1">+SUMIF('Monthly Cohorts'!$E$178:'Monthly Cohorts'!$E$341,$D15,'Monthly Cohorts'!FK$178:'Monthly Cohorts'!FK$341)</f>
        <v>0</v>
      </c>
      <c r="FL15" s="58">
        <f ca="1">+SUMIF('Monthly Cohorts'!$E$178:'Monthly Cohorts'!$E$341,$D15,'Monthly Cohorts'!FL$178:'Monthly Cohorts'!FL$341)</f>
        <v>0</v>
      </c>
      <c r="FM15" s="58">
        <f ca="1">+SUMIF('Monthly Cohorts'!$E$178:'Monthly Cohorts'!$E$341,$D15,'Monthly Cohorts'!FM$178:'Monthly Cohorts'!FM$341)</f>
        <v>0</v>
      </c>
      <c r="FN15" s="58">
        <f ca="1">+SUMIF('Monthly Cohorts'!$E$178:'Monthly Cohorts'!$E$341,$D15,'Monthly Cohorts'!FN$178:'Monthly Cohorts'!FN$341)</f>
        <v>0</v>
      </c>
      <c r="FO15" s="13"/>
    </row>
    <row r="16" spans="1:171" outlineLevel="1" x14ac:dyDescent="0.3">
      <c r="A16" s="13"/>
      <c r="B16" s="13"/>
      <c r="C16" s="13"/>
      <c r="D16" s="59">
        <f t="shared" si="11"/>
        <v>2016</v>
      </c>
      <c r="E16" s="25"/>
      <c r="F16" s="20"/>
      <c r="G16" s="58">
        <f ca="1">+SUMIF('Monthly Cohorts'!$E$178:'Monthly Cohorts'!$E$341,$D16,'Monthly Cohorts'!G$178:'Monthly Cohorts'!G$341)</f>
        <v>0</v>
      </c>
      <c r="H16" s="58">
        <f ca="1">+SUMIF('Monthly Cohorts'!$E$178:'Monthly Cohorts'!$E$341,$D16,'Monthly Cohorts'!H$178:'Monthly Cohorts'!H$341)</f>
        <v>0</v>
      </c>
      <c r="I16" s="58">
        <f ca="1">+SUMIF('Monthly Cohorts'!$E$178:'Monthly Cohorts'!$E$341,$D16,'Monthly Cohorts'!I$178:'Monthly Cohorts'!I$341)</f>
        <v>0</v>
      </c>
      <c r="J16" s="58">
        <f ca="1">+SUMIF('Monthly Cohorts'!$E$178:'Monthly Cohorts'!$E$341,$D16,'Monthly Cohorts'!J$178:'Monthly Cohorts'!J$341)</f>
        <v>0</v>
      </c>
      <c r="K16" s="58">
        <f ca="1">+SUMIF('Monthly Cohorts'!$E$178:'Monthly Cohorts'!$E$341,$D16,'Monthly Cohorts'!K$178:'Monthly Cohorts'!K$341)</f>
        <v>0</v>
      </c>
      <c r="L16" s="58">
        <f ca="1">+SUMIF('Monthly Cohorts'!$E$178:'Monthly Cohorts'!$E$341,$D16,'Monthly Cohorts'!L$178:'Monthly Cohorts'!L$341)</f>
        <v>0</v>
      </c>
      <c r="M16" s="58">
        <f ca="1">+SUMIF('Monthly Cohorts'!$E$178:'Monthly Cohorts'!$E$341,$D16,'Monthly Cohorts'!M$178:'Monthly Cohorts'!M$341)</f>
        <v>0</v>
      </c>
      <c r="N16" s="58">
        <f ca="1">+SUMIF('Monthly Cohorts'!$E$178:'Monthly Cohorts'!$E$341,$D16,'Monthly Cohorts'!N$178:'Monthly Cohorts'!N$341)</f>
        <v>0</v>
      </c>
      <c r="O16" s="58">
        <f ca="1">+SUMIF('Monthly Cohorts'!$E$178:'Monthly Cohorts'!$E$341,$D16,'Monthly Cohorts'!O$178:'Monthly Cohorts'!O$341)</f>
        <v>0</v>
      </c>
      <c r="P16" s="58">
        <f ca="1">+SUMIF('Monthly Cohorts'!$E$178:'Monthly Cohorts'!$E$341,$D16,'Monthly Cohorts'!P$178:'Monthly Cohorts'!P$341)</f>
        <v>0</v>
      </c>
      <c r="Q16" s="58">
        <f ca="1">+SUMIF('Monthly Cohorts'!$E$178:'Monthly Cohorts'!$E$341,$D16,'Monthly Cohorts'!Q$178:'Monthly Cohorts'!Q$341)</f>
        <v>0</v>
      </c>
      <c r="R16" s="58">
        <f ca="1">+SUMIF('Monthly Cohorts'!$E$178:'Monthly Cohorts'!$E$341,$D16,'Monthly Cohorts'!R$178:'Monthly Cohorts'!R$341)</f>
        <v>0</v>
      </c>
      <c r="S16" s="58">
        <f ca="1">+SUMIF('Monthly Cohorts'!$E$178:'Monthly Cohorts'!$E$341,$D16,'Monthly Cohorts'!S$178:'Monthly Cohorts'!S$341)</f>
        <v>0</v>
      </c>
      <c r="T16" s="58">
        <f ca="1">+SUMIF('Monthly Cohorts'!$E$178:'Monthly Cohorts'!$E$341,$D16,'Monthly Cohorts'!T$178:'Monthly Cohorts'!T$341)</f>
        <v>0</v>
      </c>
      <c r="U16" s="58">
        <f ca="1">+SUMIF('Monthly Cohorts'!$E$178:'Monthly Cohorts'!$E$341,$D16,'Monthly Cohorts'!U$178:'Monthly Cohorts'!U$341)</f>
        <v>0</v>
      </c>
      <c r="V16" s="58">
        <f ca="1">+SUMIF('Monthly Cohorts'!$E$178:'Monthly Cohorts'!$E$341,$D16,'Monthly Cohorts'!V$178:'Monthly Cohorts'!V$341)</f>
        <v>0</v>
      </c>
      <c r="W16" s="58">
        <f ca="1">+SUMIF('Monthly Cohorts'!$E$178:'Monthly Cohorts'!$E$341,$D16,'Monthly Cohorts'!W$178:'Monthly Cohorts'!W$341)</f>
        <v>0</v>
      </c>
      <c r="X16" s="58">
        <f ca="1">+SUMIF('Monthly Cohorts'!$E$178:'Monthly Cohorts'!$E$341,$D16,'Monthly Cohorts'!X$178:'Monthly Cohorts'!X$341)</f>
        <v>0</v>
      </c>
      <c r="Y16" s="58">
        <f ca="1">+SUMIF('Monthly Cohorts'!$E$178:'Monthly Cohorts'!$E$341,$D16,'Monthly Cohorts'!Y$178:'Monthly Cohorts'!Y$341)</f>
        <v>0</v>
      </c>
      <c r="Z16" s="58">
        <f ca="1">+SUMIF('Monthly Cohorts'!$E$178:'Monthly Cohorts'!$E$341,$D16,'Monthly Cohorts'!Z$178:'Monthly Cohorts'!Z$341)</f>
        <v>0</v>
      </c>
      <c r="AA16" s="58">
        <f ca="1">+SUMIF('Monthly Cohorts'!$E$178:'Monthly Cohorts'!$E$341,$D16,'Monthly Cohorts'!AA$178:'Monthly Cohorts'!AA$341)</f>
        <v>0</v>
      </c>
      <c r="AB16" s="58">
        <f ca="1">+SUMIF('Monthly Cohorts'!$E$178:'Monthly Cohorts'!$E$341,$D16,'Monthly Cohorts'!AB$178:'Monthly Cohorts'!AB$341)</f>
        <v>0</v>
      </c>
      <c r="AC16" s="58">
        <f ca="1">+SUMIF('Monthly Cohorts'!$E$178:'Monthly Cohorts'!$E$341,$D16,'Monthly Cohorts'!AC$178:'Monthly Cohorts'!AC$341)</f>
        <v>0</v>
      </c>
      <c r="AD16" s="58">
        <f ca="1">+SUMIF('Monthly Cohorts'!$E$178:'Monthly Cohorts'!$E$341,$D16,'Monthly Cohorts'!AD$178:'Monthly Cohorts'!AD$341)</f>
        <v>0</v>
      </c>
      <c r="AE16" s="58">
        <f ca="1">+SUMIF('Monthly Cohorts'!$E$178:'Monthly Cohorts'!$E$341,$D16,'Monthly Cohorts'!AE$178:'Monthly Cohorts'!AE$341)</f>
        <v>0</v>
      </c>
      <c r="AF16" s="58">
        <f ca="1">+SUMIF('Monthly Cohorts'!$E$178:'Monthly Cohorts'!$E$341,$D16,'Monthly Cohorts'!AF$178:'Monthly Cohorts'!AF$341)</f>
        <v>0</v>
      </c>
      <c r="AG16" s="58">
        <f ca="1">+SUMIF('Monthly Cohorts'!$E$178:'Monthly Cohorts'!$E$341,$D16,'Monthly Cohorts'!AG$178:'Monthly Cohorts'!AG$341)</f>
        <v>0</v>
      </c>
      <c r="AH16" s="58">
        <f ca="1">+SUMIF('Monthly Cohorts'!$E$178:'Monthly Cohorts'!$E$341,$D16,'Monthly Cohorts'!AH$178:'Monthly Cohorts'!AH$341)</f>
        <v>0</v>
      </c>
      <c r="AI16" s="58">
        <f ca="1">+SUMIF('Monthly Cohorts'!$E$178:'Monthly Cohorts'!$E$341,$D16,'Monthly Cohorts'!AI$178:'Monthly Cohorts'!AI$341)</f>
        <v>0</v>
      </c>
      <c r="AJ16" s="58">
        <f ca="1">+SUMIF('Monthly Cohorts'!$E$178:'Monthly Cohorts'!$E$341,$D16,'Monthly Cohorts'!AJ$178:'Monthly Cohorts'!AJ$341)</f>
        <v>0</v>
      </c>
      <c r="AK16" s="58">
        <f ca="1">+SUMIF('Monthly Cohorts'!$E$178:'Monthly Cohorts'!$E$341,$D16,'Monthly Cohorts'!AK$178:'Monthly Cohorts'!AK$341)</f>
        <v>0</v>
      </c>
      <c r="AL16" s="58">
        <f ca="1">+SUMIF('Monthly Cohorts'!$E$178:'Monthly Cohorts'!$E$341,$D16,'Monthly Cohorts'!AL$178:'Monthly Cohorts'!AL$341)</f>
        <v>0</v>
      </c>
      <c r="AM16" s="58">
        <f ca="1">+SUMIF('Monthly Cohorts'!$E$178:'Monthly Cohorts'!$E$341,$D16,'Monthly Cohorts'!AM$178:'Monthly Cohorts'!AM$341)</f>
        <v>0</v>
      </c>
      <c r="AN16" s="58">
        <f ca="1">+SUMIF('Monthly Cohorts'!$E$178:'Monthly Cohorts'!$E$341,$D16,'Monthly Cohorts'!AN$178:'Monthly Cohorts'!AN$341)</f>
        <v>0</v>
      </c>
      <c r="AO16" s="58">
        <f ca="1">+SUMIF('Monthly Cohorts'!$E$178:'Monthly Cohorts'!$E$341,$D16,'Monthly Cohorts'!AO$178:'Monthly Cohorts'!AO$341)</f>
        <v>0</v>
      </c>
      <c r="AP16" s="58">
        <f ca="1">+SUMIF('Monthly Cohorts'!$E$178:'Monthly Cohorts'!$E$341,$D16,'Monthly Cohorts'!AP$178:'Monthly Cohorts'!AP$341)</f>
        <v>0</v>
      </c>
      <c r="AQ16" s="58">
        <f ca="1">+SUMIF('Monthly Cohorts'!$E$178:'Monthly Cohorts'!$E$341,$D16,'Monthly Cohorts'!AQ$178:'Monthly Cohorts'!AQ$341)</f>
        <v>0</v>
      </c>
      <c r="AR16" s="58">
        <f ca="1">+SUMIF('Monthly Cohorts'!$E$178:'Monthly Cohorts'!$E$341,$D16,'Monthly Cohorts'!AR$178:'Monthly Cohorts'!AR$341)</f>
        <v>0</v>
      </c>
      <c r="AS16" s="58">
        <f ca="1">+SUMIF('Monthly Cohorts'!$E$178:'Monthly Cohorts'!$E$341,$D16,'Monthly Cohorts'!AS$178:'Monthly Cohorts'!AS$341)</f>
        <v>0</v>
      </c>
      <c r="AT16" s="58">
        <f ca="1">+SUMIF('Monthly Cohorts'!$E$178:'Monthly Cohorts'!$E$341,$D16,'Monthly Cohorts'!AT$178:'Monthly Cohorts'!AT$341)</f>
        <v>0</v>
      </c>
      <c r="AU16" s="58">
        <f ca="1">+SUMIF('Monthly Cohorts'!$E$178:'Monthly Cohorts'!$E$341,$D16,'Monthly Cohorts'!AU$178:'Monthly Cohorts'!AU$341)</f>
        <v>0</v>
      </c>
      <c r="AV16" s="58">
        <f ca="1">+SUMIF('Monthly Cohorts'!$E$178:'Monthly Cohorts'!$E$341,$D16,'Monthly Cohorts'!AV$178:'Monthly Cohorts'!AV$341)</f>
        <v>0</v>
      </c>
      <c r="AW16" s="58">
        <f ca="1">+SUMIF('Monthly Cohorts'!$E$178:'Monthly Cohorts'!$E$341,$D16,'Monthly Cohorts'!AW$178:'Monthly Cohorts'!AW$341)</f>
        <v>0</v>
      </c>
      <c r="AX16" s="58">
        <f ca="1">+SUMIF('Monthly Cohorts'!$E$178:'Monthly Cohorts'!$E$341,$D16,'Monthly Cohorts'!AX$178:'Monthly Cohorts'!AX$341)</f>
        <v>0</v>
      </c>
      <c r="AY16" s="58">
        <f ca="1">+SUMIF('Monthly Cohorts'!$E$178:'Monthly Cohorts'!$E$341,$D16,'Monthly Cohorts'!AY$178:'Monthly Cohorts'!AY$341)</f>
        <v>0</v>
      </c>
      <c r="AZ16" s="58">
        <f ca="1">+SUMIF('Monthly Cohorts'!$E$178:'Monthly Cohorts'!$E$341,$D16,'Monthly Cohorts'!AZ$178:'Monthly Cohorts'!AZ$341)</f>
        <v>0</v>
      </c>
      <c r="BA16" s="58">
        <f ca="1">+SUMIF('Monthly Cohorts'!$E$178:'Monthly Cohorts'!$E$341,$D16,'Monthly Cohorts'!BA$178:'Monthly Cohorts'!BA$341)</f>
        <v>0</v>
      </c>
      <c r="BB16" s="58">
        <f ca="1">+SUMIF('Monthly Cohorts'!$E$178:'Monthly Cohorts'!$E$341,$D16,'Monthly Cohorts'!BB$178:'Monthly Cohorts'!BB$341)</f>
        <v>0</v>
      </c>
      <c r="BC16" s="58">
        <f ca="1">+SUMIF('Monthly Cohorts'!$E$178:'Monthly Cohorts'!$E$341,$D16,'Monthly Cohorts'!BC$178:'Monthly Cohorts'!BC$341)</f>
        <v>0</v>
      </c>
      <c r="BD16" s="58">
        <f ca="1">+SUMIF('Monthly Cohorts'!$E$178:'Monthly Cohorts'!$E$341,$D16,'Monthly Cohorts'!BD$178:'Monthly Cohorts'!BD$341)</f>
        <v>0</v>
      </c>
      <c r="BE16" s="58">
        <f ca="1">+SUMIF('Monthly Cohorts'!$E$178:'Monthly Cohorts'!$E$341,$D16,'Monthly Cohorts'!BE$178:'Monthly Cohorts'!BE$341)</f>
        <v>0</v>
      </c>
      <c r="BF16" s="58">
        <f ca="1">+SUMIF('Monthly Cohorts'!$E$178:'Monthly Cohorts'!$E$341,$D16,'Monthly Cohorts'!BF$178:'Monthly Cohorts'!BF$341)</f>
        <v>0</v>
      </c>
      <c r="BG16" s="58">
        <f ca="1">+SUMIF('Monthly Cohorts'!$E$178:'Monthly Cohorts'!$E$341,$D16,'Monthly Cohorts'!BG$178:'Monthly Cohorts'!BG$341)</f>
        <v>0</v>
      </c>
      <c r="BH16" s="58">
        <f ca="1">+SUMIF('Monthly Cohorts'!$E$178:'Monthly Cohorts'!$E$341,$D16,'Monthly Cohorts'!BH$178:'Monthly Cohorts'!BH$341)</f>
        <v>0</v>
      </c>
      <c r="BI16" s="58">
        <f ca="1">+SUMIF('Monthly Cohorts'!$E$178:'Monthly Cohorts'!$E$341,$D16,'Monthly Cohorts'!BI$178:'Monthly Cohorts'!BI$341)</f>
        <v>0</v>
      </c>
      <c r="BJ16" s="58">
        <f ca="1">+SUMIF('Monthly Cohorts'!$E$178:'Monthly Cohorts'!$E$341,$D16,'Monthly Cohorts'!BJ$178:'Monthly Cohorts'!BJ$341)</f>
        <v>0</v>
      </c>
      <c r="BK16" s="58">
        <f ca="1">+SUMIF('Monthly Cohorts'!$E$178:'Monthly Cohorts'!$E$341,$D16,'Monthly Cohorts'!BK$178:'Monthly Cohorts'!BK$341)</f>
        <v>0</v>
      </c>
      <c r="BL16" s="58">
        <f ca="1">+SUMIF('Monthly Cohorts'!$E$178:'Monthly Cohorts'!$E$341,$D16,'Monthly Cohorts'!BL$178:'Monthly Cohorts'!BL$341)</f>
        <v>0</v>
      </c>
      <c r="BM16" s="58">
        <f ca="1">+SUMIF('Monthly Cohorts'!$E$178:'Monthly Cohorts'!$E$341,$D16,'Monthly Cohorts'!BM$178:'Monthly Cohorts'!BM$341)</f>
        <v>0</v>
      </c>
      <c r="BN16" s="58">
        <f ca="1">+SUMIF('Monthly Cohorts'!$E$178:'Monthly Cohorts'!$E$341,$D16,'Monthly Cohorts'!BN$178:'Monthly Cohorts'!BN$341)</f>
        <v>0</v>
      </c>
      <c r="BO16" s="58">
        <f ca="1">+SUMIF('Monthly Cohorts'!$E$178:'Monthly Cohorts'!$E$341,$D16,'Monthly Cohorts'!BO$178:'Monthly Cohorts'!BO$341)</f>
        <v>0</v>
      </c>
      <c r="BP16" s="58">
        <f ca="1">+SUMIF('Monthly Cohorts'!$E$178:'Monthly Cohorts'!$E$341,$D16,'Monthly Cohorts'!BP$178:'Monthly Cohorts'!BP$341)</f>
        <v>0</v>
      </c>
      <c r="BQ16" s="58">
        <f ca="1">+SUMIF('Monthly Cohorts'!$E$178:'Monthly Cohorts'!$E$341,$D16,'Monthly Cohorts'!BQ$178:'Monthly Cohorts'!BQ$341)</f>
        <v>0</v>
      </c>
      <c r="BR16" s="58">
        <f ca="1">+SUMIF('Monthly Cohorts'!$E$178:'Monthly Cohorts'!$E$341,$D16,'Monthly Cohorts'!BR$178:'Monthly Cohorts'!BR$341)</f>
        <v>0</v>
      </c>
      <c r="BS16" s="58">
        <f ca="1">+SUMIF('Monthly Cohorts'!$E$178:'Monthly Cohorts'!$E$341,$D16,'Monthly Cohorts'!BS$178:'Monthly Cohorts'!BS$341)</f>
        <v>0</v>
      </c>
      <c r="BT16" s="58">
        <f ca="1">+SUMIF('Monthly Cohorts'!$E$178:'Monthly Cohorts'!$E$341,$D16,'Monthly Cohorts'!BT$178:'Monthly Cohorts'!BT$341)</f>
        <v>0</v>
      </c>
      <c r="BU16" s="58">
        <f ca="1">+SUMIF('Monthly Cohorts'!$E$178:'Monthly Cohorts'!$E$341,$D16,'Monthly Cohorts'!BU$178:'Monthly Cohorts'!BU$341)</f>
        <v>0</v>
      </c>
      <c r="BV16" s="58">
        <f ca="1">+SUMIF('Monthly Cohorts'!$E$178:'Monthly Cohorts'!$E$341,$D16,'Monthly Cohorts'!BV$178:'Monthly Cohorts'!BV$341)</f>
        <v>0</v>
      </c>
      <c r="BW16" s="58">
        <f ca="1">+SUMIF('Monthly Cohorts'!$E$178:'Monthly Cohorts'!$E$341,$D16,'Monthly Cohorts'!BW$178:'Monthly Cohorts'!BW$341)</f>
        <v>0</v>
      </c>
      <c r="BX16" s="58">
        <f ca="1">+SUMIF('Monthly Cohorts'!$E$178:'Monthly Cohorts'!$E$341,$D16,'Monthly Cohorts'!BX$178:'Monthly Cohorts'!BX$341)</f>
        <v>0</v>
      </c>
      <c r="BY16" s="58">
        <f ca="1">+SUMIF('Monthly Cohorts'!$E$178:'Monthly Cohorts'!$E$341,$D16,'Monthly Cohorts'!BY$178:'Monthly Cohorts'!BY$341)</f>
        <v>0</v>
      </c>
      <c r="BZ16" s="58">
        <f ca="1">+SUMIF('Monthly Cohorts'!$E$178:'Monthly Cohorts'!$E$341,$D16,'Monthly Cohorts'!BZ$178:'Monthly Cohorts'!BZ$341)</f>
        <v>0</v>
      </c>
      <c r="CA16" s="58">
        <f ca="1">+SUMIF('Monthly Cohorts'!$E$178:'Monthly Cohorts'!$E$341,$D16,'Monthly Cohorts'!CA$178:'Monthly Cohorts'!CA$341)</f>
        <v>0</v>
      </c>
      <c r="CB16" s="58">
        <f ca="1">+SUMIF('Monthly Cohorts'!$E$178:'Monthly Cohorts'!$E$341,$D16,'Monthly Cohorts'!CB$178:'Monthly Cohorts'!CB$341)</f>
        <v>0</v>
      </c>
      <c r="CC16" s="58">
        <f ca="1">+SUMIF('Monthly Cohorts'!$E$178:'Monthly Cohorts'!$E$341,$D16,'Monthly Cohorts'!CC$178:'Monthly Cohorts'!CC$341)</f>
        <v>0</v>
      </c>
      <c r="CD16" s="58">
        <f ca="1">+SUMIF('Monthly Cohorts'!$E$178:'Monthly Cohorts'!$E$341,$D16,'Monthly Cohorts'!CD$178:'Monthly Cohorts'!CD$341)</f>
        <v>0</v>
      </c>
      <c r="CE16" s="58">
        <f ca="1">+SUMIF('Monthly Cohorts'!$E$178:'Monthly Cohorts'!$E$341,$D16,'Monthly Cohorts'!CE$178:'Monthly Cohorts'!CE$341)</f>
        <v>0</v>
      </c>
      <c r="CF16" s="58">
        <f ca="1">+SUMIF('Monthly Cohorts'!$E$178:'Monthly Cohorts'!$E$341,$D16,'Monthly Cohorts'!CF$178:'Monthly Cohorts'!CF$341)</f>
        <v>0</v>
      </c>
      <c r="CG16" s="58">
        <f ca="1">+SUMIF('Monthly Cohorts'!$E$178:'Monthly Cohorts'!$E$341,$D16,'Monthly Cohorts'!CG$178:'Monthly Cohorts'!CG$341)</f>
        <v>0</v>
      </c>
      <c r="CH16" s="58">
        <f ca="1">+SUMIF('Monthly Cohorts'!$E$178:'Monthly Cohorts'!$E$341,$D16,'Monthly Cohorts'!CH$178:'Monthly Cohorts'!CH$341)</f>
        <v>0</v>
      </c>
      <c r="CI16" s="58">
        <f ca="1">+SUMIF('Monthly Cohorts'!$E$178:'Monthly Cohorts'!$E$341,$D16,'Monthly Cohorts'!CI$178:'Monthly Cohorts'!CI$341)</f>
        <v>0</v>
      </c>
      <c r="CJ16" s="58">
        <f ca="1">+SUMIF('Monthly Cohorts'!$E$178:'Monthly Cohorts'!$E$341,$D16,'Monthly Cohorts'!CJ$178:'Monthly Cohorts'!CJ$341)</f>
        <v>0</v>
      </c>
      <c r="CK16" s="58">
        <f ca="1">+SUMIF('Monthly Cohorts'!$E$178:'Monthly Cohorts'!$E$341,$D16,'Monthly Cohorts'!CK$178:'Monthly Cohorts'!CK$341)</f>
        <v>0</v>
      </c>
      <c r="CL16" s="58">
        <f ca="1">+SUMIF('Monthly Cohorts'!$E$178:'Monthly Cohorts'!$E$341,$D16,'Monthly Cohorts'!CL$178:'Monthly Cohorts'!CL$341)</f>
        <v>0</v>
      </c>
      <c r="CM16" s="58">
        <f ca="1">+SUMIF('Monthly Cohorts'!$E$178:'Monthly Cohorts'!$E$341,$D16,'Monthly Cohorts'!CM$178:'Monthly Cohorts'!CM$341)</f>
        <v>0</v>
      </c>
      <c r="CN16" s="58">
        <f ca="1">+SUMIF('Monthly Cohorts'!$E$178:'Monthly Cohorts'!$E$341,$D16,'Monthly Cohorts'!CN$178:'Monthly Cohorts'!CN$341)</f>
        <v>0</v>
      </c>
      <c r="CO16" s="58">
        <f ca="1">+SUMIF('Monthly Cohorts'!$E$178:'Monthly Cohorts'!$E$341,$D16,'Monthly Cohorts'!CO$178:'Monthly Cohorts'!CO$341)</f>
        <v>0</v>
      </c>
      <c r="CP16" s="58">
        <f ca="1">+SUMIF('Monthly Cohorts'!$E$178:'Monthly Cohorts'!$E$341,$D16,'Monthly Cohorts'!CP$178:'Monthly Cohorts'!CP$341)</f>
        <v>0</v>
      </c>
      <c r="CQ16" s="58">
        <f ca="1">+SUMIF('Monthly Cohorts'!$E$178:'Monthly Cohorts'!$E$341,$D16,'Monthly Cohorts'!CQ$178:'Monthly Cohorts'!CQ$341)</f>
        <v>0</v>
      </c>
      <c r="CR16" s="58">
        <f ca="1">+SUMIF('Monthly Cohorts'!$E$178:'Monthly Cohorts'!$E$341,$D16,'Monthly Cohorts'!CR$178:'Monthly Cohorts'!CR$341)</f>
        <v>0</v>
      </c>
      <c r="CS16" s="58">
        <f ca="1">+SUMIF('Monthly Cohorts'!$E$178:'Monthly Cohorts'!$E$341,$D16,'Monthly Cohorts'!CS$178:'Monthly Cohorts'!CS$341)</f>
        <v>0</v>
      </c>
      <c r="CT16" s="58">
        <f ca="1">+SUMIF('Monthly Cohorts'!$E$178:'Monthly Cohorts'!$E$341,$D16,'Monthly Cohorts'!CT$178:'Monthly Cohorts'!CT$341)</f>
        <v>0</v>
      </c>
      <c r="CU16" s="58">
        <f ca="1">+SUMIF('Monthly Cohorts'!$E$178:'Monthly Cohorts'!$E$341,$D16,'Monthly Cohorts'!CU$178:'Monthly Cohorts'!CU$341)</f>
        <v>0</v>
      </c>
      <c r="CV16" s="58">
        <f ca="1">+SUMIF('Monthly Cohorts'!$E$178:'Monthly Cohorts'!$E$341,$D16,'Monthly Cohorts'!CV$178:'Monthly Cohorts'!CV$341)</f>
        <v>0</v>
      </c>
      <c r="CW16" s="58">
        <f ca="1">+SUMIF('Monthly Cohorts'!$E$178:'Monthly Cohorts'!$E$341,$D16,'Monthly Cohorts'!CW$178:'Monthly Cohorts'!CW$341)</f>
        <v>0</v>
      </c>
      <c r="CX16" s="58">
        <f ca="1">+SUMIF('Monthly Cohorts'!$E$178:'Monthly Cohorts'!$E$341,$D16,'Monthly Cohorts'!CX$178:'Monthly Cohorts'!CX$341)</f>
        <v>0</v>
      </c>
      <c r="CY16" s="58">
        <f ca="1">+SUMIF('Monthly Cohorts'!$E$178:'Monthly Cohorts'!$E$341,$D16,'Monthly Cohorts'!CY$178:'Monthly Cohorts'!CY$341)</f>
        <v>0</v>
      </c>
      <c r="CZ16" s="58">
        <f ca="1">+SUMIF('Monthly Cohorts'!$E$178:'Monthly Cohorts'!$E$341,$D16,'Monthly Cohorts'!CZ$178:'Monthly Cohorts'!CZ$341)</f>
        <v>0</v>
      </c>
      <c r="DA16" s="58">
        <f ca="1">+SUMIF('Monthly Cohorts'!$E$178:'Monthly Cohorts'!$E$341,$D16,'Monthly Cohorts'!DA$178:'Monthly Cohorts'!DA$341)</f>
        <v>0</v>
      </c>
      <c r="DB16" s="58">
        <f ca="1">+SUMIF('Monthly Cohorts'!$E$178:'Monthly Cohorts'!$E$341,$D16,'Monthly Cohorts'!DB$178:'Monthly Cohorts'!DB$341)</f>
        <v>0</v>
      </c>
      <c r="DC16" s="58">
        <f ca="1">+SUMIF('Monthly Cohorts'!$E$178:'Monthly Cohorts'!$E$341,$D16,'Monthly Cohorts'!DC$178:'Monthly Cohorts'!DC$341)</f>
        <v>0</v>
      </c>
      <c r="DD16" s="58">
        <f ca="1">+SUMIF('Monthly Cohorts'!$E$178:'Monthly Cohorts'!$E$341,$D16,'Monthly Cohorts'!DD$178:'Monthly Cohorts'!DD$341)</f>
        <v>0</v>
      </c>
      <c r="DE16" s="58">
        <f ca="1">+SUMIF('Monthly Cohorts'!$E$178:'Monthly Cohorts'!$E$341,$D16,'Monthly Cohorts'!DE$178:'Monthly Cohorts'!DE$341)</f>
        <v>0</v>
      </c>
      <c r="DF16" s="58">
        <f ca="1">+SUMIF('Monthly Cohorts'!$E$178:'Monthly Cohorts'!$E$341,$D16,'Monthly Cohorts'!DF$178:'Monthly Cohorts'!DF$341)</f>
        <v>0</v>
      </c>
      <c r="DG16" s="58">
        <f ca="1">+SUMIF('Monthly Cohorts'!$E$178:'Monthly Cohorts'!$E$341,$D16,'Monthly Cohorts'!DG$178:'Monthly Cohorts'!DG$341)</f>
        <v>0</v>
      </c>
      <c r="DH16" s="58">
        <f ca="1">+SUMIF('Monthly Cohorts'!$E$178:'Monthly Cohorts'!$E$341,$D16,'Monthly Cohorts'!DH$178:'Monthly Cohorts'!DH$341)</f>
        <v>0</v>
      </c>
      <c r="DI16" s="58">
        <f ca="1">+SUMIF('Monthly Cohorts'!$E$178:'Monthly Cohorts'!$E$341,$D16,'Monthly Cohorts'!DI$178:'Monthly Cohorts'!DI$341)</f>
        <v>0</v>
      </c>
      <c r="DJ16" s="58">
        <f ca="1">+SUMIF('Monthly Cohorts'!$E$178:'Monthly Cohorts'!$E$341,$D16,'Monthly Cohorts'!DJ$178:'Monthly Cohorts'!DJ$341)</f>
        <v>0</v>
      </c>
      <c r="DK16" s="58">
        <f ca="1">+SUMIF('Monthly Cohorts'!$E$178:'Monthly Cohorts'!$E$341,$D16,'Monthly Cohorts'!DK$178:'Monthly Cohorts'!DK$341)</f>
        <v>0</v>
      </c>
      <c r="DL16" s="58">
        <f ca="1">+SUMIF('Monthly Cohorts'!$E$178:'Monthly Cohorts'!$E$341,$D16,'Monthly Cohorts'!DL$178:'Monthly Cohorts'!DL$341)</f>
        <v>0</v>
      </c>
      <c r="DM16" s="58">
        <f ca="1">+SUMIF('Monthly Cohorts'!$E$178:'Monthly Cohorts'!$E$341,$D16,'Monthly Cohorts'!DM$178:'Monthly Cohorts'!DM$341)</f>
        <v>0</v>
      </c>
      <c r="DN16" s="58">
        <f ca="1">+SUMIF('Monthly Cohorts'!$E$178:'Monthly Cohorts'!$E$341,$D16,'Monthly Cohorts'!DN$178:'Monthly Cohorts'!DN$341)</f>
        <v>0</v>
      </c>
      <c r="DO16" s="58">
        <f ca="1">+SUMIF('Monthly Cohorts'!$E$178:'Monthly Cohorts'!$E$341,$D16,'Monthly Cohorts'!DO$178:'Monthly Cohorts'!DO$341)</f>
        <v>0</v>
      </c>
      <c r="DP16" s="58">
        <f ca="1">+SUMIF('Monthly Cohorts'!$E$178:'Monthly Cohorts'!$E$341,$D16,'Monthly Cohorts'!DP$178:'Monthly Cohorts'!DP$341)</f>
        <v>0</v>
      </c>
      <c r="DQ16" s="58">
        <f ca="1">+SUMIF('Monthly Cohorts'!$E$178:'Monthly Cohorts'!$E$341,$D16,'Monthly Cohorts'!DQ$178:'Monthly Cohorts'!DQ$341)</f>
        <v>0</v>
      </c>
      <c r="DR16" s="58">
        <f ca="1">+SUMIF('Monthly Cohorts'!$E$178:'Monthly Cohorts'!$E$341,$D16,'Monthly Cohorts'!DR$178:'Monthly Cohorts'!DR$341)</f>
        <v>0</v>
      </c>
      <c r="DS16" s="58">
        <f ca="1">+SUMIF('Monthly Cohorts'!$E$178:'Monthly Cohorts'!$E$341,$D16,'Monthly Cohorts'!DS$178:'Monthly Cohorts'!DS$341)</f>
        <v>0</v>
      </c>
      <c r="DT16" s="58">
        <f ca="1">+SUMIF('Monthly Cohorts'!$E$178:'Monthly Cohorts'!$E$341,$D16,'Monthly Cohorts'!DT$178:'Monthly Cohorts'!DT$341)</f>
        <v>0</v>
      </c>
      <c r="DU16" s="58">
        <f ca="1">+SUMIF('Monthly Cohorts'!$E$178:'Monthly Cohorts'!$E$341,$D16,'Monthly Cohorts'!DU$178:'Monthly Cohorts'!DU$341)</f>
        <v>0</v>
      </c>
      <c r="DV16" s="58">
        <f ca="1">+SUMIF('Monthly Cohorts'!$E$178:'Monthly Cohorts'!$E$341,$D16,'Monthly Cohorts'!DV$178:'Monthly Cohorts'!DV$341)</f>
        <v>0</v>
      </c>
      <c r="DW16" s="58">
        <f ca="1">+SUMIF('Monthly Cohorts'!$E$178:'Monthly Cohorts'!$E$341,$D16,'Monthly Cohorts'!DW$178:'Monthly Cohorts'!DW$341)</f>
        <v>0</v>
      </c>
      <c r="DX16" s="58">
        <f ca="1">+SUMIF('Monthly Cohorts'!$E$178:'Monthly Cohorts'!$E$341,$D16,'Monthly Cohorts'!DX$178:'Monthly Cohorts'!DX$341)</f>
        <v>0</v>
      </c>
      <c r="DY16" s="58">
        <f ca="1">+SUMIF('Monthly Cohorts'!$E$178:'Monthly Cohorts'!$E$341,$D16,'Monthly Cohorts'!DY$178:'Monthly Cohorts'!DY$341)</f>
        <v>0</v>
      </c>
      <c r="DZ16" s="58">
        <f ca="1">+SUMIF('Monthly Cohorts'!$E$178:'Monthly Cohorts'!$E$341,$D16,'Monthly Cohorts'!DZ$178:'Monthly Cohorts'!DZ$341)</f>
        <v>0</v>
      </c>
      <c r="EA16" s="58">
        <f ca="1">+SUMIF('Monthly Cohorts'!$E$178:'Monthly Cohorts'!$E$341,$D16,'Monthly Cohorts'!EA$178:'Monthly Cohorts'!EA$341)</f>
        <v>0</v>
      </c>
      <c r="EB16" s="58">
        <f ca="1">+SUMIF('Monthly Cohorts'!$E$178:'Monthly Cohorts'!$E$341,$D16,'Monthly Cohorts'!EB$178:'Monthly Cohorts'!EB$341)</f>
        <v>0</v>
      </c>
      <c r="EC16" s="58">
        <f ca="1">+SUMIF('Monthly Cohorts'!$E$178:'Monthly Cohorts'!$E$341,$D16,'Monthly Cohorts'!EC$178:'Monthly Cohorts'!EC$341)</f>
        <v>0</v>
      </c>
      <c r="ED16" s="58">
        <f ca="1">+SUMIF('Monthly Cohorts'!$E$178:'Monthly Cohorts'!$E$341,$D16,'Monthly Cohorts'!ED$178:'Monthly Cohorts'!ED$341)</f>
        <v>0</v>
      </c>
      <c r="EE16" s="58">
        <f ca="1">+SUMIF('Monthly Cohorts'!$E$178:'Monthly Cohorts'!$E$341,$D16,'Monthly Cohorts'!EE$178:'Monthly Cohorts'!EE$341)</f>
        <v>0</v>
      </c>
      <c r="EF16" s="58">
        <f ca="1">+SUMIF('Monthly Cohorts'!$E$178:'Monthly Cohorts'!$E$341,$D16,'Monthly Cohorts'!EF$178:'Monthly Cohorts'!EF$341)</f>
        <v>0</v>
      </c>
      <c r="EG16" s="58">
        <f ca="1">+SUMIF('Monthly Cohorts'!$E$178:'Monthly Cohorts'!$E$341,$D16,'Monthly Cohorts'!EG$178:'Monthly Cohorts'!EG$341)</f>
        <v>0</v>
      </c>
      <c r="EH16" s="58">
        <f ca="1">+SUMIF('Monthly Cohorts'!$E$178:'Monthly Cohorts'!$E$341,$D16,'Monthly Cohorts'!EH$178:'Monthly Cohorts'!EH$341)</f>
        <v>0</v>
      </c>
      <c r="EI16" s="58">
        <f ca="1">+SUMIF('Monthly Cohorts'!$E$178:'Monthly Cohorts'!$E$341,$D16,'Monthly Cohorts'!EI$178:'Monthly Cohorts'!EI$341)</f>
        <v>0</v>
      </c>
      <c r="EJ16" s="58">
        <f ca="1">+SUMIF('Monthly Cohorts'!$E$178:'Monthly Cohorts'!$E$341,$D16,'Monthly Cohorts'!EJ$178:'Monthly Cohorts'!EJ$341)</f>
        <v>0</v>
      </c>
      <c r="EK16" s="58">
        <f ca="1">+SUMIF('Monthly Cohorts'!$E$178:'Monthly Cohorts'!$E$341,$D16,'Monthly Cohorts'!EK$178:'Monthly Cohorts'!EK$341)</f>
        <v>0</v>
      </c>
      <c r="EL16" s="58">
        <f ca="1">+SUMIF('Monthly Cohorts'!$E$178:'Monthly Cohorts'!$E$341,$D16,'Monthly Cohorts'!EL$178:'Monthly Cohorts'!EL$341)</f>
        <v>0</v>
      </c>
      <c r="EM16" s="58">
        <f ca="1">+SUMIF('Monthly Cohorts'!$E$178:'Monthly Cohorts'!$E$341,$D16,'Monthly Cohorts'!EM$178:'Monthly Cohorts'!EM$341)</f>
        <v>0</v>
      </c>
      <c r="EN16" s="58">
        <f ca="1">+SUMIF('Monthly Cohorts'!$E$178:'Monthly Cohorts'!$E$341,$D16,'Monthly Cohorts'!EN$178:'Monthly Cohorts'!EN$341)</f>
        <v>0</v>
      </c>
      <c r="EO16" s="58">
        <f ca="1">+SUMIF('Monthly Cohorts'!$E$178:'Monthly Cohorts'!$E$341,$D16,'Monthly Cohorts'!EO$178:'Monthly Cohorts'!EO$341)</f>
        <v>0</v>
      </c>
      <c r="EP16" s="58">
        <f ca="1">+SUMIF('Monthly Cohorts'!$E$178:'Monthly Cohorts'!$E$341,$D16,'Monthly Cohorts'!EP$178:'Monthly Cohorts'!EP$341)</f>
        <v>0</v>
      </c>
      <c r="EQ16" s="58">
        <f ca="1">+SUMIF('Monthly Cohorts'!$E$178:'Monthly Cohorts'!$E$341,$D16,'Monthly Cohorts'!EQ$178:'Monthly Cohorts'!EQ$341)</f>
        <v>0</v>
      </c>
      <c r="ER16" s="58">
        <f ca="1">+SUMIF('Monthly Cohorts'!$E$178:'Monthly Cohorts'!$E$341,$D16,'Monthly Cohorts'!ER$178:'Monthly Cohorts'!ER$341)</f>
        <v>0</v>
      </c>
      <c r="ES16" s="58">
        <f ca="1">+SUMIF('Monthly Cohorts'!$E$178:'Monthly Cohorts'!$E$341,$D16,'Monthly Cohorts'!ES$178:'Monthly Cohorts'!ES$341)</f>
        <v>0</v>
      </c>
      <c r="ET16" s="58">
        <f ca="1">+SUMIF('Monthly Cohorts'!$E$178:'Monthly Cohorts'!$E$341,$D16,'Monthly Cohorts'!ET$178:'Monthly Cohorts'!ET$341)</f>
        <v>0</v>
      </c>
      <c r="EU16" s="58">
        <f ca="1">+SUMIF('Monthly Cohorts'!$E$178:'Monthly Cohorts'!$E$341,$D16,'Monthly Cohorts'!EU$178:'Monthly Cohorts'!EU$341)</f>
        <v>0</v>
      </c>
      <c r="EV16" s="58">
        <f ca="1">+SUMIF('Monthly Cohorts'!$E$178:'Monthly Cohorts'!$E$341,$D16,'Monthly Cohorts'!EV$178:'Monthly Cohorts'!EV$341)</f>
        <v>0</v>
      </c>
      <c r="EW16" s="58">
        <f ca="1">+SUMIF('Monthly Cohorts'!$E$178:'Monthly Cohorts'!$E$341,$D16,'Monthly Cohorts'!EW$178:'Monthly Cohorts'!EW$341)</f>
        <v>0</v>
      </c>
      <c r="EX16" s="58">
        <f ca="1">+SUMIF('Monthly Cohorts'!$E$178:'Monthly Cohorts'!$E$341,$D16,'Monthly Cohorts'!EX$178:'Monthly Cohorts'!EX$341)</f>
        <v>0</v>
      </c>
      <c r="EY16" s="58">
        <f ca="1">+SUMIF('Monthly Cohorts'!$E$178:'Monthly Cohorts'!$E$341,$D16,'Monthly Cohorts'!EY$178:'Monthly Cohorts'!EY$341)</f>
        <v>0</v>
      </c>
      <c r="EZ16" s="58">
        <f ca="1">+SUMIF('Monthly Cohorts'!$E$178:'Monthly Cohorts'!$E$341,$D16,'Monthly Cohorts'!EZ$178:'Monthly Cohorts'!EZ$341)</f>
        <v>0</v>
      </c>
      <c r="FA16" s="58">
        <f ca="1">+SUMIF('Monthly Cohorts'!$E$178:'Monthly Cohorts'!$E$341,$D16,'Monthly Cohorts'!FA$178:'Monthly Cohorts'!FA$341)</f>
        <v>0</v>
      </c>
      <c r="FB16" s="58">
        <f ca="1">+SUMIF('Monthly Cohorts'!$E$178:'Monthly Cohorts'!$E$341,$D16,'Monthly Cohorts'!FB$178:'Monthly Cohorts'!FB$341)</f>
        <v>0</v>
      </c>
      <c r="FC16" s="58">
        <f ca="1">+SUMIF('Monthly Cohorts'!$E$178:'Monthly Cohorts'!$E$341,$D16,'Monthly Cohorts'!FC$178:'Monthly Cohorts'!FC$341)</f>
        <v>0</v>
      </c>
      <c r="FD16" s="58">
        <f ca="1">+SUMIF('Monthly Cohorts'!$E$178:'Monthly Cohorts'!$E$341,$D16,'Monthly Cohorts'!FD$178:'Monthly Cohorts'!FD$341)</f>
        <v>0</v>
      </c>
      <c r="FE16" s="58">
        <f ca="1">+SUMIF('Monthly Cohorts'!$E$178:'Monthly Cohorts'!$E$341,$D16,'Monthly Cohorts'!FE$178:'Monthly Cohorts'!FE$341)</f>
        <v>0</v>
      </c>
      <c r="FF16" s="58">
        <f ca="1">+SUMIF('Monthly Cohorts'!$E$178:'Monthly Cohorts'!$E$341,$D16,'Monthly Cohorts'!FF$178:'Monthly Cohorts'!FF$341)</f>
        <v>0</v>
      </c>
      <c r="FG16" s="58">
        <f ca="1">+SUMIF('Monthly Cohorts'!$E$178:'Monthly Cohorts'!$E$341,$D16,'Monthly Cohorts'!FG$178:'Monthly Cohorts'!FG$341)</f>
        <v>0</v>
      </c>
      <c r="FH16" s="58">
        <f ca="1">+SUMIF('Monthly Cohorts'!$E$178:'Monthly Cohorts'!$E$341,$D16,'Monthly Cohorts'!FH$178:'Monthly Cohorts'!FH$341)</f>
        <v>0</v>
      </c>
      <c r="FI16" s="58">
        <f ca="1">+SUMIF('Monthly Cohorts'!$E$178:'Monthly Cohorts'!$E$341,$D16,'Monthly Cohorts'!FI$178:'Monthly Cohorts'!FI$341)</f>
        <v>0</v>
      </c>
      <c r="FJ16" s="58">
        <f ca="1">+SUMIF('Monthly Cohorts'!$E$178:'Monthly Cohorts'!$E$341,$D16,'Monthly Cohorts'!FJ$178:'Monthly Cohorts'!FJ$341)</f>
        <v>0</v>
      </c>
      <c r="FK16" s="58">
        <f ca="1">+SUMIF('Monthly Cohorts'!$E$178:'Monthly Cohorts'!$E$341,$D16,'Monthly Cohorts'!FK$178:'Monthly Cohorts'!FK$341)</f>
        <v>0</v>
      </c>
      <c r="FL16" s="58">
        <f ca="1">+SUMIF('Monthly Cohorts'!$E$178:'Monthly Cohorts'!$E$341,$D16,'Monthly Cohorts'!FL$178:'Monthly Cohorts'!FL$341)</f>
        <v>0</v>
      </c>
      <c r="FM16" s="58">
        <f ca="1">+SUMIF('Monthly Cohorts'!$E$178:'Monthly Cohorts'!$E$341,$D16,'Monthly Cohorts'!FM$178:'Monthly Cohorts'!FM$341)</f>
        <v>0</v>
      </c>
      <c r="FN16" s="58">
        <f ca="1">+SUMIF('Monthly Cohorts'!$E$178:'Monthly Cohorts'!$E$341,$D16,'Monthly Cohorts'!FN$178:'Monthly Cohorts'!FN$341)</f>
        <v>0</v>
      </c>
      <c r="FO16" s="13"/>
    </row>
    <row r="17" spans="1:171" outlineLevel="1" x14ac:dyDescent="0.3">
      <c r="A17" s="13"/>
      <c r="B17" s="13"/>
      <c r="C17" s="13"/>
      <c r="D17" s="59">
        <f t="shared" si="11"/>
        <v>2017</v>
      </c>
      <c r="E17" s="25"/>
      <c r="F17" s="20"/>
      <c r="G17" s="58">
        <f ca="1">+SUMIF('Monthly Cohorts'!$E$178:'Monthly Cohorts'!$E$341,$D17,'Monthly Cohorts'!G$178:'Monthly Cohorts'!G$341)</f>
        <v>0</v>
      </c>
      <c r="H17" s="58">
        <f ca="1">+SUMIF('Monthly Cohorts'!$E$178:'Monthly Cohorts'!$E$341,$D17,'Monthly Cohorts'!H$178:'Monthly Cohorts'!H$341)</f>
        <v>0</v>
      </c>
      <c r="I17" s="58">
        <f ca="1">+SUMIF('Monthly Cohorts'!$E$178:'Monthly Cohorts'!$E$341,$D17,'Monthly Cohorts'!I$178:'Monthly Cohorts'!I$341)</f>
        <v>0</v>
      </c>
      <c r="J17" s="58">
        <f ca="1">+SUMIF('Monthly Cohorts'!$E$178:'Monthly Cohorts'!$E$341,$D17,'Monthly Cohorts'!J$178:'Monthly Cohorts'!J$341)</f>
        <v>0</v>
      </c>
      <c r="K17" s="58">
        <f ca="1">+SUMIF('Monthly Cohorts'!$E$178:'Monthly Cohorts'!$E$341,$D17,'Monthly Cohorts'!K$178:'Monthly Cohorts'!K$341)</f>
        <v>0</v>
      </c>
      <c r="L17" s="58">
        <f ca="1">+SUMIF('Monthly Cohorts'!$E$178:'Monthly Cohorts'!$E$341,$D17,'Monthly Cohorts'!L$178:'Monthly Cohorts'!L$341)</f>
        <v>0</v>
      </c>
      <c r="M17" s="58">
        <f ca="1">+SUMIF('Monthly Cohorts'!$E$178:'Monthly Cohorts'!$E$341,$D17,'Monthly Cohorts'!M$178:'Monthly Cohorts'!M$341)</f>
        <v>0</v>
      </c>
      <c r="N17" s="58">
        <f ca="1">+SUMIF('Monthly Cohorts'!$E$178:'Monthly Cohorts'!$E$341,$D17,'Monthly Cohorts'!N$178:'Monthly Cohorts'!N$341)</f>
        <v>0</v>
      </c>
      <c r="O17" s="58">
        <f ca="1">+SUMIF('Monthly Cohorts'!$E$178:'Monthly Cohorts'!$E$341,$D17,'Monthly Cohorts'!O$178:'Monthly Cohorts'!O$341)</f>
        <v>0</v>
      </c>
      <c r="P17" s="58">
        <f ca="1">+SUMIF('Monthly Cohorts'!$E$178:'Monthly Cohorts'!$E$341,$D17,'Monthly Cohorts'!P$178:'Monthly Cohorts'!P$341)</f>
        <v>0</v>
      </c>
      <c r="Q17" s="58">
        <f ca="1">+SUMIF('Monthly Cohorts'!$E$178:'Monthly Cohorts'!$E$341,$D17,'Monthly Cohorts'!Q$178:'Monthly Cohorts'!Q$341)</f>
        <v>0</v>
      </c>
      <c r="R17" s="58">
        <f ca="1">+SUMIF('Monthly Cohorts'!$E$178:'Monthly Cohorts'!$E$341,$D17,'Monthly Cohorts'!R$178:'Monthly Cohorts'!R$341)</f>
        <v>0</v>
      </c>
      <c r="S17" s="58">
        <f ca="1">+SUMIF('Monthly Cohorts'!$E$178:'Monthly Cohorts'!$E$341,$D17,'Monthly Cohorts'!S$178:'Monthly Cohorts'!S$341)</f>
        <v>0</v>
      </c>
      <c r="T17" s="58">
        <f ca="1">+SUMIF('Monthly Cohorts'!$E$178:'Monthly Cohorts'!$E$341,$D17,'Monthly Cohorts'!T$178:'Monthly Cohorts'!T$341)</f>
        <v>0</v>
      </c>
      <c r="U17" s="58">
        <f ca="1">+SUMIF('Monthly Cohorts'!$E$178:'Monthly Cohorts'!$E$341,$D17,'Monthly Cohorts'!U$178:'Monthly Cohorts'!U$341)</f>
        <v>0</v>
      </c>
      <c r="V17" s="58">
        <f ca="1">+SUMIF('Monthly Cohorts'!$E$178:'Monthly Cohorts'!$E$341,$D17,'Monthly Cohorts'!V$178:'Monthly Cohorts'!V$341)</f>
        <v>0</v>
      </c>
      <c r="W17" s="58">
        <f ca="1">+SUMIF('Monthly Cohorts'!$E$178:'Monthly Cohorts'!$E$341,$D17,'Monthly Cohorts'!W$178:'Monthly Cohorts'!W$341)</f>
        <v>0</v>
      </c>
      <c r="X17" s="58">
        <f ca="1">+SUMIF('Monthly Cohorts'!$E$178:'Monthly Cohorts'!$E$341,$D17,'Monthly Cohorts'!X$178:'Monthly Cohorts'!X$341)</f>
        <v>0</v>
      </c>
      <c r="Y17" s="58">
        <f ca="1">+SUMIF('Monthly Cohorts'!$E$178:'Monthly Cohorts'!$E$341,$D17,'Monthly Cohorts'!Y$178:'Monthly Cohorts'!Y$341)</f>
        <v>0</v>
      </c>
      <c r="Z17" s="58">
        <f ca="1">+SUMIF('Monthly Cohorts'!$E$178:'Monthly Cohorts'!$E$341,$D17,'Monthly Cohorts'!Z$178:'Monthly Cohorts'!Z$341)</f>
        <v>0</v>
      </c>
      <c r="AA17" s="58">
        <f ca="1">+SUMIF('Monthly Cohorts'!$E$178:'Monthly Cohorts'!$E$341,$D17,'Monthly Cohorts'!AA$178:'Monthly Cohorts'!AA$341)</f>
        <v>0</v>
      </c>
      <c r="AB17" s="58">
        <f ca="1">+SUMIF('Monthly Cohorts'!$E$178:'Monthly Cohorts'!$E$341,$D17,'Monthly Cohorts'!AB$178:'Monthly Cohorts'!AB$341)</f>
        <v>0</v>
      </c>
      <c r="AC17" s="58">
        <f ca="1">+SUMIF('Monthly Cohorts'!$E$178:'Monthly Cohorts'!$E$341,$D17,'Monthly Cohorts'!AC$178:'Monthly Cohorts'!AC$341)</f>
        <v>0</v>
      </c>
      <c r="AD17" s="58">
        <f ca="1">+SUMIF('Monthly Cohorts'!$E$178:'Monthly Cohorts'!$E$341,$D17,'Monthly Cohorts'!AD$178:'Monthly Cohorts'!AD$341)</f>
        <v>0</v>
      </c>
      <c r="AE17" s="58">
        <f ca="1">+SUMIF('Monthly Cohorts'!$E$178:'Monthly Cohorts'!$E$341,$D17,'Monthly Cohorts'!AE$178:'Monthly Cohorts'!AE$341)</f>
        <v>0</v>
      </c>
      <c r="AF17" s="58">
        <f ca="1">+SUMIF('Monthly Cohorts'!$E$178:'Monthly Cohorts'!$E$341,$D17,'Monthly Cohorts'!AF$178:'Monthly Cohorts'!AF$341)</f>
        <v>0</v>
      </c>
      <c r="AG17" s="58">
        <f ca="1">+SUMIF('Monthly Cohorts'!$E$178:'Monthly Cohorts'!$E$341,$D17,'Monthly Cohorts'!AG$178:'Monthly Cohorts'!AG$341)</f>
        <v>0</v>
      </c>
      <c r="AH17" s="58">
        <f ca="1">+SUMIF('Monthly Cohorts'!$E$178:'Monthly Cohorts'!$E$341,$D17,'Monthly Cohorts'!AH$178:'Monthly Cohorts'!AH$341)</f>
        <v>0</v>
      </c>
      <c r="AI17" s="58">
        <f ca="1">+SUMIF('Monthly Cohorts'!$E$178:'Monthly Cohorts'!$E$341,$D17,'Monthly Cohorts'!AI$178:'Monthly Cohorts'!AI$341)</f>
        <v>0</v>
      </c>
      <c r="AJ17" s="58">
        <f ca="1">+SUMIF('Monthly Cohorts'!$E$178:'Monthly Cohorts'!$E$341,$D17,'Monthly Cohorts'!AJ$178:'Monthly Cohorts'!AJ$341)</f>
        <v>0</v>
      </c>
      <c r="AK17" s="58">
        <f ca="1">+SUMIF('Monthly Cohorts'!$E$178:'Monthly Cohorts'!$E$341,$D17,'Monthly Cohorts'!AK$178:'Monthly Cohorts'!AK$341)</f>
        <v>0</v>
      </c>
      <c r="AL17" s="58">
        <f ca="1">+SUMIF('Monthly Cohorts'!$E$178:'Monthly Cohorts'!$E$341,$D17,'Monthly Cohorts'!AL$178:'Monthly Cohorts'!AL$341)</f>
        <v>0</v>
      </c>
      <c r="AM17" s="58">
        <f ca="1">+SUMIF('Monthly Cohorts'!$E$178:'Monthly Cohorts'!$E$341,$D17,'Monthly Cohorts'!AM$178:'Monthly Cohorts'!AM$341)</f>
        <v>0</v>
      </c>
      <c r="AN17" s="58">
        <f ca="1">+SUMIF('Monthly Cohorts'!$E$178:'Monthly Cohorts'!$E$341,$D17,'Monthly Cohorts'!AN$178:'Monthly Cohorts'!AN$341)</f>
        <v>0</v>
      </c>
      <c r="AO17" s="58">
        <f ca="1">+SUMIF('Monthly Cohorts'!$E$178:'Monthly Cohorts'!$E$341,$D17,'Monthly Cohorts'!AO$178:'Monthly Cohorts'!AO$341)</f>
        <v>0</v>
      </c>
      <c r="AP17" s="58">
        <f ca="1">+SUMIF('Monthly Cohorts'!$E$178:'Monthly Cohorts'!$E$341,$D17,'Monthly Cohorts'!AP$178:'Monthly Cohorts'!AP$341)</f>
        <v>0</v>
      </c>
      <c r="AQ17" s="58">
        <f ca="1">+SUMIF('Monthly Cohorts'!$E$178:'Monthly Cohorts'!$E$341,$D17,'Monthly Cohorts'!AQ$178:'Monthly Cohorts'!AQ$341)</f>
        <v>0</v>
      </c>
      <c r="AR17" s="58">
        <f ca="1">+SUMIF('Monthly Cohorts'!$E$178:'Monthly Cohorts'!$E$341,$D17,'Monthly Cohorts'!AR$178:'Monthly Cohorts'!AR$341)</f>
        <v>0</v>
      </c>
      <c r="AS17" s="58">
        <f ca="1">+SUMIF('Monthly Cohorts'!$E$178:'Monthly Cohorts'!$E$341,$D17,'Monthly Cohorts'!AS$178:'Monthly Cohorts'!AS$341)</f>
        <v>0</v>
      </c>
      <c r="AT17" s="58">
        <f ca="1">+SUMIF('Monthly Cohorts'!$E$178:'Monthly Cohorts'!$E$341,$D17,'Monthly Cohorts'!AT$178:'Monthly Cohorts'!AT$341)</f>
        <v>0</v>
      </c>
      <c r="AU17" s="58">
        <f ca="1">+SUMIF('Monthly Cohorts'!$E$178:'Monthly Cohorts'!$E$341,$D17,'Monthly Cohorts'!AU$178:'Monthly Cohorts'!AU$341)</f>
        <v>0</v>
      </c>
      <c r="AV17" s="58">
        <f ca="1">+SUMIF('Monthly Cohorts'!$E$178:'Monthly Cohorts'!$E$341,$D17,'Monthly Cohorts'!AV$178:'Monthly Cohorts'!AV$341)</f>
        <v>0</v>
      </c>
      <c r="AW17" s="58">
        <f ca="1">+SUMIF('Monthly Cohorts'!$E$178:'Monthly Cohorts'!$E$341,$D17,'Monthly Cohorts'!AW$178:'Monthly Cohorts'!AW$341)</f>
        <v>0</v>
      </c>
      <c r="AX17" s="58">
        <f ca="1">+SUMIF('Monthly Cohorts'!$E$178:'Monthly Cohorts'!$E$341,$D17,'Monthly Cohorts'!AX$178:'Monthly Cohorts'!AX$341)</f>
        <v>0</v>
      </c>
      <c r="AY17" s="58">
        <f ca="1">+SUMIF('Monthly Cohorts'!$E$178:'Monthly Cohorts'!$E$341,$D17,'Monthly Cohorts'!AY$178:'Monthly Cohorts'!AY$341)</f>
        <v>0</v>
      </c>
      <c r="AZ17" s="58">
        <f ca="1">+SUMIF('Monthly Cohorts'!$E$178:'Monthly Cohorts'!$E$341,$D17,'Monthly Cohorts'!AZ$178:'Monthly Cohorts'!AZ$341)</f>
        <v>0</v>
      </c>
      <c r="BA17" s="58">
        <f ca="1">+SUMIF('Monthly Cohorts'!$E$178:'Monthly Cohorts'!$E$341,$D17,'Monthly Cohorts'!BA$178:'Monthly Cohorts'!BA$341)</f>
        <v>0</v>
      </c>
      <c r="BB17" s="58">
        <f ca="1">+SUMIF('Monthly Cohorts'!$E$178:'Monthly Cohorts'!$E$341,$D17,'Monthly Cohorts'!BB$178:'Monthly Cohorts'!BB$341)</f>
        <v>0</v>
      </c>
      <c r="BC17" s="58">
        <f ca="1">+SUMIF('Monthly Cohorts'!$E$178:'Monthly Cohorts'!$E$341,$D17,'Monthly Cohorts'!BC$178:'Monthly Cohorts'!BC$341)</f>
        <v>0</v>
      </c>
      <c r="BD17" s="58">
        <f ca="1">+SUMIF('Monthly Cohorts'!$E$178:'Monthly Cohorts'!$E$341,$D17,'Monthly Cohorts'!BD$178:'Monthly Cohorts'!BD$341)</f>
        <v>0</v>
      </c>
      <c r="BE17" s="58">
        <f ca="1">+SUMIF('Monthly Cohorts'!$E$178:'Monthly Cohorts'!$E$341,$D17,'Monthly Cohorts'!BE$178:'Monthly Cohorts'!BE$341)</f>
        <v>0</v>
      </c>
      <c r="BF17" s="58">
        <f ca="1">+SUMIF('Monthly Cohorts'!$E$178:'Monthly Cohorts'!$E$341,$D17,'Monthly Cohorts'!BF$178:'Monthly Cohorts'!BF$341)</f>
        <v>0</v>
      </c>
      <c r="BG17" s="58">
        <f ca="1">+SUMIF('Monthly Cohorts'!$E$178:'Monthly Cohorts'!$E$341,$D17,'Monthly Cohorts'!BG$178:'Monthly Cohorts'!BG$341)</f>
        <v>0</v>
      </c>
      <c r="BH17" s="58">
        <f ca="1">+SUMIF('Monthly Cohorts'!$E$178:'Monthly Cohorts'!$E$341,$D17,'Monthly Cohorts'!BH$178:'Monthly Cohorts'!BH$341)</f>
        <v>0</v>
      </c>
      <c r="BI17" s="58">
        <f ca="1">+SUMIF('Monthly Cohorts'!$E$178:'Monthly Cohorts'!$E$341,$D17,'Monthly Cohorts'!BI$178:'Monthly Cohorts'!BI$341)</f>
        <v>0</v>
      </c>
      <c r="BJ17" s="58">
        <f ca="1">+SUMIF('Monthly Cohorts'!$E$178:'Monthly Cohorts'!$E$341,$D17,'Monthly Cohorts'!BJ$178:'Monthly Cohorts'!BJ$341)</f>
        <v>0</v>
      </c>
      <c r="BK17" s="58">
        <f ca="1">+SUMIF('Monthly Cohorts'!$E$178:'Monthly Cohorts'!$E$341,$D17,'Monthly Cohorts'!BK$178:'Monthly Cohorts'!BK$341)</f>
        <v>0</v>
      </c>
      <c r="BL17" s="58">
        <f ca="1">+SUMIF('Monthly Cohorts'!$E$178:'Monthly Cohorts'!$E$341,$D17,'Monthly Cohorts'!BL$178:'Monthly Cohorts'!BL$341)</f>
        <v>0</v>
      </c>
      <c r="BM17" s="58">
        <f ca="1">+SUMIF('Monthly Cohorts'!$E$178:'Monthly Cohorts'!$E$341,$D17,'Monthly Cohorts'!BM$178:'Monthly Cohorts'!BM$341)</f>
        <v>0</v>
      </c>
      <c r="BN17" s="58">
        <f ca="1">+SUMIF('Monthly Cohorts'!$E$178:'Monthly Cohorts'!$E$341,$D17,'Monthly Cohorts'!BN$178:'Monthly Cohorts'!BN$341)</f>
        <v>0</v>
      </c>
      <c r="BO17" s="58">
        <f ca="1">+SUMIF('Monthly Cohorts'!$E$178:'Monthly Cohorts'!$E$341,$D17,'Monthly Cohorts'!BO$178:'Monthly Cohorts'!BO$341)</f>
        <v>0</v>
      </c>
      <c r="BP17" s="58">
        <f ca="1">+SUMIF('Monthly Cohorts'!$E$178:'Monthly Cohorts'!$E$341,$D17,'Monthly Cohorts'!BP$178:'Monthly Cohorts'!BP$341)</f>
        <v>0</v>
      </c>
      <c r="BQ17" s="58">
        <f ca="1">+SUMIF('Monthly Cohorts'!$E$178:'Monthly Cohorts'!$E$341,$D17,'Monthly Cohorts'!BQ$178:'Monthly Cohorts'!BQ$341)</f>
        <v>0</v>
      </c>
      <c r="BR17" s="58">
        <f ca="1">+SUMIF('Monthly Cohorts'!$E$178:'Monthly Cohorts'!$E$341,$D17,'Monthly Cohorts'!BR$178:'Monthly Cohorts'!BR$341)</f>
        <v>0</v>
      </c>
      <c r="BS17" s="58">
        <f ca="1">+SUMIF('Monthly Cohorts'!$E$178:'Monthly Cohorts'!$E$341,$D17,'Monthly Cohorts'!BS$178:'Monthly Cohorts'!BS$341)</f>
        <v>0</v>
      </c>
      <c r="BT17" s="58">
        <f ca="1">+SUMIF('Monthly Cohorts'!$E$178:'Monthly Cohorts'!$E$341,$D17,'Monthly Cohorts'!BT$178:'Monthly Cohorts'!BT$341)</f>
        <v>0</v>
      </c>
      <c r="BU17" s="58">
        <f ca="1">+SUMIF('Monthly Cohorts'!$E$178:'Monthly Cohorts'!$E$341,$D17,'Monthly Cohorts'!BU$178:'Monthly Cohorts'!BU$341)</f>
        <v>0</v>
      </c>
      <c r="BV17" s="58">
        <f ca="1">+SUMIF('Monthly Cohorts'!$E$178:'Monthly Cohorts'!$E$341,$D17,'Monthly Cohorts'!BV$178:'Monthly Cohorts'!BV$341)</f>
        <v>0</v>
      </c>
      <c r="BW17" s="58">
        <f ca="1">+SUMIF('Monthly Cohorts'!$E$178:'Monthly Cohorts'!$E$341,$D17,'Monthly Cohorts'!BW$178:'Monthly Cohorts'!BW$341)</f>
        <v>0</v>
      </c>
      <c r="BX17" s="58">
        <f ca="1">+SUMIF('Monthly Cohorts'!$E$178:'Monthly Cohorts'!$E$341,$D17,'Monthly Cohorts'!BX$178:'Monthly Cohorts'!BX$341)</f>
        <v>0</v>
      </c>
      <c r="BY17" s="58">
        <f ca="1">+SUMIF('Monthly Cohorts'!$E$178:'Monthly Cohorts'!$E$341,$D17,'Monthly Cohorts'!BY$178:'Monthly Cohorts'!BY$341)</f>
        <v>0</v>
      </c>
      <c r="BZ17" s="58">
        <f ca="1">+SUMIF('Monthly Cohorts'!$E$178:'Monthly Cohorts'!$E$341,$D17,'Monthly Cohorts'!BZ$178:'Monthly Cohorts'!BZ$341)</f>
        <v>0</v>
      </c>
      <c r="CA17" s="58">
        <f ca="1">+SUMIF('Monthly Cohorts'!$E$178:'Monthly Cohorts'!$E$341,$D17,'Monthly Cohorts'!CA$178:'Monthly Cohorts'!CA$341)</f>
        <v>0</v>
      </c>
      <c r="CB17" s="58">
        <f ca="1">+SUMIF('Monthly Cohorts'!$E$178:'Monthly Cohorts'!$E$341,$D17,'Monthly Cohorts'!CB$178:'Monthly Cohorts'!CB$341)</f>
        <v>0</v>
      </c>
      <c r="CC17" s="58">
        <f ca="1">+SUMIF('Monthly Cohorts'!$E$178:'Monthly Cohorts'!$E$341,$D17,'Monthly Cohorts'!CC$178:'Monthly Cohorts'!CC$341)</f>
        <v>0</v>
      </c>
      <c r="CD17" s="58">
        <f ca="1">+SUMIF('Monthly Cohorts'!$E$178:'Monthly Cohorts'!$E$341,$D17,'Monthly Cohorts'!CD$178:'Monthly Cohorts'!CD$341)</f>
        <v>0</v>
      </c>
      <c r="CE17" s="58">
        <f ca="1">+SUMIF('Monthly Cohorts'!$E$178:'Monthly Cohorts'!$E$341,$D17,'Monthly Cohorts'!CE$178:'Monthly Cohorts'!CE$341)</f>
        <v>0</v>
      </c>
      <c r="CF17" s="58">
        <f ca="1">+SUMIF('Monthly Cohorts'!$E$178:'Monthly Cohorts'!$E$341,$D17,'Monthly Cohorts'!CF$178:'Monthly Cohorts'!CF$341)</f>
        <v>0</v>
      </c>
      <c r="CG17" s="58">
        <f ca="1">+SUMIF('Monthly Cohorts'!$E$178:'Monthly Cohorts'!$E$341,$D17,'Monthly Cohorts'!CG$178:'Monthly Cohorts'!CG$341)</f>
        <v>0</v>
      </c>
      <c r="CH17" s="58">
        <f ca="1">+SUMIF('Monthly Cohorts'!$E$178:'Monthly Cohorts'!$E$341,$D17,'Monthly Cohorts'!CH$178:'Monthly Cohorts'!CH$341)</f>
        <v>0</v>
      </c>
      <c r="CI17" s="58">
        <f ca="1">+SUMIF('Monthly Cohorts'!$E$178:'Monthly Cohorts'!$E$341,$D17,'Monthly Cohorts'!CI$178:'Monthly Cohorts'!CI$341)</f>
        <v>0</v>
      </c>
      <c r="CJ17" s="58">
        <f ca="1">+SUMIF('Monthly Cohorts'!$E$178:'Monthly Cohorts'!$E$341,$D17,'Monthly Cohorts'!CJ$178:'Monthly Cohorts'!CJ$341)</f>
        <v>0</v>
      </c>
      <c r="CK17" s="58">
        <f ca="1">+SUMIF('Monthly Cohorts'!$E$178:'Monthly Cohorts'!$E$341,$D17,'Monthly Cohorts'!CK$178:'Monthly Cohorts'!CK$341)</f>
        <v>0</v>
      </c>
      <c r="CL17" s="58">
        <f ca="1">+SUMIF('Monthly Cohorts'!$E$178:'Monthly Cohorts'!$E$341,$D17,'Monthly Cohorts'!CL$178:'Monthly Cohorts'!CL$341)</f>
        <v>0</v>
      </c>
      <c r="CM17" s="58">
        <f ca="1">+SUMIF('Monthly Cohorts'!$E$178:'Monthly Cohorts'!$E$341,$D17,'Monthly Cohorts'!CM$178:'Monthly Cohorts'!CM$341)</f>
        <v>0</v>
      </c>
      <c r="CN17" s="58">
        <f ca="1">+SUMIF('Monthly Cohorts'!$E$178:'Monthly Cohorts'!$E$341,$D17,'Monthly Cohorts'!CN$178:'Monthly Cohorts'!CN$341)</f>
        <v>0</v>
      </c>
      <c r="CO17" s="58">
        <f ca="1">+SUMIF('Monthly Cohorts'!$E$178:'Monthly Cohorts'!$E$341,$D17,'Monthly Cohorts'!CO$178:'Monthly Cohorts'!CO$341)</f>
        <v>0</v>
      </c>
      <c r="CP17" s="58">
        <f ca="1">+SUMIF('Monthly Cohorts'!$E$178:'Monthly Cohorts'!$E$341,$D17,'Monthly Cohorts'!CP$178:'Monthly Cohorts'!CP$341)</f>
        <v>0</v>
      </c>
      <c r="CQ17" s="58">
        <f ca="1">+SUMIF('Monthly Cohorts'!$E$178:'Monthly Cohorts'!$E$341,$D17,'Monthly Cohorts'!CQ$178:'Monthly Cohorts'!CQ$341)</f>
        <v>0</v>
      </c>
      <c r="CR17" s="58">
        <f ca="1">+SUMIF('Monthly Cohorts'!$E$178:'Monthly Cohorts'!$E$341,$D17,'Monthly Cohorts'!CR$178:'Monthly Cohorts'!CR$341)</f>
        <v>0</v>
      </c>
      <c r="CS17" s="58">
        <f ca="1">+SUMIF('Monthly Cohorts'!$E$178:'Monthly Cohorts'!$E$341,$D17,'Monthly Cohorts'!CS$178:'Monthly Cohorts'!CS$341)</f>
        <v>0</v>
      </c>
      <c r="CT17" s="58">
        <f ca="1">+SUMIF('Monthly Cohorts'!$E$178:'Monthly Cohorts'!$E$341,$D17,'Monthly Cohorts'!CT$178:'Monthly Cohorts'!CT$341)</f>
        <v>0</v>
      </c>
      <c r="CU17" s="58">
        <f ca="1">+SUMIF('Monthly Cohorts'!$E$178:'Monthly Cohorts'!$E$341,$D17,'Monthly Cohorts'!CU$178:'Monthly Cohorts'!CU$341)</f>
        <v>0</v>
      </c>
      <c r="CV17" s="58">
        <f ca="1">+SUMIF('Monthly Cohorts'!$E$178:'Monthly Cohorts'!$E$341,$D17,'Monthly Cohorts'!CV$178:'Monthly Cohorts'!CV$341)</f>
        <v>0</v>
      </c>
      <c r="CW17" s="58">
        <f ca="1">+SUMIF('Monthly Cohorts'!$E$178:'Monthly Cohorts'!$E$341,$D17,'Monthly Cohorts'!CW$178:'Monthly Cohorts'!CW$341)</f>
        <v>0</v>
      </c>
      <c r="CX17" s="58">
        <f ca="1">+SUMIF('Monthly Cohorts'!$E$178:'Monthly Cohorts'!$E$341,$D17,'Monthly Cohorts'!CX$178:'Monthly Cohorts'!CX$341)</f>
        <v>0</v>
      </c>
      <c r="CY17" s="58">
        <f ca="1">+SUMIF('Monthly Cohorts'!$E$178:'Monthly Cohorts'!$E$341,$D17,'Monthly Cohorts'!CY$178:'Monthly Cohorts'!CY$341)</f>
        <v>0</v>
      </c>
      <c r="CZ17" s="58">
        <f ca="1">+SUMIF('Monthly Cohorts'!$E$178:'Monthly Cohorts'!$E$341,$D17,'Monthly Cohorts'!CZ$178:'Monthly Cohorts'!CZ$341)</f>
        <v>0</v>
      </c>
      <c r="DA17" s="58">
        <f ca="1">+SUMIF('Monthly Cohorts'!$E$178:'Monthly Cohorts'!$E$341,$D17,'Monthly Cohorts'!DA$178:'Monthly Cohorts'!DA$341)</f>
        <v>0</v>
      </c>
      <c r="DB17" s="58">
        <f ca="1">+SUMIF('Monthly Cohorts'!$E$178:'Monthly Cohorts'!$E$341,$D17,'Monthly Cohorts'!DB$178:'Monthly Cohorts'!DB$341)</f>
        <v>0</v>
      </c>
      <c r="DC17" s="58">
        <f ca="1">+SUMIF('Monthly Cohorts'!$E$178:'Monthly Cohorts'!$E$341,$D17,'Monthly Cohorts'!DC$178:'Monthly Cohorts'!DC$341)</f>
        <v>0</v>
      </c>
      <c r="DD17" s="58">
        <f ca="1">+SUMIF('Monthly Cohorts'!$E$178:'Monthly Cohorts'!$E$341,$D17,'Monthly Cohorts'!DD$178:'Monthly Cohorts'!DD$341)</f>
        <v>0</v>
      </c>
      <c r="DE17" s="58">
        <f ca="1">+SUMIF('Monthly Cohorts'!$E$178:'Monthly Cohorts'!$E$341,$D17,'Monthly Cohorts'!DE$178:'Monthly Cohorts'!DE$341)</f>
        <v>0</v>
      </c>
      <c r="DF17" s="58">
        <f ca="1">+SUMIF('Monthly Cohorts'!$E$178:'Monthly Cohorts'!$E$341,$D17,'Monthly Cohorts'!DF$178:'Monthly Cohorts'!DF$341)</f>
        <v>0</v>
      </c>
      <c r="DG17" s="58">
        <f ca="1">+SUMIF('Monthly Cohorts'!$E$178:'Monthly Cohorts'!$E$341,$D17,'Monthly Cohorts'!DG$178:'Monthly Cohorts'!DG$341)</f>
        <v>0</v>
      </c>
      <c r="DH17" s="58">
        <f ca="1">+SUMIF('Monthly Cohorts'!$E$178:'Monthly Cohorts'!$E$341,$D17,'Monthly Cohorts'!DH$178:'Monthly Cohorts'!DH$341)</f>
        <v>0</v>
      </c>
      <c r="DI17" s="58">
        <f ca="1">+SUMIF('Monthly Cohorts'!$E$178:'Monthly Cohorts'!$E$341,$D17,'Monthly Cohorts'!DI$178:'Monthly Cohorts'!DI$341)</f>
        <v>0</v>
      </c>
      <c r="DJ17" s="58">
        <f ca="1">+SUMIF('Monthly Cohorts'!$E$178:'Monthly Cohorts'!$E$341,$D17,'Monthly Cohorts'!DJ$178:'Monthly Cohorts'!DJ$341)</f>
        <v>0</v>
      </c>
      <c r="DK17" s="58">
        <f ca="1">+SUMIF('Monthly Cohorts'!$E$178:'Monthly Cohorts'!$E$341,$D17,'Monthly Cohorts'!DK$178:'Monthly Cohorts'!DK$341)</f>
        <v>0</v>
      </c>
      <c r="DL17" s="58">
        <f ca="1">+SUMIF('Monthly Cohorts'!$E$178:'Monthly Cohorts'!$E$341,$D17,'Monthly Cohorts'!DL$178:'Monthly Cohorts'!DL$341)</f>
        <v>0</v>
      </c>
      <c r="DM17" s="58">
        <f ca="1">+SUMIF('Monthly Cohorts'!$E$178:'Monthly Cohorts'!$E$341,$D17,'Monthly Cohorts'!DM$178:'Monthly Cohorts'!DM$341)</f>
        <v>0</v>
      </c>
      <c r="DN17" s="58">
        <f ca="1">+SUMIF('Monthly Cohorts'!$E$178:'Monthly Cohorts'!$E$341,$D17,'Monthly Cohorts'!DN$178:'Monthly Cohorts'!DN$341)</f>
        <v>0</v>
      </c>
      <c r="DO17" s="58">
        <f ca="1">+SUMIF('Monthly Cohorts'!$E$178:'Monthly Cohorts'!$E$341,$D17,'Monthly Cohorts'!DO$178:'Monthly Cohorts'!DO$341)</f>
        <v>0</v>
      </c>
      <c r="DP17" s="58">
        <f ca="1">+SUMIF('Monthly Cohorts'!$E$178:'Monthly Cohorts'!$E$341,$D17,'Monthly Cohorts'!DP$178:'Monthly Cohorts'!DP$341)</f>
        <v>0</v>
      </c>
      <c r="DQ17" s="58">
        <f ca="1">+SUMIF('Monthly Cohorts'!$E$178:'Monthly Cohorts'!$E$341,$D17,'Monthly Cohorts'!DQ$178:'Monthly Cohorts'!DQ$341)</f>
        <v>0</v>
      </c>
      <c r="DR17" s="58">
        <f ca="1">+SUMIF('Monthly Cohorts'!$E$178:'Monthly Cohorts'!$E$341,$D17,'Monthly Cohorts'!DR$178:'Monthly Cohorts'!DR$341)</f>
        <v>0</v>
      </c>
      <c r="DS17" s="58">
        <f ca="1">+SUMIF('Monthly Cohorts'!$E$178:'Monthly Cohorts'!$E$341,$D17,'Monthly Cohorts'!DS$178:'Monthly Cohorts'!DS$341)</f>
        <v>0</v>
      </c>
      <c r="DT17" s="58">
        <f ca="1">+SUMIF('Monthly Cohorts'!$E$178:'Monthly Cohorts'!$E$341,$D17,'Monthly Cohorts'!DT$178:'Monthly Cohorts'!DT$341)</f>
        <v>0</v>
      </c>
      <c r="DU17" s="58">
        <f ca="1">+SUMIF('Monthly Cohorts'!$E$178:'Monthly Cohorts'!$E$341,$D17,'Monthly Cohorts'!DU$178:'Monthly Cohorts'!DU$341)</f>
        <v>0</v>
      </c>
      <c r="DV17" s="58">
        <f ca="1">+SUMIF('Monthly Cohorts'!$E$178:'Monthly Cohorts'!$E$341,$D17,'Monthly Cohorts'!DV$178:'Monthly Cohorts'!DV$341)</f>
        <v>0</v>
      </c>
      <c r="DW17" s="58">
        <f ca="1">+SUMIF('Monthly Cohorts'!$E$178:'Monthly Cohorts'!$E$341,$D17,'Monthly Cohorts'!DW$178:'Monthly Cohorts'!DW$341)</f>
        <v>0</v>
      </c>
      <c r="DX17" s="58">
        <f ca="1">+SUMIF('Monthly Cohorts'!$E$178:'Monthly Cohorts'!$E$341,$D17,'Monthly Cohorts'!DX$178:'Monthly Cohorts'!DX$341)</f>
        <v>0</v>
      </c>
      <c r="DY17" s="58">
        <f ca="1">+SUMIF('Monthly Cohorts'!$E$178:'Monthly Cohorts'!$E$341,$D17,'Monthly Cohorts'!DY$178:'Monthly Cohorts'!DY$341)</f>
        <v>0</v>
      </c>
      <c r="DZ17" s="58">
        <f ca="1">+SUMIF('Monthly Cohorts'!$E$178:'Monthly Cohorts'!$E$341,$D17,'Monthly Cohorts'!DZ$178:'Monthly Cohorts'!DZ$341)</f>
        <v>0</v>
      </c>
      <c r="EA17" s="58">
        <f ca="1">+SUMIF('Monthly Cohorts'!$E$178:'Monthly Cohorts'!$E$341,$D17,'Monthly Cohorts'!EA$178:'Monthly Cohorts'!EA$341)</f>
        <v>0</v>
      </c>
      <c r="EB17" s="58">
        <f ca="1">+SUMIF('Monthly Cohorts'!$E$178:'Monthly Cohorts'!$E$341,$D17,'Monthly Cohorts'!EB$178:'Monthly Cohorts'!EB$341)</f>
        <v>0</v>
      </c>
      <c r="EC17" s="58">
        <f ca="1">+SUMIF('Monthly Cohorts'!$E$178:'Monthly Cohorts'!$E$341,$D17,'Monthly Cohorts'!EC$178:'Monthly Cohorts'!EC$341)</f>
        <v>0</v>
      </c>
      <c r="ED17" s="58">
        <f ca="1">+SUMIF('Monthly Cohorts'!$E$178:'Monthly Cohorts'!$E$341,$D17,'Monthly Cohorts'!ED$178:'Monthly Cohorts'!ED$341)</f>
        <v>0</v>
      </c>
      <c r="EE17" s="58">
        <f ca="1">+SUMIF('Monthly Cohorts'!$E$178:'Monthly Cohorts'!$E$341,$D17,'Monthly Cohorts'!EE$178:'Monthly Cohorts'!EE$341)</f>
        <v>0</v>
      </c>
      <c r="EF17" s="58">
        <f ca="1">+SUMIF('Monthly Cohorts'!$E$178:'Monthly Cohorts'!$E$341,$D17,'Monthly Cohorts'!EF$178:'Monthly Cohorts'!EF$341)</f>
        <v>0</v>
      </c>
      <c r="EG17" s="58">
        <f ca="1">+SUMIF('Monthly Cohorts'!$E$178:'Monthly Cohorts'!$E$341,$D17,'Monthly Cohorts'!EG$178:'Monthly Cohorts'!EG$341)</f>
        <v>0</v>
      </c>
      <c r="EH17" s="58">
        <f ca="1">+SUMIF('Monthly Cohorts'!$E$178:'Monthly Cohorts'!$E$341,$D17,'Monthly Cohorts'!EH$178:'Monthly Cohorts'!EH$341)</f>
        <v>0</v>
      </c>
      <c r="EI17" s="58">
        <f ca="1">+SUMIF('Monthly Cohorts'!$E$178:'Monthly Cohorts'!$E$341,$D17,'Monthly Cohorts'!EI$178:'Monthly Cohorts'!EI$341)</f>
        <v>0</v>
      </c>
      <c r="EJ17" s="58">
        <f ca="1">+SUMIF('Monthly Cohorts'!$E$178:'Monthly Cohorts'!$E$341,$D17,'Monthly Cohorts'!EJ$178:'Monthly Cohorts'!EJ$341)</f>
        <v>0</v>
      </c>
      <c r="EK17" s="58">
        <f ca="1">+SUMIF('Monthly Cohorts'!$E$178:'Monthly Cohorts'!$E$341,$D17,'Monthly Cohorts'!EK$178:'Monthly Cohorts'!EK$341)</f>
        <v>0</v>
      </c>
      <c r="EL17" s="58">
        <f ca="1">+SUMIF('Monthly Cohorts'!$E$178:'Monthly Cohorts'!$E$341,$D17,'Monthly Cohorts'!EL$178:'Monthly Cohorts'!EL$341)</f>
        <v>0</v>
      </c>
      <c r="EM17" s="58">
        <f ca="1">+SUMIF('Monthly Cohorts'!$E$178:'Monthly Cohorts'!$E$341,$D17,'Monthly Cohorts'!EM$178:'Monthly Cohorts'!EM$341)</f>
        <v>0</v>
      </c>
      <c r="EN17" s="58">
        <f ca="1">+SUMIF('Monthly Cohorts'!$E$178:'Monthly Cohorts'!$E$341,$D17,'Monthly Cohorts'!EN$178:'Monthly Cohorts'!EN$341)</f>
        <v>0</v>
      </c>
      <c r="EO17" s="58">
        <f ca="1">+SUMIF('Monthly Cohorts'!$E$178:'Monthly Cohorts'!$E$341,$D17,'Monthly Cohorts'!EO$178:'Monthly Cohorts'!EO$341)</f>
        <v>0</v>
      </c>
      <c r="EP17" s="58">
        <f ca="1">+SUMIF('Monthly Cohorts'!$E$178:'Monthly Cohorts'!$E$341,$D17,'Monthly Cohorts'!EP$178:'Monthly Cohorts'!EP$341)</f>
        <v>0</v>
      </c>
      <c r="EQ17" s="58">
        <f ca="1">+SUMIF('Monthly Cohorts'!$E$178:'Monthly Cohorts'!$E$341,$D17,'Monthly Cohorts'!EQ$178:'Monthly Cohorts'!EQ$341)</f>
        <v>0</v>
      </c>
      <c r="ER17" s="58">
        <f ca="1">+SUMIF('Monthly Cohorts'!$E$178:'Monthly Cohorts'!$E$341,$D17,'Monthly Cohorts'!ER$178:'Monthly Cohorts'!ER$341)</f>
        <v>0</v>
      </c>
      <c r="ES17" s="58">
        <f ca="1">+SUMIF('Monthly Cohorts'!$E$178:'Monthly Cohorts'!$E$341,$D17,'Monthly Cohorts'!ES$178:'Monthly Cohorts'!ES$341)</f>
        <v>0</v>
      </c>
      <c r="ET17" s="58">
        <f ca="1">+SUMIF('Monthly Cohorts'!$E$178:'Monthly Cohorts'!$E$341,$D17,'Monthly Cohorts'!ET$178:'Monthly Cohorts'!ET$341)</f>
        <v>0</v>
      </c>
      <c r="EU17" s="58">
        <f ca="1">+SUMIF('Monthly Cohorts'!$E$178:'Monthly Cohorts'!$E$341,$D17,'Monthly Cohorts'!EU$178:'Monthly Cohorts'!EU$341)</f>
        <v>0</v>
      </c>
      <c r="EV17" s="58">
        <f ca="1">+SUMIF('Monthly Cohorts'!$E$178:'Monthly Cohorts'!$E$341,$D17,'Monthly Cohorts'!EV$178:'Monthly Cohorts'!EV$341)</f>
        <v>0</v>
      </c>
      <c r="EW17" s="58">
        <f ca="1">+SUMIF('Monthly Cohorts'!$E$178:'Monthly Cohorts'!$E$341,$D17,'Monthly Cohorts'!EW$178:'Monthly Cohorts'!EW$341)</f>
        <v>0</v>
      </c>
      <c r="EX17" s="58">
        <f ca="1">+SUMIF('Monthly Cohorts'!$E$178:'Monthly Cohorts'!$E$341,$D17,'Monthly Cohorts'!EX$178:'Monthly Cohorts'!EX$341)</f>
        <v>0</v>
      </c>
      <c r="EY17" s="58">
        <f ca="1">+SUMIF('Monthly Cohorts'!$E$178:'Monthly Cohorts'!$E$341,$D17,'Monthly Cohorts'!EY$178:'Monthly Cohorts'!EY$341)</f>
        <v>0</v>
      </c>
      <c r="EZ17" s="58">
        <f ca="1">+SUMIF('Monthly Cohorts'!$E$178:'Monthly Cohorts'!$E$341,$D17,'Monthly Cohorts'!EZ$178:'Monthly Cohorts'!EZ$341)</f>
        <v>0</v>
      </c>
      <c r="FA17" s="58">
        <f ca="1">+SUMIF('Monthly Cohorts'!$E$178:'Monthly Cohorts'!$E$341,$D17,'Monthly Cohorts'!FA$178:'Monthly Cohorts'!FA$341)</f>
        <v>0</v>
      </c>
      <c r="FB17" s="58">
        <f ca="1">+SUMIF('Monthly Cohorts'!$E$178:'Monthly Cohorts'!$E$341,$D17,'Monthly Cohorts'!FB$178:'Monthly Cohorts'!FB$341)</f>
        <v>0</v>
      </c>
      <c r="FC17" s="58">
        <f ca="1">+SUMIF('Monthly Cohorts'!$E$178:'Monthly Cohorts'!$E$341,$D17,'Monthly Cohorts'!FC$178:'Monthly Cohorts'!FC$341)</f>
        <v>0</v>
      </c>
      <c r="FD17" s="58">
        <f ca="1">+SUMIF('Monthly Cohorts'!$E$178:'Monthly Cohorts'!$E$341,$D17,'Monthly Cohorts'!FD$178:'Monthly Cohorts'!FD$341)</f>
        <v>0</v>
      </c>
      <c r="FE17" s="58">
        <f ca="1">+SUMIF('Monthly Cohorts'!$E$178:'Monthly Cohorts'!$E$341,$D17,'Monthly Cohorts'!FE$178:'Monthly Cohorts'!FE$341)</f>
        <v>0</v>
      </c>
      <c r="FF17" s="58">
        <f ca="1">+SUMIF('Monthly Cohorts'!$E$178:'Monthly Cohorts'!$E$341,$D17,'Monthly Cohorts'!FF$178:'Monthly Cohorts'!FF$341)</f>
        <v>0</v>
      </c>
      <c r="FG17" s="58">
        <f ca="1">+SUMIF('Monthly Cohorts'!$E$178:'Monthly Cohorts'!$E$341,$D17,'Monthly Cohorts'!FG$178:'Monthly Cohorts'!FG$341)</f>
        <v>0</v>
      </c>
      <c r="FH17" s="58">
        <f ca="1">+SUMIF('Monthly Cohorts'!$E$178:'Monthly Cohorts'!$E$341,$D17,'Monthly Cohorts'!FH$178:'Monthly Cohorts'!FH$341)</f>
        <v>0</v>
      </c>
      <c r="FI17" s="58">
        <f ca="1">+SUMIF('Monthly Cohorts'!$E$178:'Monthly Cohorts'!$E$341,$D17,'Monthly Cohorts'!FI$178:'Monthly Cohorts'!FI$341)</f>
        <v>0</v>
      </c>
      <c r="FJ17" s="58">
        <f ca="1">+SUMIF('Monthly Cohorts'!$E$178:'Monthly Cohorts'!$E$341,$D17,'Monthly Cohorts'!FJ$178:'Monthly Cohorts'!FJ$341)</f>
        <v>0</v>
      </c>
      <c r="FK17" s="58">
        <f ca="1">+SUMIF('Monthly Cohorts'!$E$178:'Monthly Cohorts'!$E$341,$D17,'Monthly Cohorts'!FK$178:'Monthly Cohorts'!FK$341)</f>
        <v>0</v>
      </c>
      <c r="FL17" s="58">
        <f ca="1">+SUMIF('Monthly Cohorts'!$E$178:'Monthly Cohorts'!$E$341,$D17,'Monthly Cohorts'!FL$178:'Monthly Cohorts'!FL$341)</f>
        <v>0</v>
      </c>
      <c r="FM17" s="58">
        <f ca="1">+SUMIF('Monthly Cohorts'!$E$178:'Monthly Cohorts'!$E$341,$D17,'Monthly Cohorts'!FM$178:'Monthly Cohorts'!FM$341)</f>
        <v>0</v>
      </c>
      <c r="FN17" s="58">
        <f ca="1">+SUMIF('Monthly Cohorts'!$E$178:'Monthly Cohorts'!$E$341,$D17,'Monthly Cohorts'!FN$178:'Monthly Cohorts'!FN$341)</f>
        <v>0</v>
      </c>
      <c r="FO17" s="13"/>
    </row>
    <row r="18" spans="1:171" outlineLevel="1" x14ac:dyDescent="0.3">
      <c r="A18" s="13"/>
      <c r="B18" s="13"/>
      <c r="C18" s="13"/>
      <c r="D18" s="59">
        <f t="shared" si="11"/>
        <v>2018</v>
      </c>
      <c r="E18" s="25"/>
      <c r="F18" s="20"/>
      <c r="G18" s="58">
        <f ca="1">+SUMIF('Monthly Cohorts'!$E$178:'Monthly Cohorts'!$E$341,$D18,'Monthly Cohorts'!G$178:'Monthly Cohorts'!G$341)</f>
        <v>0</v>
      </c>
      <c r="H18" s="58">
        <f ca="1">+SUMIF('Monthly Cohorts'!$E$178:'Monthly Cohorts'!$E$341,$D18,'Monthly Cohorts'!H$178:'Monthly Cohorts'!H$341)</f>
        <v>0</v>
      </c>
      <c r="I18" s="58">
        <f ca="1">+SUMIF('Monthly Cohorts'!$E$178:'Monthly Cohorts'!$E$341,$D18,'Monthly Cohorts'!I$178:'Monthly Cohorts'!I$341)</f>
        <v>0</v>
      </c>
      <c r="J18" s="58">
        <f ca="1">+SUMIF('Monthly Cohorts'!$E$178:'Monthly Cohorts'!$E$341,$D18,'Monthly Cohorts'!J$178:'Monthly Cohorts'!J$341)</f>
        <v>0</v>
      </c>
      <c r="K18" s="58">
        <f ca="1">+SUMIF('Monthly Cohorts'!$E$178:'Monthly Cohorts'!$E$341,$D18,'Monthly Cohorts'!K$178:'Monthly Cohorts'!K$341)</f>
        <v>0</v>
      </c>
      <c r="L18" s="58">
        <f ca="1">+SUMIF('Monthly Cohorts'!$E$178:'Monthly Cohorts'!$E$341,$D18,'Monthly Cohorts'!L$178:'Monthly Cohorts'!L$341)</f>
        <v>0</v>
      </c>
      <c r="M18" s="58">
        <f ca="1">+SUMIF('Monthly Cohorts'!$E$178:'Monthly Cohorts'!$E$341,$D18,'Monthly Cohorts'!M$178:'Monthly Cohorts'!M$341)</f>
        <v>0</v>
      </c>
      <c r="N18" s="58">
        <f ca="1">+SUMIF('Monthly Cohorts'!$E$178:'Monthly Cohorts'!$E$341,$D18,'Monthly Cohorts'!N$178:'Monthly Cohorts'!N$341)</f>
        <v>0</v>
      </c>
      <c r="O18" s="58">
        <f ca="1">+SUMIF('Monthly Cohorts'!$E$178:'Monthly Cohorts'!$E$341,$D18,'Monthly Cohorts'!O$178:'Monthly Cohorts'!O$341)</f>
        <v>0</v>
      </c>
      <c r="P18" s="58">
        <f ca="1">+SUMIF('Monthly Cohorts'!$E$178:'Monthly Cohorts'!$E$341,$D18,'Monthly Cohorts'!P$178:'Monthly Cohorts'!P$341)</f>
        <v>0</v>
      </c>
      <c r="Q18" s="58">
        <f ca="1">+SUMIF('Monthly Cohorts'!$E$178:'Monthly Cohorts'!$E$341,$D18,'Monthly Cohorts'!Q$178:'Monthly Cohorts'!Q$341)</f>
        <v>0</v>
      </c>
      <c r="R18" s="58">
        <f ca="1">+SUMIF('Monthly Cohorts'!$E$178:'Monthly Cohorts'!$E$341,$D18,'Monthly Cohorts'!R$178:'Monthly Cohorts'!R$341)</f>
        <v>0</v>
      </c>
      <c r="S18" s="58">
        <f ca="1">+SUMIF('Monthly Cohorts'!$E$178:'Monthly Cohorts'!$E$341,$D18,'Monthly Cohorts'!S$178:'Monthly Cohorts'!S$341)</f>
        <v>0</v>
      </c>
      <c r="T18" s="58">
        <f ca="1">+SUMIF('Monthly Cohorts'!$E$178:'Monthly Cohorts'!$E$341,$D18,'Monthly Cohorts'!T$178:'Monthly Cohorts'!T$341)</f>
        <v>0</v>
      </c>
      <c r="U18" s="58">
        <f ca="1">+SUMIF('Monthly Cohorts'!$E$178:'Monthly Cohorts'!$E$341,$D18,'Monthly Cohorts'!U$178:'Monthly Cohorts'!U$341)</f>
        <v>0</v>
      </c>
      <c r="V18" s="58">
        <f ca="1">+SUMIF('Monthly Cohorts'!$E$178:'Monthly Cohorts'!$E$341,$D18,'Monthly Cohorts'!V$178:'Monthly Cohorts'!V$341)</f>
        <v>0</v>
      </c>
      <c r="W18" s="58">
        <f ca="1">+SUMIF('Monthly Cohorts'!$E$178:'Monthly Cohorts'!$E$341,$D18,'Monthly Cohorts'!W$178:'Monthly Cohorts'!W$341)</f>
        <v>0</v>
      </c>
      <c r="X18" s="58">
        <f ca="1">+SUMIF('Monthly Cohorts'!$E$178:'Monthly Cohorts'!$E$341,$D18,'Monthly Cohorts'!X$178:'Monthly Cohorts'!X$341)</f>
        <v>0</v>
      </c>
      <c r="Y18" s="58">
        <f ca="1">+SUMIF('Monthly Cohorts'!$E$178:'Monthly Cohorts'!$E$341,$D18,'Monthly Cohorts'!Y$178:'Monthly Cohorts'!Y$341)</f>
        <v>0</v>
      </c>
      <c r="Z18" s="58">
        <f ca="1">+SUMIF('Monthly Cohorts'!$E$178:'Monthly Cohorts'!$E$341,$D18,'Monthly Cohorts'!Z$178:'Monthly Cohorts'!Z$341)</f>
        <v>0</v>
      </c>
      <c r="AA18" s="58">
        <f ca="1">+SUMIF('Monthly Cohorts'!$E$178:'Monthly Cohorts'!$E$341,$D18,'Monthly Cohorts'!AA$178:'Monthly Cohorts'!AA$341)</f>
        <v>0</v>
      </c>
      <c r="AB18" s="58">
        <f ca="1">+SUMIF('Monthly Cohorts'!$E$178:'Monthly Cohorts'!$E$341,$D18,'Monthly Cohorts'!AB$178:'Monthly Cohorts'!AB$341)</f>
        <v>0</v>
      </c>
      <c r="AC18" s="58">
        <f ca="1">+SUMIF('Monthly Cohorts'!$E$178:'Monthly Cohorts'!$E$341,$D18,'Monthly Cohorts'!AC$178:'Monthly Cohorts'!AC$341)</f>
        <v>0</v>
      </c>
      <c r="AD18" s="58">
        <f ca="1">+SUMIF('Monthly Cohorts'!$E$178:'Monthly Cohorts'!$E$341,$D18,'Monthly Cohorts'!AD$178:'Monthly Cohorts'!AD$341)</f>
        <v>0</v>
      </c>
      <c r="AE18" s="58">
        <f ca="1">+SUMIF('Monthly Cohorts'!$E$178:'Monthly Cohorts'!$E$341,$D18,'Monthly Cohorts'!AE$178:'Monthly Cohorts'!AE$341)</f>
        <v>0</v>
      </c>
      <c r="AF18" s="58">
        <f ca="1">+SUMIF('Monthly Cohorts'!$E$178:'Monthly Cohorts'!$E$341,$D18,'Monthly Cohorts'!AF$178:'Monthly Cohorts'!AF$341)</f>
        <v>0</v>
      </c>
      <c r="AG18" s="58">
        <f ca="1">+SUMIF('Monthly Cohorts'!$E$178:'Monthly Cohorts'!$E$341,$D18,'Monthly Cohorts'!AG$178:'Monthly Cohorts'!AG$341)</f>
        <v>0</v>
      </c>
      <c r="AH18" s="58">
        <f ca="1">+SUMIF('Monthly Cohorts'!$E$178:'Monthly Cohorts'!$E$341,$D18,'Monthly Cohorts'!AH$178:'Monthly Cohorts'!AH$341)</f>
        <v>0</v>
      </c>
      <c r="AI18" s="58">
        <f ca="1">+SUMIF('Monthly Cohorts'!$E$178:'Monthly Cohorts'!$E$341,$D18,'Monthly Cohorts'!AI$178:'Monthly Cohorts'!AI$341)</f>
        <v>0</v>
      </c>
      <c r="AJ18" s="58">
        <f ca="1">+SUMIF('Monthly Cohorts'!$E$178:'Monthly Cohorts'!$E$341,$D18,'Monthly Cohorts'!AJ$178:'Monthly Cohorts'!AJ$341)</f>
        <v>0</v>
      </c>
      <c r="AK18" s="58">
        <f ca="1">+SUMIF('Monthly Cohorts'!$E$178:'Monthly Cohorts'!$E$341,$D18,'Monthly Cohorts'!AK$178:'Monthly Cohorts'!AK$341)</f>
        <v>0</v>
      </c>
      <c r="AL18" s="58">
        <f ca="1">+SUMIF('Monthly Cohorts'!$E$178:'Monthly Cohorts'!$E$341,$D18,'Monthly Cohorts'!AL$178:'Monthly Cohorts'!AL$341)</f>
        <v>0</v>
      </c>
      <c r="AM18" s="58">
        <f ca="1">+SUMIF('Monthly Cohorts'!$E$178:'Monthly Cohorts'!$E$341,$D18,'Monthly Cohorts'!AM$178:'Monthly Cohorts'!AM$341)</f>
        <v>0</v>
      </c>
      <c r="AN18" s="58">
        <f ca="1">+SUMIF('Monthly Cohorts'!$E$178:'Monthly Cohorts'!$E$341,$D18,'Monthly Cohorts'!AN$178:'Monthly Cohorts'!AN$341)</f>
        <v>0</v>
      </c>
      <c r="AO18" s="58">
        <f ca="1">+SUMIF('Monthly Cohorts'!$E$178:'Monthly Cohorts'!$E$341,$D18,'Monthly Cohorts'!AO$178:'Monthly Cohorts'!AO$341)</f>
        <v>0</v>
      </c>
      <c r="AP18" s="58">
        <f ca="1">+SUMIF('Monthly Cohorts'!$E$178:'Monthly Cohorts'!$E$341,$D18,'Monthly Cohorts'!AP$178:'Monthly Cohorts'!AP$341)</f>
        <v>0</v>
      </c>
      <c r="AQ18" s="58">
        <f ca="1">+SUMIF('Monthly Cohorts'!$E$178:'Monthly Cohorts'!$E$341,$D18,'Monthly Cohorts'!AQ$178:'Monthly Cohorts'!AQ$341)</f>
        <v>0</v>
      </c>
      <c r="AR18" s="58">
        <f ca="1">+SUMIF('Monthly Cohorts'!$E$178:'Monthly Cohorts'!$E$341,$D18,'Monthly Cohorts'!AR$178:'Monthly Cohorts'!AR$341)</f>
        <v>0</v>
      </c>
      <c r="AS18" s="58">
        <f ca="1">+SUMIF('Monthly Cohorts'!$E$178:'Monthly Cohorts'!$E$341,$D18,'Monthly Cohorts'!AS$178:'Monthly Cohorts'!AS$341)</f>
        <v>0</v>
      </c>
      <c r="AT18" s="58">
        <f ca="1">+SUMIF('Monthly Cohorts'!$E$178:'Monthly Cohorts'!$E$341,$D18,'Monthly Cohorts'!AT$178:'Monthly Cohorts'!AT$341)</f>
        <v>0</v>
      </c>
      <c r="AU18" s="58">
        <f ca="1">+SUMIF('Monthly Cohorts'!$E$178:'Monthly Cohorts'!$E$341,$D18,'Monthly Cohorts'!AU$178:'Monthly Cohorts'!AU$341)</f>
        <v>0</v>
      </c>
      <c r="AV18" s="58">
        <f ca="1">+SUMIF('Monthly Cohorts'!$E$178:'Monthly Cohorts'!$E$341,$D18,'Monthly Cohorts'!AV$178:'Monthly Cohorts'!AV$341)</f>
        <v>0</v>
      </c>
      <c r="AW18" s="58">
        <f ca="1">+SUMIF('Monthly Cohorts'!$E$178:'Monthly Cohorts'!$E$341,$D18,'Monthly Cohorts'!AW$178:'Monthly Cohorts'!AW$341)</f>
        <v>0</v>
      </c>
      <c r="AX18" s="58">
        <f ca="1">+SUMIF('Monthly Cohorts'!$E$178:'Monthly Cohorts'!$E$341,$D18,'Monthly Cohorts'!AX$178:'Monthly Cohorts'!AX$341)</f>
        <v>0</v>
      </c>
      <c r="AY18" s="58">
        <f ca="1">+SUMIF('Monthly Cohorts'!$E$178:'Monthly Cohorts'!$E$341,$D18,'Monthly Cohorts'!AY$178:'Monthly Cohorts'!AY$341)</f>
        <v>0</v>
      </c>
      <c r="AZ18" s="58">
        <f ca="1">+SUMIF('Monthly Cohorts'!$E$178:'Monthly Cohorts'!$E$341,$D18,'Monthly Cohorts'!AZ$178:'Monthly Cohorts'!AZ$341)</f>
        <v>0</v>
      </c>
      <c r="BA18" s="58">
        <f ca="1">+SUMIF('Monthly Cohorts'!$E$178:'Monthly Cohorts'!$E$341,$D18,'Monthly Cohorts'!BA$178:'Monthly Cohorts'!BA$341)</f>
        <v>0</v>
      </c>
      <c r="BB18" s="58">
        <f ca="1">+SUMIF('Monthly Cohorts'!$E$178:'Monthly Cohorts'!$E$341,$D18,'Monthly Cohorts'!BB$178:'Monthly Cohorts'!BB$341)</f>
        <v>0</v>
      </c>
      <c r="BC18" s="58">
        <f ca="1">+SUMIF('Monthly Cohorts'!$E$178:'Monthly Cohorts'!$E$341,$D18,'Monthly Cohorts'!BC$178:'Monthly Cohorts'!BC$341)</f>
        <v>0</v>
      </c>
      <c r="BD18" s="58">
        <f ca="1">+SUMIF('Monthly Cohorts'!$E$178:'Monthly Cohorts'!$E$341,$D18,'Monthly Cohorts'!BD$178:'Monthly Cohorts'!BD$341)</f>
        <v>0</v>
      </c>
      <c r="BE18" s="58">
        <f ca="1">+SUMIF('Monthly Cohorts'!$E$178:'Monthly Cohorts'!$E$341,$D18,'Monthly Cohorts'!BE$178:'Monthly Cohorts'!BE$341)</f>
        <v>0</v>
      </c>
      <c r="BF18" s="58">
        <f ca="1">+SUMIF('Monthly Cohorts'!$E$178:'Monthly Cohorts'!$E$341,$D18,'Monthly Cohorts'!BF$178:'Monthly Cohorts'!BF$341)</f>
        <v>0</v>
      </c>
      <c r="BG18" s="58">
        <f ca="1">+SUMIF('Monthly Cohorts'!$E$178:'Monthly Cohorts'!$E$341,$D18,'Monthly Cohorts'!BG$178:'Monthly Cohorts'!BG$341)</f>
        <v>0</v>
      </c>
      <c r="BH18" s="58">
        <f ca="1">+SUMIF('Monthly Cohorts'!$E$178:'Monthly Cohorts'!$E$341,$D18,'Monthly Cohorts'!BH$178:'Monthly Cohorts'!BH$341)</f>
        <v>0</v>
      </c>
      <c r="BI18" s="58">
        <f ca="1">+SUMIF('Monthly Cohorts'!$E$178:'Monthly Cohorts'!$E$341,$D18,'Monthly Cohorts'!BI$178:'Monthly Cohorts'!BI$341)</f>
        <v>0</v>
      </c>
      <c r="BJ18" s="58">
        <f ca="1">+SUMIF('Monthly Cohorts'!$E$178:'Monthly Cohorts'!$E$341,$D18,'Monthly Cohorts'!BJ$178:'Monthly Cohorts'!BJ$341)</f>
        <v>0</v>
      </c>
      <c r="BK18" s="58">
        <f ca="1">+SUMIF('Monthly Cohorts'!$E$178:'Monthly Cohorts'!$E$341,$D18,'Monthly Cohorts'!BK$178:'Monthly Cohorts'!BK$341)</f>
        <v>0</v>
      </c>
      <c r="BL18" s="58">
        <f ca="1">+SUMIF('Monthly Cohorts'!$E$178:'Monthly Cohorts'!$E$341,$D18,'Monthly Cohorts'!BL$178:'Monthly Cohorts'!BL$341)</f>
        <v>0</v>
      </c>
      <c r="BM18" s="58">
        <f ca="1">+SUMIF('Monthly Cohorts'!$E$178:'Monthly Cohorts'!$E$341,$D18,'Monthly Cohorts'!BM$178:'Monthly Cohorts'!BM$341)</f>
        <v>0</v>
      </c>
      <c r="BN18" s="58">
        <f ca="1">+SUMIF('Monthly Cohorts'!$E$178:'Monthly Cohorts'!$E$341,$D18,'Monthly Cohorts'!BN$178:'Monthly Cohorts'!BN$341)</f>
        <v>0</v>
      </c>
      <c r="BO18" s="58">
        <f ca="1">+SUMIF('Monthly Cohorts'!$E$178:'Monthly Cohorts'!$E$341,$D18,'Monthly Cohorts'!BO$178:'Monthly Cohorts'!BO$341)</f>
        <v>0</v>
      </c>
      <c r="BP18" s="58">
        <f ca="1">+SUMIF('Monthly Cohorts'!$E$178:'Monthly Cohorts'!$E$341,$D18,'Monthly Cohorts'!BP$178:'Monthly Cohorts'!BP$341)</f>
        <v>0</v>
      </c>
      <c r="BQ18" s="58">
        <f ca="1">+SUMIF('Monthly Cohorts'!$E$178:'Monthly Cohorts'!$E$341,$D18,'Monthly Cohorts'!BQ$178:'Monthly Cohorts'!BQ$341)</f>
        <v>0</v>
      </c>
      <c r="BR18" s="58">
        <f ca="1">+SUMIF('Monthly Cohorts'!$E$178:'Monthly Cohorts'!$E$341,$D18,'Monthly Cohorts'!BR$178:'Monthly Cohorts'!BR$341)</f>
        <v>0</v>
      </c>
      <c r="BS18" s="58">
        <f ca="1">+SUMIF('Monthly Cohorts'!$E$178:'Monthly Cohorts'!$E$341,$D18,'Monthly Cohorts'!BS$178:'Monthly Cohorts'!BS$341)</f>
        <v>0</v>
      </c>
      <c r="BT18" s="58">
        <f ca="1">+SUMIF('Monthly Cohorts'!$E$178:'Monthly Cohorts'!$E$341,$D18,'Monthly Cohorts'!BT$178:'Monthly Cohorts'!BT$341)</f>
        <v>0</v>
      </c>
      <c r="BU18" s="58">
        <f ca="1">+SUMIF('Monthly Cohorts'!$E$178:'Monthly Cohorts'!$E$341,$D18,'Monthly Cohorts'!BU$178:'Monthly Cohorts'!BU$341)</f>
        <v>0</v>
      </c>
      <c r="BV18" s="58">
        <f ca="1">+SUMIF('Monthly Cohorts'!$E$178:'Monthly Cohorts'!$E$341,$D18,'Monthly Cohorts'!BV$178:'Monthly Cohorts'!BV$341)</f>
        <v>0</v>
      </c>
      <c r="BW18" s="58">
        <f ca="1">+SUMIF('Monthly Cohorts'!$E$178:'Monthly Cohorts'!$E$341,$D18,'Monthly Cohorts'!BW$178:'Monthly Cohorts'!BW$341)</f>
        <v>0</v>
      </c>
      <c r="BX18" s="58">
        <f ca="1">+SUMIF('Monthly Cohorts'!$E$178:'Monthly Cohorts'!$E$341,$D18,'Monthly Cohorts'!BX$178:'Monthly Cohorts'!BX$341)</f>
        <v>0</v>
      </c>
      <c r="BY18" s="58">
        <f ca="1">+SUMIF('Monthly Cohorts'!$E$178:'Monthly Cohorts'!$E$341,$D18,'Monthly Cohorts'!BY$178:'Monthly Cohorts'!BY$341)</f>
        <v>0</v>
      </c>
      <c r="BZ18" s="58">
        <f ca="1">+SUMIF('Monthly Cohorts'!$E$178:'Monthly Cohorts'!$E$341,$D18,'Monthly Cohorts'!BZ$178:'Monthly Cohorts'!BZ$341)</f>
        <v>0</v>
      </c>
      <c r="CA18" s="58">
        <f ca="1">+SUMIF('Monthly Cohorts'!$E$178:'Monthly Cohorts'!$E$341,$D18,'Monthly Cohorts'!CA$178:'Monthly Cohorts'!CA$341)</f>
        <v>0</v>
      </c>
      <c r="CB18" s="58">
        <f ca="1">+SUMIF('Monthly Cohorts'!$E$178:'Monthly Cohorts'!$E$341,$D18,'Monthly Cohorts'!CB$178:'Monthly Cohorts'!CB$341)</f>
        <v>0</v>
      </c>
      <c r="CC18" s="58">
        <f ca="1">+SUMIF('Monthly Cohorts'!$E$178:'Monthly Cohorts'!$E$341,$D18,'Monthly Cohorts'!CC$178:'Monthly Cohorts'!CC$341)</f>
        <v>0</v>
      </c>
      <c r="CD18" s="58">
        <f ca="1">+SUMIF('Monthly Cohorts'!$E$178:'Monthly Cohorts'!$E$341,$D18,'Monthly Cohorts'!CD$178:'Monthly Cohorts'!CD$341)</f>
        <v>0</v>
      </c>
      <c r="CE18" s="58">
        <f ca="1">+SUMIF('Monthly Cohorts'!$E$178:'Monthly Cohorts'!$E$341,$D18,'Monthly Cohorts'!CE$178:'Monthly Cohorts'!CE$341)</f>
        <v>0</v>
      </c>
      <c r="CF18" s="58">
        <f ca="1">+SUMIF('Monthly Cohorts'!$E$178:'Monthly Cohorts'!$E$341,$D18,'Monthly Cohorts'!CF$178:'Monthly Cohorts'!CF$341)</f>
        <v>0</v>
      </c>
      <c r="CG18" s="58">
        <f ca="1">+SUMIF('Monthly Cohorts'!$E$178:'Monthly Cohorts'!$E$341,$D18,'Monthly Cohorts'!CG$178:'Monthly Cohorts'!CG$341)</f>
        <v>0</v>
      </c>
      <c r="CH18" s="58">
        <f ca="1">+SUMIF('Monthly Cohorts'!$E$178:'Monthly Cohorts'!$E$341,$D18,'Monthly Cohorts'!CH$178:'Monthly Cohorts'!CH$341)</f>
        <v>0</v>
      </c>
      <c r="CI18" s="58">
        <f ca="1">+SUMIF('Monthly Cohorts'!$E$178:'Monthly Cohorts'!$E$341,$D18,'Monthly Cohorts'!CI$178:'Monthly Cohorts'!CI$341)</f>
        <v>0</v>
      </c>
      <c r="CJ18" s="58">
        <f ca="1">+SUMIF('Monthly Cohorts'!$E$178:'Monthly Cohorts'!$E$341,$D18,'Monthly Cohorts'!CJ$178:'Monthly Cohorts'!CJ$341)</f>
        <v>0</v>
      </c>
      <c r="CK18" s="58">
        <f ca="1">+SUMIF('Monthly Cohorts'!$E$178:'Monthly Cohorts'!$E$341,$D18,'Monthly Cohorts'!CK$178:'Monthly Cohorts'!CK$341)</f>
        <v>0</v>
      </c>
      <c r="CL18" s="58">
        <f ca="1">+SUMIF('Monthly Cohorts'!$E$178:'Monthly Cohorts'!$E$341,$D18,'Monthly Cohorts'!CL$178:'Monthly Cohorts'!CL$341)</f>
        <v>0</v>
      </c>
      <c r="CM18" s="58">
        <f ca="1">+SUMIF('Monthly Cohorts'!$E$178:'Monthly Cohorts'!$E$341,$D18,'Monthly Cohorts'!CM$178:'Monthly Cohorts'!CM$341)</f>
        <v>0</v>
      </c>
      <c r="CN18" s="58">
        <f ca="1">+SUMIF('Monthly Cohorts'!$E$178:'Monthly Cohorts'!$E$341,$D18,'Monthly Cohorts'!CN$178:'Monthly Cohorts'!CN$341)</f>
        <v>0</v>
      </c>
      <c r="CO18" s="58">
        <f ca="1">+SUMIF('Monthly Cohorts'!$E$178:'Monthly Cohorts'!$E$341,$D18,'Monthly Cohorts'!CO$178:'Monthly Cohorts'!CO$341)</f>
        <v>0</v>
      </c>
      <c r="CP18" s="58">
        <f ca="1">+SUMIF('Monthly Cohorts'!$E$178:'Monthly Cohorts'!$E$341,$D18,'Monthly Cohorts'!CP$178:'Monthly Cohorts'!CP$341)</f>
        <v>0</v>
      </c>
      <c r="CQ18" s="58">
        <f ca="1">+SUMIF('Monthly Cohorts'!$E$178:'Monthly Cohorts'!$E$341,$D18,'Monthly Cohorts'!CQ$178:'Monthly Cohorts'!CQ$341)</f>
        <v>0</v>
      </c>
      <c r="CR18" s="58">
        <f ca="1">+SUMIF('Monthly Cohorts'!$E$178:'Monthly Cohorts'!$E$341,$D18,'Monthly Cohorts'!CR$178:'Monthly Cohorts'!CR$341)</f>
        <v>0</v>
      </c>
      <c r="CS18" s="58">
        <f ca="1">+SUMIF('Monthly Cohorts'!$E$178:'Monthly Cohorts'!$E$341,$D18,'Monthly Cohorts'!CS$178:'Monthly Cohorts'!CS$341)</f>
        <v>0</v>
      </c>
      <c r="CT18" s="58">
        <f ca="1">+SUMIF('Monthly Cohorts'!$E$178:'Monthly Cohorts'!$E$341,$D18,'Monthly Cohorts'!CT$178:'Monthly Cohorts'!CT$341)</f>
        <v>0</v>
      </c>
      <c r="CU18" s="58">
        <f ca="1">+SUMIF('Monthly Cohorts'!$E$178:'Monthly Cohorts'!$E$341,$D18,'Monthly Cohorts'!CU$178:'Monthly Cohorts'!CU$341)</f>
        <v>0</v>
      </c>
      <c r="CV18" s="58">
        <f ca="1">+SUMIF('Monthly Cohorts'!$E$178:'Monthly Cohorts'!$E$341,$D18,'Monthly Cohorts'!CV$178:'Monthly Cohorts'!CV$341)</f>
        <v>0</v>
      </c>
      <c r="CW18" s="58">
        <f ca="1">+SUMIF('Monthly Cohorts'!$E$178:'Monthly Cohorts'!$E$341,$D18,'Monthly Cohorts'!CW$178:'Monthly Cohorts'!CW$341)</f>
        <v>0</v>
      </c>
      <c r="CX18" s="58">
        <f ca="1">+SUMIF('Monthly Cohorts'!$E$178:'Monthly Cohorts'!$E$341,$D18,'Monthly Cohorts'!CX$178:'Monthly Cohorts'!CX$341)</f>
        <v>0</v>
      </c>
      <c r="CY18" s="58">
        <f ca="1">+SUMIF('Monthly Cohorts'!$E$178:'Monthly Cohorts'!$E$341,$D18,'Monthly Cohorts'!CY$178:'Monthly Cohorts'!CY$341)</f>
        <v>0</v>
      </c>
      <c r="CZ18" s="58">
        <f ca="1">+SUMIF('Monthly Cohorts'!$E$178:'Monthly Cohorts'!$E$341,$D18,'Monthly Cohorts'!CZ$178:'Monthly Cohorts'!CZ$341)</f>
        <v>0</v>
      </c>
      <c r="DA18" s="58">
        <f ca="1">+SUMIF('Monthly Cohorts'!$E$178:'Monthly Cohorts'!$E$341,$D18,'Monthly Cohorts'!DA$178:'Monthly Cohorts'!DA$341)</f>
        <v>0</v>
      </c>
      <c r="DB18" s="58">
        <f ca="1">+SUMIF('Monthly Cohorts'!$E$178:'Monthly Cohorts'!$E$341,$D18,'Monthly Cohorts'!DB$178:'Monthly Cohorts'!DB$341)</f>
        <v>0</v>
      </c>
      <c r="DC18" s="58">
        <f ca="1">+SUMIF('Monthly Cohorts'!$E$178:'Monthly Cohorts'!$E$341,$D18,'Monthly Cohorts'!DC$178:'Monthly Cohorts'!DC$341)</f>
        <v>0</v>
      </c>
      <c r="DD18" s="58">
        <f ca="1">+SUMIF('Monthly Cohorts'!$E$178:'Monthly Cohorts'!$E$341,$D18,'Monthly Cohorts'!DD$178:'Monthly Cohorts'!DD$341)</f>
        <v>0</v>
      </c>
      <c r="DE18" s="58">
        <f ca="1">+SUMIF('Monthly Cohorts'!$E$178:'Monthly Cohorts'!$E$341,$D18,'Monthly Cohorts'!DE$178:'Monthly Cohorts'!DE$341)</f>
        <v>0</v>
      </c>
      <c r="DF18" s="58">
        <f ca="1">+SUMIF('Monthly Cohorts'!$E$178:'Monthly Cohorts'!$E$341,$D18,'Monthly Cohorts'!DF$178:'Monthly Cohorts'!DF$341)</f>
        <v>0</v>
      </c>
      <c r="DG18" s="58">
        <f ca="1">+SUMIF('Monthly Cohorts'!$E$178:'Monthly Cohorts'!$E$341,$D18,'Monthly Cohorts'!DG$178:'Monthly Cohorts'!DG$341)</f>
        <v>0</v>
      </c>
      <c r="DH18" s="58">
        <f ca="1">+SUMIF('Monthly Cohorts'!$E$178:'Monthly Cohorts'!$E$341,$D18,'Monthly Cohorts'!DH$178:'Monthly Cohorts'!DH$341)</f>
        <v>0</v>
      </c>
      <c r="DI18" s="58">
        <f ca="1">+SUMIF('Monthly Cohorts'!$E$178:'Monthly Cohorts'!$E$341,$D18,'Monthly Cohorts'!DI$178:'Monthly Cohorts'!DI$341)</f>
        <v>0</v>
      </c>
      <c r="DJ18" s="58">
        <f ca="1">+SUMIF('Monthly Cohorts'!$E$178:'Monthly Cohorts'!$E$341,$D18,'Monthly Cohorts'!DJ$178:'Monthly Cohorts'!DJ$341)</f>
        <v>0</v>
      </c>
      <c r="DK18" s="58">
        <f ca="1">+SUMIF('Monthly Cohorts'!$E$178:'Monthly Cohorts'!$E$341,$D18,'Monthly Cohorts'!DK$178:'Monthly Cohorts'!DK$341)</f>
        <v>0</v>
      </c>
      <c r="DL18" s="58">
        <f ca="1">+SUMIF('Monthly Cohorts'!$E$178:'Monthly Cohorts'!$E$341,$D18,'Monthly Cohorts'!DL$178:'Monthly Cohorts'!DL$341)</f>
        <v>0</v>
      </c>
      <c r="DM18" s="58">
        <f ca="1">+SUMIF('Monthly Cohorts'!$E$178:'Monthly Cohorts'!$E$341,$D18,'Monthly Cohorts'!DM$178:'Monthly Cohorts'!DM$341)</f>
        <v>0</v>
      </c>
      <c r="DN18" s="58">
        <f ca="1">+SUMIF('Monthly Cohorts'!$E$178:'Monthly Cohorts'!$E$341,$D18,'Monthly Cohorts'!DN$178:'Monthly Cohorts'!DN$341)</f>
        <v>0</v>
      </c>
      <c r="DO18" s="58">
        <f ca="1">+SUMIF('Monthly Cohorts'!$E$178:'Monthly Cohorts'!$E$341,$D18,'Monthly Cohorts'!DO$178:'Monthly Cohorts'!DO$341)</f>
        <v>0</v>
      </c>
      <c r="DP18" s="58">
        <f ca="1">+SUMIF('Monthly Cohorts'!$E$178:'Monthly Cohorts'!$E$341,$D18,'Monthly Cohorts'!DP$178:'Monthly Cohorts'!DP$341)</f>
        <v>0</v>
      </c>
      <c r="DQ18" s="58">
        <f ca="1">+SUMIF('Monthly Cohorts'!$E$178:'Monthly Cohorts'!$E$341,$D18,'Monthly Cohorts'!DQ$178:'Monthly Cohorts'!DQ$341)</f>
        <v>0</v>
      </c>
      <c r="DR18" s="58">
        <f ca="1">+SUMIF('Monthly Cohorts'!$E$178:'Monthly Cohorts'!$E$341,$D18,'Monthly Cohorts'!DR$178:'Monthly Cohorts'!DR$341)</f>
        <v>0</v>
      </c>
      <c r="DS18" s="58">
        <f ca="1">+SUMIF('Monthly Cohorts'!$E$178:'Monthly Cohorts'!$E$341,$D18,'Monthly Cohorts'!DS$178:'Monthly Cohorts'!DS$341)</f>
        <v>0</v>
      </c>
      <c r="DT18" s="58">
        <f ca="1">+SUMIF('Monthly Cohorts'!$E$178:'Monthly Cohorts'!$E$341,$D18,'Monthly Cohorts'!DT$178:'Monthly Cohorts'!DT$341)</f>
        <v>0</v>
      </c>
      <c r="DU18" s="58">
        <f ca="1">+SUMIF('Monthly Cohorts'!$E$178:'Monthly Cohorts'!$E$341,$D18,'Monthly Cohorts'!DU$178:'Monthly Cohorts'!DU$341)</f>
        <v>0</v>
      </c>
      <c r="DV18" s="58">
        <f ca="1">+SUMIF('Monthly Cohorts'!$E$178:'Monthly Cohorts'!$E$341,$D18,'Monthly Cohorts'!DV$178:'Monthly Cohorts'!DV$341)</f>
        <v>0</v>
      </c>
      <c r="DW18" s="58">
        <f ca="1">+SUMIF('Monthly Cohorts'!$E$178:'Monthly Cohorts'!$E$341,$D18,'Monthly Cohorts'!DW$178:'Monthly Cohorts'!DW$341)</f>
        <v>0</v>
      </c>
      <c r="DX18" s="58">
        <f ca="1">+SUMIF('Monthly Cohorts'!$E$178:'Monthly Cohorts'!$E$341,$D18,'Monthly Cohorts'!DX$178:'Monthly Cohorts'!DX$341)</f>
        <v>0</v>
      </c>
      <c r="DY18" s="58">
        <f ca="1">+SUMIF('Monthly Cohorts'!$E$178:'Monthly Cohorts'!$E$341,$D18,'Monthly Cohorts'!DY$178:'Monthly Cohorts'!DY$341)</f>
        <v>0</v>
      </c>
      <c r="DZ18" s="58">
        <f ca="1">+SUMIF('Monthly Cohorts'!$E$178:'Monthly Cohorts'!$E$341,$D18,'Monthly Cohorts'!DZ$178:'Monthly Cohorts'!DZ$341)</f>
        <v>0</v>
      </c>
      <c r="EA18" s="58">
        <f ca="1">+SUMIF('Monthly Cohorts'!$E$178:'Monthly Cohorts'!$E$341,$D18,'Monthly Cohorts'!EA$178:'Monthly Cohorts'!EA$341)</f>
        <v>0</v>
      </c>
      <c r="EB18" s="58">
        <f ca="1">+SUMIF('Monthly Cohorts'!$E$178:'Monthly Cohorts'!$E$341,$D18,'Monthly Cohorts'!EB$178:'Monthly Cohorts'!EB$341)</f>
        <v>0</v>
      </c>
      <c r="EC18" s="58">
        <f ca="1">+SUMIF('Monthly Cohorts'!$E$178:'Monthly Cohorts'!$E$341,$D18,'Monthly Cohorts'!EC$178:'Monthly Cohorts'!EC$341)</f>
        <v>0</v>
      </c>
      <c r="ED18" s="58">
        <f ca="1">+SUMIF('Monthly Cohorts'!$E$178:'Monthly Cohorts'!$E$341,$D18,'Monthly Cohorts'!ED$178:'Monthly Cohorts'!ED$341)</f>
        <v>0</v>
      </c>
      <c r="EE18" s="58">
        <f ca="1">+SUMIF('Monthly Cohorts'!$E$178:'Monthly Cohorts'!$E$341,$D18,'Monthly Cohorts'!EE$178:'Monthly Cohorts'!EE$341)</f>
        <v>0</v>
      </c>
      <c r="EF18" s="58">
        <f ca="1">+SUMIF('Monthly Cohorts'!$E$178:'Monthly Cohorts'!$E$341,$D18,'Monthly Cohorts'!EF$178:'Monthly Cohorts'!EF$341)</f>
        <v>0</v>
      </c>
      <c r="EG18" s="58">
        <f ca="1">+SUMIF('Monthly Cohorts'!$E$178:'Monthly Cohorts'!$E$341,$D18,'Monthly Cohorts'!EG$178:'Monthly Cohorts'!EG$341)</f>
        <v>0</v>
      </c>
      <c r="EH18" s="58">
        <f ca="1">+SUMIF('Monthly Cohorts'!$E$178:'Monthly Cohorts'!$E$341,$D18,'Monthly Cohorts'!EH$178:'Monthly Cohorts'!EH$341)</f>
        <v>0</v>
      </c>
      <c r="EI18" s="58">
        <f ca="1">+SUMIF('Monthly Cohorts'!$E$178:'Monthly Cohorts'!$E$341,$D18,'Monthly Cohorts'!EI$178:'Monthly Cohorts'!EI$341)</f>
        <v>0</v>
      </c>
      <c r="EJ18" s="58">
        <f ca="1">+SUMIF('Monthly Cohorts'!$E$178:'Monthly Cohorts'!$E$341,$D18,'Monthly Cohorts'!EJ$178:'Monthly Cohorts'!EJ$341)</f>
        <v>0</v>
      </c>
      <c r="EK18" s="58">
        <f ca="1">+SUMIF('Monthly Cohorts'!$E$178:'Monthly Cohorts'!$E$341,$D18,'Monthly Cohorts'!EK$178:'Monthly Cohorts'!EK$341)</f>
        <v>0</v>
      </c>
      <c r="EL18" s="58">
        <f ca="1">+SUMIF('Monthly Cohorts'!$E$178:'Monthly Cohorts'!$E$341,$D18,'Monthly Cohorts'!EL$178:'Monthly Cohorts'!EL$341)</f>
        <v>0</v>
      </c>
      <c r="EM18" s="58">
        <f ca="1">+SUMIF('Monthly Cohorts'!$E$178:'Monthly Cohorts'!$E$341,$D18,'Monthly Cohorts'!EM$178:'Monthly Cohorts'!EM$341)</f>
        <v>0</v>
      </c>
      <c r="EN18" s="58">
        <f ca="1">+SUMIF('Monthly Cohorts'!$E$178:'Monthly Cohorts'!$E$341,$D18,'Monthly Cohorts'!EN$178:'Monthly Cohorts'!EN$341)</f>
        <v>0</v>
      </c>
      <c r="EO18" s="58">
        <f ca="1">+SUMIF('Monthly Cohorts'!$E$178:'Monthly Cohorts'!$E$341,$D18,'Monthly Cohorts'!EO$178:'Monthly Cohorts'!EO$341)</f>
        <v>0</v>
      </c>
      <c r="EP18" s="58">
        <f ca="1">+SUMIF('Monthly Cohorts'!$E$178:'Monthly Cohorts'!$E$341,$D18,'Monthly Cohorts'!EP$178:'Monthly Cohorts'!EP$341)</f>
        <v>0</v>
      </c>
      <c r="EQ18" s="58">
        <f ca="1">+SUMIF('Monthly Cohorts'!$E$178:'Monthly Cohorts'!$E$341,$D18,'Monthly Cohorts'!EQ$178:'Monthly Cohorts'!EQ$341)</f>
        <v>0</v>
      </c>
      <c r="ER18" s="58">
        <f ca="1">+SUMIF('Monthly Cohorts'!$E$178:'Monthly Cohorts'!$E$341,$D18,'Monthly Cohorts'!ER$178:'Monthly Cohorts'!ER$341)</f>
        <v>0</v>
      </c>
      <c r="ES18" s="58">
        <f ca="1">+SUMIF('Monthly Cohorts'!$E$178:'Monthly Cohorts'!$E$341,$D18,'Monthly Cohorts'!ES$178:'Monthly Cohorts'!ES$341)</f>
        <v>0</v>
      </c>
      <c r="ET18" s="58">
        <f ca="1">+SUMIF('Monthly Cohorts'!$E$178:'Monthly Cohorts'!$E$341,$D18,'Monthly Cohorts'!ET$178:'Monthly Cohorts'!ET$341)</f>
        <v>0</v>
      </c>
      <c r="EU18" s="58">
        <f ca="1">+SUMIF('Monthly Cohorts'!$E$178:'Monthly Cohorts'!$E$341,$D18,'Monthly Cohorts'!EU$178:'Monthly Cohorts'!EU$341)</f>
        <v>0</v>
      </c>
      <c r="EV18" s="58">
        <f ca="1">+SUMIF('Monthly Cohorts'!$E$178:'Monthly Cohorts'!$E$341,$D18,'Monthly Cohorts'!EV$178:'Monthly Cohorts'!EV$341)</f>
        <v>0</v>
      </c>
      <c r="EW18" s="58">
        <f ca="1">+SUMIF('Monthly Cohorts'!$E$178:'Monthly Cohorts'!$E$341,$D18,'Monthly Cohorts'!EW$178:'Monthly Cohorts'!EW$341)</f>
        <v>0</v>
      </c>
      <c r="EX18" s="58">
        <f ca="1">+SUMIF('Monthly Cohorts'!$E$178:'Monthly Cohorts'!$E$341,$D18,'Monthly Cohorts'!EX$178:'Monthly Cohorts'!EX$341)</f>
        <v>0</v>
      </c>
      <c r="EY18" s="58">
        <f ca="1">+SUMIF('Monthly Cohorts'!$E$178:'Monthly Cohorts'!$E$341,$D18,'Monthly Cohorts'!EY$178:'Monthly Cohorts'!EY$341)</f>
        <v>0</v>
      </c>
      <c r="EZ18" s="58">
        <f ca="1">+SUMIF('Monthly Cohorts'!$E$178:'Monthly Cohorts'!$E$341,$D18,'Monthly Cohorts'!EZ$178:'Monthly Cohorts'!EZ$341)</f>
        <v>0</v>
      </c>
      <c r="FA18" s="58">
        <f ca="1">+SUMIF('Monthly Cohorts'!$E$178:'Monthly Cohorts'!$E$341,$D18,'Monthly Cohorts'!FA$178:'Monthly Cohorts'!FA$341)</f>
        <v>0</v>
      </c>
      <c r="FB18" s="58">
        <f ca="1">+SUMIF('Monthly Cohorts'!$E$178:'Monthly Cohorts'!$E$341,$D18,'Monthly Cohorts'!FB$178:'Monthly Cohorts'!FB$341)</f>
        <v>0</v>
      </c>
      <c r="FC18" s="58">
        <f ca="1">+SUMIF('Monthly Cohorts'!$E$178:'Monthly Cohorts'!$E$341,$D18,'Monthly Cohorts'!FC$178:'Monthly Cohorts'!FC$341)</f>
        <v>0</v>
      </c>
      <c r="FD18" s="58">
        <f ca="1">+SUMIF('Monthly Cohorts'!$E$178:'Monthly Cohorts'!$E$341,$D18,'Monthly Cohorts'!FD$178:'Monthly Cohorts'!FD$341)</f>
        <v>0</v>
      </c>
      <c r="FE18" s="58">
        <f ca="1">+SUMIF('Monthly Cohorts'!$E$178:'Monthly Cohorts'!$E$341,$D18,'Monthly Cohorts'!FE$178:'Monthly Cohorts'!FE$341)</f>
        <v>0</v>
      </c>
      <c r="FF18" s="58">
        <f ca="1">+SUMIF('Monthly Cohorts'!$E$178:'Monthly Cohorts'!$E$341,$D18,'Monthly Cohorts'!FF$178:'Monthly Cohorts'!FF$341)</f>
        <v>0</v>
      </c>
      <c r="FG18" s="58">
        <f ca="1">+SUMIF('Monthly Cohorts'!$E$178:'Monthly Cohorts'!$E$341,$D18,'Monthly Cohorts'!FG$178:'Monthly Cohorts'!FG$341)</f>
        <v>0</v>
      </c>
      <c r="FH18" s="58">
        <f ca="1">+SUMIF('Monthly Cohorts'!$E$178:'Monthly Cohorts'!$E$341,$D18,'Monthly Cohorts'!FH$178:'Monthly Cohorts'!FH$341)</f>
        <v>0</v>
      </c>
      <c r="FI18" s="58">
        <f ca="1">+SUMIF('Monthly Cohorts'!$E$178:'Monthly Cohorts'!$E$341,$D18,'Monthly Cohorts'!FI$178:'Monthly Cohorts'!FI$341)</f>
        <v>0</v>
      </c>
      <c r="FJ18" s="58">
        <f ca="1">+SUMIF('Monthly Cohorts'!$E$178:'Monthly Cohorts'!$E$341,$D18,'Monthly Cohorts'!FJ$178:'Monthly Cohorts'!FJ$341)</f>
        <v>0</v>
      </c>
      <c r="FK18" s="58">
        <f ca="1">+SUMIF('Monthly Cohorts'!$E$178:'Monthly Cohorts'!$E$341,$D18,'Monthly Cohorts'!FK$178:'Monthly Cohorts'!FK$341)</f>
        <v>0</v>
      </c>
      <c r="FL18" s="58">
        <f ca="1">+SUMIF('Monthly Cohorts'!$E$178:'Monthly Cohorts'!$E$341,$D18,'Monthly Cohorts'!FL$178:'Monthly Cohorts'!FL$341)</f>
        <v>0</v>
      </c>
      <c r="FM18" s="58">
        <f ca="1">+SUMIF('Monthly Cohorts'!$E$178:'Monthly Cohorts'!$E$341,$D18,'Monthly Cohorts'!FM$178:'Monthly Cohorts'!FM$341)</f>
        <v>0</v>
      </c>
      <c r="FN18" s="58">
        <f ca="1">+SUMIF('Monthly Cohorts'!$E$178:'Monthly Cohorts'!$E$341,$D18,'Monthly Cohorts'!FN$178:'Monthly Cohorts'!FN$341)</f>
        <v>0</v>
      </c>
      <c r="FO18" s="13"/>
    </row>
    <row r="19" spans="1:171" outlineLevel="1" x14ac:dyDescent="0.3">
      <c r="A19" s="13"/>
      <c r="B19" s="13"/>
      <c r="C19" s="13"/>
      <c r="D19" s="59">
        <f t="shared" si="11"/>
        <v>2019</v>
      </c>
      <c r="E19" s="25"/>
      <c r="F19" s="20"/>
      <c r="G19" s="58">
        <f ca="1">+SUMIF('Monthly Cohorts'!$E$178:'Monthly Cohorts'!$E$341,$D19,'Monthly Cohorts'!G$178:'Monthly Cohorts'!G$341)</f>
        <v>0</v>
      </c>
      <c r="H19" s="58">
        <f ca="1">+SUMIF('Monthly Cohorts'!$E$178:'Monthly Cohorts'!$E$341,$D19,'Monthly Cohorts'!H$178:'Monthly Cohorts'!H$341)</f>
        <v>0</v>
      </c>
      <c r="I19" s="58">
        <f ca="1">+SUMIF('Monthly Cohorts'!$E$178:'Monthly Cohorts'!$E$341,$D19,'Monthly Cohorts'!I$178:'Monthly Cohorts'!I$341)</f>
        <v>0</v>
      </c>
      <c r="J19" s="58">
        <f ca="1">+SUMIF('Monthly Cohorts'!$E$178:'Monthly Cohorts'!$E$341,$D19,'Monthly Cohorts'!J$178:'Monthly Cohorts'!J$341)</f>
        <v>0</v>
      </c>
      <c r="K19" s="58">
        <f ca="1">+SUMIF('Monthly Cohorts'!$E$178:'Monthly Cohorts'!$E$341,$D19,'Monthly Cohorts'!K$178:'Monthly Cohorts'!K$341)</f>
        <v>0</v>
      </c>
      <c r="L19" s="58">
        <f ca="1">+SUMIF('Monthly Cohorts'!$E$178:'Monthly Cohorts'!$E$341,$D19,'Monthly Cohorts'!L$178:'Monthly Cohorts'!L$341)</f>
        <v>0</v>
      </c>
      <c r="M19" s="58">
        <f ca="1">+SUMIF('Monthly Cohorts'!$E$178:'Monthly Cohorts'!$E$341,$D19,'Monthly Cohorts'!M$178:'Monthly Cohorts'!M$341)</f>
        <v>0</v>
      </c>
      <c r="N19" s="58">
        <f ca="1">+SUMIF('Monthly Cohorts'!$E$178:'Monthly Cohorts'!$E$341,$D19,'Monthly Cohorts'!N$178:'Monthly Cohorts'!N$341)</f>
        <v>0</v>
      </c>
      <c r="O19" s="58">
        <f ca="1">+SUMIF('Monthly Cohorts'!$E$178:'Monthly Cohorts'!$E$341,$D19,'Monthly Cohorts'!O$178:'Monthly Cohorts'!O$341)</f>
        <v>0</v>
      </c>
      <c r="P19" s="58">
        <f ca="1">+SUMIF('Monthly Cohorts'!$E$178:'Monthly Cohorts'!$E$341,$D19,'Monthly Cohorts'!P$178:'Monthly Cohorts'!P$341)</f>
        <v>0</v>
      </c>
      <c r="Q19" s="58">
        <f ca="1">+SUMIF('Monthly Cohorts'!$E$178:'Monthly Cohorts'!$E$341,$D19,'Monthly Cohorts'!Q$178:'Monthly Cohorts'!Q$341)</f>
        <v>0</v>
      </c>
      <c r="R19" s="58">
        <f ca="1">+SUMIF('Monthly Cohorts'!$E$178:'Monthly Cohorts'!$E$341,$D19,'Monthly Cohorts'!R$178:'Monthly Cohorts'!R$341)</f>
        <v>0</v>
      </c>
      <c r="S19" s="58">
        <f ca="1">+SUMIF('Monthly Cohorts'!$E$178:'Monthly Cohorts'!$E$341,$D19,'Monthly Cohorts'!S$178:'Monthly Cohorts'!S$341)</f>
        <v>0</v>
      </c>
      <c r="T19" s="58">
        <f ca="1">+SUMIF('Monthly Cohorts'!$E$178:'Monthly Cohorts'!$E$341,$D19,'Monthly Cohorts'!T$178:'Monthly Cohorts'!T$341)</f>
        <v>0</v>
      </c>
      <c r="U19" s="58">
        <f ca="1">+SUMIF('Monthly Cohorts'!$E$178:'Monthly Cohorts'!$E$341,$D19,'Monthly Cohorts'!U$178:'Monthly Cohorts'!U$341)</f>
        <v>0</v>
      </c>
      <c r="V19" s="58">
        <f ca="1">+SUMIF('Monthly Cohorts'!$E$178:'Monthly Cohorts'!$E$341,$D19,'Monthly Cohorts'!V$178:'Monthly Cohorts'!V$341)</f>
        <v>0</v>
      </c>
      <c r="W19" s="58">
        <f ca="1">+SUMIF('Monthly Cohorts'!$E$178:'Monthly Cohorts'!$E$341,$D19,'Monthly Cohorts'!W$178:'Monthly Cohorts'!W$341)</f>
        <v>0</v>
      </c>
      <c r="X19" s="58">
        <f ca="1">+SUMIF('Monthly Cohorts'!$E$178:'Monthly Cohorts'!$E$341,$D19,'Monthly Cohorts'!X$178:'Monthly Cohorts'!X$341)</f>
        <v>0</v>
      </c>
      <c r="Y19" s="58">
        <f ca="1">+SUMIF('Monthly Cohorts'!$E$178:'Monthly Cohorts'!$E$341,$D19,'Monthly Cohorts'!Y$178:'Monthly Cohorts'!Y$341)</f>
        <v>0</v>
      </c>
      <c r="Z19" s="58">
        <f ca="1">+SUMIF('Monthly Cohorts'!$E$178:'Monthly Cohorts'!$E$341,$D19,'Monthly Cohorts'!Z$178:'Monthly Cohorts'!Z$341)</f>
        <v>0</v>
      </c>
      <c r="AA19" s="58">
        <f ca="1">+SUMIF('Monthly Cohorts'!$E$178:'Monthly Cohorts'!$E$341,$D19,'Monthly Cohorts'!AA$178:'Monthly Cohorts'!AA$341)</f>
        <v>0</v>
      </c>
      <c r="AB19" s="58">
        <f ca="1">+SUMIF('Monthly Cohorts'!$E$178:'Monthly Cohorts'!$E$341,$D19,'Monthly Cohorts'!AB$178:'Monthly Cohorts'!AB$341)</f>
        <v>0</v>
      </c>
      <c r="AC19" s="58">
        <f ca="1">+SUMIF('Monthly Cohorts'!$E$178:'Monthly Cohorts'!$E$341,$D19,'Monthly Cohorts'!AC$178:'Monthly Cohorts'!AC$341)</f>
        <v>0</v>
      </c>
      <c r="AD19" s="58">
        <f ca="1">+SUMIF('Monthly Cohorts'!$E$178:'Monthly Cohorts'!$E$341,$D19,'Monthly Cohorts'!AD$178:'Monthly Cohorts'!AD$341)</f>
        <v>0</v>
      </c>
      <c r="AE19" s="58">
        <f ca="1">+SUMIF('Monthly Cohorts'!$E$178:'Monthly Cohorts'!$E$341,$D19,'Monthly Cohorts'!AE$178:'Monthly Cohorts'!AE$341)</f>
        <v>0</v>
      </c>
      <c r="AF19" s="58">
        <f ca="1">+SUMIF('Monthly Cohorts'!$E$178:'Monthly Cohorts'!$E$341,$D19,'Monthly Cohorts'!AF$178:'Monthly Cohorts'!AF$341)</f>
        <v>0</v>
      </c>
      <c r="AG19" s="58">
        <f ca="1">+SUMIF('Monthly Cohorts'!$E$178:'Monthly Cohorts'!$E$341,$D19,'Monthly Cohorts'!AG$178:'Monthly Cohorts'!AG$341)</f>
        <v>0</v>
      </c>
      <c r="AH19" s="58">
        <f ca="1">+SUMIF('Monthly Cohorts'!$E$178:'Monthly Cohorts'!$E$341,$D19,'Monthly Cohorts'!AH$178:'Monthly Cohorts'!AH$341)</f>
        <v>0</v>
      </c>
      <c r="AI19" s="58">
        <f ca="1">+SUMIF('Monthly Cohorts'!$E$178:'Monthly Cohorts'!$E$341,$D19,'Monthly Cohorts'!AI$178:'Monthly Cohorts'!AI$341)</f>
        <v>0</v>
      </c>
      <c r="AJ19" s="58">
        <f ca="1">+SUMIF('Monthly Cohorts'!$E$178:'Monthly Cohorts'!$E$341,$D19,'Monthly Cohorts'!AJ$178:'Monthly Cohorts'!AJ$341)</f>
        <v>0</v>
      </c>
      <c r="AK19" s="58">
        <f ca="1">+SUMIF('Monthly Cohorts'!$E$178:'Monthly Cohorts'!$E$341,$D19,'Monthly Cohorts'!AK$178:'Monthly Cohorts'!AK$341)</f>
        <v>0</v>
      </c>
      <c r="AL19" s="58">
        <f ca="1">+SUMIF('Monthly Cohorts'!$E$178:'Monthly Cohorts'!$E$341,$D19,'Monthly Cohorts'!AL$178:'Monthly Cohorts'!AL$341)</f>
        <v>0</v>
      </c>
      <c r="AM19" s="58">
        <f ca="1">+SUMIF('Monthly Cohorts'!$E$178:'Monthly Cohorts'!$E$341,$D19,'Monthly Cohorts'!AM$178:'Monthly Cohorts'!AM$341)</f>
        <v>0</v>
      </c>
      <c r="AN19" s="58">
        <f ca="1">+SUMIF('Monthly Cohorts'!$E$178:'Monthly Cohorts'!$E$341,$D19,'Monthly Cohorts'!AN$178:'Monthly Cohorts'!AN$341)</f>
        <v>0</v>
      </c>
      <c r="AO19" s="58">
        <f ca="1">+SUMIF('Monthly Cohorts'!$E$178:'Monthly Cohorts'!$E$341,$D19,'Monthly Cohorts'!AO$178:'Monthly Cohorts'!AO$341)</f>
        <v>0</v>
      </c>
      <c r="AP19" s="58">
        <f ca="1">+SUMIF('Monthly Cohorts'!$E$178:'Monthly Cohorts'!$E$341,$D19,'Monthly Cohorts'!AP$178:'Monthly Cohorts'!AP$341)</f>
        <v>0</v>
      </c>
      <c r="AQ19" s="58">
        <f ca="1">+SUMIF('Monthly Cohorts'!$E$178:'Monthly Cohorts'!$E$341,$D19,'Monthly Cohorts'!AQ$178:'Monthly Cohorts'!AQ$341)</f>
        <v>0</v>
      </c>
      <c r="AR19" s="58">
        <f ca="1">+SUMIF('Monthly Cohorts'!$E$178:'Monthly Cohorts'!$E$341,$D19,'Monthly Cohorts'!AR$178:'Monthly Cohorts'!AR$341)</f>
        <v>0</v>
      </c>
      <c r="AS19" s="58">
        <f ca="1">+SUMIF('Monthly Cohorts'!$E$178:'Monthly Cohorts'!$E$341,$D19,'Monthly Cohorts'!AS$178:'Monthly Cohorts'!AS$341)</f>
        <v>0</v>
      </c>
      <c r="AT19" s="58">
        <f ca="1">+SUMIF('Monthly Cohorts'!$E$178:'Monthly Cohorts'!$E$341,$D19,'Monthly Cohorts'!AT$178:'Monthly Cohorts'!AT$341)</f>
        <v>0</v>
      </c>
      <c r="AU19" s="58">
        <f ca="1">+SUMIF('Monthly Cohorts'!$E$178:'Monthly Cohorts'!$E$341,$D19,'Monthly Cohorts'!AU$178:'Monthly Cohorts'!AU$341)</f>
        <v>0</v>
      </c>
      <c r="AV19" s="58">
        <f ca="1">+SUMIF('Monthly Cohorts'!$E$178:'Monthly Cohorts'!$E$341,$D19,'Monthly Cohorts'!AV$178:'Monthly Cohorts'!AV$341)</f>
        <v>0</v>
      </c>
      <c r="AW19" s="58">
        <f ca="1">+SUMIF('Monthly Cohorts'!$E$178:'Monthly Cohorts'!$E$341,$D19,'Monthly Cohorts'!AW$178:'Monthly Cohorts'!AW$341)</f>
        <v>0</v>
      </c>
      <c r="AX19" s="58">
        <f ca="1">+SUMIF('Monthly Cohorts'!$E$178:'Monthly Cohorts'!$E$341,$D19,'Monthly Cohorts'!AX$178:'Monthly Cohorts'!AX$341)</f>
        <v>0</v>
      </c>
      <c r="AY19" s="58">
        <f ca="1">+SUMIF('Monthly Cohorts'!$E$178:'Monthly Cohorts'!$E$341,$D19,'Monthly Cohorts'!AY$178:'Monthly Cohorts'!AY$341)</f>
        <v>0</v>
      </c>
      <c r="AZ19" s="58">
        <f ca="1">+SUMIF('Monthly Cohorts'!$E$178:'Monthly Cohorts'!$E$341,$D19,'Monthly Cohorts'!AZ$178:'Monthly Cohorts'!AZ$341)</f>
        <v>0</v>
      </c>
      <c r="BA19" s="58">
        <f ca="1">+SUMIF('Monthly Cohorts'!$E$178:'Monthly Cohorts'!$E$341,$D19,'Monthly Cohorts'!BA$178:'Monthly Cohorts'!BA$341)</f>
        <v>0</v>
      </c>
      <c r="BB19" s="58">
        <f ca="1">+SUMIF('Monthly Cohorts'!$E$178:'Monthly Cohorts'!$E$341,$D19,'Monthly Cohorts'!BB$178:'Monthly Cohorts'!BB$341)</f>
        <v>0</v>
      </c>
      <c r="BC19" s="58">
        <f ca="1">+SUMIF('Monthly Cohorts'!$E$178:'Monthly Cohorts'!$E$341,$D19,'Monthly Cohorts'!BC$178:'Monthly Cohorts'!BC$341)</f>
        <v>0</v>
      </c>
      <c r="BD19" s="58">
        <f ca="1">+SUMIF('Monthly Cohorts'!$E$178:'Monthly Cohorts'!$E$341,$D19,'Monthly Cohorts'!BD$178:'Monthly Cohorts'!BD$341)</f>
        <v>0</v>
      </c>
      <c r="BE19" s="58">
        <f ca="1">+SUMIF('Monthly Cohorts'!$E$178:'Monthly Cohorts'!$E$341,$D19,'Monthly Cohorts'!BE$178:'Monthly Cohorts'!BE$341)</f>
        <v>0</v>
      </c>
      <c r="BF19" s="58">
        <f ca="1">+SUMIF('Monthly Cohorts'!$E$178:'Monthly Cohorts'!$E$341,$D19,'Monthly Cohorts'!BF$178:'Monthly Cohorts'!BF$341)</f>
        <v>0</v>
      </c>
      <c r="BG19" s="58">
        <f ca="1">+SUMIF('Monthly Cohorts'!$E$178:'Monthly Cohorts'!$E$341,$D19,'Monthly Cohorts'!BG$178:'Monthly Cohorts'!BG$341)</f>
        <v>0</v>
      </c>
      <c r="BH19" s="58">
        <f ca="1">+SUMIF('Monthly Cohorts'!$E$178:'Monthly Cohorts'!$E$341,$D19,'Monthly Cohorts'!BH$178:'Monthly Cohorts'!BH$341)</f>
        <v>0</v>
      </c>
      <c r="BI19" s="58">
        <f ca="1">+SUMIF('Monthly Cohorts'!$E$178:'Monthly Cohorts'!$E$341,$D19,'Monthly Cohorts'!BI$178:'Monthly Cohorts'!BI$341)</f>
        <v>0</v>
      </c>
      <c r="BJ19" s="58">
        <f ca="1">+SUMIF('Monthly Cohorts'!$E$178:'Monthly Cohorts'!$E$341,$D19,'Monthly Cohorts'!BJ$178:'Monthly Cohorts'!BJ$341)</f>
        <v>0</v>
      </c>
      <c r="BK19" s="58">
        <f ca="1">+SUMIF('Monthly Cohorts'!$E$178:'Monthly Cohorts'!$E$341,$D19,'Monthly Cohorts'!BK$178:'Monthly Cohorts'!BK$341)</f>
        <v>0</v>
      </c>
      <c r="BL19" s="58">
        <f ca="1">+SUMIF('Monthly Cohorts'!$E$178:'Monthly Cohorts'!$E$341,$D19,'Monthly Cohorts'!BL$178:'Monthly Cohorts'!BL$341)</f>
        <v>0</v>
      </c>
      <c r="BM19" s="58">
        <f ca="1">+SUMIF('Monthly Cohorts'!$E$178:'Monthly Cohorts'!$E$341,$D19,'Monthly Cohorts'!BM$178:'Monthly Cohorts'!BM$341)</f>
        <v>0</v>
      </c>
      <c r="BN19" s="58">
        <f ca="1">+SUMIF('Monthly Cohorts'!$E$178:'Monthly Cohorts'!$E$341,$D19,'Monthly Cohorts'!BN$178:'Monthly Cohorts'!BN$341)</f>
        <v>0</v>
      </c>
      <c r="BO19" s="58">
        <f ca="1">+SUMIF('Monthly Cohorts'!$E$178:'Monthly Cohorts'!$E$341,$D19,'Monthly Cohorts'!BO$178:'Monthly Cohorts'!BO$341)</f>
        <v>0</v>
      </c>
      <c r="BP19" s="58">
        <f ca="1">+SUMIF('Monthly Cohorts'!$E$178:'Monthly Cohorts'!$E$341,$D19,'Monthly Cohorts'!BP$178:'Monthly Cohorts'!BP$341)</f>
        <v>0</v>
      </c>
      <c r="BQ19" s="58">
        <f ca="1">+SUMIF('Monthly Cohorts'!$E$178:'Monthly Cohorts'!$E$341,$D19,'Monthly Cohorts'!BQ$178:'Monthly Cohorts'!BQ$341)</f>
        <v>0</v>
      </c>
      <c r="BR19" s="58">
        <f ca="1">+SUMIF('Monthly Cohorts'!$E$178:'Monthly Cohorts'!$E$341,$D19,'Monthly Cohorts'!BR$178:'Monthly Cohorts'!BR$341)</f>
        <v>0</v>
      </c>
      <c r="BS19" s="58">
        <f ca="1">+SUMIF('Monthly Cohorts'!$E$178:'Monthly Cohorts'!$E$341,$D19,'Monthly Cohorts'!BS$178:'Monthly Cohorts'!BS$341)</f>
        <v>0</v>
      </c>
      <c r="BT19" s="58">
        <f ca="1">+SUMIF('Monthly Cohorts'!$E$178:'Monthly Cohorts'!$E$341,$D19,'Monthly Cohorts'!BT$178:'Monthly Cohorts'!BT$341)</f>
        <v>0</v>
      </c>
      <c r="BU19" s="58">
        <f ca="1">+SUMIF('Monthly Cohorts'!$E$178:'Monthly Cohorts'!$E$341,$D19,'Monthly Cohorts'!BU$178:'Monthly Cohorts'!BU$341)</f>
        <v>0</v>
      </c>
      <c r="BV19" s="58">
        <f ca="1">+SUMIF('Monthly Cohorts'!$E$178:'Monthly Cohorts'!$E$341,$D19,'Monthly Cohorts'!BV$178:'Monthly Cohorts'!BV$341)</f>
        <v>0</v>
      </c>
      <c r="BW19" s="58">
        <f ca="1">+SUMIF('Monthly Cohorts'!$E$178:'Monthly Cohorts'!$E$341,$D19,'Monthly Cohorts'!BW$178:'Monthly Cohorts'!BW$341)</f>
        <v>0</v>
      </c>
      <c r="BX19" s="58">
        <f ca="1">+SUMIF('Monthly Cohorts'!$E$178:'Monthly Cohorts'!$E$341,$D19,'Monthly Cohorts'!BX$178:'Monthly Cohorts'!BX$341)</f>
        <v>0</v>
      </c>
      <c r="BY19" s="58">
        <f ca="1">+SUMIF('Monthly Cohorts'!$E$178:'Monthly Cohorts'!$E$341,$D19,'Monthly Cohorts'!BY$178:'Monthly Cohorts'!BY$341)</f>
        <v>0</v>
      </c>
      <c r="BZ19" s="58">
        <f ca="1">+SUMIF('Monthly Cohorts'!$E$178:'Monthly Cohorts'!$E$341,$D19,'Monthly Cohorts'!BZ$178:'Monthly Cohorts'!BZ$341)</f>
        <v>0</v>
      </c>
      <c r="CA19" s="58">
        <f ca="1">+SUMIF('Monthly Cohorts'!$E$178:'Monthly Cohorts'!$E$341,$D19,'Monthly Cohorts'!CA$178:'Monthly Cohorts'!CA$341)</f>
        <v>0</v>
      </c>
      <c r="CB19" s="58">
        <f ca="1">+SUMIF('Monthly Cohorts'!$E$178:'Monthly Cohorts'!$E$341,$D19,'Monthly Cohorts'!CB$178:'Monthly Cohorts'!CB$341)</f>
        <v>0</v>
      </c>
      <c r="CC19" s="58">
        <f ca="1">+SUMIF('Monthly Cohorts'!$E$178:'Monthly Cohorts'!$E$341,$D19,'Monthly Cohorts'!CC$178:'Monthly Cohorts'!CC$341)</f>
        <v>0</v>
      </c>
      <c r="CD19" s="58">
        <f ca="1">+SUMIF('Monthly Cohorts'!$E$178:'Monthly Cohorts'!$E$341,$D19,'Monthly Cohorts'!CD$178:'Monthly Cohorts'!CD$341)</f>
        <v>0</v>
      </c>
      <c r="CE19" s="58">
        <f ca="1">+SUMIF('Monthly Cohorts'!$E$178:'Monthly Cohorts'!$E$341,$D19,'Monthly Cohorts'!CE$178:'Monthly Cohorts'!CE$341)</f>
        <v>0</v>
      </c>
      <c r="CF19" s="58">
        <f ca="1">+SUMIF('Monthly Cohorts'!$E$178:'Monthly Cohorts'!$E$341,$D19,'Monthly Cohorts'!CF$178:'Monthly Cohorts'!CF$341)</f>
        <v>0</v>
      </c>
      <c r="CG19" s="58">
        <f ca="1">+SUMIF('Monthly Cohorts'!$E$178:'Monthly Cohorts'!$E$341,$D19,'Monthly Cohorts'!CG$178:'Monthly Cohorts'!CG$341)</f>
        <v>0</v>
      </c>
      <c r="CH19" s="58">
        <f ca="1">+SUMIF('Monthly Cohorts'!$E$178:'Monthly Cohorts'!$E$341,$D19,'Monthly Cohorts'!CH$178:'Monthly Cohorts'!CH$341)</f>
        <v>0</v>
      </c>
      <c r="CI19" s="58">
        <f ca="1">+SUMIF('Monthly Cohorts'!$E$178:'Monthly Cohorts'!$E$341,$D19,'Monthly Cohorts'!CI$178:'Monthly Cohorts'!CI$341)</f>
        <v>0</v>
      </c>
      <c r="CJ19" s="58">
        <f ca="1">+SUMIF('Monthly Cohorts'!$E$178:'Monthly Cohorts'!$E$341,$D19,'Monthly Cohorts'!CJ$178:'Monthly Cohorts'!CJ$341)</f>
        <v>0</v>
      </c>
      <c r="CK19" s="58">
        <f ca="1">+SUMIF('Monthly Cohorts'!$E$178:'Monthly Cohorts'!$E$341,$D19,'Monthly Cohorts'!CK$178:'Monthly Cohorts'!CK$341)</f>
        <v>0</v>
      </c>
      <c r="CL19" s="58">
        <f ca="1">+SUMIF('Monthly Cohorts'!$E$178:'Monthly Cohorts'!$E$341,$D19,'Monthly Cohorts'!CL$178:'Monthly Cohorts'!CL$341)</f>
        <v>0</v>
      </c>
      <c r="CM19" s="58">
        <f ca="1">+SUMIF('Monthly Cohorts'!$E$178:'Monthly Cohorts'!$E$341,$D19,'Monthly Cohorts'!CM$178:'Monthly Cohorts'!CM$341)</f>
        <v>0</v>
      </c>
      <c r="CN19" s="58">
        <f ca="1">+SUMIF('Monthly Cohorts'!$E$178:'Monthly Cohorts'!$E$341,$D19,'Monthly Cohorts'!CN$178:'Monthly Cohorts'!CN$341)</f>
        <v>0</v>
      </c>
      <c r="CO19" s="58">
        <f ca="1">+SUMIF('Monthly Cohorts'!$E$178:'Monthly Cohorts'!$E$341,$D19,'Monthly Cohorts'!CO$178:'Monthly Cohorts'!CO$341)</f>
        <v>0</v>
      </c>
      <c r="CP19" s="58">
        <f ca="1">+SUMIF('Monthly Cohorts'!$E$178:'Monthly Cohorts'!$E$341,$D19,'Monthly Cohorts'!CP$178:'Monthly Cohorts'!CP$341)</f>
        <v>0</v>
      </c>
      <c r="CQ19" s="58">
        <f ca="1">+SUMIF('Monthly Cohorts'!$E$178:'Monthly Cohorts'!$E$341,$D19,'Monthly Cohorts'!CQ$178:'Monthly Cohorts'!CQ$341)</f>
        <v>0</v>
      </c>
      <c r="CR19" s="58">
        <f ca="1">+SUMIF('Monthly Cohorts'!$E$178:'Monthly Cohorts'!$E$341,$D19,'Monthly Cohorts'!CR$178:'Monthly Cohorts'!CR$341)</f>
        <v>0</v>
      </c>
      <c r="CS19" s="58">
        <f ca="1">+SUMIF('Monthly Cohorts'!$E$178:'Monthly Cohorts'!$E$341,$D19,'Monthly Cohorts'!CS$178:'Monthly Cohorts'!CS$341)</f>
        <v>0</v>
      </c>
      <c r="CT19" s="58">
        <f ca="1">+SUMIF('Monthly Cohorts'!$E$178:'Monthly Cohorts'!$E$341,$D19,'Monthly Cohorts'!CT$178:'Monthly Cohorts'!CT$341)</f>
        <v>0</v>
      </c>
      <c r="CU19" s="58">
        <f ca="1">+SUMIF('Monthly Cohorts'!$E$178:'Monthly Cohorts'!$E$341,$D19,'Monthly Cohorts'!CU$178:'Monthly Cohorts'!CU$341)</f>
        <v>0</v>
      </c>
      <c r="CV19" s="58">
        <f ca="1">+SUMIF('Monthly Cohorts'!$E$178:'Monthly Cohorts'!$E$341,$D19,'Monthly Cohorts'!CV$178:'Monthly Cohorts'!CV$341)</f>
        <v>0</v>
      </c>
      <c r="CW19" s="58">
        <f ca="1">+SUMIF('Monthly Cohorts'!$E$178:'Monthly Cohorts'!$E$341,$D19,'Monthly Cohorts'!CW$178:'Monthly Cohorts'!CW$341)</f>
        <v>0</v>
      </c>
      <c r="CX19" s="58">
        <f ca="1">+SUMIF('Monthly Cohorts'!$E$178:'Monthly Cohorts'!$E$341,$D19,'Monthly Cohorts'!CX$178:'Monthly Cohorts'!CX$341)</f>
        <v>0</v>
      </c>
      <c r="CY19" s="58">
        <f ca="1">+SUMIF('Monthly Cohorts'!$E$178:'Monthly Cohorts'!$E$341,$D19,'Monthly Cohorts'!CY$178:'Monthly Cohorts'!CY$341)</f>
        <v>0</v>
      </c>
      <c r="CZ19" s="58">
        <f ca="1">+SUMIF('Monthly Cohorts'!$E$178:'Monthly Cohorts'!$E$341,$D19,'Monthly Cohorts'!CZ$178:'Monthly Cohorts'!CZ$341)</f>
        <v>0</v>
      </c>
      <c r="DA19" s="58">
        <f ca="1">+SUMIF('Monthly Cohorts'!$E$178:'Monthly Cohorts'!$E$341,$D19,'Monthly Cohorts'!DA$178:'Monthly Cohorts'!DA$341)</f>
        <v>0</v>
      </c>
      <c r="DB19" s="58">
        <f ca="1">+SUMIF('Monthly Cohorts'!$E$178:'Monthly Cohorts'!$E$341,$D19,'Monthly Cohorts'!DB$178:'Monthly Cohorts'!DB$341)</f>
        <v>0</v>
      </c>
      <c r="DC19" s="58">
        <f ca="1">+SUMIF('Monthly Cohorts'!$E$178:'Monthly Cohorts'!$E$341,$D19,'Monthly Cohorts'!DC$178:'Monthly Cohorts'!DC$341)</f>
        <v>0</v>
      </c>
      <c r="DD19" s="58">
        <f ca="1">+SUMIF('Monthly Cohorts'!$E$178:'Monthly Cohorts'!$E$341,$D19,'Monthly Cohorts'!DD$178:'Monthly Cohorts'!DD$341)</f>
        <v>0</v>
      </c>
      <c r="DE19" s="58">
        <f ca="1">+SUMIF('Monthly Cohorts'!$E$178:'Monthly Cohorts'!$E$341,$D19,'Monthly Cohorts'!DE$178:'Monthly Cohorts'!DE$341)</f>
        <v>0</v>
      </c>
      <c r="DF19" s="58">
        <f ca="1">+SUMIF('Monthly Cohorts'!$E$178:'Monthly Cohorts'!$E$341,$D19,'Monthly Cohorts'!DF$178:'Monthly Cohorts'!DF$341)</f>
        <v>0</v>
      </c>
      <c r="DG19" s="58">
        <f ca="1">+SUMIF('Monthly Cohorts'!$E$178:'Monthly Cohorts'!$E$341,$D19,'Monthly Cohorts'!DG$178:'Monthly Cohorts'!DG$341)</f>
        <v>0</v>
      </c>
      <c r="DH19" s="58">
        <f ca="1">+SUMIF('Monthly Cohorts'!$E$178:'Monthly Cohorts'!$E$341,$D19,'Monthly Cohorts'!DH$178:'Monthly Cohorts'!DH$341)</f>
        <v>0</v>
      </c>
      <c r="DI19" s="58">
        <f ca="1">+SUMIF('Monthly Cohorts'!$E$178:'Monthly Cohorts'!$E$341,$D19,'Monthly Cohorts'!DI$178:'Monthly Cohorts'!DI$341)</f>
        <v>0</v>
      </c>
      <c r="DJ19" s="58">
        <f ca="1">+SUMIF('Monthly Cohorts'!$E$178:'Monthly Cohorts'!$E$341,$D19,'Monthly Cohorts'!DJ$178:'Monthly Cohorts'!DJ$341)</f>
        <v>0</v>
      </c>
      <c r="DK19" s="58">
        <f ca="1">+SUMIF('Monthly Cohorts'!$E$178:'Monthly Cohorts'!$E$341,$D19,'Monthly Cohorts'!DK$178:'Monthly Cohorts'!DK$341)</f>
        <v>0</v>
      </c>
      <c r="DL19" s="58">
        <f ca="1">+SUMIF('Monthly Cohorts'!$E$178:'Monthly Cohorts'!$E$341,$D19,'Monthly Cohorts'!DL$178:'Monthly Cohorts'!DL$341)</f>
        <v>0</v>
      </c>
      <c r="DM19" s="58">
        <f ca="1">+SUMIF('Monthly Cohorts'!$E$178:'Monthly Cohorts'!$E$341,$D19,'Monthly Cohorts'!DM$178:'Monthly Cohorts'!DM$341)</f>
        <v>0</v>
      </c>
      <c r="DN19" s="58">
        <f ca="1">+SUMIF('Monthly Cohorts'!$E$178:'Monthly Cohorts'!$E$341,$D19,'Monthly Cohorts'!DN$178:'Monthly Cohorts'!DN$341)</f>
        <v>0</v>
      </c>
      <c r="DO19" s="58">
        <f ca="1">+SUMIF('Monthly Cohorts'!$E$178:'Monthly Cohorts'!$E$341,$D19,'Monthly Cohorts'!DO$178:'Monthly Cohorts'!DO$341)</f>
        <v>0</v>
      </c>
      <c r="DP19" s="58">
        <f ca="1">+SUMIF('Monthly Cohorts'!$E$178:'Monthly Cohorts'!$E$341,$D19,'Monthly Cohorts'!DP$178:'Monthly Cohorts'!DP$341)</f>
        <v>0</v>
      </c>
      <c r="DQ19" s="58">
        <f ca="1">+SUMIF('Monthly Cohorts'!$E$178:'Monthly Cohorts'!$E$341,$D19,'Monthly Cohorts'!DQ$178:'Monthly Cohorts'!DQ$341)</f>
        <v>0</v>
      </c>
      <c r="DR19" s="58">
        <f ca="1">+SUMIF('Monthly Cohorts'!$E$178:'Monthly Cohorts'!$E$341,$D19,'Monthly Cohorts'!DR$178:'Monthly Cohorts'!DR$341)</f>
        <v>0</v>
      </c>
      <c r="DS19" s="58">
        <f ca="1">+SUMIF('Monthly Cohorts'!$E$178:'Monthly Cohorts'!$E$341,$D19,'Monthly Cohorts'!DS$178:'Monthly Cohorts'!DS$341)</f>
        <v>0</v>
      </c>
      <c r="DT19" s="58">
        <f ca="1">+SUMIF('Monthly Cohorts'!$E$178:'Monthly Cohorts'!$E$341,$D19,'Monthly Cohorts'!DT$178:'Monthly Cohorts'!DT$341)</f>
        <v>0</v>
      </c>
      <c r="DU19" s="58">
        <f ca="1">+SUMIF('Monthly Cohorts'!$E$178:'Monthly Cohorts'!$E$341,$D19,'Monthly Cohorts'!DU$178:'Monthly Cohorts'!DU$341)</f>
        <v>0</v>
      </c>
      <c r="DV19" s="58">
        <f ca="1">+SUMIF('Monthly Cohorts'!$E$178:'Monthly Cohorts'!$E$341,$D19,'Monthly Cohorts'!DV$178:'Monthly Cohorts'!DV$341)</f>
        <v>0</v>
      </c>
      <c r="DW19" s="58">
        <f ca="1">+SUMIF('Monthly Cohorts'!$E$178:'Monthly Cohorts'!$E$341,$D19,'Monthly Cohorts'!DW$178:'Monthly Cohorts'!DW$341)</f>
        <v>0</v>
      </c>
      <c r="DX19" s="58">
        <f ca="1">+SUMIF('Monthly Cohorts'!$E$178:'Monthly Cohorts'!$E$341,$D19,'Monthly Cohorts'!DX$178:'Monthly Cohorts'!DX$341)</f>
        <v>0</v>
      </c>
      <c r="DY19" s="58">
        <f ca="1">+SUMIF('Monthly Cohorts'!$E$178:'Monthly Cohorts'!$E$341,$D19,'Monthly Cohorts'!DY$178:'Monthly Cohorts'!DY$341)</f>
        <v>0</v>
      </c>
      <c r="DZ19" s="58">
        <f ca="1">+SUMIF('Monthly Cohorts'!$E$178:'Monthly Cohorts'!$E$341,$D19,'Monthly Cohorts'!DZ$178:'Monthly Cohorts'!DZ$341)</f>
        <v>0</v>
      </c>
      <c r="EA19" s="58">
        <f ca="1">+SUMIF('Monthly Cohorts'!$E$178:'Monthly Cohorts'!$E$341,$D19,'Monthly Cohorts'!EA$178:'Monthly Cohorts'!EA$341)</f>
        <v>0</v>
      </c>
      <c r="EB19" s="58">
        <f ca="1">+SUMIF('Monthly Cohorts'!$E$178:'Monthly Cohorts'!$E$341,$D19,'Monthly Cohorts'!EB$178:'Monthly Cohorts'!EB$341)</f>
        <v>0</v>
      </c>
      <c r="EC19" s="58">
        <f ca="1">+SUMIF('Monthly Cohorts'!$E$178:'Monthly Cohorts'!$E$341,$D19,'Monthly Cohorts'!EC$178:'Monthly Cohorts'!EC$341)</f>
        <v>0</v>
      </c>
      <c r="ED19" s="58">
        <f ca="1">+SUMIF('Monthly Cohorts'!$E$178:'Monthly Cohorts'!$E$341,$D19,'Monthly Cohorts'!ED$178:'Monthly Cohorts'!ED$341)</f>
        <v>0</v>
      </c>
      <c r="EE19" s="58">
        <f ca="1">+SUMIF('Monthly Cohorts'!$E$178:'Monthly Cohorts'!$E$341,$D19,'Monthly Cohorts'!EE$178:'Monthly Cohorts'!EE$341)</f>
        <v>0</v>
      </c>
      <c r="EF19" s="58">
        <f ca="1">+SUMIF('Monthly Cohorts'!$E$178:'Monthly Cohorts'!$E$341,$D19,'Monthly Cohorts'!EF$178:'Monthly Cohorts'!EF$341)</f>
        <v>0</v>
      </c>
      <c r="EG19" s="58">
        <f ca="1">+SUMIF('Monthly Cohorts'!$E$178:'Monthly Cohorts'!$E$341,$D19,'Monthly Cohorts'!EG$178:'Monthly Cohorts'!EG$341)</f>
        <v>0</v>
      </c>
      <c r="EH19" s="58">
        <f ca="1">+SUMIF('Monthly Cohorts'!$E$178:'Monthly Cohorts'!$E$341,$D19,'Monthly Cohorts'!EH$178:'Monthly Cohorts'!EH$341)</f>
        <v>0</v>
      </c>
      <c r="EI19" s="58">
        <f ca="1">+SUMIF('Monthly Cohorts'!$E$178:'Monthly Cohorts'!$E$341,$D19,'Monthly Cohorts'!EI$178:'Monthly Cohorts'!EI$341)</f>
        <v>0</v>
      </c>
      <c r="EJ19" s="58">
        <f ca="1">+SUMIF('Monthly Cohorts'!$E$178:'Monthly Cohorts'!$E$341,$D19,'Monthly Cohorts'!EJ$178:'Monthly Cohorts'!EJ$341)</f>
        <v>0</v>
      </c>
      <c r="EK19" s="58">
        <f ca="1">+SUMIF('Monthly Cohorts'!$E$178:'Monthly Cohorts'!$E$341,$D19,'Monthly Cohorts'!EK$178:'Monthly Cohorts'!EK$341)</f>
        <v>0</v>
      </c>
      <c r="EL19" s="58">
        <f ca="1">+SUMIF('Monthly Cohorts'!$E$178:'Monthly Cohorts'!$E$341,$D19,'Monthly Cohorts'!EL$178:'Monthly Cohorts'!EL$341)</f>
        <v>0</v>
      </c>
      <c r="EM19" s="58">
        <f ca="1">+SUMIF('Monthly Cohorts'!$E$178:'Monthly Cohorts'!$E$341,$D19,'Monthly Cohorts'!EM$178:'Monthly Cohorts'!EM$341)</f>
        <v>0</v>
      </c>
      <c r="EN19" s="58">
        <f ca="1">+SUMIF('Monthly Cohorts'!$E$178:'Monthly Cohorts'!$E$341,$D19,'Monthly Cohorts'!EN$178:'Monthly Cohorts'!EN$341)</f>
        <v>0</v>
      </c>
      <c r="EO19" s="58">
        <f ca="1">+SUMIF('Monthly Cohorts'!$E$178:'Monthly Cohorts'!$E$341,$D19,'Monthly Cohorts'!EO$178:'Monthly Cohorts'!EO$341)</f>
        <v>0</v>
      </c>
      <c r="EP19" s="58">
        <f ca="1">+SUMIF('Monthly Cohorts'!$E$178:'Monthly Cohorts'!$E$341,$D19,'Monthly Cohorts'!EP$178:'Monthly Cohorts'!EP$341)</f>
        <v>0</v>
      </c>
      <c r="EQ19" s="58">
        <f ca="1">+SUMIF('Monthly Cohorts'!$E$178:'Monthly Cohorts'!$E$341,$D19,'Monthly Cohorts'!EQ$178:'Monthly Cohorts'!EQ$341)</f>
        <v>0</v>
      </c>
      <c r="ER19" s="58">
        <f ca="1">+SUMIF('Monthly Cohorts'!$E$178:'Monthly Cohorts'!$E$341,$D19,'Monthly Cohorts'!ER$178:'Monthly Cohorts'!ER$341)</f>
        <v>0</v>
      </c>
      <c r="ES19" s="58">
        <f ca="1">+SUMIF('Monthly Cohorts'!$E$178:'Monthly Cohorts'!$E$341,$D19,'Monthly Cohorts'!ES$178:'Monthly Cohorts'!ES$341)</f>
        <v>0</v>
      </c>
      <c r="ET19" s="58">
        <f ca="1">+SUMIF('Monthly Cohorts'!$E$178:'Monthly Cohorts'!$E$341,$D19,'Monthly Cohorts'!ET$178:'Monthly Cohorts'!ET$341)</f>
        <v>0</v>
      </c>
      <c r="EU19" s="58">
        <f ca="1">+SUMIF('Monthly Cohorts'!$E$178:'Monthly Cohorts'!$E$341,$D19,'Monthly Cohorts'!EU$178:'Monthly Cohorts'!EU$341)</f>
        <v>0</v>
      </c>
      <c r="EV19" s="58">
        <f ca="1">+SUMIF('Monthly Cohorts'!$E$178:'Monthly Cohorts'!$E$341,$D19,'Monthly Cohorts'!EV$178:'Monthly Cohorts'!EV$341)</f>
        <v>0</v>
      </c>
      <c r="EW19" s="58">
        <f ca="1">+SUMIF('Monthly Cohorts'!$E$178:'Monthly Cohorts'!$E$341,$D19,'Monthly Cohorts'!EW$178:'Monthly Cohorts'!EW$341)</f>
        <v>0</v>
      </c>
      <c r="EX19" s="58">
        <f ca="1">+SUMIF('Monthly Cohorts'!$E$178:'Monthly Cohorts'!$E$341,$D19,'Monthly Cohorts'!EX$178:'Monthly Cohorts'!EX$341)</f>
        <v>0</v>
      </c>
      <c r="EY19" s="58">
        <f ca="1">+SUMIF('Monthly Cohorts'!$E$178:'Monthly Cohorts'!$E$341,$D19,'Monthly Cohorts'!EY$178:'Monthly Cohorts'!EY$341)</f>
        <v>0</v>
      </c>
      <c r="EZ19" s="58">
        <f ca="1">+SUMIF('Monthly Cohorts'!$E$178:'Monthly Cohorts'!$E$341,$D19,'Monthly Cohorts'!EZ$178:'Monthly Cohorts'!EZ$341)</f>
        <v>0</v>
      </c>
      <c r="FA19" s="58">
        <f ca="1">+SUMIF('Monthly Cohorts'!$E$178:'Monthly Cohorts'!$E$341,$D19,'Monthly Cohorts'!FA$178:'Monthly Cohorts'!FA$341)</f>
        <v>0</v>
      </c>
      <c r="FB19" s="58">
        <f ca="1">+SUMIF('Monthly Cohorts'!$E$178:'Monthly Cohorts'!$E$341,$D19,'Monthly Cohorts'!FB$178:'Monthly Cohorts'!FB$341)</f>
        <v>0</v>
      </c>
      <c r="FC19" s="58">
        <f ca="1">+SUMIF('Monthly Cohorts'!$E$178:'Monthly Cohorts'!$E$341,$D19,'Monthly Cohorts'!FC$178:'Monthly Cohorts'!FC$341)</f>
        <v>0</v>
      </c>
      <c r="FD19" s="58">
        <f ca="1">+SUMIF('Monthly Cohorts'!$E$178:'Monthly Cohorts'!$E$341,$D19,'Monthly Cohorts'!FD$178:'Monthly Cohorts'!FD$341)</f>
        <v>0</v>
      </c>
      <c r="FE19" s="58">
        <f ca="1">+SUMIF('Monthly Cohorts'!$E$178:'Monthly Cohorts'!$E$341,$D19,'Monthly Cohorts'!FE$178:'Monthly Cohorts'!FE$341)</f>
        <v>0</v>
      </c>
      <c r="FF19" s="58">
        <f ca="1">+SUMIF('Monthly Cohorts'!$E$178:'Monthly Cohorts'!$E$341,$D19,'Monthly Cohorts'!FF$178:'Monthly Cohorts'!FF$341)</f>
        <v>0</v>
      </c>
      <c r="FG19" s="58">
        <f ca="1">+SUMIF('Monthly Cohorts'!$E$178:'Monthly Cohorts'!$E$341,$D19,'Monthly Cohorts'!FG$178:'Monthly Cohorts'!FG$341)</f>
        <v>0</v>
      </c>
      <c r="FH19" s="58">
        <f ca="1">+SUMIF('Monthly Cohorts'!$E$178:'Monthly Cohorts'!$E$341,$D19,'Monthly Cohorts'!FH$178:'Monthly Cohorts'!FH$341)</f>
        <v>0</v>
      </c>
      <c r="FI19" s="58">
        <f ca="1">+SUMIF('Monthly Cohorts'!$E$178:'Monthly Cohorts'!$E$341,$D19,'Monthly Cohorts'!FI$178:'Monthly Cohorts'!FI$341)</f>
        <v>0</v>
      </c>
      <c r="FJ19" s="58">
        <f ca="1">+SUMIF('Monthly Cohorts'!$E$178:'Monthly Cohorts'!$E$341,$D19,'Monthly Cohorts'!FJ$178:'Monthly Cohorts'!FJ$341)</f>
        <v>0</v>
      </c>
      <c r="FK19" s="58">
        <f ca="1">+SUMIF('Monthly Cohorts'!$E$178:'Monthly Cohorts'!$E$341,$D19,'Monthly Cohorts'!FK$178:'Monthly Cohorts'!FK$341)</f>
        <v>0</v>
      </c>
      <c r="FL19" s="58">
        <f ca="1">+SUMIF('Monthly Cohorts'!$E$178:'Monthly Cohorts'!$E$341,$D19,'Monthly Cohorts'!FL$178:'Monthly Cohorts'!FL$341)</f>
        <v>0</v>
      </c>
      <c r="FM19" s="58">
        <f ca="1">+SUMIF('Monthly Cohorts'!$E$178:'Monthly Cohorts'!$E$341,$D19,'Monthly Cohorts'!FM$178:'Monthly Cohorts'!FM$341)</f>
        <v>0</v>
      </c>
      <c r="FN19" s="58">
        <f ca="1">+SUMIF('Monthly Cohorts'!$E$178:'Monthly Cohorts'!$E$341,$D19,'Monthly Cohorts'!FN$178:'Monthly Cohorts'!FN$341)</f>
        <v>0</v>
      </c>
      <c r="FO19" s="13"/>
    </row>
    <row r="20" spans="1:171" outlineLevel="1" x14ac:dyDescent="0.3">
      <c r="A20" s="13"/>
      <c r="B20" s="13"/>
      <c r="C20" s="13"/>
      <c r="D20" s="59">
        <f t="shared" si="11"/>
        <v>2020</v>
      </c>
      <c r="E20" s="25"/>
      <c r="F20" s="20"/>
      <c r="G20" s="58">
        <f ca="1">+SUMIF('Monthly Cohorts'!$E$178:'Monthly Cohorts'!$E$341,$D20,'Monthly Cohorts'!G$178:'Monthly Cohorts'!G$341)</f>
        <v>0</v>
      </c>
      <c r="H20" s="58">
        <f ca="1">+SUMIF('Monthly Cohorts'!$E$178:'Monthly Cohorts'!$E$341,$D20,'Monthly Cohorts'!H$178:'Monthly Cohorts'!H$341)</f>
        <v>0</v>
      </c>
      <c r="I20" s="58">
        <f ca="1">+SUMIF('Monthly Cohorts'!$E$178:'Monthly Cohorts'!$E$341,$D20,'Monthly Cohorts'!I$178:'Monthly Cohorts'!I$341)</f>
        <v>0</v>
      </c>
      <c r="J20" s="58">
        <f ca="1">+SUMIF('Monthly Cohorts'!$E$178:'Monthly Cohorts'!$E$341,$D20,'Monthly Cohorts'!J$178:'Monthly Cohorts'!J$341)</f>
        <v>0</v>
      </c>
      <c r="K20" s="58">
        <f ca="1">+SUMIF('Monthly Cohorts'!$E$178:'Monthly Cohorts'!$E$341,$D20,'Monthly Cohorts'!K$178:'Monthly Cohorts'!K$341)</f>
        <v>0</v>
      </c>
      <c r="L20" s="58">
        <f ca="1">+SUMIF('Monthly Cohorts'!$E$178:'Monthly Cohorts'!$E$341,$D20,'Monthly Cohorts'!L$178:'Monthly Cohorts'!L$341)</f>
        <v>0</v>
      </c>
      <c r="M20" s="58">
        <f ca="1">+SUMIF('Monthly Cohorts'!$E$178:'Monthly Cohorts'!$E$341,$D20,'Monthly Cohorts'!M$178:'Monthly Cohorts'!M$341)</f>
        <v>0</v>
      </c>
      <c r="N20" s="58">
        <f ca="1">+SUMIF('Monthly Cohorts'!$E$178:'Monthly Cohorts'!$E$341,$D20,'Monthly Cohorts'!N$178:'Monthly Cohorts'!N$341)</f>
        <v>0</v>
      </c>
      <c r="O20" s="58">
        <f ca="1">+SUMIF('Monthly Cohorts'!$E$178:'Monthly Cohorts'!$E$341,$D20,'Monthly Cohorts'!O$178:'Monthly Cohorts'!O$341)</f>
        <v>0</v>
      </c>
      <c r="P20" s="58">
        <f ca="1">+SUMIF('Monthly Cohorts'!$E$178:'Monthly Cohorts'!$E$341,$D20,'Monthly Cohorts'!P$178:'Monthly Cohorts'!P$341)</f>
        <v>0</v>
      </c>
      <c r="Q20" s="58">
        <f ca="1">+SUMIF('Monthly Cohorts'!$E$178:'Monthly Cohorts'!$E$341,$D20,'Monthly Cohorts'!Q$178:'Monthly Cohorts'!Q$341)</f>
        <v>0</v>
      </c>
      <c r="R20" s="58">
        <f ca="1">+SUMIF('Monthly Cohorts'!$E$178:'Monthly Cohorts'!$E$341,$D20,'Monthly Cohorts'!R$178:'Monthly Cohorts'!R$341)</f>
        <v>0</v>
      </c>
      <c r="S20" s="58">
        <f ca="1">+SUMIF('Monthly Cohorts'!$E$178:'Monthly Cohorts'!$E$341,$D20,'Monthly Cohorts'!S$178:'Monthly Cohorts'!S$341)</f>
        <v>0</v>
      </c>
      <c r="T20" s="58">
        <f ca="1">+SUMIF('Monthly Cohorts'!$E$178:'Monthly Cohorts'!$E$341,$D20,'Monthly Cohorts'!T$178:'Monthly Cohorts'!T$341)</f>
        <v>0</v>
      </c>
      <c r="U20" s="58">
        <f ca="1">+SUMIF('Monthly Cohorts'!$E$178:'Monthly Cohorts'!$E$341,$D20,'Monthly Cohorts'!U$178:'Monthly Cohorts'!U$341)</f>
        <v>0</v>
      </c>
      <c r="V20" s="58">
        <f ca="1">+SUMIF('Monthly Cohorts'!$E$178:'Monthly Cohorts'!$E$341,$D20,'Monthly Cohorts'!V$178:'Monthly Cohorts'!V$341)</f>
        <v>0</v>
      </c>
      <c r="W20" s="58">
        <f ca="1">+SUMIF('Monthly Cohorts'!$E$178:'Monthly Cohorts'!$E$341,$D20,'Monthly Cohorts'!W$178:'Monthly Cohorts'!W$341)</f>
        <v>0</v>
      </c>
      <c r="X20" s="58">
        <f ca="1">+SUMIF('Monthly Cohorts'!$E$178:'Monthly Cohorts'!$E$341,$D20,'Monthly Cohorts'!X$178:'Monthly Cohorts'!X$341)</f>
        <v>0</v>
      </c>
      <c r="Y20" s="58">
        <f ca="1">+SUMIF('Monthly Cohorts'!$E$178:'Monthly Cohorts'!$E$341,$D20,'Monthly Cohorts'!Y$178:'Monthly Cohorts'!Y$341)</f>
        <v>0</v>
      </c>
      <c r="Z20" s="58">
        <f ca="1">+SUMIF('Monthly Cohorts'!$E$178:'Monthly Cohorts'!$E$341,$D20,'Monthly Cohorts'!Z$178:'Monthly Cohorts'!Z$341)</f>
        <v>0</v>
      </c>
      <c r="AA20" s="58">
        <f ca="1">+SUMIF('Monthly Cohorts'!$E$178:'Monthly Cohorts'!$E$341,$D20,'Monthly Cohorts'!AA$178:'Monthly Cohorts'!AA$341)</f>
        <v>0</v>
      </c>
      <c r="AB20" s="58">
        <f ca="1">+SUMIF('Monthly Cohorts'!$E$178:'Monthly Cohorts'!$E$341,$D20,'Monthly Cohorts'!AB$178:'Monthly Cohorts'!AB$341)</f>
        <v>0</v>
      </c>
      <c r="AC20" s="58">
        <f ca="1">+SUMIF('Monthly Cohorts'!$E$178:'Monthly Cohorts'!$E$341,$D20,'Monthly Cohorts'!AC$178:'Monthly Cohorts'!AC$341)</f>
        <v>0</v>
      </c>
      <c r="AD20" s="58">
        <f ca="1">+SUMIF('Monthly Cohorts'!$E$178:'Monthly Cohorts'!$E$341,$D20,'Monthly Cohorts'!AD$178:'Monthly Cohorts'!AD$341)</f>
        <v>0</v>
      </c>
      <c r="AE20" s="58">
        <f ca="1">+SUMIF('Monthly Cohorts'!$E$178:'Monthly Cohorts'!$E$341,$D20,'Monthly Cohorts'!AE$178:'Monthly Cohorts'!AE$341)</f>
        <v>0</v>
      </c>
      <c r="AF20" s="58">
        <f ca="1">+SUMIF('Monthly Cohorts'!$E$178:'Monthly Cohorts'!$E$341,$D20,'Monthly Cohorts'!AF$178:'Monthly Cohorts'!AF$341)</f>
        <v>0</v>
      </c>
      <c r="AG20" s="58">
        <f ca="1">+SUMIF('Monthly Cohorts'!$E$178:'Monthly Cohorts'!$E$341,$D20,'Monthly Cohorts'!AG$178:'Monthly Cohorts'!AG$341)</f>
        <v>0</v>
      </c>
      <c r="AH20" s="58">
        <f ca="1">+SUMIF('Monthly Cohorts'!$E$178:'Monthly Cohorts'!$E$341,$D20,'Monthly Cohorts'!AH$178:'Monthly Cohorts'!AH$341)</f>
        <v>0</v>
      </c>
      <c r="AI20" s="58">
        <f ca="1">+SUMIF('Monthly Cohorts'!$E$178:'Monthly Cohorts'!$E$341,$D20,'Monthly Cohorts'!AI$178:'Monthly Cohorts'!AI$341)</f>
        <v>0</v>
      </c>
      <c r="AJ20" s="58">
        <f ca="1">+SUMIF('Monthly Cohorts'!$E$178:'Monthly Cohorts'!$E$341,$D20,'Monthly Cohorts'!AJ$178:'Monthly Cohorts'!AJ$341)</f>
        <v>0</v>
      </c>
      <c r="AK20" s="58">
        <f ca="1">+SUMIF('Monthly Cohorts'!$E$178:'Monthly Cohorts'!$E$341,$D20,'Monthly Cohorts'!AK$178:'Monthly Cohorts'!AK$341)</f>
        <v>0</v>
      </c>
      <c r="AL20" s="58">
        <f ca="1">+SUMIF('Monthly Cohorts'!$E$178:'Monthly Cohorts'!$E$341,$D20,'Monthly Cohorts'!AL$178:'Monthly Cohorts'!AL$341)</f>
        <v>0</v>
      </c>
      <c r="AM20" s="58">
        <f ca="1">+SUMIF('Monthly Cohorts'!$E$178:'Monthly Cohorts'!$E$341,$D20,'Monthly Cohorts'!AM$178:'Monthly Cohorts'!AM$341)</f>
        <v>0</v>
      </c>
      <c r="AN20" s="58">
        <f ca="1">+SUMIF('Monthly Cohorts'!$E$178:'Monthly Cohorts'!$E$341,$D20,'Monthly Cohorts'!AN$178:'Monthly Cohorts'!AN$341)</f>
        <v>0</v>
      </c>
      <c r="AO20" s="58">
        <f ca="1">+SUMIF('Monthly Cohorts'!$E$178:'Monthly Cohorts'!$E$341,$D20,'Monthly Cohorts'!AO$178:'Monthly Cohorts'!AO$341)</f>
        <v>0</v>
      </c>
      <c r="AP20" s="58">
        <f ca="1">+SUMIF('Monthly Cohorts'!$E$178:'Monthly Cohorts'!$E$341,$D20,'Monthly Cohorts'!AP$178:'Monthly Cohorts'!AP$341)</f>
        <v>0</v>
      </c>
      <c r="AQ20" s="58">
        <f ca="1">+SUMIF('Monthly Cohorts'!$E$178:'Monthly Cohorts'!$E$341,$D20,'Monthly Cohorts'!AQ$178:'Monthly Cohorts'!AQ$341)</f>
        <v>0</v>
      </c>
      <c r="AR20" s="58">
        <f ca="1">+SUMIF('Monthly Cohorts'!$E$178:'Monthly Cohorts'!$E$341,$D20,'Monthly Cohorts'!AR$178:'Monthly Cohorts'!AR$341)</f>
        <v>0</v>
      </c>
      <c r="AS20" s="58">
        <f ca="1">+SUMIF('Monthly Cohorts'!$E$178:'Monthly Cohorts'!$E$341,$D20,'Monthly Cohorts'!AS$178:'Monthly Cohorts'!AS$341)</f>
        <v>0</v>
      </c>
      <c r="AT20" s="58">
        <f ca="1">+SUMIF('Monthly Cohorts'!$E$178:'Monthly Cohorts'!$E$341,$D20,'Monthly Cohorts'!AT$178:'Monthly Cohorts'!AT$341)</f>
        <v>0</v>
      </c>
      <c r="AU20" s="58">
        <f ca="1">+SUMIF('Monthly Cohorts'!$E$178:'Monthly Cohorts'!$E$341,$D20,'Monthly Cohorts'!AU$178:'Monthly Cohorts'!AU$341)</f>
        <v>0</v>
      </c>
      <c r="AV20" s="58">
        <f ca="1">+SUMIF('Monthly Cohorts'!$E$178:'Monthly Cohorts'!$E$341,$D20,'Monthly Cohorts'!AV$178:'Monthly Cohorts'!AV$341)</f>
        <v>0</v>
      </c>
      <c r="AW20" s="58">
        <f ca="1">+SUMIF('Monthly Cohorts'!$E$178:'Monthly Cohorts'!$E$341,$D20,'Monthly Cohorts'!AW$178:'Monthly Cohorts'!AW$341)</f>
        <v>0</v>
      </c>
      <c r="AX20" s="58">
        <f ca="1">+SUMIF('Monthly Cohorts'!$E$178:'Monthly Cohorts'!$E$341,$D20,'Monthly Cohorts'!AX$178:'Monthly Cohorts'!AX$341)</f>
        <v>0</v>
      </c>
      <c r="AY20" s="58">
        <f ca="1">+SUMIF('Monthly Cohorts'!$E$178:'Monthly Cohorts'!$E$341,$D20,'Monthly Cohorts'!AY$178:'Monthly Cohorts'!AY$341)</f>
        <v>0</v>
      </c>
      <c r="AZ20" s="58">
        <f ca="1">+SUMIF('Monthly Cohorts'!$E$178:'Monthly Cohorts'!$E$341,$D20,'Monthly Cohorts'!AZ$178:'Monthly Cohorts'!AZ$341)</f>
        <v>0</v>
      </c>
      <c r="BA20" s="58">
        <f ca="1">+SUMIF('Monthly Cohorts'!$E$178:'Monthly Cohorts'!$E$341,$D20,'Monthly Cohorts'!BA$178:'Monthly Cohorts'!BA$341)</f>
        <v>0</v>
      </c>
      <c r="BB20" s="58">
        <f ca="1">+SUMIF('Monthly Cohorts'!$E$178:'Monthly Cohorts'!$E$341,$D20,'Monthly Cohorts'!BB$178:'Monthly Cohorts'!BB$341)</f>
        <v>0</v>
      </c>
      <c r="BC20" s="58">
        <f ca="1">+SUMIF('Monthly Cohorts'!$E$178:'Monthly Cohorts'!$E$341,$D20,'Monthly Cohorts'!BC$178:'Monthly Cohorts'!BC$341)</f>
        <v>0</v>
      </c>
      <c r="BD20" s="58">
        <f ca="1">+SUMIF('Monthly Cohorts'!$E$178:'Monthly Cohorts'!$E$341,$D20,'Monthly Cohorts'!BD$178:'Monthly Cohorts'!BD$341)</f>
        <v>0</v>
      </c>
      <c r="BE20" s="58">
        <f ca="1">+SUMIF('Monthly Cohorts'!$E$178:'Monthly Cohorts'!$E$341,$D20,'Monthly Cohorts'!BE$178:'Monthly Cohorts'!BE$341)</f>
        <v>0</v>
      </c>
      <c r="BF20" s="58">
        <f ca="1">+SUMIF('Monthly Cohorts'!$E$178:'Monthly Cohorts'!$E$341,$D20,'Monthly Cohorts'!BF$178:'Monthly Cohorts'!BF$341)</f>
        <v>0</v>
      </c>
      <c r="BG20" s="58">
        <f ca="1">+SUMIF('Monthly Cohorts'!$E$178:'Monthly Cohorts'!$E$341,$D20,'Monthly Cohorts'!BG$178:'Monthly Cohorts'!BG$341)</f>
        <v>0</v>
      </c>
      <c r="BH20" s="58">
        <f ca="1">+SUMIF('Monthly Cohorts'!$E$178:'Monthly Cohorts'!$E$341,$D20,'Monthly Cohorts'!BH$178:'Monthly Cohorts'!BH$341)</f>
        <v>0</v>
      </c>
      <c r="BI20" s="58">
        <f ca="1">+SUMIF('Monthly Cohorts'!$E$178:'Monthly Cohorts'!$E$341,$D20,'Monthly Cohorts'!BI$178:'Monthly Cohorts'!BI$341)</f>
        <v>0</v>
      </c>
      <c r="BJ20" s="58">
        <f ca="1">+SUMIF('Monthly Cohorts'!$E$178:'Monthly Cohorts'!$E$341,$D20,'Monthly Cohorts'!BJ$178:'Monthly Cohorts'!BJ$341)</f>
        <v>0</v>
      </c>
      <c r="BK20" s="58">
        <f ca="1">+SUMIF('Monthly Cohorts'!$E$178:'Monthly Cohorts'!$E$341,$D20,'Monthly Cohorts'!BK$178:'Monthly Cohorts'!BK$341)</f>
        <v>0</v>
      </c>
      <c r="BL20" s="58">
        <f ca="1">+SUMIF('Monthly Cohorts'!$E$178:'Monthly Cohorts'!$E$341,$D20,'Monthly Cohorts'!BL$178:'Monthly Cohorts'!BL$341)</f>
        <v>0</v>
      </c>
      <c r="BM20" s="58">
        <f ca="1">+SUMIF('Monthly Cohorts'!$E$178:'Monthly Cohorts'!$E$341,$D20,'Monthly Cohorts'!BM$178:'Monthly Cohorts'!BM$341)</f>
        <v>0</v>
      </c>
      <c r="BN20" s="58">
        <f ca="1">+SUMIF('Monthly Cohorts'!$E$178:'Monthly Cohorts'!$E$341,$D20,'Monthly Cohorts'!BN$178:'Monthly Cohorts'!BN$341)</f>
        <v>0</v>
      </c>
      <c r="BO20" s="58">
        <f ca="1">+SUMIF('Monthly Cohorts'!$E$178:'Monthly Cohorts'!$E$341,$D20,'Monthly Cohorts'!BO$178:'Monthly Cohorts'!BO$341)</f>
        <v>0</v>
      </c>
      <c r="BP20" s="58">
        <f ca="1">+SUMIF('Monthly Cohorts'!$E$178:'Monthly Cohorts'!$E$341,$D20,'Monthly Cohorts'!BP$178:'Monthly Cohorts'!BP$341)</f>
        <v>0</v>
      </c>
      <c r="BQ20" s="58">
        <f ca="1">+SUMIF('Monthly Cohorts'!$E$178:'Monthly Cohorts'!$E$341,$D20,'Monthly Cohorts'!BQ$178:'Monthly Cohorts'!BQ$341)</f>
        <v>0</v>
      </c>
      <c r="BR20" s="58">
        <f ca="1">+SUMIF('Monthly Cohorts'!$E$178:'Monthly Cohorts'!$E$341,$D20,'Monthly Cohorts'!BR$178:'Monthly Cohorts'!BR$341)</f>
        <v>0</v>
      </c>
      <c r="BS20" s="58">
        <f ca="1">+SUMIF('Monthly Cohorts'!$E$178:'Monthly Cohorts'!$E$341,$D20,'Monthly Cohorts'!BS$178:'Monthly Cohorts'!BS$341)</f>
        <v>0</v>
      </c>
      <c r="BT20" s="58">
        <f ca="1">+SUMIF('Monthly Cohorts'!$E$178:'Monthly Cohorts'!$E$341,$D20,'Monthly Cohorts'!BT$178:'Monthly Cohorts'!BT$341)</f>
        <v>0</v>
      </c>
      <c r="BU20" s="58">
        <f ca="1">+SUMIF('Monthly Cohorts'!$E$178:'Monthly Cohorts'!$E$341,$D20,'Monthly Cohorts'!BU$178:'Monthly Cohorts'!BU$341)</f>
        <v>0</v>
      </c>
      <c r="BV20" s="58">
        <f ca="1">+SUMIF('Monthly Cohorts'!$E$178:'Monthly Cohorts'!$E$341,$D20,'Monthly Cohorts'!BV$178:'Monthly Cohorts'!BV$341)</f>
        <v>0</v>
      </c>
      <c r="BW20" s="58">
        <f ca="1">+SUMIF('Monthly Cohorts'!$E$178:'Monthly Cohorts'!$E$341,$D20,'Monthly Cohorts'!BW$178:'Monthly Cohorts'!BW$341)</f>
        <v>0</v>
      </c>
      <c r="BX20" s="58">
        <f ca="1">+SUMIF('Monthly Cohorts'!$E$178:'Monthly Cohorts'!$E$341,$D20,'Monthly Cohorts'!BX$178:'Monthly Cohorts'!BX$341)</f>
        <v>0</v>
      </c>
      <c r="BY20" s="58">
        <f ca="1">+SUMIF('Monthly Cohorts'!$E$178:'Monthly Cohorts'!$E$341,$D20,'Monthly Cohorts'!BY$178:'Monthly Cohorts'!BY$341)</f>
        <v>0</v>
      </c>
      <c r="BZ20" s="58">
        <f ca="1">+SUMIF('Monthly Cohorts'!$E$178:'Monthly Cohorts'!$E$341,$D20,'Monthly Cohorts'!BZ$178:'Monthly Cohorts'!BZ$341)</f>
        <v>0</v>
      </c>
      <c r="CA20" s="58">
        <f ca="1">+SUMIF('Monthly Cohorts'!$E$178:'Monthly Cohorts'!$E$341,$D20,'Monthly Cohorts'!CA$178:'Monthly Cohorts'!CA$341)</f>
        <v>0</v>
      </c>
      <c r="CB20" s="58">
        <f ca="1">+SUMIF('Monthly Cohorts'!$E$178:'Monthly Cohorts'!$E$341,$D20,'Monthly Cohorts'!CB$178:'Monthly Cohorts'!CB$341)</f>
        <v>0</v>
      </c>
      <c r="CC20" s="58">
        <f ca="1">+SUMIF('Monthly Cohorts'!$E$178:'Monthly Cohorts'!$E$341,$D20,'Monthly Cohorts'!CC$178:'Monthly Cohorts'!CC$341)</f>
        <v>0</v>
      </c>
      <c r="CD20" s="58">
        <f ca="1">+SUMIF('Monthly Cohorts'!$E$178:'Monthly Cohorts'!$E$341,$D20,'Monthly Cohorts'!CD$178:'Monthly Cohorts'!CD$341)</f>
        <v>0</v>
      </c>
      <c r="CE20" s="58">
        <f ca="1">+SUMIF('Monthly Cohorts'!$E$178:'Monthly Cohorts'!$E$341,$D20,'Monthly Cohorts'!CE$178:'Monthly Cohorts'!CE$341)</f>
        <v>0</v>
      </c>
      <c r="CF20" s="58">
        <f ca="1">+SUMIF('Monthly Cohorts'!$E$178:'Monthly Cohorts'!$E$341,$D20,'Monthly Cohorts'!CF$178:'Monthly Cohorts'!CF$341)</f>
        <v>0</v>
      </c>
      <c r="CG20" s="58">
        <f ca="1">+SUMIF('Monthly Cohorts'!$E$178:'Monthly Cohorts'!$E$341,$D20,'Monthly Cohorts'!CG$178:'Monthly Cohorts'!CG$341)</f>
        <v>0</v>
      </c>
      <c r="CH20" s="58">
        <f ca="1">+SUMIF('Monthly Cohorts'!$E$178:'Monthly Cohorts'!$E$341,$D20,'Monthly Cohorts'!CH$178:'Monthly Cohorts'!CH$341)</f>
        <v>0</v>
      </c>
      <c r="CI20" s="58">
        <f ca="1">+SUMIF('Monthly Cohorts'!$E$178:'Monthly Cohorts'!$E$341,$D20,'Monthly Cohorts'!CI$178:'Monthly Cohorts'!CI$341)</f>
        <v>0</v>
      </c>
      <c r="CJ20" s="58">
        <f ca="1">+SUMIF('Monthly Cohorts'!$E$178:'Monthly Cohorts'!$E$341,$D20,'Monthly Cohorts'!CJ$178:'Monthly Cohorts'!CJ$341)</f>
        <v>0</v>
      </c>
      <c r="CK20" s="58">
        <f ca="1">+SUMIF('Monthly Cohorts'!$E$178:'Monthly Cohorts'!$E$341,$D20,'Monthly Cohorts'!CK$178:'Monthly Cohorts'!CK$341)</f>
        <v>0</v>
      </c>
      <c r="CL20" s="58">
        <f ca="1">+SUMIF('Monthly Cohorts'!$E$178:'Monthly Cohorts'!$E$341,$D20,'Monthly Cohorts'!CL$178:'Monthly Cohorts'!CL$341)</f>
        <v>0</v>
      </c>
      <c r="CM20" s="58">
        <f ca="1">+SUMIF('Monthly Cohorts'!$E$178:'Monthly Cohorts'!$E$341,$D20,'Monthly Cohorts'!CM$178:'Monthly Cohorts'!CM$341)</f>
        <v>0</v>
      </c>
      <c r="CN20" s="58">
        <f ca="1">+SUMIF('Monthly Cohorts'!$E$178:'Monthly Cohorts'!$E$341,$D20,'Monthly Cohorts'!CN$178:'Monthly Cohorts'!CN$341)</f>
        <v>0</v>
      </c>
      <c r="CO20" s="58">
        <f ca="1">+SUMIF('Monthly Cohorts'!$E$178:'Monthly Cohorts'!$E$341,$D20,'Monthly Cohorts'!CO$178:'Monthly Cohorts'!CO$341)</f>
        <v>0</v>
      </c>
      <c r="CP20" s="58">
        <f ca="1">+SUMIF('Monthly Cohorts'!$E$178:'Monthly Cohorts'!$E$341,$D20,'Monthly Cohorts'!CP$178:'Monthly Cohorts'!CP$341)</f>
        <v>0</v>
      </c>
      <c r="CQ20" s="58">
        <f ca="1">+SUMIF('Monthly Cohorts'!$E$178:'Monthly Cohorts'!$E$341,$D20,'Monthly Cohorts'!CQ$178:'Monthly Cohorts'!CQ$341)</f>
        <v>0</v>
      </c>
      <c r="CR20" s="58">
        <f ca="1">+SUMIF('Monthly Cohorts'!$E$178:'Monthly Cohorts'!$E$341,$D20,'Monthly Cohorts'!CR$178:'Monthly Cohorts'!CR$341)</f>
        <v>0</v>
      </c>
      <c r="CS20" s="58">
        <f ca="1">+SUMIF('Monthly Cohorts'!$E$178:'Monthly Cohorts'!$E$341,$D20,'Monthly Cohorts'!CS$178:'Monthly Cohorts'!CS$341)</f>
        <v>0</v>
      </c>
      <c r="CT20" s="58">
        <f ca="1">+SUMIF('Monthly Cohorts'!$E$178:'Monthly Cohorts'!$E$341,$D20,'Monthly Cohorts'!CT$178:'Monthly Cohorts'!CT$341)</f>
        <v>0</v>
      </c>
      <c r="CU20" s="58">
        <f ca="1">+SUMIF('Monthly Cohorts'!$E$178:'Monthly Cohorts'!$E$341,$D20,'Monthly Cohorts'!CU$178:'Monthly Cohorts'!CU$341)</f>
        <v>0</v>
      </c>
      <c r="CV20" s="58">
        <f ca="1">+SUMIF('Monthly Cohorts'!$E$178:'Monthly Cohorts'!$E$341,$D20,'Monthly Cohorts'!CV$178:'Monthly Cohorts'!CV$341)</f>
        <v>0</v>
      </c>
      <c r="CW20" s="58">
        <f ca="1">+SUMIF('Monthly Cohorts'!$E$178:'Monthly Cohorts'!$E$341,$D20,'Monthly Cohorts'!CW$178:'Monthly Cohorts'!CW$341)</f>
        <v>0</v>
      </c>
      <c r="CX20" s="58">
        <f ca="1">+SUMIF('Monthly Cohorts'!$E$178:'Monthly Cohorts'!$E$341,$D20,'Monthly Cohorts'!CX$178:'Monthly Cohorts'!CX$341)</f>
        <v>0</v>
      </c>
      <c r="CY20" s="58">
        <f ca="1">+SUMIF('Monthly Cohorts'!$E$178:'Monthly Cohorts'!$E$341,$D20,'Monthly Cohorts'!CY$178:'Monthly Cohorts'!CY$341)</f>
        <v>0</v>
      </c>
      <c r="CZ20" s="58">
        <f ca="1">+SUMIF('Monthly Cohorts'!$E$178:'Monthly Cohorts'!$E$341,$D20,'Monthly Cohorts'!CZ$178:'Monthly Cohorts'!CZ$341)</f>
        <v>0</v>
      </c>
      <c r="DA20" s="58">
        <f ca="1">+SUMIF('Monthly Cohorts'!$E$178:'Monthly Cohorts'!$E$341,$D20,'Monthly Cohorts'!DA$178:'Monthly Cohorts'!DA$341)</f>
        <v>0</v>
      </c>
      <c r="DB20" s="58">
        <f ca="1">+SUMIF('Monthly Cohorts'!$E$178:'Monthly Cohorts'!$E$341,$D20,'Monthly Cohorts'!DB$178:'Monthly Cohorts'!DB$341)</f>
        <v>0</v>
      </c>
      <c r="DC20" s="58">
        <f ca="1">+SUMIF('Monthly Cohorts'!$E$178:'Monthly Cohorts'!$E$341,$D20,'Monthly Cohorts'!DC$178:'Monthly Cohorts'!DC$341)</f>
        <v>0</v>
      </c>
      <c r="DD20" s="58">
        <f ca="1">+SUMIF('Monthly Cohorts'!$E$178:'Monthly Cohorts'!$E$341,$D20,'Monthly Cohorts'!DD$178:'Monthly Cohorts'!DD$341)</f>
        <v>0</v>
      </c>
      <c r="DE20" s="58">
        <f ca="1">+SUMIF('Monthly Cohorts'!$E$178:'Monthly Cohorts'!$E$341,$D20,'Monthly Cohorts'!DE$178:'Monthly Cohorts'!DE$341)</f>
        <v>0</v>
      </c>
      <c r="DF20" s="58">
        <f ca="1">+SUMIF('Monthly Cohorts'!$E$178:'Monthly Cohorts'!$E$341,$D20,'Monthly Cohorts'!DF$178:'Monthly Cohorts'!DF$341)</f>
        <v>0</v>
      </c>
      <c r="DG20" s="58">
        <f ca="1">+SUMIF('Monthly Cohorts'!$E$178:'Monthly Cohorts'!$E$341,$D20,'Monthly Cohorts'!DG$178:'Monthly Cohorts'!DG$341)</f>
        <v>0</v>
      </c>
      <c r="DH20" s="58">
        <f ca="1">+SUMIF('Monthly Cohorts'!$E$178:'Monthly Cohorts'!$E$341,$D20,'Monthly Cohorts'!DH$178:'Monthly Cohorts'!DH$341)</f>
        <v>0</v>
      </c>
      <c r="DI20" s="58">
        <f ca="1">+SUMIF('Monthly Cohorts'!$E$178:'Monthly Cohorts'!$E$341,$D20,'Monthly Cohorts'!DI$178:'Monthly Cohorts'!DI$341)</f>
        <v>0</v>
      </c>
      <c r="DJ20" s="58">
        <f ca="1">+SUMIF('Monthly Cohorts'!$E$178:'Monthly Cohorts'!$E$341,$D20,'Monthly Cohorts'!DJ$178:'Monthly Cohorts'!DJ$341)</f>
        <v>0</v>
      </c>
      <c r="DK20" s="58">
        <f ca="1">+SUMIF('Monthly Cohorts'!$E$178:'Monthly Cohorts'!$E$341,$D20,'Monthly Cohorts'!DK$178:'Monthly Cohorts'!DK$341)</f>
        <v>0</v>
      </c>
      <c r="DL20" s="58">
        <f ca="1">+SUMIF('Monthly Cohorts'!$E$178:'Monthly Cohorts'!$E$341,$D20,'Monthly Cohorts'!DL$178:'Monthly Cohorts'!DL$341)</f>
        <v>0</v>
      </c>
      <c r="DM20" s="58">
        <f ca="1">+SUMIF('Monthly Cohorts'!$E$178:'Monthly Cohorts'!$E$341,$D20,'Monthly Cohorts'!DM$178:'Monthly Cohorts'!DM$341)</f>
        <v>0</v>
      </c>
      <c r="DN20" s="58">
        <f ca="1">+SUMIF('Monthly Cohorts'!$E$178:'Monthly Cohorts'!$E$341,$D20,'Monthly Cohorts'!DN$178:'Monthly Cohorts'!DN$341)</f>
        <v>0</v>
      </c>
      <c r="DO20" s="58">
        <f ca="1">+SUMIF('Monthly Cohorts'!$E$178:'Monthly Cohorts'!$E$341,$D20,'Monthly Cohorts'!DO$178:'Monthly Cohorts'!DO$341)</f>
        <v>0</v>
      </c>
      <c r="DP20" s="58">
        <f ca="1">+SUMIF('Monthly Cohorts'!$E$178:'Monthly Cohorts'!$E$341,$D20,'Monthly Cohorts'!DP$178:'Monthly Cohorts'!DP$341)</f>
        <v>0</v>
      </c>
      <c r="DQ20" s="58">
        <f ca="1">+SUMIF('Monthly Cohorts'!$E$178:'Monthly Cohorts'!$E$341,$D20,'Monthly Cohorts'!DQ$178:'Monthly Cohorts'!DQ$341)</f>
        <v>0</v>
      </c>
      <c r="DR20" s="58">
        <f ca="1">+SUMIF('Monthly Cohorts'!$E$178:'Monthly Cohorts'!$E$341,$D20,'Monthly Cohorts'!DR$178:'Monthly Cohorts'!DR$341)</f>
        <v>0</v>
      </c>
      <c r="DS20" s="58">
        <f ca="1">+SUMIF('Monthly Cohorts'!$E$178:'Monthly Cohorts'!$E$341,$D20,'Monthly Cohorts'!DS$178:'Monthly Cohorts'!DS$341)</f>
        <v>0</v>
      </c>
      <c r="DT20" s="58">
        <f ca="1">+SUMIF('Monthly Cohorts'!$E$178:'Monthly Cohorts'!$E$341,$D20,'Monthly Cohorts'!DT$178:'Monthly Cohorts'!DT$341)</f>
        <v>0</v>
      </c>
      <c r="DU20" s="58">
        <f ca="1">+SUMIF('Monthly Cohorts'!$E$178:'Monthly Cohorts'!$E$341,$D20,'Monthly Cohorts'!DU$178:'Monthly Cohorts'!DU$341)</f>
        <v>0</v>
      </c>
      <c r="DV20" s="58">
        <f ca="1">+SUMIF('Monthly Cohorts'!$E$178:'Monthly Cohorts'!$E$341,$D20,'Monthly Cohorts'!DV$178:'Monthly Cohorts'!DV$341)</f>
        <v>0</v>
      </c>
      <c r="DW20" s="58">
        <f ca="1">+SUMIF('Monthly Cohorts'!$E$178:'Monthly Cohorts'!$E$341,$D20,'Monthly Cohorts'!DW$178:'Monthly Cohorts'!DW$341)</f>
        <v>0</v>
      </c>
      <c r="DX20" s="58">
        <f ca="1">+SUMIF('Monthly Cohorts'!$E$178:'Monthly Cohorts'!$E$341,$D20,'Monthly Cohorts'!DX$178:'Monthly Cohorts'!DX$341)</f>
        <v>0</v>
      </c>
      <c r="DY20" s="58">
        <f ca="1">+SUMIF('Monthly Cohorts'!$E$178:'Monthly Cohorts'!$E$341,$D20,'Monthly Cohorts'!DY$178:'Monthly Cohorts'!DY$341)</f>
        <v>0</v>
      </c>
      <c r="DZ20" s="58">
        <f ca="1">+SUMIF('Monthly Cohorts'!$E$178:'Monthly Cohorts'!$E$341,$D20,'Monthly Cohorts'!DZ$178:'Monthly Cohorts'!DZ$341)</f>
        <v>0</v>
      </c>
      <c r="EA20" s="58">
        <f ca="1">+SUMIF('Monthly Cohorts'!$E$178:'Monthly Cohorts'!$E$341,$D20,'Monthly Cohorts'!EA$178:'Monthly Cohorts'!EA$341)</f>
        <v>0</v>
      </c>
      <c r="EB20" s="58">
        <f ca="1">+SUMIF('Monthly Cohorts'!$E$178:'Monthly Cohorts'!$E$341,$D20,'Monthly Cohorts'!EB$178:'Monthly Cohorts'!EB$341)</f>
        <v>0</v>
      </c>
      <c r="EC20" s="58">
        <f ca="1">+SUMIF('Monthly Cohorts'!$E$178:'Monthly Cohorts'!$E$341,$D20,'Monthly Cohorts'!EC$178:'Monthly Cohorts'!EC$341)</f>
        <v>0</v>
      </c>
      <c r="ED20" s="58">
        <f ca="1">+SUMIF('Monthly Cohorts'!$E$178:'Monthly Cohorts'!$E$341,$D20,'Monthly Cohorts'!ED$178:'Monthly Cohorts'!ED$341)</f>
        <v>0</v>
      </c>
      <c r="EE20" s="58">
        <f ca="1">+SUMIF('Monthly Cohorts'!$E$178:'Monthly Cohorts'!$E$341,$D20,'Monthly Cohorts'!EE$178:'Monthly Cohorts'!EE$341)</f>
        <v>0</v>
      </c>
      <c r="EF20" s="58">
        <f ca="1">+SUMIF('Monthly Cohorts'!$E$178:'Monthly Cohorts'!$E$341,$D20,'Monthly Cohorts'!EF$178:'Monthly Cohorts'!EF$341)</f>
        <v>0</v>
      </c>
      <c r="EG20" s="58">
        <f ca="1">+SUMIF('Monthly Cohorts'!$E$178:'Monthly Cohorts'!$E$341,$D20,'Monthly Cohorts'!EG$178:'Monthly Cohorts'!EG$341)</f>
        <v>0</v>
      </c>
      <c r="EH20" s="58">
        <f ca="1">+SUMIF('Monthly Cohorts'!$E$178:'Monthly Cohorts'!$E$341,$D20,'Monthly Cohorts'!EH$178:'Monthly Cohorts'!EH$341)</f>
        <v>0</v>
      </c>
      <c r="EI20" s="58">
        <f ca="1">+SUMIF('Monthly Cohorts'!$E$178:'Monthly Cohorts'!$E$341,$D20,'Monthly Cohorts'!EI$178:'Monthly Cohorts'!EI$341)</f>
        <v>0</v>
      </c>
      <c r="EJ20" s="58">
        <f ca="1">+SUMIF('Monthly Cohorts'!$E$178:'Monthly Cohorts'!$E$341,$D20,'Monthly Cohorts'!EJ$178:'Monthly Cohorts'!EJ$341)</f>
        <v>0</v>
      </c>
      <c r="EK20" s="58">
        <f ca="1">+SUMIF('Monthly Cohorts'!$E$178:'Monthly Cohorts'!$E$341,$D20,'Monthly Cohorts'!EK$178:'Monthly Cohorts'!EK$341)</f>
        <v>0</v>
      </c>
      <c r="EL20" s="58">
        <f ca="1">+SUMIF('Monthly Cohorts'!$E$178:'Monthly Cohorts'!$E$341,$D20,'Monthly Cohorts'!EL$178:'Monthly Cohorts'!EL$341)</f>
        <v>0</v>
      </c>
      <c r="EM20" s="58">
        <f ca="1">+SUMIF('Monthly Cohorts'!$E$178:'Monthly Cohorts'!$E$341,$D20,'Monthly Cohorts'!EM$178:'Monthly Cohorts'!EM$341)</f>
        <v>0</v>
      </c>
      <c r="EN20" s="58">
        <f ca="1">+SUMIF('Monthly Cohorts'!$E$178:'Monthly Cohorts'!$E$341,$D20,'Monthly Cohorts'!EN$178:'Monthly Cohorts'!EN$341)</f>
        <v>0</v>
      </c>
      <c r="EO20" s="58">
        <f ca="1">+SUMIF('Monthly Cohorts'!$E$178:'Monthly Cohorts'!$E$341,$D20,'Monthly Cohorts'!EO$178:'Monthly Cohorts'!EO$341)</f>
        <v>0</v>
      </c>
      <c r="EP20" s="58">
        <f ca="1">+SUMIF('Monthly Cohorts'!$E$178:'Monthly Cohorts'!$E$341,$D20,'Monthly Cohorts'!EP$178:'Monthly Cohorts'!EP$341)</f>
        <v>0</v>
      </c>
      <c r="EQ20" s="58">
        <f ca="1">+SUMIF('Monthly Cohorts'!$E$178:'Monthly Cohorts'!$E$341,$D20,'Monthly Cohorts'!EQ$178:'Monthly Cohorts'!EQ$341)</f>
        <v>0</v>
      </c>
      <c r="ER20" s="58">
        <f ca="1">+SUMIF('Monthly Cohorts'!$E$178:'Monthly Cohorts'!$E$341,$D20,'Monthly Cohorts'!ER$178:'Monthly Cohorts'!ER$341)</f>
        <v>0</v>
      </c>
      <c r="ES20" s="58">
        <f ca="1">+SUMIF('Monthly Cohorts'!$E$178:'Monthly Cohorts'!$E$341,$D20,'Monthly Cohorts'!ES$178:'Monthly Cohorts'!ES$341)</f>
        <v>0</v>
      </c>
      <c r="ET20" s="58">
        <f ca="1">+SUMIF('Monthly Cohorts'!$E$178:'Monthly Cohorts'!$E$341,$D20,'Monthly Cohorts'!ET$178:'Monthly Cohorts'!ET$341)</f>
        <v>0</v>
      </c>
      <c r="EU20" s="58">
        <f ca="1">+SUMIF('Monthly Cohorts'!$E$178:'Monthly Cohorts'!$E$341,$D20,'Monthly Cohorts'!EU$178:'Monthly Cohorts'!EU$341)</f>
        <v>0</v>
      </c>
      <c r="EV20" s="58">
        <f ca="1">+SUMIF('Monthly Cohorts'!$E$178:'Monthly Cohorts'!$E$341,$D20,'Monthly Cohorts'!EV$178:'Monthly Cohorts'!EV$341)</f>
        <v>0</v>
      </c>
      <c r="EW20" s="58">
        <f ca="1">+SUMIF('Monthly Cohorts'!$E$178:'Monthly Cohorts'!$E$341,$D20,'Monthly Cohorts'!EW$178:'Monthly Cohorts'!EW$341)</f>
        <v>0</v>
      </c>
      <c r="EX20" s="58">
        <f ca="1">+SUMIF('Monthly Cohorts'!$E$178:'Monthly Cohorts'!$E$341,$D20,'Monthly Cohorts'!EX$178:'Monthly Cohorts'!EX$341)</f>
        <v>0</v>
      </c>
      <c r="EY20" s="58">
        <f ca="1">+SUMIF('Monthly Cohorts'!$E$178:'Monthly Cohorts'!$E$341,$D20,'Monthly Cohorts'!EY$178:'Monthly Cohorts'!EY$341)</f>
        <v>0</v>
      </c>
      <c r="EZ20" s="58">
        <f ca="1">+SUMIF('Monthly Cohorts'!$E$178:'Monthly Cohorts'!$E$341,$D20,'Monthly Cohorts'!EZ$178:'Monthly Cohorts'!EZ$341)</f>
        <v>0</v>
      </c>
      <c r="FA20" s="58">
        <f ca="1">+SUMIF('Monthly Cohorts'!$E$178:'Monthly Cohorts'!$E$341,$D20,'Monthly Cohorts'!FA$178:'Monthly Cohorts'!FA$341)</f>
        <v>0</v>
      </c>
      <c r="FB20" s="58">
        <f ca="1">+SUMIF('Monthly Cohorts'!$E$178:'Monthly Cohorts'!$E$341,$D20,'Monthly Cohorts'!FB$178:'Monthly Cohorts'!FB$341)</f>
        <v>0</v>
      </c>
      <c r="FC20" s="58">
        <f ca="1">+SUMIF('Monthly Cohorts'!$E$178:'Monthly Cohorts'!$E$341,$D20,'Monthly Cohorts'!FC$178:'Monthly Cohorts'!FC$341)</f>
        <v>0</v>
      </c>
      <c r="FD20" s="58">
        <f ca="1">+SUMIF('Monthly Cohorts'!$E$178:'Monthly Cohorts'!$E$341,$D20,'Monthly Cohorts'!FD$178:'Monthly Cohorts'!FD$341)</f>
        <v>0</v>
      </c>
      <c r="FE20" s="58">
        <f ca="1">+SUMIF('Monthly Cohorts'!$E$178:'Monthly Cohorts'!$E$341,$D20,'Monthly Cohorts'!FE$178:'Monthly Cohorts'!FE$341)</f>
        <v>0</v>
      </c>
      <c r="FF20" s="58">
        <f ca="1">+SUMIF('Monthly Cohorts'!$E$178:'Monthly Cohorts'!$E$341,$D20,'Monthly Cohorts'!FF$178:'Monthly Cohorts'!FF$341)</f>
        <v>0</v>
      </c>
      <c r="FG20" s="58">
        <f ca="1">+SUMIF('Monthly Cohorts'!$E$178:'Monthly Cohorts'!$E$341,$D20,'Monthly Cohorts'!FG$178:'Monthly Cohorts'!FG$341)</f>
        <v>0</v>
      </c>
      <c r="FH20" s="58">
        <f ca="1">+SUMIF('Monthly Cohorts'!$E$178:'Monthly Cohorts'!$E$341,$D20,'Monthly Cohorts'!FH$178:'Monthly Cohorts'!FH$341)</f>
        <v>0</v>
      </c>
      <c r="FI20" s="58">
        <f ca="1">+SUMIF('Monthly Cohorts'!$E$178:'Monthly Cohorts'!$E$341,$D20,'Monthly Cohorts'!FI$178:'Monthly Cohorts'!FI$341)</f>
        <v>0</v>
      </c>
      <c r="FJ20" s="58">
        <f ca="1">+SUMIF('Monthly Cohorts'!$E$178:'Monthly Cohorts'!$E$341,$D20,'Monthly Cohorts'!FJ$178:'Monthly Cohorts'!FJ$341)</f>
        <v>0</v>
      </c>
      <c r="FK20" s="58">
        <f ca="1">+SUMIF('Monthly Cohorts'!$E$178:'Monthly Cohorts'!$E$341,$D20,'Monthly Cohorts'!FK$178:'Monthly Cohorts'!FK$341)</f>
        <v>0</v>
      </c>
      <c r="FL20" s="58">
        <f ca="1">+SUMIF('Monthly Cohorts'!$E$178:'Monthly Cohorts'!$E$341,$D20,'Monthly Cohorts'!FL$178:'Monthly Cohorts'!FL$341)</f>
        <v>0</v>
      </c>
      <c r="FM20" s="58">
        <f ca="1">+SUMIF('Monthly Cohorts'!$E$178:'Monthly Cohorts'!$E$341,$D20,'Monthly Cohorts'!FM$178:'Monthly Cohorts'!FM$341)</f>
        <v>0</v>
      </c>
      <c r="FN20" s="58">
        <f ca="1">+SUMIF('Monthly Cohorts'!$E$178:'Monthly Cohorts'!$E$341,$D20,'Monthly Cohorts'!FN$178:'Monthly Cohorts'!FN$341)</f>
        <v>0</v>
      </c>
      <c r="FO20" s="13"/>
    </row>
    <row r="21" spans="1:171" outlineLevel="1" x14ac:dyDescent="0.3">
      <c r="A21" s="13"/>
      <c r="B21" s="13"/>
      <c r="C21" s="13"/>
      <c r="D21" s="59">
        <f t="shared" si="11"/>
        <v>2021</v>
      </c>
      <c r="E21" s="25"/>
      <c r="F21" s="20"/>
      <c r="G21" s="58">
        <f ca="1">+SUMIF('Monthly Cohorts'!$E$178:'Monthly Cohorts'!$E$341,$D21,'Monthly Cohorts'!G$178:'Monthly Cohorts'!G$341)</f>
        <v>0</v>
      </c>
      <c r="H21" s="58">
        <f ca="1">+SUMIF('Monthly Cohorts'!$E$178:'Monthly Cohorts'!$E$341,$D21,'Monthly Cohorts'!H$178:'Monthly Cohorts'!H$341)</f>
        <v>0</v>
      </c>
      <c r="I21" s="58">
        <f ca="1">+SUMIF('Monthly Cohorts'!$E$178:'Monthly Cohorts'!$E$341,$D21,'Monthly Cohorts'!I$178:'Monthly Cohorts'!I$341)</f>
        <v>0</v>
      </c>
      <c r="J21" s="58">
        <f ca="1">+SUMIF('Monthly Cohorts'!$E$178:'Monthly Cohorts'!$E$341,$D21,'Monthly Cohorts'!J$178:'Monthly Cohorts'!J$341)</f>
        <v>0</v>
      </c>
      <c r="K21" s="58">
        <f ca="1">+SUMIF('Monthly Cohorts'!$E$178:'Monthly Cohorts'!$E$341,$D21,'Monthly Cohorts'!K$178:'Monthly Cohorts'!K$341)</f>
        <v>0</v>
      </c>
      <c r="L21" s="58">
        <f ca="1">+SUMIF('Monthly Cohorts'!$E$178:'Monthly Cohorts'!$E$341,$D21,'Monthly Cohorts'!L$178:'Monthly Cohorts'!L$341)</f>
        <v>0</v>
      </c>
      <c r="M21" s="58">
        <f ca="1">+SUMIF('Monthly Cohorts'!$E$178:'Monthly Cohorts'!$E$341,$D21,'Monthly Cohorts'!M$178:'Monthly Cohorts'!M$341)</f>
        <v>0</v>
      </c>
      <c r="N21" s="58">
        <f ca="1">+SUMIF('Monthly Cohorts'!$E$178:'Monthly Cohorts'!$E$341,$D21,'Monthly Cohorts'!N$178:'Monthly Cohorts'!N$341)</f>
        <v>0</v>
      </c>
      <c r="O21" s="58">
        <f ca="1">+SUMIF('Monthly Cohorts'!$E$178:'Monthly Cohorts'!$E$341,$D21,'Monthly Cohorts'!O$178:'Monthly Cohorts'!O$341)</f>
        <v>0</v>
      </c>
      <c r="P21" s="58">
        <f ca="1">+SUMIF('Monthly Cohorts'!$E$178:'Monthly Cohorts'!$E$341,$D21,'Monthly Cohorts'!P$178:'Monthly Cohorts'!P$341)</f>
        <v>0</v>
      </c>
      <c r="Q21" s="58">
        <f ca="1">+SUMIF('Monthly Cohorts'!$E$178:'Monthly Cohorts'!$E$341,$D21,'Monthly Cohorts'!Q$178:'Monthly Cohorts'!Q$341)</f>
        <v>0</v>
      </c>
      <c r="R21" s="58">
        <f ca="1">+SUMIF('Monthly Cohorts'!$E$178:'Monthly Cohorts'!$E$341,$D21,'Monthly Cohorts'!R$178:'Monthly Cohorts'!R$341)</f>
        <v>0</v>
      </c>
      <c r="S21" s="58">
        <f ca="1">+SUMIF('Monthly Cohorts'!$E$178:'Monthly Cohorts'!$E$341,$D21,'Monthly Cohorts'!S$178:'Monthly Cohorts'!S$341)</f>
        <v>0</v>
      </c>
      <c r="T21" s="58">
        <f ca="1">+SUMIF('Monthly Cohorts'!$E$178:'Monthly Cohorts'!$E$341,$D21,'Monthly Cohorts'!T$178:'Monthly Cohorts'!T$341)</f>
        <v>0</v>
      </c>
      <c r="U21" s="58">
        <f ca="1">+SUMIF('Monthly Cohorts'!$E$178:'Monthly Cohorts'!$E$341,$D21,'Monthly Cohorts'!U$178:'Monthly Cohorts'!U$341)</f>
        <v>0</v>
      </c>
      <c r="V21" s="58">
        <f ca="1">+SUMIF('Monthly Cohorts'!$E$178:'Monthly Cohorts'!$E$341,$D21,'Monthly Cohorts'!V$178:'Monthly Cohorts'!V$341)</f>
        <v>0</v>
      </c>
      <c r="W21" s="58">
        <f ca="1">+SUMIF('Monthly Cohorts'!$E$178:'Monthly Cohorts'!$E$341,$D21,'Monthly Cohorts'!W$178:'Monthly Cohorts'!W$341)</f>
        <v>0</v>
      </c>
      <c r="X21" s="58">
        <f ca="1">+SUMIF('Monthly Cohorts'!$E$178:'Monthly Cohorts'!$E$341,$D21,'Monthly Cohorts'!X$178:'Monthly Cohorts'!X$341)</f>
        <v>0</v>
      </c>
      <c r="Y21" s="58">
        <f ca="1">+SUMIF('Monthly Cohorts'!$E$178:'Monthly Cohorts'!$E$341,$D21,'Monthly Cohorts'!Y$178:'Monthly Cohorts'!Y$341)</f>
        <v>0</v>
      </c>
      <c r="Z21" s="58">
        <f ca="1">+SUMIF('Monthly Cohorts'!$E$178:'Monthly Cohorts'!$E$341,$D21,'Monthly Cohorts'!Z$178:'Monthly Cohorts'!Z$341)</f>
        <v>0</v>
      </c>
      <c r="AA21" s="58">
        <f ca="1">+SUMIF('Monthly Cohorts'!$E$178:'Monthly Cohorts'!$E$341,$D21,'Monthly Cohorts'!AA$178:'Monthly Cohorts'!AA$341)</f>
        <v>0</v>
      </c>
      <c r="AB21" s="58">
        <f ca="1">+SUMIF('Monthly Cohorts'!$E$178:'Monthly Cohorts'!$E$341,$D21,'Monthly Cohorts'!AB$178:'Monthly Cohorts'!AB$341)</f>
        <v>0</v>
      </c>
      <c r="AC21" s="58">
        <f ca="1">+SUMIF('Monthly Cohorts'!$E$178:'Monthly Cohorts'!$E$341,$D21,'Monthly Cohorts'!AC$178:'Monthly Cohorts'!AC$341)</f>
        <v>0</v>
      </c>
      <c r="AD21" s="58">
        <f ca="1">+SUMIF('Monthly Cohorts'!$E$178:'Monthly Cohorts'!$E$341,$D21,'Monthly Cohorts'!AD$178:'Monthly Cohorts'!AD$341)</f>
        <v>0</v>
      </c>
      <c r="AE21" s="58">
        <f ca="1">+SUMIF('Monthly Cohorts'!$E$178:'Monthly Cohorts'!$E$341,$D21,'Monthly Cohorts'!AE$178:'Monthly Cohorts'!AE$341)</f>
        <v>0</v>
      </c>
      <c r="AF21" s="58">
        <f ca="1">+SUMIF('Monthly Cohorts'!$E$178:'Monthly Cohorts'!$E$341,$D21,'Monthly Cohorts'!AF$178:'Monthly Cohorts'!AF$341)</f>
        <v>0</v>
      </c>
      <c r="AG21" s="58">
        <f ca="1">+SUMIF('Monthly Cohorts'!$E$178:'Monthly Cohorts'!$E$341,$D21,'Monthly Cohorts'!AG$178:'Monthly Cohorts'!AG$341)</f>
        <v>0</v>
      </c>
      <c r="AH21" s="58">
        <f ca="1">+SUMIF('Monthly Cohorts'!$E$178:'Monthly Cohorts'!$E$341,$D21,'Monthly Cohorts'!AH$178:'Monthly Cohorts'!AH$341)</f>
        <v>0</v>
      </c>
      <c r="AI21" s="58">
        <f ca="1">+SUMIF('Monthly Cohorts'!$E$178:'Monthly Cohorts'!$E$341,$D21,'Monthly Cohorts'!AI$178:'Monthly Cohorts'!AI$341)</f>
        <v>0</v>
      </c>
      <c r="AJ21" s="58">
        <f ca="1">+SUMIF('Monthly Cohorts'!$E$178:'Monthly Cohorts'!$E$341,$D21,'Monthly Cohorts'!AJ$178:'Monthly Cohorts'!AJ$341)</f>
        <v>0</v>
      </c>
      <c r="AK21" s="58">
        <f ca="1">+SUMIF('Monthly Cohorts'!$E$178:'Monthly Cohorts'!$E$341,$D21,'Monthly Cohorts'!AK$178:'Monthly Cohorts'!AK$341)</f>
        <v>0</v>
      </c>
      <c r="AL21" s="58">
        <f ca="1">+SUMIF('Monthly Cohorts'!$E$178:'Monthly Cohorts'!$E$341,$D21,'Monthly Cohorts'!AL$178:'Monthly Cohorts'!AL$341)</f>
        <v>0</v>
      </c>
      <c r="AM21" s="58">
        <f ca="1">+SUMIF('Monthly Cohorts'!$E$178:'Monthly Cohorts'!$E$341,$D21,'Monthly Cohorts'!AM$178:'Monthly Cohorts'!AM$341)</f>
        <v>0</v>
      </c>
      <c r="AN21" s="58">
        <f ca="1">+SUMIF('Monthly Cohorts'!$E$178:'Monthly Cohorts'!$E$341,$D21,'Monthly Cohorts'!AN$178:'Monthly Cohorts'!AN$341)</f>
        <v>0</v>
      </c>
      <c r="AO21" s="58">
        <f ca="1">+SUMIF('Monthly Cohorts'!$E$178:'Monthly Cohorts'!$E$341,$D21,'Monthly Cohorts'!AO$178:'Monthly Cohorts'!AO$341)</f>
        <v>0</v>
      </c>
      <c r="AP21" s="58">
        <f ca="1">+SUMIF('Monthly Cohorts'!$E$178:'Monthly Cohorts'!$E$341,$D21,'Monthly Cohorts'!AP$178:'Monthly Cohorts'!AP$341)</f>
        <v>0</v>
      </c>
      <c r="AQ21" s="58">
        <f ca="1">+SUMIF('Monthly Cohorts'!$E$178:'Monthly Cohorts'!$E$341,$D21,'Monthly Cohorts'!AQ$178:'Monthly Cohorts'!AQ$341)</f>
        <v>0</v>
      </c>
      <c r="AR21" s="58">
        <f ca="1">+SUMIF('Monthly Cohorts'!$E$178:'Monthly Cohorts'!$E$341,$D21,'Monthly Cohorts'!AR$178:'Monthly Cohorts'!AR$341)</f>
        <v>0</v>
      </c>
      <c r="AS21" s="58">
        <f ca="1">+SUMIF('Monthly Cohorts'!$E$178:'Monthly Cohorts'!$E$341,$D21,'Monthly Cohorts'!AS$178:'Monthly Cohorts'!AS$341)</f>
        <v>0</v>
      </c>
      <c r="AT21" s="58">
        <f ca="1">+SUMIF('Monthly Cohorts'!$E$178:'Monthly Cohorts'!$E$341,$D21,'Monthly Cohorts'!AT$178:'Monthly Cohorts'!AT$341)</f>
        <v>0</v>
      </c>
      <c r="AU21" s="58">
        <f ca="1">+SUMIF('Monthly Cohorts'!$E$178:'Monthly Cohorts'!$E$341,$D21,'Monthly Cohorts'!AU$178:'Monthly Cohorts'!AU$341)</f>
        <v>0</v>
      </c>
      <c r="AV21" s="58">
        <f ca="1">+SUMIF('Monthly Cohorts'!$E$178:'Monthly Cohorts'!$E$341,$D21,'Monthly Cohorts'!AV$178:'Monthly Cohorts'!AV$341)</f>
        <v>0</v>
      </c>
      <c r="AW21" s="58">
        <f ca="1">+SUMIF('Monthly Cohorts'!$E$178:'Monthly Cohorts'!$E$341,$D21,'Monthly Cohorts'!AW$178:'Monthly Cohorts'!AW$341)</f>
        <v>0</v>
      </c>
      <c r="AX21" s="58">
        <f ca="1">+SUMIF('Monthly Cohorts'!$E$178:'Monthly Cohorts'!$E$341,$D21,'Monthly Cohorts'!AX$178:'Monthly Cohorts'!AX$341)</f>
        <v>0</v>
      </c>
      <c r="AY21" s="58">
        <f ca="1">+SUMIF('Monthly Cohorts'!$E$178:'Monthly Cohorts'!$E$341,$D21,'Monthly Cohorts'!AY$178:'Monthly Cohorts'!AY$341)</f>
        <v>0</v>
      </c>
      <c r="AZ21" s="58">
        <f ca="1">+SUMIF('Monthly Cohorts'!$E$178:'Monthly Cohorts'!$E$341,$D21,'Monthly Cohorts'!AZ$178:'Monthly Cohorts'!AZ$341)</f>
        <v>0</v>
      </c>
      <c r="BA21" s="58">
        <f ca="1">+SUMIF('Monthly Cohorts'!$E$178:'Monthly Cohorts'!$E$341,$D21,'Monthly Cohorts'!BA$178:'Monthly Cohorts'!BA$341)</f>
        <v>0</v>
      </c>
      <c r="BB21" s="58">
        <f ca="1">+SUMIF('Monthly Cohorts'!$E$178:'Monthly Cohorts'!$E$341,$D21,'Monthly Cohorts'!BB$178:'Monthly Cohorts'!BB$341)</f>
        <v>0</v>
      </c>
      <c r="BC21" s="58">
        <f ca="1">+SUMIF('Monthly Cohorts'!$E$178:'Monthly Cohorts'!$E$341,$D21,'Monthly Cohorts'!BC$178:'Monthly Cohorts'!BC$341)</f>
        <v>0</v>
      </c>
      <c r="BD21" s="58">
        <f ca="1">+SUMIF('Monthly Cohorts'!$E$178:'Monthly Cohorts'!$E$341,$D21,'Monthly Cohorts'!BD$178:'Monthly Cohorts'!BD$341)</f>
        <v>0</v>
      </c>
      <c r="BE21" s="58">
        <f ca="1">+SUMIF('Monthly Cohorts'!$E$178:'Monthly Cohorts'!$E$341,$D21,'Monthly Cohorts'!BE$178:'Monthly Cohorts'!BE$341)</f>
        <v>0</v>
      </c>
      <c r="BF21" s="58">
        <f ca="1">+SUMIF('Monthly Cohorts'!$E$178:'Monthly Cohorts'!$E$341,$D21,'Monthly Cohorts'!BF$178:'Monthly Cohorts'!BF$341)</f>
        <v>0</v>
      </c>
      <c r="BG21" s="58">
        <f ca="1">+SUMIF('Monthly Cohorts'!$E$178:'Monthly Cohorts'!$E$341,$D21,'Monthly Cohorts'!BG$178:'Monthly Cohorts'!BG$341)</f>
        <v>0</v>
      </c>
      <c r="BH21" s="58">
        <f ca="1">+SUMIF('Monthly Cohorts'!$E$178:'Monthly Cohorts'!$E$341,$D21,'Monthly Cohorts'!BH$178:'Monthly Cohorts'!BH$341)</f>
        <v>0</v>
      </c>
      <c r="BI21" s="58">
        <f ca="1">+SUMIF('Monthly Cohorts'!$E$178:'Monthly Cohorts'!$E$341,$D21,'Monthly Cohorts'!BI$178:'Monthly Cohorts'!BI$341)</f>
        <v>0</v>
      </c>
      <c r="BJ21" s="58">
        <f ca="1">+SUMIF('Monthly Cohorts'!$E$178:'Monthly Cohorts'!$E$341,$D21,'Monthly Cohorts'!BJ$178:'Monthly Cohorts'!BJ$341)</f>
        <v>0</v>
      </c>
      <c r="BK21" s="58">
        <f ca="1">+SUMIF('Monthly Cohorts'!$E$178:'Monthly Cohorts'!$E$341,$D21,'Monthly Cohorts'!BK$178:'Monthly Cohorts'!BK$341)</f>
        <v>0</v>
      </c>
      <c r="BL21" s="58">
        <f ca="1">+SUMIF('Monthly Cohorts'!$E$178:'Monthly Cohorts'!$E$341,$D21,'Monthly Cohorts'!BL$178:'Monthly Cohorts'!BL$341)</f>
        <v>0</v>
      </c>
      <c r="BM21" s="58">
        <f ca="1">+SUMIF('Monthly Cohorts'!$E$178:'Monthly Cohorts'!$E$341,$D21,'Monthly Cohorts'!BM$178:'Monthly Cohorts'!BM$341)</f>
        <v>0</v>
      </c>
      <c r="BN21" s="58">
        <f ca="1">+SUMIF('Monthly Cohorts'!$E$178:'Monthly Cohorts'!$E$341,$D21,'Monthly Cohorts'!BN$178:'Monthly Cohorts'!BN$341)</f>
        <v>0</v>
      </c>
      <c r="BO21" s="58">
        <f ca="1">+SUMIF('Monthly Cohorts'!$E$178:'Monthly Cohorts'!$E$341,$D21,'Monthly Cohorts'!BO$178:'Monthly Cohorts'!BO$341)</f>
        <v>0</v>
      </c>
      <c r="BP21" s="58">
        <f ca="1">+SUMIF('Monthly Cohorts'!$E$178:'Monthly Cohorts'!$E$341,$D21,'Monthly Cohorts'!BP$178:'Monthly Cohorts'!BP$341)</f>
        <v>0</v>
      </c>
      <c r="BQ21" s="58">
        <f ca="1">+SUMIF('Monthly Cohorts'!$E$178:'Monthly Cohorts'!$E$341,$D21,'Monthly Cohorts'!BQ$178:'Monthly Cohorts'!BQ$341)</f>
        <v>0</v>
      </c>
      <c r="BR21" s="58">
        <f ca="1">+SUMIF('Monthly Cohorts'!$E$178:'Monthly Cohorts'!$E$341,$D21,'Monthly Cohorts'!BR$178:'Monthly Cohorts'!BR$341)</f>
        <v>0</v>
      </c>
      <c r="BS21" s="58">
        <f ca="1">+SUMIF('Monthly Cohorts'!$E$178:'Monthly Cohorts'!$E$341,$D21,'Monthly Cohorts'!BS$178:'Monthly Cohorts'!BS$341)</f>
        <v>0</v>
      </c>
      <c r="BT21" s="58">
        <f ca="1">+SUMIF('Monthly Cohorts'!$E$178:'Monthly Cohorts'!$E$341,$D21,'Monthly Cohorts'!BT$178:'Monthly Cohorts'!BT$341)</f>
        <v>0</v>
      </c>
      <c r="BU21" s="58">
        <f ca="1">+SUMIF('Monthly Cohorts'!$E$178:'Monthly Cohorts'!$E$341,$D21,'Monthly Cohorts'!BU$178:'Monthly Cohorts'!BU$341)</f>
        <v>0</v>
      </c>
      <c r="BV21" s="58">
        <f ca="1">+SUMIF('Monthly Cohorts'!$E$178:'Monthly Cohorts'!$E$341,$D21,'Monthly Cohorts'!BV$178:'Monthly Cohorts'!BV$341)</f>
        <v>0</v>
      </c>
      <c r="BW21" s="58">
        <f ca="1">+SUMIF('Monthly Cohorts'!$E$178:'Monthly Cohorts'!$E$341,$D21,'Monthly Cohorts'!BW$178:'Monthly Cohorts'!BW$341)</f>
        <v>0</v>
      </c>
      <c r="BX21" s="58">
        <f ca="1">+SUMIF('Monthly Cohorts'!$E$178:'Monthly Cohorts'!$E$341,$D21,'Monthly Cohorts'!BX$178:'Monthly Cohorts'!BX$341)</f>
        <v>0</v>
      </c>
      <c r="BY21" s="58">
        <f ca="1">+SUMIF('Monthly Cohorts'!$E$178:'Monthly Cohorts'!$E$341,$D21,'Monthly Cohorts'!BY$178:'Monthly Cohorts'!BY$341)</f>
        <v>0</v>
      </c>
      <c r="BZ21" s="58">
        <f ca="1">+SUMIF('Monthly Cohorts'!$E$178:'Monthly Cohorts'!$E$341,$D21,'Monthly Cohorts'!BZ$178:'Monthly Cohorts'!BZ$341)</f>
        <v>0</v>
      </c>
      <c r="CA21" s="58">
        <f ca="1">+SUMIF('Monthly Cohorts'!$E$178:'Monthly Cohorts'!$E$341,$D21,'Monthly Cohorts'!CA$178:'Monthly Cohorts'!CA$341)</f>
        <v>0</v>
      </c>
      <c r="CB21" s="58">
        <f ca="1">+SUMIF('Monthly Cohorts'!$E$178:'Monthly Cohorts'!$E$341,$D21,'Monthly Cohorts'!CB$178:'Monthly Cohorts'!CB$341)</f>
        <v>0</v>
      </c>
      <c r="CC21" s="58">
        <f ca="1">+SUMIF('Monthly Cohorts'!$E$178:'Monthly Cohorts'!$E$341,$D21,'Monthly Cohorts'!CC$178:'Monthly Cohorts'!CC$341)</f>
        <v>0</v>
      </c>
      <c r="CD21" s="58">
        <f ca="1">+SUMIF('Monthly Cohorts'!$E$178:'Monthly Cohorts'!$E$341,$D21,'Monthly Cohorts'!CD$178:'Monthly Cohorts'!CD$341)</f>
        <v>0</v>
      </c>
      <c r="CE21" s="58">
        <f ca="1">+SUMIF('Monthly Cohorts'!$E$178:'Monthly Cohorts'!$E$341,$D21,'Monthly Cohorts'!CE$178:'Monthly Cohorts'!CE$341)</f>
        <v>0</v>
      </c>
      <c r="CF21" s="58">
        <f ca="1">+SUMIF('Monthly Cohorts'!$E$178:'Monthly Cohorts'!$E$341,$D21,'Monthly Cohorts'!CF$178:'Monthly Cohorts'!CF$341)</f>
        <v>0</v>
      </c>
      <c r="CG21" s="58">
        <f ca="1">+SUMIF('Monthly Cohorts'!$E$178:'Monthly Cohorts'!$E$341,$D21,'Monthly Cohorts'!CG$178:'Monthly Cohorts'!CG$341)</f>
        <v>0</v>
      </c>
      <c r="CH21" s="58">
        <f ca="1">+SUMIF('Monthly Cohorts'!$E$178:'Monthly Cohorts'!$E$341,$D21,'Monthly Cohorts'!CH$178:'Monthly Cohorts'!CH$341)</f>
        <v>0</v>
      </c>
      <c r="CI21" s="58">
        <f ca="1">+SUMIF('Monthly Cohorts'!$E$178:'Monthly Cohorts'!$E$341,$D21,'Monthly Cohorts'!CI$178:'Monthly Cohorts'!CI$341)</f>
        <v>0</v>
      </c>
      <c r="CJ21" s="58">
        <f ca="1">+SUMIF('Monthly Cohorts'!$E$178:'Monthly Cohorts'!$E$341,$D21,'Monthly Cohorts'!CJ$178:'Monthly Cohorts'!CJ$341)</f>
        <v>0</v>
      </c>
      <c r="CK21" s="58">
        <f ca="1">+SUMIF('Monthly Cohorts'!$E$178:'Monthly Cohorts'!$E$341,$D21,'Monthly Cohorts'!CK$178:'Monthly Cohorts'!CK$341)</f>
        <v>0</v>
      </c>
      <c r="CL21" s="58">
        <f ca="1">+SUMIF('Monthly Cohorts'!$E$178:'Monthly Cohorts'!$E$341,$D21,'Monthly Cohorts'!CL$178:'Monthly Cohorts'!CL$341)</f>
        <v>0</v>
      </c>
      <c r="CM21" s="58">
        <f ca="1">+SUMIF('Monthly Cohorts'!$E$178:'Monthly Cohorts'!$E$341,$D21,'Monthly Cohorts'!CM$178:'Monthly Cohorts'!CM$341)</f>
        <v>0</v>
      </c>
      <c r="CN21" s="58">
        <f ca="1">+SUMIF('Monthly Cohorts'!$E$178:'Monthly Cohorts'!$E$341,$D21,'Monthly Cohorts'!CN$178:'Monthly Cohorts'!CN$341)</f>
        <v>0</v>
      </c>
      <c r="CO21" s="58">
        <f ca="1">+SUMIF('Monthly Cohorts'!$E$178:'Monthly Cohorts'!$E$341,$D21,'Monthly Cohorts'!CO$178:'Monthly Cohorts'!CO$341)</f>
        <v>0</v>
      </c>
      <c r="CP21" s="58">
        <f ca="1">+SUMIF('Monthly Cohorts'!$E$178:'Monthly Cohorts'!$E$341,$D21,'Monthly Cohorts'!CP$178:'Monthly Cohorts'!CP$341)</f>
        <v>0</v>
      </c>
      <c r="CQ21" s="58">
        <f ca="1">+SUMIF('Monthly Cohorts'!$E$178:'Monthly Cohorts'!$E$341,$D21,'Monthly Cohorts'!CQ$178:'Monthly Cohorts'!CQ$341)</f>
        <v>0</v>
      </c>
      <c r="CR21" s="58">
        <f ca="1">+SUMIF('Monthly Cohorts'!$E$178:'Monthly Cohorts'!$E$341,$D21,'Monthly Cohorts'!CR$178:'Monthly Cohorts'!CR$341)</f>
        <v>0</v>
      </c>
      <c r="CS21" s="58">
        <f ca="1">+SUMIF('Monthly Cohorts'!$E$178:'Monthly Cohorts'!$E$341,$D21,'Monthly Cohorts'!CS$178:'Monthly Cohorts'!CS$341)</f>
        <v>0</v>
      </c>
      <c r="CT21" s="58">
        <f ca="1">+SUMIF('Monthly Cohorts'!$E$178:'Monthly Cohorts'!$E$341,$D21,'Monthly Cohorts'!CT$178:'Monthly Cohorts'!CT$341)</f>
        <v>0</v>
      </c>
      <c r="CU21" s="58">
        <f ca="1">+SUMIF('Monthly Cohorts'!$E$178:'Monthly Cohorts'!$E$341,$D21,'Monthly Cohorts'!CU$178:'Monthly Cohorts'!CU$341)</f>
        <v>0</v>
      </c>
      <c r="CV21" s="58">
        <f ca="1">+SUMIF('Monthly Cohorts'!$E$178:'Monthly Cohorts'!$E$341,$D21,'Monthly Cohorts'!CV$178:'Monthly Cohorts'!CV$341)</f>
        <v>0</v>
      </c>
      <c r="CW21" s="58">
        <f ca="1">+SUMIF('Monthly Cohorts'!$E$178:'Monthly Cohorts'!$E$341,$D21,'Monthly Cohorts'!CW$178:'Monthly Cohorts'!CW$341)</f>
        <v>0</v>
      </c>
      <c r="CX21" s="58">
        <f ca="1">+SUMIF('Monthly Cohorts'!$E$178:'Monthly Cohorts'!$E$341,$D21,'Monthly Cohorts'!CX$178:'Monthly Cohorts'!CX$341)</f>
        <v>0</v>
      </c>
      <c r="CY21" s="58">
        <f ca="1">+SUMIF('Monthly Cohorts'!$E$178:'Monthly Cohorts'!$E$341,$D21,'Monthly Cohorts'!CY$178:'Monthly Cohorts'!CY$341)</f>
        <v>0</v>
      </c>
      <c r="CZ21" s="58">
        <f ca="1">+SUMIF('Monthly Cohorts'!$E$178:'Monthly Cohorts'!$E$341,$D21,'Monthly Cohorts'!CZ$178:'Monthly Cohorts'!CZ$341)</f>
        <v>0</v>
      </c>
      <c r="DA21" s="58">
        <f ca="1">+SUMIF('Monthly Cohorts'!$E$178:'Monthly Cohorts'!$E$341,$D21,'Monthly Cohorts'!DA$178:'Monthly Cohorts'!DA$341)</f>
        <v>0</v>
      </c>
      <c r="DB21" s="58">
        <f ca="1">+SUMIF('Monthly Cohorts'!$E$178:'Monthly Cohorts'!$E$341,$D21,'Monthly Cohorts'!DB$178:'Monthly Cohorts'!DB$341)</f>
        <v>0</v>
      </c>
      <c r="DC21" s="58">
        <f ca="1">+SUMIF('Monthly Cohorts'!$E$178:'Monthly Cohorts'!$E$341,$D21,'Monthly Cohorts'!DC$178:'Monthly Cohorts'!DC$341)</f>
        <v>0</v>
      </c>
      <c r="DD21" s="58">
        <f ca="1">+SUMIF('Monthly Cohorts'!$E$178:'Monthly Cohorts'!$E$341,$D21,'Monthly Cohorts'!DD$178:'Monthly Cohorts'!DD$341)</f>
        <v>0</v>
      </c>
      <c r="DE21" s="58">
        <f ca="1">+SUMIF('Monthly Cohorts'!$E$178:'Monthly Cohorts'!$E$341,$D21,'Monthly Cohorts'!DE$178:'Monthly Cohorts'!DE$341)</f>
        <v>0</v>
      </c>
      <c r="DF21" s="58">
        <f ca="1">+SUMIF('Monthly Cohorts'!$E$178:'Monthly Cohorts'!$E$341,$D21,'Monthly Cohorts'!DF$178:'Monthly Cohorts'!DF$341)</f>
        <v>0</v>
      </c>
      <c r="DG21" s="58">
        <f ca="1">+SUMIF('Monthly Cohorts'!$E$178:'Monthly Cohorts'!$E$341,$D21,'Monthly Cohorts'!DG$178:'Monthly Cohorts'!DG$341)</f>
        <v>0</v>
      </c>
      <c r="DH21" s="58">
        <f ca="1">+SUMIF('Monthly Cohorts'!$E$178:'Monthly Cohorts'!$E$341,$D21,'Monthly Cohorts'!DH$178:'Monthly Cohorts'!DH$341)</f>
        <v>0</v>
      </c>
      <c r="DI21" s="58">
        <f ca="1">+SUMIF('Monthly Cohorts'!$E$178:'Monthly Cohorts'!$E$341,$D21,'Monthly Cohorts'!DI$178:'Monthly Cohorts'!DI$341)</f>
        <v>0</v>
      </c>
      <c r="DJ21" s="58">
        <f ca="1">+SUMIF('Monthly Cohorts'!$E$178:'Monthly Cohorts'!$E$341,$D21,'Monthly Cohorts'!DJ$178:'Monthly Cohorts'!DJ$341)</f>
        <v>0</v>
      </c>
      <c r="DK21" s="58">
        <f ca="1">+SUMIF('Monthly Cohorts'!$E$178:'Monthly Cohorts'!$E$341,$D21,'Monthly Cohorts'!DK$178:'Monthly Cohorts'!DK$341)</f>
        <v>0</v>
      </c>
      <c r="DL21" s="58">
        <f ca="1">+SUMIF('Monthly Cohorts'!$E$178:'Monthly Cohorts'!$E$341,$D21,'Monthly Cohorts'!DL$178:'Monthly Cohorts'!DL$341)</f>
        <v>0</v>
      </c>
      <c r="DM21" s="58">
        <f ca="1">+SUMIF('Monthly Cohorts'!$E$178:'Monthly Cohorts'!$E$341,$D21,'Monthly Cohorts'!DM$178:'Monthly Cohorts'!DM$341)</f>
        <v>0</v>
      </c>
      <c r="DN21" s="58">
        <f ca="1">+SUMIF('Monthly Cohorts'!$E$178:'Monthly Cohorts'!$E$341,$D21,'Monthly Cohorts'!DN$178:'Monthly Cohorts'!DN$341)</f>
        <v>0</v>
      </c>
      <c r="DO21" s="58">
        <f ca="1">+SUMIF('Monthly Cohorts'!$E$178:'Monthly Cohorts'!$E$341,$D21,'Monthly Cohorts'!DO$178:'Monthly Cohorts'!DO$341)</f>
        <v>0</v>
      </c>
      <c r="DP21" s="58">
        <f ca="1">+SUMIF('Monthly Cohorts'!$E$178:'Monthly Cohorts'!$E$341,$D21,'Monthly Cohorts'!DP$178:'Monthly Cohorts'!DP$341)</f>
        <v>0</v>
      </c>
      <c r="DQ21" s="58">
        <f ca="1">+SUMIF('Monthly Cohorts'!$E$178:'Monthly Cohorts'!$E$341,$D21,'Monthly Cohorts'!DQ$178:'Monthly Cohorts'!DQ$341)</f>
        <v>0</v>
      </c>
      <c r="DR21" s="58">
        <f ca="1">+SUMIF('Monthly Cohorts'!$E$178:'Monthly Cohorts'!$E$341,$D21,'Monthly Cohorts'!DR$178:'Monthly Cohorts'!DR$341)</f>
        <v>0</v>
      </c>
      <c r="DS21" s="58">
        <f ca="1">+SUMIF('Monthly Cohorts'!$E$178:'Monthly Cohorts'!$E$341,$D21,'Monthly Cohorts'!DS$178:'Monthly Cohorts'!DS$341)</f>
        <v>0</v>
      </c>
      <c r="DT21" s="58">
        <f ca="1">+SUMIF('Monthly Cohorts'!$E$178:'Monthly Cohorts'!$E$341,$D21,'Monthly Cohorts'!DT$178:'Monthly Cohorts'!DT$341)</f>
        <v>0</v>
      </c>
      <c r="DU21" s="58">
        <f ca="1">+SUMIF('Monthly Cohorts'!$E$178:'Monthly Cohorts'!$E$341,$D21,'Monthly Cohorts'!DU$178:'Monthly Cohorts'!DU$341)</f>
        <v>0</v>
      </c>
      <c r="DV21" s="58">
        <f ca="1">+SUMIF('Monthly Cohorts'!$E$178:'Monthly Cohorts'!$E$341,$D21,'Monthly Cohorts'!DV$178:'Monthly Cohorts'!DV$341)</f>
        <v>0</v>
      </c>
      <c r="DW21" s="58">
        <f ca="1">+SUMIF('Monthly Cohorts'!$E$178:'Monthly Cohorts'!$E$341,$D21,'Monthly Cohorts'!DW$178:'Monthly Cohorts'!DW$341)</f>
        <v>0</v>
      </c>
      <c r="DX21" s="58">
        <f ca="1">+SUMIF('Monthly Cohorts'!$E$178:'Monthly Cohorts'!$E$341,$D21,'Monthly Cohorts'!DX$178:'Monthly Cohorts'!DX$341)</f>
        <v>0</v>
      </c>
      <c r="DY21" s="58">
        <f ca="1">+SUMIF('Monthly Cohorts'!$E$178:'Monthly Cohorts'!$E$341,$D21,'Monthly Cohorts'!DY$178:'Monthly Cohorts'!DY$341)</f>
        <v>0</v>
      </c>
      <c r="DZ21" s="58">
        <f ca="1">+SUMIF('Monthly Cohorts'!$E$178:'Monthly Cohorts'!$E$341,$D21,'Monthly Cohorts'!DZ$178:'Monthly Cohorts'!DZ$341)</f>
        <v>0</v>
      </c>
      <c r="EA21" s="58">
        <f ca="1">+SUMIF('Monthly Cohorts'!$E$178:'Monthly Cohorts'!$E$341,$D21,'Monthly Cohorts'!EA$178:'Monthly Cohorts'!EA$341)</f>
        <v>0</v>
      </c>
      <c r="EB21" s="58">
        <f ca="1">+SUMIF('Monthly Cohorts'!$E$178:'Monthly Cohorts'!$E$341,$D21,'Monthly Cohorts'!EB$178:'Monthly Cohorts'!EB$341)</f>
        <v>0</v>
      </c>
      <c r="EC21" s="58">
        <f ca="1">+SUMIF('Monthly Cohorts'!$E$178:'Monthly Cohorts'!$E$341,$D21,'Monthly Cohorts'!EC$178:'Monthly Cohorts'!EC$341)</f>
        <v>0</v>
      </c>
      <c r="ED21" s="58">
        <f ca="1">+SUMIF('Monthly Cohorts'!$E$178:'Monthly Cohorts'!$E$341,$D21,'Monthly Cohorts'!ED$178:'Monthly Cohorts'!ED$341)</f>
        <v>0</v>
      </c>
      <c r="EE21" s="58">
        <f ca="1">+SUMIF('Monthly Cohorts'!$E$178:'Monthly Cohorts'!$E$341,$D21,'Monthly Cohorts'!EE$178:'Monthly Cohorts'!EE$341)</f>
        <v>0</v>
      </c>
      <c r="EF21" s="58">
        <f ca="1">+SUMIF('Monthly Cohorts'!$E$178:'Monthly Cohorts'!$E$341,$D21,'Monthly Cohorts'!EF$178:'Monthly Cohorts'!EF$341)</f>
        <v>0</v>
      </c>
      <c r="EG21" s="58">
        <f ca="1">+SUMIF('Monthly Cohorts'!$E$178:'Monthly Cohorts'!$E$341,$D21,'Monthly Cohorts'!EG$178:'Monthly Cohorts'!EG$341)</f>
        <v>0</v>
      </c>
      <c r="EH21" s="58">
        <f ca="1">+SUMIF('Monthly Cohorts'!$E$178:'Monthly Cohorts'!$E$341,$D21,'Monthly Cohorts'!EH$178:'Monthly Cohorts'!EH$341)</f>
        <v>0</v>
      </c>
      <c r="EI21" s="58">
        <f ca="1">+SUMIF('Monthly Cohorts'!$E$178:'Monthly Cohorts'!$E$341,$D21,'Monthly Cohorts'!EI$178:'Monthly Cohorts'!EI$341)</f>
        <v>0</v>
      </c>
      <c r="EJ21" s="58">
        <f ca="1">+SUMIF('Monthly Cohorts'!$E$178:'Monthly Cohorts'!$E$341,$D21,'Monthly Cohorts'!EJ$178:'Monthly Cohorts'!EJ$341)</f>
        <v>0</v>
      </c>
      <c r="EK21" s="58">
        <f ca="1">+SUMIF('Monthly Cohorts'!$E$178:'Monthly Cohorts'!$E$341,$D21,'Monthly Cohorts'!EK$178:'Monthly Cohorts'!EK$341)</f>
        <v>0</v>
      </c>
      <c r="EL21" s="58">
        <f ca="1">+SUMIF('Monthly Cohorts'!$E$178:'Monthly Cohorts'!$E$341,$D21,'Monthly Cohorts'!EL$178:'Monthly Cohorts'!EL$341)</f>
        <v>0</v>
      </c>
      <c r="EM21" s="58">
        <f ca="1">+SUMIF('Monthly Cohorts'!$E$178:'Monthly Cohorts'!$E$341,$D21,'Monthly Cohorts'!EM$178:'Monthly Cohorts'!EM$341)</f>
        <v>0</v>
      </c>
      <c r="EN21" s="58">
        <f ca="1">+SUMIF('Monthly Cohorts'!$E$178:'Monthly Cohorts'!$E$341,$D21,'Monthly Cohorts'!EN$178:'Monthly Cohorts'!EN$341)</f>
        <v>0</v>
      </c>
      <c r="EO21" s="58">
        <f ca="1">+SUMIF('Monthly Cohorts'!$E$178:'Monthly Cohorts'!$E$341,$D21,'Monthly Cohorts'!EO$178:'Monthly Cohorts'!EO$341)</f>
        <v>0</v>
      </c>
      <c r="EP21" s="58">
        <f ca="1">+SUMIF('Monthly Cohorts'!$E$178:'Monthly Cohorts'!$E$341,$D21,'Monthly Cohorts'!EP$178:'Monthly Cohorts'!EP$341)</f>
        <v>0</v>
      </c>
      <c r="EQ21" s="58">
        <f ca="1">+SUMIF('Monthly Cohorts'!$E$178:'Monthly Cohorts'!$E$341,$D21,'Monthly Cohorts'!EQ$178:'Monthly Cohorts'!EQ$341)</f>
        <v>0</v>
      </c>
      <c r="ER21" s="58">
        <f ca="1">+SUMIF('Monthly Cohorts'!$E$178:'Monthly Cohorts'!$E$341,$D21,'Monthly Cohorts'!ER$178:'Monthly Cohorts'!ER$341)</f>
        <v>0</v>
      </c>
      <c r="ES21" s="58">
        <f ca="1">+SUMIF('Monthly Cohorts'!$E$178:'Monthly Cohorts'!$E$341,$D21,'Monthly Cohorts'!ES$178:'Monthly Cohorts'!ES$341)</f>
        <v>0</v>
      </c>
      <c r="ET21" s="58">
        <f ca="1">+SUMIF('Monthly Cohorts'!$E$178:'Monthly Cohorts'!$E$341,$D21,'Monthly Cohorts'!ET$178:'Monthly Cohorts'!ET$341)</f>
        <v>0</v>
      </c>
      <c r="EU21" s="58">
        <f ca="1">+SUMIF('Monthly Cohorts'!$E$178:'Monthly Cohorts'!$E$341,$D21,'Monthly Cohorts'!EU$178:'Monthly Cohorts'!EU$341)</f>
        <v>0</v>
      </c>
      <c r="EV21" s="58">
        <f ca="1">+SUMIF('Monthly Cohorts'!$E$178:'Monthly Cohorts'!$E$341,$D21,'Monthly Cohorts'!EV$178:'Monthly Cohorts'!EV$341)</f>
        <v>0</v>
      </c>
      <c r="EW21" s="58">
        <f ca="1">+SUMIF('Monthly Cohorts'!$E$178:'Monthly Cohorts'!$E$341,$D21,'Monthly Cohorts'!EW$178:'Monthly Cohorts'!EW$341)</f>
        <v>0</v>
      </c>
      <c r="EX21" s="58">
        <f ca="1">+SUMIF('Monthly Cohorts'!$E$178:'Monthly Cohorts'!$E$341,$D21,'Monthly Cohorts'!EX$178:'Monthly Cohorts'!EX$341)</f>
        <v>0</v>
      </c>
      <c r="EY21" s="58">
        <f ca="1">+SUMIF('Monthly Cohorts'!$E$178:'Monthly Cohorts'!$E$341,$D21,'Monthly Cohorts'!EY$178:'Monthly Cohorts'!EY$341)</f>
        <v>0</v>
      </c>
      <c r="EZ21" s="58">
        <f ca="1">+SUMIF('Monthly Cohorts'!$E$178:'Monthly Cohorts'!$E$341,$D21,'Monthly Cohorts'!EZ$178:'Monthly Cohorts'!EZ$341)</f>
        <v>0</v>
      </c>
      <c r="FA21" s="58">
        <f ca="1">+SUMIF('Monthly Cohorts'!$E$178:'Monthly Cohorts'!$E$341,$D21,'Monthly Cohorts'!FA$178:'Monthly Cohorts'!FA$341)</f>
        <v>0</v>
      </c>
      <c r="FB21" s="58">
        <f ca="1">+SUMIF('Monthly Cohorts'!$E$178:'Monthly Cohorts'!$E$341,$D21,'Monthly Cohorts'!FB$178:'Monthly Cohorts'!FB$341)</f>
        <v>0</v>
      </c>
      <c r="FC21" s="58">
        <f ca="1">+SUMIF('Monthly Cohorts'!$E$178:'Monthly Cohorts'!$E$341,$D21,'Monthly Cohorts'!FC$178:'Monthly Cohorts'!FC$341)</f>
        <v>0</v>
      </c>
      <c r="FD21" s="58">
        <f ca="1">+SUMIF('Monthly Cohorts'!$E$178:'Monthly Cohorts'!$E$341,$D21,'Monthly Cohorts'!FD$178:'Monthly Cohorts'!FD$341)</f>
        <v>0</v>
      </c>
      <c r="FE21" s="58">
        <f ca="1">+SUMIF('Monthly Cohorts'!$E$178:'Monthly Cohorts'!$E$341,$D21,'Monthly Cohorts'!FE$178:'Monthly Cohorts'!FE$341)</f>
        <v>0</v>
      </c>
      <c r="FF21" s="58">
        <f ca="1">+SUMIF('Monthly Cohorts'!$E$178:'Monthly Cohorts'!$E$341,$D21,'Monthly Cohorts'!FF$178:'Monthly Cohorts'!FF$341)</f>
        <v>0</v>
      </c>
      <c r="FG21" s="58">
        <f ca="1">+SUMIF('Monthly Cohorts'!$E$178:'Monthly Cohorts'!$E$341,$D21,'Monthly Cohorts'!FG$178:'Monthly Cohorts'!FG$341)</f>
        <v>0</v>
      </c>
      <c r="FH21" s="58">
        <f ca="1">+SUMIF('Monthly Cohorts'!$E$178:'Monthly Cohorts'!$E$341,$D21,'Monthly Cohorts'!FH$178:'Monthly Cohorts'!FH$341)</f>
        <v>0</v>
      </c>
      <c r="FI21" s="58">
        <f ca="1">+SUMIF('Monthly Cohorts'!$E$178:'Monthly Cohorts'!$E$341,$D21,'Monthly Cohorts'!FI$178:'Monthly Cohorts'!FI$341)</f>
        <v>0</v>
      </c>
      <c r="FJ21" s="58">
        <f ca="1">+SUMIF('Monthly Cohorts'!$E$178:'Monthly Cohorts'!$E$341,$D21,'Monthly Cohorts'!FJ$178:'Monthly Cohorts'!FJ$341)</f>
        <v>0</v>
      </c>
      <c r="FK21" s="58">
        <f ca="1">+SUMIF('Monthly Cohorts'!$E$178:'Monthly Cohorts'!$E$341,$D21,'Monthly Cohorts'!FK$178:'Monthly Cohorts'!FK$341)</f>
        <v>0</v>
      </c>
      <c r="FL21" s="58">
        <f ca="1">+SUMIF('Monthly Cohorts'!$E$178:'Monthly Cohorts'!$E$341,$D21,'Monthly Cohorts'!FL$178:'Monthly Cohorts'!FL$341)</f>
        <v>0</v>
      </c>
      <c r="FM21" s="58">
        <f ca="1">+SUMIF('Monthly Cohorts'!$E$178:'Monthly Cohorts'!$E$341,$D21,'Monthly Cohorts'!FM$178:'Monthly Cohorts'!FM$341)</f>
        <v>0</v>
      </c>
      <c r="FN21" s="58">
        <f ca="1">+SUMIF('Monthly Cohorts'!$E$178:'Monthly Cohorts'!$E$341,$D21,'Monthly Cohorts'!FN$178:'Monthly Cohorts'!FN$341)</f>
        <v>0</v>
      </c>
      <c r="FO21" s="13"/>
    </row>
    <row r="22" spans="1:171" outlineLevel="1" x14ac:dyDescent="0.3">
      <c r="A22" s="13"/>
      <c r="B22" s="13"/>
      <c r="C22" s="13"/>
      <c r="D22" s="59">
        <f t="shared" si="11"/>
        <v>2022</v>
      </c>
      <c r="E22" s="25"/>
      <c r="F22" s="20"/>
      <c r="G22" s="58">
        <f ca="1">+SUMIF('Monthly Cohorts'!$E$178:'Monthly Cohorts'!$E$341,$D22,'Monthly Cohorts'!G$178:'Monthly Cohorts'!G$341)</f>
        <v>0</v>
      </c>
      <c r="H22" s="58">
        <f ca="1">+SUMIF('Monthly Cohorts'!$E$178:'Monthly Cohorts'!$E$341,$D22,'Monthly Cohorts'!H$178:'Monthly Cohorts'!H$341)</f>
        <v>0</v>
      </c>
      <c r="I22" s="58">
        <f ca="1">+SUMIF('Monthly Cohorts'!$E$178:'Monthly Cohorts'!$E$341,$D22,'Monthly Cohorts'!I$178:'Monthly Cohorts'!I$341)</f>
        <v>0</v>
      </c>
      <c r="J22" s="58">
        <f ca="1">+SUMIF('Monthly Cohorts'!$E$178:'Monthly Cohorts'!$E$341,$D22,'Monthly Cohorts'!J$178:'Monthly Cohorts'!J$341)</f>
        <v>0</v>
      </c>
      <c r="K22" s="58">
        <f ca="1">+SUMIF('Monthly Cohorts'!$E$178:'Monthly Cohorts'!$E$341,$D22,'Monthly Cohorts'!K$178:'Monthly Cohorts'!K$341)</f>
        <v>0</v>
      </c>
      <c r="L22" s="58">
        <f ca="1">+SUMIF('Monthly Cohorts'!$E$178:'Monthly Cohorts'!$E$341,$D22,'Monthly Cohorts'!L$178:'Monthly Cohorts'!L$341)</f>
        <v>0</v>
      </c>
      <c r="M22" s="58">
        <f ca="1">+SUMIF('Monthly Cohorts'!$E$178:'Monthly Cohorts'!$E$341,$D22,'Monthly Cohorts'!M$178:'Monthly Cohorts'!M$341)</f>
        <v>0</v>
      </c>
      <c r="N22" s="58">
        <f ca="1">+SUMIF('Monthly Cohorts'!$E$178:'Monthly Cohorts'!$E$341,$D22,'Monthly Cohorts'!N$178:'Monthly Cohorts'!N$341)</f>
        <v>0</v>
      </c>
      <c r="O22" s="58">
        <f ca="1">+SUMIF('Monthly Cohorts'!$E$178:'Monthly Cohorts'!$E$341,$D22,'Monthly Cohorts'!O$178:'Monthly Cohorts'!O$341)</f>
        <v>0</v>
      </c>
      <c r="P22" s="58">
        <f ca="1">+SUMIF('Monthly Cohorts'!$E$178:'Monthly Cohorts'!$E$341,$D22,'Monthly Cohorts'!P$178:'Monthly Cohorts'!P$341)</f>
        <v>0</v>
      </c>
      <c r="Q22" s="58">
        <f ca="1">+SUMIF('Monthly Cohorts'!$E$178:'Monthly Cohorts'!$E$341,$D22,'Monthly Cohorts'!Q$178:'Monthly Cohorts'!Q$341)</f>
        <v>0</v>
      </c>
      <c r="R22" s="58">
        <f ca="1">+SUMIF('Monthly Cohorts'!$E$178:'Monthly Cohorts'!$E$341,$D22,'Monthly Cohorts'!R$178:'Monthly Cohorts'!R$341)</f>
        <v>0</v>
      </c>
      <c r="S22" s="58">
        <f ca="1">+SUMIF('Monthly Cohorts'!$E$178:'Monthly Cohorts'!$E$341,$D22,'Monthly Cohorts'!S$178:'Monthly Cohorts'!S$341)</f>
        <v>0</v>
      </c>
      <c r="T22" s="58">
        <f ca="1">+SUMIF('Monthly Cohorts'!$E$178:'Monthly Cohorts'!$E$341,$D22,'Monthly Cohorts'!T$178:'Monthly Cohorts'!T$341)</f>
        <v>0</v>
      </c>
      <c r="U22" s="58">
        <f ca="1">+SUMIF('Monthly Cohorts'!$E$178:'Monthly Cohorts'!$E$341,$D22,'Monthly Cohorts'!U$178:'Monthly Cohorts'!U$341)</f>
        <v>0</v>
      </c>
      <c r="V22" s="58">
        <f ca="1">+SUMIF('Monthly Cohorts'!$E$178:'Monthly Cohorts'!$E$341,$D22,'Monthly Cohorts'!V$178:'Monthly Cohorts'!V$341)</f>
        <v>0</v>
      </c>
      <c r="W22" s="58">
        <f ca="1">+SUMIF('Monthly Cohorts'!$E$178:'Monthly Cohorts'!$E$341,$D22,'Monthly Cohorts'!W$178:'Monthly Cohorts'!W$341)</f>
        <v>0</v>
      </c>
      <c r="X22" s="58">
        <f ca="1">+SUMIF('Monthly Cohorts'!$E$178:'Monthly Cohorts'!$E$341,$D22,'Monthly Cohorts'!X$178:'Monthly Cohorts'!X$341)</f>
        <v>0</v>
      </c>
      <c r="Y22" s="58">
        <f ca="1">+SUMIF('Monthly Cohorts'!$E$178:'Monthly Cohorts'!$E$341,$D22,'Monthly Cohorts'!Y$178:'Monthly Cohorts'!Y$341)</f>
        <v>0</v>
      </c>
      <c r="Z22" s="58">
        <f ca="1">+SUMIF('Monthly Cohorts'!$E$178:'Monthly Cohorts'!$E$341,$D22,'Monthly Cohorts'!Z$178:'Monthly Cohorts'!Z$341)</f>
        <v>0</v>
      </c>
      <c r="AA22" s="58">
        <f ca="1">+SUMIF('Monthly Cohorts'!$E$178:'Monthly Cohorts'!$E$341,$D22,'Monthly Cohorts'!AA$178:'Monthly Cohorts'!AA$341)</f>
        <v>0</v>
      </c>
      <c r="AB22" s="58">
        <f ca="1">+SUMIF('Monthly Cohorts'!$E$178:'Monthly Cohorts'!$E$341,$D22,'Monthly Cohorts'!AB$178:'Monthly Cohorts'!AB$341)</f>
        <v>0</v>
      </c>
      <c r="AC22" s="58">
        <f ca="1">+SUMIF('Monthly Cohorts'!$E$178:'Monthly Cohorts'!$E$341,$D22,'Monthly Cohorts'!AC$178:'Monthly Cohorts'!AC$341)</f>
        <v>0</v>
      </c>
      <c r="AD22" s="58">
        <f ca="1">+SUMIF('Monthly Cohorts'!$E$178:'Monthly Cohorts'!$E$341,$D22,'Monthly Cohorts'!AD$178:'Monthly Cohorts'!AD$341)</f>
        <v>0</v>
      </c>
      <c r="AE22" s="58">
        <f ca="1">+SUMIF('Monthly Cohorts'!$E$178:'Monthly Cohorts'!$E$341,$D22,'Monthly Cohorts'!AE$178:'Monthly Cohorts'!AE$341)</f>
        <v>0</v>
      </c>
      <c r="AF22" s="58">
        <f ca="1">+SUMIF('Monthly Cohorts'!$E$178:'Monthly Cohorts'!$E$341,$D22,'Monthly Cohorts'!AF$178:'Monthly Cohorts'!AF$341)</f>
        <v>0</v>
      </c>
      <c r="AG22" s="58">
        <f ca="1">+SUMIF('Monthly Cohorts'!$E$178:'Monthly Cohorts'!$E$341,$D22,'Monthly Cohorts'!AG$178:'Monthly Cohorts'!AG$341)</f>
        <v>0</v>
      </c>
      <c r="AH22" s="58">
        <f ca="1">+SUMIF('Monthly Cohorts'!$E$178:'Monthly Cohorts'!$E$341,$D22,'Monthly Cohorts'!AH$178:'Monthly Cohorts'!AH$341)</f>
        <v>0</v>
      </c>
      <c r="AI22" s="58">
        <f ca="1">+SUMIF('Monthly Cohorts'!$E$178:'Monthly Cohorts'!$E$341,$D22,'Monthly Cohorts'!AI$178:'Monthly Cohorts'!AI$341)</f>
        <v>0</v>
      </c>
      <c r="AJ22" s="58">
        <f ca="1">+SUMIF('Monthly Cohorts'!$E$178:'Monthly Cohorts'!$E$341,$D22,'Monthly Cohorts'!AJ$178:'Monthly Cohorts'!AJ$341)</f>
        <v>0</v>
      </c>
      <c r="AK22" s="58">
        <f ca="1">+SUMIF('Monthly Cohorts'!$E$178:'Monthly Cohorts'!$E$341,$D22,'Monthly Cohorts'!AK$178:'Monthly Cohorts'!AK$341)</f>
        <v>0</v>
      </c>
      <c r="AL22" s="58">
        <f ca="1">+SUMIF('Monthly Cohorts'!$E$178:'Monthly Cohorts'!$E$341,$D22,'Monthly Cohorts'!AL$178:'Monthly Cohorts'!AL$341)</f>
        <v>0</v>
      </c>
      <c r="AM22" s="58">
        <f ca="1">+SUMIF('Monthly Cohorts'!$E$178:'Monthly Cohorts'!$E$341,$D22,'Monthly Cohorts'!AM$178:'Monthly Cohorts'!AM$341)</f>
        <v>0</v>
      </c>
      <c r="AN22" s="58">
        <f ca="1">+SUMIF('Monthly Cohorts'!$E$178:'Monthly Cohorts'!$E$341,$D22,'Monthly Cohorts'!AN$178:'Monthly Cohorts'!AN$341)</f>
        <v>0</v>
      </c>
      <c r="AO22" s="58">
        <f ca="1">+SUMIF('Monthly Cohorts'!$E$178:'Monthly Cohorts'!$E$341,$D22,'Monthly Cohorts'!AO$178:'Monthly Cohorts'!AO$341)</f>
        <v>0</v>
      </c>
      <c r="AP22" s="58">
        <f ca="1">+SUMIF('Monthly Cohorts'!$E$178:'Monthly Cohorts'!$E$341,$D22,'Monthly Cohorts'!AP$178:'Monthly Cohorts'!AP$341)</f>
        <v>0</v>
      </c>
      <c r="AQ22" s="58">
        <f ca="1">+SUMIF('Monthly Cohorts'!$E$178:'Monthly Cohorts'!$E$341,$D22,'Monthly Cohorts'!AQ$178:'Monthly Cohorts'!AQ$341)</f>
        <v>0</v>
      </c>
      <c r="AR22" s="58">
        <f ca="1">+SUMIF('Monthly Cohorts'!$E$178:'Monthly Cohorts'!$E$341,$D22,'Monthly Cohorts'!AR$178:'Monthly Cohorts'!AR$341)</f>
        <v>0</v>
      </c>
      <c r="AS22" s="58">
        <f ca="1">+SUMIF('Monthly Cohorts'!$E$178:'Monthly Cohorts'!$E$341,$D22,'Monthly Cohorts'!AS$178:'Monthly Cohorts'!AS$341)</f>
        <v>0</v>
      </c>
      <c r="AT22" s="58">
        <f ca="1">+SUMIF('Monthly Cohorts'!$E$178:'Monthly Cohorts'!$E$341,$D22,'Monthly Cohorts'!AT$178:'Monthly Cohorts'!AT$341)</f>
        <v>0</v>
      </c>
      <c r="AU22" s="58">
        <f ca="1">+SUMIF('Monthly Cohorts'!$E$178:'Monthly Cohorts'!$E$341,$D22,'Monthly Cohorts'!AU$178:'Monthly Cohorts'!AU$341)</f>
        <v>0</v>
      </c>
      <c r="AV22" s="58">
        <f ca="1">+SUMIF('Monthly Cohorts'!$E$178:'Monthly Cohorts'!$E$341,$D22,'Monthly Cohorts'!AV$178:'Monthly Cohorts'!AV$341)</f>
        <v>0</v>
      </c>
      <c r="AW22" s="58">
        <f ca="1">+SUMIF('Monthly Cohorts'!$E$178:'Monthly Cohorts'!$E$341,$D22,'Monthly Cohorts'!AW$178:'Monthly Cohorts'!AW$341)</f>
        <v>0</v>
      </c>
      <c r="AX22" s="58">
        <f ca="1">+SUMIF('Monthly Cohorts'!$E$178:'Monthly Cohorts'!$E$341,$D22,'Monthly Cohorts'!AX$178:'Monthly Cohorts'!AX$341)</f>
        <v>0</v>
      </c>
      <c r="AY22" s="58">
        <f ca="1">+SUMIF('Monthly Cohorts'!$E$178:'Monthly Cohorts'!$E$341,$D22,'Monthly Cohorts'!AY$178:'Monthly Cohorts'!AY$341)</f>
        <v>0</v>
      </c>
      <c r="AZ22" s="58">
        <f ca="1">+SUMIF('Monthly Cohorts'!$E$178:'Monthly Cohorts'!$E$341,$D22,'Monthly Cohorts'!AZ$178:'Monthly Cohorts'!AZ$341)</f>
        <v>0</v>
      </c>
      <c r="BA22" s="58">
        <f ca="1">+SUMIF('Monthly Cohorts'!$E$178:'Monthly Cohorts'!$E$341,$D22,'Monthly Cohorts'!BA$178:'Monthly Cohorts'!BA$341)</f>
        <v>0</v>
      </c>
      <c r="BB22" s="58">
        <f ca="1">+SUMIF('Monthly Cohorts'!$E$178:'Monthly Cohorts'!$E$341,$D22,'Monthly Cohorts'!BB$178:'Monthly Cohorts'!BB$341)</f>
        <v>0</v>
      </c>
      <c r="BC22" s="58">
        <f ca="1">+SUMIF('Monthly Cohorts'!$E$178:'Monthly Cohorts'!$E$341,$D22,'Monthly Cohorts'!BC$178:'Monthly Cohorts'!BC$341)</f>
        <v>0</v>
      </c>
      <c r="BD22" s="58">
        <f ca="1">+SUMIF('Monthly Cohorts'!$E$178:'Monthly Cohorts'!$E$341,$D22,'Monthly Cohorts'!BD$178:'Monthly Cohorts'!BD$341)</f>
        <v>0</v>
      </c>
      <c r="BE22" s="58">
        <f ca="1">+SUMIF('Monthly Cohorts'!$E$178:'Monthly Cohorts'!$E$341,$D22,'Monthly Cohorts'!BE$178:'Monthly Cohorts'!BE$341)</f>
        <v>0</v>
      </c>
      <c r="BF22" s="58">
        <f ca="1">+SUMIF('Monthly Cohorts'!$E$178:'Monthly Cohorts'!$E$341,$D22,'Monthly Cohorts'!BF$178:'Monthly Cohorts'!BF$341)</f>
        <v>0</v>
      </c>
      <c r="BG22" s="58">
        <f ca="1">+SUMIF('Monthly Cohorts'!$E$178:'Monthly Cohorts'!$E$341,$D22,'Monthly Cohorts'!BG$178:'Monthly Cohorts'!BG$341)</f>
        <v>0</v>
      </c>
      <c r="BH22" s="58">
        <f ca="1">+SUMIF('Monthly Cohorts'!$E$178:'Monthly Cohorts'!$E$341,$D22,'Monthly Cohorts'!BH$178:'Monthly Cohorts'!BH$341)</f>
        <v>0</v>
      </c>
      <c r="BI22" s="58">
        <f ca="1">+SUMIF('Monthly Cohorts'!$E$178:'Monthly Cohorts'!$E$341,$D22,'Monthly Cohorts'!BI$178:'Monthly Cohorts'!BI$341)</f>
        <v>0</v>
      </c>
      <c r="BJ22" s="58">
        <f ca="1">+SUMIF('Monthly Cohorts'!$E$178:'Monthly Cohorts'!$E$341,$D22,'Monthly Cohorts'!BJ$178:'Monthly Cohorts'!BJ$341)</f>
        <v>0</v>
      </c>
      <c r="BK22" s="58">
        <f ca="1">+SUMIF('Monthly Cohorts'!$E$178:'Monthly Cohorts'!$E$341,$D22,'Monthly Cohorts'!BK$178:'Monthly Cohorts'!BK$341)</f>
        <v>0</v>
      </c>
      <c r="BL22" s="58">
        <f ca="1">+SUMIF('Monthly Cohorts'!$E$178:'Monthly Cohorts'!$E$341,$D22,'Monthly Cohorts'!BL$178:'Monthly Cohorts'!BL$341)</f>
        <v>0</v>
      </c>
      <c r="BM22" s="58">
        <f ca="1">+SUMIF('Monthly Cohorts'!$E$178:'Monthly Cohorts'!$E$341,$D22,'Monthly Cohorts'!BM$178:'Monthly Cohorts'!BM$341)</f>
        <v>0</v>
      </c>
      <c r="BN22" s="58">
        <f ca="1">+SUMIF('Monthly Cohorts'!$E$178:'Monthly Cohorts'!$E$341,$D22,'Monthly Cohorts'!BN$178:'Monthly Cohorts'!BN$341)</f>
        <v>0</v>
      </c>
      <c r="BO22" s="58">
        <f ca="1">+SUMIF('Monthly Cohorts'!$E$178:'Monthly Cohorts'!$E$341,$D22,'Monthly Cohorts'!BO$178:'Monthly Cohorts'!BO$341)</f>
        <v>0</v>
      </c>
      <c r="BP22" s="58">
        <f ca="1">+SUMIF('Monthly Cohorts'!$E$178:'Monthly Cohorts'!$E$341,$D22,'Monthly Cohorts'!BP$178:'Monthly Cohorts'!BP$341)</f>
        <v>0</v>
      </c>
      <c r="BQ22" s="58">
        <f ca="1">+SUMIF('Monthly Cohorts'!$E$178:'Monthly Cohorts'!$E$341,$D22,'Monthly Cohorts'!BQ$178:'Monthly Cohorts'!BQ$341)</f>
        <v>0</v>
      </c>
      <c r="BR22" s="58">
        <f ca="1">+SUMIF('Monthly Cohorts'!$E$178:'Monthly Cohorts'!$E$341,$D22,'Monthly Cohorts'!BR$178:'Monthly Cohorts'!BR$341)</f>
        <v>0</v>
      </c>
      <c r="BS22" s="58">
        <f ca="1">+SUMIF('Monthly Cohorts'!$E$178:'Monthly Cohorts'!$E$341,$D22,'Monthly Cohorts'!BS$178:'Monthly Cohorts'!BS$341)</f>
        <v>0</v>
      </c>
      <c r="BT22" s="58">
        <f ca="1">+SUMIF('Monthly Cohorts'!$E$178:'Monthly Cohorts'!$E$341,$D22,'Monthly Cohorts'!BT$178:'Monthly Cohorts'!BT$341)</f>
        <v>0</v>
      </c>
      <c r="BU22" s="58">
        <f ca="1">+SUMIF('Monthly Cohorts'!$E$178:'Monthly Cohorts'!$E$341,$D22,'Monthly Cohorts'!BU$178:'Monthly Cohorts'!BU$341)</f>
        <v>0</v>
      </c>
      <c r="BV22" s="58">
        <f ca="1">+SUMIF('Monthly Cohorts'!$E$178:'Monthly Cohorts'!$E$341,$D22,'Monthly Cohorts'!BV$178:'Monthly Cohorts'!BV$341)</f>
        <v>0</v>
      </c>
      <c r="BW22" s="58">
        <f ca="1">+SUMIF('Monthly Cohorts'!$E$178:'Monthly Cohorts'!$E$341,$D22,'Monthly Cohorts'!BW$178:'Monthly Cohorts'!BW$341)</f>
        <v>0</v>
      </c>
      <c r="BX22" s="58">
        <f ca="1">+SUMIF('Monthly Cohorts'!$E$178:'Monthly Cohorts'!$E$341,$D22,'Monthly Cohorts'!BX$178:'Monthly Cohorts'!BX$341)</f>
        <v>0</v>
      </c>
      <c r="BY22" s="58">
        <f ca="1">+SUMIF('Monthly Cohorts'!$E$178:'Monthly Cohorts'!$E$341,$D22,'Monthly Cohorts'!BY$178:'Monthly Cohorts'!BY$341)</f>
        <v>0</v>
      </c>
      <c r="BZ22" s="58">
        <f ca="1">+SUMIF('Monthly Cohorts'!$E$178:'Monthly Cohorts'!$E$341,$D22,'Monthly Cohorts'!BZ$178:'Monthly Cohorts'!BZ$341)</f>
        <v>0</v>
      </c>
      <c r="CA22" s="58">
        <f ca="1">+SUMIF('Monthly Cohorts'!$E$178:'Monthly Cohorts'!$E$341,$D22,'Monthly Cohorts'!CA$178:'Monthly Cohorts'!CA$341)</f>
        <v>0</v>
      </c>
      <c r="CB22" s="58">
        <f ca="1">+SUMIF('Monthly Cohorts'!$E$178:'Monthly Cohorts'!$E$341,$D22,'Monthly Cohorts'!CB$178:'Monthly Cohorts'!CB$341)</f>
        <v>0</v>
      </c>
      <c r="CC22" s="58">
        <f ca="1">+SUMIF('Monthly Cohorts'!$E$178:'Monthly Cohorts'!$E$341,$D22,'Monthly Cohorts'!CC$178:'Monthly Cohorts'!CC$341)</f>
        <v>0</v>
      </c>
      <c r="CD22" s="58">
        <f ca="1">+SUMIF('Monthly Cohorts'!$E$178:'Monthly Cohorts'!$E$341,$D22,'Monthly Cohorts'!CD$178:'Monthly Cohorts'!CD$341)</f>
        <v>0</v>
      </c>
      <c r="CE22" s="58">
        <f ca="1">+SUMIF('Monthly Cohorts'!$E$178:'Monthly Cohorts'!$E$341,$D22,'Monthly Cohorts'!CE$178:'Monthly Cohorts'!CE$341)</f>
        <v>0</v>
      </c>
      <c r="CF22" s="58">
        <f ca="1">+SUMIF('Monthly Cohorts'!$E$178:'Monthly Cohorts'!$E$341,$D22,'Monthly Cohorts'!CF$178:'Monthly Cohorts'!CF$341)</f>
        <v>0</v>
      </c>
      <c r="CG22" s="58">
        <f ca="1">+SUMIF('Monthly Cohorts'!$E$178:'Monthly Cohorts'!$E$341,$D22,'Monthly Cohorts'!CG$178:'Monthly Cohorts'!CG$341)</f>
        <v>0</v>
      </c>
      <c r="CH22" s="58">
        <f ca="1">+SUMIF('Monthly Cohorts'!$E$178:'Monthly Cohorts'!$E$341,$D22,'Monthly Cohorts'!CH$178:'Monthly Cohorts'!CH$341)</f>
        <v>0</v>
      </c>
      <c r="CI22" s="58">
        <f ca="1">+SUMIF('Monthly Cohorts'!$E$178:'Monthly Cohorts'!$E$341,$D22,'Monthly Cohorts'!CI$178:'Monthly Cohorts'!CI$341)</f>
        <v>0</v>
      </c>
      <c r="CJ22" s="58">
        <f ca="1">+SUMIF('Monthly Cohorts'!$E$178:'Monthly Cohorts'!$E$341,$D22,'Monthly Cohorts'!CJ$178:'Monthly Cohorts'!CJ$341)</f>
        <v>0</v>
      </c>
      <c r="CK22" s="58">
        <f ca="1">+SUMIF('Monthly Cohorts'!$E$178:'Monthly Cohorts'!$E$341,$D22,'Monthly Cohorts'!CK$178:'Monthly Cohorts'!CK$341)</f>
        <v>0</v>
      </c>
      <c r="CL22" s="58">
        <f ca="1">+SUMIF('Monthly Cohorts'!$E$178:'Monthly Cohorts'!$E$341,$D22,'Monthly Cohorts'!CL$178:'Monthly Cohorts'!CL$341)</f>
        <v>0</v>
      </c>
      <c r="CM22" s="58">
        <f ca="1">+SUMIF('Monthly Cohorts'!$E$178:'Monthly Cohorts'!$E$341,$D22,'Monthly Cohorts'!CM$178:'Monthly Cohorts'!CM$341)</f>
        <v>0</v>
      </c>
      <c r="CN22" s="58">
        <f ca="1">+SUMIF('Monthly Cohorts'!$E$178:'Monthly Cohorts'!$E$341,$D22,'Monthly Cohorts'!CN$178:'Monthly Cohorts'!CN$341)</f>
        <v>0</v>
      </c>
      <c r="CO22" s="58">
        <f ca="1">+SUMIF('Monthly Cohorts'!$E$178:'Monthly Cohorts'!$E$341,$D22,'Monthly Cohorts'!CO$178:'Monthly Cohorts'!CO$341)</f>
        <v>0</v>
      </c>
      <c r="CP22" s="58">
        <f ca="1">+SUMIF('Monthly Cohorts'!$E$178:'Monthly Cohorts'!$E$341,$D22,'Monthly Cohorts'!CP$178:'Monthly Cohorts'!CP$341)</f>
        <v>0</v>
      </c>
      <c r="CQ22" s="58">
        <f ca="1">+SUMIF('Monthly Cohorts'!$E$178:'Monthly Cohorts'!$E$341,$D22,'Monthly Cohorts'!CQ$178:'Monthly Cohorts'!CQ$341)</f>
        <v>0</v>
      </c>
      <c r="CR22" s="58">
        <f ca="1">+SUMIF('Monthly Cohorts'!$E$178:'Monthly Cohorts'!$E$341,$D22,'Monthly Cohorts'!CR$178:'Monthly Cohorts'!CR$341)</f>
        <v>0</v>
      </c>
      <c r="CS22" s="58">
        <f ca="1">+SUMIF('Monthly Cohorts'!$E$178:'Monthly Cohorts'!$E$341,$D22,'Monthly Cohorts'!CS$178:'Monthly Cohorts'!CS$341)</f>
        <v>0</v>
      </c>
      <c r="CT22" s="58">
        <f ca="1">+SUMIF('Monthly Cohorts'!$E$178:'Monthly Cohorts'!$E$341,$D22,'Monthly Cohorts'!CT$178:'Monthly Cohorts'!CT$341)</f>
        <v>0</v>
      </c>
      <c r="CU22" s="58">
        <f ca="1">+SUMIF('Monthly Cohorts'!$E$178:'Monthly Cohorts'!$E$341,$D22,'Monthly Cohorts'!CU$178:'Monthly Cohorts'!CU$341)</f>
        <v>0</v>
      </c>
      <c r="CV22" s="58">
        <f ca="1">+SUMIF('Monthly Cohorts'!$E$178:'Monthly Cohorts'!$E$341,$D22,'Monthly Cohorts'!CV$178:'Monthly Cohorts'!CV$341)</f>
        <v>0</v>
      </c>
      <c r="CW22" s="58">
        <f ca="1">+SUMIF('Monthly Cohorts'!$E$178:'Monthly Cohorts'!$E$341,$D22,'Monthly Cohorts'!CW$178:'Monthly Cohorts'!CW$341)</f>
        <v>0</v>
      </c>
      <c r="CX22" s="58">
        <f ca="1">+SUMIF('Monthly Cohorts'!$E$178:'Monthly Cohorts'!$E$341,$D22,'Monthly Cohorts'!CX$178:'Monthly Cohorts'!CX$341)</f>
        <v>0</v>
      </c>
      <c r="CY22" s="58">
        <f ca="1">+SUMIF('Monthly Cohorts'!$E$178:'Monthly Cohorts'!$E$341,$D22,'Monthly Cohorts'!CY$178:'Monthly Cohorts'!CY$341)</f>
        <v>0</v>
      </c>
      <c r="CZ22" s="58">
        <f ca="1">+SUMIF('Monthly Cohorts'!$E$178:'Monthly Cohorts'!$E$341,$D22,'Monthly Cohorts'!CZ$178:'Monthly Cohorts'!CZ$341)</f>
        <v>0</v>
      </c>
      <c r="DA22" s="58">
        <f ca="1">+SUMIF('Monthly Cohorts'!$E$178:'Monthly Cohorts'!$E$341,$D22,'Monthly Cohorts'!DA$178:'Monthly Cohorts'!DA$341)</f>
        <v>0</v>
      </c>
      <c r="DB22" s="58">
        <f ca="1">+SUMIF('Monthly Cohorts'!$E$178:'Monthly Cohorts'!$E$341,$D22,'Monthly Cohorts'!DB$178:'Monthly Cohorts'!DB$341)</f>
        <v>0</v>
      </c>
      <c r="DC22" s="58">
        <f ca="1">+SUMIF('Monthly Cohorts'!$E$178:'Monthly Cohorts'!$E$341,$D22,'Monthly Cohorts'!DC$178:'Monthly Cohorts'!DC$341)</f>
        <v>0</v>
      </c>
      <c r="DD22" s="58">
        <f ca="1">+SUMIF('Monthly Cohorts'!$E$178:'Monthly Cohorts'!$E$341,$D22,'Monthly Cohorts'!DD$178:'Monthly Cohorts'!DD$341)</f>
        <v>0</v>
      </c>
      <c r="DE22" s="58">
        <f ca="1">+SUMIF('Monthly Cohorts'!$E$178:'Monthly Cohorts'!$E$341,$D22,'Monthly Cohorts'!DE$178:'Monthly Cohorts'!DE$341)</f>
        <v>0</v>
      </c>
      <c r="DF22" s="58">
        <f ca="1">+SUMIF('Monthly Cohorts'!$E$178:'Monthly Cohorts'!$E$341,$D22,'Monthly Cohorts'!DF$178:'Monthly Cohorts'!DF$341)</f>
        <v>0</v>
      </c>
      <c r="DG22" s="58">
        <f ca="1">+SUMIF('Monthly Cohorts'!$E$178:'Monthly Cohorts'!$E$341,$D22,'Monthly Cohorts'!DG$178:'Monthly Cohorts'!DG$341)</f>
        <v>0</v>
      </c>
      <c r="DH22" s="58">
        <f ca="1">+SUMIF('Monthly Cohorts'!$E$178:'Monthly Cohorts'!$E$341,$D22,'Monthly Cohorts'!DH$178:'Monthly Cohorts'!DH$341)</f>
        <v>0</v>
      </c>
      <c r="DI22" s="58">
        <f ca="1">+SUMIF('Monthly Cohorts'!$E$178:'Monthly Cohorts'!$E$341,$D22,'Monthly Cohorts'!DI$178:'Monthly Cohorts'!DI$341)</f>
        <v>0</v>
      </c>
      <c r="DJ22" s="58">
        <f ca="1">+SUMIF('Monthly Cohorts'!$E$178:'Monthly Cohorts'!$E$341,$D22,'Monthly Cohorts'!DJ$178:'Monthly Cohorts'!DJ$341)</f>
        <v>0</v>
      </c>
      <c r="DK22" s="58">
        <f ca="1">+SUMIF('Monthly Cohorts'!$E$178:'Monthly Cohorts'!$E$341,$D22,'Monthly Cohorts'!DK$178:'Monthly Cohorts'!DK$341)</f>
        <v>0</v>
      </c>
      <c r="DL22" s="58">
        <f ca="1">+SUMIF('Monthly Cohorts'!$E$178:'Monthly Cohorts'!$E$341,$D22,'Monthly Cohorts'!DL$178:'Monthly Cohorts'!DL$341)</f>
        <v>0</v>
      </c>
      <c r="DM22" s="58">
        <f ca="1">+SUMIF('Monthly Cohorts'!$E$178:'Monthly Cohorts'!$E$341,$D22,'Monthly Cohorts'!DM$178:'Monthly Cohorts'!DM$341)</f>
        <v>0</v>
      </c>
      <c r="DN22" s="58">
        <f ca="1">+SUMIF('Monthly Cohorts'!$E$178:'Monthly Cohorts'!$E$341,$D22,'Monthly Cohorts'!DN$178:'Monthly Cohorts'!DN$341)</f>
        <v>0</v>
      </c>
      <c r="DO22" s="58">
        <f ca="1">+SUMIF('Monthly Cohorts'!$E$178:'Monthly Cohorts'!$E$341,$D22,'Monthly Cohorts'!DO$178:'Monthly Cohorts'!DO$341)</f>
        <v>0</v>
      </c>
      <c r="DP22" s="58">
        <f ca="1">+SUMIF('Monthly Cohorts'!$E$178:'Monthly Cohorts'!$E$341,$D22,'Monthly Cohorts'!DP$178:'Monthly Cohorts'!DP$341)</f>
        <v>0</v>
      </c>
      <c r="DQ22" s="58">
        <f ca="1">+SUMIF('Monthly Cohorts'!$E$178:'Monthly Cohorts'!$E$341,$D22,'Monthly Cohorts'!DQ$178:'Monthly Cohorts'!DQ$341)</f>
        <v>0</v>
      </c>
      <c r="DR22" s="58">
        <f ca="1">+SUMIF('Monthly Cohorts'!$E$178:'Monthly Cohorts'!$E$341,$D22,'Monthly Cohorts'!DR$178:'Monthly Cohorts'!DR$341)</f>
        <v>0</v>
      </c>
      <c r="DS22" s="58">
        <f ca="1">+SUMIF('Monthly Cohorts'!$E$178:'Monthly Cohorts'!$E$341,$D22,'Monthly Cohorts'!DS$178:'Monthly Cohorts'!DS$341)</f>
        <v>0</v>
      </c>
      <c r="DT22" s="58">
        <f ca="1">+SUMIF('Monthly Cohorts'!$E$178:'Monthly Cohorts'!$E$341,$D22,'Monthly Cohorts'!DT$178:'Monthly Cohorts'!DT$341)</f>
        <v>0</v>
      </c>
      <c r="DU22" s="58">
        <f ca="1">+SUMIF('Monthly Cohorts'!$E$178:'Monthly Cohorts'!$E$341,$D22,'Monthly Cohorts'!DU$178:'Monthly Cohorts'!DU$341)</f>
        <v>0</v>
      </c>
      <c r="DV22" s="58">
        <f ca="1">+SUMIF('Monthly Cohorts'!$E$178:'Monthly Cohorts'!$E$341,$D22,'Monthly Cohorts'!DV$178:'Monthly Cohorts'!DV$341)</f>
        <v>0</v>
      </c>
      <c r="DW22" s="58">
        <f ca="1">+SUMIF('Monthly Cohorts'!$E$178:'Monthly Cohorts'!$E$341,$D22,'Monthly Cohorts'!DW$178:'Monthly Cohorts'!DW$341)</f>
        <v>0</v>
      </c>
      <c r="DX22" s="58">
        <f ca="1">+SUMIF('Monthly Cohorts'!$E$178:'Monthly Cohorts'!$E$341,$D22,'Monthly Cohorts'!DX$178:'Monthly Cohorts'!DX$341)</f>
        <v>0</v>
      </c>
      <c r="DY22" s="58">
        <f ca="1">+SUMIF('Monthly Cohorts'!$E$178:'Monthly Cohorts'!$E$341,$D22,'Monthly Cohorts'!DY$178:'Monthly Cohorts'!DY$341)</f>
        <v>0</v>
      </c>
      <c r="DZ22" s="58">
        <f ca="1">+SUMIF('Monthly Cohorts'!$E$178:'Monthly Cohorts'!$E$341,$D22,'Monthly Cohorts'!DZ$178:'Monthly Cohorts'!DZ$341)</f>
        <v>0</v>
      </c>
      <c r="EA22" s="58">
        <f ca="1">+SUMIF('Monthly Cohorts'!$E$178:'Monthly Cohorts'!$E$341,$D22,'Monthly Cohorts'!EA$178:'Monthly Cohorts'!EA$341)</f>
        <v>0</v>
      </c>
      <c r="EB22" s="58">
        <f ca="1">+SUMIF('Monthly Cohorts'!$E$178:'Monthly Cohorts'!$E$341,$D22,'Monthly Cohorts'!EB$178:'Monthly Cohorts'!EB$341)</f>
        <v>0</v>
      </c>
      <c r="EC22" s="58">
        <f ca="1">+SUMIF('Monthly Cohorts'!$E$178:'Monthly Cohorts'!$E$341,$D22,'Monthly Cohorts'!EC$178:'Monthly Cohorts'!EC$341)</f>
        <v>0</v>
      </c>
      <c r="ED22" s="58">
        <f ca="1">+SUMIF('Monthly Cohorts'!$E$178:'Monthly Cohorts'!$E$341,$D22,'Monthly Cohorts'!ED$178:'Monthly Cohorts'!ED$341)</f>
        <v>0</v>
      </c>
      <c r="EE22" s="58">
        <f ca="1">+SUMIF('Monthly Cohorts'!$E$178:'Monthly Cohorts'!$E$341,$D22,'Monthly Cohorts'!EE$178:'Monthly Cohorts'!EE$341)</f>
        <v>0</v>
      </c>
      <c r="EF22" s="58">
        <f ca="1">+SUMIF('Monthly Cohorts'!$E$178:'Monthly Cohorts'!$E$341,$D22,'Monthly Cohorts'!EF$178:'Monthly Cohorts'!EF$341)</f>
        <v>0</v>
      </c>
      <c r="EG22" s="58">
        <f ca="1">+SUMIF('Monthly Cohorts'!$E$178:'Monthly Cohorts'!$E$341,$D22,'Monthly Cohorts'!EG$178:'Monthly Cohorts'!EG$341)</f>
        <v>0</v>
      </c>
      <c r="EH22" s="58">
        <f ca="1">+SUMIF('Monthly Cohorts'!$E$178:'Monthly Cohorts'!$E$341,$D22,'Monthly Cohorts'!EH$178:'Monthly Cohorts'!EH$341)</f>
        <v>0</v>
      </c>
      <c r="EI22" s="58">
        <f ca="1">+SUMIF('Monthly Cohorts'!$E$178:'Monthly Cohorts'!$E$341,$D22,'Monthly Cohorts'!EI$178:'Monthly Cohorts'!EI$341)</f>
        <v>0</v>
      </c>
      <c r="EJ22" s="58">
        <f ca="1">+SUMIF('Monthly Cohorts'!$E$178:'Monthly Cohorts'!$E$341,$D22,'Monthly Cohorts'!EJ$178:'Monthly Cohorts'!EJ$341)</f>
        <v>0</v>
      </c>
      <c r="EK22" s="58">
        <f ca="1">+SUMIF('Monthly Cohorts'!$E$178:'Monthly Cohorts'!$E$341,$D22,'Monthly Cohorts'!EK$178:'Monthly Cohorts'!EK$341)</f>
        <v>0</v>
      </c>
      <c r="EL22" s="58">
        <f ca="1">+SUMIF('Monthly Cohorts'!$E$178:'Monthly Cohorts'!$E$341,$D22,'Monthly Cohorts'!EL$178:'Monthly Cohorts'!EL$341)</f>
        <v>0</v>
      </c>
      <c r="EM22" s="58">
        <f ca="1">+SUMIF('Monthly Cohorts'!$E$178:'Monthly Cohorts'!$E$341,$D22,'Monthly Cohorts'!EM$178:'Monthly Cohorts'!EM$341)</f>
        <v>0</v>
      </c>
      <c r="EN22" s="58">
        <f ca="1">+SUMIF('Monthly Cohorts'!$E$178:'Monthly Cohorts'!$E$341,$D22,'Monthly Cohorts'!EN$178:'Monthly Cohorts'!EN$341)</f>
        <v>0</v>
      </c>
      <c r="EO22" s="58">
        <f ca="1">+SUMIF('Monthly Cohorts'!$E$178:'Monthly Cohorts'!$E$341,$D22,'Monthly Cohorts'!EO$178:'Monthly Cohorts'!EO$341)</f>
        <v>0</v>
      </c>
      <c r="EP22" s="58">
        <f ca="1">+SUMIF('Monthly Cohorts'!$E$178:'Monthly Cohorts'!$E$341,$D22,'Monthly Cohorts'!EP$178:'Monthly Cohorts'!EP$341)</f>
        <v>0</v>
      </c>
      <c r="EQ22" s="58">
        <f ca="1">+SUMIF('Monthly Cohorts'!$E$178:'Monthly Cohorts'!$E$341,$D22,'Monthly Cohorts'!EQ$178:'Monthly Cohorts'!EQ$341)</f>
        <v>0</v>
      </c>
      <c r="ER22" s="58">
        <f ca="1">+SUMIF('Monthly Cohorts'!$E$178:'Monthly Cohorts'!$E$341,$D22,'Monthly Cohorts'!ER$178:'Monthly Cohorts'!ER$341)</f>
        <v>0</v>
      </c>
      <c r="ES22" s="58">
        <f ca="1">+SUMIF('Monthly Cohorts'!$E$178:'Monthly Cohorts'!$E$341,$D22,'Monthly Cohorts'!ES$178:'Monthly Cohorts'!ES$341)</f>
        <v>0</v>
      </c>
      <c r="ET22" s="58">
        <f ca="1">+SUMIF('Monthly Cohorts'!$E$178:'Monthly Cohorts'!$E$341,$D22,'Monthly Cohorts'!ET$178:'Monthly Cohorts'!ET$341)</f>
        <v>0</v>
      </c>
      <c r="EU22" s="58">
        <f ca="1">+SUMIF('Monthly Cohorts'!$E$178:'Monthly Cohorts'!$E$341,$D22,'Monthly Cohorts'!EU$178:'Monthly Cohorts'!EU$341)</f>
        <v>0</v>
      </c>
      <c r="EV22" s="58">
        <f ca="1">+SUMIF('Monthly Cohorts'!$E$178:'Monthly Cohorts'!$E$341,$D22,'Monthly Cohorts'!EV$178:'Monthly Cohorts'!EV$341)</f>
        <v>0</v>
      </c>
      <c r="EW22" s="58">
        <f ca="1">+SUMIF('Monthly Cohorts'!$E$178:'Monthly Cohorts'!$E$341,$D22,'Monthly Cohorts'!EW$178:'Monthly Cohorts'!EW$341)</f>
        <v>0</v>
      </c>
      <c r="EX22" s="58">
        <f ca="1">+SUMIF('Monthly Cohorts'!$E$178:'Monthly Cohorts'!$E$341,$D22,'Monthly Cohorts'!EX$178:'Monthly Cohorts'!EX$341)</f>
        <v>0</v>
      </c>
      <c r="EY22" s="58">
        <f ca="1">+SUMIF('Monthly Cohorts'!$E$178:'Monthly Cohorts'!$E$341,$D22,'Monthly Cohorts'!EY$178:'Monthly Cohorts'!EY$341)</f>
        <v>0</v>
      </c>
      <c r="EZ22" s="58">
        <f ca="1">+SUMIF('Monthly Cohorts'!$E$178:'Monthly Cohorts'!$E$341,$D22,'Monthly Cohorts'!EZ$178:'Monthly Cohorts'!EZ$341)</f>
        <v>0</v>
      </c>
      <c r="FA22" s="58">
        <f ca="1">+SUMIF('Monthly Cohorts'!$E$178:'Monthly Cohorts'!$E$341,$D22,'Monthly Cohorts'!FA$178:'Monthly Cohorts'!FA$341)</f>
        <v>0</v>
      </c>
      <c r="FB22" s="58">
        <f ca="1">+SUMIF('Monthly Cohorts'!$E$178:'Monthly Cohorts'!$E$341,$D22,'Monthly Cohorts'!FB$178:'Monthly Cohorts'!FB$341)</f>
        <v>0</v>
      </c>
      <c r="FC22" s="58">
        <f ca="1">+SUMIF('Monthly Cohorts'!$E$178:'Monthly Cohorts'!$E$341,$D22,'Monthly Cohorts'!FC$178:'Monthly Cohorts'!FC$341)</f>
        <v>0</v>
      </c>
      <c r="FD22" s="58">
        <f ca="1">+SUMIF('Monthly Cohorts'!$E$178:'Monthly Cohorts'!$E$341,$D22,'Monthly Cohorts'!FD$178:'Monthly Cohorts'!FD$341)</f>
        <v>0</v>
      </c>
      <c r="FE22" s="58">
        <f ca="1">+SUMIF('Monthly Cohorts'!$E$178:'Monthly Cohorts'!$E$341,$D22,'Monthly Cohorts'!FE$178:'Monthly Cohorts'!FE$341)</f>
        <v>0</v>
      </c>
      <c r="FF22" s="58">
        <f ca="1">+SUMIF('Monthly Cohorts'!$E$178:'Monthly Cohorts'!$E$341,$D22,'Monthly Cohorts'!FF$178:'Monthly Cohorts'!FF$341)</f>
        <v>0</v>
      </c>
      <c r="FG22" s="58">
        <f ca="1">+SUMIF('Monthly Cohorts'!$E$178:'Monthly Cohorts'!$E$341,$D22,'Monthly Cohorts'!FG$178:'Monthly Cohorts'!FG$341)</f>
        <v>0</v>
      </c>
      <c r="FH22" s="58">
        <f ca="1">+SUMIF('Monthly Cohorts'!$E$178:'Monthly Cohorts'!$E$341,$D22,'Monthly Cohorts'!FH$178:'Monthly Cohorts'!FH$341)</f>
        <v>0</v>
      </c>
      <c r="FI22" s="58">
        <f ca="1">+SUMIF('Monthly Cohorts'!$E$178:'Monthly Cohorts'!$E$341,$D22,'Monthly Cohorts'!FI$178:'Monthly Cohorts'!FI$341)</f>
        <v>0</v>
      </c>
      <c r="FJ22" s="58">
        <f ca="1">+SUMIF('Monthly Cohorts'!$E$178:'Monthly Cohorts'!$E$341,$D22,'Monthly Cohorts'!FJ$178:'Monthly Cohorts'!FJ$341)</f>
        <v>0</v>
      </c>
      <c r="FK22" s="58">
        <f ca="1">+SUMIF('Monthly Cohorts'!$E$178:'Monthly Cohorts'!$E$341,$D22,'Monthly Cohorts'!FK$178:'Monthly Cohorts'!FK$341)</f>
        <v>0</v>
      </c>
      <c r="FL22" s="58">
        <f ca="1">+SUMIF('Monthly Cohorts'!$E$178:'Monthly Cohorts'!$E$341,$D22,'Monthly Cohorts'!FL$178:'Monthly Cohorts'!FL$341)</f>
        <v>0</v>
      </c>
      <c r="FM22" s="58">
        <f ca="1">+SUMIF('Monthly Cohorts'!$E$178:'Monthly Cohorts'!$E$341,$D22,'Monthly Cohorts'!FM$178:'Monthly Cohorts'!FM$341)</f>
        <v>0</v>
      </c>
      <c r="FN22" s="58">
        <f ca="1">+SUMIF('Monthly Cohorts'!$E$178:'Monthly Cohorts'!$E$341,$D22,'Monthly Cohorts'!FN$178:'Monthly Cohorts'!FN$341)</f>
        <v>0</v>
      </c>
      <c r="FO22" s="13"/>
    </row>
    <row r="23" spans="1:171" outlineLevel="1" x14ac:dyDescent="0.3">
      <c r="A23" s="13"/>
      <c r="B23" s="13"/>
      <c r="C23" s="13"/>
      <c r="D23" s="59">
        <f t="shared" si="11"/>
        <v>2023</v>
      </c>
      <c r="E23" s="25"/>
      <c r="F23" s="20"/>
      <c r="G23" s="58">
        <f ca="1">+SUMIF('Monthly Cohorts'!$E$178:'Monthly Cohorts'!$E$341,$D23,'Monthly Cohorts'!G$178:'Monthly Cohorts'!G$341)</f>
        <v>0</v>
      </c>
      <c r="H23" s="58">
        <f ca="1">+SUMIF('Monthly Cohorts'!$E$178:'Monthly Cohorts'!$E$341,$D23,'Monthly Cohorts'!H$178:'Monthly Cohorts'!H$341)</f>
        <v>0</v>
      </c>
      <c r="I23" s="58">
        <f ca="1">+SUMIF('Monthly Cohorts'!$E$178:'Monthly Cohorts'!$E$341,$D23,'Monthly Cohorts'!I$178:'Monthly Cohorts'!I$341)</f>
        <v>0</v>
      </c>
      <c r="J23" s="58">
        <f ca="1">+SUMIF('Monthly Cohorts'!$E$178:'Monthly Cohorts'!$E$341,$D23,'Monthly Cohorts'!J$178:'Monthly Cohorts'!J$341)</f>
        <v>0</v>
      </c>
      <c r="K23" s="58">
        <f ca="1">+SUMIF('Monthly Cohorts'!$E$178:'Monthly Cohorts'!$E$341,$D23,'Monthly Cohorts'!K$178:'Monthly Cohorts'!K$341)</f>
        <v>0</v>
      </c>
      <c r="L23" s="58">
        <f ca="1">+SUMIF('Monthly Cohorts'!$E$178:'Monthly Cohorts'!$E$341,$D23,'Monthly Cohorts'!L$178:'Monthly Cohorts'!L$341)</f>
        <v>0</v>
      </c>
      <c r="M23" s="58">
        <f ca="1">+SUMIF('Monthly Cohorts'!$E$178:'Monthly Cohorts'!$E$341,$D23,'Monthly Cohorts'!M$178:'Monthly Cohorts'!M$341)</f>
        <v>0</v>
      </c>
      <c r="N23" s="58">
        <f ca="1">+SUMIF('Monthly Cohorts'!$E$178:'Monthly Cohorts'!$E$341,$D23,'Monthly Cohorts'!N$178:'Monthly Cohorts'!N$341)</f>
        <v>0</v>
      </c>
      <c r="O23" s="58">
        <f ca="1">+SUMIF('Monthly Cohorts'!$E$178:'Monthly Cohorts'!$E$341,$D23,'Monthly Cohorts'!O$178:'Monthly Cohorts'!O$341)</f>
        <v>0</v>
      </c>
      <c r="P23" s="58">
        <f ca="1">+SUMIF('Monthly Cohorts'!$E$178:'Monthly Cohorts'!$E$341,$D23,'Monthly Cohorts'!P$178:'Monthly Cohorts'!P$341)</f>
        <v>0</v>
      </c>
      <c r="Q23" s="58">
        <f ca="1">+SUMIF('Monthly Cohorts'!$E$178:'Monthly Cohorts'!$E$341,$D23,'Monthly Cohorts'!Q$178:'Monthly Cohorts'!Q$341)</f>
        <v>0</v>
      </c>
      <c r="R23" s="58">
        <f ca="1">+SUMIF('Monthly Cohorts'!$E$178:'Monthly Cohorts'!$E$341,$D23,'Monthly Cohorts'!R$178:'Monthly Cohorts'!R$341)</f>
        <v>0</v>
      </c>
      <c r="S23" s="58">
        <f ca="1">+SUMIF('Monthly Cohorts'!$E$178:'Monthly Cohorts'!$E$341,$D23,'Monthly Cohorts'!S$178:'Monthly Cohorts'!S$341)</f>
        <v>0</v>
      </c>
      <c r="T23" s="58">
        <f ca="1">+SUMIF('Monthly Cohorts'!$E$178:'Monthly Cohorts'!$E$341,$D23,'Monthly Cohorts'!T$178:'Monthly Cohorts'!T$341)</f>
        <v>0</v>
      </c>
      <c r="U23" s="58">
        <f ca="1">+SUMIF('Monthly Cohorts'!$E$178:'Monthly Cohorts'!$E$341,$D23,'Monthly Cohorts'!U$178:'Monthly Cohorts'!U$341)</f>
        <v>0</v>
      </c>
      <c r="V23" s="58">
        <f ca="1">+SUMIF('Monthly Cohorts'!$E$178:'Monthly Cohorts'!$E$341,$D23,'Monthly Cohorts'!V$178:'Monthly Cohorts'!V$341)</f>
        <v>0</v>
      </c>
      <c r="W23" s="58">
        <f ca="1">+SUMIF('Monthly Cohorts'!$E$178:'Monthly Cohorts'!$E$341,$D23,'Monthly Cohorts'!W$178:'Monthly Cohorts'!W$341)</f>
        <v>0</v>
      </c>
      <c r="X23" s="58">
        <f ca="1">+SUMIF('Monthly Cohorts'!$E$178:'Monthly Cohorts'!$E$341,$D23,'Monthly Cohorts'!X$178:'Monthly Cohorts'!X$341)</f>
        <v>0</v>
      </c>
      <c r="Y23" s="58">
        <f ca="1">+SUMIF('Monthly Cohorts'!$E$178:'Monthly Cohorts'!$E$341,$D23,'Monthly Cohorts'!Y$178:'Monthly Cohorts'!Y$341)</f>
        <v>0</v>
      </c>
      <c r="Z23" s="58">
        <f ca="1">+SUMIF('Monthly Cohorts'!$E$178:'Monthly Cohorts'!$E$341,$D23,'Monthly Cohorts'!Z$178:'Monthly Cohorts'!Z$341)</f>
        <v>0</v>
      </c>
      <c r="AA23" s="58">
        <f ca="1">+SUMIF('Monthly Cohorts'!$E$178:'Monthly Cohorts'!$E$341,$D23,'Monthly Cohorts'!AA$178:'Monthly Cohorts'!AA$341)</f>
        <v>0</v>
      </c>
      <c r="AB23" s="58">
        <f ca="1">+SUMIF('Monthly Cohorts'!$E$178:'Monthly Cohorts'!$E$341,$D23,'Monthly Cohorts'!AB$178:'Monthly Cohorts'!AB$341)</f>
        <v>0</v>
      </c>
      <c r="AC23" s="58">
        <f ca="1">+SUMIF('Monthly Cohorts'!$E$178:'Monthly Cohorts'!$E$341,$D23,'Monthly Cohorts'!AC$178:'Monthly Cohorts'!AC$341)</f>
        <v>0</v>
      </c>
      <c r="AD23" s="58">
        <f ca="1">+SUMIF('Monthly Cohorts'!$E$178:'Monthly Cohorts'!$E$341,$D23,'Monthly Cohorts'!AD$178:'Monthly Cohorts'!AD$341)</f>
        <v>0</v>
      </c>
      <c r="AE23" s="58">
        <f ca="1">+SUMIF('Monthly Cohorts'!$E$178:'Monthly Cohorts'!$E$341,$D23,'Monthly Cohorts'!AE$178:'Monthly Cohorts'!AE$341)</f>
        <v>0</v>
      </c>
      <c r="AF23" s="58">
        <f ca="1">+SUMIF('Monthly Cohorts'!$E$178:'Monthly Cohorts'!$E$341,$D23,'Monthly Cohorts'!AF$178:'Monthly Cohorts'!AF$341)</f>
        <v>0</v>
      </c>
      <c r="AG23" s="58">
        <f ca="1">+SUMIF('Monthly Cohorts'!$E$178:'Monthly Cohorts'!$E$341,$D23,'Monthly Cohorts'!AG$178:'Monthly Cohorts'!AG$341)</f>
        <v>0</v>
      </c>
      <c r="AH23" s="58">
        <f ca="1">+SUMIF('Monthly Cohorts'!$E$178:'Monthly Cohorts'!$E$341,$D23,'Monthly Cohorts'!AH$178:'Monthly Cohorts'!AH$341)</f>
        <v>0</v>
      </c>
      <c r="AI23" s="58">
        <f ca="1">+SUMIF('Monthly Cohorts'!$E$178:'Monthly Cohorts'!$E$341,$D23,'Monthly Cohorts'!AI$178:'Monthly Cohorts'!AI$341)</f>
        <v>0</v>
      </c>
      <c r="AJ23" s="58">
        <f ca="1">+SUMIF('Monthly Cohorts'!$E$178:'Monthly Cohorts'!$E$341,$D23,'Monthly Cohorts'!AJ$178:'Monthly Cohorts'!AJ$341)</f>
        <v>0</v>
      </c>
      <c r="AK23" s="58">
        <f ca="1">+SUMIF('Monthly Cohorts'!$E$178:'Monthly Cohorts'!$E$341,$D23,'Monthly Cohorts'!AK$178:'Monthly Cohorts'!AK$341)</f>
        <v>0</v>
      </c>
      <c r="AL23" s="58">
        <f ca="1">+SUMIF('Monthly Cohorts'!$E$178:'Monthly Cohorts'!$E$341,$D23,'Monthly Cohorts'!AL$178:'Monthly Cohorts'!AL$341)</f>
        <v>0</v>
      </c>
      <c r="AM23" s="58">
        <f ca="1">+SUMIF('Monthly Cohorts'!$E$178:'Monthly Cohorts'!$E$341,$D23,'Monthly Cohorts'!AM$178:'Monthly Cohorts'!AM$341)</f>
        <v>0</v>
      </c>
      <c r="AN23" s="58">
        <f ca="1">+SUMIF('Monthly Cohorts'!$E$178:'Monthly Cohorts'!$E$341,$D23,'Monthly Cohorts'!AN$178:'Monthly Cohorts'!AN$341)</f>
        <v>0</v>
      </c>
      <c r="AO23" s="58">
        <f ca="1">+SUMIF('Monthly Cohorts'!$E$178:'Monthly Cohorts'!$E$341,$D23,'Monthly Cohorts'!AO$178:'Monthly Cohorts'!AO$341)</f>
        <v>0</v>
      </c>
      <c r="AP23" s="58">
        <f ca="1">+SUMIF('Monthly Cohorts'!$E$178:'Monthly Cohorts'!$E$341,$D23,'Monthly Cohorts'!AP$178:'Monthly Cohorts'!AP$341)</f>
        <v>0</v>
      </c>
      <c r="AQ23" s="58">
        <f ca="1">+SUMIF('Monthly Cohorts'!$E$178:'Monthly Cohorts'!$E$341,$D23,'Monthly Cohorts'!AQ$178:'Monthly Cohorts'!AQ$341)</f>
        <v>0</v>
      </c>
      <c r="AR23" s="58">
        <f ca="1">+SUMIF('Monthly Cohorts'!$E$178:'Monthly Cohorts'!$E$341,$D23,'Monthly Cohorts'!AR$178:'Monthly Cohorts'!AR$341)</f>
        <v>0</v>
      </c>
      <c r="AS23" s="58">
        <f ca="1">+SUMIF('Monthly Cohorts'!$E$178:'Monthly Cohorts'!$E$341,$D23,'Monthly Cohorts'!AS$178:'Monthly Cohorts'!AS$341)</f>
        <v>0</v>
      </c>
      <c r="AT23" s="58">
        <f ca="1">+SUMIF('Monthly Cohorts'!$E$178:'Monthly Cohorts'!$E$341,$D23,'Monthly Cohorts'!AT$178:'Monthly Cohorts'!AT$341)</f>
        <v>0</v>
      </c>
      <c r="AU23" s="58">
        <f ca="1">+SUMIF('Monthly Cohorts'!$E$178:'Monthly Cohorts'!$E$341,$D23,'Monthly Cohorts'!AU$178:'Monthly Cohorts'!AU$341)</f>
        <v>0</v>
      </c>
      <c r="AV23" s="58">
        <f ca="1">+SUMIF('Monthly Cohorts'!$E$178:'Monthly Cohorts'!$E$341,$D23,'Monthly Cohorts'!AV$178:'Monthly Cohorts'!AV$341)</f>
        <v>0</v>
      </c>
      <c r="AW23" s="58">
        <f ca="1">+SUMIF('Monthly Cohorts'!$E$178:'Monthly Cohorts'!$E$341,$D23,'Monthly Cohorts'!AW$178:'Monthly Cohorts'!AW$341)</f>
        <v>0</v>
      </c>
      <c r="AX23" s="58">
        <f ca="1">+SUMIF('Monthly Cohorts'!$E$178:'Monthly Cohorts'!$E$341,$D23,'Monthly Cohorts'!AX$178:'Monthly Cohorts'!AX$341)</f>
        <v>0</v>
      </c>
      <c r="AY23" s="58">
        <f ca="1">+SUMIF('Monthly Cohorts'!$E$178:'Monthly Cohorts'!$E$341,$D23,'Monthly Cohorts'!AY$178:'Monthly Cohorts'!AY$341)</f>
        <v>0</v>
      </c>
      <c r="AZ23" s="58">
        <f ca="1">+SUMIF('Monthly Cohorts'!$E$178:'Monthly Cohorts'!$E$341,$D23,'Monthly Cohorts'!AZ$178:'Monthly Cohorts'!AZ$341)</f>
        <v>0</v>
      </c>
      <c r="BA23" s="58">
        <f ca="1">+SUMIF('Monthly Cohorts'!$E$178:'Monthly Cohorts'!$E$341,$D23,'Monthly Cohorts'!BA$178:'Monthly Cohorts'!BA$341)</f>
        <v>0</v>
      </c>
      <c r="BB23" s="58">
        <f ca="1">+SUMIF('Monthly Cohorts'!$E$178:'Monthly Cohorts'!$E$341,$D23,'Monthly Cohorts'!BB$178:'Monthly Cohorts'!BB$341)</f>
        <v>0</v>
      </c>
      <c r="BC23" s="58">
        <f ca="1">+SUMIF('Monthly Cohorts'!$E$178:'Monthly Cohorts'!$E$341,$D23,'Monthly Cohorts'!BC$178:'Monthly Cohorts'!BC$341)</f>
        <v>0</v>
      </c>
      <c r="BD23" s="58">
        <f ca="1">+SUMIF('Monthly Cohorts'!$E$178:'Monthly Cohorts'!$E$341,$D23,'Monthly Cohorts'!BD$178:'Monthly Cohorts'!BD$341)</f>
        <v>0</v>
      </c>
      <c r="BE23" s="58">
        <f ca="1">+SUMIF('Monthly Cohorts'!$E$178:'Monthly Cohorts'!$E$341,$D23,'Monthly Cohorts'!BE$178:'Monthly Cohorts'!BE$341)</f>
        <v>0</v>
      </c>
      <c r="BF23" s="58">
        <f ca="1">+SUMIF('Monthly Cohorts'!$E$178:'Monthly Cohorts'!$E$341,$D23,'Monthly Cohorts'!BF$178:'Monthly Cohorts'!BF$341)</f>
        <v>0</v>
      </c>
      <c r="BG23" s="58">
        <f ca="1">+SUMIF('Monthly Cohorts'!$E$178:'Monthly Cohorts'!$E$341,$D23,'Monthly Cohorts'!BG$178:'Monthly Cohorts'!BG$341)</f>
        <v>0</v>
      </c>
      <c r="BH23" s="58">
        <f ca="1">+SUMIF('Monthly Cohorts'!$E$178:'Monthly Cohorts'!$E$341,$D23,'Monthly Cohorts'!BH$178:'Monthly Cohorts'!BH$341)</f>
        <v>0</v>
      </c>
      <c r="BI23" s="58">
        <f ca="1">+SUMIF('Monthly Cohorts'!$E$178:'Monthly Cohorts'!$E$341,$D23,'Monthly Cohorts'!BI$178:'Monthly Cohorts'!BI$341)</f>
        <v>0</v>
      </c>
      <c r="BJ23" s="58">
        <f ca="1">+SUMIF('Monthly Cohorts'!$E$178:'Monthly Cohorts'!$E$341,$D23,'Monthly Cohorts'!BJ$178:'Monthly Cohorts'!BJ$341)</f>
        <v>0</v>
      </c>
      <c r="BK23" s="58">
        <f ca="1">+SUMIF('Monthly Cohorts'!$E$178:'Monthly Cohorts'!$E$341,$D23,'Monthly Cohorts'!BK$178:'Monthly Cohorts'!BK$341)</f>
        <v>0</v>
      </c>
      <c r="BL23" s="58">
        <f ca="1">+SUMIF('Monthly Cohorts'!$E$178:'Monthly Cohorts'!$E$341,$D23,'Monthly Cohorts'!BL$178:'Monthly Cohorts'!BL$341)</f>
        <v>0</v>
      </c>
      <c r="BM23" s="58">
        <f ca="1">+SUMIF('Monthly Cohorts'!$E$178:'Monthly Cohorts'!$E$341,$D23,'Monthly Cohorts'!BM$178:'Monthly Cohorts'!BM$341)</f>
        <v>0</v>
      </c>
      <c r="BN23" s="58">
        <f ca="1">+SUMIF('Monthly Cohorts'!$E$178:'Monthly Cohorts'!$E$341,$D23,'Monthly Cohorts'!BN$178:'Monthly Cohorts'!BN$341)</f>
        <v>0</v>
      </c>
      <c r="BO23" s="58">
        <f ca="1">+SUMIF('Monthly Cohorts'!$E$178:'Monthly Cohorts'!$E$341,$D23,'Monthly Cohorts'!BO$178:'Monthly Cohorts'!BO$341)</f>
        <v>0</v>
      </c>
      <c r="BP23" s="58">
        <f ca="1">+SUMIF('Monthly Cohorts'!$E$178:'Monthly Cohorts'!$E$341,$D23,'Monthly Cohorts'!BP$178:'Monthly Cohorts'!BP$341)</f>
        <v>0</v>
      </c>
      <c r="BQ23" s="58">
        <f ca="1">+SUMIF('Monthly Cohorts'!$E$178:'Monthly Cohorts'!$E$341,$D23,'Monthly Cohorts'!BQ$178:'Monthly Cohorts'!BQ$341)</f>
        <v>0</v>
      </c>
      <c r="BR23" s="58">
        <f ca="1">+SUMIF('Monthly Cohorts'!$E$178:'Monthly Cohorts'!$E$341,$D23,'Monthly Cohorts'!BR$178:'Monthly Cohorts'!BR$341)</f>
        <v>0</v>
      </c>
      <c r="BS23" s="58">
        <f ca="1">+SUMIF('Monthly Cohorts'!$E$178:'Monthly Cohorts'!$E$341,$D23,'Monthly Cohorts'!BS$178:'Monthly Cohorts'!BS$341)</f>
        <v>0</v>
      </c>
      <c r="BT23" s="58">
        <f ca="1">+SUMIF('Monthly Cohorts'!$E$178:'Monthly Cohorts'!$E$341,$D23,'Monthly Cohorts'!BT$178:'Monthly Cohorts'!BT$341)</f>
        <v>0</v>
      </c>
      <c r="BU23" s="58">
        <f ca="1">+SUMIF('Monthly Cohorts'!$E$178:'Monthly Cohorts'!$E$341,$D23,'Monthly Cohorts'!BU$178:'Monthly Cohorts'!BU$341)</f>
        <v>0</v>
      </c>
      <c r="BV23" s="58">
        <f ca="1">+SUMIF('Monthly Cohorts'!$E$178:'Monthly Cohorts'!$E$341,$D23,'Monthly Cohorts'!BV$178:'Monthly Cohorts'!BV$341)</f>
        <v>0</v>
      </c>
      <c r="BW23" s="58">
        <f ca="1">+SUMIF('Monthly Cohorts'!$E$178:'Monthly Cohorts'!$E$341,$D23,'Monthly Cohorts'!BW$178:'Monthly Cohorts'!BW$341)</f>
        <v>0</v>
      </c>
      <c r="BX23" s="58">
        <f ca="1">+SUMIF('Monthly Cohorts'!$E$178:'Monthly Cohorts'!$E$341,$D23,'Monthly Cohorts'!BX$178:'Monthly Cohorts'!BX$341)</f>
        <v>0</v>
      </c>
      <c r="BY23" s="58">
        <f ca="1">+SUMIF('Monthly Cohorts'!$E$178:'Monthly Cohorts'!$E$341,$D23,'Monthly Cohorts'!BY$178:'Monthly Cohorts'!BY$341)</f>
        <v>0</v>
      </c>
      <c r="BZ23" s="58">
        <f ca="1">+SUMIF('Monthly Cohorts'!$E$178:'Monthly Cohorts'!$E$341,$D23,'Monthly Cohorts'!BZ$178:'Monthly Cohorts'!BZ$341)</f>
        <v>0</v>
      </c>
      <c r="CA23" s="58">
        <f ca="1">+SUMIF('Monthly Cohorts'!$E$178:'Monthly Cohorts'!$E$341,$D23,'Monthly Cohorts'!CA$178:'Monthly Cohorts'!CA$341)</f>
        <v>0</v>
      </c>
      <c r="CB23" s="58">
        <f ca="1">+SUMIF('Monthly Cohorts'!$E$178:'Monthly Cohorts'!$E$341,$D23,'Monthly Cohorts'!CB$178:'Monthly Cohorts'!CB$341)</f>
        <v>0</v>
      </c>
      <c r="CC23" s="58">
        <f ca="1">+SUMIF('Monthly Cohorts'!$E$178:'Monthly Cohorts'!$E$341,$D23,'Monthly Cohorts'!CC$178:'Monthly Cohorts'!CC$341)</f>
        <v>0</v>
      </c>
      <c r="CD23" s="58">
        <f ca="1">+SUMIF('Monthly Cohorts'!$E$178:'Monthly Cohorts'!$E$341,$D23,'Monthly Cohorts'!CD$178:'Monthly Cohorts'!CD$341)</f>
        <v>0</v>
      </c>
      <c r="CE23" s="58">
        <f ca="1">+SUMIF('Monthly Cohorts'!$E$178:'Monthly Cohorts'!$E$341,$D23,'Monthly Cohorts'!CE$178:'Monthly Cohorts'!CE$341)</f>
        <v>0</v>
      </c>
      <c r="CF23" s="58">
        <f ca="1">+SUMIF('Monthly Cohorts'!$E$178:'Monthly Cohorts'!$E$341,$D23,'Monthly Cohorts'!CF$178:'Monthly Cohorts'!CF$341)</f>
        <v>0</v>
      </c>
      <c r="CG23" s="58">
        <f ca="1">+SUMIF('Monthly Cohorts'!$E$178:'Monthly Cohorts'!$E$341,$D23,'Monthly Cohorts'!CG$178:'Monthly Cohorts'!CG$341)</f>
        <v>0</v>
      </c>
      <c r="CH23" s="58">
        <f ca="1">+SUMIF('Monthly Cohorts'!$E$178:'Monthly Cohorts'!$E$341,$D23,'Monthly Cohorts'!CH$178:'Monthly Cohorts'!CH$341)</f>
        <v>0</v>
      </c>
      <c r="CI23" s="58">
        <f ca="1">+SUMIF('Monthly Cohorts'!$E$178:'Monthly Cohorts'!$E$341,$D23,'Monthly Cohorts'!CI$178:'Monthly Cohorts'!CI$341)</f>
        <v>0</v>
      </c>
      <c r="CJ23" s="58">
        <f ca="1">+SUMIF('Monthly Cohorts'!$E$178:'Monthly Cohorts'!$E$341,$D23,'Monthly Cohorts'!CJ$178:'Monthly Cohorts'!CJ$341)</f>
        <v>0</v>
      </c>
      <c r="CK23" s="58">
        <f ca="1">+SUMIF('Monthly Cohorts'!$E$178:'Monthly Cohorts'!$E$341,$D23,'Monthly Cohorts'!CK$178:'Monthly Cohorts'!CK$341)</f>
        <v>0</v>
      </c>
      <c r="CL23" s="58">
        <f ca="1">+SUMIF('Monthly Cohorts'!$E$178:'Monthly Cohorts'!$E$341,$D23,'Monthly Cohorts'!CL$178:'Monthly Cohorts'!CL$341)</f>
        <v>0</v>
      </c>
      <c r="CM23" s="58">
        <f ca="1">+SUMIF('Monthly Cohorts'!$E$178:'Monthly Cohorts'!$E$341,$D23,'Monthly Cohorts'!CM$178:'Monthly Cohorts'!CM$341)</f>
        <v>0</v>
      </c>
      <c r="CN23" s="58">
        <f ca="1">+SUMIF('Monthly Cohorts'!$E$178:'Monthly Cohorts'!$E$341,$D23,'Monthly Cohorts'!CN$178:'Monthly Cohorts'!CN$341)</f>
        <v>0</v>
      </c>
      <c r="CO23" s="58">
        <f ca="1">+SUMIF('Monthly Cohorts'!$E$178:'Monthly Cohorts'!$E$341,$D23,'Monthly Cohorts'!CO$178:'Monthly Cohorts'!CO$341)</f>
        <v>0</v>
      </c>
      <c r="CP23" s="58">
        <f ca="1">+SUMIF('Monthly Cohorts'!$E$178:'Monthly Cohorts'!$E$341,$D23,'Monthly Cohorts'!CP$178:'Monthly Cohorts'!CP$341)</f>
        <v>0</v>
      </c>
      <c r="CQ23" s="58">
        <f ca="1">+SUMIF('Monthly Cohorts'!$E$178:'Monthly Cohorts'!$E$341,$D23,'Monthly Cohorts'!CQ$178:'Monthly Cohorts'!CQ$341)</f>
        <v>0</v>
      </c>
      <c r="CR23" s="58">
        <f ca="1">+SUMIF('Monthly Cohorts'!$E$178:'Monthly Cohorts'!$E$341,$D23,'Monthly Cohorts'!CR$178:'Monthly Cohorts'!CR$341)</f>
        <v>0</v>
      </c>
      <c r="CS23" s="58">
        <f ca="1">+SUMIF('Monthly Cohorts'!$E$178:'Monthly Cohorts'!$E$341,$D23,'Monthly Cohorts'!CS$178:'Monthly Cohorts'!CS$341)</f>
        <v>0</v>
      </c>
      <c r="CT23" s="58">
        <f ca="1">+SUMIF('Monthly Cohorts'!$E$178:'Monthly Cohorts'!$E$341,$D23,'Monthly Cohorts'!CT$178:'Monthly Cohorts'!CT$341)</f>
        <v>0</v>
      </c>
      <c r="CU23" s="58">
        <f ca="1">+SUMIF('Monthly Cohorts'!$E$178:'Monthly Cohorts'!$E$341,$D23,'Monthly Cohorts'!CU$178:'Monthly Cohorts'!CU$341)</f>
        <v>0</v>
      </c>
      <c r="CV23" s="58">
        <f ca="1">+SUMIF('Monthly Cohorts'!$E$178:'Monthly Cohorts'!$E$341,$D23,'Monthly Cohorts'!CV$178:'Monthly Cohorts'!CV$341)</f>
        <v>0</v>
      </c>
      <c r="CW23" s="58">
        <f ca="1">+SUMIF('Monthly Cohorts'!$E$178:'Monthly Cohorts'!$E$341,$D23,'Monthly Cohorts'!CW$178:'Monthly Cohorts'!CW$341)</f>
        <v>0</v>
      </c>
      <c r="CX23" s="58">
        <f ca="1">+SUMIF('Monthly Cohorts'!$E$178:'Monthly Cohorts'!$E$341,$D23,'Monthly Cohorts'!CX$178:'Monthly Cohorts'!CX$341)</f>
        <v>0</v>
      </c>
      <c r="CY23" s="58">
        <f ca="1">+SUMIF('Monthly Cohorts'!$E$178:'Monthly Cohorts'!$E$341,$D23,'Monthly Cohorts'!CY$178:'Monthly Cohorts'!CY$341)</f>
        <v>0</v>
      </c>
      <c r="CZ23" s="58">
        <f ca="1">+SUMIF('Monthly Cohorts'!$E$178:'Monthly Cohorts'!$E$341,$D23,'Monthly Cohorts'!CZ$178:'Monthly Cohorts'!CZ$341)</f>
        <v>0</v>
      </c>
      <c r="DA23" s="58">
        <f ca="1">+SUMIF('Monthly Cohorts'!$E$178:'Monthly Cohorts'!$E$341,$D23,'Monthly Cohorts'!DA$178:'Monthly Cohorts'!DA$341)</f>
        <v>0</v>
      </c>
      <c r="DB23" s="58">
        <f ca="1">+SUMIF('Monthly Cohorts'!$E$178:'Monthly Cohorts'!$E$341,$D23,'Monthly Cohorts'!DB$178:'Monthly Cohorts'!DB$341)</f>
        <v>0</v>
      </c>
      <c r="DC23" s="58">
        <f ca="1">+SUMIF('Monthly Cohorts'!$E$178:'Monthly Cohorts'!$E$341,$D23,'Monthly Cohorts'!DC$178:'Monthly Cohorts'!DC$341)</f>
        <v>0</v>
      </c>
      <c r="DD23" s="58">
        <f ca="1">+SUMIF('Monthly Cohorts'!$E$178:'Monthly Cohorts'!$E$341,$D23,'Monthly Cohorts'!DD$178:'Monthly Cohorts'!DD$341)</f>
        <v>0</v>
      </c>
      <c r="DE23" s="58">
        <f ca="1">+SUMIF('Monthly Cohorts'!$E$178:'Monthly Cohorts'!$E$341,$D23,'Monthly Cohorts'!DE$178:'Monthly Cohorts'!DE$341)</f>
        <v>0</v>
      </c>
      <c r="DF23" s="58">
        <f ca="1">+SUMIF('Monthly Cohorts'!$E$178:'Monthly Cohorts'!$E$341,$D23,'Monthly Cohorts'!DF$178:'Monthly Cohorts'!DF$341)</f>
        <v>0</v>
      </c>
      <c r="DG23" s="58">
        <f ca="1">+SUMIF('Monthly Cohorts'!$E$178:'Monthly Cohorts'!$E$341,$D23,'Monthly Cohorts'!DG$178:'Monthly Cohorts'!DG$341)</f>
        <v>0</v>
      </c>
      <c r="DH23" s="58">
        <f ca="1">+SUMIF('Monthly Cohorts'!$E$178:'Monthly Cohorts'!$E$341,$D23,'Monthly Cohorts'!DH$178:'Monthly Cohorts'!DH$341)</f>
        <v>0</v>
      </c>
      <c r="DI23" s="58">
        <f ca="1">+SUMIF('Monthly Cohorts'!$E$178:'Monthly Cohorts'!$E$341,$D23,'Monthly Cohorts'!DI$178:'Monthly Cohorts'!DI$341)</f>
        <v>0</v>
      </c>
      <c r="DJ23" s="58">
        <f ca="1">+SUMIF('Monthly Cohorts'!$E$178:'Monthly Cohorts'!$E$341,$D23,'Monthly Cohorts'!DJ$178:'Monthly Cohorts'!DJ$341)</f>
        <v>0</v>
      </c>
      <c r="DK23" s="58">
        <f ca="1">+SUMIF('Monthly Cohorts'!$E$178:'Monthly Cohorts'!$E$341,$D23,'Monthly Cohorts'!DK$178:'Monthly Cohorts'!DK$341)</f>
        <v>0</v>
      </c>
      <c r="DL23" s="58">
        <f ca="1">+SUMIF('Monthly Cohorts'!$E$178:'Monthly Cohorts'!$E$341,$D23,'Monthly Cohorts'!DL$178:'Monthly Cohorts'!DL$341)</f>
        <v>0</v>
      </c>
      <c r="DM23" s="58">
        <f ca="1">+SUMIF('Monthly Cohorts'!$E$178:'Monthly Cohorts'!$E$341,$D23,'Monthly Cohorts'!DM$178:'Monthly Cohorts'!DM$341)</f>
        <v>0</v>
      </c>
      <c r="DN23" s="58">
        <f ca="1">+SUMIF('Monthly Cohorts'!$E$178:'Monthly Cohorts'!$E$341,$D23,'Monthly Cohorts'!DN$178:'Monthly Cohorts'!DN$341)</f>
        <v>0</v>
      </c>
      <c r="DO23" s="58">
        <f ca="1">+SUMIF('Monthly Cohorts'!$E$178:'Monthly Cohorts'!$E$341,$D23,'Monthly Cohorts'!DO$178:'Monthly Cohorts'!DO$341)</f>
        <v>0</v>
      </c>
      <c r="DP23" s="58">
        <f ca="1">+SUMIF('Monthly Cohorts'!$E$178:'Monthly Cohorts'!$E$341,$D23,'Monthly Cohorts'!DP$178:'Monthly Cohorts'!DP$341)</f>
        <v>0</v>
      </c>
      <c r="DQ23" s="58">
        <f ca="1">+SUMIF('Monthly Cohorts'!$E$178:'Monthly Cohorts'!$E$341,$D23,'Monthly Cohorts'!DQ$178:'Monthly Cohorts'!DQ$341)</f>
        <v>0</v>
      </c>
      <c r="DR23" s="58">
        <f ca="1">+SUMIF('Monthly Cohorts'!$E$178:'Monthly Cohorts'!$E$341,$D23,'Monthly Cohorts'!DR$178:'Monthly Cohorts'!DR$341)</f>
        <v>0</v>
      </c>
      <c r="DS23" s="58">
        <f ca="1">+SUMIF('Monthly Cohorts'!$E$178:'Monthly Cohorts'!$E$341,$D23,'Monthly Cohorts'!DS$178:'Monthly Cohorts'!DS$341)</f>
        <v>0</v>
      </c>
      <c r="DT23" s="58">
        <f ca="1">+SUMIF('Monthly Cohorts'!$E$178:'Monthly Cohorts'!$E$341,$D23,'Monthly Cohorts'!DT$178:'Monthly Cohorts'!DT$341)</f>
        <v>0</v>
      </c>
      <c r="DU23" s="58">
        <f ca="1">+SUMIF('Monthly Cohorts'!$E$178:'Monthly Cohorts'!$E$341,$D23,'Monthly Cohorts'!DU$178:'Monthly Cohorts'!DU$341)</f>
        <v>0</v>
      </c>
      <c r="DV23" s="58">
        <f ca="1">+SUMIF('Monthly Cohorts'!$E$178:'Monthly Cohorts'!$E$341,$D23,'Monthly Cohorts'!DV$178:'Monthly Cohorts'!DV$341)</f>
        <v>0</v>
      </c>
      <c r="DW23" s="58">
        <f ca="1">+SUMIF('Monthly Cohorts'!$E$178:'Monthly Cohorts'!$E$341,$D23,'Monthly Cohorts'!DW$178:'Monthly Cohorts'!DW$341)</f>
        <v>0</v>
      </c>
      <c r="DX23" s="58">
        <f ca="1">+SUMIF('Monthly Cohorts'!$E$178:'Monthly Cohorts'!$E$341,$D23,'Monthly Cohorts'!DX$178:'Monthly Cohorts'!DX$341)</f>
        <v>0</v>
      </c>
      <c r="DY23" s="58">
        <f ca="1">+SUMIF('Monthly Cohorts'!$E$178:'Monthly Cohorts'!$E$341,$D23,'Monthly Cohorts'!DY$178:'Monthly Cohorts'!DY$341)</f>
        <v>0</v>
      </c>
      <c r="DZ23" s="58">
        <f ca="1">+SUMIF('Monthly Cohorts'!$E$178:'Monthly Cohorts'!$E$341,$D23,'Monthly Cohorts'!DZ$178:'Monthly Cohorts'!DZ$341)</f>
        <v>0</v>
      </c>
      <c r="EA23" s="58">
        <f ca="1">+SUMIF('Monthly Cohorts'!$E$178:'Monthly Cohorts'!$E$341,$D23,'Monthly Cohorts'!EA$178:'Monthly Cohorts'!EA$341)</f>
        <v>0</v>
      </c>
      <c r="EB23" s="58">
        <f ca="1">+SUMIF('Monthly Cohorts'!$E$178:'Monthly Cohorts'!$E$341,$D23,'Monthly Cohorts'!EB$178:'Monthly Cohorts'!EB$341)</f>
        <v>0</v>
      </c>
      <c r="EC23" s="58">
        <f ca="1">+SUMIF('Monthly Cohorts'!$E$178:'Monthly Cohorts'!$E$341,$D23,'Monthly Cohorts'!EC$178:'Monthly Cohorts'!EC$341)</f>
        <v>0</v>
      </c>
      <c r="ED23" s="58">
        <f ca="1">+SUMIF('Monthly Cohorts'!$E$178:'Monthly Cohorts'!$E$341,$D23,'Monthly Cohorts'!ED$178:'Monthly Cohorts'!ED$341)</f>
        <v>0</v>
      </c>
      <c r="EE23" s="58">
        <f ca="1">+SUMIF('Monthly Cohorts'!$E$178:'Monthly Cohorts'!$E$341,$D23,'Monthly Cohorts'!EE$178:'Monthly Cohorts'!EE$341)</f>
        <v>0</v>
      </c>
      <c r="EF23" s="58">
        <f ca="1">+SUMIF('Monthly Cohorts'!$E$178:'Monthly Cohorts'!$E$341,$D23,'Monthly Cohorts'!EF$178:'Monthly Cohorts'!EF$341)</f>
        <v>0</v>
      </c>
      <c r="EG23" s="58">
        <f ca="1">+SUMIF('Monthly Cohorts'!$E$178:'Monthly Cohorts'!$E$341,$D23,'Monthly Cohorts'!EG$178:'Monthly Cohorts'!EG$341)</f>
        <v>0</v>
      </c>
      <c r="EH23" s="58">
        <f ca="1">+SUMIF('Monthly Cohorts'!$E$178:'Monthly Cohorts'!$E$341,$D23,'Monthly Cohorts'!EH$178:'Monthly Cohorts'!EH$341)</f>
        <v>0</v>
      </c>
      <c r="EI23" s="58">
        <f ca="1">+SUMIF('Monthly Cohorts'!$E$178:'Monthly Cohorts'!$E$341,$D23,'Monthly Cohorts'!EI$178:'Monthly Cohorts'!EI$341)</f>
        <v>0</v>
      </c>
      <c r="EJ23" s="58">
        <f ca="1">+SUMIF('Monthly Cohorts'!$E$178:'Monthly Cohorts'!$E$341,$D23,'Monthly Cohorts'!EJ$178:'Monthly Cohorts'!EJ$341)</f>
        <v>0</v>
      </c>
      <c r="EK23" s="58">
        <f ca="1">+SUMIF('Monthly Cohorts'!$E$178:'Monthly Cohorts'!$E$341,$D23,'Monthly Cohorts'!EK$178:'Monthly Cohorts'!EK$341)</f>
        <v>0</v>
      </c>
      <c r="EL23" s="58">
        <f ca="1">+SUMIF('Monthly Cohorts'!$E$178:'Monthly Cohorts'!$E$341,$D23,'Monthly Cohorts'!EL$178:'Monthly Cohorts'!EL$341)</f>
        <v>0</v>
      </c>
      <c r="EM23" s="58">
        <f ca="1">+SUMIF('Monthly Cohorts'!$E$178:'Monthly Cohorts'!$E$341,$D23,'Monthly Cohorts'!EM$178:'Monthly Cohorts'!EM$341)</f>
        <v>0</v>
      </c>
      <c r="EN23" s="58">
        <f ca="1">+SUMIF('Monthly Cohorts'!$E$178:'Monthly Cohorts'!$E$341,$D23,'Monthly Cohorts'!EN$178:'Monthly Cohorts'!EN$341)</f>
        <v>0</v>
      </c>
      <c r="EO23" s="58">
        <f ca="1">+SUMIF('Monthly Cohorts'!$E$178:'Monthly Cohorts'!$E$341,$D23,'Monthly Cohorts'!EO$178:'Monthly Cohorts'!EO$341)</f>
        <v>0</v>
      </c>
      <c r="EP23" s="58">
        <f ca="1">+SUMIF('Monthly Cohorts'!$E$178:'Monthly Cohorts'!$E$341,$D23,'Monthly Cohorts'!EP$178:'Monthly Cohorts'!EP$341)</f>
        <v>0</v>
      </c>
      <c r="EQ23" s="58">
        <f ca="1">+SUMIF('Monthly Cohorts'!$E$178:'Monthly Cohorts'!$E$341,$D23,'Monthly Cohorts'!EQ$178:'Monthly Cohorts'!EQ$341)</f>
        <v>0</v>
      </c>
      <c r="ER23" s="58">
        <f ca="1">+SUMIF('Monthly Cohorts'!$E$178:'Monthly Cohorts'!$E$341,$D23,'Monthly Cohorts'!ER$178:'Monthly Cohorts'!ER$341)</f>
        <v>0</v>
      </c>
      <c r="ES23" s="58">
        <f ca="1">+SUMIF('Monthly Cohorts'!$E$178:'Monthly Cohorts'!$E$341,$D23,'Monthly Cohorts'!ES$178:'Monthly Cohorts'!ES$341)</f>
        <v>0</v>
      </c>
      <c r="ET23" s="58">
        <f ca="1">+SUMIF('Monthly Cohorts'!$E$178:'Monthly Cohorts'!$E$341,$D23,'Monthly Cohorts'!ET$178:'Monthly Cohorts'!ET$341)</f>
        <v>0</v>
      </c>
      <c r="EU23" s="58">
        <f ca="1">+SUMIF('Monthly Cohorts'!$E$178:'Monthly Cohorts'!$E$341,$D23,'Monthly Cohorts'!EU$178:'Monthly Cohorts'!EU$341)</f>
        <v>0</v>
      </c>
      <c r="EV23" s="58">
        <f ca="1">+SUMIF('Monthly Cohorts'!$E$178:'Monthly Cohorts'!$E$341,$D23,'Monthly Cohorts'!EV$178:'Monthly Cohorts'!EV$341)</f>
        <v>0</v>
      </c>
      <c r="EW23" s="58">
        <f ca="1">+SUMIF('Monthly Cohorts'!$E$178:'Monthly Cohorts'!$E$341,$D23,'Monthly Cohorts'!EW$178:'Monthly Cohorts'!EW$341)</f>
        <v>0</v>
      </c>
      <c r="EX23" s="58">
        <f ca="1">+SUMIF('Monthly Cohorts'!$E$178:'Monthly Cohorts'!$E$341,$D23,'Monthly Cohorts'!EX$178:'Monthly Cohorts'!EX$341)</f>
        <v>0</v>
      </c>
      <c r="EY23" s="58">
        <f ca="1">+SUMIF('Monthly Cohorts'!$E$178:'Monthly Cohorts'!$E$341,$D23,'Monthly Cohorts'!EY$178:'Monthly Cohorts'!EY$341)</f>
        <v>0</v>
      </c>
      <c r="EZ23" s="58">
        <f ca="1">+SUMIF('Monthly Cohorts'!$E$178:'Monthly Cohorts'!$E$341,$D23,'Monthly Cohorts'!EZ$178:'Monthly Cohorts'!EZ$341)</f>
        <v>0</v>
      </c>
      <c r="FA23" s="58">
        <f ca="1">+SUMIF('Monthly Cohorts'!$E$178:'Monthly Cohorts'!$E$341,$D23,'Monthly Cohorts'!FA$178:'Monthly Cohorts'!FA$341)</f>
        <v>0</v>
      </c>
      <c r="FB23" s="58">
        <f ca="1">+SUMIF('Monthly Cohorts'!$E$178:'Monthly Cohorts'!$E$341,$D23,'Monthly Cohorts'!FB$178:'Monthly Cohorts'!FB$341)</f>
        <v>0</v>
      </c>
      <c r="FC23" s="58">
        <f ca="1">+SUMIF('Monthly Cohorts'!$E$178:'Monthly Cohorts'!$E$341,$D23,'Monthly Cohorts'!FC$178:'Monthly Cohorts'!FC$341)</f>
        <v>0</v>
      </c>
      <c r="FD23" s="58">
        <f ca="1">+SUMIF('Monthly Cohorts'!$E$178:'Monthly Cohorts'!$E$341,$D23,'Monthly Cohorts'!FD$178:'Monthly Cohorts'!FD$341)</f>
        <v>0</v>
      </c>
      <c r="FE23" s="58">
        <f ca="1">+SUMIF('Monthly Cohorts'!$E$178:'Monthly Cohorts'!$E$341,$D23,'Monthly Cohorts'!FE$178:'Monthly Cohorts'!FE$341)</f>
        <v>0</v>
      </c>
      <c r="FF23" s="58">
        <f ca="1">+SUMIF('Monthly Cohorts'!$E$178:'Monthly Cohorts'!$E$341,$D23,'Monthly Cohorts'!FF$178:'Monthly Cohorts'!FF$341)</f>
        <v>0</v>
      </c>
      <c r="FG23" s="58">
        <f ca="1">+SUMIF('Monthly Cohorts'!$E$178:'Monthly Cohorts'!$E$341,$D23,'Monthly Cohorts'!FG$178:'Monthly Cohorts'!FG$341)</f>
        <v>0</v>
      </c>
      <c r="FH23" s="58">
        <f ca="1">+SUMIF('Monthly Cohorts'!$E$178:'Monthly Cohorts'!$E$341,$D23,'Monthly Cohorts'!FH$178:'Monthly Cohorts'!FH$341)</f>
        <v>0</v>
      </c>
      <c r="FI23" s="58">
        <f ca="1">+SUMIF('Monthly Cohorts'!$E$178:'Monthly Cohorts'!$E$341,$D23,'Monthly Cohorts'!FI$178:'Monthly Cohorts'!FI$341)</f>
        <v>0</v>
      </c>
      <c r="FJ23" s="58">
        <f ca="1">+SUMIF('Monthly Cohorts'!$E$178:'Monthly Cohorts'!$E$341,$D23,'Monthly Cohorts'!FJ$178:'Monthly Cohorts'!FJ$341)</f>
        <v>0</v>
      </c>
      <c r="FK23" s="58">
        <f ca="1">+SUMIF('Monthly Cohorts'!$E$178:'Monthly Cohorts'!$E$341,$D23,'Monthly Cohorts'!FK$178:'Monthly Cohorts'!FK$341)</f>
        <v>0</v>
      </c>
      <c r="FL23" s="58">
        <f ca="1">+SUMIF('Monthly Cohorts'!$E$178:'Monthly Cohorts'!$E$341,$D23,'Monthly Cohorts'!FL$178:'Monthly Cohorts'!FL$341)</f>
        <v>0</v>
      </c>
      <c r="FM23" s="58">
        <f ca="1">+SUMIF('Monthly Cohorts'!$E$178:'Monthly Cohorts'!$E$341,$D23,'Monthly Cohorts'!FM$178:'Monthly Cohorts'!FM$341)</f>
        <v>0</v>
      </c>
      <c r="FN23" s="58">
        <f ca="1">+SUMIF('Monthly Cohorts'!$E$178:'Monthly Cohorts'!$E$341,$D23,'Monthly Cohorts'!FN$178:'Monthly Cohorts'!FN$341)</f>
        <v>0</v>
      </c>
      <c r="FO23" s="13"/>
    </row>
    <row r="24" spans="1:17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x14ac:dyDescent="0.3">
      <c r="A25" s="13"/>
      <c r="B25" s="16" t="s">
        <v>0</v>
      </c>
      <c r="C25" s="16" t="s">
        <v>20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3"/>
    </row>
    <row r="26" spans="1:17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x14ac:dyDescent="0.3">
      <c r="A27" s="13"/>
      <c r="B27" s="16"/>
      <c r="C27" s="16" t="s">
        <v>0</v>
      </c>
      <c r="D27" s="16" t="s">
        <v>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3"/>
    </row>
    <row r="28" spans="1:171" outlineLevel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18"/>
      <c r="E29" s="18"/>
      <c r="F29" s="49" t="s">
        <v>10</v>
      </c>
      <c r="G29" s="56">
        <v>1</v>
      </c>
      <c r="H29" s="57">
        <f t="shared" ref="H29:T29" si="12">+G29+1</f>
        <v>2</v>
      </c>
      <c r="I29" s="57">
        <f t="shared" si="12"/>
        <v>3</v>
      </c>
      <c r="J29" s="57">
        <f t="shared" si="12"/>
        <v>4</v>
      </c>
      <c r="K29" s="57">
        <f t="shared" si="12"/>
        <v>5</v>
      </c>
      <c r="L29" s="57">
        <f t="shared" si="12"/>
        <v>6</v>
      </c>
      <c r="M29" s="57">
        <f t="shared" si="12"/>
        <v>7</v>
      </c>
      <c r="N29" s="57">
        <f t="shared" si="12"/>
        <v>8</v>
      </c>
      <c r="O29" s="57">
        <f t="shared" si="12"/>
        <v>9</v>
      </c>
      <c r="P29" s="57">
        <f t="shared" si="12"/>
        <v>10</v>
      </c>
      <c r="Q29" s="57">
        <f t="shared" si="12"/>
        <v>11</v>
      </c>
      <c r="R29" s="57">
        <f t="shared" si="12"/>
        <v>12</v>
      </c>
      <c r="S29" s="57">
        <f t="shared" si="12"/>
        <v>13</v>
      </c>
      <c r="T29" s="57">
        <f t="shared" si="12"/>
        <v>14</v>
      </c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ht="17.399999999999999" outlineLevel="1" x14ac:dyDescent="0.45">
      <c r="A30" s="13"/>
      <c r="B30" s="13"/>
      <c r="C30" s="13"/>
      <c r="D30" s="51" t="s">
        <v>21</v>
      </c>
      <c r="E30" s="51" t="s">
        <v>22</v>
      </c>
      <c r="F30" s="2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9">
        <v>2010</v>
      </c>
      <c r="E31" s="60">
        <f>+COUNTIF('Data Set'!$DS$5:'Data Set'!$DS$220,D31)</f>
        <v>6</v>
      </c>
      <c r="F31" s="20"/>
      <c r="G31" s="61">
        <f t="shared" ref="G31:T31" ca="1" si="13">+SUMIF($G$8:$FN$8,G$29,$G10:$FN10)</f>
        <v>0</v>
      </c>
      <c r="H31" s="61">
        <f t="shared" ca="1" si="13"/>
        <v>0</v>
      </c>
      <c r="I31" s="61">
        <f t="shared" ca="1" si="13"/>
        <v>0</v>
      </c>
      <c r="J31" s="61">
        <f t="shared" ca="1" si="13"/>
        <v>0</v>
      </c>
      <c r="K31" s="61">
        <f t="shared" ca="1" si="13"/>
        <v>0</v>
      </c>
      <c r="L31" s="61">
        <f t="shared" ca="1" si="13"/>
        <v>0</v>
      </c>
      <c r="M31" s="61">
        <f t="shared" ca="1" si="13"/>
        <v>0</v>
      </c>
      <c r="N31" s="61">
        <f t="shared" ca="1" si="13"/>
        <v>0</v>
      </c>
      <c r="O31" s="61">
        <f t="shared" ca="1" si="13"/>
        <v>0</v>
      </c>
      <c r="P31" s="61">
        <f t="shared" ca="1" si="13"/>
        <v>0</v>
      </c>
      <c r="Q31" s="61">
        <f t="shared" ca="1" si="13"/>
        <v>0</v>
      </c>
      <c r="R31" s="61">
        <f t="shared" ca="1" si="13"/>
        <v>0</v>
      </c>
      <c r="S31" s="61">
        <f t="shared" ca="1" si="13"/>
        <v>0</v>
      </c>
      <c r="T31" s="61">
        <f t="shared" ca="1" si="13"/>
        <v>0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9">
        <f t="shared" ref="D32:D44" si="14">+D31+1</f>
        <v>2011</v>
      </c>
      <c r="E32" s="60">
        <f>+COUNTIF('Data Set'!$DS$5:'Data Set'!$DS$220,D32)</f>
        <v>9</v>
      </c>
      <c r="F32" s="20"/>
      <c r="G32" s="61">
        <f t="shared" ref="G32:T32" ca="1" si="15">+SUMIF($G$8:$FN$8,G$29,$G11:$FN11)</f>
        <v>0</v>
      </c>
      <c r="H32" s="61">
        <f t="shared" ca="1" si="15"/>
        <v>0</v>
      </c>
      <c r="I32" s="61">
        <f t="shared" ca="1" si="15"/>
        <v>0</v>
      </c>
      <c r="J32" s="61">
        <f t="shared" ca="1" si="15"/>
        <v>0</v>
      </c>
      <c r="K32" s="61">
        <f t="shared" ca="1" si="15"/>
        <v>0</v>
      </c>
      <c r="L32" s="61">
        <f t="shared" ca="1" si="15"/>
        <v>0</v>
      </c>
      <c r="M32" s="61">
        <f t="shared" ca="1" si="15"/>
        <v>0</v>
      </c>
      <c r="N32" s="61">
        <f t="shared" ca="1" si="15"/>
        <v>0</v>
      </c>
      <c r="O32" s="61">
        <f t="shared" ca="1" si="15"/>
        <v>0</v>
      </c>
      <c r="P32" s="61">
        <f t="shared" ca="1" si="15"/>
        <v>0</v>
      </c>
      <c r="Q32" s="61">
        <f t="shared" ca="1" si="15"/>
        <v>0</v>
      </c>
      <c r="R32" s="61">
        <f t="shared" ca="1" si="15"/>
        <v>0</v>
      </c>
      <c r="S32" s="61">
        <f t="shared" ca="1" si="15"/>
        <v>0</v>
      </c>
      <c r="T32" s="61">
        <f t="shared" ca="1" si="15"/>
        <v>0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9">
        <f t="shared" si="14"/>
        <v>2012</v>
      </c>
      <c r="E33" s="60">
        <f>+COUNTIF('Data Set'!$DS$5:'Data Set'!$DS$220,D33)</f>
        <v>10</v>
      </c>
      <c r="F33" s="20"/>
      <c r="G33" s="61">
        <f t="shared" ref="G33:T33" ca="1" si="16">+SUMIF($G$8:$FN$8,G$29,$G12:$FN12)</f>
        <v>0</v>
      </c>
      <c r="H33" s="61">
        <f t="shared" ca="1" si="16"/>
        <v>0</v>
      </c>
      <c r="I33" s="61">
        <f t="shared" ca="1" si="16"/>
        <v>0</v>
      </c>
      <c r="J33" s="61">
        <f t="shared" ca="1" si="16"/>
        <v>0</v>
      </c>
      <c r="K33" s="61">
        <f t="shared" ca="1" si="16"/>
        <v>0</v>
      </c>
      <c r="L33" s="61">
        <f t="shared" ca="1" si="16"/>
        <v>0</v>
      </c>
      <c r="M33" s="61">
        <f t="shared" ca="1" si="16"/>
        <v>0</v>
      </c>
      <c r="N33" s="61">
        <f t="shared" ca="1" si="16"/>
        <v>0</v>
      </c>
      <c r="O33" s="61">
        <f t="shared" ca="1" si="16"/>
        <v>0</v>
      </c>
      <c r="P33" s="61">
        <f t="shared" ca="1" si="16"/>
        <v>0</v>
      </c>
      <c r="Q33" s="61">
        <f t="shared" ca="1" si="16"/>
        <v>0</v>
      </c>
      <c r="R33" s="61">
        <f t="shared" ca="1" si="16"/>
        <v>0</v>
      </c>
      <c r="S33" s="61">
        <f t="shared" ca="1" si="16"/>
        <v>0</v>
      </c>
      <c r="T33" s="61">
        <f t="shared" ca="1" si="16"/>
        <v>0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9">
        <f t="shared" si="14"/>
        <v>2013</v>
      </c>
      <c r="E34" s="60">
        <f>+COUNTIF('Data Set'!$DS$5:'Data Set'!$DS$220,D34)</f>
        <v>20</v>
      </c>
      <c r="F34" s="20"/>
      <c r="G34" s="61">
        <f t="shared" ref="G34:T34" ca="1" si="17">+SUMIF($G$8:$FN$8,G$29,$G13:$FN13)</f>
        <v>0</v>
      </c>
      <c r="H34" s="61">
        <f t="shared" ca="1" si="17"/>
        <v>0</v>
      </c>
      <c r="I34" s="61">
        <f t="shared" ca="1" si="17"/>
        <v>0</v>
      </c>
      <c r="J34" s="61">
        <f t="shared" ca="1" si="17"/>
        <v>0</v>
      </c>
      <c r="K34" s="61">
        <f t="shared" ca="1" si="17"/>
        <v>0</v>
      </c>
      <c r="L34" s="61">
        <f t="shared" ca="1" si="17"/>
        <v>0</v>
      </c>
      <c r="M34" s="61">
        <f t="shared" ca="1" si="17"/>
        <v>0</v>
      </c>
      <c r="N34" s="61">
        <f t="shared" ca="1" si="17"/>
        <v>0</v>
      </c>
      <c r="O34" s="61">
        <f t="shared" ca="1" si="17"/>
        <v>0</v>
      </c>
      <c r="P34" s="61">
        <f t="shared" ca="1" si="17"/>
        <v>0</v>
      </c>
      <c r="Q34" s="61">
        <f t="shared" ca="1" si="17"/>
        <v>0</v>
      </c>
      <c r="R34" s="61">
        <f t="shared" ca="1" si="17"/>
        <v>0</v>
      </c>
      <c r="S34" s="61">
        <f t="shared" ca="1" si="17"/>
        <v>0</v>
      </c>
      <c r="T34" s="61">
        <f t="shared" ca="1" si="17"/>
        <v>0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9">
        <f t="shared" si="14"/>
        <v>2014</v>
      </c>
      <c r="E35" s="60">
        <f>+COUNTIF('Data Set'!$DS$5:'Data Set'!$DS$220,D35)</f>
        <v>23</v>
      </c>
      <c r="F35" s="20"/>
      <c r="G35" s="61">
        <f t="shared" ref="G35:T35" ca="1" si="18">+SUMIF($G$8:$FN$8,G$29,$G14:$FN14)</f>
        <v>0</v>
      </c>
      <c r="H35" s="61">
        <f t="shared" ca="1" si="18"/>
        <v>0</v>
      </c>
      <c r="I35" s="61">
        <f t="shared" ca="1" si="18"/>
        <v>0</v>
      </c>
      <c r="J35" s="61">
        <f t="shared" ca="1" si="18"/>
        <v>0</v>
      </c>
      <c r="K35" s="61">
        <f t="shared" ca="1" si="18"/>
        <v>0</v>
      </c>
      <c r="L35" s="61">
        <f t="shared" ca="1" si="18"/>
        <v>0</v>
      </c>
      <c r="M35" s="61">
        <f t="shared" ca="1" si="18"/>
        <v>0</v>
      </c>
      <c r="N35" s="61">
        <f t="shared" ca="1" si="18"/>
        <v>0</v>
      </c>
      <c r="O35" s="61">
        <f t="shared" ca="1" si="18"/>
        <v>0</v>
      </c>
      <c r="P35" s="61">
        <f t="shared" ca="1" si="18"/>
        <v>0</v>
      </c>
      <c r="Q35" s="61">
        <f t="shared" ca="1" si="18"/>
        <v>0</v>
      </c>
      <c r="R35" s="61">
        <f t="shared" ca="1" si="18"/>
        <v>0</v>
      </c>
      <c r="S35" s="61">
        <f t="shared" ca="1" si="18"/>
        <v>0</v>
      </c>
      <c r="T35" s="61">
        <f t="shared" ca="1" si="18"/>
        <v>0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9">
        <f t="shared" si="14"/>
        <v>2015</v>
      </c>
      <c r="E36" s="60">
        <f>+COUNTIF('Data Set'!$DS$5:'Data Set'!$DS$220,D36)</f>
        <v>17</v>
      </c>
      <c r="F36" s="20"/>
      <c r="G36" s="61">
        <f t="shared" ref="G36:T36" ca="1" si="19">+SUMIF($G$8:$FN$8,G$29,$G15:$FN15)</f>
        <v>0</v>
      </c>
      <c r="H36" s="61">
        <f t="shared" ca="1" si="19"/>
        <v>0</v>
      </c>
      <c r="I36" s="61">
        <f t="shared" ca="1" si="19"/>
        <v>0</v>
      </c>
      <c r="J36" s="61">
        <f t="shared" ca="1" si="19"/>
        <v>0</v>
      </c>
      <c r="K36" s="61">
        <f t="shared" ca="1" si="19"/>
        <v>0</v>
      </c>
      <c r="L36" s="61">
        <f t="shared" ca="1" si="19"/>
        <v>0</v>
      </c>
      <c r="M36" s="61">
        <f t="shared" ca="1" si="19"/>
        <v>0</v>
      </c>
      <c r="N36" s="61">
        <f t="shared" ca="1" si="19"/>
        <v>0</v>
      </c>
      <c r="O36" s="61">
        <f t="shared" ca="1" si="19"/>
        <v>0</v>
      </c>
      <c r="P36" s="61">
        <f t="shared" ca="1" si="19"/>
        <v>0</v>
      </c>
      <c r="Q36" s="61">
        <f t="shared" ca="1" si="19"/>
        <v>0</v>
      </c>
      <c r="R36" s="61">
        <f t="shared" ca="1" si="19"/>
        <v>0</v>
      </c>
      <c r="S36" s="61">
        <f t="shared" ca="1" si="19"/>
        <v>0</v>
      </c>
      <c r="T36" s="61">
        <f t="shared" ca="1" si="19"/>
        <v>0</v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9">
        <f t="shared" si="14"/>
        <v>2016</v>
      </c>
      <c r="E37" s="60">
        <f>+COUNTIF('Data Set'!$DS$5:'Data Set'!$DS$220,D37)</f>
        <v>16</v>
      </c>
      <c r="F37" s="20"/>
      <c r="G37" s="61">
        <f t="shared" ref="G37:T37" ca="1" si="20">+SUMIF($G$8:$FN$8,G$29,$G16:$FN16)</f>
        <v>0</v>
      </c>
      <c r="H37" s="61">
        <f t="shared" ca="1" si="20"/>
        <v>0</v>
      </c>
      <c r="I37" s="61">
        <f t="shared" ca="1" si="20"/>
        <v>0</v>
      </c>
      <c r="J37" s="61">
        <f t="shared" ca="1" si="20"/>
        <v>0</v>
      </c>
      <c r="K37" s="61">
        <f t="shared" ca="1" si="20"/>
        <v>0</v>
      </c>
      <c r="L37" s="61">
        <f t="shared" ca="1" si="20"/>
        <v>0</v>
      </c>
      <c r="M37" s="61">
        <f t="shared" ca="1" si="20"/>
        <v>0</v>
      </c>
      <c r="N37" s="61">
        <f t="shared" ca="1" si="20"/>
        <v>0</v>
      </c>
      <c r="O37" s="61">
        <f t="shared" ca="1" si="20"/>
        <v>0</v>
      </c>
      <c r="P37" s="61">
        <f t="shared" ca="1" si="20"/>
        <v>0</v>
      </c>
      <c r="Q37" s="61">
        <f t="shared" ca="1" si="20"/>
        <v>0</v>
      </c>
      <c r="R37" s="61">
        <f t="shared" ca="1" si="20"/>
        <v>0</v>
      </c>
      <c r="S37" s="61">
        <f t="shared" ca="1" si="20"/>
        <v>0</v>
      </c>
      <c r="T37" s="61">
        <f t="shared" ca="1" si="20"/>
        <v>0</v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9">
        <f t="shared" si="14"/>
        <v>2017</v>
      </c>
      <c r="E38" s="60">
        <f>+COUNTIF('Data Set'!$DS$5:'Data Set'!$DS$220,D38)</f>
        <v>19</v>
      </c>
      <c r="F38" s="20"/>
      <c r="G38" s="61">
        <f t="shared" ref="G38:T38" ca="1" si="21">+SUMIF($G$8:$FN$8,G$29,$G17:$FN17)</f>
        <v>0</v>
      </c>
      <c r="H38" s="61">
        <f t="shared" ca="1" si="21"/>
        <v>0</v>
      </c>
      <c r="I38" s="61">
        <f t="shared" ca="1" si="21"/>
        <v>0</v>
      </c>
      <c r="J38" s="61">
        <f t="shared" ca="1" si="21"/>
        <v>0</v>
      </c>
      <c r="K38" s="61">
        <f t="shared" ca="1" si="21"/>
        <v>0</v>
      </c>
      <c r="L38" s="61">
        <f t="shared" ca="1" si="21"/>
        <v>0</v>
      </c>
      <c r="M38" s="61">
        <f t="shared" ca="1" si="21"/>
        <v>0</v>
      </c>
      <c r="N38" s="61">
        <f t="shared" ca="1" si="21"/>
        <v>0</v>
      </c>
      <c r="O38" s="61">
        <f t="shared" ca="1" si="21"/>
        <v>0</v>
      </c>
      <c r="P38" s="61">
        <f t="shared" ca="1" si="21"/>
        <v>0</v>
      </c>
      <c r="Q38" s="61">
        <f t="shared" ca="1" si="21"/>
        <v>0</v>
      </c>
      <c r="R38" s="61">
        <f t="shared" ca="1" si="21"/>
        <v>0</v>
      </c>
      <c r="S38" s="61">
        <f t="shared" ca="1" si="21"/>
        <v>0</v>
      </c>
      <c r="T38" s="61">
        <f t="shared" ca="1" si="21"/>
        <v>0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9">
        <f t="shared" si="14"/>
        <v>2018</v>
      </c>
      <c r="E39" s="60">
        <f>+COUNTIF('Data Set'!$DS$5:'Data Set'!$DS$220,D39)</f>
        <v>15</v>
      </c>
      <c r="F39" s="20"/>
      <c r="G39" s="61">
        <f t="shared" ref="G39:T39" ca="1" si="22">+SUMIF($G$8:$FN$8,G$29,$G18:$FN18)</f>
        <v>0</v>
      </c>
      <c r="H39" s="61">
        <f t="shared" ca="1" si="22"/>
        <v>0</v>
      </c>
      <c r="I39" s="61">
        <f t="shared" ca="1" si="22"/>
        <v>0</v>
      </c>
      <c r="J39" s="61">
        <f t="shared" ca="1" si="22"/>
        <v>0</v>
      </c>
      <c r="K39" s="61">
        <f t="shared" ca="1" si="22"/>
        <v>0</v>
      </c>
      <c r="L39" s="61">
        <f t="shared" ca="1" si="22"/>
        <v>0</v>
      </c>
      <c r="M39" s="61">
        <f t="shared" ca="1" si="22"/>
        <v>0</v>
      </c>
      <c r="N39" s="61">
        <f t="shared" ca="1" si="22"/>
        <v>0</v>
      </c>
      <c r="O39" s="61">
        <f t="shared" ca="1" si="22"/>
        <v>0</v>
      </c>
      <c r="P39" s="61">
        <f t="shared" ca="1" si="22"/>
        <v>0</v>
      </c>
      <c r="Q39" s="61">
        <f t="shared" ca="1" si="22"/>
        <v>0</v>
      </c>
      <c r="R39" s="61">
        <f t="shared" ca="1" si="22"/>
        <v>0</v>
      </c>
      <c r="S39" s="61">
        <f t="shared" ca="1" si="22"/>
        <v>0</v>
      </c>
      <c r="T39" s="61">
        <f t="shared" ca="1" si="22"/>
        <v>0</v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9">
        <f t="shared" si="14"/>
        <v>2019</v>
      </c>
      <c r="E40" s="60">
        <f>+COUNTIF('Data Set'!$DS$5:'Data Set'!$DS$220,D40)</f>
        <v>13</v>
      </c>
      <c r="F40" s="20"/>
      <c r="G40" s="61">
        <f t="shared" ref="G40:T40" ca="1" si="23">+SUMIF($G$8:$FN$8,G$29,$G19:$FN19)</f>
        <v>0</v>
      </c>
      <c r="H40" s="61">
        <f t="shared" ca="1" si="23"/>
        <v>0</v>
      </c>
      <c r="I40" s="61">
        <f t="shared" ca="1" si="23"/>
        <v>0</v>
      </c>
      <c r="J40" s="61">
        <f t="shared" ca="1" si="23"/>
        <v>0</v>
      </c>
      <c r="K40" s="61">
        <f t="shared" ca="1" si="23"/>
        <v>0</v>
      </c>
      <c r="L40" s="61">
        <f t="shared" ca="1" si="23"/>
        <v>0</v>
      </c>
      <c r="M40" s="61">
        <f t="shared" ca="1" si="23"/>
        <v>0</v>
      </c>
      <c r="N40" s="61">
        <f t="shared" ca="1" si="23"/>
        <v>0</v>
      </c>
      <c r="O40" s="61">
        <f t="shared" ca="1" si="23"/>
        <v>0</v>
      </c>
      <c r="P40" s="61">
        <f t="shared" ca="1" si="23"/>
        <v>0</v>
      </c>
      <c r="Q40" s="61">
        <f t="shared" ca="1" si="23"/>
        <v>0</v>
      </c>
      <c r="R40" s="61">
        <f t="shared" ca="1" si="23"/>
        <v>0</v>
      </c>
      <c r="S40" s="61">
        <f t="shared" ca="1" si="23"/>
        <v>0</v>
      </c>
      <c r="T40" s="61">
        <f t="shared" ca="1" si="23"/>
        <v>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9">
        <f t="shared" si="14"/>
        <v>2020</v>
      </c>
      <c r="E41" s="60">
        <f>+COUNTIF('Data Set'!$DS$5:'Data Set'!$DS$220,D41)</f>
        <v>16</v>
      </c>
      <c r="F41" s="20"/>
      <c r="G41" s="61">
        <f t="shared" ref="G41:T41" ca="1" si="24">+SUMIF($G$8:$FN$8,G$29,$G20:$FN20)</f>
        <v>0</v>
      </c>
      <c r="H41" s="61">
        <f t="shared" ca="1" si="24"/>
        <v>0</v>
      </c>
      <c r="I41" s="61">
        <f t="shared" ca="1" si="24"/>
        <v>0</v>
      </c>
      <c r="J41" s="61">
        <f t="shared" ca="1" si="24"/>
        <v>0</v>
      </c>
      <c r="K41" s="61">
        <f t="shared" ca="1" si="24"/>
        <v>0</v>
      </c>
      <c r="L41" s="61">
        <f t="shared" ca="1" si="24"/>
        <v>0</v>
      </c>
      <c r="M41" s="61">
        <f t="shared" ca="1" si="24"/>
        <v>0</v>
      </c>
      <c r="N41" s="61">
        <f t="shared" ca="1" si="24"/>
        <v>0</v>
      </c>
      <c r="O41" s="61">
        <f t="shared" ca="1" si="24"/>
        <v>0</v>
      </c>
      <c r="P41" s="61">
        <f t="shared" ca="1" si="24"/>
        <v>0</v>
      </c>
      <c r="Q41" s="61">
        <f t="shared" ca="1" si="24"/>
        <v>0</v>
      </c>
      <c r="R41" s="61">
        <f t="shared" ca="1" si="24"/>
        <v>0</v>
      </c>
      <c r="S41" s="61">
        <f t="shared" ca="1" si="24"/>
        <v>0</v>
      </c>
      <c r="T41" s="61">
        <f t="shared" ca="1" si="24"/>
        <v>0</v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9">
        <f t="shared" si="14"/>
        <v>2021</v>
      </c>
      <c r="E42" s="60">
        <f>+COUNTIF('Data Set'!$DS$5:'Data Set'!$DS$220,D42)</f>
        <v>15</v>
      </c>
      <c r="F42" s="20"/>
      <c r="G42" s="61">
        <f t="shared" ref="G42:T42" ca="1" si="25">+SUMIF($G$8:$FN$8,G$29,$G21:$FN21)</f>
        <v>0</v>
      </c>
      <c r="H42" s="61">
        <f t="shared" ca="1" si="25"/>
        <v>0</v>
      </c>
      <c r="I42" s="61">
        <f t="shared" ca="1" si="25"/>
        <v>0</v>
      </c>
      <c r="J42" s="61">
        <f t="shared" ca="1" si="25"/>
        <v>0</v>
      </c>
      <c r="K42" s="61">
        <f t="shared" ca="1" si="25"/>
        <v>0</v>
      </c>
      <c r="L42" s="61">
        <f t="shared" ca="1" si="25"/>
        <v>0</v>
      </c>
      <c r="M42" s="61">
        <f t="shared" ca="1" si="25"/>
        <v>0</v>
      </c>
      <c r="N42" s="61">
        <f t="shared" ca="1" si="25"/>
        <v>0</v>
      </c>
      <c r="O42" s="61">
        <f t="shared" ca="1" si="25"/>
        <v>0</v>
      </c>
      <c r="P42" s="61">
        <f t="shared" ca="1" si="25"/>
        <v>0</v>
      </c>
      <c r="Q42" s="61">
        <f t="shared" ca="1" si="25"/>
        <v>0</v>
      </c>
      <c r="R42" s="61">
        <f t="shared" ca="1" si="25"/>
        <v>0</v>
      </c>
      <c r="S42" s="61">
        <f t="shared" ca="1" si="25"/>
        <v>0</v>
      </c>
      <c r="T42" s="61">
        <f t="shared" ca="1" si="25"/>
        <v>0</v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9">
        <f t="shared" si="14"/>
        <v>2022</v>
      </c>
      <c r="E43" s="60">
        <f>+COUNTIF('Data Set'!$DS$5:'Data Set'!$DS$220,D43)</f>
        <v>2</v>
      </c>
      <c r="F43" s="20"/>
      <c r="G43" s="61">
        <f t="shared" ref="G43:T43" ca="1" si="26">+SUMIF($G$8:$FN$8,G$29,$G22:$FN22)</f>
        <v>0</v>
      </c>
      <c r="H43" s="61">
        <f t="shared" ca="1" si="26"/>
        <v>0</v>
      </c>
      <c r="I43" s="61">
        <f t="shared" ca="1" si="26"/>
        <v>0</v>
      </c>
      <c r="J43" s="61">
        <f t="shared" ca="1" si="26"/>
        <v>0</v>
      </c>
      <c r="K43" s="61">
        <f t="shared" ca="1" si="26"/>
        <v>0</v>
      </c>
      <c r="L43" s="61">
        <f t="shared" ca="1" si="26"/>
        <v>0</v>
      </c>
      <c r="M43" s="61">
        <f t="shared" ca="1" si="26"/>
        <v>0</v>
      </c>
      <c r="N43" s="61">
        <f t="shared" ca="1" si="26"/>
        <v>0</v>
      </c>
      <c r="O43" s="61">
        <f t="shared" ca="1" si="26"/>
        <v>0</v>
      </c>
      <c r="P43" s="61">
        <f t="shared" ca="1" si="26"/>
        <v>0</v>
      </c>
      <c r="Q43" s="61">
        <f t="shared" ca="1" si="26"/>
        <v>0</v>
      </c>
      <c r="R43" s="61">
        <f t="shared" ca="1" si="26"/>
        <v>0</v>
      </c>
      <c r="S43" s="61">
        <f t="shared" ca="1" si="26"/>
        <v>0</v>
      </c>
      <c r="T43" s="61">
        <f t="shared" ca="1" si="26"/>
        <v>0</v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9">
        <f t="shared" si="14"/>
        <v>2023</v>
      </c>
      <c r="E44" s="60">
        <f>+COUNTIF('Data Set'!$DS$5:'Data Set'!$DS$220,D44)</f>
        <v>3</v>
      </c>
      <c r="F44" s="20"/>
      <c r="G44" s="61">
        <f t="shared" ref="G44:T44" ca="1" si="27">+SUMIF($G$8:$FN$8,G$29,$G23:$FN23)</f>
        <v>0</v>
      </c>
      <c r="H44" s="61">
        <f t="shared" ca="1" si="27"/>
        <v>0</v>
      </c>
      <c r="I44" s="61">
        <f t="shared" ca="1" si="27"/>
        <v>0</v>
      </c>
      <c r="J44" s="61">
        <f t="shared" ca="1" si="27"/>
        <v>0</v>
      </c>
      <c r="K44" s="61">
        <f t="shared" ca="1" si="27"/>
        <v>0</v>
      </c>
      <c r="L44" s="61">
        <f t="shared" ca="1" si="27"/>
        <v>0</v>
      </c>
      <c r="M44" s="61">
        <f t="shared" ca="1" si="27"/>
        <v>0</v>
      </c>
      <c r="N44" s="61">
        <f t="shared" ca="1" si="27"/>
        <v>0</v>
      </c>
      <c r="O44" s="61">
        <f t="shared" ca="1" si="27"/>
        <v>0</v>
      </c>
      <c r="P44" s="61">
        <f t="shared" ca="1" si="27"/>
        <v>0</v>
      </c>
      <c r="Q44" s="61">
        <f t="shared" ca="1" si="27"/>
        <v>0</v>
      </c>
      <c r="R44" s="61">
        <f t="shared" ca="1" si="27"/>
        <v>0</v>
      </c>
      <c r="S44" s="61">
        <f t="shared" ca="1" si="27"/>
        <v>0</v>
      </c>
      <c r="T44" s="61">
        <f t="shared" ca="1" si="27"/>
        <v>0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x14ac:dyDescent="0.3">
      <c r="A46" s="13"/>
      <c r="B46" s="13"/>
      <c r="C46" s="45" t="s">
        <v>0</v>
      </c>
      <c r="D46" s="62" t="s">
        <v>26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18"/>
      <c r="E48" s="18"/>
      <c r="F48" s="49" t="s">
        <v>10</v>
      </c>
      <c r="G48" s="56">
        <v>1</v>
      </c>
      <c r="H48" s="57">
        <f t="shared" ref="H48:T48" si="28">+G48+1</f>
        <v>2</v>
      </c>
      <c r="I48" s="57">
        <f t="shared" si="28"/>
        <v>3</v>
      </c>
      <c r="J48" s="57">
        <f t="shared" si="28"/>
        <v>4</v>
      </c>
      <c r="K48" s="57">
        <f t="shared" si="28"/>
        <v>5</v>
      </c>
      <c r="L48" s="57">
        <f t="shared" si="28"/>
        <v>6</v>
      </c>
      <c r="M48" s="57">
        <f t="shared" si="28"/>
        <v>7</v>
      </c>
      <c r="N48" s="57">
        <f t="shared" si="28"/>
        <v>8</v>
      </c>
      <c r="O48" s="57">
        <f t="shared" si="28"/>
        <v>9</v>
      </c>
      <c r="P48" s="57">
        <f t="shared" si="28"/>
        <v>10</v>
      </c>
      <c r="Q48" s="57">
        <f t="shared" si="28"/>
        <v>11</v>
      </c>
      <c r="R48" s="57">
        <f t="shared" si="28"/>
        <v>12</v>
      </c>
      <c r="S48" s="57">
        <f t="shared" si="28"/>
        <v>13</v>
      </c>
      <c r="T48" s="57">
        <f t="shared" si="28"/>
        <v>14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ht="17.399999999999999" outlineLevel="1" x14ac:dyDescent="0.45">
      <c r="A49" s="13"/>
      <c r="B49" s="13"/>
      <c r="C49" s="13"/>
      <c r="D49" s="51" t="s">
        <v>21</v>
      </c>
      <c r="E49" s="51" t="s">
        <v>22</v>
      </c>
      <c r="F49" s="28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9">
        <v>2010</v>
      </c>
      <c r="E50" s="59">
        <f t="shared" ref="E50:E63" si="29">+E31</f>
        <v>6</v>
      </c>
      <c r="F50" s="20"/>
      <c r="G50" s="61">
        <f t="shared" ref="G50:T50" ca="1" si="30">+IFERROR(G31/$E50,"-")</f>
        <v>0</v>
      </c>
      <c r="H50" s="61">
        <f t="shared" ca="1" si="30"/>
        <v>0</v>
      </c>
      <c r="I50" s="61">
        <f t="shared" ca="1" si="30"/>
        <v>0</v>
      </c>
      <c r="J50" s="61">
        <f t="shared" ca="1" si="30"/>
        <v>0</v>
      </c>
      <c r="K50" s="61">
        <f t="shared" ca="1" si="30"/>
        <v>0</v>
      </c>
      <c r="L50" s="61">
        <f t="shared" ca="1" si="30"/>
        <v>0</v>
      </c>
      <c r="M50" s="61">
        <f t="shared" ca="1" si="30"/>
        <v>0</v>
      </c>
      <c r="N50" s="61">
        <f t="shared" ca="1" si="30"/>
        <v>0</v>
      </c>
      <c r="O50" s="61">
        <f t="shared" ca="1" si="30"/>
        <v>0</v>
      </c>
      <c r="P50" s="61">
        <f t="shared" ca="1" si="30"/>
        <v>0</v>
      </c>
      <c r="Q50" s="61">
        <f t="shared" ca="1" si="30"/>
        <v>0</v>
      </c>
      <c r="R50" s="61">
        <f t="shared" ca="1" si="30"/>
        <v>0</v>
      </c>
      <c r="S50" s="61">
        <f t="shared" ca="1" si="30"/>
        <v>0</v>
      </c>
      <c r="T50" s="61">
        <f t="shared" ca="1" si="30"/>
        <v>0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9">
        <f t="shared" ref="D51:D63" si="31">+D50+1</f>
        <v>2011</v>
      </c>
      <c r="E51" s="59">
        <f t="shared" si="29"/>
        <v>9</v>
      </c>
      <c r="F51" s="20"/>
      <c r="G51" s="61">
        <f t="shared" ref="G51:T51" ca="1" si="32">+IFERROR(G32/$E51,"-")</f>
        <v>0</v>
      </c>
      <c r="H51" s="61">
        <f t="shared" ca="1" si="32"/>
        <v>0</v>
      </c>
      <c r="I51" s="61">
        <f t="shared" ca="1" si="32"/>
        <v>0</v>
      </c>
      <c r="J51" s="61">
        <f t="shared" ca="1" si="32"/>
        <v>0</v>
      </c>
      <c r="K51" s="61">
        <f t="shared" ca="1" si="32"/>
        <v>0</v>
      </c>
      <c r="L51" s="61">
        <f t="shared" ca="1" si="32"/>
        <v>0</v>
      </c>
      <c r="M51" s="61">
        <f t="shared" ca="1" si="32"/>
        <v>0</v>
      </c>
      <c r="N51" s="61">
        <f t="shared" ca="1" si="32"/>
        <v>0</v>
      </c>
      <c r="O51" s="61">
        <f t="shared" ca="1" si="32"/>
        <v>0</v>
      </c>
      <c r="P51" s="61">
        <f t="shared" ca="1" si="32"/>
        <v>0</v>
      </c>
      <c r="Q51" s="61">
        <f t="shared" ca="1" si="32"/>
        <v>0</v>
      </c>
      <c r="R51" s="61">
        <f t="shared" ca="1" si="32"/>
        <v>0</v>
      </c>
      <c r="S51" s="61">
        <f t="shared" ca="1" si="32"/>
        <v>0</v>
      </c>
      <c r="T51" s="61">
        <f t="shared" ca="1" si="32"/>
        <v>0</v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9">
        <f t="shared" si="31"/>
        <v>2012</v>
      </c>
      <c r="E52" s="59">
        <f t="shared" si="29"/>
        <v>10</v>
      </c>
      <c r="F52" s="20"/>
      <c r="G52" s="61">
        <f t="shared" ref="G52:T52" ca="1" si="33">+IFERROR(G33/$E52,"-")</f>
        <v>0</v>
      </c>
      <c r="H52" s="61">
        <f t="shared" ca="1" si="33"/>
        <v>0</v>
      </c>
      <c r="I52" s="61">
        <f t="shared" ca="1" si="33"/>
        <v>0</v>
      </c>
      <c r="J52" s="61">
        <f t="shared" ca="1" si="33"/>
        <v>0</v>
      </c>
      <c r="K52" s="61">
        <f t="shared" ca="1" si="33"/>
        <v>0</v>
      </c>
      <c r="L52" s="61">
        <f t="shared" ca="1" si="33"/>
        <v>0</v>
      </c>
      <c r="M52" s="61">
        <f t="shared" ca="1" si="33"/>
        <v>0</v>
      </c>
      <c r="N52" s="61">
        <f t="shared" ca="1" si="33"/>
        <v>0</v>
      </c>
      <c r="O52" s="61">
        <f t="shared" ca="1" si="33"/>
        <v>0</v>
      </c>
      <c r="P52" s="61">
        <f t="shared" ca="1" si="33"/>
        <v>0</v>
      </c>
      <c r="Q52" s="61">
        <f t="shared" ca="1" si="33"/>
        <v>0</v>
      </c>
      <c r="R52" s="61">
        <f t="shared" ca="1" si="33"/>
        <v>0</v>
      </c>
      <c r="S52" s="61">
        <f t="shared" ca="1" si="33"/>
        <v>0</v>
      </c>
      <c r="T52" s="61">
        <f t="shared" ca="1" si="33"/>
        <v>0</v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9">
        <f t="shared" si="31"/>
        <v>2013</v>
      </c>
      <c r="E53" s="59">
        <f t="shared" si="29"/>
        <v>20</v>
      </c>
      <c r="F53" s="20"/>
      <c r="G53" s="61">
        <f t="shared" ref="G53:T53" ca="1" si="34">+IFERROR(G34/$E53,"-")</f>
        <v>0</v>
      </c>
      <c r="H53" s="61">
        <f t="shared" ca="1" si="34"/>
        <v>0</v>
      </c>
      <c r="I53" s="61">
        <f t="shared" ca="1" si="34"/>
        <v>0</v>
      </c>
      <c r="J53" s="61">
        <f t="shared" ca="1" si="34"/>
        <v>0</v>
      </c>
      <c r="K53" s="61">
        <f t="shared" ca="1" si="34"/>
        <v>0</v>
      </c>
      <c r="L53" s="61">
        <f t="shared" ca="1" si="34"/>
        <v>0</v>
      </c>
      <c r="M53" s="61">
        <f t="shared" ca="1" si="34"/>
        <v>0</v>
      </c>
      <c r="N53" s="61">
        <f t="shared" ca="1" si="34"/>
        <v>0</v>
      </c>
      <c r="O53" s="61">
        <f t="shared" ca="1" si="34"/>
        <v>0</v>
      </c>
      <c r="P53" s="61">
        <f t="shared" ca="1" si="34"/>
        <v>0</v>
      </c>
      <c r="Q53" s="61">
        <f t="shared" ca="1" si="34"/>
        <v>0</v>
      </c>
      <c r="R53" s="61">
        <f t="shared" ca="1" si="34"/>
        <v>0</v>
      </c>
      <c r="S53" s="61">
        <f t="shared" ca="1" si="34"/>
        <v>0</v>
      </c>
      <c r="T53" s="61">
        <f t="shared" ca="1" si="34"/>
        <v>0</v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9">
        <f t="shared" si="31"/>
        <v>2014</v>
      </c>
      <c r="E54" s="59">
        <f t="shared" si="29"/>
        <v>23</v>
      </c>
      <c r="F54" s="20"/>
      <c r="G54" s="61">
        <f t="shared" ref="G54:T54" ca="1" si="35">+IFERROR(G35/$E54,"-")</f>
        <v>0</v>
      </c>
      <c r="H54" s="61">
        <f t="shared" ca="1" si="35"/>
        <v>0</v>
      </c>
      <c r="I54" s="61">
        <f t="shared" ca="1" si="35"/>
        <v>0</v>
      </c>
      <c r="J54" s="61">
        <f t="shared" ca="1" si="35"/>
        <v>0</v>
      </c>
      <c r="K54" s="61">
        <f t="shared" ca="1" si="35"/>
        <v>0</v>
      </c>
      <c r="L54" s="61">
        <f t="shared" ca="1" si="35"/>
        <v>0</v>
      </c>
      <c r="M54" s="61">
        <f t="shared" ca="1" si="35"/>
        <v>0</v>
      </c>
      <c r="N54" s="61">
        <f t="shared" ca="1" si="35"/>
        <v>0</v>
      </c>
      <c r="O54" s="61">
        <f t="shared" ca="1" si="35"/>
        <v>0</v>
      </c>
      <c r="P54" s="61">
        <f t="shared" ca="1" si="35"/>
        <v>0</v>
      </c>
      <c r="Q54" s="61">
        <f t="shared" ca="1" si="35"/>
        <v>0</v>
      </c>
      <c r="R54" s="61">
        <f t="shared" ca="1" si="35"/>
        <v>0</v>
      </c>
      <c r="S54" s="61">
        <f t="shared" ca="1" si="35"/>
        <v>0</v>
      </c>
      <c r="T54" s="61">
        <f t="shared" ca="1" si="35"/>
        <v>0</v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9">
        <f t="shared" si="31"/>
        <v>2015</v>
      </c>
      <c r="E55" s="59">
        <f t="shared" si="29"/>
        <v>17</v>
      </c>
      <c r="F55" s="20"/>
      <c r="G55" s="61">
        <f t="shared" ref="G55:T55" ca="1" si="36">+IFERROR(G36/$E55,"-")</f>
        <v>0</v>
      </c>
      <c r="H55" s="61">
        <f t="shared" ca="1" si="36"/>
        <v>0</v>
      </c>
      <c r="I55" s="61">
        <f t="shared" ca="1" si="36"/>
        <v>0</v>
      </c>
      <c r="J55" s="61">
        <f t="shared" ca="1" si="36"/>
        <v>0</v>
      </c>
      <c r="K55" s="61">
        <f t="shared" ca="1" si="36"/>
        <v>0</v>
      </c>
      <c r="L55" s="61">
        <f t="shared" ca="1" si="36"/>
        <v>0</v>
      </c>
      <c r="M55" s="61">
        <f t="shared" ca="1" si="36"/>
        <v>0</v>
      </c>
      <c r="N55" s="61">
        <f t="shared" ca="1" si="36"/>
        <v>0</v>
      </c>
      <c r="O55" s="61">
        <f t="shared" ca="1" si="36"/>
        <v>0</v>
      </c>
      <c r="P55" s="61">
        <f t="shared" ca="1" si="36"/>
        <v>0</v>
      </c>
      <c r="Q55" s="61">
        <f t="shared" ca="1" si="36"/>
        <v>0</v>
      </c>
      <c r="R55" s="61">
        <f t="shared" ca="1" si="36"/>
        <v>0</v>
      </c>
      <c r="S55" s="61">
        <f t="shared" ca="1" si="36"/>
        <v>0</v>
      </c>
      <c r="T55" s="61">
        <f t="shared" ca="1" si="36"/>
        <v>0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9">
        <f t="shared" si="31"/>
        <v>2016</v>
      </c>
      <c r="E56" s="59">
        <f t="shared" si="29"/>
        <v>16</v>
      </c>
      <c r="F56" s="20"/>
      <c r="G56" s="61">
        <f t="shared" ref="G56:T56" ca="1" si="37">+IFERROR(G37/$E56,"-")</f>
        <v>0</v>
      </c>
      <c r="H56" s="61">
        <f t="shared" ca="1" si="37"/>
        <v>0</v>
      </c>
      <c r="I56" s="61">
        <f t="shared" ca="1" si="37"/>
        <v>0</v>
      </c>
      <c r="J56" s="61">
        <f t="shared" ca="1" si="37"/>
        <v>0</v>
      </c>
      <c r="K56" s="61">
        <f t="shared" ca="1" si="37"/>
        <v>0</v>
      </c>
      <c r="L56" s="61">
        <f t="shared" ca="1" si="37"/>
        <v>0</v>
      </c>
      <c r="M56" s="61">
        <f t="shared" ca="1" si="37"/>
        <v>0</v>
      </c>
      <c r="N56" s="61">
        <f t="shared" ca="1" si="37"/>
        <v>0</v>
      </c>
      <c r="O56" s="61">
        <f t="shared" ca="1" si="37"/>
        <v>0</v>
      </c>
      <c r="P56" s="61">
        <f t="shared" ca="1" si="37"/>
        <v>0</v>
      </c>
      <c r="Q56" s="61">
        <f t="shared" ca="1" si="37"/>
        <v>0</v>
      </c>
      <c r="R56" s="61">
        <f t="shared" ca="1" si="37"/>
        <v>0</v>
      </c>
      <c r="S56" s="61">
        <f t="shared" ca="1" si="37"/>
        <v>0</v>
      </c>
      <c r="T56" s="61">
        <f t="shared" ca="1" si="37"/>
        <v>0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9">
        <f t="shared" si="31"/>
        <v>2017</v>
      </c>
      <c r="E57" s="59">
        <f t="shared" si="29"/>
        <v>19</v>
      </c>
      <c r="F57" s="20"/>
      <c r="G57" s="61">
        <f t="shared" ref="G57:T57" ca="1" si="38">+IFERROR(G38/$E57,"-")</f>
        <v>0</v>
      </c>
      <c r="H57" s="61">
        <f t="shared" ca="1" si="38"/>
        <v>0</v>
      </c>
      <c r="I57" s="61">
        <f t="shared" ca="1" si="38"/>
        <v>0</v>
      </c>
      <c r="J57" s="61">
        <f t="shared" ca="1" si="38"/>
        <v>0</v>
      </c>
      <c r="K57" s="61">
        <f t="shared" ca="1" si="38"/>
        <v>0</v>
      </c>
      <c r="L57" s="61">
        <f t="shared" ca="1" si="38"/>
        <v>0</v>
      </c>
      <c r="M57" s="61">
        <f t="shared" ca="1" si="38"/>
        <v>0</v>
      </c>
      <c r="N57" s="61">
        <f t="shared" ca="1" si="38"/>
        <v>0</v>
      </c>
      <c r="O57" s="61">
        <f t="shared" ca="1" si="38"/>
        <v>0</v>
      </c>
      <c r="P57" s="61">
        <f t="shared" ca="1" si="38"/>
        <v>0</v>
      </c>
      <c r="Q57" s="61">
        <f t="shared" ca="1" si="38"/>
        <v>0</v>
      </c>
      <c r="R57" s="61">
        <f t="shared" ca="1" si="38"/>
        <v>0</v>
      </c>
      <c r="S57" s="61">
        <f t="shared" ca="1" si="38"/>
        <v>0</v>
      </c>
      <c r="T57" s="61">
        <f t="shared" ca="1" si="38"/>
        <v>0</v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9">
        <f t="shared" si="31"/>
        <v>2018</v>
      </c>
      <c r="E58" s="59">
        <f t="shared" si="29"/>
        <v>15</v>
      </c>
      <c r="F58" s="20"/>
      <c r="G58" s="61">
        <f t="shared" ref="G58:T58" ca="1" si="39">+IFERROR(G39/$E58,"-")</f>
        <v>0</v>
      </c>
      <c r="H58" s="61">
        <f t="shared" ca="1" si="39"/>
        <v>0</v>
      </c>
      <c r="I58" s="61">
        <f t="shared" ca="1" si="39"/>
        <v>0</v>
      </c>
      <c r="J58" s="61">
        <f t="shared" ca="1" si="39"/>
        <v>0</v>
      </c>
      <c r="K58" s="61">
        <f t="shared" ca="1" si="39"/>
        <v>0</v>
      </c>
      <c r="L58" s="61">
        <f t="shared" ca="1" si="39"/>
        <v>0</v>
      </c>
      <c r="M58" s="61">
        <f t="shared" ca="1" si="39"/>
        <v>0</v>
      </c>
      <c r="N58" s="61">
        <f t="shared" ca="1" si="39"/>
        <v>0</v>
      </c>
      <c r="O58" s="61">
        <f t="shared" ca="1" si="39"/>
        <v>0</v>
      </c>
      <c r="P58" s="61">
        <f t="shared" ca="1" si="39"/>
        <v>0</v>
      </c>
      <c r="Q58" s="61">
        <f t="shared" ca="1" si="39"/>
        <v>0</v>
      </c>
      <c r="R58" s="61">
        <f t="shared" ca="1" si="39"/>
        <v>0</v>
      </c>
      <c r="S58" s="61">
        <f t="shared" ca="1" si="39"/>
        <v>0</v>
      </c>
      <c r="T58" s="61">
        <f t="shared" ca="1" si="39"/>
        <v>0</v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9">
        <f t="shared" si="31"/>
        <v>2019</v>
      </c>
      <c r="E59" s="59">
        <f t="shared" si="29"/>
        <v>13</v>
      </c>
      <c r="F59" s="20"/>
      <c r="G59" s="61">
        <f t="shared" ref="G59:T59" ca="1" si="40">+IFERROR(G40/$E59,"-")</f>
        <v>0</v>
      </c>
      <c r="H59" s="61">
        <f t="shared" ca="1" si="40"/>
        <v>0</v>
      </c>
      <c r="I59" s="61">
        <f t="shared" ca="1" si="40"/>
        <v>0</v>
      </c>
      <c r="J59" s="61">
        <f t="shared" ca="1" si="40"/>
        <v>0</v>
      </c>
      <c r="K59" s="61">
        <f t="shared" ca="1" si="40"/>
        <v>0</v>
      </c>
      <c r="L59" s="61">
        <f t="shared" ca="1" si="40"/>
        <v>0</v>
      </c>
      <c r="M59" s="61">
        <f t="shared" ca="1" si="40"/>
        <v>0</v>
      </c>
      <c r="N59" s="61">
        <f t="shared" ca="1" si="40"/>
        <v>0</v>
      </c>
      <c r="O59" s="61">
        <f t="shared" ca="1" si="40"/>
        <v>0</v>
      </c>
      <c r="P59" s="61">
        <f t="shared" ca="1" si="40"/>
        <v>0</v>
      </c>
      <c r="Q59" s="61">
        <f t="shared" ca="1" si="40"/>
        <v>0</v>
      </c>
      <c r="R59" s="61">
        <f t="shared" ca="1" si="40"/>
        <v>0</v>
      </c>
      <c r="S59" s="61">
        <f t="shared" ca="1" si="40"/>
        <v>0</v>
      </c>
      <c r="T59" s="61">
        <f t="shared" ca="1" si="40"/>
        <v>0</v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9">
        <f t="shared" si="31"/>
        <v>2020</v>
      </c>
      <c r="E60" s="59">
        <f t="shared" si="29"/>
        <v>16</v>
      </c>
      <c r="F60" s="20"/>
      <c r="G60" s="61">
        <f t="shared" ref="G60:T60" ca="1" si="41">+IFERROR(G41/$E60,"-")</f>
        <v>0</v>
      </c>
      <c r="H60" s="61">
        <f t="shared" ca="1" si="41"/>
        <v>0</v>
      </c>
      <c r="I60" s="61">
        <f t="shared" ca="1" si="41"/>
        <v>0</v>
      </c>
      <c r="J60" s="61">
        <f t="shared" ca="1" si="41"/>
        <v>0</v>
      </c>
      <c r="K60" s="61">
        <f t="shared" ca="1" si="41"/>
        <v>0</v>
      </c>
      <c r="L60" s="61">
        <f t="shared" ca="1" si="41"/>
        <v>0</v>
      </c>
      <c r="M60" s="61">
        <f t="shared" ca="1" si="41"/>
        <v>0</v>
      </c>
      <c r="N60" s="61">
        <f t="shared" ca="1" si="41"/>
        <v>0</v>
      </c>
      <c r="O60" s="61">
        <f t="shared" ca="1" si="41"/>
        <v>0</v>
      </c>
      <c r="P60" s="61">
        <f t="shared" ca="1" si="41"/>
        <v>0</v>
      </c>
      <c r="Q60" s="61">
        <f t="shared" ca="1" si="41"/>
        <v>0</v>
      </c>
      <c r="R60" s="61">
        <f t="shared" ca="1" si="41"/>
        <v>0</v>
      </c>
      <c r="S60" s="61">
        <f t="shared" ca="1" si="41"/>
        <v>0</v>
      </c>
      <c r="T60" s="61">
        <f t="shared" ca="1" si="41"/>
        <v>0</v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9">
        <f t="shared" si="31"/>
        <v>2021</v>
      </c>
      <c r="E61" s="59">
        <f t="shared" si="29"/>
        <v>15</v>
      </c>
      <c r="F61" s="20"/>
      <c r="G61" s="61">
        <f t="shared" ref="G61:T61" ca="1" si="42">+IFERROR(G42/$E61,"-")</f>
        <v>0</v>
      </c>
      <c r="H61" s="61">
        <f t="shared" ca="1" si="42"/>
        <v>0</v>
      </c>
      <c r="I61" s="61">
        <f t="shared" ca="1" si="42"/>
        <v>0</v>
      </c>
      <c r="J61" s="61">
        <f t="shared" ca="1" si="42"/>
        <v>0</v>
      </c>
      <c r="K61" s="61">
        <f t="shared" ca="1" si="42"/>
        <v>0</v>
      </c>
      <c r="L61" s="61">
        <f t="shared" ca="1" si="42"/>
        <v>0</v>
      </c>
      <c r="M61" s="61">
        <f t="shared" ca="1" si="42"/>
        <v>0</v>
      </c>
      <c r="N61" s="61">
        <f t="shared" ca="1" si="42"/>
        <v>0</v>
      </c>
      <c r="O61" s="61">
        <f t="shared" ca="1" si="42"/>
        <v>0</v>
      </c>
      <c r="P61" s="61">
        <f t="shared" ca="1" si="42"/>
        <v>0</v>
      </c>
      <c r="Q61" s="61">
        <f t="shared" ca="1" si="42"/>
        <v>0</v>
      </c>
      <c r="R61" s="61">
        <f t="shared" ca="1" si="42"/>
        <v>0</v>
      </c>
      <c r="S61" s="61">
        <f t="shared" ca="1" si="42"/>
        <v>0</v>
      </c>
      <c r="T61" s="61">
        <f t="shared" ca="1" si="42"/>
        <v>0</v>
      </c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9">
        <f t="shared" si="31"/>
        <v>2022</v>
      </c>
      <c r="E62" s="59">
        <f t="shared" si="29"/>
        <v>2</v>
      </c>
      <c r="F62" s="20"/>
      <c r="G62" s="61">
        <f t="shared" ref="G62:T62" ca="1" si="43">+IFERROR(G43/$E62,"-")</f>
        <v>0</v>
      </c>
      <c r="H62" s="61">
        <f t="shared" ca="1" si="43"/>
        <v>0</v>
      </c>
      <c r="I62" s="61">
        <f t="shared" ca="1" si="43"/>
        <v>0</v>
      </c>
      <c r="J62" s="61">
        <f t="shared" ca="1" si="43"/>
        <v>0</v>
      </c>
      <c r="K62" s="61">
        <f t="shared" ca="1" si="43"/>
        <v>0</v>
      </c>
      <c r="L62" s="61">
        <f t="shared" ca="1" si="43"/>
        <v>0</v>
      </c>
      <c r="M62" s="61">
        <f t="shared" ca="1" si="43"/>
        <v>0</v>
      </c>
      <c r="N62" s="61">
        <f t="shared" ca="1" si="43"/>
        <v>0</v>
      </c>
      <c r="O62" s="61">
        <f t="shared" ca="1" si="43"/>
        <v>0</v>
      </c>
      <c r="P62" s="61">
        <f t="shared" ca="1" si="43"/>
        <v>0</v>
      </c>
      <c r="Q62" s="61">
        <f t="shared" ca="1" si="43"/>
        <v>0</v>
      </c>
      <c r="R62" s="61">
        <f t="shared" ca="1" si="43"/>
        <v>0</v>
      </c>
      <c r="S62" s="61">
        <f t="shared" ca="1" si="43"/>
        <v>0</v>
      </c>
      <c r="T62" s="61">
        <f t="shared" ca="1" si="43"/>
        <v>0</v>
      </c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9">
        <f t="shared" si="31"/>
        <v>2023</v>
      </c>
      <c r="E63" s="59">
        <f t="shared" si="29"/>
        <v>3</v>
      </c>
      <c r="F63" s="20"/>
      <c r="G63" s="61">
        <f t="shared" ref="G63:T63" ca="1" si="44">+IFERROR(G44/$E63,"-")</f>
        <v>0</v>
      </c>
      <c r="H63" s="61">
        <f t="shared" ca="1" si="44"/>
        <v>0</v>
      </c>
      <c r="I63" s="61">
        <f t="shared" ca="1" si="44"/>
        <v>0</v>
      </c>
      <c r="J63" s="61">
        <f t="shared" ca="1" si="44"/>
        <v>0</v>
      </c>
      <c r="K63" s="61">
        <f t="shared" ca="1" si="44"/>
        <v>0</v>
      </c>
      <c r="L63" s="61">
        <f t="shared" ca="1" si="44"/>
        <v>0</v>
      </c>
      <c r="M63" s="61">
        <f t="shared" ca="1" si="44"/>
        <v>0</v>
      </c>
      <c r="N63" s="61">
        <f t="shared" ca="1" si="44"/>
        <v>0</v>
      </c>
      <c r="O63" s="61">
        <f t="shared" ca="1" si="44"/>
        <v>0</v>
      </c>
      <c r="P63" s="61">
        <f t="shared" ca="1" si="44"/>
        <v>0</v>
      </c>
      <c r="Q63" s="61">
        <f t="shared" ca="1" si="44"/>
        <v>0</v>
      </c>
      <c r="R63" s="61">
        <f t="shared" ca="1" si="44"/>
        <v>0</v>
      </c>
      <c r="S63" s="61">
        <f t="shared" ca="1" si="44"/>
        <v>0</v>
      </c>
      <c r="T63" s="61">
        <f t="shared" ca="1" si="44"/>
        <v>0</v>
      </c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31"/>
      <c r="C64" s="31"/>
      <c r="D64" s="63" t="s">
        <v>7</v>
      </c>
      <c r="E64" s="32"/>
      <c r="F64" s="33"/>
      <c r="G64" s="64" t="e">
        <f t="shared" ref="G64:Q64" ca="1" si="45">AVERAGEIF(G50:G63,"&gt;0")</f>
        <v>#DIV/0!</v>
      </c>
      <c r="H64" s="64" t="e">
        <f t="shared" ca="1" si="45"/>
        <v>#DIV/0!</v>
      </c>
      <c r="I64" s="64" t="e">
        <f t="shared" ca="1" si="45"/>
        <v>#DIV/0!</v>
      </c>
      <c r="J64" s="64" t="e">
        <f t="shared" ca="1" si="45"/>
        <v>#DIV/0!</v>
      </c>
      <c r="K64" s="64" t="e">
        <f t="shared" ca="1" si="45"/>
        <v>#DIV/0!</v>
      </c>
      <c r="L64" s="64" t="e">
        <f t="shared" ca="1" si="45"/>
        <v>#DIV/0!</v>
      </c>
      <c r="M64" s="64" t="e">
        <f t="shared" ca="1" si="45"/>
        <v>#DIV/0!</v>
      </c>
      <c r="N64" s="64" t="e">
        <f t="shared" ca="1" si="45"/>
        <v>#DIV/0!</v>
      </c>
      <c r="O64" s="64" t="e">
        <f t="shared" ca="1" si="45"/>
        <v>#DIV/0!</v>
      </c>
      <c r="P64" s="64" t="e">
        <f t="shared" ca="1" si="45"/>
        <v>#DIV/0!</v>
      </c>
      <c r="Q64" s="64" t="e">
        <f t="shared" ca="1" si="45"/>
        <v>#DIV/0!</v>
      </c>
      <c r="R64" s="34"/>
      <c r="S64" s="34"/>
      <c r="T64" s="34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13"/>
    </row>
    <row r="65" spans="1:171" x14ac:dyDescent="0.3">
      <c r="A65" s="13"/>
      <c r="B65" s="13"/>
      <c r="C65" s="13"/>
      <c r="D65" s="13"/>
      <c r="E65" s="13"/>
      <c r="F65" s="13"/>
      <c r="G65" s="13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x14ac:dyDescent="0.3">
      <c r="A66" s="13"/>
      <c r="B66" s="16"/>
      <c r="C66" s="16" t="s">
        <v>0</v>
      </c>
      <c r="D66" s="16" t="s">
        <v>27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3"/>
    </row>
    <row r="67" spans="1:171" outlineLevel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18"/>
      <c r="E68" s="18"/>
      <c r="F68" s="49" t="s">
        <v>10</v>
      </c>
      <c r="G68" s="56">
        <v>1</v>
      </c>
      <c r="H68" s="57">
        <f t="shared" ref="H68:T68" si="46">+G68+1</f>
        <v>2</v>
      </c>
      <c r="I68" s="57">
        <f t="shared" si="46"/>
        <v>3</v>
      </c>
      <c r="J68" s="57">
        <f t="shared" si="46"/>
        <v>4</v>
      </c>
      <c r="K68" s="57">
        <f t="shared" si="46"/>
        <v>5</v>
      </c>
      <c r="L68" s="57">
        <f t="shared" si="46"/>
        <v>6</v>
      </c>
      <c r="M68" s="57">
        <f t="shared" si="46"/>
        <v>7</v>
      </c>
      <c r="N68" s="57">
        <f t="shared" si="46"/>
        <v>8</v>
      </c>
      <c r="O68" s="57">
        <f t="shared" si="46"/>
        <v>9</v>
      </c>
      <c r="P68" s="57">
        <f t="shared" si="46"/>
        <v>10</v>
      </c>
      <c r="Q68" s="57">
        <f t="shared" si="46"/>
        <v>11</v>
      </c>
      <c r="R68" s="57">
        <f t="shared" si="46"/>
        <v>12</v>
      </c>
      <c r="S68" s="57">
        <f t="shared" si="46"/>
        <v>13</v>
      </c>
      <c r="T68" s="57">
        <f t="shared" si="46"/>
        <v>14</v>
      </c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ht="17.399999999999999" outlineLevel="1" x14ac:dyDescent="0.45">
      <c r="A69" s="13"/>
      <c r="B69" s="13"/>
      <c r="C69" s="13"/>
      <c r="D69" s="51" t="s">
        <v>21</v>
      </c>
      <c r="E69" s="51" t="s">
        <v>22</v>
      </c>
      <c r="F69" s="28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9">
        <v>2010</v>
      </c>
      <c r="E70" s="59">
        <f t="shared" ref="E70:E83" si="47">+E31</f>
        <v>6</v>
      </c>
      <c r="F70" s="20"/>
      <c r="G70" s="19"/>
      <c r="H70" s="74" t="str">
        <f t="shared" ref="H70:S70" ca="1" si="48">+IFERROR(H50/G50-1,"-")</f>
        <v>-</v>
      </c>
      <c r="I70" s="74" t="str">
        <f t="shared" ca="1" si="48"/>
        <v>-</v>
      </c>
      <c r="J70" s="74" t="str">
        <f t="shared" ca="1" si="48"/>
        <v>-</v>
      </c>
      <c r="K70" s="74" t="str">
        <f t="shared" ca="1" si="48"/>
        <v>-</v>
      </c>
      <c r="L70" s="74" t="str">
        <f t="shared" ca="1" si="48"/>
        <v>-</v>
      </c>
      <c r="M70" s="74" t="str">
        <f t="shared" ca="1" si="48"/>
        <v>-</v>
      </c>
      <c r="N70" s="74" t="str">
        <f t="shared" ca="1" si="48"/>
        <v>-</v>
      </c>
      <c r="O70" s="74" t="str">
        <f t="shared" ca="1" si="48"/>
        <v>-</v>
      </c>
      <c r="P70" s="74" t="str">
        <f t="shared" ca="1" si="48"/>
        <v>-</v>
      </c>
      <c r="Q70" s="74" t="str">
        <f t="shared" ca="1" si="48"/>
        <v>-</v>
      </c>
      <c r="R70" s="74" t="str">
        <f t="shared" ca="1" si="48"/>
        <v>-</v>
      </c>
      <c r="S70" s="74" t="str">
        <f t="shared" ca="1" si="48"/>
        <v>-</v>
      </c>
      <c r="T70" s="6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9">
        <f t="shared" ref="D71:D83" si="49">+D70+1</f>
        <v>2011</v>
      </c>
      <c r="E71" s="59">
        <f t="shared" si="47"/>
        <v>9</v>
      </c>
      <c r="F71" s="20"/>
      <c r="G71" s="19"/>
      <c r="H71" s="74" t="str">
        <f t="shared" ref="H71:R71" ca="1" si="50">+IFERROR(H51/G51-1,"-")</f>
        <v>-</v>
      </c>
      <c r="I71" s="74" t="str">
        <f t="shared" ca="1" si="50"/>
        <v>-</v>
      </c>
      <c r="J71" s="74" t="str">
        <f t="shared" ca="1" si="50"/>
        <v>-</v>
      </c>
      <c r="K71" s="74" t="str">
        <f t="shared" ca="1" si="50"/>
        <v>-</v>
      </c>
      <c r="L71" s="74" t="str">
        <f t="shared" ca="1" si="50"/>
        <v>-</v>
      </c>
      <c r="M71" s="74" t="str">
        <f t="shared" ca="1" si="50"/>
        <v>-</v>
      </c>
      <c r="N71" s="74" t="str">
        <f t="shared" ca="1" si="50"/>
        <v>-</v>
      </c>
      <c r="O71" s="74" t="str">
        <f t="shared" ca="1" si="50"/>
        <v>-</v>
      </c>
      <c r="P71" s="74" t="str">
        <f t="shared" ca="1" si="50"/>
        <v>-</v>
      </c>
      <c r="Q71" s="74" t="str">
        <f t="shared" ca="1" si="50"/>
        <v>-</v>
      </c>
      <c r="R71" s="74" t="str">
        <f t="shared" ca="1" si="50"/>
        <v>-</v>
      </c>
      <c r="S71" s="67"/>
      <c r="T71" s="6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9">
        <f t="shared" si="49"/>
        <v>2012</v>
      </c>
      <c r="E72" s="59">
        <f t="shared" si="47"/>
        <v>10</v>
      </c>
      <c r="F72" s="20"/>
      <c r="G72" s="19"/>
      <c r="H72" s="74" t="str">
        <f t="shared" ref="H72:Q72" ca="1" si="51">+IFERROR(H52/G52-1,"-")</f>
        <v>-</v>
      </c>
      <c r="I72" s="74" t="str">
        <f t="shared" ca="1" si="51"/>
        <v>-</v>
      </c>
      <c r="J72" s="74" t="str">
        <f t="shared" ca="1" si="51"/>
        <v>-</v>
      </c>
      <c r="K72" s="74" t="str">
        <f t="shared" ca="1" si="51"/>
        <v>-</v>
      </c>
      <c r="L72" s="74" t="str">
        <f t="shared" ca="1" si="51"/>
        <v>-</v>
      </c>
      <c r="M72" s="74" t="str">
        <f t="shared" ca="1" si="51"/>
        <v>-</v>
      </c>
      <c r="N72" s="74" t="str">
        <f t="shared" ca="1" si="51"/>
        <v>-</v>
      </c>
      <c r="O72" s="74" t="str">
        <f t="shared" ca="1" si="51"/>
        <v>-</v>
      </c>
      <c r="P72" s="74" t="str">
        <f t="shared" ca="1" si="51"/>
        <v>-</v>
      </c>
      <c r="Q72" s="74" t="str">
        <f t="shared" ca="1" si="51"/>
        <v>-</v>
      </c>
      <c r="R72" s="67"/>
      <c r="S72" s="67"/>
      <c r="T72" s="6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9">
        <f t="shared" si="49"/>
        <v>2013</v>
      </c>
      <c r="E73" s="59">
        <f t="shared" si="47"/>
        <v>20</v>
      </c>
      <c r="F73" s="20"/>
      <c r="G73" s="19"/>
      <c r="H73" s="74" t="str">
        <f t="shared" ref="H73:P73" ca="1" si="52">+IFERROR(H53/G53-1,"-")</f>
        <v>-</v>
      </c>
      <c r="I73" s="74" t="str">
        <f t="shared" ca="1" si="52"/>
        <v>-</v>
      </c>
      <c r="J73" s="74" t="str">
        <f t="shared" ca="1" si="52"/>
        <v>-</v>
      </c>
      <c r="K73" s="74" t="str">
        <f t="shared" ca="1" si="52"/>
        <v>-</v>
      </c>
      <c r="L73" s="74" t="str">
        <f t="shared" ca="1" si="52"/>
        <v>-</v>
      </c>
      <c r="M73" s="74" t="str">
        <f t="shared" ca="1" si="52"/>
        <v>-</v>
      </c>
      <c r="N73" s="74" t="str">
        <f t="shared" ca="1" si="52"/>
        <v>-</v>
      </c>
      <c r="O73" s="74" t="str">
        <f t="shared" ca="1" si="52"/>
        <v>-</v>
      </c>
      <c r="P73" s="74" t="str">
        <f t="shared" ca="1" si="52"/>
        <v>-</v>
      </c>
      <c r="Q73" s="67"/>
      <c r="R73" s="67"/>
      <c r="S73" s="67"/>
      <c r="T73" s="6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9">
        <f t="shared" si="49"/>
        <v>2014</v>
      </c>
      <c r="E74" s="59">
        <f t="shared" si="47"/>
        <v>23</v>
      </c>
      <c r="F74" s="20"/>
      <c r="G74" s="19"/>
      <c r="H74" s="74" t="str">
        <f t="shared" ref="H74:O74" ca="1" si="53">+IFERROR(H54/G54-1,"-")</f>
        <v>-</v>
      </c>
      <c r="I74" s="74" t="str">
        <f t="shared" ca="1" si="53"/>
        <v>-</v>
      </c>
      <c r="J74" s="74" t="str">
        <f t="shared" ca="1" si="53"/>
        <v>-</v>
      </c>
      <c r="K74" s="74" t="str">
        <f t="shared" ca="1" si="53"/>
        <v>-</v>
      </c>
      <c r="L74" s="74" t="str">
        <f t="shared" ca="1" si="53"/>
        <v>-</v>
      </c>
      <c r="M74" s="74" t="str">
        <f t="shared" ca="1" si="53"/>
        <v>-</v>
      </c>
      <c r="N74" s="74" t="str">
        <f t="shared" ca="1" si="53"/>
        <v>-</v>
      </c>
      <c r="O74" s="74" t="str">
        <f t="shared" ca="1" si="53"/>
        <v>-</v>
      </c>
      <c r="P74" s="67"/>
      <c r="Q74" s="67"/>
      <c r="R74" s="67"/>
      <c r="S74" s="67"/>
      <c r="T74" s="6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9">
        <f t="shared" si="49"/>
        <v>2015</v>
      </c>
      <c r="E75" s="59">
        <f t="shared" si="47"/>
        <v>17</v>
      </c>
      <c r="F75" s="20"/>
      <c r="G75" s="19"/>
      <c r="H75" s="74" t="str">
        <f t="shared" ref="H75:N75" ca="1" si="54">+IFERROR(H55/G55-1,"-")</f>
        <v>-</v>
      </c>
      <c r="I75" s="74" t="str">
        <f t="shared" ca="1" si="54"/>
        <v>-</v>
      </c>
      <c r="J75" s="74" t="str">
        <f t="shared" ca="1" si="54"/>
        <v>-</v>
      </c>
      <c r="K75" s="74" t="str">
        <f t="shared" ca="1" si="54"/>
        <v>-</v>
      </c>
      <c r="L75" s="74" t="str">
        <f t="shared" ca="1" si="54"/>
        <v>-</v>
      </c>
      <c r="M75" s="74" t="str">
        <f t="shared" ca="1" si="54"/>
        <v>-</v>
      </c>
      <c r="N75" s="74" t="str">
        <f t="shared" ca="1" si="54"/>
        <v>-</v>
      </c>
      <c r="O75" s="67"/>
      <c r="P75" s="67"/>
      <c r="Q75" s="67"/>
      <c r="R75" s="67"/>
      <c r="S75" s="67"/>
      <c r="T75" s="6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9">
        <f t="shared" si="49"/>
        <v>2016</v>
      </c>
      <c r="E76" s="59">
        <f t="shared" si="47"/>
        <v>16</v>
      </c>
      <c r="F76" s="20"/>
      <c r="G76" s="19"/>
      <c r="H76" s="74" t="str">
        <f t="shared" ref="H76:M76" ca="1" si="55">+IFERROR(H56/G56-1,"-")</f>
        <v>-</v>
      </c>
      <c r="I76" s="74" t="str">
        <f t="shared" ca="1" si="55"/>
        <v>-</v>
      </c>
      <c r="J76" s="74" t="str">
        <f t="shared" ca="1" si="55"/>
        <v>-</v>
      </c>
      <c r="K76" s="74" t="str">
        <f t="shared" ca="1" si="55"/>
        <v>-</v>
      </c>
      <c r="L76" s="74" t="str">
        <f t="shared" ca="1" si="55"/>
        <v>-</v>
      </c>
      <c r="M76" s="74" t="str">
        <f t="shared" ca="1" si="55"/>
        <v>-</v>
      </c>
      <c r="N76" s="67"/>
      <c r="O76" s="67"/>
      <c r="P76" s="67"/>
      <c r="Q76" s="67"/>
      <c r="R76" s="67"/>
      <c r="S76" s="67"/>
      <c r="T76" s="6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9">
        <f t="shared" si="49"/>
        <v>2017</v>
      </c>
      <c r="E77" s="59">
        <f t="shared" si="47"/>
        <v>19</v>
      </c>
      <c r="F77" s="20"/>
      <c r="G77" s="19"/>
      <c r="H77" s="74" t="str">
        <f ca="1">+IFERROR(H57/G57-1,"-")</f>
        <v>-</v>
      </c>
      <c r="I77" s="74" t="str">
        <f ca="1">+IFERROR(I57/H57-1,"-")</f>
        <v>-</v>
      </c>
      <c r="J77" s="74" t="str">
        <f ca="1">+IFERROR(J57/I57-1,"-")</f>
        <v>-</v>
      </c>
      <c r="K77" s="74" t="str">
        <f ca="1">+IFERROR(K57/J57-1,"-")</f>
        <v>-</v>
      </c>
      <c r="L77" s="74" t="str">
        <f ca="1">+IFERROR(L57/K57-1,"-")</f>
        <v>-</v>
      </c>
      <c r="M77" s="67"/>
      <c r="N77" s="67"/>
      <c r="O77" s="67"/>
      <c r="P77" s="67"/>
      <c r="Q77" s="67"/>
      <c r="R77" s="67"/>
      <c r="S77" s="67"/>
      <c r="T77" s="6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9">
        <f t="shared" si="49"/>
        <v>2018</v>
      </c>
      <c r="E78" s="59">
        <f t="shared" si="47"/>
        <v>15</v>
      </c>
      <c r="F78" s="20"/>
      <c r="G78" s="19"/>
      <c r="H78" s="74" t="str">
        <f ca="1">+IFERROR(H58/G58-1,"-")</f>
        <v>-</v>
      </c>
      <c r="I78" s="74" t="str">
        <f ca="1">+IFERROR(I58/H58-1,"-")</f>
        <v>-</v>
      </c>
      <c r="J78" s="74" t="str">
        <f ca="1">+IFERROR(J58/I58-1,"-")</f>
        <v>-</v>
      </c>
      <c r="K78" s="74" t="str">
        <f ca="1">+IFERROR(K58/J58-1,"-")</f>
        <v>-</v>
      </c>
      <c r="L78" s="67"/>
      <c r="M78" s="67"/>
      <c r="N78" s="67"/>
      <c r="O78" s="67"/>
      <c r="P78" s="67"/>
      <c r="Q78" s="67"/>
      <c r="R78" s="67"/>
      <c r="S78" s="67"/>
      <c r="T78" s="6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9">
        <f t="shared" si="49"/>
        <v>2019</v>
      </c>
      <c r="E79" s="59">
        <f t="shared" si="47"/>
        <v>13</v>
      </c>
      <c r="F79" s="20"/>
      <c r="G79" s="19"/>
      <c r="H79" s="74" t="str">
        <f ca="1">+IFERROR(H59/G59-1,"-")</f>
        <v>-</v>
      </c>
      <c r="I79" s="74" t="str">
        <f ca="1">+IFERROR(I59/H59-1,"-")</f>
        <v>-</v>
      </c>
      <c r="J79" s="74" t="str">
        <f ca="1">+IFERROR(J59/I59-1,"-")</f>
        <v>-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9">
        <f t="shared" si="49"/>
        <v>2020</v>
      </c>
      <c r="E80" s="59">
        <f t="shared" si="47"/>
        <v>16</v>
      </c>
      <c r="F80" s="20"/>
      <c r="G80" s="19"/>
      <c r="H80" s="74" t="str">
        <f ca="1">+IFERROR(H60/G60-1,"-")</f>
        <v>-</v>
      </c>
      <c r="I80" s="74" t="str">
        <f ca="1">+IFERROR(I60/H60-1,"-")</f>
        <v>-</v>
      </c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9">
        <f t="shared" si="49"/>
        <v>2021</v>
      </c>
      <c r="E81" s="59">
        <f t="shared" si="47"/>
        <v>15</v>
      </c>
      <c r="F81" s="20"/>
      <c r="G81" s="19"/>
      <c r="H81" s="74" t="str">
        <f ca="1">+IFERROR(H61/G61-1,"-")</f>
        <v>-</v>
      </c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9">
        <f t="shared" si="49"/>
        <v>2022</v>
      </c>
      <c r="E82" s="59">
        <f t="shared" si="47"/>
        <v>2</v>
      </c>
      <c r="F82" s="20"/>
      <c r="G82" s="19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9">
        <f t="shared" si="49"/>
        <v>2023</v>
      </c>
      <c r="E83" s="59">
        <f t="shared" si="47"/>
        <v>3</v>
      </c>
      <c r="F83" s="20"/>
      <c r="G83" s="19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62" t="s">
        <v>7</v>
      </c>
      <c r="E84" s="22"/>
      <c r="F84" s="22"/>
      <c r="G84" s="22"/>
      <c r="H84" s="65" t="e">
        <f t="shared" ref="H84:P84" ca="1" si="56">+AVERAGE(H70:H83)</f>
        <v>#DIV/0!</v>
      </c>
      <c r="I84" s="65" t="e">
        <f t="shared" ca="1" si="56"/>
        <v>#DIV/0!</v>
      </c>
      <c r="J84" s="65" t="e">
        <f t="shared" ca="1" si="56"/>
        <v>#DIV/0!</v>
      </c>
      <c r="K84" s="65" t="e">
        <f t="shared" ca="1" si="56"/>
        <v>#DIV/0!</v>
      </c>
      <c r="L84" s="65" t="e">
        <f t="shared" ca="1" si="56"/>
        <v>#DIV/0!</v>
      </c>
      <c r="M84" s="65" t="e">
        <f t="shared" ca="1" si="56"/>
        <v>#DIV/0!</v>
      </c>
      <c r="N84" s="65" t="e">
        <f t="shared" ca="1" si="56"/>
        <v>#DIV/0!</v>
      </c>
      <c r="O84" s="65" t="e">
        <f t="shared" ca="1" si="56"/>
        <v>#DIV/0!</v>
      </c>
      <c r="P84" s="65" t="e">
        <f t="shared" ca="1" si="56"/>
        <v>#DIV/0!</v>
      </c>
      <c r="Q84" s="30"/>
      <c r="R84" s="22"/>
      <c r="S84" s="22"/>
      <c r="T84" s="22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62" t="s">
        <v>29</v>
      </c>
      <c r="E85" s="22"/>
      <c r="F85" s="22"/>
      <c r="G85" s="22"/>
      <c r="H85" s="65" t="e">
        <f t="shared" ref="H85:P85" ca="1" si="57">+MEDIAN(H70:H83)</f>
        <v>#NUM!</v>
      </c>
      <c r="I85" s="65" t="e">
        <f t="shared" ca="1" si="57"/>
        <v>#NUM!</v>
      </c>
      <c r="J85" s="65" t="e">
        <f t="shared" ca="1" si="57"/>
        <v>#NUM!</v>
      </c>
      <c r="K85" s="65" t="e">
        <f t="shared" ca="1" si="57"/>
        <v>#NUM!</v>
      </c>
      <c r="L85" s="65" t="e">
        <f t="shared" ca="1" si="57"/>
        <v>#NUM!</v>
      </c>
      <c r="M85" s="65" t="e">
        <f t="shared" ca="1" si="57"/>
        <v>#NUM!</v>
      </c>
      <c r="N85" s="65" t="e">
        <f t="shared" ca="1" si="57"/>
        <v>#NUM!</v>
      </c>
      <c r="O85" s="65" t="e">
        <f t="shared" ca="1" si="57"/>
        <v>#NUM!</v>
      </c>
      <c r="P85" s="65" t="e">
        <f t="shared" ca="1" si="57"/>
        <v>#NUM!</v>
      </c>
      <c r="Q85" s="30"/>
      <c r="R85" s="22"/>
      <c r="S85" s="22"/>
      <c r="T85" s="22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x14ac:dyDescent="0.3">
      <c r="A90" s="13"/>
      <c r="B90" s="13"/>
      <c r="C90" s="13"/>
      <c r="D90" s="13"/>
      <c r="E90" s="13"/>
      <c r="F90" s="13"/>
      <c r="G90"/>
      <c r="H90"/>
      <c r="I90"/>
      <c r="J90"/>
      <c r="K90"/>
      <c r="L90"/>
      <c r="M90"/>
      <c r="N90"/>
      <c r="O90"/>
      <c r="P90"/>
      <c r="Q90"/>
      <c r="R90"/>
      <c r="S90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x14ac:dyDescent="0.3">
      <c r="A91" s="13"/>
      <c r="B91" s="13"/>
      <c r="C91" s="13"/>
      <c r="D91" s="13"/>
      <c r="E91" s="13"/>
      <c r="F91" s="13"/>
      <c r="G91"/>
      <c r="H91"/>
      <c r="I91"/>
      <c r="J91"/>
      <c r="K91"/>
      <c r="L91"/>
      <c r="M91"/>
      <c r="N91"/>
      <c r="O91"/>
      <c r="P91"/>
      <c r="Q91"/>
      <c r="R91"/>
      <c r="S9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x14ac:dyDescent="0.3">
      <c r="A92" s="13"/>
      <c r="B92" s="13"/>
      <c r="C92" s="13"/>
      <c r="D92" s="13"/>
      <c r="E92" s="13"/>
      <c r="F92" s="13"/>
      <c r="G92"/>
      <c r="H92"/>
      <c r="I92"/>
      <c r="J92"/>
      <c r="K92"/>
      <c r="L92"/>
      <c r="M92"/>
      <c r="N92"/>
      <c r="O92"/>
      <c r="P92"/>
      <c r="Q92"/>
      <c r="R92"/>
      <c r="S92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</sheetData>
  <conditionalFormatting sqref="A1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max"/>
        <color rgb="FFFFEF9C"/>
        <color rgb="FF63BE7B"/>
      </colorScale>
    </cfRule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6577-662B-4D8A-92D8-37B897CCF955}">
  <sheetPr>
    <tabColor rgb="FF1F3864"/>
    <pageSetUpPr fitToPage="1"/>
  </sheetPr>
  <dimension ref="A2:ED265"/>
  <sheetViews>
    <sheetView showGridLines="0" workbookViewId="0">
      <pane xSplit="3" ySplit="4" topLeftCell="D5" activePane="bottomRight" state="frozen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defaultColWidth="10" defaultRowHeight="14.4" x14ac:dyDescent="0.3"/>
  <cols>
    <col min="1" max="1" width="3.44140625" style="9" customWidth="1"/>
    <col min="2" max="2" width="19.109375" style="9" bestFit="1" customWidth="1"/>
    <col min="3" max="3" width="13.44140625" style="9" customWidth="1"/>
    <col min="4" max="119" width="14.44140625" style="9" bestFit="1" customWidth="1"/>
    <col min="120" max="120" width="3.44140625" style="9" customWidth="1"/>
    <col min="121" max="121" width="3" style="6" customWidth="1"/>
    <col min="122" max="122" width="3.44140625" style="9" customWidth="1"/>
    <col min="123" max="123" width="10" style="5"/>
    <col min="124" max="124" width="3.44140625" style="4" customWidth="1"/>
    <col min="125" max="125" width="12" style="4" bestFit="1" customWidth="1"/>
    <col min="126" max="134" width="10" style="4"/>
    <col min="135" max="16384" width="10" style="9"/>
  </cols>
  <sheetData>
    <row r="2" spans="1:134" s="7" customFormat="1" ht="15.6" x14ac:dyDescent="0.3">
      <c r="A2" s="39"/>
      <c r="B2" s="75" t="s">
        <v>4</v>
      </c>
      <c r="C2" s="39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"/>
      <c r="DR2" s="9"/>
      <c r="DS2" s="69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</row>
    <row r="3" spans="1:134" s="7" customFormat="1" ht="15.6" customHeight="1" x14ac:dyDescent="0.3">
      <c r="A3" s="39"/>
      <c r="B3" s="42"/>
      <c r="C3" s="86" t="s">
        <v>25</v>
      </c>
      <c r="D3" s="76">
        <v>2014</v>
      </c>
      <c r="E3" s="76">
        <v>2014</v>
      </c>
      <c r="F3" s="76">
        <v>2014</v>
      </c>
      <c r="G3" s="76">
        <v>2014</v>
      </c>
      <c r="H3" s="76">
        <v>2014</v>
      </c>
      <c r="I3" s="76">
        <v>2014</v>
      </c>
      <c r="J3" s="76">
        <v>2014</v>
      </c>
      <c r="K3" s="76">
        <v>2014</v>
      </c>
      <c r="L3" s="76">
        <v>2014</v>
      </c>
      <c r="M3" s="76">
        <v>2014</v>
      </c>
      <c r="N3" s="76">
        <v>2014</v>
      </c>
      <c r="O3" s="76">
        <v>2014</v>
      </c>
      <c r="P3" s="76">
        <v>2015</v>
      </c>
      <c r="Q3" s="76">
        <v>2015</v>
      </c>
      <c r="R3" s="76">
        <v>2015</v>
      </c>
      <c r="S3" s="76">
        <v>2015</v>
      </c>
      <c r="T3" s="76">
        <v>2015</v>
      </c>
      <c r="U3" s="76">
        <v>2015</v>
      </c>
      <c r="V3" s="76">
        <v>2015</v>
      </c>
      <c r="W3" s="76">
        <v>2015</v>
      </c>
      <c r="X3" s="76">
        <v>2015</v>
      </c>
      <c r="Y3" s="76">
        <v>2015</v>
      </c>
      <c r="Z3" s="76">
        <v>2015</v>
      </c>
      <c r="AA3" s="76">
        <v>2015</v>
      </c>
      <c r="AB3" s="76">
        <v>2016</v>
      </c>
      <c r="AC3" s="76">
        <v>2016</v>
      </c>
      <c r="AD3" s="76">
        <v>2016</v>
      </c>
      <c r="AE3" s="76">
        <v>2016</v>
      </c>
      <c r="AF3" s="76">
        <v>2016</v>
      </c>
      <c r="AG3" s="76">
        <v>2016</v>
      </c>
      <c r="AH3" s="76">
        <v>2016</v>
      </c>
      <c r="AI3" s="76">
        <v>2016</v>
      </c>
      <c r="AJ3" s="76">
        <v>2016</v>
      </c>
      <c r="AK3" s="76">
        <v>2016</v>
      </c>
      <c r="AL3" s="76">
        <v>2016</v>
      </c>
      <c r="AM3" s="76">
        <v>2016</v>
      </c>
      <c r="AN3" s="76">
        <v>2017</v>
      </c>
      <c r="AO3" s="76">
        <v>2017</v>
      </c>
      <c r="AP3" s="76">
        <v>2017</v>
      </c>
      <c r="AQ3" s="76">
        <v>2017</v>
      </c>
      <c r="AR3" s="76">
        <v>2017</v>
      </c>
      <c r="AS3" s="76">
        <v>2017</v>
      </c>
      <c r="AT3" s="76">
        <v>2017</v>
      </c>
      <c r="AU3" s="76">
        <v>2017</v>
      </c>
      <c r="AV3" s="76">
        <v>2017</v>
      </c>
      <c r="AW3" s="76">
        <v>2017</v>
      </c>
      <c r="AX3" s="76">
        <v>2017</v>
      </c>
      <c r="AY3" s="76">
        <v>2017</v>
      </c>
      <c r="AZ3" s="76">
        <v>2018</v>
      </c>
      <c r="BA3" s="76">
        <v>2018</v>
      </c>
      <c r="BB3" s="76">
        <v>2018</v>
      </c>
      <c r="BC3" s="76">
        <v>2018</v>
      </c>
      <c r="BD3" s="76">
        <v>2018</v>
      </c>
      <c r="BE3" s="76">
        <v>2018</v>
      </c>
      <c r="BF3" s="76">
        <v>2018</v>
      </c>
      <c r="BG3" s="76">
        <v>2018</v>
      </c>
      <c r="BH3" s="76">
        <v>2018</v>
      </c>
      <c r="BI3" s="76">
        <v>2018</v>
      </c>
      <c r="BJ3" s="76">
        <v>2018</v>
      </c>
      <c r="BK3" s="76">
        <v>2018</v>
      </c>
      <c r="BL3" s="76">
        <v>2019</v>
      </c>
      <c r="BM3" s="76">
        <v>2019</v>
      </c>
      <c r="BN3" s="76">
        <v>2019</v>
      </c>
      <c r="BO3" s="76">
        <v>2019</v>
      </c>
      <c r="BP3" s="76">
        <v>2019</v>
      </c>
      <c r="BQ3" s="76">
        <v>2019</v>
      </c>
      <c r="BR3" s="76">
        <v>2019</v>
      </c>
      <c r="BS3" s="76">
        <v>2019</v>
      </c>
      <c r="BT3" s="76">
        <v>2019</v>
      </c>
      <c r="BU3" s="76">
        <v>2019</v>
      </c>
      <c r="BV3" s="76">
        <v>2019</v>
      </c>
      <c r="BW3" s="76">
        <v>2019</v>
      </c>
      <c r="BX3" s="76">
        <v>2020</v>
      </c>
      <c r="BY3" s="76">
        <v>2020</v>
      </c>
      <c r="BZ3" s="76">
        <v>2020</v>
      </c>
      <c r="CA3" s="76">
        <v>2020</v>
      </c>
      <c r="CB3" s="76">
        <v>2020</v>
      </c>
      <c r="CC3" s="76">
        <v>2020</v>
      </c>
      <c r="CD3" s="76">
        <v>2020</v>
      </c>
      <c r="CE3" s="76">
        <v>2020</v>
      </c>
      <c r="CF3" s="76">
        <v>2020</v>
      </c>
      <c r="CG3" s="76">
        <v>2020</v>
      </c>
      <c r="CH3" s="76">
        <v>2020</v>
      </c>
      <c r="CI3" s="76">
        <v>2020</v>
      </c>
      <c r="CJ3" s="76">
        <v>2021</v>
      </c>
      <c r="CK3" s="76">
        <v>2021</v>
      </c>
      <c r="CL3" s="76">
        <v>2021</v>
      </c>
      <c r="CM3" s="76">
        <v>2021</v>
      </c>
      <c r="CN3" s="76">
        <v>2021</v>
      </c>
      <c r="CO3" s="76">
        <v>2021</v>
      </c>
      <c r="CP3" s="76">
        <v>2021</v>
      </c>
      <c r="CQ3" s="76">
        <v>2021</v>
      </c>
      <c r="CR3" s="76">
        <v>2021</v>
      </c>
      <c r="CS3" s="76">
        <v>2021</v>
      </c>
      <c r="CT3" s="76">
        <v>2021</v>
      </c>
      <c r="CU3" s="76">
        <v>2021</v>
      </c>
      <c r="CV3" s="76">
        <v>2022</v>
      </c>
      <c r="CW3" s="76">
        <v>2022</v>
      </c>
      <c r="CX3" s="76">
        <v>2022</v>
      </c>
      <c r="CY3" s="76">
        <v>2022</v>
      </c>
      <c r="CZ3" s="76">
        <v>2022</v>
      </c>
      <c r="DA3" s="76">
        <v>2022</v>
      </c>
      <c r="DB3" s="76">
        <v>2022</v>
      </c>
      <c r="DC3" s="76">
        <v>2022</v>
      </c>
      <c r="DD3" s="76">
        <v>2022</v>
      </c>
      <c r="DE3" s="76">
        <v>2022</v>
      </c>
      <c r="DF3" s="76">
        <v>2022</v>
      </c>
      <c r="DG3" s="76">
        <v>2022</v>
      </c>
      <c r="DH3" s="76">
        <v>2023</v>
      </c>
      <c r="DI3" s="76">
        <v>2023</v>
      </c>
      <c r="DJ3" s="76">
        <v>2023</v>
      </c>
      <c r="DK3" s="76">
        <v>2023</v>
      </c>
      <c r="DL3" s="76">
        <v>2023</v>
      </c>
      <c r="DM3" s="77">
        <v>2023</v>
      </c>
      <c r="DN3" s="77">
        <v>2023</v>
      </c>
      <c r="DO3" s="77">
        <v>2023</v>
      </c>
      <c r="DP3" s="70"/>
      <c r="DQ3" s="41"/>
      <c r="DR3" s="42"/>
      <c r="DS3" s="85" t="s">
        <v>10</v>
      </c>
      <c r="DT3" s="41"/>
      <c r="DU3" s="41" t="s">
        <v>5</v>
      </c>
      <c r="DV3" s="41"/>
      <c r="DW3" s="41"/>
      <c r="DX3" s="41"/>
      <c r="DY3" s="41"/>
      <c r="DZ3" s="41"/>
      <c r="EA3" s="41"/>
      <c r="EB3" s="41"/>
      <c r="EC3" s="41"/>
      <c r="ED3" s="41"/>
    </row>
    <row r="4" spans="1:134" s="8" customFormat="1" ht="15.6" x14ac:dyDescent="0.3">
      <c r="A4" s="40"/>
      <c r="B4" s="42" t="s">
        <v>24</v>
      </c>
      <c r="C4" s="86"/>
      <c r="D4" s="71">
        <v>41640</v>
      </c>
      <c r="E4" s="71">
        <f>EDATE(D4,1)</f>
        <v>41671</v>
      </c>
      <c r="F4" s="71">
        <f t="shared" ref="F4:BQ4" si="0">EDATE(E4,1)</f>
        <v>41699</v>
      </c>
      <c r="G4" s="71">
        <f t="shared" si="0"/>
        <v>41730</v>
      </c>
      <c r="H4" s="71">
        <f t="shared" si="0"/>
        <v>41760</v>
      </c>
      <c r="I4" s="71">
        <f t="shared" si="0"/>
        <v>41791</v>
      </c>
      <c r="J4" s="71">
        <f t="shared" si="0"/>
        <v>41821</v>
      </c>
      <c r="K4" s="71">
        <f t="shared" si="0"/>
        <v>41852</v>
      </c>
      <c r="L4" s="71">
        <f t="shared" si="0"/>
        <v>41883</v>
      </c>
      <c r="M4" s="71">
        <f t="shared" si="0"/>
        <v>41913</v>
      </c>
      <c r="N4" s="71">
        <f t="shared" si="0"/>
        <v>41944</v>
      </c>
      <c r="O4" s="71">
        <f t="shared" si="0"/>
        <v>41974</v>
      </c>
      <c r="P4" s="71">
        <f t="shared" si="0"/>
        <v>42005</v>
      </c>
      <c r="Q4" s="71">
        <f t="shared" si="0"/>
        <v>42036</v>
      </c>
      <c r="R4" s="71">
        <f t="shared" si="0"/>
        <v>42064</v>
      </c>
      <c r="S4" s="71">
        <f t="shared" si="0"/>
        <v>42095</v>
      </c>
      <c r="T4" s="71">
        <f t="shared" si="0"/>
        <v>42125</v>
      </c>
      <c r="U4" s="71">
        <f t="shared" si="0"/>
        <v>42156</v>
      </c>
      <c r="V4" s="71">
        <f t="shared" si="0"/>
        <v>42186</v>
      </c>
      <c r="W4" s="71">
        <f t="shared" si="0"/>
        <v>42217</v>
      </c>
      <c r="X4" s="71">
        <f t="shared" si="0"/>
        <v>42248</v>
      </c>
      <c r="Y4" s="71">
        <f t="shared" si="0"/>
        <v>42278</v>
      </c>
      <c r="Z4" s="71">
        <f t="shared" si="0"/>
        <v>42309</v>
      </c>
      <c r="AA4" s="71">
        <f t="shared" si="0"/>
        <v>42339</v>
      </c>
      <c r="AB4" s="71">
        <f t="shared" si="0"/>
        <v>42370</v>
      </c>
      <c r="AC4" s="71">
        <f t="shared" si="0"/>
        <v>42401</v>
      </c>
      <c r="AD4" s="71">
        <f t="shared" si="0"/>
        <v>42430</v>
      </c>
      <c r="AE4" s="71">
        <f t="shared" si="0"/>
        <v>42461</v>
      </c>
      <c r="AF4" s="71">
        <f t="shared" si="0"/>
        <v>42491</v>
      </c>
      <c r="AG4" s="71">
        <f t="shared" si="0"/>
        <v>42522</v>
      </c>
      <c r="AH4" s="71">
        <f t="shared" si="0"/>
        <v>42552</v>
      </c>
      <c r="AI4" s="71">
        <f t="shared" si="0"/>
        <v>42583</v>
      </c>
      <c r="AJ4" s="71">
        <f t="shared" si="0"/>
        <v>42614</v>
      </c>
      <c r="AK4" s="71">
        <f t="shared" si="0"/>
        <v>42644</v>
      </c>
      <c r="AL4" s="71">
        <f t="shared" si="0"/>
        <v>42675</v>
      </c>
      <c r="AM4" s="71">
        <f t="shared" si="0"/>
        <v>42705</v>
      </c>
      <c r="AN4" s="71">
        <f t="shared" si="0"/>
        <v>42736</v>
      </c>
      <c r="AO4" s="71">
        <f t="shared" si="0"/>
        <v>42767</v>
      </c>
      <c r="AP4" s="71">
        <f t="shared" si="0"/>
        <v>42795</v>
      </c>
      <c r="AQ4" s="71">
        <f t="shared" si="0"/>
        <v>42826</v>
      </c>
      <c r="AR4" s="71">
        <f t="shared" si="0"/>
        <v>42856</v>
      </c>
      <c r="AS4" s="71">
        <f t="shared" si="0"/>
        <v>42887</v>
      </c>
      <c r="AT4" s="71">
        <f t="shared" si="0"/>
        <v>42917</v>
      </c>
      <c r="AU4" s="71">
        <f t="shared" si="0"/>
        <v>42948</v>
      </c>
      <c r="AV4" s="71">
        <f t="shared" si="0"/>
        <v>42979</v>
      </c>
      <c r="AW4" s="71">
        <f t="shared" si="0"/>
        <v>43009</v>
      </c>
      <c r="AX4" s="71">
        <f t="shared" si="0"/>
        <v>43040</v>
      </c>
      <c r="AY4" s="71">
        <f t="shared" si="0"/>
        <v>43070</v>
      </c>
      <c r="AZ4" s="71">
        <f t="shared" si="0"/>
        <v>43101</v>
      </c>
      <c r="BA4" s="71">
        <f t="shared" si="0"/>
        <v>43132</v>
      </c>
      <c r="BB4" s="71">
        <f t="shared" si="0"/>
        <v>43160</v>
      </c>
      <c r="BC4" s="71">
        <f t="shared" si="0"/>
        <v>43191</v>
      </c>
      <c r="BD4" s="71">
        <f t="shared" si="0"/>
        <v>43221</v>
      </c>
      <c r="BE4" s="71">
        <f t="shared" si="0"/>
        <v>43252</v>
      </c>
      <c r="BF4" s="71">
        <f t="shared" si="0"/>
        <v>43282</v>
      </c>
      <c r="BG4" s="71">
        <f t="shared" si="0"/>
        <v>43313</v>
      </c>
      <c r="BH4" s="71">
        <f t="shared" si="0"/>
        <v>43344</v>
      </c>
      <c r="BI4" s="71">
        <f t="shared" si="0"/>
        <v>43374</v>
      </c>
      <c r="BJ4" s="71">
        <f t="shared" si="0"/>
        <v>43405</v>
      </c>
      <c r="BK4" s="71">
        <f t="shared" si="0"/>
        <v>43435</v>
      </c>
      <c r="BL4" s="71">
        <f t="shared" si="0"/>
        <v>43466</v>
      </c>
      <c r="BM4" s="71">
        <f t="shared" si="0"/>
        <v>43497</v>
      </c>
      <c r="BN4" s="71">
        <f t="shared" si="0"/>
        <v>43525</v>
      </c>
      <c r="BO4" s="71">
        <f t="shared" si="0"/>
        <v>43556</v>
      </c>
      <c r="BP4" s="71">
        <f t="shared" si="0"/>
        <v>43586</v>
      </c>
      <c r="BQ4" s="71">
        <f t="shared" si="0"/>
        <v>43617</v>
      </c>
      <c r="BR4" s="71">
        <f t="shared" ref="BR4:DO4" si="1">EDATE(BQ4,1)</f>
        <v>43647</v>
      </c>
      <c r="BS4" s="71">
        <f t="shared" si="1"/>
        <v>43678</v>
      </c>
      <c r="BT4" s="71">
        <f t="shared" si="1"/>
        <v>43709</v>
      </c>
      <c r="BU4" s="71">
        <f t="shared" si="1"/>
        <v>43739</v>
      </c>
      <c r="BV4" s="71">
        <f t="shared" si="1"/>
        <v>43770</v>
      </c>
      <c r="BW4" s="71">
        <f t="shared" si="1"/>
        <v>43800</v>
      </c>
      <c r="BX4" s="71">
        <f t="shared" si="1"/>
        <v>43831</v>
      </c>
      <c r="BY4" s="71">
        <f t="shared" si="1"/>
        <v>43862</v>
      </c>
      <c r="BZ4" s="71">
        <f t="shared" si="1"/>
        <v>43891</v>
      </c>
      <c r="CA4" s="71">
        <f t="shared" si="1"/>
        <v>43922</v>
      </c>
      <c r="CB4" s="71">
        <f t="shared" si="1"/>
        <v>43952</v>
      </c>
      <c r="CC4" s="71">
        <f t="shared" si="1"/>
        <v>43983</v>
      </c>
      <c r="CD4" s="71">
        <f t="shared" si="1"/>
        <v>44013</v>
      </c>
      <c r="CE4" s="71">
        <f t="shared" si="1"/>
        <v>44044</v>
      </c>
      <c r="CF4" s="71">
        <f t="shared" si="1"/>
        <v>44075</v>
      </c>
      <c r="CG4" s="71">
        <f t="shared" si="1"/>
        <v>44105</v>
      </c>
      <c r="CH4" s="71">
        <f t="shared" si="1"/>
        <v>44136</v>
      </c>
      <c r="CI4" s="71">
        <f t="shared" si="1"/>
        <v>44166</v>
      </c>
      <c r="CJ4" s="71">
        <f t="shared" si="1"/>
        <v>44197</v>
      </c>
      <c r="CK4" s="71">
        <f t="shared" si="1"/>
        <v>44228</v>
      </c>
      <c r="CL4" s="71">
        <f t="shared" si="1"/>
        <v>44256</v>
      </c>
      <c r="CM4" s="71">
        <f t="shared" si="1"/>
        <v>44287</v>
      </c>
      <c r="CN4" s="71">
        <f t="shared" si="1"/>
        <v>44317</v>
      </c>
      <c r="CO4" s="71">
        <f t="shared" si="1"/>
        <v>44348</v>
      </c>
      <c r="CP4" s="71">
        <f t="shared" si="1"/>
        <v>44378</v>
      </c>
      <c r="CQ4" s="71">
        <f t="shared" si="1"/>
        <v>44409</v>
      </c>
      <c r="CR4" s="71">
        <f t="shared" si="1"/>
        <v>44440</v>
      </c>
      <c r="CS4" s="71">
        <f t="shared" si="1"/>
        <v>44470</v>
      </c>
      <c r="CT4" s="71">
        <f t="shared" si="1"/>
        <v>44501</v>
      </c>
      <c r="CU4" s="71">
        <f t="shared" si="1"/>
        <v>44531</v>
      </c>
      <c r="CV4" s="71">
        <f t="shared" si="1"/>
        <v>44562</v>
      </c>
      <c r="CW4" s="71">
        <f t="shared" si="1"/>
        <v>44593</v>
      </c>
      <c r="CX4" s="71">
        <f t="shared" si="1"/>
        <v>44621</v>
      </c>
      <c r="CY4" s="71">
        <f t="shared" si="1"/>
        <v>44652</v>
      </c>
      <c r="CZ4" s="71">
        <f t="shared" si="1"/>
        <v>44682</v>
      </c>
      <c r="DA4" s="71">
        <f t="shared" si="1"/>
        <v>44713</v>
      </c>
      <c r="DB4" s="71">
        <f t="shared" si="1"/>
        <v>44743</v>
      </c>
      <c r="DC4" s="71">
        <f t="shared" si="1"/>
        <v>44774</v>
      </c>
      <c r="DD4" s="71">
        <f t="shared" si="1"/>
        <v>44805</v>
      </c>
      <c r="DE4" s="71">
        <f t="shared" si="1"/>
        <v>44835</v>
      </c>
      <c r="DF4" s="71">
        <f t="shared" si="1"/>
        <v>44866</v>
      </c>
      <c r="DG4" s="71">
        <f t="shared" si="1"/>
        <v>44896</v>
      </c>
      <c r="DH4" s="71">
        <f t="shared" si="1"/>
        <v>44927</v>
      </c>
      <c r="DI4" s="71">
        <f t="shared" si="1"/>
        <v>44958</v>
      </c>
      <c r="DJ4" s="71">
        <f t="shared" si="1"/>
        <v>44986</v>
      </c>
      <c r="DK4" s="71">
        <f t="shared" si="1"/>
        <v>45017</v>
      </c>
      <c r="DL4" s="71">
        <f t="shared" si="1"/>
        <v>45047</v>
      </c>
      <c r="DM4" s="71">
        <f t="shared" si="1"/>
        <v>45078</v>
      </c>
      <c r="DN4" s="71">
        <f t="shared" si="1"/>
        <v>45108</v>
      </c>
      <c r="DO4" s="71">
        <f t="shared" si="1"/>
        <v>45139</v>
      </c>
      <c r="DP4" s="72"/>
      <c r="DQ4" s="41"/>
      <c r="DR4" s="42"/>
      <c r="DS4" s="85"/>
      <c r="DT4" s="41"/>
      <c r="DU4" s="78">
        <v>2014</v>
      </c>
      <c r="DV4" s="41">
        <f>+DU4+1</f>
        <v>2015</v>
      </c>
      <c r="DW4" s="41">
        <f t="shared" ref="DW4:ED4" si="2">+DV4+1</f>
        <v>2016</v>
      </c>
      <c r="DX4" s="41">
        <f t="shared" si="2"/>
        <v>2017</v>
      </c>
      <c r="DY4" s="41">
        <f t="shared" si="2"/>
        <v>2018</v>
      </c>
      <c r="DZ4" s="41">
        <f t="shared" si="2"/>
        <v>2019</v>
      </c>
      <c r="EA4" s="41">
        <f t="shared" si="2"/>
        <v>2020</v>
      </c>
      <c r="EB4" s="41">
        <f t="shared" si="2"/>
        <v>2021</v>
      </c>
      <c r="EC4" s="41">
        <f>+EB4+1</f>
        <v>2022</v>
      </c>
      <c r="ED4" s="41">
        <f t="shared" si="2"/>
        <v>2023</v>
      </c>
    </row>
    <row r="5" spans="1:134" x14ac:dyDescent="0.3">
      <c r="B5" s="73">
        <v>1000000001</v>
      </c>
      <c r="C5" s="46">
        <v>39114</v>
      </c>
      <c r="D5" s="66">
        <v>216.87769900240002</v>
      </c>
      <c r="E5" s="66">
        <v>592.95201089950001</v>
      </c>
      <c r="F5" s="66">
        <v>426.71004333400003</v>
      </c>
      <c r="G5" s="66">
        <v>318.89921163700006</v>
      </c>
      <c r="H5" s="66">
        <v>194.78325395019999</v>
      </c>
      <c r="I5" s="66">
        <v>179.77501318570003</v>
      </c>
      <c r="J5" s="66">
        <v>190.03586371330002</v>
      </c>
      <c r="K5" s="66">
        <v>199.60494705310001</v>
      </c>
      <c r="L5" s="66">
        <v>205.00503918310002</v>
      </c>
      <c r="M5" s="66">
        <v>211.09325841100002</v>
      </c>
      <c r="N5" s="66">
        <v>206.93226038830002</v>
      </c>
      <c r="O5" s="66">
        <v>194.4179315257</v>
      </c>
      <c r="P5" s="66">
        <v>234.17574394749997</v>
      </c>
      <c r="Q5" s="66">
        <v>1074.1153429426001</v>
      </c>
      <c r="R5" s="66">
        <v>386.51785935970008</v>
      </c>
      <c r="S5" s="66">
        <v>339.28337733670003</v>
      </c>
      <c r="T5" s="66">
        <v>194.83278919419999</v>
      </c>
      <c r="U5" s="66">
        <v>209.28961262890002</v>
      </c>
      <c r="V5" s="66">
        <v>221.07427233670001</v>
      </c>
      <c r="W5" s="66">
        <v>203.87905054960001</v>
      </c>
      <c r="X5" s="66">
        <v>230.05099671700003</v>
      </c>
      <c r="Y5" s="66">
        <v>255.7582497583</v>
      </c>
      <c r="Z5" s="66">
        <v>246.40993599460009</v>
      </c>
      <c r="AA5" s="66">
        <v>228.4394876389</v>
      </c>
      <c r="AB5" s="66">
        <v>230.41586882110002</v>
      </c>
      <c r="AC5" s="66">
        <v>602.34359294829994</v>
      </c>
      <c r="AD5" s="66">
        <v>420.38101527220005</v>
      </c>
      <c r="AE5" s="66">
        <v>385.70142847450001</v>
      </c>
      <c r="AF5" s="66">
        <v>301.11909870369999</v>
      </c>
      <c r="AG5" s="66">
        <v>262.55583619629999</v>
      </c>
      <c r="AH5" s="66">
        <v>234.67409852350002</v>
      </c>
      <c r="AI5" s="66">
        <v>240.44848195930004</v>
      </c>
      <c r="AJ5" s="66">
        <v>293.15555769670004</v>
      </c>
      <c r="AK5" s="66">
        <v>304.98367332309999</v>
      </c>
      <c r="AL5" s="66">
        <v>281.34613036690001</v>
      </c>
      <c r="AM5" s="66">
        <v>245.07083323180007</v>
      </c>
      <c r="AN5" s="66">
        <v>259.08683052160006</v>
      </c>
      <c r="AO5" s="66">
        <v>492.64464286750001</v>
      </c>
      <c r="AP5" s="66">
        <v>558.84935958760002</v>
      </c>
      <c r="AQ5" s="66">
        <v>423.11659912210007</v>
      </c>
      <c r="AR5" s="66">
        <v>292.70546245689997</v>
      </c>
      <c r="AS5" s="66">
        <v>301.49282710900002</v>
      </c>
      <c r="AT5" s="66">
        <v>334.51808686390001</v>
      </c>
      <c r="AU5" s="66">
        <v>361.14883446549999</v>
      </c>
      <c r="AV5" s="66">
        <v>395.11308730780001</v>
      </c>
      <c r="AW5" s="66">
        <v>386.01931715019998</v>
      </c>
      <c r="AX5" s="66">
        <v>374.57817685420002</v>
      </c>
      <c r="AY5" s="66">
        <v>372.49293071530002</v>
      </c>
      <c r="AZ5" s="66">
        <v>382.38673259019998</v>
      </c>
      <c r="BA5" s="66">
        <v>668.8138110709001</v>
      </c>
      <c r="BB5" s="66">
        <v>892.92401400490007</v>
      </c>
      <c r="BC5" s="66">
        <v>487.36257220900006</v>
      </c>
      <c r="BD5" s="66">
        <v>391.72603994589997</v>
      </c>
      <c r="BE5" s="66">
        <v>337.19666765649998</v>
      </c>
      <c r="BF5" s="66">
        <v>324.530843506</v>
      </c>
      <c r="BG5" s="66">
        <v>327.26804100400005</v>
      </c>
      <c r="BH5" s="66">
        <v>343.27967067309993</v>
      </c>
      <c r="BI5" s="66">
        <v>343.7571979306</v>
      </c>
      <c r="BJ5" s="66">
        <v>315.96240962169998</v>
      </c>
      <c r="BK5" s="66">
        <v>298.80933031870001</v>
      </c>
      <c r="BL5" s="66">
        <v>330.27730707700005</v>
      </c>
      <c r="BM5" s="66">
        <v>728.55552941020005</v>
      </c>
      <c r="BN5" s="66">
        <v>628.06454323510002</v>
      </c>
      <c r="BO5" s="66">
        <v>515.72592754959999</v>
      </c>
      <c r="BP5" s="66">
        <v>413.08608747910006</v>
      </c>
      <c r="BQ5" s="66">
        <v>322.73376489640003</v>
      </c>
      <c r="BR5" s="66">
        <v>329.9233552426</v>
      </c>
      <c r="BS5" s="66">
        <v>332.34514082710001</v>
      </c>
      <c r="BT5" s="66">
        <v>330.9243424384</v>
      </c>
      <c r="BU5" s="66">
        <v>399.31022354260006</v>
      </c>
      <c r="BV5" s="66">
        <v>375.37685761030002</v>
      </c>
      <c r="BW5" s="66">
        <v>339.68596377430003</v>
      </c>
      <c r="BX5" s="66">
        <v>488.47291220859989</v>
      </c>
      <c r="BY5" s="66">
        <v>719.08123851460005</v>
      </c>
      <c r="BZ5" s="66">
        <v>572.12964592390006</v>
      </c>
      <c r="CA5" s="66">
        <v>427.80713640850007</v>
      </c>
      <c r="CB5" s="66">
        <v>403.42352512960008</v>
      </c>
      <c r="CC5" s="66">
        <v>367.42025904280001</v>
      </c>
      <c r="CD5" s="66">
        <v>418.58202280090006</v>
      </c>
      <c r="CE5" s="66">
        <v>363.74316781660002</v>
      </c>
      <c r="CF5" s="66">
        <v>402.36324574780002</v>
      </c>
      <c r="CG5" s="66">
        <v>377.19251193640002</v>
      </c>
      <c r="CH5" s="66">
        <v>364.27615953670005</v>
      </c>
      <c r="CI5" s="66">
        <v>345.80251566070001</v>
      </c>
      <c r="CJ5" s="66">
        <v>369.78999509440007</v>
      </c>
      <c r="CK5" s="66">
        <v>1323.2582940121001</v>
      </c>
      <c r="CL5" s="66">
        <v>702.58217453920008</v>
      </c>
      <c r="CM5" s="66">
        <v>536.92040728240011</v>
      </c>
      <c r="CN5" s="66">
        <v>478.00960513450008</v>
      </c>
      <c r="CO5" s="66">
        <v>374.793730219</v>
      </c>
      <c r="CP5" s="66">
        <v>336.80263730650006</v>
      </c>
      <c r="CQ5" s="66">
        <v>441.62743195780001</v>
      </c>
      <c r="CR5" s="66">
        <v>409.55899047280008</v>
      </c>
      <c r="CS5" s="66">
        <v>426.87883843060001</v>
      </c>
      <c r="CT5" s="66">
        <v>422.535573226</v>
      </c>
      <c r="CU5" s="66">
        <v>369.00835146010002</v>
      </c>
      <c r="CV5" s="66">
        <v>421.07871167859997</v>
      </c>
      <c r="CW5" s="66">
        <v>737.43922510120001</v>
      </c>
      <c r="CX5" s="66">
        <v>654.93212184039999</v>
      </c>
      <c r="CY5" s="66">
        <v>637.55328191019998</v>
      </c>
      <c r="CZ5" s="66">
        <v>376.1634172423</v>
      </c>
      <c r="DA5" s="66">
        <v>377.73162050860003</v>
      </c>
      <c r="DB5" s="66">
        <v>306.76491566530001</v>
      </c>
      <c r="DC5" s="66">
        <v>350.98018703980006</v>
      </c>
      <c r="DD5" s="66">
        <v>402.73059461409997</v>
      </c>
      <c r="DE5" s="66">
        <v>401.44260321670004</v>
      </c>
      <c r="DF5" s="66">
        <v>363.90194328429999</v>
      </c>
      <c r="DG5" s="66">
        <v>350.37574448289996</v>
      </c>
      <c r="DH5" s="66">
        <v>430.72607571460003</v>
      </c>
      <c r="DI5" s="66">
        <v>637.20679788910013</v>
      </c>
      <c r="DJ5" s="66">
        <v>640.02122533570014</v>
      </c>
      <c r="DK5" s="66">
        <v>489.11480641209999</v>
      </c>
      <c r="DL5" s="66">
        <v>367.28816505880002</v>
      </c>
      <c r="DM5" s="66">
        <v>364.2452000092</v>
      </c>
      <c r="DN5" s="66">
        <v>343.90970643940005</v>
      </c>
      <c r="DO5" s="66">
        <v>456.45299274670009</v>
      </c>
      <c r="DP5" s="79"/>
      <c r="DQ5" s="80"/>
      <c r="DR5" s="81"/>
      <c r="DS5" s="84">
        <f t="shared" ref="DS5:DS68" si="3">+YEAR(C5)</f>
        <v>2007</v>
      </c>
      <c r="DT5" s="80"/>
      <c r="DU5" s="83">
        <f t="shared" ref="DU5:ED14" si="4">+SUMIF($D$3:$DO$3,DU$4,$D5:$DO5)</f>
        <v>3137.086532283301</v>
      </c>
      <c r="DV5" s="83">
        <f t="shared" si="4"/>
        <v>3823.8267184046999</v>
      </c>
      <c r="DW5" s="83">
        <f t="shared" si="4"/>
        <v>3802.1956155173998</v>
      </c>
      <c r="DX5" s="83">
        <f t="shared" si="4"/>
        <v>4551.7661550215998</v>
      </c>
      <c r="DY5" s="83">
        <f t="shared" si="4"/>
        <v>5114.0173305315011</v>
      </c>
      <c r="DZ5" s="83">
        <f t="shared" si="4"/>
        <v>5046.0090430827004</v>
      </c>
      <c r="EA5" s="83">
        <f t="shared" si="4"/>
        <v>5250.2943407271005</v>
      </c>
      <c r="EB5" s="83">
        <f t="shared" si="4"/>
        <v>6191.7660291353995</v>
      </c>
      <c r="EC5" s="83">
        <f t="shared" si="4"/>
        <v>5381.0943665843997</v>
      </c>
      <c r="ED5" s="83">
        <f t="shared" si="4"/>
        <v>3728.9649696056003</v>
      </c>
    </row>
    <row r="6" spans="1:134" x14ac:dyDescent="0.3">
      <c r="A6" s="39"/>
      <c r="B6" s="45">
        <f>B5+1</f>
        <v>1000000002</v>
      </c>
      <c r="C6" s="46">
        <v>39753</v>
      </c>
      <c r="D6" s="66">
        <v>136.8655208644</v>
      </c>
      <c r="E6" s="66">
        <v>352.2338790334</v>
      </c>
      <c r="F6" s="66">
        <v>261.64179836440007</v>
      </c>
      <c r="G6" s="66">
        <v>193.08209358580001</v>
      </c>
      <c r="H6" s="66">
        <v>157.19118243880001</v>
      </c>
      <c r="I6" s="66">
        <v>153.88372920760003</v>
      </c>
      <c r="J6" s="66">
        <v>139.33230096220001</v>
      </c>
      <c r="K6" s="66">
        <v>156.68806197190003</v>
      </c>
      <c r="L6" s="66">
        <v>151.3694403076</v>
      </c>
      <c r="M6" s="66">
        <v>156.26209640019999</v>
      </c>
      <c r="N6" s="66">
        <v>142.0514856442</v>
      </c>
      <c r="O6" s="66">
        <v>138.93684459760001</v>
      </c>
      <c r="P6" s="66">
        <v>156.09600322600002</v>
      </c>
      <c r="Q6" s="66">
        <v>935.58065142160024</v>
      </c>
      <c r="R6" s="66">
        <v>280.24123173880002</v>
      </c>
      <c r="S6" s="66">
        <v>234.85696613260001</v>
      </c>
      <c r="T6" s="66">
        <v>182.29170379449999</v>
      </c>
      <c r="U6" s="66">
        <v>163.65147889720001</v>
      </c>
      <c r="V6" s="66">
        <v>177.42666735310002</v>
      </c>
      <c r="W6" s="66">
        <v>187.2290166601</v>
      </c>
      <c r="X6" s="66">
        <v>190.47353761540001</v>
      </c>
      <c r="Y6" s="66">
        <v>224.41989022180002</v>
      </c>
      <c r="Z6" s="66">
        <v>227.522072404</v>
      </c>
      <c r="AA6" s="66">
        <v>165.48034262169998</v>
      </c>
      <c r="AB6" s="66">
        <v>200.76054425289999</v>
      </c>
      <c r="AC6" s="66">
        <v>679.35100821730009</v>
      </c>
      <c r="AD6" s="66">
        <v>386.53358304699998</v>
      </c>
      <c r="AE6" s="66">
        <v>287.29895326119998</v>
      </c>
      <c r="AF6" s="66">
        <v>249.76917607179996</v>
      </c>
      <c r="AG6" s="66">
        <v>183.51867677769999</v>
      </c>
      <c r="AH6" s="66">
        <v>202.42406533720001</v>
      </c>
      <c r="AI6" s="66">
        <v>241.2177042559</v>
      </c>
      <c r="AJ6" s="66">
        <v>252.27520909779997</v>
      </c>
      <c r="AK6" s="66">
        <v>282.0938873911</v>
      </c>
      <c r="AL6" s="66">
        <v>261.33520522539999</v>
      </c>
      <c r="AM6" s="66">
        <v>192.19871506779998</v>
      </c>
      <c r="AN6" s="66">
        <v>259.9469424856</v>
      </c>
      <c r="AO6" s="66">
        <v>509.47386674950008</v>
      </c>
      <c r="AP6" s="66">
        <v>467.83896879370008</v>
      </c>
      <c r="AQ6" s="66">
        <v>311.66695343290007</v>
      </c>
      <c r="AR6" s="66">
        <v>266.1553222069</v>
      </c>
      <c r="AS6" s="66">
        <v>261.1472339851</v>
      </c>
      <c r="AT6" s="66">
        <v>276.54796650489999</v>
      </c>
      <c r="AU6" s="66">
        <v>276.68617734100002</v>
      </c>
      <c r="AV6" s="66">
        <v>274.07720857690003</v>
      </c>
      <c r="AW6" s="66">
        <v>297.73813066720004</v>
      </c>
      <c r="AX6" s="66">
        <v>279.57381937930006</v>
      </c>
      <c r="AY6" s="66">
        <v>234.29215177090001</v>
      </c>
      <c r="AZ6" s="66">
        <v>292.51516456119998</v>
      </c>
      <c r="BA6" s="66">
        <v>536.61891777460005</v>
      </c>
      <c r="BB6" s="66">
        <v>437.60502003819994</v>
      </c>
      <c r="BC6" s="66">
        <v>432.68174215840003</v>
      </c>
      <c r="BD6" s="66">
        <v>343.77888836319994</v>
      </c>
      <c r="BE6" s="66">
        <v>297.37066922079998</v>
      </c>
      <c r="BF6" s="66">
        <v>249.80966738110004</v>
      </c>
      <c r="BG6" s="66">
        <v>280.92042748210002</v>
      </c>
      <c r="BH6" s="66">
        <v>309.84184237840003</v>
      </c>
      <c r="BI6" s="66">
        <v>299.45302580380002</v>
      </c>
      <c r="BJ6" s="66">
        <v>255.81221315290003</v>
      </c>
      <c r="BK6" s="66">
        <v>247.1648981452</v>
      </c>
      <c r="BL6" s="66">
        <v>286.66426418410003</v>
      </c>
      <c r="BM6" s="66">
        <v>610.02928626850019</v>
      </c>
      <c r="BN6" s="66">
        <v>464.30020098370005</v>
      </c>
      <c r="BO6" s="66">
        <v>408.86560963690005</v>
      </c>
      <c r="BP6" s="66">
        <v>336.07499459349998</v>
      </c>
      <c r="BQ6" s="66">
        <v>284.50696678119999</v>
      </c>
      <c r="BR6" s="66">
        <v>277.36867543390002</v>
      </c>
      <c r="BS6" s="66">
        <v>293.71234134460002</v>
      </c>
      <c r="BT6" s="66">
        <v>300.50696317330005</v>
      </c>
      <c r="BU6" s="66">
        <v>286.98796949829995</v>
      </c>
      <c r="BV6" s="66">
        <v>270.73282907290002</v>
      </c>
      <c r="BW6" s="66">
        <v>273.8412031606</v>
      </c>
      <c r="BX6" s="66">
        <v>416.1749476828</v>
      </c>
      <c r="BY6" s="66">
        <v>562.66368595570009</v>
      </c>
      <c r="BZ6" s="66">
        <v>419.12116889980001</v>
      </c>
      <c r="CA6" s="66">
        <v>371.16771283150007</v>
      </c>
      <c r="CB6" s="66">
        <v>430.45719690909999</v>
      </c>
      <c r="CC6" s="66">
        <v>371.40945983290004</v>
      </c>
      <c r="CD6" s="66">
        <v>380.22579509740007</v>
      </c>
      <c r="CE6" s="66">
        <v>369.53552654170005</v>
      </c>
      <c r="CF6" s="66">
        <v>348.03756838600003</v>
      </c>
      <c r="CG6" s="66">
        <v>390.80667332260003</v>
      </c>
      <c r="CH6" s="66">
        <v>328.79609070130005</v>
      </c>
      <c r="CI6" s="66">
        <v>331.42172132019999</v>
      </c>
      <c r="CJ6" s="66">
        <v>1084.7521359508</v>
      </c>
      <c r="CK6" s="66">
        <v>809.98111317700011</v>
      </c>
      <c r="CL6" s="66">
        <v>569.26324399780003</v>
      </c>
      <c r="CM6" s="66">
        <v>521.53569866350017</v>
      </c>
      <c r="CN6" s="66">
        <v>423.51727169800006</v>
      </c>
      <c r="CO6" s="66">
        <v>355.6954919481999</v>
      </c>
      <c r="CP6" s="66">
        <v>392.16480212230005</v>
      </c>
      <c r="CQ6" s="66">
        <v>393.23667725440004</v>
      </c>
      <c r="CR6" s="66">
        <v>376.49357714890004</v>
      </c>
      <c r="CS6" s="66">
        <v>362.67515793460007</v>
      </c>
      <c r="CT6" s="66">
        <v>334.76279847459989</v>
      </c>
      <c r="CU6" s="66">
        <v>321.38152778860001</v>
      </c>
      <c r="CV6" s="66">
        <v>450.72957056950003</v>
      </c>
      <c r="CW6" s="66">
        <v>571.75753116670012</v>
      </c>
      <c r="CX6" s="66">
        <v>489.27954862510001</v>
      </c>
      <c r="CY6" s="66">
        <v>469.78052519829998</v>
      </c>
      <c r="CZ6" s="66">
        <v>344.57734395910006</v>
      </c>
      <c r="DA6" s="66">
        <v>305.26167111670003</v>
      </c>
      <c r="DB6" s="66">
        <v>340.316825128</v>
      </c>
      <c r="DC6" s="66">
        <v>422.76733812520001</v>
      </c>
      <c r="DD6" s="66">
        <v>332.21439780430001</v>
      </c>
      <c r="DE6" s="66">
        <v>330.98599880650005</v>
      </c>
      <c r="DF6" s="66">
        <v>317.77033344760008</v>
      </c>
      <c r="DG6" s="66">
        <v>303.53292862780006</v>
      </c>
      <c r="DH6" s="66">
        <v>458.31578060800007</v>
      </c>
      <c r="DI6" s="66">
        <v>628.52499584409998</v>
      </c>
      <c r="DJ6" s="66">
        <v>528.79092320799998</v>
      </c>
      <c r="DK6" s="66">
        <v>485.54140145799994</v>
      </c>
      <c r="DL6" s="66">
        <v>404.44087396660001</v>
      </c>
      <c r="DM6" s="66">
        <v>381.56823773650001</v>
      </c>
      <c r="DN6" s="66">
        <v>389.50884992979996</v>
      </c>
      <c r="DO6" s="66">
        <v>385.61113923430008</v>
      </c>
      <c r="DP6" s="79"/>
      <c r="DQ6" s="80"/>
      <c r="DR6" s="81"/>
      <c r="DS6" s="84">
        <f t="shared" si="3"/>
        <v>2008</v>
      </c>
      <c r="DT6" s="80"/>
      <c r="DU6" s="83">
        <f t="shared" si="4"/>
        <v>2139.5384333781003</v>
      </c>
      <c r="DV6" s="83">
        <f t="shared" si="4"/>
        <v>3125.2695620868003</v>
      </c>
      <c r="DW6" s="83">
        <f t="shared" si="4"/>
        <v>3418.7767280031003</v>
      </c>
      <c r="DX6" s="83">
        <f t="shared" si="4"/>
        <v>3715.1447418939006</v>
      </c>
      <c r="DY6" s="83">
        <f t="shared" si="4"/>
        <v>3983.5724764598999</v>
      </c>
      <c r="DZ6" s="83">
        <f t="shared" si="4"/>
        <v>4093.5913041315007</v>
      </c>
      <c r="EA6" s="83">
        <f t="shared" si="4"/>
        <v>4719.8175474810005</v>
      </c>
      <c r="EB6" s="83">
        <f t="shared" si="4"/>
        <v>5945.4594961586999</v>
      </c>
      <c r="EC6" s="83">
        <f t="shared" si="4"/>
        <v>4678.9740125748012</v>
      </c>
      <c r="ED6" s="83">
        <f t="shared" si="4"/>
        <v>3662.3022019853001</v>
      </c>
    </row>
    <row r="7" spans="1:134" x14ac:dyDescent="0.3">
      <c r="B7" s="45">
        <f t="shared" ref="B7:B70" si="5">B6+1</f>
        <v>1000000003</v>
      </c>
      <c r="C7" s="46">
        <v>41275</v>
      </c>
      <c r="D7" s="66">
        <v>6.8024818683999992</v>
      </c>
      <c r="E7" s="66">
        <v>24.056320360900003</v>
      </c>
      <c r="F7" s="66">
        <v>21.181549980700002</v>
      </c>
      <c r="G7" s="66">
        <v>24.632730472900001</v>
      </c>
      <c r="H7" s="66">
        <v>13.994624030199997</v>
      </c>
      <c r="I7" s="66">
        <v>9.8346392284000004</v>
      </c>
      <c r="J7" s="66">
        <v>17.281512629800002</v>
      </c>
      <c r="K7" s="66">
        <v>14.624922483399999</v>
      </c>
      <c r="L7" s="66">
        <v>17.2922827927</v>
      </c>
      <c r="M7" s="66">
        <v>12.791255341300001</v>
      </c>
      <c r="N7" s="66">
        <v>10.316031735999999</v>
      </c>
      <c r="O7" s="66">
        <v>19.469019026199998</v>
      </c>
      <c r="P7" s="66">
        <v>26.987380791100001</v>
      </c>
      <c r="Q7" s="66">
        <v>121.3300674916</v>
      </c>
      <c r="R7" s="66">
        <v>35.166812903200004</v>
      </c>
      <c r="S7" s="66">
        <v>42.034199003200001</v>
      </c>
      <c r="T7" s="66">
        <v>22.7914454107</v>
      </c>
      <c r="U7" s="66">
        <v>23.805379318000004</v>
      </c>
      <c r="V7" s="66">
        <v>34.555540486899993</v>
      </c>
      <c r="W7" s="66">
        <v>37.575651776199997</v>
      </c>
      <c r="X7" s="66">
        <v>31.597123092399997</v>
      </c>
      <c r="Y7" s="66">
        <v>26.822938791700004</v>
      </c>
      <c r="Z7" s="66">
        <v>36.294265078000002</v>
      </c>
      <c r="AA7" s="66">
        <v>22.531948280200002</v>
      </c>
      <c r="AB7" s="66">
        <v>56.493274039900001</v>
      </c>
      <c r="AC7" s="66">
        <v>107.8859020564</v>
      </c>
      <c r="AD7" s="66">
        <v>71.949283388799998</v>
      </c>
      <c r="AE7" s="66">
        <v>81.214400458600011</v>
      </c>
      <c r="AF7" s="66">
        <v>48.450364062400006</v>
      </c>
      <c r="AG7" s="66">
        <v>37.957260788500001</v>
      </c>
      <c r="AH7" s="66">
        <v>62.888874467500017</v>
      </c>
      <c r="AI7" s="66">
        <v>53.452823279200004</v>
      </c>
      <c r="AJ7" s="66">
        <v>71.560356670000004</v>
      </c>
      <c r="AK7" s="66">
        <v>39.349238671599998</v>
      </c>
      <c r="AL7" s="66">
        <v>40.568143414300003</v>
      </c>
      <c r="AM7" s="66">
        <v>33.971437401400003</v>
      </c>
      <c r="AN7" s="66">
        <v>60.051368100400012</v>
      </c>
      <c r="AO7" s="66">
        <v>119.71255414149999</v>
      </c>
      <c r="AP7" s="66">
        <v>116.75927790490002</v>
      </c>
      <c r="AQ7" s="66">
        <v>96.404195397699993</v>
      </c>
      <c r="AR7" s="66">
        <v>72.533574107799993</v>
      </c>
      <c r="AS7" s="66">
        <v>79.161314701599991</v>
      </c>
      <c r="AT7" s="66">
        <v>73.188039755800006</v>
      </c>
      <c r="AU7" s="66">
        <v>71.365518043600005</v>
      </c>
      <c r="AV7" s="66">
        <v>101.6281371979</v>
      </c>
      <c r="AW7" s="66">
        <v>82.884676348900015</v>
      </c>
      <c r="AX7" s="66">
        <v>82.322301222700005</v>
      </c>
      <c r="AY7" s="66">
        <v>62.477169041799996</v>
      </c>
      <c r="AZ7" s="66">
        <v>96.240428878899991</v>
      </c>
      <c r="BA7" s="66">
        <v>175.5299928817</v>
      </c>
      <c r="BB7" s="66">
        <v>172.72524732369999</v>
      </c>
      <c r="BC7" s="66">
        <v>168.96409628950002</v>
      </c>
      <c r="BD7" s="66">
        <v>112.125593569</v>
      </c>
      <c r="BE7" s="66">
        <v>110.9432773588</v>
      </c>
      <c r="BF7" s="66">
        <v>122.7749955484</v>
      </c>
      <c r="BG7" s="66">
        <v>122.08638060340002</v>
      </c>
      <c r="BH7" s="66">
        <v>122.25063496929999</v>
      </c>
      <c r="BI7" s="66">
        <v>110.93115623469998</v>
      </c>
      <c r="BJ7" s="66">
        <v>127.60603279960003</v>
      </c>
      <c r="BK7" s="66">
        <v>89.393419777000005</v>
      </c>
      <c r="BL7" s="66">
        <v>160.47150386590002</v>
      </c>
      <c r="BM7" s="66">
        <v>290.98527605560002</v>
      </c>
      <c r="BN7" s="66">
        <v>246.43376544910006</v>
      </c>
      <c r="BO7" s="66">
        <v>262.90719868840006</v>
      </c>
      <c r="BP7" s="66">
        <v>123.75170296929997</v>
      </c>
      <c r="BQ7" s="66">
        <v>143.4861313852</v>
      </c>
      <c r="BR7" s="66">
        <v>166.1500065832</v>
      </c>
      <c r="BS7" s="66">
        <v>136.68892021419998</v>
      </c>
      <c r="BT7" s="66">
        <v>153.61612630990001</v>
      </c>
      <c r="BU7" s="66">
        <v>142.13543287210004</v>
      </c>
      <c r="BV7" s="66">
        <v>127.42800613480003</v>
      </c>
      <c r="BW7" s="66">
        <v>132.89887362100001</v>
      </c>
      <c r="BX7" s="66">
        <v>165.77327604189998</v>
      </c>
      <c r="BY7" s="66">
        <v>424.33730514640001</v>
      </c>
      <c r="BZ7" s="66">
        <v>221.74183480300002</v>
      </c>
      <c r="CA7" s="66">
        <v>207.799539952</v>
      </c>
      <c r="CB7" s="66">
        <v>200.95324385740005</v>
      </c>
      <c r="CC7" s="66">
        <v>237.56207830210005</v>
      </c>
      <c r="CD7" s="66">
        <v>239.80516174120004</v>
      </c>
      <c r="CE7" s="66">
        <v>189.85490996590002</v>
      </c>
      <c r="CF7" s="66">
        <v>203.84749059490002</v>
      </c>
      <c r="CG7" s="66">
        <v>214.73552485960002</v>
      </c>
      <c r="CH7" s="66">
        <v>170.68934879529996</v>
      </c>
      <c r="CI7" s="66">
        <v>196.13215118170004</v>
      </c>
      <c r="CJ7" s="66">
        <v>362.65909650700007</v>
      </c>
      <c r="CK7" s="66">
        <v>308.50105091410001</v>
      </c>
      <c r="CL7" s="66">
        <v>306.18471535660007</v>
      </c>
      <c r="CM7" s="66">
        <v>306.8118240403</v>
      </c>
      <c r="CN7" s="66">
        <v>305.37023585979995</v>
      </c>
      <c r="CO7" s="66">
        <v>218.54103245319999</v>
      </c>
      <c r="CP7" s="66">
        <v>233.89966001560001</v>
      </c>
      <c r="CQ7" s="66">
        <v>179.46898294720003</v>
      </c>
      <c r="CR7" s="66">
        <v>217.9890897496</v>
      </c>
      <c r="CS7" s="66">
        <v>224.60088149590001</v>
      </c>
      <c r="CT7" s="66">
        <v>141.5782364305</v>
      </c>
      <c r="CU7" s="66">
        <v>175.38356369830001</v>
      </c>
      <c r="CV7" s="66">
        <v>612.65375355970014</v>
      </c>
      <c r="CW7" s="66">
        <v>319.86195912549999</v>
      </c>
      <c r="CX7" s="66">
        <v>307.81374940360007</v>
      </c>
      <c r="CY7" s="66">
        <v>413.28152653270001</v>
      </c>
      <c r="CZ7" s="66">
        <v>197.47688294950001</v>
      </c>
      <c r="DA7" s="66">
        <v>228.20513339740003</v>
      </c>
      <c r="DB7" s="66">
        <v>194.35713827169999</v>
      </c>
      <c r="DC7" s="66">
        <v>275.28444251590003</v>
      </c>
      <c r="DD7" s="66">
        <v>254.40590007039998</v>
      </c>
      <c r="DE7" s="66">
        <v>349.93945906869999</v>
      </c>
      <c r="DF7" s="66">
        <v>262.77221514850004</v>
      </c>
      <c r="DG7" s="66">
        <v>213.9156039913</v>
      </c>
      <c r="DH7" s="66">
        <v>670.39661222349991</v>
      </c>
      <c r="DI7" s="66">
        <v>432.79814998180001</v>
      </c>
      <c r="DJ7" s="66">
        <v>459.08751719350005</v>
      </c>
      <c r="DK7" s="66">
        <v>610.79265439990002</v>
      </c>
      <c r="DL7" s="66">
        <v>379.64135427159999</v>
      </c>
      <c r="DM7" s="66">
        <v>398.56678208890003</v>
      </c>
      <c r="DN7" s="66">
        <v>360.1246932958</v>
      </c>
      <c r="DO7" s="66">
        <v>311.02588481679999</v>
      </c>
      <c r="DP7" s="79"/>
      <c r="DQ7" s="80"/>
      <c r="DR7" s="81"/>
      <c r="DS7" s="84">
        <f t="shared" si="3"/>
        <v>2013</v>
      </c>
      <c r="DT7" s="80"/>
      <c r="DU7" s="83">
        <f t="shared" si="4"/>
        <v>192.27736995089998</v>
      </c>
      <c r="DV7" s="83">
        <f t="shared" si="4"/>
        <v>461.49275242320005</v>
      </c>
      <c r="DW7" s="83">
        <f t="shared" si="4"/>
        <v>705.74135869860004</v>
      </c>
      <c r="DX7" s="83">
        <f t="shared" si="4"/>
        <v>1018.4881259646002</v>
      </c>
      <c r="DY7" s="83">
        <f t="shared" si="4"/>
        <v>1531.571256234</v>
      </c>
      <c r="DZ7" s="83">
        <f t="shared" si="4"/>
        <v>2086.9529441486998</v>
      </c>
      <c r="EA7" s="83">
        <f t="shared" si="4"/>
        <v>2673.2318652414001</v>
      </c>
      <c r="EB7" s="83">
        <f t="shared" si="4"/>
        <v>2980.9883694680998</v>
      </c>
      <c r="EC7" s="83">
        <f t="shared" si="4"/>
        <v>3629.9677640349009</v>
      </c>
      <c r="ED7" s="83">
        <f t="shared" si="4"/>
        <v>3622.4336482718004</v>
      </c>
    </row>
    <row r="8" spans="1:134" x14ac:dyDescent="0.3">
      <c r="B8" s="45">
        <f t="shared" si="5"/>
        <v>1000000004</v>
      </c>
      <c r="C8" s="46">
        <v>40909</v>
      </c>
      <c r="D8" s="66">
        <v>204.88457847610002</v>
      </c>
      <c r="E8" s="66">
        <v>613.64986228449993</v>
      </c>
      <c r="F8" s="66">
        <v>248.6467149481</v>
      </c>
      <c r="G8" s="66">
        <v>145.52233012720004</v>
      </c>
      <c r="H8" s="66">
        <v>81.212261436700032</v>
      </c>
      <c r="I8" s="66">
        <v>80.869980405999996</v>
      </c>
      <c r="J8" s="66">
        <v>75.973459063299998</v>
      </c>
      <c r="K8" s="66">
        <v>94.653049468899994</v>
      </c>
      <c r="L8" s="66">
        <v>90.011334419199997</v>
      </c>
      <c r="M8" s="66">
        <v>90.810578075799995</v>
      </c>
      <c r="N8" s="66">
        <v>116.84934198489999</v>
      </c>
      <c r="O8" s="66">
        <v>99.029225589400014</v>
      </c>
      <c r="P8" s="66">
        <v>243.60702924490008</v>
      </c>
      <c r="Q8" s="66">
        <v>1425.3431892430001</v>
      </c>
      <c r="R8" s="66">
        <v>357.34028720920003</v>
      </c>
      <c r="S8" s="66">
        <v>215.38222248069999</v>
      </c>
      <c r="T8" s="66">
        <v>149.10590481700001</v>
      </c>
      <c r="U8" s="66">
        <v>126.70824402880001</v>
      </c>
      <c r="V8" s="66">
        <v>135.2933022412</v>
      </c>
      <c r="W8" s="66">
        <v>149.10853168600002</v>
      </c>
      <c r="X8" s="66">
        <v>144.19031991070003</v>
      </c>
      <c r="Y8" s="66">
        <v>141.21756731680003</v>
      </c>
      <c r="Z8" s="66">
        <v>149.51464563340002</v>
      </c>
      <c r="AA8" s="66">
        <v>111.31066375179999</v>
      </c>
      <c r="AB8" s="66">
        <v>243.73296885010001</v>
      </c>
      <c r="AC8" s="66">
        <v>713.20530782859998</v>
      </c>
      <c r="AD8" s="66">
        <v>348.50732761660004</v>
      </c>
      <c r="AE8" s="66">
        <v>223.96814380719997</v>
      </c>
      <c r="AF8" s="66">
        <v>171.85586626480003</v>
      </c>
      <c r="AG8" s="66">
        <v>152.39804715459999</v>
      </c>
      <c r="AH8" s="66">
        <v>166.95634278610001</v>
      </c>
      <c r="AI8" s="66">
        <v>165.12732895480005</v>
      </c>
      <c r="AJ8" s="66">
        <v>192.68194638370005</v>
      </c>
      <c r="AK8" s="66">
        <v>203.7141957565</v>
      </c>
      <c r="AL8" s="66">
        <v>165.6407692642</v>
      </c>
      <c r="AM8" s="66">
        <v>156.2175146806</v>
      </c>
      <c r="AN8" s="66">
        <v>251.49262729600008</v>
      </c>
      <c r="AO8" s="66">
        <v>635.4391402123</v>
      </c>
      <c r="AP8" s="66">
        <v>503.49687666040012</v>
      </c>
      <c r="AQ8" s="66">
        <v>293.67263809600001</v>
      </c>
      <c r="AR8" s="66">
        <v>222.90332369470002</v>
      </c>
      <c r="AS8" s="66">
        <v>241.16891954590005</v>
      </c>
      <c r="AT8" s="66">
        <v>191.34303125439999</v>
      </c>
      <c r="AU8" s="66">
        <v>213.55996345539998</v>
      </c>
      <c r="AV8" s="66">
        <v>200.30024175070002</v>
      </c>
      <c r="AW8" s="66">
        <v>209.96820794500002</v>
      </c>
      <c r="AX8" s="66">
        <v>184.90438770190002</v>
      </c>
      <c r="AY8" s="66">
        <v>185.08766810470001</v>
      </c>
      <c r="AZ8" s="66">
        <v>301.48667273019998</v>
      </c>
      <c r="BA8" s="66">
        <v>628.94870981380006</v>
      </c>
      <c r="BB8" s="66">
        <v>443.01955994770003</v>
      </c>
      <c r="BC8" s="66">
        <v>400.62512158390001</v>
      </c>
      <c r="BD8" s="66">
        <v>236.07399454029999</v>
      </c>
      <c r="BE8" s="66">
        <v>211.46165802490003</v>
      </c>
      <c r="BF8" s="66">
        <v>195.7649524222</v>
      </c>
      <c r="BG8" s="66">
        <v>204.11265425710002</v>
      </c>
      <c r="BH8" s="66">
        <v>227.33222482870002</v>
      </c>
      <c r="BI8" s="66">
        <v>207.14691311230001</v>
      </c>
      <c r="BJ8" s="66">
        <v>211.21386922479999</v>
      </c>
      <c r="BK8" s="66">
        <v>183.33794819050001</v>
      </c>
      <c r="BL8" s="66">
        <v>186.37089361120002</v>
      </c>
      <c r="BM8" s="66">
        <v>356.22957194259999</v>
      </c>
      <c r="BN8" s="66">
        <v>344.84179461400004</v>
      </c>
      <c r="BO8" s="66">
        <v>304.98795136690006</v>
      </c>
      <c r="BP8" s="66">
        <v>248.64750300880002</v>
      </c>
      <c r="BQ8" s="66">
        <v>235.91807110180002</v>
      </c>
      <c r="BR8" s="66">
        <v>242.39754370390008</v>
      </c>
      <c r="BS8" s="66">
        <v>233.63393345290001</v>
      </c>
      <c r="BT8" s="66">
        <v>257.70104454400001</v>
      </c>
      <c r="BU8" s="66">
        <v>251.90118047890007</v>
      </c>
      <c r="BV8" s="66">
        <v>225.78102115749996</v>
      </c>
      <c r="BW8" s="66">
        <v>230.05677582879997</v>
      </c>
      <c r="BX8" s="66">
        <v>288.36977764569997</v>
      </c>
      <c r="BY8" s="66">
        <v>534.13404980739995</v>
      </c>
      <c r="BZ8" s="66">
        <v>335.0870291626</v>
      </c>
      <c r="CA8" s="66">
        <v>378.38214585309998</v>
      </c>
      <c r="CB8" s="66">
        <v>359.20982987650001</v>
      </c>
      <c r="CC8" s="66">
        <v>340.06588408510004</v>
      </c>
      <c r="CD8" s="66">
        <v>350.99546040669998</v>
      </c>
      <c r="CE8" s="66">
        <v>346.25936570650003</v>
      </c>
      <c r="CF8" s="66">
        <v>351.48916167190004</v>
      </c>
      <c r="CG8" s="66">
        <v>365.47191030549999</v>
      </c>
      <c r="CH8" s="66">
        <v>307.62041184520001</v>
      </c>
      <c r="CI8" s="66">
        <v>291.91548789519999</v>
      </c>
      <c r="CJ8" s="66">
        <v>611.61208742110011</v>
      </c>
      <c r="CK8" s="66">
        <v>892.71003676149996</v>
      </c>
      <c r="CL8" s="66">
        <v>476.67759491799995</v>
      </c>
      <c r="CM8" s="66">
        <v>464.97785813230001</v>
      </c>
      <c r="CN8" s="66">
        <v>387.97464585370005</v>
      </c>
      <c r="CO8" s="66">
        <v>318.57835835200001</v>
      </c>
      <c r="CP8" s="66">
        <v>335.17086381040008</v>
      </c>
      <c r="CQ8" s="66">
        <v>364.71672299470004</v>
      </c>
      <c r="CR8" s="66">
        <v>361.1713880122</v>
      </c>
      <c r="CS8" s="66">
        <v>364.32505682679999</v>
      </c>
      <c r="CT8" s="66">
        <v>324.50157267999998</v>
      </c>
      <c r="CU8" s="66">
        <v>301.2258996919</v>
      </c>
      <c r="CV8" s="66">
        <v>348.53254555900003</v>
      </c>
      <c r="CW8" s="66">
        <v>468.63843761050003</v>
      </c>
      <c r="CX8" s="66">
        <v>475.93993257610003</v>
      </c>
      <c r="CY8" s="66">
        <v>464.53804520830005</v>
      </c>
      <c r="CZ8" s="66">
        <v>325.50938973519999</v>
      </c>
      <c r="DA8" s="66">
        <v>324.03429021160002</v>
      </c>
      <c r="DB8" s="66">
        <v>370.02434933589996</v>
      </c>
      <c r="DC8" s="66">
        <v>346.93248212440005</v>
      </c>
      <c r="DD8" s="66">
        <v>368.23083576279998</v>
      </c>
      <c r="DE8" s="66">
        <v>396.07977509980003</v>
      </c>
      <c r="DF8" s="66">
        <v>337.92536111710001</v>
      </c>
      <c r="DG8" s="66">
        <v>296.51614873510005</v>
      </c>
      <c r="DH8" s="66">
        <v>397.66584107530002</v>
      </c>
      <c r="DI8" s="66">
        <v>476.15109531700011</v>
      </c>
      <c r="DJ8" s="66">
        <v>467.03165689660005</v>
      </c>
      <c r="DK8" s="66">
        <v>399.13910179060002</v>
      </c>
      <c r="DL8" s="66">
        <v>349.86117837250004</v>
      </c>
      <c r="DM8" s="66">
        <v>314.64950049549998</v>
      </c>
      <c r="DN8" s="66">
        <v>362.89577740390001</v>
      </c>
      <c r="DO8" s="66">
        <v>368.06838267850003</v>
      </c>
      <c r="DP8" s="79"/>
      <c r="DQ8" s="80"/>
      <c r="DR8" s="81"/>
      <c r="DS8" s="84">
        <f t="shared" si="3"/>
        <v>2012</v>
      </c>
      <c r="DT8" s="80"/>
      <c r="DU8" s="83">
        <f t="shared" si="4"/>
        <v>1942.1127162801004</v>
      </c>
      <c r="DV8" s="83">
        <f t="shared" si="4"/>
        <v>3348.1219075634999</v>
      </c>
      <c r="DW8" s="83">
        <f t="shared" si="4"/>
        <v>2904.0057593478</v>
      </c>
      <c r="DX8" s="83">
        <f t="shared" si="4"/>
        <v>3333.3370257174001</v>
      </c>
      <c r="DY8" s="83">
        <f t="shared" si="4"/>
        <v>3450.5242786763997</v>
      </c>
      <c r="DZ8" s="83">
        <f t="shared" si="4"/>
        <v>3118.4672848113005</v>
      </c>
      <c r="EA8" s="83">
        <f t="shared" si="4"/>
        <v>4249.0005142614</v>
      </c>
      <c r="EB8" s="83">
        <f t="shared" si="4"/>
        <v>5203.6420854546004</v>
      </c>
      <c r="EC8" s="83">
        <f t="shared" si="4"/>
        <v>4522.9015930757996</v>
      </c>
      <c r="ED8" s="83">
        <f t="shared" si="4"/>
        <v>3135.4625340299008</v>
      </c>
    </row>
    <row r="9" spans="1:134" x14ac:dyDescent="0.3">
      <c r="B9" s="45">
        <f t="shared" si="5"/>
        <v>1000000005</v>
      </c>
      <c r="C9" s="46">
        <v>38899</v>
      </c>
      <c r="D9" s="66">
        <v>162.51760965669999</v>
      </c>
      <c r="E9" s="66">
        <v>687.14620444810021</v>
      </c>
      <c r="F9" s="66">
        <v>325.37485651570006</v>
      </c>
      <c r="G9" s="66">
        <v>301.26443961279995</v>
      </c>
      <c r="H9" s="66">
        <v>185.9906355601</v>
      </c>
      <c r="I9" s="66">
        <v>151.2563348338</v>
      </c>
      <c r="J9" s="66">
        <v>145.35218406940001</v>
      </c>
      <c r="K9" s="66">
        <v>158.02311185110003</v>
      </c>
      <c r="L9" s="66">
        <v>149.7745555576</v>
      </c>
      <c r="M9" s="66">
        <v>157.74961726150002</v>
      </c>
      <c r="N9" s="66">
        <v>124.54816965010002</v>
      </c>
      <c r="O9" s="66">
        <v>133.78446621430001</v>
      </c>
      <c r="P9" s="66">
        <v>191.07921855340001</v>
      </c>
      <c r="Q9" s="66">
        <v>964.8121494400001</v>
      </c>
      <c r="R9" s="66">
        <v>310.46857579510004</v>
      </c>
      <c r="S9" s="66">
        <v>274.50050975289997</v>
      </c>
      <c r="T9" s="66">
        <v>173.24600533960003</v>
      </c>
      <c r="U9" s="66">
        <v>143.00458877079998</v>
      </c>
      <c r="V9" s="66">
        <v>168.45133146070003</v>
      </c>
      <c r="W9" s="66">
        <v>153.51412873929999</v>
      </c>
      <c r="X9" s="66">
        <v>179.70378750910004</v>
      </c>
      <c r="Y9" s="66">
        <v>187.43526340330001</v>
      </c>
      <c r="Z9" s="66">
        <v>154.42940495230002</v>
      </c>
      <c r="AA9" s="66">
        <v>144.99264075670001</v>
      </c>
      <c r="AB9" s="66">
        <v>159.39996647409998</v>
      </c>
      <c r="AC9" s="66">
        <v>491.98706250340001</v>
      </c>
      <c r="AD9" s="66">
        <v>346.44114504129999</v>
      </c>
      <c r="AE9" s="66">
        <v>257.78945744919997</v>
      </c>
      <c r="AF9" s="66">
        <v>203.83157927410002</v>
      </c>
      <c r="AG9" s="66">
        <v>179.83434289839997</v>
      </c>
      <c r="AH9" s="66">
        <v>197.30598635769999</v>
      </c>
      <c r="AI9" s="66">
        <v>199.03232713780002</v>
      </c>
      <c r="AJ9" s="66">
        <v>211.03542976630001</v>
      </c>
      <c r="AK9" s="66">
        <v>230.2489500595</v>
      </c>
      <c r="AL9" s="66">
        <v>181.3456556875</v>
      </c>
      <c r="AM9" s="66">
        <v>180.58592764600002</v>
      </c>
      <c r="AN9" s="66">
        <v>202.1966910619</v>
      </c>
      <c r="AO9" s="66">
        <v>362.22498764139999</v>
      </c>
      <c r="AP9" s="66">
        <v>322.06699049079998</v>
      </c>
      <c r="AQ9" s="66">
        <v>274.46864958460003</v>
      </c>
      <c r="AR9" s="66">
        <v>172.37137054269999</v>
      </c>
      <c r="AS9" s="66">
        <v>172.16636218059998</v>
      </c>
      <c r="AT9" s="66">
        <v>203.42287598440001</v>
      </c>
      <c r="AU9" s="66">
        <v>187.89263882289998</v>
      </c>
      <c r="AV9" s="66">
        <v>192.96305889340002</v>
      </c>
      <c r="AW9" s="66">
        <v>207.34287753969997</v>
      </c>
      <c r="AX9" s="66">
        <v>219.33220786929999</v>
      </c>
      <c r="AY9" s="66">
        <v>213.5369220616</v>
      </c>
      <c r="AZ9" s="66">
        <v>230.18219006019999</v>
      </c>
      <c r="BA9" s="66">
        <v>369.38399372710006</v>
      </c>
      <c r="BB9" s="66">
        <v>347.1315612679</v>
      </c>
      <c r="BC9" s="66">
        <v>360.36842921229999</v>
      </c>
      <c r="BD9" s="66">
        <v>276.20061936970001</v>
      </c>
      <c r="BE9" s="66">
        <v>196.26709719490003</v>
      </c>
      <c r="BF9" s="66">
        <v>229.52532270339998</v>
      </c>
      <c r="BG9" s="66">
        <v>209.64105017439999</v>
      </c>
      <c r="BH9" s="66">
        <v>216.19415016189998</v>
      </c>
      <c r="BI9" s="66">
        <v>238.89352561809997</v>
      </c>
      <c r="BJ9" s="66">
        <v>209.91195542169996</v>
      </c>
      <c r="BK9" s="66">
        <v>224.44533332439997</v>
      </c>
      <c r="BL9" s="66">
        <v>226.03984280739999</v>
      </c>
      <c r="BM9" s="66">
        <v>435.55035815980006</v>
      </c>
      <c r="BN9" s="66">
        <v>326.05664160129993</v>
      </c>
      <c r="BO9" s="66">
        <v>330.06603175599997</v>
      </c>
      <c r="BP9" s="66">
        <v>240.89287314069998</v>
      </c>
      <c r="BQ9" s="66">
        <v>182.30862833620003</v>
      </c>
      <c r="BR9" s="66">
        <v>208.39932919810002</v>
      </c>
      <c r="BS9" s="66">
        <v>241.13739711790001</v>
      </c>
      <c r="BT9" s="66">
        <v>221.42593504240006</v>
      </c>
      <c r="BU9" s="66">
        <v>237.1802066029</v>
      </c>
      <c r="BV9" s="66">
        <v>210.56195539240002</v>
      </c>
      <c r="BW9" s="66">
        <v>197.65449682059997</v>
      </c>
      <c r="BX9" s="66">
        <v>306.28990269670004</v>
      </c>
      <c r="BY9" s="66">
        <v>424.45596457180005</v>
      </c>
      <c r="BZ9" s="66">
        <v>286.91997111790005</v>
      </c>
      <c r="CA9" s="66">
        <v>237.87996697780005</v>
      </c>
      <c r="CB9" s="66">
        <v>225.33130118469998</v>
      </c>
      <c r="CC9" s="66">
        <v>230.41920869740002</v>
      </c>
      <c r="CD9" s="66">
        <v>259.45421691459995</v>
      </c>
      <c r="CE9" s="66">
        <v>255.51571469620001</v>
      </c>
      <c r="CF9" s="66">
        <v>249.83049469960002</v>
      </c>
      <c r="CG9" s="66">
        <v>311.85897755680003</v>
      </c>
      <c r="CH9" s="66">
        <v>261.82117599039998</v>
      </c>
      <c r="CI9" s="66">
        <v>212.22648969760004</v>
      </c>
      <c r="CJ9" s="66">
        <v>241.01945069980002</v>
      </c>
      <c r="CK9" s="66">
        <v>542.02550202369991</v>
      </c>
      <c r="CL9" s="66">
        <v>391.51071174130004</v>
      </c>
      <c r="CM9" s="66">
        <v>345.97420031320007</v>
      </c>
      <c r="CN9" s="66">
        <v>290.68356138760004</v>
      </c>
      <c r="CO9" s="66">
        <v>259.10690730610003</v>
      </c>
      <c r="CP9" s="66">
        <v>205.36180552000005</v>
      </c>
      <c r="CQ9" s="66">
        <v>252.8867817277</v>
      </c>
      <c r="CR9" s="66">
        <v>268.19846338839994</v>
      </c>
      <c r="CS9" s="66">
        <v>300.91615431010001</v>
      </c>
      <c r="CT9" s="66">
        <v>275.98885620160002</v>
      </c>
      <c r="CU9" s="66">
        <v>264.96092239930005</v>
      </c>
      <c r="CV9" s="66">
        <v>366.83416704220002</v>
      </c>
      <c r="CW9" s="66">
        <v>457.51263417460007</v>
      </c>
      <c r="CX9" s="66">
        <v>377.79699201999995</v>
      </c>
      <c r="CY9" s="66">
        <v>388.23594426580007</v>
      </c>
      <c r="CZ9" s="66">
        <v>282.50037660550004</v>
      </c>
      <c r="DA9" s="66">
        <v>260.97348536409999</v>
      </c>
      <c r="DB9" s="66">
        <v>273.31080078280002</v>
      </c>
      <c r="DC9" s="66">
        <v>294.11143779910003</v>
      </c>
      <c r="DD9" s="66">
        <v>296.12703438280005</v>
      </c>
      <c r="DE9" s="66">
        <v>325.39504588029996</v>
      </c>
      <c r="DF9" s="66">
        <v>272.18477462260006</v>
      </c>
      <c r="DG9" s="66">
        <v>278.29581008410003</v>
      </c>
      <c r="DH9" s="66">
        <v>430.57045248970002</v>
      </c>
      <c r="DI9" s="66">
        <v>546.62496200919998</v>
      </c>
      <c r="DJ9" s="66">
        <v>485.98038879459989</v>
      </c>
      <c r="DK9" s="66">
        <v>408.78004876089994</v>
      </c>
      <c r="DL9" s="66">
        <v>369.30867764020007</v>
      </c>
      <c r="DM9" s="66">
        <v>385.88786112010001</v>
      </c>
      <c r="DN9" s="66">
        <v>329.7707716804</v>
      </c>
      <c r="DO9" s="66">
        <v>388.28679294430003</v>
      </c>
      <c r="DP9" s="79"/>
      <c r="DQ9" s="80"/>
      <c r="DR9" s="81"/>
      <c r="DS9" s="84">
        <f t="shared" si="3"/>
        <v>2006</v>
      </c>
      <c r="DT9" s="80"/>
      <c r="DU9" s="83">
        <f t="shared" si="4"/>
        <v>2682.7821852312004</v>
      </c>
      <c r="DV9" s="83">
        <f t="shared" si="4"/>
        <v>3045.6376044732001</v>
      </c>
      <c r="DW9" s="83">
        <f t="shared" si="4"/>
        <v>2838.8378302953001</v>
      </c>
      <c r="DX9" s="83">
        <f t="shared" si="4"/>
        <v>2729.9856326732997</v>
      </c>
      <c r="DY9" s="83">
        <f t="shared" si="4"/>
        <v>3108.1452282359996</v>
      </c>
      <c r="DZ9" s="83">
        <f t="shared" si="4"/>
        <v>3057.2736959756994</v>
      </c>
      <c r="EA9" s="83">
        <f t="shared" si="4"/>
        <v>3262.0033848014996</v>
      </c>
      <c r="EB9" s="83">
        <f t="shared" si="4"/>
        <v>3638.6333170188</v>
      </c>
      <c r="EC9" s="83">
        <f t="shared" si="4"/>
        <v>3873.2785030239002</v>
      </c>
      <c r="ED9" s="83">
        <f t="shared" si="4"/>
        <v>3345.2099554393999</v>
      </c>
    </row>
    <row r="10" spans="1:134" x14ac:dyDescent="0.3">
      <c r="B10" s="45">
        <f t="shared" si="5"/>
        <v>1000000006</v>
      </c>
      <c r="C10" s="46">
        <v>39753</v>
      </c>
      <c r="D10" s="66">
        <v>149.25657451750001</v>
      </c>
      <c r="E10" s="66">
        <v>254.02759340770001</v>
      </c>
      <c r="F10" s="66">
        <v>247.63049191210001</v>
      </c>
      <c r="G10" s="66">
        <v>198.5539367662</v>
      </c>
      <c r="H10" s="66">
        <v>158.34696727210004</v>
      </c>
      <c r="I10" s="66">
        <v>176.13522349930003</v>
      </c>
      <c r="J10" s="66">
        <v>163.04864998840003</v>
      </c>
      <c r="K10" s="66">
        <v>169.64787029019999</v>
      </c>
      <c r="L10" s="66">
        <v>191.49602761029999</v>
      </c>
      <c r="M10" s="66">
        <v>177.74466860890004</v>
      </c>
      <c r="N10" s="66">
        <v>152.32471998279999</v>
      </c>
      <c r="O10" s="66">
        <v>138.38400125319998</v>
      </c>
      <c r="P10" s="66">
        <v>155.6476342144</v>
      </c>
      <c r="Q10" s="66">
        <v>574.6951587694</v>
      </c>
      <c r="R10" s="66">
        <v>258.0948872605</v>
      </c>
      <c r="S10" s="66">
        <v>199.04553653620002</v>
      </c>
      <c r="T10" s="66">
        <v>178.70719093720001</v>
      </c>
      <c r="U10" s="66">
        <v>177.8184085744</v>
      </c>
      <c r="V10" s="66">
        <v>200.56251585700002</v>
      </c>
      <c r="W10" s="66">
        <v>216.35874226810003</v>
      </c>
      <c r="X10" s="66">
        <v>260.8583909752</v>
      </c>
      <c r="Y10" s="66">
        <v>259.42791069790002</v>
      </c>
      <c r="Z10" s="66">
        <v>220.01928421960002</v>
      </c>
      <c r="AA10" s="66">
        <v>191.95648021930003</v>
      </c>
      <c r="AB10" s="66">
        <v>196.05424575250001</v>
      </c>
      <c r="AC10" s="66">
        <v>323.12164086759998</v>
      </c>
      <c r="AD10" s="66">
        <v>308.83278694210003</v>
      </c>
      <c r="AE10" s="66">
        <v>281.4692929963</v>
      </c>
      <c r="AF10" s="66">
        <v>264.27058122610003</v>
      </c>
      <c r="AG10" s="66">
        <v>266.76089056479992</v>
      </c>
      <c r="AH10" s="66">
        <v>258.27182565100009</v>
      </c>
      <c r="AI10" s="66">
        <v>295.23483709030006</v>
      </c>
      <c r="AJ10" s="66">
        <v>312.87159802960002</v>
      </c>
      <c r="AK10" s="66">
        <v>294.49015725549998</v>
      </c>
      <c r="AL10" s="66">
        <v>269.32283837379998</v>
      </c>
      <c r="AM10" s="66">
        <v>247.12572027039994</v>
      </c>
      <c r="AN10" s="66">
        <v>282.91902447069998</v>
      </c>
      <c r="AO10" s="66">
        <v>390.73345873089994</v>
      </c>
      <c r="AP10" s="66">
        <v>427.24941459309997</v>
      </c>
      <c r="AQ10" s="66">
        <v>309.25004631940004</v>
      </c>
      <c r="AR10" s="66">
        <v>302.78659761820001</v>
      </c>
      <c r="AS10" s="66">
        <v>308.7684661783</v>
      </c>
      <c r="AT10" s="66">
        <v>322.53491091309996</v>
      </c>
      <c r="AU10" s="66">
        <v>356.72503696270002</v>
      </c>
      <c r="AV10" s="66">
        <v>351.81812072410003</v>
      </c>
      <c r="AW10" s="66">
        <v>317.72995471839999</v>
      </c>
      <c r="AX10" s="66">
        <v>300.90523404040005</v>
      </c>
      <c r="AY10" s="66">
        <v>267.19567491099997</v>
      </c>
      <c r="AZ10" s="66">
        <v>307.71648019720004</v>
      </c>
      <c r="BA10" s="66">
        <v>425.96281168359997</v>
      </c>
      <c r="BB10" s="66">
        <v>441.58292529160008</v>
      </c>
      <c r="BC10" s="66">
        <v>350.64612435640004</v>
      </c>
      <c r="BD10" s="66">
        <v>320.3714966581</v>
      </c>
      <c r="BE10" s="66">
        <v>308.80437923019997</v>
      </c>
      <c r="BF10" s="66">
        <v>352.45442344930001</v>
      </c>
      <c r="BG10" s="66">
        <v>325.07704462450005</v>
      </c>
      <c r="BH10" s="66">
        <v>322.64767864660001</v>
      </c>
      <c r="BI10" s="66">
        <v>301.11110551660005</v>
      </c>
      <c r="BJ10" s="66">
        <v>284.89998391029997</v>
      </c>
      <c r="BK10" s="66">
        <v>266.22106898530001</v>
      </c>
      <c r="BL10" s="66">
        <v>324.59486405620004</v>
      </c>
      <c r="BM10" s="66">
        <v>409.99020978250002</v>
      </c>
      <c r="BN10" s="66">
        <v>452.92852260940015</v>
      </c>
      <c r="BO10" s="66">
        <v>376.85454647620008</v>
      </c>
      <c r="BP10" s="66">
        <v>390.40498752580004</v>
      </c>
      <c r="BQ10" s="66">
        <v>320.48925544269997</v>
      </c>
      <c r="BR10" s="66">
        <v>336.42489354430006</v>
      </c>
      <c r="BS10" s="66">
        <v>336.25384684570008</v>
      </c>
      <c r="BT10" s="66">
        <v>363.80272268950006</v>
      </c>
      <c r="BU10" s="66">
        <v>355.56805127500002</v>
      </c>
      <c r="BV10" s="66">
        <v>340.72338939579998</v>
      </c>
      <c r="BW10" s="66">
        <v>329.2145134063</v>
      </c>
      <c r="BX10" s="66">
        <v>385.28244286899996</v>
      </c>
      <c r="BY10" s="66">
        <v>422.75878203759999</v>
      </c>
      <c r="BZ10" s="66">
        <v>443.77317113709989</v>
      </c>
      <c r="CA10" s="66">
        <v>343.49015793339998</v>
      </c>
      <c r="CB10" s="66">
        <v>344.09696467239996</v>
      </c>
      <c r="CC10" s="66">
        <v>415.80080648379993</v>
      </c>
      <c r="CD10" s="66">
        <v>412.65997180059998</v>
      </c>
      <c r="CE10" s="66">
        <v>378.29834873200008</v>
      </c>
      <c r="CF10" s="66">
        <v>412.23456912940003</v>
      </c>
      <c r="CG10" s="66">
        <v>386.12694372579995</v>
      </c>
      <c r="CH10" s="66">
        <v>327.58926955599998</v>
      </c>
      <c r="CI10" s="66">
        <v>322.85764053310004</v>
      </c>
      <c r="CJ10" s="66">
        <v>333.78646632070007</v>
      </c>
      <c r="CK10" s="66">
        <v>406.19554740519999</v>
      </c>
      <c r="CL10" s="66">
        <v>438.67471862170004</v>
      </c>
      <c r="CM10" s="66">
        <v>427.72221348640005</v>
      </c>
      <c r="CN10" s="66">
        <v>394.73369237079999</v>
      </c>
      <c r="CO10" s="66">
        <v>385.68101394970006</v>
      </c>
      <c r="CP10" s="66">
        <v>365.04669526779992</v>
      </c>
      <c r="CQ10" s="66">
        <v>373.78940314689999</v>
      </c>
      <c r="CR10" s="66">
        <v>391.57904786200004</v>
      </c>
      <c r="CS10" s="66">
        <v>389.39139135879998</v>
      </c>
      <c r="CT10" s="66">
        <v>375.89311242219998</v>
      </c>
      <c r="CU10" s="66">
        <v>350.57077074279999</v>
      </c>
      <c r="CV10" s="66">
        <v>378.90463009719997</v>
      </c>
      <c r="CW10" s="66">
        <v>416.12796425440013</v>
      </c>
      <c r="CX10" s="66">
        <v>419.30283565450003</v>
      </c>
      <c r="CY10" s="66">
        <v>367.7196470554</v>
      </c>
      <c r="CZ10" s="66">
        <v>372.74180778970003</v>
      </c>
      <c r="DA10" s="66">
        <v>380.09955527860001</v>
      </c>
      <c r="DB10" s="66">
        <v>356.91597281230003</v>
      </c>
      <c r="DC10" s="66">
        <v>384.99341222559997</v>
      </c>
      <c r="DD10" s="66">
        <v>418.76004946570004</v>
      </c>
      <c r="DE10" s="66">
        <v>358.05134312079991</v>
      </c>
      <c r="DF10" s="66">
        <v>373.00134244690008</v>
      </c>
      <c r="DG10" s="66">
        <v>348.11416038070001</v>
      </c>
      <c r="DH10" s="66">
        <v>347.13445082379997</v>
      </c>
      <c r="DI10" s="66">
        <v>407.58793808199999</v>
      </c>
      <c r="DJ10" s="66">
        <v>429.81616581970002</v>
      </c>
      <c r="DK10" s="66">
        <v>304.42066024299999</v>
      </c>
      <c r="DL10" s="66">
        <v>317.7423385294</v>
      </c>
      <c r="DM10" s="66">
        <v>349.82222565790005</v>
      </c>
      <c r="DN10" s="66">
        <v>334.51043141709999</v>
      </c>
      <c r="DO10" s="66">
        <v>372.98164092939999</v>
      </c>
      <c r="DP10" s="79"/>
      <c r="DQ10" s="80"/>
      <c r="DR10" s="81"/>
      <c r="DS10" s="84">
        <f t="shared" si="3"/>
        <v>2008</v>
      </c>
      <c r="DT10" s="80"/>
      <c r="DU10" s="83">
        <f t="shared" si="4"/>
        <v>2176.5967251087</v>
      </c>
      <c r="DV10" s="83">
        <f t="shared" si="4"/>
        <v>2893.1921405292005</v>
      </c>
      <c r="DW10" s="83">
        <f t="shared" si="4"/>
        <v>3317.8264150200002</v>
      </c>
      <c r="DX10" s="83">
        <f t="shared" si="4"/>
        <v>3938.6159401802997</v>
      </c>
      <c r="DY10" s="83">
        <f t="shared" si="4"/>
        <v>4007.4955225497006</v>
      </c>
      <c r="DZ10" s="83">
        <f t="shared" si="4"/>
        <v>4337.2498030494007</v>
      </c>
      <c r="EA10" s="83">
        <f t="shared" si="4"/>
        <v>4594.9690686102003</v>
      </c>
      <c r="EB10" s="83">
        <f t="shared" si="4"/>
        <v>4633.0640729550005</v>
      </c>
      <c r="EC10" s="83">
        <f t="shared" si="4"/>
        <v>4574.7327205818001</v>
      </c>
      <c r="ED10" s="83">
        <f t="shared" si="4"/>
        <v>2864.0158515022999</v>
      </c>
    </row>
    <row r="11" spans="1:134" x14ac:dyDescent="0.3">
      <c r="B11" s="45">
        <f t="shared" si="5"/>
        <v>1000000007</v>
      </c>
      <c r="C11" s="46">
        <v>40969</v>
      </c>
      <c r="D11" s="66">
        <v>153.42657894820002</v>
      </c>
      <c r="E11" s="66">
        <v>177.87409819720003</v>
      </c>
      <c r="F11" s="66">
        <v>191.6488363327</v>
      </c>
      <c r="G11" s="66">
        <v>172.79681074059999</v>
      </c>
      <c r="H11" s="66">
        <v>191.59543583860003</v>
      </c>
      <c r="I11" s="66">
        <v>227.52218498409999</v>
      </c>
      <c r="J11" s="66">
        <v>213.10142470810001</v>
      </c>
      <c r="K11" s="66">
        <v>238.41975103059997</v>
      </c>
      <c r="L11" s="66">
        <v>231.80570768229998</v>
      </c>
      <c r="M11" s="66">
        <v>228.70435108750002</v>
      </c>
      <c r="N11" s="66">
        <v>219.3519844402</v>
      </c>
      <c r="O11" s="66">
        <v>172.82157836260001</v>
      </c>
      <c r="P11" s="66">
        <v>203.45278476430002</v>
      </c>
      <c r="Q11" s="66">
        <v>496.78522636540004</v>
      </c>
      <c r="R11" s="66">
        <v>254.64652127080006</v>
      </c>
      <c r="S11" s="66">
        <v>238.18149401230002</v>
      </c>
      <c r="T11" s="66">
        <v>243.0824435056</v>
      </c>
      <c r="U11" s="66">
        <v>272.31600549249998</v>
      </c>
      <c r="V11" s="66">
        <v>253.38461092990002</v>
      </c>
      <c r="W11" s="66">
        <v>274.81194383619999</v>
      </c>
      <c r="X11" s="66">
        <v>249.28207950580003</v>
      </c>
      <c r="Y11" s="66">
        <v>230.85541905819997</v>
      </c>
      <c r="Z11" s="66">
        <v>222.58468448500003</v>
      </c>
      <c r="AA11" s="66">
        <v>208.05246991000001</v>
      </c>
      <c r="AB11" s="66">
        <v>208.40976162070001</v>
      </c>
      <c r="AC11" s="66">
        <v>233.20890604870004</v>
      </c>
      <c r="AD11" s="66">
        <v>252.47278717330005</v>
      </c>
      <c r="AE11" s="66">
        <v>228.9685015288</v>
      </c>
      <c r="AF11" s="66">
        <v>249.52739154370005</v>
      </c>
      <c r="AG11" s="66">
        <v>255.56536252029997</v>
      </c>
      <c r="AH11" s="66">
        <v>278.08006908580001</v>
      </c>
      <c r="AI11" s="66">
        <v>260.29702906990002</v>
      </c>
      <c r="AJ11" s="66">
        <v>252.56555317570002</v>
      </c>
      <c r="AK11" s="66">
        <v>230.36700905769999</v>
      </c>
      <c r="AL11" s="66">
        <v>206.51102318080004</v>
      </c>
      <c r="AM11" s="66">
        <v>210.86742273040002</v>
      </c>
      <c r="AN11" s="66">
        <v>205.5476002117</v>
      </c>
      <c r="AO11" s="66">
        <v>222.52190231590006</v>
      </c>
      <c r="AP11" s="66">
        <v>272.31769419400001</v>
      </c>
      <c r="AQ11" s="66">
        <v>256.50638204950008</v>
      </c>
      <c r="AR11" s="66">
        <v>273.16305816490006</v>
      </c>
      <c r="AS11" s="66">
        <v>279.18170289099999</v>
      </c>
      <c r="AT11" s="66">
        <v>273.74930027229999</v>
      </c>
      <c r="AU11" s="66">
        <v>253.01163305860001</v>
      </c>
      <c r="AV11" s="66">
        <v>231.08279333350001</v>
      </c>
      <c r="AW11" s="66">
        <v>278.63103609520005</v>
      </c>
      <c r="AX11" s="66">
        <v>240.56154990639999</v>
      </c>
      <c r="AY11" s="66">
        <v>208.96872181720002</v>
      </c>
      <c r="AZ11" s="66">
        <v>185.52575480050001</v>
      </c>
      <c r="BA11" s="66">
        <v>292.69401681339997</v>
      </c>
      <c r="BB11" s="66">
        <v>307.77734850460001</v>
      </c>
      <c r="BC11" s="66">
        <v>341.21367573129999</v>
      </c>
      <c r="BD11" s="66">
        <v>297.4134871855</v>
      </c>
      <c r="BE11" s="66">
        <v>298.60278336190004</v>
      </c>
      <c r="BF11" s="66">
        <v>267.27962213890004</v>
      </c>
      <c r="BG11" s="66">
        <v>262.26691813300005</v>
      </c>
      <c r="BH11" s="66">
        <v>265.95823197850001</v>
      </c>
      <c r="BI11" s="66">
        <v>274.9766860492</v>
      </c>
      <c r="BJ11" s="66">
        <v>216.72522802029997</v>
      </c>
      <c r="BK11" s="66">
        <v>225.07199168769998</v>
      </c>
      <c r="BL11" s="66">
        <v>192.36424534150001</v>
      </c>
      <c r="BM11" s="66">
        <v>239.37292921060006</v>
      </c>
      <c r="BN11" s="66">
        <v>268.35157232440002</v>
      </c>
      <c r="BO11" s="66">
        <v>243.23941769170003</v>
      </c>
      <c r="BP11" s="66">
        <v>271.22090133310002</v>
      </c>
      <c r="BQ11" s="66">
        <v>249.61340274009996</v>
      </c>
      <c r="BR11" s="66">
        <v>270.84998743030008</v>
      </c>
      <c r="BS11" s="66">
        <v>298.33904571430008</v>
      </c>
      <c r="BT11" s="66">
        <v>310.94621563270005</v>
      </c>
      <c r="BU11" s="66">
        <v>319.04642888109998</v>
      </c>
      <c r="BV11" s="66">
        <v>327.40835333530003</v>
      </c>
      <c r="BW11" s="66">
        <v>267.17619855369998</v>
      </c>
      <c r="BX11" s="66">
        <v>320.34140024470003</v>
      </c>
      <c r="BY11" s="66">
        <v>345.73947080469998</v>
      </c>
      <c r="BZ11" s="66">
        <v>319.30029700659998</v>
      </c>
      <c r="CA11" s="66">
        <v>326.29808838910003</v>
      </c>
      <c r="CB11" s="66">
        <v>474.95733346330002</v>
      </c>
      <c r="CC11" s="66">
        <v>470.37382232530007</v>
      </c>
      <c r="CD11" s="66">
        <v>410.38863075639995</v>
      </c>
      <c r="CE11" s="66">
        <v>398.71242321160003</v>
      </c>
      <c r="CF11" s="66">
        <v>390.67045140160008</v>
      </c>
      <c r="CG11" s="66">
        <v>371.81035756900002</v>
      </c>
      <c r="CH11" s="66">
        <v>387.57892680220004</v>
      </c>
      <c r="CI11" s="66">
        <v>346.56884840140003</v>
      </c>
      <c r="CJ11" s="66">
        <v>298.24301488900005</v>
      </c>
      <c r="CK11" s="66">
        <v>306.55101347529995</v>
      </c>
      <c r="CL11" s="66">
        <v>353.69220412210007</v>
      </c>
      <c r="CM11" s="66">
        <v>430.72145993050009</v>
      </c>
      <c r="CN11" s="66">
        <v>422.65355717080001</v>
      </c>
      <c r="CO11" s="66">
        <v>389.34335718280005</v>
      </c>
      <c r="CP11" s="66">
        <v>383.1225185971</v>
      </c>
      <c r="CQ11" s="66">
        <v>350.70943189930006</v>
      </c>
      <c r="CR11" s="66">
        <v>382.8527766775</v>
      </c>
      <c r="CS11" s="66">
        <v>380.41402902459998</v>
      </c>
      <c r="CT11" s="66">
        <v>368.44987911070007</v>
      </c>
      <c r="CU11" s="66">
        <v>296.45513032090003</v>
      </c>
      <c r="CV11" s="66">
        <v>271.72908790449998</v>
      </c>
      <c r="CW11" s="66">
        <v>345.06440299840006</v>
      </c>
      <c r="CX11" s="66">
        <v>371.3192456461</v>
      </c>
      <c r="CY11" s="66">
        <v>380.5034926774</v>
      </c>
      <c r="CZ11" s="66">
        <v>372.62104686909998</v>
      </c>
      <c r="DA11" s="66">
        <v>337.12532939980002</v>
      </c>
      <c r="DB11" s="66">
        <v>363.94558683640008</v>
      </c>
      <c r="DC11" s="66">
        <v>354.7118045611</v>
      </c>
      <c r="DD11" s="66">
        <v>346.60888939030002</v>
      </c>
      <c r="DE11" s="66">
        <v>389.71603484049996</v>
      </c>
      <c r="DF11" s="66">
        <v>339.9869279083</v>
      </c>
      <c r="DG11" s="66">
        <v>306.89528342110003</v>
      </c>
      <c r="DH11" s="66">
        <v>298.73990592370001</v>
      </c>
      <c r="DI11" s="66">
        <v>328.27116722170001</v>
      </c>
      <c r="DJ11" s="66">
        <v>294.47979988629999</v>
      </c>
      <c r="DK11" s="66">
        <v>333.03732080859999</v>
      </c>
      <c r="DL11" s="66">
        <v>367.53362720349998</v>
      </c>
      <c r="DM11" s="66">
        <v>353.93166199479998</v>
      </c>
      <c r="DN11" s="66">
        <v>339.62580847420008</v>
      </c>
      <c r="DO11" s="66">
        <v>329.93431303900007</v>
      </c>
      <c r="DP11" s="79"/>
      <c r="DQ11" s="80"/>
      <c r="DR11" s="81"/>
      <c r="DS11" s="84">
        <f t="shared" si="3"/>
        <v>2012</v>
      </c>
      <c r="DT11" s="80"/>
      <c r="DU11" s="83">
        <f t="shared" si="4"/>
        <v>2419.0687423527002</v>
      </c>
      <c r="DV11" s="83">
        <f t="shared" si="4"/>
        <v>3147.4356831359996</v>
      </c>
      <c r="DW11" s="83">
        <f t="shared" si="4"/>
        <v>2866.8408167357998</v>
      </c>
      <c r="DX11" s="83">
        <f t="shared" si="4"/>
        <v>2995.2433743102001</v>
      </c>
      <c r="DY11" s="83">
        <f t="shared" si="4"/>
        <v>3235.5057444048002</v>
      </c>
      <c r="DZ11" s="83">
        <f t="shared" si="4"/>
        <v>3257.9286981888004</v>
      </c>
      <c r="EA11" s="83">
        <f t="shared" si="4"/>
        <v>4562.7400503759</v>
      </c>
      <c r="EB11" s="83">
        <f t="shared" si="4"/>
        <v>4363.2083724006006</v>
      </c>
      <c r="EC11" s="83">
        <f t="shared" si="4"/>
        <v>4180.2271324530002</v>
      </c>
      <c r="ED11" s="83">
        <f t="shared" si="4"/>
        <v>2645.5536045518002</v>
      </c>
    </row>
    <row r="12" spans="1:134" x14ac:dyDescent="0.3">
      <c r="B12" s="45">
        <f t="shared" si="5"/>
        <v>1000000008</v>
      </c>
      <c r="C12" s="46">
        <v>42005</v>
      </c>
      <c r="D12" s="66">
        <v>-8</v>
      </c>
      <c r="E12" s="66">
        <v>-8</v>
      </c>
      <c r="F12" s="66">
        <v>-8</v>
      </c>
      <c r="G12" s="66">
        <v>-8</v>
      </c>
      <c r="H12" s="66">
        <v>-8</v>
      </c>
      <c r="I12" s="66">
        <v>-8</v>
      </c>
      <c r="J12" s="66">
        <v>-8</v>
      </c>
      <c r="K12" s="66">
        <v>-8</v>
      </c>
      <c r="L12" s="66">
        <v>-8</v>
      </c>
      <c r="M12" s="66">
        <v>-8</v>
      </c>
      <c r="N12" s="66">
        <v>-8</v>
      </c>
      <c r="O12" s="66">
        <v>-8</v>
      </c>
      <c r="P12" s="66">
        <v>-3.1890770599999998</v>
      </c>
      <c r="Q12" s="66">
        <v>115.19602816300002</v>
      </c>
      <c r="R12" s="66">
        <v>83.830949616100014</v>
      </c>
      <c r="S12" s="66">
        <v>63.214268483200001</v>
      </c>
      <c r="T12" s="66">
        <v>37.34246086240001</v>
      </c>
      <c r="U12" s="66">
        <v>55.125125611300007</v>
      </c>
      <c r="V12" s="66">
        <v>54.870844692100007</v>
      </c>
      <c r="W12" s="66">
        <v>64.308284368299994</v>
      </c>
      <c r="X12" s="66">
        <v>62.682177403899999</v>
      </c>
      <c r="Y12" s="66">
        <v>66.294384965799992</v>
      </c>
      <c r="Z12" s="66">
        <v>61.076447437600009</v>
      </c>
      <c r="AA12" s="66">
        <v>51.498245109700001</v>
      </c>
      <c r="AB12" s="66">
        <v>69.713592709600007</v>
      </c>
      <c r="AC12" s="66">
        <v>146.469654142</v>
      </c>
      <c r="AD12" s="66">
        <v>141.70635258430002</v>
      </c>
      <c r="AE12" s="66">
        <v>81.147077558800007</v>
      </c>
      <c r="AF12" s="66">
        <v>92.204619927400003</v>
      </c>
      <c r="AG12" s="66">
        <v>82.159960718500017</v>
      </c>
      <c r="AH12" s="66">
        <v>72.757120659700007</v>
      </c>
      <c r="AI12" s="66">
        <v>98.168062877800025</v>
      </c>
      <c r="AJ12" s="66">
        <v>101.5326317464</v>
      </c>
      <c r="AK12" s="66">
        <v>101.16896049670001</v>
      </c>
      <c r="AL12" s="66">
        <v>101.65418072770002</v>
      </c>
      <c r="AM12" s="66">
        <v>89.741329812699988</v>
      </c>
      <c r="AN12" s="66">
        <v>121.09830259239999</v>
      </c>
      <c r="AO12" s="66">
        <v>150.2681817694</v>
      </c>
      <c r="AP12" s="66">
        <v>150.34274732230003</v>
      </c>
      <c r="AQ12" s="66">
        <v>122.32050968470003</v>
      </c>
      <c r="AR12" s="66">
        <v>120.85531720990002</v>
      </c>
      <c r="AS12" s="66">
        <v>99.356871207100014</v>
      </c>
      <c r="AT12" s="66">
        <v>111.43735389100003</v>
      </c>
      <c r="AU12" s="66">
        <v>140.62246890820001</v>
      </c>
      <c r="AV12" s="66">
        <v>134.77918645119999</v>
      </c>
      <c r="AW12" s="66">
        <v>126.6606226465</v>
      </c>
      <c r="AX12" s="66">
        <v>125.18938837300001</v>
      </c>
      <c r="AY12" s="66">
        <v>136.12061586940001</v>
      </c>
      <c r="AZ12" s="66">
        <v>134.94756875410002</v>
      </c>
      <c r="BA12" s="66">
        <v>214.11205626579996</v>
      </c>
      <c r="BB12" s="66">
        <v>221.15949547239998</v>
      </c>
      <c r="BC12" s="66">
        <v>283.97356226740004</v>
      </c>
      <c r="BD12" s="66">
        <v>209.36703021100001</v>
      </c>
      <c r="BE12" s="66">
        <v>156.36176731540002</v>
      </c>
      <c r="BF12" s="66">
        <v>132.26699904639997</v>
      </c>
      <c r="BG12" s="66">
        <v>154.11793334229998</v>
      </c>
      <c r="BH12" s="66">
        <v>161.3990137831</v>
      </c>
      <c r="BI12" s="66">
        <v>157.66675830790001</v>
      </c>
      <c r="BJ12" s="66">
        <v>164.89781565760001</v>
      </c>
      <c r="BK12" s="66">
        <v>131.56134697960002</v>
      </c>
      <c r="BL12" s="66">
        <v>140.20535963769998</v>
      </c>
      <c r="BM12" s="66">
        <v>227.72272766890003</v>
      </c>
      <c r="BN12" s="66">
        <v>222.60483632289998</v>
      </c>
      <c r="BO12" s="66">
        <v>205.81396472829999</v>
      </c>
      <c r="BP12" s="66">
        <v>190.40613966220002</v>
      </c>
      <c r="BQ12" s="66">
        <v>170.02861618840004</v>
      </c>
      <c r="BR12" s="66">
        <v>162.95719742050002</v>
      </c>
      <c r="BS12" s="66">
        <v>203.34962386599997</v>
      </c>
      <c r="BT12" s="66">
        <v>196.20161310340001</v>
      </c>
      <c r="BU12" s="66">
        <v>174.5372615599</v>
      </c>
      <c r="BV12" s="66">
        <v>216.94772382460002</v>
      </c>
      <c r="BW12" s="66">
        <v>190.16589372880003</v>
      </c>
      <c r="BX12" s="66">
        <v>193.4616761563</v>
      </c>
      <c r="BY12" s="66">
        <v>323.25943891000003</v>
      </c>
      <c r="BZ12" s="66">
        <v>261.38890593309998</v>
      </c>
      <c r="CA12" s="66">
        <v>195.23800250080004</v>
      </c>
      <c r="CB12" s="66">
        <v>195.83812948720006</v>
      </c>
      <c r="CC12" s="66">
        <v>248.19939668410001</v>
      </c>
      <c r="CD12" s="66">
        <v>268.26019480989999</v>
      </c>
      <c r="CE12" s="66">
        <v>247.4379048877</v>
      </c>
      <c r="CF12" s="66">
        <v>260.04027138850006</v>
      </c>
      <c r="CG12" s="66">
        <v>239.3059065244</v>
      </c>
      <c r="CH12" s="66">
        <v>212.89945600869999</v>
      </c>
      <c r="CI12" s="66">
        <v>199.72105466290003</v>
      </c>
      <c r="CJ12" s="66">
        <v>219.59710884459997</v>
      </c>
      <c r="CK12" s="66">
        <v>279.63675165520004</v>
      </c>
      <c r="CL12" s="66">
        <v>315.06754793349995</v>
      </c>
      <c r="CM12" s="66">
        <v>242.90764413699998</v>
      </c>
      <c r="CN12" s="66">
        <v>237.33590488120004</v>
      </c>
      <c r="CO12" s="66">
        <v>227.99250711519997</v>
      </c>
      <c r="CP12" s="66">
        <v>239.9499022231</v>
      </c>
      <c r="CQ12" s="66">
        <v>232.42838821539999</v>
      </c>
      <c r="CR12" s="66">
        <v>286.46105710360001</v>
      </c>
      <c r="CS12" s="66">
        <v>219.95481334899998</v>
      </c>
      <c r="CT12" s="66">
        <v>217.67713029250001</v>
      </c>
      <c r="CU12" s="66">
        <v>260.80157555139999</v>
      </c>
      <c r="CV12" s="66">
        <v>269.15269231600001</v>
      </c>
      <c r="CW12" s="66">
        <v>280.79182348120003</v>
      </c>
      <c r="CX12" s="66">
        <v>296.15210221840005</v>
      </c>
      <c r="CY12" s="66">
        <v>287.45634024100002</v>
      </c>
      <c r="CZ12" s="66">
        <v>238.38027294220004</v>
      </c>
      <c r="DA12" s="66">
        <v>207.09527637310001</v>
      </c>
      <c r="DB12" s="66">
        <v>221.99213789200002</v>
      </c>
      <c r="DC12" s="66">
        <v>258.24570706780003</v>
      </c>
      <c r="DD12" s="66">
        <v>291.38846292039995</v>
      </c>
      <c r="DE12" s="66">
        <v>312.77849428690007</v>
      </c>
      <c r="DF12" s="66">
        <v>272.97572487850005</v>
      </c>
      <c r="DG12" s="66">
        <v>244.88691487510008</v>
      </c>
      <c r="DH12" s="66">
        <v>324.8565002086001</v>
      </c>
      <c r="DI12" s="66">
        <v>376.52903988040003</v>
      </c>
      <c r="DJ12" s="66">
        <v>421.08505369090011</v>
      </c>
      <c r="DK12" s="66">
        <v>395.73254054469999</v>
      </c>
      <c r="DL12" s="66">
        <v>350.32560881170002</v>
      </c>
      <c r="DM12" s="66">
        <v>342.4249625539</v>
      </c>
      <c r="DN12" s="66">
        <v>320.2932910153001</v>
      </c>
      <c r="DO12" s="66">
        <v>352.54891567990001</v>
      </c>
      <c r="DP12" s="79"/>
      <c r="DQ12" s="80"/>
      <c r="DR12" s="81"/>
      <c r="DS12" s="84">
        <f t="shared" si="3"/>
        <v>2015</v>
      </c>
      <c r="DT12" s="80"/>
      <c r="DU12" s="83">
        <f t="shared" si="4"/>
        <v>-96</v>
      </c>
      <c r="DV12" s="83">
        <f t="shared" si="4"/>
        <v>712.25013965339997</v>
      </c>
      <c r="DW12" s="83">
        <f t="shared" si="4"/>
        <v>1178.4235439616002</v>
      </c>
      <c r="DX12" s="83">
        <f t="shared" si="4"/>
        <v>1539.0515659251</v>
      </c>
      <c r="DY12" s="83">
        <f t="shared" si="4"/>
        <v>2121.8313474029997</v>
      </c>
      <c r="DZ12" s="83">
        <f t="shared" si="4"/>
        <v>2300.9409577116003</v>
      </c>
      <c r="EA12" s="83">
        <f t="shared" si="4"/>
        <v>2845.0503379535999</v>
      </c>
      <c r="EB12" s="83">
        <f t="shared" si="4"/>
        <v>2979.8103313017</v>
      </c>
      <c r="EC12" s="83">
        <f t="shared" si="4"/>
        <v>3181.2959494926004</v>
      </c>
      <c r="ED12" s="83">
        <f t="shared" si="4"/>
        <v>2883.7959123854002</v>
      </c>
    </row>
    <row r="13" spans="1:134" x14ac:dyDescent="0.3">
      <c r="B13" s="45">
        <f t="shared" si="5"/>
        <v>1000000009</v>
      </c>
      <c r="C13" s="46">
        <v>39479</v>
      </c>
      <c r="D13" s="66">
        <v>126.0684137938</v>
      </c>
      <c r="E13" s="66">
        <v>237.75635402800006</v>
      </c>
      <c r="F13" s="66">
        <v>189.63560393110004</v>
      </c>
      <c r="G13" s="66">
        <v>161.32305974230005</v>
      </c>
      <c r="H13" s="66">
        <v>166.82004581169997</v>
      </c>
      <c r="I13" s="66">
        <v>157.61853649840003</v>
      </c>
      <c r="J13" s="66">
        <v>153.91348788069999</v>
      </c>
      <c r="K13" s="66">
        <v>131.80091743240001</v>
      </c>
      <c r="L13" s="66">
        <v>158.10615843820003</v>
      </c>
      <c r="M13" s="66">
        <v>178.48657146789998</v>
      </c>
      <c r="N13" s="66">
        <v>155.13321821079998</v>
      </c>
      <c r="O13" s="66">
        <v>148.52442860050002</v>
      </c>
      <c r="P13" s="66">
        <v>168.87084243999999</v>
      </c>
      <c r="Q13" s="66">
        <v>626.2472377342001</v>
      </c>
      <c r="R13" s="66">
        <v>269.66440639720003</v>
      </c>
      <c r="S13" s="66">
        <v>270.45734556819997</v>
      </c>
      <c r="T13" s="66">
        <v>209.47454420649998</v>
      </c>
      <c r="U13" s="66">
        <v>197.3802892237</v>
      </c>
      <c r="V13" s="66">
        <v>195.3444657487</v>
      </c>
      <c r="W13" s="66">
        <v>170.16438778899999</v>
      </c>
      <c r="X13" s="66">
        <v>189.71369699380003</v>
      </c>
      <c r="Y13" s="66">
        <v>217.8575961928</v>
      </c>
      <c r="Z13" s="66">
        <v>197.63986140759999</v>
      </c>
      <c r="AA13" s="66">
        <v>183.39213674529998</v>
      </c>
      <c r="AB13" s="66">
        <v>219.09169924899999</v>
      </c>
      <c r="AC13" s="66">
        <v>422.77480593849998</v>
      </c>
      <c r="AD13" s="66">
        <v>369.8710902931</v>
      </c>
      <c r="AE13" s="66">
        <v>318.73578285849999</v>
      </c>
      <c r="AF13" s="66">
        <v>236.85045949000002</v>
      </c>
      <c r="AG13" s="66">
        <v>220.72373543199998</v>
      </c>
      <c r="AH13" s="66">
        <v>240.4799293339</v>
      </c>
      <c r="AI13" s="66">
        <v>198.3302401075</v>
      </c>
      <c r="AJ13" s="66">
        <v>236.1842855116</v>
      </c>
      <c r="AK13" s="66">
        <v>256.13907070990001</v>
      </c>
      <c r="AL13" s="66">
        <v>232.84767403450002</v>
      </c>
      <c r="AM13" s="66">
        <v>228.5596106056</v>
      </c>
      <c r="AN13" s="66">
        <v>257.10834784420007</v>
      </c>
      <c r="AO13" s="66">
        <v>509.61162726520013</v>
      </c>
      <c r="AP13" s="66">
        <v>459.20767768690001</v>
      </c>
      <c r="AQ13" s="66">
        <v>386.32902500530002</v>
      </c>
      <c r="AR13" s="66">
        <v>299.94064774360004</v>
      </c>
      <c r="AS13" s="66">
        <v>304.31926309959999</v>
      </c>
      <c r="AT13" s="66">
        <v>294.58149724330008</v>
      </c>
      <c r="AU13" s="66">
        <v>284.54126618500004</v>
      </c>
      <c r="AV13" s="66">
        <v>297.23718674890006</v>
      </c>
      <c r="AW13" s="66">
        <v>295.99948112950005</v>
      </c>
      <c r="AX13" s="66">
        <v>288.09770907070003</v>
      </c>
      <c r="AY13" s="66">
        <v>250.39061822380006</v>
      </c>
      <c r="AZ13" s="66">
        <v>268.34714417380002</v>
      </c>
      <c r="BA13" s="66">
        <v>500.1886353685</v>
      </c>
      <c r="BB13" s="66">
        <v>2277.3386909334999</v>
      </c>
      <c r="BC13" s="66">
        <v>386.36069754010003</v>
      </c>
      <c r="BD13" s="66">
        <v>348.83486065419999</v>
      </c>
      <c r="BE13" s="66">
        <v>307.73291689179996</v>
      </c>
      <c r="BF13" s="66">
        <v>282.88997880490007</v>
      </c>
      <c r="BG13" s="66">
        <v>291.90862050910005</v>
      </c>
      <c r="BH13" s="66">
        <v>299.28524392810004</v>
      </c>
      <c r="BI13" s="66">
        <v>301.35281499130002</v>
      </c>
      <c r="BJ13" s="66">
        <v>246.5271694054</v>
      </c>
      <c r="BK13" s="66">
        <v>256.75225698790001</v>
      </c>
      <c r="BL13" s="66">
        <v>292.70572514379995</v>
      </c>
      <c r="BM13" s="66">
        <v>1822.0058871412</v>
      </c>
      <c r="BN13" s="66">
        <v>430.81163659060002</v>
      </c>
      <c r="BO13" s="66">
        <v>392.39502842680008</v>
      </c>
      <c r="BP13" s="66">
        <v>366.53327796159999</v>
      </c>
      <c r="BQ13" s="66">
        <v>309.94350220869995</v>
      </c>
      <c r="BR13" s="66">
        <v>361.53509678860007</v>
      </c>
      <c r="BS13" s="66">
        <v>344.28707493460007</v>
      </c>
      <c r="BT13" s="66">
        <v>325.43429880850005</v>
      </c>
      <c r="BU13" s="66">
        <v>316.90204066300004</v>
      </c>
      <c r="BV13" s="66">
        <v>326.6478747598</v>
      </c>
      <c r="BW13" s="66">
        <v>307.73490580690003</v>
      </c>
      <c r="BX13" s="66">
        <v>376.07350326910006</v>
      </c>
      <c r="BY13" s="66">
        <v>854.57120123109996</v>
      </c>
      <c r="BZ13" s="66">
        <v>382.7754341488</v>
      </c>
      <c r="CA13" s="66">
        <v>380.90153838430001</v>
      </c>
      <c r="CB13" s="66">
        <v>338.41545981910002</v>
      </c>
      <c r="CC13" s="66">
        <v>381.78300304060008</v>
      </c>
      <c r="CD13" s="66">
        <v>398.21545712349996</v>
      </c>
      <c r="CE13" s="66">
        <v>365.7890859739</v>
      </c>
      <c r="CF13" s="66">
        <v>364.42821772510001</v>
      </c>
      <c r="CG13" s="66">
        <v>368.02271268460004</v>
      </c>
      <c r="CH13" s="66">
        <v>323.03461645030001</v>
      </c>
      <c r="CI13" s="66">
        <v>276.50619928780009</v>
      </c>
      <c r="CJ13" s="66">
        <v>797.59962883240007</v>
      </c>
      <c r="CK13" s="66">
        <v>438.70443976809997</v>
      </c>
      <c r="CL13" s="66">
        <v>642.61495825960014</v>
      </c>
      <c r="CM13" s="66">
        <v>446.38022603950003</v>
      </c>
      <c r="CN13" s="66">
        <v>354.00041090920007</v>
      </c>
      <c r="CO13" s="66">
        <v>335.74269566500004</v>
      </c>
      <c r="CP13" s="66">
        <v>303.65575351690001</v>
      </c>
      <c r="CQ13" s="66">
        <v>332.89160463249999</v>
      </c>
      <c r="CR13" s="66">
        <v>319.88578858</v>
      </c>
      <c r="CS13" s="66">
        <v>334.30928830510004</v>
      </c>
      <c r="CT13" s="66">
        <v>337.64529935500002</v>
      </c>
      <c r="CU13" s="66">
        <v>303.68982776050001</v>
      </c>
      <c r="CV13" s="66">
        <v>307.31059140999992</v>
      </c>
      <c r="CW13" s="66">
        <v>494.92180055019998</v>
      </c>
      <c r="CX13" s="66">
        <v>456.71083870240005</v>
      </c>
      <c r="CY13" s="66">
        <v>393.92397876489997</v>
      </c>
      <c r="CZ13" s="66">
        <v>297.83491202650004</v>
      </c>
      <c r="DA13" s="66">
        <v>267.10046967310001</v>
      </c>
      <c r="DB13" s="66">
        <v>272.87684202400004</v>
      </c>
      <c r="DC13" s="66">
        <v>281.9278317436</v>
      </c>
      <c r="DD13" s="66">
        <v>324.13989034540003</v>
      </c>
      <c r="DE13" s="66">
        <v>284.09785069779997</v>
      </c>
      <c r="DF13" s="66">
        <v>294.96584570470003</v>
      </c>
      <c r="DG13" s="66">
        <v>291.89229639460007</v>
      </c>
      <c r="DH13" s="66">
        <v>394.78589201049999</v>
      </c>
      <c r="DI13" s="66">
        <v>452.03050867839994</v>
      </c>
      <c r="DJ13" s="66">
        <v>427.88031347350005</v>
      </c>
      <c r="DK13" s="66">
        <v>328.96454805759998</v>
      </c>
      <c r="DL13" s="66">
        <v>258.57695524870002</v>
      </c>
      <c r="DM13" s="66">
        <v>270.9007235287001</v>
      </c>
      <c r="DN13" s="66">
        <v>279.41515649169997</v>
      </c>
      <c r="DO13" s="66">
        <v>325.05580451230003</v>
      </c>
      <c r="DP13" s="79"/>
      <c r="DQ13" s="80"/>
      <c r="DR13" s="81"/>
      <c r="DS13" s="84">
        <f t="shared" si="3"/>
        <v>2008</v>
      </c>
      <c r="DT13" s="80"/>
      <c r="DU13" s="83">
        <f t="shared" si="4"/>
        <v>1965.1867958357998</v>
      </c>
      <c r="DV13" s="83">
        <f t="shared" si="4"/>
        <v>2896.2068104470004</v>
      </c>
      <c r="DW13" s="83">
        <f t="shared" si="4"/>
        <v>3180.5883835641002</v>
      </c>
      <c r="DX13" s="83">
        <f t="shared" si="4"/>
        <v>3927.3643472460008</v>
      </c>
      <c r="DY13" s="83">
        <f t="shared" si="4"/>
        <v>5767.5190301886005</v>
      </c>
      <c r="DZ13" s="83">
        <f t="shared" si="4"/>
        <v>5596.9363492340999</v>
      </c>
      <c r="EA13" s="83">
        <f t="shared" si="4"/>
        <v>4810.5164291382007</v>
      </c>
      <c r="EB13" s="83">
        <f t="shared" si="4"/>
        <v>4947.1199216238001</v>
      </c>
      <c r="EC13" s="83">
        <f t="shared" si="4"/>
        <v>3967.7031480371998</v>
      </c>
      <c r="ED13" s="83">
        <f t="shared" si="4"/>
        <v>2737.6099020013999</v>
      </c>
    </row>
    <row r="14" spans="1:134" x14ac:dyDescent="0.3">
      <c r="B14" s="45">
        <f t="shared" si="5"/>
        <v>1000000010</v>
      </c>
      <c r="C14" s="46">
        <v>38899</v>
      </c>
      <c r="D14" s="66">
        <v>157.9166110765</v>
      </c>
      <c r="E14" s="66">
        <v>212.08707800709999</v>
      </c>
      <c r="F14" s="66">
        <v>204.8842782625</v>
      </c>
      <c r="G14" s="66">
        <v>183.497999566</v>
      </c>
      <c r="H14" s="66">
        <v>216.48933518410001</v>
      </c>
      <c r="I14" s="66">
        <v>235.97297266390001</v>
      </c>
      <c r="J14" s="66">
        <v>218.4674425945</v>
      </c>
      <c r="K14" s="66">
        <v>232.24101740230003</v>
      </c>
      <c r="L14" s="66">
        <v>230.06120397940001</v>
      </c>
      <c r="M14" s="66">
        <v>185.63833490050001</v>
      </c>
      <c r="N14" s="66">
        <v>198.4679630965</v>
      </c>
      <c r="O14" s="66">
        <v>158.48506552809999</v>
      </c>
      <c r="P14" s="66">
        <v>159.9507833767</v>
      </c>
      <c r="Q14" s="66">
        <v>450.14336598879999</v>
      </c>
      <c r="R14" s="66">
        <v>226.25749766740003</v>
      </c>
      <c r="S14" s="66">
        <v>229.5942592513</v>
      </c>
      <c r="T14" s="66">
        <v>237.8445792997</v>
      </c>
      <c r="U14" s="66">
        <v>224.20377395649996</v>
      </c>
      <c r="V14" s="66">
        <v>258.62712844659995</v>
      </c>
      <c r="W14" s="66">
        <v>275.97857388580007</v>
      </c>
      <c r="X14" s="66">
        <v>228.96842647540004</v>
      </c>
      <c r="Y14" s="66">
        <v>275.62041906100001</v>
      </c>
      <c r="Z14" s="66">
        <v>268.63696287789998</v>
      </c>
      <c r="AA14" s="66">
        <v>247.20595235500002</v>
      </c>
      <c r="AB14" s="66">
        <v>265.63872965470006</v>
      </c>
      <c r="AC14" s="66">
        <v>309.02766309520001</v>
      </c>
      <c r="AD14" s="66">
        <v>305.89939985650005</v>
      </c>
      <c r="AE14" s="66">
        <v>248.40935857060003</v>
      </c>
      <c r="AF14" s="66">
        <v>282.02637685779996</v>
      </c>
      <c r="AG14" s="66">
        <v>320.83093604619995</v>
      </c>
      <c r="AH14" s="66">
        <v>333.1156015048</v>
      </c>
      <c r="AI14" s="66">
        <v>338.47223771620003</v>
      </c>
      <c r="AJ14" s="66">
        <v>276.64073250730002</v>
      </c>
      <c r="AK14" s="66">
        <v>287.82155008540002</v>
      </c>
      <c r="AL14" s="66">
        <v>304.86279982240006</v>
      </c>
      <c r="AM14" s="66">
        <v>266.16110131869999</v>
      </c>
      <c r="AN14" s="66">
        <v>270.60430012540002</v>
      </c>
      <c r="AO14" s="66">
        <v>292.84738843630004</v>
      </c>
      <c r="AP14" s="66">
        <v>331.69536601660008</v>
      </c>
      <c r="AQ14" s="66">
        <v>324.93279198969998</v>
      </c>
      <c r="AR14" s="66">
        <v>311.77570580950004</v>
      </c>
      <c r="AS14" s="66">
        <v>338.91103741930004</v>
      </c>
      <c r="AT14" s="66">
        <v>339.05679112210004</v>
      </c>
      <c r="AU14" s="66">
        <v>339.24652611730005</v>
      </c>
      <c r="AV14" s="66">
        <v>314.98059856960003</v>
      </c>
      <c r="AW14" s="66">
        <v>307.69009892710005</v>
      </c>
      <c r="AX14" s="66">
        <v>313.69155642460009</v>
      </c>
      <c r="AY14" s="66">
        <v>278.32984680099997</v>
      </c>
      <c r="AZ14" s="66">
        <v>248.6753853469001</v>
      </c>
      <c r="BA14" s="66">
        <v>326.84669121640002</v>
      </c>
      <c r="BB14" s="66">
        <v>409.74234592900007</v>
      </c>
      <c r="BC14" s="66">
        <v>449.04687334150003</v>
      </c>
      <c r="BD14" s="66">
        <v>388.46459444890007</v>
      </c>
      <c r="BE14" s="66">
        <v>362.35805731959999</v>
      </c>
      <c r="BF14" s="66">
        <v>326.74390558510009</v>
      </c>
      <c r="BG14" s="66">
        <v>336.70566831370002</v>
      </c>
      <c r="BH14" s="66">
        <v>372.25857647380002</v>
      </c>
      <c r="BI14" s="66">
        <v>343.6092301525</v>
      </c>
      <c r="BJ14" s="66">
        <v>319.84631049160004</v>
      </c>
      <c r="BK14" s="66">
        <v>307.09192332910004</v>
      </c>
      <c r="BL14" s="66">
        <v>243.46881840879999</v>
      </c>
      <c r="BM14" s="66">
        <v>332.59623197680003</v>
      </c>
      <c r="BN14" s="66">
        <v>313.30259217910003</v>
      </c>
      <c r="BO14" s="66">
        <v>335.39489820940003</v>
      </c>
      <c r="BP14" s="66">
        <v>316.54643765380001</v>
      </c>
      <c r="BQ14" s="66">
        <v>360.44198154430001</v>
      </c>
      <c r="BR14" s="66">
        <v>341.17344710890006</v>
      </c>
      <c r="BS14" s="66">
        <v>368.14028383570002</v>
      </c>
      <c r="BT14" s="66">
        <v>365.28787936870003</v>
      </c>
      <c r="BU14" s="66">
        <v>403.7369106013</v>
      </c>
      <c r="BV14" s="66">
        <v>364.54867843209996</v>
      </c>
      <c r="BW14" s="66">
        <v>358.43959435900001</v>
      </c>
      <c r="BX14" s="66">
        <v>354.38734871290001</v>
      </c>
      <c r="BY14" s="66">
        <v>513.30838248220005</v>
      </c>
      <c r="BZ14" s="66">
        <v>359.01131363350004</v>
      </c>
      <c r="CA14" s="66">
        <v>324.31232553190006</v>
      </c>
      <c r="CB14" s="66">
        <v>443.41843124200005</v>
      </c>
      <c r="CC14" s="66">
        <v>487.68931718590011</v>
      </c>
      <c r="CD14" s="66">
        <v>503.60465334280002</v>
      </c>
      <c r="CE14" s="66">
        <v>457.94670551350004</v>
      </c>
      <c r="CF14" s="66">
        <v>400.94713819660001</v>
      </c>
      <c r="CG14" s="66">
        <v>414.0463206787</v>
      </c>
      <c r="CH14" s="66">
        <v>411.87209873410006</v>
      </c>
      <c r="CI14" s="66">
        <v>331.99678047100002</v>
      </c>
      <c r="CJ14" s="66">
        <v>418.470681082</v>
      </c>
      <c r="CK14" s="66">
        <v>323.03210216140008</v>
      </c>
      <c r="CL14" s="66">
        <v>371.06365129239998</v>
      </c>
      <c r="CM14" s="66">
        <v>414.59661220749996</v>
      </c>
      <c r="CN14" s="66">
        <v>372.07694724579994</v>
      </c>
      <c r="CO14" s="66">
        <v>408.10835835760008</v>
      </c>
      <c r="CP14" s="66">
        <v>359.2864218712001</v>
      </c>
      <c r="CQ14" s="66">
        <v>357.22860775000004</v>
      </c>
      <c r="CR14" s="66">
        <v>417.54151998999998</v>
      </c>
      <c r="CS14" s="66">
        <v>415.1475041635</v>
      </c>
      <c r="CT14" s="66">
        <v>360.98499289329999</v>
      </c>
      <c r="CU14" s="66">
        <v>353.53020135819997</v>
      </c>
      <c r="CV14" s="66">
        <v>314.53039074970008</v>
      </c>
      <c r="CW14" s="66">
        <v>366.68935150689998</v>
      </c>
      <c r="CX14" s="66">
        <v>403.54105875400001</v>
      </c>
      <c r="CY14" s="66">
        <v>346.61624462349999</v>
      </c>
      <c r="CZ14" s="66">
        <v>358.99468930540007</v>
      </c>
      <c r="DA14" s="66">
        <v>352.31140919559999</v>
      </c>
      <c r="DB14" s="66">
        <v>327.33318735519998</v>
      </c>
      <c r="DC14" s="66">
        <v>342.02147547549998</v>
      </c>
      <c r="DD14" s="66">
        <v>352.22832508179999</v>
      </c>
      <c r="DE14" s="66">
        <v>319.75069245999998</v>
      </c>
      <c r="DF14" s="66">
        <v>276.78363418090004</v>
      </c>
      <c r="DG14" s="66">
        <v>274.52865477789999</v>
      </c>
      <c r="DH14" s="66">
        <v>275.55632345739997</v>
      </c>
      <c r="DI14" s="66">
        <v>315.20553360940005</v>
      </c>
      <c r="DJ14" s="66">
        <v>306.13349141110007</v>
      </c>
      <c r="DK14" s="66">
        <v>309.96462974079998</v>
      </c>
      <c r="DL14" s="66">
        <v>318.15494459590008</v>
      </c>
      <c r="DM14" s="66">
        <v>308.5774552753</v>
      </c>
      <c r="DN14" s="66">
        <v>308.5716386368</v>
      </c>
      <c r="DO14" s="66">
        <v>285.30332088189999</v>
      </c>
      <c r="DP14" s="79"/>
      <c r="DQ14" s="80"/>
      <c r="DR14" s="81"/>
      <c r="DS14" s="84">
        <f t="shared" si="3"/>
        <v>2006</v>
      </c>
      <c r="DT14" s="80"/>
      <c r="DU14" s="83">
        <f t="shared" si="4"/>
        <v>2434.2093022613999</v>
      </c>
      <c r="DV14" s="83">
        <f t="shared" si="4"/>
        <v>3083.0317226421002</v>
      </c>
      <c r="DW14" s="83">
        <f t="shared" si="4"/>
        <v>3538.9064870357997</v>
      </c>
      <c r="DX14" s="83">
        <f t="shared" si="4"/>
        <v>3763.7620077585007</v>
      </c>
      <c r="DY14" s="83">
        <f t="shared" si="4"/>
        <v>4191.3895619481</v>
      </c>
      <c r="DZ14" s="83">
        <f t="shared" si="4"/>
        <v>4103.0777536778996</v>
      </c>
      <c r="EA14" s="83">
        <f t="shared" si="4"/>
        <v>5002.5408157251013</v>
      </c>
      <c r="EB14" s="83">
        <f t="shared" si="4"/>
        <v>4571.0676003729004</v>
      </c>
      <c r="EC14" s="83">
        <f t="shared" si="4"/>
        <v>4035.3291134664005</v>
      </c>
      <c r="ED14" s="83">
        <f t="shared" si="4"/>
        <v>2427.4673376086007</v>
      </c>
    </row>
    <row r="15" spans="1:134" x14ac:dyDescent="0.3">
      <c r="B15" s="45">
        <f t="shared" si="5"/>
        <v>1000000011</v>
      </c>
      <c r="C15" s="46">
        <v>39022</v>
      </c>
      <c r="D15" s="66">
        <v>96.540267211900002</v>
      </c>
      <c r="E15" s="66">
        <v>104.3147111776</v>
      </c>
      <c r="F15" s="66">
        <v>121.51409842840002</v>
      </c>
      <c r="G15" s="66">
        <v>107.2596189601</v>
      </c>
      <c r="H15" s="66">
        <v>106.36359394420003</v>
      </c>
      <c r="I15" s="66">
        <v>116.6223429766</v>
      </c>
      <c r="J15" s="66">
        <v>129.1708961896</v>
      </c>
      <c r="K15" s="66">
        <v>122.16893934340001</v>
      </c>
      <c r="L15" s="66">
        <v>116.20542133959999</v>
      </c>
      <c r="M15" s="66">
        <v>120.48909414459999</v>
      </c>
      <c r="N15" s="66">
        <v>102.46903549150001</v>
      </c>
      <c r="O15" s="66">
        <v>100.4358388855</v>
      </c>
      <c r="P15" s="66">
        <v>89.993171496399995</v>
      </c>
      <c r="Q15" s="66">
        <v>246.44205884980005</v>
      </c>
      <c r="R15" s="66">
        <v>138.66297474100003</v>
      </c>
      <c r="S15" s="66">
        <v>174.35315556970002</v>
      </c>
      <c r="T15" s="66">
        <v>203.2204944913</v>
      </c>
      <c r="U15" s="66">
        <v>192.568578223</v>
      </c>
      <c r="V15" s="66">
        <v>209.22037586740001</v>
      </c>
      <c r="W15" s="66">
        <v>236.86122965290002</v>
      </c>
      <c r="X15" s="66">
        <v>165.35113819360001</v>
      </c>
      <c r="Y15" s="66">
        <v>180.27888418660004</v>
      </c>
      <c r="Z15" s="66">
        <v>161.07339460720002</v>
      </c>
      <c r="AA15" s="66">
        <v>142.72133723919998</v>
      </c>
      <c r="AB15" s="66">
        <v>155.54766308559999</v>
      </c>
      <c r="AC15" s="66">
        <v>203.89725099909998</v>
      </c>
      <c r="AD15" s="66">
        <v>222.18427459600002</v>
      </c>
      <c r="AE15" s="66">
        <v>187.63025213649999</v>
      </c>
      <c r="AF15" s="66">
        <v>177.79424137959998</v>
      </c>
      <c r="AG15" s="66">
        <v>201.42660565120002</v>
      </c>
      <c r="AH15" s="66">
        <v>226.62758598279999</v>
      </c>
      <c r="AI15" s="66">
        <v>221.23368575830003</v>
      </c>
      <c r="AJ15" s="66">
        <v>220.66980956410001</v>
      </c>
      <c r="AK15" s="66">
        <v>184.96307946069999</v>
      </c>
      <c r="AL15" s="66">
        <v>181.30880446809999</v>
      </c>
      <c r="AM15" s="66">
        <v>176.68048645029998</v>
      </c>
      <c r="AN15" s="66">
        <v>180.2296866829</v>
      </c>
      <c r="AO15" s="66">
        <v>211.74254537440001</v>
      </c>
      <c r="AP15" s="66">
        <v>213.51121627210003</v>
      </c>
      <c r="AQ15" s="66">
        <v>194.1766723714</v>
      </c>
      <c r="AR15" s="66">
        <v>232.36579367980002</v>
      </c>
      <c r="AS15" s="66">
        <v>240.85166882409999</v>
      </c>
      <c r="AT15" s="66">
        <v>258.70698526420006</v>
      </c>
      <c r="AU15" s="66">
        <v>228.39408033190003</v>
      </c>
      <c r="AV15" s="66">
        <v>218.72971670080005</v>
      </c>
      <c r="AW15" s="66">
        <v>209.60588765650004</v>
      </c>
      <c r="AX15" s="66">
        <v>185.71691581030001</v>
      </c>
      <c r="AY15" s="66">
        <v>178.7704609534</v>
      </c>
      <c r="AZ15" s="66">
        <v>185.03471793100002</v>
      </c>
      <c r="BA15" s="66">
        <v>235.71640261599995</v>
      </c>
      <c r="BB15" s="66">
        <v>272.88873798790002</v>
      </c>
      <c r="BC15" s="66">
        <v>250.74299393680002</v>
      </c>
      <c r="BD15" s="66">
        <v>224.94229941249998</v>
      </c>
      <c r="BE15" s="66">
        <v>198.64865415700001</v>
      </c>
      <c r="BF15" s="66">
        <v>237.78224745100002</v>
      </c>
      <c r="BG15" s="66">
        <v>230.38637283490004</v>
      </c>
      <c r="BH15" s="66">
        <v>228.83794613949996</v>
      </c>
      <c r="BI15" s="66">
        <v>235.68574330209998</v>
      </c>
      <c r="BJ15" s="66">
        <v>189.7135844137</v>
      </c>
      <c r="BK15" s="66">
        <v>195.48477807999998</v>
      </c>
      <c r="BL15" s="66">
        <v>176.93506758309999</v>
      </c>
      <c r="BM15" s="66">
        <v>234.21807406510001</v>
      </c>
      <c r="BN15" s="66">
        <v>242.12138471859998</v>
      </c>
      <c r="BO15" s="66">
        <v>218.43817176850001</v>
      </c>
      <c r="BP15" s="66">
        <v>211.65116785990003</v>
      </c>
      <c r="BQ15" s="66">
        <v>238.21571836270002</v>
      </c>
      <c r="BR15" s="66">
        <v>271.90959133150005</v>
      </c>
      <c r="BS15" s="66">
        <v>254.01475927630003</v>
      </c>
      <c r="BT15" s="66">
        <v>277.43967595030006</v>
      </c>
      <c r="BU15" s="66">
        <v>271.14903770260003</v>
      </c>
      <c r="BV15" s="66">
        <v>248.10411639279999</v>
      </c>
      <c r="BW15" s="66">
        <v>242.70342383560001</v>
      </c>
      <c r="BX15" s="66">
        <v>290.73992649100006</v>
      </c>
      <c r="BY15" s="66">
        <v>306.75902397339996</v>
      </c>
      <c r="BZ15" s="66">
        <v>275.67569589010003</v>
      </c>
      <c r="CA15" s="66">
        <v>246.43275222819997</v>
      </c>
      <c r="CB15" s="66">
        <v>321.61854642579999</v>
      </c>
      <c r="CC15" s="66">
        <v>339.26562720760001</v>
      </c>
      <c r="CD15" s="66">
        <v>370.18154868220006</v>
      </c>
      <c r="CE15" s="66">
        <v>300.76976265340005</v>
      </c>
      <c r="CF15" s="66">
        <v>324.23434504930003</v>
      </c>
      <c r="CG15" s="66">
        <v>301.46644583889997</v>
      </c>
      <c r="CH15" s="66">
        <v>272.84115413230006</v>
      </c>
      <c r="CI15" s="66">
        <v>241.1046363088</v>
      </c>
      <c r="CJ15" s="66">
        <v>356.96745944470001</v>
      </c>
      <c r="CK15" s="66">
        <v>355.67143733350008</v>
      </c>
      <c r="CL15" s="66">
        <v>385.04831378770001</v>
      </c>
      <c r="CM15" s="66">
        <v>397.12196661220008</v>
      </c>
      <c r="CN15" s="66">
        <v>338.89159858869994</v>
      </c>
      <c r="CO15" s="66">
        <v>327.06869917360007</v>
      </c>
      <c r="CP15" s="66">
        <v>322.68993371080001</v>
      </c>
      <c r="CQ15" s="66">
        <v>296.99089901680003</v>
      </c>
      <c r="CR15" s="66">
        <v>355.21935317860004</v>
      </c>
      <c r="CS15" s="66">
        <v>346.85802915159996</v>
      </c>
      <c r="CT15" s="66">
        <v>329.32450416400007</v>
      </c>
      <c r="CU15" s="66">
        <v>270.61199309889997</v>
      </c>
      <c r="CV15" s="66">
        <v>286.27282317640004</v>
      </c>
      <c r="CW15" s="66">
        <v>329.24727421540001</v>
      </c>
      <c r="CX15" s="66">
        <v>368.33711137720007</v>
      </c>
      <c r="CY15" s="66">
        <v>375.20059470040002</v>
      </c>
      <c r="CZ15" s="66">
        <v>333.49004291739999</v>
      </c>
      <c r="DA15" s="66">
        <v>278.28327616630003</v>
      </c>
      <c r="DB15" s="66">
        <v>352.93033705869999</v>
      </c>
      <c r="DC15" s="66">
        <v>330.96427084719994</v>
      </c>
      <c r="DD15" s="66">
        <v>328.25240387170004</v>
      </c>
      <c r="DE15" s="66">
        <v>308.32279908910004</v>
      </c>
      <c r="DF15" s="66">
        <v>326.28607984510006</v>
      </c>
      <c r="DG15" s="66">
        <v>237.77560522509998</v>
      </c>
      <c r="DH15" s="66">
        <v>263.08950339700004</v>
      </c>
      <c r="DI15" s="66">
        <v>298.20406217440001</v>
      </c>
      <c r="DJ15" s="66">
        <v>307.6458549478001</v>
      </c>
      <c r="DK15" s="66">
        <v>268.34988362289994</v>
      </c>
      <c r="DL15" s="66">
        <v>304.32222770889996</v>
      </c>
      <c r="DM15" s="66">
        <v>281.29235460580003</v>
      </c>
      <c r="DN15" s="66">
        <v>301.2986639632</v>
      </c>
      <c r="DO15" s="66">
        <v>299.93194154920008</v>
      </c>
      <c r="DP15" s="79"/>
      <c r="DQ15" s="80"/>
      <c r="DR15" s="81"/>
      <c r="DS15" s="84">
        <f t="shared" si="3"/>
        <v>2006</v>
      </c>
      <c r="DT15" s="80"/>
      <c r="DU15" s="83">
        <f t="shared" ref="DU15:ED24" si="6">+SUMIF($D$3:$DO$3,DU$4,$D15:$DO15)</f>
        <v>1343.5538580930001</v>
      </c>
      <c r="DV15" s="83">
        <f t="shared" si="6"/>
        <v>2140.7467931181</v>
      </c>
      <c r="DW15" s="83">
        <f t="shared" si="6"/>
        <v>2359.9637395322998</v>
      </c>
      <c r="DX15" s="83">
        <f t="shared" si="6"/>
        <v>2552.8016299218002</v>
      </c>
      <c r="DY15" s="83">
        <f t="shared" si="6"/>
        <v>2685.8644782624001</v>
      </c>
      <c r="DZ15" s="83">
        <f t="shared" si="6"/>
        <v>2886.9001888469998</v>
      </c>
      <c r="EA15" s="83">
        <f t="shared" si="6"/>
        <v>3591.0894648809999</v>
      </c>
      <c r="EB15" s="83">
        <f t="shared" si="6"/>
        <v>4082.464187261101</v>
      </c>
      <c r="EC15" s="83">
        <f t="shared" si="6"/>
        <v>3855.3626184900004</v>
      </c>
      <c r="ED15" s="83">
        <f t="shared" si="6"/>
        <v>2324.1344919692001</v>
      </c>
    </row>
    <row r="16" spans="1:134" x14ac:dyDescent="0.3">
      <c r="B16" s="45">
        <f t="shared" si="5"/>
        <v>1000000012</v>
      </c>
      <c r="C16" s="46">
        <v>41244</v>
      </c>
      <c r="D16" s="66">
        <v>65.720751829600005</v>
      </c>
      <c r="E16" s="66">
        <v>184.38145313739997</v>
      </c>
      <c r="F16" s="66">
        <v>131.91105829690002</v>
      </c>
      <c r="G16" s="66">
        <v>121.48227578680002</v>
      </c>
      <c r="H16" s="66">
        <v>48.5063538988</v>
      </c>
      <c r="I16" s="66">
        <v>41.135659698400005</v>
      </c>
      <c r="J16" s="66">
        <v>39.654405795999999</v>
      </c>
      <c r="K16" s="66">
        <v>42.9087962734</v>
      </c>
      <c r="L16" s="66">
        <v>47.326551977500003</v>
      </c>
      <c r="M16" s="66">
        <v>58.193533763500014</v>
      </c>
      <c r="N16" s="66">
        <v>51.651016305399992</v>
      </c>
      <c r="O16" s="66">
        <v>58.034758295799989</v>
      </c>
      <c r="P16" s="66">
        <v>96.213484708299987</v>
      </c>
      <c r="Q16" s="66">
        <v>707.42807236359988</v>
      </c>
      <c r="R16" s="66">
        <v>192.80612223399999</v>
      </c>
      <c r="S16" s="66">
        <v>129.93906773860002</v>
      </c>
      <c r="T16" s="66">
        <v>68.631135048100006</v>
      </c>
      <c r="U16" s="66">
        <v>61.085191158699999</v>
      </c>
      <c r="V16" s="66">
        <v>67.622905199200019</v>
      </c>
      <c r="W16" s="66">
        <v>59.673849498400003</v>
      </c>
      <c r="X16" s="66">
        <v>58.633384214200007</v>
      </c>
      <c r="Y16" s="66">
        <v>83.900073797499999</v>
      </c>
      <c r="Z16" s="66">
        <v>67.614724378600002</v>
      </c>
      <c r="AA16" s="66">
        <v>53.033162193100011</v>
      </c>
      <c r="AB16" s="66">
        <v>138.02971167850001</v>
      </c>
      <c r="AC16" s="66">
        <v>317.51034847</v>
      </c>
      <c r="AD16" s="66">
        <v>231.79869018940002</v>
      </c>
      <c r="AE16" s="66">
        <v>128.32827166779998</v>
      </c>
      <c r="AF16" s="66">
        <v>82.216213241800006</v>
      </c>
      <c r="AG16" s="66">
        <v>66.106376198800007</v>
      </c>
      <c r="AH16" s="66">
        <v>60.457782261399998</v>
      </c>
      <c r="AI16" s="66">
        <v>64.737890029900001</v>
      </c>
      <c r="AJ16" s="66">
        <v>61.63161743740001</v>
      </c>
      <c r="AK16" s="66">
        <v>65.118635928100005</v>
      </c>
      <c r="AL16" s="66">
        <v>64.3519654471</v>
      </c>
      <c r="AM16" s="66">
        <v>62.277864738100007</v>
      </c>
      <c r="AN16" s="66">
        <v>135.1055561611</v>
      </c>
      <c r="AO16" s="66">
        <v>368.21747625760003</v>
      </c>
      <c r="AP16" s="66">
        <v>261.00684660039997</v>
      </c>
      <c r="AQ16" s="66">
        <v>151.97151868240002</v>
      </c>
      <c r="AR16" s="66">
        <v>97.101966857500003</v>
      </c>
      <c r="AS16" s="66">
        <v>72.462498538000006</v>
      </c>
      <c r="AT16" s="66">
        <v>87.118551223000026</v>
      </c>
      <c r="AU16" s="66">
        <v>95.658314708500015</v>
      </c>
      <c r="AV16" s="66">
        <v>103.20287010999999</v>
      </c>
      <c r="AW16" s="66">
        <v>108.66221689930002</v>
      </c>
      <c r="AX16" s="66">
        <v>95.552039094099996</v>
      </c>
      <c r="AY16" s="66">
        <v>81.878698102000001</v>
      </c>
      <c r="AZ16" s="66">
        <v>176.5691447314</v>
      </c>
      <c r="BA16" s="66">
        <v>407.95160933170013</v>
      </c>
      <c r="BB16" s="66">
        <v>229.12206078519998</v>
      </c>
      <c r="BC16" s="66">
        <v>155.34419331820001</v>
      </c>
      <c r="BD16" s="66">
        <v>114.597852565</v>
      </c>
      <c r="BE16" s="66">
        <v>102.35367841570002</v>
      </c>
      <c r="BF16" s="66">
        <v>133.73031518620002</v>
      </c>
      <c r="BG16" s="66">
        <v>137.56760789470005</v>
      </c>
      <c r="BH16" s="66">
        <v>115.89999152829999</v>
      </c>
      <c r="BI16" s="66">
        <v>147.31190339680001</v>
      </c>
      <c r="BJ16" s="66">
        <v>122.08187739940001</v>
      </c>
      <c r="BK16" s="66">
        <v>123.2437415581</v>
      </c>
      <c r="BL16" s="66">
        <v>131.24856193510001</v>
      </c>
      <c r="BM16" s="66">
        <v>361.06113456759999</v>
      </c>
      <c r="BN16" s="66">
        <v>271.3895838496</v>
      </c>
      <c r="BO16" s="66">
        <v>212.35535638539997</v>
      </c>
      <c r="BP16" s="66">
        <v>144.65651410480001</v>
      </c>
      <c r="BQ16" s="66">
        <v>136.84795836880002</v>
      </c>
      <c r="BR16" s="66">
        <v>150.41963953060002</v>
      </c>
      <c r="BS16" s="66">
        <v>160.00253269600003</v>
      </c>
      <c r="BT16" s="66">
        <v>165.8108402686</v>
      </c>
      <c r="BU16" s="66">
        <v>150.8808051469</v>
      </c>
      <c r="BV16" s="66">
        <v>146.84582178279999</v>
      </c>
      <c r="BW16" s="66">
        <v>149.65308162970001</v>
      </c>
      <c r="BX16" s="66">
        <v>249.01335080709998</v>
      </c>
      <c r="BY16" s="66">
        <v>361.01351318530004</v>
      </c>
      <c r="BZ16" s="66">
        <v>277.2965491165001</v>
      </c>
      <c r="CA16" s="66">
        <v>228.17605020490004</v>
      </c>
      <c r="CB16" s="66">
        <v>230.01909902200003</v>
      </c>
      <c r="CC16" s="66">
        <v>244.9965678925</v>
      </c>
      <c r="CD16" s="66">
        <v>271.86170726229994</v>
      </c>
      <c r="CE16" s="66">
        <v>228.23789420649999</v>
      </c>
      <c r="CF16" s="66">
        <v>247.85478899800006</v>
      </c>
      <c r="CG16" s="66">
        <v>209.08377867940001</v>
      </c>
      <c r="CH16" s="66">
        <v>194.75533408540002</v>
      </c>
      <c r="CI16" s="66">
        <v>198.88931288409995</v>
      </c>
      <c r="CJ16" s="66">
        <v>210.28921133680004</v>
      </c>
      <c r="CK16" s="66">
        <v>598.76861187280019</v>
      </c>
      <c r="CL16" s="66">
        <v>446.02548614440013</v>
      </c>
      <c r="CM16" s="66">
        <v>342.82015623159998</v>
      </c>
      <c r="CN16" s="66">
        <v>245.69730396160006</v>
      </c>
      <c r="CO16" s="66">
        <v>212.1062916775</v>
      </c>
      <c r="CP16" s="66">
        <v>236.95654747089998</v>
      </c>
      <c r="CQ16" s="66">
        <v>234.81163387900006</v>
      </c>
      <c r="CR16" s="66">
        <v>223.86772235799998</v>
      </c>
      <c r="CS16" s="66">
        <v>203.3502618199</v>
      </c>
      <c r="CT16" s="66">
        <v>196.43412853660001</v>
      </c>
      <c r="CU16" s="66">
        <v>185.51254540210002</v>
      </c>
      <c r="CV16" s="66">
        <v>313.46849771979998</v>
      </c>
      <c r="CW16" s="66">
        <v>377.39252924740003</v>
      </c>
      <c r="CX16" s="66">
        <v>358.02691323909994</v>
      </c>
      <c r="CY16" s="66">
        <v>309.55412516949997</v>
      </c>
      <c r="CZ16" s="66">
        <v>190.43991369219995</v>
      </c>
      <c r="DA16" s="66">
        <v>193.53012485710002</v>
      </c>
      <c r="DB16" s="66">
        <v>201.07561842610002</v>
      </c>
      <c r="DC16" s="66">
        <v>192.93757826410001</v>
      </c>
      <c r="DD16" s="66">
        <v>224.7523392571</v>
      </c>
      <c r="DE16" s="66">
        <v>213.97118103400001</v>
      </c>
      <c r="DF16" s="66">
        <v>192.38285858470002</v>
      </c>
      <c r="DG16" s="66">
        <v>162.94680252460003</v>
      </c>
      <c r="DH16" s="66">
        <v>299.33511691240005</v>
      </c>
      <c r="DI16" s="66">
        <v>511.04852460820007</v>
      </c>
      <c r="DJ16" s="66">
        <v>386.07556967349996</v>
      </c>
      <c r="DK16" s="66">
        <v>319.52928493000007</v>
      </c>
      <c r="DL16" s="66">
        <v>228.62228019459999</v>
      </c>
      <c r="DM16" s="66">
        <v>231.17585954949999</v>
      </c>
      <c r="DN16" s="66">
        <v>259.97388665620002</v>
      </c>
      <c r="DO16" s="66">
        <v>260.13416319190003</v>
      </c>
      <c r="DP16" s="79"/>
      <c r="DQ16" s="80"/>
      <c r="DR16" s="81"/>
      <c r="DS16" s="84">
        <f t="shared" si="3"/>
        <v>2012</v>
      </c>
      <c r="DT16" s="80"/>
      <c r="DU16" s="83">
        <f t="shared" si="6"/>
        <v>890.90661505949993</v>
      </c>
      <c r="DV16" s="83">
        <f t="shared" si="6"/>
        <v>1646.5811725322999</v>
      </c>
      <c r="DW16" s="83">
        <f t="shared" si="6"/>
        <v>1342.5653672883002</v>
      </c>
      <c r="DX16" s="83">
        <f t="shared" si="6"/>
        <v>1657.9385532339004</v>
      </c>
      <c r="DY16" s="83">
        <f t="shared" si="6"/>
        <v>1965.7739761107002</v>
      </c>
      <c r="DZ16" s="83">
        <f t="shared" si="6"/>
        <v>2181.1718302659001</v>
      </c>
      <c r="EA16" s="83">
        <f t="shared" si="6"/>
        <v>2941.1979463440002</v>
      </c>
      <c r="EB16" s="83">
        <f t="shared" si="6"/>
        <v>3336.6399006912002</v>
      </c>
      <c r="EC16" s="83">
        <f t="shared" si="6"/>
        <v>2930.4784820156997</v>
      </c>
      <c r="ED16" s="83">
        <f t="shared" si="6"/>
        <v>2495.8946857163005</v>
      </c>
    </row>
    <row r="17" spans="2:134" x14ac:dyDescent="0.3">
      <c r="B17" s="45">
        <f t="shared" si="5"/>
        <v>1000000013</v>
      </c>
      <c r="C17" s="46">
        <v>41671</v>
      </c>
      <c r="D17" s="66">
        <v>-8</v>
      </c>
      <c r="E17" s="66">
        <v>5.5846654000000004</v>
      </c>
      <c r="F17" s="66">
        <v>30.426139945599999</v>
      </c>
      <c r="G17" s="66">
        <v>54.428892746200006</v>
      </c>
      <c r="H17" s="66">
        <v>53.073615975700001</v>
      </c>
      <c r="I17" s="66">
        <v>57.894370911100012</v>
      </c>
      <c r="J17" s="66">
        <v>54.355040200600001</v>
      </c>
      <c r="K17" s="66">
        <v>56.685335690499997</v>
      </c>
      <c r="L17" s="66">
        <v>51.454263817300003</v>
      </c>
      <c r="M17" s="66">
        <v>55.079155403800002</v>
      </c>
      <c r="N17" s="66">
        <v>45.242093899300009</v>
      </c>
      <c r="O17" s="66">
        <v>47.049379771300003</v>
      </c>
      <c r="P17" s="66">
        <v>66.063182967100005</v>
      </c>
      <c r="Q17" s="66">
        <v>292.37564029059996</v>
      </c>
      <c r="R17" s="66">
        <v>114.52857827680002</v>
      </c>
      <c r="S17" s="66">
        <v>88.468011355000002</v>
      </c>
      <c r="T17" s="66">
        <v>82.523444334700002</v>
      </c>
      <c r="U17" s="66">
        <v>69.093276358600008</v>
      </c>
      <c r="V17" s="66">
        <v>72.186752346399999</v>
      </c>
      <c r="W17" s="66">
        <v>79.828501900899994</v>
      </c>
      <c r="X17" s="66">
        <v>81.558220084000013</v>
      </c>
      <c r="Y17" s="66">
        <v>83.902212819399992</v>
      </c>
      <c r="Z17" s="66">
        <v>78.440051527599991</v>
      </c>
      <c r="AA17" s="66">
        <v>85.840391820999983</v>
      </c>
      <c r="AB17" s="66">
        <v>88.590048183399986</v>
      </c>
      <c r="AC17" s="66">
        <v>205.63342377460003</v>
      </c>
      <c r="AD17" s="66">
        <v>138.8279045875</v>
      </c>
      <c r="AE17" s="66">
        <v>110.49828575019998</v>
      </c>
      <c r="AF17" s="66">
        <v>91.45220959240001</v>
      </c>
      <c r="AG17" s="66">
        <v>105.29153117860001</v>
      </c>
      <c r="AH17" s="66">
        <v>88.115935855600014</v>
      </c>
      <c r="AI17" s="66">
        <v>108.4038830965</v>
      </c>
      <c r="AJ17" s="66">
        <v>105.877022752</v>
      </c>
      <c r="AK17" s="66">
        <v>117.80342080570004</v>
      </c>
      <c r="AL17" s="66">
        <v>110.5582909435</v>
      </c>
      <c r="AM17" s="66">
        <v>119.88821662420003</v>
      </c>
      <c r="AN17" s="66">
        <v>136.0377944425</v>
      </c>
      <c r="AO17" s="66">
        <v>185.26385596119999</v>
      </c>
      <c r="AP17" s="66">
        <v>167.13080441440002</v>
      </c>
      <c r="AQ17" s="66">
        <v>160.47488126889999</v>
      </c>
      <c r="AR17" s="66">
        <v>133.4621869147</v>
      </c>
      <c r="AS17" s="66">
        <v>131.77652507740001</v>
      </c>
      <c r="AT17" s="66">
        <v>139.69927456150003</v>
      </c>
      <c r="AU17" s="66">
        <v>123.58489678779998</v>
      </c>
      <c r="AV17" s="66">
        <v>121.0229489788</v>
      </c>
      <c r="AW17" s="66">
        <v>119.11257726190004</v>
      </c>
      <c r="AX17" s="66">
        <v>148.51681068039997</v>
      </c>
      <c r="AY17" s="66">
        <v>150.96118733830005</v>
      </c>
      <c r="AZ17" s="66">
        <v>174.42479404000002</v>
      </c>
      <c r="BA17" s="66">
        <v>191.87553512740001</v>
      </c>
      <c r="BB17" s="66">
        <v>292.84397350660004</v>
      </c>
      <c r="BC17" s="66">
        <v>426.38806424799992</v>
      </c>
      <c r="BD17" s="66">
        <v>300.15743948950001</v>
      </c>
      <c r="BE17" s="66">
        <v>182.8234571335</v>
      </c>
      <c r="BF17" s="66">
        <v>182.60343809139999</v>
      </c>
      <c r="BG17" s="66">
        <v>210.45507935080002</v>
      </c>
      <c r="BH17" s="66">
        <v>196.09514985550001</v>
      </c>
      <c r="BI17" s="66">
        <v>228.1204356355</v>
      </c>
      <c r="BJ17" s="66">
        <v>225.2409744178</v>
      </c>
      <c r="BK17" s="66">
        <v>165.65810659960005</v>
      </c>
      <c r="BL17" s="66">
        <v>154.78838536450002</v>
      </c>
      <c r="BM17" s="66">
        <v>462.24493867809997</v>
      </c>
      <c r="BN17" s="66">
        <v>202.35441578200002</v>
      </c>
      <c r="BO17" s="66">
        <v>221.52812024650001</v>
      </c>
      <c r="BP17" s="66">
        <v>223.63588240539997</v>
      </c>
      <c r="BQ17" s="66">
        <v>159.3546717472</v>
      </c>
      <c r="BR17" s="66">
        <v>151.09568303110001</v>
      </c>
      <c r="BS17" s="66">
        <v>175.4428183576</v>
      </c>
      <c r="BT17" s="66">
        <v>182.32893028090001</v>
      </c>
      <c r="BU17" s="66">
        <v>185.46544939360004</v>
      </c>
      <c r="BV17" s="66">
        <v>210.84779626630004</v>
      </c>
      <c r="BW17" s="66">
        <v>161.07665943010002</v>
      </c>
      <c r="BX17" s="66">
        <v>191.62763374720004</v>
      </c>
      <c r="BY17" s="66">
        <v>173.1294098827</v>
      </c>
      <c r="BZ17" s="66">
        <v>194.66909772880001</v>
      </c>
      <c r="CA17" s="66">
        <v>163.35340431910001</v>
      </c>
      <c r="CB17" s="66">
        <v>209.68762080909997</v>
      </c>
      <c r="CC17" s="66">
        <v>228.8441005183</v>
      </c>
      <c r="CD17" s="66">
        <v>227.72723087289998</v>
      </c>
      <c r="CE17" s="66">
        <v>224.20658845899996</v>
      </c>
      <c r="CF17" s="66">
        <v>267.10373449600002</v>
      </c>
      <c r="CG17" s="66">
        <v>246.89905900240004</v>
      </c>
      <c r="CH17" s="66">
        <v>240.26249963410004</v>
      </c>
      <c r="CI17" s="66">
        <v>198.41261121400001</v>
      </c>
      <c r="CJ17" s="66">
        <v>199.49619467650001</v>
      </c>
      <c r="CK17" s="66">
        <v>202.65354110769999</v>
      </c>
      <c r="CL17" s="66">
        <v>264.37460523850007</v>
      </c>
      <c r="CM17" s="66">
        <v>291.36868634950002</v>
      </c>
      <c r="CN17" s="66">
        <v>250.08586389310005</v>
      </c>
      <c r="CO17" s="66">
        <v>260.63195486739994</v>
      </c>
      <c r="CP17" s="66">
        <v>217.34197933480002</v>
      </c>
      <c r="CQ17" s="66">
        <v>248.87022397329997</v>
      </c>
      <c r="CR17" s="66">
        <v>300.94392406810005</v>
      </c>
      <c r="CS17" s="66">
        <v>304.01612241699996</v>
      </c>
      <c r="CT17" s="66">
        <v>264.02684530960005</v>
      </c>
      <c r="CU17" s="66">
        <v>195.20501653149998</v>
      </c>
      <c r="CV17" s="66">
        <v>245.04482722870003</v>
      </c>
      <c r="CW17" s="66">
        <v>234.28070612740001</v>
      </c>
      <c r="CX17" s="66">
        <v>271.14659846710003</v>
      </c>
      <c r="CY17" s="66">
        <v>314.09594414380001</v>
      </c>
      <c r="CZ17" s="66">
        <v>272.86528380040005</v>
      </c>
      <c r="DA17" s="66">
        <v>248.86583334940008</v>
      </c>
      <c r="DB17" s="66">
        <v>239.09309260870003</v>
      </c>
      <c r="DC17" s="66">
        <v>281.82861114880001</v>
      </c>
      <c r="DD17" s="66">
        <v>233.89421864409996</v>
      </c>
      <c r="DE17" s="66">
        <v>266.93028608859998</v>
      </c>
      <c r="DF17" s="66">
        <v>297.01213912899999</v>
      </c>
      <c r="DG17" s="66">
        <v>226.83000500260002</v>
      </c>
      <c r="DH17" s="66">
        <v>254.81550400090003</v>
      </c>
      <c r="DI17" s="66">
        <v>279.04458032920002</v>
      </c>
      <c r="DJ17" s="66">
        <v>302.16324160450006</v>
      </c>
      <c r="DK17" s="66">
        <v>281.96798531259998</v>
      </c>
      <c r="DL17" s="66">
        <v>286.81853644779994</v>
      </c>
      <c r="DM17" s="66">
        <v>309.07753607950002</v>
      </c>
      <c r="DN17" s="66">
        <v>278.15189518960005</v>
      </c>
      <c r="DO17" s="66">
        <v>276.5159187031</v>
      </c>
      <c r="DP17" s="79"/>
      <c r="DQ17" s="80"/>
      <c r="DR17" s="81"/>
      <c r="DS17" s="84">
        <f t="shared" si="3"/>
        <v>2014</v>
      </c>
      <c r="DT17" s="80"/>
      <c r="DU17" s="83">
        <f t="shared" si="6"/>
        <v>503.2729537614</v>
      </c>
      <c r="DV17" s="83">
        <f t="shared" si="6"/>
        <v>1194.8082640820999</v>
      </c>
      <c r="DW17" s="83">
        <f t="shared" si="6"/>
        <v>1390.9401731441999</v>
      </c>
      <c r="DX17" s="83">
        <f t="shared" si="6"/>
        <v>1717.0437436878001</v>
      </c>
      <c r="DY17" s="83">
        <f t="shared" si="6"/>
        <v>2776.6864474956001</v>
      </c>
      <c r="DZ17" s="83">
        <f t="shared" si="6"/>
        <v>2490.1637509833004</v>
      </c>
      <c r="EA17" s="83">
        <f t="shared" si="6"/>
        <v>2565.9229906836003</v>
      </c>
      <c r="EB17" s="83">
        <f t="shared" si="6"/>
        <v>2999.0149577670004</v>
      </c>
      <c r="EC17" s="83">
        <f t="shared" si="6"/>
        <v>3131.8875457385998</v>
      </c>
      <c r="ED17" s="83">
        <f t="shared" si="6"/>
        <v>2268.5551976672004</v>
      </c>
    </row>
    <row r="18" spans="2:134" x14ac:dyDescent="0.3">
      <c r="B18" s="45">
        <f t="shared" si="5"/>
        <v>1000000014</v>
      </c>
      <c r="C18" s="46">
        <v>42583</v>
      </c>
      <c r="D18" s="66">
        <v>-8</v>
      </c>
      <c r="E18" s="66">
        <v>-8</v>
      </c>
      <c r="F18" s="66">
        <v>-8</v>
      </c>
      <c r="G18" s="66">
        <v>-8</v>
      </c>
      <c r="H18" s="66">
        <v>-8</v>
      </c>
      <c r="I18" s="66">
        <v>-8</v>
      </c>
      <c r="J18" s="66">
        <v>-8</v>
      </c>
      <c r="K18" s="66">
        <v>-8</v>
      </c>
      <c r="L18" s="66">
        <v>-8</v>
      </c>
      <c r="M18" s="66">
        <v>-8</v>
      </c>
      <c r="N18" s="66">
        <v>-8</v>
      </c>
      <c r="O18" s="66">
        <v>-8</v>
      </c>
      <c r="P18" s="66">
        <v>-8</v>
      </c>
      <c r="Q18" s="66">
        <v>-8</v>
      </c>
      <c r="R18" s="66">
        <v>-8</v>
      </c>
      <c r="S18" s="66">
        <v>-8</v>
      </c>
      <c r="T18" s="66">
        <v>-8</v>
      </c>
      <c r="U18" s="66">
        <v>-8</v>
      </c>
      <c r="V18" s="66">
        <v>-8</v>
      </c>
      <c r="W18" s="66">
        <v>-8</v>
      </c>
      <c r="X18" s="66">
        <v>-8</v>
      </c>
      <c r="Y18" s="66">
        <v>-8</v>
      </c>
      <c r="Z18" s="66">
        <v>-8</v>
      </c>
      <c r="AA18" s="66">
        <v>-8</v>
      </c>
      <c r="AB18" s="66">
        <v>-8</v>
      </c>
      <c r="AC18" s="66">
        <v>-8</v>
      </c>
      <c r="AD18" s="66">
        <v>-8</v>
      </c>
      <c r="AE18" s="66">
        <v>-8</v>
      </c>
      <c r="AF18" s="66">
        <v>-8</v>
      </c>
      <c r="AG18" s="66">
        <v>-8</v>
      </c>
      <c r="AH18" s="66">
        <v>-8</v>
      </c>
      <c r="AI18" s="66">
        <v>-8</v>
      </c>
      <c r="AJ18" s="66">
        <v>8.9755780119999997</v>
      </c>
      <c r="AK18" s="66">
        <v>7.4319922609000031</v>
      </c>
      <c r="AL18" s="66">
        <v>10.319371612300003</v>
      </c>
      <c r="AM18" s="66">
        <v>20.1385704076</v>
      </c>
      <c r="AN18" s="66">
        <v>20.840619911200001</v>
      </c>
      <c r="AO18" s="66">
        <v>54.748470123399997</v>
      </c>
      <c r="AP18" s="66">
        <v>58.537916289400002</v>
      </c>
      <c r="AQ18" s="66">
        <v>62.365301949100001</v>
      </c>
      <c r="AR18" s="66">
        <v>41.8610132827</v>
      </c>
      <c r="AS18" s="66">
        <v>43.320651805899999</v>
      </c>
      <c r="AT18" s="66">
        <v>81.527785930299999</v>
      </c>
      <c r="AU18" s="66">
        <v>67.8391715713</v>
      </c>
      <c r="AV18" s="66">
        <v>58.613007216100002</v>
      </c>
      <c r="AW18" s="66">
        <v>74.460832839699989</v>
      </c>
      <c r="AX18" s="66">
        <v>66.164354950300009</v>
      </c>
      <c r="AY18" s="66">
        <v>63.71581282870001</v>
      </c>
      <c r="AZ18" s="66">
        <v>117.23597957500002</v>
      </c>
      <c r="BA18" s="66">
        <v>156.28859025040003</v>
      </c>
      <c r="BB18" s="66">
        <v>119.5454852731</v>
      </c>
      <c r="BC18" s="66">
        <v>135.48558905199999</v>
      </c>
      <c r="BD18" s="66">
        <v>98.847521308000012</v>
      </c>
      <c r="BE18" s="66">
        <v>92.642931783400016</v>
      </c>
      <c r="BF18" s="66">
        <v>83.532574824400001</v>
      </c>
      <c r="BG18" s="66">
        <v>102.90160576240001</v>
      </c>
      <c r="BH18" s="66">
        <v>78.308520444100026</v>
      </c>
      <c r="BI18" s="66">
        <v>87.061022791900001</v>
      </c>
      <c r="BJ18" s="66">
        <v>98.620747459900016</v>
      </c>
      <c r="BK18" s="66">
        <v>89.669616289000004</v>
      </c>
      <c r="BL18" s="66">
        <v>85.973423972500001</v>
      </c>
      <c r="BM18" s="66">
        <v>145.93275964509999</v>
      </c>
      <c r="BN18" s="66">
        <v>135.90615077890004</v>
      </c>
      <c r="BO18" s="66">
        <v>119.20192833460004</v>
      </c>
      <c r="BP18" s="66">
        <v>109.20890586490002</v>
      </c>
      <c r="BQ18" s="66">
        <v>115.13204513950001</v>
      </c>
      <c r="BR18" s="66">
        <v>125.13234778899999</v>
      </c>
      <c r="BS18" s="66">
        <v>121.73486800449999</v>
      </c>
      <c r="BT18" s="66">
        <v>116.97171655360002</v>
      </c>
      <c r="BU18" s="66">
        <v>111.69970305070001</v>
      </c>
      <c r="BV18" s="66">
        <v>126.62403411399998</v>
      </c>
      <c r="BW18" s="66">
        <v>115.19129979880002</v>
      </c>
      <c r="BX18" s="66">
        <v>168.9264570094</v>
      </c>
      <c r="BY18" s="66">
        <v>208.91258187400001</v>
      </c>
      <c r="BZ18" s="66">
        <v>266.28715350400006</v>
      </c>
      <c r="CA18" s="66">
        <v>164.47196266600002</v>
      </c>
      <c r="CB18" s="66">
        <v>204.7109424352</v>
      </c>
      <c r="CC18" s="66">
        <v>215.44219014730007</v>
      </c>
      <c r="CD18" s="66">
        <v>242.68390995160004</v>
      </c>
      <c r="CE18" s="66">
        <v>213.02408217940004</v>
      </c>
      <c r="CF18" s="66">
        <v>219.78339138340002</v>
      </c>
      <c r="CG18" s="66">
        <v>252.71682330340002</v>
      </c>
      <c r="CH18" s="66">
        <v>213.36947792619998</v>
      </c>
      <c r="CI18" s="66">
        <v>240.84127392820002</v>
      </c>
      <c r="CJ18" s="66">
        <v>232.33389598480002</v>
      </c>
      <c r="CK18" s="66">
        <v>255.55721922640009</v>
      </c>
      <c r="CL18" s="66">
        <v>267.20130391600003</v>
      </c>
      <c r="CM18" s="66">
        <v>237.31012403830002</v>
      </c>
      <c r="CN18" s="66">
        <v>236.02344607539999</v>
      </c>
      <c r="CO18" s="66">
        <v>239.98153723120004</v>
      </c>
      <c r="CP18" s="66">
        <v>251.60276816049998</v>
      </c>
      <c r="CQ18" s="66">
        <v>235.0294013191</v>
      </c>
      <c r="CR18" s="66">
        <v>248.00467063780002</v>
      </c>
      <c r="CS18" s="66">
        <v>215.0623824166</v>
      </c>
      <c r="CT18" s="66">
        <v>198.57630267939996</v>
      </c>
      <c r="CU18" s="66">
        <v>233.19592181050007</v>
      </c>
      <c r="CV18" s="66">
        <v>249.03699262810005</v>
      </c>
      <c r="CW18" s="66">
        <v>279.38333385010003</v>
      </c>
      <c r="CX18" s="66">
        <v>266.17787575360006</v>
      </c>
      <c r="CY18" s="66">
        <v>252.42617901189999</v>
      </c>
      <c r="CZ18" s="66">
        <v>222.98914725760002</v>
      </c>
      <c r="DA18" s="66">
        <v>211.00131799600001</v>
      </c>
      <c r="DB18" s="66">
        <v>198.88957557099999</v>
      </c>
      <c r="DC18" s="66">
        <v>211.59225094090004</v>
      </c>
      <c r="DD18" s="66">
        <v>217.51790450440001</v>
      </c>
      <c r="DE18" s="66">
        <v>213.32504631339995</v>
      </c>
      <c r="DF18" s="66">
        <v>220.59254208879997</v>
      </c>
      <c r="DG18" s="66">
        <v>200.44903511619998</v>
      </c>
      <c r="DH18" s="66">
        <v>268.74361375929999</v>
      </c>
      <c r="DI18" s="66">
        <v>364.99967431269999</v>
      </c>
      <c r="DJ18" s="66">
        <v>329.65079882050003</v>
      </c>
      <c r="DK18" s="66">
        <v>289.10154829569996</v>
      </c>
      <c r="DL18" s="66">
        <v>299.21116622229999</v>
      </c>
      <c r="DM18" s="66">
        <v>306.69125075319999</v>
      </c>
      <c r="DN18" s="66">
        <v>290.11157942620002</v>
      </c>
      <c r="DO18" s="66">
        <v>293.97187600180001</v>
      </c>
      <c r="DP18" s="79"/>
      <c r="DQ18" s="80"/>
      <c r="DR18" s="81"/>
      <c r="DS18" s="84">
        <f t="shared" si="3"/>
        <v>2016</v>
      </c>
      <c r="DT18" s="80"/>
      <c r="DU18" s="83">
        <f t="shared" si="6"/>
        <v>-96</v>
      </c>
      <c r="DV18" s="83">
        <f t="shared" si="6"/>
        <v>-96</v>
      </c>
      <c r="DW18" s="83">
        <f t="shared" si="6"/>
        <v>-17.134487707199995</v>
      </c>
      <c r="DX18" s="83">
        <f t="shared" si="6"/>
        <v>693.99493869809999</v>
      </c>
      <c r="DY18" s="83">
        <f t="shared" si="6"/>
        <v>1260.1401848136004</v>
      </c>
      <c r="DZ18" s="83">
        <f t="shared" si="6"/>
        <v>1428.7091830461002</v>
      </c>
      <c r="EA18" s="83">
        <f t="shared" si="6"/>
        <v>2611.1702463081001</v>
      </c>
      <c r="EB18" s="83">
        <f t="shared" si="6"/>
        <v>2849.8789734960001</v>
      </c>
      <c r="EC18" s="83">
        <f t="shared" si="6"/>
        <v>2743.3812010320003</v>
      </c>
      <c r="ED18" s="83">
        <f t="shared" si="6"/>
        <v>2442.4815075916999</v>
      </c>
    </row>
    <row r="19" spans="2:134" x14ac:dyDescent="0.3">
      <c r="B19" s="45">
        <f t="shared" si="5"/>
        <v>1000000015</v>
      </c>
      <c r="C19" s="46">
        <v>42186</v>
      </c>
      <c r="D19" s="66">
        <v>-8</v>
      </c>
      <c r="E19" s="66">
        <v>-8</v>
      </c>
      <c r="F19" s="66">
        <v>-8</v>
      </c>
      <c r="G19" s="66">
        <v>-8</v>
      </c>
      <c r="H19" s="66">
        <v>-8</v>
      </c>
      <c r="I19" s="66">
        <v>-8</v>
      </c>
      <c r="J19" s="66">
        <v>-8</v>
      </c>
      <c r="K19" s="66">
        <v>-8</v>
      </c>
      <c r="L19" s="66">
        <v>-8</v>
      </c>
      <c r="M19" s="66">
        <v>-8</v>
      </c>
      <c r="N19" s="66">
        <v>-8</v>
      </c>
      <c r="O19" s="66">
        <v>-8</v>
      </c>
      <c r="P19" s="66">
        <v>-8</v>
      </c>
      <c r="Q19" s="66">
        <v>-8</v>
      </c>
      <c r="R19" s="66">
        <v>-8</v>
      </c>
      <c r="S19" s="66">
        <v>-8</v>
      </c>
      <c r="T19" s="66">
        <v>-8</v>
      </c>
      <c r="U19" s="66">
        <v>-8</v>
      </c>
      <c r="V19" s="66">
        <v>-3.9321057199999991</v>
      </c>
      <c r="W19" s="66">
        <v>33.814913535700008</v>
      </c>
      <c r="X19" s="66">
        <v>60.245343612699997</v>
      </c>
      <c r="Y19" s="66">
        <v>58.300034538100007</v>
      </c>
      <c r="Z19" s="66">
        <v>53.214491207499997</v>
      </c>
      <c r="AA19" s="66">
        <v>60.323886995799995</v>
      </c>
      <c r="AB19" s="66">
        <v>78.402637407699999</v>
      </c>
      <c r="AC19" s="66">
        <v>171.6646302016</v>
      </c>
      <c r="AD19" s="66">
        <v>151.9736577043</v>
      </c>
      <c r="AE19" s="66">
        <v>130.0281561244</v>
      </c>
      <c r="AF19" s="66">
        <v>107.4857173276</v>
      </c>
      <c r="AG19" s="66">
        <v>127.54640287330002</v>
      </c>
      <c r="AH19" s="66">
        <v>140.34413337430001</v>
      </c>
      <c r="AI19" s="66">
        <v>149.15934283780001</v>
      </c>
      <c r="AJ19" s="66">
        <v>159.29170194460002</v>
      </c>
      <c r="AK19" s="66">
        <v>156.31380819279997</v>
      </c>
      <c r="AL19" s="66">
        <v>143.68521052870003</v>
      </c>
      <c r="AM19" s="66">
        <v>164.81675798559999</v>
      </c>
      <c r="AN19" s="66">
        <v>176.07109036900002</v>
      </c>
      <c r="AO19" s="66">
        <v>335.88593507890005</v>
      </c>
      <c r="AP19" s="66">
        <v>289.36472304279999</v>
      </c>
      <c r="AQ19" s="66">
        <v>211.65161818030006</v>
      </c>
      <c r="AR19" s="66">
        <v>172.10463075910002</v>
      </c>
      <c r="AS19" s="66">
        <v>184.3473038404</v>
      </c>
      <c r="AT19" s="66">
        <v>225.54831809080002</v>
      </c>
      <c r="AU19" s="66">
        <v>269.5454842849</v>
      </c>
      <c r="AV19" s="66">
        <v>251.58321674979999</v>
      </c>
      <c r="AW19" s="66">
        <v>237.11502272500005</v>
      </c>
      <c r="AX19" s="66">
        <v>240.4168094245</v>
      </c>
      <c r="AY19" s="66">
        <v>200.47804325530004</v>
      </c>
      <c r="AZ19" s="66">
        <v>237.29267412280001</v>
      </c>
      <c r="BA19" s="66">
        <v>388.05949372240002</v>
      </c>
      <c r="BB19" s="66">
        <v>392.02332646330007</v>
      </c>
      <c r="BC19" s="66">
        <v>379.99767028809998</v>
      </c>
      <c r="BD19" s="66">
        <v>290.87768700670006</v>
      </c>
      <c r="BE19" s="66">
        <v>242.10802521340003</v>
      </c>
      <c r="BF19" s="66">
        <v>250.98391535079998</v>
      </c>
      <c r="BG19" s="66">
        <v>268.57012782519996</v>
      </c>
      <c r="BH19" s="66">
        <v>304.50821003409999</v>
      </c>
      <c r="BI19" s="66">
        <v>273.54965822830002</v>
      </c>
      <c r="BJ19" s="66">
        <v>233.66676931539999</v>
      </c>
      <c r="BK19" s="66">
        <v>209.70326944300001</v>
      </c>
      <c r="BL19" s="66">
        <v>257.04057462400004</v>
      </c>
      <c r="BM19" s="66">
        <v>387.2873818699</v>
      </c>
      <c r="BN19" s="66">
        <v>430.42087106349999</v>
      </c>
      <c r="BO19" s="66">
        <v>381.67151121490002</v>
      </c>
      <c r="BP19" s="66">
        <v>356.29122831070003</v>
      </c>
      <c r="BQ19" s="66">
        <v>284.1974090329</v>
      </c>
      <c r="BR19" s="66">
        <v>286.97997631120001</v>
      </c>
      <c r="BS19" s="66">
        <v>311.1019514377</v>
      </c>
      <c r="BT19" s="66">
        <v>320.73377941990003</v>
      </c>
      <c r="BU19" s="66">
        <v>306.00154753390007</v>
      </c>
      <c r="BV19" s="66">
        <v>266.7582636958</v>
      </c>
      <c r="BW19" s="66">
        <v>242.5635993514</v>
      </c>
      <c r="BX19" s="66">
        <v>319.25391400539996</v>
      </c>
      <c r="BY19" s="66">
        <v>370.21667367339995</v>
      </c>
      <c r="BZ19" s="66">
        <v>380.75439619359997</v>
      </c>
      <c r="CA19" s="66">
        <v>338.85467231589996</v>
      </c>
      <c r="CB19" s="66">
        <v>332.77804883829998</v>
      </c>
      <c r="CC19" s="66">
        <v>384.21409524670003</v>
      </c>
      <c r="CD19" s="66">
        <v>391.20854675289996</v>
      </c>
      <c r="CE19" s="66">
        <v>366.30076252839996</v>
      </c>
      <c r="CF19" s="66">
        <v>284.24067731800005</v>
      </c>
      <c r="CG19" s="66">
        <v>346.29212651559999</v>
      </c>
      <c r="CH19" s="66">
        <v>308.33597096080007</v>
      </c>
      <c r="CI19" s="66">
        <v>252.98521426180002</v>
      </c>
      <c r="CJ19" s="66">
        <v>299.5307811262</v>
      </c>
      <c r="CK19" s="66">
        <v>415.78320646150001</v>
      </c>
      <c r="CL19" s="66">
        <v>424.48065714040001</v>
      </c>
      <c r="CM19" s="66">
        <v>427.6356018628</v>
      </c>
      <c r="CN19" s="66">
        <v>399.32347046769996</v>
      </c>
      <c r="CO19" s="66">
        <v>367.28812753210002</v>
      </c>
      <c r="CP19" s="66">
        <v>364.12624037020004</v>
      </c>
      <c r="CQ19" s="66">
        <v>320.15170277620001</v>
      </c>
      <c r="CR19" s="66">
        <v>297.96040131130007</v>
      </c>
      <c r="CS19" s="66">
        <v>328.82584937440004</v>
      </c>
      <c r="CT19" s="66">
        <v>293.15184255340006</v>
      </c>
      <c r="CU19" s="66">
        <v>284.92692808089998</v>
      </c>
      <c r="CV19" s="66">
        <v>322.07400798370003</v>
      </c>
      <c r="CW19" s="66">
        <v>406.06690587760005</v>
      </c>
      <c r="CX19" s="66">
        <v>385.65376956550006</v>
      </c>
      <c r="CY19" s="66">
        <v>321.77799737410004</v>
      </c>
      <c r="CZ19" s="66">
        <v>230.86052268940006</v>
      </c>
      <c r="DA19" s="66">
        <v>250.72899647769992</v>
      </c>
      <c r="DB19" s="66">
        <v>274.92842671300002</v>
      </c>
      <c r="DC19" s="66">
        <v>269.99088868720008</v>
      </c>
      <c r="DD19" s="66">
        <v>277.65740586370009</v>
      </c>
      <c r="DE19" s="66">
        <v>265.17519985630003</v>
      </c>
      <c r="DF19" s="66">
        <v>232.9811189797</v>
      </c>
      <c r="DG19" s="66">
        <v>223.07977423810001</v>
      </c>
      <c r="DH19" s="66">
        <v>253.39102799560004</v>
      </c>
      <c r="DI19" s="66">
        <v>371.78183727700002</v>
      </c>
      <c r="DJ19" s="66">
        <v>319.75947370780005</v>
      </c>
      <c r="DK19" s="66">
        <v>257.72119638190003</v>
      </c>
      <c r="DL19" s="66">
        <v>244.89138055239999</v>
      </c>
      <c r="DM19" s="66">
        <v>255.48471764200002</v>
      </c>
      <c r="DN19" s="66">
        <v>271.39964100519995</v>
      </c>
      <c r="DO19" s="66">
        <v>272.45068881879996</v>
      </c>
      <c r="DP19" s="79"/>
      <c r="DQ19" s="80"/>
      <c r="DR19" s="81"/>
      <c r="DS19" s="84">
        <f t="shared" si="3"/>
        <v>2015</v>
      </c>
      <c r="DT19" s="80"/>
      <c r="DU19" s="83">
        <f t="shared" si="6"/>
        <v>-96</v>
      </c>
      <c r="DV19" s="83">
        <f t="shared" si="6"/>
        <v>213.96656416980002</v>
      </c>
      <c r="DW19" s="83">
        <f t="shared" si="6"/>
        <v>1680.7121565027001</v>
      </c>
      <c r="DX19" s="83">
        <f t="shared" si="6"/>
        <v>2794.1121958008002</v>
      </c>
      <c r="DY19" s="83">
        <f t="shared" si="6"/>
        <v>3471.3408270134996</v>
      </c>
      <c r="DZ19" s="83">
        <f t="shared" si="6"/>
        <v>3831.0480938658006</v>
      </c>
      <c r="EA19" s="83">
        <f t="shared" si="6"/>
        <v>4075.4350986108002</v>
      </c>
      <c r="EB19" s="83">
        <f t="shared" si="6"/>
        <v>4223.1848090571011</v>
      </c>
      <c r="EC19" s="83">
        <f t="shared" si="6"/>
        <v>3460.9750143060005</v>
      </c>
      <c r="ED19" s="83">
        <f t="shared" si="6"/>
        <v>2246.8799633807002</v>
      </c>
    </row>
    <row r="20" spans="2:134" x14ac:dyDescent="0.3">
      <c r="B20" s="45">
        <f t="shared" si="5"/>
        <v>1000000016</v>
      </c>
      <c r="C20" s="46">
        <v>39234</v>
      </c>
      <c r="D20" s="66">
        <v>72.896982670599996</v>
      </c>
      <c r="E20" s="66">
        <v>105.62337978670001</v>
      </c>
      <c r="F20" s="66">
        <v>91.918403786500008</v>
      </c>
      <c r="G20" s="66">
        <v>102.11695999210001</v>
      </c>
      <c r="H20" s="66">
        <v>69.904753719400006</v>
      </c>
      <c r="I20" s="66">
        <v>71.968834799499987</v>
      </c>
      <c r="J20" s="66">
        <v>64.878465048099983</v>
      </c>
      <c r="K20" s="66">
        <v>84.313317817900014</v>
      </c>
      <c r="L20" s="66">
        <v>71.8221054025</v>
      </c>
      <c r="M20" s="66">
        <v>86.77484417769999</v>
      </c>
      <c r="N20" s="66">
        <v>75.225289245400006</v>
      </c>
      <c r="O20" s="66">
        <v>85.619434611399996</v>
      </c>
      <c r="P20" s="66">
        <v>77.383674922599994</v>
      </c>
      <c r="Q20" s="66">
        <v>257.98512166299997</v>
      </c>
      <c r="R20" s="66">
        <v>146.01914610850002</v>
      </c>
      <c r="S20" s="66">
        <v>139.7932038916</v>
      </c>
      <c r="T20" s="66">
        <v>113.20752585669999</v>
      </c>
      <c r="U20" s="66">
        <v>90.571270309900001</v>
      </c>
      <c r="V20" s="66">
        <v>109.86881288440001</v>
      </c>
      <c r="W20" s="66">
        <v>108.56502274630002</v>
      </c>
      <c r="X20" s="66">
        <v>78.353139690400013</v>
      </c>
      <c r="Y20" s="66">
        <v>87.989808616899992</v>
      </c>
      <c r="Z20" s="66">
        <v>76.35120282550001</v>
      </c>
      <c r="AA20" s="66">
        <v>88.32222012550001</v>
      </c>
      <c r="AB20" s="66">
        <v>97.474757095299992</v>
      </c>
      <c r="AC20" s="66">
        <v>149.19840813249999</v>
      </c>
      <c r="AD20" s="66">
        <v>132.51343688529997</v>
      </c>
      <c r="AE20" s="66">
        <v>112.86922265619998</v>
      </c>
      <c r="AF20" s="66">
        <v>91.421475225100011</v>
      </c>
      <c r="AG20" s="66">
        <v>84.483501402400009</v>
      </c>
      <c r="AH20" s="66">
        <v>99.132724228000015</v>
      </c>
      <c r="AI20" s="66">
        <v>89.957671238199993</v>
      </c>
      <c r="AJ20" s="66">
        <v>102.38854071999999</v>
      </c>
      <c r="AK20" s="66">
        <v>104.20258139800001</v>
      </c>
      <c r="AL20" s="66">
        <v>90.0087075502</v>
      </c>
      <c r="AM20" s="66">
        <v>95.513386593099995</v>
      </c>
      <c r="AN20" s="66">
        <v>63.282416970400007</v>
      </c>
      <c r="AO20" s="66">
        <v>102.06918850300001</v>
      </c>
      <c r="AP20" s="66">
        <v>133.4240973142</v>
      </c>
      <c r="AQ20" s="66">
        <v>127.86740626509999</v>
      </c>
      <c r="AR20" s="66">
        <v>101.87213580130002</v>
      </c>
      <c r="AS20" s="66">
        <v>97.943052784600027</v>
      </c>
      <c r="AT20" s="66">
        <v>106.1689429513</v>
      </c>
      <c r="AU20" s="66">
        <v>101.8646304613</v>
      </c>
      <c r="AV20" s="66">
        <v>120.0537468979</v>
      </c>
      <c r="AW20" s="66">
        <v>112.0662638563</v>
      </c>
      <c r="AX20" s="66">
        <v>94.576570054300021</v>
      </c>
      <c r="AY20" s="66">
        <v>110.91149224390001</v>
      </c>
      <c r="AZ20" s="66">
        <v>119.24174416330001</v>
      </c>
      <c r="BA20" s="66">
        <v>145.13235266080002</v>
      </c>
      <c r="BB20" s="66">
        <v>168.55749449500001</v>
      </c>
      <c r="BC20" s="66">
        <v>172.84769694579998</v>
      </c>
      <c r="BD20" s="66">
        <v>161.52112566490001</v>
      </c>
      <c r="BE20" s="66">
        <v>119.3489204185</v>
      </c>
      <c r="BF20" s="66">
        <v>124.02212036950002</v>
      </c>
      <c r="BG20" s="66">
        <v>148.39057086160003</v>
      </c>
      <c r="BH20" s="66">
        <v>136.31507922880002</v>
      </c>
      <c r="BI20" s="66">
        <v>136.1743541038</v>
      </c>
      <c r="BJ20" s="66">
        <v>129.37354036960002</v>
      </c>
      <c r="BK20" s="66">
        <v>116.78393294680001</v>
      </c>
      <c r="BL20" s="66">
        <v>140.68142335390002</v>
      </c>
      <c r="BM20" s="66">
        <v>165.6782959642</v>
      </c>
      <c r="BN20" s="66">
        <v>198.55532525410001</v>
      </c>
      <c r="BO20" s="66">
        <v>209.43108828789997</v>
      </c>
      <c r="BP20" s="66">
        <v>208.16703892510003</v>
      </c>
      <c r="BQ20" s="66">
        <v>178.68201052149999</v>
      </c>
      <c r="BR20" s="66">
        <v>205.56662624860004</v>
      </c>
      <c r="BS20" s="66">
        <v>184.62188670430001</v>
      </c>
      <c r="BT20" s="66">
        <v>155.90086438600002</v>
      </c>
      <c r="BU20" s="66">
        <v>168.85425563860002</v>
      </c>
      <c r="BV20" s="66">
        <v>148.2460930666</v>
      </c>
      <c r="BW20" s="66">
        <v>126.1880113867</v>
      </c>
      <c r="BX20" s="66">
        <v>196.41431443900001</v>
      </c>
      <c r="BY20" s="66">
        <v>231.86886511840004</v>
      </c>
      <c r="BZ20" s="66">
        <v>192.66115659190001</v>
      </c>
      <c r="CA20" s="66">
        <v>186.6413860648</v>
      </c>
      <c r="CB20" s="66">
        <v>182.69898106960002</v>
      </c>
      <c r="CC20" s="66">
        <v>227.861689039</v>
      </c>
      <c r="CD20" s="66">
        <v>260.62992842559999</v>
      </c>
      <c r="CE20" s="66">
        <v>322.16249594229998</v>
      </c>
      <c r="CF20" s="66">
        <v>258.93375911229998</v>
      </c>
      <c r="CG20" s="66">
        <v>308.77308196240006</v>
      </c>
      <c r="CH20" s="66">
        <v>187.63269137200004</v>
      </c>
      <c r="CI20" s="66">
        <v>167.64687159280001</v>
      </c>
      <c r="CJ20" s="66">
        <v>217.70444973009998</v>
      </c>
      <c r="CK20" s="66">
        <v>307.50753153160002</v>
      </c>
      <c r="CL20" s="66">
        <v>333.42654774100004</v>
      </c>
      <c r="CM20" s="66">
        <v>342.75133226380001</v>
      </c>
      <c r="CN20" s="66">
        <v>257.94226617160007</v>
      </c>
      <c r="CO20" s="66">
        <v>242.96100710440001</v>
      </c>
      <c r="CP20" s="66">
        <v>258.61463205550001</v>
      </c>
      <c r="CQ20" s="66">
        <v>283.47670875940003</v>
      </c>
      <c r="CR20" s="66">
        <v>270.03562051360001</v>
      </c>
      <c r="CS20" s="66">
        <v>245.13537915579997</v>
      </c>
      <c r="CT20" s="66">
        <v>271.39040943700007</v>
      </c>
      <c r="CU20" s="66">
        <v>190.5947488564</v>
      </c>
      <c r="CV20" s="66">
        <v>266.90240375050001</v>
      </c>
      <c r="CW20" s="66">
        <v>322.06383824799997</v>
      </c>
      <c r="CX20" s="66">
        <v>299.97307081240001</v>
      </c>
      <c r="CY20" s="66">
        <v>285.03414186279997</v>
      </c>
      <c r="CZ20" s="66">
        <v>191.07137547310001</v>
      </c>
      <c r="DA20" s="66">
        <v>176.6982365794</v>
      </c>
      <c r="DB20" s="66">
        <v>193.41758228379999</v>
      </c>
      <c r="DC20" s="66">
        <v>210.5293822168</v>
      </c>
      <c r="DD20" s="66">
        <v>218.38638492249999</v>
      </c>
      <c r="DE20" s="66">
        <v>218.41880799129999</v>
      </c>
      <c r="DF20" s="66">
        <v>240.85073065660006</v>
      </c>
      <c r="DG20" s="66">
        <v>209.39138503930002</v>
      </c>
      <c r="DH20" s="66">
        <v>292.31270801470004</v>
      </c>
      <c r="DI20" s="66">
        <v>323.85472495209996</v>
      </c>
      <c r="DJ20" s="66">
        <v>349.70570525440002</v>
      </c>
      <c r="DK20" s="66">
        <v>282.39796624120009</v>
      </c>
      <c r="DL20" s="66">
        <v>237.7007019319</v>
      </c>
      <c r="DM20" s="66">
        <v>269.94341741170001</v>
      </c>
      <c r="DN20" s="66">
        <v>271.80628032640004</v>
      </c>
      <c r="DO20" s="66">
        <v>257.13071375739997</v>
      </c>
      <c r="DP20" s="79"/>
      <c r="DQ20" s="80"/>
      <c r="DR20" s="81"/>
      <c r="DS20" s="84">
        <f t="shared" si="3"/>
        <v>2007</v>
      </c>
      <c r="DT20" s="80"/>
      <c r="DU20" s="83">
        <f t="shared" si="6"/>
        <v>983.06277105780009</v>
      </c>
      <c r="DV20" s="83">
        <f t="shared" si="6"/>
        <v>1374.4101496413</v>
      </c>
      <c r="DW20" s="83">
        <f t="shared" si="6"/>
        <v>1249.1644131242999</v>
      </c>
      <c r="DX20" s="83">
        <f t="shared" si="6"/>
        <v>1272.0999441036001</v>
      </c>
      <c r="DY20" s="83">
        <f t="shared" si="6"/>
        <v>1677.7089322284</v>
      </c>
      <c r="DZ20" s="83">
        <f t="shared" si="6"/>
        <v>2090.5729197374999</v>
      </c>
      <c r="EA20" s="83">
        <f t="shared" si="6"/>
        <v>2723.9252207300997</v>
      </c>
      <c r="EB20" s="83">
        <f t="shared" si="6"/>
        <v>3221.5406333202004</v>
      </c>
      <c r="EC20" s="83">
        <f t="shared" si="6"/>
        <v>2832.7373398365003</v>
      </c>
      <c r="ED20" s="83">
        <f t="shared" si="6"/>
        <v>2284.8522178898002</v>
      </c>
    </row>
    <row r="21" spans="2:134" x14ac:dyDescent="0.3">
      <c r="B21" s="45">
        <f t="shared" si="5"/>
        <v>1000000017</v>
      </c>
      <c r="C21" s="46">
        <v>42461</v>
      </c>
      <c r="D21" s="66">
        <v>-8</v>
      </c>
      <c r="E21" s="66">
        <v>-8</v>
      </c>
      <c r="F21" s="66">
        <v>-8</v>
      </c>
      <c r="G21" s="66">
        <v>-8</v>
      </c>
      <c r="H21" s="66">
        <v>-8</v>
      </c>
      <c r="I21" s="66">
        <v>-8</v>
      </c>
      <c r="J21" s="66">
        <v>-8</v>
      </c>
      <c r="K21" s="66">
        <v>-8</v>
      </c>
      <c r="L21" s="66">
        <v>-8</v>
      </c>
      <c r="M21" s="66">
        <v>-8</v>
      </c>
      <c r="N21" s="66">
        <v>-8</v>
      </c>
      <c r="O21" s="66">
        <v>-8</v>
      </c>
      <c r="P21" s="66">
        <v>-8</v>
      </c>
      <c r="Q21" s="66">
        <v>-8</v>
      </c>
      <c r="R21" s="66">
        <v>-8</v>
      </c>
      <c r="S21" s="66">
        <v>-8</v>
      </c>
      <c r="T21" s="66">
        <v>-8</v>
      </c>
      <c r="U21" s="66">
        <v>-8</v>
      </c>
      <c r="V21" s="66">
        <v>-8</v>
      </c>
      <c r="W21" s="66">
        <v>-8</v>
      </c>
      <c r="X21" s="66">
        <v>-8</v>
      </c>
      <c r="Y21" s="66">
        <v>-8</v>
      </c>
      <c r="Z21" s="66">
        <v>-8</v>
      </c>
      <c r="AA21" s="66">
        <v>-8</v>
      </c>
      <c r="AB21" s="66">
        <v>-8</v>
      </c>
      <c r="AC21" s="66">
        <v>-8</v>
      </c>
      <c r="AD21" s="66">
        <v>-8</v>
      </c>
      <c r="AE21" s="66">
        <v>13.712948619999999</v>
      </c>
      <c r="AF21" s="66">
        <v>27.940671551200005</v>
      </c>
      <c r="AG21" s="66">
        <v>47.4385316503</v>
      </c>
      <c r="AH21" s="66">
        <v>59.369695594900008</v>
      </c>
      <c r="AI21" s="66">
        <v>57.643917715300006</v>
      </c>
      <c r="AJ21" s="66">
        <v>58.845034802200004</v>
      </c>
      <c r="AK21" s="66">
        <v>53.677195418499998</v>
      </c>
      <c r="AL21" s="66">
        <v>51.5163329791</v>
      </c>
      <c r="AM21" s="66">
        <v>68.891120025700005</v>
      </c>
      <c r="AN21" s="66">
        <v>81.295645764100001</v>
      </c>
      <c r="AO21" s="66">
        <v>92.044043178100011</v>
      </c>
      <c r="AP21" s="66">
        <v>91.672566374800013</v>
      </c>
      <c r="AQ21" s="66">
        <v>80.381007505000014</v>
      </c>
      <c r="AR21" s="66">
        <v>81.024027509499987</v>
      </c>
      <c r="AS21" s="66">
        <v>71.045490346000022</v>
      </c>
      <c r="AT21" s="66">
        <v>92.862012658000012</v>
      </c>
      <c r="AU21" s="66">
        <v>79.288605267999998</v>
      </c>
      <c r="AV21" s="66">
        <v>74.2663694803</v>
      </c>
      <c r="AW21" s="66">
        <v>68.081143732900017</v>
      </c>
      <c r="AX21" s="66">
        <v>51.814107343600007</v>
      </c>
      <c r="AY21" s="66">
        <v>77.497831144000003</v>
      </c>
      <c r="AZ21" s="66">
        <v>86.502700549300002</v>
      </c>
      <c r="BA21" s="66">
        <v>118.08550900959999</v>
      </c>
      <c r="BB21" s="66">
        <v>127.9218199801</v>
      </c>
      <c r="BC21" s="66">
        <v>145.66684544890001</v>
      </c>
      <c r="BD21" s="66">
        <v>123.29853054010002</v>
      </c>
      <c r="BE21" s="66">
        <v>103.67180375320001</v>
      </c>
      <c r="BF21" s="66">
        <v>119.01305645350003</v>
      </c>
      <c r="BG21" s="66">
        <v>100.70929594840001</v>
      </c>
      <c r="BH21" s="66">
        <v>93.825585733899999</v>
      </c>
      <c r="BI21" s="66">
        <v>77.405365355200004</v>
      </c>
      <c r="BJ21" s="66">
        <v>82.080854434900019</v>
      </c>
      <c r="BK21" s="66">
        <v>76.939771588300005</v>
      </c>
      <c r="BL21" s="66">
        <v>101.78079581350003</v>
      </c>
      <c r="BM21" s="66">
        <v>133.55157551409999</v>
      </c>
      <c r="BN21" s="66">
        <v>146.07183359530003</v>
      </c>
      <c r="BO21" s="66">
        <v>108.53402569210002</v>
      </c>
      <c r="BP21" s="66">
        <v>112.52514034390001</v>
      </c>
      <c r="BQ21" s="66">
        <v>97.8361016896</v>
      </c>
      <c r="BR21" s="66">
        <v>123.35545854400004</v>
      </c>
      <c r="BS21" s="66">
        <v>123.6965387203</v>
      </c>
      <c r="BT21" s="66">
        <v>139.82757834880002</v>
      </c>
      <c r="BU21" s="66">
        <v>91.98036036820001</v>
      </c>
      <c r="BV21" s="66">
        <v>124.65725976700003</v>
      </c>
      <c r="BW21" s="66">
        <v>107.16415103530002</v>
      </c>
      <c r="BX21" s="66">
        <v>110.27875455520001</v>
      </c>
      <c r="BY21" s="66">
        <v>167.3114954749</v>
      </c>
      <c r="BZ21" s="66">
        <v>146.38735808890002</v>
      </c>
      <c r="CA21" s="66">
        <v>85.710887179300016</v>
      </c>
      <c r="CB21" s="66">
        <v>116.90638256889997</v>
      </c>
      <c r="CC21" s="66">
        <v>145.17520815220001</v>
      </c>
      <c r="CD21" s="66">
        <v>155.27536935039998</v>
      </c>
      <c r="CE21" s="66">
        <v>165.8523447988</v>
      </c>
      <c r="CF21" s="66">
        <v>164.60015387320001</v>
      </c>
      <c r="CG21" s="66">
        <v>158.31004099929999</v>
      </c>
      <c r="CH21" s="66">
        <v>173.89668079090004</v>
      </c>
      <c r="CI21" s="66">
        <v>139.89501382869997</v>
      </c>
      <c r="CJ21" s="66">
        <v>147.8585923624</v>
      </c>
      <c r="CK21" s="66">
        <v>246.28955034099994</v>
      </c>
      <c r="CL21" s="66">
        <v>237.93032780920004</v>
      </c>
      <c r="CM21" s="66">
        <v>246.5835345088</v>
      </c>
      <c r="CN21" s="66">
        <v>205.91768852710001</v>
      </c>
      <c r="CO21" s="66">
        <v>196.37832633369999</v>
      </c>
      <c r="CP21" s="66">
        <v>263.34018175300002</v>
      </c>
      <c r="CQ21" s="66">
        <v>303.11139120670009</v>
      </c>
      <c r="CR21" s="66">
        <v>280.07645199909996</v>
      </c>
      <c r="CS21" s="66">
        <v>233.58830098569999</v>
      </c>
      <c r="CT21" s="66">
        <v>258.76909195270002</v>
      </c>
      <c r="CU21" s="66">
        <v>239.83507052110005</v>
      </c>
      <c r="CV21" s="66">
        <v>225.69373405330001</v>
      </c>
      <c r="CW21" s="66">
        <v>285.33664459150009</v>
      </c>
      <c r="CX21" s="66">
        <v>260.74611108879998</v>
      </c>
      <c r="CY21" s="66">
        <v>253.04394354729999</v>
      </c>
      <c r="CZ21" s="66">
        <v>198.60936370210001</v>
      </c>
      <c r="DA21" s="66">
        <v>164.64976417060004</v>
      </c>
      <c r="DB21" s="66">
        <v>200.87023479700002</v>
      </c>
      <c r="DC21" s="66">
        <v>260.9277778435</v>
      </c>
      <c r="DD21" s="66">
        <v>241.18385517249999</v>
      </c>
      <c r="DE21" s="66">
        <v>226.83623443480002</v>
      </c>
      <c r="DF21" s="66">
        <v>220.67810296479999</v>
      </c>
      <c r="DG21" s="66">
        <v>192.67406577669999</v>
      </c>
      <c r="DH21" s="66">
        <v>268.81206246010004</v>
      </c>
      <c r="DI21" s="66">
        <v>295.50281525499997</v>
      </c>
      <c r="DJ21" s="66">
        <v>350.44697015949998</v>
      </c>
      <c r="DK21" s="66">
        <v>298.2292425901</v>
      </c>
      <c r="DL21" s="66">
        <v>242.05372407850001</v>
      </c>
      <c r="DM21" s="66">
        <v>240.16474258060001</v>
      </c>
      <c r="DN21" s="66">
        <v>253.70103606429996</v>
      </c>
      <c r="DO21" s="66">
        <v>258.11091116139994</v>
      </c>
      <c r="DP21" s="79"/>
      <c r="DQ21" s="80"/>
      <c r="DR21" s="81"/>
      <c r="DS21" s="84">
        <f t="shared" si="3"/>
        <v>2016</v>
      </c>
      <c r="DT21" s="80"/>
      <c r="DU21" s="83">
        <f t="shared" si="6"/>
        <v>-96</v>
      </c>
      <c r="DV21" s="83">
        <f t="shared" si="6"/>
        <v>-96</v>
      </c>
      <c r="DW21" s="83">
        <f t="shared" si="6"/>
        <v>415.03544835720004</v>
      </c>
      <c r="DX21" s="83">
        <f t="shared" si="6"/>
        <v>941.27285030430005</v>
      </c>
      <c r="DY21" s="83">
        <f t="shared" si="6"/>
        <v>1255.1211387953999</v>
      </c>
      <c r="DZ21" s="83">
        <f t="shared" si="6"/>
        <v>1410.9808194321001</v>
      </c>
      <c r="EA21" s="83">
        <f t="shared" si="6"/>
        <v>1729.5996896607003</v>
      </c>
      <c r="EB21" s="83">
        <f t="shared" si="6"/>
        <v>2859.6785083004997</v>
      </c>
      <c r="EC21" s="83">
        <f t="shared" si="6"/>
        <v>2731.2498321429002</v>
      </c>
      <c r="ED21" s="83">
        <f t="shared" si="6"/>
        <v>2207.0215043495</v>
      </c>
    </row>
    <row r="22" spans="2:134" x14ac:dyDescent="0.3">
      <c r="B22" s="45">
        <f t="shared" si="5"/>
        <v>1000000018</v>
      </c>
      <c r="C22" s="46">
        <v>38899</v>
      </c>
      <c r="D22" s="66">
        <v>66.874735381300013</v>
      </c>
      <c r="E22" s="66">
        <v>221.9544235585</v>
      </c>
      <c r="F22" s="66">
        <v>128.61733983790003</v>
      </c>
      <c r="G22" s="66">
        <v>117.83651935510001</v>
      </c>
      <c r="H22" s="66">
        <v>92.072375836600017</v>
      </c>
      <c r="I22" s="66">
        <v>95.759336584900012</v>
      </c>
      <c r="J22" s="66">
        <v>89.216218699599992</v>
      </c>
      <c r="K22" s="66">
        <v>90.734961775300008</v>
      </c>
      <c r="L22" s="66">
        <v>107.19259627389999</v>
      </c>
      <c r="M22" s="66">
        <v>109.1965220539</v>
      </c>
      <c r="N22" s="66">
        <v>90.012084953200016</v>
      </c>
      <c r="O22" s="66">
        <v>89.861002459000005</v>
      </c>
      <c r="P22" s="66">
        <v>128.1350842162</v>
      </c>
      <c r="Q22" s="66">
        <v>674.66381080719998</v>
      </c>
      <c r="R22" s="66">
        <v>212.00316830590003</v>
      </c>
      <c r="S22" s="66">
        <v>167.52498487120002</v>
      </c>
      <c r="T22" s="66">
        <v>111.30747398230002</v>
      </c>
      <c r="U22" s="66">
        <v>103.98811630750001</v>
      </c>
      <c r="V22" s="66">
        <v>82.476611013099998</v>
      </c>
      <c r="W22" s="66">
        <v>101.87434987660001</v>
      </c>
      <c r="X22" s="66">
        <v>114.3051067783</v>
      </c>
      <c r="Y22" s="66">
        <v>128.04329390800001</v>
      </c>
      <c r="Z22" s="66">
        <v>126.2022715327</v>
      </c>
      <c r="AA22" s="66">
        <v>119.59156806069998</v>
      </c>
      <c r="AB22" s="66">
        <v>119.03853708279998</v>
      </c>
      <c r="AC22" s="66">
        <v>410.44387005880003</v>
      </c>
      <c r="AD22" s="66">
        <v>250.21957152520002</v>
      </c>
      <c r="AE22" s="66">
        <v>210.39492405070001</v>
      </c>
      <c r="AF22" s="66">
        <v>122.42599723840002</v>
      </c>
      <c r="AG22" s="66">
        <v>108.3827555644</v>
      </c>
      <c r="AH22" s="66">
        <v>124.42496949399998</v>
      </c>
      <c r="AI22" s="66">
        <v>115.34538442899999</v>
      </c>
      <c r="AJ22" s="66">
        <v>140.03453809929999</v>
      </c>
      <c r="AK22" s="66">
        <v>149.79361912120001</v>
      </c>
      <c r="AL22" s="66">
        <v>141.1089275203</v>
      </c>
      <c r="AM22" s="66">
        <v>126.81080449990003</v>
      </c>
      <c r="AN22" s="66">
        <v>141.53823296830001</v>
      </c>
      <c r="AO22" s="66">
        <v>348.32877557800003</v>
      </c>
      <c r="AP22" s="66">
        <v>287.12092659640001</v>
      </c>
      <c r="AQ22" s="66">
        <v>205.15796048560003</v>
      </c>
      <c r="AR22" s="66">
        <v>109.7817134137</v>
      </c>
      <c r="AS22" s="66">
        <v>122.62785335769999</v>
      </c>
      <c r="AT22" s="66">
        <v>134.80406665330003</v>
      </c>
      <c r="AU22" s="66">
        <v>121.4620864222</v>
      </c>
      <c r="AV22" s="66">
        <v>135.23592391689996</v>
      </c>
      <c r="AW22" s="66">
        <v>137.10077574670001</v>
      </c>
      <c r="AX22" s="66">
        <v>108.8159637892</v>
      </c>
      <c r="AY22" s="66">
        <v>102.74466910300004</v>
      </c>
      <c r="AZ22" s="66">
        <v>114.57897663490002</v>
      </c>
      <c r="BA22" s="66">
        <v>334.97606271069998</v>
      </c>
      <c r="BB22" s="66">
        <v>265.1917116043</v>
      </c>
      <c r="BC22" s="66">
        <v>234.50898104350003</v>
      </c>
      <c r="BD22" s="66">
        <v>150.71625056740001</v>
      </c>
      <c r="BE22" s="66">
        <v>85.005160059099993</v>
      </c>
      <c r="BF22" s="66">
        <v>89.556248128299984</v>
      </c>
      <c r="BG22" s="66">
        <v>125.83736190190001</v>
      </c>
      <c r="BH22" s="66">
        <v>116.55682135840001</v>
      </c>
      <c r="BI22" s="66">
        <v>145.3352970544</v>
      </c>
      <c r="BJ22" s="66">
        <v>132.15704581540001</v>
      </c>
      <c r="BK22" s="66">
        <v>96.989461810899996</v>
      </c>
      <c r="BL22" s="66">
        <v>99.013689535600008</v>
      </c>
      <c r="BM22" s="66">
        <v>387.81707124040003</v>
      </c>
      <c r="BN22" s="66">
        <v>258.02947822240003</v>
      </c>
      <c r="BO22" s="66">
        <v>278.81679326020003</v>
      </c>
      <c r="BP22" s="66">
        <v>184.40730903369999</v>
      </c>
      <c r="BQ22" s="66">
        <v>112.87909217830003</v>
      </c>
      <c r="BR22" s="66">
        <v>98.408684078200025</v>
      </c>
      <c r="BS22" s="66">
        <v>118.69899550120002</v>
      </c>
      <c r="BT22" s="66">
        <v>131.1407852527</v>
      </c>
      <c r="BU22" s="66">
        <v>154.00475281510001</v>
      </c>
      <c r="BV22" s="66">
        <v>134.0912094601</v>
      </c>
      <c r="BW22" s="66">
        <v>116.3221293766</v>
      </c>
      <c r="BX22" s="66">
        <v>265.74872041240002</v>
      </c>
      <c r="BY22" s="66">
        <v>259.18661401690002</v>
      </c>
      <c r="BZ22" s="66">
        <v>180.29487056080004</v>
      </c>
      <c r="CA22" s="66">
        <v>433.33920994240003</v>
      </c>
      <c r="CB22" s="66">
        <v>200.75667900279998</v>
      </c>
      <c r="CC22" s="66">
        <v>166.8507051256</v>
      </c>
      <c r="CD22" s="66">
        <v>151.30913490070003</v>
      </c>
      <c r="CE22" s="66">
        <v>150.6004806979</v>
      </c>
      <c r="CF22" s="66">
        <v>163.87615125010001</v>
      </c>
      <c r="CG22" s="66">
        <v>142.62909661060002</v>
      </c>
      <c r="CH22" s="66">
        <v>103.76738425810001</v>
      </c>
      <c r="CI22" s="66">
        <v>110.99694053979999</v>
      </c>
      <c r="CJ22" s="66">
        <v>138.44535740770002</v>
      </c>
      <c r="CK22" s="66">
        <v>365.28161240979995</v>
      </c>
      <c r="CL22" s="66">
        <v>271.01015138590003</v>
      </c>
      <c r="CM22" s="66">
        <v>189.81820885329998</v>
      </c>
      <c r="CN22" s="66">
        <v>170.3746874158</v>
      </c>
      <c r="CO22" s="66">
        <v>127.8687572263</v>
      </c>
      <c r="CP22" s="66">
        <v>142.24407266860001</v>
      </c>
      <c r="CQ22" s="66">
        <v>156.70753832920002</v>
      </c>
      <c r="CR22" s="66">
        <v>154.10070858700001</v>
      </c>
      <c r="CS22" s="66">
        <v>122.36460355720001</v>
      </c>
      <c r="CT22" s="66">
        <v>115.04220621969999</v>
      </c>
      <c r="CU22" s="66">
        <v>111.53244654880001</v>
      </c>
      <c r="CV22" s="66">
        <v>134.15023895920001</v>
      </c>
      <c r="CW22" s="66">
        <v>223.23727379799996</v>
      </c>
      <c r="CX22" s="66">
        <v>212.105728777</v>
      </c>
      <c r="CY22" s="66">
        <v>220.61745981760001</v>
      </c>
      <c r="CZ22" s="66">
        <v>175.77856974249997</v>
      </c>
      <c r="DA22" s="66">
        <v>108.8403936709</v>
      </c>
      <c r="DB22" s="66">
        <v>123.45404118490001</v>
      </c>
      <c r="DC22" s="66">
        <v>142.32730688919997</v>
      </c>
      <c r="DD22" s="66">
        <v>140.78368361139999</v>
      </c>
      <c r="DE22" s="66">
        <v>163.28116542160004</v>
      </c>
      <c r="DF22" s="66">
        <v>142.25412982419996</v>
      </c>
      <c r="DG22" s="66">
        <v>154.89210916330001</v>
      </c>
      <c r="DH22" s="66">
        <v>252.08712527739999</v>
      </c>
      <c r="DI22" s="66">
        <v>419.62106207050005</v>
      </c>
      <c r="DJ22" s="66">
        <v>313.22768888590002</v>
      </c>
      <c r="DK22" s="66">
        <v>351.55033019290005</v>
      </c>
      <c r="DL22" s="66">
        <v>324.08097342640002</v>
      </c>
      <c r="DM22" s="66">
        <v>314.65569240100001</v>
      </c>
      <c r="DN22" s="66">
        <v>287.25801163150004</v>
      </c>
      <c r="DO22" s="66">
        <v>356.39727876490002</v>
      </c>
      <c r="DP22" s="79"/>
      <c r="DQ22" s="80"/>
      <c r="DR22" s="81"/>
      <c r="DS22" s="84">
        <f t="shared" si="3"/>
        <v>2006</v>
      </c>
      <c r="DT22" s="80"/>
      <c r="DU22" s="83">
        <f t="shared" si="6"/>
        <v>1299.3281167692001</v>
      </c>
      <c r="DV22" s="83">
        <f t="shared" si="6"/>
        <v>2070.1158396597002</v>
      </c>
      <c r="DW22" s="83">
        <f t="shared" si="6"/>
        <v>2018.4238986839998</v>
      </c>
      <c r="DX22" s="83">
        <f t="shared" si="6"/>
        <v>1954.7189480309999</v>
      </c>
      <c r="DY22" s="83">
        <f t="shared" si="6"/>
        <v>1891.4093786891997</v>
      </c>
      <c r="DZ22" s="83">
        <f t="shared" si="6"/>
        <v>2073.6299899544997</v>
      </c>
      <c r="EA22" s="83">
        <f t="shared" si="6"/>
        <v>2329.3559873180998</v>
      </c>
      <c r="EB22" s="83">
        <f t="shared" si="6"/>
        <v>2064.7903506093003</v>
      </c>
      <c r="EC22" s="83">
        <f t="shared" si="6"/>
        <v>1941.7221008597999</v>
      </c>
      <c r="ED22" s="83">
        <f t="shared" si="6"/>
        <v>2618.8781626505006</v>
      </c>
    </row>
    <row r="23" spans="2:134" x14ac:dyDescent="0.3">
      <c r="B23" s="45">
        <f t="shared" si="5"/>
        <v>1000000019</v>
      </c>
      <c r="C23" s="46">
        <v>38899</v>
      </c>
      <c r="D23" s="66">
        <v>75.261577564299998</v>
      </c>
      <c r="E23" s="66">
        <v>83.721334125400006</v>
      </c>
      <c r="F23" s="66">
        <v>93.435533214100019</v>
      </c>
      <c r="G23" s="66">
        <v>82.622289662500009</v>
      </c>
      <c r="H23" s="66">
        <v>49.953308397400008</v>
      </c>
      <c r="I23" s="66">
        <v>58.541969173000012</v>
      </c>
      <c r="J23" s="66">
        <v>70.672662581500006</v>
      </c>
      <c r="K23" s="66">
        <v>81.84837652840001</v>
      </c>
      <c r="L23" s="66">
        <v>76.9839405142</v>
      </c>
      <c r="M23" s="66">
        <v>86.8511359588</v>
      </c>
      <c r="N23" s="66">
        <v>76.1491965994</v>
      </c>
      <c r="O23" s="66">
        <v>62.65039228900001</v>
      </c>
      <c r="P23" s="66">
        <v>96.820479080799984</v>
      </c>
      <c r="Q23" s="66">
        <v>240.00705538720001</v>
      </c>
      <c r="R23" s="66">
        <v>117.42357554830002</v>
      </c>
      <c r="S23" s="66">
        <v>103.61221135360002</v>
      </c>
      <c r="T23" s="66">
        <v>80.729442914499998</v>
      </c>
      <c r="U23" s="66">
        <v>87.225051997599991</v>
      </c>
      <c r="V23" s="66">
        <v>92.479765691799997</v>
      </c>
      <c r="W23" s="66">
        <v>101.14817070489998</v>
      </c>
      <c r="X23" s="66">
        <v>90.60692067490001</v>
      </c>
      <c r="Y23" s="66">
        <v>107.61664798389999</v>
      </c>
      <c r="Z23" s="66">
        <v>111.2365109926</v>
      </c>
      <c r="AA23" s="66">
        <v>92.211112046500006</v>
      </c>
      <c r="AB23" s="66">
        <v>115.8232494268</v>
      </c>
      <c r="AC23" s="66">
        <v>152.32757201200002</v>
      </c>
      <c r="AD23" s="66">
        <v>121.04921766880003</v>
      </c>
      <c r="AE23" s="66">
        <v>131.52160620429999</v>
      </c>
      <c r="AF23" s="66">
        <v>113.92240949169999</v>
      </c>
      <c r="AG23" s="66">
        <v>100.2728979541</v>
      </c>
      <c r="AH23" s="66">
        <v>125.2960392544</v>
      </c>
      <c r="AI23" s="66">
        <v>119.22898508529998</v>
      </c>
      <c r="AJ23" s="66">
        <v>116.31308544190004</v>
      </c>
      <c r="AK23" s="66">
        <v>128.21846854360001</v>
      </c>
      <c r="AL23" s="66">
        <v>123.92807845930002</v>
      </c>
      <c r="AM23" s="66">
        <v>126.50627532940001</v>
      </c>
      <c r="AN23" s="66">
        <v>124.48861477720001</v>
      </c>
      <c r="AO23" s="66">
        <v>136.40957145940001</v>
      </c>
      <c r="AP23" s="66">
        <v>145.44648866650002</v>
      </c>
      <c r="AQ23" s="66">
        <v>145.6021494181</v>
      </c>
      <c r="AR23" s="66">
        <v>122.13756702220002</v>
      </c>
      <c r="AS23" s="66">
        <v>131.5230322189</v>
      </c>
      <c r="AT23" s="66">
        <v>138.16124276200003</v>
      </c>
      <c r="AU23" s="66">
        <v>125.06314855419998</v>
      </c>
      <c r="AV23" s="66">
        <v>137.64600117100002</v>
      </c>
      <c r="AW23" s="66">
        <v>147.55361287149998</v>
      </c>
      <c r="AX23" s="66">
        <v>143.7061129006</v>
      </c>
      <c r="AY23" s="66">
        <v>130.47509912140001</v>
      </c>
      <c r="AZ23" s="66">
        <v>137.1896389723</v>
      </c>
      <c r="BA23" s="66">
        <v>150.84766907080001</v>
      </c>
      <c r="BB23" s="66">
        <v>172.3871317567</v>
      </c>
      <c r="BC23" s="66">
        <v>242.61152094730002</v>
      </c>
      <c r="BD23" s="66">
        <v>223.6284896455</v>
      </c>
      <c r="BE23" s="66">
        <v>124.8262424971</v>
      </c>
      <c r="BF23" s="66">
        <v>113.45298800139999</v>
      </c>
      <c r="BG23" s="66">
        <v>124.69332292570004</v>
      </c>
      <c r="BH23" s="66">
        <v>132.30625197460003</v>
      </c>
      <c r="BI23" s="66">
        <v>162.3967736827</v>
      </c>
      <c r="BJ23" s="66">
        <v>170.59226722240004</v>
      </c>
      <c r="BK23" s="66">
        <v>131.51203689580001</v>
      </c>
      <c r="BL23" s="66">
        <v>135.83053447840004</v>
      </c>
      <c r="BM23" s="66">
        <v>163.2364711219</v>
      </c>
      <c r="BN23" s="66">
        <v>195.69023676249998</v>
      </c>
      <c r="BO23" s="66">
        <v>235.14370764730003</v>
      </c>
      <c r="BP23" s="66">
        <v>203.11617026529996</v>
      </c>
      <c r="BQ23" s="66">
        <v>186.75250262350005</v>
      </c>
      <c r="BR23" s="66">
        <v>194.5196288827</v>
      </c>
      <c r="BS23" s="66">
        <v>184.75120371250003</v>
      </c>
      <c r="BT23" s="66">
        <v>183.52235439429998</v>
      </c>
      <c r="BU23" s="66">
        <v>198.35478256930003</v>
      </c>
      <c r="BV23" s="66">
        <v>190.19790400390005</v>
      </c>
      <c r="BW23" s="66">
        <v>164.28200251059999</v>
      </c>
      <c r="BX23" s="66">
        <v>182.86589983120004</v>
      </c>
      <c r="BY23" s="66">
        <v>191.58695480439999</v>
      </c>
      <c r="BZ23" s="66">
        <v>197.27341318210003</v>
      </c>
      <c r="CA23" s="66">
        <v>186.32421039639996</v>
      </c>
      <c r="CB23" s="66">
        <v>186.84493088560004</v>
      </c>
      <c r="CC23" s="66">
        <v>169.0367855074</v>
      </c>
      <c r="CD23" s="66">
        <v>231.09968034850002</v>
      </c>
      <c r="CE23" s="66">
        <v>174.22308802750001</v>
      </c>
      <c r="CF23" s="66">
        <v>171.16256048230002</v>
      </c>
      <c r="CG23" s="66">
        <v>180.54614934399996</v>
      </c>
      <c r="CH23" s="66">
        <v>182.48361533830004</v>
      </c>
      <c r="CI23" s="66">
        <v>151.88625802000001</v>
      </c>
      <c r="CJ23" s="66">
        <v>163.1573648383</v>
      </c>
      <c r="CK23" s="66">
        <v>181.76891933680002</v>
      </c>
      <c r="CL23" s="66">
        <v>209.59856995000001</v>
      </c>
      <c r="CM23" s="66">
        <v>240.16909567779999</v>
      </c>
      <c r="CN23" s="66">
        <v>244.53228756009997</v>
      </c>
      <c r="CO23" s="66">
        <v>195.18396405280006</v>
      </c>
      <c r="CP23" s="66">
        <v>187.79090393919998</v>
      </c>
      <c r="CQ23" s="66">
        <v>187.17910614909999</v>
      </c>
      <c r="CR23" s="66">
        <v>229.70184830020003</v>
      </c>
      <c r="CS23" s="66">
        <v>200.01248701510002</v>
      </c>
      <c r="CT23" s="66">
        <v>191.18001526960001</v>
      </c>
      <c r="CU23" s="66">
        <v>159.09168463360001</v>
      </c>
      <c r="CV23" s="66">
        <v>188.73777763360002</v>
      </c>
      <c r="CW23" s="66">
        <v>207.5885648446</v>
      </c>
      <c r="CX23" s="66">
        <v>208.16174766040001</v>
      </c>
      <c r="CY23" s="66">
        <v>248.20281161380007</v>
      </c>
      <c r="CZ23" s="66">
        <v>219.18686696020001</v>
      </c>
      <c r="DA23" s="66">
        <v>171.27176317930002</v>
      </c>
      <c r="DB23" s="66">
        <v>189.75047315980001</v>
      </c>
      <c r="DC23" s="66">
        <v>183.0429883285</v>
      </c>
      <c r="DD23" s="66">
        <v>204.9657112015</v>
      </c>
      <c r="DE23" s="66">
        <v>213.0720037753</v>
      </c>
      <c r="DF23" s="66">
        <v>254.11037730790002</v>
      </c>
      <c r="DG23" s="66">
        <v>250.5216239335</v>
      </c>
      <c r="DH23" s="66">
        <v>249.96206330980004</v>
      </c>
      <c r="DI23" s="66">
        <v>287.81498291289995</v>
      </c>
      <c r="DJ23" s="66">
        <v>309.42931136529995</v>
      </c>
      <c r="DK23" s="66">
        <v>327.91241196970003</v>
      </c>
      <c r="DL23" s="66">
        <v>230.64620770570008</v>
      </c>
      <c r="DM23" s="66">
        <v>209.14719880240003</v>
      </c>
      <c r="DN23" s="66">
        <v>228.3639463918</v>
      </c>
      <c r="DO23" s="66">
        <v>231.02691607720001</v>
      </c>
      <c r="DP23" s="79"/>
      <c r="DQ23" s="80"/>
      <c r="DR23" s="81"/>
      <c r="DS23" s="84">
        <f t="shared" si="3"/>
        <v>2006</v>
      </c>
      <c r="DT23" s="80"/>
      <c r="DU23" s="83">
        <f t="shared" si="6"/>
        <v>898.69171660800009</v>
      </c>
      <c r="DV23" s="83">
        <f t="shared" si="6"/>
        <v>1321.1169443766</v>
      </c>
      <c r="DW23" s="83">
        <f t="shared" si="6"/>
        <v>1474.4078848715999</v>
      </c>
      <c r="DX23" s="83">
        <f t="shared" si="6"/>
        <v>1628.2126409430002</v>
      </c>
      <c r="DY23" s="83">
        <f t="shared" si="6"/>
        <v>1886.4443335922999</v>
      </c>
      <c r="DZ23" s="83">
        <f t="shared" si="6"/>
        <v>2235.3974989722001</v>
      </c>
      <c r="EA23" s="83">
        <f t="shared" si="6"/>
        <v>2205.3335461676998</v>
      </c>
      <c r="EB23" s="83">
        <f t="shared" si="6"/>
        <v>2389.3662467226004</v>
      </c>
      <c r="EC23" s="83">
        <f t="shared" si="6"/>
        <v>2538.6127095984002</v>
      </c>
      <c r="ED23" s="83">
        <f t="shared" si="6"/>
        <v>2074.3030385348002</v>
      </c>
    </row>
    <row r="24" spans="2:134" x14ac:dyDescent="0.3">
      <c r="B24" s="45">
        <f t="shared" si="5"/>
        <v>1000000020</v>
      </c>
      <c r="C24" s="46">
        <v>38899</v>
      </c>
      <c r="D24" s="66">
        <v>77.959709767599989</v>
      </c>
      <c r="E24" s="66">
        <v>184.69847869899999</v>
      </c>
      <c r="F24" s="66">
        <v>149.69391067930002</v>
      </c>
      <c r="G24" s="66">
        <v>162.23507113240001</v>
      </c>
      <c r="H24" s="66">
        <v>92.047157894200012</v>
      </c>
      <c r="I24" s="66">
        <v>89.647438009300004</v>
      </c>
      <c r="J24" s="66">
        <v>106.2093592072</v>
      </c>
      <c r="K24" s="66">
        <v>122.07005648889998</v>
      </c>
      <c r="L24" s="66">
        <v>104.93757934420002</v>
      </c>
      <c r="M24" s="66">
        <v>90.709293512500011</v>
      </c>
      <c r="N24" s="66">
        <v>98.204876570500005</v>
      </c>
      <c r="O24" s="66">
        <v>95.159697445600003</v>
      </c>
      <c r="P24" s="66">
        <v>141.40129804</v>
      </c>
      <c r="Q24" s="66">
        <v>947.11846049680003</v>
      </c>
      <c r="R24" s="66">
        <v>289.91242522930003</v>
      </c>
      <c r="S24" s="66">
        <v>249.7262830537</v>
      </c>
      <c r="T24" s="66">
        <v>114.2399229004</v>
      </c>
      <c r="U24" s="66">
        <v>101.0311249276</v>
      </c>
      <c r="V24" s="66">
        <v>108.70672356550001</v>
      </c>
      <c r="W24" s="66">
        <v>128.35964398899998</v>
      </c>
      <c r="X24" s="66">
        <v>149.32389741730003</v>
      </c>
      <c r="Y24" s="66">
        <v>148.74204593380003</v>
      </c>
      <c r="Z24" s="66">
        <v>113.18861239990001</v>
      </c>
      <c r="AA24" s="66">
        <v>92.99969812030001</v>
      </c>
      <c r="AB24" s="66">
        <v>143.81970622149998</v>
      </c>
      <c r="AC24" s="66">
        <v>623.11090625500003</v>
      </c>
      <c r="AD24" s="66">
        <v>388.83584609200005</v>
      </c>
      <c r="AE24" s="66">
        <v>252.05822971840001</v>
      </c>
      <c r="AF24" s="66">
        <v>161.07170590570004</v>
      </c>
      <c r="AG24" s="66">
        <v>110.70261863170001</v>
      </c>
      <c r="AH24" s="66">
        <v>132.43785811149996</v>
      </c>
      <c r="AI24" s="66">
        <v>122.04769057570002</v>
      </c>
      <c r="AJ24" s="66">
        <v>145.26898737549999</v>
      </c>
      <c r="AK24" s="66">
        <v>142.93227481990002</v>
      </c>
      <c r="AL24" s="66">
        <v>132.11370247689999</v>
      </c>
      <c r="AM24" s="66">
        <v>129.34978596850002</v>
      </c>
      <c r="AN24" s="66">
        <v>130.79955496960002</v>
      </c>
      <c r="AO24" s="66">
        <v>510.69183332470004</v>
      </c>
      <c r="AP24" s="66">
        <v>446.86743518560002</v>
      </c>
      <c r="AQ24" s="66">
        <v>271.29160163590007</v>
      </c>
      <c r="AR24" s="66">
        <v>181.17806144530002</v>
      </c>
      <c r="AS24" s="66">
        <v>160.2272050489</v>
      </c>
      <c r="AT24" s="66">
        <v>142.95760534240003</v>
      </c>
      <c r="AU24" s="66">
        <v>128.04378175510004</v>
      </c>
      <c r="AV24" s="66">
        <v>176.06805070629997</v>
      </c>
      <c r="AW24" s="66">
        <v>170.89473242440002</v>
      </c>
      <c r="AX24" s="66">
        <v>153.3489737326</v>
      </c>
      <c r="AY24" s="66">
        <v>121.94381667010001</v>
      </c>
      <c r="AZ24" s="66">
        <v>134.14314641290002</v>
      </c>
      <c r="BA24" s="66">
        <v>528.13983496299988</v>
      </c>
      <c r="BB24" s="66">
        <v>330.64026531940004</v>
      </c>
      <c r="BC24" s="66">
        <v>208.35399694450001</v>
      </c>
      <c r="BD24" s="66">
        <v>267.92087838849994</v>
      </c>
      <c r="BE24" s="66">
        <v>160.81858831420001</v>
      </c>
      <c r="BF24" s="66">
        <v>154.02010123540003</v>
      </c>
      <c r="BG24" s="66">
        <v>136.07948660620002</v>
      </c>
      <c r="BH24" s="66">
        <v>161.2050757975</v>
      </c>
      <c r="BI24" s="66">
        <v>210.18383636320002</v>
      </c>
      <c r="BJ24" s="66">
        <v>183.9047514673</v>
      </c>
      <c r="BK24" s="66">
        <v>124.70626963719999</v>
      </c>
      <c r="BL24" s="66">
        <v>153.69147992350003</v>
      </c>
      <c r="BM24" s="66">
        <v>574.49379049720017</v>
      </c>
      <c r="BN24" s="66">
        <v>357.8801838421</v>
      </c>
      <c r="BO24" s="66">
        <v>256.76021264830001</v>
      </c>
      <c r="BP24" s="66">
        <v>181.26714983110003</v>
      </c>
      <c r="BQ24" s="66">
        <v>167.50472045320001</v>
      </c>
      <c r="BR24" s="66">
        <v>176.53488285430001</v>
      </c>
      <c r="BS24" s="66">
        <v>188.36487481570001</v>
      </c>
      <c r="BT24" s="66">
        <v>173.79183119110002</v>
      </c>
      <c r="BU24" s="66">
        <v>157.04115069220003</v>
      </c>
      <c r="BV24" s="66">
        <v>168.14102317840002</v>
      </c>
      <c r="BW24" s="66">
        <v>174.79589557629998</v>
      </c>
      <c r="BX24" s="66">
        <v>251.2598116492</v>
      </c>
      <c r="BY24" s="66">
        <v>345.30592483959998</v>
      </c>
      <c r="BZ24" s="66">
        <v>243.36693341830002</v>
      </c>
      <c r="CA24" s="66">
        <v>195.46548935619998</v>
      </c>
      <c r="CB24" s="66">
        <v>177.86396598820002</v>
      </c>
      <c r="CC24" s="66">
        <v>211.93993581640001</v>
      </c>
      <c r="CD24" s="66">
        <v>192.68806323580003</v>
      </c>
      <c r="CE24" s="66">
        <v>210.08491598200001</v>
      </c>
      <c r="CF24" s="66">
        <v>177.13463457370003</v>
      </c>
      <c r="CG24" s="66">
        <v>171.57460364830001</v>
      </c>
      <c r="CH24" s="66">
        <v>163.44185475099999</v>
      </c>
      <c r="CI24" s="66">
        <v>133.09964146600001</v>
      </c>
      <c r="CJ24" s="66">
        <v>156.60028702059998</v>
      </c>
      <c r="CK24" s="66">
        <v>344.84671061170002</v>
      </c>
      <c r="CL24" s="66">
        <v>491.85718259470002</v>
      </c>
      <c r="CM24" s="66">
        <v>256.9174495213</v>
      </c>
      <c r="CN24" s="66">
        <v>182.00507485990005</v>
      </c>
      <c r="CO24" s="66">
        <v>154.56558934660001</v>
      </c>
      <c r="CP24" s="66">
        <v>186.03709361470004</v>
      </c>
      <c r="CQ24" s="66">
        <v>197.74542401470001</v>
      </c>
      <c r="CR24" s="66">
        <v>173.61136529080005</v>
      </c>
      <c r="CS24" s="66">
        <v>200.82156266710001</v>
      </c>
      <c r="CT24" s="66">
        <v>162.34810155280002</v>
      </c>
      <c r="CU24" s="66">
        <v>155.57051684590002</v>
      </c>
      <c r="CV24" s="66">
        <v>224.2956768448</v>
      </c>
      <c r="CW24" s="66">
        <v>466.98812592460001</v>
      </c>
      <c r="CX24" s="66">
        <v>368.3453297245</v>
      </c>
      <c r="CY24" s="66">
        <v>293.39464030239998</v>
      </c>
      <c r="CZ24" s="66">
        <v>145.39639052200002</v>
      </c>
      <c r="DA24" s="66">
        <v>140.559949426</v>
      </c>
      <c r="DB24" s="66">
        <v>165.21915678970004</v>
      </c>
      <c r="DC24" s="66">
        <v>198.04909007110001</v>
      </c>
      <c r="DD24" s="66">
        <v>226.71487308700003</v>
      </c>
      <c r="DE24" s="66">
        <v>192.07172471500002</v>
      </c>
      <c r="DF24" s="66">
        <v>192.49420030360002</v>
      </c>
      <c r="DG24" s="66">
        <v>155.22369508450001</v>
      </c>
      <c r="DH24" s="66">
        <v>300.3634985992</v>
      </c>
      <c r="DI24" s="66">
        <v>458.4583070146</v>
      </c>
      <c r="DJ24" s="66">
        <v>354.97175201200002</v>
      </c>
      <c r="DK24" s="66">
        <v>320.18982990339998</v>
      </c>
      <c r="DL24" s="66">
        <v>178.14132582789998</v>
      </c>
      <c r="DM24" s="66">
        <v>152.73841432360001</v>
      </c>
      <c r="DN24" s="66">
        <v>162.39437197390001</v>
      </c>
      <c r="DO24" s="66">
        <v>212.20408625770003</v>
      </c>
      <c r="DP24" s="79"/>
      <c r="DQ24" s="80"/>
      <c r="DR24" s="81"/>
      <c r="DS24" s="84">
        <f t="shared" si="3"/>
        <v>2006</v>
      </c>
      <c r="DT24" s="80"/>
      <c r="DU24" s="83">
        <f t="shared" si="6"/>
        <v>1373.5726287506998</v>
      </c>
      <c r="DV24" s="83">
        <f t="shared" si="6"/>
        <v>2584.7501360736001</v>
      </c>
      <c r="DW24" s="83">
        <f t="shared" si="6"/>
        <v>2483.7493121523003</v>
      </c>
      <c r="DX24" s="83">
        <f t="shared" si="6"/>
        <v>2594.3126522409007</v>
      </c>
      <c r="DY24" s="83">
        <f t="shared" si="6"/>
        <v>2600.1162314492999</v>
      </c>
      <c r="DZ24" s="83">
        <f t="shared" si="6"/>
        <v>2730.2671955034007</v>
      </c>
      <c r="EA24" s="83">
        <f t="shared" si="6"/>
        <v>2473.2257747246999</v>
      </c>
      <c r="EB24" s="83">
        <f t="shared" si="6"/>
        <v>2662.9263579408002</v>
      </c>
      <c r="EC24" s="83">
        <f t="shared" si="6"/>
        <v>2768.7528527951999</v>
      </c>
      <c r="ED24" s="83">
        <f t="shared" si="6"/>
        <v>2139.4615859123001</v>
      </c>
    </row>
    <row r="25" spans="2:134" x14ac:dyDescent="0.3">
      <c r="B25" s="45">
        <f t="shared" si="5"/>
        <v>1000000021</v>
      </c>
      <c r="C25" s="46">
        <v>41061</v>
      </c>
      <c r="D25" s="66">
        <v>49.904711320900006</v>
      </c>
      <c r="E25" s="66">
        <v>168.331959028</v>
      </c>
      <c r="F25" s="66">
        <v>100.66156198600001</v>
      </c>
      <c r="G25" s="66">
        <v>69.706687796799997</v>
      </c>
      <c r="H25" s="66">
        <v>55.065232998100008</v>
      </c>
      <c r="I25" s="66">
        <v>48.423569998600001</v>
      </c>
      <c r="J25" s="66">
        <v>61.201936722400006</v>
      </c>
      <c r="K25" s="66">
        <v>61.284945782800008</v>
      </c>
      <c r="L25" s="66">
        <v>75.756066890199989</v>
      </c>
      <c r="M25" s="66">
        <v>69.816340814200004</v>
      </c>
      <c r="N25" s="66">
        <v>65.949251905900013</v>
      </c>
      <c r="O25" s="66">
        <v>61.241564917600002</v>
      </c>
      <c r="P25" s="66">
        <v>82.676628324099994</v>
      </c>
      <c r="Q25" s="66">
        <v>446.00664774099994</v>
      </c>
      <c r="R25" s="66">
        <v>120.40679809150001</v>
      </c>
      <c r="S25" s="66">
        <v>107.1631753411</v>
      </c>
      <c r="T25" s="66">
        <v>72.933721309900008</v>
      </c>
      <c r="U25" s="66">
        <v>78.775240011999998</v>
      </c>
      <c r="V25" s="66">
        <v>91.228738093899992</v>
      </c>
      <c r="W25" s="66">
        <v>74.026536340599989</v>
      </c>
      <c r="X25" s="66">
        <v>77.951641527099994</v>
      </c>
      <c r="Y25" s="66">
        <v>83.031856066300023</v>
      </c>
      <c r="Z25" s="66">
        <v>88.101112809100016</v>
      </c>
      <c r="AA25" s="66">
        <v>76.003818163600016</v>
      </c>
      <c r="AB25" s="66">
        <v>96.3639667753</v>
      </c>
      <c r="AC25" s="66">
        <v>273.21338146959999</v>
      </c>
      <c r="AD25" s="66">
        <v>156.13990946500002</v>
      </c>
      <c r="AE25" s="66">
        <v>128.94033214480004</v>
      </c>
      <c r="AF25" s="66">
        <v>80.246624392300021</v>
      </c>
      <c r="AG25" s="66">
        <v>84.383267586700015</v>
      </c>
      <c r="AH25" s="66">
        <v>99.221700033700017</v>
      </c>
      <c r="AI25" s="66">
        <v>96.173743933000011</v>
      </c>
      <c r="AJ25" s="66">
        <v>107.5490999239</v>
      </c>
      <c r="AK25" s="66">
        <v>119.58698980330003</v>
      </c>
      <c r="AL25" s="66">
        <v>107.0826430429</v>
      </c>
      <c r="AM25" s="66">
        <v>98.096724621099995</v>
      </c>
      <c r="AN25" s="66">
        <v>130.95003703659998</v>
      </c>
      <c r="AO25" s="66">
        <v>267.15011749720009</v>
      </c>
      <c r="AP25" s="66">
        <v>236.84351705050005</v>
      </c>
      <c r="AQ25" s="66">
        <v>181.1984009167</v>
      </c>
      <c r="AR25" s="66">
        <v>117.34019122090002</v>
      </c>
      <c r="AS25" s="66">
        <v>103.04011681210001</v>
      </c>
      <c r="AT25" s="66">
        <v>116.58436595619999</v>
      </c>
      <c r="AU25" s="66">
        <v>114.27767476060002</v>
      </c>
      <c r="AV25" s="66">
        <v>118.2118989352</v>
      </c>
      <c r="AW25" s="66">
        <v>155.71064154370001</v>
      </c>
      <c r="AX25" s="66">
        <v>120.10410772930001</v>
      </c>
      <c r="AY25" s="66">
        <v>123.48391243810002</v>
      </c>
      <c r="AZ25" s="66">
        <v>138.35919610450003</v>
      </c>
      <c r="BA25" s="66">
        <v>326.20269551770014</v>
      </c>
      <c r="BB25" s="66">
        <v>215.33636485330004</v>
      </c>
      <c r="BC25" s="66">
        <v>225.3252969127</v>
      </c>
      <c r="BD25" s="66">
        <v>198.89625532360003</v>
      </c>
      <c r="BE25" s="66">
        <v>134.66701914490002</v>
      </c>
      <c r="BF25" s="66">
        <v>121.28330922340004</v>
      </c>
      <c r="BG25" s="66">
        <v>133.59225445690001</v>
      </c>
      <c r="BH25" s="66">
        <v>112.94269993479998</v>
      </c>
      <c r="BI25" s="66">
        <v>156.99878304789999</v>
      </c>
      <c r="BJ25" s="66">
        <v>143.99743267269997</v>
      </c>
      <c r="BK25" s="66">
        <v>118.1267508529</v>
      </c>
      <c r="BL25" s="66">
        <v>155.9348260495</v>
      </c>
      <c r="BM25" s="66">
        <v>363.21618036850009</v>
      </c>
      <c r="BN25" s="66">
        <v>226.7968689265</v>
      </c>
      <c r="BO25" s="66">
        <v>234.0493540219</v>
      </c>
      <c r="BP25" s="66">
        <v>173.432588092</v>
      </c>
      <c r="BQ25" s="66">
        <v>131.00111087529999</v>
      </c>
      <c r="BR25" s="66">
        <v>152.89568872330003</v>
      </c>
      <c r="BS25" s="66">
        <v>135.52814432980003</v>
      </c>
      <c r="BT25" s="66">
        <v>153.42710432199999</v>
      </c>
      <c r="BU25" s="66">
        <v>191.86330142320003</v>
      </c>
      <c r="BV25" s="66">
        <v>165.2131525177</v>
      </c>
      <c r="BW25" s="66">
        <v>141.9530531101</v>
      </c>
      <c r="BX25" s="66">
        <v>231.76855624929999</v>
      </c>
      <c r="BY25" s="66">
        <v>321.20001114069998</v>
      </c>
      <c r="BZ25" s="66">
        <v>248.02921309960004</v>
      </c>
      <c r="CA25" s="66">
        <v>226.35626794180001</v>
      </c>
      <c r="CB25" s="66">
        <v>237.20437379769999</v>
      </c>
      <c r="CC25" s="66">
        <v>260.34859075570006</v>
      </c>
      <c r="CD25" s="66">
        <v>226.01965344280001</v>
      </c>
      <c r="CE25" s="66">
        <v>226.11909919779998</v>
      </c>
      <c r="CF25" s="66">
        <v>181.5224439712</v>
      </c>
      <c r="CG25" s="66">
        <v>232.44332384199998</v>
      </c>
      <c r="CH25" s="66">
        <v>221.1727423975</v>
      </c>
      <c r="CI25" s="66">
        <v>189.3837247207</v>
      </c>
      <c r="CJ25" s="66">
        <v>204.71634628000001</v>
      </c>
      <c r="CK25" s="66">
        <v>413.47366323669991</v>
      </c>
      <c r="CL25" s="66">
        <v>330.28635101170005</v>
      </c>
      <c r="CM25" s="66">
        <v>305.44705301470003</v>
      </c>
      <c r="CN25" s="66">
        <v>236.43830374390001</v>
      </c>
      <c r="CO25" s="66">
        <v>211.28449447419999</v>
      </c>
      <c r="CP25" s="66">
        <v>205.9815964972</v>
      </c>
      <c r="CQ25" s="66">
        <v>212.05105237509997</v>
      </c>
      <c r="CR25" s="66">
        <v>171.1567438438</v>
      </c>
      <c r="CS25" s="66">
        <v>202.11563338990001</v>
      </c>
      <c r="CT25" s="66">
        <v>234.8423682463</v>
      </c>
      <c r="CU25" s="66">
        <v>186.8080421395</v>
      </c>
      <c r="CV25" s="66">
        <v>222.42842330620002</v>
      </c>
      <c r="CW25" s="66">
        <v>310.87757929840006</v>
      </c>
      <c r="CX25" s="66">
        <v>287.78267242420009</v>
      </c>
      <c r="CY25" s="66">
        <v>284.46632536510003</v>
      </c>
      <c r="CZ25" s="66">
        <v>178.5714568633</v>
      </c>
      <c r="DA25" s="66">
        <v>161.57737818820004</v>
      </c>
      <c r="DB25" s="66">
        <v>184.17366779949995</v>
      </c>
      <c r="DC25" s="66">
        <v>189.71272129959999</v>
      </c>
      <c r="DD25" s="66">
        <v>182.1818631436</v>
      </c>
      <c r="DE25" s="66">
        <v>179.81190193180001</v>
      </c>
      <c r="DF25" s="66">
        <v>211.66148770240002</v>
      </c>
      <c r="DG25" s="66">
        <v>164.2523564176</v>
      </c>
      <c r="DH25" s="66">
        <v>274.22949192550004</v>
      </c>
      <c r="DI25" s="66">
        <v>357.59869606540002</v>
      </c>
      <c r="DJ25" s="66">
        <v>331.12409706250003</v>
      </c>
      <c r="DK25" s="66">
        <v>254.7354595498</v>
      </c>
      <c r="DL25" s="66">
        <v>216.17377316380004</v>
      </c>
      <c r="DM25" s="66">
        <v>223.95587257630004</v>
      </c>
      <c r="DN25" s="66">
        <v>231.11198910609997</v>
      </c>
      <c r="DO25" s="66">
        <v>229.74886925530001</v>
      </c>
      <c r="DP25" s="79"/>
      <c r="DQ25" s="80"/>
      <c r="DR25" s="81"/>
      <c r="DS25" s="84">
        <f t="shared" si="3"/>
        <v>2012</v>
      </c>
      <c r="DT25" s="80"/>
      <c r="DU25" s="83">
        <f t="shared" ref="DU25:ED34" si="7">+SUMIF($D$3:$DO$3,DU$4,$D25:$DO25)</f>
        <v>887.34383016150014</v>
      </c>
      <c r="DV25" s="83">
        <f t="shared" si="7"/>
        <v>1398.3059138202</v>
      </c>
      <c r="DW25" s="83">
        <f t="shared" si="7"/>
        <v>1446.9983831915999</v>
      </c>
      <c r="DX25" s="83">
        <f t="shared" si="7"/>
        <v>1784.8949818971003</v>
      </c>
      <c r="DY25" s="83">
        <f t="shared" si="7"/>
        <v>2025.7280580452998</v>
      </c>
      <c r="DZ25" s="83">
        <f t="shared" si="7"/>
        <v>2225.3113727598002</v>
      </c>
      <c r="EA25" s="83">
        <f t="shared" si="7"/>
        <v>2801.5680005568001</v>
      </c>
      <c r="EB25" s="83">
        <f t="shared" si="7"/>
        <v>2914.6016482529994</v>
      </c>
      <c r="EC25" s="83">
        <f t="shared" si="7"/>
        <v>2557.4978337398998</v>
      </c>
      <c r="ED25" s="83">
        <f t="shared" si="7"/>
        <v>2118.6782487046999</v>
      </c>
    </row>
    <row r="26" spans="2:134" x14ac:dyDescent="0.3">
      <c r="B26" s="45">
        <f t="shared" si="5"/>
        <v>1000000022</v>
      </c>
      <c r="C26" s="46">
        <v>42917</v>
      </c>
      <c r="D26" s="66">
        <v>-8</v>
      </c>
      <c r="E26" s="66">
        <v>-8</v>
      </c>
      <c r="F26" s="66">
        <v>-8</v>
      </c>
      <c r="G26" s="66">
        <v>-8</v>
      </c>
      <c r="H26" s="66">
        <v>-8</v>
      </c>
      <c r="I26" s="66">
        <v>-8</v>
      </c>
      <c r="J26" s="66">
        <v>-8</v>
      </c>
      <c r="K26" s="66">
        <v>-8</v>
      </c>
      <c r="L26" s="66">
        <v>-8</v>
      </c>
      <c r="M26" s="66">
        <v>-8</v>
      </c>
      <c r="N26" s="66">
        <v>-8</v>
      </c>
      <c r="O26" s="66">
        <v>-8</v>
      </c>
      <c r="P26" s="66">
        <v>-8</v>
      </c>
      <c r="Q26" s="66">
        <v>-8</v>
      </c>
      <c r="R26" s="66">
        <v>-8</v>
      </c>
      <c r="S26" s="66">
        <v>-8</v>
      </c>
      <c r="T26" s="66">
        <v>-8</v>
      </c>
      <c r="U26" s="66">
        <v>-8</v>
      </c>
      <c r="V26" s="66">
        <v>-8</v>
      </c>
      <c r="W26" s="66">
        <v>-8</v>
      </c>
      <c r="X26" s="66">
        <v>-8</v>
      </c>
      <c r="Y26" s="66">
        <v>-8</v>
      </c>
      <c r="Z26" s="66">
        <v>-8</v>
      </c>
      <c r="AA26" s="66">
        <v>-8</v>
      </c>
      <c r="AB26" s="66">
        <v>-8</v>
      </c>
      <c r="AC26" s="66">
        <v>-8</v>
      </c>
      <c r="AD26" s="66">
        <v>-8</v>
      </c>
      <c r="AE26" s="66">
        <v>-8</v>
      </c>
      <c r="AF26" s="66">
        <v>-8</v>
      </c>
      <c r="AG26" s="66">
        <v>-8</v>
      </c>
      <c r="AH26" s="66">
        <v>-8</v>
      </c>
      <c r="AI26" s="66">
        <v>-8</v>
      </c>
      <c r="AJ26" s="66">
        <v>-8</v>
      </c>
      <c r="AK26" s="66">
        <v>-8</v>
      </c>
      <c r="AL26" s="66">
        <v>-8</v>
      </c>
      <c r="AM26" s="66">
        <v>-8</v>
      </c>
      <c r="AN26" s="66">
        <v>-8</v>
      </c>
      <c r="AO26" s="66">
        <v>-8</v>
      </c>
      <c r="AP26" s="66">
        <v>-8</v>
      </c>
      <c r="AQ26" s="66">
        <v>-8</v>
      </c>
      <c r="AR26" s="66">
        <v>-8</v>
      </c>
      <c r="AS26" s="66">
        <v>-8</v>
      </c>
      <c r="AT26" s="66">
        <v>-7.9624733000000001</v>
      </c>
      <c r="AU26" s="66">
        <v>-5.3155275155000004</v>
      </c>
      <c r="AV26" s="66">
        <v>8.5239441774999989</v>
      </c>
      <c r="AW26" s="66">
        <v>20.034621448600003</v>
      </c>
      <c r="AX26" s="66">
        <v>26.147195504800003</v>
      </c>
      <c r="AY26" s="66">
        <v>19.243446032500003</v>
      </c>
      <c r="AZ26" s="66">
        <v>34.29154015240001</v>
      </c>
      <c r="BA26" s="66">
        <v>42.128315966800002</v>
      </c>
      <c r="BB26" s="66">
        <v>49.895029432300007</v>
      </c>
      <c r="BC26" s="66">
        <v>41.052463004499998</v>
      </c>
      <c r="BD26" s="66">
        <v>44.284262408499998</v>
      </c>
      <c r="BE26" s="66">
        <v>49.606824376300004</v>
      </c>
      <c r="BF26" s="66">
        <v>44.429378157400002</v>
      </c>
      <c r="BG26" s="66">
        <v>44.4641278816</v>
      </c>
      <c r="BH26" s="66">
        <v>53.379158367100004</v>
      </c>
      <c r="BI26" s="66">
        <v>49.383465457900002</v>
      </c>
      <c r="BJ26" s="66">
        <v>66.249578086</v>
      </c>
      <c r="BK26" s="66">
        <v>82.700495305299995</v>
      </c>
      <c r="BL26" s="66">
        <v>83.337210824200014</v>
      </c>
      <c r="BM26" s="66">
        <v>108.02069796280001</v>
      </c>
      <c r="BN26" s="66">
        <v>123.6561975178</v>
      </c>
      <c r="BO26" s="66">
        <v>118.70252301100001</v>
      </c>
      <c r="BP26" s="66">
        <v>90.613713007600012</v>
      </c>
      <c r="BQ26" s="66">
        <v>97.058098145200006</v>
      </c>
      <c r="BR26" s="66">
        <v>106.0456302151</v>
      </c>
      <c r="BS26" s="66">
        <v>116.67187822060001</v>
      </c>
      <c r="BT26" s="66">
        <v>136.92901604079998</v>
      </c>
      <c r="BU26" s="66">
        <v>174.36576454090002</v>
      </c>
      <c r="BV26" s="66">
        <v>170.71910746840001</v>
      </c>
      <c r="BW26" s="66">
        <v>137.1623945881</v>
      </c>
      <c r="BX26" s="66">
        <v>216.98611363870003</v>
      </c>
      <c r="BY26" s="66">
        <v>239.45856513999993</v>
      </c>
      <c r="BZ26" s="66">
        <v>224.53262042860001</v>
      </c>
      <c r="CA26" s="66">
        <v>220.42348430530001</v>
      </c>
      <c r="CB26" s="66">
        <v>144.29002835259999</v>
      </c>
      <c r="CC26" s="66">
        <v>222.64615321960005</v>
      </c>
      <c r="CD26" s="66">
        <v>230.9657100295</v>
      </c>
      <c r="CE26" s="66">
        <v>227.79875676310002</v>
      </c>
      <c r="CF26" s="66">
        <v>199.37884868559999</v>
      </c>
      <c r="CG26" s="66">
        <v>200.28661955859999</v>
      </c>
      <c r="CH26" s="66">
        <v>221.75313033970002</v>
      </c>
      <c r="CI26" s="66">
        <v>185.00889956140003</v>
      </c>
      <c r="CJ26" s="66">
        <v>241.93149961659998</v>
      </c>
      <c r="CK26" s="66">
        <v>228.86316408190004</v>
      </c>
      <c r="CL26" s="66">
        <v>211.94991791860002</v>
      </c>
      <c r="CM26" s="66">
        <v>267.77959036300001</v>
      </c>
      <c r="CN26" s="66">
        <v>245.47619664519999</v>
      </c>
      <c r="CO26" s="66">
        <v>205.09889345980002</v>
      </c>
      <c r="CP26" s="66">
        <v>223.91691986170002</v>
      </c>
      <c r="CQ26" s="66">
        <v>220.25930499280003</v>
      </c>
      <c r="CR26" s="66">
        <v>315.7971795616001</v>
      </c>
      <c r="CS26" s="66">
        <v>285.23085682420003</v>
      </c>
      <c r="CT26" s="66">
        <v>162.43565134389999</v>
      </c>
      <c r="CU26" s="66">
        <v>226.65603122140001</v>
      </c>
      <c r="CV26" s="66">
        <v>218.49765158800002</v>
      </c>
      <c r="CW26" s="66">
        <v>241.91990386629999</v>
      </c>
      <c r="CX26" s="66">
        <v>243.0989177269</v>
      </c>
      <c r="CY26" s="66">
        <v>303.49378827970003</v>
      </c>
      <c r="CZ26" s="66">
        <v>259.58687379909998</v>
      </c>
      <c r="DA26" s="66">
        <v>233.40479542270003</v>
      </c>
      <c r="DB26" s="66">
        <v>223.94795444260001</v>
      </c>
      <c r="DC26" s="66">
        <v>237.81823555629998</v>
      </c>
      <c r="DD26" s="66">
        <v>197.88704978049998</v>
      </c>
      <c r="DE26" s="66">
        <v>215.15845076860001</v>
      </c>
      <c r="DF26" s="66">
        <v>247.66813119219995</v>
      </c>
      <c r="DG26" s="66">
        <v>204.85617076420002</v>
      </c>
      <c r="DH26" s="66">
        <v>209.66897003920002</v>
      </c>
      <c r="DI26" s="66">
        <v>259.37420999020003</v>
      </c>
      <c r="DJ26" s="66">
        <v>229.12686420279999</v>
      </c>
      <c r="DK26" s="66">
        <v>281.74841659089998</v>
      </c>
      <c r="DL26" s="66">
        <v>239.54337548200002</v>
      </c>
      <c r="DM26" s="66">
        <v>244.34735598250001</v>
      </c>
      <c r="DN26" s="66">
        <v>188.53246905790002</v>
      </c>
      <c r="DO26" s="66">
        <v>254.09450351380002</v>
      </c>
      <c r="DP26" s="79"/>
      <c r="DQ26" s="80"/>
      <c r="DR26" s="81"/>
      <c r="DS26" s="84">
        <f t="shared" si="3"/>
        <v>2017</v>
      </c>
      <c r="DT26" s="80"/>
      <c r="DU26" s="83">
        <f t="shared" si="7"/>
        <v>-96</v>
      </c>
      <c r="DV26" s="83">
        <f t="shared" si="7"/>
        <v>-96</v>
      </c>
      <c r="DW26" s="83">
        <f t="shared" si="7"/>
        <v>-96</v>
      </c>
      <c r="DX26" s="83">
        <f t="shared" si="7"/>
        <v>12.671206347900004</v>
      </c>
      <c r="DY26" s="83">
        <f t="shared" si="7"/>
        <v>601.86463859610001</v>
      </c>
      <c r="DZ26" s="83">
        <f t="shared" si="7"/>
        <v>1463.2822315424999</v>
      </c>
      <c r="EA26" s="83">
        <f t="shared" si="7"/>
        <v>2533.5289300227</v>
      </c>
      <c r="EB26" s="83">
        <f t="shared" si="7"/>
        <v>2835.3952058907007</v>
      </c>
      <c r="EC26" s="83">
        <f t="shared" si="7"/>
        <v>2827.3379231870999</v>
      </c>
      <c r="ED26" s="83">
        <f t="shared" si="7"/>
        <v>1906.4361648593001</v>
      </c>
    </row>
    <row r="27" spans="2:134" x14ac:dyDescent="0.3">
      <c r="B27" s="45">
        <f t="shared" si="5"/>
        <v>1000000023</v>
      </c>
      <c r="C27" s="46">
        <v>40969</v>
      </c>
      <c r="D27" s="66">
        <v>75.204161713299996</v>
      </c>
      <c r="E27" s="66">
        <v>75.854499424300016</v>
      </c>
      <c r="F27" s="66">
        <v>97.261455332500006</v>
      </c>
      <c r="G27" s="66">
        <v>83.203465665400017</v>
      </c>
      <c r="H27" s="66">
        <v>84.664717836700007</v>
      </c>
      <c r="I27" s="66">
        <v>87.076070998600002</v>
      </c>
      <c r="J27" s="66">
        <v>90.789788284000011</v>
      </c>
      <c r="K27" s="66">
        <v>105.66792397959999</v>
      </c>
      <c r="L27" s="66">
        <v>89.887946629599995</v>
      </c>
      <c r="M27" s="66">
        <v>100.88064286060001</v>
      </c>
      <c r="N27" s="66">
        <v>96.48536564980003</v>
      </c>
      <c r="O27" s="66">
        <v>82.319486720200018</v>
      </c>
      <c r="P27" s="66">
        <v>99.240238223499986</v>
      </c>
      <c r="Q27" s="66">
        <v>327.88775692780001</v>
      </c>
      <c r="R27" s="66">
        <v>117.79287580300003</v>
      </c>
      <c r="S27" s="66">
        <v>125.30136804580002</v>
      </c>
      <c r="T27" s="66">
        <v>97.116151950100004</v>
      </c>
      <c r="U27" s="66">
        <v>86.929229021500007</v>
      </c>
      <c r="V27" s="66">
        <v>105.49736512810001</v>
      </c>
      <c r="W27" s="66">
        <v>93.611608490500018</v>
      </c>
      <c r="X27" s="66">
        <v>100.1247050158</v>
      </c>
      <c r="Y27" s="66">
        <v>88.155113730400004</v>
      </c>
      <c r="Z27" s="66">
        <v>80.018724743199996</v>
      </c>
      <c r="AA27" s="66">
        <v>76.075269000399999</v>
      </c>
      <c r="AB27" s="66">
        <v>99.786889662400014</v>
      </c>
      <c r="AC27" s="66">
        <v>116.51629252240001</v>
      </c>
      <c r="AD27" s="66">
        <v>112.2479681377</v>
      </c>
      <c r="AE27" s="66">
        <v>101.6389448875</v>
      </c>
      <c r="AF27" s="66">
        <v>94.484254372300015</v>
      </c>
      <c r="AG27" s="66">
        <v>96.993889961500017</v>
      </c>
      <c r="AH27" s="66">
        <v>89.340357023199999</v>
      </c>
      <c r="AI27" s="66">
        <v>102.01755176379999</v>
      </c>
      <c r="AJ27" s="66">
        <v>96.158958413200011</v>
      </c>
      <c r="AK27" s="66">
        <v>93.681258045699991</v>
      </c>
      <c r="AL27" s="66">
        <v>89.568481832499998</v>
      </c>
      <c r="AM27" s="66">
        <v>91.922982043900006</v>
      </c>
      <c r="AN27" s="66">
        <v>126.4502479663</v>
      </c>
      <c r="AO27" s="66">
        <v>126.61953091000001</v>
      </c>
      <c r="AP27" s="66">
        <v>151.67922321610001</v>
      </c>
      <c r="AQ27" s="66">
        <v>139.8375229243</v>
      </c>
      <c r="AR27" s="66">
        <v>107.36754574930001</v>
      </c>
      <c r="AS27" s="66">
        <v>93.998321134000008</v>
      </c>
      <c r="AT27" s="66">
        <v>92.353450819600013</v>
      </c>
      <c r="AU27" s="66">
        <v>113.62242105190003</v>
      </c>
      <c r="AV27" s="66">
        <v>125.54424084820002</v>
      </c>
      <c r="AW27" s="66">
        <v>129.45557373580004</v>
      </c>
      <c r="AX27" s="66">
        <v>120.93926443780001</v>
      </c>
      <c r="AY27" s="66">
        <v>96.358788090700003</v>
      </c>
      <c r="AZ27" s="66">
        <v>123.36979374339998</v>
      </c>
      <c r="BA27" s="66">
        <v>194.8888165573</v>
      </c>
      <c r="BB27" s="66">
        <v>252.74241651280005</v>
      </c>
      <c r="BC27" s="66">
        <v>335.78318697430007</v>
      </c>
      <c r="BD27" s="66">
        <v>187.7466224332</v>
      </c>
      <c r="BE27" s="66">
        <v>146.20985679789999</v>
      </c>
      <c r="BF27" s="66">
        <v>127.19398963359998</v>
      </c>
      <c r="BG27" s="66">
        <v>138.04772449450002</v>
      </c>
      <c r="BH27" s="66">
        <v>147.9326325415</v>
      </c>
      <c r="BI27" s="66">
        <v>148.12067883519998</v>
      </c>
      <c r="BJ27" s="66">
        <v>159.66494250279999</v>
      </c>
      <c r="BK27" s="66">
        <v>130.7335455043</v>
      </c>
      <c r="BL27" s="66">
        <v>108.1592840659</v>
      </c>
      <c r="BM27" s="66">
        <v>174.01215044680004</v>
      </c>
      <c r="BN27" s="66">
        <v>171.42892499889999</v>
      </c>
      <c r="BO27" s="66">
        <v>194.1976873234</v>
      </c>
      <c r="BP27" s="66">
        <v>164.18199385510002</v>
      </c>
      <c r="BQ27" s="66">
        <v>146.37613760560001</v>
      </c>
      <c r="BR27" s="66">
        <v>108.7926221818</v>
      </c>
      <c r="BS27" s="66">
        <v>147.9656185108</v>
      </c>
      <c r="BT27" s="66">
        <v>128.57343359890001</v>
      </c>
      <c r="BU27" s="66">
        <v>180.5338405864</v>
      </c>
      <c r="BV27" s="66">
        <v>148.28913619150003</v>
      </c>
      <c r="BW27" s="66">
        <v>137.823877729</v>
      </c>
      <c r="BX27" s="66">
        <v>146.93003169760001</v>
      </c>
      <c r="BY27" s="66">
        <v>221.70535885059999</v>
      </c>
      <c r="BZ27" s="66">
        <v>165.41260692820001</v>
      </c>
      <c r="CA27" s="66">
        <v>186.57072328870001</v>
      </c>
      <c r="CB27" s="66">
        <v>122.38464281500001</v>
      </c>
      <c r="CC27" s="66">
        <v>136.21041726250002</v>
      </c>
      <c r="CD27" s="66">
        <v>185.84717098600004</v>
      </c>
      <c r="CE27" s="66">
        <v>149.79909801939999</v>
      </c>
      <c r="CF27" s="66">
        <v>163.25606005930001</v>
      </c>
      <c r="CG27" s="66">
        <v>159.1141256002</v>
      </c>
      <c r="CH27" s="66">
        <v>160.7130632338</v>
      </c>
      <c r="CI27" s="66">
        <v>200.54266423270002</v>
      </c>
      <c r="CJ27" s="66">
        <v>136.27927875700001</v>
      </c>
      <c r="CK27" s="66">
        <v>206.89837377820001</v>
      </c>
      <c r="CL27" s="66">
        <v>242.30485275489994</v>
      </c>
      <c r="CM27" s="66">
        <v>235.48216095460006</v>
      </c>
      <c r="CN27" s="66">
        <v>181.1813262682</v>
      </c>
      <c r="CO27" s="66">
        <v>164.3529655003</v>
      </c>
      <c r="CP27" s="66">
        <v>146.30453666200003</v>
      </c>
      <c r="CQ27" s="66">
        <v>180.43826008150003</v>
      </c>
      <c r="CR27" s="66">
        <v>177.7728136339</v>
      </c>
      <c r="CS27" s="66">
        <v>187.76043225879999</v>
      </c>
      <c r="CT27" s="66">
        <v>164.80463686150003</v>
      </c>
      <c r="CU27" s="66">
        <v>148.89387896200003</v>
      </c>
      <c r="CV27" s="66">
        <v>183.59170373590004</v>
      </c>
      <c r="CW27" s="66">
        <v>222.6272022361</v>
      </c>
      <c r="CX27" s="66">
        <v>248.18900178820002</v>
      </c>
      <c r="CY27" s="66">
        <v>261.45585356589999</v>
      </c>
      <c r="CZ27" s="66">
        <v>207.11820518680003</v>
      </c>
      <c r="DA27" s="66">
        <v>212.22600185049998</v>
      </c>
      <c r="DB27" s="66">
        <v>198.18283522990001</v>
      </c>
      <c r="DC27" s="66">
        <v>202.85224498419998</v>
      </c>
      <c r="DD27" s="66">
        <v>207.25529022190003</v>
      </c>
      <c r="DE27" s="66">
        <v>209.84148027910001</v>
      </c>
      <c r="DF27" s="66">
        <v>217.1477411356</v>
      </c>
      <c r="DG27" s="66">
        <v>195.59409335710004</v>
      </c>
      <c r="DH27" s="66">
        <v>177.24387479740003</v>
      </c>
      <c r="DI27" s="66">
        <v>240.97291759180001</v>
      </c>
      <c r="DJ27" s="66">
        <v>256.91711178099996</v>
      </c>
      <c r="DK27" s="66">
        <v>329.08793584719996</v>
      </c>
      <c r="DL27" s="66">
        <v>254.79066132550003</v>
      </c>
      <c r="DM27" s="66">
        <v>232.92344044179998</v>
      </c>
      <c r="DN27" s="66">
        <v>232.7222222764</v>
      </c>
      <c r="DO27" s="66">
        <v>262.45875462339995</v>
      </c>
      <c r="DP27" s="79"/>
      <c r="DQ27" s="80"/>
      <c r="DR27" s="81"/>
      <c r="DS27" s="84">
        <f t="shared" si="3"/>
        <v>2012</v>
      </c>
      <c r="DT27" s="80"/>
      <c r="DU27" s="83">
        <f t="shared" si="7"/>
        <v>1069.2955250946002</v>
      </c>
      <c r="DV27" s="83">
        <f t="shared" si="7"/>
        <v>1397.7504060801002</v>
      </c>
      <c r="DW27" s="83">
        <f t="shared" si="7"/>
        <v>1184.3578286661</v>
      </c>
      <c r="DX27" s="83">
        <f t="shared" si="7"/>
        <v>1424.226130884</v>
      </c>
      <c r="DY27" s="83">
        <f t="shared" si="7"/>
        <v>2092.4342065307997</v>
      </c>
      <c r="DZ27" s="83">
        <f t="shared" si="7"/>
        <v>1810.3347070941002</v>
      </c>
      <c r="EA27" s="83">
        <f t="shared" si="7"/>
        <v>1998.4859629740001</v>
      </c>
      <c r="EB27" s="83">
        <f t="shared" si="7"/>
        <v>2172.4735164729</v>
      </c>
      <c r="EC27" s="83">
        <f t="shared" si="7"/>
        <v>2566.0816535712001</v>
      </c>
      <c r="ED27" s="83">
        <f t="shared" si="7"/>
        <v>1987.1169186845</v>
      </c>
    </row>
    <row r="28" spans="2:134" x14ac:dyDescent="0.3">
      <c r="B28" s="45">
        <f t="shared" si="5"/>
        <v>1000000024</v>
      </c>
      <c r="C28" s="46">
        <v>41609</v>
      </c>
      <c r="D28" s="66">
        <v>3.0640720144000007</v>
      </c>
      <c r="E28" s="66">
        <v>28.445780933199998</v>
      </c>
      <c r="F28" s="66">
        <v>29.549929027300003</v>
      </c>
      <c r="G28" s="66">
        <v>35.0258250913</v>
      </c>
      <c r="H28" s="66">
        <v>25.204787487700003</v>
      </c>
      <c r="I28" s="66">
        <v>29.931087719200008</v>
      </c>
      <c r="J28" s="66">
        <v>43.893684514900002</v>
      </c>
      <c r="K28" s="66">
        <v>48.959038480900006</v>
      </c>
      <c r="L28" s="66">
        <v>57.7259510815</v>
      </c>
      <c r="M28" s="66">
        <v>64.678335156999992</v>
      </c>
      <c r="N28" s="66">
        <v>50.389331124700007</v>
      </c>
      <c r="O28" s="66">
        <v>46.8466605379</v>
      </c>
      <c r="P28" s="66">
        <v>51.684302488299998</v>
      </c>
      <c r="Q28" s="66">
        <v>165.48098057559997</v>
      </c>
      <c r="R28" s="66">
        <v>79.302114880000005</v>
      </c>
      <c r="S28" s="66">
        <v>86.448887261500005</v>
      </c>
      <c r="T28" s="66">
        <v>54.255219178600008</v>
      </c>
      <c r="U28" s="66">
        <v>69.809848695100001</v>
      </c>
      <c r="V28" s="66">
        <v>68.707727042800002</v>
      </c>
      <c r="W28" s="66">
        <v>85.9996176091</v>
      </c>
      <c r="X28" s="66">
        <v>81.668436001899991</v>
      </c>
      <c r="Y28" s="66">
        <v>91.269417036700034</v>
      </c>
      <c r="Z28" s="66">
        <v>78.043206675099995</v>
      </c>
      <c r="AA28" s="66">
        <v>67.306217377900012</v>
      </c>
      <c r="AB28" s="66">
        <v>86.065627074400012</v>
      </c>
      <c r="AC28" s="66">
        <v>106.9586923528</v>
      </c>
      <c r="AD28" s="66">
        <v>103.75181067760001</v>
      </c>
      <c r="AE28" s="66">
        <v>114.33321427660002</v>
      </c>
      <c r="AF28" s="66">
        <v>86.478233140900002</v>
      </c>
      <c r="AG28" s="66">
        <v>85.873865637400016</v>
      </c>
      <c r="AH28" s="66">
        <v>78.535181712099998</v>
      </c>
      <c r="AI28" s="66">
        <v>97.047853356100006</v>
      </c>
      <c r="AJ28" s="66">
        <v>99.857927705500003</v>
      </c>
      <c r="AK28" s="66">
        <v>77.080834453600005</v>
      </c>
      <c r="AL28" s="66">
        <v>86.194343655400004</v>
      </c>
      <c r="AM28" s="66">
        <v>79.0897512847</v>
      </c>
      <c r="AN28" s="66">
        <v>95.905428028000017</v>
      </c>
      <c r="AO28" s="66">
        <v>139.82300009139999</v>
      </c>
      <c r="AP28" s="66">
        <v>136.58887403200001</v>
      </c>
      <c r="AQ28" s="66">
        <v>110.61101595699999</v>
      </c>
      <c r="AR28" s="66">
        <v>106.8310640461</v>
      </c>
      <c r="AS28" s="66">
        <v>108.10032962019999</v>
      </c>
      <c r="AT28" s="66">
        <v>106.4175198121</v>
      </c>
      <c r="AU28" s="66">
        <v>143.76983323720003</v>
      </c>
      <c r="AV28" s="66">
        <v>123.87580376620005</v>
      </c>
      <c r="AW28" s="66">
        <v>107.40732405129999</v>
      </c>
      <c r="AX28" s="66">
        <v>108.20668028799999</v>
      </c>
      <c r="AY28" s="66">
        <v>110.00691114040001</v>
      </c>
      <c r="AZ28" s="66">
        <v>106.2258334285</v>
      </c>
      <c r="BA28" s="66">
        <v>177.8762747458</v>
      </c>
      <c r="BB28" s="66">
        <v>164.80782663100001</v>
      </c>
      <c r="BC28" s="66">
        <v>207.17457029019997</v>
      </c>
      <c r="BD28" s="66">
        <v>168.91865145580002</v>
      </c>
      <c r="BE28" s="66">
        <v>128.56360160349999</v>
      </c>
      <c r="BF28" s="66">
        <v>118.09065016750002</v>
      </c>
      <c r="BG28" s="66">
        <v>151.2489045472</v>
      </c>
      <c r="BH28" s="66">
        <v>133.06643033650002</v>
      </c>
      <c r="BI28" s="66">
        <v>134.26154315139999</v>
      </c>
      <c r="BJ28" s="66">
        <v>128.20803612100002</v>
      </c>
      <c r="BK28" s="66">
        <v>111.97304753350002</v>
      </c>
      <c r="BL28" s="66">
        <v>107.82608449660002</v>
      </c>
      <c r="BM28" s="66">
        <v>150.5400251842</v>
      </c>
      <c r="BN28" s="66">
        <v>163.38064870330001</v>
      </c>
      <c r="BO28" s="66">
        <v>152.5191458155</v>
      </c>
      <c r="BP28" s="66">
        <v>150.94328710240001</v>
      </c>
      <c r="BQ28" s="66">
        <v>138.97125658150003</v>
      </c>
      <c r="BR28" s="66">
        <v>158.9377125835</v>
      </c>
      <c r="BS28" s="66">
        <v>154.70661468520001</v>
      </c>
      <c r="BT28" s="66">
        <v>189.15665065899998</v>
      </c>
      <c r="BU28" s="66">
        <v>149.26884574840003</v>
      </c>
      <c r="BV28" s="66">
        <v>163.03255103409998</v>
      </c>
      <c r="BW28" s="66">
        <v>146.80791981579998</v>
      </c>
      <c r="BX28" s="66">
        <v>166.64550913000002</v>
      </c>
      <c r="BY28" s="66">
        <v>180.59418352000003</v>
      </c>
      <c r="BZ28" s="66">
        <v>177.4917386509</v>
      </c>
      <c r="CA28" s="66">
        <v>177.11275650760001</v>
      </c>
      <c r="CB28" s="66">
        <v>170.04494030289999</v>
      </c>
      <c r="CC28" s="66">
        <v>163.90080629200003</v>
      </c>
      <c r="CD28" s="66">
        <v>198.6932358766</v>
      </c>
      <c r="CE28" s="66">
        <v>174.0281743477</v>
      </c>
      <c r="CF28" s="66">
        <v>188.8097163175</v>
      </c>
      <c r="CG28" s="66">
        <v>166.22716147840001</v>
      </c>
      <c r="CH28" s="66">
        <v>172.29429070090004</v>
      </c>
      <c r="CI28" s="66">
        <v>171.61366894300002</v>
      </c>
      <c r="CJ28" s="66">
        <v>179.2830381487</v>
      </c>
      <c r="CK28" s="66">
        <v>188.33515366930004</v>
      </c>
      <c r="CL28" s="66">
        <v>207.59348084230004</v>
      </c>
      <c r="CM28" s="66">
        <v>213.0459227188</v>
      </c>
      <c r="CN28" s="66">
        <v>179.80439659180001</v>
      </c>
      <c r="CO28" s="66">
        <v>160.8091315858</v>
      </c>
      <c r="CP28" s="66">
        <v>184.8370648021</v>
      </c>
      <c r="CQ28" s="66">
        <v>213.3348032554</v>
      </c>
      <c r="CR28" s="66">
        <v>220.4844276661</v>
      </c>
      <c r="CS28" s="66">
        <v>209.61174182169998</v>
      </c>
      <c r="CT28" s="66">
        <v>188.93051476480002</v>
      </c>
      <c r="CU28" s="66">
        <v>175.18249563970002</v>
      </c>
      <c r="CV28" s="66">
        <v>190.59726314529999</v>
      </c>
      <c r="CW28" s="66">
        <v>225.8633172106</v>
      </c>
      <c r="CX28" s="66">
        <v>214.43422298530001</v>
      </c>
      <c r="CY28" s="66">
        <v>225.21965925219999</v>
      </c>
      <c r="CZ28" s="66">
        <v>210.80565378219998</v>
      </c>
      <c r="DA28" s="66">
        <v>217.48105328500003</v>
      </c>
      <c r="DB28" s="66">
        <v>204.44457791860003</v>
      </c>
      <c r="DC28" s="66">
        <v>205.56287357860003</v>
      </c>
      <c r="DD28" s="66">
        <v>228.8331802486</v>
      </c>
      <c r="DE28" s="66">
        <v>223.17749376490002</v>
      </c>
      <c r="DF28" s="66">
        <v>195.82386934119998</v>
      </c>
      <c r="DG28" s="66">
        <v>193.59054284409999</v>
      </c>
      <c r="DH28" s="66">
        <v>204.1476291415</v>
      </c>
      <c r="DI28" s="66">
        <v>243.94409406430003</v>
      </c>
      <c r="DJ28" s="66">
        <v>289.78592272359998</v>
      </c>
      <c r="DK28" s="66">
        <v>227.90810956689998</v>
      </c>
      <c r="DL28" s="66">
        <v>254.27039115670004</v>
      </c>
      <c r="DM28" s="66">
        <v>245.23505007100002</v>
      </c>
      <c r="DN28" s="66">
        <v>257.33163170920005</v>
      </c>
      <c r="DO28" s="66">
        <v>288.63235196559998</v>
      </c>
      <c r="DP28" s="79"/>
      <c r="DQ28" s="80"/>
      <c r="DR28" s="81"/>
      <c r="DS28" s="84">
        <f t="shared" si="3"/>
        <v>2013</v>
      </c>
      <c r="DT28" s="80"/>
      <c r="DU28" s="83">
        <f t="shared" si="7"/>
        <v>463.71448316999999</v>
      </c>
      <c r="DV28" s="83">
        <f t="shared" si="7"/>
        <v>979.97597482259994</v>
      </c>
      <c r="DW28" s="83">
        <f t="shared" si="7"/>
        <v>1101.2673353271</v>
      </c>
      <c r="DX28" s="83">
        <f t="shared" si="7"/>
        <v>1397.5437840699001</v>
      </c>
      <c r="DY28" s="83">
        <f t="shared" si="7"/>
        <v>1730.4153700119</v>
      </c>
      <c r="DZ28" s="83">
        <f t="shared" si="7"/>
        <v>1826.0907424095001</v>
      </c>
      <c r="EA28" s="83">
        <f t="shared" si="7"/>
        <v>2107.4561820675003</v>
      </c>
      <c r="EB28" s="83">
        <f t="shared" si="7"/>
        <v>2321.2521715065</v>
      </c>
      <c r="EC28" s="83">
        <f t="shared" si="7"/>
        <v>2535.8337073566004</v>
      </c>
      <c r="ED28" s="83">
        <f t="shared" si="7"/>
        <v>2011.2551803987999</v>
      </c>
    </row>
    <row r="29" spans="2:134" x14ac:dyDescent="0.3">
      <c r="B29" s="45">
        <f t="shared" si="5"/>
        <v>1000000025</v>
      </c>
      <c r="C29" s="46">
        <v>39783</v>
      </c>
      <c r="D29" s="66">
        <v>111.8771292883</v>
      </c>
      <c r="E29" s="66">
        <v>202.8502560691</v>
      </c>
      <c r="F29" s="66">
        <v>169.33639868020001</v>
      </c>
      <c r="G29" s="66">
        <v>131.4649033606</v>
      </c>
      <c r="H29" s="66">
        <v>132.3511339078</v>
      </c>
      <c r="I29" s="66">
        <v>134.08918301829999</v>
      </c>
      <c r="J29" s="66">
        <v>137.60299557279998</v>
      </c>
      <c r="K29" s="66">
        <v>128.84674055500003</v>
      </c>
      <c r="L29" s="66">
        <v>141.32902161579997</v>
      </c>
      <c r="M29" s="66">
        <v>145.77349633029999</v>
      </c>
      <c r="N29" s="66">
        <v>106.07028525699998</v>
      </c>
      <c r="O29" s="66">
        <v>134.0440759249</v>
      </c>
      <c r="P29" s="66">
        <v>139.65067748500002</v>
      </c>
      <c r="Q29" s="66">
        <v>579.07279843119989</v>
      </c>
      <c r="R29" s="66">
        <v>220.11418924389997</v>
      </c>
      <c r="S29" s="66">
        <v>183.80159056899998</v>
      </c>
      <c r="T29" s="66">
        <v>142.39098969909998</v>
      </c>
      <c r="U29" s="66">
        <v>151.84036286590003</v>
      </c>
      <c r="V29" s="66">
        <v>166.4439532243</v>
      </c>
      <c r="W29" s="66">
        <v>175.77151472290004</v>
      </c>
      <c r="X29" s="66">
        <v>179.23729310139998</v>
      </c>
      <c r="Y29" s="66">
        <v>164.09046623380002</v>
      </c>
      <c r="Z29" s="66">
        <v>139.33973124880001</v>
      </c>
      <c r="AA29" s="66">
        <v>132.41016340690001</v>
      </c>
      <c r="AB29" s="66">
        <v>135.44708665779999</v>
      </c>
      <c r="AC29" s="66">
        <v>243.45144354669998</v>
      </c>
      <c r="AD29" s="66">
        <v>193.08727227040001</v>
      </c>
      <c r="AE29" s="66">
        <v>183.1500144769</v>
      </c>
      <c r="AF29" s="66">
        <v>181.75736111320003</v>
      </c>
      <c r="AG29" s="66">
        <v>178.31567487610002</v>
      </c>
      <c r="AH29" s="66">
        <v>168.71439362769999</v>
      </c>
      <c r="AI29" s="66">
        <v>178.44589252510002</v>
      </c>
      <c r="AJ29" s="66">
        <v>188.01542618530002</v>
      </c>
      <c r="AK29" s="66">
        <v>190.49308902610002</v>
      </c>
      <c r="AL29" s="66">
        <v>170.77854976120003</v>
      </c>
      <c r="AM29" s="66">
        <v>154.16375344300002</v>
      </c>
      <c r="AN29" s="66">
        <v>172.1420073523</v>
      </c>
      <c r="AO29" s="66">
        <v>341.16308973970001</v>
      </c>
      <c r="AP29" s="66">
        <v>348.83478560079993</v>
      </c>
      <c r="AQ29" s="66">
        <v>270.90571457980002</v>
      </c>
      <c r="AR29" s="66">
        <v>254.69080277679996</v>
      </c>
      <c r="AS29" s="66">
        <v>259.24346696740002</v>
      </c>
      <c r="AT29" s="66">
        <v>222.73389064420002</v>
      </c>
      <c r="AU29" s="66">
        <v>221.31812083330004</v>
      </c>
      <c r="AV29" s="66">
        <v>225.31610287120006</v>
      </c>
      <c r="AW29" s="66">
        <v>184.26977367819998</v>
      </c>
      <c r="AX29" s="66">
        <v>189.96553867750004</v>
      </c>
      <c r="AY29" s="66">
        <v>196.05000523540002</v>
      </c>
      <c r="AZ29" s="66">
        <v>197.26455688090002</v>
      </c>
      <c r="BA29" s="66">
        <v>366.44816740600004</v>
      </c>
      <c r="BB29" s="66">
        <v>290.42579048530001</v>
      </c>
      <c r="BC29" s="66">
        <v>254.6137604617</v>
      </c>
      <c r="BD29" s="66">
        <v>232.21958965659999</v>
      </c>
      <c r="BE29" s="66">
        <v>206.88163687000002</v>
      </c>
      <c r="BF29" s="66">
        <v>203.78515874619998</v>
      </c>
      <c r="BG29" s="66">
        <v>228.47783992629999</v>
      </c>
      <c r="BH29" s="66">
        <v>211.36922976280002</v>
      </c>
      <c r="BI29" s="66">
        <v>197.53692566949999</v>
      </c>
      <c r="BJ29" s="66">
        <v>155.0582398642</v>
      </c>
      <c r="BK29" s="66">
        <v>163.31242516269998</v>
      </c>
      <c r="BL29" s="66">
        <v>170.28908901310001</v>
      </c>
      <c r="BM29" s="66">
        <v>323.21418170980002</v>
      </c>
      <c r="BN29" s="66">
        <v>315.63254992870003</v>
      </c>
      <c r="BO29" s="66">
        <v>286.93516943139997</v>
      </c>
      <c r="BP29" s="66">
        <v>240.33462595150004</v>
      </c>
      <c r="BQ29" s="66">
        <v>185.69357420289998</v>
      </c>
      <c r="BR29" s="66">
        <v>214.57907604730005</v>
      </c>
      <c r="BS29" s="66">
        <v>206.95417598110004</v>
      </c>
      <c r="BT29" s="66">
        <v>212.2695328225</v>
      </c>
      <c r="BU29" s="66">
        <v>214.83846059770002</v>
      </c>
      <c r="BV29" s="66">
        <v>181.02802969870001</v>
      </c>
      <c r="BW29" s="66">
        <v>169.342177792</v>
      </c>
      <c r="BX29" s="66">
        <v>214.6141635118</v>
      </c>
      <c r="BY29" s="66">
        <v>292.06007827030004</v>
      </c>
      <c r="BZ29" s="66">
        <v>255.56457445959995</v>
      </c>
      <c r="CA29" s="66">
        <v>257.49190824490006</v>
      </c>
      <c r="CB29" s="66">
        <v>268.15132985320002</v>
      </c>
      <c r="CC29" s="66">
        <v>243.05144645139998</v>
      </c>
      <c r="CD29" s="66">
        <v>217.23315190480002</v>
      </c>
      <c r="CE29" s="66">
        <v>194.51703954039999</v>
      </c>
      <c r="CF29" s="66">
        <v>233.91467069560002</v>
      </c>
      <c r="CG29" s="66">
        <v>223.54037695390002</v>
      </c>
      <c r="CH29" s="66">
        <v>205.45359582820001</v>
      </c>
      <c r="CI29" s="66">
        <v>194.04446580730001</v>
      </c>
      <c r="CJ29" s="66">
        <v>207.56473539010003</v>
      </c>
      <c r="CK29" s="66">
        <v>273.59825530480003</v>
      </c>
      <c r="CL29" s="66">
        <v>283.57911912370008</v>
      </c>
      <c r="CM29" s="66">
        <v>262.43015927799996</v>
      </c>
      <c r="CN29" s="66">
        <v>261.60483456489999</v>
      </c>
      <c r="CO29" s="66">
        <v>215.63477717170005</v>
      </c>
      <c r="CP29" s="66">
        <v>202.47836647210002</v>
      </c>
      <c r="CQ29" s="66">
        <v>176.9889183976</v>
      </c>
      <c r="CR29" s="66">
        <v>218.36210514759998</v>
      </c>
      <c r="CS29" s="66">
        <v>196.8115345585</v>
      </c>
      <c r="CT29" s="66">
        <v>181.66992390220003</v>
      </c>
      <c r="CU29" s="66">
        <v>166.25733294519998</v>
      </c>
      <c r="CV29" s="66">
        <v>222.14126899780001</v>
      </c>
      <c r="CW29" s="66">
        <v>278.95233970060002</v>
      </c>
      <c r="CX29" s="66">
        <v>276.40904266150005</v>
      </c>
      <c r="CY29" s="66">
        <v>255.32230208440001</v>
      </c>
      <c r="CZ29" s="66">
        <v>193.20251676609996</v>
      </c>
      <c r="DA29" s="66">
        <v>175.87947903880001</v>
      </c>
      <c r="DB29" s="66">
        <v>194.31289429240002</v>
      </c>
      <c r="DC29" s="66">
        <v>217.04795764030007</v>
      </c>
      <c r="DD29" s="66">
        <v>193.86598882209998</v>
      </c>
      <c r="DE29" s="66">
        <v>192.18618114999998</v>
      </c>
      <c r="DF29" s="66">
        <v>177.03057303460002</v>
      </c>
      <c r="DG29" s="66">
        <v>189.91923072970002</v>
      </c>
      <c r="DH29" s="66">
        <v>227.3440832659</v>
      </c>
      <c r="DI29" s="66">
        <v>268.43758352080005</v>
      </c>
      <c r="DJ29" s="66">
        <v>282.96251791600002</v>
      </c>
      <c r="DK29" s="66">
        <v>265.43698611550008</v>
      </c>
      <c r="DL29" s="66">
        <v>225.72570680170003</v>
      </c>
      <c r="DM29" s="66">
        <v>208.03547031490001</v>
      </c>
      <c r="DN29" s="66">
        <v>211.078247731</v>
      </c>
      <c r="DO29" s="66">
        <v>236.56401818890001</v>
      </c>
      <c r="DP29" s="79"/>
      <c r="DQ29" s="80"/>
      <c r="DR29" s="81"/>
      <c r="DS29" s="84">
        <f t="shared" si="3"/>
        <v>2008</v>
      </c>
      <c r="DT29" s="80"/>
      <c r="DU29" s="83">
        <f t="shared" si="7"/>
        <v>1675.6356195801002</v>
      </c>
      <c r="DV29" s="83">
        <f t="shared" si="7"/>
        <v>2374.1637302322001</v>
      </c>
      <c r="DW29" s="83">
        <f t="shared" si="7"/>
        <v>2165.8199575095005</v>
      </c>
      <c r="DX29" s="83">
        <f t="shared" si="7"/>
        <v>2886.6332989566008</v>
      </c>
      <c r="DY29" s="83">
        <f t="shared" si="7"/>
        <v>2707.3933208921999</v>
      </c>
      <c r="DZ29" s="83">
        <f t="shared" si="7"/>
        <v>2721.1106431766998</v>
      </c>
      <c r="EA29" s="83">
        <f t="shared" si="7"/>
        <v>2799.6368015213998</v>
      </c>
      <c r="EB29" s="83">
        <f t="shared" si="7"/>
        <v>2646.9800622563998</v>
      </c>
      <c r="EC29" s="83">
        <f t="shared" si="7"/>
        <v>2566.2697749182994</v>
      </c>
      <c r="ED29" s="83">
        <f t="shared" si="7"/>
        <v>1925.5846138547001</v>
      </c>
    </row>
    <row r="30" spans="2:134" x14ac:dyDescent="0.3">
      <c r="B30" s="45">
        <f t="shared" si="5"/>
        <v>1000000026</v>
      </c>
      <c r="C30" s="46">
        <v>41456</v>
      </c>
      <c r="D30" s="66">
        <v>44.535053344600001</v>
      </c>
      <c r="E30" s="66">
        <v>74.957198500600029</v>
      </c>
      <c r="F30" s="66">
        <v>71.781989360200001</v>
      </c>
      <c r="G30" s="66">
        <v>47.587174909000012</v>
      </c>
      <c r="H30" s="66">
        <v>34.812748488700016</v>
      </c>
      <c r="I30" s="66">
        <v>42.494614085500011</v>
      </c>
      <c r="J30" s="66">
        <v>37.014927824799997</v>
      </c>
      <c r="K30" s="66">
        <v>38.301755894500005</v>
      </c>
      <c r="L30" s="66">
        <v>42.873333541899996</v>
      </c>
      <c r="M30" s="66">
        <v>57.909306537700004</v>
      </c>
      <c r="N30" s="66">
        <v>51.585719847400007</v>
      </c>
      <c r="O30" s="66">
        <v>49.8150975613</v>
      </c>
      <c r="P30" s="66">
        <v>57.625604685699997</v>
      </c>
      <c r="Q30" s="66">
        <v>242.45079409120004</v>
      </c>
      <c r="R30" s="66">
        <v>89.405803588000012</v>
      </c>
      <c r="S30" s="66">
        <v>84.76619003350001</v>
      </c>
      <c r="T30" s="66">
        <v>66.1847319484</v>
      </c>
      <c r="U30" s="66">
        <v>61.394448693399994</v>
      </c>
      <c r="V30" s="66">
        <v>60.854477007099987</v>
      </c>
      <c r="W30" s="66">
        <v>64.694396584600014</v>
      </c>
      <c r="X30" s="66">
        <v>61.834749464500007</v>
      </c>
      <c r="Y30" s="66">
        <v>76.296001049800012</v>
      </c>
      <c r="Z30" s="66">
        <v>66.828615066999987</v>
      </c>
      <c r="AA30" s="66">
        <v>62.571023318500011</v>
      </c>
      <c r="AB30" s="66">
        <v>72.404707419999994</v>
      </c>
      <c r="AC30" s="66">
        <v>163.919569642</v>
      </c>
      <c r="AD30" s="66">
        <v>144.95661512469999</v>
      </c>
      <c r="AE30" s="66">
        <v>102.6443602339</v>
      </c>
      <c r="AF30" s="66">
        <v>76.399874955400023</v>
      </c>
      <c r="AG30" s="66">
        <v>89.284517293600004</v>
      </c>
      <c r="AH30" s="66">
        <v>79.213701974800003</v>
      </c>
      <c r="AI30" s="66">
        <v>101.17158736570001</v>
      </c>
      <c r="AJ30" s="66">
        <v>107.96508339340001</v>
      </c>
      <c r="AK30" s="66">
        <v>106.46750537650001</v>
      </c>
      <c r="AL30" s="66">
        <v>105.05905327209999</v>
      </c>
      <c r="AM30" s="66">
        <v>106.5494636893</v>
      </c>
      <c r="AN30" s="66">
        <v>88.825040378799997</v>
      </c>
      <c r="AO30" s="66">
        <v>195.60959188420003</v>
      </c>
      <c r="AP30" s="66">
        <v>172.65747410350002</v>
      </c>
      <c r="AQ30" s="66">
        <v>121.99669179040001</v>
      </c>
      <c r="AR30" s="66">
        <v>99.131823587200003</v>
      </c>
      <c r="AS30" s="66">
        <v>100.90552306270001</v>
      </c>
      <c r="AT30" s="66">
        <v>109.8392793715</v>
      </c>
      <c r="AU30" s="66">
        <v>103.05921790240001</v>
      </c>
      <c r="AV30" s="66">
        <v>109.94818185490001</v>
      </c>
      <c r="AW30" s="66">
        <v>113.82277610320001</v>
      </c>
      <c r="AX30" s="66">
        <v>114.67898529039999</v>
      </c>
      <c r="AY30" s="66">
        <v>122.92994329269999</v>
      </c>
      <c r="AZ30" s="66">
        <v>108.94468037020002</v>
      </c>
      <c r="BA30" s="66">
        <v>234.41981760429999</v>
      </c>
      <c r="BB30" s="66">
        <v>199.48227227080002</v>
      </c>
      <c r="BC30" s="66">
        <v>199.79944793919998</v>
      </c>
      <c r="BD30" s="66">
        <v>141.95853200830004</v>
      </c>
      <c r="BE30" s="66">
        <v>111.86039238010001</v>
      </c>
      <c r="BF30" s="66">
        <v>139.7914776634</v>
      </c>
      <c r="BG30" s="66">
        <v>122.69104832049999</v>
      </c>
      <c r="BH30" s="66">
        <v>138.24736653850002</v>
      </c>
      <c r="BI30" s="66">
        <v>140.08200937480004</v>
      </c>
      <c r="BJ30" s="66">
        <v>124.41682620009999</v>
      </c>
      <c r="BK30" s="66">
        <v>114.05303993440002</v>
      </c>
      <c r="BL30" s="66">
        <v>140.70825494440001</v>
      </c>
      <c r="BM30" s="66">
        <v>223.952157433</v>
      </c>
      <c r="BN30" s="66">
        <v>190.68518820340003</v>
      </c>
      <c r="BO30" s="66">
        <v>212.10659189110004</v>
      </c>
      <c r="BP30" s="66">
        <v>147.38117768500001</v>
      </c>
      <c r="BQ30" s="66">
        <v>133.90027361049999</v>
      </c>
      <c r="BR30" s="66">
        <v>147.22825638250001</v>
      </c>
      <c r="BS30" s="66">
        <v>156.60801752079999</v>
      </c>
      <c r="BT30" s="66">
        <v>156.09574053909998</v>
      </c>
      <c r="BU30" s="66">
        <v>136.72449552579999</v>
      </c>
      <c r="BV30" s="66">
        <v>128.13808635219999</v>
      </c>
      <c r="BW30" s="66">
        <v>141.3552527791</v>
      </c>
      <c r="BX30" s="66">
        <v>179.09735603710004</v>
      </c>
      <c r="BY30" s="66">
        <v>236.74388366200006</v>
      </c>
      <c r="BZ30" s="66">
        <v>227.57385924999997</v>
      </c>
      <c r="CA30" s="66">
        <v>198.96151425490001</v>
      </c>
      <c r="CB30" s="66">
        <v>212.40545452990003</v>
      </c>
      <c r="CC30" s="66">
        <v>213.74031677560004</v>
      </c>
      <c r="CD30" s="66">
        <v>206.99087709369999</v>
      </c>
      <c r="CE30" s="66">
        <v>178.00499132680002</v>
      </c>
      <c r="CF30" s="66">
        <v>203.01893858560001</v>
      </c>
      <c r="CG30" s="66">
        <v>208.44650025999999</v>
      </c>
      <c r="CH30" s="66">
        <v>173.41570107699999</v>
      </c>
      <c r="CI30" s="66">
        <v>158.02029734860005</v>
      </c>
      <c r="CJ30" s="66">
        <v>158.14015762840003</v>
      </c>
      <c r="CK30" s="66">
        <v>288.78598627539992</v>
      </c>
      <c r="CL30" s="66">
        <v>318.27364154799989</v>
      </c>
      <c r="CM30" s="66">
        <v>268.89165659080004</v>
      </c>
      <c r="CN30" s="66">
        <v>243.88352597050002</v>
      </c>
      <c r="CO30" s="66">
        <v>161.5087793806</v>
      </c>
      <c r="CP30" s="66">
        <v>174.08420171080002</v>
      </c>
      <c r="CQ30" s="66">
        <v>180.34823352820001</v>
      </c>
      <c r="CR30" s="66">
        <v>168.94139263600002</v>
      </c>
      <c r="CS30" s="66">
        <v>188.24621539029999</v>
      </c>
      <c r="CT30" s="66">
        <v>173.08268914120004</v>
      </c>
      <c r="CU30" s="66">
        <v>157.12307147830003</v>
      </c>
      <c r="CV30" s="66">
        <v>185.97442402570002</v>
      </c>
      <c r="CW30" s="66">
        <v>313.49394082240002</v>
      </c>
      <c r="CX30" s="66">
        <v>275.39349510610003</v>
      </c>
      <c r="CY30" s="66">
        <v>295.38471873010002</v>
      </c>
      <c r="CZ30" s="66">
        <v>164.78167052109998</v>
      </c>
      <c r="DA30" s="66">
        <v>140.0872631128</v>
      </c>
      <c r="DB30" s="66">
        <v>154.34752169289999</v>
      </c>
      <c r="DC30" s="66">
        <v>150.1993202749</v>
      </c>
      <c r="DD30" s="66">
        <v>156.45974952909998</v>
      </c>
      <c r="DE30" s="66">
        <v>174.0076847695</v>
      </c>
      <c r="DF30" s="66">
        <v>136.6721082526</v>
      </c>
      <c r="DG30" s="66">
        <v>169.47198264730002</v>
      </c>
      <c r="DH30" s="66">
        <v>203.68518761740003</v>
      </c>
      <c r="DI30" s="66">
        <v>300.15575078800003</v>
      </c>
      <c r="DJ30" s="66">
        <v>306.973226377</v>
      </c>
      <c r="DK30" s="66">
        <v>282.9629682364</v>
      </c>
      <c r="DL30" s="66">
        <v>199.38762993340001</v>
      </c>
      <c r="DM30" s="66">
        <v>242.22653453200004</v>
      </c>
      <c r="DN30" s="66">
        <v>226.23922216450001</v>
      </c>
      <c r="DO30" s="66">
        <v>231.4151673154</v>
      </c>
      <c r="DP30" s="79"/>
      <c r="DQ30" s="80"/>
      <c r="DR30" s="81"/>
      <c r="DS30" s="84">
        <f t="shared" si="3"/>
        <v>2013</v>
      </c>
      <c r="DT30" s="80"/>
      <c r="DU30" s="83">
        <f t="shared" si="7"/>
        <v>593.66891989620012</v>
      </c>
      <c r="DV30" s="83">
        <f t="shared" si="7"/>
        <v>994.90683553169993</v>
      </c>
      <c r="DW30" s="83">
        <f t="shared" si="7"/>
        <v>1256.0360397413999</v>
      </c>
      <c r="DX30" s="83">
        <f t="shared" si="7"/>
        <v>1453.4045286219002</v>
      </c>
      <c r="DY30" s="83">
        <f t="shared" si="7"/>
        <v>1775.7469106045999</v>
      </c>
      <c r="DZ30" s="83">
        <f t="shared" si="7"/>
        <v>1914.8834928668998</v>
      </c>
      <c r="EA30" s="83">
        <f t="shared" si="7"/>
        <v>2396.4196902012004</v>
      </c>
      <c r="EB30" s="83">
        <f t="shared" si="7"/>
        <v>2481.3095512784998</v>
      </c>
      <c r="EC30" s="83">
        <f t="shared" si="7"/>
        <v>2316.2738794845004</v>
      </c>
      <c r="ED30" s="83">
        <f t="shared" si="7"/>
        <v>1993.0456869640998</v>
      </c>
    </row>
    <row r="31" spans="2:134" x14ac:dyDescent="0.3">
      <c r="B31" s="45">
        <f t="shared" si="5"/>
        <v>1000000027</v>
      </c>
      <c r="C31" s="46">
        <v>40787</v>
      </c>
      <c r="D31" s="66">
        <v>85.830147031900012</v>
      </c>
      <c r="E31" s="66">
        <v>178.92994942840002</v>
      </c>
      <c r="F31" s="66">
        <v>125.76898825449999</v>
      </c>
      <c r="G31" s="66">
        <v>122.71074983800003</v>
      </c>
      <c r="H31" s="66">
        <v>97.956374763100001</v>
      </c>
      <c r="I31" s="66">
        <v>94.219878770799994</v>
      </c>
      <c r="J31" s="66">
        <v>89.469899191599993</v>
      </c>
      <c r="K31" s="66">
        <v>108.6179353933</v>
      </c>
      <c r="L31" s="66">
        <v>101.93405485630001</v>
      </c>
      <c r="M31" s="66">
        <v>94.181338849900001</v>
      </c>
      <c r="N31" s="66">
        <v>91.598863936000015</v>
      </c>
      <c r="O31" s="66">
        <v>106.0153461682</v>
      </c>
      <c r="P31" s="66">
        <v>109.61152982920002</v>
      </c>
      <c r="Q31" s="66">
        <v>448.32857477680005</v>
      </c>
      <c r="R31" s="66">
        <v>173.15665426690001</v>
      </c>
      <c r="S31" s="66">
        <v>126.43137203620003</v>
      </c>
      <c r="T31" s="66">
        <v>109.52829560860002</v>
      </c>
      <c r="U31" s="66">
        <v>100.37009210710001</v>
      </c>
      <c r="V31" s="66">
        <v>112.24170117880001</v>
      </c>
      <c r="W31" s="66">
        <v>124.85847793240001</v>
      </c>
      <c r="X31" s="66">
        <v>116.60984658549999</v>
      </c>
      <c r="Y31" s="66">
        <v>124.08550296580003</v>
      </c>
      <c r="Z31" s="66">
        <v>114.42290308959998</v>
      </c>
      <c r="AA31" s="66">
        <v>94.19908897900001</v>
      </c>
      <c r="AB31" s="66">
        <v>104.71103065630003</v>
      </c>
      <c r="AC31" s="66">
        <v>230.88487751770003</v>
      </c>
      <c r="AD31" s="66">
        <v>199.55976490629999</v>
      </c>
      <c r="AE31" s="66">
        <v>148.54656935350002</v>
      </c>
      <c r="AF31" s="66">
        <v>142.69728262450002</v>
      </c>
      <c r="AG31" s="66">
        <v>141.25719551200001</v>
      </c>
      <c r="AH31" s="66">
        <v>157.42771322890005</v>
      </c>
      <c r="AI31" s="66">
        <v>115.12180035040001</v>
      </c>
      <c r="AJ31" s="66">
        <v>158.41811789530001</v>
      </c>
      <c r="AK31" s="66">
        <v>159.4082223481</v>
      </c>
      <c r="AL31" s="66">
        <v>154.05139850320001</v>
      </c>
      <c r="AM31" s="66">
        <v>114.56182693300001</v>
      </c>
      <c r="AN31" s="66">
        <v>124.37243211400002</v>
      </c>
      <c r="AO31" s="66">
        <v>240.9402693628</v>
      </c>
      <c r="AP31" s="66">
        <v>239.44723207660002</v>
      </c>
      <c r="AQ31" s="66">
        <v>186.93439453840003</v>
      </c>
      <c r="AR31" s="66">
        <v>147.36125100730004</v>
      </c>
      <c r="AS31" s="66">
        <v>155.34644492019999</v>
      </c>
      <c r="AT31" s="66">
        <v>170.74121069470004</v>
      </c>
      <c r="AU31" s="66">
        <v>163.79134090810001</v>
      </c>
      <c r="AV31" s="66">
        <v>163.89315084520001</v>
      </c>
      <c r="AW31" s="66">
        <v>166.92200585559999</v>
      </c>
      <c r="AX31" s="66">
        <v>156.25830620350001</v>
      </c>
      <c r="AY31" s="66">
        <v>172.0669164256</v>
      </c>
      <c r="AZ31" s="66">
        <v>167.832478651</v>
      </c>
      <c r="BA31" s="66">
        <v>267.16231367469999</v>
      </c>
      <c r="BB31" s="66">
        <v>231.31448317930005</v>
      </c>
      <c r="BC31" s="66">
        <v>210.00907452129996</v>
      </c>
      <c r="BD31" s="66">
        <v>200.05534250650001</v>
      </c>
      <c r="BE31" s="66">
        <v>177.67483142020001</v>
      </c>
      <c r="BF31" s="66">
        <v>173.21605903300002</v>
      </c>
      <c r="BG31" s="66">
        <v>179.8917962761</v>
      </c>
      <c r="BH31" s="66">
        <v>170.35423536430002</v>
      </c>
      <c r="BI31" s="66">
        <v>167.16176394190001</v>
      </c>
      <c r="BJ31" s="66">
        <v>169.97367709960002</v>
      </c>
      <c r="BK31" s="66">
        <v>159.53374915959998</v>
      </c>
      <c r="BL31" s="66">
        <v>183.60311185269998</v>
      </c>
      <c r="BM31" s="66">
        <v>272.54987188690006</v>
      </c>
      <c r="BN31" s="66">
        <v>271.11939160960003</v>
      </c>
      <c r="BO31" s="66">
        <v>198.78431317750002</v>
      </c>
      <c r="BP31" s="66">
        <v>224.24182603029999</v>
      </c>
      <c r="BQ31" s="66">
        <v>179.72731675</v>
      </c>
      <c r="BR31" s="66">
        <v>202.88601901420003</v>
      </c>
      <c r="BS31" s="66">
        <v>184.82531894499999</v>
      </c>
      <c r="BT31" s="66">
        <v>191.20534579210002</v>
      </c>
      <c r="BU31" s="66">
        <v>195.5914289614</v>
      </c>
      <c r="BV31" s="66">
        <v>191.58778039180001</v>
      </c>
      <c r="BW31" s="66">
        <v>148.00126887580001</v>
      </c>
      <c r="BX31" s="66">
        <v>192.49844082069998</v>
      </c>
      <c r="BY31" s="66">
        <v>254.80049332089999</v>
      </c>
      <c r="BZ31" s="66">
        <v>243.39267673450004</v>
      </c>
      <c r="CA31" s="66">
        <v>161.613553927</v>
      </c>
      <c r="CB31" s="66">
        <v>175.2574364596</v>
      </c>
      <c r="CC31" s="66">
        <v>214.42457862340004</v>
      </c>
      <c r="CD31" s="66">
        <v>199.93424384559998</v>
      </c>
      <c r="CE31" s="66">
        <v>189.46977344379999</v>
      </c>
      <c r="CF31" s="66">
        <v>211.96920664240002</v>
      </c>
      <c r="CG31" s="66">
        <v>192.5793859126</v>
      </c>
      <c r="CH31" s="66">
        <v>184.79807456079999</v>
      </c>
      <c r="CI31" s="66">
        <v>170.78233995789998</v>
      </c>
      <c r="CJ31" s="66">
        <v>187.2040614046</v>
      </c>
      <c r="CK31" s="66">
        <v>226.12964420049997</v>
      </c>
      <c r="CL31" s="66">
        <v>257.19372108670007</v>
      </c>
      <c r="CM31" s="66">
        <v>234.7177420756</v>
      </c>
      <c r="CN31" s="66">
        <v>219.90475273120003</v>
      </c>
      <c r="CO31" s="66">
        <v>220.61201844610002</v>
      </c>
      <c r="CP31" s="66">
        <v>203.80609864480002</v>
      </c>
      <c r="CQ31" s="66">
        <v>177.70368945250002</v>
      </c>
      <c r="CR31" s="66">
        <v>208.63608514839999</v>
      </c>
      <c r="CS31" s="66">
        <v>212.54786835639999</v>
      </c>
      <c r="CT31" s="66">
        <v>189.7392151498</v>
      </c>
      <c r="CU31" s="66">
        <v>187.9851046117</v>
      </c>
      <c r="CV31" s="66">
        <v>189.9099616348</v>
      </c>
      <c r="CW31" s="66">
        <v>238.64412316990001</v>
      </c>
      <c r="CX31" s="66">
        <v>289.95805769650002</v>
      </c>
      <c r="CY31" s="66">
        <v>230.68654890819997</v>
      </c>
      <c r="CZ31" s="66">
        <v>197.42809823950003</v>
      </c>
      <c r="DA31" s="66">
        <v>196.05788584239997</v>
      </c>
      <c r="DB31" s="66">
        <v>196.83176144980004</v>
      </c>
      <c r="DC31" s="66">
        <v>190.79262714549998</v>
      </c>
      <c r="DD31" s="66">
        <v>192.43903605460002</v>
      </c>
      <c r="DE31" s="66">
        <v>200.24541524200001</v>
      </c>
      <c r="DF31" s="66">
        <v>186.29069905329999</v>
      </c>
      <c r="DG31" s="66">
        <v>173.48227344279999</v>
      </c>
      <c r="DH31" s="66">
        <v>221.78033719720003</v>
      </c>
      <c r="DI31" s="66">
        <v>282.10702173610008</v>
      </c>
      <c r="DJ31" s="66">
        <v>256.94964742989998</v>
      </c>
      <c r="DK31" s="66">
        <v>240.6597197536</v>
      </c>
      <c r="DL31" s="66">
        <v>188.92946401719999</v>
      </c>
      <c r="DM31" s="66">
        <v>206.45375743660003</v>
      </c>
      <c r="DN31" s="66">
        <v>217.61382274960005</v>
      </c>
      <c r="DO31" s="66">
        <v>237.58984806010005</v>
      </c>
      <c r="DP31" s="79"/>
      <c r="DQ31" s="80"/>
      <c r="DR31" s="81"/>
      <c r="DS31" s="84">
        <f t="shared" si="3"/>
        <v>2011</v>
      </c>
      <c r="DT31" s="80"/>
      <c r="DU31" s="83">
        <f t="shared" si="7"/>
        <v>1297.2335264820001</v>
      </c>
      <c r="DV31" s="83">
        <f t="shared" si="7"/>
        <v>1753.8440393559001</v>
      </c>
      <c r="DW31" s="83">
        <f t="shared" si="7"/>
        <v>1826.6457998292001</v>
      </c>
      <c r="DX31" s="83">
        <f t="shared" si="7"/>
        <v>2088.0749549520001</v>
      </c>
      <c r="DY31" s="83">
        <f t="shared" si="7"/>
        <v>2274.1798048275</v>
      </c>
      <c r="DZ31" s="83">
        <f t="shared" si="7"/>
        <v>2444.1229932873002</v>
      </c>
      <c r="EA31" s="83">
        <f t="shared" si="7"/>
        <v>2391.5202042492001</v>
      </c>
      <c r="EB31" s="83">
        <f t="shared" si="7"/>
        <v>2526.1800013083002</v>
      </c>
      <c r="EC31" s="83">
        <f t="shared" si="7"/>
        <v>2482.7664878792998</v>
      </c>
      <c r="ED31" s="83">
        <f t="shared" si="7"/>
        <v>1852.0836183803003</v>
      </c>
    </row>
    <row r="32" spans="2:134" x14ac:dyDescent="0.3">
      <c r="B32" s="45">
        <f t="shared" si="5"/>
        <v>1000000028</v>
      </c>
      <c r="C32" s="46">
        <v>39326</v>
      </c>
      <c r="D32" s="66">
        <v>53.378970733599999</v>
      </c>
      <c r="E32" s="66">
        <v>75.169562095900005</v>
      </c>
      <c r="F32" s="66">
        <v>89.613814086100021</v>
      </c>
      <c r="G32" s="66">
        <v>91.301727525400011</v>
      </c>
      <c r="H32" s="66">
        <v>65.468309718699999</v>
      </c>
      <c r="I32" s="66">
        <v>66.621430156299994</v>
      </c>
      <c r="J32" s="66">
        <v>61.089844469500008</v>
      </c>
      <c r="K32" s="66">
        <v>56.086522138600003</v>
      </c>
      <c r="L32" s="66">
        <v>69.660117162099993</v>
      </c>
      <c r="M32" s="66">
        <v>64.50229740730002</v>
      </c>
      <c r="N32" s="66">
        <v>60.329928794499992</v>
      </c>
      <c r="O32" s="66">
        <v>58.336322856999999</v>
      </c>
      <c r="P32" s="66">
        <v>66.596099633799994</v>
      </c>
      <c r="Q32" s="66">
        <v>276.22850170780004</v>
      </c>
      <c r="R32" s="66">
        <v>105.38035687750002</v>
      </c>
      <c r="S32" s="66">
        <v>76.563603947499999</v>
      </c>
      <c r="T32" s="66">
        <v>64.496668402300017</v>
      </c>
      <c r="U32" s="66">
        <v>65.645210582499999</v>
      </c>
      <c r="V32" s="66">
        <v>69.781403456500016</v>
      </c>
      <c r="W32" s="66">
        <v>68.847026153200005</v>
      </c>
      <c r="X32" s="66">
        <v>66.936279169299993</v>
      </c>
      <c r="Y32" s="66">
        <v>72.046027221399996</v>
      </c>
      <c r="Z32" s="66">
        <v>58.617735580299993</v>
      </c>
      <c r="AA32" s="66">
        <v>63.38617829590001</v>
      </c>
      <c r="AB32" s="66">
        <v>67.399733914300015</v>
      </c>
      <c r="AC32" s="66">
        <v>105.4307177089</v>
      </c>
      <c r="AD32" s="66">
        <v>87.080499149199994</v>
      </c>
      <c r="AE32" s="66">
        <v>66.838372008999997</v>
      </c>
      <c r="AF32" s="66">
        <v>63.619031469399999</v>
      </c>
      <c r="AG32" s="66">
        <v>68.56763987170001</v>
      </c>
      <c r="AH32" s="66">
        <v>67.074414951999998</v>
      </c>
      <c r="AI32" s="66">
        <v>76.473052020400019</v>
      </c>
      <c r="AJ32" s="66">
        <v>69.028242587500003</v>
      </c>
      <c r="AK32" s="66">
        <v>56.167767444099994</v>
      </c>
      <c r="AL32" s="66">
        <v>59.568699685000013</v>
      </c>
      <c r="AM32" s="66">
        <v>52.219133016700006</v>
      </c>
      <c r="AN32" s="66">
        <v>69.959617754800007</v>
      </c>
      <c r="AO32" s="66">
        <v>90.817558042000002</v>
      </c>
      <c r="AP32" s="66">
        <v>93.228385830099995</v>
      </c>
      <c r="AQ32" s="66">
        <v>77.964400605099982</v>
      </c>
      <c r="AR32" s="66">
        <v>64.745245263099989</v>
      </c>
      <c r="AS32" s="66">
        <v>77.696760180700011</v>
      </c>
      <c r="AT32" s="66">
        <v>67.12263676149999</v>
      </c>
      <c r="AU32" s="66">
        <v>103.7052775696</v>
      </c>
      <c r="AV32" s="66">
        <v>106.50431906919999</v>
      </c>
      <c r="AW32" s="66">
        <v>86.229994020400014</v>
      </c>
      <c r="AX32" s="66">
        <v>69.861673067799998</v>
      </c>
      <c r="AY32" s="66">
        <v>81.213387237700019</v>
      </c>
      <c r="AZ32" s="66">
        <v>90.676720336900004</v>
      </c>
      <c r="BA32" s="66">
        <v>119.61896255169999</v>
      </c>
      <c r="BB32" s="66">
        <v>144.11537909079999</v>
      </c>
      <c r="BC32" s="66">
        <v>110.08166432680002</v>
      </c>
      <c r="BD32" s="66">
        <v>73.41518887090001</v>
      </c>
      <c r="BE32" s="66">
        <v>81.685172910100007</v>
      </c>
      <c r="BF32" s="66">
        <v>93.699946342300009</v>
      </c>
      <c r="BG32" s="66">
        <v>107.05265920959999</v>
      </c>
      <c r="BH32" s="66">
        <v>103.47636469960001</v>
      </c>
      <c r="BI32" s="66">
        <v>107.96189362390001</v>
      </c>
      <c r="BJ32" s="66">
        <v>107.27519254059999</v>
      </c>
      <c r="BK32" s="66">
        <v>97.113900348100003</v>
      </c>
      <c r="BL32" s="66">
        <v>113.3609350063</v>
      </c>
      <c r="BM32" s="66">
        <v>156.41816994550001</v>
      </c>
      <c r="BN32" s="66">
        <v>158.9512972489</v>
      </c>
      <c r="BO32" s="66">
        <v>159.24393045549999</v>
      </c>
      <c r="BP32" s="66">
        <v>149.84304178509998</v>
      </c>
      <c r="BQ32" s="66">
        <v>104.63143652560001</v>
      </c>
      <c r="BR32" s="66">
        <v>122.48814145360001</v>
      </c>
      <c r="BS32" s="66">
        <v>117.37696738689999</v>
      </c>
      <c r="BT32" s="66">
        <v>138.85826368779999</v>
      </c>
      <c r="BU32" s="66">
        <v>141.47882820219999</v>
      </c>
      <c r="BV32" s="66">
        <v>118.61155829019998</v>
      </c>
      <c r="BW32" s="66">
        <v>113.5004217502</v>
      </c>
      <c r="BX32" s="66">
        <v>146.18325036760001</v>
      </c>
      <c r="BY32" s="66">
        <v>195.13116398589995</v>
      </c>
      <c r="BZ32" s="66">
        <v>159.16504933210001</v>
      </c>
      <c r="CA32" s="66">
        <v>144.46141279149998</v>
      </c>
      <c r="CB32" s="66">
        <v>166.5713563708</v>
      </c>
      <c r="CC32" s="66">
        <v>186.88924991830001</v>
      </c>
      <c r="CD32" s="66">
        <v>157.70477285500002</v>
      </c>
      <c r="CE32" s="66">
        <v>159.8069810623</v>
      </c>
      <c r="CF32" s="66">
        <v>160.90542509799999</v>
      </c>
      <c r="CG32" s="66">
        <v>146.76528948460003</v>
      </c>
      <c r="CH32" s="66">
        <v>134.96516877639999</v>
      </c>
      <c r="CI32" s="66">
        <v>142.29822369670003</v>
      </c>
      <c r="CJ32" s="66">
        <v>149.57562652090002</v>
      </c>
      <c r="CK32" s="66">
        <v>210.19704576160001</v>
      </c>
      <c r="CL32" s="66">
        <v>198.46413537309999</v>
      </c>
      <c r="CM32" s="66">
        <v>215.80511086299998</v>
      </c>
      <c r="CN32" s="66">
        <v>144.7892460427</v>
      </c>
      <c r="CO32" s="66">
        <v>155.95854292390001</v>
      </c>
      <c r="CP32" s="66">
        <v>147.79427159860001</v>
      </c>
      <c r="CQ32" s="66">
        <v>165.3034417579</v>
      </c>
      <c r="CR32" s="66">
        <v>176.03134959370001</v>
      </c>
      <c r="CS32" s="66">
        <v>145.21344785950001</v>
      </c>
      <c r="CT32" s="66">
        <v>155.9440576177</v>
      </c>
      <c r="CU32" s="66">
        <v>148.61085259059996</v>
      </c>
      <c r="CV32" s="66">
        <v>187.64710162479997</v>
      </c>
      <c r="CW32" s="66">
        <v>209.67726343990003</v>
      </c>
      <c r="CX32" s="66">
        <v>195.78795628930001</v>
      </c>
      <c r="CY32" s="66">
        <v>188.67098010759997</v>
      </c>
      <c r="CZ32" s="66">
        <v>154.78279388619998</v>
      </c>
      <c r="DA32" s="66">
        <v>134.84647182429998</v>
      </c>
      <c r="DB32" s="66">
        <v>150.12621826329999</v>
      </c>
      <c r="DC32" s="66">
        <v>156.22220551810003</v>
      </c>
      <c r="DD32" s="66">
        <v>162.16290728830003</v>
      </c>
      <c r="DE32" s="66">
        <v>211.34798965060003</v>
      </c>
      <c r="DF32" s="66">
        <v>191.14143782200003</v>
      </c>
      <c r="DG32" s="66">
        <v>196.36890713199998</v>
      </c>
      <c r="DH32" s="66">
        <v>222.152376901</v>
      </c>
      <c r="DI32" s="66">
        <v>261.23463366940001</v>
      </c>
      <c r="DJ32" s="66">
        <v>222.79869925510005</v>
      </c>
      <c r="DK32" s="66">
        <v>205.21353752830001</v>
      </c>
      <c r="DL32" s="66">
        <v>218.50410618040002</v>
      </c>
      <c r="DM32" s="66">
        <v>227.92165670560004</v>
      </c>
      <c r="DN32" s="66">
        <v>239.56611666220005</v>
      </c>
      <c r="DO32" s="66">
        <v>247.14234459850005</v>
      </c>
      <c r="DP32" s="79"/>
      <c r="DQ32" s="80"/>
      <c r="DR32" s="81"/>
      <c r="DS32" s="84">
        <f t="shared" si="3"/>
        <v>2007</v>
      </c>
      <c r="DT32" s="80"/>
      <c r="DU32" s="83">
        <f t="shared" si="7"/>
        <v>811.55884714500019</v>
      </c>
      <c r="DV32" s="83">
        <f t="shared" si="7"/>
        <v>1054.5250910279999</v>
      </c>
      <c r="DW32" s="83">
        <f t="shared" si="7"/>
        <v>839.4673038282001</v>
      </c>
      <c r="DX32" s="83">
        <f t="shared" si="7"/>
        <v>989.04925540199986</v>
      </c>
      <c r="DY32" s="83">
        <f t="shared" si="7"/>
        <v>1236.1730448513003</v>
      </c>
      <c r="DZ32" s="83">
        <f t="shared" si="7"/>
        <v>1594.7629917378001</v>
      </c>
      <c r="EA32" s="83">
        <f t="shared" si="7"/>
        <v>1900.8473437392004</v>
      </c>
      <c r="EB32" s="83">
        <f t="shared" si="7"/>
        <v>2013.6871285032003</v>
      </c>
      <c r="EC32" s="83">
        <f t="shared" si="7"/>
        <v>2138.7822328463999</v>
      </c>
      <c r="ED32" s="83">
        <f t="shared" si="7"/>
        <v>1844.5334715005004</v>
      </c>
    </row>
    <row r="33" spans="2:134" x14ac:dyDescent="0.3">
      <c r="B33" s="45">
        <f t="shared" si="5"/>
        <v>1000000029</v>
      </c>
      <c r="C33" s="46">
        <v>41030</v>
      </c>
      <c r="D33" s="66">
        <v>108.2331366115</v>
      </c>
      <c r="E33" s="66">
        <v>190.33258733020003</v>
      </c>
      <c r="F33" s="66">
        <v>163.101487582</v>
      </c>
      <c r="G33" s="66">
        <v>145.62695456680001</v>
      </c>
      <c r="H33" s="66">
        <v>98.753854664800016</v>
      </c>
      <c r="I33" s="66">
        <v>113.4245427628</v>
      </c>
      <c r="J33" s="66">
        <v>112.26162785650001</v>
      </c>
      <c r="K33" s="66">
        <v>111.06516408040002</v>
      </c>
      <c r="L33" s="66">
        <v>130.68509853460003</v>
      </c>
      <c r="M33" s="66">
        <v>125.34973996210002</v>
      </c>
      <c r="N33" s="66">
        <v>118.476612277</v>
      </c>
      <c r="O33" s="66">
        <v>102.5506185373</v>
      </c>
      <c r="P33" s="66">
        <v>131.91368516590003</v>
      </c>
      <c r="Q33" s="66">
        <v>434.21868568359997</v>
      </c>
      <c r="R33" s="66">
        <v>178.65773074660001</v>
      </c>
      <c r="S33" s="66">
        <v>180.88216341580002</v>
      </c>
      <c r="T33" s="66">
        <v>141.7396762939</v>
      </c>
      <c r="U33" s="66">
        <v>155.43039214809997</v>
      </c>
      <c r="V33" s="66">
        <v>164.02678342390001</v>
      </c>
      <c r="W33" s="66">
        <v>148.77619523080003</v>
      </c>
      <c r="X33" s="66">
        <v>160.18367407690002</v>
      </c>
      <c r="Y33" s="66">
        <v>177.00771927430003</v>
      </c>
      <c r="Z33" s="66">
        <v>150.40462885060001</v>
      </c>
      <c r="AA33" s="66">
        <v>132.32178802840002</v>
      </c>
      <c r="AB33" s="66">
        <v>190.54101062199999</v>
      </c>
      <c r="AC33" s="66">
        <v>307.23332393470002</v>
      </c>
      <c r="AD33" s="66">
        <v>240.26028555880004</v>
      </c>
      <c r="AE33" s="66">
        <v>224.21390616549996</v>
      </c>
      <c r="AF33" s="66">
        <v>174.16998774700002</v>
      </c>
      <c r="AG33" s="66">
        <v>186.61226534560001</v>
      </c>
      <c r="AH33" s="66">
        <v>193.34027728180001</v>
      </c>
      <c r="AI33" s="66">
        <v>237.37061707870001</v>
      </c>
      <c r="AJ33" s="66">
        <v>211.4656358551</v>
      </c>
      <c r="AK33" s="66">
        <v>235.3087500739</v>
      </c>
      <c r="AL33" s="66">
        <v>199.7154256579</v>
      </c>
      <c r="AM33" s="66">
        <v>169.79024659000001</v>
      </c>
      <c r="AN33" s="66">
        <v>208.11063629500006</v>
      </c>
      <c r="AO33" s="66">
        <v>348.43066056850012</v>
      </c>
      <c r="AP33" s="66">
        <v>349.05780677890004</v>
      </c>
      <c r="AQ33" s="66">
        <v>267.66134373130001</v>
      </c>
      <c r="AR33" s="66">
        <v>218.25984489010008</v>
      </c>
      <c r="AS33" s="66">
        <v>215.42207583610002</v>
      </c>
      <c r="AT33" s="66">
        <v>238.98963149679997</v>
      </c>
      <c r="AU33" s="66">
        <v>239.01413643189997</v>
      </c>
      <c r="AV33" s="66">
        <v>240.10717662280001</v>
      </c>
      <c r="AW33" s="66">
        <v>219.99046371399999</v>
      </c>
      <c r="AX33" s="66">
        <v>211.25312215299999</v>
      </c>
      <c r="AY33" s="66">
        <v>209.37599909230002</v>
      </c>
      <c r="AZ33" s="66">
        <v>227.48867364100002</v>
      </c>
      <c r="BA33" s="66">
        <v>415.49661505360007</v>
      </c>
      <c r="BB33" s="66">
        <v>332.41828036539999</v>
      </c>
      <c r="BC33" s="66">
        <v>282.53929179340003</v>
      </c>
      <c r="BD33" s="66">
        <v>279.48949688440001</v>
      </c>
      <c r="BE33" s="66">
        <v>241.56854137420007</v>
      </c>
      <c r="BF33" s="66">
        <v>231.92192787220003</v>
      </c>
      <c r="BG33" s="66">
        <v>225.23512025260001</v>
      </c>
      <c r="BH33" s="66">
        <v>240.7814938951</v>
      </c>
      <c r="BI33" s="66">
        <v>237.68272664259999</v>
      </c>
      <c r="BJ33" s="66">
        <v>198.36074931459996</v>
      </c>
      <c r="BK33" s="66">
        <v>184.12319438800003</v>
      </c>
      <c r="BL33" s="66">
        <v>227.15971458879997</v>
      </c>
      <c r="BM33" s="66">
        <v>364.39812131170009</v>
      </c>
      <c r="BN33" s="66">
        <v>324.64999077849996</v>
      </c>
      <c r="BO33" s="66">
        <v>315.29158233250001</v>
      </c>
      <c r="BP33" s="66">
        <v>262.25813688520003</v>
      </c>
      <c r="BQ33" s="66">
        <v>227.36220866200003</v>
      </c>
      <c r="BR33" s="66">
        <v>252.65070125799997</v>
      </c>
      <c r="BS33" s="66">
        <v>212.4446699314</v>
      </c>
      <c r="BT33" s="66">
        <v>236.29483916980001</v>
      </c>
      <c r="BU33" s="66">
        <v>239.13658605400002</v>
      </c>
      <c r="BV33" s="66">
        <v>228.6721531789</v>
      </c>
      <c r="BW33" s="66">
        <v>185.73995720409999</v>
      </c>
      <c r="BX33" s="66">
        <v>276.7537629277</v>
      </c>
      <c r="BY33" s="66">
        <v>336.49142838340003</v>
      </c>
      <c r="BZ33" s="66">
        <v>262.98311520250002</v>
      </c>
      <c r="CA33" s="66">
        <v>243.78411774219998</v>
      </c>
      <c r="CB33" s="66">
        <v>269.71469217520001</v>
      </c>
      <c r="CC33" s="66">
        <v>292.80881098870003</v>
      </c>
      <c r="CD33" s="66">
        <v>303.56227450720007</v>
      </c>
      <c r="CE33" s="66">
        <v>252.72680540559998</v>
      </c>
      <c r="CF33" s="66">
        <v>233.05797366130003</v>
      </c>
      <c r="CG33" s="66">
        <v>267.33013307710007</v>
      </c>
      <c r="CH33" s="66">
        <v>218.4316421227</v>
      </c>
      <c r="CI33" s="66">
        <v>190.8950750365</v>
      </c>
      <c r="CJ33" s="66">
        <v>244.88661466149998</v>
      </c>
      <c r="CK33" s="66">
        <v>336.95075519140005</v>
      </c>
      <c r="CL33" s="66">
        <v>334.60983964540003</v>
      </c>
      <c r="CM33" s="66">
        <v>332.36454213100006</v>
      </c>
      <c r="CN33" s="66">
        <v>284.53105892259998</v>
      </c>
      <c r="CO33" s="66">
        <v>264.80785099000002</v>
      </c>
      <c r="CP33" s="66">
        <v>272.89211539090002</v>
      </c>
      <c r="CQ33" s="66">
        <v>217.67086333359998</v>
      </c>
      <c r="CR33" s="66">
        <v>229.38031953460003</v>
      </c>
      <c r="CS33" s="66">
        <v>243.51955450720004</v>
      </c>
      <c r="CT33" s="66">
        <v>238.14869567650001</v>
      </c>
      <c r="CU33" s="66">
        <v>200.26808136880001</v>
      </c>
      <c r="CV33" s="66">
        <v>237.74314462959998</v>
      </c>
      <c r="CW33" s="66">
        <v>280.16460221739999</v>
      </c>
      <c r="CX33" s="66">
        <v>303.63571425910004</v>
      </c>
      <c r="CY33" s="66">
        <v>280.4795638105</v>
      </c>
      <c r="CZ33" s="66">
        <v>183.79997692090001</v>
      </c>
      <c r="DA33" s="66">
        <v>208.3547850052</v>
      </c>
      <c r="DB33" s="66">
        <v>228.81644334040001</v>
      </c>
      <c r="DC33" s="66">
        <v>228.52362250030004</v>
      </c>
      <c r="DD33" s="66">
        <v>236.23787363920005</v>
      </c>
      <c r="DE33" s="66">
        <v>232.44171019390001</v>
      </c>
      <c r="DF33" s="66">
        <v>193.52550907299999</v>
      </c>
      <c r="DG33" s="66">
        <v>174.20214812890003</v>
      </c>
      <c r="DH33" s="66">
        <v>195.82728427090001</v>
      </c>
      <c r="DI33" s="66">
        <v>232.03105551580001</v>
      </c>
      <c r="DJ33" s="66">
        <v>258.91349469430003</v>
      </c>
      <c r="DK33" s="66">
        <v>233.63487162039999</v>
      </c>
      <c r="DL33" s="66">
        <v>178.3876510867</v>
      </c>
      <c r="DM33" s="66">
        <v>182.53919238099999</v>
      </c>
      <c r="DN33" s="66">
        <v>225.93270407890003</v>
      </c>
      <c r="DO33" s="66">
        <v>194.61089381709999</v>
      </c>
      <c r="DP33" s="79"/>
      <c r="DQ33" s="80"/>
      <c r="DR33" s="81"/>
      <c r="DS33" s="84">
        <f t="shared" si="3"/>
        <v>2012</v>
      </c>
      <c r="DT33" s="80"/>
      <c r="DU33" s="83">
        <f t="shared" si="7"/>
        <v>1519.861424766</v>
      </c>
      <c r="DV33" s="83">
        <f t="shared" si="7"/>
        <v>2155.5631223388</v>
      </c>
      <c r="DW33" s="83">
        <f t="shared" si="7"/>
        <v>2570.0217319110006</v>
      </c>
      <c r="DX33" s="83">
        <f t="shared" si="7"/>
        <v>2965.6728976107001</v>
      </c>
      <c r="DY33" s="83">
        <f t="shared" si="7"/>
        <v>3097.1061114771005</v>
      </c>
      <c r="DZ33" s="83">
        <f t="shared" si="7"/>
        <v>3076.0586613548999</v>
      </c>
      <c r="EA33" s="83">
        <f t="shared" si="7"/>
        <v>3148.5398312301004</v>
      </c>
      <c r="EB33" s="83">
        <f t="shared" si="7"/>
        <v>3200.0302913535002</v>
      </c>
      <c r="EC33" s="83">
        <f t="shared" si="7"/>
        <v>2787.9250937183997</v>
      </c>
      <c r="ED33" s="83">
        <f t="shared" si="7"/>
        <v>1701.8771474651003</v>
      </c>
    </row>
    <row r="34" spans="2:134" x14ac:dyDescent="0.3">
      <c r="B34" s="45">
        <f t="shared" si="5"/>
        <v>1000000030</v>
      </c>
      <c r="C34" s="46">
        <v>41395</v>
      </c>
      <c r="D34" s="66">
        <v>35.1919182655</v>
      </c>
      <c r="E34" s="66">
        <v>116.04762156610003</v>
      </c>
      <c r="F34" s="66">
        <v>86.445810072100016</v>
      </c>
      <c r="G34" s="66">
        <v>78.637554549699985</v>
      </c>
      <c r="H34" s="66">
        <v>54.501431857299991</v>
      </c>
      <c r="I34" s="66">
        <v>77.260850033500006</v>
      </c>
      <c r="J34" s="66">
        <v>73.4754192244</v>
      </c>
      <c r="K34" s="66">
        <v>91.540584970899999</v>
      </c>
      <c r="L34" s="66">
        <v>96.059099864499998</v>
      </c>
      <c r="M34" s="66">
        <v>87.141667670200022</v>
      </c>
      <c r="N34" s="66">
        <v>77.579076449499993</v>
      </c>
      <c r="O34" s="66">
        <v>60.660839235099999</v>
      </c>
      <c r="P34" s="66">
        <v>77.129694216999994</v>
      </c>
      <c r="Q34" s="66">
        <v>307.06846914160002</v>
      </c>
      <c r="R34" s="66">
        <v>129.01290878259999</v>
      </c>
      <c r="S34" s="66">
        <v>100.23961177120002</v>
      </c>
      <c r="T34" s="66">
        <v>94.636837934499994</v>
      </c>
      <c r="U34" s="66">
        <v>95.766166444299998</v>
      </c>
      <c r="V34" s="66">
        <v>102.68590229079999</v>
      </c>
      <c r="W34" s="66">
        <v>107.25714219790002</v>
      </c>
      <c r="X34" s="66">
        <v>113.36266123450001</v>
      </c>
      <c r="Y34" s="66">
        <v>147.02955250600002</v>
      </c>
      <c r="Z34" s="66">
        <v>146.44725070210001</v>
      </c>
      <c r="AA34" s="66">
        <v>120.19634835790004</v>
      </c>
      <c r="AB34" s="66">
        <v>131.37821668360002</v>
      </c>
      <c r="AC34" s="66">
        <v>250.99374734620005</v>
      </c>
      <c r="AD34" s="66">
        <v>161.44085605360002</v>
      </c>
      <c r="AE34" s="66">
        <v>173.7818866156</v>
      </c>
      <c r="AF34" s="66">
        <v>155.39095158639998</v>
      </c>
      <c r="AG34" s="66">
        <v>146.64036310029999</v>
      </c>
      <c r="AH34" s="66">
        <v>161.72692208770005</v>
      </c>
      <c r="AI34" s="66">
        <v>171.08390451909997</v>
      </c>
      <c r="AJ34" s="66">
        <v>140.72821914880001</v>
      </c>
      <c r="AK34" s="66">
        <v>151.90697275840003</v>
      </c>
      <c r="AL34" s="66">
        <v>146.54872289890002</v>
      </c>
      <c r="AM34" s="66">
        <v>128.46257972710001</v>
      </c>
      <c r="AN34" s="66">
        <v>129.9927684463</v>
      </c>
      <c r="AO34" s="66">
        <v>186.23894973399999</v>
      </c>
      <c r="AP34" s="66">
        <v>191.81744379580002</v>
      </c>
      <c r="AQ34" s="66">
        <v>188.26891904380003</v>
      </c>
      <c r="AR34" s="66">
        <v>158.19228221470001</v>
      </c>
      <c r="AS34" s="66">
        <v>154.56423838540002</v>
      </c>
      <c r="AT34" s="66">
        <v>162.42191657170002</v>
      </c>
      <c r="AU34" s="66">
        <v>152.46743402289999</v>
      </c>
      <c r="AV34" s="66">
        <v>131.09083721499999</v>
      </c>
      <c r="AW34" s="66">
        <v>143.86331224689999</v>
      </c>
      <c r="AX34" s="66">
        <v>148.06922972950002</v>
      </c>
      <c r="AY34" s="66">
        <v>156.07738998280001</v>
      </c>
      <c r="AZ34" s="66">
        <v>179.72483998780001</v>
      </c>
      <c r="BA34" s="66">
        <v>199.64419998130001</v>
      </c>
      <c r="BB34" s="66">
        <v>234.5243294638</v>
      </c>
      <c r="BC34" s="66">
        <v>203.36561024019997</v>
      </c>
      <c r="BD34" s="66">
        <v>178.74569333139999</v>
      </c>
      <c r="BE34" s="66">
        <v>183.3883090219</v>
      </c>
      <c r="BF34" s="66">
        <v>187.86535691200001</v>
      </c>
      <c r="BG34" s="66">
        <v>197.0395843144</v>
      </c>
      <c r="BH34" s="66">
        <v>190.27539663940001</v>
      </c>
      <c r="BI34" s="66">
        <v>206.58322455160001</v>
      </c>
      <c r="BJ34" s="66">
        <v>160.76406201909998</v>
      </c>
      <c r="BK34" s="66">
        <v>164.4416786191</v>
      </c>
      <c r="BL34" s="66">
        <v>146.3723474089</v>
      </c>
      <c r="BM34" s="66">
        <v>281.77025713030008</v>
      </c>
      <c r="BN34" s="66">
        <v>155.30280136810001</v>
      </c>
      <c r="BO34" s="66">
        <v>178.42675390809998</v>
      </c>
      <c r="BP34" s="66">
        <v>155.47268473899999</v>
      </c>
      <c r="BQ34" s="66">
        <v>154.79791714629999</v>
      </c>
      <c r="BR34" s="66">
        <v>178.03606343440001</v>
      </c>
      <c r="BS34" s="66">
        <v>147.49326993789998</v>
      </c>
      <c r="BT34" s="66">
        <v>153.55229339319999</v>
      </c>
      <c r="BU34" s="66">
        <v>155.26865207110001</v>
      </c>
      <c r="BV34" s="66">
        <v>151.79705705410001</v>
      </c>
      <c r="BW34" s="66">
        <v>133.51708847680001</v>
      </c>
      <c r="BX34" s="66">
        <v>182.46736627720003</v>
      </c>
      <c r="BY34" s="66">
        <v>218.41614359559998</v>
      </c>
      <c r="BZ34" s="66">
        <v>167.8455754693</v>
      </c>
      <c r="CA34" s="66">
        <v>151.45518881710001</v>
      </c>
      <c r="CB34" s="66">
        <v>167.2893171952</v>
      </c>
      <c r="CC34" s="66">
        <v>228.34169305869997</v>
      </c>
      <c r="CD34" s="66">
        <v>249.28301767329998</v>
      </c>
      <c r="CE34" s="66">
        <v>209.63144333919999</v>
      </c>
      <c r="CF34" s="66">
        <v>200.00036589100003</v>
      </c>
      <c r="CG34" s="66">
        <v>211.10545458849998</v>
      </c>
      <c r="CH34" s="66">
        <v>209.35314533199997</v>
      </c>
      <c r="CI34" s="66">
        <v>159.17499390759997</v>
      </c>
      <c r="CJ34" s="66">
        <v>190.04723430339999</v>
      </c>
      <c r="CK34" s="66">
        <v>251.09690824450001</v>
      </c>
      <c r="CL34" s="66">
        <v>216.59729950000002</v>
      </c>
      <c r="CM34" s="66">
        <v>236.72087979489999</v>
      </c>
      <c r="CN34" s="66">
        <v>181.2882023098</v>
      </c>
      <c r="CO34" s="66">
        <v>182.99649274720002</v>
      </c>
      <c r="CP34" s="66">
        <v>195.15217893789998</v>
      </c>
      <c r="CQ34" s="66">
        <v>207.1432354957</v>
      </c>
      <c r="CR34" s="66">
        <v>214.27799933320006</v>
      </c>
      <c r="CS34" s="66">
        <v>201.49899465550001</v>
      </c>
      <c r="CT34" s="66">
        <v>178.73965153269998</v>
      </c>
      <c r="CU34" s="66">
        <v>180.20172929140003</v>
      </c>
      <c r="CV34" s="66">
        <v>151.8046374475</v>
      </c>
      <c r="CW34" s="66">
        <v>223.76133416350001</v>
      </c>
      <c r="CX34" s="66">
        <v>256.85455477210002</v>
      </c>
      <c r="CY34" s="66">
        <v>254.32720658049999</v>
      </c>
      <c r="CZ34" s="66">
        <v>216.44186390860003</v>
      </c>
      <c r="DA34" s="66">
        <v>191.13104292609998</v>
      </c>
      <c r="DB34" s="66">
        <v>203.26143612100003</v>
      </c>
      <c r="DC34" s="66">
        <v>200.23524550630003</v>
      </c>
      <c r="DD34" s="66">
        <v>191.1539342131</v>
      </c>
      <c r="DE34" s="66">
        <v>180.36249367419998</v>
      </c>
      <c r="DF34" s="66">
        <v>193.13076571569999</v>
      </c>
      <c r="DG34" s="66">
        <v>182.10714748390001</v>
      </c>
      <c r="DH34" s="66">
        <v>187.05605609980003</v>
      </c>
      <c r="DI34" s="66">
        <v>230.51910477279998</v>
      </c>
      <c r="DJ34" s="66">
        <v>249.38047451319994</v>
      </c>
      <c r="DK34" s="66">
        <v>215.87209602249999</v>
      </c>
      <c r="DL34" s="66">
        <v>216.76575685629996</v>
      </c>
      <c r="DM34" s="66">
        <v>210.85972975690001</v>
      </c>
      <c r="DN34" s="66">
        <v>197.07200738320003</v>
      </c>
      <c r="DO34" s="66">
        <v>193.68784957720001</v>
      </c>
      <c r="DP34" s="79"/>
      <c r="DQ34" s="80"/>
      <c r="DR34" s="81"/>
      <c r="DS34" s="84">
        <f t="shared" si="3"/>
        <v>2013</v>
      </c>
      <c r="DT34" s="80"/>
      <c r="DU34" s="83">
        <f t="shared" si="7"/>
        <v>934.54187375879997</v>
      </c>
      <c r="DV34" s="83">
        <f t="shared" si="7"/>
        <v>1540.8325455804002</v>
      </c>
      <c r="DW34" s="83">
        <f t="shared" si="7"/>
        <v>1920.0833425257003</v>
      </c>
      <c r="DX34" s="83">
        <f t="shared" si="7"/>
        <v>1903.0647213888001</v>
      </c>
      <c r="DY34" s="83">
        <f t="shared" si="7"/>
        <v>2286.3622850820002</v>
      </c>
      <c r="DZ34" s="83">
        <f t="shared" si="7"/>
        <v>1991.8071860681998</v>
      </c>
      <c r="EA34" s="83">
        <f t="shared" si="7"/>
        <v>2354.3637051446999</v>
      </c>
      <c r="EB34" s="83">
        <f t="shared" si="7"/>
        <v>2435.7608061462006</v>
      </c>
      <c r="EC34" s="83">
        <f t="shared" si="7"/>
        <v>2444.5716625125001</v>
      </c>
      <c r="ED34" s="83">
        <f t="shared" si="7"/>
        <v>1701.2130749819</v>
      </c>
    </row>
    <row r="35" spans="2:134" x14ac:dyDescent="0.3">
      <c r="B35" s="45">
        <f t="shared" si="5"/>
        <v>1000000031</v>
      </c>
      <c r="C35" s="46">
        <v>41426</v>
      </c>
      <c r="D35" s="66">
        <v>30.813340436200001</v>
      </c>
      <c r="E35" s="66">
        <v>65.874761406399998</v>
      </c>
      <c r="F35" s="66">
        <v>73.076848143700005</v>
      </c>
      <c r="G35" s="66">
        <v>58.039073866300001</v>
      </c>
      <c r="H35" s="66">
        <v>64.702990198899997</v>
      </c>
      <c r="I35" s="66">
        <v>52.469886426100004</v>
      </c>
      <c r="J35" s="66">
        <v>50.547093371500004</v>
      </c>
      <c r="K35" s="66">
        <v>60.852000244900012</v>
      </c>
      <c r="L35" s="66">
        <v>59.614632365799991</v>
      </c>
      <c r="M35" s="66">
        <v>54.749933664699995</v>
      </c>
      <c r="N35" s="66">
        <v>48.169176499300008</v>
      </c>
      <c r="O35" s="66">
        <v>53.403888462399998</v>
      </c>
      <c r="P35" s="66">
        <v>62.06989176670001</v>
      </c>
      <c r="Q35" s="66">
        <v>227.91670318120001</v>
      </c>
      <c r="R35" s="66">
        <v>97.454905471000004</v>
      </c>
      <c r="S35" s="66">
        <v>75.224388604599994</v>
      </c>
      <c r="T35" s="66">
        <v>60.781937895999988</v>
      </c>
      <c r="U35" s="66">
        <v>74.45017525690001</v>
      </c>
      <c r="V35" s="66">
        <v>75.703266823299984</v>
      </c>
      <c r="W35" s="66">
        <v>90.874073252199992</v>
      </c>
      <c r="X35" s="66">
        <v>110.37467280040002</v>
      </c>
      <c r="Y35" s="66">
        <v>100.5844070908</v>
      </c>
      <c r="Z35" s="66">
        <v>75.303157147900023</v>
      </c>
      <c r="AA35" s="66">
        <v>73.927728539499981</v>
      </c>
      <c r="AB35" s="66">
        <v>82.864186770700016</v>
      </c>
      <c r="AC35" s="66">
        <v>139.31785318270002</v>
      </c>
      <c r="AD35" s="66">
        <v>141.68023400110002</v>
      </c>
      <c r="AE35" s="66">
        <v>115.56716722600002</v>
      </c>
      <c r="AF35" s="66">
        <v>99.438078985900006</v>
      </c>
      <c r="AG35" s="66">
        <v>128.70545252950001</v>
      </c>
      <c r="AH35" s="66">
        <v>129.7454674933</v>
      </c>
      <c r="AI35" s="66">
        <v>132.80561977149998</v>
      </c>
      <c r="AJ35" s="66">
        <v>150.39723609070001</v>
      </c>
      <c r="AK35" s="66">
        <v>155.25863244220002</v>
      </c>
      <c r="AL35" s="66">
        <v>104.02920804400001</v>
      </c>
      <c r="AM35" s="66">
        <v>115.12953085060001</v>
      </c>
      <c r="AN35" s="66">
        <v>116.7936523621</v>
      </c>
      <c r="AO35" s="66">
        <v>216.43053084520002</v>
      </c>
      <c r="AP35" s="66">
        <v>265.76365603900001</v>
      </c>
      <c r="AQ35" s="66">
        <v>202.67009038239999</v>
      </c>
      <c r="AR35" s="66">
        <v>159.0168939205</v>
      </c>
      <c r="AS35" s="66">
        <v>170.53094859460003</v>
      </c>
      <c r="AT35" s="66">
        <v>171.29352866529999</v>
      </c>
      <c r="AU35" s="66">
        <v>189.95611947580002</v>
      </c>
      <c r="AV35" s="66">
        <v>186.33336691119996</v>
      </c>
      <c r="AW35" s="66">
        <v>186.07912351870004</v>
      </c>
      <c r="AX35" s="66">
        <v>148.24158986260002</v>
      </c>
      <c r="AY35" s="66">
        <v>164.25190609719999</v>
      </c>
      <c r="AZ35" s="66">
        <v>197.8423179541</v>
      </c>
      <c r="BA35" s="66">
        <v>281.01882248950005</v>
      </c>
      <c r="BB35" s="66">
        <v>285.56600778190005</v>
      </c>
      <c r="BC35" s="66">
        <v>213.12236460669999</v>
      </c>
      <c r="BD35" s="66">
        <v>176.91120060189999</v>
      </c>
      <c r="BE35" s="66">
        <v>182.9365626073</v>
      </c>
      <c r="BF35" s="66">
        <v>191.13607150389998</v>
      </c>
      <c r="BG35" s="66">
        <v>215.07652998250001</v>
      </c>
      <c r="BH35" s="66">
        <v>195.6545863975</v>
      </c>
      <c r="BI35" s="66">
        <v>210.90678823870005</v>
      </c>
      <c r="BJ35" s="66">
        <v>171.75278041990003</v>
      </c>
      <c r="BK35" s="66">
        <v>138.00569459049998</v>
      </c>
      <c r="BL35" s="66">
        <v>166.20517083220003</v>
      </c>
      <c r="BM35" s="66">
        <v>273.20685182380004</v>
      </c>
      <c r="BN35" s="66">
        <v>301.51189067259998</v>
      </c>
      <c r="BO35" s="66">
        <v>241.24659981490001</v>
      </c>
      <c r="BP35" s="66">
        <v>247.15198896040002</v>
      </c>
      <c r="BQ35" s="66">
        <v>162.69192117820003</v>
      </c>
      <c r="BR35" s="66">
        <v>185.06815422069999</v>
      </c>
      <c r="BS35" s="66">
        <v>186.29741633259999</v>
      </c>
      <c r="BT35" s="66">
        <v>181.42630056580001</v>
      </c>
      <c r="BU35" s="66">
        <v>203.54348679820001</v>
      </c>
      <c r="BV35" s="66">
        <v>173.49154253770001</v>
      </c>
      <c r="BW35" s="66">
        <v>159.95153391069999</v>
      </c>
      <c r="BX35" s="66">
        <v>212.27276011870001</v>
      </c>
      <c r="BY35" s="66">
        <v>234.87734313070001</v>
      </c>
      <c r="BZ35" s="66">
        <v>260.33433060970003</v>
      </c>
      <c r="CA35" s="66">
        <v>211.8611297464</v>
      </c>
      <c r="CB35" s="66">
        <v>232.97624050870004</v>
      </c>
      <c r="CC35" s="66">
        <v>222.62194849810004</v>
      </c>
      <c r="CD35" s="66">
        <v>213.45027291129998</v>
      </c>
      <c r="CE35" s="66">
        <v>219.80917222630001</v>
      </c>
      <c r="CF35" s="66">
        <v>229.63324949259996</v>
      </c>
      <c r="CG35" s="66">
        <v>211.54676858050001</v>
      </c>
      <c r="CH35" s="66">
        <v>187.12964595850002</v>
      </c>
      <c r="CI35" s="66">
        <v>164.43469865290001</v>
      </c>
      <c r="CJ35" s="66">
        <v>162.89175085570002</v>
      </c>
      <c r="CK35" s="66">
        <v>203.65527883749996</v>
      </c>
      <c r="CL35" s="66">
        <v>235.39870157380003</v>
      </c>
      <c r="CM35" s="66">
        <v>237.9463892368</v>
      </c>
      <c r="CN35" s="66">
        <v>188.3855145007</v>
      </c>
      <c r="CO35" s="66">
        <v>195.19428389530003</v>
      </c>
      <c r="CP35" s="66">
        <v>201.93509243619999</v>
      </c>
      <c r="CQ35" s="66">
        <v>208.60347444610002</v>
      </c>
      <c r="CR35" s="66">
        <v>195.74367478330001</v>
      </c>
      <c r="CS35" s="66">
        <v>227.04045473619999</v>
      </c>
      <c r="CT35" s="66">
        <v>220.61723465739999</v>
      </c>
      <c r="CU35" s="66">
        <v>184.9889728837</v>
      </c>
      <c r="CV35" s="66">
        <v>156.88834196980002</v>
      </c>
      <c r="CW35" s="66">
        <v>203.98442552320003</v>
      </c>
      <c r="CX35" s="66">
        <v>214.74561954189997</v>
      </c>
      <c r="CY35" s="66">
        <v>175.6095494857</v>
      </c>
      <c r="CZ35" s="66">
        <v>183.36691880290005</v>
      </c>
      <c r="DA35" s="66">
        <v>171.18717799750002</v>
      </c>
      <c r="DB35" s="66">
        <v>146.09517520270001</v>
      </c>
      <c r="DC35" s="66">
        <v>163.739816749</v>
      </c>
      <c r="DD35" s="66">
        <v>210.54608159830005</v>
      </c>
      <c r="DE35" s="66">
        <v>181.5322384399</v>
      </c>
      <c r="DF35" s="66">
        <v>190.33468882540001</v>
      </c>
      <c r="DG35" s="66">
        <v>197.63607121090001</v>
      </c>
      <c r="DH35" s="66">
        <v>157.15294273149999</v>
      </c>
      <c r="DI35" s="66">
        <v>212.33753120290004</v>
      </c>
      <c r="DJ35" s="66">
        <v>207.81304956399998</v>
      </c>
      <c r="DK35" s="66">
        <v>174.71757735340003</v>
      </c>
      <c r="DL35" s="66">
        <v>198.4042052332</v>
      </c>
      <c r="DM35" s="66">
        <v>193.3826449261</v>
      </c>
      <c r="DN35" s="66">
        <v>194.57696968030004</v>
      </c>
      <c r="DO35" s="66">
        <v>207.1346043547</v>
      </c>
      <c r="DP35" s="79"/>
      <c r="DQ35" s="80"/>
      <c r="DR35" s="81"/>
      <c r="DS35" s="84">
        <f t="shared" si="3"/>
        <v>2013</v>
      </c>
      <c r="DT35" s="80"/>
      <c r="DU35" s="83">
        <f t="shared" ref="DU35:ED44" si="8">+SUMIF($D$3:$DO$3,DU$4,$D35:$DO35)</f>
        <v>672.31362508619998</v>
      </c>
      <c r="DV35" s="83">
        <f t="shared" si="8"/>
        <v>1124.6653078304998</v>
      </c>
      <c r="DW35" s="83">
        <f t="shared" si="8"/>
        <v>1494.9386673882</v>
      </c>
      <c r="DX35" s="83">
        <f t="shared" si="8"/>
        <v>2177.3614066746004</v>
      </c>
      <c r="DY35" s="83">
        <f t="shared" si="8"/>
        <v>2459.9297271743999</v>
      </c>
      <c r="DZ35" s="83">
        <f t="shared" si="8"/>
        <v>2481.7928576478002</v>
      </c>
      <c r="EA35" s="83">
        <f t="shared" si="8"/>
        <v>2600.9475604344002</v>
      </c>
      <c r="EB35" s="83">
        <f t="shared" si="8"/>
        <v>2462.4008228427001</v>
      </c>
      <c r="EC35" s="83">
        <f t="shared" si="8"/>
        <v>2195.6661053472003</v>
      </c>
      <c r="ED35" s="83">
        <f t="shared" si="8"/>
        <v>1545.5195250460999</v>
      </c>
    </row>
    <row r="36" spans="2:134" x14ac:dyDescent="0.3">
      <c r="B36" s="45">
        <f t="shared" si="5"/>
        <v>1000000032</v>
      </c>
      <c r="C36" s="46">
        <v>42156</v>
      </c>
      <c r="D36" s="66">
        <v>-8</v>
      </c>
      <c r="E36" s="66">
        <v>-8</v>
      </c>
      <c r="F36" s="66">
        <v>-8</v>
      </c>
      <c r="G36" s="66">
        <v>-8</v>
      </c>
      <c r="H36" s="66">
        <v>-8</v>
      </c>
      <c r="I36" s="66">
        <v>-8</v>
      </c>
      <c r="J36" s="66">
        <v>-8</v>
      </c>
      <c r="K36" s="66">
        <v>-8</v>
      </c>
      <c r="L36" s="66">
        <v>-8</v>
      </c>
      <c r="M36" s="66">
        <v>-8</v>
      </c>
      <c r="N36" s="66">
        <v>-8</v>
      </c>
      <c r="O36" s="66">
        <v>-8</v>
      </c>
      <c r="P36" s="66">
        <v>-8</v>
      </c>
      <c r="Q36" s="66">
        <v>-8</v>
      </c>
      <c r="R36" s="66">
        <v>-8</v>
      </c>
      <c r="S36" s="66">
        <v>-8</v>
      </c>
      <c r="T36" s="66">
        <v>-8</v>
      </c>
      <c r="U36" s="66">
        <v>18.077303830000002</v>
      </c>
      <c r="V36" s="66">
        <v>40.903031685100004</v>
      </c>
      <c r="W36" s="66">
        <v>52.437988731099999</v>
      </c>
      <c r="X36" s="66">
        <v>62.920922269300007</v>
      </c>
      <c r="Y36" s="66">
        <v>63.244890270399992</v>
      </c>
      <c r="Z36" s="66">
        <v>70.43977188129999</v>
      </c>
      <c r="AA36" s="66">
        <v>65.496905064100019</v>
      </c>
      <c r="AB36" s="66">
        <v>56.46220193229999</v>
      </c>
      <c r="AC36" s="66">
        <v>128.5304280007</v>
      </c>
      <c r="AD36" s="66">
        <v>105.5927204728</v>
      </c>
      <c r="AE36" s="66">
        <v>76.519097281299992</v>
      </c>
      <c r="AF36" s="66">
        <v>66.016424698899996</v>
      </c>
      <c r="AG36" s="66">
        <v>68.310431869900015</v>
      </c>
      <c r="AH36" s="66">
        <v>65.790251278000014</v>
      </c>
      <c r="AI36" s="66">
        <v>79.744892413299993</v>
      </c>
      <c r="AJ36" s="66">
        <v>95.332733059300011</v>
      </c>
      <c r="AK36" s="66">
        <v>83.874142847800002</v>
      </c>
      <c r="AL36" s="66">
        <v>65.857724284599996</v>
      </c>
      <c r="AM36" s="66">
        <v>60.826331982099987</v>
      </c>
      <c r="AN36" s="66">
        <v>62.433525489700003</v>
      </c>
      <c r="AO36" s="66">
        <v>133.86931408300001</v>
      </c>
      <c r="AP36" s="66">
        <v>136.99720205470001</v>
      </c>
      <c r="AQ36" s="66">
        <v>105.28612733380002</v>
      </c>
      <c r="AR36" s="66">
        <v>88.869471991599994</v>
      </c>
      <c r="AS36" s="66">
        <v>60.244367918500004</v>
      </c>
      <c r="AT36" s="66">
        <v>75.11713729600001</v>
      </c>
      <c r="AU36" s="66">
        <v>76.674532872699984</v>
      </c>
      <c r="AV36" s="66">
        <v>78.090115050099996</v>
      </c>
      <c r="AW36" s="66">
        <v>76.634304250300019</v>
      </c>
      <c r="AX36" s="66">
        <v>77.059256601100017</v>
      </c>
      <c r="AY36" s="66">
        <v>73.203951076600006</v>
      </c>
      <c r="AZ36" s="66">
        <v>70.371323180500013</v>
      </c>
      <c r="BA36" s="66">
        <v>141.06944943190001</v>
      </c>
      <c r="BB36" s="66">
        <v>135.37368443259999</v>
      </c>
      <c r="BC36" s="66">
        <v>146.63623516330003</v>
      </c>
      <c r="BD36" s="66">
        <v>125.46367102329998</v>
      </c>
      <c r="BE36" s="66">
        <v>91.826613478300004</v>
      </c>
      <c r="BF36" s="66">
        <v>92.379081555699997</v>
      </c>
      <c r="BG36" s="66">
        <v>108.0311679121</v>
      </c>
      <c r="BH36" s="66">
        <v>106.13351774649998</v>
      </c>
      <c r="BI36" s="66">
        <v>109.09838973340001</v>
      </c>
      <c r="BJ36" s="66">
        <v>97.654134721299982</v>
      </c>
      <c r="BK36" s="66">
        <v>76.5917489725</v>
      </c>
      <c r="BL36" s="66">
        <v>94.283373947200005</v>
      </c>
      <c r="BM36" s="66">
        <v>170.35903878190001</v>
      </c>
      <c r="BN36" s="66">
        <v>170.60750306260002</v>
      </c>
      <c r="BO36" s="66">
        <v>122.75360532940002</v>
      </c>
      <c r="BP36" s="66">
        <v>132.03647252830001</v>
      </c>
      <c r="BQ36" s="66">
        <v>87.493442955999996</v>
      </c>
      <c r="BR36" s="66">
        <v>97.780637227</v>
      </c>
      <c r="BS36" s="66">
        <v>136.64460118150001</v>
      </c>
      <c r="BT36" s="66">
        <v>134.6016101068</v>
      </c>
      <c r="BU36" s="66">
        <v>137.95792310139998</v>
      </c>
      <c r="BV36" s="66">
        <v>133.1749950796</v>
      </c>
      <c r="BW36" s="66">
        <v>105.22949954350001</v>
      </c>
      <c r="BX36" s="66">
        <v>154.54558761550001</v>
      </c>
      <c r="BY36" s="66">
        <v>199.29523919800002</v>
      </c>
      <c r="BZ36" s="66">
        <v>185.21668489930002</v>
      </c>
      <c r="CA36" s="66">
        <v>150.79100375380003</v>
      </c>
      <c r="CB36" s="66">
        <v>186.65042999950001</v>
      </c>
      <c r="CC36" s="66">
        <v>179.11154112970002</v>
      </c>
      <c r="CD36" s="66">
        <v>210.73018758850003</v>
      </c>
      <c r="CE36" s="66">
        <v>182.52947296569999</v>
      </c>
      <c r="CF36" s="66">
        <v>187.67475880270001</v>
      </c>
      <c r="CG36" s="66">
        <v>156.79039728279997</v>
      </c>
      <c r="CH36" s="66">
        <v>154.82054574640003</v>
      </c>
      <c r="CI36" s="66">
        <v>150.420089851</v>
      </c>
      <c r="CJ36" s="66">
        <v>146.57656771030003</v>
      </c>
      <c r="CK36" s="66">
        <v>253.91790286360003</v>
      </c>
      <c r="CL36" s="66">
        <v>266.99314331109997</v>
      </c>
      <c r="CM36" s="66">
        <v>234.26228051770002</v>
      </c>
      <c r="CN36" s="66">
        <v>209.05713472240004</v>
      </c>
      <c r="CO36" s="66">
        <v>190.88389207990002</v>
      </c>
      <c r="CP36" s="66">
        <v>190.72485392529995</v>
      </c>
      <c r="CQ36" s="66">
        <v>174.1169625199</v>
      </c>
      <c r="CR36" s="66">
        <v>227.72141423439999</v>
      </c>
      <c r="CS36" s="66">
        <v>177.67929709750004</v>
      </c>
      <c r="CT36" s="66">
        <v>156.59968659339998</v>
      </c>
      <c r="CU36" s="66">
        <v>142.91234814219999</v>
      </c>
      <c r="CV36" s="66">
        <v>141.90798354339998</v>
      </c>
      <c r="CW36" s="66">
        <v>205.00526434329998</v>
      </c>
      <c r="CX36" s="66">
        <v>227.58357866530002</v>
      </c>
      <c r="CY36" s="66">
        <v>207.03617182059998</v>
      </c>
      <c r="CZ36" s="66">
        <v>154.00272637329999</v>
      </c>
      <c r="DA36" s="66">
        <v>161.5792920499</v>
      </c>
      <c r="DB36" s="66">
        <v>153.29076982090001</v>
      </c>
      <c r="DC36" s="66">
        <v>184.40231798260001</v>
      </c>
      <c r="DD36" s="66">
        <v>161.00171861019999</v>
      </c>
      <c r="DE36" s="66">
        <v>143.66168128779998</v>
      </c>
      <c r="DF36" s="66">
        <v>118.7997546907</v>
      </c>
      <c r="DG36" s="66">
        <v>128.05958049580005</v>
      </c>
      <c r="DH36" s="66">
        <v>176.13458554540003</v>
      </c>
      <c r="DI36" s="66">
        <v>271.58896320669999</v>
      </c>
      <c r="DJ36" s="66">
        <v>282.85845637690005</v>
      </c>
      <c r="DK36" s="66">
        <v>242.44606572700002</v>
      </c>
      <c r="DL36" s="66">
        <v>202.42380265029999</v>
      </c>
      <c r="DM36" s="66">
        <v>196.69523931520004</v>
      </c>
      <c r="DN36" s="66">
        <v>188.92327211170002</v>
      </c>
      <c r="DO36" s="66">
        <v>204.70351214859997</v>
      </c>
      <c r="DP36" s="79"/>
      <c r="DQ36" s="80"/>
      <c r="DR36" s="81"/>
      <c r="DS36" s="84">
        <f t="shared" si="3"/>
        <v>2015</v>
      </c>
      <c r="DT36" s="80"/>
      <c r="DU36" s="83">
        <f t="shared" si="8"/>
        <v>-96</v>
      </c>
      <c r="DV36" s="83">
        <f t="shared" si="8"/>
        <v>333.5208137313</v>
      </c>
      <c r="DW36" s="83">
        <f t="shared" si="8"/>
        <v>952.85738012100001</v>
      </c>
      <c r="DX36" s="83">
        <f t="shared" si="8"/>
        <v>1044.4793060181</v>
      </c>
      <c r="DY36" s="83">
        <f t="shared" si="8"/>
        <v>1300.6290173514001</v>
      </c>
      <c r="DZ36" s="83">
        <f t="shared" si="8"/>
        <v>1522.9227028451999</v>
      </c>
      <c r="EA36" s="83">
        <f t="shared" si="8"/>
        <v>2098.5759388329002</v>
      </c>
      <c r="EB36" s="83">
        <f t="shared" si="8"/>
        <v>2371.4454837177</v>
      </c>
      <c r="EC36" s="83">
        <f t="shared" si="8"/>
        <v>1986.3308396837999</v>
      </c>
      <c r="ED36" s="83">
        <f t="shared" si="8"/>
        <v>1765.7738970818</v>
      </c>
    </row>
    <row r="37" spans="2:134" x14ac:dyDescent="0.3">
      <c r="B37" s="45">
        <f t="shared" si="5"/>
        <v>1000000033</v>
      </c>
      <c r="C37" s="46">
        <v>40422</v>
      </c>
      <c r="D37" s="66">
        <v>56.722562176900013</v>
      </c>
      <c r="E37" s="66">
        <v>178.20485853100004</v>
      </c>
      <c r="F37" s="66">
        <v>90.019064919400009</v>
      </c>
      <c r="G37" s="66">
        <v>85.660789034800018</v>
      </c>
      <c r="H37" s="66">
        <v>85.2393641938</v>
      </c>
      <c r="I37" s="66">
        <v>45.424736348200007</v>
      </c>
      <c r="J37" s="66">
        <v>67.041504036100008</v>
      </c>
      <c r="K37" s="66">
        <v>67.063869949300013</v>
      </c>
      <c r="L37" s="66">
        <v>78.769986274000004</v>
      </c>
      <c r="M37" s="66">
        <v>63.278514193600003</v>
      </c>
      <c r="N37" s="66">
        <v>59.287286961700005</v>
      </c>
      <c r="O37" s="66">
        <v>68.358466045899988</v>
      </c>
      <c r="P37" s="66">
        <v>84.2680981444</v>
      </c>
      <c r="Q37" s="66">
        <v>340.632049408</v>
      </c>
      <c r="R37" s="66">
        <v>93.538544005600016</v>
      </c>
      <c r="S37" s="66">
        <v>78.751222924000004</v>
      </c>
      <c r="T37" s="66">
        <v>73.005547413700015</v>
      </c>
      <c r="U37" s="66">
        <v>82.932748051600015</v>
      </c>
      <c r="V37" s="66">
        <v>67.158249599800001</v>
      </c>
      <c r="W37" s="66">
        <v>81.483954744700014</v>
      </c>
      <c r="X37" s="66">
        <v>88.533307813000008</v>
      </c>
      <c r="Y37" s="66">
        <v>82.266761706699995</v>
      </c>
      <c r="Z37" s="66">
        <v>70.696567089400006</v>
      </c>
      <c r="AA37" s="66">
        <v>65.829504206200014</v>
      </c>
      <c r="AB37" s="66">
        <v>73.60860148270001</v>
      </c>
      <c r="AC37" s="66">
        <v>202.7978687959</v>
      </c>
      <c r="AD37" s="66">
        <v>108.203302885</v>
      </c>
      <c r="AE37" s="66">
        <v>101.61522801310001</v>
      </c>
      <c r="AF37" s="66">
        <v>76.111106998899999</v>
      </c>
      <c r="AG37" s="66">
        <v>67.954003273300003</v>
      </c>
      <c r="AH37" s="66">
        <v>96.018458448400011</v>
      </c>
      <c r="AI37" s="66">
        <v>73.890464526399995</v>
      </c>
      <c r="AJ37" s="66">
        <v>108.06576752949999</v>
      </c>
      <c r="AK37" s="66">
        <v>74.992961445700004</v>
      </c>
      <c r="AL37" s="66">
        <v>65.778167680600006</v>
      </c>
      <c r="AM37" s="66">
        <v>69.822720353200012</v>
      </c>
      <c r="AN37" s="66">
        <v>84.138218235699995</v>
      </c>
      <c r="AO37" s="66">
        <v>198.22918070440002</v>
      </c>
      <c r="AP37" s="66">
        <v>143.05048392489999</v>
      </c>
      <c r="AQ37" s="66">
        <v>119.41676869209999</v>
      </c>
      <c r="AR37" s="66">
        <v>84.265358695300023</v>
      </c>
      <c r="AS37" s="66">
        <v>81.863800002100007</v>
      </c>
      <c r="AT37" s="66">
        <v>92.866515862</v>
      </c>
      <c r="AU37" s="66">
        <v>84.673724244699983</v>
      </c>
      <c r="AV37" s="66">
        <v>87.248994032200002</v>
      </c>
      <c r="AW37" s="66">
        <v>91.20370778500002</v>
      </c>
      <c r="AX37" s="66">
        <v>82.271077277200021</v>
      </c>
      <c r="AY37" s="66">
        <v>95.538004108300015</v>
      </c>
      <c r="AZ37" s="66">
        <v>186.18922685650003</v>
      </c>
      <c r="BA37" s="66">
        <v>412.79825769010012</v>
      </c>
      <c r="BB37" s="66">
        <v>244.81805338060002</v>
      </c>
      <c r="BC37" s="66">
        <v>267.19848941350006</v>
      </c>
      <c r="BD37" s="66">
        <v>103.20084366820001</v>
      </c>
      <c r="BE37" s="66">
        <v>81.497389303299983</v>
      </c>
      <c r="BF37" s="66">
        <v>76.178467425400001</v>
      </c>
      <c r="BG37" s="66">
        <v>96.410762570199992</v>
      </c>
      <c r="BH37" s="66">
        <v>77.550143363800004</v>
      </c>
      <c r="BI37" s="66">
        <v>96.725611583199992</v>
      </c>
      <c r="BJ37" s="66">
        <v>88.031125513600003</v>
      </c>
      <c r="BK37" s="66">
        <v>81.364469731900002</v>
      </c>
      <c r="BL37" s="66">
        <v>167.9935057207</v>
      </c>
      <c r="BM37" s="66">
        <v>354.07857902530003</v>
      </c>
      <c r="BN37" s="66">
        <v>239.56439043399999</v>
      </c>
      <c r="BO37" s="66">
        <v>217.31983858180001</v>
      </c>
      <c r="BP37" s="66">
        <v>105.1441638277</v>
      </c>
      <c r="BQ37" s="66">
        <v>81.727165287400013</v>
      </c>
      <c r="BR37" s="66">
        <v>100.086652942</v>
      </c>
      <c r="BS37" s="66">
        <v>93.213112463199991</v>
      </c>
      <c r="BT37" s="66">
        <v>97.962716775399997</v>
      </c>
      <c r="BU37" s="66">
        <v>140.59244754820003</v>
      </c>
      <c r="BV37" s="66">
        <v>89.106528155500015</v>
      </c>
      <c r="BW37" s="66">
        <v>83.562483604300013</v>
      </c>
      <c r="BX37" s="66">
        <v>159.82570688560003</v>
      </c>
      <c r="BY37" s="66">
        <v>234.20088683650005</v>
      </c>
      <c r="BZ37" s="66">
        <v>178.42600337409999</v>
      </c>
      <c r="CA37" s="66">
        <v>157.83956876139999</v>
      </c>
      <c r="CB37" s="66">
        <v>115.34523432220003</v>
      </c>
      <c r="CC37" s="66">
        <v>94.978706171499994</v>
      </c>
      <c r="CD37" s="66">
        <v>111.58832380510002</v>
      </c>
      <c r="CE37" s="66">
        <v>85.531134286300016</v>
      </c>
      <c r="CF37" s="66">
        <v>94.442824895499996</v>
      </c>
      <c r="CG37" s="66">
        <v>96.639450279999991</v>
      </c>
      <c r="CH37" s="66">
        <v>86.830796487399994</v>
      </c>
      <c r="CI37" s="66">
        <v>73.378787971899982</v>
      </c>
      <c r="CJ37" s="66">
        <v>83.34524153800001</v>
      </c>
      <c r="CK37" s="66">
        <v>228.8428996639</v>
      </c>
      <c r="CL37" s="66">
        <v>206.36147928130003</v>
      </c>
      <c r="CM37" s="66">
        <v>176.85738731409998</v>
      </c>
      <c r="CN37" s="66">
        <v>131.25888177760001</v>
      </c>
      <c r="CO37" s="66">
        <v>114.3031553899</v>
      </c>
      <c r="CP37" s="66">
        <v>97.287386282200004</v>
      </c>
      <c r="CQ37" s="66">
        <v>109.0306540399</v>
      </c>
      <c r="CR37" s="66">
        <v>118.68327181390003</v>
      </c>
      <c r="CS37" s="66">
        <v>127.94722555600003</v>
      </c>
      <c r="CT37" s="66">
        <v>123.42120532240003</v>
      </c>
      <c r="CU37" s="66">
        <v>120.45059175040001</v>
      </c>
      <c r="CV37" s="66">
        <v>197.54683271829998</v>
      </c>
      <c r="CW37" s="66">
        <v>229.06104237099998</v>
      </c>
      <c r="CX37" s="66">
        <v>245.85889393180003</v>
      </c>
      <c r="CY37" s="66">
        <v>267.57810951070002</v>
      </c>
      <c r="CZ37" s="66">
        <v>139.06458548440006</v>
      </c>
      <c r="DA37" s="66">
        <v>123.1385166913</v>
      </c>
      <c r="DB37" s="66">
        <v>130.63770231250001</v>
      </c>
      <c r="DC37" s="66">
        <v>150.8000476885</v>
      </c>
      <c r="DD37" s="66">
        <v>138.40621705960001</v>
      </c>
      <c r="DE37" s="66">
        <v>166.50981258280004</v>
      </c>
      <c r="DF37" s="66">
        <v>153.63263805790001</v>
      </c>
      <c r="DG37" s="66">
        <v>144.8955967105</v>
      </c>
      <c r="DH37" s="66">
        <v>196.7113382695</v>
      </c>
      <c r="DI37" s="66">
        <v>258.83847882099997</v>
      </c>
      <c r="DJ37" s="66">
        <v>276.48405853480006</v>
      </c>
      <c r="DK37" s="66">
        <v>276.91554053139998</v>
      </c>
      <c r="DL37" s="66">
        <v>142.99303054719999</v>
      </c>
      <c r="DM37" s="66">
        <v>141.0986827312</v>
      </c>
      <c r="DN37" s="66">
        <v>160.11109743910001</v>
      </c>
      <c r="DO37" s="66">
        <v>173.81250840280003</v>
      </c>
      <c r="DP37" s="79"/>
      <c r="DQ37" s="80"/>
      <c r="DR37" s="81"/>
      <c r="DS37" s="84">
        <f t="shared" si="3"/>
        <v>2010</v>
      </c>
      <c r="DT37" s="80"/>
      <c r="DU37" s="83">
        <f t="shared" si="8"/>
        <v>945.07100266470013</v>
      </c>
      <c r="DV37" s="83">
        <f t="shared" si="8"/>
        <v>1209.0965551071001</v>
      </c>
      <c r="DW37" s="83">
        <f t="shared" si="8"/>
        <v>1118.8586514327003</v>
      </c>
      <c r="DX37" s="83">
        <f t="shared" si="8"/>
        <v>1244.7658335639003</v>
      </c>
      <c r="DY37" s="83">
        <f t="shared" si="8"/>
        <v>1811.9628405003002</v>
      </c>
      <c r="DZ37" s="83">
        <f t="shared" si="8"/>
        <v>1770.3515843655</v>
      </c>
      <c r="EA37" s="83">
        <f t="shared" si="8"/>
        <v>1489.0274240775002</v>
      </c>
      <c r="EB37" s="83">
        <f t="shared" si="8"/>
        <v>1637.7893797295999</v>
      </c>
      <c r="EC37" s="83">
        <f t="shared" si="8"/>
        <v>2087.1299951193005</v>
      </c>
      <c r="ED37" s="83">
        <f t="shared" si="8"/>
        <v>1626.9647352769998</v>
      </c>
    </row>
    <row r="38" spans="2:134" x14ac:dyDescent="0.3">
      <c r="B38" s="45">
        <f t="shared" si="5"/>
        <v>1000000034</v>
      </c>
      <c r="C38" s="46">
        <v>41306</v>
      </c>
      <c r="D38" s="66">
        <v>60.306512133700011</v>
      </c>
      <c r="E38" s="66">
        <v>136.53408505000002</v>
      </c>
      <c r="F38" s="66">
        <v>96.83657803509999</v>
      </c>
      <c r="G38" s="66">
        <v>88.035553664200023</v>
      </c>
      <c r="H38" s="66">
        <v>79.612648322500007</v>
      </c>
      <c r="I38" s="66">
        <v>64.072466585500024</v>
      </c>
      <c r="J38" s="66">
        <v>66.730107479500006</v>
      </c>
      <c r="K38" s="66">
        <v>83.80145362990001</v>
      </c>
      <c r="L38" s="66">
        <v>75.658422416800008</v>
      </c>
      <c r="M38" s="66">
        <v>88.180932100000007</v>
      </c>
      <c r="N38" s="66">
        <v>74.239988210199996</v>
      </c>
      <c r="O38" s="66">
        <v>79.02385439950001</v>
      </c>
      <c r="P38" s="66">
        <v>97.381615825899999</v>
      </c>
      <c r="Q38" s="66">
        <v>328.37793068319996</v>
      </c>
      <c r="R38" s="66">
        <v>137.16093104680002</v>
      </c>
      <c r="S38" s="66">
        <v>113.8478439388</v>
      </c>
      <c r="T38" s="66">
        <v>99.136176684399999</v>
      </c>
      <c r="U38" s="66">
        <v>100.43005977369999</v>
      </c>
      <c r="V38" s="66">
        <v>95.569413956200009</v>
      </c>
      <c r="W38" s="66">
        <v>90.668089195900009</v>
      </c>
      <c r="X38" s="66">
        <v>109.40851038220001</v>
      </c>
      <c r="Y38" s="66">
        <v>122.64672928779999</v>
      </c>
      <c r="Z38" s="66">
        <v>99.025585499499996</v>
      </c>
      <c r="AA38" s="66">
        <v>85.089182340400015</v>
      </c>
      <c r="AB38" s="66">
        <v>95.3628294727</v>
      </c>
      <c r="AC38" s="66">
        <v>206.16435152620002</v>
      </c>
      <c r="AD38" s="66">
        <v>163.25500931170001</v>
      </c>
      <c r="AE38" s="66">
        <v>145.82547080979998</v>
      </c>
      <c r="AF38" s="66">
        <v>109.88082142840001</v>
      </c>
      <c r="AG38" s="66">
        <v>119.01193065250001</v>
      </c>
      <c r="AH38" s="66">
        <v>113.08158625150001</v>
      </c>
      <c r="AI38" s="66">
        <v>128.99771046909999</v>
      </c>
      <c r="AJ38" s="66">
        <v>129.94008095949999</v>
      </c>
      <c r="AK38" s="66">
        <v>170.5134236257</v>
      </c>
      <c r="AL38" s="66">
        <v>151.47432743409999</v>
      </c>
      <c r="AM38" s="66">
        <v>116.46536879050001</v>
      </c>
      <c r="AN38" s="66">
        <v>126.49118959600003</v>
      </c>
      <c r="AO38" s="66">
        <v>178.39110354310003</v>
      </c>
      <c r="AP38" s="66">
        <v>222.52666820680003</v>
      </c>
      <c r="AQ38" s="66">
        <v>199.87435123240002</v>
      </c>
      <c r="AR38" s="66">
        <v>160.02636215050003</v>
      </c>
      <c r="AS38" s="66">
        <v>161.00843588950005</v>
      </c>
      <c r="AT38" s="66">
        <v>171.07778766700002</v>
      </c>
      <c r="AU38" s="66">
        <v>158.34141332050001</v>
      </c>
      <c r="AV38" s="66">
        <v>158.69176259169998</v>
      </c>
      <c r="AW38" s="66">
        <v>182.68055545990001</v>
      </c>
      <c r="AX38" s="66">
        <v>171.85541594440005</v>
      </c>
      <c r="AY38" s="66">
        <v>155.48533123689998</v>
      </c>
      <c r="AZ38" s="66">
        <v>166.17447399159997</v>
      </c>
      <c r="BA38" s="66">
        <v>270.26982464829996</v>
      </c>
      <c r="BB38" s="66">
        <v>221.69522664159999</v>
      </c>
      <c r="BC38" s="66">
        <v>200.75641631590003</v>
      </c>
      <c r="BD38" s="66">
        <v>187.26346617069999</v>
      </c>
      <c r="BE38" s="66">
        <v>194.2352140234</v>
      </c>
      <c r="BF38" s="66">
        <v>176.00737003240002</v>
      </c>
      <c r="BG38" s="66">
        <v>174.95178148810001</v>
      </c>
      <c r="BH38" s="66">
        <v>185.55964141060002</v>
      </c>
      <c r="BI38" s="66">
        <v>164.1310701232</v>
      </c>
      <c r="BJ38" s="66">
        <v>149.4024408004</v>
      </c>
      <c r="BK38" s="66">
        <v>140.02845877389998</v>
      </c>
      <c r="BL38" s="66">
        <v>160.59316542730002</v>
      </c>
      <c r="BM38" s="66">
        <v>250.70141435320005</v>
      </c>
      <c r="BN38" s="66">
        <v>255.70387356999998</v>
      </c>
      <c r="BO38" s="66">
        <v>205.96039391169998</v>
      </c>
      <c r="BP38" s="66">
        <v>190.6823361742</v>
      </c>
      <c r="BQ38" s="66">
        <v>183.74038452130003</v>
      </c>
      <c r="BR38" s="66">
        <v>185.27920438150002</v>
      </c>
      <c r="BS38" s="66">
        <v>180.69749452510001</v>
      </c>
      <c r="BT38" s="66">
        <v>175.77879490269999</v>
      </c>
      <c r="BU38" s="66">
        <v>166.15450978720003</v>
      </c>
      <c r="BV38" s="66">
        <v>144.82816123060005</v>
      </c>
      <c r="BW38" s="66">
        <v>149.72712180880001</v>
      </c>
      <c r="BX38" s="66">
        <v>186.6857426242</v>
      </c>
      <c r="BY38" s="66">
        <v>213.10112449450003</v>
      </c>
      <c r="BZ38" s="66">
        <v>217.5231207157</v>
      </c>
      <c r="CA38" s="66">
        <v>204.32790740830001</v>
      </c>
      <c r="CB38" s="66">
        <v>216.13594625019999</v>
      </c>
      <c r="CC38" s="66">
        <v>222.77712140260005</v>
      </c>
      <c r="CD38" s="66">
        <v>216.73303357390003</v>
      </c>
      <c r="CE38" s="66">
        <v>208.43888233989998</v>
      </c>
      <c r="CF38" s="66">
        <v>172.0242485677</v>
      </c>
      <c r="CG38" s="66">
        <v>181.47384689470002</v>
      </c>
      <c r="CH38" s="66">
        <v>152.42367789070002</v>
      </c>
      <c r="CI38" s="66">
        <v>124.98164056180002</v>
      </c>
      <c r="CJ38" s="66">
        <v>157.32155019459998</v>
      </c>
      <c r="CK38" s="66">
        <v>207.66545705290002</v>
      </c>
      <c r="CL38" s="66">
        <v>200.82062449960003</v>
      </c>
      <c r="CM38" s="66">
        <v>198.07847347720002</v>
      </c>
      <c r="CN38" s="66">
        <v>172.76814034180001</v>
      </c>
      <c r="CO38" s="66">
        <v>162.88079305930003</v>
      </c>
      <c r="CP38" s="66">
        <v>173.40838337049999</v>
      </c>
      <c r="CQ38" s="66">
        <v>158.6488695736</v>
      </c>
      <c r="CR38" s="66">
        <v>194.41477928289999</v>
      </c>
      <c r="CS38" s="66">
        <v>189.6989490007</v>
      </c>
      <c r="CT38" s="66">
        <v>156.2994354667</v>
      </c>
      <c r="CU38" s="66">
        <v>131.68120725940003</v>
      </c>
      <c r="CV38" s="66">
        <v>196.11402578560003</v>
      </c>
      <c r="CW38" s="66">
        <v>242.76170280070005</v>
      </c>
      <c r="CX38" s="66">
        <v>255.1381960942</v>
      </c>
      <c r="CY38" s="66">
        <v>239.00137735390007</v>
      </c>
      <c r="CZ38" s="66">
        <v>192.98580007360002</v>
      </c>
      <c r="DA38" s="66">
        <v>179.4924746614</v>
      </c>
      <c r="DB38" s="66">
        <v>162.38570330620001</v>
      </c>
      <c r="DC38" s="66">
        <v>161.7927063928</v>
      </c>
      <c r="DD38" s="66">
        <v>177.1266038599</v>
      </c>
      <c r="DE38" s="66">
        <v>179.89247175669999</v>
      </c>
      <c r="DF38" s="66">
        <v>173.1955319281</v>
      </c>
      <c r="DG38" s="66">
        <v>149.33327909230002</v>
      </c>
      <c r="DH38" s="66">
        <v>191.2346916715</v>
      </c>
      <c r="DI38" s="66">
        <v>224.01205004620002</v>
      </c>
      <c r="DJ38" s="66">
        <v>229.97264096740003</v>
      </c>
      <c r="DK38" s="66">
        <v>224.39174519679997</v>
      </c>
      <c r="DL38" s="66">
        <v>159.99003630490003</v>
      </c>
      <c r="DM38" s="66">
        <v>147.49552153990001</v>
      </c>
      <c r="DN38" s="66">
        <v>175.69462251459998</v>
      </c>
      <c r="DO38" s="66">
        <v>191.35624065280001</v>
      </c>
      <c r="DP38" s="79"/>
      <c r="DQ38" s="80"/>
      <c r="DR38" s="81"/>
      <c r="DS38" s="84">
        <f t="shared" si="3"/>
        <v>2013</v>
      </c>
      <c r="DT38" s="80"/>
      <c r="DU38" s="83">
        <f t="shared" si="8"/>
        <v>993.03260202690024</v>
      </c>
      <c r="DV38" s="83">
        <f t="shared" si="8"/>
        <v>1478.7420686148</v>
      </c>
      <c r="DW38" s="83">
        <f t="shared" si="8"/>
        <v>1649.9729107316998</v>
      </c>
      <c r="DX38" s="83">
        <f t="shared" si="8"/>
        <v>2046.4503768387001</v>
      </c>
      <c r="DY38" s="83">
        <f t="shared" si="8"/>
        <v>2230.4753844201005</v>
      </c>
      <c r="DZ38" s="83">
        <f t="shared" si="8"/>
        <v>2249.8468545935998</v>
      </c>
      <c r="EA38" s="83">
        <f t="shared" si="8"/>
        <v>2316.6262927241996</v>
      </c>
      <c r="EB38" s="83">
        <f t="shared" si="8"/>
        <v>2103.6866625791999</v>
      </c>
      <c r="EC38" s="83">
        <f t="shared" si="8"/>
        <v>2309.2198731054</v>
      </c>
      <c r="ED38" s="83">
        <f t="shared" si="8"/>
        <v>1544.1475488941001</v>
      </c>
    </row>
    <row r="39" spans="2:134" x14ac:dyDescent="0.3">
      <c r="B39" s="45">
        <f t="shared" si="5"/>
        <v>1000000035</v>
      </c>
      <c r="C39" s="46">
        <v>39661</v>
      </c>
      <c r="D39" s="66">
        <v>65.516831741800004</v>
      </c>
      <c r="E39" s="66">
        <v>124.70777070520001</v>
      </c>
      <c r="F39" s="66">
        <v>81.743977248999997</v>
      </c>
      <c r="G39" s="66">
        <v>90.805924765</v>
      </c>
      <c r="H39" s="66">
        <v>53.306356569100004</v>
      </c>
      <c r="I39" s="66">
        <v>56.242070310100004</v>
      </c>
      <c r="J39" s="66">
        <v>56.842122243099979</v>
      </c>
      <c r="K39" s="66">
        <v>61.967256242200008</v>
      </c>
      <c r="L39" s="66">
        <v>61.960951756599997</v>
      </c>
      <c r="M39" s="66">
        <v>55.145877876399993</v>
      </c>
      <c r="N39" s="66">
        <v>53.845690301500007</v>
      </c>
      <c r="O39" s="66">
        <v>51.193603359100003</v>
      </c>
      <c r="P39" s="66">
        <v>77.868294726400009</v>
      </c>
      <c r="Q39" s="66">
        <v>297.70165471480004</v>
      </c>
      <c r="R39" s="66">
        <v>93.167442469300013</v>
      </c>
      <c r="S39" s="66">
        <v>100.2143938288</v>
      </c>
      <c r="T39" s="66">
        <v>68.660480927500004</v>
      </c>
      <c r="U39" s="66">
        <v>54.868893303699998</v>
      </c>
      <c r="V39" s="66">
        <v>67.705426412500003</v>
      </c>
      <c r="W39" s="66">
        <v>74.714250644800003</v>
      </c>
      <c r="X39" s="66">
        <v>58.661754399399996</v>
      </c>
      <c r="Y39" s="66">
        <v>63.513919182699993</v>
      </c>
      <c r="Z39" s="66">
        <v>66.357617455300002</v>
      </c>
      <c r="AA39" s="66">
        <v>66.103223956000008</v>
      </c>
      <c r="AB39" s="66">
        <v>90.738451758400004</v>
      </c>
      <c r="AC39" s="66">
        <v>191.79308896750001</v>
      </c>
      <c r="AD39" s="66">
        <v>131.43976047159998</v>
      </c>
      <c r="AE39" s="66">
        <v>121.17632060170001</v>
      </c>
      <c r="AF39" s="66">
        <v>69.9466710433</v>
      </c>
      <c r="AG39" s="66">
        <v>84.439032262900014</v>
      </c>
      <c r="AH39" s="66">
        <v>80.162151790600007</v>
      </c>
      <c r="AI39" s="66">
        <v>74.988458241700016</v>
      </c>
      <c r="AJ39" s="66">
        <v>66.226987012600006</v>
      </c>
      <c r="AK39" s="66">
        <v>78.817194862600005</v>
      </c>
      <c r="AL39" s="66">
        <v>84.108422035900006</v>
      </c>
      <c r="AM39" s="66">
        <v>81.166591442800012</v>
      </c>
      <c r="AN39" s="66">
        <v>116.48672148279998</v>
      </c>
      <c r="AO39" s="66">
        <v>203.45665001440003</v>
      </c>
      <c r="AP39" s="66">
        <v>143.03382207010003</v>
      </c>
      <c r="AQ39" s="66">
        <v>160.33798386729998</v>
      </c>
      <c r="AR39" s="66">
        <v>102.11121840700001</v>
      </c>
      <c r="AS39" s="66">
        <v>101.33426561020001</v>
      </c>
      <c r="AT39" s="66">
        <v>103.85587221669999</v>
      </c>
      <c r="AU39" s="66">
        <v>102.68151166690002</v>
      </c>
      <c r="AV39" s="66">
        <v>103.7180366476</v>
      </c>
      <c r="AW39" s="66">
        <v>95.669460138400012</v>
      </c>
      <c r="AX39" s="66">
        <v>102.2044722565</v>
      </c>
      <c r="AY39" s="66">
        <v>103.1939762821</v>
      </c>
      <c r="AZ39" s="66">
        <v>107.2525264138</v>
      </c>
      <c r="BA39" s="66">
        <v>209.62513885360002</v>
      </c>
      <c r="BB39" s="66">
        <v>167.54877679899997</v>
      </c>
      <c r="BC39" s="66">
        <v>175.2614893432</v>
      </c>
      <c r="BD39" s="66">
        <v>113.1695113096</v>
      </c>
      <c r="BE39" s="66">
        <v>110.74855131250003</v>
      </c>
      <c r="BF39" s="66">
        <v>115.56348960940001</v>
      </c>
      <c r="BG39" s="66">
        <v>130.58257559020001</v>
      </c>
      <c r="BH39" s="66">
        <v>90.975995769400001</v>
      </c>
      <c r="BI39" s="66">
        <v>121.44152179060004</v>
      </c>
      <c r="BJ39" s="66">
        <v>117.1901594743</v>
      </c>
      <c r="BK39" s="66">
        <v>107.99427916600003</v>
      </c>
      <c r="BL39" s="66">
        <v>117.44102546380002</v>
      </c>
      <c r="BM39" s="66">
        <v>224.06256098440002</v>
      </c>
      <c r="BN39" s="66">
        <v>168.49332383800004</v>
      </c>
      <c r="BO39" s="66">
        <v>180.19763888110003</v>
      </c>
      <c r="BP39" s="66">
        <v>123.17533038400001</v>
      </c>
      <c r="BQ39" s="66">
        <v>121.17564512110002</v>
      </c>
      <c r="BR39" s="66">
        <v>120.346567738</v>
      </c>
      <c r="BS39" s="66">
        <v>115.39919771679999</v>
      </c>
      <c r="BT39" s="66">
        <v>134.30826389290002</v>
      </c>
      <c r="BU39" s="66">
        <v>133.473032131</v>
      </c>
      <c r="BV39" s="66">
        <v>134.6914865533</v>
      </c>
      <c r="BW39" s="66">
        <v>110.26115453290002</v>
      </c>
      <c r="BX39" s="66">
        <v>180.32552987470004</v>
      </c>
      <c r="BY39" s="66">
        <v>236.96589161920002</v>
      </c>
      <c r="BZ39" s="66">
        <v>240.24565014579997</v>
      </c>
      <c r="CA39" s="66">
        <v>153.57454672630001</v>
      </c>
      <c r="CB39" s="66">
        <v>138.21712001829999</v>
      </c>
      <c r="CC39" s="66">
        <v>146.43017605360004</v>
      </c>
      <c r="CD39" s="66">
        <v>172.86510933460002</v>
      </c>
      <c r="CE39" s="66">
        <v>146.1413330437</v>
      </c>
      <c r="CF39" s="66">
        <v>146.32164883720003</v>
      </c>
      <c r="CG39" s="66">
        <v>135.66654279940002</v>
      </c>
      <c r="CH39" s="66">
        <v>139.83744787090001</v>
      </c>
      <c r="CI39" s="66">
        <v>124.08542791240001</v>
      </c>
      <c r="CJ39" s="66">
        <v>170.99560419400001</v>
      </c>
      <c r="CK39" s="66">
        <v>315.80280856659999</v>
      </c>
      <c r="CL39" s="66">
        <v>195.9798303064</v>
      </c>
      <c r="CM39" s="66">
        <v>189.89273687949998</v>
      </c>
      <c r="CN39" s="66">
        <v>182.13874496530002</v>
      </c>
      <c r="CO39" s="66">
        <v>141.76309295470003</v>
      </c>
      <c r="CP39" s="66">
        <v>148.0566958117</v>
      </c>
      <c r="CQ39" s="66">
        <v>168.63333595570001</v>
      </c>
      <c r="CR39" s="66">
        <v>152.10124848430002</v>
      </c>
      <c r="CS39" s="66">
        <v>141.49357619529999</v>
      </c>
      <c r="CT39" s="66">
        <v>139.11201923320002</v>
      </c>
      <c r="CU39" s="66">
        <v>132.95565151810001</v>
      </c>
      <c r="CV39" s="66">
        <v>224.29721543950004</v>
      </c>
      <c r="CW39" s="66">
        <v>229.71693403360001</v>
      </c>
      <c r="CX39" s="66">
        <v>230.19498666490003</v>
      </c>
      <c r="CY39" s="66">
        <v>240.19998015189998</v>
      </c>
      <c r="CZ39" s="66">
        <v>147.1373291884</v>
      </c>
      <c r="DA39" s="66">
        <v>144.90505343889996</v>
      </c>
      <c r="DB39" s="66">
        <v>141.90970977160001</v>
      </c>
      <c r="DC39" s="66">
        <v>157.2961821454</v>
      </c>
      <c r="DD39" s="66">
        <v>172.51145771380001</v>
      </c>
      <c r="DE39" s="66">
        <v>169.05085801990006</v>
      </c>
      <c r="DF39" s="66">
        <v>152.44735723840003</v>
      </c>
      <c r="DG39" s="66">
        <v>130.92493167429998</v>
      </c>
      <c r="DH39" s="66">
        <v>197.2693602985</v>
      </c>
      <c r="DI39" s="66">
        <v>246.6234253909</v>
      </c>
      <c r="DJ39" s="66">
        <v>229.71869778849998</v>
      </c>
      <c r="DK39" s="66">
        <v>190.22691214300002</v>
      </c>
      <c r="DL39" s="66">
        <v>162.56624425990003</v>
      </c>
      <c r="DM39" s="66">
        <v>158.81462500749998</v>
      </c>
      <c r="DN39" s="66">
        <v>148.13456371419997</v>
      </c>
      <c r="DO39" s="66">
        <v>156.88830444309997</v>
      </c>
      <c r="DP39" s="79"/>
      <c r="DQ39" s="80"/>
      <c r="DR39" s="81"/>
      <c r="DS39" s="84">
        <f t="shared" si="3"/>
        <v>2008</v>
      </c>
      <c r="DT39" s="80"/>
      <c r="DU39" s="83">
        <f t="shared" si="8"/>
        <v>813.27843311909999</v>
      </c>
      <c r="DV39" s="83">
        <f t="shared" si="8"/>
        <v>1089.5373520212001</v>
      </c>
      <c r="DW39" s="83">
        <f t="shared" si="8"/>
        <v>1155.0031304915999</v>
      </c>
      <c r="DX39" s="83">
        <f t="shared" si="8"/>
        <v>1438.0839906599999</v>
      </c>
      <c r="DY39" s="83">
        <f t="shared" si="8"/>
        <v>1567.3540154316001</v>
      </c>
      <c r="DZ39" s="83">
        <f t="shared" si="8"/>
        <v>1683.0252272373002</v>
      </c>
      <c r="EA39" s="83">
        <f t="shared" si="8"/>
        <v>1960.6764242361</v>
      </c>
      <c r="EB39" s="83">
        <f t="shared" si="8"/>
        <v>2078.9253450647998</v>
      </c>
      <c r="EC39" s="83">
        <f t="shared" si="8"/>
        <v>2140.5919954806</v>
      </c>
      <c r="ED39" s="83">
        <f t="shared" si="8"/>
        <v>1490.2421330455998</v>
      </c>
    </row>
    <row r="40" spans="2:134" x14ac:dyDescent="0.3">
      <c r="B40" s="45">
        <f t="shared" si="5"/>
        <v>1000000036</v>
      </c>
      <c r="C40" s="46">
        <v>39508</v>
      </c>
      <c r="D40" s="66">
        <v>76.843440549400015</v>
      </c>
      <c r="E40" s="66">
        <v>170.84819931639998</v>
      </c>
      <c r="F40" s="66">
        <v>132.12676176850002</v>
      </c>
      <c r="G40" s="66">
        <v>106.5104359213</v>
      </c>
      <c r="H40" s="66">
        <v>99.769927594000009</v>
      </c>
      <c r="I40" s="66">
        <v>84.489092880700014</v>
      </c>
      <c r="J40" s="66">
        <v>81.959493087099986</v>
      </c>
      <c r="K40" s="66">
        <v>94.053597963100003</v>
      </c>
      <c r="L40" s="66">
        <v>98.520476117499996</v>
      </c>
      <c r="M40" s="66">
        <v>88.743344752900015</v>
      </c>
      <c r="N40" s="66">
        <v>90.938994443200016</v>
      </c>
      <c r="O40" s="66">
        <v>82.643867514999997</v>
      </c>
      <c r="P40" s="66">
        <v>85.918822624000001</v>
      </c>
      <c r="Q40" s="66">
        <v>372.80541554619998</v>
      </c>
      <c r="R40" s="66">
        <v>159.8371150024</v>
      </c>
      <c r="S40" s="66">
        <v>131.41521800980001</v>
      </c>
      <c r="T40" s="66">
        <v>91.183781107300021</v>
      </c>
      <c r="U40" s="66">
        <v>101.7157245157</v>
      </c>
      <c r="V40" s="66">
        <v>99.028249895199991</v>
      </c>
      <c r="W40" s="66">
        <v>107.29568211880002</v>
      </c>
      <c r="X40" s="66">
        <v>106.8357924103</v>
      </c>
      <c r="Y40" s="66">
        <v>108.63913797880001</v>
      </c>
      <c r="Z40" s="66">
        <v>86.087355033700007</v>
      </c>
      <c r="AA40" s="66">
        <v>93.724563857500002</v>
      </c>
      <c r="AB40" s="66">
        <v>112.33743179049999</v>
      </c>
      <c r="AC40" s="66">
        <v>266.79357632049999</v>
      </c>
      <c r="AD40" s="66">
        <v>179.62591960660001</v>
      </c>
      <c r="AE40" s="66">
        <v>137.55563687739999</v>
      </c>
      <c r="AF40" s="66">
        <v>129.2210318608</v>
      </c>
      <c r="AG40" s="66">
        <v>117.65916817090003</v>
      </c>
      <c r="AH40" s="66">
        <v>146.42878756570005</v>
      </c>
      <c r="AI40" s="66">
        <v>151.6236461734</v>
      </c>
      <c r="AJ40" s="66">
        <v>132.68853646750003</v>
      </c>
      <c r="AK40" s="66">
        <v>148.23768708580002</v>
      </c>
      <c r="AL40" s="66">
        <v>140.61237422590003</v>
      </c>
      <c r="AM40" s="66">
        <v>138.62694910900001</v>
      </c>
      <c r="AN40" s="66">
        <v>163.6965484639</v>
      </c>
      <c r="AO40" s="66">
        <v>300.41727436030004</v>
      </c>
      <c r="AP40" s="66">
        <v>304.33663796169998</v>
      </c>
      <c r="AQ40" s="66">
        <v>218.69005097889999</v>
      </c>
      <c r="AR40" s="66">
        <v>182.09971719729998</v>
      </c>
      <c r="AS40" s="66">
        <v>165.60748308129999</v>
      </c>
      <c r="AT40" s="66">
        <v>195.02241160930001</v>
      </c>
      <c r="AU40" s="66">
        <v>169.13259117249999</v>
      </c>
      <c r="AV40" s="66">
        <v>167.43128070130001</v>
      </c>
      <c r="AW40" s="66">
        <v>164.95155389200002</v>
      </c>
      <c r="AX40" s="66">
        <v>154.62645765400003</v>
      </c>
      <c r="AY40" s="66">
        <v>165.68332454200001</v>
      </c>
      <c r="AZ40" s="66">
        <v>171.90551408889999</v>
      </c>
      <c r="BA40" s="66">
        <v>372.36571520230001</v>
      </c>
      <c r="BB40" s="66">
        <v>283.63919937040004</v>
      </c>
      <c r="BC40" s="66">
        <v>252.91552717989998</v>
      </c>
      <c r="BD40" s="66">
        <v>233.71645466620004</v>
      </c>
      <c r="BE40" s="66">
        <v>225.17091206890001</v>
      </c>
      <c r="BF40" s="66">
        <v>177.16533141429997</v>
      </c>
      <c r="BG40" s="66">
        <v>171.40745972650004</v>
      </c>
      <c r="BH40" s="66">
        <v>188.54954370640004</v>
      </c>
      <c r="BI40" s="66">
        <v>169.3826691013</v>
      </c>
      <c r="BJ40" s="66">
        <v>163.6055086897</v>
      </c>
      <c r="BK40" s="66">
        <v>149.96290206489999</v>
      </c>
      <c r="BL40" s="66">
        <v>177.0566916178</v>
      </c>
      <c r="BM40" s="66">
        <v>441.50610813669999</v>
      </c>
      <c r="BN40" s="66">
        <v>257.2427309569</v>
      </c>
      <c r="BO40" s="66">
        <v>238.10538986470004</v>
      </c>
      <c r="BP40" s="66">
        <v>189.91138764940001</v>
      </c>
      <c r="BQ40" s="66">
        <v>175.78727593690004</v>
      </c>
      <c r="BR40" s="66">
        <v>181.12184644870004</v>
      </c>
      <c r="BS40" s="66">
        <v>193.4366833741</v>
      </c>
      <c r="BT40" s="66">
        <v>155.68883853099999</v>
      </c>
      <c r="BU40" s="66">
        <v>167.63673938380001</v>
      </c>
      <c r="BV40" s="66">
        <v>138.76054416100001</v>
      </c>
      <c r="BW40" s="66">
        <v>138.2112658531</v>
      </c>
      <c r="BX40" s="66">
        <v>206.46295147810005</v>
      </c>
      <c r="BY40" s="66">
        <v>503.21415050259998</v>
      </c>
      <c r="BZ40" s="66">
        <v>211.88345813289999</v>
      </c>
      <c r="CA40" s="66">
        <v>221.1653871643</v>
      </c>
      <c r="CB40" s="66">
        <v>285.26515622799997</v>
      </c>
      <c r="CC40" s="66">
        <v>235.759183054</v>
      </c>
      <c r="CD40" s="66">
        <v>257.52110401750002</v>
      </c>
      <c r="CE40" s="66">
        <v>200.6368937764</v>
      </c>
      <c r="CF40" s="66">
        <v>208.24340575960005</v>
      </c>
      <c r="CG40" s="66">
        <v>225.88042938580003</v>
      </c>
      <c r="CH40" s="66">
        <v>139.42153945480001</v>
      </c>
      <c r="CI40" s="66">
        <v>127.37666960920004</v>
      </c>
      <c r="CJ40" s="66">
        <v>912.49625202340007</v>
      </c>
      <c r="CK40" s="66">
        <v>259.28230710190002</v>
      </c>
      <c r="CL40" s="66">
        <v>289.5670294825</v>
      </c>
      <c r="CM40" s="66">
        <v>253.76434360719998</v>
      </c>
      <c r="CN40" s="66">
        <v>208.54538311450003</v>
      </c>
      <c r="CO40" s="66">
        <v>221.27657877639999</v>
      </c>
      <c r="CP40" s="66">
        <v>218.80946093830002</v>
      </c>
      <c r="CQ40" s="66">
        <v>204.80550971920005</v>
      </c>
      <c r="CR40" s="66">
        <v>220.386745666</v>
      </c>
      <c r="CS40" s="66">
        <v>201.79519289860002</v>
      </c>
      <c r="CT40" s="66">
        <v>188.10286339629999</v>
      </c>
      <c r="CU40" s="66">
        <v>178.00202671749997</v>
      </c>
      <c r="CV40" s="66">
        <v>204.47640056020001</v>
      </c>
      <c r="CW40" s="66">
        <v>229.92956031580005</v>
      </c>
      <c r="CX40" s="66">
        <v>215.47510106319999</v>
      </c>
      <c r="CY40" s="66">
        <v>203.67982129930002</v>
      </c>
      <c r="CZ40" s="66">
        <v>154.27637106969999</v>
      </c>
      <c r="DA40" s="66">
        <v>164.75682784570003</v>
      </c>
      <c r="DB40" s="66">
        <v>149.06447534020003</v>
      </c>
      <c r="DC40" s="66">
        <v>168.3534993538</v>
      </c>
      <c r="DD40" s="66">
        <v>187.32831230829999</v>
      </c>
      <c r="DE40" s="66">
        <v>169.6805560459</v>
      </c>
      <c r="DF40" s="66">
        <v>149.67146971269997</v>
      </c>
      <c r="DG40" s="66">
        <v>117.78574573000003</v>
      </c>
      <c r="DH40" s="66">
        <v>229.43458314279999</v>
      </c>
      <c r="DI40" s="66">
        <v>200.73487599010002</v>
      </c>
      <c r="DJ40" s="66">
        <v>221.12786046430006</v>
      </c>
      <c r="DK40" s="66">
        <v>177.63422753079999</v>
      </c>
      <c r="DL40" s="66">
        <v>178.65108852070003</v>
      </c>
      <c r="DM40" s="66">
        <v>165.43891314489997</v>
      </c>
      <c r="DN40" s="66">
        <v>166.40740221850001</v>
      </c>
      <c r="DO40" s="66">
        <v>162.50053500820002</v>
      </c>
      <c r="DP40" s="79"/>
      <c r="DQ40" s="80"/>
      <c r="DR40" s="81"/>
      <c r="DS40" s="84">
        <f t="shared" si="3"/>
        <v>2008</v>
      </c>
      <c r="DT40" s="80"/>
      <c r="DU40" s="83">
        <f t="shared" si="8"/>
        <v>1207.4476319091</v>
      </c>
      <c r="DV40" s="83">
        <f t="shared" si="8"/>
        <v>1544.4868580996999</v>
      </c>
      <c r="DW40" s="83">
        <f t="shared" si="8"/>
        <v>1801.4107452539997</v>
      </c>
      <c r="DX40" s="83">
        <f t="shared" si="8"/>
        <v>2351.6953316145</v>
      </c>
      <c r="DY40" s="83">
        <f t="shared" si="8"/>
        <v>2559.7867372797</v>
      </c>
      <c r="DZ40" s="83">
        <f t="shared" si="8"/>
        <v>2454.4655019141001</v>
      </c>
      <c r="EA40" s="83">
        <f t="shared" si="8"/>
        <v>2822.8303285632005</v>
      </c>
      <c r="EB40" s="83">
        <f t="shared" si="8"/>
        <v>3356.8336934418003</v>
      </c>
      <c r="EC40" s="83">
        <f t="shared" si="8"/>
        <v>2114.4781406448001</v>
      </c>
      <c r="ED40" s="83">
        <f t="shared" si="8"/>
        <v>1501.9294860202999</v>
      </c>
    </row>
    <row r="41" spans="2:134" x14ac:dyDescent="0.3">
      <c r="B41" s="45">
        <f t="shared" si="5"/>
        <v>1000000037</v>
      </c>
      <c r="C41" s="46">
        <v>39995</v>
      </c>
      <c r="D41" s="66">
        <v>37.750301038000003</v>
      </c>
      <c r="E41" s="66">
        <v>109.018382809</v>
      </c>
      <c r="F41" s="66">
        <v>73.833724155999988</v>
      </c>
      <c r="G41" s="66">
        <v>102.25783522389999</v>
      </c>
      <c r="H41" s="66">
        <v>100.95363229210001</v>
      </c>
      <c r="I41" s="66">
        <v>66.566265907300007</v>
      </c>
      <c r="J41" s="66">
        <v>60.035156566000012</v>
      </c>
      <c r="K41" s="66">
        <v>69.71126605420001</v>
      </c>
      <c r="L41" s="66">
        <v>64.917980663199998</v>
      </c>
      <c r="M41" s="66">
        <v>50.669693100400004</v>
      </c>
      <c r="N41" s="66">
        <v>53.958758248600006</v>
      </c>
      <c r="O41" s="66">
        <v>46.424635269700005</v>
      </c>
      <c r="P41" s="66">
        <v>66.570543951100007</v>
      </c>
      <c r="Q41" s="66">
        <v>332.20137603940003</v>
      </c>
      <c r="R41" s="66">
        <v>135.58525996720002</v>
      </c>
      <c r="S41" s="66">
        <v>133.27590437590001</v>
      </c>
      <c r="T41" s="66">
        <v>95.633134292799994</v>
      </c>
      <c r="U41" s="66">
        <v>84.495810160000005</v>
      </c>
      <c r="V41" s="66">
        <v>98.293552162600008</v>
      </c>
      <c r="W41" s="66">
        <v>73.191304578699999</v>
      </c>
      <c r="X41" s="66">
        <v>98.059910928400015</v>
      </c>
      <c r="Y41" s="66">
        <v>119.38179380769998</v>
      </c>
      <c r="Z41" s="66">
        <v>81.266187304599995</v>
      </c>
      <c r="AA41" s="66">
        <v>74.239875630100002</v>
      </c>
      <c r="AB41" s="66">
        <v>87.908375677900011</v>
      </c>
      <c r="AC41" s="66">
        <v>240.42810496120003</v>
      </c>
      <c r="AD41" s="66">
        <v>233.27727969609998</v>
      </c>
      <c r="AE41" s="66">
        <v>193.05346071370002</v>
      </c>
      <c r="AF41" s="66">
        <v>121.20863109040002</v>
      </c>
      <c r="AG41" s="66">
        <v>97.931344454200016</v>
      </c>
      <c r="AH41" s="66">
        <v>110.53164698650001</v>
      </c>
      <c r="AI41" s="66">
        <v>115.13846220519999</v>
      </c>
      <c r="AJ41" s="66">
        <v>111.96952002370001</v>
      </c>
      <c r="AK41" s="66">
        <v>122.3086137208</v>
      </c>
      <c r="AL41" s="66">
        <v>130.38634847590004</v>
      </c>
      <c r="AM41" s="66">
        <v>130.90481736309999</v>
      </c>
      <c r="AN41" s="66">
        <v>126.7033280311</v>
      </c>
      <c r="AO41" s="66">
        <v>254.18464264720006</v>
      </c>
      <c r="AP41" s="66">
        <v>312.55828761130005</v>
      </c>
      <c r="AQ41" s="66">
        <v>200.49736950580004</v>
      </c>
      <c r="AR41" s="66">
        <v>139.950140551</v>
      </c>
      <c r="AS41" s="66">
        <v>106.92578143690001</v>
      </c>
      <c r="AT41" s="66">
        <v>140.38327372240002</v>
      </c>
      <c r="AU41" s="66">
        <v>123.2750388259</v>
      </c>
      <c r="AV41" s="66">
        <v>121.85829332080002</v>
      </c>
      <c r="AW41" s="66">
        <v>109.89890929779999</v>
      </c>
      <c r="AX41" s="66">
        <v>120.90961834480004</v>
      </c>
      <c r="AY41" s="66">
        <v>141.36816196390001</v>
      </c>
      <c r="AZ41" s="66">
        <v>127.2005568061</v>
      </c>
      <c r="BA41" s="66">
        <v>286.88979965110002</v>
      </c>
      <c r="BB41" s="66">
        <v>331.52218029609998</v>
      </c>
      <c r="BC41" s="66">
        <v>308.90288681769999</v>
      </c>
      <c r="BD41" s="66">
        <v>249.35702032570003</v>
      </c>
      <c r="BE41" s="66">
        <v>133.15180357899999</v>
      </c>
      <c r="BF41" s="66">
        <v>138.18844961950001</v>
      </c>
      <c r="BG41" s="66">
        <v>140.2130150845</v>
      </c>
      <c r="BH41" s="66">
        <v>148.71318790150002</v>
      </c>
      <c r="BI41" s="66">
        <v>134.32027243690001</v>
      </c>
      <c r="BJ41" s="66">
        <v>140.88898353160002</v>
      </c>
      <c r="BK41" s="66">
        <v>113.54080047939999</v>
      </c>
      <c r="BL41" s="66">
        <v>142.66996318689999</v>
      </c>
      <c r="BM41" s="66">
        <v>361.27905211450008</v>
      </c>
      <c r="BN41" s="66">
        <v>310.18678780480002</v>
      </c>
      <c r="BO41" s="66">
        <v>315.97948427020003</v>
      </c>
      <c r="BP41" s="66">
        <v>143.64610770730002</v>
      </c>
      <c r="BQ41" s="66">
        <v>130.7108043241</v>
      </c>
      <c r="BR41" s="66">
        <v>137.91769447900003</v>
      </c>
      <c r="BS41" s="66">
        <v>141.23396648470006</v>
      </c>
      <c r="BT41" s="66">
        <v>151.8990921514</v>
      </c>
      <c r="BU41" s="66">
        <v>152.07967063179998</v>
      </c>
      <c r="BV41" s="66">
        <v>133.72344780010002</v>
      </c>
      <c r="BW41" s="66">
        <v>117.49254962290001</v>
      </c>
      <c r="BX41" s="66">
        <v>193.92460552750001</v>
      </c>
      <c r="BY41" s="66">
        <v>299.03891866930002</v>
      </c>
      <c r="BZ41" s="66">
        <v>232.55732995660003</v>
      </c>
      <c r="CA41" s="66">
        <v>171.93114482499996</v>
      </c>
      <c r="CB41" s="66">
        <v>156.41610597700003</v>
      </c>
      <c r="CC41" s="66">
        <v>168.47215877920002</v>
      </c>
      <c r="CD41" s="66">
        <v>175.1790056566</v>
      </c>
      <c r="CE41" s="66">
        <v>183.33858614439998</v>
      </c>
      <c r="CF41" s="66">
        <v>154.8853168306</v>
      </c>
      <c r="CG41" s="66">
        <v>170.8278973717</v>
      </c>
      <c r="CH41" s="66">
        <v>115.82054750439998</v>
      </c>
      <c r="CI41" s="66">
        <v>128.763056014</v>
      </c>
      <c r="CJ41" s="66">
        <v>114.5305671919</v>
      </c>
      <c r="CK41" s="66">
        <v>309.26370603820004</v>
      </c>
      <c r="CL41" s="66">
        <v>249.16807339119998</v>
      </c>
      <c r="CM41" s="66">
        <v>268.49207228920005</v>
      </c>
      <c r="CN41" s="66">
        <v>192.40717588629997</v>
      </c>
      <c r="CO41" s="66">
        <v>143.70123442960002</v>
      </c>
      <c r="CP41" s="66">
        <v>133.3245765058</v>
      </c>
      <c r="CQ41" s="66">
        <v>136.2443413993</v>
      </c>
      <c r="CR41" s="66">
        <v>134.61572014600003</v>
      </c>
      <c r="CS41" s="66">
        <v>144.97113795760001</v>
      </c>
      <c r="CT41" s="66">
        <v>126.3496013569</v>
      </c>
      <c r="CU41" s="66">
        <v>111.41761484680001</v>
      </c>
      <c r="CV41" s="66">
        <v>213.0839372659</v>
      </c>
      <c r="CW41" s="66">
        <v>366.70717668940046</v>
      </c>
      <c r="CX41" s="66">
        <v>269.49016992910009</v>
      </c>
      <c r="CY41" s="66">
        <v>321.54529430739996</v>
      </c>
      <c r="CZ41" s="66">
        <v>121.44917723740002</v>
      </c>
      <c r="DA41" s="66">
        <v>117.580099414</v>
      </c>
      <c r="DB41" s="66">
        <v>115.36396014550003</v>
      </c>
      <c r="DC41" s="66">
        <v>134.27948091399998</v>
      </c>
      <c r="DD41" s="66">
        <v>121.55267587600002</v>
      </c>
      <c r="DE41" s="66">
        <v>109.16560005310001</v>
      </c>
      <c r="DF41" s="66">
        <v>115.94667474310002</v>
      </c>
      <c r="DG41" s="66">
        <v>111.03480498009999</v>
      </c>
      <c r="DH41" s="66">
        <v>238.61012397969998</v>
      </c>
      <c r="DI41" s="66">
        <v>270.27751762180003</v>
      </c>
      <c r="DJ41" s="66">
        <v>343.59508258660003</v>
      </c>
      <c r="DK41" s="66">
        <v>237.71098424769994</v>
      </c>
      <c r="DL41" s="66">
        <v>81.213837558100025</v>
      </c>
      <c r="DM41" s="66">
        <v>159.61777144089999</v>
      </c>
      <c r="DN41" s="66">
        <v>181.03031882740001</v>
      </c>
      <c r="DO41" s="66">
        <v>201.28512999219996</v>
      </c>
      <c r="DP41" s="79"/>
      <c r="DQ41" s="80"/>
      <c r="DR41" s="81"/>
      <c r="DS41" s="84">
        <f t="shared" si="3"/>
        <v>2009</v>
      </c>
      <c r="DT41" s="80"/>
      <c r="DU41" s="83">
        <f t="shared" si="8"/>
        <v>836.09763132839998</v>
      </c>
      <c r="DV41" s="83">
        <f t="shared" si="8"/>
        <v>1392.1946531985002</v>
      </c>
      <c r="DW41" s="83">
        <f t="shared" si="8"/>
        <v>1695.0466053687001</v>
      </c>
      <c r="DX41" s="83">
        <f t="shared" si="8"/>
        <v>1898.5128452589001</v>
      </c>
      <c r="DY41" s="83">
        <f t="shared" si="8"/>
        <v>2252.8889565291001</v>
      </c>
      <c r="DZ41" s="83">
        <f t="shared" si="8"/>
        <v>2238.8186205777001</v>
      </c>
      <c r="EA41" s="83">
        <f t="shared" si="8"/>
        <v>2151.1546732562997</v>
      </c>
      <c r="EB41" s="83">
        <f t="shared" si="8"/>
        <v>2064.4858214387996</v>
      </c>
      <c r="EC41" s="83">
        <f t="shared" si="8"/>
        <v>2117.1990515550006</v>
      </c>
      <c r="ED41" s="83">
        <f t="shared" si="8"/>
        <v>1713.3407662544</v>
      </c>
    </row>
    <row r="42" spans="2:134" x14ac:dyDescent="0.3">
      <c r="B42" s="45">
        <f t="shared" si="5"/>
        <v>1000000038</v>
      </c>
      <c r="C42" s="46">
        <v>40544</v>
      </c>
      <c r="D42" s="66">
        <v>80.12424982360001</v>
      </c>
      <c r="E42" s="66">
        <v>168.11933274579997</v>
      </c>
      <c r="F42" s="66">
        <v>108.93672470980002</v>
      </c>
      <c r="G42" s="66">
        <v>93.520606243000003</v>
      </c>
      <c r="H42" s="66">
        <v>79.035300043000007</v>
      </c>
      <c r="I42" s="66">
        <v>63.253521411399987</v>
      </c>
      <c r="J42" s="66">
        <v>67.306892858500021</v>
      </c>
      <c r="K42" s="66">
        <v>74.511719044900005</v>
      </c>
      <c r="L42" s="66">
        <v>84.218075053299998</v>
      </c>
      <c r="M42" s="66">
        <v>86.066902982200006</v>
      </c>
      <c r="N42" s="66">
        <v>82.056949926999991</v>
      </c>
      <c r="O42" s="66">
        <v>76.673181911499995</v>
      </c>
      <c r="P42" s="66">
        <v>135.72643541260001</v>
      </c>
      <c r="Q42" s="66">
        <v>393.83042470180004</v>
      </c>
      <c r="R42" s="66">
        <v>129.70069814020002</v>
      </c>
      <c r="S42" s="66">
        <v>117.59706148240002</v>
      </c>
      <c r="T42" s="66">
        <v>100.91239044880001</v>
      </c>
      <c r="U42" s="66">
        <v>95.226757658500006</v>
      </c>
      <c r="V42" s="66">
        <v>95.488543917699999</v>
      </c>
      <c r="W42" s="66">
        <v>94.283674160800004</v>
      </c>
      <c r="X42" s="66">
        <v>104.49183720160001</v>
      </c>
      <c r="Y42" s="66">
        <v>100.46345853670002</v>
      </c>
      <c r="Z42" s="66">
        <v>88.782297467500001</v>
      </c>
      <c r="AA42" s="66">
        <v>80.4848063572</v>
      </c>
      <c r="AB42" s="66">
        <v>134.83206157149999</v>
      </c>
      <c r="AC42" s="66">
        <v>207.0721223992</v>
      </c>
      <c r="AD42" s="66">
        <v>135.48206154220003</v>
      </c>
      <c r="AE42" s="66">
        <v>133.49971361470003</v>
      </c>
      <c r="AF42" s="66">
        <v>118.67689227490001</v>
      </c>
      <c r="AG42" s="66">
        <v>98.859905119000004</v>
      </c>
      <c r="AH42" s="66">
        <v>105.35724043030001</v>
      </c>
      <c r="AI42" s="66">
        <v>124.33043973670001</v>
      </c>
      <c r="AJ42" s="66">
        <v>105.0942908434</v>
      </c>
      <c r="AK42" s="66">
        <v>117.7940766574</v>
      </c>
      <c r="AL42" s="66">
        <v>111.5155220071</v>
      </c>
      <c r="AM42" s="66">
        <v>88.06778909949999</v>
      </c>
      <c r="AN42" s="66">
        <v>111.639622804</v>
      </c>
      <c r="AO42" s="66">
        <v>135.3796136512</v>
      </c>
      <c r="AP42" s="66">
        <v>149.8597786933</v>
      </c>
      <c r="AQ42" s="66">
        <v>144.30699042100002</v>
      </c>
      <c r="AR42" s="66">
        <v>128.57377133920002</v>
      </c>
      <c r="AS42" s="66">
        <v>129.84284927980002</v>
      </c>
      <c r="AT42" s="66">
        <v>110.22591696159999</v>
      </c>
      <c r="AU42" s="66">
        <v>113.47449080049999</v>
      </c>
      <c r="AV42" s="66">
        <v>105.176023996</v>
      </c>
      <c r="AW42" s="66">
        <v>121.92501579340004</v>
      </c>
      <c r="AX42" s="66">
        <v>98.990160294700004</v>
      </c>
      <c r="AY42" s="66">
        <v>108.31528255779999</v>
      </c>
      <c r="AZ42" s="66">
        <v>118.66030547350002</v>
      </c>
      <c r="BA42" s="66">
        <v>138.35443021360001</v>
      </c>
      <c r="BB42" s="66">
        <v>138.84880695940004</v>
      </c>
      <c r="BC42" s="66">
        <v>135.30654916629999</v>
      </c>
      <c r="BD42" s="66">
        <v>122.37785048230003</v>
      </c>
      <c r="BE42" s="66">
        <v>127.30529382579999</v>
      </c>
      <c r="BF42" s="66">
        <v>124.42662066880001</v>
      </c>
      <c r="BG42" s="66">
        <v>118.09357725009998</v>
      </c>
      <c r="BH42" s="66">
        <v>117.77081010340004</v>
      </c>
      <c r="BI42" s="66">
        <v>108.27647995000001</v>
      </c>
      <c r="BJ42" s="66">
        <v>103.68512573170001</v>
      </c>
      <c r="BK42" s="66">
        <v>100.38964351780001</v>
      </c>
      <c r="BL42" s="66">
        <v>115.06318364500001</v>
      </c>
      <c r="BM42" s="66">
        <v>135.07009342960004</v>
      </c>
      <c r="BN42" s="66">
        <v>144.59834771980005</v>
      </c>
      <c r="BO42" s="66">
        <v>167.71411943919998</v>
      </c>
      <c r="BP42" s="66">
        <v>138.16199329600002</v>
      </c>
      <c r="BQ42" s="66">
        <v>113.57089689280004</v>
      </c>
      <c r="BR42" s="66">
        <v>122.06386458340003</v>
      </c>
      <c r="BS42" s="66">
        <v>137.27985315909999</v>
      </c>
      <c r="BT42" s="66">
        <v>117.0298078852</v>
      </c>
      <c r="BU42" s="66">
        <v>129.57284467330004</v>
      </c>
      <c r="BV42" s="66">
        <v>119.071410472</v>
      </c>
      <c r="BW42" s="66">
        <v>121.28383459720001</v>
      </c>
      <c r="BX42" s="66">
        <v>163.7279207851</v>
      </c>
      <c r="BY42" s="66">
        <v>130.32244050579999</v>
      </c>
      <c r="BZ42" s="66">
        <v>135.61205403100001</v>
      </c>
      <c r="CA42" s="66">
        <v>149.7751184581</v>
      </c>
      <c r="CB42" s="66">
        <v>133.29789502209999</v>
      </c>
      <c r="CC42" s="66">
        <v>147.81900169389999</v>
      </c>
      <c r="CD42" s="66">
        <v>170.5595064133</v>
      </c>
      <c r="CE42" s="66">
        <v>143.82976337709999</v>
      </c>
      <c r="CF42" s="66">
        <v>133.21481090830002</v>
      </c>
      <c r="CG42" s="66">
        <v>151.89699065620005</v>
      </c>
      <c r="CH42" s="66">
        <v>125.22335003649999</v>
      </c>
      <c r="CI42" s="66">
        <v>143.9871503569</v>
      </c>
      <c r="CJ42" s="66">
        <v>160.2829697251</v>
      </c>
      <c r="CK42" s="66">
        <v>161.89616750470003</v>
      </c>
      <c r="CL42" s="66">
        <v>167.25325403650004</v>
      </c>
      <c r="CM42" s="66">
        <v>179.47371131140005</v>
      </c>
      <c r="CN42" s="66">
        <v>132.59854744089998</v>
      </c>
      <c r="CO42" s="66">
        <v>158.91039314590003</v>
      </c>
      <c r="CP42" s="66">
        <v>174.54923257720003</v>
      </c>
      <c r="CQ42" s="66">
        <v>161.76426115420003</v>
      </c>
      <c r="CR42" s="66">
        <v>154.12926640570001</v>
      </c>
      <c r="CS42" s="66">
        <v>165.31064688429998</v>
      </c>
      <c r="CT42" s="66">
        <v>122.84704681239998</v>
      </c>
      <c r="CU42" s="66">
        <v>160.87217644180001</v>
      </c>
      <c r="CV42" s="66">
        <v>199.50872859430001</v>
      </c>
      <c r="CW42" s="66">
        <v>175.4872874971</v>
      </c>
      <c r="CX42" s="66">
        <v>189.63744273939997</v>
      </c>
      <c r="CY42" s="66">
        <v>201.69706057810001</v>
      </c>
      <c r="CZ42" s="66">
        <v>165.75143550250004</v>
      </c>
      <c r="DA42" s="66">
        <v>198.01156337110001</v>
      </c>
      <c r="DB42" s="66">
        <v>194.81590217920004</v>
      </c>
      <c r="DC42" s="66">
        <v>176.9030197813</v>
      </c>
      <c r="DD42" s="66">
        <v>173.41900342660003</v>
      </c>
      <c r="DE42" s="66">
        <v>181.06383017049998</v>
      </c>
      <c r="DF42" s="66">
        <v>168.17209528600003</v>
      </c>
      <c r="DG42" s="66">
        <v>194.56150867990002</v>
      </c>
      <c r="DH42" s="66">
        <v>187.42847107059998</v>
      </c>
      <c r="DI42" s="66">
        <v>174.95016783999998</v>
      </c>
      <c r="DJ42" s="66">
        <v>171.65476067950001</v>
      </c>
      <c r="DK42" s="66">
        <v>166.57458366700001</v>
      </c>
      <c r="DL42" s="66">
        <v>141.78264436539999</v>
      </c>
      <c r="DM42" s="66">
        <v>172.62929155180001</v>
      </c>
      <c r="DN42" s="66">
        <v>186.26289176860001</v>
      </c>
      <c r="DO42" s="66">
        <v>174.09549724750002</v>
      </c>
      <c r="DP42" s="79"/>
      <c r="DQ42" s="80"/>
      <c r="DR42" s="81"/>
      <c r="DS42" s="84">
        <f t="shared" si="3"/>
        <v>2011</v>
      </c>
      <c r="DT42" s="80"/>
      <c r="DU42" s="83">
        <f t="shared" si="8"/>
        <v>1063.8234567540001</v>
      </c>
      <c r="DV42" s="83">
        <f t="shared" si="8"/>
        <v>1536.9883854858003</v>
      </c>
      <c r="DW42" s="83">
        <f t="shared" si="8"/>
        <v>1480.5821152958999</v>
      </c>
      <c r="DX42" s="83">
        <f t="shared" si="8"/>
        <v>1457.7095165925</v>
      </c>
      <c r="DY42" s="83">
        <f t="shared" si="8"/>
        <v>1453.4954933427002</v>
      </c>
      <c r="DZ42" s="83">
        <f t="shared" si="8"/>
        <v>1560.4802497926003</v>
      </c>
      <c r="EA42" s="83">
        <f t="shared" si="8"/>
        <v>1729.2660022442999</v>
      </c>
      <c r="EB42" s="83">
        <f t="shared" si="8"/>
        <v>1899.8876734401006</v>
      </c>
      <c r="EC42" s="83">
        <f t="shared" si="8"/>
        <v>2219.0288778060003</v>
      </c>
      <c r="ED42" s="83">
        <f t="shared" si="8"/>
        <v>1375.3783081903998</v>
      </c>
    </row>
    <row r="43" spans="2:134" x14ac:dyDescent="0.3">
      <c r="B43" s="45">
        <f t="shared" si="5"/>
        <v>1000000039</v>
      </c>
      <c r="C43" s="46">
        <v>40695</v>
      </c>
      <c r="D43" s="66">
        <v>59.42257071520001</v>
      </c>
      <c r="E43" s="66">
        <v>77.620956246700004</v>
      </c>
      <c r="F43" s="66">
        <v>98.818288008700009</v>
      </c>
      <c r="G43" s="66">
        <v>76.717988791300002</v>
      </c>
      <c r="H43" s="66">
        <v>81.736546962399999</v>
      </c>
      <c r="I43" s="66">
        <v>90.911900165800006</v>
      </c>
      <c r="J43" s="66">
        <v>86.281405599399989</v>
      </c>
      <c r="K43" s="66">
        <v>88.2928367194</v>
      </c>
      <c r="L43" s="66">
        <v>86.289623946700004</v>
      </c>
      <c r="M43" s="66">
        <v>89.916879715300013</v>
      </c>
      <c r="N43" s="66">
        <v>75.796933466500008</v>
      </c>
      <c r="O43" s="66">
        <v>70.356912927700009</v>
      </c>
      <c r="P43" s="66">
        <v>79.323730259200005</v>
      </c>
      <c r="Q43" s="66">
        <v>181.78678204600004</v>
      </c>
      <c r="R43" s="66">
        <v>98.929442094099983</v>
      </c>
      <c r="S43" s="66">
        <v>91.793589982299991</v>
      </c>
      <c r="T43" s="66">
        <v>85.9885097059</v>
      </c>
      <c r="U43" s="66">
        <v>102.49856900440001</v>
      </c>
      <c r="V43" s="66">
        <v>93.856770421600018</v>
      </c>
      <c r="W43" s="66">
        <v>100.673945797</v>
      </c>
      <c r="X43" s="66">
        <v>110.47062857230001</v>
      </c>
      <c r="Y43" s="66">
        <v>114.3403068229</v>
      </c>
      <c r="Z43" s="66">
        <v>106.74940594690001</v>
      </c>
      <c r="AA43" s="66">
        <v>83.515350069100009</v>
      </c>
      <c r="AB43" s="66">
        <v>85.090683408399997</v>
      </c>
      <c r="AC43" s="66">
        <v>135.48052294750002</v>
      </c>
      <c r="AD43" s="66">
        <v>134.9825436385</v>
      </c>
      <c r="AE43" s="66">
        <v>84.660514846300003</v>
      </c>
      <c r="AF43" s="66">
        <v>127.3979097214</v>
      </c>
      <c r="AG43" s="66">
        <v>136.20662706580001</v>
      </c>
      <c r="AH43" s="66">
        <v>136.6038471853</v>
      </c>
      <c r="AI43" s="66">
        <v>125.07785902060002</v>
      </c>
      <c r="AJ43" s="66">
        <v>112.6046594212</v>
      </c>
      <c r="AK43" s="66">
        <v>121.8102216181</v>
      </c>
      <c r="AL43" s="66">
        <v>128.49203818659998</v>
      </c>
      <c r="AM43" s="66">
        <v>120.48125106430001</v>
      </c>
      <c r="AN43" s="66">
        <v>143.92515624850003</v>
      </c>
      <c r="AO43" s="66">
        <v>147.49863625600003</v>
      </c>
      <c r="AP43" s="66">
        <v>171.4741071457</v>
      </c>
      <c r="AQ43" s="66">
        <v>157.3217003014</v>
      </c>
      <c r="AR43" s="66">
        <v>167.66799912490001</v>
      </c>
      <c r="AS43" s="66">
        <v>163.74630886810002</v>
      </c>
      <c r="AT43" s="66">
        <v>135.78677834620001</v>
      </c>
      <c r="AU43" s="66">
        <v>149.8432669453</v>
      </c>
      <c r="AV43" s="66">
        <v>131.70492413380001</v>
      </c>
      <c r="AW43" s="66">
        <v>122.75525650420002</v>
      </c>
      <c r="AX43" s="66">
        <v>109.26999933250002</v>
      </c>
      <c r="AY43" s="66">
        <v>124.4138615908</v>
      </c>
      <c r="AZ43" s="66">
        <v>128.80369743010002</v>
      </c>
      <c r="BA43" s="66">
        <v>143.8700295262</v>
      </c>
      <c r="BB43" s="66">
        <v>179.76127841350001</v>
      </c>
      <c r="BC43" s="66">
        <v>183.30683855620001</v>
      </c>
      <c r="BD43" s="66">
        <v>182.39820456909999</v>
      </c>
      <c r="BE43" s="66">
        <v>187.68200145579999</v>
      </c>
      <c r="BF43" s="66">
        <v>186.3905200753</v>
      </c>
      <c r="BG43" s="66">
        <v>165.6847130299</v>
      </c>
      <c r="BH43" s="66">
        <v>154.14885534310002</v>
      </c>
      <c r="BI43" s="66">
        <v>160.48902883480002</v>
      </c>
      <c r="BJ43" s="66">
        <v>132.54927488380002</v>
      </c>
      <c r="BK43" s="66">
        <v>107.85768197799999</v>
      </c>
      <c r="BL43" s="66">
        <v>132.18905609050003</v>
      </c>
      <c r="BM43" s="66">
        <v>158.63697360970002</v>
      </c>
      <c r="BN43" s="66">
        <v>179.6204031817</v>
      </c>
      <c r="BO43" s="66">
        <v>173.20318737490004</v>
      </c>
      <c r="BP43" s="66">
        <v>168.35668912330001</v>
      </c>
      <c r="BQ43" s="66">
        <v>166.54542542109996</v>
      </c>
      <c r="BR43" s="66">
        <v>165.82022194360002</v>
      </c>
      <c r="BS43" s="66">
        <v>182.28952724589999</v>
      </c>
      <c r="BT43" s="66">
        <v>207.04382726740005</v>
      </c>
      <c r="BU43" s="66">
        <v>194.71480524939997</v>
      </c>
      <c r="BV43" s="66">
        <v>200.67160597390003</v>
      </c>
      <c r="BW43" s="66">
        <v>175.9735584757</v>
      </c>
      <c r="BX43" s="66">
        <v>211.59559081719996</v>
      </c>
      <c r="BY43" s="66">
        <v>216.64405776820001</v>
      </c>
      <c r="BZ43" s="66">
        <v>209.35014319600003</v>
      </c>
      <c r="CA43" s="66">
        <v>181.8997749397</v>
      </c>
      <c r="CB43" s="66">
        <v>237.89047445379998</v>
      </c>
      <c r="CC43" s="66">
        <v>243.58278699670007</v>
      </c>
      <c r="CD43" s="66">
        <v>218.39482843000002</v>
      </c>
      <c r="CE43" s="66">
        <v>204.4219868452</v>
      </c>
      <c r="CF43" s="66">
        <v>213.42610571649999</v>
      </c>
      <c r="CG43" s="66">
        <v>220.05061901409999</v>
      </c>
      <c r="CH43" s="66">
        <v>198.50162454640002</v>
      </c>
      <c r="CI43" s="66">
        <v>147.7033819312</v>
      </c>
      <c r="CJ43" s="66">
        <v>166.21950603159999</v>
      </c>
      <c r="CK43" s="66">
        <v>226.0732415704</v>
      </c>
      <c r="CL43" s="66">
        <v>250.18065633729998</v>
      </c>
      <c r="CM43" s="66">
        <v>223.11035849859999</v>
      </c>
      <c r="CN43" s="66">
        <v>203.83960998790002</v>
      </c>
      <c r="CO43" s="66">
        <v>194.59115477289998</v>
      </c>
      <c r="CP43" s="66">
        <v>210.41061021130002</v>
      </c>
      <c r="CQ43" s="66">
        <v>169.20062707960003</v>
      </c>
      <c r="CR43" s="66">
        <v>219.23955444700002</v>
      </c>
      <c r="CS43" s="66">
        <v>189.65999628610001</v>
      </c>
      <c r="CT43" s="66">
        <v>205.75774973170005</v>
      </c>
      <c r="CU43" s="66">
        <v>153.50384642349999</v>
      </c>
      <c r="CV43" s="66">
        <v>182.81550147309997</v>
      </c>
      <c r="CW43" s="66">
        <v>209.33415682180001</v>
      </c>
      <c r="CX43" s="66">
        <v>233.11280017000004</v>
      </c>
      <c r="CY43" s="66">
        <v>216.92160524140002</v>
      </c>
      <c r="CZ43" s="66">
        <v>192.6772180195</v>
      </c>
      <c r="DA43" s="66">
        <v>167.4087271546</v>
      </c>
      <c r="DB43" s="66">
        <v>191.39264155180004</v>
      </c>
      <c r="DC43" s="66">
        <v>194.76250168509998</v>
      </c>
      <c r="DD43" s="66">
        <v>181.62470422870001</v>
      </c>
      <c r="DE43" s="66">
        <v>171.99921825880003</v>
      </c>
      <c r="DF43" s="66">
        <v>151.4963180803</v>
      </c>
      <c r="DG43" s="66">
        <v>122.10443094610002</v>
      </c>
      <c r="DH43" s="66">
        <v>174.50067302740001</v>
      </c>
      <c r="DI43" s="66">
        <v>203.47038478659996</v>
      </c>
      <c r="DJ43" s="66">
        <v>197.23930141180003</v>
      </c>
      <c r="DK43" s="66">
        <v>162.69436041370002</v>
      </c>
      <c r="DL43" s="66">
        <v>178.91884152520001</v>
      </c>
      <c r="DM43" s="66">
        <v>154.55523197739998</v>
      </c>
      <c r="DN43" s="66">
        <v>171.81413657440001</v>
      </c>
      <c r="DO43" s="66">
        <v>153.7123822954</v>
      </c>
      <c r="DP43" s="79"/>
      <c r="DQ43" s="80"/>
      <c r="DR43" s="81"/>
      <c r="DS43" s="84">
        <f t="shared" si="3"/>
        <v>2011</v>
      </c>
      <c r="DT43" s="80"/>
      <c r="DU43" s="83">
        <f t="shared" si="8"/>
        <v>982.16284326510015</v>
      </c>
      <c r="DV43" s="83">
        <f t="shared" si="8"/>
        <v>1249.9270307216998</v>
      </c>
      <c r="DW43" s="83">
        <f t="shared" si="8"/>
        <v>1448.8886781240001</v>
      </c>
      <c r="DX43" s="83">
        <f t="shared" si="8"/>
        <v>1725.4079947974001</v>
      </c>
      <c r="DY43" s="83">
        <f t="shared" si="8"/>
        <v>1912.9421240958</v>
      </c>
      <c r="DZ43" s="83">
        <f t="shared" si="8"/>
        <v>2105.0652809571002</v>
      </c>
      <c r="EA43" s="83">
        <f t="shared" si="8"/>
        <v>2503.4613746549999</v>
      </c>
      <c r="EB43" s="83">
        <f t="shared" si="8"/>
        <v>2411.7869113779002</v>
      </c>
      <c r="EC43" s="83">
        <f t="shared" si="8"/>
        <v>2215.6498236312</v>
      </c>
      <c r="ED43" s="83">
        <f t="shared" si="8"/>
        <v>1396.9053120118999</v>
      </c>
    </row>
    <row r="44" spans="2:134" x14ac:dyDescent="0.3">
      <c r="B44" s="45">
        <f t="shared" si="5"/>
        <v>1000000040</v>
      </c>
      <c r="C44" s="46">
        <v>43132</v>
      </c>
      <c r="D44" s="66">
        <v>-8</v>
      </c>
      <c r="E44" s="66">
        <v>-8</v>
      </c>
      <c r="F44" s="66">
        <v>-8</v>
      </c>
      <c r="G44" s="66">
        <v>-8</v>
      </c>
      <c r="H44" s="66">
        <v>-8</v>
      </c>
      <c r="I44" s="66">
        <v>-8</v>
      </c>
      <c r="J44" s="66">
        <v>-8</v>
      </c>
      <c r="K44" s="66">
        <v>-8</v>
      </c>
      <c r="L44" s="66">
        <v>-8</v>
      </c>
      <c r="M44" s="66">
        <v>-8</v>
      </c>
      <c r="N44" s="66">
        <v>-8</v>
      </c>
      <c r="O44" s="66">
        <v>-8</v>
      </c>
      <c r="P44" s="66">
        <v>-8</v>
      </c>
      <c r="Q44" s="66">
        <v>-8</v>
      </c>
      <c r="R44" s="66">
        <v>-8</v>
      </c>
      <c r="S44" s="66">
        <v>-8</v>
      </c>
      <c r="T44" s="66">
        <v>-8</v>
      </c>
      <c r="U44" s="66">
        <v>-8</v>
      </c>
      <c r="V44" s="66">
        <v>-8</v>
      </c>
      <c r="W44" s="66">
        <v>-8</v>
      </c>
      <c r="X44" s="66">
        <v>-8</v>
      </c>
      <c r="Y44" s="66">
        <v>-8</v>
      </c>
      <c r="Z44" s="66">
        <v>-8</v>
      </c>
      <c r="AA44" s="66">
        <v>-8</v>
      </c>
      <c r="AB44" s="66">
        <v>-8</v>
      </c>
      <c r="AC44" s="66">
        <v>-8</v>
      </c>
      <c r="AD44" s="66">
        <v>-8</v>
      </c>
      <c r="AE44" s="66">
        <v>-8</v>
      </c>
      <c r="AF44" s="66">
        <v>-8</v>
      </c>
      <c r="AG44" s="66">
        <v>-8</v>
      </c>
      <c r="AH44" s="66">
        <v>-8</v>
      </c>
      <c r="AI44" s="66">
        <v>-8</v>
      </c>
      <c r="AJ44" s="66">
        <v>-8</v>
      </c>
      <c r="AK44" s="66">
        <v>-8</v>
      </c>
      <c r="AL44" s="66">
        <v>-8</v>
      </c>
      <c r="AM44" s="66">
        <v>-8</v>
      </c>
      <c r="AN44" s="66">
        <v>-8</v>
      </c>
      <c r="AO44" s="66">
        <v>-8</v>
      </c>
      <c r="AP44" s="66">
        <v>-8</v>
      </c>
      <c r="AQ44" s="66">
        <v>-8</v>
      </c>
      <c r="AR44" s="66">
        <v>-8</v>
      </c>
      <c r="AS44" s="66">
        <v>-8</v>
      </c>
      <c r="AT44" s="66">
        <v>-8</v>
      </c>
      <c r="AU44" s="66">
        <v>-8</v>
      </c>
      <c r="AV44" s="66">
        <v>-8</v>
      </c>
      <c r="AW44" s="66">
        <v>-8</v>
      </c>
      <c r="AX44" s="66">
        <v>-8</v>
      </c>
      <c r="AY44" s="66">
        <v>-8</v>
      </c>
      <c r="AZ44" s="66">
        <v>-8</v>
      </c>
      <c r="BA44" s="66">
        <v>8.2483856194000005</v>
      </c>
      <c r="BB44" s="66">
        <v>22.115476963599999</v>
      </c>
      <c r="BC44" s="66">
        <v>43.844224324300001</v>
      </c>
      <c r="BD44" s="66">
        <v>24.845882128900001</v>
      </c>
      <c r="BE44" s="66">
        <v>20.092712780199999</v>
      </c>
      <c r="BF44" s="66">
        <v>15.768998986300002</v>
      </c>
      <c r="BG44" s="66">
        <v>19.940842225299999</v>
      </c>
      <c r="BH44" s="66">
        <v>22.411074779499998</v>
      </c>
      <c r="BI44" s="66">
        <v>31.451857236699993</v>
      </c>
      <c r="BJ44" s="66">
        <v>32.375089110099999</v>
      </c>
      <c r="BK44" s="66">
        <v>35.788555268800003</v>
      </c>
      <c r="BL44" s="66">
        <v>43.391464688799999</v>
      </c>
      <c r="BM44" s="66">
        <v>89.854998187000021</v>
      </c>
      <c r="BN44" s="66">
        <v>73.312703453200001</v>
      </c>
      <c r="BO44" s="66">
        <v>74.228955360400008</v>
      </c>
      <c r="BP44" s="66">
        <v>51.851483936799987</v>
      </c>
      <c r="BQ44" s="66">
        <v>47.145335543200012</v>
      </c>
      <c r="BR44" s="66">
        <v>54.216791837799981</v>
      </c>
      <c r="BS44" s="66">
        <v>57.129764398600003</v>
      </c>
      <c r="BT44" s="66">
        <v>49.863582057700008</v>
      </c>
      <c r="BU44" s="66">
        <v>68.314935073900003</v>
      </c>
      <c r="BV44" s="66">
        <v>55.339215434799996</v>
      </c>
      <c r="BW44" s="66">
        <v>55.895811449200011</v>
      </c>
      <c r="BX44" s="66">
        <v>86.853837881200008</v>
      </c>
      <c r="BY44" s="66">
        <v>124.67970073360001</v>
      </c>
      <c r="BZ44" s="66">
        <v>80.421161074000011</v>
      </c>
      <c r="CA44" s="66">
        <v>80.562749313100014</v>
      </c>
      <c r="CB44" s="66">
        <v>93.146352463900001</v>
      </c>
      <c r="CC44" s="66">
        <v>97.45648159240001</v>
      </c>
      <c r="CD44" s="66">
        <v>114.86620599670002</v>
      </c>
      <c r="CE44" s="66">
        <v>91.396407389499998</v>
      </c>
      <c r="CF44" s="66">
        <v>84.762925210600017</v>
      </c>
      <c r="CG44" s="66">
        <v>85.989110133099999</v>
      </c>
      <c r="CH44" s="66">
        <v>84.514911250300003</v>
      </c>
      <c r="CI44" s="66">
        <v>69.162212906499988</v>
      </c>
      <c r="CJ44" s="66">
        <v>123.2215632784</v>
      </c>
      <c r="CK44" s="66">
        <v>249.49733265700002</v>
      </c>
      <c r="CL44" s="66">
        <v>193.5869402809</v>
      </c>
      <c r="CM44" s="66">
        <v>181.83293988700001</v>
      </c>
      <c r="CN44" s="66">
        <v>153.30450459310001</v>
      </c>
      <c r="CO44" s="66">
        <v>92.66218298050002</v>
      </c>
      <c r="CP44" s="66">
        <v>102.09707084110001</v>
      </c>
      <c r="CQ44" s="66">
        <v>80.933100315400011</v>
      </c>
      <c r="CR44" s="66">
        <v>83.345354118099991</v>
      </c>
      <c r="CS44" s="66">
        <v>109.0271640568</v>
      </c>
      <c r="CT44" s="66">
        <v>95.012705361700014</v>
      </c>
      <c r="CU44" s="66">
        <v>105.8895191431</v>
      </c>
      <c r="CV44" s="66">
        <v>145.82877315940001</v>
      </c>
      <c r="CW44" s="66">
        <v>225.28833311319997</v>
      </c>
      <c r="CX44" s="66">
        <v>178.51557960700001</v>
      </c>
      <c r="CY44" s="66">
        <v>196.37232206169998</v>
      </c>
      <c r="CZ44" s="66">
        <v>95.798139192700006</v>
      </c>
      <c r="DA44" s="66">
        <v>92.911660482100004</v>
      </c>
      <c r="DB44" s="66">
        <v>94.336136487400012</v>
      </c>
      <c r="DC44" s="66">
        <v>87.866946201099992</v>
      </c>
      <c r="DD44" s="66">
        <v>106.22564579500002</v>
      </c>
      <c r="DE44" s="66">
        <v>113.63904538000001</v>
      </c>
      <c r="DF44" s="66">
        <v>113.03021219919999</v>
      </c>
      <c r="DG44" s="66">
        <v>102.93226507630001</v>
      </c>
      <c r="DH44" s="66">
        <v>259.02967735749996</v>
      </c>
      <c r="DI44" s="66">
        <v>300.95833432090001</v>
      </c>
      <c r="DJ44" s="66">
        <v>237.68107546780001</v>
      </c>
      <c r="DK44" s="66">
        <v>146.84934929259998</v>
      </c>
      <c r="DL44" s="66">
        <v>139.1265795928</v>
      </c>
      <c r="DM44" s="66">
        <v>172.45149004720002</v>
      </c>
      <c r="DN44" s="66">
        <v>178.29634862560002</v>
      </c>
      <c r="DO44" s="66">
        <v>197.13805437520006</v>
      </c>
      <c r="DP44" s="79"/>
      <c r="DQ44" s="80"/>
      <c r="DR44" s="81"/>
      <c r="DS44" s="84">
        <f t="shared" si="3"/>
        <v>2018</v>
      </c>
      <c r="DT44" s="80"/>
      <c r="DU44" s="83">
        <f t="shared" si="8"/>
        <v>-96</v>
      </c>
      <c r="DV44" s="83">
        <f t="shared" si="8"/>
        <v>-96</v>
      </c>
      <c r="DW44" s="83">
        <f t="shared" si="8"/>
        <v>-96</v>
      </c>
      <c r="DX44" s="83">
        <f t="shared" si="8"/>
        <v>-96</v>
      </c>
      <c r="DY44" s="83">
        <f t="shared" si="8"/>
        <v>268.88309942310002</v>
      </c>
      <c r="DZ44" s="83">
        <f t="shared" si="8"/>
        <v>720.5450414213999</v>
      </c>
      <c r="EA44" s="83">
        <f t="shared" si="8"/>
        <v>1093.8120559449001</v>
      </c>
      <c r="EB44" s="83">
        <f t="shared" si="8"/>
        <v>1570.4103775131</v>
      </c>
      <c r="EC44" s="83">
        <f t="shared" si="8"/>
        <v>1552.7450587550998</v>
      </c>
      <c r="ED44" s="83">
        <f t="shared" si="8"/>
        <v>1631.5309090796</v>
      </c>
    </row>
    <row r="45" spans="2:134" x14ac:dyDescent="0.3">
      <c r="B45" s="45">
        <f t="shared" si="5"/>
        <v>1000000041</v>
      </c>
      <c r="C45" s="46">
        <v>44287</v>
      </c>
      <c r="D45" s="66">
        <v>-8</v>
      </c>
      <c r="E45" s="66">
        <v>-8</v>
      </c>
      <c r="F45" s="66">
        <v>-8</v>
      </c>
      <c r="G45" s="66">
        <v>-8</v>
      </c>
      <c r="H45" s="66">
        <v>-8</v>
      </c>
      <c r="I45" s="66">
        <v>-8</v>
      </c>
      <c r="J45" s="66">
        <v>-8</v>
      </c>
      <c r="K45" s="66">
        <v>-8</v>
      </c>
      <c r="L45" s="66">
        <v>-8</v>
      </c>
      <c r="M45" s="66">
        <v>-8</v>
      </c>
      <c r="N45" s="66">
        <v>-8</v>
      </c>
      <c r="O45" s="66">
        <v>-8</v>
      </c>
      <c r="P45" s="66">
        <v>-8</v>
      </c>
      <c r="Q45" s="66">
        <v>-8</v>
      </c>
      <c r="R45" s="66">
        <v>-8</v>
      </c>
      <c r="S45" s="66">
        <v>-8</v>
      </c>
      <c r="T45" s="66">
        <v>-8</v>
      </c>
      <c r="U45" s="66">
        <v>-8</v>
      </c>
      <c r="V45" s="66">
        <v>-8</v>
      </c>
      <c r="W45" s="66">
        <v>-8</v>
      </c>
      <c r="X45" s="66">
        <v>-8</v>
      </c>
      <c r="Y45" s="66">
        <v>-8</v>
      </c>
      <c r="Z45" s="66">
        <v>-8</v>
      </c>
      <c r="AA45" s="66">
        <v>-8</v>
      </c>
      <c r="AB45" s="66">
        <v>-8</v>
      </c>
      <c r="AC45" s="66">
        <v>-8</v>
      </c>
      <c r="AD45" s="66">
        <v>-8</v>
      </c>
      <c r="AE45" s="66">
        <v>-8</v>
      </c>
      <c r="AF45" s="66">
        <v>-8</v>
      </c>
      <c r="AG45" s="66">
        <v>-8</v>
      </c>
      <c r="AH45" s="66">
        <v>-8</v>
      </c>
      <c r="AI45" s="66">
        <v>-8</v>
      </c>
      <c r="AJ45" s="66">
        <v>-8</v>
      </c>
      <c r="AK45" s="66">
        <v>-8</v>
      </c>
      <c r="AL45" s="66">
        <v>-8</v>
      </c>
      <c r="AM45" s="66">
        <v>-8</v>
      </c>
      <c r="AN45" s="66">
        <v>-8</v>
      </c>
      <c r="AO45" s="66">
        <v>-8</v>
      </c>
      <c r="AP45" s="66">
        <v>-8</v>
      </c>
      <c r="AQ45" s="66">
        <v>-8</v>
      </c>
      <c r="AR45" s="66">
        <v>-8</v>
      </c>
      <c r="AS45" s="66">
        <v>-8</v>
      </c>
      <c r="AT45" s="66">
        <v>-8</v>
      </c>
      <c r="AU45" s="66">
        <v>-8</v>
      </c>
      <c r="AV45" s="66">
        <v>-8</v>
      </c>
      <c r="AW45" s="66">
        <v>-8</v>
      </c>
      <c r="AX45" s="66">
        <v>-8</v>
      </c>
      <c r="AY45" s="66">
        <v>-8</v>
      </c>
      <c r="AZ45" s="66">
        <v>-8</v>
      </c>
      <c r="BA45" s="66">
        <v>-8</v>
      </c>
      <c r="BB45" s="66">
        <v>-8</v>
      </c>
      <c r="BC45" s="66">
        <v>-8</v>
      </c>
      <c r="BD45" s="66">
        <v>-8</v>
      </c>
      <c r="BE45" s="66">
        <v>-8</v>
      </c>
      <c r="BF45" s="66">
        <v>-8</v>
      </c>
      <c r="BG45" s="66">
        <v>-8</v>
      </c>
      <c r="BH45" s="66">
        <v>-8</v>
      </c>
      <c r="BI45" s="66">
        <v>-8</v>
      </c>
      <c r="BJ45" s="66">
        <v>-8</v>
      </c>
      <c r="BK45" s="66">
        <v>-8</v>
      </c>
      <c r="BL45" s="66">
        <v>-8</v>
      </c>
      <c r="BM45" s="66">
        <v>-8</v>
      </c>
      <c r="BN45" s="66">
        <v>-8</v>
      </c>
      <c r="BO45" s="66">
        <v>-8</v>
      </c>
      <c r="BP45" s="66">
        <v>-8</v>
      </c>
      <c r="BQ45" s="66">
        <v>-8</v>
      </c>
      <c r="BR45" s="66">
        <v>-8</v>
      </c>
      <c r="BS45" s="66">
        <v>-8</v>
      </c>
      <c r="BT45" s="66">
        <v>-8</v>
      </c>
      <c r="BU45" s="66">
        <v>-8</v>
      </c>
      <c r="BV45" s="66">
        <v>-8</v>
      </c>
      <c r="BW45" s="66">
        <v>-8</v>
      </c>
      <c r="BX45" s="66">
        <v>-8</v>
      </c>
      <c r="BY45" s="66">
        <v>-8</v>
      </c>
      <c r="BZ45" s="66">
        <v>-8</v>
      </c>
      <c r="CA45" s="66">
        <v>-8</v>
      </c>
      <c r="CB45" s="66">
        <v>-8</v>
      </c>
      <c r="CC45" s="66">
        <v>-8</v>
      </c>
      <c r="CD45" s="66">
        <v>-8</v>
      </c>
      <c r="CE45" s="66">
        <v>-8</v>
      </c>
      <c r="CF45" s="66">
        <v>-8</v>
      </c>
      <c r="CG45" s="66">
        <v>-8</v>
      </c>
      <c r="CH45" s="66">
        <v>-8</v>
      </c>
      <c r="CI45" s="66">
        <v>-8</v>
      </c>
      <c r="CJ45" s="66">
        <v>-8</v>
      </c>
      <c r="CK45" s="66">
        <v>-8</v>
      </c>
      <c r="CL45" s="66">
        <v>-8</v>
      </c>
      <c r="CM45" s="66">
        <v>0.76383541120000054</v>
      </c>
      <c r="CN45" s="66">
        <v>29.661533433100004</v>
      </c>
      <c r="CO45" s="66">
        <v>64.069014129099997</v>
      </c>
      <c r="CP45" s="66">
        <v>71.541593320000004</v>
      </c>
      <c r="CQ45" s="66">
        <v>67.395005550100009</v>
      </c>
      <c r="CR45" s="66">
        <v>62.117588202400015</v>
      </c>
      <c r="CS45" s="66">
        <v>62.024146719400008</v>
      </c>
      <c r="CT45" s="66">
        <v>76.199144637100005</v>
      </c>
      <c r="CU45" s="66">
        <v>77.549655516700014</v>
      </c>
      <c r="CV45" s="66">
        <v>93.216414812800011</v>
      </c>
      <c r="CW45" s="66">
        <v>105.16836854920003</v>
      </c>
      <c r="CX45" s="66">
        <v>118.47499862890002</v>
      </c>
      <c r="CY45" s="66">
        <v>142.04364256390002</v>
      </c>
      <c r="CZ45" s="66">
        <v>126.43880232279997</v>
      </c>
      <c r="DA45" s="66">
        <v>147.71767960390002</v>
      </c>
      <c r="DB45" s="66">
        <v>164.04494634670002</v>
      </c>
      <c r="DC45" s="66">
        <v>162.47952005619996</v>
      </c>
      <c r="DD45" s="66">
        <v>151.0231063933</v>
      </c>
      <c r="DE45" s="66">
        <v>138.9127149295</v>
      </c>
      <c r="DF45" s="66">
        <v>161.56574491120003</v>
      </c>
      <c r="DG45" s="66">
        <v>167.811463699</v>
      </c>
      <c r="DH45" s="66">
        <v>125.85792653350001</v>
      </c>
      <c r="DI45" s="66">
        <v>161.72286920410002</v>
      </c>
      <c r="DJ45" s="66">
        <v>177.01999050519998</v>
      </c>
      <c r="DK45" s="66">
        <v>186.43517684829999</v>
      </c>
      <c r="DL45" s="66">
        <v>180.5532043636</v>
      </c>
      <c r="DM45" s="66">
        <v>188.00799589870002</v>
      </c>
      <c r="DN45" s="66">
        <v>191.08094478160001</v>
      </c>
      <c r="DO45" s="66">
        <v>191.79432734860001</v>
      </c>
      <c r="DP45" s="79"/>
      <c r="DQ45" s="80"/>
      <c r="DR45" s="81"/>
      <c r="DS45" s="84">
        <f t="shared" si="3"/>
        <v>2021</v>
      </c>
      <c r="DT45" s="80"/>
      <c r="DU45" s="83">
        <f t="shared" ref="DU45:ED54" si="9">+SUMIF($D$3:$DO$3,DU$4,$D45:$DO45)</f>
        <v>-96</v>
      </c>
      <c r="DV45" s="83">
        <f t="shared" si="9"/>
        <v>-96</v>
      </c>
      <c r="DW45" s="83">
        <f t="shared" si="9"/>
        <v>-96</v>
      </c>
      <c r="DX45" s="83">
        <f t="shared" si="9"/>
        <v>-96</v>
      </c>
      <c r="DY45" s="83">
        <f t="shared" si="9"/>
        <v>-96</v>
      </c>
      <c r="DZ45" s="83">
        <f t="shared" si="9"/>
        <v>-96</v>
      </c>
      <c r="EA45" s="83">
        <f t="shared" si="9"/>
        <v>-96</v>
      </c>
      <c r="EB45" s="83">
        <f t="shared" si="9"/>
        <v>487.32151691910008</v>
      </c>
      <c r="EC45" s="83">
        <f t="shared" si="9"/>
        <v>1678.8974028174002</v>
      </c>
      <c r="ED45" s="83">
        <f t="shared" si="9"/>
        <v>1402.4724354836001</v>
      </c>
    </row>
    <row r="46" spans="2:134" x14ac:dyDescent="0.3">
      <c r="B46" s="45">
        <f t="shared" si="5"/>
        <v>1000000042</v>
      </c>
      <c r="C46" s="46">
        <v>39753</v>
      </c>
      <c r="D46" s="66">
        <v>62.733588982900002</v>
      </c>
      <c r="E46" s="66">
        <v>141.68346129730003</v>
      </c>
      <c r="F46" s="66">
        <v>113.80187373130002</v>
      </c>
      <c r="G46" s="66">
        <v>100.04837570800001</v>
      </c>
      <c r="H46" s="66">
        <v>77.047473217300023</v>
      </c>
      <c r="I46" s="66">
        <v>89.270482307800009</v>
      </c>
      <c r="J46" s="66">
        <v>76.994260356700011</v>
      </c>
      <c r="K46" s="66">
        <v>83.541843919299993</v>
      </c>
      <c r="L46" s="66">
        <v>91.542799046200017</v>
      </c>
      <c r="M46" s="66">
        <v>88.230692504200007</v>
      </c>
      <c r="N46" s="66">
        <v>72.915933654100002</v>
      </c>
      <c r="O46" s="66">
        <v>77.38232396139999</v>
      </c>
      <c r="P46" s="66">
        <v>91.968426877599995</v>
      </c>
      <c r="Q46" s="66">
        <v>352.19927941600002</v>
      </c>
      <c r="R46" s="66">
        <v>129.7420150369</v>
      </c>
      <c r="S46" s="66">
        <v>125.9160178651</v>
      </c>
      <c r="T46" s="66">
        <v>107.51506320700001</v>
      </c>
      <c r="U46" s="66">
        <v>89.701739144200005</v>
      </c>
      <c r="V46" s="66">
        <v>92.542923127899996</v>
      </c>
      <c r="W46" s="66">
        <v>85.546220019700002</v>
      </c>
      <c r="X46" s="66">
        <v>98.122693097500004</v>
      </c>
      <c r="Y46" s="66">
        <v>94.431379251999999</v>
      </c>
      <c r="Z46" s="66">
        <v>95.30972919220001</v>
      </c>
      <c r="AA46" s="66">
        <v>77.711958494200005</v>
      </c>
      <c r="AB46" s="66">
        <v>102.3386677357</v>
      </c>
      <c r="AC46" s="66">
        <v>191.04927224680003</v>
      </c>
      <c r="AD46" s="66">
        <v>163.7380529941</v>
      </c>
      <c r="AE46" s="66">
        <v>135.5155353586</v>
      </c>
      <c r="AF46" s="66">
        <v>100.10410285750002</v>
      </c>
      <c r="AG46" s="66">
        <v>101.22982880410001</v>
      </c>
      <c r="AH46" s="66">
        <v>89.666539099600001</v>
      </c>
      <c r="AI46" s="66">
        <v>108.6646186081</v>
      </c>
      <c r="AJ46" s="66">
        <v>93.182865942999996</v>
      </c>
      <c r="AK46" s="66">
        <v>107.3978297962</v>
      </c>
      <c r="AL46" s="66">
        <v>95.430415059399991</v>
      </c>
      <c r="AM46" s="66">
        <v>89.409518731300025</v>
      </c>
      <c r="AN46" s="66">
        <v>135.05624607730002</v>
      </c>
      <c r="AO46" s="66">
        <v>176.88647050659998</v>
      </c>
      <c r="AP46" s="66">
        <v>180.94209355569998</v>
      </c>
      <c r="AQ46" s="66">
        <v>140.70363916030001</v>
      </c>
      <c r="AR46" s="66">
        <v>118.5926073067</v>
      </c>
      <c r="AS46" s="66">
        <v>116.5921339831</v>
      </c>
      <c r="AT46" s="66">
        <v>100.57825271200002</v>
      </c>
      <c r="AU46" s="66">
        <v>123.70580781519999</v>
      </c>
      <c r="AV46" s="66">
        <v>108.93004495720001</v>
      </c>
      <c r="AW46" s="66">
        <v>118.015409134</v>
      </c>
      <c r="AX46" s="66">
        <v>107.8249586956</v>
      </c>
      <c r="AY46" s="66">
        <v>104.9487623008</v>
      </c>
      <c r="AZ46" s="66">
        <v>122.87759354620002</v>
      </c>
      <c r="BA46" s="66">
        <v>195.04991868039994</v>
      </c>
      <c r="BB46" s="66">
        <v>289.39703353150003</v>
      </c>
      <c r="BC46" s="66">
        <v>154.2710047516</v>
      </c>
      <c r="BD46" s="66">
        <v>140.0748042484</v>
      </c>
      <c r="BE46" s="66">
        <v>122.8330493533</v>
      </c>
      <c r="BF46" s="66">
        <v>119.2742047588</v>
      </c>
      <c r="BG46" s="66">
        <v>112.81687290970001</v>
      </c>
      <c r="BH46" s="66">
        <v>121.351157497</v>
      </c>
      <c r="BI46" s="66">
        <v>131.79911615080002</v>
      </c>
      <c r="BJ46" s="66">
        <v>112.90810031739998</v>
      </c>
      <c r="BK46" s="66">
        <v>104.7777531289</v>
      </c>
      <c r="BL46" s="66">
        <v>114.03397637080002</v>
      </c>
      <c r="BM46" s="66">
        <v>319.25582786710004</v>
      </c>
      <c r="BN46" s="66">
        <v>175.51261801960004</v>
      </c>
      <c r="BO46" s="66">
        <v>153.99255663759999</v>
      </c>
      <c r="BP46" s="66">
        <v>138.27948939370003</v>
      </c>
      <c r="BQ46" s="66">
        <v>132.3694844641</v>
      </c>
      <c r="BR46" s="66">
        <v>139.91100020289997</v>
      </c>
      <c r="BS46" s="66">
        <v>140.65260284830003</v>
      </c>
      <c r="BT46" s="66">
        <v>151.20664948299998</v>
      </c>
      <c r="BU46" s="66">
        <v>135.54379296369999</v>
      </c>
      <c r="BV46" s="66">
        <v>127.83111794619998</v>
      </c>
      <c r="BW46" s="66">
        <v>131.37026102319999</v>
      </c>
      <c r="BX46" s="66">
        <v>156.61612328800001</v>
      </c>
      <c r="BY46" s="66">
        <v>216.16487933590003</v>
      </c>
      <c r="BZ46" s="66">
        <v>311.46048152949999</v>
      </c>
      <c r="CA46" s="66">
        <v>107.7690063859</v>
      </c>
      <c r="CB46" s="66">
        <v>119.83946944090002</v>
      </c>
      <c r="CC46" s="66">
        <v>170.93574910750004</v>
      </c>
      <c r="CD46" s="66">
        <v>175.25165734779998</v>
      </c>
      <c r="CE46" s="66">
        <v>164.2483410607</v>
      </c>
      <c r="CF46" s="66">
        <v>153.69166755700002</v>
      </c>
      <c r="CG46" s="66">
        <v>151.5976401703</v>
      </c>
      <c r="CH46" s="66">
        <v>136.06807848939999</v>
      </c>
      <c r="CI46" s="66">
        <v>144.02463953020001</v>
      </c>
      <c r="CJ46" s="66">
        <v>174.74992536880001</v>
      </c>
      <c r="CK46" s="66">
        <v>177.66274782280001</v>
      </c>
      <c r="CL46" s="66">
        <v>201.01336163079998</v>
      </c>
      <c r="CM46" s="66">
        <v>188.7416428837</v>
      </c>
      <c r="CN46" s="66">
        <v>311.97816235599998</v>
      </c>
      <c r="CO46" s="66">
        <v>174.40520510260001</v>
      </c>
      <c r="CP46" s="66">
        <v>188.7950809045</v>
      </c>
      <c r="CQ46" s="66">
        <v>178.90668287440005</v>
      </c>
      <c r="CR46" s="66">
        <v>164.26519054900001</v>
      </c>
      <c r="CS46" s="66">
        <v>158.4293008519</v>
      </c>
      <c r="CT46" s="66">
        <v>175.53404576529999</v>
      </c>
      <c r="CU46" s="66">
        <v>163.84699300420002</v>
      </c>
      <c r="CV46" s="66">
        <v>180.3575026231</v>
      </c>
      <c r="CW46" s="66">
        <v>144.75442126509998</v>
      </c>
      <c r="CX46" s="66">
        <v>186.94951779850001</v>
      </c>
      <c r="CY46" s="66">
        <v>165.05077448679998</v>
      </c>
      <c r="CZ46" s="66">
        <v>143.07739056880001</v>
      </c>
      <c r="DA46" s="66">
        <v>160.25429932630001</v>
      </c>
      <c r="DB46" s="66">
        <v>150.99349782700003</v>
      </c>
      <c r="DC46" s="66">
        <v>157.73115412510001</v>
      </c>
      <c r="DD46" s="66">
        <v>162.85167234010001</v>
      </c>
      <c r="DE46" s="66">
        <v>154.46002673949999</v>
      </c>
      <c r="DF46" s="66">
        <v>143.97322795120002</v>
      </c>
      <c r="DG46" s="66">
        <v>149.48867715700004</v>
      </c>
      <c r="DH46" s="66">
        <v>148.80490315629999</v>
      </c>
      <c r="DI46" s="66">
        <v>176.71242167200003</v>
      </c>
      <c r="DJ46" s="66">
        <v>190.92194415370003</v>
      </c>
      <c r="DK46" s="66">
        <v>155.21172406720001</v>
      </c>
      <c r="DL46" s="66">
        <v>136.99326175120004</v>
      </c>
      <c r="DM46" s="66">
        <v>167.89349706519999</v>
      </c>
      <c r="DN46" s="66">
        <v>145.9428168007</v>
      </c>
      <c r="DO46" s="66">
        <v>194.42277247000001</v>
      </c>
      <c r="DP46" s="79"/>
      <c r="DQ46" s="80"/>
      <c r="DR46" s="81"/>
      <c r="DS46" s="84">
        <f t="shared" si="3"/>
        <v>2008</v>
      </c>
      <c r="DT46" s="80"/>
      <c r="DU46" s="83">
        <f t="shared" si="9"/>
        <v>1075.1931086865002</v>
      </c>
      <c r="DV46" s="83">
        <f t="shared" si="9"/>
        <v>1440.7074447302998</v>
      </c>
      <c r="DW46" s="83">
        <f t="shared" si="9"/>
        <v>1377.7272472344002</v>
      </c>
      <c r="DX46" s="83">
        <f t="shared" si="9"/>
        <v>1532.7764262044998</v>
      </c>
      <c r="DY46" s="83">
        <f t="shared" si="9"/>
        <v>1727.430608874</v>
      </c>
      <c r="DZ46" s="83">
        <f t="shared" si="9"/>
        <v>1859.9593772202002</v>
      </c>
      <c r="EA46" s="83">
        <f t="shared" si="9"/>
        <v>2007.6677332431</v>
      </c>
      <c r="EB46" s="83">
        <f t="shared" si="9"/>
        <v>2258.3283391140003</v>
      </c>
      <c r="EC46" s="83">
        <f t="shared" si="9"/>
        <v>1899.9421622085001</v>
      </c>
      <c r="ED46" s="83">
        <f t="shared" si="9"/>
        <v>1316.9033411363</v>
      </c>
    </row>
    <row r="47" spans="2:134" x14ac:dyDescent="0.3">
      <c r="B47" s="45">
        <f t="shared" si="5"/>
        <v>1000000043</v>
      </c>
      <c r="C47" s="46">
        <v>38899</v>
      </c>
      <c r="D47" s="66">
        <v>66.781031211399991</v>
      </c>
      <c r="E47" s="66">
        <v>186.32387265610004</v>
      </c>
      <c r="F47" s="66">
        <v>143.10812493610001</v>
      </c>
      <c r="G47" s="66">
        <v>114.41536022290002</v>
      </c>
      <c r="H47" s="66">
        <v>67.165192039299995</v>
      </c>
      <c r="I47" s="66">
        <v>82.056086812900006</v>
      </c>
      <c r="J47" s="66">
        <v>61.596304812699984</v>
      </c>
      <c r="K47" s="66">
        <v>80.882551850500008</v>
      </c>
      <c r="L47" s="66">
        <v>75.856600919499996</v>
      </c>
      <c r="M47" s="66">
        <v>75.620820663400011</v>
      </c>
      <c r="N47" s="66">
        <v>81.140923180000016</v>
      </c>
      <c r="O47" s="66">
        <v>77.838761213500007</v>
      </c>
      <c r="P47" s="66">
        <v>101.94414953860002</v>
      </c>
      <c r="Q47" s="66">
        <v>472.27661364879998</v>
      </c>
      <c r="R47" s="66">
        <v>146.02882799710002</v>
      </c>
      <c r="S47" s="66">
        <v>120.51100973740003</v>
      </c>
      <c r="T47" s="66">
        <v>84.942640576900004</v>
      </c>
      <c r="U47" s="66">
        <v>83.169128734900013</v>
      </c>
      <c r="V47" s="66">
        <v>86.979514799499995</v>
      </c>
      <c r="W47" s="66">
        <v>110.7370681423</v>
      </c>
      <c r="X47" s="66">
        <v>104.52155834800001</v>
      </c>
      <c r="Y47" s="66">
        <v>110.7689283106</v>
      </c>
      <c r="Z47" s="66">
        <v>99.135913997500012</v>
      </c>
      <c r="AA47" s="66">
        <v>78.6417950668</v>
      </c>
      <c r="AB47" s="66">
        <v>107.09104902370001</v>
      </c>
      <c r="AC47" s="66">
        <v>213.93050209120003</v>
      </c>
      <c r="AD47" s="66">
        <v>170.31787199200002</v>
      </c>
      <c r="AE47" s="66">
        <v>119.7853184128</v>
      </c>
      <c r="AF47" s="66">
        <v>101.50617542290001</v>
      </c>
      <c r="AG47" s="66">
        <v>91.257633652900026</v>
      </c>
      <c r="AH47" s="66">
        <v>98.553499613500009</v>
      </c>
      <c r="AI47" s="66">
        <v>105.3273691771</v>
      </c>
      <c r="AJ47" s="66">
        <v>101.9498911237</v>
      </c>
      <c r="AK47" s="66">
        <v>107.65338662320001</v>
      </c>
      <c r="AL47" s="66">
        <v>109.9416146824</v>
      </c>
      <c r="AM47" s="66">
        <v>87.985080252699987</v>
      </c>
      <c r="AN47" s="66">
        <v>103.91842922560002</v>
      </c>
      <c r="AO47" s="66">
        <v>245.38084130050007</v>
      </c>
      <c r="AP47" s="66">
        <v>242.36474536810002</v>
      </c>
      <c r="AQ47" s="66">
        <v>192.66723591730002</v>
      </c>
      <c r="AR47" s="66">
        <v>127.53052907919999</v>
      </c>
      <c r="AS47" s="66">
        <v>101.1770662639</v>
      </c>
      <c r="AT47" s="66">
        <v>122.11253671330005</v>
      </c>
      <c r="AU47" s="66">
        <v>142.96458530860005</v>
      </c>
      <c r="AV47" s="66">
        <v>150.71324843139999</v>
      </c>
      <c r="AW47" s="66">
        <v>118.8978870112</v>
      </c>
      <c r="AX47" s="66">
        <v>128.41814811429998</v>
      </c>
      <c r="AY47" s="66">
        <v>119.6094307699</v>
      </c>
      <c r="AZ47" s="66">
        <v>132.82997459980001</v>
      </c>
      <c r="BA47" s="66">
        <v>312.25375844079991</v>
      </c>
      <c r="BB47" s="66">
        <v>226.09628296420001</v>
      </c>
      <c r="BC47" s="66">
        <v>188.95164229689999</v>
      </c>
      <c r="BD47" s="66">
        <v>133.65064600210002</v>
      </c>
      <c r="BE47" s="66">
        <v>106.68647367100002</v>
      </c>
      <c r="BF47" s="66">
        <v>130.83385437339999</v>
      </c>
      <c r="BG47" s="66">
        <v>132.52852261870001</v>
      </c>
      <c r="BH47" s="66">
        <v>144.11605457139996</v>
      </c>
      <c r="BI47" s="66">
        <v>131.58033548980001</v>
      </c>
      <c r="BJ47" s="66">
        <v>120.10725997210002</v>
      </c>
      <c r="BK47" s="66">
        <v>104.24097121210001</v>
      </c>
      <c r="BL47" s="66">
        <v>128.40340012120001</v>
      </c>
      <c r="BM47" s="66">
        <v>290.14677947079997</v>
      </c>
      <c r="BN47" s="66">
        <v>207.8099348479</v>
      </c>
      <c r="BO47" s="66">
        <v>169.51427523820001</v>
      </c>
      <c r="BP47" s="66">
        <v>146.16823968759999</v>
      </c>
      <c r="BQ47" s="66">
        <v>105.2066833099</v>
      </c>
      <c r="BR47" s="66">
        <v>127.69598429949997</v>
      </c>
      <c r="BS47" s="66">
        <v>128.24683872880001</v>
      </c>
      <c r="BT47" s="66">
        <v>121.8927428314</v>
      </c>
      <c r="BU47" s="66">
        <v>115.95759501279998</v>
      </c>
      <c r="BV47" s="66">
        <v>137.23485864580005</v>
      </c>
      <c r="BW47" s="66">
        <v>121.84797347829999</v>
      </c>
      <c r="BX47" s="66">
        <v>199.11683726620004</v>
      </c>
      <c r="BY47" s="66">
        <v>279.6251559049</v>
      </c>
      <c r="BZ47" s="66">
        <v>200.8547737966</v>
      </c>
      <c r="CA47" s="66">
        <v>126.73199842989999</v>
      </c>
      <c r="CB47" s="66">
        <v>161.89789373290003</v>
      </c>
      <c r="CC47" s="66">
        <v>171.95332310470002</v>
      </c>
      <c r="CD47" s="66">
        <v>153.85359526749997</v>
      </c>
      <c r="CE47" s="66">
        <v>148.62379930210002</v>
      </c>
      <c r="CF47" s="66">
        <v>159.39643896430002</v>
      </c>
      <c r="CG47" s="66">
        <v>154.58911858750002</v>
      </c>
      <c r="CH47" s="66">
        <v>136.48413701229998</v>
      </c>
      <c r="CI47" s="66">
        <v>119.45999945049998</v>
      </c>
      <c r="CJ47" s="66">
        <v>145.36648174210001</v>
      </c>
      <c r="CK47" s="66">
        <v>259.12154271910003</v>
      </c>
      <c r="CL47" s="66">
        <v>241.74165204129997</v>
      </c>
      <c r="CM47" s="66">
        <v>203.03762688220002</v>
      </c>
      <c r="CN47" s="66">
        <v>170.0322187516</v>
      </c>
      <c r="CO47" s="66">
        <v>135.08765592520001</v>
      </c>
      <c r="CP47" s="66">
        <v>138.55853793490004</v>
      </c>
      <c r="CQ47" s="66">
        <v>155.79766596100004</v>
      </c>
      <c r="CR47" s="66">
        <v>147.47105413149998</v>
      </c>
      <c r="CS47" s="66">
        <v>132.0611650969</v>
      </c>
      <c r="CT47" s="66">
        <v>133.25999305510004</v>
      </c>
      <c r="CU47" s="66">
        <v>146.15124009250002</v>
      </c>
      <c r="CV47" s="66">
        <v>144.42234749680003</v>
      </c>
      <c r="CW47" s="66">
        <v>227.43399723909999</v>
      </c>
      <c r="CX47" s="66">
        <v>199.09015578249998</v>
      </c>
      <c r="CY47" s="66">
        <v>202.51825735420005</v>
      </c>
      <c r="CZ47" s="66">
        <v>128.48738487579999</v>
      </c>
      <c r="DA47" s="66">
        <v>118.98033317110001</v>
      </c>
      <c r="DB47" s="66">
        <v>112.20856510269999</v>
      </c>
      <c r="DC47" s="66">
        <v>105.1014209164</v>
      </c>
      <c r="DD47" s="66">
        <v>132.50720745309999</v>
      </c>
      <c r="DE47" s="66">
        <v>123.51487196559998</v>
      </c>
      <c r="DF47" s="66">
        <v>137.15946750550003</v>
      </c>
      <c r="DG47" s="66">
        <v>120.65293571680002</v>
      </c>
      <c r="DH47" s="66">
        <v>161.44824881349999</v>
      </c>
      <c r="DI47" s="66">
        <v>235.37096934249996</v>
      </c>
      <c r="DJ47" s="66">
        <v>220.100041678</v>
      </c>
      <c r="DK47" s="66">
        <v>155.1897709477</v>
      </c>
      <c r="DL47" s="66">
        <v>114.58993443129999</v>
      </c>
      <c r="DM47" s="66">
        <v>131.45180654230001</v>
      </c>
      <c r="DN47" s="66">
        <v>121.20577906120002</v>
      </c>
      <c r="DO47" s="66">
        <v>152.251768078</v>
      </c>
      <c r="DP47" s="79"/>
      <c r="DQ47" s="80"/>
      <c r="DR47" s="81"/>
      <c r="DS47" s="84">
        <f t="shared" si="3"/>
        <v>2006</v>
      </c>
      <c r="DT47" s="80"/>
      <c r="DU47" s="83">
        <f t="shared" si="9"/>
        <v>1112.7856305183</v>
      </c>
      <c r="DV47" s="83">
        <f t="shared" si="9"/>
        <v>1599.6571488984</v>
      </c>
      <c r="DW47" s="83">
        <f t="shared" si="9"/>
        <v>1415.2993920681004</v>
      </c>
      <c r="DX47" s="83">
        <f t="shared" si="9"/>
        <v>1795.7546835033004</v>
      </c>
      <c r="DY47" s="83">
        <f t="shared" si="9"/>
        <v>1863.8757762123</v>
      </c>
      <c r="DZ47" s="83">
        <f t="shared" si="9"/>
        <v>1800.1253056722003</v>
      </c>
      <c r="EA47" s="83">
        <f t="shared" si="9"/>
        <v>2012.5870708193997</v>
      </c>
      <c r="EB47" s="83">
        <f t="shared" si="9"/>
        <v>2007.6868343334002</v>
      </c>
      <c r="EC47" s="83">
        <f t="shared" si="9"/>
        <v>1752.0769445796</v>
      </c>
      <c r="ED47" s="83">
        <f t="shared" si="9"/>
        <v>1291.6083188944999</v>
      </c>
    </row>
    <row r="48" spans="2:134" x14ac:dyDescent="0.3">
      <c r="B48" s="45">
        <f t="shared" si="5"/>
        <v>1000000044</v>
      </c>
      <c r="C48" s="46">
        <v>41579</v>
      </c>
      <c r="D48" s="66">
        <v>-2.9623407385999991</v>
      </c>
      <c r="E48" s="66">
        <v>4.2712309000000008</v>
      </c>
      <c r="F48" s="66">
        <v>1.3317269622999994</v>
      </c>
      <c r="G48" s="66">
        <v>13.105091133400002</v>
      </c>
      <c r="H48" s="66">
        <v>10.999843263399999</v>
      </c>
      <c r="I48" s="66">
        <v>12.963577947700003</v>
      </c>
      <c r="J48" s="66">
        <v>21.806256955600002</v>
      </c>
      <c r="K48" s="66">
        <v>18.722050062699999</v>
      </c>
      <c r="L48" s="66">
        <v>16.732346902000003</v>
      </c>
      <c r="M48" s="66">
        <v>25.634956049800003</v>
      </c>
      <c r="N48" s="66">
        <v>27.327335166400005</v>
      </c>
      <c r="O48" s="66">
        <v>25.9497300094</v>
      </c>
      <c r="P48" s="66">
        <v>29.374041384400002</v>
      </c>
      <c r="Q48" s="66">
        <v>116.0425554616</v>
      </c>
      <c r="R48" s="66">
        <v>75.136088279500001</v>
      </c>
      <c r="S48" s="66">
        <v>77.602905903999996</v>
      </c>
      <c r="T48" s="66">
        <v>52.580365030900005</v>
      </c>
      <c r="U48" s="66">
        <v>59.901411407200001</v>
      </c>
      <c r="V48" s="66">
        <v>57.315934357299994</v>
      </c>
      <c r="W48" s="66">
        <v>59.570275806400005</v>
      </c>
      <c r="X48" s="66">
        <v>61.704194075200007</v>
      </c>
      <c r="Y48" s="66">
        <v>65.551844152900003</v>
      </c>
      <c r="Z48" s="66">
        <v>53.876124455199985</v>
      </c>
      <c r="AA48" s="66">
        <v>67.588455688599993</v>
      </c>
      <c r="AB48" s="66">
        <v>65.365636667499999</v>
      </c>
      <c r="AC48" s="66">
        <v>95.896646780200015</v>
      </c>
      <c r="AD48" s="66">
        <v>128.11992342940002</v>
      </c>
      <c r="AE48" s="66">
        <v>120.01573235079999</v>
      </c>
      <c r="AF48" s="66">
        <v>76.968066720100012</v>
      </c>
      <c r="AG48" s="66">
        <v>89.959247359599999</v>
      </c>
      <c r="AH48" s="66">
        <v>84.543844335999978</v>
      </c>
      <c r="AI48" s="66">
        <v>88.950266976699993</v>
      </c>
      <c r="AJ48" s="66">
        <v>85.794571720299999</v>
      </c>
      <c r="AK48" s="66">
        <v>105.8215582894</v>
      </c>
      <c r="AL48" s="66">
        <v>83.712327717400001</v>
      </c>
      <c r="AM48" s="66">
        <v>76.211603501500008</v>
      </c>
      <c r="AN48" s="66">
        <v>77.444693336799986</v>
      </c>
      <c r="AO48" s="66">
        <v>127.6806358792</v>
      </c>
      <c r="AP48" s="66">
        <v>151.23550751530001</v>
      </c>
      <c r="AQ48" s="66">
        <v>154.40673882549999</v>
      </c>
      <c r="AR48" s="66">
        <v>91.751485024899992</v>
      </c>
      <c r="AS48" s="66">
        <v>100.23045525639999</v>
      </c>
      <c r="AT48" s="66">
        <v>79.985626193800002</v>
      </c>
      <c r="AU48" s="66">
        <v>102.8122546897</v>
      </c>
      <c r="AV48" s="66">
        <v>127.75144876210004</v>
      </c>
      <c r="AW48" s="66">
        <v>132.41793143380002</v>
      </c>
      <c r="AX48" s="66">
        <v>124.99631350150003</v>
      </c>
      <c r="AY48" s="66">
        <v>85.162997359299993</v>
      </c>
      <c r="AZ48" s="66">
        <v>84.208092951099999</v>
      </c>
      <c r="BA48" s="66">
        <v>129.9912298516</v>
      </c>
      <c r="BB48" s="66">
        <v>146.71507876000004</v>
      </c>
      <c r="BC48" s="66">
        <v>153.99402017890003</v>
      </c>
      <c r="BD48" s="66">
        <v>96.202001538099992</v>
      </c>
      <c r="BE48" s="66">
        <v>93.457786547199987</v>
      </c>
      <c r="BF48" s="66">
        <v>84.916109200000022</v>
      </c>
      <c r="BG48" s="66">
        <v>94.473071415700019</v>
      </c>
      <c r="BH48" s="66">
        <v>122.77739725719999</v>
      </c>
      <c r="BI48" s="66">
        <v>113.27743809879999</v>
      </c>
      <c r="BJ48" s="66">
        <v>78.599464949199998</v>
      </c>
      <c r="BK48" s="66">
        <v>94.507933719999997</v>
      </c>
      <c r="BL48" s="66">
        <v>89.202333820600003</v>
      </c>
      <c r="BM48" s="66">
        <v>190.84148690890001</v>
      </c>
      <c r="BN48" s="66">
        <v>217.55021499310004</v>
      </c>
      <c r="BO48" s="66">
        <v>247.4288234263</v>
      </c>
      <c r="BP48" s="66">
        <v>172.58621090020003</v>
      </c>
      <c r="BQ48" s="66">
        <v>156.91431044620003</v>
      </c>
      <c r="BR48" s="66">
        <v>137.0866657075</v>
      </c>
      <c r="BS48" s="66">
        <v>134.3933744485</v>
      </c>
      <c r="BT48" s="66">
        <v>159.20524042779999</v>
      </c>
      <c r="BU48" s="66">
        <v>134.74128448420001</v>
      </c>
      <c r="BV48" s="66">
        <v>139.08458721550002</v>
      </c>
      <c r="BW48" s="66">
        <v>154.76583181780001</v>
      </c>
      <c r="BX48" s="66">
        <v>137.20134730269999</v>
      </c>
      <c r="BY48" s="66">
        <v>202.38882776590003</v>
      </c>
      <c r="BZ48" s="66">
        <v>186.37922453860003</v>
      </c>
      <c r="CA48" s="66">
        <v>192.76994649520003</v>
      </c>
      <c r="CB48" s="66">
        <v>139.14260349369999</v>
      </c>
      <c r="CC48" s="66">
        <v>133.76795446630001</v>
      </c>
      <c r="CD48" s="66">
        <v>147.05615893629999</v>
      </c>
      <c r="CE48" s="66">
        <v>143.30104970080001</v>
      </c>
      <c r="CF48" s="66">
        <v>144.33855037570004</v>
      </c>
      <c r="CG48" s="66">
        <v>131.4797639338</v>
      </c>
      <c r="CH48" s="66">
        <v>128.6190660661</v>
      </c>
      <c r="CI48" s="66">
        <v>133.30866518500002</v>
      </c>
      <c r="CJ48" s="66">
        <v>134.31764556790003</v>
      </c>
      <c r="CK48" s="66">
        <v>161.21374446520002</v>
      </c>
      <c r="CL48" s="66">
        <v>153.92902393449998</v>
      </c>
      <c r="CM48" s="66">
        <v>171.3654673492</v>
      </c>
      <c r="CN48" s="66">
        <v>122.18068520050002</v>
      </c>
      <c r="CO48" s="66">
        <v>136.79005467070002</v>
      </c>
      <c r="CP48" s="66">
        <v>83.505593127100013</v>
      </c>
      <c r="CQ48" s="66">
        <v>95.343428168800003</v>
      </c>
      <c r="CR48" s="66">
        <v>152.25627128200003</v>
      </c>
      <c r="CS48" s="66">
        <v>117.25620646630001</v>
      </c>
      <c r="CT48" s="66">
        <v>113.0459358865</v>
      </c>
      <c r="CU48" s="66">
        <v>108.39941741920001</v>
      </c>
      <c r="CV48" s="66">
        <v>87.1085315941</v>
      </c>
      <c r="CW48" s="66">
        <v>117.10433591140001</v>
      </c>
      <c r="CX48" s="66">
        <v>125.44535799370001</v>
      </c>
      <c r="CY48" s="66">
        <v>151.20807549760002</v>
      </c>
      <c r="CZ48" s="66">
        <v>124.44365779060001</v>
      </c>
      <c r="DA48" s="66">
        <v>128.25648309070002</v>
      </c>
      <c r="DB48" s="66">
        <v>80.69060278000002</v>
      </c>
      <c r="DC48" s="66">
        <v>78.781281810699994</v>
      </c>
      <c r="DD48" s="66">
        <v>111.9228743356</v>
      </c>
      <c r="DE48" s="66">
        <v>103.2606987547</v>
      </c>
      <c r="DF48" s="66">
        <v>131.45796092110001</v>
      </c>
      <c r="DG48" s="66">
        <v>136.1367523504</v>
      </c>
      <c r="DH48" s="66">
        <v>47.912719031500004</v>
      </c>
      <c r="DI48" s="66">
        <v>332.19323274549998</v>
      </c>
      <c r="DJ48" s="66">
        <v>146.4950972446</v>
      </c>
      <c r="DK48" s="66">
        <v>210.03267881560004</v>
      </c>
      <c r="DL48" s="66">
        <v>171.04476417100003</v>
      </c>
      <c r="DM48" s="66">
        <v>133.71230237019998</v>
      </c>
      <c r="DN48" s="66">
        <v>75.185060623000012</v>
      </c>
      <c r="DO48" s="66">
        <v>86.537525326900024</v>
      </c>
      <c r="DP48" s="79"/>
      <c r="DQ48" s="80"/>
      <c r="DR48" s="81"/>
      <c r="DS48" s="84">
        <f t="shared" si="3"/>
        <v>2013</v>
      </c>
      <c r="DT48" s="80"/>
      <c r="DU48" s="83">
        <f t="shared" si="9"/>
        <v>175.88180461410002</v>
      </c>
      <c r="DV48" s="83">
        <f t="shared" si="9"/>
        <v>776.24419600319993</v>
      </c>
      <c r="DW48" s="83">
        <f t="shared" si="9"/>
        <v>1101.3594258489002</v>
      </c>
      <c r="DX48" s="83">
        <f t="shared" si="9"/>
        <v>1355.8760877783002</v>
      </c>
      <c r="DY48" s="83">
        <f t="shared" si="9"/>
        <v>1293.1196244678001</v>
      </c>
      <c r="DZ48" s="83">
        <f t="shared" si="9"/>
        <v>1933.8003645966</v>
      </c>
      <c r="EA48" s="83">
        <f t="shared" si="9"/>
        <v>1819.7531582601</v>
      </c>
      <c r="EB48" s="83">
        <f t="shared" si="9"/>
        <v>1549.6034735379001</v>
      </c>
      <c r="EC48" s="83">
        <f t="shared" si="9"/>
        <v>1375.8166128306002</v>
      </c>
      <c r="ED48" s="83">
        <f t="shared" si="9"/>
        <v>1203.1133803283001</v>
      </c>
    </row>
    <row r="49" spans="2:134" x14ac:dyDescent="0.3">
      <c r="B49" s="45">
        <f t="shared" si="5"/>
        <v>1000000045</v>
      </c>
      <c r="C49" s="46">
        <v>41487</v>
      </c>
      <c r="D49" s="66">
        <v>26.4811456081</v>
      </c>
      <c r="E49" s="66">
        <v>64.741905386799999</v>
      </c>
      <c r="F49" s="66">
        <v>53.514029326900001</v>
      </c>
      <c r="G49" s="66">
        <v>43.829889124900014</v>
      </c>
      <c r="H49" s="66">
        <v>38.1632073181</v>
      </c>
      <c r="I49" s="66">
        <v>31.972390092399998</v>
      </c>
      <c r="J49" s="66">
        <v>37.837100295099994</v>
      </c>
      <c r="K49" s="66">
        <v>42.54767683930001</v>
      </c>
      <c r="L49" s="66">
        <v>54.450845865700003</v>
      </c>
      <c r="M49" s="66">
        <v>46.823881831000001</v>
      </c>
      <c r="N49" s="66">
        <v>40.814768886699994</v>
      </c>
      <c r="O49" s="66">
        <v>45.634660707999998</v>
      </c>
      <c r="P49" s="66">
        <v>55.225997380899997</v>
      </c>
      <c r="Q49" s="66">
        <v>224.67221975260003</v>
      </c>
      <c r="R49" s="66">
        <v>82.351121728300001</v>
      </c>
      <c r="S49" s="66">
        <v>84.173193120100009</v>
      </c>
      <c r="T49" s="66">
        <v>53.148594322299999</v>
      </c>
      <c r="U49" s="66">
        <v>54.132356762800008</v>
      </c>
      <c r="V49" s="66">
        <v>66.817131896799992</v>
      </c>
      <c r="W49" s="66">
        <v>55.716471349900004</v>
      </c>
      <c r="X49" s="66">
        <v>66.496053451600005</v>
      </c>
      <c r="Y49" s="66">
        <v>79.994595075099994</v>
      </c>
      <c r="Z49" s="66">
        <v>64.201145639799989</v>
      </c>
      <c r="AA49" s="66">
        <v>60.78719163400001</v>
      </c>
      <c r="AB49" s="66">
        <v>70.637199850000002</v>
      </c>
      <c r="AC49" s="66">
        <v>141.36666089590003</v>
      </c>
      <c r="AD49" s="66">
        <v>126.0014286343</v>
      </c>
      <c r="AE49" s="66">
        <v>96.828097000900001</v>
      </c>
      <c r="AF49" s="66">
        <v>96.757922071900012</v>
      </c>
      <c r="AG49" s="66">
        <v>75.566819742099995</v>
      </c>
      <c r="AH49" s="66">
        <v>90.462668040100013</v>
      </c>
      <c r="AI49" s="66">
        <v>95.468317026400001</v>
      </c>
      <c r="AJ49" s="66">
        <v>96.073435063899993</v>
      </c>
      <c r="AK49" s="66">
        <v>106.0377496081</v>
      </c>
      <c r="AL49" s="66">
        <v>108.29955887050002</v>
      </c>
      <c r="AM49" s="66">
        <v>98.393448238000005</v>
      </c>
      <c r="AN49" s="66">
        <v>99.614191788999989</v>
      </c>
      <c r="AO49" s="66">
        <v>172.30566129100001</v>
      </c>
      <c r="AP49" s="66">
        <v>183.02276143720002</v>
      </c>
      <c r="AQ49" s="66">
        <v>144.3090919162</v>
      </c>
      <c r="AR49" s="66">
        <v>111.24784405599999</v>
      </c>
      <c r="AS49" s="66">
        <v>144.55789393719999</v>
      </c>
      <c r="AT49" s="66">
        <v>120.90635352190003</v>
      </c>
      <c r="AU49" s="66">
        <v>141.26706503410003</v>
      </c>
      <c r="AV49" s="66">
        <v>139.92657378340002</v>
      </c>
      <c r="AW49" s="66">
        <v>150.53698552149999</v>
      </c>
      <c r="AX49" s="66">
        <v>141.61313626149999</v>
      </c>
      <c r="AY49" s="66">
        <v>126.06158393440001</v>
      </c>
      <c r="AZ49" s="66">
        <v>135.81177112839998</v>
      </c>
      <c r="BA49" s="66">
        <v>203.07035016460003</v>
      </c>
      <c r="BB49" s="66">
        <v>204.22632263139997</v>
      </c>
      <c r="BC49" s="66">
        <v>199.70135314539999</v>
      </c>
      <c r="BD49" s="66">
        <v>150.0913934857</v>
      </c>
      <c r="BE49" s="66">
        <v>136.51873662969999</v>
      </c>
      <c r="BF49" s="66">
        <v>147.58235832370002</v>
      </c>
      <c r="BG49" s="66">
        <v>151.46198114980001</v>
      </c>
      <c r="BH49" s="66">
        <v>152.71619851720004</v>
      </c>
      <c r="BI49" s="66">
        <v>160.48133586129998</v>
      </c>
      <c r="BJ49" s="66">
        <v>156.52894876390002</v>
      </c>
      <c r="BK49" s="66">
        <v>139.10961752440002</v>
      </c>
      <c r="BL49" s="66">
        <v>159.36225214059999</v>
      </c>
      <c r="BM49" s="66">
        <v>212.8304068807</v>
      </c>
      <c r="BN49" s="66">
        <v>255.7172330752</v>
      </c>
      <c r="BO49" s="66">
        <v>245.07255946000001</v>
      </c>
      <c r="BP49" s="66">
        <v>224.39823731590008</v>
      </c>
      <c r="BQ49" s="66">
        <v>179.18272927960001</v>
      </c>
      <c r="BR49" s="66">
        <v>168.79631441379999</v>
      </c>
      <c r="BS49" s="66">
        <v>145.36359218619998</v>
      </c>
      <c r="BT49" s="66">
        <v>140.25373155400004</v>
      </c>
      <c r="BU49" s="66">
        <v>143.5492888213</v>
      </c>
      <c r="BV49" s="66">
        <v>160.22506602700003</v>
      </c>
      <c r="BW49" s="66">
        <v>139.62508427560002</v>
      </c>
      <c r="BX49" s="66">
        <v>160.35839839210004</v>
      </c>
      <c r="BY49" s="66">
        <v>185.41238663980002</v>
      </c>
      <c r="BZ49" s="66">
        <v>225.4588169113</v>
      </c>
      <c r="CA49" s="66">
        <v>217.22849859399997</v>
      </c>
      <c r="CB49" s="66">
        <v>198.7506517276</v>
      </c>
      <c r="CC49" s="66">
        <v>182.74063570659999</v>
      </c>
      <c r="CD49" s="66">
        <v>212.00643312880001</v>
      </c>
      <c r="CE49" s="66">
        <v>160.22735515570002</v>
      </c>
      <c r="CF49" s="66">
        <v>201.37703288050002</v>
      </c>
      <c r="CG49" s="66">
        <v>172.3517816053</v>
      </c>
      <c r="CH49" s="66">
        <v>163.90219477990001</v>
      </c>
      <c r="CI49" s="66">
        <v>147.3115281298</v>
      </c>
      <c r="CJ49" s="66">
        <v>173.84005300060002</v>
      </c>
      <c r="CK49" s="66">
        <v>170.14840141479999</v>
      </c>
      <c r="CL49" s="66">
        <v>205.569703438</v>
      </c>
      <c r="CM49" s="66">
        <v>248.79385713880004</v>
      </c>
      <c r="CN49" s="66">
        <v>176.59845308410002</v>
      </c>
      <c r="CO49" s="66">
        <v>139.83819840490006</v>
      </c>
      <c r="CP49" s="66">
        <v>182.41681781230002</v>
      </c>
      <c r="CQ49" s="66">
        <v>160.43150040370003</v>
      </c>
      <c r="CR49" s="66">
        <v>168.51377588950001</v>
      </c>
      <c r="CS49" s="66">
        <v>161.48795206210002</v>
      </c>
      <c r="CT49" s="66">
        <v>154.06866078520002</v>
      </c>
      <c r="CU49" s="66">
        <v>123.78817892169999</v>
      </c>
      <c r="CV49" s="66">
        <v>158.8365030736</v>
      </c>
      <c r="CW49" s="66">
        <v>171.10011605350002</v>
      </c>
      <c r="CX49" s="66">
        <v>217.1460899608</v>
      </c>
      <c r="CY49" s="66">
        <v>173.94542797419999</v>
      </c>
      <c r="CZ49" s="66">
        <v>109.58042019490001</v>
      </c>
      <c r="DA49" s="66">
        <v>112.60548500860003</v>
      </c>
      <c r="DB49" s="66">
        <v>149.4564417217</v>
      </c>
      <c r="DC49" s="66">
        <v>128.56675384629997</v>
      </c>
      <c r="DD49" s="66">
        <v>160.05116729920002</v>
      </c>
      <c r="DE49" s="66">
        <v>118.20521918260002</v>
      </c>
      <c r="DF49" s="66">
        <v>130.05093483130003</v>
      </c>
      <c r="DG49" s="66">
        <v>124.5464058952</v>
      </c>
      <c r="DH49" s="66">
        <v>163.65380555260003</v>
      </c>
      <c r="DI49" s="66">
        <v>163.36079707900004</v>
      </c>
      <c r="DJ49" s="66">
        <v>176.90530891000003</v>
      </c>
      <c r="DK49" s="66">
        <v>158.19990013479998</v>
      </c>
      <c r="DL49" s="66">
        <v>141.90257969859999</v>
      </c>
      <c r="DM49" s="66">
        <v>157.96648406079998</v>
      </c>
      <c r="DN49" s="66">
        <v>162.49284203470003</v>
      </c>
      <c r="DO49" s="66">
        <v>193.3502218573</v>
      </c>
      <c r="DP49" s="79"/>
      <c r="DQ49" s="80"/>
      <c r="DR49" s="81"/>
      <c r="DS49" s="84">
        <f t="shared" si="3"/>
        <v>2013</v>
      </c>
      <c r="DT49" s="80"/>
      <c r="DU49" s="83">
        <f t="shared" si="9"/>
        <v>526.81150128299998</v>
      </c>
      <c r="DV49" s="83">
        <f t="shared" si="9"/>
        <v>947.71607211419996</v>
      </c>
      <c r="DW49" s="83">
        <f t="shared" si="9"/>
        <v>1201.8933050421001</v>
      </c>
      <c r="DX49" s="83">
        <f t="shared" si="9"/>
        <v>1675.3691424834001</v>
      </c>
      <c r="DY49" s="83">
        <f t="shared" si="9"/>
        <v>1937.3003673254998</v>
      </c>
      <c r="DZ49" s="83">
        <f t="shared" si="9"/>
        <v>2174.3764954298999</v>
      </c>
      <c r="EA49" s="83">
        <f t="shared" si="9"/>
        <v>2227.1257136514005</v>
      </c>
      <c r="EB49" s="83">
        <f t="shared" si="9"/>
        <v>2065.4955523557005</v>
      </c>
      <c r="EC49" s="83">
        <f t="shared" si="9"/>
        <v>1754.0909650419001</v>
      </c>
      <c r="ED49" s="83">
        <f t="shared" si="9"/>
        <v>1317.8319393278002</v>
      </c>
    </row>
    <row r="50" spans="2:134" x14ac:dyDescent="0.3">
      <c r="B50" s="45">
        <f t="shared" si="5"/>
        <v>1000000046</v>
      </c>
      <c r="C50" s="46">
        <v>40909</v>
      </c>
      <c r="D50" s="66">
        <v>122.86400888079999</v>
      </c>
      <c r="E50" s="66">
        <v>246.55595238429999</v>
      </c>
      <c r="F50" s="66">
        <v>188.10950562220003</v>
      </c>
      <c r="G50" s="66">
        <v>174.23614731909998</v>
      </c>
      <c r="H50" s="66">
        <v>129.7061395117</v>
      </c>
      <c r="I50" s="66">
        <v>117.163177777</v>
      </c>
      <c r="J50" s="66">
        <v>96.854328164200012</v>
      </c>
      <c r="K50" s="66">
        <v>128.75393702590003</v>
      </c>
      <c r="L50" s="66">
        <v>127.13402196700002</v>
      </c>
      <c r="M50" s="66">
        <v>140.23928377449997</v>
      </c>
      <c r="N50" s="66">
        <v>118.8497402551</v>
      </c>
      <c r="O50" s="66">
        <v>119.85391722040002</v>
      </c>
      <c r="P50" s="66">
        <v>139.24298741620001</v>
      </c>
      <c r="Q50" s="66">
        <v>546.21119261500007</v>
      </c>
      <c r="R50" s="66">
        <v>219.5976717451</v>
      </c>
      <c r="S50" s="66">
        <v>218.20621923580003</v>
      </c>
      <c r="T50" s="66">
        <v>147.94584193990002</v>
      </c>
      <c r="U50" s="66">
        <v>129.42292550680003</v>
      </c>
      <c r="V50" s="66">
        <v>114.59650160380002</v>
      </c>
      <c r="W50" s="66">
        <v>125.61659232580001</v>
      </c>
      <c r="X50" s="66">
        <v>123.38202744760002</v>
      </c>
      <c r="Y50" s="66">
        <v>146.8524640087</v>
      </c>
      <c r="Z50" s="66">
        <v>142.49189899539999</v>
      </c>
      <c r="AA50" s="66">
        <v>135.03980938270001</v>
      </c>
      <c r="AB50" s="66">
        <v>177.1346345737</v>
      </c>
      <c r="AC50" s="66">
        <v>380.99148988420006</v>
      </c>
      <c r="AD50" s="66">
        <v>318.92086454290001</v>
      </c>
      <c r="AE50" s="66">
        <v>224.60238256390008</v>
      </c>
      <c r="AF50" s="66">
        <v>174.58694691069999</v>
      </c>
      <c r="AG50" s="66">
        <v>151.76669795380002</v>
      </c>
      <c r="AH50" s="66">
        <v>131.6924277427</v>
      </c>
      <c r="AI50" s="66">
        <v>150.0623102932</v>
      </c>
      <c r="AJ50" s="66">
        <v>143.36548304470003</v>
      </c>
      <c r="AK50" s="66">
        <v>159.88124640159998</v>
      </c>
      <c r="AL50" s="66">
        <v>139.14778217830002</v>
      </c>
      <c r="AM50" s="66">
        <v>136.59210132820002</v>
      </c>
      <c r="AN50" s="66">
        <v>154.14322633810002</v>
      </c>
      <c r="AO50" s="66">
        <v>252.06273292240002</v>
      </c>
      <c r="AP50" s="66">
        <v>260.79902373580006</v>
      </c>
      <c r="AQ50" s="66">
        <v>216.60472978659999</v>
      </c>
      <c r="AR50" s="66">
        <v>165.26118669370004</v>
      </c>
      <c r="AS50" s="66">
        <v>146.09389929490001</v>
      </c>
      <c r="AT50" s="66">
        <v>147.88005763480001</v>
      </c>
      <c r="AU50" s="66">
        <v>141.55579546390001</v>
      </c>
      <c r="AV50" s="66">
        <v>141.39007755669999</v>
      </c>
      <c r="AW50" s="66">
        <v>147.71681648980001</v>
      </c>
      <c r="AX50" s="66">
        <v>142.75244687349999</v>
      </c>
      <c r="AY50" s="66">
        <v>143.6220155659</v>
      </c>
      <c r="AZ50" s="66">
        <v>146.9798671552</v>
      </c>
      <c r="BA50" s="66">
        <v>291.20702132589997</v>
      </c>
      <c r="BB50" s="66">
        <v>258.60292372510003</v>
      </c>
      <c r="BC50" s="66">
        <v>281.74083619750002</v>
      </c>
      <c r="BD50" s="66">
        <v>169.77973911399999</v>
      </c>
      <c r="BE50" s="66">
        <v>106.8705421345</v>
      </c>
      <c r="BF50" s="66">
        <v>134.45491823649999</v>
      </c>
      <c r="BG50" s="66">
        <v>128.47353752350003</v>
      </c>
      <c r="BH50" s="66">
        <v>105.19944065680001</v>
      </c>
      <c r="BI50" s="66">
        <v>123.09903860289998</v>
      </c>
      <c r="BJ50" s="66">
        <v>115.9722679525</v>
      </c>
      <c r="BK50" s="66">
        <v>90.10789061829999</v>
      </c>
      <c r="BL50" s="66">
        <v>118.63219797519997</v>
      </c>
      <c r="BM50" s="66">
        <v>202.77411439480005</v>
      </c>
      <c r="BN50" s="66">
        <v>179.77294921720002</v>
      </c>
      <c r="BO50" s="66">
        <v>179.55187942750001</v>
      </c>
      <c r="BP50" s="66">
        <v>148.1992972717</v>
      </c>
      <c r="BQ50" s="66">
        <v>119.00633917420002</v>
      </c>
      <c r="BR50" s="66">
        <v>96.192995130100016</v>
      </c>
      <c r="BS50" s="66">
        <v>113.8296059626</v>
      </c>
      <c r="BT50" s="66">
        <v>111.08283915610002</v>
      </c>
      <c r="BU50" s="66">
        <v>121.74526290039998</v>
      </c>
      <c r="BV50" s="66">
        <v>116.1014348539</v>
      </c>
      <c r="BW50" s="66">
        <v>110.7644626333</v>
      </c>
      <c r="BX50" s="66">
        <v>125.55032017360003</v>
      </c>
      <c r="BY50" s="66">
        <v>188.16114236140001</v>
      </c>
      <c r="BZ50" s="66">
        <v>175.08597696730001</v>
      </c>
      <c r="CA50" s="66">
        <v>167.97575559160001</v>
      </c>
      <c r="CB50" s="66">
        <v>151.98330206620003</v>
      </c>
      <c r="CC50" s="66">
        <v>166.7876602696</v>
      </c>
      <c r="CD50" s="66">
        <v>186.71017250589998</v>
      </c>
      <c r="CE50" s="66">
        <v>170.032669072</v>
      </c>
      <c r="CF50" s="66">
        <v>135.48112337470002</v>
      </c>
      <c r="CG50" s="66">
        <v>153.3303229627</v>
      </c>
      <c r="CH50" s="66">
        <v>126.8734365622</v>
      </c>
      <c r="CI50" s="66">
        <v>114.0971713336</v>
      </c>
      <c r="CJ50" s="66">
        <v>164.95909675870004</v>
      </c>
      <c r="CK50" s="66">
        <v>192.3052908958</v>
      </c>
      <c r="CL50" s="66">
        <v>239.46344361100003</v>
      </c>
      <c r="CM50" s="66">
        <v>199.33422943929997</v>
      </c>
      <c r="CN50" s="66">
        <v>177.48183160210002</v>
      </c>
      <c r="CO50" s="66">
        <v>128.50633585929998</v>
      </c>
      <c r="CP50" s="66">
        <v>137.37126820029999</v>
      </c>
      <c r="CQ50" s="66">
        <v>111.43919269930001</v>
      </c>
      <c r="CR50" s="66">
        <v>142.04319224350002</v>
      </c>
      <c r="CS50" s="66">
        <v>134.7210575929</v>
      </c>
      <c r="CT50" s="66">
        <v>117.26419965340001</v>
      </c>
      <c r="CU50" s="66">
        <v>108.7402724353</v>
      </c>
      <c r="CV50" s="66">
        <v>138.81567088330002</v>
      </c>
      <c r="CW50" s="66">
        <v>171.1483003363</v>
      </c>
      <c r="CX50" s="66">
        <v>193.42294860190003</v>
      </c>
      <c r="CY50" s="66">
        <v>203.58637981629997</v>
      </c>
      <c r="CZ50" s="66">
        <v>129.73848752710003</v>
      </c>
      <c r="DA50" s="66">
        <v>118.12356108340001</v>
      </c>
      <c r="DB50" s="66">
        <v>129.59708692149999</v>
      </c>
      <c r="DC50" s="66">
        <v>106.32212694069999</v>
      </c>
      <c r="DD50" s="66">
        <v>133.53011024169999</v>
      </c>
      <c r="DE50" s="66">
        <v>130.55315465740003</v>
      </c>
      <c r="DF50" s="66">
        <v>135.90337380310001</v>
      </c>
      <c r="DG50" s="66">
        <v>98.429211183100023</v>
      </c>
      <c r="DH50" s="66">
        <v>146.22392931039997</v>
      </c>
      <c r="DI50" s="66">
        <v>191.28062435230001</v>
      </c>
      <c r="DJ50" s="66">
        <v>208.61465740269998</v>
      </c>
      <c r="DK50" s="66">
        <v>158.24009123049998</v>
      </c>
      <c r="DL50" s="66">
        <v>150.31854260079999</v>
      </c>
      <c r="DM50" s="66">
        <v>140.32848474040003</v>
      </c>
      <c r="DN50" s="66">
        <v>140.99867407570002</v>
      </c>
      <c r="DO50" s="66">
        <v>117.76379261049999</v>
      </c>
      <c r="DP50" s="79"/>
      <c r="DQ50" s="80"/>
      <c r="DR50" s="81"/>
      <c r="DS50" s="84">
        <f t="shared" si="3"/>
        <v>2012</v>
      </c>
      <c r="DT50" s="80"/>
      <c r="DU50" s="83">
        <f t="shared" si="9"/>
        <v>1710.3201599022</v>
      </c>
      <c r="DV50" s="83">
        <f t="shared" si="9"/>
        <v>2188.6061322228006</v>
      </c>
      <c r="DW50" s="83">
        <f t="shared" si="9"/>
        <v>2288.7443674179003</v>
      </c>
      <c r="DX50" s="83">
        <f t="shared" si="9"/>
        <v>2059.8820083561</v>
      </c>
      <c r="DY50" s="83">
        <f t="shared" si="9"/>
        <v>1952.4880232426999</v>
      </c>
      <c r="DZ50" s="83">
        <f t="shared" si="9"/>
        <v>1617.6533780969999</v>
      </c>
      <c r="EA50" s="83">
        <f t="shared" si="9"/>
        <v>1862.0690532408</v>
      </c>
      <c r="EB50" s="83">
        <f t="shared" si="9"/>
        <v>1853.6294109909002</v>
      </c>
      <c r="EC50" s="83">
        <f t="shared" si="9"/>
        <v>1689.1704119957999</v>
      </c>
      <c r="ED50" s="83">
        <f t="shared" si="9"/>
        <v>1253.7687963232997</v>
      </c>
    </row>
    <row r="51" spans="2:134" x14ac:dyDescent="0.3">
      <c r="B51" s="45">
        <f t="shared" si="5"/>
        <v>1000000047</v>
      </c>
      <c r="C51" s="46">
        <v>40725</v>
      </c>
      <c r="D51" s="66">
        <v>75.236059408299994</v>
      </c>
      <c r="E51" s="66">
        <v>145.50304140340003</v>
      </c>
      <c r="F51" s="66">
        <v>121.45052819860001</v>
      </c>
      <c r="G51" s="66">
        <v>116.34265648149999</v>
      </c>
      <c r="H51" s="66">
        <v>87.70914642759999</v>
      </c>
      <c r="I51" s="66">
        <v>83.340963494200011</v>
      </c>
      <c r="J51" s="66">
        <v>83.987060688100016</v>
      </c>
      <c r="K51" s="66">
        <v>94.914648094599983</v>
      </c>
      <c r="L51" s="66">
        <v>91.690016290300008</v>
      </c>
      <c r="M51" s="66">
        <v>82.427338456000015</v>
      </c>
      <c r="N51" s="66">
        <v>96.651083557000007</v>
      </c>
      <c r="O51" s="66">
        <v>77.481769716399995</v>
      </c>
      <c r="P51" s="66">
        <v>88.846468124500007</v>
      </c>
      <c r="Q51" s="66">
        <v>365.89067075079998</v>
      </c>
      <c r="R51" s="66">
        <v>160.9229875936</v>
      </c>
      <c r="S51" s="66">
        <v>147.47709593019999</v>
      </c>
      <c r="T51" s="66">
        <v>105.73303280410001</v>
      </c>
      <c r="U51" s="66">
        <v>100.7410060099</v>
      </c>
      <c r="V51" s="66">
        <v>90.574797819700009</v>
      </c>
      <c r="W51" s="66">
        <v>86.9447275486</v>
      </c>
      <c r="X51" s="66">
        <v>104.07345202330001</v>
      </c>
      <c r="Y51" s="66">
        <v>96.684257159800012</v>
      </c>
      <c r="Z51" s="66">
        <v>91.327358261499995</v>
      </c>
      <c r="AA51" s="66">
        <v>84.672148123299991</v>
      </c>
      <c r="AB51" s="66">
        <v>93.588116776299998</v>
      </c>
      <c r="AC51" s="66">
        <v>197.0628883951</v>
      </c>
      <c r="AD51" s="66">
        <v>162.37643421129999</v>
      </c>
      <c r="AE51" s="66">
        <v>165.04687171</v>
      </c>
      <c r="AF51" s="66">
        <v>114.74882247910001</v>
      </c>
      <c r="AG51" s="66">
        <v>117.4038740308</v>
      </c>
      <c r="AH51" s="66">
        <v>109.41218799880002</v>
      </c>
      <c r="AI51" s="66">
        <v>104.01746218690002</v>
      </c>
      <c r="AJ51" s="66">
        <v>99.115311839200018</v>
      </c>
      <c r="AK51" s="66">
        <v>112.4993219743</v>
      </c>
      <c r="AL51" s="66">
        <v>114.10201227789999</v>
      </c>
      <c r="AM51" s="66">
        <v>93.141774206499989</v>
      </c>
      <c r="AN51" s="66">
        <v>98.222063799100013</v>
      </c>
      <c r="AO51" s="66">
        <v>216.95098864749997</v>
      </c>
      <c r="AP51" s="66">
        <v>202.91746638879999</v>
      </c>
      <c r="AQ51" s="66">
        <v>152.66722617370002</v>
      </c>
      <c r="AR51" s="66">
        <v>133.09581374259997</v>
      </c>
      <c r="AS51" s="66">
        <v>130.99942217380001</v>
      </c>
      <c r="AT51" s="66">
        <v>129.8398846705</v>
      </c>
      <c r="AU51" s="66">
        <v>126.82131197590002</v>
      </c>
      <c r="AV51" s="66">
        <v>143.58591488050004</v>
      </c>
      <c r="AW51" s="66">
        <v>132.53347614309999</v>
      </c>
      <c r="AX51" s="66">
        <v>127.57195855600003</v>
      </c>
      <c r="AY51" s="66">
        <v>115.45687625470002</v>
      </c>
      <c r="AZ51" s="66">
        <v>121.77978746440002</v>
      </c>
      <c r="BA51" s="66">
        <v>225.67831057960004</v>
      </c>
      <c r="BB51" s="66">
        <v>197.40261761019997</v>
      </c>
      <c r="BC51" s="66">
        <v>158.96949769840003</v>
      </c>
      <c r="BD51" s="66">
        <v>145.06701867610002</v>
      </c>
      <c r="BE51" s="66">
        <v>130.23774274390001</v>
      </c>
      <c r="BF51" s="66">
        <v>119.53167544750002</v>
      </c>
      <c r="BG51" s="66">
        <v>138.66661483090002</v>
      </c>
      <c r="BH51" s="66">
        <v>159.47306848570003</v>
      </c>
      <c r="BI51" s="66">
        <v>168.62909543860002</v>
      </c>
      <c r="BJ51" s="66">
        <v>130.35749044360006</v>
      </c>
      <c r="BK51" s="66">
        <v>142.08060636340002</v>
      </c>
      <c r="BL51" s="66">
        <v>147.4389312763</v>
      </c>
      <c r="BM51" s="66">
        <v>263.82573972430004</v>
      </c>
      <c r="BN51" s="66">
        <v>226.03083639940002</v>
      </c>
      <c r="BO51" s="66">
        <v>226.64357235700004</v>
      </c>
      <c r="BP51" s="66">
        <v>184.07981352279998</v>
      </c>
      <c r="BQ51" s="66">
        <v>152.69841086140002</v>
      </c>
      <c r="BR51" s="66">
        <v>159.41996820519998</v>
      </c>
      <c r="BS51" s="66">
        <v>150.8239146697</v>
      </c>
      <c r="BT51" s="66">
        <v>162.14466931210001</v>
      </c>
      <c r="BU51" s="66">
        <v>162.35459367190001</v>
      </c>
      <c r="BV51" s="66">
        <v>140.00774403549997</v>
      </c>
      <c r="BW51" s="66">
        <v>160.46703818860004</v>
      </c>
      <c r="BX51" s="66">
        <v>187.35277971670004</v>
      </c>
      <c r="BY51" s="66">
        <v>220.23630112570007</v>
      </c>
      <c r="BZ51" s="66">
        <v>175.2245255437</v>
      </c>
      <c r="CA51" s="66">
        <v>151.60060477960002</v>
      </c>
      <c r="CB51" s="66">
        <v>134.98952360470005</v>
      </c>
      <c r="CC51" s="66">
        <v>177.8819788042</v>
      </c>
      <c r="CD51" s="66">
        <v>148.82389166650003</v>
      </c>
      <c r="CE51" s="66">
        <v>151.93766959899997</v>
      </c>
      <c r="CF51" s="66">
        <v>175.69559820879999</v>
      </c>
      <c r="CG51" s="66">
        <v>166.8052602919</v>
      </c>
      <c r="CH51" s="66">
        <v>125.96802987129999</v>
      </c>
      <c r="CI51" s="66">
        <v>129.15179509930002</v>
      </c>
      <c r="CJ51" s="66">
        <v>134.74725122949999</v>
      </c>
      <c r="CK51" s="66">
        <v>210.67476065260001</v>
      </c>
      <c r="CL51" s="66">
        <v>183.80256626319996</v>
      </c>
      <c r="CM51" s="66">
        <v>199.66348870510001</v>
      </c>
      <c r="CN51" s="66">
        <v>144.63820107520002</v>
      </c>
      <c r="CO51" s="66">
        <v>136.06556420049998</v>
      </c>
      <c r="CP51" s="66">
        <v>153.95289091569998</v>
      </c>
      <c r="CQ51" s="66">
        <v>142.63416271509999</v>
      </c>
      <c r="CR51" s="66">
        <v>158.78989491220003</v>
      </c>
      <c r="CS51" s="66">
        <v>151.17310061320001</v>
      </c>
      <c r="CT51" s="66">
        <v>147.32199807910001</v>
      </c>
      <c r="CU51" s="66">
        <v>150.41795082909999</v>
      </c>
      <c r="CV51" s="66">
        <v>131.49034646320004</v>
      </c>
      <c r="CW51" s="66">
        <v>210.16049475580004</v>
      </c>
      <c r="CX51" s="66">
        <v>237.27721312240001</v>
      </c>
      <c r="CY51" s="66">
        <v>204.51295156600003</v>
      </c>
      <c r="CZ51" s="66">
        <v>162.49074053950002</v>
      </c>
      <c r="DA51" s="66">
        <v>136.1726278756</v>
      </c>
      <c r="DB51" s="66">
        <v>130.43776005490002</v>
      </c>
      <c r="DC51" s="66">
        <v>143.81722945929999</v>
      </c>
      <c r="DD51" s="66">
        <v>139.91238869079999</v>
      </c>
      <c r="DE51" s="66">
        <v>154.74706846780001</v>
      </c>
      <c r="DF51" s="66">
        <v>140.4775407928</v>
      </c>
      <c r="DG51" s="66">
        <v>127.37835831070001</v>
      </c>
      <c r="DH51" s="66">
        <v>130.9263952156</v>
      </c>
      <c r="DI51" s="66">
        <v>166.99191809769999</v>
      </c>
      <c r="DJ51" s="66">
        <v>178.2147655798</v>
      </c>
      <c r="DK51" s="66">
        <v>174.07699658439998</v>
      </c>
      <c r="DL51" s="66">
        <v>128.62687161970001</v>
      </c>
      <c r="DM51" s="66">
        <v>124.17586725940004</v>
      </c>
      <c r="DN51" s="66">
        <v>133.97945494749999</v>
      </c>
      <c r="DO51" s="66">
        <v>178.04236792</v>
      </c>
      <c r="DP51" s="79"/>
      <c r="DQ51" s="80"/>
      <c r="DR51" s="81"/>
      <c r="DS51" s="84">
        <f t="shared" si="3"/>
        <v>2011</v>
      </c>
      <c r="DT51" s="80"/>
      <c r="DU51" s="83">
        <f t="shared" si="9"/>
        <v>1156.7343122160003</v>
      </c>
      <c r="DV51" s="83">
        <f t="shared" si="9"/>
        <v>1523.8880021493001</v>
      </c>
      <c r="DW51" s="83">
        <f t="shared" si="9"/>
        <v>1482.5150780862002</v>
      </c>
      <c r="DX51" s="83">
        <f t="shared" si="9"/>
        <v>1710.6624034061999</v>
      </c>
      <c r="DY51" s="83">
        <f t="shared" si="9"/>
        <v>1837.8735257823</v>
      </c>
      <c r="DZ51" s="83">
        <f t="shared" si="9"/>
        <v>2135.9352322241998</v>
      </c>
      <c r="EA51" s="83">
        <f t="shared" si="9"/>
        <v>1945.6679583114001</v>
      </c>
      <c r="EB51" s="83">
        <f t="shared" si="9"/>
        <v>1913.8818301904998</v>
      </c>
      <c r="EC51" s="83">
        <f t="shared" si="9"/>
        <v>1918.8747200988003</v>
      </c>
      <c r="ED51" s="83">
        <f t="shared" si="9"/>
        <v>1215.0346372241002</v>
      </c>
    </row>
    <row r="52" spans="2:134" x14ac:dyDescent="0.3">
      <c r="B52" s="45">
        <f t="shared" si="5"/>
        <v>1000000048</v>
      </c>
      <c r="C52" s="46">
        <v>40452</v>
      </c>
      <c r="D52" s="66">
        <v>76.218508414300004</v>
      </c>
      <c r="E52" s="66">
        <v>170.51469953350002</v>
      </c>
      <c r="F52" s="66">
        <v>123.34817836419995</v>
      </c>
      <c r="G52" s="66">
        <v>117.74735591590003</v>
      </c>
      <c r="H52" s="66">
        <v>94.793286746800007</v>
      </c>
      <c r="I52" s="66">
        <v>82.338099963399998</v>
      </c>
      <c r="J52" s="66">
        <v>86.922999589300019</v>
      </c>
      <c r="K52" s="66">
        <v>86.141843802099984</v>
      </c>
      <c r="L52" s="66">
        <v>80.875084037200011</v>
      </c>
      <c r="M52" s="66">
        <v>90.272220037599979</v>
      </c>
      <c r="N52" s="66">
        <v>87.300105397600007</v>
      </c>
      <c r="O52" s="66">
        <v>80.487095485899999</v>
      </c>
      <c r="P52" s="66">
        <v>102.19317671980001</v>
      </c>
      <c r="Q52" s="66">
        <v>350.39454535960004</v>
      </c>
      <c r="R52" s="66">
        <v>128.96934028390001</v>
      </c>
      <c r="S52" s="66">
        <v>151.24567725100002</v>
      </c>
      <c r="T52" s="66">
        <v>98.167762664199998</v>
      </c>
      <c r="U52" s="66">
        <v>106.10950065850001</v>
      </c>
      <c r="V52" s="66">
        <v>111.89135190760001</v>
      </c>
      <c r="W52" s="66">
        <v>94.027667013400006</v>
      </c>
      <c r="X52" s="66">
        <v>88.862341918600009</v>
      </c>
      <c r="Y52" s="66">
        <v>105.1458525292</v>
      </c>
      <c r="Z52" s="66">
        <v>106.63055888800001</v>
      </c>
      <c r="AA52" s="66">
        <v>108.03567111610002</v>
      </c>
      <c r="AB52" s="66">
        <v>111.79959912610001</v>
      </c>
      <c r="AC52" s="66">
        <v>156.61413437290003</v>
      </c>
      <c r="AD52" s="66">
        <v>134.5100074321</v>
      </c>
      <c r="AE52" s="66">
        <v>114.91761757569999</v>
      </c>
      <c r="AF52" s="66">
        <v>112.05008984859998</v>
      </c>
      <c r="AG52" s="66">
        <v>106.68827495260001</v>
      </c>
      <c r="AH52" s="66">
        <v>95.564460431800015</v>
      </c>
      <c r="AI52" s="66">
        <v>100.22587699900001</v>
      </c>
      <c r="AJ52" s="66">
        <v>92.303277621700019</v>
      </c>
      <c r="AK52" s="66">
        <v>98.921674067200001</v>
      </c>
      <c r="AL52" s="66">
        <v>98.420767675600004</v>
      </c>
      <c r="AM52" s="66">
        <v>94.788896122899999</v>
      </c>
      <c r="AN52" s="66">
        <v>114.943098205</v>
      </c>
      <c r="AO52" s="66">
        <v>154.80748645480003</v>
      </c>
      <c r="AP52" s="66">
        <v>168.64695814780001</v>
      </c>
      <c r="AQ52" s="66">
        <v>144.38624681139999</v>
      </c>
      <c r="AR52" s="66">
        <v>123.94338935290006</v>
      </c>
      <c r="AS52" s="66">
        <v>103.37177778670001</v>
      </c>
      <c r="AT52" s="66">
        <v>103.07933221360003</v>
      </c>
      <c r="AU52" s="66">
        <v>102.40321365969999</v>
      </c>
      <c r="AV52" s="66">
        <v>107.14906530190001</v>
      </c>
      <c r="AW52" s="66">
        <v>105.32688133000001</v>
      </c>
      <c r="AX52" s="66">
        <v>97.891941419199995</v>
      </c>
      <c r="AY52" s="66">
        <v>98.497509777100007</v>
      </c>
      <c r="AZ52" s="66">
        <v>123.48109793559999</v>
      </c>
      <c r="BA52" s="66">
        <v>184.78677902409999</v>
      </c>
      <c r="BB52" s="66">
        <v>160.53680032389997</v>
      </c>
      <c r="BC52" s="66">
        <v>149.84600639440001</v>
      </c>
      <c r="BD52" s="66">
        <v>115.70635375629999</v>
      </c>
      <c r="BE52" s="66">
        <v>92.296410235600007</v>
      </c>
      <c r="BF52" s="66">
        <v>107.3502459406</v>
      </c>
      <c r="BG52" s="66">
        <v>106.3465568224</v>
      </c>
      <c r="BH52" s="66">
        <v>106.64294269900002</v>
      </c>
      <c r="BI52" s="66">
        <v>109.94690594710001</v>
      </c>
      <c r="BJ52" s="66">
        <v>100.8314828836</v>
      </c>
      <c r="BK52" s="66">
        <v>86.193780754900004</v>
      </c>
      <c r="BL52" s="66">
        <v>87.763522615900015</v>
      </c>
      <c r="BM52" s="66">
        <v>132.08949775540003</v>
      </c>
      <c r="BN52" s="66">
        <v>123.41039763279997</v>
      </c>
      <c r="BO52" s="66">
        <v>147.3045856903</v>
      </c>
      <c r="BP52" s="66">
        <v>105.1910722027</v>
      </c>
      <c r="BQ52" s="66">
        <v>91.590758168800008</v>
      </c>
      <c r="BR52" s="66">
        <v>93.646020474400018</v>
      </c>
      <c r="BS52" s="66">
        <v>104.0868865819</v>
      </c>
      <c r="BT52" s="66">
        <v>96.793197169899997</v>
      </c>
      <c r="BU52" s="66">
        <v>104.1100030291</v>
      </c>
      <c r="BV52" s="66">
        <v>106.2828740125</v>
      </c>
      <c r="BW52" s="66">
        <v>86.876954328400004</v>
      </c>
      <c r="BX52" s="66">
        <v>118.53308996049998</v>
      </c>
      <c r="BY52" s="66">
        <v>145.26054386799998</v>
      </c>
      <c r="BZ52" s="66">
        <v>118.14292486059999</v>
      </c>
      <c r="CA52" s="66">
        <v>127.99274544310001</v>
      </c>
      <c r="CB52" s="66">
        <v>91.010783020300011</v>
      </c>
      <c r="CC52" s="66">
        <v>104.4793783372</v>
      </c>
      <c r="CD52" s="66">
        <v>89.674269599800013</v>
      </c>
      <c r="CE52" s="66">
        <v>83.966871323500001</v>
      </c>
      <c r="CF52" s="66">
        <v>88.9555207147</v>
      </c>
      <c r="CG52" s="66">
        <v>104.80811222920002</v>
      </c>
      <c r="CH52" s="66">
        <v>97.182349048899994</v>
      </c>
      <c r="CI52" s="66">
        <v>106.81140005530001</v>
      </c>
      <c r="CJ52" s="66">
        <v>131.85255417160002</v>
      </c>
      <c r="CK52" s="66">
        <v>135.78111181450001</v>
      </c>
      <c r="CL52" s="66">
        <v>134.0065492249</v>
      </c>
      <c r="CM52" s="66">
        <v>157.66657067440002</v>
      </c>
      <c r="CN52" s="66">
        <v>119.85309163300002</v>
      </c>
      <c r="CO52" s="66">
        <v>103.4980176055</v>
      </c>
      <c r="CP52" s="66">
        <v>102.3186660046</v>
      </c>
      <c r="CQ52" s="66">
        <v>87.962113912300012</v>
      </c>
      <c r="CR52" s="66">
        <v>111.7473994864</v>
      </c>
      <c r="CS52" s="66">
        <v>102.9426599722</v>
      </c>
      <c r="CT52" s="66">
        <v>121.78834355200001</v>
      </c>
      <c r="CU52" s="66">
        <v>98.946666849399989</v>
      </c>
      <c r="CV52" s="66">
        <v>130.49708976759999</v>
      </c>
      <c r="CW52" s="66">
        <v>160.25433685299998</v>
      </c>
      <c r="CX52" s="66">
        <v>153.64382101449999</v>
      </c>
      <c r="CY52" s="66">
        <v>175.48571137569996</v>
      </c>
      <c r="CZ52" s="66">
        <v>146.3688574258</v>
      </c>
      <c r="DA52" s="66">
        <v>116.83966009630002</v>
      </c>
      <c r="DB52" s="66">
        <v>120.74573924590001</v>
      </c>
      <c r="DC52" s="66">
        <v>121.6526094781</v>
      </c>
      <c r="DD52" s="66">
        <v>117.78585831010001</v>
      </c>
      <c r="DE52" s="66">
        <v>139.4946039397</v>
      </c>
      <c r="DF52" s="66">
        <v>121.76691580630001</v>
      </c>
      <c r="DG52" s="66">
        <v>105.1787634451</v>
      </c>
      <c r="DH52" s="66">
        <v>135.54664499289999</v>
      </c>
      <c r="DI52" s="66">
        <v>184.22778130090003</v>
      </c>
      <c r="DJ52" s="66">
        <v>140.4224140705</v>
      </c>
      <c r="DK52" s="66">
        <v>202.22059556980003</v>
      </c>
      <c r="DL52" s="66">
        <v>149.40060199210001</v>
      </c>
      <c r="DM52" s="66">
        <v>128.93755516899998</v>
      </c>
      <c r="DN52" s="66">
        <v>121.86782510259999</v>
      </c>
      <c r="DO52" s="66">
        <v>123.0405344776</v>
      </c>
      <c r="DP52" s="79"/>
      <c r="DQ52" s="80"/>
      <c r="DR52" s="81"/>
      <c r="DS52" s="84">
        <f t="shared" si="3"/>
        <v>2010</v>
      </c>
      <c r="DT52" s="80"/>
      <c r="DU52" s="83">
        <f t="shared" si="9"/>
        <v>1176.9594772878002</v>
      </c>
      <c r="DV52" s="83">
        <f t="shared" si="9"/>
        <v>1551.6734463099003</v>
      </c>
      <c r="DW52" s="83">
        <f t="shared" si="9"/>
        <v>1316.8046762262002</v>
      </c>
      <c r="DX52" s="83">
        <f t="shared" si="9"/>
        <v>1424.4469004601006</v>
      </c>
      <c r="DY52" s="83">
        <f t="shared" si="9"/>
        <v>1443.9653627175001</v>
      </c>
      <c r="DZ52" s="83">
        <f t="shared" si="9"/>
        <v>1279.1457696620998</v>
      </c>
      <c r="EA52" s="83">
        <f t="shared" si="9"/>
        <v>1276.8179884611002</v>
      </c>
      <c r="EB52" s="83">
        <f t="shared" si="9"/>
        <v>1408.3637449008002</v>
      </c>
      <c r="EC52" s="83">
        <f t="shared" si="9"/>
        <v>1609.7139667580998</v>
      </c>
      <c r="ED52" s="83">
        <f t="shared" si="9"/>
        <v>1185.6639526754</v>
      </c>
    </row>
    <row r="53" spans="2:134" x14ac:dyDescent="0.3">
      <c r="B53" s="45">
        <f t="shared" si="5"/>
        <v>1000000049</v>
      </c>
      <c r="C53" s="46">
        <v>40544</v>
      </c>
      <c r="D53" s="66">
        <v>86.925663985000014</v>
      </c>
      <c r="E53" s="66">
        <v>202.14396604840005</v>
      </c>
      <c r="F53" s="66">
        <v>116.95291567689999</v>
      </c>
      <c r="G53" s="66">
        <v>74.744834905299996</v>
      </c>
      <c r="H53" s="66">
        <v>48.212182097500005</v>
      </c>
      <c r="I53" s="66">
        <v>47.575729265500001</v>
      </c>
      <c r="J53" s="66">
        <v>36.200898648400006</v>
      </c>
      <c r="K53" s="66">
        <v>40.407604191700003</v>
      </c>
      <c r="L53" s="66">
        <v>47.126422086400005</v>
      </c>
      <c r="M53" s="66">
        <v>38.680437824200006</v>
      </c>
      <c r="N53" s="66">
        <v>41.742879231100005</v>
      </c>
      <c r="O53" s="66">
        <v>36.548170730199999</v>
      </c>
      <c r="P53" s="66">
        <v>89.629800460300004</v>
      </c>
      <c r="Q53" s="66">
        <v>402.97057786060003</v>
      </c>
      <c r="R53" s="66">
        <v>106.1765983981</v>
      </c>
      <c r="S53" s="66">
        <v>94.311443918800009</v>
      </c>
      <c r="T53" s="66">
        <v>35.361013575699992</v>
      </c>
      <c r="U53" s="66">
        <v>40.942247086599998</v>
      </c>
      <c r="V53" s="66">
        <v>36.955898325700005</v>
      </c>
      <c r="W53" s="66">
        <v>44.535466138300002</v>
      </c>
      <c r="X53" s="66">
        <v>40.983413876500009</v>
      </c>
      <c r="Y53" s="66">
        <v>45.227496013</v>
      </c>
      <c r="Z53" s="66">
        <v>45.479938123899998</v>
      </c>
      <c r="AA53" s="66">
        <v>31.941955938699998</v>
      </c>
      <c r="AB53" s="66">
        <v>66.41169343</v>
      </c>
      <c r="AC53" s="66">
        <v>152.73965270470001</v>
      </c>
      <c r="AD53" s="66">
        <v>71.766153092799996</v>
      </c>
      <c r="AE53" s="66">
        <v>83.144023372600003</v>
      </c>
      <c r="AF53" s="66">
        <v>55.38004448440001</v>
      </c>
      <c r="AG53" s="66">
        <v>45.524519843500002</v>
      </c>
      <c r="AH53" s="66">
        <v>48.034530699700007</v>
      </c>
      <c r="AI53" s="66">
        <v>43.044004973500002</v>
      </c>
      <c r="AJ53" s="66">
        <v>43.182215809599995</v>
      </c>
      <c r="AK53" s="66">
        <v>41.776428100899999</v>
      </c>
      <c r="AL53" s="66">
        <v>49.2300563083</v>
      </c>
      <c r="AM53" s="66">
        <v>46.510346252500007</v>
      </c>
      <c r="AN53" s="66">
        <v>65.883430074100019</v>
      </c>
      <c r="AO53" s="66">
        <v>141.81123971080001</v>
      </c>
      <c r="AP53" s="66">
        <v>96.707748873999989</v>
      </c>
      <c r="AQ53" s="66">
        <v>84.504628934500019</v>
      </c>
      <c r="AR53" s="66">
        <v>42.610233848199996</v>
      </c>
      <c r="AS53" s="66">
        <v>40.814468673100009</v>
      </c>
      <c r="AT53" s="66">
        <v>46.28770034139999</v>
      </c>
      <c r="AU53" s="66">
        <v>45.905415848500006</v>
      </c>
      <c r="AV53" s="66">
        <v>48.339772877500003</v>
      </c>
      <c r="AW53" s="66">
        <v>57.954301051000002</v>
      </c>
      <c r="AX53" s="66">
        <v>50.118500930800003</v>
      </c>
      <c r="AY53" s="66">
        <v>51.405779320900002</v>
      </c>
      <c r="AZ53" s="66">
        <v>63.655770108699997</v>
      </c>
      <c r="BA53" s="66">
        <v>127.98925546000004</v>
      </c>
      <c r="BB53" s="66">
        <v>87.312639315400006</v>
      </c>
      <c r="BC53" s="66">
        <v>92.214114182500026</v>
      </c>
      <c r="BD53" s="66">
        <v>59.380315650999989</v>
      </c>
      <c r="BE53" s="66">
        <v>52.133309453800003</v>
      </c>
      <c r="BF53" s="66">
        <v>52.953192795400014</v>
      </c>
      <c r="BG53" s="66">
        <v>61.98924688839999</v>
      </c>
      <c r="BH53" s="66">
        <v>46.296256428999996</v>
      </c>
      <c r="BI53" s="66">
        <v>51.53190655960001</v>
      </c>
      <c r="BJ53" s="66">
        <v>49.019006147500001</v>
      </c>
      <c r="BK53" s="66">
        <v>43.228298597200002</v>
      </c>
      <c r="BL53" s="66">
        <v>62.762221855000021</v>
      </c>
      <c r="BM53" s="66">
        <v>120.6862218997</v>
      </c>
      <c r="BN53" s="66">
        <v>83.080227982599979</v>
      </c>
      <c r="BO53" s="66">
        <v>121.69351358110001</v>
      </c>
      <c r="BP53" s="66">
        <v>59.076236800899991</v>
      </c>
      <c r="BQ53" s="66">
        <v>59.5200275551</v>
      </c>
      <c r="BR53" s="66">
        <v>56.5314011671</v>
      </c>
      <c r="BS53" s="66">
        <v>68.731331337100002</v>
      </c>
      <c r="BT53" s="66">
        <v>55.628658871899994</v>
      </c>
      <c r="BU53" s="66">
        <v>58.855880018500017</v>
      </c>
      <c r="BV53" s="66">
        <v>62.503137518199992</v>
      </c>
      <c r="BW53" s="66">
        <v>47.097263840500005</v>
      </c>
      <c r="BX53" s="66">
        <v>79.839234537099998</v>
      </c>
      <c r="BY53" s="66">
        <v>191.74085180110004</v>
      </c>
      <c r="BZ53" s="66">
        <v>83.422021166200011</v>
      </c>
      <c r="CA53" s="66">
        <v>77.425254506200005</v>
      </c>
      <c r="CB53" s="66">
        <v>57.3983054638</v>
      </c>
      <c r="CC53" s="66">
        <v>74.194543376499993</v>
      </c>
      <c r="CD53" s="66">
        <v>97.991011907200004</v>
      </c>
      <c r="CE53" s="66">
        <v>56.525772162099997</v>
      </c>
      <c r="CF53" s="66">
        <v>67.969914594100004</v>
      </c>
      <c r="CG53" s="66">
        <v>69.120745903000014</v>
      </c>
      <c r="CH53" s="66">
        <v>55.372839358000014</v>
      </c>
      <c r="CI53" s="66">
        <v>57.342052940500011</v>
      </c>
      <c r="CJ53" s="66">
        <v>127.0075945147</v>
      </c>
      <c r="CK53" s="66">
        <v>146.56876215670005</v>
      </c>
      <c r="CL53" s="66">
        <v>133.75695914320002</v>
      </c>
      <c r="CM53" s="66">
        <v>92.257457521000021</v>
      </c>
      <c r="CN53" s="66">
        <v>100.4916410884</v>
      </c>
      <c r="CO53" s="66">
        <v>70.588152453099994</v>
      </c>
      <c r="CP53" s="66">
        <v>76.111557319300033</v>
      </c>
      <c r="CQ53" s="66">
        <v>50.775893661400019</v>
      </c>
      <c r="CR53" s="66">
        <v>59.378551896100007</v>
      </c>
      <c r="CS53" s="66">
        <v>75.622209151299998</v>
      </c>
      <c r="CT53" s="66">
        <v>52.390967776000004</v>
      </c>
      <c r="CU53" s="66">
        <v>51.092694062800014</v>
      </c>
      <c r="CV53" s="66">
        <v>103.74441791770001</v>
      </c>
      <c r="CW53" s="66">
        <v>149.3461882771</v>
      </c>
      <c r="CX53" s="66">
        <v>125.37724703319998</v>
      </c>
      <c r="CY53" s="66">
        <v>124.44804841450005</v>
      </c>
      <c r="CZ53" s="66">
        <v>70.960304737000001</v>
      </c>
      <c r="DA53" s="66">
        <v>60.75390545110001</v>
      </c>
      <c r="DB53" s="66">
        <v>88.285669119700003</v>
      </c>
      <c r="DC53" s="66">
        <v>78.502120689399987</v>
      </c>
      <c r="DD53" s="66">
        <v>86.025998879200003</v>
      </c>
      <c r="DE53" s="66">
        <v>104.77167380350001</v>
      </c>
      <c r="DF53" s="66">
        <v>84.744499600899999</v>
      </c>
      <c r="DG53" s="66">
        <v>74.020494541900007</v>
      </c>
      <c r="DH53" s="66">
        <v>270.19518404200011</v>
      </c>
      <c r="DI53" s="66">
        <v>195.13709320450002</v>
      </c>
      <c r="DJ53" s="66">
        <v>178.41275644899997</v>
      </c>
      <c r="DK53" s="66">
        <v>178.47842817400002</v>
      </c>
      <c r="DL53" s="66">
        <v>112.32350938480003</v>
      </c>
      <c r="DM53" s="66">
        <v>126.69207002110002</v>
      </c>
      <c r="DN53" s="66">
        <v>123.3563216581</v>
      </c>
      <c r="DO53" s="66">
        <v>115.25719668399998</v>
      </c>
      <c r="DP53" s="79"/>
      <c r="DQ53" s="80"/>
      <c r="DR53" s="81"/>
      <c r="DS53" s="84">
        <f t="shared" si="3"/>
        <v>2011</v>
      </c>
      <c r="DT53" s="80"/>
      <c r="DU53" s="83">
        <f t="shared" si="9"/>
        <v>817.26170469060003</v>
      </c>
      <c r="DV53" s="83">
        <f t="shared" si="9"/>
        <v>1014.5158497161998</v>
      </c>
      <c r="DW53" s="83">
        <f t="shared" si="9"/>
        <v>746.74366907250021</v>
      </c>
      <c r="DX53" s="83">
        <f t="shared" si="9"/>
        <v>772.34322048479999</v>
      </c>
      <c r="DY53" s="83">
        <f t="shared" si="9"/>
        <v>787.70331158850001</v>
      </c>
      <c r="DZ53" s="83">
        <f t="shared" si="9"/>
        <v>856.16612242769997</v>
      </c>
      <c r="EA53" s="83">
        <f t="shared" si="9"/>
        <v>968.34254771580015</v>
      </c>
      <c r="EB53" s="83">
        <f t="shared" si="9"/>
        <v>1036.042440744</v>
      </c>
      <c r="EC53" s="83">
        <f t="shared" si="9"/>
        <v>1150.9805684651999</v>
      </c>
      <c r="ED53" s="83">
        <f t="shared" si="9"/>
        <v>1299.8525596175</v>
      </c>
    </row>
    <row r="54" spans="2:134" x14ac:dyDescent="0.3">
      <c r="B54" s="45">
        <f t="shared" si="5"/>
        <v>1000000050</v>
      </c>
      <c r="C54" s="46">
        <v>40969</v>
      </c>
      <c r="D54" s="66">
        <v>26.3292750532</v>
      </c>
      <c r="E54" s="66">
        <v>75.0303005122</v>
      </c>
      <c r="F54" s="66">
        <v>57.032044871800011</v>
      </c>
      <c r="G54" s="66">
        <v>45.367545657400001</v>
      </c>
      <c r="H54" s="66">
        <v>30.1414248727</v>
      </c>
      <c r="I54" s="66">
        <v>33.979843382200002</v>
      </c>
      <c r="J54" s="66">
        <v>36.795659316700004</v>
      </c>
      <c r="K54" s="66">
        <v>50.719828771599992</v>
      </c>
      <c r="L54" s="66">
        <v>44.930059388800004</v>
      </c>
      <c r="M54" s="66">
        <v>41.804385492400009</v>
      </c>
      <c r="N54" s="66">
        <v>39.898141712499999</v>
      </c>
      <c r="O54" s="66">
        <v>40.20766193410001</v>
      </c>
      <c r="P54" s="66">
        <v>56.155083419500002</v>
      </c>
      <c r="Q54" s="66">
        <v>231.303637963</v>
      </c>
      <c r="R54" s="66">
        <v>108.45390618760001</v>
      </c>
      <c r="S54" s="66">
        <v>90.35211438189998</v>
      </c>
      <c r="T54" s="66">
        <v>59.361664881100012</v>
      </c>
      <c r="U54" s="66">
        <v>65.36541150730001</v>
      </c>
      <c r="V54" s="66">
        <v>54.701561748400003</v>
      </c>
      <c r="W54" s="66">
        <v>55.450932420700006</v>
      </c>
      <c r="X54" s="66">
        <v>64.339506582700011</v>
      </c>
      <c r="Y54" s="66">
        <v>62.277939791500017</v>
      </c>
      <c r="Z54" s="66">
        <v>40.091329164100003</v>
      </c>
      <c r="AA54" s="66">
        <v>44.8645752973</v>
      </c>
      <c r="AB54" s="66">
        <v>51.074606193400001</v>
      </c>
      <c r="AC54" s="66">
        <v>116.47430014509999</v>
      </c>
      <c r="AD54" s="66">
        <v>100.9925099533</v>
      </c>
      <c r="AE54" s="66">
        <v>86.541803370700009</v>
      </c>
      <c r="AF54" s="66">
        <v>70.489719919000009</v>
      </c>
      <c r="AG54" s="66">
        <v>84.315344259700012</v>
      </c>
      <c r="AH54" s="66">
        <v>68.128802641900009</v>
      </c>
      <c r="AI54" s="66">
        <v>75.5465177974</v>
      </c>
      <c r="AJ54" s="66">
        <v>92.879349993400012</v>
      </c>
      <c r="AK54" s="66">
        <v>69.346131263199993</v>
      </c>
      <c r="AL54" s="66">
        <v>83.063078280700012</v>
      </c>
      <c r="AM54" s="66">
        <v>87.494906497300008</v>
      </c>
      <c r="AN54" s="66">
        <v>92.126226651100012</v>
      </c>
      <c r="AO54" s="66">
        <v>162.70952120050001</v>
      </c>
      <c r="AP54" s="66">
        <v>178.90893447639999</v>
      </c>
      <c r="AQ54" s="66">
        <v>121.55357651680001</v>
      </c>
      <c r="AR54" s="66">
        <v>94.006126687600016</v>
      </c>
      <c r="AS54" s="66">
        <v>85.224916414300012</v>
      </c>
      <c r="AT54" s="66">
        <v>91.925008485700005</v>
      </c>
      <c r="AU54" s="66">
        <v>105.697269859</v>
      </c>
      <c r="AV54" s="66">
        <v>82.970912705499998</v>
      </c>
      <c r="AW54" s="66">
        <v>77.403001173100009</v>
      </c>
      <c r="AX54" s="66">
        <v>89.855410980700015</v>
      </c>
      <c r="AY54" s="66">
        <v>88.540813153000016</v>
      </c>
      <c r="AZ54" s="66">
        <v>90.860788800400016</v>
      </c>
      <c r="BA54" s="66">
        <v>189.2387215519</v>
      </c>
      <c r="BB54" s="66">
        <v>162.8416902379</v>
      </c>
      <c r="BC54" s="66">
        <v>131.93488775139997</v>
      </c>
      <c r="BD54" s="66">
        <v>120.72798911680002</v>
      </c>
      <c r="BE54" s="66">
        <v>115.53069127360001</v>
      </c>
      <c r="BF54" s="66">
        <v>88.413259899700009</v>
      </c>
      <c r="BG54" s="66">
        <v>104.66014445110001</v>
      </c>
      <c r="BH54" s="66">
        <v>96.207330329499982</v>
      </c>
      <c r="BI54" s="66">
        <v>124.1413051687</v>
      </c>
      <c r="BJ54" s="66">
        <v>117.0255673681</v>
      </c>
      <c r="BK54" s="66">
        <v>104.57011789780002</v>
      </c>
      <c r="BL54" s="66">
        <v>100.52706629320002</v>
      </c>
      <c r="BM54" s="66">
        <v>178.252892707</v>
      </c>
      <c r="BN54" s="66">
        <v>169.12080778870001</v>
      </c>
      <c r="BO54" s="66">
        <v>141.51429093370001</v>
      </c>
      <c r="BP54" s="66">
        <v>145.59010334740003</v>
      </c>
      <c r="BQ54" s="66">
        <v>117.51187587340002</v>
      </c>
      <c r="BR54" s="66">
        <v>103.03242383860001</v>
      </c>
      <c r="BS54" s="66">
        <v>110.3130914857</v>
      </c>
      <c r="BT54" s="66">
        <v>95.684283184900025</v>
      </c>
      <c r="BU54" s="66">
        <v>100.74640985470002</v>
      </c>
      <c r="BV54" s="66">
        <v>75.243714855100009</v>
      </c>
      <c r="BW54" s="66">
        <v>91.219806739300012</v>
      </c>
      <c r="BX54" s="66">
        <v>114.16899743739998</v>
      </c>
      <c r="BY54" s="66">
        <v>170.13309052120002</v>
      </c>
      <c r="BZ54" s="66">
        <v>138.7767932221</v>
      </c>
      <c r="CA54" s="66">
        <v>164.2038719212</v>
      </c>
      <c r="CB54" s="66">
        <v>166.9428707008</v>
      </c>
      <c r="CC54" s="66">
        <v>160.11788977180001</v>
      </c>
      <c r="CD54" s="66">
        <v>110.9336329969</v>
      </c>
      <c r="CE54" s="66">
        <v>113.08252441900001</v>
      </c>
      <c r="CF54" s="66">
        <v>130.19263565050002</v>
      </c>
      <c r="CG54" s="66">
        <v>123.78270002350004</v>
      </c>
      <c r="CH54" s="66">
        <v>104.10095909440001</v>
      </c>
      <c r="CI54" s="66">
        <v>91.970941166500026</v>
      </c>
      <c r="CJ54" s="66">
        <v>114.17019829180003</v>
      </c>
      <c r="CK54" s="66">
        <v>186.92550071050005</v>
      </c>
      <c r="CL54" s="66">
        <v>187.56322945030004</v>
      </c>
      <c r="CM54" s="66">
        <v>182.35497381069999</v>
      </c>
      <c r="CN54" s="66">
        <v>132.77608625860003</v>
      </c>
      <c r="CO54" s="66">
        <v>115.2460137274</v>
      </c>
      <c r="CP54" s="66">
        <v>113.42056493260002</v>
      </c>
      <c r="CQ54" s="66">
        <v>105.12907809430001</v>
      </c>
      <c r="CR54" s="66">
        <v>96.572164906900014</v>
      </c>
      <c r="CS54" s="66">
        <v>144.96821087500001</v>
      </c>
      <c r="CT54" s="66">
        <v>110.51933822890001</v>
      </c>
      <c r="CU54" s="66">
        <v>111.19425592840001</v>
      </c>
      <c r="CV54" s="66">
        <v>124.81791156969999</v>
      </c>
      <c r="CW54" s="66">
        <v>165.98575221730002</v>
      </c>
      <c r="CX54" s="66">
        <v>172.21278270849999</v>
      </c>
      <c r="CY54" s="66">
        <v>132.38040473379999</v>
      </c>
      <c r="CZ54" s="66">
        <v>110.5469578801</v>
      </c>
      <c r="DA54" s="66">
        <v>109.74756411670002</v>
      </c>
      <c r="DB54" s="66">
        <v>106.35942848050001</v>
      </c>
      <c r="DC54" s="66">
        <v>101.1742142347</v>
      </c>
      <c r="DD54" s="66">
        <v>107.17979966920001</v>
      </c>
      <c r="DE54" s="66">
        <v>96.546046323700011</v>
      </c>
      <c r="DF54" s="66">
        <v>119.70114602469999</v>
      </c>
      <c r="DG54" s="66">
        <v>101.76312073780001</v>
      </c>
      <c r="DH54" s="66">
        <v>133.81103511789999</v>
      </c>
      <c r="DI54" s="66">
        <v>177.51301628979996</v>
      </c>
      <c r="DJ54" s="66">
        <v>198.70453141329997</v>
      </c>
      <c r="DK54" s="66">
        <v>171.16484961100002</v>
      </c>
      <c r="DL54" s="66">
        <v>143.2885908364</v>
      </c>
      <c r="DM54" s="66">
        <v>137.11702480779999</v>
      </c>
      <c r="DN54" s="66">
        <v>115.22147126560002</v>
      </c>
      <c r="DO54" s="66">
        <v>142.71097987000002</v>
      </c>
      <c r="DP54" s="79"/>
      <c r="DQ54" s="80"/>
      <c r="DR54" s="81"/>
      <c r="DS54" s="84">
        <f t="shared" si="3"/>
        <v>2012</v>
      </c>
      <c r="DT54" s="80"/>
      <c r="DU54" s="83">
        <f t="shared" si="9"/>
        <v>522.23617096559997</v>
      </c>
      <c r="DV54" s="83">
        <f t="shared" si="9"/>
        <v>932.71766334509994</v>
      </c>
      <c r="DW54" s="83">
        <f t="shared" si="9"/>
        <v>986.34707031510015</v>
      </c>
      <c r="DX54" s="83">
        <f t="shared" si="9"/>
        <v>1270.9217183037001</v>
      </c>
      <c r="DY54" s="83">
        <f t="shared" si="9"/>
        <v>1446.1524938468999</v>
      </c>
      <c r="DZ54" s="83">
        <f t="shared" si="9"/>
        <v>1428.7567669017005</v>
      </c>
      <c r="EA54" s="83">
        <f t="shared" si="9"/>
        <v>1588.4069069253001</v>
      </c>
      <c r="EB54" s="83">
        <f t="shared" si="9"/>
        <v>1600.8396152154003</v>
      </c>
      <c r="EC54" s="83">
        <f t="shared" si="9"/>
        <v>1448.4151286966999</v>
      </c>
      <c r="ED54" s="83">
        <f t="shared" si="9"/>
        <v>1219.5314992117999</v>
      </c>
    </row>
    <row r="55" spans="2:134" x14ac:dyDescent="0.3">
      <c r="B55" s="45">
        <f t="shared" si="5"/>
        <v>1000000051</v>
      </c>
      <c r="C55" s="46">
        <v>41579</v>
      </c>
      <c r="D55" s="66">
        <v>7.0832941645000016</v>
      </c>
      <c r="E55" s="66">
        <v>12.699577613200002</v>
      </c>
      <c r="F55" s="66">
        <v>17.688902485000003</v>
      </c>
      <c r="G55" s="66">
        <v>19.6634448589</v>
      </c>
      <c r="H55" s="66">
        <v>21.1469503633</v>
      </c>
      <c r="I55" s="66">
        <v>14.583305373100004</v>
      </c>
      <c r="J55" s="66">
        <v>23.937248141800005</v>
      </c>
      <c r="K55" s="66">
        <v>25.682277218500005</v>
      </c>
      <c r="L55" s="66">
        <v>22.391936162500006</v>
      </c>
      <c r="M55" s="66">
        <v>21.280507888599999</v>
      </c>
      <c r="N55" s="66">
        <v>14.792479198900001</v>
      </c>
      <c r="O55" s="66">
        <v>9.5141612104000046</v>
      </c>
      <c r="P55" s="66">
        <v>36.247731970000004</v>
      </c>
      <c r="Q55" s="66">
        <v>113.04642373360002</v>
      </c>
      <c r="R55" s="66">
        <v>35.603248424200004</v>
      </c>
      <c r="S55" s="66">
        <v>36.153502426300001</v>
      </c>
      <c r="T55" s="66">
        <v>23.054207364100005</v>
      </c>
      <c r="U55" s="66">
        <v>26.846843299600003</v>
      </c>
      <c r="V55" s="66">
        <v>24.461871407800004</v>
      </c>
      <c r="W55" s="66">
        <v>27.4094811127</v>
      </c>
      <c r="X55" s="66">
        <v>24.75367902699999</v>
      </c>
      <c r="Y55" s="66">
        <v>28.034750988100001</v>
      </c>
      <c r="Z55" s="66">
        <v>32.451718631500007</v>
      </c>
      <c r="AA55" s="66">
        <v>22.092773310100004</v>
      </c>
      <c r="AB55" s="66">
        <v>46.974363898</v>
      </c>
      <c r="AC55" s="66">
        <v>89.101349470900004</v>
      </c>
      <c r="AD55" s="66">
        <v>39.998037787900003</v>
      </c>
      <c r="AE55" s="66">
        <v>30.436910108500001</v>
      </c>
      <c r="AF55" s="66">
        <v>26.366651646400001</v>
      </c>
      <c r="AG55" s="66">
        <v>26.504637322299992</v>
      </c>
      <c r="AH55" s="66">
        <v>26.6569206709</v>
      </c>
      <c r="AI55" s="66">
        <v>25.744421433700005</v>
      </c>
      <c r="AJ55" s="66">
        <v>34.772219652700002</v>
      </c>
      <c r="AK55" s="66">
        <v>36.084603405099998</v>
      </c>
      <c r="AL55" s="66">
        <v>36.644501769100003</v>
      </c>
      <c r="AM55" s="66">
        <v>25.939109953299997</v>
      </c>
      <c r="AN55" s="66">
        <v>36.277227956200008</v>
      </c>
      <c r="AO55" s="66">
        <v>51.272597062599999</v>
      </c>
      <c r="AP55" s="66">
        <v>70.672662581500006</v>
      </c>
      <c r="AQ55" s="66">
        <v>67.289442943000012</v>
      </c>
      <c r="AR55" s="66">
        <v>32.92432989129999</v>
      </c>
      <c r="AS55" s="66">
        <v>30.786358738900013</v>
      </c>
      <c r="AT55" s="66">
        <v>37.57651489029999</v>
      </c>
      <c r="AU55" s="66">
        <v>43.777014004600005</v>
      </c>
      <c r="AV55" s="66">
        <v>38.733350471200005</v>
      </c>
      <c r="AW55" s="66">
        <v>38.160317762200002</v>
      </c>
      <c r="AX55" s="66">
        <v>39.419976501100003</v>
      </c>
      <c r="AY55" s="66">
        <v>33.367933012000002</v>
      </c>
      <c r="AZ55" s="66">
        <v>38.464846932700006</v>
      </c>
      <c r="BA55" s="66">
        <v>46.836340695400004</v>
      </c>
      <c r="BB55" s="66">
        <v>53.355366439300013</v>
      </c>
      <c r="BC55" s="66">
        <v>42.422337661299999</v>
      </c>
      <c r="BD55" s="66">
        <v>27.044946748900003</v>
      </c>
      <c r="BE55" s="66">
        <v>52.672418026000003</v>
      </c>
      <c r="BF55" s="66">
        <v>55.744278634599993</v>
      </c>
      <c r="BG55" s="66">
        <v>47.061951215800008</v>
      </c>
      <c r="BH55" s="66">
        <v>46.498600395400004</v>
      </c>
      <c r="BI55" s="66">
        <v>57.376352344300017</v>
      </c>
      <c r="BJ55" s="66">
        <v>45.44515087300001</v>
      </c>
      <c r="BK55" s="66">
        <v>38.9228603062</v>
      </c>
      <c r="BL55" s="66">
        <v>50.420065492000006</v>
      </c>
      <c r="BM55" s="66">
        <v>60.280055810199997</v>
      </c>
      <c r="BN55" s="66">
        <v>63.787751512600011</v>
      </c>
      <c r="BO55" s="66">
        <v>91.590420428500011</v>
      </c>
      <c r="BP55" s="66">
        <v>56.955152663500016</v>
      </c>
      <c r="BQ55" s="66">
        <v>45.716431387300005</v>
      </c>
      <c r="BR55" s="66">
        <v>60.252060892000003</v>
      </c>
      <c r="BS55" s="66">
        <v>68.4114162196</v>
      </c>
      <c r="BT55" s="66">
        <v>62.200146942400011</v>
      </c>
      <c r="BU55" s="66">
        <v>76.120225986999998</v>
      </c>
      <c r="BV55" s="66">
        <v>72.281845004200008</v>
      </c>
      <c r="BW55" s="66">
        <v>63.742119045400003</v>
      </c>
      <c r="BX55" s="66">
        <v>71.930670145600018</v>
      </c>
      <c r="BY55" s="66">
        <v>133.05918768340001</v>
      </c>
      <c r="BZ55" s="66">
        <v>133.57082671120003</v>
      </c>
      <c r="CA55" s="66">
        <v>70.735219590400021</v>
      </c>
      <c r="CB55" s="66">
        <v>117.36567185019996</v>
      </c>
      <c r="CC55" s="66">
        <v>97.499299557100017</v>
      </c>
      <c r="CD55" s="66">
        <v>108.53492633290001</v>
      </c>
      <c r="CE55" s="66">
        <v>92.463441577299989</v>
      </c>
      <c r="CF55" s="66">
        <v>95.463288448599997</v>
      </c>
      <c r="CG55" s="66">
        <v>110.57423979100001</v>
      </c>
      <c r="CH55" s="66">
        <v>100.68253941129998</v>
      </c>
      <c r="CI55" s="66">
        <v>96.764601824500005</v>
      </c>
      <c r="CJ55" s="66">
        <v>96.546384064000009</v>
      </c>
      <c r="CK55" s="66">
        <v>103.00060119699999</v>
      </c>
      <c r="CL55" s="66">
        <v>129.3801825955</v>
      </c>
      <c r="CM55" s="66">
        <v>122.19280632460001</v>
      </c>
      <c r="CN55" s="66">
        <v>131.77986495370001</v>
      </c>
      <c r="CO55" s="66">
        <v>107.47186997530002</v>
      </c>
      <c r="CP55" s="66">
        <v>116.0502859618</v>
      </c>
      <c r="CQ55" s="66">
        <v>122.13295123810002</v>
      </c>
      <c r="CR55" s="66">
        <v>109.15862008690002</v>
      </c>
      <c r="CS55" s="66">
        <v>101.5921490926</v>
      </c>
      <c r="CT55" s="66">
        <v>105.11181581229999</v>
      </c>
      <c r="CU55" s="66">
        <v>102.4738013824</v>
      </c>
      <c r="CV55" s="66">
        <v>125.66372586100002</v>
      </c>
      <c r="CW55" s="66">
        <v>128.56101226120001</v>
      </c>
      <c r="CX55" s="66">
        <v>153.41768512029998</v>
      </c>
      <c r="CY55" s="66">
        <v>160.9360468852</v>
      </c>
      <c r="CZ55" s="66">
        <v>100.76528578480001</v>
      </c>
      <c r="DA55" s="66">
        <v>110.9729234518</v>
      </c>
      <c r="DB55" s="66">
        <v>123.3932104042</v>
      </c>
      <c r="DC55" s="66">
        <v>122.50863103180001</v>
      </c>
      <c r="DD55" s="66">
        <v>131.54449749130004</v>
      </c>
      <c r="DE55" s="66">
        <v>118.64416899250001</v>
      </c>
      <c r="DF55" s="66">
        <v>103.8058866523</v>
      </c>
      <c r="DG55" s="66">
        <v>130.49652686709999</v>
      </c>
      <c r="DH55" s="66">
        <v>157.93927720330004</v>
      </c>
      <c r="DI55" s="66">
        <v>156.03686114680002</v>
      </c>
      <c r="DJ55" s="66">
        <v>174.65753463339999</v>
      </c>
      <c r="DK55" s="66">
        <v>127.0981089151</v>
      </c>
      <c r="DL55" s="66">
        <v>140.72904473620002</v>
      </c>
      <c r="DM55" s="66">
        <v>119.33398479190001</v>
      </c>
      <c r="DN55" s="66">
        <v>120.83539053219999</v>
      </c>
      <c r="DO55" s="66">
        <v>128.23719436690001</v>
      </c>
      <c r="DP55" s="79"/>
      <c r="DQ55" s="80"/>
      <c r="DR55" s="81"/>
      <c r="DS55" s="84">
        <f t="shared" si="3"/>
        <v>2013</v>
      </c>
      <c r="DT55" s="80"/>
      <c r="DU55" s="83">
        <f t="shared" ref="DU55:ED64" si="10">+SUMIF($D$3:$DO$3,DU$4,$D55:$DO55)</f>
        <v>210.4640846787</v>
      </c>
      <c r="DV55" s="83">
        <f t="shared" si="10"/>
        <v>430.15623169500003</v>
      </c>
      <c r="DW55" s="83">
        <f t="shared" si="10"/>
        <v>445.22372711879996</v>
      </c>
      <c r="DX55" s="83">
        <f t="shared" si="10"/>
        <v>520.25772581490003</v>
      </c>
      <c r="DY55" s="83">
        <f t="shared" si="10"/>
        <v>551.84545027290005</v>
      </c>
      <c r="DZ55" s="83">
        <f t="shared" si="10"/>
        <v>771.75769138470025</v>
      </c>
      <c r="EA55" s="83">
        <f t="shared" si="10"/>
        <v>1228.6439129235002</v>
      </c>
      <c r="EB55" s="83">
        <f t="shared" si="10"/>
        <v>1346.8913326842003</v>
      </c>
      <c r="EC55" s="83">
        <f t="shared" si="10"/>
        <v>1510.7096008035001</v>
      </c>
      <c r="ED55" s="83">
        <f t="shared" si="10"/>
        <v>1124.8673963258</v>
      </c>
    </row>
    <row r="56" spans="2:134" x14ac:dyDescent="0.3">
      <c r="B56" s="45">
        <f t="shared" si="5"/>
        <v>1000000052</v>
      </c>
      <c r="C56" s="46">
        <v>44228</v>
      </c>
      <c r="D56" s="66">
        <v>-8</v>
      </c>
      <c r="E56" s="66">
        <v>-8</v>
      </c>
      <c r="F56" s="66">
        <v>-8</v>
      </c>
      <c r="G56" s="66">
        <v>-8</v>
      </c>
      <c r="H56" s="66">
        <v>-8</v>
      </c>
      <c r="I56" s="66">
        <v>-8</v>
      </c>
      <c r="J56" s="66">
        <v>-8</v>
      </c>
      <c r="K56" s="66">
        <v>-8</v>
      </c>
      <c r="L56" s="66">
        <v>-8</v>
      </c>
      <c r="M56" s="66">
        <v>-8</v>
      </c>
      <c r="N56" s="66">
        <v>-8</v>
      </c>
      <c r="O56" s="66">
        <v>-8</v>
      </c>
      <c r="P56" s="66">
        <v>-8</v>
      </c>
      <c r="Q56" s="66">
        <v>-8</v>
      </c>
      <c r="R56" s="66">
        <v>-8</v>
      </c>
      <c r="S56" s="66">
        <v>-8</v>
      </c>
      <c r="T56" s="66">
        <v>-8</v>
      </c>
      <c r="U56" s="66">
        <v>-8</v>
      </c>
      <c r="V56" s="66">
        <v>-8</v>
      </c>
      <c r="W56" s="66">
        <v>-8</v>
      </c>
      <c r="X56" s="66">
        <v>-8</v>
      </c>
      <c r="Y56" s="66">
        <v>-8</v>
      </c>
      <c r="Z56" s="66">
        <v>-8</v>
      </c>
      <c r="AA56" s="66">
        <v>-8</v>
      </c>
      <c r="AB56" s="66">
        <v>-8</v>
      </c>
      <c r="AC56" s="66">
        <v>-8</v>
      </c>
      <c r="AD56" s="66">
        <v>-8</v>
      </c>
      <c r="AE56" s="66">
        <v>-8</v>
      </c>
      <c r="AF56" s="66">
        <v>-8</v>
      </c>
      <c r="AG56" s="66">
        <v>-8</v>
      </c>
      <c r="AH56" s="66">
        <v>-8</v>
      </c>
      <c r="AI56" s="66">
        <v>-8</v>
      </c>
      <c r="AJ56" s="66">
        <v>-8</v>
      </c>
      <c r="AK56" s="66">
        <v>-8</v>
      </c>
      <c r="AL56" s="66">
        <v>-8</v>
      </c>
      <c r="AM56" s="66">
        <v>-8</v>
      </c>
      <c r="AN56" s="66">
        <v>-8</v>
      </c>
      <c r="AO56" s="66">
        <v>-8</v>
      </c>
      <c r="AP56" s="66">
        <v>-8</v>
      </c>
      <c r="AQ56" s="66">
        <v>-8</v>
      </c>
      <c r="AR56" s="66">
        <v>-8</v>
      </c>
      <c r="AS56" s="66">
        <v>-8</v>
      </c>
      <c r="AT56" s="66">
        <v>-8</v>
      </c>
      <c r="AU56" s="66">
        <v>-8</v>
      </c>
      <c r="AV56" s="66">
        <v>-8</v>
      </c>
      <c r="AW56" s="66">
        <v>-8</v>
      </c>
      <c r="AX56" s="66">
        <v>-8</v>
      </c>
      <c r="AY56" s="66">
        <v>-8</v>
      </c>
      <c r="AZ56" s="66">
        <v>-8</v>
      </c>
      <c r="BA56" s="66">
        <v>-8</v>
      </c>
      <c r="BB56" s="66">
        <v>-8</v>
      </c>
      <c r="BC56" s="66">
        <v>-8</v>
      </c>
      <c r="BD56" s="66">
        <v>-8</v>
      </c>
      <c r="BE56" s="66">
        <v>-8</v>
      </c>
      <c r="BF56" s="66">
        <v>-8</v>
      </c>
      <c r="BG56" s="66">
        <v>-8</v>
      </c>
      <c r="BH56" s="66">
        <v>-8</v>
      </c>
      <c r="BI56" s="66">
        <v>-8</v>
      </c>
      <c r="BJ56" s="66">
        <v>-8</v>
      </c>
      <c r="BK56" s="66">
        <v>-8</v>
      </c>
      <c r="BL56" s="66">
        <v>-8</v>
      </c>
      <c r="BM56" s="66">
        <v>-8</v>
      </c>
      <c r="BN56" s="66">
        <v>-8</v>
      </c>
      <c r="BO56" s="66">
        <v>-8</v>
      </c>
      <c r="BP56" s="66">
        <v>-8</v>
      </c>
      <c r="BQ56" s="66">
        <v>-8</v>
      </c>
      <c r="BR56" s="66">
        <v>-8</v>
      </c>
      <c r="BS56" s="66">
        <v>-8</v>
      </c>
      <c r="BT56" s="66">
        <v>-8</v>
      </c>
      <c r="BU56" s="66">
        <v>-8</v>
      </c>
      <c r="BV56" s="66">
        <v>-8</v>
      </c>
      <c r="BW56" s="66">
        <v>-8</v>
      </c>
      <c r="BX56" s="66">
        <v>-8</v>
      </c>
      <c r="BY56" s="66">
        <v>-8</v>
      </c>
      <c r="BZ56" s="66">
        <v>-8</v>
      </c>
      <c r="CA56" s="66">
        <v>-8</v>
      </c>
      <c r="CB56" s="66">
        <v>-8</v>
      </c>
      <c r="CC56" s="66">
        <v>-8</v>
      </c>
      <c r="CD56" s="66">
        <v>-8</v>
      </c>
      <c r="CE56" s="66">
        <v>-8</v>
      </c>
      <c r="CF56" s="66">
        <v>-8</v>
      </c>
      <c r="CG56" s="66">
        <v>-8</v>
      </c>
      <c r="CH56" s="66">
        <v>-8</v>
      </c>
      <c r="CI56" s="66">
        <v>-8</v>
      </c>
      <c r="CJ56" s="66">
        <v>-8</v>
      </c>
      <c r="CK56" s="66">
        <v>7.0632173800000011</v>
      </c>
      <c r="CL56" s="66">
        <v>39.252532365699999</v>
      </c>
      <c r="CM56" s="66">
        <v>42.062118867999999</v>
      </c>
      <c r="CN56" s="66">
        <v>48.708622811800005</v>
      </c>
      <c r="CO56" s="66">
        <v>10.929893494600002</v>
      </c>
      <c r="CP56" s="66">
        <v>25.941811875699997</v>
      </c>
      <c r="CQ56" s="66">
        <v>10.830935586700001</v>
      </c>
      <c r="CR56" s="66">
        <v>43.118120206</v>
      </c>
      <c r="CS56" s="66">
        <v>25.651355217700008</v>
      </c>
      <c r="CT56" s="66">
        <v>27.621056647300001</v>
      </c>
      <c r="CU56" s="66">
        <v>26.550007102599999</v>
      </c>
      <c r="CV56" s="66">
        <v>54.984738226600001</v>
      </c>
      <c r="CW56" s="66">
        <v>67.004127442899986</v>
      </c>
      <c r="CX56" s="66">
        <v>107.7039350881</v>
      </c>
      <c r="CY56" s="66">
        <v>120.88946650689999</v>
      </c>
      <c r="CZ56" s="66">
        <v>55.147491524499998</v>
      </c>
      <c r="DA56" s="66">
        <v>47.253074698900008</v>
      </c>
      <c r="DB56" s="66">
        <v>50.440480016799995</v>
      </c>
      <c r="DC56" s="66">
        <v>62.275838296300023</v>
      </c>
      <c r="DD56" s="66">
        <v>94.55641821639999</v>
      </c>
      <c r="DE56" s="66">
        <v>103.6131870478</v>
      </c>
      <c r="DF56" s="66">
        <v>85.608289181499998</v>
      </c>
      <c r="DG56" s="66">
        <v>80.434820792800011</v>
      </c>
      <c r="DH56" s="66">
        <v>100.9521687508</v>
      </c>
      <c r="DI56" s="66">
        <v>186.17931980770001</v>
      </c>
      <c r="DJ56" s="66">
        <v>219.41266511410001</v>
      </c>
      <c r="DK56" s="66">
        <v>242.78406871390001</v>
      </c>
      <c r="DL56" s="66">
        <v>122.49313250470001</v>
      </c>
      <c r="DM56" s="66">
        <v>120.89809764790002</v>
      </c>
      <c r="DN56" s="66">
        <v>141.60934606480001</v>
      </c>
      <c r="DO56" s="66">
        <v>117.31549865230001</v>
      </c>
      <c r="DP56" s="79"/>
      <c r="DQ56" s="80"/>
      <c r="DR56" s="81"/>
      <c r="DS56" s="84">
        <f t="shared" si="3"/>
        <v>2021</v>
      </c>
      <c r="DT56" s="80"/>
      <c r="DU56" s="83">
        <f t="shared" si="10"/>
        <v>-96</v>
      </c>
      <c r="DV56" s="83">
        <f t="shared" si="10"/>
        <v>-96</v>
      </c>
      <c r="DW56" s="83">
        <f t="shared" si="10"/>
        <v>-96</v>
      </c>
      <c r="DX56" s="83">
        <f t="shared" si="10"/>
        <v>-96</v>
      </c>
      <c r="DY56" s="83">
        <f t="shared" si="10"/>
        <v>-96</v>
      </c>
      <c r="DZ56" s="83">
        <f t="shared" si="10"/>
        <v>-96</v>
      </c>
      <c r="EA56" s="83">
        <f t="shared" si="10"/>
        <v>-96</v>
      </c>
      <c r="EB56" s="83">
        <f t="shared" si="10"/>
        <v>299.72967155609996</v>
      </c>
      <c r="EC56" s="83">
        <f t="shared" si="10"/>
        <v>929.91186703949995</v>
      </c>
      <c r="ED56" s="83">
        <f t="shared" si="10"/>
        <v>1251.6442972562002</v>
      </c>
    </row>
    <row r="57" spans="2:134" x14ac:dyDescent="0.3">
      <c r="B57" s="45">
        <f t="shared" si="5"/>
        <v>1000000053</v>
      </c>
      <c r="C57" s="46">
        <v>40544</v>
      </c>
      <c r="D57" s="66">
        <v>7.9374018565000011</v>
      </c>
      <c r="E57" s="66">
        <v>17.935640537499999</v>
      </c>
      <c r="F57" s="66">
        <v>19.243408505800002</v>
      </c>
      <c r="G57" s="66">
        <v>16.142802445000004</v>
      </c>
      <c r="H57" s="66">
        <v>9.5338252011999991</v>
      </c>
      <c r="I57" s="66">
        <v>10.784815272400003</v>
      </c>
      <c r="J57" s="66">
        <v>10.943403106600002</v>
      </c>
      <c r="K57" s="66">
        <v>15.786561481900002</v>
      </c>
      <c r="L57" s="66">
        <v>13.3758838006</v>
      </c>
      <c r="M57" s="66">
        <v>10.730851877800003</v>
      </c>
      <c r="N57" s="66">
        <v>14.020329819700002</v>
      </c>
      <c r="O57" s="66">
        <v>10.267359606100001</v>
      </c>
      <c r="P57" s="66">
        <v>12.846344536899998</v>
      </c>
      <c r="Q57" s="66">
        <v>56.172083014600005</v>
      </c>
      <c r="R57" s="66">
        <v>15.346035550600003</v>
      </c>
      <c r="S57" s="66">
        <v>21.508219904200004</v>
      </c>
      <c r="T57" s="66">
        <v>25.221749556100008</v>
      </c>
      <c r="U57" s="66">
        <v>17.045432160100003</v>
      </c>
      <c r="V57" s="66">
        <v>10.086593492199999</v>
      </c>
      <c r="W57" s="66">
        <v>28.454186914000005</v>
      </c>
      <c r="X57" s="66">
        <v>17.0525997598</v>
      </c>
      <c r="Y57" s="66">
        <v>23.715540398200005</v>
      </c>
      <c r="Z57" s="66">
        <v>25.123729815700003</v>
      </c>
      <c r="AA57" s="66">
        <v>16.237970156199999</v>
      </c>
      <c r="AB57" s="66">
        <v>22.277742414400002</v>
      </c>
      <c r="AC57" s="66">
        <v>34.975877053600001</v>
      </c>
      <c r="AD57" s="66">
        <v>32.546360968900004</v>
      </c>
      <c r="AE57" s="66">
        <v>43.709128204300008</v>
      </c>
      <c r="AF57" s="66">
        <v>31.748993647300004</v>
      </c>
      <c r="AG57" s="66">
        <v>35.804504116299995</v>
      </c>
      <c r="AH57" s="66">
        <v>31.906718367400003</v>
      </c>
      <c r="AI57" s="66">
        <v>26.285856661300002</v>
      </c>
      <c r="AJ57" s="66">
        <v>40.222109713600005</v>
      </c>
      <c r="AK57" s="66">
        <v>46.536802575999999</v>
      </c>
      <c r="AL57" s="66">
        <v>23.741508874600008</v>
      </c>
      <c r="AM57" s="66">
        <v>31.089311787999996</v>
      </c>
      <c r="AN57" s="66">
        <v>28.2101132572</v>
      </c>
      <c r="AO57" s="66">
        <v>71.221302935500006</v>
      </c>
      <c r="AP57" s="66">
        <v>52.125091106500001</v>
      </c>
      <c r="AQ57" s="66">
        <v>52.973269579899998</v>
      </c>
      <c r="AR57" s="66">
        <v>38.155064024200001</v>
      </c>
      <c r="AS57" s="66">
        <v>40.394432320000007</v>
      </c>
      <c r="AT57" s="66">
        <v>29.098370246199998</v>
      </c>
      <c r="AU57" s="66">
        <v>41.372790915700001</v>
      </c>
      <c r="AV57" s="66">
        <v>59.514548656900004</v>
      </c>
      <c r="AW57" s="66">
        <v>35.593416428800005</v>
      </c>
      <c r="AX57" s="66">
        <v>42.150644353300002</v>
      </c>
      <c r="AY57" s="66">
        <v>31.521169051600005</v>
      </c>
      <c r="AZ57" s="66">
        <v>39.155638426300008</v>
      </c>
      <c r="BA57" s="66">
        <v>59.787818086300007</v>
      </c>
      <c r="BB57" s="66">
        <v>50.461344862000004</v>
      </c>
      <c r="BC57" s="66">
        <v>74.564556638499994</v>
      </c>
      <c r="BD57" s="66">
        <v>65.875962260800023</v>
      </c>
      <c r="BE57" s="66">
        <v>52.456376814099997</v>
      </c>
      <c r="BF57" s="66">
        <v>49.932368498800002</v>
      </c>
      <c r="BG57" s="66">
        <v>46.321399318000005</v>
      </c>
      <c r="BH57" s="66">
        <v>56.477662932700014</v>
      </c>
      <c r="BI57" s="66">
        <v>51.353166887500002</v>
      </c>
      <c r="BJ57" s="66">
        <v>50.319193722399994</v>
      </c>
      <c r="BK57" s="66">
        <v>56.522432285799994</v>
      </c>
      <c r="BL57" s="66">
        <v>62.979313814500017</v>
      </c>
      <c r="BM57" s="66">
        <v>81.654025749100001</v>
      </c>
      <c r="BN57" s="66">
        <v>65.182806585099996</v>
      </c>
      <c r="BO57" s="66">
        <v>86.195131716099979</v>
      </c>
      <c r="BP57" s="66">
        <v>66.152834253399988</v>
      </c>
      <c r="BQ57" s="66">
        <v>42.932513147800002</v>
      </c>
      <c r="BR57" s="66">
        <v>53.534518905100001</v>
      </c>
      <c r="BS57" s="66">
        <v>52.198680965200005</v>
      </c>
      <c r="BT57" s="66">
        <v>51.082261640199995</v>
      </c>
      <c r="BU57" s="66">
        <v>62.041671688299999</v>
      </c>
      <c r="BV57" s="66">
        <v>41.992018992399998</v>
      </c>
      <c r="BW57" s="66">
        <v>47.725235638299999</v>
      </c>
      <c r="BX57" s="66">
        <v>77.814256278399995</v>
      </c>
      <c r="BY57" s="66">
        <v>136.78299965109997</v>
      </c>
      <c r="BZ57" s="66">
        <v>110.55183635110002</v>
      </c>
      <c r="CA57" s="66">
        <v>83.633896914400012</v>
      </c>
      <c r="CB57" s="66">
        <v>74.966767809100006</v>
      </c>
      <c r="CC57" s="66">
        <v>83.305763449600008</v>
      </c>
      <c r="CD57" s="66">
        <v>106.1643271672</v>
      </c>
      <c r="CE57" s="66">
        <v>61.909164910600012</v>
      </c>
      <c r="CF57" s="66">
        <v>65.761055505400009</v>
      </c>
      <c r="CG57" s="66">
        <v>65.161303786000005</v>
      </c>
      <c r="CH57" s="66">
        <v>51.368552834500008</v>
      </c>
      <c r="CI57" s="66">
        <v>53.942509187500008</v>
      </c>
      <c r="CJ57" s="66">
        <v>56.480815175500027</v>
      </c>
      <c r="CK57" s="66">
        <v>167.72200004620001</v>
      </c>
      <c r="CL57" s="66">
        <v>162.9462771508</v>
      </c>
      <c r="CM57" s="66">
        <v>132.00712664889997</v>
      </c>
      <c r="CN57" s="66">
        <v>126.66107296690001</v>
      </c>
      <c r="CO57" s="66">
        <v>57.420258583299997</v>
      </c>
      <c r="CP57" s="66">
        <v>68.798804343699999</v>
      </c>
      <c r="CQ57" s="66">
        <v>68.891120025700019</v>
      </c>
      <c r="CR57" s="66">
        <v>79.858260573999999</v>
      </c>
      <c r="CS57" s="66">
        <v>68.36240634939999</v>
      </c>
      <c r="CT57" s="66">
        <v>58.393325914300007</v>
      </c>
      <c r="CU57" s="66">
        <v>62.526141385300008</v>
      </c>
      <c r="CV57" s="66">
        <v>78.372090673900004</v>
      </c>
      <c r="CW57" s="66">
        <v>187.07463181630001</v>
      </c>
      <c r="CX57" s="66">
        <v>174.6362569945</v>
      </c>
      <c r="CY57" s="66">
        <v>217.34100364060001</v>
      </c>
      <c r="CZ57" s="66">
        <v>101.54482792390002</v>
      </c>
      <c r="DA57" s="66">
        <v>85.779148246600002</v>
      </c>
      <c r="DB57" s="66">
        <v>75.916418479300006</v>
      </c>
      <c r="DC57" s="66">
        <v>82.624616317900006</v>
      </c>
      <c r="DD57" s="66">
        <v>90.307420082200011</v>
      </c>
      <c r="DE57" s="66">
        <v>88.000316092899993</v>
      </c>
      <c r="DF57" s="66">
        <v>88.264466534200011</v>
      </c>
      <c r="DG57" s="66">
        <v>44.869866561999991</v>
      </c>
      <c r="DH57" s="66">
        <v>118.08123096580002</v>
      </c>
      <c r="DI57" s="66">
        <v>204.06221837229998</v>
      </c>
      <c r="DJ57" s="66">
        <v>225.46024292590002</v>
      </c>
      <c r="DK57" s="66">
        <v>278.69100376180006</v>
      </c>
      <c r="DL57" s="66">
        <v>103.0225918432</v>
      </c>
      <c r="DM57" s="66">
        <v>115.98022361290001</v>
      </c>
      <c r="DN57" s="66">
        <v>107.2706893366</v>
      </c>
      <c r="DO57" s="66">
        <v>118.05394905490002</v>
      </c>
      <c r="DP57" s="79"/>
      <c r="DQ57" s="80"/>
      <c r="DR57" s="81"/>
      <c r="DS57" s="84">
        <f t="shared" si="3"/>
        <v>2011</v>
      </c>
      <c r="DT57" s="80"/>
      <c r="DU57" s="83">
        <f t="shared" si="10"/>
        <v>156.70228351110003</v>
      </c>
      <c r="DV57" s="83">
        <f t="shared" si="10"/>
        <v>268.81048525860001</v>
      </c>
      <c r="DW57" s="83">
        <f t="shared" si="10"/>
        <v>400.84491438570001</v>
      </c>
      <c r="DX57" s="83">
        <f t="shared" si="10"/>
        <v>522.33021287580004</v>
      </c>
      <c r="DY57" s="83">
        <f t="shared" si="10"/>
        <v>653.22792073320011</v>
      </c>
      <c r="DZ57" s="83">
        <f t="shared" si="10"/>
        <v>713.67101309550003</v>
      </c>
      <c r="EA57" s="83">
        <f t="shared" si="10"/>
        <v>971.3624338448999</v>
      </c>
      <c r="EB57" s="83">
        <f t="shared" si="10"/>
        <v>1110.067609164</v>
      </c>
      <c r="EC57" s="83">
        <f t="shared" si="10"/>
        <v>1314.7310633643001</v>
      </c>
      <c r="ED57" s="83">
        <f t="shared" si="10"/>
        <v>1270.6221498734001</v>
      </c>
    </row>
    <row r="58" spans="2:134" x14ac:dyDescent="0.3">
      <c r="B58" s="45">
        <f t="shared" si="5"/>
        <v>1000000054</v>
      </c>
      <c r="C58" s="46">
        <v>42278</v>
      </c>
      <c r="D58" s="66">
        <v>-8</v>
      </c>
      <c r="E58" s="66">
        <v>-8</v>
      </c>
      <c r="F58" s="66">
        <v>-8</v>
      </c>
      <c r="G58" s="66">
        <v>-8</v>
      </c>
      <c r="H58" s="66">
        <v>-8</v>
      </c>
      <c r="I58" s="66">
        <v>-8</v>
      </c>
      <c r="J58" s="66">
        <v>-8</v>
      </c>
      <c r="K58" s="66">
        <v>-8</v>
      </c>
      <c r="L58" s="66">
        <v>-8</v>
      </c>
      <c r="M58" s="66">
        <v>-8</v>
      </c>
      <c r="N58" s="66">
        <v>-8</v>
      </c>
      <c r="O58" s="66">
        <v>-8</v>
      </c>
      <c r="P58" s="66">
        <v>-8</v>
      </c>
      <c r="Q58" s="66">
        <v>-8</v>
      </c>
      <c r="R58" s="66">
        <v>-8</v>
      </c>
      <c r="S58" s="66">
        <v>-8</v>
      </c>
      <c r="T58" s="66">
        <v>-8</v>
      </c>
      <c r="U58" s="66">
        <v>-8</v>
      </c>
      <c r="V58" s="66">
        <v>-8</v>
      </c>
      <c r="W58" s="66">
        <v>-8</v>
      </c>
      <c r="X58" s="66">
        <v>-8</v>
      </c>
      <c r="Y58" s="66">
        <v>16.137173440000002</v>
      </c>
      <c r="Z58" s="66">
        <v>27.925923558100003</v>
      </c>
      <c r="AA58" s="66">
        <v>17.216553912100004</v>
      </c>
      <c r="AB58" s="66">
        <v>21.896508669099994</v>
      </c>
      <c r="AC58" s="66">
        <v>37.935908096200009</v>
      </c>
      <c r="AD58" s="66">
        <v>52.19331464710001</v>
      </c>
      <c r="AE58" s="66">
        <v>30.751008587500003</v>
      </c>
      <c r="AF58" s="66">
        <v>55.543660896399999</v>
      </c>
      <c r="AG58" s="66">
        <v>47.999218075000002</v>
      </c>
      <c r="AH58" s="66">
        <v>71.722434487300006</v>
      </c>
      <c r="AI58" s="66">
        <v>62.396711797000009</v>
      </c>
      <c r="AJ58" s="66">
        <v>59.353559113899991</v>
      </c>
      <c r="AK58" s="66">
        <v>59.111099105200012</v>
      </c>
      <c r="AL58" s="66">
        <v>53.06885008479999</v>
      </c>
      <c r="AM58" s="66">
        <v>40.6941955996</v>
      </c>
      <c r="AN58" s="66">
        <v>47.650144711600007</v>
      </c>
      <c r="AO58" s="66">
        <v>82.009103384499994</v>
      </c>
      <c r="AP58" s="66">
        <v>96.34584137920001</v>
      </c>
      <c r="AQ58" s="66">
        <v>77.345660375500003</v>
      </c>
      <c r="AR58" s="66">
        <v>84.756883411900006</v>
      </c>
      <c r="AS58" s="66">
        <v>140.47026061300002</v>
      </c>
      <c r="AT58" s="66">
        <v>128.81893327030002</v>
      </c>
      <c r="AU58" s="66">
        <v>125.96011173760002</v>
      </c>
      <c r="AV58" s="66">
        <v>136.34217350620003</v>
      </c>
      <c r="AW58" s="66">
        <v>124.70660737750001</v>
      </c>
      <c r="AX58" s="66">
        <v>93.253791406000005</v>
      </c>
      <c r="AY58" s="66">
        <v>96.940526994100011</v>
      </c>
      <c r="AZ58" s="66">
        <v>83.829185861200031</v>
      </c>
      <c r="BA58" s="66">
        <v>117.53728144929998</v>
      </c>
      <c r="BB58" s="66">
        <v>138.17006153650004</v>
      </c>
      <c r="BC58" s="66">
        <v>135.1555417255</v>
      </c>
      <c r="BD58" s="66">
        <v>89.265416203300006</v>
      </c>
      <c r="BE58" s="66">
        <v>105.5948970214</v>
      </c>
      <c r="BF58" s="66">
        <v>102.48280779040002</v>
      </c>
      <c r="BG58" s="66">
        <v>94.176572958999998</v>
      </c>
      <c r="BH58" s="66">
        <v>90.960872509300003</v>
      </c>
      <c r="BI58" s="66">
        <v>94.05952718170002</v>
      </c>
      <c r="BJ58" s="66">
        <v>73.970246290599988</v>
      </c>
      <c r="BK58" s="66">
        <v>78.14569209279999</v>
      </c>
      <c r="BL58" s="66">
        <v>79.546263590199999</v>
      </c>
      <c r="BM58" s="66">
        <v>114.80042169160001</v>
      </c>
      <c r="BN58" s="66">
        <v>118.26293524719999</v>
      </c>
      <c r="BO58" s="66">
        <v>96.713753146000002</v>
      </c>
      <c r="BP58" s="66">
        <v>91.355578339900006</v>
      </c>
      <c r="BQ58" s="66">
        <v>91.333437586900004</v>
      </c>
      <c r="BR58" s="66">
        <v>86.23303368309999</v>
      </c>
      <c r="BS58" s="66">
        <v>108.39288777340001</v>
      </c>
      <c r="BT58" s="66">
        <v>129.46420487680001</v>
      </c>
      <c r="BU58" s="66">
        <v>123.8210898376</v>
      </c>
      <c r="BV58" s="66">
        <v>88.999839747400003</v>
      </c>
      <c r="BW58" s="66">
        <v>82.343503808199998</v>
      </c>
      <c r="BX58" s="66">
        <v>123.30652372719999</v>
      </c>
      <c r="BY58" s="66">
        <v>114.93836984079999</v>
      </c>
      <c r="BZ58" s="66">
        <v>112.0684028782</v>
      </c>
      <c r="CA58" s="66">
        <v>131.70890196400003</v>
      </c>
      <c r="CB58" s="66">
        <v>142.7772144955</v>
      </c>
      <c r="CC58" s="66">
        <v>183.87030195670002</v>
      </c>
      <c r="CD58" s="66">
        <v>185.44327111390001</v>
      </c>
      <c r="CE58" s="66">
        <v>156.18452871130003</v>
      </c>
      <c r="CF58" s="66">
        <v>152.590258912</v>
      </c>
      <c r="CG58" s="66">
        <v>119.90776803490002</v>
      </c>
      <c r="CH58" s="66">
        <v>112.67990045470002</v>
      </c>
      <c r="CI58" s="66">
        <v>151.75397640249997</v>
      </c>
      <c r="CJ58" s="66">
        <v>122.1999363976</v>
      </c>
      <c r="CK58" s="66">
        <v>150.16318206280002</v>
      </c>
      <c r="CL58" s="66">
        <v>167.3877497293</v>
      </c>
      <c r="CM58" s="66">
        <v>169.74367595530003</v>
      </c>
      <c r="CN58" s="66">
        <v>139.15757664700001</v>
      </c>
      <c r="CO58" s="66">
        <v>144.59215581430001</v>
      </c>
      <c r="CP58" s="66">
        <v>147.89882098480001</v>
      </c>
      <c r="CQ58" s="66">
        <v>114.41659860400001</v>
      </c>
      <c r="CR58" s="66">
        <v>167.2722425467</v>
      </c>
      <c r="CS58" s="66">
        <v>144.7249628056</v>
      </c>
      <c r="CT58" s="66">
        <v>125.62481067310003</v>
      </c>
      <c r="CU58" s="66">
        <v>138.73277440300001</v>
      </c>
      <c r="CV58" s="66">
        <v>123.59821876630002</v>
      </c>
      <c r="CW58" s="66">
        <v>142.58969357560002</v>
      </c>
      <c r="CX58" s="66">
        <v>211.83107085970002</v>
      </c>
      <c r="CY58" s="66">
        <v>158.57415391389998</v>
      </c>
      <c r="CZ58" s="66">
        <v>136.59536615110002</v>
      </c>
      <c r="DA58" s="66">
        <v>163.0606210057</v>
      </c>
      <c r="DB58" s="66">
        <v>170.28214657359999</v>
      </c>
      <c r="DC58" s="66">
        <v>151.83008055009998</v>
      </c>
      <c r="DD58" s="66">
        <v>183.9856215058</v>
      </c>
      <c r="DE58" s="66">
        <v>154.07466505720001</v>
      </c>
      <c r="DF58" s="66">
        <v>105.19140994300001</v>
      </c>
      <c r="DG58" s="66">
        <v>99.136514424699982</v>
      </c>
      <c r="DH58" s="66">
        <v>125.85068388040003</v>
      </c>
      <c r="DI58" s="66">
        <v>139.62639771010004</v>
      </c>
      <c r="DJ58" s="66">
        <v>147.23414807440003</v>
      </c>
      <c r="DK58" s="66">
        <v>125.83972608400001</v>
      </c>
      <c r="DL58" s="66">
        <v>115.28158903899998</v>
      </c>
      <c r="DM58" s="66">
        <v>159.16230988300001</v>
      </c>
      <c r="DN58" s="66">
        <v>140.28622967620001</v>
      </c>
      <c r="DO58" s="66">
        <v>154.78827278439999</v>
      </c>
      <c r="DP58" s="79"/>
      <c r="DQ58" s="80"/>
      <c r="DR58" s="81"/>
      <c r="DS58" s="84">
        <f t="shared" si="3"/>
        <v>2015</v>
      </c>
      <c r="DT58" s="80"/>
      <c r="DU58" s="83">
        <f t="shared" si="10"/>
        <v>-96</v>
      </c>
      <c r="DV58" s="83">
        <f t="shared" si="10"/>
        <v>-10.720349089799996</v>
      </c>
      <c r="DW58" s="83">
        <f t="shared" si="10"/>
        <v>592.66646915909996</v>
      </c>
      <c r="DX58" s="83">
        <f t="shared" si="10"/>
        <v>1234.6000381674</v>
      </c>
      <c r="DY58" s="83">
        <f t="shared" si="10"/>
        <v>1203.348102621</v>
      </c>
      <c r="DZ58" s="83">
        <f t="shared" si="10"/>
        <v>1211.2669493283001</v>
      </c>
      <c r="EA58" s="83">
        <f t="shared" si="10"/>
        <v>1687.2294184917</v>
      </c>
      <c r="EB58" s="83">
        <f t="shared" si="10"/>
        <v>1731.9144866235001</v>
      </c>
      <c r="EC58" s="83">
        <f t="shared" si="10"/>
        <v>1800.7495623267</v>
      </c>
      <c r="ED58" s="83">
        <f t="shared" si="10"/>
        <v>1108.0693571315003</v>
      </c>
    </row>
    <row r="59" spans="2:134" x14ac:dyDescent="0.3">
      <c r="B59" s="45">
        <f t="shared" si="5"/>
        <v>1000000055</v>
      </c>
      <c r="C59" s="46">
        <v>39022</v>
      </c>
      <c r="D59" s="66">
        <v>38.666515418499998</v>
      </c>
      <c r="E59" s="66">
        <v>54.763330696600001</v>
      </c>
      <c r="F59" s="66">
        <v>55.970414528800006</v>
      </c>
      <c r="G59" s="66">
        <v>47.438494123600002</v>
      </c>
      <c r="H59" s="66">
        <v>45.18985673289999</v>
      </c>
      <c r="I59" s="66">
        <v>51.583168031800014</v>
      </c>
      <c r="J59" s="66">
        <v>48.485414000200002</v>
      </c>
      <c r="K59" s="66">
        <v>52.609710910300002</v>
      </c>
      <c r="L59" s="66">
        <v>45.454495021299998</v>
      </c>
      <c r="M59" s="66">
        <v>42.215715651100012</v>
      </c>
      <c r="N59" s="66">
        <v>38.6649017704</v>
      </c>
      <c r="O59" s="66">
        <v>34.065028991200002</v>
      </c>
      <c r="P59" s="66">
        <v>37.646352079000003</v>
      </c>
      <c r="Q59" s="66">
        <v>97.31342981200001</v>
      </c>
      <c r="R59" s="66">
        <v>48.614505848199997</v>
      </c>
      <c r="S59" s="66">
        <v>39.451686562600003</v>
      </c>
      <c r="T59" s="66">
        <v>41.495765911600003</v>
      </c>
      <c r="U59" s="66">
        <v>34.359613586200005</v>
      </c>
      <c r="V59" s="66">
        <v>32.80889776210001</v>
      </c>
      <c r="W59" s="66">
        <v>45.171393596500003</v>
      </c>
      <c r="X59" s="66">
        <v>46.061714553999998</v>
      </c>
      <c r="Y59" s="66">
        <v>29.224985332000003</v>
      </c>
      <c r="Z59" s="66">
        <v>32.775724159300005</v>
      </c>
      <c r="AA59" s="66">
        <v>28.5240991561</v>
      </c>
      <c r="AB59" s="66">
        <v>25.890212663199996</v>
      </c>
      <c r="AC59" s="66">
        <v>49.488577744600008</v>
      </c>
      <c r="AD59" s="66">
        <v>50.29513910770001</v>
      </c>
      <c r="AE59" s="66">
        <v>43.791949631199998</v>
      </c>
      <c r="AF59" s="66">
        <v>36.441669955599991</v>
      </c>
      <c r="AG59" s="66">
        <v>34.747189343800002</v>
      </c>
      <c r="AH59" s="66">
        <v>47.357248818099997</v>
      </c>
      <c r="AI59" s="66">
        <v>39.032063003200008</v>
      </c>
      <c r="AJ59" s="66">
        <v>36.074396142699996</v>
      </c>
      <c r="AK59" s="66">
        <v>46.176808942900003</v>
      </c>
      <c r="AL59" s="66">
        <v>31.156597161100002</v>
      </c>
      <c r="AM59" s="66">
        <v>37.669355946100005</v>
      </c>
      <c r="AN59" s="66">
        <v>40.957482926800004</v>
      </c>
      <c r="AO59" s="66">
        <v>35.634170425000001</v>
      </c>
      <c r="AP59" s="66">
        <v>54.251504035300002</v>
      </c>
      <c r="AQ59" s="66">
        <v>79.307030877700001</v>
      </c>
      <c r="AR59" s="66">
        <v>66.053726238700008</v>
      </c>
      <c r="AS59" s="66">
        <v>54.563275858899999</v>
      </c>
      <c r="AT59" s="66">
        <v>65.370515138499997</v>
      </c>
      <c r="AU59" s="66">
        <v>52.885382048500006</v>
      </c>
      <c r="AV59" s="66">
        <v>45.511122811599996</v>
      </c>
      <c r="AW59" s="66">
        <v>72.371871557500015</v>
      </c>
      <c r="AX59" s="66">
        <v>65.976496290099988</v>
      </c>
      <c r="AY59" s="66">
        <v>81.786007153</v>
      </c>
      <c r="AZ59" s="66">
        <v>65.303379872200011</v>
      </c>
      <c r="BA59" s="66">
        <v>65.925197291200007</v>
      </c>
      <c r="BB59" s="66">
        <v>75.23887391080001</v>
      </c>
      <c r="BC59" s="66">
        <v>145.4018694202</v>
      </c>
      <c r="BD59" s="66">
        <v>136.039483144</v>
      </c>
      <c r="BE59" s="66">
        <v>76.592537033199989</v>
      </c>
      <c r="BF59" s="66">
        <v>72.924264581499997</v>
      </c>
      <c r="BG59" s="66">
        <v>57.056024433100006</v>
      </c>
      <c r="BH59" s="66">
        <v>56.907418701100013</v>
      </c>
      <c r="BI59" s="66">
        <v>78.553532268400005</v>
      </c>
      <c r="BJ59" s="66">
        <v>97.126847059599996</v>
      </c>
      <c r="BK59" s="66">
        <v>70.147363834900005</v>
      </c>
      <c r="BL59" s="66">
        <v>79.80741189550001</v>
      </c>
      <c r="BM59" s="66">
        <v>87.196306545400006</v>
      </c>
      <c r="BN59" s="66">
        <v>88.632303247600021</v>
      </c>
      <c r="BO59" s="66">
        <v>89.908286101000002</v>
      </c>
      <c r="BP59" s="66">
        <v>93.71728367770001</v>
      </c>
      <c r="BQ59" s="66">
        <v>66.435260197600002</v>
      </c>
      <c r="BR59" s="66">
        <v>84.991612920400001</v>
      </c>
      <c r="BS59" s="66">
        <v>67.467919928200004</v>
      </c>
      <c r="BT59" s="66">
        <v>83.394664201899985</v>
      </c>
      <c r="BU59" s="66">
        <v>75.655758021100013</v>
      </c>
      <c r="BV59" s="66">
        <v>72.973274451699993</v>
      </c>
      <c r="BW59" s="66">
        <v>59.244994370800015</v>
      </c>
      <c r="BX59" s="66">
        <v>84.451678760799993</v>
      </c>
      <c r="BY59" s="66">
        <v>174.64015977130001</v>
      </c>
      <c r="BZ59" s="66">
        <v>121.5109837123</v>
      </c>
      <c r="CA59" s="66">
        <v>68.674778600199971</v>
      </c>
      <c r="CB59" s="66">
        <v>91.516717989699998</v>
      </c>
      <c r="CC59" s="66">
        <v>85.985207356300009</v>
      </c>
      <c r="CD59" s="66">
        <v>99.395411128000006</v>
      </c>
      <c r="CE59" s="66">
        <v>87.588347980300014</v>
      </c>
      <c r="CF59" s="66">
        <v>94.932660910600006</v>
      </c>
      <c r="CG59" s="66">
        <v>120.39088677070001</v>
      </c>
      <c r="CH59" s="66">
        <v>92.57572146370002</v>
      </c>
      <c r="CI59" s="66">
        <v>60.338597462200013</v>
      </c>
      <c r="CJ59" s="66">
        <v>70.054560305799995</v>
      </c>
      <c r="CK59" s="66">
        <v>131.30811680799999</v>
      </c>
      <c r="CL59" s="66">
        <v>112.95298225060004</v>
      </c>
      <c r="CM59" s="66">
        <v>97.017644362600009</v>
      </c>
      <c r="CN59" s="66">
        <v>108.95980363030002</v>
      </c>
      <c r="CO59" s="66">
        <v>79.128779052700011</v>
      </c>
      <c r="CP59" s="66">
        <v>94.975779088899998</v>
      </c>
      <c r="CQ59" s="66">
        <v>84.312717390700001</v>
      </c>
      <c r="CR59" s="66">
        <v>91.296173573800019</v>
      </c>
      <c r="CS59" s="66">
        <v>106.56939036699998</v>
      </c>
      <c r="CT59" s="66">
        <v>132.76749264430001</v>
      </c>
      <c r="CU59" s="66">
        <v>121.43803180750001</v>
      </c>
      <c r="CV59" s="66">
        <v>115.2848538619</v>
      </c>
      <c r="CW59" s="66">
        <v>128.90329329189998</v>
      </c>
      <c r="CX59" s="66">
        <v>153.57368361220003</v>
      </c>
      <c r="CY59" s="66">
        <v>148.12551977950002</v>
      </c>
      <c r="CZ59" s="66">
        <v>125.01714082000001</v>
      </c>
      <c r="DA59" s="66">
        <v>94.503543096100003</v>
      </c>
      <c r="DB59" s="66">
        <v>113.31166244920003</v>
      </c>
      <c r="DC59" s="66">
        <v>110.62099805920001</v>
      </c>
      <c r="DD59" s="66">
        <v>114.98985647320002</v>
      </c>
      <c r="DE59" s="66">
        <v>115.42036277560004</v>
      </c>
      <c r="DF59" s="66">
        <v>135.65220760000003</v>
      </c>
      <c r="DG59" s="66">
        <v>127.09604494659999</v>
      </c>
      <c r="DH59" s="66">
        <v>132.4467144127</v>
      </c>
      <c r="DI59" s="66">
        <v>157.54967500390003</v>
      </c>
      <c r="DJ59" s="66">
        <v>157.5680630869</v>
      </c>
      <c r="DK59" s="66">
        <v>162.04792547950001</v>
      </c>
      <c r="DL59" s="66">
        <v>122.11456315509997</v>
      </c>
      <c r="DM59" s="66">
        <v>128.6663121814</v>
      </c>
      <c r="DN59" s="66">
        <v>128.26732830700001</v>
      </c>
      <c r="DO59" s="66">
        <v>137.2670940811</v>
      </c>
      <c r="DP59" s="79"/>
      <c r="DQ59" s="80"/>
      <c r="DR59" s="81"/>
      <c r="DS59" s="84">
        <f t="shared" si="3"/>
        <v>2006</v>
      </c>
      <c r="DT59" s="80"/>
      <c r="DU59" s="83">
        <f t="shared" si="10"/>
        <v>555.10704587670011</v>
      </c>
      <c r="DV59" s="83">
        <f t="shared" si="10"/>
        <v>513.4481683596</v>
      </c>
      <c r="DW59" s="83">
        <f t="shared" si="10"/>
        <v>478.12120846019997</v>
      </c>
      <c r="DX59" s="83">
        <f t="shared" si="10"/>
        <v>714.66858536159987</v>
      </c>
      <c r="DY59" s="83">
        <f t="shared" si="10"/>
        <v>997.21679155020001</v>
      </c>
      <c r="DZ59" s="83">
        <f t="shared" si="10"/>
        <v>949.42507555890006</v>
      </c>
      <c r="EA59" s="83">
        <f t="shared" si="10"/>
        <v>1182.0011519060999</v>
      </c>
      <c r="EB59" s="83">
        <f t="shared" si="10"/>
        <v>1230.7814712822001</v>
      </c>
      <c r="EC59" s="83">
        <f t="shared" si="10"/>
        <v>1482.4991667654003</v>
      </c>
      <c r="ED59" s="83">
        <f t="shared" si="10"/>
        <v>1125.9276757076</v>
      </c>
    </row>
    <row r="60" spans="2:134" x14ac:dyDescent="0.3">
      <c r="B60" s="45">
        <f t="shared" si="5"/>
        <v>1000000056</v>
      </c>
      <c r="C60" s="46">
        <v>41699</v>
      </c>
      <c r="D60" s="66">
        <v>-8</v>
      </c>
      <c r="E60" s="66">
        <v>-8</v>
      </c>
      <c r="F60" s="66">
        <v>0.50730289000000006</v>
      </c>
      <c r="G60" s="66">
        <v>10.568286213400004</v>
      </c>
      <c r="H60" s="66">
        <v>15.967365122500002</v>
      </c>
      <c r="I60" s="66">
        <v>20.815927342600002</v>
      </c>
      <c r="J60" s="66">
        <v>23.223077514099998</v>
      </c>
      <c r="K60" s="66">
        <v>35.114388103300008</v>
      </c>
      <c r="L60" s="66">
        <v>10.221914772400002</v>
      </c>
      <c r="M60" s="66">
        <v>24.782199319000007</v>
      </c>
      <c r="N60" s="66">
        <v>27.287631917799999</v>
      </c>
      <c r="O60" s="66">
        <v>35.467927144000008</v>
      </c>
      <c r="P60" s="66">
        <v>28.767835072600001</v>
      </c>
      <c r="Q60" s="66">
        <v>107.85528026920002</v>
      </c>
      <c r="R60" s="66">
        <v>37.0552690273</v>
      </c>
      <c r="S60" s="66">
        <v>42.607907192799999</v>
      </c>
      <c r="T60" s="66">
        <v>35.766977416300001</v>
      </c>
      <c r="U60" s="66">
        <v>35.203138748800001</v>
      </c>
      <c r="V60" s="66">
        <v>25.472953285899997</v>
      </c>
      <c r="W60" s="66">
        <v>36.754042206400001</v>
      </c>
      <c r="X60" s="66">
        <v>40.208675155000002</v>
      </c>
      <c r="Y60" s="66">
        <v>38.715375181900001</v>
      </c>
      <c r="Z60" s="66">
        <v>44.196224770300006</v>
      </c>
      <c r="AA60" s="66">
        <v>33.015144505300007</v>
      </c>
      <c r="AB60" s="66">
        <v>31.301187536200004</v>
      </c>
      <c r="AC60" s="66">
        <v>51.399062041600004</v>
      </c>
      <c r="AD60" s="66">
        <v>44.034634800099994</v>
      </c>
      <c r="AE60" s="66">
        <v>52.395095712999996</v>
      </c>
      <c r="AF60" s="66">
        <v>36.576240701800003</v>
      </c>
      <c r="AG60" s="66">
        <v>50.431511135499996</v>
      </c>
      <c r="AH60" s="66">
        <v>48.708285071499994</v>
      </c>
      <c r="AI60" s="66">
        <v>45.435844251399999</v>
      </c>
      <c r="AJ60" s="66">
        <v>32.444588558500001</v>
      </c>
      <c r="AK60" s="66">
        <v>66.294384965799992</v>
      </c>
      <c r="AL60" s="66">
        <v>43.856232868300005</v>
      </c>
      <c r="AM60" s="66">
        <v>33.265184907400005</v>
      </c>
      <c r="AN60" s="66">
        <v>37.349178141700001</v>
      </c>
      <c r="AO60" s="66">
        <v>36.673172167899999</v>
      </c>
      <c r="AP60" s="66">
        <v>44.869791508600002</v>
      </c>
      <c r="AQ60" s="66">
        <v>52.929100654000003</v>
      </c>
      <c r="AR60" s="66">
        <v>37.663614360999993</v>
      </c>
      <c r="AS60" s="66">
        <v>35.029502707900008</v>
      </c>
      <c r="AT60" s="66">
        <v>36.991173423700005</v>
      </c>
      <c r="AU60" s="66">
        <v>50.041758829300008</v>
      </c>
      <c r="AV60" s="66">
        <v>35.649706478799999</v>
      </c>
      <c r="AW60" s="66">
        <v>57.998244816699994</v>
      </c>
      <c r="AX60" s="66">
        <v>57.652736489800006</v>
      </c>
      <c r="AY60" s="66">
        <v>59.489068027599998</v>
      </c>
      <c r="AZ60" s="66">
        <v>63.496919587600004</v>
      </c>
      <c r="BA60" s="66">
        <v>79.363958881600013</v>
      </c>
      <c r="BB60" s="66">
        <v>79.546788964000001</v>
      </c>
      <c r="BC60" s="66">
        <v>82.745489818599992</v>
      </c>
      <c r="BD60" s="66">
        <v>70.260994682499998</v>
      </c>
      <c r="BE60" s="66">
        <v>47.597006904400018</v>
      </c>
      <c r="BF60" s="66">
        <v>49.715614279600018</v>
      </c>
      <c r="BG60" s="66">
        <v>44.431742339499998</v>
      </c>
      <c r="BH60" s="66">
        <v>51.208088665300004</v>
      </c>
      <c r="BI60" s="66">
        <v>78.255082423299996</v>
      </c>
      <c r="BJ60" s="66">
        <v>67.093628622400018</v>
      </c>
      <c r="BK60" s="66">
        <v>60.770267092300003</v>
      </c>
      <c r="BL60" s="66">
        <v>68.151618875499992</v>
      </c>
      <c r="BM60" s="66">
        <v>82.55770621180001</v>
      </c>
      <c r="BN60" s="66">
        <v>113.50942815820001</v>
      </c>
      <c r="BO60" s="66">
        <v>107.6155972363</v>
      </c>
      <c r="BP60" s="66">
        <v>106.22448246730001</v>
      </c>
      <c r="BQ60" s="66">
        <v>93.158361007899998</v>
      </c>
      <c r="BR60" s="66">
        <v>95.460886739800017</v>
      </c>
      <c r="BS60" s="66">
        <v>74.085153046000016</v>
      </c>
      <c r="BT60" s="66">
        <v>63.956321449000015</v>
      </c>
      <c r="BU60" s="66">
        <v>70.00990353280001</v>
      </c>
      <c r="BV60" s="66">
        <v>72.266834324200019</v>
      </c>
      <c r="BW60" s="66">
        <v>82.144912511800015</v>
      </c>
      <c r="BX60" s="66">
        <v>67.973291997099992</v>
      </c>
      <c r="BY60" s="66">
        <v>80.887768061800003</v>
      </c>
      <c r="BZ60" s="66">
        <v>91.742553670300012</v>
      </c>
      <c r="CA60" s="66">
        <v>78.973981415200015</v>
      </c>
      <c r="CB60" s="66">
        <v>86.862469022200017</v>
      </c>
      <c r="CC60" s="66">
        <v>84.345365619700019</v>
      </c>
      <c r="CD60" s="66">
        <v>96.004536042700011</v>
      </c>
      <c r="CE60" s="66">
        <v>98.584984514800013</v>
      </c>
      <c r="CF60" s="66">
        <v>91.934352634000007</v>
      </c>
      <c r="CG60" s="66">
        <v>90.698298189399992</v>
      </c>
      <c r="CH60" s="66">
        <v>67.085710488700002</v>
      </c>
      <c r="CI60" s="66">
        <v>65.73403628139998</v>
      </c>
      <c r="CJ60" s="66">
        <v>84.117165756999995</v>
      </c>
      <c r="CK60" s="66">
        <v>110.5726636696</v>
      </c>
      <c r="CL60" s="66">
        <v>129.38851352290004</v>
      </c>
      <c r="CM60" s="66">
        <v>127.64453519379998</v>
      </c>
      <c r="CN60" s="66">
        <v>117.562461865</v>
      </c>
      <c r="CO60" s="66">
        <v>95.737083251800016</v>
      </c>
      <c r="CP60" s="66">
        <v>87.581330487400024</v>
      </c>
      <c r="CQ60" s="66">
        <v>84.930331819300008</v>
      </c>
      <c r="CR60" s="66">
        <v>60.044688347800005</v>
      </c>
      <c r="CS60" s="66">
        <v>73.017743591200002</v>
      </c>
      <c r="CT60" s="66">
        <v>77.25878606500001</v>
      </c>
      <c r="CU60" s="66">
        <v>71.644116264400012</v>
      </c>
      <c r="CV60" s="66">
        <v>80.417445930699984</v>
      </c>
      <c r="CW60" s="66">
        <v>140.32300584220002</v>
      </c>
      <c r="CX60" s="66">
        <v>117.7320450223</v>
      </c>
      <c r="CY60" s="66">
        <v>137.25482285019999</v>
      </c>
      <c r="CZ60" s="66">
        <v>97.900234819900007</v>
      </c>
      <c r="DA60" s="66">
        <v>90.796392983200008</v>
      </c>
      <c r="DB60" s="66">
        <v>98.878255675299997</v>
      </c>
      <c r="DC60" s="66">
        <v>114.0033545836</v>
      </c>
      <c r="DD60" s="66">
        <v>79.637866264900012</v>
      </c>
      <c r="DE60" s="66">
        <v>73.760959884700014</v>
      </c>
      <c r="DF60" s="66">
        <v>101.69039399319999</v>
      </c>
      <c r="DG60" s="66">
        <v>93.452757969400011</v>
      </c>
      <c r="DH60" s="66">
        <v>125.5366229281</v>
      </c>
      <c r="DI60" s="66">
        <v>176.8604269768</v>
      </c>
      <c r="DJ60" s="66">
        <v>199.40447942170002</v>
      </c>
      <c r="DK60" s="66">
        <v>144.41315345530003</v>
      </c>
      <c r="DL60" s="66">
        <v>153.7552377868</v>
      </c>
      <c r="DM60" s="66">
        <v>160.93454581720002</v>
      </c>
      <c r="DN60" s="66">
        <v>197.2000860103</v>
      </c>
      <c r="DO60" s="66">
        <v>212.28563177679999</v>
      </c>
      <c r="DP60" s="79"/>
      <c r="DQ60" s="80"/>
      <c r="DR60" s="81"/>
      <c r="DS60" s="84">
        <f t="shared" si="3"/>
        <v>2014</v>
      </c>
      <c r="DT60" s="80"/>
      <c r="DU60" s="83">
        <f t="shared" si="10"/>
        <v>187.95602033910004</v>
      </c>
      <c r="DV60" s="83">
        <f t="shared" si="10"/>
        <v>505.6188228318</v>
      </c>
      <c r="DW60" s="83">
        <f t="shared" si="10"/>
        <v>536.1422525511</v>
      </c>
      <c r="DX60" s="83">
        <f t="shared" si="10"/>
        <v>542.33704760700004</v>
      </c>
      <c r="DY60" s="83">
        <f t="shared" si="10"/>
        <v>774.48558226110003</v>
      </c>
      <c r="DZ60" s="83">
        <f t="shared" si="10"/>
        <v>1029.1412055606002</v>
      </c>
      <c r="EA60" s="83">
        <f t="shared" si="10"/>
        <v>1000.8273479373</v>
      </c>
      <c r="EB60" s="83">
        <f t="shared" si="10"/>
        <v>1119.4994198352003</v>
      </c>
      <c r="EC60" s="83">
        <f t="shared" si="10"/>
        <v>1225.8475358195999</v>
      </c>
      <c r="ED60" s="83">
        <f t="shared" si="10"/>
        <v>1370.3901841730001</v>
      </c>
    </row>
    <row r="61" spans="2:134" x14ac:dyDescent="0.3">
      <c r="B61" s="45">
        <f t="shared" si="5"/>
        <v>1000000057</v>
      </c>
      <c r="C61" s="46">
        <v>40575</v>
      </c>
      <c r="D61" s="66">
        <v>27.4074921976</v>
      </c>
      <c r="E61" s="66">
        <v>52.170798627100005</v>
      </c>
      <c r="F61" s="66">
        <v>36.614405355700001</v>
      </c>
      <c r="G61" s="66">
        <v>39.295387857100003</v>
      </c>
      <c r="H61" s="66">
        <v>33.513649188100004</v>
      </c>
      <c r="I61" s="66">
        <v>31.561172513800003</v>
      </c>
      <c r="J61" s="66">
        <v>26.738578770100005</v>
      </c>
      <c r="K61" s="66">
        <v>26.454951971500002</v>
      </c>
      <c r="L61" s="66">
        <v>21.997230331900003</v>
      </c>
      <c r="M61" s="66">
        <v>26.361773175400003</v>
      </c>
      <c r="N61" s="66">
        <v>27.028885321299995</v>
      </c>
      <c r="O61" s="66">
        <v>26.561978119900012</v>
      </c>
      <c r="P61" s="66">
        <v>39.166633749400013</v>
      </c>
      <c r="Q61" s="66">
        <v>129.7356730246</v>
      </c>
      <c r="R61" s="66">
        <v>44.4931360207</v>
      </c>
      <c r="S61" s="66">
        <v>42.284427038799997</v>
      </c>
      <c r="T61" s="66">
        <v>35.388182906500006</v>
      </c>
      <c r="U61" s="66">
        <v>43.968099961000007</v>
      </c>
      <c r="V61" s="66">
        <v>29.913787910499998</v>
      </c>
      <c r="W61" s="66">
        <v>33.110837590300001</v>
      </c>
      <c r="X61" s="66">
        <v>33.65444936650001</v>
      </c>
      <c r="Y61" s="66">
        <v>40.282640280700001</v>
      </c>
      <c r="Z61" s="66">
        <v>35.498924198200001</v>
      </c>
      <c r="AA61" s="66">
        <v>47.9181979297</v>
      </c>
      <c r="AB61" s="66">
        <v>37.914217663599999</v>
      </c>
      <c r="AC61" s="66">
        <v>80.151081414100005</v>
      </c>
      <c r="AD61" s="66">
        <v>48.795684755799989</v>
      </c>
      <c r="AE61" s="66">
        <v>57.800253947500011</v>
      </c>
      <c r="AF61" s="66">
        <v>41.618403167200007</v>
      </c>
      <c r="AG61" s="66">
        <v>53.85150694</v>
      </c>
      <c r="AH61" s="66">
        <v>53.369476478499998</v>
      </c>
      <c r="AI61" s="66">
        <v>50.556587626600006</v>
      </c>
      <c r="AJ61" s="66">
        <v>45.247347637300003</v>
      </c>
      <c r="AK61" s="66">
        <v>44.893020535900007</v>
      </c>
      <c r="AL61" s="66">
        <v>49.763873615800001</v>
      </c>
      <c r="AM61" s="66">
        <v>45.334972481800001</v>
      </c>
      <c r="AN61" s="66">
        <v>57.525108183100002</v>
      </c>
      <c r="AO61" s="66">
        <v>102.07766953720001</v>
      </c>
      <c r="AP61" s="66">
        <v>85.724471844700005</v>
      </c>
      <c r="AQ61" s="66">
        <v>74.169663174399986</v>
      </c>
      <c r="AR61" s="66">
        <v>57.782241131500001</v>
      </c>
      <c r="AS61" s="66">
        <v>60.158844569199999</v>
      </c>
      <c r="AT61" s="66">
        <v>63.174302547700009</v>
      </c>
      <c r="AU61" s="66">
        <v>56.178950400700003</v>
      </c>
      <c r="AV61" s="66">
        <v>54.338078132200003</v>
      </c>
      <c r="AW61" s="66">
        <v>54.540271991800005</v>
      </c>
      <c r="AX61" s="66">
        <v>62.798585227300009</v>
      </c>
      <c r="AY61" s="66">
        <v>57.287789332299994</v>
      </c>
      <c r="AZ61" s="66">
        <v>51.232818760600011</v>
      </c>
      <c r="BA61" s="66">
        <v>116.55734673220003</v>
      </c>
      <c r="BB61" s="66">
        <v>93.418796305900017</v>
      </c>
      <c r="BC61" s="66">
        <v>61.408371099099995</v>
      </c>
      <c r="BD61" s="66">
        <v>53.673855542200023</v>
      </c>
      <c r="BE61" s="66">
        <v>54.774175912899999</v>
      </c>
      <c r="BF61" s="66">
        <v>49.983479864199992</v>
      </c>
      <c r="BG61" s="66">
        <v>47.465325714099997</v>
      </c>
      <c r="BH61" s="66">
        <v>46.344703398700005</v>
      </c>
      <c r="BI61" s="66">
        <v>55.647084481600004</v>
      </c>
      <c r="BJ61" s="66">
        <v>54.63558980980001</v>
      </c>
      <c r="BK61" s="66">
        <v>49.807479641200004</v>
      </c>
      <c r="BL61" s="66">
        <v>54.387163055800016</v>
      </c>
      <c r="BM61" s="66">
        <v>130.84638829120001</v>
      </c>
      <c r="BN61" s="66">
        <v>101.81250587499999</v>
      </c>
      <c r="BO61" s="66">
        <v>86.220837505600016</v>
      </c>
      <c r="BP61" s="66">
        <v>94.026015838599989</v>
      </c>
      <c r="BQ61" s="66">
        <v>69.127613289100012</v>
      </c>
      <c r="BR61" s="66">
        <v>65.626747446099998</v>
      </c>
      <c r="BS61" s="66">
        <v>68.605917105699987</v>
      </c>
      <c r="BT61" s="66">
        <v>67.661332540000004</v>
      </c>
      <c r="BU61" s="66">
        <v>94.303150518100026</v>
      </c>
      <c r="BV61" s="66">
        <v>80.929009905100003</v>
      </c>
      <c r="BW61" s="66">
        <v>75.989220277300021</v>
      </c>
      <c r="BX61" s="66">
        <v>98.451502042900003</v>
      </c>
      <c r="BY61" s="66">
        <v>153.3216167683</v>
      </c>
      <c r="BZ61" s="66">
        <v>108.9222769303</v>
      </c>
      <c r="CA61" s="66">
        <v>102.2242863541</v>
      </c>
      <c r="CB61" s="66">
        <v>89.8218621109</v>
      </c>
      <c r="CC61" s="66">
        <v>105.7717978852</v>
      </c>
      <c r="CD61" s="66">
        <v>89.423328556900003</v>
      </c>
      <c r="CE61" s="66">
        <v>89.175652336899986</v>
      </c>
      <c r="CF61" s="66">
        <v>99.45733018300001</v>
      </c>
      <c r="CG61" s="66">
        <v>120.15349286649999</v>
      </c>
      <c r="CH61" s="66">
        <v>87.958623929200016</v>
      </c>
      <c r="CI61" s="66">
        <v>88.170462150700004</v>
      </c>
      <c r="CJ61" s="66">
        <v>84.643515251200029</v>
      </c>
      <c r="CK61" s="66">
        <v>150.1532374873</v>
      </c>
      <c r="CL61" s="66">
        <v>134.67790188789999</v>
      </c>
      <c r="CM61" s="66">
        <v>124.13766507880001</v>
      </c>
      <c r="CN61" s="66">
        <v>98.957624645799996</v>
      </c>
      <c r="CO61" s="66">
        <v>96.829372908700009</v>
      </c>
      <c r="CP61" s="66">
        <v>79.098344898999997</v>
      </c>
      <c r="CQ61" s="66">
        <v>92.040815881900045</v>
      </c>
      <c r="CR61" s="66">
        <v>95.13830722660002</v>
      </c>
      <c r="CS61" s="66">
        <v>89.542926149799996</v>
      </c>
      <c r="CT61" s="66">
        <v>87.119189176899994</v>
      </c>
      <c r="CU61" s="66">
        <v>76.5701335933</v>
      </c>
      <c r="CV61" s="66">
        <v>81.682996361500017</v>
      </c>
      <c r="CW61" s="66">
        <v>154.50352018480001</v>
      </c>
      <c r="CX61" s="66">
        <v>118.83716881060001</v>
      </c>
      <c r="CY61" s="66">
        <v>110.37437258680002</v>
      </c>
      <c r="CZ61" s="66">
        <v>82.570840556800022</v>
      </c>
      <c r="DA61" s="66">
        <v>81.418395599799993</v>
      </c>
      <c r="DB61" s="66">
        <v>82.549562917899991</v>
      </c>
      <c r="DC61" s="66">
        <v>88.103739678099984</v>
      </c>
      <c r="DD61" s="66">
        <v>104.4992674882</v>
      </c>
      <c r="DE61" s="66">
        <v>117.57000473170005</v>
      </c>
      <c r="DF61" s="66">
        <v>104.74457952610001</v>
      </c>
      <c r="DG61" s="66">
        <v>102.45334933090001</v>
      </c>
      <c r="DH61" s="66">
        <v>131.41427984230003</v>
      </c>
      <c r="DI61" s="66">
        <v>184.3051613563</v>
      </c>
      <c r="DJ61" s="66">
        <v>162.50875335550001</v>
      </c>
      <c r="DK61" s="66">
        <v>151.71247187230003</v>
      </c>
      <c r="DL61" s="66">
        <v>118.98329778040002</v>
      </c>
      <c r="DM61" s="66">
        <v>121.80721948210001</v>
      </c>
      <c r="DN61" s="66">
        <v>133.70427165640004</v>
      </c>
      <c r="DO61" s="66">
        <v>131.82804923649999</v>
      </c>
      <c r="DP61" s="79"/>
      <c r="DQ61" s="80"/>
      <c r="DR61" s="81"/>
      <c r="DS61" s="84">
        <f t="shared" si="3"/>
        <v>2011</v>
      </c>
      <c r="DT61" s="80"/>
      <c r="DU61" s="83">
        <f t="shared" si="10"/>
        <v>375.70630342950005</v>
      </c>
      <c r="DV61" s="83">
        <f t="shared" si="10"/>
        <v>555.41498997689996</v>
      </c>
      <c r="DW61" s="83">
        <f t="shared" si="10"/>
        <v>609.29642626410009</v>
      </c>
      <c r="DX61" s="83">
        <f t="shared" si="10"/>
        <v>785.75597607210011</v>
      </c>
      <c r="DY61" s="83">
        <f t="shared" si="10"/>
        <v>734.94902726249995</v>
      </c>
      <c r="DZ61" s="83">
        <f t="shared" si="10"/>
        <v>989.53590164759999</v>
      </c>
      <c r="EA61" s="83">
        <f t="shared" si="10"/>
        <v>1232.8522321149001</v>
      </c>
      <c r="EB61" s="83">
        <f t="shared" si="10"/>
        <v>1208.9090341871997</v>
      </c>
      <c r="EC61" s="83">
        <f t="shared" si="10"/>
        <v>1229.3077977731998</v>
      </c>
      <c r="ED61" s="83">
        <f t="shared" si="10"/>
        <v>1136.2635045818001</v>
      </c>
    </row>
    <row r="62" spans="2:134" x14ac:dyDescent="0.3">
      <c r="B62" s="45">
        <f t="shared" si="5"/>
        <v>1000000058</v>
      </c>
      <c r="C62" s="46">
        <v>44228</v>
      </c>
      <c r="D62" s="66">
        <v>-8</v>
      </c>
      <c r="E62" s="66">
        <v>-8</v>
      </c>
      <c r="F62" s="66">
        <v>-8</v>
      </c>
      <c r="G62" s="66">
        <v>-8</v>
      </c>
      <c r="H62" s="66">
        <v>-8</v>
      </c>
      <c r="I62" s="66">
        <v>-8</v>
      </c>
      <c r="J62" s="66">
        <v>-8</v>
      </c>
      <c r="K62" s="66">
        <v>-8</v>
      </c>
      <c r="L62" s="66">
        <v>-8</v>
      </c>
      <c r="M62" s="66">
        <v>-8</v>
      </c>
      <c r="N62" s="66">
        <v>-8</v>
      </c>
      <c r="O62" s="66">
        <v>-8</v>
      </c>
      <c r="P62" s="66">
        <v>-8</v>
      </c>
      <c r="Q62" s="66">
        <v>-8</v>
      </c>
      <c r="R62" s="66">
        <v>-8</v>
      </c>
      <c r="S62" s="66">
        <v>-8</v>
      </c>
      <c r="T62" s="66">
        <v>-8</v>
      </c>
      <c r="U62" s="66">
        <v>-8</v>
      </c>
      <c r="V62" s="66">
        <v>-8</v>
      </c>
      <c r="W62" s="66">
        <v>-8</v>
      </c>
      <c r="X62" s="66">
        <v>-8</v>
      </c>
      <c r="Y62" s="66">
        <v>-8</v>
      </c>
      <c r="Z62" s="66">
        <v>-8</v>
      </c>
      <c r="AA62" s="66">
        <v>-8</v>
      </c>
      <c r="AB62" s="66">
        <v>-8</v>
      </c>
      <c r="AC62" s="66">
        <v>-8</v>
      </c>
      <c r="AD62" s="66">
        <v>-8</v>
      </c>
      <c r="AE62" s="66">
        <v>-8</v>
      </c>
      <c r="AF62" s="66">
        <v>-8</v>
      </c>
      <c r="AG62" s="66">
        <v>-8</v>
      </c>
      <c r="AH62" s="66">
        <v>-8</v>
      </c>
      <c r="AI62" s="66">
        <v>-8</v>
      </c>
      <c r="AJ62" s="66">
        <v>-8</v>
      </c>
      <c r="AK62" s="66">
        <v>-8</v>
      </c>
      <c r="AL62" s="66">
        <v>-8</v>
      </c>
      <c r="AM62" s="66">
        <v>-8</v>
      </c>
      <c r="AN62" s="66">
        <v>-8</v>
      </c>
      <c r="AO62" s="66">
        <v>-8</v>
      </c>
      <c r="AP62" s="66">
        <v>-8</v>
      </c>
      <c r="AQ62" s="66">
        <v>-8</v>
      </c>
      <c r="AR62" s="66">
        <v>-8</v>
      </c>
      <c r="AS62" s="66">
        <v>-8</v>
      </c>
      <c r="AT62" s="66">
        <v>-8</v>
      </c>
      <c r="AU62" s="66">
        <v>-8</v>
      </c>
      <c r="AV62" s="66">
        <v>-8</v>
      </c>
      <c r="AW62" s="66">
        <v>-8</v>
      </c>
      <c r="AX62" s="66">
        <v>-8</v>
      </c>
      <c r="AY62" s="66">
        <v>-8</v>
      </c>
      <c r="AZ62" s="66">
        <v>-8</v>
      </c>
      <c r="BA62" s="66">
        <v>-8</v>
      </c>
      <c r="BB62" s="66">
        <v>-8</v>
      </c>
      <c r="BC62" s="66">
        <v>-8</v>
      </c>
      <c r="BD62" s="66">
        <v>-8</v>
      </c>
      <c r="BE62" s="66">
        <v>-8</v>
      </c>
      <c r="BF62" s="66">
        <v>-8</v>
      </c>
      <c r="BG62" s="66">
        <v>-8</v>
      </c>
      <c r="BH62" s="66">
        <v>-8</v>
      </c>
      <c r="BI62" s="66">
        <v>-8</v>
      </c>
      <c r="BJ62" s="66">
        <v>-8</v>
      </c>
      <c r="BK62" s="66">
        <v>-8</v>
      </c>
      <c r="BL62" s="66">
        <v>-8</v>
      </c>
      <c r="BM62" s="66">
        <v>-8</v>
      </c>
      <c r="BN62" s="66">
        <v>-8</v>
      </c>
      <c r="BO62" s="66">
        <v>-8</v>
      </c>
      <c r="BP62" s="66">
        <v>-8</v>
      </c>
      <c r="BQ62" s="66">
        <v>-8</v>
      </c>
      <c r="BR62" s="66">
        <v>-8</v>
      </c>
      <c r="BS62" s="66">
        <v>-8</v>
      </c>
      <c r="BT62" s="66">
        <v>-8</v>
      </c>
      <c r="BU62" s="66">
        <v>-8</v>
      </c>
      <c r="BV62" s="66">
        <v>-8</v>
      </c>
      <c r="BW62" s="66">
        <v>-8</v>
      </c>
      <c r="BX62" s="66">
        <v>-8</v>
      </c>
      <c r="BY62" s="66">
        <v>-8</v>
      </c>
      <c r="BZ62" s="66">
        <v>-8</v>
      </c>
      <c r="CA62" s="66">
        <v>-8</v>
      </c>
      <c r="CB62" s="66">
        <v>-8</v>
      </c>
      <c r="CC62" s="66">
        <v>-8</v>
      </c>
      <c r="CD62" s="66">
        <v>-8</v>
      </c>
      <c r="CE62" s="66">
        <v>-8</v>
      </c>
      <c r="CF62" s="66">
        <v>-8</v>
      </c>
      <c r="CG62" s="66">
        <v>-8</v>
      </c>
      <c r="CH62" s="66">
        <v>-8</v>
      </c>
      <c r="CI62" s="66">
        <v>-8</v>
      </c>
      <c r="CJ62" s="66">
        <v>-8</v>
      </c>
      <c r="CK62" s="66">
        <v>4.668413492800001</v>
      </c>
      <c r="CL62" s="66">
        <v>47.148900579700005</v>
      </c>
      <c r="CM62" s="66">
        <v>64.924322675500008</v>
      </c>
      <c r="CN62" s="66">
        <v>65.838060293800012</v>
      </c>
      <c r="CO62" s="66">
        <v>65.827290130899996</v>
      </c>
      <c r="CP62" s="66">
        <v>75.699288993100012</v>
      </c>
      <c r="CQ62" s="66">
        <v>87.223588456300007</v>
      </c>
      <c r="CR62" s="66">
        <v>80.09535426459999</v>
      </c>
      <c r="CS62" s="66">
        <v>78.659657776000003</v>
      </c>
      <c r="CT62" s="66">
        <v>65.417986413999984</v>
      </c>
      <c r="CU62" s="66">
        <v>55.464554612800022</v>
      </c>
      <c r="CV62" s="66">
        <v>92.379194135799992</v>
      </c>
      <c r="CW62" s="66">
        <v>114.98963131300002</v>
      </c>
      <c r="CX62" s="66">
        <v>106.84588709260001</v>
      </c>
      <c r="CY62" s="66">
        <v>135.7163407303</v>
      </c>
      <c r="CZ62" s="66">
        <v>116.3157123109</v>
      </c>
      <c r="DA62" s="66">
        <v>115.4777035732</v>
      </c>
      <c r="DB62" s="66">
        <v>88.665889644099991</v>
      </c>
      <c r="DC62" s="66">
        <v>93.418308458799999</v>
      </c>
      <c r="DD62" s="66">
        <v>77.754251085100023</v>
      </c>
      <c r="DE62" s="66">
        <v>107.41914496180001</v>
      </c>
      <c r="DF62" s="66">
        <v>103.05283836339999</v>
      </c>
      <c r="DG62" s="66">
        <v>97.696352258800019</v>
      </c>
      <c r="DH62" s="66">
        <v>124.26555607239999</v>
      </c>
      <c r="DI62" s="66">
        <v>133.13142658090001</v>
      </c>
      <c r="DJ62" s="66">
        <v>170.75877319029999</v>
      </c>
      <c r="DK62" s="66">
        <v>166.60460502700005</v>
      </c>
      <c r="DL62" s="66">
        <v>143.3018377615</v>
      </c>
      <c r="DM62" s="66">
        <v>162.89178838239997</v>
      </c>
      <c r="DN62" s="66">
        <v>159.38852083060002</v>
      </c>
      <c r="DO62" s="66">
        <v>191.08837506820004</v>
      </c>
      <c r="DP62" s="79"/>
      <c r="DQ62" s="80"/>
      <c r="DR62" s="81"/>
      <c r="DS62" s="84">
        <f t="shared" si="3"/>
        <v>2021</v>
      </c>
      <c r="DT62" s="80"/>
      <c r="DU62" s="83">
        <f t="shared" si="10"/>
        <v>-96</v>
      </c>
      <c r="DV62" s="83">
        <f t="shared" si="10"/>
        <v>-96</v>
      </c>
      <c r="DW62" s="83">
        <f t="shared" si="10"/>
        <v>-96</v>
      </c>
      <c r="DX62" s="83">
        <f t="shared" si="10"/>
        <v>-96</v>
      </c>
      <c r="DY62" s="83">
        <f t="shared" si="10"/>
        <v>-96</v>
      </c>
      <c r="DZ62" s="83">
        <f t="shared" si="10"/>
        <v>-96</v>
      </c>
      <c r="EA62" s="83">
        <f t="shared" si="10"/>
        <v>-96</v>
      </c>
      <c r="EB62" s="83">
        <f t="shared" si="10"/>
        <v>682.96741768950017</v>
      </c>
      <c r="EC62" s="83">
        <f t="shared" si="10"/>
        <v>1249.7312539278</v>
      </c>
      <c r="ED62" s="83">
        <f t="shared" si="10"/>
        <v>1251.4308829133001</v>
      </c>
    </row>
    <row r="63" spans="2:134" x14ac:dyDescent="0.3">
      <c r="B63" s="45">
        <f t="shared" si="5"/>
        <v>1000000059</v>
      </c>
      <c r="C63" s="46">
        <v>41913</v>
      </c>
      <c r="D63" s="66">
        <v>-8</v>
      </c>
      <c r="E63" s="66">
        <v>-8</v>
      </c>
      <c r="F63" s="66">
        <v>-8</v>
      </c>
      <c r="G63" s="66">
        <v>-8</v>
      </c>
      <c r="H63" s="66">
        <v>-8</v>
      </c>
      <c r="I63" s="66">
        <v>-8</v>
      </c>
      <c r="J63" s="66">
        <v>-8</v>
      </c>
      <c r="K63" s="66">
        <v>-8</v>
      </c>
      <c r="L63" s="66">
        <v>-8</v>
      </c>
      <c r="M63" s="66">
        <v>-2.5436178199999997</v>
      </c>
      <c r="N63" s="66">
        <v>14.1238284583</v>
      </c>
      <c r="O63" s="66">
        <v>15.800709047800002</v>
      </c>
      <c r="P63" s="66">
        <v>17.945172319299999</v>
      </c>
      <c r="Q63" s="66">
        <v>117.19072237479999</v>
      </c>
      <c r="R63" s="66">
        <v>47.549835842499995</v>
      </c>
      <c r="S63" s="66">
        <v>48.716653525600002</v>
      </c>
      <c r="T63" s="66">
        <v>28.361608545099998</v>
      </c>
      <c r="U63" s="66">
        <v>24.035117775399996</v>
      </c>
      <c r="V63" s="66">
        <v>30.580787476300003</v>
      </c>
      <c r="W63" s="66">
        <v>29.658756457300001</v>
      </c>
      <c r="X63" s="66">
        <v>28.802209529800002</v>
      </c>
      <c r="Y63" s="66">
        <v>38.3772220882</v>
      </c>
      <c r="Z63" s="66">
        <v>36.927340507000004</v>
      </c>
      <c r="AA63" s="66">
        <v>46.183338588700003</v>
      </c>
      <c r="AB63" s="66">
        <v>47.381078272599993</v>
      </c>
      <c r="AC63" s="66">
        <v>119.9579412328</v>
      </c>
      <c r="AD63" s="66">
        <v>62.815359662199995</v>
      </c>
      <c r="AE63" s="66">
        <v>59.788005719800012</v>
      </c>
      <c r="AF63" s="66">
        <v>35.258415577900003</v>
      </c>
      <c r="AG63" s="66">
        <v>41.928111022300008</v>
      </c>
      <c r="AH63" s="66">
        <v>44.967360928600002</v>
      </c>
      <c r="AI63" s="66">
        <v>43.273856010999999</v>
      </c>
      <c r="AJ63" s="66">
        <v>41.254131490299997</v>
      </c>
      <c r="AK63" s="66">
        <v>45.595783046800008</v>
      </c>
      <c r="AL63" s="66">
        <v>56.286051602499995</v>
      </c>
      <c r="AM63" s="66">
        <v>54.263812792900005</v>
      </c>
      <c r="AN63" s="66">
        <v>67.542297847599997</v>
      </c>
      <c r="AO63" s="66">
        <v>125.88678456580004</v>
      </c>
      <c r="AP63" s="66">
        <v>119.90364009790001</v>
      </c>
      <c r="AQ63" s="66">
        <v>125.61287718250003</v>
      </c>
      <c r="AR63" s="66">
        <v>95.411238915700011</v>
      </c>
      <c r="AS63" s="66">
        <v>81.359478680799981</v>
      </c>
      <c r="AT63" s="66">
        <v>89.150471921200008</v>
      </c>
      <c r="AU63" s="66">
        <v>117.24175868680004</v>
      </c>
      <c r="AV63" s="66">
        <v>107.46939321310001</v>
      </c>
      <c r="AW63" s="66">
        <v>94.733356606900003</v>
      </c>
      <c r="AX63" s="66">
        <v>102.57377251120002</v>
      </c>
      <c r="AY63" s="66">
        <v>118.9706512825</v>
      </c>
      <c r="AZ63" s="66">
        <v>108.2080312492</v>
      </c>
      <c r="BA63" s="66">
        <v>214.90908584710002</v>
      </c>
      <c r="BB63" s="66">
        <v>188.65019031579999</v>
      </c>
      <c r="BC63" s="66">
        <v>176.19038774830003</v>
      </c>
      <c r="BD63" s="66">
        <v>178.5543071614</v>
      </c>
      <c r="BE63" s="66">
        <v>170.84906243050003</v>
      </c>
      <c r="BF63" s="66">
        <v>167.19317378980003</v>
      </c>
      <c r="BG63" s="66">
        <v>157.25873049879999</v>
      </c>
      <c r="BH63" s="66">
        <v>152.59506232960001</v>
      </c>
      <c r="BI63" s="66">
        <v>133.16219847490001</v>
      </c>
      <c r="BJ63" s="66">
        <v>160.93079314720003</v>
      </c>
      <c r="BK63" s="66">
        <v>151.2943869076</v>
      </c>
      <c r="BL63" s="66">
        <v>146.06943188649998</v>
      </c>
      <c r="BM63" s="66">
        <v>270.14647438539998</v>
      </c>
      <c r="BN63" s="66">
        <v>228.83895936040003</v>
      </c>
      <c r="BO63" s="66">
        <v>193.15354442259999</v>
      </c>
      <c r="BP63" s="66">
        <v>143.67155080989997</v>
      </c>
      <c r="BQ63" s="66">
        <v>158.53542635950004</v>
      </c>
      <c r="BR63" s="66">
        <v>163.52174909530004</v>
      </c>
      <c r="BS63" s="66">
        <v>150.65005346860005</v>
      </c>
      <c r="BT63" s="66">
        <v>144.0952272529</v>
      </c>
      <c r="BU63" s="66">
        <v>150.3245843995</v>
      </c>
      <c r="BV63" s="66">
        <v>116.8209717997</v>
      </c>
      <c r="BW63" s="66">
        <v>145.35946424920002</v>
      </c>
      <c r="BX63" s="66">
        <v>165.82018441689999</v>
      </c>
      <c r="BY63" s="66">
        <v>228.70911697840003</v>
      </c>
      <c r="BZ63" s="66">
        <v>156.81066170080001</v>
      </c>
      <c r="CA63" s="66">
        <v>135.56548339630001</v>
      </c>
      <c r="CB63" s="66">
        <v>114.9541310548</v>
      </c>
      <c r="CC63" s="66">
        <v>143.43584560719998</v>
      </c>
      <c r="CD63" s="66">
        <v>180.12356117530001</v>
      </c>
      <c r="CE63" s="66">
        <v>188.91831858730001</v>
      </c>
      <c r="CF63" s="66">
        <v>180.93263682729997</v>
      </c>
      <c r="CG63" s="66">
        <v>172.20133706499996</v>
      </c>
      <c r="CH63" s="66">
        <v>126.86169070509999</v>
      </c>
      <c r="CI63" s="66">
        <v>127.53000370539999</v>
      </c>
      <c r="CJ63" s="66">
        <v>151.670854762</v>
      </c>
      <c r="CK63" s="66">
        <v>257.91033094990001</v>
      </c>
      <c r="CL63" s="66">
        <v>243.84108327279998</v>
      </c>
      <c r="CM63" s="66">
        <v>206.87165476780001</v>
      </c>
      <c r="CN63" s="66">
        <v>172.99412612920003</v>
      </c>
      <c r="CO63" s="66">
        <v>154.95537917950003</v>
      </c>
      <c r="CP63" s="66">
        <v>154.656103747</v>
      </c>
      <c r="CQ63" s="66">
        <v>139.96537639120001</v>
      </c>
      <c r="CR63" s="66">
        <v>150.313138756</v>
      </c>
      <c r="CS63" s="66">
        <v>152.27079411489999</v>
      </c>
      <c r="CT63" s="66">
        <v>121.28841285460001</v>
      </c>
      <c r="CU63" s="66">
        <v>111.76297306689999</v>
      </c>
      <c r="CV63" s="66">
        <v>146.66719469079999</v>
      </c>
      <c r="CW63" s="66">
        <v>191.85714704440002</v>
      </c>
      <c r="CX63" s="66">
        <v>154.26331177809999</v>
      </c>
      <c r="CY63" s="66">
        <v>156.0377993143</v>
      </c>
      <c r="CZ63" s="66">
        <v>107.61480917560002</v>
      </c>
      <c r="DA63" s="66">
        <v>120.9092806045</v>
      </c>
      <c r="DB63" s="66">
        <v>130.00312581549997</v>
      </c>
      <c r="DC63" s="66">
        <v>130.40158431610001</v>
      </c>
      <c r="DD63" s="66">
        <v>137.54257758579999</v>
      </c>
      <c r="DE63" s="66">
        <v>133.37486228379998</v>
      </c>
      <c r="DF63" s="66">
        <v>119.80471971669999</v>
      </c>
      <c r="DG63" s="66">
        <v>111.15421493949999</v>
      </c>
      <c r="DH63" s="66">
        <v>127.11473324319999</v>
      </c>
      <c r="DI63" s="66">
        <v>147.32342409370003</v>
      </c>
      <c r="DJ63" s="66">
        <v>159.0747600919</v>
      </c>
      <c r="DK63" s="66">
        <v>122.002996276</v>
      </c>
      <c r="DL63" s="66">
        <v>95.7883071973</v>
      </c>
      <c r="DM63" s="66">
        <v>98.557027123299989</v>
      </c>
      <c r="DN63" s="66">
        <v>106.89302062780001</v>
      </c>
      <c r="DO63" s="66">
        <v>124.06351231959999</v>
      </c>
      <c r="DP63" s="79"/>
      <c r="DQ63" s="80"/>
      <c r="DR63" s="81"/>
      <c r="DS63" s="84">
        <f t="shared" si="3"/>
        <v>2014</v>
      </c>
      <c r="DT63" s="80"/>
      <c r="DU63" s="83">
        <f t="shared" si="10"/>
        <v>-44.6190803139</v>
      </c>
      <c r="DV63" s="83">
        <f t="shared" si="10"/>
        <v>494.32876503</v>
      </c>
      <c r="DW63" s="83">
        <f t="shared" si="10"/>
        <v>652.76990735970003</v>
      </c>
      <c r="DX63" s="83">
        <f t="shared" si="10"/>
        <v>1245.8557215120004</v>
      </c>
      <c r="DY63" s="83">
        <f t="shared" si="10"/>
        <v>1959.7954099002002</v>
      </c>
      <c r="DZ63" s="83">
        <f t="shared" si="10"/>
        <v>2011.1874374895003</v>
      </c>
      <c r="EA63" s="83">
        <f t="shared" si="10"/>
        <v>1921.8629712198003</v>
      </c>
      <c r="EB63" s="83">
        <f t="shared" si="10"/>
        <v>2018.5002279917999</v>
      </c>
      <c r="EC63" s="83">
        <f t="shared" si="10"/>
        <v>1639.6306272651</v>
      </c>
      <c r="ED63" s="83">
        <f t="shared" si="10"/>
        <v>980.81778097280016</v>
      </c>
    </row>
    <row r="64" spans="2:134" x14ac:dyDescent="0.3">
      <c r="B64" s="45">
        <f t="shared" si="5"/>
        <v>1000000060</v>
      </c>
      <c r="C64" s="46">
        <v>40544</v>
      </c>
      <c r="D64" s="66">
        <v>12.358947757300001</v>
      </c>
      <c r="E64" s="66">
        <v>13.620145090900003</v>
      </c>
      <c r="F64" s="66">
        <v>16.309045726000001</v>
      </c>
      <c r="G64" s="66">
        <v>18.0867230317</v>
      </c>
      <c r="H64" s="66">
        <v>17.134032698800002</v>
      </c>
      <c r="I64" s="66">
        <v>32.605352941300005</v>
      </c>
      <c r="J64" s="66">
        <v>15.475052345200002</v>
      </c>
      <c r="K64" s="66">
        <v>7.2752057082999997</v>
      </c>
      <c r="L64" s="66">
        <v>7.4959002310000002</v>
      </c>
      <c r="M64" s="66">
        <v>10.057960620100001</v>
      </c>
      <c r="N64" s="66">
        <v>32.265736306299999</v>
      </c>
      <c r="O64" s="66">
        <v>19.883614007800002</v>
      </c>
      <c r="P64" s="66">
        <v>25.096635538299999</v>
      </c>
      <c r="Q64" s="66">
        <v>52.202358581800013</v>
      </c>
      <c r="R64" s="66">
        <v>36.147648261100002</v>
      </c>
      <c r="S64" s="66">
        <v>27.8877213775</v>
      </c>
      <c r="T64" s="66">
        <v>12.6101139604</v>
      </c>
      <c r="U64" s="66">
        <v>23.619509572900007</v>
      </c>
      <c r="V64" s="66">
        <v>19.265699365600003</v>
      </c>
      <c r="W64" s="66">
        <v>6.7965901765000005</v>
      </c>
      <c r="X64" s="66">
        <v>46.355773775199999</v>
      </c>
      <c r="Y64" s="66">
        <v>37.421229405700004</v>
      </c>
      <c r="Z64" s="66">
        <v>26.5317691264</v>
      </c>
      <c r="AA64" s="66">
        <v>26.669904909100005</v>
      </c>
      <c r="AB64" s="66">
        <v>33.553052223100003</v>
      </c>
      <c r="AC64" s="66">
        <v>27.434961742000006</v>
      </c>
      <c r="AD64" s="66">
        <v>35.410811506600005</v>
      </c>
      <c r="AE64" s="66">
        <v>43.022427121</v>
      </c>
      <c r="AF64" s="66">
        <v>48.210756082899998</v>
      </c>
      <c r="AG64" s="66">
        <v>33.732429849100001</v>
      </c>
      <c r="AH64" s="66">
        <v>34.5056299759</v>
      </c>
      <c r="AI64" s="66">
        <v>26.71643801710001</v>
      </c>
      <c r="AJ64" s="66">
        <v>43.811688675400006</v>
      </c>
      <c r="AK64" s="66">
        <v>42.779516791900001</v>
      </c>
      <c r="AL64" s="66">
        <v>34.861495672000004</v>
      </c>
      <c r="AM64" s="66">
        <v>49.711448815899999</v>
      </c>
      <c r="AN64" s="66">
        <v>42.349873603600003</v>
      </c>
      <c r="AO64" s="66">
        <v>36.330365763399996</v>
      </c>
      <c r="AP64" s="66">
        <v>42.063582409300004</v>
      </c>
      <c r="AQ64" s="66">
        <v>40.987954607200002</v>
      </c>
      <c r="AR64" s="66">
        <v>29.439450422499995</v>
      </c>
      <c r="AS64" s="66">
        <v>43.302263722900008</v>
      </c>
      <c r="AT64" s="66">
        <v>39.612375892000003</v>
      </c>
      <c r="AU64" s="66">
        <v>45.295119126400003</v>
      </c>
      <c r="AV64" s="66">
        <v>40.341932466700008</v>
      </c>
      <c r="AW64" s="66">
        <v>34.996441685199997</v>
      </c>
      <c r="AX64" s="66">
        <v>36.436904064700002</v>
      </c>
      <c r="AY64" s="66">
        <v>32.270502197199995</v>
      </c>
      <c r="AZ64" s="66">
        <v>59.124120870100001</v>
      </c>
      <c r="BA64" s="66">
        <v>62.95244469730001</v>
      </c>
      <c r="BB64" s="66">
        <v>47.223203445700001</v>
      </c>
      <c r="BC64" s="66">
        <v>46.452630187899999</v>
      </c>
      <c r="BD64" s="66">
        <v>54.270867812500001</v>
      </c>
      <c r="BE64" s="66">
        <v>41.367462124300005</v>
      </c>
      <c r="BF64" s="66">
        <v>36.585622376800004</v>
      </c>
      <c r="BG64" s="66">
        <v>52.132784080000008</v>
      </c>
      <c r="BH64" s="66">
        <v>53.626609426899996</v>
      </c>
      <c r="BI64" s="66">
        <v>51.925111322200003</v>
      </c>
      <c r="BJ64" s="66">
        <v>54.329071724200013</v>
      </c>
      <c r="BK64" s="66">
        <v>56.098418102499991</v>
      </c>
      <c r="BL64" s="66">
        <v>71.645279592099996</v>
      </c>
      <c r="BM64" s="66">
        <v>77.386714585299984</v>
      </c>
      <c r="BN64" s="66">
        <v>76.207362984399992</v>
      </c>
      <c r="BO64" s="66">
        <v>87.155102228800004</v>
      </c>
      <c r="BP64" s="66">
        <v>73.26759635980001</v>
      </c>
      <c r="BQ64" s="66">
        <v>58.704985157799996</v>
      </c>
      <c r="BR64" s="66">
        <v>63.615203746000006</v>
      </c>
      <c r="BS64" s="66">
        <v>86.531033207800007</v>
      </c>
      <c r="BT64" s="66">
        <v>63.039168901000011</v>
      </c>
      <c r="BU64" s="66">
        <v>79.933351500699999</v>
      </c>
      <c r="BV64" s="66">
        <v>69.158722923400006</v>
      </c>
      <c r="BW64" s="66">
        <v>59.927830204000017</v>
      </c>
      <c r="BX64" s="66">
        <v>80.523646491700006</v>
      </c>
      <c r="BY64" s="66">
        <v>70.763739882399989</v>
      </c>
      <c r="BZ64" s="66">
        <v>70.830312248200002</v>
      </c>
      <c r="CA64" s="66">
        <v>55.610233262199998</v>
      </c>
      <c r="CB64" s="66">
        <v>72.067867760799999</v>
      </c>
      <c r="CC64" s="66">
        <v>90.915877996000006</v>
      </c>
      <c r="CD64" s="66">
        <v>85.893154361200004</v>
      </c>
      <c r="CE64" s="66">
        <v>71.962680420699996</v>
      </c>
      <c r="CF64" s="66">
        <v>76.345161026800014</v>
      </c>
      <c r="CG64" s="66">
        <v>76.690143979900014</v>
      </c>
      <c r="CH64" s="66">
        <v>77.399586243400009</v>
      </c>
      <c r="CI64" s="66">
        <v>56.520518424100004</v>
      </c>
      <c r="CJ64" s="66">
        <v>70.528635106900012</v>
      </c>
      <c r="CK64" s="66">
        <v>73.362426330700004</v>
      </c>
      <c r="CL64" s="66">
        <v>79.196064425800003</v>
      </c>
      <c r="CM64" s="66">
        <v>88.276887871900001</v>
      </c>
      <c r="CN64" s="66">
        <v>101.88125478940002</v>
      </c>
      <c r="CO64" s="66">
        <v>77.138025144400004</v>
      </c>
      <c r="CP64" s="66">
        <v>95.024901539200016</v>
      </c>
      <c r="CQ64" s="66">
        <v>95.557480465600008</v>
      </c>
      <c r="CR64" s="66">
        <v>103.43238340720001</v>
      </c>
      <c r="CS64" s="66">
        <v>89.426068006000008</v>
      </c>
      <c r="CT64" s="66">
        <v>78.530528401300018</v>
      </c>
      <c r="CU64" s="66">
        <v>85.833937228599993</v>
      </c>
      <c r="CV64" s="66">
        <v>87.502749577599999</v>
      </c>
      <c r="CW64" s="66">
        <v>102.6375679012</v>
      </c>
      <c r="CX64" s="66">
        <v>108.8283476002</v>
      </c>
      <c r="CY64" s="66">
        <v>89.162030144799999</v>
      </c>
      <c r="CZ64" s="66">
        <v>91.043919096399989</v>
      </c>
      <c r="DA64" s="66">
        <v>93.945708700600008</v>
      </c>
      <c r="DB64" s="66">
        <v>86.51692316860003</v>
      </c>
      <c r="DC64" s="66">
        <v>96.249885607300001</v>
      </c>
      <c r="DD64" s="66">
        <v>122.60417401000001</v>
      </c>
      <c r="DE64" s="66">
        <v>123.68130288009999</v>
      </c>
      <c r="DF64" s="66">
        <v>90.088189100800022</v>
      </c>
      <c r="DG64" s="66">
        <v>103.02131593539998</v>
      </c>
      <c r="DH64" s="66">
        <v>119.05835118039998</v>
      </c>
      <c r="DI64" s="66">
        <v>126.78922664740003</v>
      </c>
      <c r="DJ64" s="66">
        <v>132.04611689020001</v>
      </c>
      <c r="DK64" s="66">
        <v>121.85322721630001</v>
      </c>
      <c r="DL64" s="66">
        <v>132.81638993440001</v>
      </c>
      <c r="DM64" s="66">
        <v>161.96465373220002</v>
      </c>
      <c r="DN64" s="66">
        <v>184.74583739439998</v>
      </c>
      <c r="DO64" s="66">
        <v>187.87672750210001</v>
      </c>
      <c r="DP64" s="79"/>
      <c r="DQ64" s="80"/>
      <c r="DR64" s="81"/>
      <c r="DS64" s="84">
        <f t="shared" si="3"/>
        <v>2011</v>
      </c>
      <c r="DT64" s="80"/>
      <c r="DU64" s="83">
        <f t="shared" si="10"/>
        <v>202.56771646470003</v>
      </c>
      <c r="DV64" s="83">
        <f t="shared" si="10"/>
        <v>340.6049540505</v>
      </c>
      <c r="DW64" s="83">
        <f t="shared" si="10"/>
        <v>453.7506564729</v>
      </c>
      <c r="DX64" s="83">
        <f t="shared" si="10"/>
        <v>463.42676596110005</v>
      </c>
      <c r="DY64" s="83">
        <f t="shared" si="10"/>
        <v>616.08834617040009</v>
      </c>
      <c r="DZ64" s="83">
        <f t="shared" si="10"/>
        <v>866.57235139110003</v>
      </c>
      <c r="EA64" s="83">
        <f t="shared" si="10"/>
        <v>885.52292209740006</v>
      </c>
      <c r="EB64" s="83">
        <f t="shared" si="10"/>
        <v>1038.1885927169999</v>
      </c>
      <c r="EC64" s="83">
        <f t="shared" si="10"/>
        <v>1195.2821137230001</v>
      </c>
      <c r="ED64" s="83">
        <f t="shared" si="10"/>
        <v>1167.1505304974</v>
      </c>
    </row>
    <row r="65" spans="2:134" x14ac:dyDescent="0.3">
      <c r="B65" s="45">
        <f t="shared" si="5"/>
        <v>1000000061</v>
      </c>
      <c r="C65" s="46">
        <v>39448</v>
      </c>
      <c r="D65" s="66">
        <v>49.719291896200012</v>
      </c>
      <c r="E65" s="66">
        <v>102.74478168310002</v>
      </c>
      <c r="F65" s="66">
        <v>81.580135676800012</v>
      </c>
      <c r="G65" s="66">
        <v>65.779631221900004</v>
      </c>
      <c r="H65" s="66">
        <v>42.341017302400004</v>
      </c>
      <c r="I65" s="66">
        <v>45.143323624900006</v>
      </c>
      <c r="J65" s="66">
        <v>51.909312581500004</v>
      </c>
      <c r="K65" s="66">
        <v>42.154734763600011</v>
      </c>
      <c r="L65" s="66">
        <v>39.1459940644</v>
      </c>
      <c r="M65" s="66">
        <v>46.103781984700007</v>
      </c>
      <c r="N65" s="66">
        <v>41.288093153799998</v>
      </c>
      <c r="O65" s="66">
        <v>39.885232527700005</v>
      </c>
      <c r="P65" s="66">
        <v>66.897101294500004</v>
      </c>
      <c r="Q65" s="66">
        <v>269.13160231059999</v>
      </c>
      <c r="R65" s="66">
        <v>105.00569030470001</v>
      </c>
      <c r="S65" s="66">
        <v>79.230926730100009</v>
      </c>
      <c r="T65" s="66">
        <v>60.730939110700007</v>
      </c>
      <c r="U65" s="66">
        <v>53.147430994600001</v>
      </c>
      <c r="V65" s="66">
        <v>54.994532695300002</v>
      </c>
      <c r="W65" s="66">
        <v>55.328220111700013</v>
      </c>
      <c r="X65" s="66">
        <v>63.232694092900005</v>
      </c>
      <c r="Y65" s="66">
        <v>45.470706555699998</v>
      </c>
      <c r="Z65" s="66">
        <v>43.978382276799998</v>
      </c>
      <c r="AA65" s="66">
        <v>36.228030452500001</v>
      </c>
      <c r="AB65" s="66">
        <v>57.713980064200001</v>
      </c>
      <c r="AC65" s="66">
        <v>133.00856416510001</v>
      </c>
      <c r="AD65" s="66">
        <v>77.747196065500006</v>
      </c>
      <c r="AE65" s="66">
        <v>64.273984964499988</v>
      </c>
      <c r="AF65" s="66">
        <v>48.873740291799997</v>
      </c>
      <c r="AG65" s="66">
        <v>38.512205628099998</v>
      </c>
      <c r="AH65" s="66">
        <v>51.510741500800002</v>
      </c>
      <c r="AI65" s="66">
        <v>47.286135721599997</v>
      </c>
      <c r="AJ65" s="66">
        <v>53.130881719900003</v>
      </c>
      <c r="AK65" s="66">
        <v>63.471664118500001</v>
      </c>
      <c r="AL65" s="66">
        <v>58.019822669200011</v>
      </c>
      <c r="AM65" s="66">
        <v>57.668797917400013</v>
      </c>
      <c r="AN65" s="66">
        <v>65.042869520799997</v>
      </c>
      <c r="AO65" s="66">
        <v>118.19317311189999</v>
      </c>
      <c r="AP65" s="66">
        <v>114.5696324866</v>
      </c>
      <c r="AQ65" s="66">
        <v>96.219226293399998</v>
      </c>
      <c r="AR65" s="66">
        <v>78.477465647500011</v>
      </c>
      <c r="AS65" s="66">
        <v>79.476989302000007</v>
      </c>
      <c r="AT65" s="66">
        <v>83.737470606400009</v>
      </c>
      <c r="AU65" s="66">
        <v>112.39165787200004</v>
      </c>
      <c r="AV65" s="66">
        <v>109.42550997730001</v>
      </c>
      <c r="AW65" s="66">
        <v>81.685022803300001</v>
      </c>
      <c r="AX65" s="66">
        <v>83.4364689457</v>
      </c>
      <c r="AY65" s="66">
        <v>85.310214603400013</v>
      </c>
      <c r="AZ65" s="66">
        <v>92.485694910400014</v>
      </c>
      <c r="BA65" s="66">
        <v>178.13610961659995</v>
      </c>
      <c r="BB65" s="66">
        <v>139.8449532109</v>
      </c>
      <c r="BC65" s="66">
        <v>127.6696780828</v>
      </c>
      <c r="BD65" s="66">
        <v>113.10353937100002</v>
      </c>
      <c r="BE65" s="66">
        <v>92.643945004300008</v>
      </c>
      <c r="BF65" s="66">
        <v>91.752423192399988</v>
      </c>
      <c r="BG65" s="66">
        <v>99.143081597199995</v>
      </c>
      <c r="BH65" s="66">
        <v>96.034069555599999</v>
      </c>
      <c r="BI65" s="66">
        <v>103.05584049940001</v>
      </c>
      <c r="BJ65" s="66">
        <v>81.412578961299999</v>
      </c>
      <c r="BK65" s="66">
        <v>71.547522538600006</v>
      </c>
      <c r="BL65" s="66">
        <v>105.3206894245</v>
      </c>
      <c r="BM65" s="66">
        <v>191.78355718570003</v>
      </c>
      <c r="BN65" s="66">
        <v>207.22196651230004</v>
      </c>
      <c r="BO65" s="66">
        <v>167.81791829139996</v>
      </c>
      <c r="BP65" s="66">
        <v>151.13658713409998</v>
      </c>
      <c r="BQ65" s="66">
        <v>100.0146392047</v>
      </c>
      <c r="BR65" s="66">
        <v>99.411134815300002</v>
      </c>
      <c r="BS65" s="66">
        <v>111.85408789450001</v>
      </c>
      <c r="BT65" s="66">
        <v>112.64229870130001</v>
      </c>
      <c r="BU65" s="66">
        <v>119.34629354949999</v>
      </c>
      <c r="BV65" s="66">
        <v>109.43462896540001</v>
      </c>
      <c r="BW65" s="66">
        <v>85.19110485760001</v>
      </c>
      <c r="BX65" s="66">
        <v>131.34579361480002</v>
      </c>
      <c r="BY65" s="66">
        <v>159.1664002933</v>
      </c>
      <c r="BZ65" s="66">
        <v>163.26240207160001</v>
      </c>
      <c r="CA65" s="66">
        <v>142.30392775510003</v>
      </c>
      <c r="CB65" s="66">
        <v>177.73461145330003</v>
      </c>
      <c r="CC65" s="66">
        <v>161.6572725325</v>
      </c>
      <c r="CD65" s="66">
        <v>168.04833222940002</v>
      </c>
      <c r="CE65" s="66">
        <v>126.89599010890001</v>
      </c>
      <c r="CF65" s="66">
        <v>130.60156410039997</v>
      </c>
      <c r="CG65" s="66">
        <v>134.28169498930001</v>
      </c>
      <c r="CH65" s="66">
        <v>80.823109557700022</v>
      </c>
      <c r="CI65" s="66">
        <v>86.107019024500005</v>
      </c>
      <c r="CJ65" s="66">
        <v>121.07841344140002</v>
      </c>
      <c r="CK65" s="66">
        <v>195.36281630500002</v>
      </c>
      <c r="CL65" s="66">
        <v>198.16928809119997</v>
      </c>
      <c r="CM65" s="66">
        <v>172.82987176330005</v>
      </c>
      <c r="CN65" s="66">
        <v>139.13340945220003</v>
      </c>
      <c r="CO65" s="66">
        <v>107.70067026519999</v>
      </c>
      <c r="CP65" s="66">
        <v>112.89560392630001</v>
      </c>
      <c r="CQ65" s="66">
        <v>143.04609330100001</v>
      </c>
      <c r="CR65" s="66">
        <v>122.74234731940001</v>
      </c>
      <c r="CS65" s="66">
        <v>130.80518397460003</v>
      </c>
      <c r="CT65" s="66">
        <v>96.315444752200008</v>
      </c>
      <c r="CU65" s="66">
        <v>122.24087802729997</v>
      </c>
      <c r="CV65" s="66">
        <v>145.34283992109999</v>
      </c>
      <c r="CW65" s="66">
        <v>214.5151305505</v>
      </c>
      <c r="CX65" s="66">
        <v>159.74479932040003</v>
      </c>
      <c r="CY65" s="66">
        <v>171.78321457359999</v>
      </c>
      <c r="CZ65" s="66">
        <v>105.24064497340001</v>
      </c>
      <c r="DA65" s="66">
        <v>94.527897924400008</v>
      </c>
      <c r="DB65" s="66">
        <v>98.814798025599998</v>
      </c>
      <c r="DC65" s="66">
        <v>99.128258550700011</v>
      </c>
      <c r="DD65" s="66">
        <v>97.205503022800002</v>
      </c>
      <c r="DE65" s="66">
        <v>95.393526313299986</v>
      </c>
      <c r="DF65" s="66">
        <v>86.333079865299993</v>
      </c>
      <c r="DG65" s="66">
        <v>89.020254272200006</v>
      </c>
      <c r="DH65" s="66">
        <v>106.0779031771</v>
      </c>
      <c r="DI65" s="66">
        <v>161.07906113889999</v>
      </c>
      <c r="DJ65" s="66">
        <v>180.69370432840003</v>
      </c>
      <c r="DK65" s="66">
        <v>157.75014263529999</v>
      </c>
      <c r="DL65" s="66">
        <v>129.8541448165</v>
      </c>
      <c r="DM65" s="66">
        <v>112.61013831939998</v>
      </c>
      <c r="DN65" s="66">
        <v>107.5607332009</v>
      </c>
      <c r="DO65" s="66">
        <v>167.5332782719</v>
      </c>
      <c r="DP65" s="79"/>
      <c r="DQ65" s="80"/>
      <c r="DR65" s="81"/>
      <c r="DS65" s="84">
        <f t="shared" si="3"/>
        <v>2008</v>
      </c>
      <c r="DT65" s="80"/>
      <c r="DU65" s="83">
        <f t="shared" ref="DU65:ED74" si="11">+SUMIF($D$3:$DO$3,DU$4,$D65:$DO65)</f>
        <v>647.79533048100018</v>
      </c>
      <c r="DV65" s="83">
        <f t="shared" si="11"/>
        <v>933.37625693009988</v>
      </c>
      <c r="DW65" s="83">
        <f t="shared" si="11"/>
        <v>751.21771482660006</v>
      </c>
      <c r="DX65" s="83">
        <f t="shared" si="11"/>
        <v>1107.9657011703</v>
      </c>
      <c r="DY65" s="83">
        <f t="shared" si="11"/>
        <v>1286.8294365405002</v>
      </c>
      <c r="DZ65" s="83">
        <f t="shared" si="11"/>
        <v>1561.1749065362999</v>
      </c>
      <c r="EA65" s="83">
        <f t="shared" si="11"/>
        <v>1662.2281177308002</v>
      </c>
      <c r="EB65" s="83">
        <f t="shared" si="11"/>
        <v>1662.3200206190998</v>
      </c>
      <c r="EC65" s="83">
        <f t="shared" si="11"/>
        <v>1457.0499473133002</v>
      </c>
      <c r="ED65" s="83">
        <f t="shared" si="11"/>
        <v>1123.1591058884001</v>
      </c>
    </row>
    <row r="66" spans="2:134" x14ac:dyDescent="0.3">
      <c r="B66" s="45">
        <f t="shared" si="5"/>
        <v>1000000062</v>
      </c>
      <c r="C66" s="46">
        <v>39448</v>
      </c>
      <c r="D66" s="66">
        <v>70.1562951895</v>
      </c>
      <c r="E66" s="66">
        <v>191.73841256559996</v>
      </c>
      <c r="F66" s="66">
        <v>127.67864696409998</v>
      </c>
      <c r="G66" s="66">
        <v>96.926942328700008</v>
      </c>
      <c r="H66" s="66">
        <v>77.888784304599994</v>
      </c>
      <c r="I66" s="66">
        <v>80.078129509300013</v>
      </c>
      <c r="J66" s="66">
        <v>68.649823344699996</v>
      </c>
      <c r="K66" s="66">
        <v>80.606768132200003</v>
      </c>
      <c r="L66" s="66">
        <v>80.824685679100014</v>
      </c>
      <c r="M66" s="66">
        <v>80.816354751700018</v>
      </c>
      <c r="N66" s="66">
        <v>73.782650317300011</v>
      </c>
      <c r="O66" s="66">
        <v>68.461589417500008</v>
      </c>
      <c r="P66" s="66">
        <v>79.827788893600001</v>
      </c>
      <c r="Q66" s="66">
        <v>413.99419609239999</v>
      </c>
      <c r="R66" s="66">
        <v>139.9877423044</v>
      </c>
      <c r="S66" s="66">
        <v>115.90325635120001</v>
      </c>
      <c r="T66" s="66">
        <v>80.766481767400009</v>
      </c>
      <c r="U66" s="66">
        <v>84.207942844300007</v>
      </c>
      <c r="V66" s="66">
        <v>89.21726944720001</v>
      </c>
      <c r="W66" s="66">
        <v>72.505316502699984</v>
      </c>
      <c r="X66" s="66">
        <v>76.956095702800013</v>
      </c>
      <c r="Y66" s="66">
        <v>89.265153516400005</v>
      </c>
      <c r="Z66" s="66">
        <v>89.489262968800006</v>
      </c>
      <c r="AA66" s="66">
        <v>90.540798629500003</v>
      </c>
      <c r="AB66" s="66">
        <v>77.837973152800004</v>
      </c>
      <c r="AC66" s="66">
        <v>202.24262374269998</v>
      </c>
      <c r="AD66" s="66">
        <v>155.87335731490001</v>
      </c>
      <c r="AE66" s="66">
        <v>106.445552257</v>
      </c>
      <c r="AF66" s="66">
        <v>83.162599089099999</v>
      </c>
      <c r="AG66" s="66">
        <v>102.1276551016</v>
      </c>
      <c r="AH66" s="66">
        <v>105.2577946753</v>
      </c>
      <c r="AI66" s="66">
        <v>110.8087441393</v>
      </c>
      <c r="AJ66" s="66">
        <v>103.11010410760001</v>
      </c>
      <c r="AK66" s="66">
        <v>114.66097247440001</v>
      </c>
      <c r="AL66" s="66">
        <v>111.8144221726</v>
      </c>
      <c r="AM66" s="66">
        <v>90.388890547900004</v>
      </c>
      <c r="AN66" s="66">
        <v>100.51400700160001</v>
      </c>
      <c r="AO66" s="66">
        <v>241.25725739769999</v>
      </c>
      <c r="AP66" s="66">
        <v>209.64517811140001</v>
      </c>
      <c r="AQ66" s="66">
        <v>134.66791978570004</v>
      </c>
      <c r="AR66" s="66">
        <v>104.74581790720002</v>
      </c>
      <c r="AS66" s="66">
        <v>108.03559606269999</v>
      </c>
      <c r="AT66" s="66">
        <v>111.6631520449</v>
      </c>
      <c r="AU66" s="66">
        <v>109.74009630340001</v>
      </c>
      <c r="AV66" s="66">
        <v>99.067878090399986</v>
      </c>
      <c r="AW66" s="66">
        <v>102.40910535160002</v>
      </c>
      <c r="AX66" s="66">
        <v>79.41777216940001</v>
      </c>
      <c r="AY66" s="66">
        <v>92.2248843454</v>
      </c>
      <c r="AZ66" s="66">
        <v>95.683420070800011</v>
      </c>
      <c r="BA66" s="66">
        <v>200.762533168</v>
      </c>
      <c r="BB66" s="66">
        <v>166.9638856528</v>
      </c>
      <c r="BC66" s="66">
        <v>139.2522940378</v>
      </c>
      <c r="BD66" s="66">
        <v>122.6207608114</v>
      </c>
      <c r="BE66" s="66">
        <v>124.67617322379996</v>
      </c>
      <c r="BF66" s="66">
        <v>121.20067543000002</v>
      </c>
      <c r="BG66" s="66">
        <v>109.8154123903</v>
      </c>
      <c r="BH66" s="66">
        <v>103.6885031347</v>
      </c>
      <c r="BI66" s="66">
        <v>107.2514006128</v>
      </c>
      <c r="BJ66" s="66">
        <v>87.299317336899989</v>
      </c>
      <c r="BK66" s="66">
        <v>94.488082095700008</v>
      </c>
      <c r="BL66" s="66">
        <v>110.35512138970003</v>
      </c>
      <c r="BM66" s="66">
        <v>244.75984946889994</v>
      </c>
      <c r="BN66" s="66">
        <v>182.56726235260001</v>
      </c>
      <c r="BO66" s="66">
        <v>156.2801092162</v>
      </c>
      <c r="BP66" s="66">
        <v>143.71601994940002</v>
      </c>
      <c r="BQ66" s="66">
        <v>129.17337295179996</v>
      </c>
      <c r="BR66" s="66">
        <v>131.18743094080003</v>
      </c>
      <c r="BS66" s="66">
        <v>123.88192061830003</v>
      </c>
      <c r="BT66" s="66">
        <v>115.66758867520001</v>
      </c>
      <c r="BU66" s="66">
        <v>115.76508304179997</v>
      </c>
      <c r="BV66" s="66">
        <v>115.34294519349999</v>
      </c>
      <c r="BW66" s="66">
        <v>93.078241503400008</v>
      </c>
      <c r="BX66" s="66">
        <v>146.35804973619997</v>
      </c>
      <c r="BY66" s="66">
        <v>196.0954500691</v>
      </c>
      <c r="BZ66" s="66">
        <v>147.8545770055</v>
      </c>
      <c r="CA66" s="66">
        <v>131.41878304630001</v>
      </c>
      <c r="CB66" s="66">
        <v>158.3137186159</v>
      </c>
      <c r="CC66" s="66">
        <v>165.79778097700003</v>
      </c>
      <c r="CD66" s="66">
        <v>107.95877890779998</v>
      </c>
      <c r="CE66" s="66">
        <v>112.70924633410003</v>
      </c>
      <c r="CF66" s="66">
        <v>128.46411832179999</v>
      </c>
      <c r="CG66" s="66">
        <v>129.87864975159999</v>
      </c>
      <c r="CH66" s="66">
        <v>107.0846694847</v>
      </c>
      <c r="CI66" s="66">
        <v>121.18671549760001</v>
      </c>
      <c r="CJ66" s="66">
        <v>132.96447029260003</v>
      </c>
      <c r="CK66" s="66">
        <v>161.24050100230002</v>
      </c>
      <c r="CL66" s="66">
        <v>167.67768101350001</v>
      </c>
      <c r="CM66" s="66">
        <v>163.37689603330003</v>
      </c>
      <c r="CN66" s="66">
        <v>120.1391201404</v>
      </c>
      <c r="CO66" s="66">
        <v>128.13418357539999</v>
      </c>
      <c r="CP66" s="66">
        <v>136.00176881050004</v>
      </c>
      <c r="CQ66" s="66">
        <v>114.97623428110001</v>
      </c>
      <c r="CR66" s="66">
        <v>112.63742023030002</v>
      </c>
      <c r="CS66" s="66">
        <v>124.2619910359</v>
      </c>
      <c r="CT66" s="66">
        <v>106.26895160680002</v>
      </c>
      <c r="CU66" s="66">
        <v>90.947625584200011</v>
      </c>
      <c r="CV66" s="66">
        <v>117.27928538679997</v>
      </c>
      <c r="CW66" s="66">
        <v>144.45717227440002</v>
      </c>
      <c r="CX66" s="66">
        <v>161.60139527620001</v>
      </c>
      <c r="CY66" s="66">
        <v>141.34286896810002</v>
      </c>
      <c r="CZ66" s="66">
        <v>115.1909995852</v>
      </c>
      <c r="DA66" s="66">
        <v>94.862223294700001</v>
      </c>
      <c r="DB66" s="66">
        <v>119.8239709138</v>
      </c>
      <c r="DC66" s="66">
        <v>127.54189966930002</v>
      </c>
      <c r="DD66" s="66">
        <v>133.60966684569999</v>
      </c>
      <c r="DE66" s="66">
        <v>122.94971986359997</v>
      </c>
      <c r="DF66" s="66">
        <v>117.25016466759999</v>
      </c>
      <c r="DG66" s="66">
        <v>107.05532360530002</v>
      </c>
      <c r="DH66" s="66">
        <v>115.95410502970003</v>
      </c>
      <c r="DI66" s="66">
        <v>125.27127163240004</v>
      </c>
      <c r="DJ66" s="66">
        <v>150.60483379509998</v>
      </c>
      <c r="DK66" s="66">
        <v>116.56162477600003</v>
      </c>
      <c r="DL66" s="66">
        <v>109.4248720234</v>
      </c>
      <c r="DM66" s="66">
        <v>116.039253112</v>
      </c>
      <c r="DN66" s="66">
        <v>143.57244279519998</v>
      </c>
      <c r="DO66" s="66">
        <v>146.53558855390003</v>
      </c>
      <c r="DP66" s="79"/>
      <c r="DQ66" s="80"/>
      <c r="DR66" s="81"/>
      <c r="DS66" s="84">
        <f t="shared" si="3"/>
        <v>2008</v>
      </c>
      <c r="DT66" s="80"/>
      <c r="DU66" s="83">
        <f t="shared" si="11"/>
        <v>1097.6090825043</v>
      </c>
      <c r="DV66" s="83">
        <f t="shared" si="11"/>
        <v>1422.6613050206997</v>
      </c>
      <c r="DW66" s="83">
        <f t="shared" si="11"/>
        <v>1363.7306887752</v>
      </c>
      <c r="DX66" s="83">
        <f t="shared" si="11"/>
        <v>1493.3886645713999</v>
      </c>
      <c r="DY66" s="83">
        <f t="shared" si="11"/>
        <v>1473.7024579650001</v>
      </c>
      <c r="DZ66" s="83">
        <f t="shared" si="11"/>
        <v>1661.7749453015999</v>
      </c>
      <c r="EA66" s="83">
        <f t="shared" si="11"/>
        <v>1653.1205377476001</v>
      </c>
      <c r="EB66" s="83">
        <f t="shared" si="11"/>
        <v>1558.6268436063003</v>
      </c>
      <c r="EC66" s="83">
        <f t="shared" si="11"/>
        <v>1502.9646903507</v>
      </c>
      <c r="ED66" s="83">
        <f t="shared" si="11"/>
        <v>1023.9639917177001</v>
      </c>
    </row>
    <row r="67" spans="2:134" x14ac:dyDescent="0.3">
      <c r="B67" s="45">
        <f t="shared" si="5"/>
        <v>1000000063</v>
      </c>
      <c r="C67" s="46">
        <v>42309</v>
      </c>
      <c r="D67" s="66">
        <v>-8</v>
      </c>
      <c r="E67" s="66">
        <v>-8</v>
      </c>
      <c r="F67" s="66">
        <v>-8</v>
      </c>
      <c r="G67" s="66">
        <v>-8</v>
      </c>
      <c r="H67" s="66">
        <v>-8</v>
      </c>
      <c r="I67" s="66">
        <v>-8</v>
      </c>
      <c r="J67" s="66">
        <v>-8</v>
      </c>
      <c r="K67" s="66">
        <v>-8</v>
      </c>
      <c r="L67" s="66">
        <v>-8</v>
      </c>
      <c r="M67" s="66">
        <v>-8</v>
      </c>
      <c r="N67" s="66">
        <v>-8</v>
      </c>
      <c r="O67" s="66">
        <v>-8</v>
      </c>
      <c r="P67" s="66">
        <v>-8</v>
      </c>
      <c r="Q67" s="66">
        <v>-8</v>
      </c>
      <c r="R67" s="66">
        <v>-8</v>
      </c>
      <c r="S67" s="66">
        <v>-8</v>
      </c>
      <c r="T67" s="66">
        <v>-8</v>
      </c>
      <c r="U67" s="66">
        <v>-8</v>
      </c>
      <c r="V67" s="66">
        <v>-8</v>
      </c>
      <c r="W67" s="66">
        <v>-8</v>
      </c>
      <c r="X67" s="66">
        <v>-8</v>
      </c>
      <c r="Y67" s="66">
        <v>-8</v>
      </c>
      <c r="Z67" s="66">
        <v>6.4702955200000005</v>
      </c>
      <c r="AA67" s="66">
        <v>14.4037776403</v>
      </c>
      <c r="AB67" s="66">
        <v>16.1763137881</v>
      </c>
      <c r="AC67" s="66">
        <v>32.604902620900006</v>
      </c>
      <c r="AD67" s="66">
        <v>26.631327461500007</v>
      </c>
      <c r="AE67" s="66">
        <v>14.235357810700002</v>
      </c>
      <c r="AF67" s="66">
        <v>12.854938151200002</v>
      </c>
      <c r="AG67" s="66">
        <v>12.319619775700001</v>
      </c>
      <c r="AH67" s="66">
        <v>21.985822215100001</v>
      </c>
      <c r="AI67" s="66">
        <v>32.716206813100001</v>
      </c>
      <c r="AJ67" s="66">
        <v>30.845350711299993</v>
      </c>
      <c r="AK67" s="66">
        <v>20.438108527000001</v>
      </c>
      <c r="AL67" s="66">
        <v>31.382883162100008</v>
      </c>
      <c r="AM67" s="66">
        <v>30.723614096500008</v>
      </c>
      <c r="AN67" s="66">
        <v>26.666602559499999</v>
      </c>
      <c r="AO67" s="66">
        <v>44.238292201</v>
      </c>
      <c r="AP67" s="66">
        <v>35.483463197799999</v>
      </c>
      <c r="AQ67" s="66">
        <v>35.44541112400001</v>
      </c>
      <c r="AR67" s="66">
        <v>27.623533409500006</v>
      </c>
      <c r="AS67" s="66">
        <v>34.091147574399997</v>
      </c>
      <c r="AT67" s="66">
        <v>43.131217024300007</v>
      </c>
      <c r="AU67" s="66">
        <v>42.986739229300007</v>
      </c>
      <c r="AV67" s="66">
        <v>37.783699800999997</v>
      </c>
      <c r="AW67" s="66">
        <v>35.117840559699999</v>
      </c>
      <c r="AX67" s="66">
        <v>28.103237215600004</v>
      </c>
      <c r="AY67" s="66">
        <v>27.302267330799999</v>
      </c>
      <c r="AZ67" s="66">
        <v>36.864783498100003</v>
      </c>
      <c r="BA67" s="66">
        <v>72.312279157900022</v>
      </c>
      <c r="BB67" s="66">
        <v>66.74917104310002</v>
      </c>
      <c r="BC67" s="66">
        <v>66.160940020600009</v>
      </c>
      <c r="BD67" s="66">
        <v>70.027691188600002</v>
      </c>
      <c r="BE67" s="66">
        <v>46.255577486200004</v>
      </c>
      <c r="BF67" s="66">
        <v>31.557307263700004</v>
      </c>
      <c r="BG67" s="66">
        <v>37.113247778800009</v>
      </c>
      <c r="BH67" s="66">
        <v>37.4119227841</v>
      </c>
      <c r="BI67" s="66">
        <v>34.555015113099998</v>
      </c>
      <c r="BJ67" s="66">
        <v>47.0640902377</v>
      </c>
      <c r="BK67" s="66">
        <v>37.833385151800002</v>
      </c>
      <c r="BL67" s="66">
        <v>42.980059476700006</v>
      </c>
      <c r="BM67" s="66">
        <v>82.390637343399987</v>
      </c>
      <c r="BN67" s="66">
        <v>60.1969341697</v>
      </c>
      <c r="BO67" s="66">
        <v>60.735517368100005</v>
      </c>
      <c r="BP67" s="66">
        <v>57.444350724700016</v>
      </c>
      <c r="BQ67" s="66">
        <v>55.098294020799997</v>
      </c>
      <c r="BR67" s="66">
        <v>48.917233737100005</v>
      </c>
      <c r="BS67" s="66">
        <v>67.224596805399997</v>
      </c>
      <c r="BT67" s="66">
        <v>53.919430267000017</v>
      </c>
      <c r="BU67" s="66">
        <v>42.535067868100001</v>
      </c>
      <c r="BV67" s="66">
        <v>54.43763646730001</v>
      </c>
      <c r="BW67" s="66">
        <v>51.489463861900006</v>
      </c>
      <c r="BX67" s="66">
        <v>56.053911436300012</v>
      </c>
      <c r="BY67" s="66">
        <v>110.89723209789999</v>
      </c>
      <c r="BZ67" s="66">
        <v>61.850698311999992</v>
      </c>
      <c r="CA67" s="66">
        <v>30.561423699099997</v>
      </c>
      <c r="CB67" s="66">
        <v>56.285263541800006</v>
      </c>
      <c r="CC67" s="66">
        <v>65.58242841340001</v>
      </c>
      <c r="CD67" s="66">
        <v>78.841249477299996</v>
      </c>
      <c r="CE67" s="66">
        <v>72.857992429300012</v>
      </c>
      <c r="CF67" s="66">
        <v>76.885470453399989</v>
      </c>
      <c r="CG67" s="66">
        <v>59.929669012299996</v>
      </c>
      <c r="CH67" s="66">
        <v>80.170220031100015</v>
      </c>
      <c r="CI67" s="66">
        <v>43.7216621221</v>
      </c>
      <c r="CJ67" s="66">
        <v>63.914929498900023</v>
      </c>
      <c r="CK67" s="66">
        <v>93.121584841900003</v>
      </c>
      <c r="CL67" s="66">
        <v>140.81002735480001</v>
      </c>
      <c r="CM67" s="66">
        <v>145.05970096959999</v>
      </c>
      <c r="CN67" s="66">
        <v>103.67701996449999</v>
      </c>
      <c r="CO67" s="66">
        <v>141.41743452100002</v>
      </c>
      <c r="CP67" s="66">
        <v>134.67024644110001</v>
      </c>
      <c r="CQ67" s="66">
        <v>116.36382154029998</v>
      </c>
      <c r="CR67" s="66">
        <v>90.336052954300001</v>
      </c>
      <c r="CS67" s="66">
        <v>64.987405058199997</v>
      </c>
      <c r="CT67" s="66">
        <v>101.35145283879999</v>
      </c>
      <c r="CU67" s="66">
        <v>86.194981609300015</v>
      </c>
      <c r="CV67" s="66">
        <v>109.60394943579999</v>
      </c>
      <c r="CW67" s="66">
        <v>124.7926936273</v>
      </c>
      <c r="CX67" s="66">
        <v>141.74571809259999</v>
      </c>
      <c r="CY67" s="66">
        <v>112.20304867780001</v>
      </c>
      <c r="CZ67" s="66">
        <v>70.404346676499983</v>
      </c>
      <c r="DA67" s="66">
        <v>73.783063111000018</v>
      </c>
      <c r="DB67" s="66">
        <v>79.010007047200006</v>
      </c>
      <c r="DC67" s="66">
        <v>93.961282281099997</v>
      </c>
      <c r="DD67" s="66">
        <v>77.461805512000012</v>
      </c>
      <c r="DE67" s="66">
        <v>82.599548482300008</v>
      </c>
      <c r="DF67" s="66">
        <v>58.513448881000002</v>
      </c>
      <c r="DG67" s="66">
        <v>33.934848868900005</v>
      </c>
      <c r="DH67" s="66">
        <v>94.922979022000007</v>
      </c>
      <c r="DI67" s="66">
        <v>145.3422394939</v>
      </c>
      <c r="DJ67" s="66">
        <v>181.06450565109998</v>
      </c>
      <c r="DK67" s="66">
        <v>171.03872237230001</v>
      </c>
      <c r="DL67" s="66">
        <v>167.770559596</v>
      </c>
      <c r="DM67" s="66">
        <v>179.24562402879997</v>
      </c>
      <c r="DN67" s="66">
        <v>138.953056132</v>
      </c>
      <c r="DO67" s="66">
        <v>146.82589510509999</v>
      </c>
      <c r="DP67" s="79"/>
      <c r="DQ67" s="80"/>
      <c r="DR67" s="81"/>
      <c r="DS67" s="84">
        <f t="shared" si="3"/>
        <v>2015</v>
      </c>
      <c r="DT67" s="80"/>
      <c r="DU67" s="83">
        <f t="shared" si="11"/>
        <v>-96</v>
      </c>
      <c r="DV67" s="83">
        <f t="shared" si="11"/>
        <v>-59.125926839699993</v>
      </c>
      <c r="DW67" s="83">
        <f t="shared" si="11"/>
        <v>282.91444513320005</v>
      </c>
      <c r="DX67" s="83">
        <f t="shared" si="11"/>
        <v>417.97345122690001</v>
      </c>
      <c r="DY67" s="83">
        <f t="shared" si="11"/>
        <v>583.90541072370024</v>
      </c>
      <c r="DZ67" s="83">
        <f t="shared" si="11"/>
        <v>677.36922211019998</v>
      </c>
      <c r="EA67" s="83">
        <f t="shared" si="11"/>
        <v>793.63722102600013</v>
      </c>
      <c r="EB67" s="83">
        <f t="shared" si="11"/>
        <v>1281.9046575927</v>
      </c>
      <c r="EC67" s="83">
        <f t="shared" si="11"/>
        <v>1058.0137606935</v>
      </c>
      <c r="ED67" s="83">
        <f t="shared" si="11"/>
        <v>1225.1635814012</v>
      </c>
    </row>
    <row r="68" spans="2:134" x14ac:dyDescent="0.3">
      <c r="B68" s="45">
        <f t="shared" si="5"/>
        <v>1000000064</v>
      </c>
      <c r="C68" s="46">
        <v>43497</v>
      </c>
      <c r="D68" s="66">
        <v>-8</v>
      </c>
      <c r="E68" s="66">
        <v>-8</v>
      </c>
      <c r="F68" s="66">
        <v>-8</v>
      </c>
      <c r="G68" s="66">
        <v>-8</v>
      </c>
      <c r="H68" s="66">
        <v>-8</v>
      </c>
      <c r="I68" s="66">
        <v>-8</v>
      </c>
      <c r="J68" s="66">
        <v>-8</v>
      </c>
      <c r="K68" s="66">
        <v>-8</v>
      </c>
      <c r="L68" s="66">
        <v>-8</v>
      </c>
      <c r="M68" s="66">
        <v>-8</v>
      </c>
      <c r="N68" s="66">
        <v>-8</v>
      </c>
      <c r="O68" s="66">
        <v>-8</v>
      </c>
      <c r="P68" s="66">
        <v>-8</v>
      </c>
      <c r="Q68" s="66">
        <v>-8</v>
      </c>
      <c r="R68" s="66">
        <v>-8</v>
      </c>
      <c r="S68" s="66">
        <v>-8</v>
      </c>
      <c r="T68" s="66">
        <v>-8</v>
      </c>
      <c r="U68" s="66">
        <v>-8</v>
      </c>
      <c r="V68" s="66">
        <v>-8</v>
      </c>
      <c r="W68" s="66">
        <v>-8</v>
      </c>
      <c r="X68" s="66">
        <v>-8</v>
      </c>
      <c r="Y68" s="66">
        <v>-8</v>
      </c>
      <c r="Z68" s="66">
        <v>-8</v>
      </c>
      <c r="AA68" s="66">
        <v>-8</v>
      </c>
      <c r="AB68" s="66">
        <v>-8</v>
      </c>
      <c r="AC68" s="66">
        <v>-8</v>
      </c>
      <c r="AD68" s="66">
        <v>-8</v>
      </c>
      <c r="AE68" s="66">
        <v>-8</v>
      </c>
      <c r="AF68" s="66">
        <v>-8</v>
      </c>
      <c r="AG68" s="66">
        <v>-8</v>
      </c>
      <c r="AH68" s="66">
        <v>-8</v>
      </c>
      <c r="AI68" s="66">
        <v>-8</v>
      </c>
      <c r="AJ68" s="66">
        <v>-8</v>
      </c>
      <c r="AK68" s="66">
        <v>-8</v>
      </c>
      <c r="AL68" s="66">
        <v>-8</v>
      </c>
      <c r="AM68" s="66">
        <v>-8</v>
      </c>
      <c r="AN68" s="66">
        <v>-8</v>
      </c>
      <c r="AO68" s="66">
        <v>-8</v>
      </c>
      <c r="AP68" s="66">
        <v>-8</v>
      </c>
      <c r="AQ68" s="66">
        <v>-8</v>
      </c>
      <c r="AR68" s="66">
        <v>-8</v>
      </c>
      <c r="AS68" s="66">
        <v>-8</v>
      </c>
      <c r="AT68" s="66">
        <v>-8</v>
      </c>
      <c r="AU68" s="66">
        <v>-8</v>
      </c>
      <c r="AV68" s="66">
        <v>-8</v>
      </c>
      <c r="AW68" s="66">
        <v>-8</v>
      </c>
      <c r="AX68" s="66">
        <v>-8</v>
      </c>
      <c r="AY68" s="66">
        <v>-8</v>
      </c>
      <c r="AZ68" s="66">
        <v>-8</v>
      </c>
      <c r="BA68" s="66">
        <v>-8</v>
      </c>
      <c r="BB68" s="66">
        <v>-8</v>
      </c>
      <c r="BC68" s="66">
        <v>-8</v>
      </c>
      <c r="BD68" s="66">
        <v>-8</v>
      </c>
      <c r="BE68" s="66">
        <v>-8</v>
      </c>
      <c r="BF68" s="66">
        <v>-8</v>
      </c>
      <c r="BG68" s="66">
        <v>-8</v>
      </c>
      <c r="BH68" s="66">
        <v>-8</v>
      </c>
      <c r="BI68" s="66">
        <v>-8</v>
      </c>
      <c r="BJ68" s="66">
        <v>-8</v>
      </c>
      <c r="BK68" s="66">
        <v>-8</v>
      </c>
      <c r="BL68" s="66">
        <v>-8</v>
      </c>
      <c r="BM68" s="66">
        <v>-8</v>
      </c>
      <c r="BN68" s="66">
        <v>55.610758636000007</v>
      </c>
      <c r="BO68" s="66">
        <v>77.775603777400008</v>
      </c>
      <c r="BP68" s="66">
        <v>67.92570814150001</v>
      </c>
      <c r="BQ68" s="66">
        <v>71.568312330399991</v>
      </c>
      <c r="BR68" s="66">
        <v>66.56660364759999</v>
      </c>
      <c r="BS68" s="66">
        <v>78.69707189590001</v>
      </c>
      <c r="BT68" s="66">
        <v>87.648353173599986</v>
      </c>
      <c r="BU68" s="66">
        <v>105.3938664895</v>
      </c>
      <c r="BV68" s="66">
        <v>102.27817469530001</v>
      </c>
      <c r="BW68" s="66">
        <v>71.379102708999994</v>
      </c>
      <c r="BX68" s="66">
        <v>53.844226760200009</v>
      </c>
      <c r="BY68" s="66">
        <v>94.738497764800002</v>
      </c>
      <c r="BZ68" s="66">
        <v>126.9296515588</v>
      </c>
      <c r="CA68" s="66">
        <v>107.59563303189999</v>
      </c>
      <c r="CB68" s="66">
        <v>68.188582675000006</v>
      </c>
      <c r="CC68" s="66">
        <v>58.555328678199999</v>
      </c>
      <c r="CD68" s="66">
        <v>109.85642907339999</v>
      </c>
      <c r="CE68" s="66">
        <v>115.44137772760001</v>
      </c>
      <c r="CF68" s="66">
        <v>110.85208747780001</v>
      </c>
      <c r="CG68" s="66">
        <v>121.59909640390001</v>
      </c>
      <c r="CH68" s="66">
        <v>99.452826979000008</v>
      </c>
      <c r="CI68" s="66">
        <v>101.93619387819999</v>
      </c>
      <c r="CJ68" s="66">
        <v>103.09693223590001</v>
      </c>
      <c r="CK68" s="66">
        <v>113.7135358795</v>
      </c>
      <c r="CL68" s="66">
        <v>143.72457603700002</v>
      </c>
      <c r="CM68" s="66">
        <v>160.94828058940001</v>
      </c>
      <c r="CN68" s="66">
        <v>119.62669305189999</v>
      </c>
      <c r="CO68" s="66">
        <v>93.538393898799995</v>
      </c>
      <c r="CP68" s="66">
        <v>117.14779182999999</v>
      </c>
      <c r="CQ68" s="66">
        <v>109.9703226079</v>
      </c>
      <c r="CR68" s="66">
        <v>161.66380217829999</v>
      </c>
      <c r="CS68" s="66">
        <v>124.7710407214</v>
      </c>
      <c r="CT68" s="66">
        <v>87.476255727400002</v>
      </c>
      <c r="CU68" s="66">
        <v>99.1620325807</v>
      </c>
      <c r="CV68" s="66">
        <v>72.351306925900005</v>
      </c>
      <c r="CW68" s="66">
        <v>111.87311393140001</v>
      </c>
      <c r="CX68" s="66">
        <v>137.34139694710001</v>
      </c>
      <c r="CY68" s="66">
        <v>152.54091130149999</v>
      </c>
      <c r="CZ68" s="66">
        <v>108.95166033640001</v>
      </c>
      <c r="DA68" s="66">
        <v>88.503699246699995</v>
      </c>
      <c r="DB68" s="66">
        <v>97.217549093499997</v>
      </c>
      <c r="DC68" s="66">
        <v>114.20862563260002</v>
      </c>
      <c r="DD68" s="66">
        <v>123.0656398399</v>
      </c>
      <c r="DE68" s="66">
        <v>119.8398447079</v>
      </c>
      <c r="DF68" s="66">
        <v>124.64967937360001</v>
      </c>
      <c r="DG68" s="66">
        <v>125.60233217980002</v>
      </c>
      <c r="DH68" s="66">
        <v>84.803416519900011</v>
      </c>
      <c r="DI68" s="66">
        <v>133.1817874123</v>
      </c>
      <c r="DJ68" s="66">
        <v>124.39719973600003</v>
      </c>
      <c r="DK68" s="66">
        <v>153.52681276389998</v>
      </c>
      <c r="DL68" s="66">
        <v>120.80165402889997</v>
      </c>
      <c r="DM68" s="66">
        <v>78.928761741700001</v>
      </c>
      <c r="DN68" s="66">
        <v>74.644526036200006</v>
      </c>
      <c r="DO68" s="66">
        <v>102.22837676440001</v>
      </c>
      <c r="DP68" s="79"/>
      <c r="DQ68" s="80"/>
      <c r="DR68" s="81"/>
      <c r="DS68" s="84">
        <f t="shared" si="3"/>
        <v>2019</v>
      </c>
      <c r="DT68" s="80"/>
      <c r="DU68" s="83">
        <f t="shared" si="11"/>
        <v>-96</v>
      </c>
      <c r="DV68" s="83">
        <f t="shared" si="11"/>
        <v>-96</v>
      </c>
      <c r="DW68" s="83">
        <f t="shared" si="11"/>
        <v>-96</v>
      </c>
      <c r="DX68" s="83">
        <f t="shared" si="11"/>
        <v>-96</v>
      </c>
      <c r="DY68" s="83">
        <f t="shared" si="11"/>
        <v>-96</v>
      </c>
      <c r="DZ68" s="83">
        <f t="shared" si="11"/>
        <v>768.8435554962</v>
      </c>
      <c r="EA68" s="83">
        <f t="shared" si="11"/>
        <v>1168.9899320088</v>
      </c>
      <c r="EB68" s="83">
        <f t="shared" si="11"/>
        <v>1434.8396573382001</v>
      </c>
      <c r="EC68" s="83">
        <f t="shared" si="11"/>
        <v>1376.1457595163001</v>
      </c>
      <c r="ED68" s="83">
        <f t="shared" si="11"/>
        <v>872.51253500329994</v>
      </c>
    </row>
    <row r="69" spans="2:134" x14ac:dyDescent="0.3">
      <c r="B69" s="45">
        <f t="shared" si="5"/>
        <v>1000000065</v>
      </c>
      <c r="C69" s="46">
        <v>41275</v>
      </c>
      <c r="D69" s="66">
        <v>33.280195587399994</v>
      </c>
      <c r="E69" s="66">
        <v>56.838932473599996</v>
      </c>
      <c r="F69" s="66">
        <v>48.371145198700013</v>
      </c>
      <c r="G69" s="66">
        <v>43.799267337700002</v>
      </c>
      <c r="H69" s="66">
        <v>34.9426283974</v>
      </c>
      <c r="I69" s="66">
        <v>36.478220961399998</v>
      </c>
      <c r="J69" s="66">
        <v>31.463190300100003</v>
      </c>
      <c r="K69" s="66">
        <v>30.221019003399995</v>
      </c>
      <c r="L69" s="66">
        <v>34.107396635499995</v>
      </c>
      <c r="M69" s="66">
        <v>32.521330660000004</v>
      </c>
      <c r="N69" s="66">
        <v>32.325178599100006</v>
      </c>
      <c r="O69" s="66">
        <v>37.535873474200002</v>
      </c>
      <c r="P69" s="66">
        <v>67.126952331999988</v>
      </c>
      <c r="Q69" s="66">
        <v>211.11509895040001</v>
      </c>
      <c r="R69" s="66">
        <v>99.179069702500001</v>
      </c>
      <c r="S69" s="66">
        <v>93.43343171890001</v>
      </c>
      <c r="T69" s="66">
        <v>63.537223263400008</v>
      </c>
      <c r="U69" s="66">
        <v>53.010383486200006</v>
      </c>
      <c r="V69" s="66">
        <v>59.512784901999993</v>
      </c>
      <c r="W69" s="66">
        <v>45.562909657599995</v>
      </c>
      <c r="X69" s="66">
        <v>57.09662832250001</v>
      </c>
      <c r="Y69" s="66">
        <v>42.678907709200004</v>
      </c>
      <c r="Z69" s="66">
        <v>44.044541848900003</v>
      </c>
      <c r="AA69" s="66">
        <v>44.578621843299999</v>
      </c>
      <c r="AB69" s="66">
        <v>67.647297554200009</v>
      </c>
      <c r="AC69" s="66">
        <v>175.2716215522</v>
      </c>
      <c r="AD69" s="66">
        <v>115.95459287680002</v>
      </c>
      <c r="AE69" s="66">
        <v>118.26758855800003</v>
      </c>
      <c r="AF69" s="66">
        <v>72.425722371999996</v>
      </c>
      <c r="AG69" s="66">
        <v>72.732428091100019</v>
      </c>
      <c r="AH69" s="66">
        <v>66.504046638700004</v>
      </c>
      <c r="AI69" s="66">
        <v>60.862582774300009</v>
      </c>
      <c r="AJ69" s="66">
        <v>66.839610390100006</v>
      </c>
      <c r="AK69" s="66">
        <v>62.628851963200006</v>
      </c>
      <c r="AL69" s="66">
        <v>60.205152516999988</v>
      </c>
      <c r="AM69" s="66">
        <v>68.714631955599998</v>
      </c>
      <c r="AN69" s="66">
        <v>95.652573123400003</v>
      </c>
      <c r="AO69" s="66">
        <v>147.27137456080001</v>
      </c>
      <c r="AP69" s="66">
        <v>142.34685829989999</v>
      </c>
      <c r="AQ69" s="66">
        <v>110.99754096699998</v>
      </c>
      <c r="AR69" s="66">
        <v>81.287014623100021</v>
      </c>
      <c r="AS69" s="66">
        <v>72.872252575299996</v>
      </c>
      <c r="AT69" s="66">
        <v>68.567527291600001</v>
      </c>
      <c r="AU69" s="66">
        <v>68.375503167700003</v>
      </c>
      <c r="AV69" s="66">
        <v>82.622927616399991</v>
      </c>
      <c r="AW69" s="66">
        <v>61.281530853099994</v>
      </c>
      <c r="AX69" s="66">
        <v>75.119351371300013</v>
      </c>
      <c r="AY69" s="66">
        <v>68.441024785899984</v>
      </c>
      <c r="AZ69" s="66">
        <v>74.056932967600019</v>
      </c>
      <c r="BA69" s="66">
        <v>134.29190225170001</v>
      </c>
      <c r="BB69" s="66">
        <v>147.58907560300003</v>
      </c>
      <c r="BC69" s="66">
        <v>119.41128979389998</v>
      </c>
      <c r="BD69" s="66">
        <v>91.604117674000008</v>
      </c>
      <c r="BE69" s="66">
        <v>87.322583890900006</v>
      </c>
      <c r="BF69" s="66">
        <v>71.044664758600007</v>
      </c>
      <c r="BG69" s="66">
        <v>68.705475440800001</v>
      </c>
      <c r="BH69" s="66">
        <v>49.196995285600011</v>
      </c>
      <c r="BI69" s="66">
        <v>65.77696682620001</v>
      </c>
      <c r="BJ69" s="66">
        <v>70.285649724400002</v>
      </c>
      <c r="BK69" s="66">
        <v>73.181209896400006</v>
      </c>
      <c r="BL69" s="66">
        <v>72.372884778399992</v>
      </c>
      <c r="BM69" s="66">
        <v>138.8125561672</v>
      </c>
      <c r="BN69" s="66">
        <v>148.8296707783</v>
      </c>
      <c r="BO69" s="66">
        <v>131.63985283599999</v>
      </c>
      <c r="BP69" s="66">
        <v>99.537262053999996</v>
      </c>
      <c r="BQ69" s="66">
        <v>86.065026647199986</v>
      </c>
      <c r="BR69" s="66">
        <v>86.778972114700011</v>
      </c>
      <c r="BS69" s="66">
        <v>84.331780954300015</v>
      </c>
      <c r="BT69" s="66">
        <v>100.84345390090003</v>
      </c>
      <c r="BU69" s="66">
        <v>85.710061591900001</v>
      </c>
      <c r="BV69" s="66">
        <v>90.51591842740001</v>
      </c>
      <c r="BW69" s="66">
        <v>87.296202620799988</v>
      </c>
      <c r="BX69" s="66">
        <v>126.59048524420001</v>
      </c>
      <c r="BY69" s="66">
        <v>160.73437839940001</v>
      </c>
      <c r="BZ69" s="66">
        <v>143.0555500294</v>
      </c>
      <c r="CA69" s="66">
        <v>121.30496212930001</v>
      </c>
      <c r="CB69" s="66">
        <v>103.4448422716</v>
      </c>
      <c r="CC69" s="66">
        <v>134.05702263640001</v>
      </c>
      <c r="CD69" s="66">
        <v>117.70588891240001</v>
      </c>
      <c r="CE69" s="66">
        <v>113.84397868869998</v>
      </c>
      <c r="CF69" s="66">
        <v>119.45256916389997</v>
      </c>
      <c r="CG69" s="66">
        <v>107.47014374710001</v>
      </c>
      <c r="CH69" s="66">
        <v>78.767697145300005</v>
      </c>
      <c r="CI69" s="66">
        <v>88.814495376100012</v>
      </c>
      <c r="CJ69" s="66">
        <v>86.483411825499999</v>
      </c>
      <c r="CK69" s="66">
        <v>151.57692543190001</v>
      </c>
      <c r="CL69" s="66">
        <v>168.6232788001</v>
      </c>
      <c r="CM69" s="66">
        <v>131.06524400559996</v>
      </c>
      <c r="CN69" s="66">
        <v>113.86829599029998</v>
      </c>
      <c r="CO69" s="66">
        <v>100.10620435269999</v>
      </c>
      <c r="CP69" s="66">
        <v>110.3244245491</v>
      </c>
      <c r="CQ69" s="66">
        <v>93.291243052599995</v>
      </c>
      <c r="CR69" s="66">
        <v>101.0760819142</v>
      </c>
      <c r="CS69" s="66">
        <v>76.118649865600005</v>
      </c>
      <c r="CT69" s="66">
        <v>76.289021083600019</v>
      </c>
      <c r="CU69" s="66">
        <v>93.61746265570001</v>
      </c>
      <c r="CV69" s="66">
        <v>78.735799450300007</v>
      </c>
      <c r="CW69" s="66">
        <v>147.67279767069999</v>
      </c>
      <c r="CX69" s="66">
        <v>135.01417864659999</v>
      </c>
      <c r="CY69" s="66">
        <v>155.19112190890002</v>
      </c>
      <c r="CZ69" s="66">
        <v>83.459660446300006</v>
      </c>
      <c r="DA69" s="66">
        <v>75.489214526500007</v>
      </c>
      <c r="DB69" s="66">
        <v>96.819203173000005</v>
      </c>
      <c r="DC69" s="66">
        <v>89.103751179700026</v>
      </c>
      <c r="DD69" s="66">
        <v>98.832322994499989</v>
      </c>
      <c r="DE69" s="66">
        <v>94.171206640899982</v>
      </c>
      <c r="DF69" s="66">
        <v>92.294608953999997</v>
      </c>
      <c r="DG69" s="66">
        <v>77.555960002300012</v>
      </c>
      <c r="DH69" s="66">
        <v>103.92435844420001</v>
      </c>
      <c r="DI69" s="66">
        <v>160.78943006830002</v>
      </c>
      <c r="DJ69" s="66">
        <v>172.44330922660001</v>
      </c>
      <c r="DK69" s="66">
        <v>159.27233816740002</v>
      </c>
      <c r="DL69" s="66">
        <v>104.5596104218</v>
      </c>
      <c r="DM69" s="66">
        <v>118.56930322600002</v>
      </c>
      <c r="DN69" s="66">
        <v>110.39595043930001</v>
      </c>
      <c r="DO69" s="66">
        <v>125.41139633020003</v>
      </c>
      <c r="DP69" s="79"/>
      <c r="DQ69" s="80"/>
      <c r="DR69" s="81"/>
      <c r="DS69" s="84">
        <f t="shared" ref="DS69:DS132" si="12">+YEAR(C69)</f>
        <v>2013</v>
      </c>
      <c r="DT69" s="80"/>
      <c r="DU69" s="83">
        <f t="shared" si="11"/>
        <v>451.88437862849997</v>
      </c>
      <c r="DV69" s="83">
        <f t="shared" si="11"/>
        <v>880.87655373690006</v>
      </c>
      <c r="DW69" s="83">
        <f t="shared" si="11"/>
        <v>1008.0541272432001</v>
      </c>
      <c r="DX69" s="83">
        <f t="shared" si="11"/>
        <v>1074.8354792354999</v>
      </c>
      <c r="DY69" s="83">
        <f t="shared" si="11"/>
        <v>1052.4668641131002</v>
      </c>
      <c r="DZ69" s="83">
        <f t="shared" si="11"/>
        <v>1212.7336428710998</v>
      </c>
      <c r="EA69" s="83">
        <f t="shared" si="11"/>
        <v>1415.2420137438</v>
      </c>
      <c r="EB69" s="83">
        <f t="shared" si="11"/>
        <v>1302.4402435269001</v>
      </c>
      <c r="EC69" s="83">
        <f t="shared" si="11"/>
        <v>1224.3398255937002</v>
      </c>
      <c r="ED69" s="83">
        <f t="shared" si="11"/>
        <v>1055.3656963238002</v>
      </c>
    </row>
    <row r="70" spans="2:134" x14ac:dyDescent="0.3">
      <c r="B70" s="45">
        <f t="shared" si="5"/>
        <v>1000000066</v>
      </c>
      <c r="C70" s="46">
        <v>41487</v>
      </c>
      <c r="D70" s="66">
        <v>57.72302399889999</v>
      </c>
      <c r="E70" s="66">
        <v>139.8057002827</v>
      </c>
      <c r="F70" s="66">
        <v>56.955978250900003</v>
      </c>
      <c r="G70" s="66">
        <v>31.110476846800005</v>
      </c>
      <c r="H70" s="66">
        <v>37.185749363199996</v>
      </c>
      <c r="I70" s="66">
        <v>30.533616414400001</v>
      </c>
      <c r="J70" s="66">
        <v>26.732536971400002</v>
      </c>
      <c r="K70" s="66">
        <v>41.824349696799999</v>
      </c>
      <c r="L70" s="66">
        <v>34.949495783499991</v>
      </c>
      <c r="M70" s="66">
        <v>27.514818559600009</v>
      </c>
      <c r="N70" s="66">
        <v>19.954764631</v>
      </c>
      <c r="O70" s="66">
        <v>30.425014144600006</v>
      </c>
      <c r="P70" s="66">
        <v>57.244483520500012</v>
      </c>
      <c r="Q70" s="66">
        <v>203.02494285760002</v>
      </c>
      <c r="R70" s="66">
        <v>60.789593342800003</v>
      </c>
      <c r="S70" s="66">
        <v>60.877931194600009</v>
      </c>
      <c r="T70" s="66">
        <v>32.078890866999998</v>
      </c>
      <c r="U70" s="66">
        <v>47.999218075000002</v>
      </c>
      <c r="V70" s="66">
        <v>47.805918043299997</v>
      </c>
      <c r="W70" s="66">
        <v>43.67182666450001</v>
      </c>
      <c r="X70" s="66">
        <v>42.373215211000002</v>
      </c>
      <c r="Y70" s="66">
        <v>44.021763142000005</v>
      </c>
      <c r="Z70" s="66">
        <v>47.0433379726</v>
      </c>
      <c r="AA70" s="66">
        <v>35.068305315699995</v>
      </c>
      <c r="AB70" s="66">
        <v>62.461482881200013</v>
      </c>
      <c r="AC70" s="66">
        <v>125.07016604709997</v>
      </c>
      <c r="AD70" s="66">
        <v>86.976249976600002</v>
      </c>
      <c r="AE70" s="66">
        <v>63.174490181200014</v>
      </c>
      <c r="AF70" s="66">
        <v>59.8425695416</v>
      </c>
      <c r="AG70" s="66">
        <v>48.879819617200006</v>
      </c>
      <c r="AH70" s="66">
        <v>46.208031157300006</v>
      </c>
      <c r="AI70" s="66">
        <v>52.919606398900001</v>
      </c>
      <c r="AJ70" s="66">
        <v>58.466465452599991</v>
      </c>
      <c r="AK70" s="66">
        <v>53.371803133900002</v>
      </c>
      <c r="AL70" s="66">
        <v>46.9806308569</v>
      </c>
      <c r="AM70" s="66">
        <v>48.425333753499999</v>
      </c>
      <c r="AN70" s="66">
        <v>70.402733028400007</v>
      </c>
      <c r="AO70" s="66">
        <v>100.51288120059999</v>
      </c>
      <c r="AP70" s="66">
        <v>116.34096778000001</v>
      </c>
      <c r="AQ70" s="66">
        <v>82.963332312099993</v>
      </c>
      <c r="AR70" s="66">
        <v>66.230739682600003</v>
      </c>
      <c r="AS70" s="66">
        <v>84.523429811200018</v>
      </c>
      <c r="AT70" s="66">
        <v>78.796179910600003</v>
      </c>
      <c r="AU70" s="66">
        <v>81.425713306299997</v>
      </c>
      <c r="AV70" s="66">
        <v>76.701439516600004</v>
      </c>
      <c r="AW70" s="66">
        <v>84.191468622999992</v>
      </c>
      <c r="AX70" s="66">
        <v>87.619382561200027</v>
      </c>
      <c r="AY70" s="66">
        <v>67.855533212500006</v>
      </c>
      <c r="AZ70" s="66">
        <v>91.207010134599997</v>
      </c>
      <c r="BA70" s="66">
        <v>147.80185199200002</v>
      </c>
      <c r="BB70" s="66">
        <v>141.02441739190002</v>
      </c>
      <c r="BC70" s="66">
        <v>146.74251077770001</v>
      </c>
      <c r="BD70" s="66">
        <v>98.7689779249</v>
      </c>
      <c r="BE70" s="66">
        <v>74.383190097400004</v>
      </c>
      <c r="BF70" s="66">
        <v>76.69449707710001</v>
      </c>
      <c r="BG70" s="66">
        <v>66.099283652500006</v>
      </c>
      <c r="BH70" s="66">
        <v>67.483831249000005</v>
      </c>
      <c r="BI70" s="66">
        <v>83.561958230500025</v>
      </c>
      <c r="BJ70" s="66">
        <v>68.23950640690002</v>
      </c>
      <c r="BK70" s="66">
        <v>52.776066771399996</v>
      </c>
      <c r="BL70" s="66">
        <v>73.113173989299995</v>
      </c>
      <c r="BM70" s="66">
        <v>85.840391821000011</v>
      </c>
      <c r="BN70" s="66">
        <v>125.12630599029998</v>
      </c>
      <c r="BO70" s="66">
        <v>109.75979782090002</v>
      </c>
      <c r="BP70" s="66">
        <v>98.737305390100005</v>
      </c>
      <c r="BQ70" s="66">
        <v>63.481908907600001</v>
      </c>
      <c r="BR70" s="66">
        <v>81.831001666300011</v>
      </c>
      <c r="BS70" s="66">
        <v>75.249606547000013</v>
      </c>
      <c r="BT70" s="66">
        <v>79.173285718900004</v>
      </c>
      <c r="BU70" s="66">
        <v>85.633769810800004</v>
      </c>
      <c r="BV70" s="66">
        <v>63.490577575300009</v>
      </c>
      <c r="BW70" s="66">
        <v>79.265601400900024</v>
      </c>
      <c r="BX70" s="66">
        <v>94.665508333299982</v>
      </c>
      <c r="BY70" s="66">
        <v>100.37084264110001</v>
      </c>
      <c r="BZ70" s="66">
        <v>102.18439547200002</v>
      </c>
      <c r="CA70" s="66">
        <v>95.655162465700002</v>
      </c>
      <c r="CB70" s="66">
        <v>98.846395506999997</v>
      </c>
      <c r="CC70" s="66">
        <v>95.043814996000023</v>
      </c>
      <c r="CD70" s="66">
        <v>107.6520731887</v>
      </c>
      <c r="CE70" s="66">
        <v>83.964394561300011</v>
      </c>
      <c r="CF70" s="66">
        <v>107.85741929110002</v>
      </c>
      <c r="CG70" s="66">
        <v>112.6353937885</v>
      </c>
      <c r="CH70" s="66">
        <v>81.322027034199991</v>
      </c>
      <c r="CI70" s="66">
        <v>104.1743237929</v>
      </c>
      <c r="CJ70" s="66">
        <v>96.014142877900014</v>
      </c>
      <c r="CK70" s="66">
        <v>99.915643770100004</v>
      </c>
      <c r="CL70" s="66">
        <v>141.25246714780002</v>
      </c>
      <c r="CM70" s="66">
        <v>143.60190125470001</v>
      </c>
      <c r="CN70" s="66">
        <v>113.22966660970003</v>
      </c>
      <c r="CO70" s="66">
        <v>101.762220097</v>
      </c>
      <c r="CP70" s="66">
        <v>95.198762740300012</v>
      </c>
      <c r="CQ70" s="66">
        <v>98.995751773000009</v>
      </c>
      <c r="CR70" s="66">
        <v>109.53321160630001</v>
      </c>
      <c r="CS70" s="66">
        <v>94.580735517999997</v>
      </c>
      <c r="CT70" s="66">
        <v>85.591026899500008</v>
      </c>
      <c r="CU70" s="66">
        <v>90.320629480600005</v>
      </c>
      <c r="CV70" s="66">
        <v>109.3465913272</v>
      </c>
      <c r="CW70" s="66">
        <v>124.7909298724</v>
      </c>
      <c r="CX70" s="66">
        <v>153.19620253690002</v>
      </c>
      <c r="CY70" s="66">
        <v>142.8848410711</v>
      </c>
      <c r="CZ70" s="66">
        <v>110.86188194650001</v>
      </c>
      <c r="DA70" s="66">
        <v>103.75139788390001</v>
      </c>
      <c r="DB70" s="66">
        <v>104.53668160810001</v>
      </c>
      <c r="DC70" s="66">
        <v>95.876832682600025</v>
      </c>
      <c r="DD70" s="66">
        <v>114.01007186289998</v>
      </c>
      <c r="DE70" s="66">
        <v>125.65911007689999</v>
      </c>
      <c r="DF70" s="66">
        <v>106.42476246519998</v>
      </c>
      <c r="DG70" s="66">
        <v>105.45897531400001</v>
      </c>
      <c r="DH70" s="66">
        <v>108.3659436028</v>
      </c>
      <c r="DI70" s="66">
        <v>117.86046138969998</v>
      </c>
      <c r="DJ70" s="66">
        <v>160.2533986855</v>
      </c>
      <c r="DK70" s="66">
        <v>123.9382857217</v>
      </c>
      <c r="DL70" s="66">
        <v>112.37120582049999</v>
      </c>
      <c r="DM70" s="66">
        <v>103.26212476930002</v>
      </c>
      <c r="DN70" s="66">
        <v>103.26426379120001</v>
      </c>
      <c r="DO70" s="66">
        <v>118.52389591900003</v>
      </c>
      <c r="DP70" s="79"/>
      <c r="DQ70" s="80"/>
      <c r="DR70" s="81"/>
      <c r="DS70" s="84">
        <f t="shared" si="12"/>
        <v>2013</v>
      </c>
      <c r="DT70" s="80"/>
      <c r="DU70" s="83">
        <f t="shared" si="11"/>
        <v>534.71552494380001</v>
      </c>
      <c r="DV70" s="83">
        <f t="shared" si="11"/>
        <v>721.99942620659999</v>
      </c>
      <c r="DW70" s="83">
        <f t="shared" si="11"/>
        <v>752.77664899800004</v>
      </c>
      <c r="DX70" s="83">
        <f t="shared" si="11"/>
        <v>997.56380094510018</v>
      </c>
      <c r="DY70" s="83">
        <f t="shared" si="11"/>
        <v>1114.7831017059002</v>
      </c>
      <c r="DZ70" s="83">
        <f t="shared" si="11"/>
        <v>1020.7027266384001</v>
      </c>
      <c r="EA70" s="83">
        <f t="shared" si="11"/>
        <v>1184.3717510718</v>
      </c>
      <c r="EB70" s="83">
        <f t="shared" si="11"/>
        <v>1269.9961597749002</v>
      </c>
      <c r="EC70" s="83">
        <f t="shared" si="11"/>
        <v>1396.7982786477005</v>
      </c>
      <c r="ED70" s="83">
        <f t="shared" si="11"/>
        <v>947.83957969970004</v>
      </c>
    </row>
    <row r="71" spans="2:134" x14ac:dyDescent="0.3">
      <c r="B71" s="45">
        <f t="shared" ref="B71:B134" si="13">B70+1</f>
        <v>1000000067</v>
      </c>
      <c r="C71" s="46">
        <v>41548</v>
      </c>
      <c r="D71" s="66">
        <v>0.33614361130000248</v>
      </c>
      <c r="E71" s="66">
        <v>5.2369429978000035</v>
      </c>
      <c r="F71" s="66">
        <v>-0.53800333849999937</v>
      </c>
      <c r="G71" s="66">
        <v>4.7284562128000012</v>
      </c>
      <c r="H71" s="66">
        <v>-2.5471453297999993</v>
      </c>
      <c r="I71" s="66">
        <v>-0.93075778070000048</v>
      </c>
      <c r="J71" s="66">
        <v>-2.5818575272999995</v>
      </c>
      <c r="K71" s="66">
        <v>-4.4517379348999997</v>
      </c>
      <c r="L71" s="66">
        <v>-2.3846922455000001</v>
      </c>
      <c r="M71" s="66">
        <v>1.1493472003000011</v>
      </c>
      <c r="N71" s="66">
        <v>2.015463436300001</v>
      </c>
      <c r="O71" s="66">
        <v>10.210731815799999</v>
      </c>
      <c r="P71" s="66">
        <v>24.348803460699997</v>
      </c>
      <c r="Q71" s="66">
        <v>138.61366465719999</v>
      </c>
      <c r="R71" s="66">
        <v>57.621889542400012</v>
      </c>
      <c r="S71" s="66">
        <v>40.975383162700012</v>
      </c>
      <c r="T71" s="66">
        <v>16.589895548799998</v>
      </c>
      <c r="U71" s="66">
        <v>17.798405395600003</v>
      </c>
      <c r="V71" s="66">
        <v>35.413175688700008</v>
      </c>
      <c r="W71" s="66">
        <v>38.7094084366</v>
      </c>
      <c r="X71" s="66">
        <v>29.434384318000006</v>
      </c>
      <c r="Y71" s="66">
        <v>19.369948538199999</v>
      </c>
      <c r="Z71" s="66">
        <v>32.744614525000003</v>
      </c>
      <c r="AA71" s="66">
        <v>28.902443345500004</v>
      </c>
      <c r="AB71" s="66">
        <v>35.498774091400001</v>
      </c>
      <c r="AC71" s="66">
        <v>70.020561115600017</v>
      </c>
      <c r="AD71" s="66">
        <v>67.005365824000009</v>
      </c>
      <c r="AE71" s="66">
        <v>41.399847666400007</v>
      </c>
      <c r="AF71" s="66">
        <v>36.611628379900004</v>
      </c>
      <c r="AG71" s="66">
        <v>45.191095114000007</v>
      </c>
      <c r="AH71" s="66">
        <v>44.567588993499996</v>
      </c>
      <c r="AI71" s="66">
        <v>41.355978954100003</v>
      </c>
      <c r="AJ71" s="66">
        <v>47.195358634300007</v>
      </c>
      <c r="AK71" s="66">
        <v>60.051593260600001</v>
      </c>
      <c r="AL71" s="66">
        <v>48.798574311700001</v>
      </c>
      <c r="AM71" s="66">
        <v>69.057175673200007</v>
      </c>
      <c r="AN71" s="66">
        <v>64.443342961599996</v>
      </c>
      <c r="AO71" s="66">
        <v>157.97732927710004</v>
      </c>
      <c r="AP71" s="66">
        <v>138.98844381009999</v>
      </c>
      <c r="AQ71" s="66">
        <v>116.43741139899996</v>
      </c>
      <c r="AR71" s="66">
        <v>106.41995904760003</v>
      </c>
      <c r="AS71" s="66">
        <v>89.930351800600008</v>
      </c>
      <c r="AT71" s="66">
        <v>107.34082673890001</v>
      </c>
      <c r="AU71" s="66">
        <v>82.600336542999997</v>
      </c>
      <c r="AV71" s="66">
        <v>78.49097525949999</v>
      </c>
      <c r="AW71" s="66">
        <v>73.539815041600008</v>
      </c>
      <c r="AX71" s="66">
        <v>68.240294467599995</v>
      </c>
      <c r="AY71" s="66">
        <v>51.822963644800005</v>
      </c>
      <c r="AZ71" s="66">
        <v>77.691018595599999</v>
      </c>
      <c r="BA71" s="66">
        <v>119.4718954144</v>
      </c>
      <c r="BB71" s="66">
        <v>118.8099244264</v>
      </c>
      <c r="BC71" s="66">
        <v>85.199623418499996</v>
      </c>
      <c r="BD71" s="66">
        <v>71.733204650199994</v>
      </c>
      <c r="BE71" s="66">
        <v>61.656047319100011</v>
      </c>
      <c r="BF71" s="66">
        <v>72.976614328000011</v>
      </c>
      <c r="BG71" s="66">
        <v>54.971678935</v>
      </c>
      <c r="BH71" s="66">
        <v>63.173589540400002</v>
      </c>
      <c r="BI71" s="66">
        <v>62.255611404999996</v>
      </c>
      <c r="BJ71" s="66">
        <v>62.058821390200009</v>
      </c>
      <c r="BK71" s="66">
        <v>50.136401166700004</v>
      </c>
      <c r="BL71" s="66">
        <v>74.799661413999999</v>
      </c>
      <c r="BM71" s="66">
        <v>119.74291324180001</v>
      </c>
      <c r="BN71" s="66">
        <v>117.21867976630001</v>
      </c>
      <c r="BO71" s="66">
        <v>82.745077024900027</v>
      </c>
      <c r="BP71" s="66">
        <v>93.102146011299993</v>
      </c>
      <c r="BQ71" s="66">
        <v>70.818191124100011</v>
      </c>
      <c r="BR71" s="66">
        <v>70.834852978899988</v>
      </c>
      <c r="BS71" s="66">
        <v>71.052883105900008</v>
      </c>
      <c r="BT71" s="66">
        <v>73.954259916400005</v>
      </c>
      <c r="BU71" s="66">
        <v>56.377841910699999</v>
      </c>
      <c r="BV71" s="66">
        <v>51.032538762700007</v>
      </c>
      <c r="BW71" s="66">
        <v>49.61350412889999</v>
      </c>
      <c r="BX71" s="66">
        <v>90.728619763000012</v>
      </c>
      <c r="BY71" s="66">
        <v>103.76130493270001</v>
      </c>
      <c r="BZ71" s="66">
        <v>78.305968628499997</v>
      </c>
      <c r="CA71" s="66">
        <v>48.777184092699997</v>
      </c>
      <c r="CB71" s="66">
        <v>67.359242604999991</v>
      </c>
      <c r="CC71" s="66">
        <v>72.843957443500003</v>
      </c>
      <c r="CD71" s="66">
        <v>103.72557951430001</v>
      </c>
      <c r="CE71" s="66">
        <v>90.772000628200004</v>
      </c>
      <c r="CF71" s="66">
        <v>101.75220046810001</v>
      </c>
      <c r="CG71" s="66">
        <v>105.35866644490001</v>
      </c>
      <c r="CH71" s="66">
        <v>89.433873559600016</v>
      </c>
      <c r="CI71" s="66">
        <v>71.883236396800015</v>
      </c>
      <c r="CJ71" s="66">
        <v>77.838273366400003</v>
      </c>
      <c r="CK71" s="66">
        <v>65.843576718700007</v>
      </c>
      <c r="CL71" s="66">
        <v>93.142712373999998</v>
      </c>
      <c r="CM71" s="66">
        <v>96.445887561400028</v>
      </c>
      <c r="CN71" s="66">
        <v>65.1312448993</v>
      </c>
      <c r="CO71" s="66">
        <v>66.758402611299999</v>
      </c>
      <c r="CP71" s="66">
        <v>65.993758572100006</v>
      </c>
      <c r="CQ71" s="66">
        <v>67.179452185300008</v>
      </c>
      <c r="CR71" s="66">
        <v>67.030621293099998</v>
      </c>
      <c r="CS71" s="66">
        <v>67.7066272669</v>
      </c>
      <c r="CT71" s="66">
        <v>48.697740068800002</v>
      </c>
      <c r="CU71" s="66">
        <v>63.716150569000007</v>
      </c>
      <c r="CV71" s="66">
        <v>77.814106171600002</v>
      </c>
      <c r="CW71" s="66">
        <v>92.953840492899985</v>
      </c>
      <c r="CX71" s="66">
        <v>62.580442520199995</v>
      </c>
      <c r="CY71" s="66">
        <v>70.374250263100009</v>
      </c>
      <c r="CZ71" s="66">
        <v>60.748539132999994</v>
      </c>
      <c r="DA71" s="66">
        <v>57.365657234800011</v>
      </c>
      <c r="DB71" s="66">
        <v>88.117699610499997</v>
      </c>
      <c r="DC71" s="66">
        <v>83.252100268600017</v>
      </c>
      <c r="DD71" s="66">
        <v>117.11109071740002</v>
      </c>
      <c r="DE71" s="66">
        <v>83.445775567300018</v>
      </c>
      <c r="DF71" s="66">
        <v>89.113170381399996</v>
      </c>
      <c r="DG71" s="66">
        <v>80.530701511300009</v>
      </c>
      <c r="DH71" s="66">
        <v>119.10015592420002</v>
      </c>
      <c r="DI71" s="66">
        <v>134.52745734760001</v>
      </c>
      <c r="DJ71" s="66">
        <v>151.9582342306</v>
      </c>
      <c r="DK71" s="66">
        <v>149.63443085980001</v>
      </c>
      <c r="DL71" s="66">
        <v>134.02433688069999</v>
      </c>
      <c r="DM71" s="66">
        <v>115.43653678330003</v>
      </c>
      <c r="DN71" s="66">
        <v>101.93746978600002</v>
      </c>
      <c r="DO71" s="66">
        <v>94.494461634700002</v>
      </c>
      <c r="DP71" s="79"/>
      <c r="DQ71" s="80"/>
      <c r="DR71" s="81"/>
      <c r="DS71" s="84">
        <f t="shared" si="12"/>
        <v>2013</v>
      </c>
      <c r="DT71" s="80"/>
      <c r="DU71" s="83">
        <f t="shared" si="11"/>
        <v>10.24289111760001</v>
      </c>
      <c r="DV71" s="83">
        <f t="shared" si="11"/>
        <v>480.52201661939995</v>
      </c>
      <c r="DW71" s="83">
        <f t="shared" si="11"/>
        <v>606.75354201870005</v>
      </c>
      <c r="DX71" s="83">
        <f t="shared" si="11"/>
        <v>1136.2320499914001</v>
      </c>
      <c r="DY71" s="83">
        <f t="shared" si="11"/>
        <v>900.13443058949997</v>
      </c>
      <c r="DZ71" s="83">
        <f t="shared" si="11"/>
        <v>931.2925493859002</v>
      </c>
      <c r="EA71" s="83">
        <f t="shared" si="11"/>
        <v>1024.7018344773001</v>
      </c>
      <c r="EB71" s="83">
        <f t="shared" si="11"/>
        <v>845.48444748629993</v>
      </c>
      <c r="EC71" s="83">
        <f t="shared" si="11"/>
        <v>963.40737387209992</v>
      </c>
      <c r="ED71" s="83">
        <f t="shared" si="11"/>
        <v>1001.1130834469</v>
      </c>
    </row>
    <row r="72" spans="2:134" x14ac:dyDescent="0.3">
      <c r="B72" s="45">
        <f t="shared" si="13"/>
        <v>1000000068</v>
      </c>
      <c r="C72" s="46">
        <v>41548</v>
      </c>
      <c r="D72" s="66">
        <v>1.2586624774000015</v>
      </c>
      <c r="E72" s="66">
        <v>20.400694407100001</v>
      </c>
      <c r="F72" s="66">
        <v>8.4392088889000014</v>
      </c>
      <c r="G72" s="66">
        <v>17.912298930100004</v>
      </c>
      <c r="H72" s="66">
        <v>4.1096784565000011</v>
      </c>
      <c r="I72" s="66">
        <v>5.3203648519000009</v>
      </c>
      <c r="J72" s="66">
        <v>2.4197761021000002</v>
      </c>
      <c r="K72" s="66">
        <v>4.9033306347999996</v>
      </c>
      <c r="L72" s="66">
        <v>2.3281359006999995</v>
      </c>
      <c r="M72" s="66">
        <v>16.459903060000002</v>
      </c>
      <c r="N72" s="66">
        <v>17.946973600899998</v>
      </c>
      <c r="O72" s="66">
        <v>12.571198772500001</v>
      </c>
      <c r="P72" s="66">
        <v>15.1379875258</v>
      </c>
      <c r="Q72" s="66">
        <v>111.6762488632</v>
      </c>
      <c r="R72" s="66">
        <v>33.097665718599998</v>
      </c>
      <c r="S72" s="66">
        <v>33.740197876000011</v>
      </c>
      <c r="T72" s="66">
        <v>17.7616292296</v>
      </c>
      <c r="U72" s="66">
        <v>16.819859166400001</v>
      </c>
      <c r="V72" s="66">
        <v>14.2921357078</v>
      </c>
      <c r="W72" s="66">
        <v>19.462864647400004</v>
      </c>
      <c r="X72" s="66">
        <v>12.527930487399999</v>
      </c>
      <c r="Y72" s="66">
        <v>20.713516978300003</v>
      </c>
      <c r="Z72" s="66">
        <v>30.238243758700008</v>
      </c>
      <c r="AA72" s="66">
        <v>24.658774002700007</v>
      </c>
      <c r="AB72" s="66">
        <v>25.335568037200005</v>
      </c>
      <c r="AC72" s="66">
        <v>70.913021095000019</v>
      </c>
      <c r="AD72" s="66">
        <v>40.8922990489</v>
      </c>
      <c r="AE72" s="66">
        <v>51.577689133599996</v>
      </c>
      <c r="AF72" s="66">
        <v>28.761943380699996</v>
      </c>
      <c r="AG72" s="66">
        <v>23.0198329069</v>
      </c>
      <c r="AH72" s="66">
        <v>23.004784700200009</v>
      </c>
      <c r="AI72" s="66">
        <v>29.6896409314</v>
      </c>
      <c r="AJ72" s="66">
        <v>39.672080871699997</v>
      </c>
      <c r="AK72" s="66">
        <v>48.002482897899995</v>
      </c>
      <c r="AL72" s="66">
        <v>42.816780805</v>
      </c>
      <c r="AM72" s="66">
        <v>37.801787670400003</v>
      </c>
      <c r="AN72" s="66">
        <v>52.161004158400004</v>
      </c>
      <c r="AO72" s="66">
        <v>77.78352191110001</v>
      </c>
      <c r="AP72" s="66">
        <v>69.205931511999992</v>
      </c>
      <c r="AQ72" s="66">
        <v>65.161829159799993</v>
      </c>
      <c r="AR72" s="66">
        <v>36.998753817100017</v>
      </c>
      <c r="AS72" s="66">
        <v>39.741167526399998</v>
      </c>
      <c r="AT72" s="66">
        <v>33.520216360600003</v>
      </c>
      <c r="AU72" s="66">
        <v>40.251117852699998</v>
      </c>
      <c r="AV72" s="66">
        <v>41.877374923899993</v>
      </c>
      <c r="AW72" s="66">
        <v>47.94472930660001</v>
      </c>
      <c r="AX72" s="66">
        <v>42.821734329400002</v>
      </c>
      <c r="AY72" s="66">
        <v>43.605404405500003</v>
      </c>
      <c r="AZ72" s="66">
        <v>64.122752363500013</v>
      </c>
      <c r="BA72" s="66">
        <v>94.634436225699986</v>
      </c>
      <c r="BB72" s="66">
        <v>107.8639489369</v>
      </c>
      <c r="BC72" s="66">
        <v>86.071894033300012</v>
      </c>
      <c r="BD72" s="66">
        <v>54.941357361399987</v>
      </c>
      <c r="BE72" s="66">
        <v>44.9518999282</v>
      </c>
      <c r="BF72" s="66">
        <v>35.684193516100002</v>
      </c>
      <c r="BG72" s="66">
        <v>48.46406130790001</v>
      </c>
      <c r="BH72" s="66">
        <v>44.543009005000002</v>
      </c>
      <c r="BI72" s="66">
        <v>58.677478086700006</v>
      </c>
      <c r="BJ72" s="66">
        <v>47.370195529600011</v>
      </c>
      <c r="BK72" s="66">
        <v>38.720591393199996</v>
      </c>
      <c r="BL72" s="66">
        <v>54.085035594099999</v>
      </c>
      <c r="BM72" s="66">
        <v>176.65857085750005</v>
      </c>
      <c r="BN72" s="66">
        <v>93.205869810099998</v>
      </c>
      <c r="BO72" s="66">
        <v>93.906343192300014</v>
      </c>
      <c r="BP72" s="66">
        <v>64.010359897000001</v>
      </c>
      <c r="BQ72" s="66">
        <v>39.711108639700001</v>
      </c>
      <c r="BR72" s="66">
        <v>52.120888116099991</v>
      </c>
      <c r="BS72" s="66">
        <v>67.352637905800009</v>
      </c>
      <c r="BT72" s="66">
        <v>51.270157827100007</v>
      </c>
      <c r="BU72" s="66">
        <v>67.375866933100014</v>
      </c>
      <c r="BV72" s="66">
        <v>51.9620000683</v>
      </c>
      <c r="BW72" s="66">
        <v>49.494319329699998</v>
      </c>
      <c r="BX72" s="66">
        <v>90.790651398099996</v>
      </c>
      <c r="BY72" s="66">
        <v>124.60190788450001</v>
      </c>
      <c r="BZ72" s="66">
        <v>166.71568405899998</v>
      </c>
      <c r="CA72" s="66">
        <v>83.82295642900003</v>
      </c>
      <c r="CB72" s="66">
        <v>70.70313426189999</v>
      </c>
      <c r="CC72" s="66">
        <v>68.790998790100005</v>
      </c>
      <c r="CD72" s="66">
        <v>86.839427628400003</v>
      </c>
      <c r="CE72" s="66">
        <v>85.721957555800003</v>
      </c>
      <c r="CF72" s="66">
        <v>74.497646532400012</v>
      </c>
      <c r="CG72" s="66">
        <v>85.161721451500014</v>
      </c>
      <c r="CH72" s="66">
        <v>62.855137964200011</v>
      </c>
      <c r="CI72" s="66">
        <v>83.440634409400019</v>
      </c>
      <c r="CJ72" s="66">
        <v>67.575433923700018</v>
      </c>
      <c r="CK72" s="66">
        <v>215.13916204480006</v>
      </c>
      <c r="CL72" s="66">
        <v>159.18610181080004</v>
      </c>
      <c r="CM72" s="66">
        <v>133.36818253120001</v>
      </c>
      <c r="CN72" s="66">
        <v>118.49252359779999</v>
      </c>
      <c r="CO72" s="66">
        <v>72.261768219700002</v>
      </c>
      <c r="CP72" s="66">
        <v>64.654017855399999</v>
      </c>
      <c r="CQ72" s="66">
        <v>68.078591917300002</v>
      </c>
      <c r="CR72" s="66">
        <v>81.089323967499993</v>
      </c>
      <c r="CS72" s="66">
        <v>96.970848567699989</v>
      </c>
      <c r="CT72" s="66">
        <v>56.740875206500007</v>
      </c>
      <c r="CU72" s="66">
        <v>64.189137095799992</v>
      </c>
      <c r="CV72" s="66">
        <v>101.71715053029999</v>
      </c>
      <c r="CW72" s="66">
        <v>148.687482112</v>
      </c>
      <c r="CX72" s="66">
        <v>152.53201747360001</v>
      </c>
      <c r="CY72" s="66">
        <v>165.1437656494</v>
      </c>
      <c r="CZ72" s="66">
        <v>73.399502710299998</v>
      </c>
      <c r="DA72" s="66">
        <v>73.28778572440001</v>
      </c>
      <c r="DB72" s="66">
        <v>68.602689809500006</v>
      </c>
      <c r="DC72" s="66">
        <v>62.616393098800003</v>
      </c>
      <c r="DD72" s="66">
        <v>81.121859616400002</v>
      </c>
      <c r="DE72" s="66">
        <v>96.137080347099996</v>
      </c>
      <c r="DF72" s="66">
        <v>77.157989348800001</v>
      </c>
      <c r="DG72" s="66">
        <v>74.357934628299986</v>
      </c>
      <c r="DH72" s="66">
        <v>129.7005105067</v>
      </c>
      <c r="DI72" s="66">
        <v>176.50553697490002</v>
      </c>
      <c r="DJ72" s="66">
        <v>205.02421532680003</v>
      </c>
      <c r="DK72" s="66">
        <v>174.21002873590004</v>
      </c>
      <c r="DL72" s="66">
        <v>71.806531821999997</v>
      </c>
      <c r="DM72" s="66">
        <v>85.102804532500002</v>
      </c>
      <c r="DN72" s="66">
        <v>110.348704324</v>
      </c>
      <c r="DO72" s="66">
        <v>96.501727291000009</v>
      </c>
      <c r="DP72" s="79"/>
      <c r="DQ72" s="80"/>
      <c r="DR72" s="81"/>
      <c r="DS72" s="84">
        <f t="shared" si="12"/>
        <v>2013</v>
      </c>
      <c r="DT72" s="80"/>
      <c r="DU72" s="83">
        <f t="shared" si="11"/>
        <v>114.07022608290001</v>
      </c>
      <c r="DV72" s="83">
        <f t="shared" si="11"/>
        <v>350.1270539619</v>
      </c>
      <c r="DW72" s="83">
        <f t="shared" si="11"/>
        <v>461.48791147890006</v>
      </c>
      <c r="DX72" s="83">
        <f t="shared" si="11"/>
        <v>591.07278526350001</v>
      </c>
      <c r="DY72" s="83">
        <f t="shared" si="11"/>
        <v>726.04581768750006</v>
      </c>
      <c r="DZ72" s="83">
        <f t="shared" si="11"/>
        <v>861.15315817080011</v>
      </c>
      <c r="EA72" s="83">
        <f t="shared" si="11"/>
        <v>1083.9418583643003</v>
      </c>
      <c r="EB72" s="83">
        <f t="shared" si="11"/>
        <v>1197.7459667382</v>
      </c>
      <c r="EC72" s="83">
        <f t="shared" si="11"/>
        <v>1174.7616510488999</v>
      </c>
      <c r="ED72" s="83">
        <f t="shared" si="11"/>
        <v>1049.2000595138002</v>
      </c>
    </row>
    <row r="73" spans="2:134" x14ac:dyDescent="0.3">
      <c r="B73" s="45">
        <f t="shared" si="13"/>
        <v>1000000069</v>
      </c>
      <c r="C73" s="46">
        <v>41974</v>
      </c>
      <c r="D73" s="66">
        <v>-8</v>
      </c>
      <c r="E73" s="66">
        <v>-8</v>
      </c>
      <c r="F73" s="66">
        <v>-8</v>
      </c>
      <c r="G73" s="66">
        <v>-8</v>
      </c>
      <c r="H73" s="66">
        <v>-8</v>
      </c>
      <c r="I73" s="66">
        <v>-8</v>
      </c>
      <c r="J73" s="66">
        <v>-8</v>
      </c>
      <c r="K73" s="66">
        <v>-8</v>
      </c>
      <c r="L73" s="66">
        <v>-8</v>
      </c>
      <c r="M73" s="66">
        <v>-8</v>
      </c>
      <c r="N73" s="66">
        <v>-8</v>
      </c>
      <c r="O73" s="66">
        <v>-7.5984643099999998</v>
      </c>
      <c r="P73" s="66">
        <v>5.5597101445000003</v>
      </c>
      <c r="Q73" s="66">
        <v>81.515214485800016</v>
      </c>
      <c r="R73" s="66">
        <v>27.414734850699993</v>
      </c>
      <c r="S73" s="66">
        <v>23.139768240100004</v>
      </c>
      <c r="T73" s="66">
        <v>23.560442547100003</v>
      </c>
      <c r="U73" s="66">
        <v>25.321683158200003</v>
      </c>
      <c r="V73" s="66">
        <v>33.146187741700004</v>
      </c>
      <c r="W73" s="66">
        <v>31.863450082299998</v>
      </c>
      <c r="X73" s="66">
        <v>25.532733319000002</v>
      </c>
      <c r="Y73" s="66">
        <v>36.17436727150001</v>
      </c>
      <c r="Z73" s="66">
        <v>24.647628572800002</v>
      </c>
      <c r="AA73" s="66">
        <v>26.205436943199999</v>
      </c>
      <c r="AB73" s="66">
        <v>36.4119112825</v>
      </c>
      <c r="AC73" s="66">
        <v>69.254265901599993</v>
      </c>
      <c r="AD73" s="66">
        <v>43.813977804099999</v>
      </c>
      <c r="AE73" s="66">
        <v>51.055092309400003</v>
      </c>
      <c r="AF73" s="66">
        <v>54.373991184100007</v>
      </c>
      <c r="AG73" s="66">
        <v>38.855237192800004</v>
      </c>
      <c r="AH73" s="66">
        <v>59.540742293500003</v>
      </c>
      <c r="AI73" s="66">
        <v>56.412854321800012</v>
      </c>
      <c r="AJ73" s="66">
        <v>53.952266129499996</v>
      </c>
      <c r="AK73" s="66">
        <v>70.202753244100009</v>
      </c>
      <c r="AL73" s="66">
        <v>63.122553228400008</v>
      </c>
      <c r="AM73" s="66">
        <v>53.152797312700017</v>
      </c>
      <c r="AN73" s="66">
        <v>74.012238667900021</v>
      </c>
      <c r="AO73" s="66">
        <v>95.894207544700009</v>
      </c>
      <c r="AP73" s="66">
        <v>128.36347171240001</v>
      </c>
      <c r="AQ73" s="66">
        <v>101.34938887029999</v>
      </c>
      <c r="AR73" s="66">
        <v>68.95142543259999</v>
      </c>
      <c r="AS73" s="66">
        <v>79.329396790900006</v>
      </c>
      <c r="AT73" s="66">
        <v>75.262365625000001</v>
      </c>
      <c r="AU73" s="66">
        <v>86.766400670199999</v>
      </c>
      <c r="AV73" s="66">
        <v>92.877811398700018</v>
      </c>
      <c r="AW73" s="66">
        <v>74.153901960399992</v>
      </c>
      <c r="AX73" s="66">
        <v>86.796722243799991</v>
      </c>
      <c r="AY73" s="66">
        <v>81.101932938700003</v>
      </c>
      <c r="AZ73" s="66">
        <v>68.361956028999998</v>
      </c>
      <c r="BA73" s="66">
        <v>138.09305674810003</v>
      </c>
      <c r="BB73" s="66">
        <v>140.57113238259998</v>
      </c>
      <c r="BC73" s="66">
        <v>97.412275139800002</v>
      </c>
      <c r="BD73" s="66">
        <v>91.871045091100001</v>
      </c>
      <c r="BE73" s="66">
        <v>93.838569972100004</v>
      </c>
      <c r="BF73" s="66">
        <v>68.564074835200003</v>
      </c>
      <c r="BG73" s="66">
        <v>82.680456047499987</v>
      </c>
      <c r="BH73" s="66">
        <v>111.35644632580001</v>
      </c>
      <c r="BI73" s="66">
        <v>84.4759960624</v>
      </c>
      <c r="BJ73" s="66">
        <v>91.223521882600011</v>
      </c>
      <c r="BK73" s="66">
        <v>83.105370871600002</v>
      </c>
      <c r="BL73" s="66">
        <v>94.590342353199986</v>
      </c>
      <c r="BM73" s="66">
        <v>176.30503181680001</v>
      </c>
      <c r="BN73" s="66">
        <v>128.26729078029999</v>
      </c>
      <c r="BO73" s="66">
        <v>121.58468615110002</v>
      </c>
      <c r="BP73" s="66">
        <v>105.6964442716</v>
      </c>
      <c r="BQ73" s="66">
        <v>97.560955925199991</v>
      </c>
      <c r="BR73" s="66">
        <v>92.445541341399988</v>
      </c>
      <c r="BS73" s="66">
        <v>96.221440368700001</v>
      </c>
      <c r="BT73" s="66">
        <v>89.794955466999994</v>
      </c>
      <c r="BU73" s="66">
        <v>77.033062964500004</v>
      </c>
      <c r="BV73" s="66">
        <v>67.223658637900002</v>
      </c>
      <c r="BW73" s="66">
        <v>77.262613788399989</v>
      </c>
      <c r="BX73" s="66">
        <v>102.70545370150001</v>
      </c>
      <c r="BY73" s="66">
        <v>122.97595102690002</v>
      </c>
      <c r="BZ73" s="66">
        <v>102.57643690690001</v>
      </c>
      <c r="CA73" s="66">
        <v>78.933677739400011</v>
      </c>
      <c r="CB73" s="66">
        <v>85.943815406199988</v>
      </c>
      <c r="CC73" s="66">
        <v>97.293765821200012</v>
      </c>
      <c r="CD73" s="66">
        <v>127.2840161869</v>
      </c>
      <c r="CE73" s="66">
        <v>89.2791885022</v>
      </c>
      <c r="CF73" s="66">
        <v>64.709932638400005</v>
      </c>
      <c r="CG73" s="66">
        <v>82.045992130599998</v>
      </c>
      <c r="CH73" s="66">
        <v>61.332379531600012</v>
      </c>
      <c r="CI73" s="66">
        <v>49.0409217403</v>
      </c>
      <c r="CJ73" s="66">
        <v>77.351664647500002</v>
      </c>
      <c r="CK73" s="66">
        <v>114.18794842090001</v>
      </c>
      <c r="CL73" s="66">
        <v>125.78823945159999</v>
      </c>
      <c r="CM73" s="66">
        <v>110.3955751723</v>
      </c>
      <c r="CN73" s="66">
        <v>100.53322067200001</v>
      </c>
      <c r="CO73" s="66">
        <v>52.685477317600004</v>
      </c>
      <c r="CP73" s="66">
        <v>78.10043489260002</v>
      </c>
      <c r="CQ73" s="66">
        <v>78.88249132060001</v>
      </c>
      <c r="CR73" s="66">
        <v>81.251064044499998</v>
      </c>
      <c r="CS73" s="66">
        <v>63.873312388599999</v>
      </c>
      <c r="CT73" s="66">
        <v>68.948573403400005</v>
      </c>
      <c r="CU73" s="66">
        <v>74.156040982300013</v>
      </c>
      <c r="CV73" s="66">
        <v>84.542305741299984</v>
      </c>
      <c r="CW73" s="66">
        <v>117.58392713740001</v>
      </c>
      <c r="CX73" s="66">
        <v>81.594358296100012</v>
      </c>
      <c r="CY73" s="66">
        <v>103.65045106090001</v>
      </c>
      <c r="CZ73" s="66">
        <v>64.40664184900001</v>
      </c>
      <c r="DA73" s="66">
        <v>77.377558070500015</v>
      </c>
      <c r="DB73" s="66">
        <v>79.701586601500011</v>
      </c>
      <c r="DC73" s="66">
        <v>99.144282451599992</v>
      </c>
      <c r="DD73" s="66">
        <v>96.847160564500015</v>
      </c>
      <c r="DE73" s="66">
        <v>91.958970149200013</v>
      </c>
      <c r="DF73" s="66">
        <v>85.614406033600005</v>
      </c>
      <c r="DG73" s="66">
        <v>82.743238216599991</v>
      </c>
      <c r="DH73" s="66">
        <v>111.3742339816</v>
      </c>
      <c r="DI73" s="66">
        <v>169.91085740380001</v>
      </c>
      <c r="DJ73" s="66">
        <v>149.3312901772</v>
      </c>
      <c r="DK73" s="66">
        <v>132.36937188399997</v>
      </c>
      <c r="DL73" s="66">
        <v>127.59226050070001</v>
      </c>
      <c r="DM73" s="66">
        <v>110.4612093706</v>
      </c>
      <c r="DN73" s="66">
        <v>102.66785194810002</v>
      </c>
      <c r="DO73" s="66">
        <v>116.6757809974</v>
      </c>
      <c r="DP73" s="79"/>
      <c r="DQ73" s="80"/>
      <c r="DR73" s="81"/>
      <c r="DS73" s="84">
        <f t="shared" si="12"/>
        <v>2014</v>
      </c>
      <c r="DT73" s="80"/>
      <c r="DU73" s="83">
        <f t="shared" si="11"/>
        <v>-95.598464309999997</v>
      </c>
      <c r="DV73" s="83">
        <f t="shared" si="11"/>
        <v>364.08135735690007</v>
      </c>
      <c r="DW73" s="83">
        <f t="shared" si="11"/>
        <v>650.14844220450004</v>
      </c>
      <c r="DX73" s="83">
        <f t="shared" si="11"/>
        <v>1044.8592638556001</v>
      </c>
      <c r="DY73" s="83">
        <f t="shared" si="11"/>
        <v>1151.5539013877999</v>
      </c>
      <c r="DZ73" s="83">
        <f t="shared" si="11"/>
        <v>1223.9860238660999</v>
      </c>
      <c r="EA73" s="83">
        <f t="shared" si="11"/>
        <v>1064.1215313321002</v>
      </c>
      <c r="EB73" s="83">
        <f t="shared" si="11"/>
        <v>1026.1540427139</v>
      </c>
      <c r="EC73" s="83">
        <f t="shared" si="11"/>
        <v>1065.1648861722001</v>
      </c>
      <c r="ED73" s="83">
        <f t="shared" si="11"/>
        <v>1020.3828562634002</v>
      </c>
    </row>
    <row r="74" spans="2:134" x14ac:dyDescent="0.3">
      <c r="B74" s="45">
        <f t="shared" si="13"/>
        <v>1000000070</v>
      </c>
      <c r="C74" s="46">
        <v>41275</v>
      </c>
      <c r="D74" s="66">
        <v>37.846369390000007</v>
      </c>
      <c r="E74" s="66">
        <v>138.77334076570003</v>
      </c>
      <c r="F74" s="66">
        <v>104.47258600449999</v>
      </c>
      <c r="G74" s="66">
        <v>63.328049437600001</v>
      </c>
      <c r="H74" s="66">
        <v>51.065374625200008</v>
      </c>
      <c r="I74" s="66">
        <v>54.476851868800004</v>
      </c>
      <c r="J74" s="66">
        <v>66.267816062199998</v>
      </c>
      <c r="K74" s="66">
        <v>57.347344205199988</v>
      </c>
      <c r="L74" s="66">
        <v>69.857732764299996</v>
      </c>
      <c r="M74" s="66">
        <v>64.75049900110001</v>
      </c>
      <c r="N74" s="66">
        <v>51.907698933399999</v>
      </c>
      <c r="O74" s="66">
        <v>52.649001365200007</v>
      </c>
      <c r="P74" s="66">
        <v>73.386743632299996</v>
      </c>
      <c r="Q74" s="66">
        <v>428.88216378340002</v>
      </c>
      <c r="R74" s="66">
        <v>137.7670247785</v>
      </c>
      <c r="S74" s="66">
        <v>100.36829082550001</v>
      </c>
      <c r="T74" s="66">
        <v>54.905706996399992</v>
      </c>
      <c r="U74" s="66">
        <v>55.841510314300002</v>
      </c>
      <c r="V74" s="66">
        <v>72.453942450400007</v>
      </c>
      <c r="W74" s="66">
        <v>72.379639584399996</v>
      </c>
      <c r="X74" s="66">
        <v>77.54725380790002</v>
      </c>
      <c r="Y74" s="66">
        <v>66.956581114000002</v>
      </c>
      <c r="Z74" s="66">
        <v>62.642661788799998</v>
      </c>
      <c r="AA74" s="66">
        <v>56.030870042500013</v>
      </c>
      <c r="AB74" s="66">
        <v>70.826559578200005</v>
      </c>
      <c r="AC74" s="66">
        <v>194.60717867380001</v>
      </c>
      <c r="AD74" s="66">
        <v>161.58908651860003</v>
      </c>
      <c r="AE74" s="66">
        <v>112.41931504990002</v>
      </c>
      <c r="AF74" s="66">
        <v>76.421790548199994</v>
      </c>
      <c r="AG74" s="66">
        <v>94.14276140230001</v>
      </c>
      <c r="AH74" s="66">
        <v>85.982805647500015</v>
      </c>
      <c r="AI74" s="66">
        <v>101.29005915759998</v>
      </c>
      <c r="AJ74" s="66">
        <v>94.999721123500009</v>
      </c>
      <c r="AK74" s="66">
        <v>118.95027428440001</v>
      </c>
      <c r="AL74" s="66">
        <v>101.6316647077</v>
      </c>
      <c r="AM74" s="66">
        <v>79.562512651299997</v>
      </c>
      <c r="AN74" s="66">
        <v>97.342888271500001</v>
      </c>
      <c r="AO74" s="66">
        <v>210.53898905200003</v>
      </c>
      <c r="AP74" s="66">
        <v>182.52864737830001</v>
      </c>
      <c r="AQ74" s="66">
        <v>127.11604667769998</v>
      </c>
      <c r="AR74" s="66">
        <v>102.69276967690003</v>
      </c>
      <c r="AS74" s="66">
        <v>93.779803159900013</v>
      </c>
      <c r="AT74" s="66">
        <v>98.807855586100004</v>
      </c>
      <c r="AU74" s="66">
        <v>98.498072677600007</v>
      </c>
      <c r="AV74" s="66">
        <v>93.512050155400004</v>
      </c>
      <c r="AW74" s="66">
        <v>99.034029007000001</v>
      </c>
      <c r="AX74" s="66">
        <v>87.771290642799997</v>
      </c>
      <c r="AY74" s="66">
        <v>88.914203818000018</v>
      </c>
      <c r="AZ74" s="66">
        <v>96.691837553200003</v>
      </c>
      <c r="BA74" s="66">
        <v>233.93835004329995</v>
      </c>
      <c r="BB74" s="66">
        <v>186.63890930260004</v>
      </c>
      <c r="BC74" s="66">
        <v>116.82404898909999</v>
      </c>
      <c r="BD74" s="66">
        <v>123.60684990730002</v>
      </c>
      <c r="BE74" s="66">
        <v>119.61558514869999</v>
      </c>
      <c r="BF74" s="66">
        <v>115.23393013</v>
      </c>
      <c r="BG74" s="66">
        <v>94.292980782400008</v>
      </c>
      <c r="BH74" s="66">
        <v>108.27655500340001</v>
      </c>
      <c r="BI74" s="66">
        <v>109.00153332070001</v>
      </c>
      <c r="BJ74" s="66">
        <v>82.581573193000011</v>
      </c>
      <c r="BK74" s="66">
        <v>88.233994853799999</v>
      </c>
      <c r="BL74" s="66">
        <v>100.52965563550001</v>
      </c>
      <c r="BM74" s="66">
        <v>221.71808040190001</v>
      </c>
      <c r="BN74" s="66">
        <v>156.29943546669998</v>
      </c>
      <c r="BO74" s="66">
        <v>134.11721546319998</v>
      </c>
      <c r="BP74" s="66">
        <v>123.78679043379998</v>
      </c>
      <c r="BQ74" s="66">
        <v>98.97526219480001</v>
      </c>
      <c r="BR74" s="66">
        <v>118.11751928470001</v>
      </c>
      <c r="BS74" s="66">
        <v>116.88758169220003</v>
      </c>
      <c r="BT74" s="66">
        <v>114.8859825676</v>
      </c>
      <c r="BU74" s="66">
        <v>109.9498330297</v>
      </c>
      <c r="BV74" s="66">
        <v>101.3397820351</v>
      </c>
      <c r="BW74" s="66">
        <v>85.303234637200006</v>
      </c>
      <c r="BX74" s="66">
        <v>173.58126887739999</v>
      </c>
      <c r="BY74" s="66">
        <v>197.88731246740002</v>
      </c>
      <c r="BZ74" s="66">
        <v>157.10314480060001</v>
      </c>
      <c r="CA74" s="66">
        <v>110.40533211430001</v>
      </c>
      <c r="CB74" s="66">
        <v>107.91588588970001</v>
      </c>
      <c r="CC74" s="66">
        <v>115.50532322440002</v>
      </c>
      <c r="CD74" s="66">
        <v>143.75001913960003</v>
      </c>
      <c r="CE74" s="66">
        <v>143.56208542600001</v>
      </c>
      <c r="CF74" s="66">
        <v>109.7384826553</v>
      </c>
      <c r="CG74" s="66">
        <v>123.78622753330004</v>
      </c>
      <c r="CH74" s="66">
        <v>111.12663281499999</v>
      </c>
      <c r="CI74" s="66">
        <v>101.19027566230001</v>
      </c>
      <c r="CJ74" s="66">
        <v>132.40498472230001</v>
      </c>
      <c r="CK74" s="66">
        <v>171.52326712269999</v>
      </c>
      <c r="CL74" s="66">
        <v>169.33013172130001</v>
      </c>
      <c r="CM74" s="66">
        <v>184.83338718550002</v>
      </c>
      <c r="CN74" s="66">
        <v>149.10808136559999</v>
      </c>
      <c r="CO74" s="66">
        <v>127.7994078847</v>
      </c>
      <c r="CP74" s="66">
        <v>124.23009334090003</v>
      </c>
      <c r="CQ74" s="66">
        <v>114.56936979970003</v>
      </c>
      <c r="CR74" s="66">
        <v>99.237761461300025</v>
      </c>
      <c r="CS74" s="66">
        <v>103.62350689030001</v>
      </c>
      <c r="CT74" s="66">
        <v>98.352469081600006</v>
      </c>
      <c r="CU74" s="66">
        <v>100.4185390768</v>
      </c>
      <c r="CV74" s="66">
        <v>98.745786424300007</v>
      </c>
      <c r="CW74" s="66">
        <v>144.40489758129999</v>
      </c>
      <c r="CX74" s="66">
        <v>149.90169601720004</v>
      </c>
      <c r="CY74" s="66">
        <v>153.77880455440004</v>
      </c>
      <c r="CZ74" s="66">
        <v>102.41379618910001</v>
      </c>
      <c r="DA74" s="66">
        <v>90.124777633299985</v>
      </c>
      <c r="DB74" s="66">
        <v>104.18944705300002</v>
      </c>
      <c r="DC74" s="66">
        <v>115.93245212379998</v>
      </c>
      <c r="DD74" s="66">
        <v>106.59457078270002</v>
      </c>
      <c r="DE74" s="66">
        <v>111.45645498130001</v>
      </c>
      <c r="DF74" s="66">
        <v>87.068115338200016</v>
      </c>
      <c r="DG74" s="66">
        <v>85.114100069199992</v>
      </c>
      <c r="DH74" s="66">
        <v>106.51351311070002</v>
      </c>
      <c r="DI74" s="66">
        <v>157.4063605366</v>
      </c>
      <c r="DJ74" s="66">
        <v>159.2698989319</v>
      </c>
      <c r="DK74" s="66">
        <v>131.28169801120001</v>
      </c>
      <c r="DL74" s="66">
        <v>96.450353238700004</v>
      </c>
      <c r="DM74" s="66">
        <v>104.53837030960001</v>
      </c>
      <c r="DN74" s="66">
        <v>121.95398640580001</v>
      </c>
      <c r="DO74" s="66">
        <v>124.50632737960001</v>
      </c>
      <c r="DP74" s="79"/>
      <c r="DQ74" s="80"/>
      <c r="DR74" s="81"/>
      <c r="DS74" s="84">
        <f t="shared" si="12"/>
        <v>2013</v>
      </c>
      <c r="DT74" s="80"/>
      <c r="DU74" s="83">
        <f t="shared" si="11"/>
        <v>812.74266442319993</v>
      </c>
      <c r="DV74" s="83">
        <f t="shared" si="11"/>
        <v>1259.1623891184004</v>
      </c>
      <c r="DW74" s="83">
        <f t="shared" si="11"/>
        <v>1292.4237293430001</v>
      </c>
      <c r="DX74" s="83">
        <f t="shared" si="11"/>
        <v>1380.5366461032002</v>
      </c>
      <c r="DY74" s="83">
        <f t="shared" si="11"/>
        <v>1474.9361482274999</v>
      </c>
      <c r="DZ74" s="83">
        <f t="shared" si="11"/>
        <v>1481.9103728423997</v>
      </c>
      <c r="EA74" s="83">
        <f t="shared" si="11"/>
        <v>1595.5519906053003</v>
      </c>
      <c r="EB74" s="83">
        <f t="shared" si="11"/>
        <v>1575.4309996527004</v>
      </c>
      <c r="EC74" s="83">
        <f t="shared" si="11"/>
        <v>1349.7248987478001</v>
      </c>
      <c r="ED74" s="83">
        <f t="shared" si="11"/>
        <v>1001.9205079241001</v>
      </c>
    </row>
    <row r="75" spans="2:134" x14ac:dyDescent="0.3">
      <c r="B75" s="45">
        <f t="shared" si="13"/>
        <v>1000000071</v>
      </c>
      <c r="C75" s="46">
        <v>44105</v>
      </c>
      <c r="D75" s="66">
        <v>-8</v>
      </c>
      <c r="E75" s="66">
        <v>-8</v>
      </c>
      <c r="F75" s="66">
        <v>-8</v>
      </c>
      <c r="G75" s="66">
        <v>-8</v>
      </c>
      <c r="H75" s="66">
        <v>-8</v>
      </c>
      <c r="I75" s="66">
        <v>-8</v>
      </c>
      <c r="J75" s="66">
        <v>-8</v>
      </c>
      <c r="K75" s="66">
        <v>-8</v>
      </c>
      <c r="L75" s="66">
        <v>-8</v>
      </c>
      <c r="M75" s="66">
        <v>-8</v>
      </c>
      <c r="N75" s="66">
        <v>-8</v>
      </c>
      <c r="O75" s="66">
        <v>-8</v>
      </c>
      <c r="P75" s="66">
        <v>-8</v>
      </c>
      <c r="Q75" s="66">
        <v>-8</v>
      </c>
      <c r="R75" s="66">
        <v>-8</v>
      </c>
      <c r="S75" s="66">
        <v>-8</v>
      </c>
      <c r="T75" s="66">
        <v>-8</v>
      </c>
      <c r="U75" s="66">
        <v>-8</v>
      </c>
      <c r="V75" s="66">
        <v>-8</v>
      </c>
      <c r="W75" s="66">
        <v>-8</v>
      </c>
      <c r="X75" s="66">
        <v>-8</v>
      </c>
      <c r="Y75" s="66">
        <v>-8</v>
      </c>
      <c r="Z75" s="66">
        <v>-8</v>
      </c>
      <c r="AA75" s="66">
        <v>-8</v>
      </c>
      <c r="AB75" s="66">
        <v>-8</v>
      </c>
      <c r="AC75" s="66">
        <v>-8</v>
      </c>
      <c r="AD75" s="66">
        <v>-8</v>
      </c>
      <c r="AE75" s="66">
        <v>-8</v>
      </c>
      <c r="AF75" s="66">
        <v>-8</v>
      </c>
      <c r="AG75" s="66">
        <v>-8</v>
      </c>
      <c r="AH75" s="66">
        <v>-8</v>
      </c>
      <c r="AI75" s="66">
        <v>-8</v>
      </c>
      <c r="AJ75" s="66">
        <v>-8</v>
      </c>
      <c r="AK75" s="66">
        <v>-8</v>
      </c>
      <c r="AL75" s="66">
        <v>-8</v>
      </c>
      <c r="AM75" s="66">
        <v>-8</v>
      </c>
      <c r="AN75" s="66">
        <v>-8</v>
      </c>
      <c r="AO75" s="66">
        <v>-8</v>
      </c>
      <c r="AP75" s="66">
        <v>-8</v>
      </c>
      <c r="AQ75" s="66">
        <v>-8</v>
      </c>
      <c r="AR75" s="66">
        <v>-8</v>
      </c>
      <c r="AS75" s="66">
        <v>-8</v>
      </c>
      <c r="AT75" s="66">
        <v>-8</v>
      </c>
      <c r="AU75" s="66">
        <v>-8</v>
      </c>
      <c r="AV75" s="66">
        <v>-8</v>
      </c>
      <c r="AW75" s="66">
        <v>-8</v>
      </c>
      <c r="AX75" s="66">
        <v>-8</v>
      </c>
      <c r="AY75" s="66">
        <v>-8</v>
      </c>
      <c r="AZ75" s="66">
        <v>-8</v>
      </c>
      <c r="BA75" s="66">
        <v>-8</v>
      </c>
      <c r="BB75" s="66">
        <v>-8</v>
      </c>
      <c r="BC75" s="66">
        <v>-8</v>
      </c>
      <c r="BD75" s="66">
        <v>-8</v>
      </c>
      <c r="BE75" s="66">
        <v>-8</v>
      </c>
      <c r="BF75" s="66">
        <v>-8</v>
      </c>
      <c r="BG75" s="66">
        <v>-8</v>
      </c>
      <c r="BH75" s="66">
        <v>-8</v>
      </c>
      <c r="BI75" s="66">
        <v>-8</v>
      </c>
      <c r="BJ75" s="66">
        <v>-8</v>
      </c>
      <c r="BK75" s="66">
        <v>-8</v>
      </c>
      <c r="BL75" s="66">
        <v>-8</v>
      </c>
      <c r="BM75" s="66">
        <v>-8</v>
      </c>
      <c r="BN75" s="66">
        <v>-8</v>
      </c>
      <c r="BO75" s="66">
        <v>-8</v>
      </c>
      <c r="BP75" s="66">
        <v>-8</v>
      </c>
      <c r="BQ75" s="66">
        <v>-8</v>
      </c>
      <c r="BR75" s="66">
        <v>-8</v>
      </c>
      <c r="BS75" s="66">
        <v>-8</v>
      </c>
      <c r="BT75" s="66">
        <v>-8</v>
      </c>
      <c r="BU75" s="66">
        <v>-8</v>
      </c>
      <c r="BV75" s="66">
        <v>-8</v>
      </c>
      <c r="BW75" s="66">
        <v>-8</v>
      </c>
      <c r="BX75" s="66">
        <v>-8</v>
      </c>
      <c r="BY75" s="66">
        <v>-8</v>
      </c>
      <c r="BZ75" s="66">
        <v>-8</v>
      </c>
      <c r="CA75" s="66">
        <v>-8</v>
      </c>
      <c r="CB75" s="66">
        <v>-8</v>
      </c>
      <c r="CC75" s="66">
        <v>-8</v>
      </c>
      <c r="CD75" s="66">
        <v>-8</v>
      </c>
      <c r="CE75" s="66">
        <v>-8</v>
      </c>
      <c r="CF75" s="66">
        <v>-8</v>
      </c>
      <c r="CG75" s="66">
        <v>-8</v>
      </c>
      <c r="CH75" s="66">
        <v>1.9559460901000012</v>
      </c>
      <c r="CI75" s="66">
        <v>156.40267141840002</v>
      </c>
      <c r="CJ75" s="66">
        <v>146.17225504450002</v>
      </c>
      <c r="CK75" s="66">
        <v>162.67706060500001</v>
      </c>
      <c r="CL75" s="66">
        <v>166.91922887979999</v>
      </c>
      <c r="CM75" s="66">
        <v>159.85032440080002</v>
      </c>
      <c r="CN75" s="66">
        <v>210.35582122929998</v>
      </c>
      <c r="CO75" s="66">
        <v>165.47392555600001</v>
      </c>
      <c r="CP75" s="66">
        <v>172.5078176239</v>
      </c>
      <c r="CQ75" s="66">
        <v>213.37514445790001</v>
      </c>
      <c r="CR75" s="66">
        <v>165.2898195658</v>
      </c>
      <c r="CS75" s="66">
        <v>154.18191636579999</v>
      </c>
      <c r="CT75" s="66">
        <v>178.63600278730001</v>
      </c>
      <c r="CU75" s="66">
        <v>92.132718770200015</v>
      </c>
      <c r="CV75" s="66">
        <v>101.74837274470001</v>
      </c>
      <c r="CW75" s="66">
        <v>108.4349927308</v>
      </c>
      <c r="CX75" s="66">
        <v>103.0405296058</v>
      </c>
      <c r="CY75" s="66">
        <v>106.19288498590001</v>
      </c>
      <c r="CZ75" s="66">
        <v>120.06136481799999</v>
      </c>
      <c r="DA75" s="66">
        <v>94.693578304900015</v>
      </c>
      <c r="DB75" s="66">
        <v>95.665970155300016</v>
      </c>
      <c r="DC75" s="66">
        <v>108.7092003277</v>
      </c>
      <c r="DD75" s="66">
        <v>87.542340246099997</v>
      </c>
      <c r="DE75" s="66">
        <v>139.52867818330006</v>
      </c>
      <c r="DF75" s="66">
        <v>161.95639785820001</v>
      </c>
      <c r="DG75" s="66">
        <v>128.54787791620001</v>
      </c>
      <c r="DH75" s="66">
        <v>45.054760612900004</v>
      </c>
      <c r="DI75" s="66">
        <v>187.4587551175</v>
      </c>
      <c r="DJ75" s="66">
        <v>92.853231410199996</v>
      </c>
      <c r="DK75" s="66">
        <v>91.892960683899986</v>
      </c>
      <c r="DL75" s="66">
        <v>106.99847065480002</v>
      </c>
      <c r="DM75" s="66">
        <v>103.19416391560002</v>
      </c>
      <c r="DN75" s="66">
        <v>108.54922400560001</v>
      </c>
      <c r="DO75" s="66">
        <v>108.3244765993</v>
      </c>
      <c r="DP75" s="79"/>
      <c r="DQ75" s="80"/>
      <c r="DR75" s="81"/>
      <c r="DS75" s="84">
        <f t="shared" si="12"/>
        <v>2020</v>
      </c>
      <c r="DT75" s="80"/>
      <c r="DU75" s="83">
        <f t="shared" ref="DU75:ED84" si="14">+SUMIF($D$3:$DO$3,DU$4,$D75:$DO75)</f>
        <v>-96</v>
      </c>
      <c r="DV75" s="83">
        <f t="shared" si="14"/>
        <v>-96</v>
      </c>
      <c r="DW75" s="83">
        <f t="shared" si="14"/>
        <v>-96</v>
      </c>
      <c r="DX75" s="83">
        <f t="shared" si="14"/>
        <v>-96</v>
      </c>
      <c r="DY75" s="83">
        <f t="shared" si="14"/>
        <v>-96</v>
      </c>
      <c r="DZ75" s="83">
        <f t="shared" si="14"/>
        <v>-96</v>
      </c>
      <c r="EA75" s="83">
        <f t="shared" si="14"/>
        <v>78.358617508500018</v>
      </c>
      <c r="EB75" s="83">
        <f t="shared" si="14"/>
        <v>1987.5720352862998</v>
      </c>
      <c r="EC75" s="83">
        <f t="shared" si="14"/>
        <v>1356.1221878769002</v>
      </c>
      <c r="ED75" s="83">
        <f t="shared" si="14"/>
        <v>844.32604299979994</v>
      </c>
    </row>
    <row r="76" spans="2:134" x14ac:dyDescent="0.3">
      <c r="B76" s="45">
        <f t="shared" si="13"/>
        <v>1000000072</v>
      </c>
      <c r="C76" s="46">
        <v>42217</v>
      </c>
      <c r="D76" s="66">
        <v>-8</v>
      </c>
      <c r="E76" s="66">
        <v>-8</v>
      </c>
      <c r="F76" s="66">
        <v>-8</v>
      </c>
      <c r="G76" s="66">
        <v>-8</v>
      </c>
      <c r="H76" s="66">
        <v>-8</v>
      </c>
      <c r="I76" s="66">
        <v>-8</v>
      </c>
      <c r="J76" s="66">
        <v>-8</v>
      </c>
      <c r="K76" s="66">
        <v>-8</v>
      </c>
      <c r="L76" s="66">
        <v>-8</v>
      </c>
      <c r="M76" s="66">
        <v>-8</v>
      </c>
      <c r="N76" s="66">
        <v>-8</v>
      </c>
      <c r="O76" s="66">
        <v>-8</v>
      </c>
      <c r="P76" s="66">
        <v>-8</v>
      </c>
      <c r="Q76" s="66">
        <v>-8</v>
      </c>
      <c r="R76" s="66">
        <v>-8</v>
      </c>
      <c r="S76" s="66">
        <v>-8</v>
      </c>
      <c r="T76" s="66">
        <v>-8</v>
      </c>
      <c r="U76" s="66">
        <v>-8</v>
      </c>
      <c r="V76" s="66">
        <v>-8</v>
      </c>
      <c r="W76" s="66">
        <v>-0.83240029999999976</v>
      </c>
      <c r="X76" s="66">
        <v>13.425869365</v>
      </c>
      <c r="Y76" s="66">
        <v>16.748295749499999</v>
      </c>
      <c r="Z76" s="66">
        <v>14.752625843500002</v>
      </c>
      <c r="AA76" s="66">
        <v>24.77585730669999</v>
      </c>
      <c r="AB76" s="66">
        <v>27.956883085600005</v>
      </c>
      <c r="AC76" s="66">
        <v>26.089854707200004</v>
      </c>
      <c r="AD76" s="66">
        <v>27.542175523900006</v>
      </c>
      <c r="AE76" s="66">
        <v>20.533801612000001</v>
      </c>
      <c r="AF76" s="66">
        <v>13.147308670900003</v>
      </c>
      <c r="AG76" s="66">
        <v>14.429783643400008</v>
      </c>
      <c r="AH76" s="66">
        <v>22.985458449700001</v>
      </c>
      <c r="AI76" s="66">
        <v>21.366444031599997</v>
      </c>
      <c r="AJ76" s="66">
        <v>22.585048560699999</v>
      </c>
      <c r="AK76" s="66">
        <v>33.660228478299999</v>
      </c>
      <c r="AL76" s="66">
        <v>32.618299652800005</v>
      </c>
      <c r="AM76" s="66">
        <v>34.062289542100004</v>
      </c>
      <c r="AN76" s="66">
        <v>38.346712881100004</v>
      </c>
      <c r="AO76" s="66">
        <v>49.091995579000006</v>
      </c>
      <c r="AP76" s="66">
        <v>58.333883621499993</v>
      </c>
      <c r="AQ76" s="66">
        <v>54.535693734400006</v>
      </c>
      <c r="AR76" s="66">
        <v>39.259137064900003</v>
      </c>
      <c r="AS76" s="66">
        <v>33.5138743483</v>
      </c>
      <c r="AT76" s="66">
        <v>37.1795574577</v>
      </c>
      <c r="AU76" s="66">
        <v>39.776892944799997</v>
      </c>
      <c r="AV76" s="66">
        <v>55.656616263400004</v>
      </c>
      <c r="AW76" s="66">
        <v>55.051235539000004</v>
      </c>
      <c r="AX76" s="66">
        <v>40.726055767899993</v>
      </c>
      <c r="AY76" s="66">
        <v>44.1916465129</v>
      </c>
      <c r="AZ76" s="66">
        <v>44.1721701556</v>
      </c>
      <c r="BA76" s="66">
        <v>84.698679500199987</v>
      </c>
      <c r="BB76" s="66">
        <v>93.243096296500013</v>
      </c>
      <c r="BC76" s="66">
        <v>83.865474180100009</v>
      </c>
      <c r="BD76" s="66">
        <v>60.315818755299986</v>
      </c>
      <c r="BE76" s="66">
        <v>51.590523265000002</v>
      </c>
      <c r="BF76" s="66">
        <v>59.359113065500011</v>
      </c>
      <c r="BG76" s="66">
        <v>48.808181146899997</v>
      </c>
      <c r="BH76" s="66">
        <v>69.672425919700004</v>
      </c>
      <c r="BI76" s="66">
        <v>60.081877307500008</v>
      </c>
      <c r="BJ76" s="66">
        <v>53.312848688199992</v>
      </c>
      <c r="BK76" s="66">
        <v>46.064979376899991</v>
      </c>
      <c r="BL76" s="66">
        <v>73.514334412300016</v>
      </c>
      <c r="BM76" s="66">
        <v>89.128518801699997</v>
      </c>
      <c r="BN76" s="66">
        <v>89.985253362700007</v>
      </c>
      <c r="BO76" s="66">
        <v>97.72554803140001</v>
      </c>
      <c r="BP76" s="66">
        <v>62.539913684200002</v>
      </c>
      <c r="BQ76" s="66">
        <v>67.935802823800003</v>
      </c>
      <c r="BR76" s="66">
        <v>59.670884889100009</v>
      </c>
      <c r="BS76" s="66">
        <v>66.7054899643</v>
      </c>
      <c r="BT76" s="66">
        <v>75.355844634699992</v>
      </c>
      <c r="BU76" s="66">
        <v>80.690452673199999</v>
      </c>
      <c r="BV76" s="66">
        <v>74.205238485999999</v>
      </c>
      <c r="BW76" s="66">
        <v>80.583351471400007</v>
      </c>
      <c r="BX76" s="66">
        <v>85.800088145199993</v>
      </c>
      <c r="BY76" s="66">
        <v>93.119220659800007</v>
      </c>
      <c r="BZ76" s="66">
        <v>111.15834287650001</v>
      </c>
      <c r="CA76" s="66">
        <v>91.371789874300006</v>
      </c>
      <c r="CB76" s="66">
        <v>78.544751020600017</v>
      </c>
      <c r="CC76" s="66">
        <v>107.59735926009999</v>
      </c>
      <c r="CD76" s="66">
        <v>123.74434773610002</v>
      </c>
      <c r="CE76" s="66">
        <v>96.884311997500006</v>
      </c>
      <c r="CF76" s="66">
        <v>98.62123530700002</v>
      </c>
      <c r="CG76" s="66">
        <v>103.4810930638</v>
      </c>
      <c r="CH76" s="66">
        <v>77.162455026100005</v>
      </c>
      <c r="CI76" s="66">
        <v>80.958243204400006</v>
      </c>
      <c r="CJ76" s="66">
        <v>94.632935157700018</v>
      </c>
      <c r="CK76" s="66">
        <v>100.48015791820001</v>
      </c>
      <c r="CL76" s="66">
        <v>132.37815313179999</v>
      </c>
      <c r="CM76" s="66">
        <v>134.3461658599</v>
      </c>
      <c r="CN76" s="66">
        <v>122.84441994340003</v>
      </c>
      <c r="CO76" s="66">
        <v>87.018617620900002</v>
      </c>
      <c r="CP76" s="66">
        <v>81.764654460700015</v>
      </c>
      <c r="CQ76" s="66">
        <v>86.725571620600007</v>
      </c>
      <c r="CR76" s="66">
        <v>105.24409742980001</v>
      </c>
      <c r="CS76" s="66">
        <v>88.536460055800006</v>
      </c>
      <c r="CT76" s="66">
        <v>87.252671648800018</v>
      </c>
      <c r="CU76" s="66">
        <v>91.91607713110001</v>
      </c>
      <c r="CV76" s="66">
        <v>77.017564437399997</v>
      </c>
      <c r="CW76" s="66">
        <v>115.90085464239998</v>
      </c>
      <c r="CX76" s="66">
        <v>133.2441943144</v>
      </c>
      <c r="CY76" s="66">
        <v>139.47242566000003</v>
      </c>
      <c r="CZ76" s="66">
        <v>88.025233821699999</v>
      </c>
      <c r="DA76" s="66">
        <v>91.339554438999997</v>
      </c>
      <c r="DB76" s="66">
        <v>104.45239663990003</v>
      </c>
      <c r="DC76" s="66">
        <v>96.132201876100027</v>
      </c>
      <c r="DD76" s="66">
        <v>108.4008809605</v>
      </c>
      <c r="DE76" s="66">
        <v>114.3938574238</v>
      </c>
      <c r="DF76" s="66">
        <v>101.7655224466</v>
      </c>
      <c r="DG76" s="66">
        <v>82.473458770299985</v>
      </c>
      <c r="DH76" s="66">
        <v>89.0664496399</v>
      </c>
      <c r="DI76" s="66">
        <v>139.84018731999998</v>
      </c>
      <c r="DJ76" s="66">
        <v>124.59481533820005</v>
      </c>
      <c r="DK76" s="66">
        <v>126.22812742900001</v>
      </c>
      <c r="DL76" s="66">
        <v>117.95919413740005</v>
      </c>
      <c r="DM76" s="66">
        <v>115.17820298050002</v>
      </c>
      <c r="DN76" s="66">
        <v>96.927280068999991</v>
      </c>
      <c r="DO76" s="66">
        <v>113.17870535110001</v>
      </c>
      <c r="DP76" s="79"/>
      <c r="DQ76" s="80"/>
      <c r="DR76" s="81"/>
      <c r="DS76" s="84">
        <f t="shared" si="12"/>
        <v>2015</v>
      </c>
      <c r="DT76" s="80"/>
      <c r="DU76" s="83">
        <f t="shared" si="14"/>
        <v>-96</v>
      </c>
      <c r="DV76" s="83">
        <f t="shared" si="14"/>
        <v>12.870247964699985</v>
      </c>
      <c r="DW76" s="83">
        <f t="shared" si="14"/>
        <v>296.97757595820002</v>
      </c>
      <c r="DX76" s="83">
        <f t="shared" si="14"/>
        <v>545.66330171490006</v>
      </c>
      <c r="DY76" s="83">
        <f t="shared" si="14"/>
        <v>755.18518765739998</v>
      </c>
      <c r="DZ76" s="83">
        <f t="shared" si="14"/>
        <v>918.0406332348</v>
      </c>
      <c r="EA76" s="83">
        <f t="shared" si="14"/>
        <v>1148.4432381714003</v>
      </c>
      <c r="EB76" s="83">
        <f t="shared" si="14"/>
        <v>1213.1399819787002</v>
      </c>
      <c r="EC76" s="83">
        <f t="shared" si="14"/>
        <v>1252.6181454320999</v>
      </c>
      <c r="ED76" s="83">
        <f t="shared" si="14"/>
        <v>922.97296226510002</v>
      </c>
    </row>
    <row r="77" spans="2:134" x14ac:dyDescent="0.3">
      <c r="B77" s="45">
        <f t="shared" si="13"/>
        <v>1000000073</v>
      </c>
      <c r="C77" s="46">
        <v>43831</v>
      </c>
      <c r="D77" s="66">
        <v>-8</v>
      </c>
      <c r="E77" s="66">
        <v>-8</v>
      </c>
      <c r="F77" s="66">
        <v>-8</v>
      </c>
      <c r="G77" s="66">
        <v>-8</v>
      </c>
      <c r="H77" s="66">
        <v>-8</v>
      </c>
      <c r="I77" s="66">
        <v>-8</v>
      </c>
      <c r="J77" s="66">
        <v>-8</v>
      </c>
      <c r="K77" s="66">
        <v>-8</v>
      </c>
      <c r="L77" s="66">
        <v>-8</v>
      </c>
      <c r="M77" s="66">
        <v>-8</v>
      </c>
      <c r="N77" s="66">
        <v>-8</v>
      </c>
      <c r="O77" s="66">
        <v>-8</v>
      </c>
      <c r="P77" s="66">
        <v>-8</v>
      </c>
      <c r="Q77" s="66">
        <v>-8</v>
      </c>
      <c r="R77" s="66">
        <v>-8</v>
      </c>
      <c r="S77" s="66">
        <v>-8</v>
      </c>
      <c r="T77" s="66">
        <v>-8</v>
      </c>
      <c r="U77" s="66">
        <v>-8</v>
      </c>
      <c r="V77" s="66">
        <v>-8</v>
      </c>
      <c r="W77" s="66">
        <v>-8</v>
      </c>
      <c r="X77" s="66">
        <v>-8</v>
      </c>
      <c r="Y77" s="66">
        <v>-8</v>
      </c>
      <c r="Z77" s="66">
        <v>-8</v>
      </c>
      <c r="AA77" s="66">
        <v>-8</v>
      </c>
      <c r="AB77" s="66">
        <v>-8</v>
      </c>
      <c r="AC77" s="66">
        <v>-8</v>
      </c>
      <c r="AD77" s="66">
        <v>-8</v>
      </c>
      <c r="AE77" s="66">
        <v>-8</v>
      </c>
      <c r="AF77" s="66">
        <v>-8</v>
      </c>
      <c r="AG77" s="66">
        <v>-8</v>
      </c>
      <c r="AH77" s="66">
        <v>-8</v>
      </c>
      <c r="AI77" s="66">
        <v>-8</v>
      </c>
      <c r="AJ77" s="66">
        <v>-8</v>
      </c>
      <c r="AK77" s="66">
        <v>-8</v>
      </c>
      <c r="AL77" s="66">
        <v>-8</v>
      </c>
      <c r="AM77" s="66">
        <v>-8</v>
      </c>
      <c r="AN77" s="66">
        <v>-8</v>
      </c>
      <c r="AO77" s="66">
        <v>-8</v>
      </c>
      <c r="AP77" s="66">
        <v>-8</v>
      </c>
      <c r="AQ77" s="66">
        <v>-8</v>
      </c>
      <c r="AR77" s="66">
        <v>-8</v>
      </c>
      <c r="AS77" s="66">
        <v>-8</v>
      </c>
      <c r="AT77" s="66">
        <v>-8</v>
      </c>
      <c r="AU77" s="66">
        <v>-8</v>
      </c>
      <c r="AV77" s="66">
        <v>-8</v>
      </c>
      <c r="AW77" s="66">
        <v>-8</v>
      </c>
      <c r="AX77" s="66">
        <v>-8</v>
      </c>
      <c r="AY77" s="66">
        <v>-8</v>
      </c>
      <c r="AZ77" s="66">
        <v>-8</v>
      </c>
      <c r="BA77" s="66">
        <v>-8</v>
      </c>
      <c r="BB77" s="66">
        <v>-8</v>
      </c>
      <c r="BC77" s="66">
        <v>-8</v>
      </c>
      <c r="BD77" s="66">
        <v>-8</v>
      </c>
      <c r="BE77" s="66">
        <v>-8</v>
      </c>
      <c r="BF77" s="66">
        <v>-8</v>
      </c>
      <c r="BG77" s="66">
        <v>-8</v>
      </c>
      <c r="BH77" s="66">
        <v>-8</v>
      </c>
      <c r="BI77" s="66">
        <v>-8</v>
      </c>
      <c r="BJ77" s="66">
        <v>-8</v>
      </c>
      <c r="BK77" s="66">
        <v>-8</v>
      </c>
      <c r="BL77" s="66">
        <v>-8</v>
      </c>
      <c r="BM77" s="66">
        <v>-8</v>
      </c>
      <c r="BN77" s="66">
        <v>-8</v>
      </c>
      <c r="BO77" s="66">
        <v>-8</v>
      </c>
      <c r="BP77" s="66">
        <v>-8</v>
      </c>
      <c r="BQ77" s="66">
        <v>-8</v>
      </c>
      <c r="BR77" s="66">
        <v>-8</v>
      </c>
      <c r="BS77" s="66">
        <v>-8</v>
      </c>
      <c r="BT77" s="66">
        <v>-8</v>
      </c>
      <c r="BU77" s="66">
        <v>-8</v>
      </c>
      <c r="BV77" s="66">
        <v>-8</v>
      </c>
      <c r="BW77" s="66">
        <v>-8</v>
      </c>
      <c r="BX77" s="66">
        <v>-6.5127418256</v>
      </c>
      <c r="BY77" s="66">
        <v>3.3362906962000025</v>
      </c>
      <c r="BZ77" s="66">
        <v>49.705894864299999</v>
      </c>
      <c r="CA77" s="66">
        <v>77.476478451700004</v>
      </c>
      <c r="CB77" s="66">
        <v>55.733921265399999</v>
      </c>
      <c r="CC77" s="66">
        <v>64.374406413700001</v>
      </c>
      <c r="CD77" s="66">
        <v>52.906697214099999</v>
      </c>
      <c r="CE77" s="66">
        <v>63.696599158300003</v>
      </c>
      <c r="CF77" s="66">
        <v>58.105608705400002</v>
      </c>
      <c r="CG77" s="66">
        <v>61.053406043799995</v>
      </c>
      <c r="CH77" s="66">
        <v>58.612031521900008</v>
      </c>
      <c r="CI77" s="66">
        <v>51.435162727000005</v>
      </c>
      <c r="CJ77" s="66">
        <v>66.55467015699999</v>
      </c>
      <c r="CK77" s="66">
        <v>233.16976570060004</v>
      </c>
      <c r="CL77" s="66">
        <v>104.96928940570001</v>
      </c>
      <c r="CM77" s="66">
        <v>122.0537323744</v>
      </c>
      <c r="CN77" s="66">
        <v>79.540672111900008</v>
      </c>
      <c r="CO77" s="66">
        <v>63.142780119699992</v>
      </c>
      <c r="CP77" s="66">
        <v>84.617396668000012</v>
      </c>
      <c r="CQ77" s="66">
        <v>80.991041540200001</v>
      </c>
      <c r="CR77" s="66">
        <v>64.097309260900005</v>
      </c>
      <c r="CS77" s="66">
        <v>85.291601360200005</v>
      </c>
      <c r="CT77" s="66">
        <v>90.612362046399994</v>
      </c>
      <c r="CU77" s="66">
        <v>61.308324916899991</v>
      </c>
      <c r="CV77" s="66">
        <v>151.20233391249999</v>
      </c>
      <c r="CW77" s="66">
        <v>165.22069538440002</v>
      </c>
      <c r="CX77" s="66">
        <v>158.67142312030001</v>
      </c>
      <c r="CY77" s="66">
        <v>130.65590276200001</v>
      </c>
      <c r="CZ77" s="66">
        <v>93.638627714499989</v>
      </c>
      <c r="DA77" s="66">
        <v>70.505180919400004</v>
      </c>
      <c r="DB77" s="66">
        <v>104.060730472</v>
      </c>
      <c r="DC77" s="66">
        <v>92.682710085400018</v>
      </c>
      <c r="DD77" s="66">
        <v>86.837776453600014</v>
      </c>
      <c r="DE77" s="66">
        <v>87.882332148100005</v>
      </c>
      <c r="DF77" s="66">
        <v>91.936379075800005</v>
      </c>
      <c r="DG77" s="66">
        <v>68.113304114799988</v>
      </c>
      <c r="DH77" s="66">
        <v>119.01579590259999</v>
      </c>
      <c r="DI77" s="66">
        <v>184.47624558160001</v>
      </c>
      <c r="DJ77" s="66">
        <v>125.88400758999998</v>
      </c>
      <c r="DK77" s="66">
        <v>159.63582178360002</v>
      </c>
      <c r="DL77" s="66">
        <v>88.855737219399998</v>
      </c>
      <c r="DM77" s="66">
        <v>95.369659332100014</v>
      </c>
      <c r="DN77" s="66">
        <v>82.427526089500006</v>
      </c>
      <c r="DO77" s="66">
        <v>105.4444149544</v>
      </c>
      <c r="DP77" s="79"/>
      <c r="DQ77" s="80"/>
      <c r="DR77" s="81"/>
      <c r="DS77" s="84">
        <f t="shared" si="12"/>
        <v>2020</v>
      </c>
      <c r="DT77" s="80"/>
      <c r="DU77" s="83">
        <f t="shared" si="14"/>
        <v>-96</v>
      </c>
      <c r="DV77" s="83">
        <f t="shared" si="14"/>
        <v>-96</v>
      </c>
      <c r="DW77" s="83">
        <f t="shared" si="14"/>
        <v>-96</v>
      </c>
      <c r="DX77" s="83">
        <f t="shared" si="14"/>
        <v>-96</v>
      </c>
      <c r="DY77" s="83">
        <f t="shared" si="14"/>
        <v>-96</v>
      </c>
      <c r="DZ77" s="83">
        <f t="shared" si="14"/>
        <v>-96</v>
      </c>
      <c r="EA77" s="83">
        <f t="shared" si="14"/>
        <v>589.92375523620012</v>
      </c>
      <c r="EB77" s="83">
        <f t="shared" si="14"/>
        <v>1136.3489456619</v>
      </c>
      <c r="EC77" s="83">
        <f t="shared" si="14"/>
        <v>1301.4073961628001</v>
      </c>
      <c r="ED77" s="83">
        <f t="shared" si="14"/>
        <v>961.10920845320004</v>
      </c>
    </row>
    <row r="78" spans="2:134" x14ac:dyDescent="0.3">
      <c r="B78" s="45">
        <f t="shared" si="13"/>
        <v>1000000074</v>
      </c>
      <c r="C78" s="46">
        <v>38899</v>
      </c>
      <c r="D78" s="66">
        <v>41.877187290400002</v>
      </c>
      <c r="E78" s="66">
        <v>78.334301287000002</v>
      </c>
      <c r="F78" s="66">
        <v>53.543450259699995</v>
      </c>
      <c r="G78" s="66">
        <v>60.639449016100016</v>
      </c>
      <c r="H78" s="66">
        <v>40.377845518599997</v>
      </c>
      <c r="I78" s="66">
        <v>36.6132795547</v>
      </c>
      <c r="J78" s="66">
        <v>43.755811419099999</v>
      </c>
      <c r="K78" s="66">
        <v>54.700586054200016</v>
      </c>
      <c r="L78" s="66">
        <v>42.387325250200007</v>
      </c>
      <c r="M78" s="66">
        <v>44.361342250299998</v>
      </c>
      <c r="N78" s="66">
        <v>38.643248864500016</v>
      </c>
      <c r="O78" s="66">
        <v>33.869965204600007</v>
      </c>
      <c r="P78" s="66">
        <v>32.393552246500008</v>
      </c>
      <c r="Q78" s="66">
        <v>227.13081902980002</v>
      </c>
      <c r="R78" s="66">
        <v>90.814443325900001</v>
      </c>
      <c r="S78" s="66">
        <v>75.057544896400003</v>
      </c>
      <c r="T78" s="66">
        <v>53.040554952999997</v>
      </c>
      <c r="U78" s="66">
        <v>47.071858264600003</v>
      </c>
      <c r="V78" s="66">
        <v>44.721185776600002</v>
      </c>
      <c r="W78" s="66">
        <v>41.274771175300003</v>
      </c>
      <c r="X78" s="66">
        <v>53.404751576499997</v>
      </c>
      <c r="Y78" s="66">
        <v>60.262380734499999</v>
      </c>
      <c r="Z78" s="66">
        <v>61.417189873600009</v>
      </c>
      <c r="AA78" s="66">
        <v>43.987651371700004</v>
      </c>
      <c r="AB78" s="66">
        <v>47.999555815299999</v>
      </c>
      <c r="AC78" s="66">
        <v>131.51094862150001</v>
      </c>
      <c r="AD78" s="66">
        <v>78.20400858459999</v>
      </c>
      <c r="AE78" s="66">
        <v>61.247456609499991</v>
      </c>
      <c r="AF78" s="66">
        <v>68.54527395849999</v>
      </c>
      <c r="AG78" s="66">
        <v>55.902941522199995</v>
      </c>
      <c r="AH78" s="66">
        <v>56.2350528172</v>
      </c>
      <c r="AI78" s="66">
        <v>56.291530500700006</v>
      </c>
      <c r="AJ78" s="66">
        <v>47.024049248800004</v>
      </c>
      <c r="AK78" s="66">
        <v>61.135814676999999</v>
      </c>
      <c r="AL78" s="66">
        <v>58.312530929200008</v>
      </c>
      <c r="AM78" s="66">
        <v>65.848867983400012</v>
      </c>
      <c r="AN78" s="66">
        <v>64.781533581999994</v>
      </c>
      <c r="AO78" s="66">
        <v>81.554279780500011</v>
      </c>
      <c r="AP78" s="66">
        <v>138.84854427249999</v>
      </c>
      <c r="AQ78" s="66">
        <v>90.83740966629999</v>
      </c>
      <c r="AR78" s="66">
        <v>80.43909883660001</v>
      </c>
      <c r="AS78" s="66">
        <v>74.755905281800011</v>
      </c>
      <c r="AT78" s="66">
        <v>88.568095063899989</v>
      </c>
      <c r="AU78" s="66">
        <v>58.902638286700011</v>
      </c>
      <c r="AV78" s="66">
        <v>52.837685612800001</v>
      </c>
      <c r="AW78" s="66">
        <v>88.641459762400004</v>
      </c>
      <c r="AX78" s="66">
        <v>93.032083662400012</v>
      </c>
      <c r="AY78" s="66">
        <v>59.070757902700009</v>
      </c>
      <c r="AZ78" s="66">
        <v>60.361676382699997</v>
      </c>
      <c r="BA78" s="66">
        <v>96.145598907999982</v>
      </c>
      <c r="BB78" s="66">
        <v>85.415702157099986</v>
      </c>
      <c r="BC78" s="66">
        <v>93.659492559699999</v>
      </c>
      <c r="BD78" s="66">
        <v>120.2760925954</v>
      </c>
      <c r="BE78" s="66">
        <v>79.994182281400001</v>
      </c>
      <c r="BF78" s="66">
        <v>65.527001477500008</v>
      </c>
      <c r="BG78" s="66">
        <v>57.820030518400003</v>
      </c>
      <c r="BH78" s="66">
        <v>65.467258971100023</v>
      </c>
      <c r="BI78" s="66">
        <v>83.153930421399991</v>
      </c>
      <c r="BJ78" s="66">
        <v>89.653517334700027</v>
      </c>
      <c r="BK78" s="66">
        <v>77.036065100500011</v>
      </c>
      <c r="BL78" s="66">
        <v>64.894676582499983</v>
      </c>
      <c r="BM78" s="66">
        <v>135.31409203300001</v>
      </c>
      <c r="BN78" s="66">
        <v>93.493962286000013</v>
      </c>
      <c r="BO78" s="66">
        <v>103.04082981939999</v>
      </c>
      <c r="BP78" s="66">
        <v>86.807717566899996</v>
      </c>
      <c r="BQ78" s="66">
        <v>74.839814983000011</v>
      </c>
      <c r="BR78" s="66">
        <v>89.524237853199992</v>
      </c>
      <c r="BS78" s="66">
        <v>83.995429142199995</v>
      </c>
      <c r="BT78" s="66">
        <v>66.597112854700001</v>
      </c>
      <c r="BU78" s="66">
        <v>71.595819401500009</v>
      </c>
      <c r="BV78" s="66">
        <v>76.774579054900002</v>
      </c>
      <c r="BW78" s="66">
        <v>77.685764857600006</v>
      </c>
      <c r="BX78" s="66">
        <v>90.900867316000017</v>
      </c>
      <c r="BY78" s="66">
        <v>107.4151296049</v>
      </c>
      <c r="BZ78" s="66">
        <v>83.385094893399994</v>
      </c>
      <c r="CA78" s="66">
        <v>102.17869141360002</v>
      </c>
      <c r="CB78" s="66">
        <v>83.351470970200012</v>
      </c>
      <c r="CC78" s="66">
        <v>97.4000789623</v>
      </c>
      <c r="CD78" s="66">
        <v>111.18457403980003</v>
      </c>
      <c r="CE78" s="66">
        <v>108.43135264090002</v>
      </c>
      <c r="CF78" s="66">
        <v>81.053410915599997</v>
      </c>
      <c r="CG78" s="66">
        <v>97.406045707600001</v>
      </c>
      <c r="CH78" s="66">
        <v>90.517381968700008</v>
      </c>
      <c r="CI78" s="66">
        <v>96.558129921100004</v>
      </c>
      <c r="CJ78" s="66">
        <v>228.64040559070003</v>
      </c>
      <c r="CK78" s="66">
        <v>136.16392168120001</v>
      </c>
      <c r="CL78" s="66">
        <v>118.49136027009999</v>
      </c>
      <c r="CM78" s="66">
        <v>116.04236782810001</v>
      </c>
      <c r="CN78" s="66">
        <v>94.156871441500016</v>
      </c>
      <c r="CO78" s="66">
        <v>100.0098357871</v>
      </c>
      <c r="CP78" s="66">
        <v>120.35426071149999</v>
      </c>
      <c r="CQ78" s="66">
        <v>97.3773377821</v>
      </c>
      <c r="CR78" s="66">
        <v>96.692362927000005</v>
      </c>
      <c r="CS78" s="66">
        <v>100.24467787570001</v>
      </c>
      <c r="CT78" s="66">
        <v>96.248459592700002</v>
      </c>
      <c r="CU78" s="66">
        <v>80.520344142100015</v>
      </c>
      <c r="CV78" s="66">
        <v>90.514154672500013</v>
      </c>
      <c r="CW78" s="66">
        <v>138.64105914819999</v>
      </c>
      <c r="CX78" s="66">
        <v>103.3479483322</v>
      </c>
      <c r="CY78" s="66">
        <v>145.61899890639998</v>
      </c>
      <c r="CZ78" s="66">
        <v>97.378651216599991</v>
      </c>
      <c r="DA78" s="66">
        <v>86.514446406400012</v>
      </c>
      <c r="DB78" s="66">
        <v>89.013124199199993</v>
      </c>
      <c r="DC78" s="66">
        <v>88.677185180799995</v>
      </c>
      <c r="DD78" s="66">
        <v>84.531010204599994</v>
      </c>
      <c r="DE78" s="66">
        <v>93.445365209500011</v>
      </c>
      <c r="DF78" s="66">
        <v>114.49540467399999</v>
      </c>
      <c r="DG78" s="66">
        <v>100.7837864479</v>
      </c>
      <c r="DH78" s="66">
        <v>110.97645096160002</v>
      </c>
      <c r="DI78" s="66">
        <v>122.3835920674</v>
      </c>
      <c r="DJ78" s="66">
        <v>137.56948422970001</v>
      </c>
      <c r="DK78" s="66">
        <v>109.8753050035</v>
      </c>
      <c r="DL78" s="66">
        <v>105.13474462600001</v>
      </c>
      <c r="DM78" s="66">
        <v>113.82108740170001</v>
      </c>
      <c r="DN78" s="66">
        <v>121.23996588490002</v>
      </c>
      <c r="DO78" s="66">
        <v>114.80229802660003</v>
      </c>
      <c r="DP78" s="79"/>
      <c r="DQ78" s="80"/>
      <c r="DR78" s="81"/>
      <c r="DS78" s="84">
        <f t="shared" si="12"/>
        <v>2006</v>
      </c>
      <c r="DT78" s="80"/>
      <c r="DU78" s="83">
        <f t="shared" si="14"/>
        <v>569.10379196940005</v>
      </c>
      <c r="DV78" s="83">
        <f t="shared" si="14"/>
        <v>830.57670322440003</v>
      </c>
      <c r="DW78" s="83">
        <f t="shared" si="14"/>
        <v>788.25803126789992</v>
      </c>
      <c r="DX78" s="83">
        <f t="shared" si="14"/>
        <v>972.26949171060005</v>
      </c>
      <c r="DY78" s="83">
        <f t="shared" si="14"/>
        <v>974.51054870789994</v>
      </c>
      <c r="DZ78" s="83">
        <f t="shared" si="14"/>
        <v>1024.5640364348999</v>
      </c>
      <c r="EA78" s="83">
        <f t="shared" si="14"/>
        <v>1149.7822283541002</v>
      </c>
      <c r="EB78" s="83">
        <f t="shared" si="14"/>
        <v>1384.9422056298001</v>
      </c>
      <c r="EC78" s="83">
        <f t="shared" si="14"/>
        <v>1232.9611345982999</v>
      </c>
      <c r="ED78" s="83">
        <f t="shared" si="14"/>
        <v>935.80292820140005</v>
      </c>
    </row>
    <row r="79" spans="2:134" x14ac:dyDescent="0.3">
      <c r="B79" s="45">
        <f t="shared" si="13"/>
        <v>1000000075</v>
      </c>
      <c r="C79" s="46">
        <v>43191</v>
      </c>
      <c r="D79" s="66">
        <v>-8</v>
      </c>
      <c r="E79" s="66">
        <v>-8</v>
      </c>
      <c r="F79" s="66">
        <v>-8</v>
      </c>
      <c r="G79" s="66">
        <v>-8</v>
      </c>
      <c r="H79" s="66">
        <v>-8</v>
      </c>
      <c r="I79" s="66">
        <v>-8</v>
      </c>
      <c r="J79" s="66">
        <v>-8</v>
      </c>
      <c r="K79" s="66">
        <v>-8</v>
      </c>
      <c r="L79" s="66">
        <v>-8</v>
      </c>
      <c r="M79" s="66">
        <v>-8</v>
      </c>
      <c r="N79" s="66">
        <v>-8</v>
      </c>
      <c r="O79" s="66">
        <v>-8</v>
      </c>
      <c r="P79" s="66">
        <v>-8</v>
      </c>
      <c r="Q79" s="66">
        <v>-8</v>
      </c>
      <c r="R79" s="66">
        <v>-8</v>
      </c>
      <c r="S79" s="66">
        <v>-8</v>
      </c>
      <c r="T79" s="66">
        <v>-8</v>
      </c>
      <c r="U79" s="66">
        <v>-8</v>
      </c>
      <c r="V79" s="66">
        <v>-8</v>
      </c>
      <c r="W79" s="66">
        <v>-8</v>
      </c>
      <c r="X79" s="66">
        <v>-8</v>
      </c>
      <c r="Y79" s="66">
        <v>-8</v>
      </c>
      <c r="Z79" s="66">
        <v>-8</v>
      </c>
      <c r="AA79" s="66">
        <v>-8</v>
      </c>
      <c r="AB79" s="66">
        <v>-8</v>
      </c>
      <c r="AC79" s="66">
        <v>-8</v>
      </c>
      <c r="AD79" s="66">
        <v>-8</v>
      </c>
      <c r="AE79" s="66">
        <v>-8</v>
      </c>
      <c r="AF79" s="66">
        <v>-8</v>
      </c>
      <c r="AG79" s="66">
        <v>-8</v>
      </c>
      <c r="AH79" s="66">
        <v>-8</v>
      </c>
      <c r="AI79" s="66">
        <v>-8</v>
      </c>
      <c r="AJ79" s="66">
        <v>-8</v>
      </c>
      <c r="AK79" s="66">
        <v>-8</v>
      </c>
      <c r="AL79" s="66">
        <v>-8</v>
      </c>
      <c r="AM79" s="66">
        <v>-8</v>
      </c>
      <c r="AN79" s="66">
        <v>-8</v>
      </c>
      <c r="AO79" s="66">
        <v>-8</v>
      </c>
      <c r="AP79" s="66">
        <v>-8</v>
      </c>
      <c r="AQ79" s="66">
        <v>-8</v>
      </c>
      <c r="AR79" s="66">
        <v>-8</v>
      </c>
      <c r="AS79" s="66">
        <v>-8</v>
      </c>
      <c r="AT79" s="66">
        <v>-8</v>
      </c>
      <c r="AU79" s="66">
        <v>-8</v>
      </c>
      <c r="AV79" s="66">
        <v>-8</v>
      </c>
      <c r="AW79" s="66">
        <v>-8</v>
      </c>
      <c r="AX79" s="66">
        <v>-8</v>
      </c>
      <c r="AY79" s="66">
        <v>-8</v>
      </c>
      <c r="AZ79" s="66">
        <v>-8</v>
      </c>
      <c r="BA79" s="66">
        <v>-8</v>
      </c>
      <c r="BB79" s="66">
        <v>-8</v>
      </c>
      <c r="BC79" s="66">
        <v>1.4142106488999993</v>
      </c>
      <c r="BD79" s="66">
        <v>17.049785257300002</v>
      </c>
      <c r="BE79" s="66">
        <v>22.283934319899998</v>
      </c>
      <c r="BF79" s="66">
        <v>18.196413575800001</v>
      </c>
      <c r="BG79" s="66">
        <v>16.618978741300001</v>
      </c>
      <c r="BH79" s="66">
        <v>14.017402737100003</v>
      </c>
      <c r="BI79" s="66">
        <v>21.676977474100006</v>
      </c>
      <c r="BJ79" s="66">
        <v>19.265098938400001</v>
      </c>
      <c r="BK79" s="66">
        <v>18.215777353</v>
      </c>
      <c r="BL79" s="66">
        <v>33.042951789999996</v>
      </c>
      <c r="BM79" s="66">
        <v>41.490549700300008</v>
      </c>
      <c r="BN79" s="66">
        <v>48.134201614900007</v>
      </c>
      <c r="BO79" s="66">
        <v>30.897888091300004</v>
      </c>
      <c r="BP79" s="66">
        <v>37.171264057000002</v>
      </c>
      <c r="BQ79" s="66">
        <v>47.962479435700004</v>
      </c>
      <c r="BR79" s="66">
        <v>43.527461449600004</v>
      </c>
      <c r="BS79" s="66">
        <v>50.248343312800003</v>
      </c>
      <c r="BT79" s="66">
        <v>55.796365694199991</v>
      </c>
      <c r="BU79" s="66">
        <v>53.002690512699992</v>
      </c>
      <c r="BV79" s="66">
        <v>35.034831499300005</v>
      </c>
      <c r="BW79" s="66">
        <v>48.726673154500006</v>
      </c>
      <c r="BX79" s="66">
        <v>48.559078912299995</v>
      </c>
      <c r="BY79" s="66">
        <v>65.538559701100013</v>
      </c>
      <c r="BZ79" s="66">
        <v>76.627324284100013</v>
      </c>
      <c r="CA79" s="66">
        <v>65.086550599599988</v>
      </c>
      <c r="CB79" s="66">
        <v>88.174515034300001</v>
      </c>
      <c r="CC79" s="66">
        <v>99.405430756900003</v>
      </c>
      <c r="CD79" s="66">
        <v>104.89078354929998</v>
      </c>
      <c r="CE79" s="66">
        <v>87.969168931900015</v>
      </c>
      <c r="CF79" s="66">
        <v>106.346106502</v>
      </c>
      <c r="CG79" s="66">
        <v>116.72107572430001</v>
      </c>
      <c r="CH79" s="66">
        <v>88.791829249299994</v>
      </c>
      <c r="CI79" s="66">
        <v>69.702860073399989</v>
      </c>
      <c r="CJ79" s="66">
        <v>86.2791915241</v>
      </c>
      <c r="CK79" s="66">
        <v>88.304582576499982</v>
      </c>
      <c r="CL79" s="66">
        <v>116.0215405096</v>
      </c>
      <c r="CM79" s="66">
        <v>116.628422302</v>
      </c>
      <c r="CN79" s="66">
        <v>84.751817307400003</v>
      </c>
      <c r="CO79" s="66">
        <v>95.152454792499995</v>
      </c>
      <c r="CP79" s="66">
        <v>97.280443842700009</v>
      </c>
      <c r="CQ79" s="66">
        <v>81.546098959900007</v>
      </c>
      <c r="CR79" s="66">
        <v>70.938088930600017</v>
      </c>
      <c r="CS79" s="66">
        <v>74.2231387219</v>
      </c>
      <c r="CT79" s="66">
        <v>86.474930791300011</v>
      </c>
      <c r="CU79" s="66">
        <v>100.7777821759</v>
      </c>
      <c r="CV79" s="66">
        <v>80.352412159599993</v>
      </c>
      <c r="CW79" s="66">
        <v>101.0608085473</v>
      </c>
      <c r="CX79" s="66">
        <v>83.627780062300019</v>
      </c>
      <c r="CY79" s="66">
        <v>83.580158680000011</v>
      </c>
      <c r="CZ79" s="66">
        <v>93.320926672300004</v>
      </c>
      <c r="DA79" s="66">
        <v>98.968469862099994</v>
      </c>
      <c r="DB79" s="66">
        <v>96.580270674100021</v>
      </c>
      <c r="DC79" s="66">
        <v>98.566934172100005</v>
      </c>
      <c r="DD79" s="66">
        <v>86.620084066900006</v>
      </c>
      <c r="DE79" s="66">
        <v>80.125000357600001</v>
      </c>
      <c r="DF79" s="66">
        <v>103.86431572420001</v>
      </c>
      <c r="DG79" s="66">
        <v>97.563920534499999</v>
      </c>
      <c r="DH79" s="66">
        <v>98.339522370099999</v>
      </c>
      <c r="DI79" s="66">
        <v>118.66484620420002</v>
      </c>
      <c r="DJ79" s="66">
        <v>137.5191233983</v>
      </c>
      <c r="DK79" s="66">
        <v>115.9890423874</v>
      </c>
      <c r="DL79" s="66">
        <v>112.4680622332</v>
      </c>
      <c r="DM79" s="66">
        <v>126.06833874039998</v>
      </c>
      <c r="DN79" s="66">
        <v>151.10731630810002</v>
      </c>
      <c r="DO79" s="66">
        <v>151.79807027499999</v>
      </c>
      <c r="DP79" s="79"/>
      <c r="DQ79" s="80"/>
      <c r="DR79" s="81"/>
      <c r="DS79" s="84">
        <f t="shared" si="12"/>
        <v>2018</v>
      </c>
      <c r="DT79" s="80"/>
      <c r="DU79" s="83">
        <f t="shared" si="14"/>
        <v>-96</v>
      </c>
      <c r="DV79" s="83">
        <f t="shared" si="14"/>
        <v>-96</v>
      </c>
      <c r="DW79" s="83">
        <f t="shared" si="14"/>
        <v>-96</v>
      </c>
      <c r="DX79" s="83">
        <f t="shared" si="14"/>
        <v>-96</v>
      </c>
      <c r="DY79" s="83">
        <f t="shared" si="14"/>
        <v>124.73857904580001</v>
      </c>
      <c r="DZ79" s="83">
        <f t="shared" si="14"/>
        <v>525.03570031230004</v>
      </c>
      <c r="EA79" s="83">
        <f t="shared" si="14"/>
        <v>1017.8132833185</v>
      </c>
      <c r="EB79" s="83">
        <f t="shared" si="14"/>
        <v>1098.3784924344</v>
      </c>
      <c r="EC79" s="83">
        <f t="shared" si="14"/>
        <v>1104.2310815129999</v>
      </c>
      <c r="ED79" s="83">
        <f t="shared" si="14"/>
        <v>1011.9543219167001</v>
      </c>
    </row>
    <row r="80" spans="2:134" x14ac:dyDescent="0.3">
      <c r="B80" s="45">
        <f t="shared" si="13"/>
        <v>1000000076</v>
      </c>
      <c r="C80" s="46">
        <v>42186</v>
      </c>
      <c r="D80" s="66">
        <v>-8</v>
      </c>
      <c r="E80" s="66">
        <v>-8</v>
      </c>
      <c r="F80" s="66">
        <v>-8</v>
      </c>
      <c r="G80" s="66">
        <v>-8</v>
      </c>
      <c r="H80" s="66">
        <v>-8</v>
      </c>
      <c r="I80" s="66">
        <v>-8</v>
      </c>
      <c r="J80" s="66">
        <v>-8</v>
      </c>
      <c r="K80" s="66">
        <v>-8</v>
      </c>
      <c r="L80" s="66">
        <v>-8</v>
      </c>
      <c r="M80" s="66">
        <v>-8</v>
      </c>
      <c r="N80" s="66">
        <v>-8</v>
      </c>
      <c r="O80" s="66">
        <v>-8</v>
      </c>
      <c r="P80" s="66">
        <v>-8</v>
      </c>
      <c r="Q80" s="66">
        <v>-8</v>
      </c>
      <c r="R80" s="66">
        <v>-8</v>
      </c>
      <c r="S80" s="66">
        <v>-8</v>
      </c>
      <c r="T80" s="66">
        <v>-8</v>
      </c>
      <c r="U80" s="66">
        <v>-8</v>
      </c>
      <c r="V80" s="66">
        <v>-4.5437909300000001</v>
      </c>
      <c r="W80" s="66">
        <v>6.2042687437000001</v>
      </c>
      <c r="X80" s="66">
        <v>26.657933891800006</v>
      </c>
      <c r="Y80" s="66">
        <v>30.469933604500007</v>
      </c>
      <c r="Z80" s="66">
        <v>23.405832543100004</v>
      </c>
      <c r="AA80" s="66">
        <v>24.550922266900002</v>
      </c>
      <c r="AB80" s="66">
        <v>23.580106537900001</v>
      </c>
      <c r="AC80" s="66">
        <v>50.578390639300004</v>
      </c>
      <c r="AD80" s="66">
        <v>48.752041203700003</v>
      </c>
      <c r="AE80" s="66">
        <v>30.661357301199999</v>
      </c>
      <c r="AF80" s="66">
        <v>30.5533929853</v>
      </c>
      <c r="AG80" s="66">
        <v>32.988387968200001</v>
      </c>
      <c r="AH80" s="66">
        <v>34.050205944700004</v>
      </c>
      <c r="AI80" s="66">
        <v>46.669009140099988</v>
      </c>
      <c r="AJ80" s="66">
        <v>58.986097667500005</v>
      </c>
      <c r="AK80" s="66">
        <v>53.888470739500001</v>
      </c>
      <c r="AL80" s="66">
        <v>56.900964108700009</v>
      </c>
      <c r="AM80" s="66">
        <v>56.692128023199999</v>
      </c>
      <c r="AN80" s="66">
        <v>56.733032126200001</v>
      </c>
      <c r="AO80" s="66">
        <v>83.626841894800009</v>
      </c>
      <c r="AP80" s="66">
        <v>101.48557326460002</v>
      </c>
      <c r="AQ80" s="66">
        <v>67.47917793820001</v>
      </c>
      <c r="AR80" s="66">
        <v>62.288259633999999</v>
      </c>
      <c r="AS80" s="66">
        <v>69.243495738700005</v>
      </c>
      <c r="AT80" s="66">
        <v>83.146312501300002</v>
      </c>
      <c r="AU80" s="66">
        <v>60.894593049400015</v>
      </c>
      <c r="AV80" s="66">
        <v>70.351959403300015</v>
      </c>
      <c r="AW80" s="66">
        <v>62.23088130970001</v>
      </c>
      <c r="AX80" s="66">
        <v>57.728953217500006</v>
      </c>
      <c r="AY80" s="66">
        <v>60.767002269399995</v>
      </c>
      <c r="AZ80" s="66">
        <v>69.808685367400003</v>
      </c>
      <c r="BA80" s="66">
        <v>90.582490793199995</v>
      </c>
      <c r="BB80" s="66">
        <v>100.9788127078</v>
      </c>
      <c r="BC80" s="66">
        <v>102.0203662663</v>
      </c>
      <c r="BD80" s="66">
        <v>69.246347767900005</v>
      </c>
      <c r="BE80" s="66">
        <v>67.0081052731</v>
      </c>
      <c r="BF80" s="66">
        <v>65.536758419500003</v>
      </c>
      <c r="BG80" s="66">
        <v>64.781683688799987</v>
      </c>
      <c r="BH80" s="66">
        <v>70.49084572000001</v>
      </c>
      <c r="BI80" s="66">
        <v>75.934731508900001</v>
      </c>
      <c r="BJ80" s="66">
        <v>72.457244800000026</v>
      </c>
      <c r="BK80" s="66">
        <v>65.691293370099999</v>
      </c>
      <c r="BL80" s="66">
        <v>82.138645552900002</v>
      </c>
      <c r="BM80" s="66">
        <v>101.26709281719999</v>
      </c>
      <c r="BN80" s="66">
        <v>90.685951905099984</v>
      </c>
      <c r="BO80" s="66">
        <v>80.097793500100011</v>
      </c>
      <c r="BP80" s="66">
        <v>83.570964638500001</v>
      </c>
      <c r="BQ80" s="66">
        <v>63.267406290400004</v>
      </c>
      <c r="BR80" s="66">
        <v>62.551697067999996</v>
      </c>
      <c r="BS80" s="66">
        <v>74.969544784900009</v>
      </c>
      <c r="BT80" s="66">
        <v>75.138602568400017</v>
      </c>
      <c r="BU80" s="66">
        <v>81.953376235000007</v>
      </c>
      <c r="BV80" s="66">
        <v>63.096021851500012</v>
      </c>
      <c r="BW80" s="66">
        <v>62.354719419700004</v>
      </c>
      <c r="BX80" s="66">
        <v>76.275323838099993</v>
      </c>
      <c r="BY80" s="66">
        <v>99.340772252800022</v>
      </c>
      <c r="BZ80" s="66">
        <v>102.05027504620003</v>
      </c>
      <c r="CA80" s="66">
        <v>61.466274797200001</v>
      </c>
      <c r="CB80" s="66">
        <v>44.31417118840001</v>
      </c>
      <c r="CC80" s="66">
        <v>60.471066713199988</v>
      </c>
      <c r="CD80" s="66">
        <v>56.373901607200011</v>
      </c>
      <c r="CE80" s="66">
        <v>51.391218961300005</v>
      </c>
      <c r="CF80" s="66">
        <v>69.565099557699995</v>
      </c>
      <c r="CG80" s="66">
        <v>69.158235076300002</v>
      </c>
      <c r="CH80" s="66">
        <v>67.490398421500004</v>
      </c>
      <c r="CI80" s="66">
        <v>66.145216333299999</v>
      </c>
      <c r="CJ80" s="66">
        <v>67.492725076900015</v>
      </c>
      <c r="CK80" s="66">
        <v>88.761169935400019</v>
      </c>
      <c r="CL80" s="66">
        <v>76.2532956652</v>
      </c>
      <c r="CM80" s="66">
        <v>77.816357773600018</v>
      </c>
      <c r="CN80" s="66">
        <v>74.920084594300008</v>
      </c>
      <c r="CO80" s="66">
        <v>67.753310481700012</v>
      </c>
      <c r="CP80" s="66">
        <v>68.260033511800017</v>
      </c>
      <c r="CQ80" s="66">
        <v>50.073844157800004</v>
      </c>
      <c r="CR80" s="66">
        <v>47.024386989100002</v>
      </c>
      <c r="CS80" s="66">
        <v>51.418951192600005</v>
      </c>
      <c r="CT80" s="66">
        <v>38.135024766400001</v>
      </c>
      <c r="CU80" s="66">
        <v>48.304122512499994</v>
      </c>
      <c r="CV80" s="66">
        <v>42.720262132599998</v>
      </c>
      <c r="CW80" s="66">
        <v>64.456890100300001</v>
      </c>
      <c r="CX80" s="66">
        <v>94.13319209380002</v>
      </c>
      <c r="CY80" s="66">
        <v>107.04053808550002</v>
      </c>
      <c r="CZ80" s="66">
        <v>83.1958477453</v>
      </c>
      <c r="DA80" s="66">
        <v>81.422673643600007</v>
      </c>
      <c r="DB80" s="66">
        <v>69.324778570900008</v>
      </c>
      <c r="DC80" s="66">
        <v>87.14560797370001</v>
      </c>
      <c r="DD80" s="66">
        <v>87.867133834599997</v>
      </c>
      <c r="DE80" s="66">
        <v>102.76639706230002</v>
      </c>
      <c r="DF80" s="66">
        <v>93.225871541200007</v>
      </c>
      <c r="DG80" s="66">
        <v>83.212509600100006</v>
      </c>
      <c r="DH80" s="66">
        <v>100.10913143529999</v>
      </c>
      <c r="DI80" s="66">
        <v>135.30107026810001</v>
      </c>
      <c r="DJ80" s="66">
        <v>133.04323883590004</v>
      </c>
      <c r="DK80" s="66">
        <v>130.99045329250001</v>
      </c>
      <c r="DL80" s="66">
        <v>92.6523509851</v>
      </c>
      <c r="DM80" s="66">
        <v>107.18430287320002</v>
      </c>
      <c r="DN80" s="66">
        <v>80.655590368899993</v>
      </c>
      <c r="DO80" s="66">
        <v>116.01782536630004</v>
      </c>
      <c r="DP80" s="79"/>
      <c r="DQ80" s="80"/>
      <c r="DR80" s="81"/>
      <c r="DS80" s="84">
        <f t="shared" si="12"/>
        <v>2015</v>
      </c>
      <c r="DT80" s="80"/>
      <c r="DU80" s="83">
        <f t="shared" si="14"/>
        <v>-96</v>
      </c>
      <c r="DV80" s="83">
        <f t="shared" si="14"/>
        <v>58.745100120000018</v>
      </c>
      <c r="DW80" s="83">
        <f t="shared" si="14"/>
        <v>524.30055225930005</v>
      </c>
      <c r="DX80" s="83">
        <f t="shared" si="14"/>
        <v>835.97608234710003</v>
      </c>
      <c r="DY80" s="83">
        <f t="shared" si="14"/>
        <v>914.53736568299996</v>
      </c>
      <c r="DZ80" s="83">
        <f t="shared" si="14"/>
        <v>921.09181663170011</v>
      </c>
      <c r="EA80" s="83">
        <f t="shared" si="14"/>
        <v>824.04195379320015</v>
      </c>
      <c r="EB80" s="83">
        <f t="shared" si="14"/>
        <v>756.21330665730011</v>
      </c>
      <c r="EC80" s="83">
        <f t="shared" si="14"/>
        <v>996.51170238390011</v>
      </c>
      <c r="ED80" s="83">
        <f t="shared" si="14"/>
        <v>895.95396342530012</v>
      </c>
    </row>
    <row r="81" spans="2:134" x14ac:dyDescent="0.3">
      <c r="B81" s="45">
        <f t="shared" si="13"/>
        <v>1000000077</v>
      </c>
      <c r="C81" s="46">
        <v>42401</v>
      </c>
      <c r="D81" s="66">
        <v>-8</v>
      </c>
      <c r="E81" s="66">
        <v>-8</v>
      </c>
      <c r="F81" s="66">
        <v>-8</v>
      </c>
      <c r="G81" s="66">
        <v>-8</v>
      </c>
      <c r="H81" s="66">
        <v>-8</v>
      </c>
      <c r="I81" s="66">
        <v>-8</v>
      </c>
      <c r="J81" s="66">
        <v>-8</v>
      </c>
      <c r="K81" s="66">
        <v>-8</v>
      </c>
      <c r="L81" s="66">
        <v>-8</v>
      </c>
      <c r="M81" s="66">
        <v>-8</v>
      </c>
      <c r="N81" s="66">
        <v>-8</v>
      </c>
      <c r="O81" s="66">
        <v>-8</v>
      </c>
      <c r="P81" s="66">
        <v>-8</v>
      </c>
      <c r="Q81" s="66">
        <v>-8</v>
      </c>
      <c r="R81" s="66">
        <v>-8</v>
      </c>
      <c r="S81" s="66">
        <v>-8</v>
      </c>
      <c r="T81" s="66">
        <v>-8</v>
      </c>
      <c r="U81" s="66">
        <v>-8</v>
      </c>
      <c r="V81" s="66">
        <v>-8</v>
      </c>
      <c r="W81" s="66">
        <v>-8</v>
      </c>
      <c r="X81" s="66">
        <v>-8</v>
      </c>
      <c r="Y81" s="66">
        <v>-8</v>
      </c>
      <c r="Z81" s="66">
        <v>-8</v>
      </c>
      <c r="AA81" s="66">
        <v>-8</v>
      </c>
      <c r="AB81" s="66">
        <v>-8</v>
      </c>
      <c r="AC81" s="66">
        <v>27.954331269999997</v>
      </c>
      <c r="AD81" s="66">
        <v>23.408384358700001</v>
      </c>
      <c r="AE81" s="66">
        <v>9.7398092574999993</v>
      </c>
      <c r="AF81" s="66">
        <v>0.50366280009999898</v>
      </c>
      <c r="AG81" s="66">
        <v>-0.89803449830000037</v>
      </c>
      <c r="AH81" s="66">
        <v>0.33543060399999902</v>
      </c>
      <c r="AI81" s="66">
        <v>7.7055994305999995</v>
      </c>
      <c r="AJ81" s="66">
        <v>10.980667119700001</v>
      </c>
      <c r="AK81" s="66">
        <v>13.377497448700002</v>
      </c>
      <c r="AL81" s="66">
        <v>3.0254945668000008</v>
      </c>
      <c r="AM81" s="66">
        <v>1.4833348303000022</v>
      </c>
      <c r="AN81" s="66">
        <v>-5.8837943335999991</v>
      </c>
      <c r="AO81" s="66">
        <v>25.24133849350001</v>
      </c>
      <c r="AP81" s="66">
        <v>39.990532447900002</v>
      </c>
      <c r="AQ81" s="66">
        <v>40.036164915099995</v>
      </c>
      <c r="AR81" s="66">
        <v>23.141794681900006</v>
      </c>
      <c r="AS81" s="66">
        <v>22.685732696800006</v>
      </c>
      <c r="AT81" s="66">
        <v>22.132176345100007</v>
      </c>
      <c r="AU81" s="66">
        <v>31.073925841000012</v>
      </c>
      <c r="AV81" s="66">
        <v>36.689533809100013</v>
      </c>
      <c r="AW81" s="66">
        <v>31.680169679500004</v>
      </c>
      <c r="AX81" s="66">
        <v>28.337891670699996</v>
      </c>
      <c r="AY81" s="66">
        <v>21.116178469299996</v>
      </c>
      <c r="AZ81" s="66">
        <v>36.347815678899998</v>
      </c>
      <c r="BA81" s="66">
        <v>50.406518353300008</v>
      </c>
      <c r="BB81" s="66">
        <v>66.019727048500016</v>
      </c>
      <c r="BC81" s="66">
        <v>72.283008331900021</v>
      </c>
      <c r="BD81" s="66">
        <v>66.689240903200016</v>
      </c>
      <c r="BE81" s="66">
        <v>72.154704544600008</v>
      </c>
      <c r="BF81" s="66">
        <v>79.317650933799996</v>
      </c>
      <c r="BG81" s="66">
        <v>67.113029926300001</v>
      </c>
      <c r="BH81" s="66">
        <v>56.103671840499999</v>
      </c>
      <c r="BI81" s="66">
        <v>65.337003795400008</v>
      </c>
      <c r="BJ81" s="66">
        <v>54.715746840999998</v>
      </c>
      <c r="BK81" s="66">
        <v>37.016428892799993</v>
      </c>
      <c r="BL81" s="66">
        <v>39.980325185500007</v>
      </c>
      <c r="BM81" s="66">
        <v>63.990245585799997</v>
      </c>
      <c r="BN81" s="66">
        <v>52.440390439900014</v>
      </c>
      <c r="BO81" s="66">
        <v>66.354427685800019</v>
      </c>
      <c r="BP81" s="66">
        <v>57.333684486400003</v>
      </c>
      <c r="BQ81" s="66">
        <v>81.461513778099999</v>
      </c>
      <c r="BR81" s="66">
        <v>56.277570568300007</v>
      </c>
      <c r="BS81" s="66">
        <v>64.230566572599997</v>
      </c>
      <c r="BT81" s="66">
        <v>56.826736296099995</v>
      </c>
      <c r="BU81" s="66">
        <v>64.466496935500018</v>
      </c>
      <c r="BV81" s="66">
        <v>53.742454349800006</v>
      </c>
      <c r="BW81" s="66">
        <v>43.820094656200006</v>
      </c>
      <c r="BX81" s="66">
        <v>55.993118182300009</v>
      </c>
      <c r="BY81" s="66">
        <v>67.378381221999987</v>
      </c>
      <c r="BZ81" s="66">
        <v>54.051411670900002</v>
      </c>
      <c r="CA81" s="66">
        <v>50.051140504300008</v>
      </c>
      <c r="CB81" s="66">
        <v>70.582560974800003</v>
      </c>
      <c r="CC81" s="66">
        <v>69.818254675900008</v>
      </c>
      <c r="CD81" s="66">
        <v>61.154578026999985</v>
      </c>
      <c r="CE81" s="66">
        <v>70.952874450400017</v>
      </c>
      <c r="CF81" s="66">
        <v>64.07017745680001</v>
      </c>
      <c r="CG81" s="66">
        <v>55.533078367000016</v>
      </c>
      <c r="CH81" s="66">
        <v>65.653316349699992</v>
      </c>
      <c r="CI81" s="66">
        <v>47.575203891699999</v>
      </c>
      <c r="CJ81" s="66">
        <v>51.840451087000019</v>
      </c>
      <c r="CK81" s="66">
        <v>84.343076490999991</v>
      </c>
      <c r="CL81" s="66">
        <v>86.13516404950002</v>
      </c>
      <c r="CM81" s="66">
        <v>82.355062031800031</v>
      </c>
      <c r="CN81" s="66">
        <v>65.938406689600001</v>
      </c>
      <c r="CO81" s="66">
        <v>64.288920591100009</v>
      </c>
      <c r="CP81" s="66">
        <v>76.824376985800015</v>
      </c>
      <c r="CQ81" s="66">
        <v>66.044156930200018</v>
      </c>
      <c r="CR81" s="66">
        <v>74.994987887500002</v>
      </c>
      <c r="CS81" s="66">
        <v>69.994817799399996</v>
      </c>
      <c r="CT81" s="66">
        <v>63.669017033800003</v>
      </c>
      <c r="CU81" s="66">
        <v>47.394888098199999</v>
      </c>
      <c r="CV81" s="66">
        <v>41.840748864699989</v>
      </c>
      <c r="CW81" s="66">
        <v>46.433866837899998</v>
      </c>
      <c r="CX81" s="66">
        <v>75.642098302300013</v>
      </c>
      <c r="CY81" s="66">
        <v>75.549594986800003</v>
      </c>
      <c r="CZ81" s="66">
        <v>71.164975358799992</v>
      </c>
      <c r="DA81" s="66">
        <v>83.291240616700009</v>
      </c>
      <c r="DB81" s="66">
        <v>103.73987718700002</v>
      </c>
      <c r="DC81" s="66">
        <v>79.935565576000002</v>
      </c>
      <c r="DD81" s="66">
        <v>97.229595164200006</v>
      </c>
      <c r="DE81" s="66">
        <v>107.75215689760002</v>
      </c>
      <c r="DF81" s="66">
        <v>100.07625804610001</v>
      </c>
      <c r="DG81" s="66">
        <v>85.416527744500016</v>
      </c>
      <c r="DH81" s="66">
        <v>88.886921907100003</v>
      </c>
      <c r="DI81" s="66">
        <v>94.898248926699992</v>
      </c>
      <c r="DJ81" s="66">
        <v>99.658961142099997</v>
      </c>
      <c r="DK81" s="66">
        <v>96.857968254100015</v>
      </c>
      <c r="DL81" s="66">
        <v>124.90775048950002</v>
      </c>
      <c r="DM81" s="66">
        <v>166.01157058690001</v>
      </c>
      <c r="DN81" s="66">
        <v>160.2739633171</v>
      </c>
      <c r="DO81" s="66">
        <v>136.90863904270003</v>
      </c>
      <c r="DP81" s="79"/>
      <c r="DQ81" s="80"/>
      <c r="DR81" s="81"/>
      <c r="DS81" s="84">
        <f t="shared" si="12"/>
        <v>2016</v>
      </c>
      <c r="DT81" s="80"/>
      <c r="DU81" s="83">
        <f t="shared" si="14"/>
        <v>-96</v>
      </c>
      <c r="DV81" s="83">
        <f t="shared" si="14"/>
        <v>-96</v>
      </c>
      <c r="DW81" s="83">
        <f t="shared" si="14"/>
        <v>89.616177188100011</v>
      </c>
      <c r="DX81" s="83">
        <f t="shared" si="14"/>
        <v>316.24164471630002</v>
      </c>
      <c r="DY81" s="83">
        <f t="shared" si="14"/>
        <v>723.50454709020016</v>
      </c>
      <c r="DZ81" s="83">
        <f t="shared" si="14"/>
        <v>700.92450654000004</v>
      </c>
      <c r="EA81" s="83">
        <f t="shared" si="14"/>
        <v>732.81409577279999</v>
      </c>
      <c r="EB81" s="83">
        <f t="shared" si="14"/>
        <v>833.82332567490016</v>
      </c>
      <c r="EC81" s="83">
        <f t="shared" si="14"/>
        <v>968.0725055826</v>
      </c>
      <c r="ED81" s="83">
        <f t="shared" si="14"/>
        <v>968.40402366620015</v>
      </c>
    </row>
    <row r="82" spans="2:134" x14ac:dyDescent="0.3">
      <c r="B82" s="45">
        <f t="shared" si="13"/>
        <v>1000000078</v>
      </c>
      <c r="C82" s="46">
        <v>42278</v>
      </c>
      <c r="D82" s="66">
        <v>-8</v>
      </c>
      <c r="E82" s="66">
        <v>-8</v>
      </c>
      <c r="F82" s="66">
        <v>-8</v>
      </c>
      <c r="G82" s="66">
        <v>-8</v>
      </c>
      <c r="H82" s="66">
        <v>-8</v>
      </c>
      <c r="I82" s="66">
        <v>-8</v>
      </c>
      <c r="J82" s="66">
        <v>-8</v>
      </c>
      <c r="K82" s="66">
        <v>-8</v>
      </c>
      <c r="L82" s="66">
        <v>-8</v>
      </c>
      <c r="M82" s="66">
        <v>-8</v>
      </c>
      <c r="N82" s="66">
        <v>-8</v>
      </c>
      <c r="O82" s="66">
        <v>-8</v>
      </c>
      <c r="P82" s="66">
        <v>-8</v>
      </c>
      <c r="Q82" s="66">
        <v>-8</v>
      </c>
      <c r="R82" s="66">
        <v>-8</v>
      </c>
      <c r="S82" s="66">
        <v>-8</v>
      </c>
      <c r="T82" s="66">
        <v>-8</v>
      </c>
      <c r="U82" s="66">
        <v>-8</v>
      </c>
      <c r="V82" s="66">
        <v>-8</v>
      </c>
      <c r="W82" s="66">
        <v>-8</v>
      </c>
      <c r="X82" s="66">
        <v>-8</v>
      </c>
      <c r="Y82" s="66">
        <v>11.675248810000003</v>
      </c>
      <c r="Z82" s="66">
        <v>16.504259619400003</v>
      </c>
      <c r="AA82" s="66">
        <v>24.462396781599999</v>
      </c>
      <c r="AB82" s="66">
        <v>26.286682248700004</v>
      </c>
      <c r="AC82" s="66">
        <v>52.999613323300004</v>
      </c>
      <c r="AD82" s="66">
        <v>52.113607936299999</v>
      </c>
      <c r="AE82" s="66">
        <v>41.571719952399995</v>
      </c>
      <c r="AF82" s="66">
        <v>28.940120152300004</v>
      </c>
      <c r="AG82" s="66">
        <v>20.119244157099999</v>
      </c>
      <c r="AH82" s="66">
        <v>40.371390926200007</v>
      </c>
      <c r="AI82" s="66">
        <v>53.333488373199998</v>
      </c>
      <c r="AJ82" s="66">
        <v>56.533014815200005</v>
      </c>
      <c r="AK82" s="66">
        <v>67.143689240200018</v>
      </c>
      <c r="AL82" s="66">
        <v>82.557743738500008</v>
      </c>
      <c r="AM82" s="66">
        <v>67.4620282363</v>
      </c>
      <c r="AN82" s="66">
        <v>63.577789626100014</v>
      </c>
      <c r="AO82" s="66">
        <v>122.36351528290004</v>
      </c>
      <c r="AP82" s="66">
        <v>147.87442862980004</v>
      </c>
      <c r="AQ82" s="66">
        <v>123.90376115770002</v>
      </c>
      <c r="AR82" s="66">
        <v>74.233533617800006</v>
      </c>
      <c r="AS82" s="66">
        <v>94.432842793299997</v>
      </c>
      <c r="AT82" s="66">
        <v>83.852114674900008</v>
      </c>
      <c r="AU82" s="66">
        <v>92.600564139100001</v>
      </c>
      <c r="AV82" s="66">
        <v>91.067223177100004</v>
      </c>
      <c r="AW82" s="66">
        <v>96.284710384900009</v>
      </c>
      <c r="AX82" s="66">
        <v>93.790423216000008</v>
      </c>
      <c r="AY82" s="66">
        <v>93.303326650000002</v>
      </c>
      <c r="AZ82" s="66">
        <v>126.28392963190001</v>
      </c>
      <c r="BA82" s="66">
        <v>187.44809753470003</v>
      </c>
      <c r="BB82" s="66">
        <v>187.5378989278</v>
      </c>
      <c r="BC82" s="66">
        <v>181.07467538680001</v>
      </c>
      <c r="BD82" s="66">
        <v>154.91346185559999</v>
      </c>
      <c r="BE82" s="66">
        <v>142.52030670730002</v>
      </c>
      <c r="BF82" s="66">
        <v>159.70475833150005</v>
      </c>
      <c r="BG82" s="66">
        <v>153.87896331670001</v>
      </c>
      <c r="BH82" s="66">
        <v>113.6600228053</v>
      </c>
      <c r="BI82" s="66">
        <v>127.3012409422</v>
      </c>
      <c r="BJ82" s="66">
        <v>122.26489511530002</v>
      </c>
      <c r="BK82" s="66">
        <v>100.46053145410001</v>
      </c>
      <c r="BL82" s="66">
        <v>119.06154094990001</v>
      </c>
      <c r="BM82" s="66">
        <v>173.5304577256</v>
      </c>
      <c r="BN82" s="66">
        <v>154.90393007380001</v>
      </c>
      <c r="BO82" s="66">
        <v>129.2140518946</v>
      </c>
      <c r="BP82" s="66">
        <v>135.64901783049996</v>
      </c>
      <c r="BQ82" s="66">
        <v>96.673562050300006</v>
      </c>
      <c r="BR82" s="66">
        <v>89.620906632400008</v>
      </c>
      <c r="BS82" s="66">
        <v>107.75061830290001</v>
      </c>
      <c r="BT82" s="66">
        <v>95.990463530199989</v>
      </c>
      <c r="BU82" s="66">
        <v>109.33353203560002</v>
      </c>
      <c r="BV82" s="66">
        <v>98.973160699600001</v>
      </c>
      <c r="BW82" s="66">
        <v>95.064792421300012</v>
      </c>
      <c r="BX82" s="66">
        <v>92.789548600300023</v>
      </c>
      <c r="BY82" s="66">
        <v>129.52935122800002</v>
      </c>
      <c r="BZ82" s="66">
        <v>134.5354880614</v>
      </c>
      <c r="CA82" s="66">
        <v>120.58876505980001</v>
      </c>
      <c r="CB82" s="66">
        <v>99.897856114300012</v>
      </c>
      <c r="CC82" s="66">
        <v>99.336006361900004</v>
      </c>
      <c r="CD82" s="66">
        <v>91.235718060099998</v>
      </c>
      <c r="CE82" s="66">
        <v>116.15239611250001</v>
      </c>
      <c r="CF82" s="66">
        <v>105.5195809345</v>
      </c>
      <c r="CG82" s="66">
        <v>126.2828788843</v>
      </c>
      <c r="CH82" s="66">
        <v>100.79673315939999</v>
      </c>
      <c r="CI82" s="66">
        <v>89.406216381700006</v>
      </c>
      <c r="CJ82" s="66">
        <v>77.50109596690001</v>
      </c>
      <c r="CK82" s="66">
        <v>92.464642431700014</v>
      </c>
      <c r="CL82" s="66">
        <v>123.85542676809999</v>
      </c>
      <c r="CM82" s="66">
        <v>158.03917327869999</v>
      </c>
      <c r="CN82" s="66">
        <v>132.11700482649999</v>
      </c>
      <c r="CO82" s="66">
        <v>115.4984558383</v>
      </c>
      <c r="CP82" s="66">
        <v>74.301231784599992</v>
      </c>
      <c r="CQ82" s="66">
        <v>101.31749117530002</v>
      </c>
      <c r="CR82" s="66">
        <v>82.063929893199997</v>
      </c>
      <c r="CS82" s="66">
        <v>57.717620154100004</v>
      </c>
      <c r="CT82" s="66">
        <v>73.913318286700019</v>
      </c>
      <c r="CU82" s="66">
        <v>68.653163221</v>
      </c>
      <c r="CV82" s="66">
        <v>68.8624871536</v>
      </c>
      <c r="CW82" s="66">
        <v>128.97117909220003</v>
      </c>
      <c r="CX82" s="66">
        <v>110.11014709210001</v>
      </c>
      <c r="CY82" s="66">
        <v>104.64719773959999</v>
      </c>
      <c r="CZ82" s="66">
        <v>76.315252246899988</v>
      </c>
      <c r="DA82" s="66">
        <v>75.169036722100003</v>
      </c>
      <c r="DB82" s="66">
        <v>65.985990545199996</v>
      </c>
      <c r="DC82" s="66">
        <v>102.97365702640001</v>
      </c>
      <c r="DD82" s="66">
        <v>101.32225706620002</v>
      </c>
      <c r="DE82" s="66">
        <v>105.23366500719997</v>
      </c>
      <c r="DF82" s="66">
        <v>68.989890300099987</v>
      </c>
      <c r="DG82" s="66">
        <v>86.698289709700006</v>
      </c>
      <c r="DH82" s="66">
        <v>91.786459909299992</v>
      </c>
      <c r="DI82" s="66">
        <v>127.59969078730003</v>
      </c>
      <c r="DJ82" s="66">
        <v>144.26901340060002</v>
      </c>
      <c r="DK82" s="66">
        <v>125.3813749702</v>
      </c>
      <c r="DL82" s="66">
        <v>102.446707105</v>
      </c>
      <c r="DM82" s="66">
        <v>94.839031794099981</v>
      </c>
      <c r="DN82" s="66">
        <v>101.6831513401</v>
      </c>
      <c r="DO82" s="66">
        <v>122.60567507800002</v>
      </c>
      <c r="DP82" s="79"/>
      <c r="DQ82" s="80"/>
      <c r="DR82" s="81"/>
      <c r="DS82" s="84">
        <f t="shared" si="12"/>
        <v>2015</v>
      </c>
      <c r="DT82" s="80"/>
      <c r="DU82" s="83">
        <f t="shared" si="14"/>
        <v>-96</v>
      </c>
      <c r="DV82" s="83">
        <f t="shared" si="14"/>
        <v>-19.358094788999999</v>
      </c>
      <c r="DW82" s="83">
        <f t="shared" si="14"/>
        <v>589.43234309970012</v>
      </c>
      <c r="DX82" s="83">
        <f t="shared" si="14"/>
        <v>1177.2842333496001</v>
      </c>
      <c r="DY82" s="83">
        <f t="shared" si="14"/>
        <v>1757.0487820092001</v>
      </c>
      <c r="DZ82" s="83">
        <f t="shared" si="14"/>
        <v>1405.7660341466999</v>
      </c>
      <c r="EA82" s="83">
        <f t="shared" si="14"/>
        <v>1306.0705389582001</v>
      </c>
      <c r="EB82" s="83">
        <f t="shared" si="14"/>
        <v>1157.4425536250997</v>
      </c>
      <c r="EC82" s="83">
        <f t="shared" si="14"/>
        <v>1095.2790497013</v>
      </c>
      <c r="ED82" s="83">
        <f t="shared" si="14"/>
        <v>910.61110438460003</v>
      </c>
    </row>
    <row r="83" spans="2:134" x14ac:dyDescent="0.3">
      <c r="B83" s="45">
        <f t="shared" si="13"/>
        <v>1000000079</v>
      </c>
      <c r="C83" s="46">
        <v>42856</v>
      </c>
      <c r="D83" s="66">
        <v>-8</v>
      </c>
      <c r="E83" s="66">
        <v>-8</v>
      </c>
      <c r="F83" s="66">
        <v>-8</v>
      </c>
      <c r="G83" s="66">
        <v>-8</v>
      </c>
      <c r="H83" s="66">
        <v>-8</v>
      </c>
      <c r="I83" s="66">
        <v>-8</v>
      </c>
      <c r="J83" s="66">
        <v>-8</v>
      </c>
      <c r="K83" s="66">
        <v>-8</v>
      </c>
      <c r="L83" s="66">
        <v>-8</v>
      </c>
      <c r="M83" s="66">
        <v>-8</v>
      </c>
      <c r="N83" s="66">
        <v>-8</v>
      </c>
      <c r="O83" s="66">
        <v>-8</v>
      </c>
      <c r="P83" s="66">
        <v>-8</v>
      </c>
      <c r="Q83" s="66">
        <v>-8</v>
      </c>
      <c r="R83" s="66">
        <v>-8</v>
      </c>
      <c r="S83" s="66">
        <v>-8</v>
      </c>
      <c r="T83" s="66">
        <v>-8</v>
      </c>
      <c r="U83" s="66">
        <v>-8</v>
      </c>
      <c r="V83" s="66">
        <v>-8</v>
      </c>
      <c r="W83" s="66">
        <v>-8</v>
      </c>
      <c r="X83" s="66">
        <v>-8</v>
      </c>
      <c r="Y83" s="66">
        <v>-8</v>
      </c>
      <c r="Z83" s="66">
        <v>-8</v>
      </c>
      <c r="AA83" s="66">
        <v>-8</v>
      </c>
      <c r="AB83" s="66">
        <v>-8</v>
      </c>
      <c r="AC83" s="66">
        <v>-8</v>
      </c>
      <c r="AD83" s="66">
        <v>-8</v>
      </c>
      <c r="AE83" s="66">
        <v>-8</v>
      </c>
      <c r="AF83" s="66">
        <v>-8</v>
      </c>
      <c r="AG83" s="66">
        <v>-8</v>
      </c>
      <c r="AH83" s="66">
        <v>-8</v>
      </c>
      <c r="AI83" s="66">
        <v>-8</v>
      </c>
      <c r="AJ83" s="66">
        <v>-8</v>
      </c>
      <c r="AK83" s="66">
        <v>-8</v>
      </c>
      <c r="AL83" s="66">
        <v>-8</v>
      </c>
      <c r="AM83" s="66">
        <v>-8</v>
      </c>
      <c r="AN83" s="66">
        <v>-8</v>
      </c>
      <c r="AO83" s="66">
        <v>-8</v>
      </c>
      <c r="AP83" s="66">
        <v>-8</v>
      </c>
      <c r="AQ83" s="66">
        <v>-8</v>
      </c>
      <c r="AR83" s="66">
        <v>-7.6761821056999997</v>
      </c>
      <c r="AS83" s="66">
        <v>8.1650012919999995</v>
      </c>
      <c r="AT83" s="66">
        <v>12.238036729900003</v>
      </c>
      <c r="AU83" s="66">
        <v>14.166196102600001</v>
      </c>
      <c r="AV83" s="66">
        <v>18.892871601100001</v>
      </c>
      <c r="AW83" s="66">
        <v>10.914357440799996</v>
      </c>
      <c r="AX83" s="66">
        <v>14.968066628200003</v>
      </c>
      <c r="AY83" s="66">
        <v>16.371677788300005</v>
      </c>
      <c r="AZ83" s="66">
        <v>23.782075237300006</v>
      </c>
      <c r="BA83" s="66">
        <v>26.7381284497</v>
      </c>
      <c r="BB83" s="66">
        <v>37.209954084700001</v>
      </c>
      <c r="BC83" s="66">
        <v>29.201831358100002</v>
      </c>
      <c r="BD83" s="66">
        <v>19.188657050500005</v>
      </c>
      <c r="BE83" s="66">
        <v>15.930926696799997</v>
      </c>
      <c r="BF83" s="66">
        <v>11.686694453500003</v>
      </c>
      <c r="BG83" s="66">
        <v>14.906297680000002</v>
      </c>
      <c r="BH83" s="66">
        <v>24.913242555400004</v>
      </c>
      <c r="BI83" s="66">
        <v>23.510119242400009</v>
      </c>
      <c r="BJ83" s="66">
        <v>21.135842460100001</v>
      </c>
      <c r="BK83" s="66">
        <v>13.623372387100002</v>
      </c>
      <c r="BL83" s="66">
        <v>20.445013439800004</v>
      </c>
      <c r="BM83" s="66">
        <v>29.765557445500001</v>
      </c>
      <c r="BN83" s="66">
        <v>29.323980766599995</v>
      </c>
      <c r="BO83" s="66">
        <v>31.552466319399997</v>
      </c>
      <c r="BP83" s="66">
        <v>14.460480484000005</v>
      </c>
      <c r="BQ83" s="66">
        <v>24.793457329000006</v>
      </c>
      <c r="BR83" s="66">
        <v>19.040126371900001</v>
      </c>
      <c r="BS83" s="66">
        <v>35.271850136500007</v>
      </c>
      <c r="BT83" s="66">
        <v>35.309339309800002</v>
      </c>
      <c r="BU83" s="66">
        <v>28.128380104599998</v>
      </c>
      <c r="BV83" s="66">
        <v>36.363539366200008</v>
      </c>
      <c r="BW83" s="66">
        <v>44.193973168300012</v>
      </c>
      <c r="BX83" s="66">
        <v>44.039100477399998</v>
      </c>
      <c r="BY83" s="66">
        <v>56.481378076000013</v>
      </c>
      <c r="BZ83" s="66">
        <v>56.068134055600012</v>
      </c>
      <c r="CA83" s="66">
        <v>24.209316716799997</v>
      </c>
      <c r="CB83" s="66">
        <v>21.278894240499998</v>
      </c>
      <c r="CC83" s="66">
        <v>40.310372511999994</v>
      </c>
      <c r="CD83" s="66">
        <v>52.24123624300001</v>
      </c>
      <c r="CE83" s="66">
        <v>63.675809366500005</v>
      </c>
      <c r="CF83" s="66">
        <v>78.304092293500005</v>
      </c>
      <c r="CG83" s="66">
        <v>64.428294754900023</v>
      </c>
      <c r="CH83" s="66">
        <v>44.553516481000003</v>
      </c>
      <c r="CI83" s="66">
        <v>30.767070015100003</v>
      </c>
      <c r="CJ83" s="66">
        <v>34.663542329500004</v>
      </c>
      <c r="CK83" s="66">
        <v>115.42201395040003</v>
      </c>
      <c r="CL83" s="66">
        <v>96.0949003363</v>
      </c>
      <c r="CM83" s="66">
        <v>104.6216045302</v>
      </c>
      <c r="CN83" s="66">
        <v>68.302813949800012</v>
      </c>
      <c r="CO83" s="66">
        <v>61.174804918300012</v>
      </c>
      <c r="CP83" s="66">
        <v>96.555052731700016</v>
      </c>
      <c r="CQ83" s="66">
        <v>80.421874081300004</v>
      </c>
      <c r="CR83" s="66">
        <v>90.391855157200013</v>
      </c>
      <c r="CS83" s="66">
        <v>69.002949591699988</v>
      </c>
      <c r="CT83" s="66">
        <v>75.489101946399998</v>
      </c>
      <c r="CU83" s="66">
        <v>60.052418848000002</v>
      </c>
      <c r="CV83" s="66">
        <v>81.251739525100007</v>
      </c>
      <c r="CW83" s="66">
        <v>115.21160174350001</v>
      </c>
      <c r="CX83" s="66">
        <v>118.47334745409998</v>
      </c>
      <c r="CY83" s="66">
        <v>121.06325265459998</v>
      </c>
      <c r="CZ83" s="66">
        <v>90.7974062041</v>
      </c>
      <c r="DA83" s="66">
        <v>74.055732113200008</v>
      </c>
      <c r="DB83" s="66">
        <v>68.389388046700006</v>
      </c>
      <c r="DC83" s="66">
        <v>74.287834752699993</v>
      </c>
      <c r="DD83" s="66">
        <v>68.663783277099995</v>
      </c>
      <c r="DE83" s="66">
        <v>68.270878728100001</v>
      </c>
      <c r="DF83" s="66">
        <v>60.230895833200009</v>
      </c>
      <c r="DG83" s="66">
        <v>61.932844258299994</v>
      </c>
      <c r="DH83" s="66">
        <v>88.890336836800003</v>
      </c>
      <c r="DI83" s="66">
        <v>147.07402164550001</v>
      </c>
      <c r="DJ83" s="66">
        <v>149.22587767690001</v>
      </c>
      <c r="DK83" s="66">
        <v>151.14240377259998</v>
      </c>
      <c r="DL83" s="66">
        <v>123.14054313310001</v>
      </c>
      <c r="DM83" s="66">
        <v>113.64959038270003</v>
      </c>
      <c r="DN83" s="66">
        <v>115.5166938145</v>
      </c>
      <c r="DO83" s="66">
        <v>145.53523931200002</v>
      </c>
      <c r="DP83" s="79"/>
      <c r="DQ83" s="80"/>
      <c r="DR83" s="81"/>
      <c r="DS83" s="84">
        <f t="shared" si="12"/>
        <v>2017</v>
      </c>
      <c r="DT83" s="80"/>
      <c r="DU83" s="83">
        <f t="shared" si="14"/>
        <v>-96</v>
      </c>
      <c r="DV83" s="83">
        <f t="shared" si="14"/>
        <v>-96</v>
      </c>
      <c r="DW83" s="83">
        <f t="shared" si="14"/>
        <v>-96</v>
      </c>
      <c r="DX83" s="83">
        <f t="shared" si="14"/>
        <v>56.040025477200004</v>
      </c>
      <c r="DY83" s="83">
        <f t="shared" si="14"/>
        <v>261.82714165560003</v>
      </c>
      <c r="DZ83" s="83">
        <f t="shared" si="14"/>
        <v>348.64816424160006</v>
      </c>
      <c r="EA83" s="83">
        <f t="shared" si="14"/>
        <v>576.35721523230006</v>
      </c>
      <c r="EB83" s="83">
        <f t="shared" si="14"/>
        <v>952.19293237080001</v>
      </c>
      <c r="EC83" s="83">
        <f t="shared" si="14"/>
        <v>1002.6287045906998</v>
      </c>
      <c r="ED83" s="83">
        <f t="shared" si="14"/>
        <v>1034.1747065740999</v>
      </c>
    </row>
    <row r="84" spans="2:134" x14ac:dyDescent="0.3">
      <c r="B84" s="45">
        <f t="shared" si="13"/>
        <v>1000000080</v>
      </c>
      <c r="C84" s="46">
        <v>40940</v>
      </c>
      <c r="D84" s="66">
        <v>32.700520652500003</v>
      </c>
      <c r="E84" s="66">
        <v>50.787714571899997</v>
      </c>
      <c r="F84" s="66">
        <v>42.106437900700016</v>
      </c>
      <c r="G84" s="66">
        <v>47.732403238000003</v>
      </c>
      <c r="H84" s="66">
        <v>55.5929709802</v>
      </c>
      <c r="I84" s="66">
        <v>27.636217434099997</v>
      </c>
      <c r="J84" s="66">
        <v>31.9702135438</v>
      </c>
      <c r="K84" s="66">
        <v>34.725311277699994</v>
      </c>
      <c r="L84" s="66">
        <v>27.3318383704</v>
      </c>
      <c r="M84" s="66">
        <v>36.5938031974</v>
      </c>
      <c r="N84" s="66">
        <v>36.315617770300008</v>
      </c>
      <c r="O84" s="66">
        <v>35.525793315399994</v>
      </c>
      <c r="P84" s="66">
        <v>44.172507895900004</v>
      </c>
      <c r="Q84" s="66">
        <v>102.41826186640002</v>
      </c>
      <c r="R84" s="66">
        <v>49.723119619599998</v>
      </c>
      <c r="S84" s="66">
        <v>44.241632077299997</v>
      </c>
      <c r="T84" s="66">
        <v>31.653525722500007</v>
      </c>
      <c r="U84" s="66">
        <v>51.787726073500004</v>
      </c>
      <c r="V84" s="66">
        <v>41.202157010800001</v>
      </c>
      <c r="W84" s="66">
        <v>43.125550492599999</v>
      </c>
      <c r="X84" s="66">
        <v>41.220845307400005</v>
      </c>
      <c r="Y84" s="66">
        <v>40.5713331838</v>
      </c>
      <c r="Z84" s="66">
        <v>33.861746857300005</v>
      </c>
      <c r="AA84" s="66">
        <v>59.886813520900006</v>
      </c>
      <c r="AB84" s="66">
        <v>50.572649054199992</v>
      </c>
      <c r="AC84" s="66">
        <v>48.486427221100001</v>
      </c>
      <c r="AD84" s="66">
        <v>56.531063426799989</v>
      </c>
      <c r="AE84" s="66">
        <v>56.359003507300002</v>
      </c>
      <c r="AF84" s="66">
        <v>50.622634618600003</v>
      </c>
      <c r="AG84" s="66">
        <v>49.815848095300005</v>
      </c>
      <c r="AH84" s="66">
        <v>58.346380012599994</v>
      </c>
      <c r="AI84" s="66">
        <v>59.488955447500004</v>
      </c>
      <c r="AJ84" s="66">
        <v>56.749506347500002</v>
      </c>
      <c r="AK84" s="66">
        <v>55.715983502800007</v>
      </c>
      <c r="AL84" s="66">
        <v>45.562234177000008</v>
      </c>
      <c r="AM84" s="66">
        <v>57.169542700600005</v>
      </c>
      <c r="AN84" s="66">
        <v>57.691689204400006</v>
      </c>
      <c r="AO84" s="66">
        <v>61.663177392099996</v>
      </c>
      <c r="AP84" s="66">
        <v>77.707830557199998</v>
      </c>
      <c r="AQ84" s="66">
        <v>76.871848261300016</v>
      </c>
      <c r="AR84" s="66">
        <v>56.7603515638</v>
      </c>
      <c r="AS84" s="66">
        <v>64.0120861252</v>
      </c>
      <c r="AT84" s="66">
        <v>57.576970082499997</v>
      </c>
      <c r="AU84" s="66">
        <v>66.768497293600007</v>
      </c>
      <c r="AV84" s="66">
        <v>57.407086711600002</v>
      </c>
      <c r="AW84" s="66">
        <v>73.281969085900016</v>
      </c>
      <c r="AX84" s="66">
        <v>71.131839282699985</v>
      </c>
      <c r="AY84" s="66">
        <v>62.960813151400004</v>
      </c>
      <c r="AZ84" s="66">
        <v>62.681314289800014</v>
      </c>
      <c r="BA84" s="66">
        <v>63.179856499299987</v>
      </c>
      <c r="BB84" s="66">
        <v>68.781767221900012</v>
      </c>
      <c r="BC84" s="66">
        <v>79.461415721500003</v>
      </c>
      <c r="BD84" s="66">
        <v>63.65948525200001</v>
      </c>
      <c r="BE84" s="66">
        <v>60.371508378100003</v>
      </c>
      <c r="BF84" s="66">
        <v>64.120838501800009</v>
      </c>
      <c r="BG84" s="66">
        <v>62.497245826300002</v>
      </c>
      <c r="BH84" s="66">
        <v>70.813162546300006</v>
      </c>
      <c r="BI84" s="66">
        <v>70.383556884699999</v>
      </c>
      <c r="BJ84" s="66">
        <v>67.178964338199989</v>
      </c>
      <c r="BK84" s="66">
        <v>67.662195654100003</v>
      </c>
      <c r="BL84" s="66">
        <v>53.617265278600001</v>
      </c>
      <c r="BM84" s="66">
        <v>71.199087129099993</v>
      </c>
      <c r="BN84" s="66">
        <v>72.934059050200005</v>
      </c>
      <c r="BO84" s="66">
        <v>99.153926813500007</v>
      </c>
      <c r="BP84" s="66">
        <v>62.366577856899994</v>
      </c>
      <c r="BQ84" s="66">
        <v>61.789379684200014</v>
      </c>
      <c r="BR84" s="66">
        <v>55.601376961</v>
      </c>
      <c r="BS84" s="66">
        <v>77.115396544300012</v>
      </c>
      <c r="BT84" s="66">
        <v>60.854401953700005</v>
      </c>
      <c r="BU84" s="66">
        <v>81.547600027900003</v>
      </c>
      <c r="BV84" s="66">
        <v>65.305518894100018</v>
      </c>
      <c r="BW84" s="66">
        <v>59.770705911099995</v>
      </c>
      <c r="BX84" s="66">
        <v>58.182200700099997</v>
      </c>
      <c r="BY84" s="66">
        <v>62.702029028200002</v>
      </c>
      <c r="BZ84" s="66">
        <v>79.310295700599994</v>
      </c>
      <c r="CA84" s="66">
        <v>82.270664483500013</v>
      </c>
      <c r="CB84" s="66">
        <v>58.813587427599998</v>
      </c>
      <c r="CC84" s="66">
        <v>76.499658450699997</v>
      </c>
      <c r="CD84" s="66">
        <v>48.69244880410001</v>
      </c>
      <c r="CE84" s="66">
        <v>92.081982671800006</v>
      </c>
      <c r="CF84" s="66">
        <v>107.93461171300001</v>
      </c>
      <c r="CG84" s="66">
        <v>98.313178626700008</v>
      </c>
      <c r="CH84" s="66">
        <v>83.006225330199996</v>
      </c>
      <c r="CI84" s="66">
        <v>85.095599406100021</v>
      </c>
      <c r="CJ84" s="66">
        <v>86.488102663000021</v>
      </c>
      <c r="CK84" s="66">
        <v>89.567243451400003</v>
      </c>
      <c r="CL84" s="66">
        <v>119.5224063526</v>
      </c>
      <c r="CM84" s="66">
        <v>162.7779699013</v>
      </c>
      <c r="CN84" s="66">
        <v>133.13506667080003</v>
      </c>
      <c r="CO84" s="66">
        <v>117.25706958039999</v>
      </c>
      <c r="CP84" s="66">
        <v>48.876855007900005</v>
      </c>
      <c r="CQ84" s="66">
        <v>52.560851146899999</v>
      </c>
      <c r="CR84" s="66">
        <v>69.50505683770001</v>
      </c>
      <c r="CS84" s="66">
        <v>68.126888780200019</v>
      </c>
      <c r="CT84" s="66">
        <v>53.544313373800016</v>
      </c>
      <c r="CU84" s="66">
        <v>59.527870635399992</v>
      </c>
      <c r="CV84" s="66">
        <v>48.490705264900008</v>
      </c>
      <c r="CW84" s="66">
        <v>64.935393052000009</v>
      </c>
      <c r="CX84" s="66">
        <v>79.351800230799995</v>
      </c>
      <c r="CY84" s="66">
        <v>98.05289343550001</v>
      </c>
      <c r="CZ84" s="66">
        <v>59.79097032910002</v>
      </c>
      <c r="DA84" s="66">
        <v>61.073520355000014</v>
      </c>
      <c r="DB84" s="66">
        <v>57.983496823599992</v>
      </c>
      <c r="DC84" s="66">
        <v>46.355210874699999</v>
      </c>
      <c r="DD84" s="66">
        <v>64.272784110100005</v>
      </c>
      <c r="DE84" s="66">
        <v>90.263588896599998</v>
      </c>
      <c r="DF84" s="66">
        <v>69.190733198499998</v>
      </c>
      <c r="DG84" s="66">
        <v>66.496578825400007</v>
      </c>
      <c r="DH84" s="66">
        <v>64.897228398100012</v>
      </c>
      <c r="DI84" s="66">
        <v>343.39003669779999</v>
      </c>
      <c r="DJ84" s="66">
        <v>93.763704205600007</v>
      </c>
      <c r="DK84" s="66">
        <v>106.43050405029999</v>
      </c>
      <c r="DL84" s="66">
        <v>74.156528829400003</v>
      </c>
      <c r="DM84" s="66">
        <v>58.256353459300001</v>
      </c>
      <c r="DN84" s="66">
        <v>46.640263687899996</v>
      </c>
      <c r="DO84" s="66">
        <v>48.483575191900002</v>
      </c>
      <c r="DP84" s="79"/>
      <c r="DQ84" s="80"/>
      <c r="DR84" s="81"/>
      <c r="DS84" s="84">
        <f t="shared" si="12"/>
        <v>2012</v>
      </c>
      <c r="DT84" s="80"/>
      <c r="DU84" s="83">
        <f t="shared" si="14"/>
        <v>459.01884225240002</v>
      </c>
      <c r="DV84" s="83">
        <f t="shared" si="14"/>
        <v>583.86521962799998</v>
      </c>
      <c r="DW84" s="83">
        <f t="shared" si="14"/>
        <v>645.42022811130005</v>
      </c>
      <c r="DX84" s="83">
        <f t="shared" si="14"/>
        <v>783.83415871169984</v>
      </c>
      <c r="DY84" s="83">
        <f t="shared" si="14"/>
        <v>800.79131111400011</v>
      </c>
      <c r="DZ84" s="83">
        <f t="shared" si="14"/>
        <v>821.25529610460001</v>
      </c>
      <c r="EA84" s="83">
        <f t="shared" si="14"/>
        <v>932.90248234260014</v>
      </c>
      <c r="EB84" s="83">
        <f t="shared" si="14"/>
        <v>1060.8896944014</v>
      </c>
      <c r="EC84" s="83">
        <f t="shared" si="14"/>
        <v>806.25767539620006</v>
      </c>
      <c r="ED84" s="83">
        <f t="shared" si="14"/>
        <v>836.01819452030009</v>
      </c>
    </row>
    <row r="85" spans="2:134" x14ac:dyDescent="0.3">
      <c r="B85" s="45">
        <f t="shared" si="13"/>
        <v>1000000081</v>
      </c>
      <c r="C85" s="46">
        <v>41579</v>
      </c>
      <c r="D85" s="66">
        <v>4.1446158142000016</v>
      </c>
      <c r="E85" s="66">
        <v>20.349995835400001</v>
      </c>
      <c r="F85" s="66">
        <v>32.445339092499999</v>
      </c>
      <c r="G85" s="66">
        <v>18.588492537400004</v>
      </c>
      <c r="H85" s="66">
        <v>17.152495835199996</v>
      </c>
      <c r="I85" s="66">
        <v>12.955059386800002</v>
      </c>
      <c r="J85" s="66">
        <v>10.777572619300003</v>
      </c>
      <c r="K85" s="66">
        <v>10.320835153600001</v>
      </c>
      <c r="L85" s="66">
        <v>9.2978197848999997</v>
      </c>
      <c r="M85" s="66">
        <v>19.858546172200001</v>
      </c>
      <c r="N85" s="66">
        <v>15.108116272600004</v>
      </c>
      <c r="O85" s="66">
        <v>13.503324473799999</v>
      </c>
      <c r="P85" s="66">
        <v>24.764937037000003</v>
      </c>
      <c r="Q85" s="66">
        <v>57.875795194600002</v>
      </c>
      <c r="R85" s="66">
        <v>33.255540545499997</v>
      </c>
      <c r="S85" s="66">
        <v>32.637475796500006</v>
      </c>
      <c r="T85" s="66">
        <v>19.788258663100002</v>
      </c>
      <c r="U85" s="66">
        <v>25.776919555900008</v>
      </c>
      <c r="V85" s="66">
        <v>21.076099953700002</v>
      </c>
      <c r="W85" s="66">
        <v>16.148844243700005</v>
      </c>
      <c r="X85" s="66">
        <v>14.276749760800001</v>
      </c>
      <c r="Y85" s="66">
        <v>26.12813194120001</v>
      </c>
      <c r="Z85" s="66">
        <v>19.259469933400002</v>
      </c>
      <c r="AA85" s="66">
        <v>25.682239691800007</v>
      </c>
      <c r="AB85" s="66">
        <v>27.858187864600005</v>
      </c>
      <c r="AC85" s="66">
        <v>52.300415848899995</v>
      </c>
      <c r="AD85" s="66">
        <v>47.064953351800007</v>
      </c>
      <c r="AE85" s="66">
        <v>53.826776844700007</v>
      </c>
      <c r="AF85" s="66">
        <v>34.230859478500001</v>
      </c>
      <c r="AG85" s="66">
        <v>37.3822016377</v>
      </c>
      <c r="AH85" s="66">
        <v>36.854651289099998</v>
      </c>
      <c r="AI85" s="66">
        <v>29.753323741299994</v>
      </c>
      <c r="AJ85" s="66">
        <v>39.408680964399998</v>
      </c>
      <c r="AK85" s="66">
        <v>37.255286338300003</v>
      </c>
      <c r="AL85" s="66">
        <v>28.573296659800008</v>
      </c>
      <c r="AM85" s="66">
        <v>34.777510917400008</v>
      </c>
      <c r="AN85" s="66">
        <v>44.596784766100001</v>
      </c>
      <c r="AO85" s="66">
        <v>57.393689679700003</v>
      </c>
      <c r="AP85" s="66">
        <v>57.969424311100013</v>
      </c>
      <c r="AQ85" s="66">
        <v>59.182287255099993</v>
      </c>
      <c r="AR85" s="66">
        <v>34.200800591800004</v>
      </c>
      <c r="AS85" s="66">
        <v>45.5868516922</v>
      </c>
      <c r="AT85" s="66">
        <v>50.055643708300011</v>
      </c>
      <c r="AU85" s="66">
        <v>46.147875857199999</v>
      </c>
      <c r="AV85" s="66">
        <v>50.021719571500007</v>
      </c>
      <c r="AW85" s="66">
        <v>41.851969348000004</v>
      </c>
      <c r="AX85" s="66">
        <v>38.431860963400005</v>
      </c>
      <c r="AY85" s="66">
        <v>44.058239094400001</v>
      </c>
      <c r="AZ85" s="66">
        <v>66.149119110099988</v>
      </c>
      <c r="BA85" s="66">
        <v>84.136754694399997</v>
      </c>
      <c r="BB85" s="66">
        <v>83.052570804700011</v>
      </c>
      <c r="BC85" s="66">
        <v>92.360093045500008</v>
      </c>
      <c r="BD85" s="66">
        <v>69.776750145700007</v>
      </c>
      <c r="BE85" s="66">
        <v>69.044454121899989</v>
      </c>
      <c r="BF85" s="66">
        <v>66.884642430099987</v>
      </c>
      <c r="BG85" s="66">
        <v>48.963616738299997</v>
      </c>
      <c r="BH85" s="66">
        <v>64.623358541499996</v>
      </c>
      <c r="BI85" s="66">
        <v>56.521118851300002</v>
      </c>
      <c r="BJ85" s="66">
        <v>50.240312599000006</v>
      </c>
      <c r="BK85" s="66">
        <v>61.283332134700004</v>
      </c>
      <c r="BL85" s="66">
        <v>74.534610331899998</v>
      </c>
      <c r="BM85" s="66">
        <v>99.848320870300029</v>
      </c>
      <c r="BN85" s="66">
        <v>105.53095152459998</v>
      </c>
      <c r="BO85" s="66">
        <v>106.79518852090003</v>
      </c>
      <c r="BP85" s="66">
        <v>63.704404711899997</v>
      </c>
      <c r="BQ85" s="66">
        <v>55.375428700300013</v>
      </c>
      <c r="BR85" s="66">
        <v>73.063263478300016</v>
      </c>
      <c r="BS85" s="66">
        <v>71.550674781400005</v>
      </c>
      <c r="BT85" s="66">
        <v>74.921022761799989</v>
      </c>
      <c r="BU85" s="66">
        <v>84.6463672804</v>
      </c>
      <c r="BV85" s="66">
        <v>65.165994623500012</v>
      </c>
      <c r="BW85" s="66">
        <v>60.87117638860002</v>
      </c>
      <c r="BX85" s="66">
        <v>94.7277276019</v>
      </c>
      <c r="BY85" s="66">
        <v>189.69703513900004</v>
      </c>
      <c r="BZ85" s="66">
        <v>98.3358072268</v>
      </c>
      <c r="CA85" s="66">
        <v>80.913511377999995</v>
      </c>
      <c r="CB85" s="66">
        <v>67.324980727899998</v>
      </c>
      <c r="CC85" s="66">
        <v>87.707495252800001</v>
      </c>
      <c r="CD85" s="66">
        <v>105.3181000822</v>
      </c>
      <c r="CE85" s="66">
        <v>80.738824589500013</v>
      </c>
      <c r="CF85" s="66">
        <v>71.632107720400015</v>
      </c>
      <c r="CG85" s="66">
        <v>68.477125471300013</v>
      </c>
      <c r="CH85" s="66">
        <v>70.781264851299994</v>
      </c>
      <c r="CI85" s="66">
        <v>55.662770642199995</v>
      </c>
      <c r="CJ85" s="66">
        <v>150.71861474950001</v>
      </c>
      <c r="CK85" s="66">
        <v>143.07172403709998</v>
      </c>
      <c r="CL85" s="66">
        <v>143.12261024230003</v>
      </c>
      <c r="CM85" s="66">
        <v>111.70942246600002</v>
      </c>
      <c r="CN85" s="66">
        <v>106.51959243610003</v>
      </c>
      <c r="CO85" s="66">
        <v>94.590792673600006</v>
      </c>
      <c r="CP85" s="66">
        <v>102.48509691909997</v>
      </c>
      <c r="CQ85" s="66">
        <v>70.073886556300025</v>
      </c>
      <c r="CR85" s="66">
        <v>72.280231356100018</v>
      </c>
      <c r="CS85" s="66">
        <v>76.913240211400009</v>
      </c>
      <c r="CT85" s="66">
        <v>84.686858589699995</v>
      </c>
      <c r="CU85" s="66">
        <v>85.036832593900002</v>
      </c>
      <c r="CV85" s="66">
        <v>104.79501541090001</v>
      </c>
      <c r="CW85" s="66">
        <v>120.57394201330001</v>
      </c>
      <c r="CX85" s="66">
        <v>119.81252527030003</v>
      </c>
      <c r="CY85" s="66">
        <v>127.46316865269998</v>
      </c>
      <c r="CZ85" s="66">
        <v>84.591540771699997</v>
      </c>
      <c r="DA85" s="66">
        <v>81.070560617499993</v>
      </c>
      <c r="DB85" s="66">
        <v>87.993823973800005</v>
      </c>
      <c r="DC85" s="66">
        <v>73.221288412000007</v>
      </c>
      <c r="DD85" s="66">
        <v>82.93893995709999</v>
      </c>
      <c r="DE85" s="66">
        <v>78.082684763500012</v>
      </c>
      <c r="DF85" s="66">
        <v>81.237441852400011</v>
      </c>
      <c r="DG85" s="66">
        <v>75.898780930300006</v>
      </c>
      <c r="DH85" s="66">
        <v>114.39483311800001</v>
      </c>
      <c r="DI85" s="66">
        <v>132.94064083810002</v>
      </c>
      <c r="DJ85" s="66">
        <v>123.51243273009999</v>
      </c>
      <c r="DK85" s="66">
        <v>146.69822927170003</v>
      </c>
      <c r="DL85" s="66">
        <v>95.9253922324</v>
      </c>
      <c r="DM85" s="66">
        <v>95.878971704500003</v>
      </c>
      <c r="DN85" s="66">
        <v>103.85759844490001</v>
      </c>
      <c r="DO85" s="66">
        <v>89.041682017900001</v>
      </c>
      <c r="DP85" s="79"/>
      <c r="DQ85" s="80"/>
      <c r="DR85" s="81"/>
      <c r="DS85" s="84">
        <f t="shared" si="12"/>
        <v>2013</v>
      </c>
      <c r="DT85" s="80"/>
      <c r="DU85" s="83">
        <f t="shared" ref="DU85:ED94" si="15">+SUMIF($D$3:$DO$3,DU$4,$D85:$DO85)</f>
        <v>184.5022129779</v>
      </c>
      <c r="DV85" s="83">
        <f t="shared" si="15"/>
        <v>316.67046231720008</v>
      </c>
      <c r="DW85" s="83">
        <f t="shared" si="15"/>
        <v>459.28614493650002</v>
      </c>
      <c r="DX85" s="83">
        <f t="shared" si="15"/>
        <v>569.49714683880006</v>
      </c>
      <c r="DY85" s="83">
        <f t="shared" si="15"/>
        <v>813.03612321720004</v>
      </c>
      <c r="DZ85" s="83">
        <f t="shared" si="15"/>
        <v>936.00740397390007</v>
      </c>
      <c r="EA85" s="83">
        <f t="shared" si="15"/>
        <v>1071.3167506832999</v>
      </c>
      <c r="EB85" s="83">
        <f t="shared" si="15"/>
        <v>1241.2089028311002</v>
      </c>
      <c r="EC85" s="83">
        <f t="shared" si="15"/>
        <v>1117.6797126254999</v>
      </c>
      <c r="ED85" s="83">
        <f t="shared" si="15"/>
        <v>902.24978035760012</v>
      </c>
    </row>
    <row r="86" spans="2:134" x14ac:dyDescent="0.3">
      <c r="B86" s="45">
        <f t="shared" si="13"/>
        <v>1000000082</v>
      </c>
      <c r="C86" s="46">
        <v>41791</v>
      </c>
      <c r="D86" s="66">
        <v>-8</v>
      </c>
      <c r="E86" s="66">
        <v>-8</v>
      </c>
      <c r="F86" s="66">
        <v>-8</v>
      </c>
      <c r="G86" s="66">
        <v>-8</v>
      </c>
      <c r="H86" s="66">
        <v>-8</v>
      </c>
      <c r="I86" s="66">
        <v>-2.2584149</v>
      </c>
      <c r="J86" s="66">
        <v>5.7487321324000007</v>
      </c>
      <c r="K86" s="66">
        <v>14.031400196200003</v>
      </c>
      <c r="L86" s="66">
        <v>13.218384240700001</v>
      </c>
      <c r="M86" s="66">
        <v>27.7450823908</v>
      </c>
      <c r="N86" s="66">
        <v>18.397068840700001</v>
      </c>
      <c r="O86" s="66">
        <v>10.925728030900004</v>
      </c>
      <c r="P86" s="66">
        <v>29.072476823199999</v>
      </c>
      <c r="Q86" s="66">
        <v>151.62462186760001</v>
      </c>
      <c r="R86" s="66">
        <v>41.6825362975</v>
      </c>
      <c r="S86" s="66">
        <v>37.137152286700001</v>
      </c>
      <c r="T86" s="66">
        <v>29.357604689799999</v>
      </c>
      <c r="U86" s="66">
        <v>34.108710070000001</v>
      </c>
      <c r="V86" s="66">
        <v>46.776898402599997</v>
      </c>
      <c r="W86" s="66">
        <v>62.399038452400006</v>
      </c>
      <c r="X86" s="66">
        <v>59.918185842099987</v>
      </c>
      <c r="Y86" s="66">
        <v>60.840929868399996</v>
      </c>
      <c r="Z86" s="66">
        <v>62.356070380899993</v>
      </c>
      <c r="AA86" s="66">
        <v>65.26956831550001</v>
      </c>
      <c r="AB86" s="66">
        <v>67.546688471500005</v>
      </c>
      <c r="AC86" s="66">
        <v>196.19076788710001</v>
      </c>
      <c r="AD86" s="66">
        <v>121.1197678648</v>
      </c>
      <c r="AE86" s="66">
        <v>92.085547708300012</v>
      </c>
      <c r="AF86" s="66">
        <v>81.544222624900016</v>
      </c>
      <c r="AG86" s="66">
        <v>78.114657511900006</v>
      </c>
      <c r="AH86" s="66">
        <v>89.308084061200006</v>
      </c>
      <c r="AI86" s="66">
        <v>89.285980834900002</v>
      </c>
      <c r="AJ86" s="66">
        <v>80.768320575700002</v>
      </c>
      <c r="AK86" s="66">
        <v>85.807030584700001</v>
      </c>
      <c r="AL86" s="66">
        <v>81.974128500099994</v>
      </c>
      <c r="AM86" s="66">
        <v>70.096777843299989</v>
      </c>
      <c r="AN86" s="66">
        <v>131.24901225550002</v>
      </c>
      <c r="AO86" s="66">
        <v>209.8569788062</v>
      </c>
      <c r="AP86" s="66">
        <v>133.86214648330002</v>
      </c>
      <c r="AQ86" s="66">
        <v>114.45577647879999</v>
      </c>
      <c r="AR86" s="66">
        <v>78.800645587900007</v>
      </c>
      <c r="AS86" s="66">
        <v>81.377153756499993</v>
      </c>
      <c r="AT86" s="66">
        <v>77.006981908</v>
      </c>
      <c r="AU86" s="66">
        <v>74.831071261899993</v>
      </c>
      <c r="AV86" s="66">
        <v>73.885023154900011</v>
      </c>
      <c r="AW86" s="66">
        <v>71.185765150600005</v>
      </c>
      <c r="AX86" s="66">
        <v>58.985684873799997</v>
      </c>
      <c r="AY86" s="66">
        <v>56.053461115900006</v>
      </c>
      <c r="AZ86" s="66">
        <v>154.06997421970001</v>
      </c>
      <c r="BA86" s="66">
        <v>295.18654022740003</v>
      </c>
      <c r="BB86" s="66">
        <v>135.82678180840003</v>
      </c>
      <c r="BC86" s="66">
        <v>95.309128764999997</v>
      </c>
      <c r="BD86" s="66">
        <v>83.301147665500011</v>
      </c>
      <c r="BE86" s="66">
        <v>62.1534262009</v>
      </c>
      <c r="BF86" s="66">
        <v>60.596555998000014</v>
      </c>
      <c r="BG86" s="66">
        <v>66.615688571199996</v>
      </c>
      <c r="BH86" s="66">
        <v>64.324083109</v>
      </c>
      <c r="BI86" s="66">
        <v>66.158838525400014</v>
      </c>
      <c r="BJ86" s="66">
        <v>60.702831612400004</v>
      </c>
      <c r="BK86" s="66">
        <v>61.907626315900004</v>
      </c>
      <c r="BL86" s="66">
        <v>171.24714566410003</v>
      </c>
      <c r="BM86" s="66">
        <v>360.65847307659999</v>
      </c>
      <c r="BN86" s="66">
        <v>134.34909294249999</v>
      </c>
      <c r="BO86" s="66">
        <v>102.34591038880001</v>
      </c>
      <c r="BP86" s="66">
        <v>80.92015360389999</v>
      </c>
      <c r="BQ86" s="66">
        <v>63.016315140700002</v>
      </c>
      <c r="BR86" s="66">
        <v>59.498862496299992</v>
      </c>
      <c r="BS86" s="66">
        <v>57.060114843400001</v>
      </c>
      <c r="BT86" s="66">
        <v>57.282573120999999</v>
      </c>
      <c r="BU86" s="66">
        <v>60.537901765900017</v>
      </c>
      <c r="BV86" s="66">
        <v>59.252612290900004</v>
      </c>
      <c r="BW86" s="66">
        <v>55.942269503799999</v>
      </c>
      <c r="BX86" s="66">
        <v>179.8313407624</v>
      </c>
      <c r="BY86" s="66">
        <v>142.78554542290001</v>
      </c>
      <c r="BZ86" s="66">
        <v>82.619212473099992</v>
      </c>
      <c r="CA86" s="66">
        <v>56.278095942100009</v>
      </c>
      <c r="CB86" s="66">
        <v>54.120273165400015</v>
      </c>
      <c r="CC86" s="66">
        <v>64.613151279100009</v>
      </c>
      <c r="CD86" s="66">
        <v>81.760413943600014</v>
      </c>
      <c r="CE86" s="66">
        <v>64.043270812900005</v>
      </c>
      <c r="CF86" s="66">
        <v>71.211433413400002</v>
      </c>
      <c r="CG86" s="66">
        <v>64.552020284800008</v>
      </c>
      <c r="CH86" s="66">
        <v>63.861416424699996</v>
      </c>
      <c r="CI86" s="66">
        <v>62.967830644300008</v>
      </c>
      <c r="CJ86" s="66">
        <v>68.52253277829999</v>
      </c>
      <c r="CK86" s="66">
        <v>196.25227414840003</v>
      </c>
      <c r="CL86" s="66">
        <v>95.484566087500014</v>
      </c>
      <c r="CM86" s="66">
        <v>83.504692486300002</v>
      </c>
      <c r="CN86" s="66">
        <v>56.715807370900009</v>
      </c>
      <c r="CO86" s="66">
        <v>68.840984354500023</v>
      </c>
      <c r="CP86" s="66">
        <v>69.744814924000011</v>
      </c>
      <c r="CQ86" s="66">
        <v>75.497920720900012</v>
      </c>
      <c r="CR86" s="66">
        <v>65.027521100500024</v>
      </c>
      <c r="CS86" s="66">
        <v>53.433647135499996</v>
      </c>
      <c r="CT86" s="66">
        <v>46.829135569000002</v>
      </c>
      <c r="CU86" s="66">
        <v>47.264707975900002</v>
      </c>
      <c r="CV86" s="66">
        <v>97.767277721799999</v>
      </c>
      <c r="CW86" s="66">
        <v>101.81055448660001</v>
      </c>
      <c r="CX86" s="66">
        <v>96.830461183000025</v>
      </c>
      <c r="CY86" s="66">
        <v>89.912338984599984</v>
      </c>
      <c r="CZ86" s="66">
        <v>87.454790454999994</v>
      </c>
      <c r="DA86" s="66">
        <v>83.670110179899993</v>
      </c>
      <c r="DB86" s="66">
        <v>71.545721256999997</v>
      </c>
      <c r="DC86" s="66">
        <v>80.092539762099989</v>
      </c>
      <c r="DD86" s="66">
        <v>80.297285437300019</v>
      </c>
      <c r="DE86" s="66">
        <v>71.865186054099993</v>
      </c>
      <c r="DF86" s="66">
        <v>76.553209051600007</v>
      </c>
      <c r="DG86" s="66">
        <v>64.666251559599999</v>
      </c>
      <c r="DH86" s="66">
        <v>139.0310366146</v>
      </c>
      <c r="DI86" s="66">
        <v>144.40088222439999</v>
      </c>
      <c r="DJ86" s="66">
        <v>105.0106813558</v>
      </c>
      <c r="DK86" s="66">
        <v>101.8987047049</v>
      </c>
      <c r="DL86" s="66">
        <v>79.55628321910001</v>
      </c>
      <c r="DM86" s="66">
        <v>114.34998871150002</v>
      </c>
      <c r="DN86" s="66">
        <v>81.247386427900011</v>
      </c>
      <c r="DO86" s="66">
        <v>76.524463599400008</v>
      </c>
      <c r="DP86" s="79"/>
      <c r="DQ86" s="80"/>
      <c r="DR86" s="81"/>
      <c r="DS86" s="84">
        <f t="shared" si="12"/>
        <v>2014</v>
      </c>
      <c r="DT86" s="80"/>
      <c r="DU86" s="83">
        <f t="shared" si="15"/>
        <v>47.807980931700016</v>
      </c>
      <c r="DV86" s="83">
        <f t="shared" si="15"/>
        <v>680.54379329670007</v>
      </c>
      <c r="DW86" s="83">
        <f t="shared" si="15"/>
        <v>1133.8419744684002</v>
      </c>
      <c r="DX86" s="83">
        <f t="shared" si="15"/>
        <v>1161.5497008333</v>
      </c>
      <c r="DY86" s="83">
        <f t="shared" si="15"/>
        <v>1206.1526230187997</v>
      </c>
      <c r="DZ86" s="83">
        <f t="shared" si="15"/>
        <v>1262.1114248378999</v>
      </c>
      <c r="EA86" s="83">
        <f t="shared" si="15"/>
        <v>988.64400456869998</v>
      </c>
      <c r="EB86" s="83">
        <f t="shared" si="15"/>
        <v>927.11860465170002</v>
      </c>
      <c r="EC86" s="83">
        <f t="shared" si="15"/>
        <v>1002.4657261326001</v>
      </c>
      <c r="ED86" s="83">
        <f t="shared" si="15"/>
        <v>842.01942685760014</v>
      </c>
    </row>
    <row r="87" spans="2:134" x14ac:dyDescent="0.3">
      <c r="B87" s="45">
        <f t="shared" si="13"/>
        <v>1000000083</v>
      </c>
      <c r="C87" s="46">
        <v>43282</v>
      </c>
      <c r="D87" s="66">
        <v>-8</v>
      </c>
      <c r="E87" s="66">
        <v>-8</v>
      </c>
      <c r="F87" s="66">
        <v>-8</v>
      </c>
      <c r="G87" s="66">
        <v>-8</v>
      </c>
      <c r="H87" s="66">
        <v>-8</v>
      </c>
      <c r="I87" s="66">
        <v>-8</v>
      </c>
      <c r="J87" s="66">
        <v>-8</v>
      </c>
      <c r="K87" s="66">
        <v>-8</v>
      </c>
      <c r="L87" s="66">
        <v>-8</v>
      </c>
      <c r="M87" s="66">
        <v>-8</v>
      </c>
      <c r="N87" s="66">
        <v>-8</v>
      </c>
      <c r="O87" s="66">
        <v>-8</v>
      </c>
      <c r="P87" s="66">
        <v>-8</v>
      </c>
      <c r="Q87" s="66">
        <v>-8</v>
      </c>
      <c r="R87" s="66">
        <v>-8</v>
      </c>
      <c r="S87" s="66">
        <v>-8</v>
      </c>
      <c r="T87" s="66">
        <v>-8</v>
      </c>
      <c r="U87" s="66">
        <v>-8</v>
      </c>
      <c r="V87" s="66">
        <v>-8</v>
      </c>
      <c r="W87" s="66">
        <v>-8</v>
      </c>
      <c r="X87" s="66">
        <v>-8</v>
      </c>
      <c r="Y87" s="66">
        <v>-8</v>
      </c>
      <c r="Z87" s="66">
        <v>-8</v>
      </c>
      <c r="AA87" s="66">
        <v>-8</v>
      </c>
      <c r="AB87" s="66">
        <v>-8</v>
      </c>
      <c r="AC87" s="66">
        <v>-8</v>
      </c>
      <c r="AD87" s="66">
        <v>-8</v>
      </c>
      <c r="AE87" s="66">
        <v>-8</v>
      </c>
      <c r="AF87" s="66">
        <v>-8</v>
      </c>
      <c r="AG87" s="66">
        <v>-8</v>
      </c>
      <c r="AH87" s="66">
        <v>-8</v>
      </c>
      <c r="AI87" s="66">
        <v>-8</v>
      </c>
      <c r="AJ87" s="66">
        <v>-8</v>
      </c>
      <c r="AK87" s="66">
        <v>-8</v>
      </c>
      <c r="AL87" s="66">
        <v>-8</v>
      </c>
      <c r="AM87" s="66">
        <v>-8</v>
      </c>
      <c r="AN87" s="66">
        <v>-8</v>
      </c>
      <c r="AO87" s="66">
        <v>-8</v>
      </c>
      <c r="AP87" s="66">
        <v>-8</v>
      </c>
      <c r="AQ87" s="66">
        <v>-8</v>
      </c>
      <c r="AR87" s="66">
        <v>-8</v>
      </c>
      <c r="AS87" s="66">
        <v>-8</v>
      </c>
      <c r="AT87" s="66">
        <v>-8</v>
      </c>
      <c r="AU87" s="66">
        <v>-8</v>
      </c>
      <c r="AV87" s="66">
        <v>-8</v>
      </c>
      <c r="AW87" s="66">
        <v>-8</v>
      </c>
      <c r="AX87" s="66">
        <v>-8</v>
      </c>
      <c r="AY87" s="66">
        <v>-8</v>
      </c>
      <c r="AZ87" s="66">
        <v>-8</v>
      </c>
      <c r="BA87" s="66">
        <v>-8</v>
      </c>
      <c r="BB87" s="66">
        <v>-8</v>
      </c>
      <c r="BC87" s="66">
        <v>-8</v>
      </c>
      <c r="BD87" s="66">
        <v>-8</v>
      </c>
      <c r="BE87" s="66">
        <v>-8</v>
      </c>
      <c r="BF87" s="66">
        <v>-3.0689540933000004</v>
      </c>
      <c r="BG87" s="66">
        <v>17.283989391999999</v>
      </c>
      <c r="BH87" s="66">
        <v>29.802558771699999</v>
      </c>
      <c r="BI87" s="66">
        <v>35.475882804400001</v>
      </c>
      <c r="BJ87" s="66">
        <v>27.479393354799996</v>
      </c>
      <c r="BK87" s="66">
        <v>19.257255858100002</v>
      </c>
      <c r="BL87" s="66">
        <v>33.009440446900001</v>
      </c>
      <c r="BM87" s="66">
        <v>50.2142690692</v>
      </c>
      <c r="BN87" s="66">
        <v>49.552485714700005</v>
      </c>
      <c r="BO87" s="66">
        <v>47.829822551200017</v>
      </c>
      <c r="BP87" s="66">
        <v>35.813172784000002</v>
      </c>
      <c r="BQ87" s="66">
        <v>39.329311993900006</v>
      </c>
      <c r="BR87" s="66">
        <v>33.285261691900004</v>
      </c>
      <c r="BS87" s="66">
        <v>31.804458109900004</v>
      </c>
      <c r="BT87" s="66">
        <v>22.326039277300005</v>
      </c>
      <c r="BU87" s="66">
        <v>36.510644030200005</v>
      </c>
      <c r="BV87" s="66">
        <v>31.880862471100009</v>
      </c>
      <c r="BW87" s="66">
        <v>52.88358076690001</v>
      </c>
      <c r="BX87" s="66">
        <v>48.811370916400001</v>
      </c>
      <c r="BY87" s="66">
        <v>73.650781493499991</v>
      </c>
      <c r="BZ87" s="66">
        <v>56.861185806699979</v>
      </c>
      <c r="CA87" s="66">
        <v>5.1989659774000003</v>
      </c>
      <c r="CB87" s="66">
        <v>44.4009704455</v>
      </c>
      <c r="CC87" s="66">
        <v>68.685924030099997</v>
      </c>
      <c r="CD87" s="66">
        <v>14.735175928000004</v>
      </c>
      <c r="CE87" s="66">
        <v>40.249992051699998</v>
      </c>
      <c r="CF87" s="66">
        <v>71.405258818899995</v>
      </c>
      <c r="CG87" s="66">
        <v>64.007507867800001</v>
      </c>
      <c r="CH87" s="66">
        <v>47.072984065600004</v>
      </c>
      <c r="CI87" s="66">
        <v>71.837979196600017</v>
      </c>
      <c r="CJ87" s="66">
        <v>76.8778525333</v>
      </c>
      <c r="CK87" s="66">
        <v>125.93688271030001</v>
      </c>
      <c r="CL87" s="66">
        <v>123.85824127060002</v>
      </c>
      <c r="CM87" s="66">
        <v>169.60914273579999</v>
      </c>
      <c r="CN87" s="66">
        <v>129.83842112920001</v>
      </c>
      <c r="CO87" s="66">
        <v>90.415084184500003</v>
      </c>
      <c r="CP87" s="66">
        <v>105.94550897950003</v>
      </c>
      <c r="CQ87" s="66">
        <v>110.12339401720003</v>
      </c>
      <c r="CR87" s="66">
        <v>91.618227713200028</v>
      </c>
      <c r="CS87" s="66">
        <v>100.41808875640001</v>
      </c>
      <c r="CT87" s="66">
        <v>83.114902653400009</v>
      </c>
      <c r="CU87" s="66">
        <v>78.752799045399996</v>
      </c>
      <c r="CV87" s="66">
        <v>124.45367741950002</v>
      </c>
      <c r="CW87" s="66">
        <v>153.143027203</v>
      </c>
      <c r="CX87" s="66">
        <v>142.3564651351</v>
      </c>
      <c r="CY87" s="66">
        <v>127.80319808140004</v>
      </c>
      <c r="CZ87" s="66">
        <v>96.933059180800015</v>
      </c>
      <c r="DA87" s="66">
        <v>76.087915498300006</v>
      </c>
      <c r="DB87" s="66">
        <v>84.556603414000008</v>
      </c>
      <c r="DC87" s="66">
        <v>74.495920304200013</v>
      </c>
      <c r="DD87" s="66">
        <v>83.770006255300018</v>
      </c>
      <c r="DE87" s="66">
        <v>77.489275056400004</v>
      </c>
      <c r="DF87" s="66">
        <v>94.048194118299989</v>
      </c>
      <c r="DG87" s="66">
        <v>71.940914934700004</v>
      </c>
      <c r="DH87" s="66">
        <v>107.1273373426</v>
      </c>
      <c r="DI87" s="66">
        <v>125.15771583820001</v>
      </c>
      <c r="DJ87" s="66">
        <v>130.71215528529999</v>
      </c>
      <c r="DK87" s="66">
        <v>109.66327914850001</v>
      </c>
      <c r="DL87" s="66">
        <v>90.933665651800013</v>
      </c>
      <c r="DM87" s="66">
        <v>86.321146374699993</v>
      </c>
      <c r="DN87" s="66">
        <v>103.22707483150002</v>
      </c>
      <c r="DO87" s="66">
        <v>106.19806367050002</v>
      </c>
      <c r="DP87" s="79"/>
      <c r="DQ87" s="80"/>
      <c r="DR87" s="81"/>
      <c r="DS87" s="84">
        <f t="shared" si="12"/>
        <v>2018</v>
      </c>
      <c r="DT87" s="80"/>
      <c r="DU87" s="83">
        <f t="shared" si="15"/>
        <v>-96</v>
      </c>
      <c r="DV87" s="83">
        <f t="shared" si="15"/>
        <v>-96</v>
      </c>
      <c r="DW87" s="83">
        <f t="shared" si="15"/>
        <v>-96</v>
      </c>
      <c r="DX87" s="83">
        <f t="shared" si="15"/>
        <v>-96</v>
      </c>
      <c r="DY87" s="83">
        <f t="shared" si="15"/>
        <v>78.2301260877</v>
      </c>
      <c r="DZ87" s="83">
        <f t="shared" si="15"/>
        <v>464.43934890720004</v>
      </c>
      <c r="EA87" s="83">
        <f t="shared" si="15"/>
        <v>606.91809659820012</v>
      </c>
      <c r="EB87" s="83">
        <f t="shared" si="15"/>
        <v>1286.5085457288001</v>
      </c>
      <c r="EC87" s="83">
        <f t="shared" si="15"/>
        <v>1207.0782566010002</v>
      </c>
      <c r="ED87" s="83">
        <f t="shared" si="15"/>
        <v>859.34043814309996</v>
      </c>
    </row>
    <row r="88" spans="2:134" x14ac:dyDescent="0.3">
      <c r="B88" s="45">
        <f t="shared" si="13"/>
        <v>1000000084</v>
      </c>
      <c r="C88" s="46">
        <v>42856</v>
      </c>
      <c r="D88" s="66">
        <v>-8</v>
      </c>
      <c r="E88" s="66">
        <v>-8</v>
      </c>
      <c r="F88" s="66">
        <v>-8</v>
      </c>
      <c r="G88" s="66">
        <v>-8</v>
      </c>
      <c r="H88" s="66">
        <v>-8</v>
      </c>
      <c r="I88" s="66">
        <v>-8</v>
      </c>
      <c r="J88" s="66">
        <v>-8</v>
      </c>
      <c r="K88" s="66">
        <v>-8</v>
      </c>
      <c r="L88" s="66">
        <v>-8</v>
      </c>
      <c r="M88" s="66">
        <v>-8</v>
      </c>
      <c r="N88" s="66">
        <v>-8</v>
      </c>
      <c r="O88" s="66">
        <v>-8</v>
      </c>
      <c r="P88" s="66">
        <v>-8</v>
      </c>
      <c r="Q88" s="66">
        <v>-8</v>
      </c>
      <c r="R88" s="66">
        <v>-8</v>
      </c>
      <c r="S88" s="66">
        <v>-8</v>
      </c>
      <c r="T88" s="66">
        <v>-8</v>
      </c>
      <c r="U88" s="66">
        <v>-8</v>
      </c>
      <c r="V88" s="66">
        <v>-8</v>
      </c>
      <c r="W88" s="66">
        <v>-8</v>
      </c>
      <c r="X88" s="66">
        <v>-8</v>
      </c>
      <c r="Y88" s="66">
        <v>-8</v>
      </c>
      <c r="Z88" s="66">
        <v>-8</v>
      </c>
      <c r="AA88" s="66">
        <v>-8</v>
      </c>
      <c r="AB88" s="66">
        <v>-8</v>
      </c>
      <c r="AC88" s="66">
        <v>-8</v>
      </c>
      <c r="AD88" s="66">
        <v>-8</v>
      </c>
      <c r="AE88" s="66">
        <v>-8</v>
      </c>
      <c r="AF88" s="66">
        <v>-8</v>
      </c>
      <c r="AG88" s="66">
        <v>-8</v>
      </c>
      <c r="AH88" s="66">
        <v>-8</v>
      </c>
      <c r="AI88" s="66">
        <v>-8</v>
      </c>
      <c r="AJ88" s="66">
        <v>-8</v>
      </c>
      <c r="AK88" s="66">
        <v>-8</v>
      </c>
      <c r="AL88" s="66">
        <v>-8</v>
      </c>
      <c r="AM88" s="66">
        <v>-8</v>
      </c>
      <c r="AN88" s="66">
        <v>-8</v>
      </c>
      <c r="AO88" s="66">
        <v>-8</v>
      </c>
      <c r="AP88" s="66">
        <v>-8</v>
      </c>
      <c r="AQ88" s="66">
        <v>-8</v>
      </c>
      <c r="AR88" s="66">
        <v>-4.9040472499999996</v>
      </c>
      <c r="AS88" s="66">
        <v>21.034708003599999</v>
      </c>
      <c r="AT88" s="66">
        <v>34.568975045500011</v>
      </c>
      <c r="AU88" s="66">
        <v>47.034631778200001</v>
      </c>
      <c r="AV88" s="66">
        <v>36.761059699300006</v>
      </c>
      <c r="AW88" s="66">
        <v>27.754201378900007</v>
      </c>
      <c r="AX88" s="66">
        <v>27.117711020200005</v>
      </c>
      <c r="AY88" s="66">
        <v>25.195368285999997</v>
      </c>
      <c r="AZ88" s="66">
        <v>25.647489967600002</v>
      </c>
      <c r="BA88" s="66">
        <v>37.122854614000005</v>
      </c>
      <c r="BB88" s="66">
        <v>47.416390897299998</v>
      </c>
      <c r="BC88" s="66">
        <v>39.231967734099996</v>
      </c>
      <c r="BD88" s="66">
        <v>46.226569347100011</v>
      </c>
      <c r="BE88" s="66">
        <v>29.607232298199996</v>
      </c>
      <c r="BF88" s="66">
        <v>43.569453826899995</v>
      </c>
      <c r="BG88" s="66">
        <v>37.430010653499998</v>
      </c>
      <c r="BH88" s="66">
        <v>51.458466807700013</v>
      </c>
      <c r="BI88" s="66">
        <v>42.677031374199998</v>
      </c>
      <c r="BJ88" s="66">
        <v>47.1451479097</v>
      </c>
      <c r="BK88" s="66">
        <v>35.273238624399994</v>
      </c>
      <c r="BL88" s="66">
        <v>31.668273715600002</v>
      </c>
      <c r="BM88" s="66">
        <v>83.364980582200005</v>
      </c>
      <c r="BN88" s="66">
        <v>50.564280600100005</v>
      </c>
      <c r="BO88" s="66">
        <v>50.127319705300003</v>
      </c>
      <c r="BP88" s="66">
        <v>45.525157797400006</v>
      </c>
      <c r="BQ88" s="66">
        <v>63.004081436500002</v>
      </c>
      <c r="BR88" s="66">
        <v>55.215189691299997</v>
      </c>
      <c r="BS88" s="66">
        <v>62.650805082700003</v>
      </c>
      <c r="BT88" s="66">
        <v>67.116407329300003</v>
      </c>
      <c r="BU88" s="66">
        <v>56.120071008400004</v>
      </c>
      <c r="BV88" s="66">
        <v>44.930922502899996</v>
      </c>
      <c r="BW88" s="66">
        <v>44.123873292700004</v>
      </c>
      <c r="BX88" s="66">
        <v>57.990664423299989</v>
      </c>
      <c r="BY88" s="66">
        <v>61.670945418999992</v>
      </c>
      <c r="BZ88" s="66">
        <v>126.47013711730003</v>
      </c>
      <c r="CA88" s="66">
        <v>67.502219331999996</v>
      </c>
      <c r="CB88" s="66">
        <v>58.842332879800011</v>
      </c>
      <c r="CC88" s="66">
        <v>70.967209649800012</v>
      </c>
      <c r="CD88" s="66">
        <v>68.221043270500004</v>
      </c>
      <c r="CE88" s="66">
        <v>75.739329982000001</v>
      </c>
      <c r="CF88" s="66">
        <v>66.653215271200011</v>
      </c>
      <c r="CG88" s="66">
        <v>66.628860442900006</v>
      </c>
      <c r="CH88" s="66">
        <v>61.727685789399999</v>
      </c>
      <c r="CI88" s="66">
        <v>66.173023618000016</v>
      </c>
      <c r="CJ88" s="66">
        <v>54.187108218100001</v>
      </c>
      <c r="CK88" s="66">
        <v>151.6475506813</v>
      </c>
      <c r="CL88" s="66">
        <v>91.772349870100001</v>
      </c>
      <c r="CM88" s="66">
        <v>75.483510468099993</v>
      </c>
      <c r="CN88" s="66">
        <v>65.609822904400005</v>
      </c>
      <c r="CO88" s="66">
        <v>93.164365279899997</v>
      </c>
      <c r="CP88" s="66">
        <v>65.819784790900002</v>
      </c>
      <c r="CQ88" s="66">
        <v>72.851387730100001</v>
      </c>
      <c r="CR88" s="66">
        <v>69.478825674399999</v>
      </c>
      <c r="CS88" s="66">
        <v>75.895028260300009</v>
      </c>
      <c r="CT88" s="66">
        <v>77.481019182400004</v>
      </c>
      <c r="CU88" s="66">
        <v>79.083671959300005</v>
      </c>
      <c r="CV88" s="66">
        <v>53.643496441899998</v>
      </c>
      <c r="CW88" s="66">
        <v>131.3626431031</v>
      </c>
      <c r="CX88" s="66">
        <v>83.666395036600008</v>
      </c>
      <c r="CY88" s="66">
        <v>82.500290360799994</v>
      </c>
      <c r="CZ88" s="66">
        <v>82.546598308600011</v>
      </c>
      <c r="DA88" s="66">
        <v>74.351179822300011</v>
      </c>
      <c r="DB88" s="66">
        <v>66.132945102400015</v>
      </c>
      <c r="DC88" s="66">
        <v>64.537947772300001</v>
      </c>
      <c r="DD88" s="66">
        <v>78.270093103299999</v>
      </c>
      <c r="DE88" s="66">
        <v>99.157454323299987</v>
      </c>
      <c r="DF88" s="66">
        <v>91.2598477282</v>
      </c>
      <c r="DG88" s="66">
        <v>88.116761443000016</v>
      </c>
      <c r="DH88" s="66">
        <v>85.984494349000002</v>
      </c>
      <c r="DI88" s="66">
        <v>85.783013496700022</v>
      </c>
      <c r="DJ88" s="66">
        <v>109.99846763290002</v>
      </c>
      <c r="DK88" s="66">
        <v>98.013753087400019</v>
      </c>
      <c r="DL88" s="66">
        <v>109.358374711</v>
      </c>
      <c r="DM88" s="66">
        <v>116.6927430658</v>
      </c>
      <c r="DN88" s="66">
        <v>120.71766927430002</v>
      </c>
      <c r="DO88" s="66">
        <v>113.61217626280002</v>
      </c>
      <c r="DP88" s="79"/>
      <c r="DQ88" s="80"/>
      <c r="DR88" s="81"/>
      <c r="DS88" s="84">
        <f t="shared" si="12"/>
        <v>2017</v>
      </c>
      <c r="DT88" s="80"/>
      <c r="DU88" s="83">
        <f t="shared" si="15"/>
        <v>-96</v>
      </c>
      <c r="DV88" s="83">
        <f t="shared" si="15"/>
        <v>-96</v>
      </c>
      <c r="DW88" s="83">
        <f t="shared" si="15"/>
        <v>-96</v>
      </c>
      <c r="DX88" s="83">
        <f t="shared" si="15"/>
        <v>182.56260796170002</v>
      </c>
      <c r="DY88" s="83">
        <f t="shared" si="15"/>
        <v>482.80585405469998</v>
      </c>
      <c r="DZ88" s="83">
        <f t="shared" si="15"/>
        <v>654.41136274439998</v>
      </c>
      <c r="EA88" s="83">
        <f t="shared" si="15"/>
        <v>848.58666719519988</v>
      </c>
      <c r="EB88" s="83">
        <f t="shared" si="15"/>
        <v>972.47442501930004</v>
      </c>
      <c r="EC88" s="83">
        <f t="shared" si="15"/>
        <v>995.54565254580007</v>
      </c>
      <c r="ED88" s="83">
        <f t="shared" si="15"/>
        <v>840.16069187990013</v>
      </c>
    </row>
    <row r="89" spans="2:134" x14ac:dyDescent="0.3">
      <c r="B89" s="45">
        <f t="shared" si="13"/>
        <v>1000000085</v>
      </c>
      <c r="C89" s="46">
        <v>42887</v>
      </c>
      <c r="D89" s="66">
        <v>-8</v>
      </c>
      <c r="E89" s="66">
        <v>-8</v>
      </c>
      <c r="F89" s="66">
        <v>-8</v>
      </c>
      <c r="G89" s="66">
        <v>-8</v>
      </c>
      <c r="H89" s="66">
        <v>-8</v>
      </c>
      <c r="I89" s="66">
        <v>-8</v>
      </c>
      <c r="J89" s="66">
        <v>-8</v>
      </c>
      <c r="K89" s="66">
        <v>-8</v>
      </c>
      <c r="L89" s="66">
        <v>-8</v>
      </c>
      <c r="M89" s="66">
        <v>-8</v>
      </c>
      <c r="N89" s="66">
        <v>-8</v>
      </c>
      <c r="O89" s="66">
        <v>-8</v>
      </c>
      <c r="P89" s="66">
        <v>-8</v>
      </c>
      <c r="Q89" s="66">
        <v>-8</v>
      </c>
      <c r="R89" s="66">
        <v>-8</v>
      </c>
      <c r="S89" s="66">
        <v>-8</v>
      </c>
      <c r="T89" s="66">
        <v>-8</v>
      </c>
      <c r="U89" s="66">
        <v>-8</v>
      </c>
      <c r="V89" s="66">
        <v>-8</v>
      </c>
      <c r="W89" s="66">
        <v>-8</v>
      </c>
      <c r="X89" s="66">
        <v>-8</v>
      </c>
      <c r="Y89" s="66">
        <v>-8</v>
      </c>
      <c r="Z89" s="66">
        <v>-8</v>
      </c>
      <c r="AA89" s="66">
        <v>-8</v>
      </c>
      <c r="AB89" s="66">
        <v>-8</v>
      </c>
      <c r="AC89" s="66">
        <v>-8</v>
      </c>
      <c r="AD89" s="66">
        <v>-8</v>
      </c>
      <c r="AE89" s="66">
        <v>-8</v>
      </c>
      <c r="AF89" s="66">
        <v>-8</v>
      </c>
      <c r="AG89" s="66">
        <v>-8</v>
      </c>
      <c r="AH89" s="66">
        <v>-8</v>
      </c>
      <c r="AI89" s="66">
        <v>-8</v>
      </c>
      <c r="AJ89" s="66">
        <v>-8</v>
      </c>
      <c r="AK89" s="66">
        <v>-8</v>
      </c>
      <c r="AL89" s="66">
        <v>-8</v>
      </c>
      <c r="AM89" s="66">
        <v>-8</v>
      </c>
      <c r="AN89" s="66">
        <v>-8</v>
      </c>
      <c r="AO89" s="66">
        <v>-8</v>
      </c>
      <c r="AP89" s="66">
        <v>-8</v>
      </c>
      <c r="AQ89" s="66">
        <v>-8</v>
      </c>
      <c r="AR89" s="66">
        <v>-8</v>
      </c>
      <c r="AS89" s="66">
        <v>-5.5425640504999993</v>
      </c>
      <c r="AT89" s="66">
        <v>24.555312890800003</v>
      </c>
      <c r="AU89" s="66">
        <v>38.366939772400009</v>
      </c>
      <c r="AV89" s="66">
        <v>27.879503030200006</v>
      </c>
      <c r="AW89" s="66">
        <v>38.480945887000004</v>
      </c>
      <c r="AX89" s="66">
        <v>39.770400825700008</v>
      </c>
      <c r="AY89" s="66">
        <v>45.848938165000014</v>
      </c>
      <c r="AZ89" s="66">
        <v>49.716552447100007</v>
      </c>
      <c r="BA89" s="66">
        <v>102.86501722989999</v>
      </c>
      <c r="BB89" s="66">
        <v>99.358222168300017</v>
      </c>
      <c r="BC89" s="66">
        <v>96.495197645200008</v>
      </c>
      <c r="BD89" s="66">
        <v>70.417931341900015</v>
      </c>
      <c r="BE89" s="66">
        <v>49.295803086700005</v>
      </c>
      <c r="BF89" s="66">
        <v>63.792479876800002</v>
      </c>
      <c r="BG89" s="66">
        <v>55.071762643900001</v>
      </c>
      <c r="BH89" s="66">
        <v>55.9564545964</v>
      </c>
      <c r="BI89" s="66">
        <v>60.441945993999994</v>
      </c>
      <c r="BJ89" s="66">
        <v>61.342249053700002</v>
      </c>
      <c r="BK89" s="66">
        <v>55.975855900299997</v>
      </c>
      <c r="BL89" s="66">
        <v>65.728632436599995</v>
      </c>
      <c r="BM89" s="66">
        <v>151.4649832858</v>
      </c>
      <c r="BN89" s="66">
        <v>147.496384654</v>
      </c>
      <c r="BO89" s="66">
        <v>127.7499476941</v>
      </c>
      <c r="BP89" s="66">
        <v>109.92896818450001</v>
      </c>
      <c r="BQ89" s="66">
        <v>74.331215617900014</v>
      </c>
      <c r="BR89" s="66">
        <v>78.010746079600011</v>
      </c>
      <c r="BS89" s="66">
        <v>68.362631509600007</v>
      </c>
      <c r="BT89" s="66">
        <v>73.145409424600004</v>
      </c>
      <c r="BU89" s="66">
        <v>75.878816725900009</v>
      </c>
      <c r="BV89" s="66">
        <v>65.008945384000015</v>
      </c>
      <c r="BW89" s="66">
        <v>59.3951762242</v>
      </c>
      <c r="BX89" s="66">
        <v>97.726261038700017</v>
      </c>
      <c r="BY89" s="66">
        <v>116.61900310030001</v>
      </c>
      <c r="BZ89" s="66">
        <v>92.030083245699998</v>
      </c>
      <c r="CA89" s="66">
        <v>29.329196977900004</v>
      </c>
      <c r="CB89" s="66">
        <v>10.417841673100003</v>
      </c>
      <c r="CC89" s="66">
        <v>46.639100360200004</v>
      </c>
      <c r="CD89" s="66">
        <v>31.978957264899996</v>
      </c>
      <c r="CE89" s="66">
        <v>41.105338124800006</v>
      </c>
      <c r="CF89" s="66">
        <v>74.490216245799999</v>
      </c>
      <c r="CG89" s="66">
        <v>76.715099235400018</v>
      </c>
      <c r="CH89" s="66">
        <v>57.274279720300001</v>
      </c>
      <c r="CI89" s="66">
        <v>47.164699320400004</v>
      </c>
      <c r="CJ89" s="66">
        <v>69.726501894400002</v>
      </c>
      <c r="CK89" s="66">
        <v>130.86642754900001</v>
      </c>
      <c r="CL89" s="66">
        <v>127.3040929714</v>
      </c>
      <c r="CM89" s="66">
        <v>111.48373689219999</v>
      </c>
      <c r="CN89" s="66">
        <v>102.40584052870001</v>
      </c>
      <c r="CO89" s="66">
        <v>101.8444410967</v>
      </c>
      <c r="CP89" s="66">
        <v>108.12483455530001</v>
      </c>
      <c r="CQ89" s="66">
        <v>118.80872357199999</v>
      </c>
      <c r="CR89" s="66">
        <v>101.59259941299999</v>
      </c>
      <c r="CS89" s="66">
        <v>102.40471472769998</v>
      </c>
      <c r="CT89" s="66">
        <v>107.30191155100002</v>
      </c>
      <c r="CU89" s="66">
        <v>83.91294545560001</v>
      </c>
      <c r="CV89" s="66">
        <v>100.123053841</v>
      </c>
      <c r="CW89" s="66">
        <v>165.00690577450001</v>
      </c>
      <c r="CX89" s="66">
        <v>145.38464466490004</v>
      </c>
      <c r="CY89" s="66">
        <v>98.241727789900025</v>
      </c>
      <c r="CZ89" s="66">
        <v>52.870746635499998</v>
      </c>
      <c r="DA89" s="66">
        <v>59.071470910000002</v>
      </c>
      <c r="DB89" s="66">
        <v>61.051642288899998</v>
      </c>
      <c r="DC89" s="66">
        <v>84.184901450500021</v>
      </c>
      <c r="DD89" s="66">
        <v>72.633019862800012</v>
      </c>
      <c r="DE89" s="66">
        <v>81.106811409700015</v>
      </c>
      <c r="DF89" s="66">
        <v>88.787963999200016</v>
      </c>
      <c r="DG89" s="66">
        <v>85.002345556600005</v>
      </c>
      <c r="DH89" s="66">
        <v>76.613739618699995</v>
      </c>
      <c r="DI89" s="66">
        <v>99.529268866900011</v>
      </c>
      <c r="DJ89" s="66">
        <v>147.40072909570003</v>
      </c>
      <c r="DK89" s="66">
        <v>128.40902912620004</v>
      </c>
      <c r="DL89" s="66">
        <v>88.919907876399989</v>
      </c>
      <c r="DM89" s="66">
        <v>90.77102493400001</v>
      </c>
      <c r="DN89" s="66">
        <v>87.034904208699999</v>
      </c>
      <c r="DO89" s="66">
        <v>115.41814870030002</v>
      </c>
      <c r="DP89" s="79"/>
      <c r="DQ89" s="80"/>
      <c r="DR89" s="81"/>
      <c r="DS89" s="84">
        <f t="shared" si="12"/>
        <v>2017</v>
      </c>
      <c r="DT89" s="80"/>
      <c r="DU89" s="83">
        <f t="shared" si="15"/>
        <v>-96</v>
      </c>
      <c r="DV89" s="83">
        <f t="shared" si="15"/>
        <v>-96</v>
      </c>
      <c r="DW89" s="83">
        <f t="shared" si="15"/>
        <v>-96</v>
      </c>
      <c r="DX89" s="83">
        <f t="shared" si="15"/>
        <v>169.35947652060005</v>
      </c>
      <c r="DY89" s="83">
        <f t="shared" si="15"/>
        <v>820.72947198420002</v>
      </c>
      <c r="DZ89" s="83">
        <f t="shared" si="15"/>
        <v>1096.5018572208</v>
      </c>
      <c r="EA89" s="83">
        <f t="shared" si="15"/>
        <v>721.49007630749998</v>
      </c>
      <c r="EB89" s="83">
        <f t="shared" si="15"/>
        <v>1265.7767702070003</v>
      </c>
      <c r="EC89" s="83">
        <f t="shared" si="15"/>
        <v>1093.4652341834999</v>
      </c>
      <c r="ED89" s="83">
        <f t="shared" si="15"/>
        <v>834.09675242690014</v>
      </c>
    </row>
    <row r="90" spans="2:134" x14ac:dyDescent="0.3">
      <c r="B90" s="45">
        <f t="shared" si="13"/>
        <v>1000000086</v>
      </c>
      <c r="C90" s="46">
        <v>41640</v>
      </c>
      <c r="D90" s="66">
        <v>-8</v>
      </c>
      <c r="E90" s="66">
        <v>-0.6297561199999997</v>
      </c>
      <c r="F90" s="66">
        <v>5.360856161200001</v>
      </c>
      <c r="G90" s="66">
        <v>15.087514114299999</v>
      </c>
      <c r="H90" s="66">
        <v>15.1446672784</v>
      </c>
      <c r="I90" s="66">
        <v>3.0454587712000016</v>
      </c>
      <c r="J90" s="66">
        <v>7.5699028834000011</v>
      </c>
      <c r="K90" s="66">
        <v>12.288209927800001</v>
      </c>
      <c r="L90" s="66">
        <v>5.1809906880999996</v>
      </c>
      <c r="M90" s="66">
        <v>15.945487056400001</v>
      </c>
      <c r="N90" s="66">
        <v>8.5930683588999983</v>
      </c>
      <c r="O90" s="66">
        <v>14.037104254599999</v>
      </c>
      <c r="P90" s="66">
        <v>13.184497630599999</v>
      </c>
      <c r="Q90" s="66">
        <v>73.082364568600013</v>
      </c>
      <c r="R90" s="66">
        <v>27.083936990200002</v>
      </c>
      <c r="S90" s="66">
        <v>37.171939537599997</v>
      </c>
      <c r="T90" s="66">
        <v>33.209720444799999</v>
      </c>
      <c r="U90" s="66">
        <v>24.783325120000001</v>
      </c>
      <c r="V90" s="66">
        <v>30.949524830499996</v>
      </c>
      <c r="W90" s="66">
        <v>29.141976271600001</v>
      </c>
      <c r="X90" s="66">
        <v>27.236933346100002</v>
      </c>
      <c r="Y90" s="66">
        <v>24.622635790599993</v>
      </c>
      <c r="Z90" s="66">
        <v>28.4741886451</v>
      </c>
      <c r="AA90" s="66">
        <v>33.006175624000008</v>
      </c>
      <c r="AB90" s="66">
        <v>28.364798314600009</v>
      </c>
      <c r="AC90" s="66">
        <v>49.972559594499991</v>
      </c>
      <c r="AD90" s="66">
        <v>41.261674357000004</v>
      </c>
      <c r="AE90" s="66">
        <v>34.187140872999997</v>
      </c>
      <c r="AF90" s="66">
        <v>31.037074621599999</v>
      </c>
      <c r="AG90" s="66">
        <v>37.426783357299996</v>
      </c>
      <c r="AH90" s="66">
        <v>34.165112700100003</v>
      </c>
      <c r="AI90" s="66">
        <v>42.069173887599995</v>
      </c>
      <c r="AJ90" s="66">
        <v>35.147186439100004</v>
      </c>
      <c r="AK90" s="66">
        <v>30.6272080042</v>
      </c>
      <c r="AL90" s="66">
        <v>30.809400132699999</v>
      </c>
      <c r="AM90" s="66">
        <v>22.304198737899998</v>
      </c>
      <c r="AN90" s="66">
        <v>26.499271004200004</v>
      </c>
      <c r="AO90" s="66">
        <v>27.960748335699996</v>
      </c>
      <c r="AP90" s="66">
        <v>29.2543312114</v>
      </c>
      <c r="AQ90" s="66">
        <v>32.903352466000001</v>
      </c>
      <c r="AR90" s="66">
        <v>40.073391401499997</v>
      </c>
      <c r="AS90" s="66">
        <v>34.417629864399998</v>
      </c>
      <c r="AT90" s="66">
        <v>31.826748969699999</v>
      </c>
      <c r="AU90" s="66">
        <v>36.507454260699994</v>
      </c>
      <c r="AV90" s="66">
        <v>36.070118098899997</v>
      </c>
      <c r="AW90" s="66">
        <v>42.102835337500004</v>
      </c>
      <c r="AX90" s="66">
        <v>31.394403858999993</v>
      </c>
      <c r="AY90" s="66">
        <v>32.198976307000002</v>
      </c>
      <c r="AZ90" s="66">
        <v>42.997209178600009</v>
      </c>
      <c r="BA90" s="66">
        <v>42.761541502599997</v>
      </c>
      <c r="BB90" s="66">
        <v>49.310551079800007</v>
      </c>
      <c r="BC90" s="66">
        <v>52.437050563600003</v>
      </c>
      <c r="BD90" s="66">
        <v>43.566189004000002</v>
      </c>
      <c r="BE90" s="66">
        <v>46.829398255900003</v>
      </c>
      <c r="BF90" s="66">
        <v>27.232467668800005</v>
      </c>
      <c r="BG90" s="66">
        <v>42.362932895200011</v>
      </c>
      <c r="BH90" s="66">
        <v>36.766050750400005</v>
      </c>
      <c r="BI90" s="66">
        <v>38.093220022600001</v>
      </c>
      <c r="BJ90" s="66">
        <v>28.827690159100001</v>
      </c>
      <c r="BK90" s="66">
        <v>38.481508787500012</v>
      </c>
      <c r="BL90" s="66">
        <v>41.955580566699993</v>
      </c>
      <c r="BM90" s="66">
        <v>48.246106234300008</v>
      </c>
      <c r="BN90" s="66">
        <v>57.183014785899999</v>
      </c>
      <c r="BO90" s="66">
        <v>57.836054419300012</v>
      </c>
      <c r="BP90" s="66">
        <v>55.54309799590002</v>
      </c>
      <c r="BQ90" s="66">
        <v>54.821684715099998</v>
      </c>
      <c r="BR90" s="66">
        <v>63.540975933400006</v>
      </c>
      <c r="BS90" s="66">
        <v>62.141042389900008</v>
      </c>
      <c r="BT90" s="66">
        <v>58.872804560200009</v>
      </c>
      <c r="BU90" s="66">
        <v>68.727466086999982</v>
      </c>
      <c r="BV90" s="66">
        <v>57.6960798283</v>
      </c>
      <c r="BW90" s="66">
        <v>57.125336248000011</v>
      </c>
      <c r="BX90" s="66">
        <v>61.391258923899997</v>
      </c>
      <c r="BY90" s="66">
        <v>63.335479724200013</v>
      </c>
      <c r="BZ90" s="66">
        <v>44.414067263800007</v>
      </c>
      <c r="CA90" s="66">
        <v>67.872307647400007</v>
      </c>
      <c r="CB90" s="66">
        <v>54.011408208699983</v>
      </c>
      <c r="CC90" s="66">
        <v>61.745923765599997</v>
      </c>
      <c r="CD90" s="66">
        <v>64.428069594700005</v>
      </c>
      <c r="CE90" s="66">
        <v>68.885453493999989</v>
      </c>
      <c r="CF90" s="66">
        <v>69.263047149399995</v>
      </c>
      <c r="CG90" s="66">
        <v>57.455195940999999</v>
      </c>
      <c r="CH90" s="66">
        <v>55.563850260999999</v>
      </c>
      <c r="CI90" s="66">
        <v>67.612022456199995</v>
      </c>
      <c r="CJ90" s="66">
        <v>55.914762432700002</v>
      </c>
      <c r="CK90" s="66">
        <v>67.741376991099997</v>
      </c>
      <c r="CL90" s="66">
        <v>94.823871007300014</v>
      </c>
      <c r="CM90" s="66">
        <v>83.699418532599992</v>
      </c>
      <c r="CN90" s="66">
        <v>70.324002011800019</v>
      </c>
      <c r="CO90" s="66">
        <v>66.232203223899987</v>
      </c>
      <c r="CP90" s="66">
        <v>65.990681382700018</v>
      </c>
      <c r="CQ90" s="66">
        <v>69.769469965900001</v>
      </c>
      <c r="CR90" s="66">
        <v>75.565543834300001</v>
      </c>
      <c r="CS90" s="66">
        <v>73.80313989550001</v>
      </c>
      <c r="CT90" s="66">
        <v>70.720246437100002</v>
      </c>
      <c r="CU90" s="66">
        <v>67.640805435099992</v>
      </c>
      <c r="CV90" s="66">
        <v>68.496564301900023</v>
      </c>
      <c r="CW90" s="66">
        <v>67.563613013200012</v>
      </c>
      <c r="CX90" s="66">
        <v>79.190885741200006</v>
      </c>
      <c r="CY90" s="66">
        <v>86.985594124900004</v>
      </c>
      <c r="CZ90" s="66">
        <v>92.144014306900004</v>
      </c>
      <c r="DA90" s="66">
        <v>73.341523958799996</v>
      </c>
      <c r="DB90" s="66">
        <v>63.18252089500001</v>
      </c>
      <c r="DC90" s="66">
        <v>76.914853859499999</v>
      </c>
      <c r="DD90" s="66">
        <v>77.183319871300014</v>
      </c>
      <c r="DE90" s="66">
        <v>87.226553065599987</v>
      </c>
      <c r="DF90" s="66">
        <v>100.43625167920001</v>
      </c>
      <c r="DG90" s="66">
        <v>79.277009517700009</v>
      </c>
      <c r="DH90" s="66">
        <v>96.778974550599997</v>
      </c>
      <c r="DI90" s="66">
        <v>102.02321829550002</v>
      </c>
      <c r="DJ90" s="66">
        <v>95.091849171999982</v>
      </c>
      <c r="DK90" s="66">
        <v>102.45687684070001</v>
      </c>
      <c r="DL90" s="66">
        <v>106.3716621847</v>
      </c>
      <c r="DM90" s="66">
        <v>108.02666470810001</v>
      </c>
      <c r="DN90" s="66">
        <v>107.47494716470001</v>
      </c>
      <c r="DO90" s="66">
        <v>98.796635102799982</v>
      </c>
      <c r="DP90" s="79"/>
      <c r="DQ90" s="80"/>
      <c r="DR90" s="81"/>
      <c r="DS90" s="84">
        <f t="shared" si="12"/>
        <v>2014</v>
      </c>
      <c r="DT90" s="80"/>
      <c r="DU90" s="83">
        <f t="shared" si="15"/>
        <v>93.623503374299986</v>
      </c>
      <c r="DV90" s="83">
        <f t="shared" si="15"/>
        <v>381.94721879969995</v>
      </c>
      <c r="DW90" s="83">
        <f t="shared" si="15"/>
        <v>417.37231101959998</v>
      </c>
      <c r="DX90" s="83">
        <f t="shared" si="15"/>
        <v>401.20926111599994</v>
      </c>
      <c r="DY90" s="83">
        <f t="shared" si="15"/>
        <v>489.66580986809998</v>
      </c>
      <c r="DZ90" s="83">
        <f t="shared" si="15"/>
        <v>683.68924376400003</v>
      </c>
      <c r="EA90" s="83">
        <f t="shared" si="15"/>
        <v>735.97808442989992</v>
      </c>
      <c r="EB90" s="83">
        <f t="shared" si="15"/>
        <v>862.22552115000008</v>
      </c>
      <c r="EC90" s="83">
        <f t="shared" si="15"/>
        <v>951.94270433520001</v>
      </c>
      <c r="ED90" s="83">
        <f t="shared" si="15"/>
        <v>817.02082801910001</v>
      </c>
    </row>
    <row r="91" spans="2:134" x14ac:dyDescent="0.3">
      <c r="B91" s="45">
        <f t="shared" si="13"/>
        <v>1000000087</v>
      </c>
      <c r="C91" s="46">
        <v>42979</v>
      </c>
      <c r="D91" s="66">
        <v>-8</v>
      </c>
      <c r="E91" s="66">
        <v>-8</v>
      </c>
      <c r="F91" s="66">
        <v>-8</v>
      </c>
      <c r="G91" s="66">
        <v>-8</v>
      </c>
      <c r="H91" s="66">
        <v>-8</v>
      </c>
      <c r="I91" s="66">
        <v>-8</v>
      </c>
      <c r="J91" s="66">
        <v>-8</v>
      </c>
      <c r="K91" s="66">
        <v>-8</v>
      </c>
      <c r="L91" s="66">
        <v>-8</v>
      </c>
      <c r="M91" s="66">
        <v>-8</v>
      </c>
      <c r="N91" s="66">
        <v>-8</v>
      </c>
      <c r="O91" s="66">
        <v>-8</v>
      </c>
      <c r="P91" s="66">
        <v>-8</v>
      </c>
      <c r="Q91" s="66">
        <v>-8</v>
      </c>
      <c r="R91" s="66">
        <v>-8</v>
      </c>
      <c r="S91" s="66">
        <v>-8</v>
      </c>
      <c r="T91" s="66">
        <v>-8</v>
      </c>
      <c r="U91" s="66">
        <v>-8</v>
      </c>
      <c r="V91" s="66">
        <v>-8</v>
      </c>
      <c r="W91" s="66">
        <v>-8</v>
      </c>
      <c r="X91" s="66">
        <v>-8</v>
      </c>
      <c r="Y91" s="66">
        <v>-8</v>
      </c>
      <c r="Z91" s="66">
        <v>-8</v>
      </c>
      <c r="AA91" s="66">
        <v>-8</v>
      </c>
      <c r="AB91" s="66">
        <v>-8</v>
      </c>
      <c r="AC91" s="66">
        <v>-8</v>
      </c>
      <c r="AD91" s="66">
        <v>-8</v>
      </c>
      <c r="AE91" s="66">
        <v>-8</v>
      </c>
      <c r="AF91" s="66">
        <v>-8</v>
      </c>
      <c r="AG91" s="66">
        <v>-8</v>
      </c>
      <c r="AH91" s="66">
        <v>-8</v>
      </c>
      <c r="AI91" s="66">
        <v>-8</v>
      </c>
      <c r="AJ91" s="66">
        <v>-8</v>
      </c>
      <c r="AK91" s="66">
        <v>-8</v>
      </c>
      <c r="AL91" s="66">
        <v>-8</v>
      </c>
      <c r="AM91" s="66">
        <v>-8</v>
      </c>
      <c r="AN91" s="66">
        <v>-8</v>
      </c>
      <c r="AO91" s="66">
        <v>-8</v>
      </c>
      <c r="AP91" s="66">
        <v>-8</v>
      </c>
      <c r="AQ91" s="66">
        <v>-8</v>
      </c>
      <c r="AR91" s="66">
        <v>-8</v>
      </c>
      <c r="AS91" s="66">
        <v>-8</v>
      </c>
      <c r="AT91" s="66">
        <v>-8</v>
      </c>
      <c r="AU91" s="66">
        <v>-8</v>
      </c>
      <c r="AV91" s="66">
        <v>-6.7884504904999998</v>
      </c>
      <c r="AW91" s="66">
        <v>-3.2490447266000002</v>
      </c>
      <c r="AX91" s="66">
        <v>1.0664131933000007</v>
      </c>
      <c r="AY91" s="66">
        <v>3.8454154351000014</v>
      </c>
      <c r="AZ91" s="66">
        <v>13.540550960200001</v>
      </c>
      <c r="BA91" s="66">
        <v>20.0586385366</v>
      </c>
      <c r="BB91" s="66">
        <v>10.613280726700001</v>
      </c>
      <c r="BC91" s="66">
        <v>11.519325371499999</v>
      </c>
      <c r="BD91" s="66">
        <v>12.059409637900004</v>
      </c>
      <c r="BE91" s="66">
        <v>15.282015000400001</v>
      </c>
      <c r="BF91" s="66">
        <v>12.579079379500001</v>
      </c>
      <c r="BG91" s="66">
        <v>14.530242619300001</v>
      </c>
      <c r="BH91" s="66">
        <v>10.033680845200003</v>
      </c>
      <c r="BI91" s="66">
        <v>15.881841773199998</v>
      </c>
      <c r="BJ91" s="66">
        <v>13.729235207800002</v>
      </c>
      <c r="BK91" s="66">
        <v>14.189687816799999</v>
      </c>
      <c r="BL91" s="66">
        <v>22.847923094199999</v>
      </c>
      <c r="BM91" s="66">
        <v>40.150959090400001</v>
      </c>
      <c r="BN91" s="66">
        <v>35.962904317000003</v>
      </c>
      <c r="BO91" s="66">
        <v>36.937847983000012</v>
      </c>
      <c r="BP91" s="66">
        <v>29.222320936300008</v>
      </c>
      <c r="BQ91" s="66">
        <v>26.245402878699998</v>
      </c>
      <c r="BR91" s="66">
        <v>18.580874617300001</v>
      </c>
      <c r="BS91" s="66">
        <v>22.916822115399999</v>
      </c>
      <c r="BT91" s="66">
        <v>17.641318629400001</v>
      </c>
      <c r="BU91" s="66">
        <v>23.305035826899999</v>
      </c>
      <c r="BV91" s="66">
        <v>23.375285809299999</v>
      </c>
      <c r="BW91" s="66">
        <v>22.3948257184</v>
      </c>
      <c r="BX91" s="66">
        <v>27.585068541999995</v>
      </c>
      <c r="BY91" s="66">
        <v>40.822536913599997</v>
      </c>
      <c r="BZ91" s="66">
        <v>28.818308484100008</v>
      </c>
      <c r="CA91" s="66">
        <v>46.392662521299997</v>
      </c>
      <c r="CB91" s="66">
        <v>34.0305044272</v>
      </c>
      <c r="CC91" s="66">
        <v>30.672877998099999</v>
      </c>
      <c r="CD91" s="66">
        <v>44.285425736200004</v>
      </c>
      <c r="CE91" s="66">
        <v>33.2795201068</v>
      </c>
      <c r="CF91" s="66">
        <v>32.687949208000006</v>
      </c>
      <c r="CG91" s="66">
        <v>32.477537001100004</v>
      </c>
      <c r="CH91" s="66">
        <v>31.322990548900002</v>
      </c>
      <c r="CI91" s="66">
        <v>34.799764250499997</v>
      </c>
      <c r="CJ91" s="66">
        <v>39.174927150099997</v>
      </c>
      <c r="CK91" s="66">
        <v>48.514872459700008</v>
      </c>
      <c r="CL91" s="66">
        <v>59.5297094437</v>
      </c>
      <c r="CM91" s="66">
        <v>60.001645222900009</v>
      </c>
      <c r="CN91" s="66">
        <v>51.784236090399993</v>
      </c>
      <c r="CO91" s="66">
        <v>56.4512066092</v>
      </c>
      <c r="CP91" s="66">
        <v>55.716396296499994</v>
      </c>
      <c r="CQ91" s="66">
        <v>40.2931852834</v>
      </c>
      <c r="CR91" s="66">
        <v>51.707794202500004</v>
      </c>
      <c r="CS91" s="66">
        <v>42.446730016300009</v>
      </c>
      <c r="CT91" s="66">
        <v>78.696959315799987</v>
      </c>
      <c r="CU91" s="66">
        <v>40.797131337700002</v>
      </c>
      <c r="CV91" s="66">
        <v>44.899700288500007</v>
      </c>
      <c r="CW91" s="66">
        <v>76.910613342400012</v>
      </c>
      <c r="CX91" s="66">
        <v>80.098393927300009</v>
      </c>
      <c r="CY91" s="66">
        <v>75.46793688759999</v>
      </c>
      <c r="CZ91" s="66">
        <v>59.244393943600002</v>
      </c>
      <c r="DA91" s="66">
        <v>69.39386522560001</v>
      </c>
      <c r="DB91" s="66">
        <v>73.824079794100001</v>
      </c>
      <c r="DC91" s="66">
        <v>56.604578232099996</v>
      </c>
      <c r="DD91" s="66">
        <v>66.325869867099982</v>
      </c>
      <c r="DE91" s="66">
        <v>97.337634533499994</v>
      </c>
      <c r="DF91" s="66">
        <v>72.734717219800004</v>
      </c>
      <c r="DG91" s="66">
        <v>73.694725259200013</v>
      </c>
      <c r="DH91" s="66">
        <v>78.605206534300009</v>
      </c>
      <c r="DI91" s="66">
        <v>90.182718858100017</v>
      </c>
      <c r="DJ91" s="66">
        <v>114.05446594899999</v>
      </c>
      <c r="DK91" s="66">
        <v>131.4086133106</v>
      </c>
      <c r="DL91" s="66">
        <v>110.1153633034</v>
      </c>
      <c r="DM91" s="66">
        <v>113.2466286781</v>
      </c>
      <c r="DN91" s="66">
        <v>96.728426085699994</v>
      </c>
      <c r="DO91" s="66">
        <v>138.51526964980002</v>
      </c>
      <c r="DP91" s="79"/>
      <c r="DQ91" s="80"/>
      <c r="DR91" s="81"/>
      <c r="DS91" s="84">
        <f t="shared" si="12"/>
        <v>2017</v>
      </c>
      <c r="DT91" s="80"/>
      <c r="DU91" s="83">
        <f t="shared" si="15"/>
        <v>-96</v>
      </c>
      <c r="DV91" s="83">
        <f t="shared" si="15"/>
        <v>-96</v>
      </c>
      <c r="DW91" s="83">
        <f t="shared" si="15"/>
        <v>-96</v>
      </c>
      <c r="DX91" s="83">
        <f t="shared" si="15"/>
        <v>-69.1256665887</v>
      </c>
      <c r="DY91" s="83">
        <f t="shared" si="15"/>
        <v>164.0169878751</v>
      </c>
      <c r="DZ91" s="83">
        <f t="shared" si="15"/>
        <v>319.58152101630003</v>
      </c>
      <c r="EA91" s="83">
        <f t="shared" si="15"/>
        <v>417.17514573780005</v>
      </c>
      <c r="EB91" s="83">
        <f t="shared" si="15"/>
        <v>625.11479342819996</v>
      </c>
      <c r="EC91" s="83">
        <f t="shared" si="15"/>
        <v>846.53650852080011</v>
      </c>
      <c r="ED91" s="83">
        <f t="shared" si="15"/>
        <v>872.85669236900003</v>
      </c>
    </row>
    <row r="92" spans="2:134" x14ac:dyDescent="0.3">
      <c r="B92" s="45">
        <f t="shared" si="13"/>
        <v>1000000088</v>
      </c>
      <c r="C92" s="46">
        <v>39753</v>
      </c>
      <c r="D92" s="66">
        <v>43.150580801500006</v>
      </c>
      <c r="E92" s="66">
        <v>43.059278340399999</v>
      </c>
      <c r="F92" s="66">
        <v>51.69612339879999</v>
      </c>
      <c r="G92" s="66">
        <v>48.419291954800002</v>
      </c>
      <c r="H92" s="66">
        <v>40.075567950099995</v>
      </c>
      <c r="I92" s="66">
        <v>47.432114584600008</v>
      </c>
      <c r="J92" s="66">
        <v>50.869935571599996</v>
      </c>
      <c r="K92" s="66">
        <v>56.2006408333</v>
      </c>
      <c r="L92" s="66">
        <v>63.718890018099998</v>
      </c>
      <c r="M92" s="66">
        <v>71.882673496300001</v>
      </c>
      <c r="N92" s="66">
        <v>59.529634390300004</v>
      </c>
      <c r="O92" s="66">
        <v>56.217190108000011</v>
      </c>
      <c r="P92" s="66">
        <v>66.914100889599993</v>
      </c>
      <c r="Q92" s="66">
        <v>222.04362452440003</v>
      </c>
      <c r="R92" s="66">
        <v>88.505237841400003</v>
      </c>
      <c r="S92" s="66">
        <v>91.39032806409999</v>
      </c>
      <c r="T92" s="66">
        <v>75.151286593000009</v>
      </c>
      <c r="U92" s="66">
        <v>52.082198088399998</v>
      </c>
      <c r="V92" s="66">
        <v>75.252871369900006</v>
      </c>
      <c r="W92" s="66">
        <v>66.379945841800009</v>
      </c>
      <c r="X92" s="66">
        <v>62.642886949000001</v>
      </c>
      <c r="Y92" s="66">
        <v>78.203820951100013</v>
      </c>
      <c r="Z92" s="66">
        <v>74.514908814400002</v>
      </c>
      <c r="AA92" s="66">
        <v>64.471525513299994</v>
      </c>
      <c r="AB92" s="66">
        <v>73.904011665100001</v>
      </c>
      <c r="AC92" s="66">
        <v>115.63096261600001</v>
      </c>
      <c r="AD92" s="66">
        <v>119.65990418140002</v>
      </c>
      <c r="AE92" s="66">
        <v>86.887311697600012</v>
      </c>
      <c r="AF92" s="66">
        <v>87.715150699600002</v>
      </c>
      <c r="AG92" s="66">
        <v>72.060550054299995</v>
      </c>
      <c r="AH92" s="66">
        <v>66.542924299900008</v>
      </c>
      <c r="AI92" s="66">
        <v>76.823476345000003</v>
      </c>
      <c r="AJ92" s="66">
        <v>78.564565118200008</v>
      </c>
      <c r="AK92" s="66">
        <v>84.884173978299998</v>
      </c>
      <c r="AL92" s="66">
        <v>95.821856067100001</v>
      </c>
      <c r="AM92" s="66">
        <v>98.270735928999997</v>
      </c>
      <c r="AN92" s="66">
        <v>102.4672717366</v>
      </c>
      <c r="AO92" s="66">
        <v>117.3084436327</v>
      </c>
      <c r="AP92" s="66">
        <v>119.53141276060002</v>
      </c>
      <c r="AQ92" s="66">
        <v>122.3370589594</v>
      </c>
      <c r="AR92" s="66">
        <v>98.040246937600003</v>
      </c>
      <c r="AS92" s="66">
        <v>94.180851002800011</v>
      </c>
      <c r="AT92" s="66">
        <v>99.201097875400009</v>
      </c>
      <c r="AU92" s="66">
        <v>107.17342013020001</v>
      </c>
      <c r="AV92" s="66">
        <v>123.76551279490002</v>
      </c>
      <c r="AW92" s="66">
        <v>100.69762514470001</v>
      </c>
      <c r="AX92" s="66">
        <v>87.835423773100004</v>
      </c>
      <c r="AY92" s="66">
        <v>95.475747313000014</v>
      </c>
      <c r="AZ92" s="66">
        <v>97.4040567925</v>
      </c>
      <c r="BA92" s="66">
        <v>125.80445098600003</v>
      </c>
      <c r="BB92" s="66">
        <v>186.25962694570001</v>
      </c>
      <c r="BC92" s="66">
        <v>196.45878357850003</v>
      </c>
      <c r="BD92" s="66">
        <v>120.71538014559999</v>
      </c>
      <c r="BE92" s="66">
        <v>109.77026777020001</v>
      </c>
      <c r="BF92" s="66">
        <v>100.38442730649999</v>
      </c>
      <c r="BG92" s="66">
        <v>92.558684341900005</v>
      </c>
      <c r="BH92" s="66">
        <v>86.133587928099999</v>
      </c>
      <c r="BI92" s="66">
        <v>115.7805815689</v>
      </c>
      <c r="BJ92" s="66">
        <v>107.05355985040001</v>
      </c>
      <c r="BK92" s="66">
        <v>70.779876363400007</v>
      </c>
      <c r="BL92" s="66">
        <v>75.9586360168</v>
      </c>
      <c r="BM92" s="66">
        <v>127.79786928999999</v>
      </c>
      <c r="BN92" s="66">
        <v>114.43543700740003</v>
      </c>
      <c r="BO92" s="66">
        <v>135.02551171000002</v>
      </c>
      <c r="BP92" s="66">
        <v>97.733541218500008</v>
      </c>
      <c r="BQ92" s="66">
        <v>99.909789604900013</v>
      </c>
      <c r="BR92" s="66">
        <v>86.8107572296</v>
      </c>
      <c r="BS92" s="66">
        <v>102.9911819953</v>
      </c>
      <c r="BT92" s="66">
        <v>84.893330493100009</v>
      </c>
      <c r="BU92" s="66">
        <v>94.512286817200021</v>
      </c>
      <c r="BV92" s="66">
        <v>90.972843526600016</v>
      </c>
      <c r="BW92" s="66">
        <v>91.13942454790002</v>
      </c>
      <c r="BX92" s="66">
        <v>78.541185984100011</v>
      </c>
      <c r="BY92" s="66">
        <v>112.06221097269999</v>
      </c>
      <c r="BZ92" s="66">
        <v>95.852402800900009</v>
      </c>
      <c r="CA92" s="66">
        <v>120.99649265529999</v>
      </c>
      <c r="CB92" s="66">
        <v>113.54211391389998</v>
      </c>
      <c r="CC92" s="66">
        <v>117.8788869994</v>
      </c>
      <c r="CD92" s="66">
        <v>139.05250188700001</v>
      </c>
      <c r="CE92" s="66">
        <v>99.1904778193</v>
      </c>
      <c r="CF92" s="66">
        <v>121.89075391630001</v>
      </c>
      <c r="CG92" s="66">
        <v>138.81184315990001</v>
      </c>
      <c r="CH92" s="66">
        <v>121.68424448620001</v>
      </c>
      <c r="CI92" s="66">
        <v>109.03283058850002</v>
      </c>
      <c r="CJ92" s="66">
        <v>110.9665814395</v>
      </c>
      <c r="CK92" s="66">
        <v>159.9547236802</v>
      </c>
      <c r="CL92" s="66">
        <v>148.88397191320001</v>
      </c>
      <c r="CM92" s="66">
        <v>160.13935504419999</v>
      </c>
      <c r="CN92" s="66">
        <v>156.62497958920002</v>
      </c>
      <c r="CO92" s="66">
        <v>111.69902757009999</v>
      </c>
      <c r="CP92" s="66">
        <v>119.22602047600003</v>
      </c>
      <c r="CQ92" s="66">
        <v>128.55951119320002</v>
      </c>
      <c r="CR92" s="66">
        <v>157.51023444220002</v>
      </c>
      <c r="CS92" s="66">
        <v>126.63593007789999</v>
      </c>
      <c r="CT92" s="66">
        <v>112.85391176260001</v>
      </c>
      <c r="CU92" s="66">
        <v>108.0568737016</v>
      </c>
      <c r="CV92" s="66">
        <v>129.40881546759999</v>
      </c>
      <c r="CW92" s="66">
        <v>126.25495901950001</v>
      </c>
      <c r="CX92" s="66">
        <v>169.33504771900002</v>
      </c>
      <c r="CY92" s="66">
        <v>147.90174806740001</v>
      </c>
      <c r="CZ92" s="66">
        <v>95.158046270800014</v>
      </c>
      <c r="DA92" s="66">
        <v>97.084104148300014</v>
      </c>
      <c r="DB92" s="66">
        <v>79.250853407800008</v>
      </c>
      <c r="DC92" s="66">
        <v>86.840553429400003</v>
      </c>
      <c r="DD92" s="66">
        <v>82.614634215699994</v>
      </c>
      <c r="DE92" s="66">
        <v>104.01059480079999</v>
      </c>
      <c r="DF92" s="66">
        <v>87.047663286700001</v>
      </c>
      <c r="DG92" s="66">
        <v>81.044066767299995</v>
      </c>
      <c r="DH92" s="66">
        <v>78.165994037499999</v>
      </c>
      <c r="DI92" s="66">
        <v>95.917736785599999</v>
      </c>
      <c r="DJ92" s="66">
        <v>121.62724142890002</v>
      </c>
      <c r="DK92" s="66">
        <v>103.26355078390002</v>
      </c>
      <c r="DL92" s="66">
        <v>94.698494302599997</v>
      </c>
      <c r="DM92" s="66">
        <v>92.957067789099995</v>
      </c>
      <c r="DN92" s="66">
        <v>88.452737988099997</v>
      </c>
      <c r="DO92" s="66">
        <v>85.323086261499995</v>
      </c>
      <c r="DP92" s="79"/>
      <c r="DQ92" s="80"/>
      <c r="DR92" s="81"/>
      <c r="DS92" s="84">
        <f t="shared" si="12"/>
        <v>2008</v>
      </c>
      <c r="DT92" s="80"/>
      <c r="DU92" s="83">
        <f t="shared" si="15"/>
        <v>632.25192144779999</v>
      </c>
      <c r="DV92" s="83">
        <f t="shared" si="15"/>
        <v>1017.5527354404002</v>
      </c>
      <c r="DW92" s="83">
        <f t="shared" si="15"/>
        <v>1056.7656226515003</v>
      </c>
      <c r="DX92" s="83">
        <f t="shared" si="15"/>
        <v>1268.0141120610003</v>
      </c>
      <c r="DY92" s="83">
        <f t="shared" si="15"/>
        <v>1409.1032835777003</v>
      </c>
      <c r="DZ92" s="83">
        <f t="shared" si="15"/>
        <v>1202.1806094573001</v>
      </c>
      <c r="EA92" s="83">
        <f t="shared" si="15"/>
        <v>1368.5359451835</v>
      </c>
      <c r="EB92" s="83">
        <f t="shared" si="15"/>
        <v>1601.1111208899001</v>
      </c>
      <c r="EC92" s="83">
        <f t="shared" si="15"/>
        <v>1285.9510866003</v>
      </c>
      <c r="ED92" s="83">
        <f t="shared" si="15"/>
        <v>760.40590937720003</v>
      </c>
    </row>
    <row r="93" spans="2:134" x14ac:dyDescent="0.3">
      <c r="B93" s="45">
        <f t="shared" si="13"/>
        <v>1000000089</v>
      </c>
      <c r="C93" s="46">
        <v>39142</v>
      </c>
      <c r="D93" s="66">
        <v>58.936487370099996</v>
      </c>
      <c r="E93" s="66">
        <v>73.158431189499993</v>
      </c>
      <c r="F93" s="66">
        <v>76.778256671500017</v>
      </c>
      <c r="G93" s="66">
        <v>79.770823363000019</v>
      </c>
      <c r="H93" s="66">
        <v>63.154525976799988</v>
      </c>
      <c r="I93" s="66">
        <v>60.646654142499997</v>
      </c>
      <c r="J93" s="66">
        <v>69.575607033699995</v>
      </c>
      <c r="K93" s="66">
        <v>60.59719395190001</v>
      </c>
      <c r="L93" s="66">
        <v>67.21382664250001</v>
      </c>
      <c r="M93" s="66">
        <v>57.546310768600009</v>
      </c>
      <c r="N93" s="66">
        <v>63.064762110400011</v>
      </c>
      <c r="O93" s="66">
        <v>50.047125147400003</v>
      </c>
      <c r="P93" s="66">
        <v>73.132575293200006</v>
      </c>
      <c r="Q93" s="66">
        <v>119.96064315519997</v>
      </c>
      <c r="R93" s="66">
        <v>83.767942286800007</v>
      </c>
      <c r="S93" s="66">
        <v>79.318326414400005</v>
      </c>
      <c r="T93" s="66">
        <v>65.76188109280001</v>
      </c>
      <c r="U93" s="66">
        <v>72.490831196499997</v>
      </c>
      <c r="V93" s="66">
        <v>76.655844576100009</v>
      </c>
      <c r="W93" s="66">
        <v>67.979634009400002</v>
      </c>
      <c r="X93" s="66">
        <v>71.928606177099994</v>
      </c>
      <c r="Y93" s="66">
        <v>68.75193349540001</v>
      </c>
      <c r="Z93" s="66">
        <v>60.00817486870001</v>
      </c>
      <c r="AA93" s="66">
        <v>69.890230886500007</v>
      </c>
      <c r="AB93" s="66">
        <v>66.742566343899995</v>
      </c>
      <c r="AC93" s="66">
        <v>73.517186441500016</v>
      </c>
      <c r="AD93" s="66">
        <v>81.855018754300019</v>
      </c>
      <c r="AE93" s="66">
        <v>74.569585216300013</v>
      </c>
      <c r="AF93" s="66">
        <v>69.693403344999993</v>
      </c>
      <c r="AG93" s="66">
        <v>78.012810048100008</v>
      </c>
      <c r="AH93" s="66">
        <v>77.180430315400002</v>
      </c>
      <c r="AI93" s="66">
        <v>71.586250093000018</v>
      </c>
      <c r="AJ93" s="66">
        <v>69.810374068899989</v>
      </c>
      <c r="AK93" s="66">
        <v>66.416046527199995</v>
      </c>
      <c r="AL93" s="66">
        <v>77.839774434400013</v>
      </c>
      <c r="AM93" s="66">
        <v>68.425638838899999</v>
      </c>
      <c r="AN93" s="66">
        <v>67.970102227600009</v>
      </c>
      <c r="AO93" s="66">
        <v>60.826932409300014</v>
      </c>
      <c r="AP93" s="66">
        <v>66.995271141700016</v>
      </c>
      <c r="AQ93" s="66">
        <v>74.125831988800016</v>
      </c>
      <c r="AR93" s="66">
        <v>77.492990199700017</v>
      </c>
      <c r="AS93" s="66">
        <v>81.703223252799987</v>
      </c>
      <c r="AT93" s="66">
        <v>87.436439898700002</v>
      </c>
      <c r="AU93" s="66">
        <v>68.409727518099999</v>
      </c>
      <c r="AV93" s="66">
        <v>79.45030781829999</v>
      </c>
      <c r="AW93" s="66">
        <v>65.693319811900011</v>
      </c>
      <c r="AX93" s="66">
        <v>73.299268894600004</v>
      </c>
      <c r="AY93" s="66">
        <v>56.646420502599995</v>
      </c>
      <c r="AZ93" s="66">
        <v>73.591526834199996</v>
      </c>
      <c r="BA93" s="66">
        <v>69.838706727399995</v>
      </c>
      <c r="BB93" s="66">
        <v>90.776053511800015</v>
      </c>
      <c r="BC93" s="66">
        <v>123.1476356794</v>
      </c>
      <c r="BD93" s="66">
        <v>116.99558353480002</v>
      </c>
      <c r="BE93" s="66">
        <v>79.221732688600014</v>
      </c>
      <c r="BF93" s="66">
        <v>80.93824147330001</v>
      </c>
      <c r="BG93" s="66">
        <v>59.643903191800007</v>
      </c>
      <c r="BH93" s="66">
        <v>74.631204057699989</v>
      </c>
      <c r="BI93" s="66">
        <v>71.908004018799986</v>
      </c>
      <c r="BJ93" s="66">
        <v>73.292326455100024</v>
      </c>
      <c r="BK93" s="66">
        <v>58.938626392000003</v>
      </c>
      <c r="BL93" s="66">
        <v>67.325055781299994</v>
      </c>
      <c r="BM93" s="66">
        <v>72.919573744000004</v>
      </c>
      <c r="BN93" s="66">
        <v>78.14370317769999</v>
      </c>
      <c r="BO93" s="66">
        <v>93.383145940899993</v>
      </c>
      <c r="BP93" s="66">
        <v>80.226622661200025</v>
      </c>
      <c r="BQ93" s="66">
        <v>74.244904207900007</v>
      </c>
      <c r="BR93" s="66">
        <v>90.105901703200018</v>
      </c>
      <c r="BS93" s="66">
        <v>85.030865848600001</v>
      </c>
      <c r="BT93" s="66">
        <v>83.257241426499988</v>
      </c>
      <c r="BU93" s="66">
        <v>78.237707561200011</v>
      </c>
      <c r="BV93" s="66">
        <v>75.742594804900008</v>
      </c>
      <c r="BW93" s="66">
        <v>73.185075146500012</v>
      </c>
      <c r="BX93" s="66">
        <v>95.72571266170003</v>
      </c>
      <c r="BY93" s="66">
        <v>96.761261948200001</v>
      </c>
      <c r="BZ93" s="66">
        <v>117.331297393</v>
      </c>
      <c r="CA93" s="66">
        <v>104.76484394409999</v>
      </c>
      <c r="CB93" s="66">
        <v>88.446958876300002</v>
      </c>
      <c r="CC93" s="66">
        <v>101.00448097060001</v>
      </c>
      <c r="CD93" s="66">
        <v>111.73407750790001</v>
      </c>
      <c r="CE93" s="66">
        <v>83.249548453000017</v>
      </c>
      <c r="CF93" s="66">
        <v>94.169405359300015</v>
      </c>
      <c r="CG93" s="66">
        <v>96.101767722399984</v>
      </c>
      <c r="CH93" s="66">
        <v>88.295763801999982</v>
      </c>
      <c r="CI93" s="66">
        <v>83.3491443148</v>
      </c>
      <c r="CJ93" s="66">
        <v>89.914140266200008</v>
      </c>
      <c r="CK93" s="66">
        <v>91.010670440200002</v>
      </c>
      <c r="CL93" s="66">
        <v>120.14651290030002</v>
      </c>
      <c r="CM93" s="66">
        <v>131.39018770090001</v>
      </c>
      <c r="CN93" s="66">
        <v>118.9998845818</v>
      </c>
      <c r="CO93" s="66">
        <v>121.07552388550002</v>
      </c>
      <c r="CP93" s="66">
        <v>122.56150615210004</v>
      </c>
      <c r="CQ93" s="66">
        <v>103.26347573050002</v>
      </c>
      <c r="CR93" s="66">
        <v>102.31832826429999</v>
      </c>
      <c r="CS93" s="66">
        <v>115.56521583759999</v>
      </c>
      <c r="CT93" s="66">
        <v>100.77811991620001</v>
      </c>
      <c r="CU93" s="66">
        <v>83.5044297994</v>
      </c>
      <c r="CV93" s="66">
        <v>89.585781641200001</v>
      </c>
      <c r="CW93" s="66">
        <v>88.523625924399994</v>
      </c>
      <c r="CX93" s="66">
        <v>84.635296903899999</v>
      </c>
      <c r="CY93" s="66">
        <v>77.614764341200001</v>
      </c>
      <c r="CZ93" s="66">
        <v>58.140546063100004</v>
      </c>
      <c r="DA93" s="66">
        <v>79.448318903200004</v>
      </c>
      <c r="DB93" s="66">
        <v>69.755960353900008</v>
      </c>
      <c r="DC93" s="66">
        <v>75.587346846999992</v>
      </c>
      <c r="DD93" s="66">
        <v>92.088324684100016</v>
      </c>
      <c r="DE93" s="66">
        <v>84.373810858300004</v>
      </c>
      <c r="DF93" s="66">
        <v>91.368149784400003</v>
      </c>
      <c r="DG93" s="66">
        <v>81.2928312616</v>
      </c>
      <c r="DH93" s="66">
        <v>101.53942407910002</v>
      </c>
      <c r="DI93" s="66">
        <v>96.11887989760001</v>
      </c>
      <c r="DJ93" s="66">
        <v>115.82152319860002</v>
      </c>
      <c r="DK93" s="66">
        <v>113.07486897220001</v>
      </c>
      <c r="DL93" s="66">
        <v>66.467870899900007</v>
      </c>
      <c r="DM93" s="66">
        <v>94.877158921300023</v>
      </c>
      <c r="DN93" s="66">
        <v>96.427724638600012</v>
      </c>
      <c r="DO93" s="66">
        <v>88.311224802400019</v>
      </c>
      <c r="DP93" s="79"/>
      <c r="DQ93" s="80"/>
      <c r="DR93" s="81"/>
      <c r="DS93" s="84">
        <f t="shared" si="12"/>
        <v>2007</v>
      </c>
      <c r="DT93" s="80"/>
      <c r="DU93" s="83">
        <f t="shared" si="15"/>
        <v>780.49000436790004</v>
      </c>
      <c r="DV93" s="83">
        <f t="shared" si="15"/>
        <v>909.64662345210002</v>
      </c>
      <c r="DW93" s="83">
        <f t="shared" si="15"/>
        <v>875.64908442690012</v>
      </c>
      <c r="DX93" s="83">
        <f t="shared" si="15"/>
        <v>860.0498356641001</v>
      </c>
      <c r="DY93" s="83">
        <f t="shared" si="15"/>
        <v>972.92354456489988</v>
      </c>
      <c r="DZ93" s="83">
        <f t="shared" si="15"/>
        <v>951.80239200389997</v>
      </c>
      <c r="EA93" s="83">
        <f t="shared" si="15"/>
        <v>1160.9342629533</v>
      </c>
      <c r="EB93" s="83">
        <f t="shared" si="15"/>
        <v>1300.5279954750001</v>
      </c>
      <c r="EC93" s="83">
        <f t="shared" si="15"/>
        <v>972.41475756629995</v>
      </c>
      <c r="ED93" s="83">
        <f t="shared" si="15"/>
        <v>772.63867540970011</v>
      </c>
    </row>
    <row r="94" spans="2:134" x14ac:dyDescent="0.3">
      <c r="B94" s="45">
        <f t="shared" si="13"/>
        <v>1000000090</v>
      </c>
      <c r="C94" s="46">
        <v>43374</v>
      </c>
      <c r="D94" s="66">
        <v>-8</v>
      </c>
      <c r="E94" s="66">
        <v>-8</v>
      </c>
      <c r="F94" s="66">
        <v>-8</v>
      </c>
      <c r="G94" s="66">
        <v>-8</v>
      </c>
      <c r="H94" s="66">
        <v>-8</v>
      </c>
      <c r="I94" s="66">
        <v>-8</v>
      </c>
      <c r="J94" s="66">
        <v>-8</v>
      </c>
      <c r="K94" s="66">
        <v>-8</v>
      </c>
      <c r="L94" s="66">
        <v>-8</v>
      </c>
      <c r="M94" s="66">
        <v>-8</v>
      </c>
      <c r="N94" s="66">
        <v>-8</v>
      </c>
      <c r="O94" s="66">
        <v>-8</v>
      </c>
      <c r="P94" s="66">
        <v>-8</v>
      </c>
      <c r="Q94" s="66">
        <v>-8</v>
      </c>
      <c r="R94" s="66">
        <v>-8</v>
      </c>
      <c r="S94" s="66">
        <v>-8</v>
      </c>
      <c r="T94" s="66">
        <v>-8</v>
      </c>
      <c r="U94" s="66">
        <v>-8</v>
      </c>
      <c r="V94" s="66">
        <v>-8</v>
      </c>
      <c r="W94" s="66">
        <v>-8</v>
      </c>
      <c r="X94" s="66">
        <v>-8</v>
      </c>
      <c r="Y94" s="66">
        <v>-8</v>
      </c>
      <c r="Z94" s="66">
        <v>-8</v>
      </c>
      <c r="AA94" s="66">
        <v>-8</v>
      </c>
      <c r="AB94" s="66">
        <v>-8</v>
      </c>
      <c r="AC94" s="66">
        <v>-8</v>
      </c>
      <c r="AD94" s="66">
        <v>-8</v>
      </c>
      <c r="AE94" s="66">
        <v>-8</v>
      </c>
      <c r="AF94" s="66">
        <v>-8</v>
      </c>
      <c r="AG94" s="66">
        <v>-8</v>
      </c>
      <c r="AH94" s="66">
        <v>-8</v>
      </c>
      <c r="AI94" s="66">
        <v>-8</v>
      </c>
      <c r="AJ94" s="66">
        <v>-8</v>
      </c>
      <c r="AK94" s="66">
        <v>-8</v>
      </c>
      <c r="AL94" s="66">
        <v>-8</v>
      </c>
      <c r="AM94" s="66">
        <v>-8</v>
      </c>
      <c r="AN94" s="66">
        <v>-8</v>
      </c>
      <c r="AO94" s="66">
        <v>-8</v>
      </c>
      <c r="AP94" s="66">
        <v>-8</v>
      </c>
      <c r="AQ94" s="66">
        <v>-8</v>
      </c>
      <c r="AR94" s="66">
        <v>-8</v>
      </c>
      <c r="AS94" s="66">
        <v>-8</v>
      </c>
      <c r="AT94" s="66">
        <v>-8</v>
      </c>
      <c r="AU94" s="66">
        <v>-8</v>
      </c>
      <c r="AV94" s="66">
        <v>-8</v>
      </c>
      <c r="AW94" s="66">
        <v>-8</v>
      </c>
      <c r="AX94" s="66">
        <v>-8</v>
      </c>
      <c r="AY94" s="66">
        <v>-8</v>
      </c>
      <c r="AZ94" s="66">
        <v>-8</v>
      </c>
      <c r="BA94" s="66">
        <v>-8</v>
      </c>
      <c r="BB94" s="66">
        <v>-8</v>
      </c>
      <c r="BC94" s="66">
        <v>-8</v>
      </c>
      <c r="BD94" s="66">
        <v>-8</v>
      </c>
      <c r="BE94" s="66">
        <v>-8</v>
      </c>
      <c r="BF94" s="66">
        <v>-8</v>
      </c>
      <c r="BG94" s="66">
        <v>-8</v>
      </c>
      <c r="BH94" s="66">
        <v>-8</v>
      </c>
      <c r="BI94" s="66">
        <v>-7.4417528107999997</v>
      </c>
      <c r="BJ94" s="66">
        <v>-1.4479507600999995</v>
      </c>
      <c r="BK94" s="66">
        <v>1.7396797180000014</v>
      </c>
      <c r="BL94" s="66">
        <v>28.422289219</v>
      </c>
      <c r="BM94" s="66">
        <v>99.09272076580001</v>
      </c>
      <c r="BN94" s="66">
        <v>30.575458684899999</v>
      </c>
      <c r="BO94" s="66">
        <v>33.4360814992</v>
      </c>
      <c r="BP94" s="66">
        <v>16.9945084282</v>
      </c>
      <c r="BQ94" s="66">
        <v>11.4060322642</v>
      </c>
      <c r="BR94" s="66">
        <v>14.8035871021</v>
      </c>
      <c r="BS94" s="66">
        <v>15.362697405400006</v>
      </c>
      <c r="BT94" s="66">
        <v>9.3210863388999989</v>
      </c>
      <c r="BU94" s="66">
        <v>9.1112370325000001</v>
      </c>
      <c r="BV94" s="66">
        <v>11.456393095600003</v>
      </c>
      <c r="BW94" s="66">
        <v>8.9422918290999966</v>
      </c>
      <c r="BX94" s="66">
        <v>71.192745116799983</v>
      </c>
      <c r="BY94" s="66">
        <v>122.1015413902</v>
      </c>
      <c r="BZ94" s="66">
        <v>51.485223344800012</v>
      </c>
      <c r="CA94" s="66">
        <v>29.540097031900004</v>
      </c>
      <c r="CB94" s="66">
        <v>24.042022688199992</v>
      </c>
      <c r="CC94" s="66">
        <v>25.628313823900001</v>
      </c>
      <c r="CD94" s="66">
        <v>28.494077796100008</v>
      </c>
      <c r="CE94" s="66">
        <v>25.9828660855</v>
      </c>
      <c r="CF94" s="66">
        <v>26.311337290600008</v>
      </c>
      <c r="CG94" s="66">
        <v>23.963741991999999</v>
      </c>
      <c r="CH94" s="66">
        <v>18.903266497000001</v>
      </c>
      <c r="CI94" s="66">
        <v>15.1035004885</v>
      </c>
      <c r="CJ94" s="66">
        <v>20.754833874999999</v>
      </c>
      <c r="CK94" s="66">
        <v>188.82870482770002</v>
      </c>
      <c r="CL94" s="66">
        <v>114.33201342220002</v>
      </c>
      <c r="CM94" s="66">
        <v>53.008994998300004</v>
      </c>
      <c r="CN94" s="66">
        <v>43.843811530599993</v>
      </c>
      <c r="CO94" s="66">
        <v>35.057422572700006</v>
      </c>
      <c r="CP94" s="66">
        <v>28.850506392700005</v>
      </c>
      <c r="CQ94" s="66">
        <v>39.543101603799997</v>
      </c>
      <c r="CR94" s="66">
        <v>33.326616115299998</v>
      </c>
      <c r="CS94" s="66">
        <v>35.510595001899993</v>
      </c>
      <c r="CT94" s="66">
        <v>34.8116602144</v>
      </c>
      <c r="CU94" s="66">
        <v>31.793087519799997</v>
      </c>
      <c r="CV94" s="66">
        <v>82.32590378590001</v>
      </c>
      <c r="CW94" s="66">
        <v>205.90613030349999</v>
      </c>
      <c r="CX94" s="66">
        <v>115.48513385980002</v>
      </c>
      <c r="CY94" s="66">
        <v>91.699698178900022</v>
      </c>
      <c r="CZ94" s="66">
        <v>37.819950593199998</v>
      </c>
      <c r="DA94" s="66">
        <v>36.014878796500007</v>
      </c>
      <c r="DB94" s="66">
        <v>49.622773223799996</v>
      </c>
      <c r="DC94" s="66">
        <v>34.783402609299998</v>
      </c>
      <c r="DD94" s="66">
        <v>39.331413489100001</v>
      </c>
      <c r="DE94" s="66">
        <v>46.671711062500009</v>
      </c>
      <c r="DF94" s="66">
        <v>48.657924240100009</v>
      </c>
      <c r="DG94" s="66">
        <v>56.220379877500008</v>
      </c>
      <c r="DH94" s="66">
        <v>138.59032304980002</v>
      </c>
      <c r="DI94" s="66">
        <v>215.39479392520002</v>
      </c>
      <c r="DJ94" s="66">
        <v>118.10945104420001</v>
      </c>
      <c r="DK94" s="66">
        <v>125.1595921732</v>
      </c>
      <c r="DL94" s="66">
        <v>72.079763724700001</v>
      </c>
      <c r="DM94" s="66">
        <v>73.001644636899982</v>
      </c>
      <c r="DN94" s="66">
        <v>63.101313116200004</v>
      </c>
      <c r="DO94" s="66">
        <v>66.580563579999989</v>
      </c>
      <c r="DP94" s="79"/>
      <c r="DQ94" s="80"/>
      <c r="DR94" s="81"/>
      <c r="DS94" s="84">
        <f t="shared" si="12"/>
        <v>2018</v>
      </c>
      <c r="DT94" s="80"/>
      <c r="DU94" s="83">
        <f t="shared" si="15"/>
        <v>-96</v>
      </c>
      <c r="DV94" s="83">
        <f t="shared" si="15"/>
        <v>-96</v>
      </c>
      <c r="DW94" s="83">
        <f t="shared" si="15"/>
        <v>-96</v>
      </c>
      <c r="DX94" s="83">
        <f t="shared" si="15"/>
        <v>-96</v>
      </c>
      <c r="DY94" s="83">
        <f t="shared" si="15"/>
        <v>-79.150023852899992</v>
      </c>
      <c r="DZ94" s="83">
        <f t="shared" si="15"/>
        <v>288.92438366490001</v>
      </c>
      <c r="EA94" s="83">
        <f t="shared" si="15"/>
        <v>462.74873354549999</v>
      </c>
      <c r="EB94" s="83">
        <f t="shared" si="15"/>
        <v>659.66134807440017</v>
      </c>
      <c r="EC94" s="83">
        <f t="shared" si="15"/>
        <v>844.53930002010009</v>
      </c>
      <c r="ED94" s="83">
        <f t="shared" si="15"/>
        <v>872.01744525020001</v>
      </c>
    </row>
    <row r="95" spans="2:134" x14ac:dyDescent="0.3">
      <c r="B95" s="45">
        <f t="shared" si="13"/>
        <v>1000000091</v>
      </c>
      <c r="C95" s="46">
        <v>43770</v>
      </c>
      <c r="D95" s="66">
        <v>-8</v>
      </c>
      <c r="E95" s="66">
        <v>-8</v>
      </c>
      <c r="F95" s="66">
        <v>-8</v>
      </c>
      <c r="G95" s="66">
        <v>-8</v>
      </c>
      <c r="H95" s="66">
        <v>-8</v>
      </c>
      <c r="I95" s="66">
        <v>-8</v>
      </c>
      <c r="J95" s="66">
        <v>-8</v>
      </c>
      <c r="K95" s="66">
        <v>-8</v>
      </c>
      <c r="L95" s="66">
        <v>-8</v>
      </c>
      <c r="M95" s="66">
        <v>-8</v>
      </c>
      <c r="N95" s="66">
        <v>-8</v>
      </c>
      <c r="O95" s="66">
        <v>-8</v>
      </c>
      <c r="P95" s="66">
        <v>-8</v>
      </c>
      <c r="Q95" s="66">
        <v>-8</v>
      </c>
      <c r="R95" s="66">
        <v>-8</v>
      </c>
      <c r="S95" s="66">
        <v>-8</v>
      </c>
      <c r="T95" s="66">
        <v>-8</v>
      </c>
      <c r="U95" s="66">
        <v>-8</v>
      </c>
      <c r="V95" s="66">
        <v>-8</v>
      </c>
      <c r="W95" s="66">
        <v>-8</v>
      </c>
      <c r="X95" s="66">
        <v>-8</v>
      </c>
      <c r="Y95" s="66">
        <v>-8</v>
      </c>
      <c r="Z95" s="66">
        <v>-8</v>
      </c>
      <c r="AA95" s="66">
        <v>-8</v>
      </c>
      <c r="AB95" s="66">
        <v>-8</v>
      </c>
      <c r="AC95" s="66">
        <v>-8</v>
      </c>
      <c r="AD95" s="66">
        <v>-8</v>
      </c>
      <c r="AE95" s="66">
        <v>-8</v>
      </c>
      <c r="AF95" s="66">
        <v>-8</v>
      </c>
      <c r="AG95" s="66">
        <v>-8</v>
      </c>
      <c r="AH95" s="66">
        <v>-8</v>
      </c>
      <c r="AI95" s="66">
        <v>-8</v>
      </c>
      <c r="AJ95" s="66">
        <v>-8</v>
      </c>
      <c r="AK95" s="66">
        <v>-8</v>
      </c>
      <c r="AL95" s="66">
        <v>-8</v>
      </c>
      <c r="AM95" s="66">
        <v>-8</v>
      </c>
      <c r="AN95" s="66">
        <v>-8</v>
      </c>
      <c r="AO95" s="66">
        <v>-8</v>
      </c>
      <c r="AP95" s="66">
        <v>-8</v>
      </c>
      <c r="AQ95" s="66">
        <v>-8</v>
      </c>
      <c r="AR95" s="66">
        <v>-8</v>
      </c>
      <c r="AS95" s="66">
        <v>-8</v>
      </c>
      <c r="AT95" s="66">
        <v>-8</v>
      </c>
      <c r="AU95" s="66">
        <v>-8</v>
      </c>
      <c r="AV95" s="66">
        <v>-8</v>
      </c>
      <c r="AW95" s="66">
        <v>-8</v>
      </c>
      <c r="AX95" s="66">
        <v>-8</v>
      </c>
      <c r="AY95" s="66">
        <v>-8</v>
      </c>
      <c r="AZ95" s="66">
        <v>-8</v>
      </c>
      <c r="BA95" s="66">
        <v>-8</v>
      </c>
      <c r="BB95" s="66">
        <v>-8</v>
      </c>
      <c r="BC95" s="66">
        <v>-8</v>
      </c>
      <c r="BD95" s="66">
        <v>-8</v>
      </c>
      <c r="BE95" s="66">
        <v>-8</v>
      </c>
      <c r="BF95" s="66">
        <v>-8</v>
      </c>
      <c r="BG95" s="66">
        <v>-8</v>
      </c>
      <c r="BH95" s="66">
        <v>-8</v>
      </c>
      <c r="BI95" s="66">
        <v>-8</v>
      </c>
      <c r="BJ95" s="66">
        <v>-8</v>
      </c>
      <c r="BK95" s="66">
        <v>-8</v>
      </c>
      <c r="BL95" s="66">
        <v>-8</v>
      </c>
      <c r="BM95" s="66">
        <v>-8</v>
      </c>
      <c r="BN95" s="66">
        <v>-8</v>
      </c>
      <c r="BO95" s="66">
        <v>-8</v>
      </c>
      <c r="BP95" s="66">
        <v>-8</v>
      </c>
      <c r="BQ95" s="66">
        <v>-8</v>
      </c>
      <c r="BR95" s="66">
        <v>-8</v>
      </c>
      <c r="BS95" s="66">
        <v>-8</v>
      </c>
      <c r="BT95" s="66">
        <v>-8</v>
      </c>
      <c r="BU95" s="66">
        <v>-8</v>
      </c>
      <c r="BV95" s="66">
        <v>1.6409844970000016</v>
      </c>
      <c r="BW95" s="66">
        <v>4.524798811900002</v>
      </c>
      <c r="BX95" s="66">
        <v>9.3867580639000003</v>
      </c>
      <c r="BY95" s="66">
        <v>11.700691912600004</v>
      </c>
      <c r="BZ95" s="66">
        <v>11.111184982300003</v>
      </c>
      <c r="CA95" s="66">
        <v>-0.90576499849999959</v>
      </c>
      <c r="CB95" s="66">
        <v>12.052617305199995</v>
      </c>
      <c r="CC95" s="66">
        <v>29.962234880200008</v>
      </c>
      <c r="CD95" s="66">
        <v>27.013199160699997</v>
      </c>
      <c r="CE95" s="66">
        <v>25.356320302300006</v>
      </c>
      <c r="CF95" s="66">
        <v>24.119702957200005</v>
      </c>
      <c r="CG95" s="66">
        <v>29.594248060000005</v>
      </c>
      <c r="CH95" s="66">
        <v>29.756551037499996</v>
      </c>
      <c r="CI95" s="66">
        <v>25.551271508799999</v>
      </c>
      <c r="CJ95" s="66">
        <v>27.379647386200006</v>
      </c>
      <c r="CK95" s="66">
        <v>35.942790005799999</v>
      </c>
      <c r="CL95" s="66">
        <v>40.341669779799993</v>
      </c>
      <c r="CM95" s="66">
        <v>46.141421264800002</v>
      </c>
      <c r="CN95" s="66">
        <v>33.401144141500005</v>
      </c>
      <c r="CO95" s="66">
        <v>35.510782635399998</v>
      </c>
      <c r="CP95" s="66">
        <v>43.443626801800015</v>
      </c>
      <c r="CQ95" s="66">
        <v>41.640093599799989</v>
      </c>
      <c r="CR95" s="66">
        <v>47.847647733699993</v>
      </c>
      <c r="CS95" s="66">
        <v>58.567412275600006</v>
      </c>
      <c r="CT95" s="66">
        <v>50.747523476200008</v>
      </c>
      <c r="CU95" s="66">
        <v>33.345904839100001</v>
      </c>
      <c r="CV95" s="66">
        <v>42.117583330599999</v>
      </c>
      <c r="CW95" s="66">
        <v>67.906607051200012</v>
      </c>
      <c r="CX95" s="66">
        <v>85.811834002300031</v>
      </c>
      <c r="CY95" s="66">
        <v>85.891052866000024</v>
      </c>
      <c r="CZ95" s="66">
        <v>80.725277450799993</v>
      </c>
      <c r="DA95" s="66">
        <v>80.873057595399999</v>
      </c>
      <c r="DB95" s="66">
        <v>64.938170027800012</v>
      </c>
      <c r="DC95" s="66">
        <v>66.064421348200014</v>
      </c>
      <c r="DD95" s="66">
        <v>93.524433966399997</v>
      </c>
      <c r="DE95" s="66">
        <v>81.237404325700012</v>
      </c>
      <c r="DF95" s="66">
        <v>86.304972367000005</v>
      </c>
      <c r="DG95" s="66">
        <v>73.667105608</v>
      </c>
      <c r="DH95" s="66">
        <v>93.667635853600018</v>
      </c>
      <c r="DI95" s="66">
        <v>103.567254367</v>
      </c>
      <c r="DJ95" s="66">
        <v>104.81434166140002</v>
      </c>
      <c r="DK95" s="66">
        <v>93.524509019799993</v>
      </c>
      <c r="DL95" s="66">
        <v>108.1313266744</v>
      </c>
      <c r="DM95" s="66">
        <v>91.59184644310001</v>
      </c>
      <c r="DN95" s="66">
        <v>109.8375531433</v>
      </c>
      <c r="DO95" s="66">
        <v>95.563109470600011</v>
      </c>
      <c r="DP95" s="79"/>
      <c r="DQ95" s="80"/>
      <c r="DR95" s="81"/>
      <c r="DS95" s="84">
        <f t="shared" si="12"/>
        <v>2019</v>
      </c>
      <c r="DT95" s="80"/>
      <c r="DU95" s="83">
        <f t="shared" ref="DU95:ED104" si="16">+SUMIF($D$3:$DO$3,DU$4,$D95:$DO95)</f>
        <v>-96</v>
      </c>
      <c r="DV95" s="83">
        <f t="shared" si="16"/>
        <v>-96</v>
      </c>
      <c r="DW95" s="83">
        <f t="shared" si="16"/>
        <v>-96</v>
      </c>
      <c r="DX95" s="83">
        <f t="shared" si="16"/>
        <v>-96</v>
      </c>
      <c r="DY95" s="83">
        <f t="shared" si="16"/>
        <v>-96</v>
      </c>
      <c r="DZ95" s="83">
        <f t="shared" si="16"/>
        <v>-73.834216691099996</v>
      </c>
      <c r="EA95" s="83">
        <f t="shared" si="16"/>
        <v>234.69901517220003</v>
      </c>
      <c r="EB95" s="83">
        <f t="shared" si="16"/>
        <v>494.30966393970004</v>
      </c>
      <c r="EC95" s="83">
        <f t="shared" si="16"/>
        <v>909.06191993940013</v>
      </c>
      <c r="ED95" s="83">
        <f t="shared" si="16"/>
        <v>800.69757663320001</v>
      </c>
    </row>
    <row r="96" spans="2:134" x14ac:dyDescent="0.3">
      <c r="B96" s="45">
        <f t="shared" si="13"/>
        <v>1000000092</v>
      </c>
      <c r="C96" s="46">
        <v>43983</v>
      </c>
      <c r="D96" s="66">
        <v>-8</v>
      </c>
      <c r="E96" s="66">
        <v>-8</v>
      </c>
      <c r="F96" s="66">
        <v>-8</v>
      </c>
      <c r="G96" s="66">
        <v>-8</v>
      </c>
      <c r="H96" s="66">
        <v>-8</v>
      </c>
      <c r="I96" s="66">
        <v>-8</v>
      </c>
      <c r="J96" s="66">
        <v>-8</v>
      </c>
      <c r="K96" s="66">
        <v>-8</v>
      </c>
      <c r="L96" s="66">
        <v>-8</v>
      </c>
      <c r="M96" s="66">
        <v>-8</v>
      </c>
      <c r="N96" s="66">
        <v>-8</v>
      </c>
      <c r="O96" s="66">
        <v>-8</v>
      </c>
      <c r="P96" s="66">
        <v>-8</v>
      </c>
      <c r="Q96" s="66">
        <v>-8</v>
      </c>
      <c r="R96" s="66">
        <v>-8</v>
      </c>
      <c r="S96" s="66">
        <v>-8</v>
      </c>
      <c r="T96" s="66">
        <v>-8</v>
      </c>
      <c r="U96" s="66">
        <v>-8</v>
      </c>
      <c r="V96" s="66">
        <v>-8</v>
      </c>
      <c r="W96" s="66">
        <v>-8</v>
      </c>
      <c r="X96" s="66">
        <v>-8</v>
      </c>
      <c r="Y96" s="66">
        <v>-8</v>
      </c>
      <c r="Z96" s="66">
        <v>-8</v>
      </c>
      <c r="AA96" s="66">
        <v>-8</v>
      </c>
      <c r="AB96" s="66">
        <v>-8</v>
      </c>
      <c r="AC96" s="66">
        <v>-8</v>
      </c>
      <c r="AD96" s="66">
        <v>-8</v>
      </c>
      <c r="AE96" s="66">
        <v>-8</v>
      </c>
      <c r="AF96" s="66">
        <v>-8</v>
      </c>
      <c r="AG96" s="66">
        <v>-8</v>
      </c>
      <c r="AH96" s="66">
        <v>-8</v>
      </c>
      <c r="AI96" s="66">
        <v>-8</v>
      </c>
      <c r="AJ96" s="66">
        <v>-8</v>
      </c>
      <c r="AK96" s="66">
        <v>-8</v>
      </c>
      <c r="AL96" s="66">
        <v>-8</v>
      </c>
      <c r="AM96" s="66">
        <v>-8</v>
      </c>
      <c r="AN96" s="66">
        <v>-8</v>
      </c>
      <c r="AO96" s="66">
        <v>-8</v>
      </c>
      <c r="AP96" s="66">
        <v>-8</v>
      </c>
      <c r="AQ96" s="66">
        <v>-8</v>
      </c>
      <c r="AR96" s="66">
        <v>-8</v>
      </c>
      <c r="AS96" s="66">
        <v>-8</v>
      </c>
      <c r="AT96" s="66">
        <v>-8</v>
      </c>
      <c r="AU96" s="66">
        <v>-8</v>
      </c>
      <c r="AV96" s="66">
        <v>-8</v>
      </c>
      <c r="AW96" s="66">
        <v>-8</v>
      </c>
      <c r="AX96" s="66">
        <v>-8</v>
      </c>
      <c r="AY96" s="66">
        <v>-8</v>
      </c>
      <c r="AZ96" s="66">
        <v>-8</v>
      </c>
      <c r="BA96" s="66">
        <v>-8</v>
      </c>
      <c r="BB96" s="66">
        <v>-8</v>
      </c>
      <c r="BC96" s="66">
        <v>-8</v>
      </c>
      <c r="BD96" s="66">
        <v>-8</v>
      </c>
      <c r="BE96" s="66">
        <v>-8</v>
      </c>
      <c r="BF96" s="66">
        <v>-8</v>
      </c>
      <c r="BG96" s="66">
        <v>-8</v>
      </c>
      <c r="BH96" s="66">
        <v>-8</v>
      </c>
      <c r="BI96" s="66">
        <v>-8</v>
      </c>
      <c r="BJ96" s="66">
        <v>-8</v>
      </c>
      <c r="BK96" s="66">
        <v>-8</v>
      </c>
      <c r="BL96" s="66">
        <v>-8</v>
      </c>
      <c r="BM96" s="66">
        <v>-8</v>
      </c>
      <c r="BN96" s="66">
        <v>-8</v>
      </c>
      <c r="BO96" s="66">
        <v>-8</v>
      </c>
      <c r="BP96" s="66">
        <v>-8</v>
      </c>
      <c r="BQ96" s="66">
        <v>-8</v>
      </c>
      <c r="BR96" s="66">
        <v>-8</v>
      </c>
      <c r="BS96" s="66">
        <v>-8</v>
      </c>
      <c r="BT96" s="66">
        <v>-8</v>
      </c>
      <c r="BU96" s="66">
        <v>-8</v>
      </c>
      <c r="BV96" s="66">
        <v>-8</v>
      </c>
      <c r="BW96" s="66">
        <v>-8</v>
      </c>
      <c r="BX96" s="66">
        <v>-8</v>
      </c>
      <c r="BY96" s="66">
        <v>-8</v>
      </c>
      <c r="BZ96" s="66">
        <v>-8</v>
      </c>
      <c r="CA96" s="66">
        <v>-8</v>
      </c>
      <c r="CB96" s="66">
        <v>-8</v>
      </c>
      <c r="CC96" s="66">
        <v>-2.2674963614000001</v>
      </c>
      <c r="CD96" s="66">
        <v>-1.9757262688999999</v>
      </c>
      <c r="CE96" s="66">
        <v>-1.2967932124999999</v>
      </c>
      <c r="CF96" s="66">
        <v>0.82631736669999967</v>
      </c>
      <c r="CG96" s="66">
        <v>8.9579779897000016</v>
      </c>
      <c r="CH96" s="66">
        <v>8.0069763583000046</v>
      </c>
      <c r="CI96" s="66">
        <v>6.5904184867000009</v>
      </c>
      <c r="CJ96" s="66">
        <v>27.712509215200001</v>
      </c>
      <c r="CK96" s="66">
        <v>12.115136787400001</v>
      </c>
      <c r="CL96" s="66">
        <v>11.814435340300005</v>
      </c>
      <c r="CM96" s="66">
        <v>13.910751855699996</v>
      </c>
      <c r="CN96" s="66">
        <v>7.6747524831999989</v>
      </c>
      <c r="CO96" s="66">
        <v>6.0248911177000011</v>
      </c>
      <c r="CP96" s="66">
        <v>15.129056171200006</v>
      </c>
      <c r="CQ96" s="66">
        <v>25.309637087500001</v>
      </c>
      <c r="CR96" s="66">
        <v>32.6111320531</v>
      </c>
      <c r="CS96" s="66">
        <v>23.748526367500002</v>
      </c>
      <c r="CT96" s="66">
        <v>25.395423123700006</v>
      </c>
      <c r="CU96" s="66">
        <v>28.659870756700002</v>
      </c>
      <c r="CV96" s="66">
        <v>30.040252889499996</v>
      </c>
      <c r="CW96" s="66">
        <v>53.254832410000006</v>
      </c>
      <c r="CX96" s="66">
        <v>55.791712383400011</v>
      </c>
      <c r="CY96" s="66">
        <v>54.103911524199994</v>
      </c>
      <c r="CZ96" s="66">
        <v>57.724600120299996</v>
      </c>
      <c r="DA96" s="66">
        <v>36.468876813100003</v>
      </c>
      <c r="DB96" s="66">
        <v>67.628684311000015</v>
      </c>
      <c r="DC96" s="66">
        <v>54.528038287599998</v>
      </c>
      <c r="DD96" s="66">
        <v>57.249549625</v>
      </c>
      <c r="DE96" s="66">
        <v>73.727260908100007</v>
      </c>
      <c r="DF96" s="66">
        <v>64.700175696399995</v>
      </c>
      <c r="DG96" s="66">
        <v>82.341927686800005</v>
      </c>
      <c r="DH96" s="66">
        <v>102.16762103710001</v>
      </c>
      <c r="DI96" s="66">
        <v>105.3299209927</v>
      </c>
      <c r="DJ96" s="66">
        <v>121.94689385949997</v>
      </c>
      <c r="DK96" s="66">
        <v>107.46215056000001</v>
      </c>
      <c r="DL96" s="66">
        <v>98.94482804110001</v>
      </c>
      <c r="DM96" s="66">
        <v>112.85676379180001</v>
      </c>
      <c r="DN96" s="66">
        <v>120.10504589679999</v>
      </c>
      <c r="DO96" s="66">
        <v>110.2016747134</v>
      </c>
      <c r="DP96" s="79"/>
      <c r="DQ96" s="80"/>
      <c r="DR96" s="81"/>
      <c r="DS96" s="84">
        <f t="shared" si="12"/>
        <v>2020</v>
      </c>
      <c r="DT96" s="80"/>
      <c r="DU96" s="83">
        <f t="shared" si="16"/>
        <v>-96</v>
      </c>
      <c r="DV96" s="83">
        <f t="shared" si="16"/>
        <v>-96</v>
      </c>
      <c r="DW96" s="83">
        <f t="shared" si="16"/>
        <v>-96</v>
      </c>
      <c r="DX96" s="83">
        <f t="shared" si="16"/>
        <v>-96</v>
      </c>
      <c r="DY96" s="83">
        <f t="shared" si="16"/>
        <v>-96</v>
      </c>
      <c r="DZ96" s="83">
        <f t="shared" si="16"/>
        <v>-96</v>
      </c>
      <c r="EA96" s="83">
        <f t="shared" si="16"/>
        <v>-21.158325641399991</v>
      </c>
      <c r="EB96" s="83">
        <f t="shared" si="16"/>
        <v>230.10612235920001</v>
      </c>
      <c r="EC96" s="83">
        <f t="shared" si="16"/>
        <v>687.55982265540001</v>
      </c>
      <c r="ED96" s="83">
        <f t="shared" si="16"/>
        <v>879.01489889239997</v>
      </c>
    </row>
    <row r="97" spans="2:134" x14ac:dyDescent="0.3">
      <c r="B97" s="45">
        <f t="shared" si="13"/>
        <v>1000000093</v>
      </c>
      <c r="C97" s="46">
        <v>39965</v>
      </c>
      <c r="D97" s="66">
        <v>43.835443076500006</v>
      </c>
      <c r="E97" s="66">
        <v>58.1534177212</v>
      </c>
      <c r="F97" s="66">
        <v>57.183127365999994</v>
      </c>
      <c r="G97" s="66">
        <v>70.378941100600002</v>
      </c>
      <c r="H97" s="66">
        <v>57.379767274000002</v>
      </c>
      <c r="I97" s="66">
        <v>45.270989458300001</v>
      </c>
      <c r="J97" s="66">
        <v>43.391314582000007</v>
      </c>
      <c r="K97" s="66">
        <v>33.4746214201</v>
      </c>
      <c r="L97" s="66">
        <v>49.037619390700009</v>
      </c>
      <c r="M97" s="66">
        <v>42.705326505999999</v>
      </c>
      <c r="N97" s="66">
        <v>45.6933524668</v>
      </c>
      <c r="O97" s="66">
        <v>39.302217716500003</v>
      </c>
      <c r="P97" s="66">
        <v>43.782230215900007</v>
      </c>
      <c r="Q97" s="66">
        <v>132.26016918700003</v>
      </c>
      <c r="R97" s="66">
        <v>64.925823743500004</v>
      </c>
      <c r="S97" s="66">
        <v>70.490958300100004</v>
      </c>
      <c r="T97" s="66">
        <v>51.360372013900005</v>
      </c>
      <c r="U97" s="66">
        <v>41.809188910000003</v>
      </c>
      <c r="V97" s="66">
        <v>49.687619361400003</v>
      </c>
      <c r="W97" s="66">
        <v>47.853576952300003</v>
      </c>
      <c r="X97" s="66">
        <v>71.309378100400011</v>
      </c>
      <c r="Y97" s="66">
        <v>69.402533893300003</v>
      </c>
      <c r="Z97" s="66">
        <v>73.097187615100012</v>
      </c>
      <c r="AA97" s="66">
        <v>57.081092268700004</v>
      </c>
      <c r="AB97" s="66">
        <v>96.052532692</v>
      </c>
      <c r="AC97" s="66">
        <v>105.01372101850001</v>
      </c>
      <c r="AD97" s="66">
        <v>109.86952589170001</v>
      </c>
      <c r="AE97" s="66">
        <v>121.7902574137</v>
      </c>
      <c r="AF97" s="66">
        <v>99.218322630700001</v>
      </c>
      <c r="AG97" s="66">
        <v>97.699879768600013</v>
      </c>
      <c r="AH97" s="66">
        <v>99.234946958800009</v>
      </c>
      <c r="AI97" s="66">
        <v>112.24151354530001</v>
      </c>
      <c r="AJ97" s="66">
        <v>110.3094513958</v>
      </c>
      <c r="AK97" s="66">
        <v>124.33738217620001</v>
      </c>
      <c r="AL97" s="66">
        <v>112.30136863180002</v>
      </c>
      <c r="AM97" s="66">
        <v>135.3671172601</v>
      </c>
      <c r="AN97" s="66">
        <v>163.1130082789</v>
      </c>
      <c r="AO97" s="66">
        <v>154.4058757114</v>
      </c>
      <c r="AP97" s="66">
        <v>178.27878612999999</v>
      </c>
      <c r="AQ97" s="66">
        <v>208.2035524042</v>
      </c>
      <c r="AR97" s="66">
        <v>140.22622448289999</v>
      </c>
      <c r="AS97" s="66">
        <v>145.49377230850001</v>
      </c>
      <c r="AT97" s="66">
        <v>125.41477373320001</v>
      </c>
      <c r="AU97" s="66">
        <v>152.49250185849999</v>
      </c>
      <c r="AV97" s="66">
        <v>141.03578798199999</v>
      </c>
      <c r="AW97" s="66">
        <v>185.96027645980001</v>
      </c>
      <c r="AX97" s="66">
        <v>164.90899861420002</v>
      </c>
      <c r="AY97" s="66">
        <v>145.00723864299999</v>
      </c>
      <c r="AZ97" s="66">
        <v>167.68991471769999</v>
      </c>
      <c r="BA97" s="66">
        <v>180.48633178419996</v>
      </c>
      <c r="BB97" s="66">
        <v>190.35360228220003</v>
      </c>
      <c r="BC97" s="66">
        <v>240.13442100700001</v>
      </c>
      <c r="BD97" s="66">
        <v>198.05025339880001</v>
      </c>
      <c r="BE97" s="66">
        <v>206.13091523650002</v>
      </c>
      <c r="BF97" s="66">
        <v>190.16206600540002</v>
      </c>
      <c r="BG97" s="66">
        <v>157.43052773139996</v>
      </c>
      <c r="BH97" s="66">
        <v>131.85645694840002</v>
      </c>
      <c r="BI97" s="66">
        <v>180.72567707680005</v>
      </c>
      <c r="BJ97" s="66">
        <v>173.47758260530003</v>
      </c>
      <c r="BK97" s="66">
        <v>170.57301602530001</v>
      </c>
      <c r="BL97" s="66">
        <v>157.45645868109997</v>
      </c>
      <c r="BM97" s="66">
        <v>175.71391123840004</v>
      </c>
      <c r="BN97" s="66">
        <v>153.80398497010003</v>
      </c>
      <c r="BO97" s="66">
        <v>192.75193367920002</v>
      </c>
      <c r="BP97" s="66">
        <v>204.07809216640004</v>
      </c>
      <c r="BQ97" s="66">
        <v>165.4946402944</v>
      </c>
      <c r="BR97" s="66">
        <v>175.57311106</v>
      </c>
      <c r="BS97" s="66">
        <v>171.12653485030003</v>
      </c>
      <c r="BT97" s="66">
        <v>155.25067678180005</v>
      </c>
      <c r="BU97" s="66">
        <v>194.7966509821</v>
      </c>
      <c r="BV97" s="66">
        <v>166.14265135000002</v>
      </c>
      <c r="BW97" s="66">
        <v>131.93803999420001</v>
      </c>
      <c r="BX97" s="66">
        <v>181.248273901</v>
      </c>
      <c r="BY97" s="66">
        <v>207.29334229570003</v>
      </c>
      <c r="BZ97" s="66">
        <v>186.3518675743</v>
      </c>
      <c r="CA97" s="66">
        <v>141.59437291150002</v>
      </c>
      <c r="CB97" s="66">
        <v>165.93741782770002</v>
      </c>
      <c r="CC97" s="66">
        <v>174.12679451529999</v>
      </c>
      <c r="CD97" s="66">
        <v>213.03680373070003</v>
      </c>
      <c r="CE97" s="66">
        <v>173.57837932149999</v>
      </c>
      <c r="CF97" s="66">
        <v>170.4035829748</v>
      </c>
      <c r="CG97" s="66">
        <v>202.26097429900003</v>
      </c>
      <c r="CH97" s="66">
        <v>196.25043534010001</v>
      </c>
      <c r="CI97" s="66">
        <v>171.07069512070001</v>
      </c>
      <c r="CJ97" s="66">
        <v>163.18085655249999</v>
      </c>
      <c r="CK97" s="66">
        <v>206.97778027539999</v>
      </c>
      <c r="CL97" s="66">
        <v>218.16677867409999</v>
      </c>
      <c r="CM97" s="66">
        <v>288.47185026970004</v>
      </c>
      <c r="CN97" s="66">
        <v>192.62933395029998</v>
      </c>
      <c r="CO97" s="66">
        <v>184.13644131310002</v>
      </c>
      <c r="CP97" s="66">
        <v>182.78259055720002</v>
      </c>
      <c r="CQ97" s="66">
        <v>230.8047204865</v>
      </c>
      <c r="CR97" s="66">
        <v>167.08224486459997</v>
      </c>
      <c r="CS97" s="66">
        <v>201.3638610088</v>
      </c>
      <c r="CT97" s="66">
        <v>190.71686073820004</v>
      </c>
      <c r="CU97" s="66">
        <v>190.31097195100003</v>
      </c>
      <c r="CV97" s="66">
        <v>255.18960767320004</v>
      </c>
      <c r="CW97" s="66">
        <v>199.5043379704</v>
      </c>
      <c r="CX97" s="66">
        <v>225.8189231245</v>
      </c>
      <c r="CY97" s="66">
        <v>224.66084916250003</v>
      </c>
      <c r="CZ97" s="66">
        <v>202.4582896876</v>
      </c>
      <c r="DA97" s="66">
        <v>183.21467298100004</v>
      </c>
      <c r="DB97" s="66">
        <v>191.43200706010001</v>
      </c>
      <c r="DC97" s="66">
        <v>213.65629449430003</v>
      </c>
      <c r="DD97" s="66">
        <v>176.25264454360001</v>
      </c>
      <c r="DE97" s="66">
        <v>185.9081518735</v>
      </c>
      <c r="DF97" s="66">
        <v>195.41475325780002</v>
      </c>
      <c r="DG97" s="66">
        <v>180.50017913650001</v>
      </c>
      <c r="DH97" s="66">
        <v>124.68915746200003</v>
      </c>
      <c r="DI97" s="66">
        <v>-498.70194370250005</v>
      </c>
      <c r="DJ97" s="66">
        <v>155.63581330390002</v>
      </c>
      <c r="DK97" s="66">
        <v>147.54273012850001</v>
      </c>
      <c r="DL97" s="66">
        <v>138.23817249699999</v>
      </c>
      <c r="DM97" s="66">
        <v>117.61826406789999</v>
      </c>
      <c r="DN97" s="66">
        <v>146.52219152200004</v>
      </c>
      <c r="DO97" s="66">
        <v>133.55476528360001</v>
      </c>
      <c r="DP97" s="79"/>
      <c r="DQ97" s="80"/>
      <c r="DR97" s="81"/>
      <c r="DS97" s="84">
        <f t="shared" si="12"/>
        <v>2009</v>
      </c>
      <c r="DT97" s="80"/>
      <c r="DU97" s="83">
        <f t="shared" si="16"/>
        <v>585.80613807869997</v>
      </c>
      <c r="DV97" s="83">
        <f t="shared" si="16"/>
        <v>773.06013056159998</v>
      </c>
      <c r="DW97" s="83">
        <f t="shared" si="16"/>
        <v>1323.4360193832001</v>
      </c>
      <c r="DX97" s="83">
        <f t="shared" si="16"/>
        <v>1904.5407966065998</v>
      </c>
      <c r="DY97" s="83">
        <f t="shared" si="16"/>
        <v>2187.070764819</v>
      </c>
      <c r="DZ97" s="83">
        <f t="shared" si="16"/>
        <v>2044.1266860479998</v>
      </c>
      <c r="EA97" s="83">
        <f t="shared" si="16"/>
        <v>2183.1529398123002</v>
      </c>
      <c r="EB97" s="83">
        <f t="shared" si="16"/>
        <v>2416.6242906414</v>
      </c>
      <c r="EC97" s="83">
        <f t="shared" si="16"/>
        <v>2434.0107109650003</v>
      </c>
      <c r="ED97" s="83">
        <f t="shared" si="16"/>
        <v>465.09915056240004</v>
      </c>
    </row>
    <row r="98" spans="2:134" x14ac:dyDescent="0.3">
      <c r="B98" s="45">
        <f t="shared" si="13"/>
        <v>1000000094</v>
      </c>
      <c r="C98" s="46">
        <v>41760</v>
      </c>
      <c r="D98" s="66">
        <v>-8</v>
      </c>
      <c r="E98" s="66">
        <v>-8</v>
      </c>
      <c r="F98" s="66">
        <v>-8</v>
      </c>
      <c r="G98" s="66">
        <v>-8</v>
      </c>
      <c r="H98" s="66">
        <v>-4.8665205500000006</v>
      </c>
      <c r="I98" s="66">
        <v>-1.8547777148</v>
      </c>
      <c r="J98" s="66">
        <v>1.0976729344000002</v>
      </c>
      <c r="K98" s="66">
        <v>8.0679947725000005</v>
      </c>
      <c r="L98" s="66">
        <v>12.167749220799998</v>
      </c>
      <c r="M98" s="66">
        <v>11.277090523000002</v>
      </c>
      <c r="N98" s="66">
        <v>7.2694641231999988</v>
      </c>
      <c r="O98" s="66">
        <v>9.2420175820000026</v>
      </c>
      <c r="P98" s="66">
        <v>8.424498422500001</v>
      </c>
      <c r="Q98" s="66">
        <v>37.422467786800006</v>
      </c>
      <c r="R98" s="66">
        <v>19.211886077799999</v>
      </c>
      <c r="S98" s="66">
        <v>32.878547317300004</v>
      </c>
      <c r="T98" s="66">
        <v>34.962217334799995</v>
      </c>
      <c r="U98" s="66">
        <v>33.238428370300007</v>
      </c>
      <c r="V98" s="66">
        <v>33.762113468799996</v>
      </c>
      <c r="W98" s="66">
        <v>42.3786565825</v>
      </c>
      <c r="X98" s="66">
        <v>39.740229358900002</v>
      </c>
      <c r="Y98" s="66">
        <v>40.751611450600002</v>
      </c>
      <c r="Z98" s="66">
        <v>40.519621391200005</v>
      </c>
      <c r="AA98" s="66">
        <v>39.880128896500004</v>
      </c>
      <c r="AB98" s="66">
        <v>32.712041349400003</v>
      </c>
      <c r="AC98" s="66">
        <v>51.088791286000003</v>
      </c>
      <c r="AD98" s="66">
        <v>57.211835291499995</v>
      </c>
      <c r="AE98" s="66">
        <v>38.3170667881</v>
      </c>
      <c r="AF98" s="66">
        <v>39.169410725200002</v>
      </c>
      <c r="AG98" s="66">
        <v>43.552078964800003</v>
      </c>
      <c r="AH98" s="66">
        <v>37.060560292000005</v>
      </c>
      <c r="AI98" s="66">
        <v>38.7688507294</v>
      </c>
      <c r="AJ98" s="66">
        <v>33.818778785799999</v>
      </c>
      <c r="AK98" s="66">
        <v>52.629750168100003</v>
      </c>
      <c r="AL98" s="66">
        <v>47.282683265200006</v>
      </c>
      <c r="AM98" s="66">
        <v>48.471266434300006</v>
      </c>
      <c r="AN98" s="66">
        <v>58.284385904200008</v>
      </c>
      <c r="AO98" s="66">
        <v>86.328801821500008</v>
      </c>
      <c r="AP98" s="66">
        <v>110.21942484250002</v>
      </c>
      <c r="AQ98" s="66">
        <v>70.326666407500014</v>
      </c>
      <c r="AR98" s="66">
        <v>57.813313239100012</v>
      </c>
      <c r="AS98" s="66">
        <v>61.5029759098</v>
      </c>
      <c r="AT98" s="66">
        <v>70.6938276403</v>
      </c>
      <c r="AU98" s="66">
        <v>86.138166185500012</v>
      </c>
      <c r="AV98" s="66">
        <v>91.048084560099994</v>
      </c>
      <c r="AW98" s="66">
        <v>71.900948999200011</v>
      </c>
      <c r="AX98" s="66">
        <v>65.160665832099994</v>
      </c>
      <c r="AY98" s="66">
        <v>89.645486620900002</v>
      </c>
      <c r="AZ98" s="66">
        <v>74.676048464200022</v>
      </c>
      <c r="BA98" s="66">
        <v>100.76768749360001</v>
      </c>
      <c r="BB98" s="66">
        <v>149.01152516649998</v>
      </c>
      <c r="BC98" s="66">
        <v>130.9121350696</v>
      </c>
      <c r="BD98" s="66">
        <v>118.48066516060001</v>
      </c>
      <c r="BE98" s="66">
        <v>89.483746543900011</v>
      </c>
      <c r="BF98" s="66">
        <v>90.193001173900015</v>
      </c>
      <c r="BG98" s="66">
        <v>100.09250710720002</v>
      </c>
      <c r="BH98" s="66">
        <v>82.853641768000003</v>
      </c>
      <c r="BI98" s="66">
        <v>84.057573357400003</v>
      </c>
      <c r="BJ98" s="66">
        <v>87.413961405400016</v>
      </c>
      <c r="BK98" s="66">
        <v>68.58081174340002</v>
      </c>
      <c r="BL98" s="66">
        <v>51.068489341300001</v>
      </c>
      <c r="BM98" s="66">
        <v>126.40712978800002</v>
      </c>
      <c r="BN98" s="66">
        <v>100.68723024880001</v>
      </c>
      <c r="BO98" s="66">
        <v>107.40672362410001</v>
      </c>
      <c r="BP98" s="66">
        <v>109.28621086690001</v>
      </c>
      <c r="BQ98" s="66">
        <v>69.380880987400005</v>
      </c>
      <c r="BR98" s="66">
        <v>61.454191199799993</v>
      </c>
      <c r="BS98" s="66">
        <v>84.12767323300001</v>
      </c>
      <c r="BT98" s="66">
        <v>85.136465982399997</v>
      </c>
      <c r="BU98" s="66">
        <v>89.218920622000013</v>
      </c>
      <c r="BV98" s="66">
        <v>64.280364503499996</v>
      </c>
      <c r="BW98" s="66">
        <v>53.644997509900008</v>
      </c>
      <c r="BX98" s="66">
        <v>74.9000453365</v>
      </c>
      <c r="BY98" s="66">
        <v>101.85052042209998</v>
      </c>
      <c r="BZ98" s="66">
        <v>93.455047098099996</v>
      </c>
      <c r="CA98" s="66">
        <v>96.160084214200012</v>
      </c>
      <c r="CB98" s="66">
        <v>69.340352151399983</v>
      </c>
      <c r="CC98" s="66">
        <v>73.7840012785</v>
      </c>
      <c r="CD98" s="66">
        <v>46.205366761600011</v>
      </c>
      <c r="CE98" s="66">
        <v>103.53059078109999</v>
      </c>
      <c r="CF98" s="66">
        <v>110.43126306399999</v>
      </c>
      <c r="CG98" s="66">
        <v>146.95281040450001</v>
      </c>
      <c r="CH98" s="66">
        <v>87.279615819400007</v>
      </c>
      <c r="CI98" s="66">
        <v>69.189119550400008</v>
      </c>
      <c r="CJ98" s="66">
        <v>67.805585174800015</v>
      </c>
      <c r="CK98" s="66">
        <v>104.25530641150002</v>
      </c>
      <c r="CL98" s="66">
        <v>128.24747668270001</v>
      </c>
      <c r="CM98" s="66">
        <v>122.47939773250002</v>
      </c>
      <c r="CN98" s="66">
        <v>121.05507183400002</v>
      </c>
      <c r="CO98" s="66">
        <v>99.094859787700017</v>
      </c>
      <c r="CP98" s="66">
        <v>85.445798570500003</v>
      </c>
      <c r="CQ98" s="66">
        <v>83.179598684200016</v>
      </c>
      <c r="CR98" s="66">
        <v>96.11066155029998</v>
      </c>
      <c r="CS98" s="66">
        <v>102.32204340760002</v>
      </c>
      <c r="CT98" s="66">
        <v>89.923559467899992</v>
      </c>
      <c r="CU98" s="66">
        <v>75.678649308100006</v>
      </c>
      <c r="CV98" s="66">
        <v>79.329284210799997</v>
      </c>
      <c r="CW98" s="66">
        <v>89.505962350299995</v>
      </c>
      <c r="CX98" s="66">
        <v>84.463537198000012</v>
      </c>
      <c r="CY98" s="66">
        <v>86.426183608000031</v>
      </c>
      <c r="CZ98" s="66">
        <v>72.778435825300008</v>
      </c>
      <c r="DA98" s="66">
        <v>76.899167698899987</v>
      </c>
      <c r="DB98" s="66">
        <v>73.448775267399995</v>
      </c>
      <c r="DC98" s="66">
        <v>72.320084711500002</v>
      </c>
      <c r="DD98" s="66">
        <v>70.848400117600008</v>
      </c>
      <c r="DE98" s="66">
        <v>82.138645552900002</v>
      </c>
      <c r="DF98" s="66">
        <v>94.766192469400025</v>
      </c>
      <c r="DG98" s="66">
        <v>83.707937093500021</v>
      </c>
      <c r="DH98" s="66">
        <v>85.020358372600001</v>
      </c>
      <c r="DI98" s="66">
        <v>110.28160658440001</v>
      </c>
      <c r="DJ98" s="66">
        <v>118.30676643279998</v>
      </c>
      <c r="DK98" s="66">
        <v>101.5593132301</v>
      </c>
      <c r="DL98" s="66">
        <v>91.986852487300013</v>
      </c>
      <c r="DM98" s="66">
        <v>81.162801246100003</v>
      </c>
      <c r="DN98" s="66">
        <v>90.966201300700021</v>
      </c>
      <c r="DO98" s="66">
        <v>90.031861524100009</v>
      </c>
      <c r="DP98" s="79"/>
      <c r="DQ98" s="80"/>
      <c r="DR98" s="81"/>
      <c r="DS98" s="84">
        <f t="shared" si="12"/>
        <v>2014</v>
      </c>
      <c r="DT98" s="80"/>
      <c r="DU98" s="83">
        <f t="shared" si="16"/>
        <v>10.400690891099998</v>
      </c>
      <c r="DV98" s="83">
        <f t="shared" si="16"/>
        <v>403.17040645800012</v>
      </c>
      <c r="DW98" s="83">
        <f t="shared" si="16"/>
        <v>520.08311407980011</v>
      </c>
      <c r="DX98" s="83">
        <f t="shared" si="16"/>
        <v>919.06274796269997</v>
      </c>
      <c r="DY98" s="83">
        <f t="shared" si="16"/>
        <v>1176.5233044537001</v>
      </c>
      <c r="DZ98" s="83">
        <f t="shared" si="16"/>
        <v>1002.0992779071</v>
      </c>
      <c r="EA98" s="83">
        <f t="shared" si="16"/>
        <v>1073.0788168818001</v>
      </c>
      <c r="EB98" s="83">
        <f t="shared" si="16"/>
        <v>1175.5980086118</v>
      </c>
      <c r="EC98" s="83">
        <f t="shared" si="16"/>
        <v>966.63260610360021</v>
      </c>
      <c r="ED98" s="83">
        <f t="shared" si="16"/>
        <v>769.31576117810005</v>
      </c>
    </row>
    <row r="99" spans="2:134" x14ac:dyDescent="0.3">
      <c r="B99" s="45">
        <f t="shared" si="13"/>
        <v>1000000095</v>
      </c>
      <c r="C99" s="46">
        <v>41883</v>
      </c>
      <c r="D99" s="66">
        <v>-8</v>
      </c>
      <c r="E99" s="66">
        <v>-8</v>
      </c>
      <c r="F99" s="66">
        <v>-8</v>
      </c>
      <c r="G99" s="66">
        <v>-8</v>
      </c>
      <c r="H99" s="66">
        <v>-8</v>
      </c>
      <c r="I99" s="66">
        <v>-8</v>
      </c>
      <c r="J99" s="66">
        <v>-8</v>
      </c>
      <c r="K99" s="66">
        <v>-8</v>
      </c>
      <c r="L99" s="66">
        <v>-0.13065100999999935</v>
      </c>
      <c r="M99" s="66">
        <v>8.6041762621000011</v>
      </c>
      <c r="N99" s="66">
        <v>9.2262188413000032</v>
      </c>
      <c r="O99" s="66">
        <v>13.074957193300001</v>
      </c>
      <c r="P99" s="66">
        <v>17.985213308200002</v>
      </c>
      <c r="Q99" s="66">
        <v>110.94102575680003</v>
      </c>
      <c r="R99" s="66">
        <v>36.448162074700001</v>
      </c>
      <c r="S99" s="66">
        <v>36.083852871100007</v>
      </c>
      <c r="T99" s="66">
        <v>32.073149281900001</v>
      </c>
      <c r="U99" s="66">
        <v>21.603650302300004</v>
      </c>
      <c r="V99" s="66">
        <v>33.487455551500005</v>
      </c>
      <c r="W99" s="66">
        <v>36.158268317200005</v>
      </c>
      <c r="X99" s="66">
        <v>37.935795516100008</v>
      </c>
      <c r="Y99" s="66">
        <v>30.131067503499999</v>
      </c>
      <c r="Z99" s="66">
        <v>25.292712545800001</v>
      </c>
      <c r="AA99" s="66">
        <v>25.466611273600002</v>
      </c>
      <c r="AB99" s="66">
        <v>21.524956812400003</v>
      </c>
      <c r="AC99" s="66">
        <v>77.626097404600003</v>
      </c>
      <c r="AD99" s="66">
        <v>63.496919587600004</v>
      </c>
      <c r="AE99" s="66">
        <v>59.390072593000014</v>
      </c>
      <c r="AF99" s="66">
        <v>47.370120476200015</v>
      </c>
      <c r="AG99" s="66">
        <v>56.491510285000004</v>
      </c>
      <c r="AH99" s="66">
        <v>53.513128686100011</v>
      </c>
      <c r="AI99" s="66">
        <v>65.398735216899993</v>
      </c>
      <c r="AJ99" s="66">
        <v>54.158550399399999</v>
      </c>
      <c r="AK99" s="66">
        <v>53.2604989417</v>
      </c>
      <c r="AL99" s="66">
        <v>63.682001271999994</v>
      </c>
      <c r="AM99" s="66">
        <v>51.202947507400012</v>
      </c>
      <c r="AN99" s="66">
        <v>55.775500849000011</v>
      </c>
      <c r="AO99" s="66">
        <v>130.5605098906</v>
      </c>
      <c r="AP99" s="66">
        <v>127.136273569</v>
      </c>
      <c r="AQ99" s="66">
        <v>98.311527451900005</v>
      </c>
      <c r="AR99" s="66">
        <v>74.634243720399994</v>
      </c>
      <c r="AS99" s="66">
        <v>84.02511276189999</v>
      </c>
      <c r="AT99" s="66">
        <v>80.705613460000023</v>
      </c>
      <c r="AU99" s="66">
        <v>84.969847434400009</v>
      </c>
      <c r="AV99" s="66">
        <v>71.214435549400008</v>
      </c>
      <c r="AW99" s="66">
        <v>71.28277167009999</v>
      </c>
      <c r="AX99" s="66">
        <v>69.1153420582</v>
      </c>
      <c r="AY99" s="66">
        <v>65.742479788899999</v>
      </c>
      <c r="AZ99" s="66">
        <v>77.922408227800005</v>
      </c>
      <c r="BA99" s="66">
        <v>145.74621441939999</v>
      </c>
      <c r="BB99" s="66">
        <v>124.48204760470003</v>
      </c>
      <c r="BC99" s="66">
        <v>113.16966141640002</v>
      </c>
      <c r="BD99" s="66">
        <v>103.38858974830001</v>
      </c>
      <c r="BE99" s="66">
        <v>94.352272968399987</v>
      </c>
      <c r="BF99" s="66">
        <v>99.251383653400012</v>
      </c>
      <c r="BG99" s="66">
        <v>95.792622767799983</v>
      </c>
      <c r="BH99" s="66">
        <v>105.080330911</v>
      </c>
      <c r="BI99" s="66">
        <v>114.2888201905</v>
      </c>
      <c r="BJ99" s="66">
        <v>94.124410846000004</v>
      </c>
      <c r="BK99" s="66">
        <v>92.254680545199989</v>
      </c>
      <c r="BL99" s="66">
        <v>110.68689494440002</v>
      </c>
      <c r="BM99" s="66">
        <v>176.47780474360002</v>
      </c>
      <c r="BN99" s="66">
        <v>174.35593254550005</v>
      </c>
      <c r="BO99" s="66">
        <v>134.82616987960003</v>
      </c>
      <c r="BP99" s="66">
        <v>151.54551558400001</v>
      </c>
      <c r="BQ99" s="66">
        <v>107.95296226930003</v>
      </c>
      <c r="BR99" s="66">
        <v>138.83540992750002</v>
      </c>
      <c r="BS99" s="66">
        <v>113.75804254570002</v>
      </c>
      <c r="BT99" s="66">
        <v>124.2976789276</v>
      </c>
      <c r="BU99" s="66">
        <v>100.03760554510001</v>
      </c>
      <c r="BV99" s="66">
        <v>104.4379488604</v>
      </c>
      <c r="BW99" s="66">
        <v>104.36308309390002</v>
      </c>
      <c r="BX99" s="66">
        <v>136.97997729940002</v>
      </c>
      <c r="BY99" s="66">
        <v>179.8877433925</v>
      </c>
      <c r="BZ99" s="66">
        <v>178.93636649409999</v>
      </c>
      <c r="CA99" s="66">
        <v>106.84671268</v>
      </c>
      <c r="CB99" s="66">
        <v>114.57270967600002</v>
      </c>
      <c r="CC99" s="66">
        <v>155.54192150050002</v>
      </c>
      <c r="CD99" s="66">
        <v>110.54980990930002</v>
      </c>
      <c r="CE99" s="66">
        <v>127.76146839100002</v>
      </c>
      <c r="CF99" s="66">
        <v>178.32899685460001</v>
      </c>
      <c r="CG99" s="66">
        <v>176.49683078050003</v>
      </c>
      <c r="CH99" s="66">
        <v>126.82870473580002</v>
      </c>
      <c r="CI99" s="66">
        <v>112.67235758800003</v>
      </c>
      <c r="CJ99" s="66">
        <v>124.82597981020001</v>
      </c>
      <c r="CK99" s="66">
        <v>197.30088272649999</v>
      </c>
      <c r="CL99" s="66">
        <v>224.40045139120002</v>
      </c>
      <c r="CM99" s="66">
        <v>211.77733262529995</v>
      </c>
      <c r="CN99" s="66">
        <v>169.86424924240001</v>
      </c>
      <c r="CO99" s="66">
        <v>134.51766287889998</v>
      </c>
      <c r="CP99" s="66">
        <v>75.039269393500007</v>
      </c>
      <c r="CQ99" s="66">
        <v>70.834852978899988</v>
      </c>
      <c r="CR99" s="66">
        <v>66.6235691782</v>
      </c>
      <c r="CS99" s="66">
        <v>64.280739770499991</v>
      </c>
      <c r="CT99" s="66">
        <v>67.967362778500004</v>
      </c>
      <c r="CU99" s="66">
        <v>98.647916790700009</v>
      </c>
      <c r="CV99" s="66">
        <v>114.07852056369997</v>
      </c>
      <c r="CW99" s="66">
        <v>133.30952829910004</v>
      </c>
      <c r="CX99" s="66">
        <v>156.18280248310001</v>
      </c>
      <c r="CY99" s="66">
        <v>127.8141558778</v>
      </c>
      <c r="CZ99" s="66">
        <v>90.478992154599993</v>
      </c>
      <c r="DA99" s="66">
        <v>86.230481867500004</v>
      </c>
      <c r="DB99" s="66">
        <v>69.082431142299995</v>
      </c>
      <c r="DC99" s="66">
        <v>81.762778125699995</v>
      </c>
      <c r="DD99" s="66">
        <v>113.6119511026</v>
      </c>
      <c r="DE99" s="66">
        <v>89.067237700600003</v>
      </c>
      <c r="DF99" s="66">
        <v>82.266799233400008</v>
      </c>
      <c r="DG99" s="66">
        <v>76.774729161700009</v>
      </c>
      <c r="DH99" s="66">
        <v>89.948627303500004</v>
      </c>
      <c r="DI99" s="66">
        <v>83.954600092600003</v>
      </c>
      <c r="DJ99" s="66">
        <v>139.0941940507</v>
      </c>
      <c r="DK99" s="66">
        <v>99.233070623800018</v>
      </c>
      <c r="DL99" s="66">
        <v>65.974357268200009</v>
      </c>
      <c r="DM99" s="66">
        <v>77.331250122700013</v>
      </c>
      <c r="DN99" s="66">
        <v>84.274402629999997</v>
      </c>
      <c r="DO99" s="66">
        <v>80.937153198999994</v>
      </c>
      <c r="DP99" s="79"/>
      <c r="DQ99" s="80"/>
      <c r="DR99" s="81"/>
      <c r="DS99" s="84">
        <f t="shared" si="12"/>
        <v>2014</v>
      </c>
      <c r="DT99" s="80"/>
      <c r="DU99" s="83">
        <f t="shared" si="16"/>
        <v>-33.225298713299992</v>
      </c>
      <c r="DV99" s="83">
        <f t="shared" si="16"/>
        <v>443.60696430270002</v>
      </c>
      <c r="DW99" s="83">
        <f t="shared" si="16"/>
        <v>667.11553918230004</v>
      </c>
      <c r="DX99" s="83">
        <f t="shared" si="16"/>
        <v>1013.4736582038</v>
      </c>
      <c r="DY99" s="83">
        <f t="shared" si="16"/>
        <v>1259.8534432989002</v>
      </c>
      <c r="DZ99" s="83">
        <f t="shared" si="16"/>
        <v>1541.5750488665999</v>
      </c>
      <c r="EA99" s="83">
        <f t="shared" si="16"/>
        <v>1705.4035993017003</v>
      </c>
      <c r="EB99" s="83">
        <f t="shared" si="16"/>
        <v>1506.0802695648003</v>
      </c>
      <c r="EC99" s="83">
        <f t="shared" si="16"/>
        <v>1220.6604077120999</v>
      </c>
      <c r="ED99" s="83">
        <f t="shared" si="16"/>
        <v>720.74765529050001</v>
      </c>
    </row>
    <row r="100" spans="2:134" x14ac:dyDescent="0.3">
      <c r="B100" s="45">
        <f t="shared" si="13"/>
        <v>1000000096</v>
      </c>
      <c r="C100" s="46">
        <v>39356</v>
      </c>
      <c r="D100" s="66">
        <v>8.084318887000002</v>
      </c>
      <c r="E100" s="66">
        <v>29.537245002700011</v>
      </c>
      <c r="F100" s="66">
        <v>28.060043983900002</v>
      </c>
      <c r="G100" s="66">
        <v>20.9091061387</v>
      </c>
      <c r="H100" s="66">
        <v>14.0670130345</v>
      </c>
      <c r="I100" s="66">
        <v>16.677445339899997</v>
      </c>
      <c r="J100" s="66">
        <v>23.172641629300006</v>
      </c>
      <c r="K100" s="66">
        <v>24.122329826200001</v>
      </c>
      <c r="L100" s="66">
        <v>32.430253359100007</v>
      </c>
      <c r="M100" s="66">
        <v>46.556429040099999</v>
      </c>
      <c r="N100" s="66">
        <v>32.509847489800002</v>
      </c>
      <c r="O100" s="66">
        <v>23.637634969</v>
      </c>
      <c r="P100" s="66">
        <v>31.836318278199997</v>
      </c>
      <c r="Q100" s="66">
        <v>187.82557861000001</v>
      </c>
      <c r="R100" s="66">
        <v>69.973877900799991</v>
      </c>
      <c r="S100" s="66">
        <v>51.035578425400004</v>
      </c>
      <c r="T100" s="66">
        <v>17.985213308200002</v>
      </c>
      <c r="U100" s="66">
        <v>31.754435018799995</v>
      </c>
      <c r="V100" s="66">
        <v>28.025444366500004</v>
      </c>
      <c r="W100" s="66">
        <v>33.761025194500007</v>
      </c>
      <c r="X100" s="66">
        <v>38.753614889200001</v>
      </c>
      <c r="Y100" s="66">
        <v>36.814948040499999</v>
      </c>
      <c r="Z100" s="66">
        <v>24.859767007899997</v>
      </c>
      <c r="AA100" s="66">
        <v>20.4829154068</v>
      </c>
      <c r="AB100" s="66">
        <v>25.777032135999995</v>
      </c>
      <c r="AC100" s="66">
        <v>84.285322899699992</v>
      </c>
      <c r="AD100" s="66">
        <v>59.159358441400002</v>
      </c>
      <c r="AE100" s="66">
        <v>48.0254117116</v>
      </c>
      <c r="AF100" s="66">
        <v>40.859350606300005</v>
      </c>
      <c r="AG100" s="66">
        <v>25.740893923900003</v>
      </c>
      <c r="AH100" s="66">
        <v>33.680793109900002</v>
      </c>
      <c r="AI100" s="66">
        <v>35.516073900099997</v>
      </c>
      <c r="AJ100" s="66">
        <v>43.851054183700008</v>
      </c>
      <c r="AK100" s="66">
        <v>47.372447131600005</v>
      </c>
      <c r="AL100" s="66">
        <v>33.227470573899993</v>
      </c>
      <c r="AM100" s="66">
        <v>26.229679191400002</v>
      </c>
      <c r="AN100" s="66">
        <v>31.805583910899998</v>
      </c>
      <c r="AO100" s="66">
        <v>63.891512838100013</v>
      </c>
      <c r="AP100" s="66">
        <v>72.153316056700021</v>
      </c>
      <c r="AQ100" s="66">
        <v>57.493435648299993</v>
      </c>
      <c r="AR100" s="66">
        <v>43.702148238100001</v>
      </c>
      <c r="AS100" s="66">
        <v>36.798811559500002</v>
      </c>
      <c r="AT100" s="66">
        <v>45.820830666699997</v>
      </c>
      <c r="AU100" s="66">
        <v>43.317724723300003</v>
      </c>
      <c r="AV100" s="66">
        <v>47.4905811832</v>
      </c>
      <c r="AW100" s="66">
        <v>47.253412439200012</v>
      </c>
      <c r="AX100" s="66">
        <v>42.800944537600003</v>
      </c>
      <c r="AY100" s="66">
        <v>32.705586757000006</v>
      </c>
      <c r="AZ100" s="66">
        <v>42.041404129600011</v>
      </c>
      <c r="BA100" s="66">
        <v>85.18029716800001</v>
      </c>
      <c r="BB100" s="66">
        <v>72.019270684300011</v>
      </c>
      <c r="BC100" s="66">
        <v>73.114524950499998</v>
      </c>
      <c r="BD100" s="66">
        <v>74.853174488199997</v>
      </c>
      <c r="BE100" s="66">
        <v>32.065906628800001</v>
      </c>
      <c r="BF100" s="66">
        <v>47.21791218100001</v>
      </c>
      <c r="BG100" s="66">
        <v>35.566622365000008</v>
      </c>
      <c r="BH100" s="66">
        <v>49.249194925299996</v>
      </c>
      <c r="BI100" s="66">
        <v>54.694168988500003</v>
      </c>
      <c r="BJ100" s="66">
        <v>57.359652962799998</v>
      </c>
      <c r="BK100" s="66">
        <v>41.183919034600009</v>
      </c>
      <c r="BL100" s="66">
        <v>49.117964055400002</v>
      </c>
      <c r="BM100" s="66">
        <v>134.89912178440005</v>
      </c>
      <c r="BN100" s="66">
        <v>105.95357722</v>
      </c>
      <c r="BO100" s="66">
        <v>121.0740978709</v>
      </c>
      <c r="BP100" s="66">
        <v>77.563315235500014</v>
      </c>
      <c r="BQ100" s="66">
        <v>50.870423418700007</v>
      </c>
      <c r="BR100" s="66">
        <v>52.944824341300006</v>
      </c>
      <c r="BS100" s="66">
        <v>48.952246148199997</v>
      </c>
      <c r="BT100" s="66">
        <v>38.682539319400007</v>
      </c>
      <c r="BU100" s="66">
        <v>53.636516475699992</v>
      </c>
      <c r="BV100" s="66">
        <v>68.092064002599997</v>
      </c>
      <c r="BW100" s="66">
        <v>49.1117346232</v>
      </c>
      <c r="BX100" s="66">
        <v>89.849406708700002</v>
      </c>
      <c r="BY100" s="66">
        <v>158.4075728926</v>
      </c>
      <c r="BZ100" s="66">
        <v>107.5029796096</v>
      </c>
      <c r="CA100" s="66">
        <v>81.346907236299998</v>
      </c>
      <c r="CB100" s="66">
        <v>79.438186694200013</v>
      </c>
      <c r="CC100" s="66">
        <v>98.353031982099992</v>
      </c>
      <c r="CD100" s="66">
        <v>100.1630948299</v>
      </c>
      <c r="CE100" s="66">
        <v>75.867258502300004</v>
      </c>
      <c r="CF100" s="66">
        <v>79.326619815100003</v>
      </c>
      <c r="CG100" s="66">
        <v>72.450339887199988</v>
      </c>
      <c r="CH100" s="66">
        <v>68.972515438000016</v>
      </c>
      <c r="CI100" s="66">
        <v>43.33806419470001</v>
      </c>
      <c r="CJ100" s="66">
        <v>40.704815655700003</v>
      </c>
      <c r="CK100" s="66">
        <v>331.59888487090001</v>
      </c>
      <c r="CL100" s="66">
        <v>86.274913480299986</v>
      </c>
      <c r="CM100" s="66">
        <v>81.851153504200013</v>
      </c>
      <c r="CN100" s="66">
        <v>75.2473174183</v>
      </c>
      <c r="CO100" s="66">
        <v>47.441346152800001</v>
      </c>
      <c r="CP100" s="66">
        <v>52.922946275200012</v>
      </c>
      <c r="CQ100" s="66">
        <v>90.425629187200002</v>
      </c>
      <c r="CR100" s="66">
        <v>100.15326283450003</v>
      </c>
      <c r="CS100" s="66">
        <v>115.587056377</v>
      </c>
      <c r="CT100" s="66">
        <v>122.44956400600003</v>
      </c>
      <c r="CU100" s="66">
        <v>66.224772937300031</v>
      </c>
      <c r="CV100" s="66">
        <v>86.854438308399992</v>
      </c>
      <c r="CW100" s="66">
        <v>139.87538736460004</v>
      </c>
      <c r="CX100" s="66">
        <v>149.8335850567</v>
      </c>
      <c r="CY100" s="66">
        <v>88.851984549400001</v>
      </c>
      <c r="CZ100" s="66">
        <v>66.30523018209999</v>
      </c>
      <c r="DA100" s="66">
        <v>30.185631325300001</v>
      </c>
      <c r="DB100" s="66">
        <v>40.886219723499991</v>
      </c>
      <c r="DC100" s="66">
        <v>67.727342005299988</v>
      </c>
      <c r="DD100" s="66">
        <v>92.362719914499991</v>
      </c>
      <c r="DE100" s="66">
        <v>72.110423038600004</v>
      </c>
      <c r="DF100" s="66">
        <v>93.683171907400009</v>
      </c>
      <c r="DG100" s="66">
        <v>45.766979852200002</v>
      </c>
      <c r="DH100" s="66">
        <v>80.468594822800014</v>
      </c>
      <c r="DI100" s="66">
        <v>121.43491709140002</v>
      </c>
      <c r="DJ100" s="66">
        <v>138.25922497570002</v>
      </c>
      <c r="DK100" s="66">
        <v>103.0148988697</v>
      </c>
      <c r="DL100" s="66">
        <v>90.722803124500004</v>
      </c>
      <c r="DM100" s="66">
        <v>76.205336542600008</v>
      </c>
      <c r="DN100" s="66">
        <v>70.153968534100017</v>
      </c>
      <c r="DO100" s="66">
        <v>109.04164936299999</v>
      </c>
      <c r="DP100" s="79"/>
      <c r="DQ100" s="80"/>
      <c r="DR100" s="81"/>
      <c r="DS100" s="84">
        <f t="shared" si="12"/>
        <v>2007</v>
      </c>
      <c r="DT100" s="80"/>
      <c r="DU100" s="83">
        <f t="shared" si="16"/>
        <v>299.76430870019999</v>
      </c>
      <c r="DV100" s="83">
        <f t="shared" si="16"/>
        <v>573.10871644679992</v>
      </c>
      <c r="DW100" s="83">
        <f t="shared" si="16"/>
        <v>503.72488780949993</v>
      </c>
      <c r="DX100" s="83">
        <f t="shared" si="16"/>
        <v>565.23388855860003</v>
      </c>
      <c r="DY100" s="83">
        <f t="shared" si="16"/>
        <v>664.54604850660007</v>
      </c>
      <c r="DZ100" s="83">
        <f t="shared" si="16"/>
        <v>850.89842449529999</v>
      </c>
      <c r="EA100" s="83">
        <f t="shared" si="16"/>
        <v>1055.0159777907002</v>
      </c>
      <c r="EB100" s="83">
        <f t="shared" si="16"/>
        <v>1210.8816626993998</v>
      </c>
      <c r="EC100" s="83">
        <f t="shared" si="16"/>
        <v>974.44311322800024</v>
      </c>
      <c r="ED100" s="83">
        <f t="shared" si="16"/>
        <v>789.3013933238002</v>
      </c>
    </row>
    <row r="101" spans="2:134" x14ac:dyDescent="0.3">
      <c r="B101" s="45">
        <f t="shared" si="13"/>
        <v>1000000097</v>
      </c>
      <c r="C101" s="46">
        <v>42917</v>
      </c>
      <c r="D101" s="66">
        <v>-8</v>
      </c>
      <c r="E101" s="66">
        <v>-8</v>
      </c>
      <c r="F101" s="66">
        <v>-8</v>
      </c>
      <c r="G101" s="66">
        <v>-8</v>
      </c>
      <c r="H101" s="66">
        <v>-8</v>
      </c>
      <c r="I101" s="66">
        <v>-8</v>
      </c>
      <c r="J101" s="66">
        <v>-8</v>
      </c>
      <c r="K101" s="66">
        <v>-8</v>
      </c>
      <c r="L101" s="66">
        <v>-8</v>
      </c>
      <c r="M101" s="66">
        <v>-8</v>
      </c>
      <c r="N101" s="66">
        <v>-8</v>
      </c>
      <c r="O101" s="66">
        <v>-8</v>
      </c>
      <c r="P101" s="66">
        <v>-8</v>
      </c>
      <c r="Q101" s="66">
        <v>-8</v>
      </c>
      <c r="R101" s="66">
        <v>-8</v>
      </c>
      <c r="S101" s="66">
        <v>-8</v>
      </c>
      <c r="T101" s="66">
        <v>-8</v>
      </c>
      <c r="U101" s="66">
        <v>-8</v>
      </c>
      <c r="V101" s="66">
        <v>-8</v>
      </c>
      <c r="W101" s="66">
        <v>-8</v>
      </c>
      <c r="X101" s="66">
        <v>-8</v>
      </c>
      <c r="Y101" s="66">
        <v>-8</v>
      </c>
      <c r="Z101" s="66">
        <v>-8</v>
      </c>
      <c r="AA101" s="66">
        <v>-8</v>
      </c>
      <c r="AB101" s="66">
        <v>-8</v>
      </c>
      <c r="AC101" s="66">
        <v>-8</v>
      </c>
      <c r="AD101" s="66">
        <v>-8</v>
      </c>
      <c r="AE101" s="66">
        <v>-8</v>
      </c>
      <c r="AF101" s="66">
        <v>-8</v>
      </c>
      <c r="AG101" s="66">
        <v>-8</v>
      </c>
      <c r="AH101" s="66">
        <v>-8</v>
      </c>
      <c r="AI101" s="66">
        <v>-8</v>
      </c>
      <c r="AJ101" s="66">
        <v>-8</v>
      </c>
      <c r="AK101" s="66">
        <v>-8</v>
      </c>
      <c r="AL101" s="66">
        <v>-8</v>
      </c>
      <c r="AM101" s="66">
        <v>-8</v>
      </c>
      <c r="AN101" s="66">
        <v>-8</v>
      </c>
      <c r="AO101" s="66">
        <v>-8</v>
      </c>
      <c r="AP101" s="66">
        <v>-8</v>
      </c>
      <c r="AQ101" s="66">
        <v>-8</v>
      </c>
      <c r="AR101" s="66">
        <v>-8</v>
      </c>
      <c r="AS101" s="66">
        <v>-8</v>
      </c>
      <c r="AT101" s="66">
        <v>2.2615260082000006</v>
      </c>
      <c r="AU101" s="66">
        <v>24.331015804900005</v>
      </c>
      <c r="AV101" s="66">
        <v>27.510953309500003</v>
      </c>
      <c r="AW101" s="66">
        <v>35.756920260700007</v>
      </c>
      <c r="AX101" s="66">
        <v>31.9931048308</v>
      </c>
      <c r="AY101" s="66">
        <v>32.511198450999998</v>
      </c>
      <c r="AZ101" s="66">
        <v>38.047962822399995</v>
      </c>
      <c r="BA101" s="66">
        <v>102.57009489460002</v>
      </c>
      <c r="BB101" s="66">
        <v>81.973603126300006</v>
      </c>
      <c r="BC101" s="66">
        <v>73.765875882399996</v>
      </c>
      <c r="BD101" s="66">
        <v>65.238496207900013</v>
      </c>
      <c r="BE101" s="66">
        <v>65.669452830699996</v>
      </c>
      <c r="BF101" s="66">
        <v>41.517531397599996</v>
      </c>
      <c r="BG101" s="66">
        <v>58.279920226900003</v>
      </c>
      <c r="BH101" s="66">
        <v>35.496635069499995</v>
      </c>
      <c r="BI101" s="66">
        <v>48.274926739900003</v>
      </c>
      <c r="BJ101" s="66">
        <v>37.189539559899998</v>
      </c>
      <c r="BK101" s="66">
        <v>41.656267607500006</v>
      </c>
      <c r="BL101" s="66">
        <v>61.894529497600004</v>
      </c>
      <c r="BM101" s="66">
        <v>89.379009524200001</v>
      </c>
      <c r="BN101" s="66">
        <v>74.214845321200016</v>
      </c>
      <c r="BO101" s="66">
        <v>66.368425144900002</v>
      </c>
      <c r="BP101" s="66">
        <v>66.335176488700014</v>
      </c>
      <c r="BQ101" s="66">
        <v>59.835889789000007</v>
      </c>
      <c r="BR101" s="66">
        <v>51.851258776600005</v>
      </c>
      <c r="BS101" s="66">
        <v>47.569537360000005</v>
      </c>
      <c r="BT101" s="66">
        <v>39.749911247500002</v>
      </c>
      <c r="BU101" s="66">
        <v>65.276210541400005</v>
      </c>
      <c r="BV101" s="66">
        <v>59.1884041072</v>
      </c>
      <c r="BW101" s="66">
        <v>40.330711983400008</v>
      </c>
      <c r="BX101" s="66">
        <v>55.360493073700013</v>
      </c>
      <c r="BY101" s="66">
        <v>71.357412276400026</v>
      </c>
      <c r="BZ101" s="66">
        <v>67.023303586599994</v>
      </c>
      <c r="CA101" s="66">
        <v>37.316830126299998</v>
      </c>
      <c r="CB101" s="66">
        <v>42.356816043099997</v>
      </c>
      <c r="CC101" s="66">
        <v>44.823070767099999</v>
      </c>
      <c r="CD101" s="66">
        <v>61.00135651090001</v>
      </c>
      <c r="CE101" s="66">
        <v>50.612614989699999</v>
      </c>
      <c r="CF101" s="66">
        <v>32.471607782500001</v>
      </c>
      <c r="CG101" s="66">
        <v>45.897347608000004</v>
      </c>
      <c r="CH101" s="66">
        <v>45.341014280500005</v>
      </c>
      <c r="CI101" s="66">
        <v>43.278772008700017</v>
      </c>
      <c r="CJ101" s="66">
        <v>50.643349357000012</v>
      </c>
      <c r="CK101" s="66">
        <v>101.73219873700002</v>
      </c>
      <c r="CL101" s="66">
        <v>90.462855673600004</v>
      </c>
      <c r="CM101" s="66">
        <v>78.535894719399991</v>
      </c>
      <c r="CN101" s="66">
        <v>88.219321914100007</v>
      </c>
      <c r="CO101" s="66">
        <v>63.942061303000017</v>
      </c>
      <c r="CP101" s="66">
        <v>70.845247874800009</v>
      </c>
      <c r="CQ101" s="66">
        <v>67.888781868700008</v>
      </c>
      <c r="CR101" s="66">
        <v>61.610827645599997</v>
      </c>
      <c r="CS101" s="66">
        <v>82.039312378000005</v>
      </c>
      <c r="CT101" s="66">
        <v>45.779213556400002</v>
      </c>
      <c r="CU101" s="66">
        <v>70.791359533600001</v>
      </c>
      <c r="CV101" s="66">
        <v>71.012579430100004</v>
      </c>
      <c r="CW101" s="66">
        <v>83.006075223400003</v>
      </c>
      <c r="CX101" s="66">
        <v>62.908876198600012</v>
      </c>
      <c r="CY101" s="66">
        <v>68.141561719900011</v>
      </c>
      <c r="CZ101" s="66">
        <v>54.160651894600001</v>
      </c>
      <c r="DA101" s="66">
        <v>78.750284756500008</v>
      </c>
      <c r="DB101" s="66">
        <v>73.388920180899987</v>
      </c>
      <c r="DC101" s="66">
        <v>70.036660069900009</v>
      </c>
      <c r="DD101" s="66">
        <v>60.510769961799994</v>
      </c>
      <c r="DE101" s="66">
        <v>70.05654922090001</v>
      </c>
      <c r="DF101" s="66">
        <v>65.995259640100002</v>
      </c>
      <c r="DG101" s="66">
        <v>60.835225810000011</v>
      </c>
      <c r="DH101" s="66">
        <v>89.711983933300004</v>
      </c>
      <c r="DI101" s="66">
        <v>109.8882141883</v>
      </c>
      <c r="DJ101" s="66">
        <v>107.33350903240002</v>
      </c>
      <c r="DK101" s="66">
        <v>117.80938755100001</v>
      </c>
      <c r="DL101" s="66">
        <v>107.08451937789999</v>
      </c>
      <c r="DM101" s="66">
        <v>120.96395700639999</v>
      </c>
      <c r="DN101" s="66">
        <v>137.90966376520004</v>
      </c>
      <c r="DO101" s="66">
        <v>149.26839542800005</v>
      </c>
      <c r="DP101" s="79"/>
      <c r="DQ101" s="80"/>
      <c r="DR101" s="81"/>
      <c r="DS101" s="84">
        <f t="shared" si="12"/>
        <v>2017</v>
      </c>
      <c r="DT101" s="80"/>
      <c r="DU101" s="83">
        <f t="shared" si="16"/>
        <v>-96</v>
      </c>
      <c r="DV101" s="83">
        <f t="shared" si="16"/>
        <v>-96</v>
      </c>
      <c r="DW101" s="83">
        <f t="shared" si="16"/>
        <v>-96</v>
      </c>
      <c r="DX101" s="83">
        <f t="shared" si="16"/>
        <v>106.36471866510001</v>
      </c>
      <c r="DY101" s="83">
        <f t="shared" si="16"/>
        <v>689.68030636560013</v>
      </c>
      <c r="DZ101" s="83">
        <f t="shared" si="16"/>
        <v>721.99390978170004</v>
      </c>
      <c r="EA101" s="83">
        <f t="shared" si="16"/>
        <v>596.84063905350001</v>
      </c>
      <c r="EB101" s="83">
        <f t="shared" si="16"/>
        <v>872.49042456120014</v>
      </c>
      <c r="EC101" s="83">
        <f t="shared" si="16"/>
        <v>818.80341410669996</v>
      </c>
      <c r="ED101" s="83">
        <f t="shared" si="16"/>
        <v>939.96963028250025</v>
      </c>
    </row>
    <row r="102" spans="2:134" x14ac:dyDescent="0.3">
      <c r="B102" s="45">
        <f t="shared" si="13"/>
        <v>1000000098</v>
      </c>
      <c r="C102" s="46">
        <v>43800</v>
      </c>
      <c r="D102" s="66">
        <v>-8</v>
      </c>
      <c r="E102" s="66">
        <v>-8</v>
      </c>
      <c r="F102" s="66">
        <v>-8</v>
      </c>
      <c r="G102" s="66">
        <v>-8</v>
      </c>
      <c r="H102" s="66">
        <v>-8</v>
      </c>
      <c r="I102" s="66">
        <v>-8</v>
      </c>
      <c r="J102" s="66">
        <v>-8</v>
      </c>
      <c r="K102" s="66">
        <v>-8</v>
      </c>
      <c r="L102" s="66">
        <v>-8</v>
      </c>
      <c r="M102" s="66">
        <v>-8</v>
      </c>
      <c r="N102" s="66">
        <v>-8</v>
      </c>
      <c r="O102" s="66">
        <v>-8</v>
      </c>
      <c r="P102" s="66">
        <v>-8</v>
      </c>
      <c r="Q102" s="66">
        <v>-8</v>
      </c>
      <c r="R102" s="66">
        <v>-8</v>
      </c>
      <c r="S102" s="66">
        <v>-8</v>
      </c>
      <c r="T102" s="66">
        <v>-8</v>
      </c>
      <c r="U102" s="66">
        <v>-8</v>
      </c>
      <c r="V102" s="66">
        <v>-8</v>
      </c>
      <c r="W102" s="66">
        <v>-8</v>
      </c>
      <c r="X102" s="66">
        <v>-8</v>
      </c>
      <c r="Y102" s="66">
        <v>-8</v>
      </c>
      <c r="Z102" s="66">
        <v>-8</v>
      </c>
      <c r="AA102" s="66">
        <v>-8</v>
      </c>
      <c r="AB102" s="66">
        <v>-8</v>
      </c>
      <c r="AC102" s="66">
        <v>-8</v>
      </c>
      <c r="AD102" s="66">
        <v>-8</v>
      </c>
      <c r="AE102" s="66">
        <v>-8</v>
      </c>
      <c r="AF102" s="66">
        <v>-8</v>
      </c>
      <c r="AG102" s="66">
        <v>-8</v>
      </c>
      <c r="AH102" s="66">
        <v>-8</v>
      </c>
      <c r="AI102" s="66">
        <v>-8</v>
      </c>
      <c r="AJ102" s="66">
        <v>-8</v>
      </c>
      <c r="AK102" s="66">
        <v>-8</v>
      </c>
      <c r="AL102" s="66">
        <v>-8</v>
      </c>
      <c r="AM102" s="66">
        <v>-8</v>
      </c>
      <c r="AN102" s="66">
        <v>-8</v>
      </c>
      <c r="AO102" s="66">
        <v>-8</v>
      </c>
      <c r="AP102" s="66">
        <v>-8</v>
      </c>
      <c r="AQ102" s="66">
        <v>-8</v>
      </c>
      <c r="AR102" s="66">
        <v>-8</v>
      </c>
      <c r="AS102" s="66">
        <v>-8</v>
      </c>
      <c r="AT102" s="66">
        <v>-8</v>
      </c>
      <c r="AU102" s="66">
        <v>-8</v>
      </c>
      <c r="AV102" s="66">
        <v>-8</v>
      </c>
      <c r="AW102" s="66">
        <v>-8</v>
      </c>
      <c r="AX102" s="66">
        <v>-8</v>
      </c>
      <c r="AY102" s="66">
        <v>-8</v>
      </c>
      <c r="AZ102" s="66">
        <v>-8</v>
      </c>
      <c r="BA102" s="66">
        <v>-8</v>
      </c>
      <c r="BB102" s="66">
        <v>-8</v>
      </c>
      <c r="BC102" s="66">
        <v>-8</v>
      </c>
      <c r="BD102" s="66">
        <v>-8</v>
      </c>
      <c r="BE102" s="66">
        <v>-8</v>
      </c>
      <c r="BF102" s="66">
        <v>-8</v>
      </c>
      <c r="BG102" s="66">
        <v>-8</v>
      </c>
      <c r="BH102" s="66">
        <v>-8</v>
      </c>
      <c r="BI102" s="66">
        <v>-8</v>
      </c>
      <c r="BJ102" s="66">
        <v>-8</v>
      </c>
      <c r="BK102" s="66">
        <v>-8</v>
      </c>
      <c r="BL102" s="66">
        <v>-8</v>
      </c>
      <c r="BM102" s="66">
        <v>-8</v>
      </c>
      <c r="BN102" s="66">
        <v>-8</v>
      </c>
      <c r="BO102" s="66">
        <v>-8</v>
      </c>
      <c r="BP102" s="66">
        <v>-8</v>
      </c>
      <c r="BQ102" s="66">
        <v>-8</v>
      </c>
      <c r="BR102" s="66">
        <v>-8</v>
      </c>
      <c r="BS102" s="66">
        <v>-8</v>
      </c>
      <c r="BT102" s="66">
        <v>-8</v>
      </c>
      <c r="BU102" s="66">
        <v>-8</v>
      </c>
      <c r="BV102" s="66">
        <v>-8</v>
      </c>
      <c r="BW102" s="66">
        <v>6.1830661582000008</v>
      </c>
      <c r="BX102" s="66">
        <v>31.762278099100001</v>
      </c>
      <c r="BY102" s="66">
        <v>50.368466279500005</v>
      </c>
      <c r="BZ102" s="66">
        <v>43.014584040700001</v>
      </c>
      <c r="CA102" s="66">
        <v>51.065449678600004</v>
      </c>
      <c r="CB102" s="66">
        <v>45.478474582600008</v>
      </c>
      <c r="CC102" s="66">
        <v>36.375848123800004</v>
      </c>
      <c r="CD102" s="66">
        <v>66.040779527200002</v>
      </c>
      <c r="CE102" s="66">
        <v>65.70592878310002</v>
      </c>
      <c r="CF102" s="66">
        <v>45.988387382200003</v>
      </c>
      <c r="CG102" s="66">
        <v>70.253376762400009</v>
      </c>
      <c r="CH102" s="66">
        <v>49.521638767299997</v>
      </c>
      <c r="CI102" s="66">
        <v>43.805721930099999</v>
      </c>
      <c r="CJ102" s="66">
        <v>63.678023441800008</v>
      </c>
      <c r="CK102" s="66">
        <v>93.892570893400006</v>
      </c>
      <c r="CL102" s="66">
        <v>106.87467007150001</v>
      </c>
      <c r="CM102" s="66">
        <v>100.7419817041</v>
      </c>
      <c r="CN102" s="66">
        <v>101.16183042370001</v>
      </c>
      <c r="CO102" s="66">
        <v>70.317209679100003</v>
      </c>
      <c r="CP102" s="66">
        <v>72.978715823199991</v>
      </c>
      <c r="CQ102" s="66">
        <v>67.441200917800003</v>
      </c>
      <c r="CR102" s="66">
        <v>60.887312869600009</v>
      </c>
      <c r="CS102" s="66">
        <v>50.7954825988</v>
      </c>
      <c r="CT102" s="66">
        <v>70.364756007999986</v>
      </c>
      <c r="CU102" s="66">
        <v>64.396922433700013</v>
      </c>
      <c r="CV102" s="66">
        <v>92.001300266800015</v>
      </c>
      <c r="CW102" s="66">
        <v>95.022499830399994</v>
      </c>
      <c r="CX102" s="66">
        <v>92.325568481499985</v>
      </c>
      <c r="CY102" s="66">
        <v>113.20748833</v>
      </c>
      <c r="CZ102" s="66">
        <v>71.972474889400004</v>
      </c>
      <c r="DA102" s="66">
        <v>70.160873446900013</v>
      </c>
      <c r="DB102" s="66">
        <v>77.678672311300005</v>
      </c>
      <c r="DC102" s="66">
        <v>77.044208394400002</v>
      </c>
      <c r="DD102" s="66">
        <v>79.373828403700003</v>
      </c>
      <c r="DE102" s="66">
        <v>70.900787390799991</v>
      </c>
      <c r="DF102" s="66">
        <v>81.141598660600025</v>
      </c>
      <c r="DG102" s="66">
        <v>61.266445119699995</v>
      </c>
      <c r="DH102" s="66">
        <v>90.540160675599992</v>
      </c>
      <c r="DI102" s="66">
        <v>121.35018180279999</v>
      </c>
      <c r="DJ102" s="66">
        <v>115.97677115649999</v>
      </c>
      <c r="DK102" s="66">
        <v>111.51289513810002</v>
      </c>
      <c r="DL102" s="66">
        <v>85.486740200199989</v>
      </c>
      <c r="DM102" s="66">
        <v>76.528178742700007</v>
      </c>
      <c r="DN102" s="66">
        <v>107.50860861460001</v>
      </c>
      <c r="DO102" s="66">
        <v>117.34248034960001</v>
      </c>
      <c r="DP102" s="79"/>
      <c r="DQ102" s="80"/>
      <c r="DR102" s="81"/>
      <c r="DS102" s="84">
        <f t="shared" si="12"/>
        <v>2019</v>
      </c>
      <c r="DT102" s="80"/>
      <c r="DU102" s="83">
        <f t="shared" si="16"/>
        <v>-96</v>
      </c>
      <c r="DV102" s="83">
        <f t="shared" si="16"/>
        <v>-96</v>
      </c>
      <c r="DW102" s="83">
        <f t="shared" si="16"/>
        <v>-96</v>
      </c>
      <c r="DX102" s="83">
        <f t="shared" si="16"/>
        <v>-96</v>
      </c>
      <c r="DY102" s="83">
        <f t="shared" si="16"/>
        <v>-96</v>
      </c>
      <c r="DZ102" s="83">
        <f t="shared" si="16"/>
        <v>-81.816933841799994</v>
      </c>
      <c r="EA102" s="83">
        <f t="shared" si="16"/>
        <v>599.38093395660019</v>
      </c>
      <c r="EB102" s="83">
        <f t="shared" si="16"/>
        <v>923.5306768646999</v>
      </c>
      <c r="EC102" s="83">
        <f t="shared" si="16"/>
        <v>982.09574552550021</v>
      </c>
      <c r="ED102" s="83">
        <f t="shared" si="16"/>
        <v>826.24601668009996</v>
      </c>
    </row>
    <row r="103" spans="2:134" x14ac:dyDescent="0.3">
      <c r="B103" s="45">
        <f t="shared" si="13"/>
        <v>1000000099</v>
      </c>
      <c r="C103" s="46">
        <v>42705</v>
      </c>
      <c r="D103" s="66">
        <v>-8</v>
      </c>
      <c r="E103" s="66">
        <v>-8</v>
      </c>
      <c r="F103" s="66">
        <v>-8</v>
      </c>
      <c r="G103" s="66">
        <v>-8</v>
      </c>
      <c r="H103" s="66">
        <v>-8</v>
      </c>
      <c r="I103" s="66">
        <v>-8</v>
      </c>
      <c r="J103" s="66">
        <v>-8</v>
      </c>
      <c r="K103" s="66">
        <v>-8</v>
      </c>
      <c r="L103" s="66">
        <v>-8</v>
      </c>
      <c r="M103" s="66">
        <v>-8</v>
      </c>
      <c r="N103" s="66">
        <v>-8</v>
      </c>
      <c r="O103" s="66">
        <v>-8</v>
      </c>
      <c r="P103" s="66">
        <v>-8</v>
      </c>
      <c r="Q103" s="66">
        <v>-8</v>
      </c>
      <c r="R103" s="66">
        <v>-8</v>
      </c>
      <c r="S103" s="66">
        <v>-8</v>
      </c>
      <c r="T103" s="66">
        <v>-8</v>
      </c>
      <c r="U103" s="66">
        <v>-8</v>
      </c>
      <c r="V103" s="66">
        <v>-8</v>
      </c>
      <c r="W103" s="66">
        <v>-8</v>
      </c>
      <c r="X103" s="66">
        <v>-8</v>
      </c>
      <c r="Y103" s="66">
        <v>-8</v>
      </c>
      <c r="Z103" s="66">
        <v>-8</v>
      </c>
      <c r="AA103" s="66">
        <v>-8</v>
      </c>
      <c r="AB103" s="66">
        <v>-8</v>
      </c>
      <c r="AC103" s="66">
        <v>-8</v>
      </c>
      <c r="AD103" s="66">
        <v>-8</v>
      </c>
      <c r="AE103" s="66">
        <v>-8</v>
      </c>
      <c r="AF103" s="66">
        <v>-8</v>
      </c>
      <c r="AG103" s="66">
        <v>-8</v>
      </c>
      <c r="AH103" s="66">
        <v>-8</v>
      </c>
      <c r="AI103" s="66">
        <v>-8</v>
      </c>
      <c r="AJ103" s="66">
        <v>-8</v>
      </c>
      <c r="AK103" s="66">
        <v>-8</v>
      </c>
      <c r="AL103" s="66">
        <v>-8</v>
      </c>
      <c r="AM103" s="66">
        <v>-7.00929512</v>
      </c>
      <c r="AN103" s="66">
        <v>-6.05236427</v>
      </c>
      <c r="AO103" s="66">
        <v>-4.2173461667000005</v>
      </c>
      <c r="AP103" s="66">
        <v>-2.6903472169999993</v>
      </c>
      <c r="AQ103" s="66">
        <v>-4.3548815221999995</v>
      </c>
      <c r="AR103" s="66">
        <v>-5.7127476349999995</v>
      </c>
      <c r="AS103" s="66">
        <v>-1.1749064908999998</v>
      </c>
      <c r="AT103" s="66">
        <v>7.5025799836000004</v>
      </c>
      <c r="AU103" s="66">
        <v>11.5485211441</v>
      </c>
      <c r="AV103" s="66">
        <v>10.425572173300004</v>
      </c>
      <c r="AW103" s="66">
        <v>15.536183339500003</v>
      </c>
      <c r="AX103" s="66">
        <v>15.5629023499</v>
      </c>
      <c r="AY103" s="66">
        <v>5.7050510536000001</v>
      </c>
      <c r="AZ103" s="66">
        <v>18.794589173799999</v>
      </c>
      <c r="BA103" s="66">
        <v>22.121406182200001</v>
      </c>
      <c r="BB103" s="66">
        <v>12.326036841400004</v>
      </c>
      <c r="BC103" s="66">
        <v>19.7859695344</v>
      </c>
      <c r="BD103" s="66">
        <v>18.3048657388</v>
      </c>
      <c r="BE103" s="66">
        <v>9.0556975165000004</v>
      </c>
      <c r="BF103" s="66">
        <v>16.658757043300003</v>
      </c>
      <c r="BG103" s="66">
        <v>16.785146968900001</v>
      </c>
      <c r="BH103" s="66">
        <v>19.775311951599999</v>
      </c>
      <c r="BI103" s="66">
        <v>24.657160354600009</v>
      </c>
      <c r="BJ103" s="66">
        <v>27.969004209699996</v>
      </c>
      <c r="BK103" s="66">
        <v>13.899081052</v>
      </c>
      <c r="BL103" s="66">
        <v>22.3739233465</v>
      </c>
      <c r="BM103" s="66">
        <v>22.924027241800005</v>
      </c>
      <c r="BN103" s="66">
        <v>21.762200609800001</v>
      </c>
      <c r="BO103" s="66">
        <v>23.850861678400001</v>
      </c>
      <c r="BP103" s="66">
        <v>31.977531250299997</v>
      </c>
      <c r="BQ103" s="66">
        <v>19.463277441100001</v>
      </c>
      <c r="BR103" s="66">
        <v>18.900001674100004</v>
      </c>
      <c r="BS103" s="66">
        <v>19.405899116799997</v>
      </c>
      <c r="BT103" s="66">
        <v>19.133117534500002</v>
      </c>
      <c r="BU103" s="66">
        <v>19.661418417100002</v>
      </c>
      <c r="BV103" s="66">
        <v>26.995599138399996</v>
      </c>
      <c r="BW103" s="66">
        <v>25.0509655444</v>
      </c>
      <c r="BX103" s="66">
        <v>49.043586135999995</v>
      </c>
      <c r="BY103" s="66">
        <v>78.656242846300003</v>
      </c>
      <c r="BZ103" s="66">
        <v>32.943130767999996</v>
      </c>
      <c r="CA103" s="66">
        <v>23.3454145561</v>
      </c>
      <c r="CB103" s="66">
        <v>30.091289201499997</v>
      </c>
      <c r="CC103" s="66">
        <v>40.34204504680001</v>
      </c>
      <c r="CD103" s="66">
        <v>52.236695512300003</v>
      </c>
      <c r="CE103" s="66">
        <v>37.021082203600002</v>
      </c>
      <c r="CF103" s="66">
        <v>51.758117507199998</v>
      </c>
      <c r="CG103" s="66">
        <v>44.378754639100002</v>
      </c>
      <c r="CH103" s="66">
        <v>43.540933534900006</v>
      </c>
      <c r="CI103" s="66">
        <v>51.785061677800009</v>
      </c>
      <c r="CJ103" s="66">
        <v>92.710067049700015</v>
      </c>
      <c r="CK103" s="66">
        <v>88.265892548800011</v>
      </c>
      <c r="CL103" s="66">
        <v>96.113476052799967</v>
      </c>
      <c r="CM103" s="66">
        <v>79.874021788000022</v>
      </c>
      <c r="CN103" s="66">
        <v>53.927048187099992</v>
      </c>
      <c r="CO103" s="66">
        <v>45.773884764999998</v>
      </c>
      <c r="CP103" s="66">
        <v>66.273257433699996</v>
      </c>
      <c r="CQ103" s="66">
        <v>61.304121926500017</v>
      </c>
      <c r="CR103" s="66">
        <v>39.373368339700001</v>
      </c>
      <c r="CS103" s="66">
        <v>37.256937513099992</v>
      </c>
      <c r="CT103" s="66">
        <v>36.569823636100004</v>
      </c>
      <c r="CU103" s="66">
        <v>43.059616080699996</v>
      </c>
      <c r="CV103" s="66">
        <v>49.220862266800005</v>
      </c>
      <c r="CW103" s="66">
        <v>74.936221075300011</v>
      </c>
      <c r="CX103" s="66">
        <v>59.725823977900006</v>
      </c>
      <c r="CY103" s="66">
        <v>55.799255250100018</v>
      </c>
      <c r="CZ103" s="66">
        <v>16.434947804500002</v>
      </c>
      <c r="DA103" s="66">
        <v>69.493986461199995</v>
      </c>
      <c r="DB103" s="66">
        <v>60.71465252290001</v>
      </c>
      <c r="DC103" s="66">
        <v>51.099711555699997</v>
      </c>
      <c r="DD103" s="66">
        <v>68.592782760700004</v>
      </c>
      <c r="DE103" s="66">
        <v>90.635778707200004</v>
      </c>
      <c r="DF103" s="66">
        <v>88.583518537600014</v>
      </c>
      <c r="DG103" s="66">
        <v>87.949129674100007</v>
      </c>
      <c r="DH103" s="66">
        <v>64.307834047900002</v>
      </c>
      <c r="DI103" s="66">
        <v>97.412875567</v>
      </c>
      <c r="DJ103" s="66">
        <v>125.65603288750003</v>
      </c>
      <c r="DK103" s="66">
        <v>94.537467232900013</v>
      </c>
      <c r="DL103" s="66">
        <v>70.985072359000014</v>
      </c>
      <c r="DM103" s="66">
        <v>94.056862785999996</v>
      </c>
      <c r="DN103" s="66">
        <v>70.022212290400006</v>
      </c>
      <c r="DO103" s="66">
        <v>64.890398538699998</v>
      </c>
      <c r="DP103" s="79"/>
      <c r="DQ103" s="80"/>
      <c r="DR103" s="81"/>
      <c r="DS103" s="84">
        <f t="shared" si="12"/>
        <v>2016</v>
      </c>
      <c r="DT103" s="80"/>
      <c r="DU103" s="83">
        <f t="shared" si="16"/>
        <v>-96</v>
      </c>
      <c r="DV103" s="83">
        <f t="shared" si="16"/>
        <v>-96</v>
      </c>
      <c r="DW103" s="83">
        <f t="shared" si="16"/>
        <v>-95.009295120000004</v>
      </c>
      <c r="DX103" s="83">
        <f t="shared" si="16"/>
        <v>42.078216742200013</v>
      </c>
      <c r="DY103" s="83">
        <f t="shared" si="16"/>
        <v>220.13302656720003</v>
      </c>
      <c r="DZ103" s="83">
        <f t="shared" si="16"/>
        <v>271.49882299319995</v>
      </c>
      <c r="EA103" s="83">
        <f t="shared" si="16"/>
        <v>535.14235362960005</v>
      </c>
      <c r="EB103" s="83">
        <f t="shared" si="16"/>
        <v>740.50151532119992</v>
      </c>
      <c r="EC103" s="83">
        <f t="shared" si="16"/>
        <v>773.18667059400013</v>
      </c>
      <c r="ED103" s="83">
        <f t="shared" si="16"/>
        <v>681.86875570940003</v>
      </c>
    </row>
    <row r="104" spans="2:134" x14ac:dyDescent="0.3">
      <c r="B104" s="45">
        <f t="shared" si="13"/>
        <v>1000000100</v>
      </c>
      <c r="C104" s="46">
        <v>43160</v>
      </c>
      <c r="D104" s="66">
        <v>-8</v>
      </c>
      <c r="E104" s="66">
        <v>-8</v>
      </c>
      <c r="F104" s="66">
        <v>-8</v>
      </c>
      <c r="G104" s="66">
        <v>-8</v>
      </c>
      <c r="H104" s="66">
        <v>-8</v>
      </c>
      <c r="I104" s="66">
        <v>-8</v>
      </c>
      <c r="J104" s="66">
        <v>-8</v>
      </c>
      <c r="K104" s="66">
        <v>-8</v>
      </c>
      <c r="L104" s="66">
        <v>-8</v>
      </c>
      <c r="M104" s="66">
        <v>-8</v>
      </c>
      <c r="N104" s="66">
        <v>-8</v>
      </c>
      <c r="O104" s="66">
        <v>-8</v>
      </c>
      <c r="P104" s="66">
        <v>-8</v>
      </c>
      <c r="Q104" s="66">
        <v>-8</v>
      </c>
      <c r="R104" s="66">
        <v>-8</v>
      </c>
      <c r="S104" s="66">
        <v>-8</v>
      </c>
      <c r="T104" s="66">
        <v>-8</v>
      </c>
      <c r="U104" s="66">
        <v>-8</v>
      </c>
      <c r="V104" s="66">
        <v>-8</v>
      </c>
      <c r="W104" s="66">
        <v>-8</v>
      </c>
      <c r="X104" s="66">
        <v>-8</v>
      </c>
      <c r="Y104" s="66">
        <v>-8</v>
      </c>
      <c r="Z104" s="66">
        <v>-8</v>
      </c>
      <c r="AA104" s="66">
        <v>-8</v>
      </c>
      <c r="AB104" s="66">
        <v>-8</v>
      </c>
      <c r="AC104" s="66">
        <v>-8</v>
      </c>
      <c r="AD104" s="66">
        <v>-8</v>
      </c>
      <c r="AE104" s="66">
        <v>-8</v>
      </c>
      <c r="AF104" s="66">
        <v>-8</v>
      </c>
      <c r="AG104" s="66">
        <v>-8</v>
      </c>
      <c r="AH104" s="66">
        <v>-8</v>
      </c>
      <c r="AI104" s="66">
        <v>-8</v>
      </c>
      <c r="AJ104" s="66">
        <v>-8</v>
      </c>
      <c r="AK104" s="66">
        <v>-8</v>
      </c>
      <c r="AL104" s="66">
        <v>-8</v>
      </c>
      <c r="AM104" s="66">
        <v>-8</v>
      </c>
      <c r="AN104" s="66">
        <v>-8</v>
      </c>
      <c r="AO104" s="66">
        <v>-8</v>
      </c>
      <c r="AP104" s="66">
        <v>-8</v>
      </c>
      <c r="AQ104" s="66">
        <v>-8</v>
      </c>
      <c r="AR104" s="66">
        <v>-8</v>
      </c>
      <c r="AS104" s="66">
        <v>-8</v>
      </c>
      <c r="AT104" s="66">
        <v>-8</v>
      </c>
      <c r="AU104" s="66">
        <v>-8</v>
      </c>
      <c r="AV104" s="66">
        <v>-8</v>
      </c>
      <c r="AW104" s="66">
        <v>-8</v>
      </c>
      <c r="AX104" s="66">
        <v>-8</v>
      </c>
      <c r="AY104" s="66">
        <v>-8</v>
      </c>
      <c r="AZ104" s="66">
        <v>-8</v>
      </c>
      <c r="BA104" s="66">
        <v>-8</v>
      </c>
      <c r="BB104" s="66">
        <v>11.700804492699998</v>
      </c>
      <c r="BC104" s="66">
        <v>37.842053819500002</v>
      </c>
      <c r="BD104" s="66">
        <v>31.333460498199997</v>
      </c>
      <c r="BE104" s="66">
        <v>20.1748211998</v>
      </c>
      <c r="BF104" s="66">
        <v>36.121266990999999</v>
      </c>
      <c r="BG104" s="66">
        <v>25.287196120899999</v>
      </c>
      <c r="BH104" s="66">
        <v>24.377511386199998</v>
      </c>
      <c r="BI104" s="66">
        <v>34.572765242199999</v>
      </c>
      <c r="BJ104" s="66">
        <v>30.628033591599994</v>
      </c>
      <c r="BK104" s="66">
        <v>27.466671803499999</v>
      </c>
      <c r="BL104" s="66">
        <v>37.821901981600007</v>
      </c>
      <c r="BM104" s="66">
        <v>68.472547213899986</v>
      </c>
      <c r="BN104" s="66">
        <v>51.482634002499999</v>
      </c>
      <c r="BO104" s="66">
        <v>64.031112162100001</v>
      </c>
      <c r="BP104" s="66">
        <v>44.772447248800006</v>
      </c>
      <c r="BQ104" s="66">
        <v>49.453790493699998</v>
      </c>
      <c r="BR104" s="66">
        <v>46.951510137699998</v>
      </c>
      <c r="BS104" s="66">
        <v>56.590205506000004</v>
      </c>
      <c r="BT104" s="66">
        <v>41.202081957399997</v>
      </c>
      <c r="BU104" s="66">
        <v>50.27277319449999</v>
      </c>
      <c r="BV104" s="66">
        <v>41.091941092899994</v>
      </c>
      <c r="BW104" s="66">
        <v>49.279666605700001</v>
      </c>
      <c r="BX104" s="66">
        <v>54.372565169499993</v>
      </c>
      <c r="BY104" s="66">
        <v>73.684818210399996</v>
      </c>
      <c r="BZ104" s="66">
        <v>58.765177984600001</v>
      </c>
      <c r="CA104" s="66">
        <v>41.083460058699998</v>
      </c>
      <c r="CB104" s="66">
        <v>58.047930167499999</v>
      </c>
      <c r="CC104" s="66">
        <v>66.848391637900008</v>
      </c>
      <c r="CD104" s="66">
        <v>64.179079940199983</v>
      </c>
      <c r="CE104" s="66">
        <v>50.850984588100005</v>
      </c>
      <c r="CF104" s="66">
        <v>62.411797530400008</v>
      </c>
      <c r="CG104" s="66">
        <v>69.879911043999982</v>
      </c>
      <c r="CH104" s="66">
        <v>62.151549865900009</v>
      </c>
      <c r="CI104" s="66">
        <v>54.395831723499988</v>
      </c>
      <c r="CJ104" s="66">
        <v>94.688624780500007</v>
      </c>
      <c r="CK104" s="66">
        <v>103.54789058980002</v>
      </c>
      <c r="CL104" s="66">
        <v>80.323103806899994</v>
      </c>
      <c r="CM104" s="66">
        <v>88.0465489873</v>
      </c>
      <c r="CN104" s="66">
        <v>81.868190626000001</v>
      </c>
      <c r="CO104" s="66">
        <v>59.602548768399998</v>
      </c>
      <c r="CP104" s="66">
        <v>60.392073009699999</v>
      </c>
      <c r="CQ104" s="66">
        <v>66.192499975299995</v>
      </c>
      <c r="CR104" s="66">
        <v>44.077340184699992</v>
      </c>
      <c r="CS104" s="66">
        <v>63.403740791500013</v>
      </c>
      <c r="CT104" s="66">
        <v>60.978615330699995</v>
      </c>
      <c r="CU104" s="66">
        <v>57.205906072899992</v>
      </c>
      <c r="CV104" s="66">
        <v>77.131232811700002</v>
      </c>
      <c r="CW104" s="66">
        <v>130.39648068489998</v>
      </c>
      <c r="CX104" s="66">
        <v>102.40599063550002</v>
      </c>
      <c r="CY104" s="66">
        <v>131.15872301529998</v>
      </c>
      <c r="CZ104" s="66">
        <v>66.894399372100011</v>
      </c>
      <c r="DA104" s="66">
        <v>55.505008395400012</v>
      </c>
      <c r="DB104" s="66">
        <v>57.899849809300008</v>
      </c>
      <c r="DC104" s="66">
        <v>54.565452407499997</v>
      </c>
      <c r="DD104" s="66">
        <v>73.168638451900009</v>
      </c>
      <c r="DE104" s="66">
        <v>62.384590672900003</v>
      </c>
      <c r="DF104" s="66">
        <v>58.384131872799998</v>
      </c>
      <c r="DG104" s="66">
        <v>66.288868540899998</v>
      </c>
      <c r="DH104" s="66">
        <v>85.643376646000007</v>
      </c>
      <c r="DI104" s="66">
        <v>140.32341863590005</v>
      </c>
      <c r="DJ104" s="66">
        <v>133.56688640770003</v>
      </c>
      <c r="DK104" s="66">
        <v>114.65042747170003</v>
      </c>
      <c r="DL104" s="66">
        <v>84.179385025600027</v>
      </c>
      <c r="DM104" s="66">
        <v>63.740092603600004</v>
      </c>
      <c r="DN104" s="66">
        <v>67.93321348149999</v>
      </c>
      <c r="DO104" s="66">
        <v>87.751363965099998</v>
      </c>
      <c r="DP104" s="79"/>
      <c r="DQ104" s="80"/>
      <c r="DR104" s="81"/>
      <c r="DS104" s="84">
        <f t="shared" si="12"/>
        <v>2018</v>
      </c>
      <c r="DT104" s="80"/>
      <c r="DU104" s="83">
        <f t="shared" si="16"/>
        <v>-96</v>
      </c>
      <c r="DV104" s="83">
        <f t="shared" si="16"/>
        <v>-96</v>
      </c>
      <c r="DW104" s="83">
        <f t="shared" si="16"/>
        <v>-96</v>
      </c>
      <c r="DX104" s="83">
        <f t="shared" si="16"/>
        <v>-96</v>
      </c>
      <c r="DY104" s="83">
        <f t="shared" si="16"/>
        <v>263.5045851456</v>
      </c>
      <c r="DZ104" s="83">
        <f t="shared" si="16"/>
        <v>601.42261159680004</v>
      </c>
      <c r="EA104" s="83">
        <f t="shared" si="16"/>
        <v>716.67149792070006</v>
      </c>
      <c r="EB104" s="83">
        <f t="shared" si="16"/>
        <v>860.32708292370012</v>
      </c>
      <c r="EC104" s="83">
        <f t="shared" si="16"/>
        <v>936.18336667020003</v>
      </c>
      <c r="ED104" s="83">
        <f t="shared" si="16"/>
        <v>777.7881642371002</v>
      </c>
    </row>
    <row r="105" spans="2:134" x14ac:dyDescent="0.3">
      <c r="B105" s="45">
        <f t="shared" si="13"/>
        <v>1000000101</v>
      </c>
      <c r="C105" s="46">
        <v>40210</v>
      </c>
      <c r="D105" s="66">
        <v>31.691315109400001</v>
      </c>
      <c r="E105" s="66">
        <v>49.745935853200017</v>
      </c>
      <c r="F105" s="66">
        <v>68.920953752200006</v>
      </c>
      <c r="G105" s="66">
        <v>66.370414060000002</v>
      </c>
      <c r="H105" s="66">
        <v>64.191726438100005</v>
      </c>
      <c r="I105" s="66">
        <v>49.333217206600004</v>
      </c>
      <c r="J105" s="66">
        <v>54.567779062900016</v>
      </c>
      <c r="K105" s="66">
        <v>64.5516074911</v>
      </c>
      <c r="L105" s="66">
        <v>88.033452169</v>
      </c>
      <c r="M105" s="66">
        <v>80.345844987100008</v>
      </c>
      <c r="N105" s="66">
        <v>55.065270524800006</v>
      </c>
      <c r="O105" s="66">
        <v>46.947982627900004</v>
      </c>
      <c r="P105" s="66">
        <v>47.715628803100003</v>
      </c>
      <c r="Q105" s="66">
        <v>128.11196776899996</v>
      </c>
      <c r="R105" s="66">
        <v>75.277151144800001</v>
      </c>
      <c r="S105" s="66">
        <v>72.708110789499997</v>
      </c>
      <c r="T105" s="66">
        <v>61.740294760600008</v>
      </c>
      <c r="U105" s="66">
        <v>66.202444550799996</v>
      </c>
      <c r="V105" s="66">
        <v>68.064669511600002</v>
      </c>
      <c r="W105" s="66">
        <v>69.831501600999999</v>
      </c>
      <c r="X105" s="66">
        <v>83.718144355900009</v>
      </c>
      <c r="Y105" s="66">
        <v>76.345911560799991</v>
      </c>
      <c r="Z105" s="66">
        <v>68.845037238100005</v>
      </c>
      <c r="AA105" s="66">
        <v>50.793568737100003</v>
      </c>
      <c r="AB105" s="66">
        <v>64.589659564900003</v>
      </c>
      <c r="AC105" s="66">
        <v>74.162082780999995</v>
      </c>
      <c r="AD105" s="66">
        <v>65.116647013000005</v>
      </c>
      <c r="AE105" s="66">
        <v>87.221637067900005</v>
      </c>
      <c r="AF105" s="66">
        <v>69.198426171999998</v>
      </c>
      <c r="AG105" s="66">
        <v>68.671964097699984</v>
      </c>
      <c r="AH105" s="66">
        <v>71.5297348828</v>
      </c>
      <c r="AI105" s="66">
        <v>81.237366799</v>
      </c>
      <c r="AJ105" s="66">
        <v>88.004519083299996</v>
      </c>
      <c r="AK105" s="66">
        <v>89.497744003000022</v>
      </c>
      <c r="AL105" s="66">
        <v>77.593674335799989</v>
      </c>
      <c r="AM105" s="66">
        <v>80.541321567400004</v>
      </c>
      <c r="AN105" s="66">
        <v>79.244361288700006</v>
      </c>
      <c r="AO105" s="66">
        <v>87.099149919100014</v>
      </c>
      <c r="AP105" s="66">
        <v>98.751978329800011</v>
      </c>
      <c r="AQ105" s="66">
        <v>96.99970660000001</v>
      </c>
      <c r="AR105" s="66">
        <v>77.395345726300008</v>
      </c>
      <c r="AS105" s="66">
        <v>79.615275191500018</v>
      </c>
      <c r="AT105" s="66">
        <v>76.436951335000003</v>
      </c>
      <c r="AU105" s="66">
        <v>86.285571063099994</v>
      </c>
      <c r="AV105" s="66">
        <v>88.97210751610001</v>
      </c>
      <c r="AW105" s="66">
        <v>87.938622198100006</v>
      </c>
      <c r="AX105" s="66">
        <v>79.689953324499982</v>
      </c>
      <c r="AY105" s="66">
        <v>80.041090656400002</v>
      </c>
      <c r="AZ105" s="66">
        <v>84.210382079800027</v>
      </c>
      <c r="BA105" s="66">
        <v>93.865439089300011</v>
      </c>
      <c r="BB105" s="66">
        <v>102.52213577200001</v>
      </c>
      <c r="BC105" s="66">
        <v>111.98775799990001</v>
      </c>
      <c r="BD105" s="66">
        <v>105.11155312539999</v>
      </c>
      <c r="BE105" s="66">
        <v>100.3434481501</v>
      </c>
      <c r="BF105" s="66">
        <v>91.740940022200007</v>
      </c>
      <c r="BG105" s="66">
        <v>103.32824681469999</v>
      </c>
      <c r="BH105" s="66">
        <v>109.2456820309</v>
      </c>
      <c r="BI105" s="66">
        <v>93.722162148699994</v>
      </c>
      <c r="BJ105" s="66">
        <v>92.627245622800018</v>
      </c>
      <c r="BK105" s="66">
        <v>74.583732782200002</v>
      </c>
      <c r="BL105" s="66">
        <v>79.296598455099996</v>
      </c>
      <c r="BM105" s="66">
        <v>85.081151626600018</v>
      </c>
      <c r="BN105" s="66">
        <v>106.687599472</v>
      </c>
      <c r="BO105" s="66">
        <v>115.82107287820001</v>
      </c>
      <c r="BP105" s="66">
        <v>128.73524872930003</v>
      </c>
      <c r="BQ105" s="66">
        <v>109.59790763710001</v>
      </c>
      <c r="BR105" s="66">
        <v>83.747415181899996</v>
      </c>
      <c r="BS105" s="66">
        <v>99.251271073300018</v>
      </c>
      <c r="BT105" s="66">
        <v>111.29865520780001</v>
      </c>
      <c r="BU105" s="66">
        <v>115.7271435481</v>
      </c>
      <c r="BV105" s="66">
        <v>106.6366382134</v>
      </c>
      <c r="BW105" s="66">
        <v>77.517194921200016</v>
      </c>
      <c r="BX105" s="66">
        <v>87.18212145279999</v>
      </c>
      <c r="BY105" s="66">
        <v>88.782109833999996</v>
      </c>
      <c r="BZ105" s="66">
        <v>96.191494062099991</v>
      </c>
      <c r="CA105" s="66">
        <v>114.83772323139999</v>
      </c>
      <c r="CB105" s="66">
        <v>109.12664733850002</v>
      </c>
      <c r="CC105" s="66">
        <v>116.82776413240001</v>
      </c>
      <c r="CD105" s="66">
        <v>96.409899456100021</v>
      </c>
      <c r="CE105" s="66">
        <v>107.4015449395</v>
      </c>
      <c r="CF105" s="66">
        <v>101.57432391010001</v>
      </c>
      <c r="CG105" s="66">
        <v>106.80640900420001</v>
      </c>
      <c r="CH105" s="66">
        <v>107.4239108527</v>
      </c>
      <c r="CI105" s="66">
        <v>95.374875543400009</v>
      </c>
      <c r="CJ105" s="66">
        <v>87.367728510999996</v>
      </c>
      <c r="CK105" s="66">
        <v>101.41070749809998</v>
      </c>
      <c r="CL105" s="66">
        <v>118.23516548920003</v>
      </c>
      <c r="CM105" s="66">
        <v>121.44486166690004</v>
      </c>
      <c r="CN105" s="66">
        <v>98.349054151899992</v>
      </c>
      <c r="CO105" s="66">
        <v>134.86669871560005</v>
      </c>
      <c r="CP105" s="66">
        <v>93.438647930199991</v>
      </c>
      <c r="CQ105" s="66">
        <v>106.1830529905</v>
      </c>
      <c r="CR105" s="66">
        <v>93.54188388190002</v>
      </c>
      <c r="CS105" s="66">
        <v>113.75203827370001</v>
      </c>
      <c r="CT105" s="66">
        <v>108.1161658876</v>
      </c>
      <c r="CU105" s="66">
        <v>79.910647847199982</v>
      </c>
      <c r="CV105" s="66">
        <v>66.13759841320001</v>
      </c>
      <c r="CW105" s="66">
        <v>83.773458711699988</v>
      </c>
      <c r="CX105" s="66">
        <v>93.970438795900009</v>
      </c>
      <c r="CY105" s="66">
        <v>117.708065461</v>
      </c>
      <c r="CZ105" s="66">
        <v>120.31106747980002</v>
      </c>
      <c r="DA105" s="66">
        <v>132.72336124509999</v>
      </c>
      <c r="DB105" s="66">
        <v>96.675100644999986</v>
      </c>
      <c r="DC105" s="66">
        <v>104.26761516910001</v>
      </c>
      <c r="DD105" s="66">
        <v>99.936696248800004</v>
      </c>
      <c r="DE105" s="66">
        <v>126.12796866670001</v>
      </c>
      <c r="DF105" s="66">
        <v>91.027482401800015</v>
      </c>
      <c r="DG105" s="66">
        <v>87.654282392200003</v>
      </c>
      <c r="DH105" s="66">
        <v>82.199851600600013</v>
      </c>
      <c r="DI105" s="66">
        <v>82.120782843699999</v>
      </c>
      <c r="DJ105" s="66">
        <v>74.889500333800015</v>
      </c>
      <c r="DK105" s="66">
        <v>82.053384890500013</v>
      </c>
      <c r="DL105" s="66">
        <v>76.03237598230001</v>
      </c>
      <c r="DM105" s="66">
        <v>66.272431846299995</v>
      </c>
      <c r="DN105" s="66">
        <v>66.904231367500003</v>
      </c>
      <c r="DO105" s="66">
        <v>81.877872514600014</v>
      </c>
      <c r="DP105" s="79"/>
      <c r="DQ105" s="80"/>
      <c r="DR105" s="81"/>
      <c r="DS105" s="84">
        <f t="shared" si="12"/>
        <v>2010</v>
      </c>
      <c r="DT105" s="80"/>
      <c r="DU105" s="83">
        <f t="shared" ref="DU105:ED114" si="17">+SUMIF($D$3:$DO$3,DU$4,$D105:$DO105)</f>
        <v>719.76549928230008</v>
      </c>
      <c r="DV105" s="83">
        <f t="shared" si="17"/>
        <v>869.35443082229995</v>
      </c>
      <c r="DW105" s="83">
        <f t="shared" si="17"/>
        <v>917.3647773678</v>
      </c>
      <c r="DX105" s="83">
        <f t="shared" si="17"/>
        <v>1018.4701131485999</v>
      </c>
      <c r="DY105" s="83">
        <f t="shared" si="17"/>
        <v>1163.2887256380002</v>
      </c>
      <c r="DZ105" s="83">
        <f t="shared" si="17"/>
        <v>1219.397896944</v>
      </c>
      <c r="EA105" s="83">
        <f t="shared" si="17"/>
        <v>1227.9388237572</v>
      </c>
      <c r="EB105" s="83">
        <f t="shared" si="17"/>
        <v>1256.6166528437998</v>
      </c>
      <c r="EC105" s="83">
        <f t="shared" si="17"/>
        <v>1220.3131356303002</v>
      </c>
      <c r="ED105" s="83">
        <f t="shared" si="17"/>
        <v>612.35043137930006</v>
      </c>
    </row>
    <row r="106" spans="2:134" x14ac:dyDescent="0.3">
      <c r="B106" s="45">
        <f t="shared" si="13"/>
        <v>1000000102</v>
      </c>
      <c r="C106" s="46">
        <v>42248</v>
      </c>
      <c r="D106" s="66">
        <v>-8</v>
      </c>
      <c r="E106" s="66">
        <v>-8</v>
      </c>
      <c r="F106" s="66">
        <v>-8</v>
      </c>
      <c r="G106" s="66">
        <v>-8</v>
      </c>
      <c r="H106" s="66">
        <v>-8</v>
      </c>
      <c r="I106" s="66">
        <v>-8</v>
      </c>
      <c r="J106" s="66">
        <v>-8</v>
      </c>
      <c r="K106" s="66">
        <v>-8</v>
      </c>
      <c r="L106" s="66">
        <v>-8</v>
      </c>
      <c r="M106" s="66">
        <v>-8</v>
      </c>
      <c r="N106" s="66">
        <v>-8</v>
      </c>
      <c r="O106" s="66">
        <v>-8</v>
      </c>
      <c r="P106" s="66">
        <v>-8</v>
      </c>
      <c r="Q106" s="66">
        <v>-8</v>
      </c>
      <c r="R106" s="66">
        <v>-8</v>
      </c>
      <c r="S106" s="66">
        <v>-8</v>
      </c>
      <c r="T106" s="66">
        <v>-8</v>
      </c>
      <c r="U106" s="66">
        <v>-8</v>
      </c>
      <c r="V106" s="66">
        <v>-8</v>
      </c>
      <c r="W106" s="66">
        <v>-8</v>
      </c>
      <c r="X106" s="66">
        <v>-5.7033659599999993</v>
      </c>
      <c r="Y106" s="66">
        <v>-2.7522662719999991</v>
      </c>
      <c r="Z106" s="66">
        <v>0.93004116550000049</v>
      </c>
      <c r="AA106" s="66">
        <v>7.7613641067999986</v>
      </c>
      <c r="AB106" s="66">
        <v>16.4755141672</v>
      </c>
      <c r="AC106" s="66">
        <v>39.639057375699991</v>
      </c>
      <c r="AD106" s="66">
        <v>29.798168147800006</v>
      </c>
      <c r="AE106" s="66">
        <v>26.481858615399993</v>
      </c>
      <c r="AF106" s="66">
        <v>21.030542539899997</v>
      </c>
      <c r="AG106" s="66">
        <v>26.174815156000001</v>
      </c>
      <c r="AH106" s="66">
        <v>36.691109930500005</v>
      </c>
      <c r="AI106" s="66">
        <v>40.593323830000003</v>
      </c>
      <c r="AJ106" s="66">
        <v>32.357826828100002</v>
      </c>
      <c r="AK106" s="66">
        <v>34.737207241600004</v>
      </c>
      <c r="AL106" s="66">
        <v>32.172670090300002</v>
      </c>
      <c r="AM106" s="66">
        <v>39.909249615699999</v>
      </c>
      <c r="AN106" s="66">
        <v>73.972235205700002</v>
      </c>
      <c r="AO106" s="66">
        <v>133.09994167959999</v>
      </c>
      <c r="AP106" s="66">
        <v>82.5493752844</v>
      </c>
      <c r="AQ106" s="66">
        <v>78.462379914100012</v>
      </c>
      <c r="AR106" s="66">
        <v>56.593733015799984</v>
      </c>
      <c r="AS106" s="66">
        <v>54.655891754499997</v>
      </c>
      <c r="AT106" s="66">
        <v>54.442289778100005</v>
      </c>
      <c r="AU106" s="66">
        <v>54.482593453900002</v>
      </c>
      <c r="AV106" s="66">
        <v>55.056564330400015</v>
      </c>
      <c r="AW106" s="66">
        <v>55.238568825400016</v>
      </c>
      <c r="AX106" s="66">
        <v>45.821356040500007</v>
      </c>
      <c r="AY106" s="66">
        <v>48.778947847600008</v>
      </c>
      <c r="AZ106" s="66">
        <v>74.839852509699995</v>
      </c>
      <c r="BA106" s="66">
        <v>109.82910963579999</v>
      </c>
      <c r="BB106" s="66">
        <v>72.682705213600002</v>
      </c>
      <c r="BC106" s="66">
        <v>62.831346036400006</v>
      </c>
      <c r="BD106" s="66">
        <v>55.047257708799997</v>
      </c>
      <c r="BE106" s="66">
        <v>48.658862407600004</v>
      </c>
      <c r="BF106" s="66">
        <v>49.036643696500001</v>
      </c>
      <c r="BG106" s="66">
        <v>53.570169270099996</v>
      </c>
      <c r="BH106" s="66">
        <v>39.988581059500007</v>
      </c>
      <c r="BI106" s="66">
        <v>39.991658248900002</v>
      </c>
      <c r="BJ106" s="66">
        <v>47.646166881400006</v>
      </c>
      <c r="BK106" s="66">
        <v>46.789169633500002</v>
      </c>
      <c r="BL106" s="66">
        <v>61.310351358700018</v>
      </c>
      <c r="BM106" s="66">
        <v>90.722990758000023</v>
      </c>
      <c r="BN106" s="66">
        <v>57.898724008300007</v>
      </c>
      <c r="BO106" s="66">
        <v>59.138230909300006</v>
      </c>
      <c r="BP106" s="66">
        <v>50.659936158400001</v>
      </c>
      <c r="BQ106" s="66">
        <v>40.746320185900004</v>
      </c>
      <c r="BR106" s="66">
        <v>41.775152193100006</v>
      </c>
      <c r="BS106" s="66">
        <v>41.713833565300014</v>
      </c>
      <c r="BT106" s="66">
        <v>44.672513646700004</v>
      </c>
      <c r="BU106" s="66">
        <v>44.171194461399999</v>
      </c>
      <c r="BV106" s="66">
        <v>43.907869607500004</v>
      </c>
      <c r="BW106" s="66">
        <v>41.962748166399997</v>
      </c>
      <c r="BX106" s="66">
        <v>68.214250937800003</v>
      </c>
      <c r="BY106" s="66">
        <v>64.7273825539</v>
      </c>
      <c r="BZ106" s="66">
        <v>52.608247369000004</v>
      </c>
      <c r="CA106" s="66">
        <v>42.242847455200007</v>
      </c>
      <c r="CB106" s="66">
        <v>49.925238425799996</v>
      </c>
      <c r="CC106" s="66">
        <v>61.181146930599994</v>
      </c>
      <c r="CD106" s="66">
        <v>56.833716262300015</v>
      </c>
      <c r="CE106" s="66">
        <v>53.822236113999992</v>
      </c>
      <c r="CF106" s="66">
        <v>50.413573372900004</v>
      </c>
      <c r="CG106" s="66">
        <v>44.200953134500004</v>
      </c>
      <c r="CH106" s="66">
        <v>42.544824810099996</v>
      </c>
      <c r="CI106" s="66">
        <v>39.646149921999999</v>
      </c>
      <c r="CJ106" s="66">
        <v>41.236756628199998</v>
      </c>
      <c r="CK106" s="66">
        <v>82.385683818999993</v>
      </c>
      <c r="CL106" s="66">
        <v>59.134365659200014</v>
      </c>
      <c r="CM106" s="66">
        <v>63.729472547499995</v>
      </c>
      <c r="CN106" s="66">
        <v>43.843586370399997</v>
      </c>
      <c r="CO106" s="66">
        <v>44.267375393500004</v>
      </c>
      <c r="CP106" s="66">
        <v>55.437798075699995</v>
      </c>
      <c r="CQ106" s="66">
        <v>58.882261288600006</v>
      </c>
      <c r="CR106" s="66">
        <v>53.045583530800009</v>
      </c>
      <c r="CS106" s="66">
        <v>39.969254808999999</v>
      </c>
      <c r="CT106" s="66">
        <v>36.174592431699999</v>
      </c>
      <c r="CU106" s="66">
        <v>35.840454694900004</v>
      </c>
      <c r="CV106" s="66">
        <v>68.250389149900002</v>
      </c>
      <c r="CW106" s="66">
        <v>75.873525461200018</v>
      </c>
      <c r="CX106" s="66">
        <v>75.757492904800003</v>
      </c>
      <c r="CY106" s="66">
        <v>95.910869399500001</v>
      </c>
      <c r="CZ106" s="66">
        <v>67.784495169400003</v>
      </c>
      <c r="DA106" s="66">
        <v>63.355293821800004</v>
      </c>
      <c r="DB106" s="66">
        <v>72.953985727900005</v>
      </c>
      <c r="DC106" s="66">
        <v>76.730410128999992</v>
      </c>
      <c r="DD106" s="66">
        <v>77.741529533800019</v>
      </c>
      <c r="DE106" s="66">
        <v>75.681613917400014</v>
      </c>
      <c r="DF106" s="66">
        <v>78.649375460200005</v>
      </c>
      <c r="DG106" s="66">
        <v>73.587248790399997</v>
      </c>
      <c r="DH106" s="66">
        <v>99.941349559600013</v>
      </c>
      <c r="DI106" s="66">
        <v>110.49494587390001</v>
      </c>
      <c r="DJ106" s="66">
        <v>91.965274634799997</v>
      </c>
      <c r="DK106" s="66">
        <v>96.679979115999998</v>
      </c>
      <c r="DL106" s="66">
        <v>79.22634847270001</v>
      </c>
      <c r="DM106" s="66">
        <v>81.602201376400004</v>
      </c>
      <c r="DN106" s="66">
        <v>78.678833919699997</v>
      </c>
      <c r="DO106" s="66">
        <v>77.125153486299993</v>
      </c>
      <c r="DP106" s="79"/>
      <c r="DQ106" s="80"/>
      <c r="DR106" s="81"/>
      <c r="DS106" s="84">
        <f t="shared" si="12"/>
        <v>2015</v>
      </c>
      <c r="DT106" s="80"/>
      <c r="DU106" s="83">
        <f t="shared" si="17"/>
        <v>-96</v>
      </c>
      <c r="DV106" s="83">
        <f t="shared" si="17"/>
        <v>-63.764226959699997</v>
      </c>
      <c r="DW106" s="83">
        <f t="shared" si="17"/>
        <v>376.06134353819999</v>
      </c>
      <c r="DX106" s="83">
        <f t="shared" si="17"/>
        <v>793.15387712999996</v>
      </c>
      <c r="DY106" s="83">
        <f t="shared" si="17"/>
        <v>700.91152230180001</v>
      </c>
      <c r="DZ106" s="83">
        <f t="shared" si="17"/>
        <v>618.6798650190002</v>
      </c>
      <c r="EA106" s="83">
        <f t="shared" si="17"/>
        <v>626.3605672880999</v>
      </c>
      <c r="EB106" s="83">
        <f t="shared" si="17"/>
        <v>613.94718524850009</v>
      </c>
      <c r="EC106" s="83">
        <f t="shared" si="17"/>
        <v>902.27622946530005</v>
      </c>
      <c r="ED106" s="83">
        <f t="shared" si="17"/>
        <v>715.71408643939992</v>
      </c>
    </row>
    <row r="107" spans="2:134" x14ac:dyDescent="0.3">
      <c r="B107" s="45">
        <f t="shared" si="13"/>
        <v>1000000103</v>
      </c>
      <c r="C107" s="46">
        <v>42309</v>
      </c>
      <c r="D107" s="66">
        <v>-8</v>
      </c>
      <c r="E107" s="66">
        <v>-8</v>
      </c>
      <c r="F107" s="66">
        <v>-8</v>
      </c>
      <c r="G107" s="66">
        <v>-8</v>
      </c>
      <c r="H107" s="66">
        <v>-8</v>
      </c>
      <c r="I107" s="66">
        <v>-8</v>
      </c>
      <c r="J107" s="66">
        <v>-8</v>
      </c>
      <c r="K107" s="66">
        <v>-8</v>
      </c>
      <c r="L107" s="66">
        <v>-8</v>
      </c>
      <c r="M107" s="66">
        <v>-8</v>
      </c>
      <c r="N107" s="66">
        <v>-8</v>
      </c>
      <c r="O107" s="66">
        <v>-8</v>
      </c>
      <c r="P107" s="66">
        <v>-8</v>
      </c>
      <c r="Q107" s="66">
        <v>-8</v>
      </c>
      <c r="R107" s="66">
        <v>-8</v>
      </c>
      <c r="S107" s="66">
        <v>-8</v>
      </c>
      <c r="T107" s="66">
        <v>-8</v>
      </c>
      <c r="U107" s="66">
        <v>-8</v>
      </c>
      <c r="V107" s="66">
        <v>-8</v>
      </c>
      <c r="W107" s="66">
        <v>-8</v>
      </c>
      <c r="X107" s="66">
        <v>-8</v>
      </c>
      <c r="Y107" s="66">
        <v>-8</v>
      </c>
      <c r="Z107" s="66">
        <v>-5.6806247798000005</v>
      </c>
      <c r="AA107" s="66">
        <v>-7.1904740275999997</v>
      </c>
      <c r="AB107" s="66">
        <v>-3.5552625986000006</v>
      </c>
      <c r="AC107" s="66">
        <v>4.0974447522999995</v>
      </c>
      <c r="AD107" s="66">
        <v>4.5815391823000002</v>
      </c>
      <c r="AE107" s="66">
        <v>1.0978230411999998</v>
      </c>
      <c r="AF107" s="66">
        <v>-0.97867937659999971</v>
      </c>
      <c r="AG107" s="66">
        <v>1.0095977694999991</v>
      </c>
      <c r="AH107" s="66">
        <v>0.10186442320000033</v>
      </c>
      <c r="AI107" s="66">
        <v>5.0154604144000015</v>
      </c>
      <c r="AJ107" s="66">
        <v>4.7085295350999985</v>
      </c>
      <c r="AK107" s="66">
        <v>3.2123024793999999</v>
      </c>
      <c r="AL107" s="66">
        <v>1.8832193455000006</v>
      </c>
      <c r="AM107" s="66">
        <v>4.0758668998000012</v>
      </c>
      <c r="AN107" s="66">
        <v>2.5947631042000019</v>
      </c>
      <c r="AO107" s="66">
        <v>23.265295051599999</v>
      </c>
      <c r="AP107" s="66">
        <v>10.5948175903</v>
      </c>
      <c r="AQ107" s="66">
        <v>7.4374336323999959</v>
      </c>
      <c r="AR107" s="66">
        <v>6.3579781068999992</v>
      </c>
      <c r="AS107" s="66">
        <v>6.6631077046000016</v>
      </c>
      <c r="AT107" s="66">
        <v>7.8560814976</v>
      </c>
      <c r="AU107" s="66">
        <v>12.904023074800001</v>
      </c>
      <c r="AV107" s="66">
        <v>11.060861677600002</v>
      </c>
      <c r="AW107" s="66">
        <v>6.3685231095999999</v>
      </c>
      <c r="AX107" s="66">
        <v>6.3071294284000015</v>
      </c>
      <c r="AY107" s="66">
        <v>8.3136070239999995</v>
      </c>
      <c r="AZ107" s="66">
        <v>15.601892591200002</v>
      </c>
      <c r="BA107" s="66">
        <v>25.916969200300002</v>
      </c>
      <c r="BB107" s="66">
        <v>24.207928228900002</v>
      </c>
      <c r="BC107" s="66">
        <v>28.129505905599999</v>
      </c>
      <c r="BD107" s="66">
        <v>9.2348499822999983</v>
      </c>
      <c r="BE107" s="66">
        <v>5.3282454589000015</v>
      </c>
      <c r="BF107" s="66">
        <v>7.6945665808000019</v>
      </c>
      <c r="BG107" s="66">
        <v>15.474339337900005</v>
      </c>
      <c r="BH107" s="66">
        <v>9.7286638276000019</v>
      </c>
      <c r="BI107" s="66">
        <v>15.877788889600001</v>
      </c>
      <c r="BJ107" s="66">
        <v>13.788902660799998</v>
      </c>
      <c r="BK107" s="66">
        <v>10.661314902699996</v>
      </c>
      <c r="BL107" s="66">
        <v>24.209316716800004</v>
      </c>
      <c r="BM107" s="66">
        <v>39.652867201300005</v>
      </c>
      <c r="BN107" s="66">
        <v>22.071645777999997</v>
      </c>
      <c r="BO107" s="66">
        <v>27.284442148300002</v>
      </c>
      <c r="BP107" s="66">
        <v>17.096130731800002</v>
      </c>
      <c r="BQ107" s="66">
        <v>11.472529576600003</v>
      </c>
      <c r="BR107" s="66">
        <v>11.687857781200005</v>
      </c>
      <c r="BS107" s="66">
        <v>24.912979868500003</v>
      </c>
      <c r="BT107" s="66">
        <v>25.6579223902</v>
      </c>
      <c r="BU107" s="66">
        <v>32.900350330000002</v>
      </c>
      <c r="BV107" s="66">
        <v>21.2019269788</v>
      </c>
      <c r="BW107" s="66">
        <v>23.395512700600001</v>
      </c>
      <c r="BX107" s="66">
        <v>35.966506880200001</v>
      </c>
      <c r="BY107" s="66">
        <v>40.871621837200003</v>
      </c>
      <c r="BZ107" s="66">
        <v>33.320311629700001</v>
      </c>
      <c r="CA107" s="66">
        <v>39.096458820400002</v>
      </c>
      <c r="CB107" s="66">
        <v>25.891451044300005</v>
      </c>
      <c r="CC107" s="66">
        <v>27.3405070381</v>
      </c>
      <c r="CD107" s="66">
        <v>28.371290433699997</v>
      </c>
      <c r="CE107" s="66">
        <v>35.085717704499999</v>
      </c>
      <c r="CF107" s="66">
        <v>36.889250906499996</v>
      </c>
      <c r="CG107" s="66">
        <v>33.237340096000004</v>
      </c>
      <c r="CH107" s="66">
        <v>27.044421375099994</v>
      </c>
      <c r="CI107" s="66">
        <v>24.963453280000003</v>
      </c>
      <c r="CJ107" s="66">
        <v>40.988817721300009</v>
      </c>
      <c r="CK107" s="66">
        <v>43.403135492499999</v>
      </c>
      <c r="CL107" s="66">
        <v>66.296036140599981</v>
      </c>
      <c r="CM107" s="66">
        <v>65.000651983300017</v>
      </c>
      <c r="CN107" s="66">
        <v>36.538376261499998</v>
      </c>
      <c r="CO107" s="66">
        <v>41.304792535300002</v>
      </c>
      <c r="CP107" s="66">
        <v>45.491196133900004</v>
      </c>
      <c r="CQ107" s="66">
        <v>52.942385105800007</v>
      </c>
      <c r="CR107" s="66">
        <v>48.763374267100005</v>
      </c>
      <c r="CS107" s="66">
        <v>47.458083061000011</v>
      </c>
      <c r="CT107" s="66">
        <v>43.596473050900002</v>
      </c>
      <c r="CU107" s="66">
        <v>51.501584985999997</v>
      </c>
      <c r="CV107" s="66">
        <v>63.304032349600007</v>
      </c>
      <c r="CW107" s="66">
        <v>62.110720816300002</v>
      </c>
      <c r="CX107" s="66">
        <v>78.127078849600011</v>
      </c>
      <c r="CY107" s="66">
        <v>74.026498813899991</v>
      </c>
      <c r="CZ107" s="66">
        <v>66.711006389200008</v>
      </c>
      <c r="DA107" s="66">
        <v>74.810806843899996</v>
      </c>
      <c r="DB107" s="66">
        <v>63.80152381149999</v>
      </c>
      <c r="DC107" s="66">
        <v>75.467974414299988</v>
      </c>
      <c r="DD107" s="66">
        <v>63.022732206399994</v>
      </c>
      <c r="DE107" s="66">
        <v>77.209888774900008</v>
      </c>
      <c r="DF107" s="66">
        <v>67.674316778200009</v>
      </c>
      <c r="DG107" s="66">
        <v>75.812994894100001</v>
      </c>
      <c r="DH107" s="66">
        <v>97.9805794846</v>
      </c>
      <c r="DI107" s="66">
        <v>94.583512493800001</v>
      </c>
      <c r="DJ107" s="66">
        <v>97.736843568099999</v>
      </c>
      <c r="DK107" s="66">
        <v>99.568109001400003</v>
      </c>
      <c r="DL107" s="66">
        <v>84.248133939999988</v>
      </c>
      <c r="DM107" s="66">
        <v>103.23743220070001</v>
      </c>
      <c r="DN107" s="66">
        <v>95.769656427400008</v>
      </c>
      <c r="DO107" s="66">
        <v>110.6393486155</v>
      </c>
      <c r="DP107" s="79"/>
      <c r="DQ107" s="80"/>
      <c r="DR107" s="81"/>
      <c r="DS107" s="84">
        <f t="shared" si="12"/>
        <v>2015</v>
      </c>
      <c r="DT107" s="80"/>
      <c r="DU107" s="83">
        <f t="shared" si="17"/>
        <v>-96</v>
      </c>
      <c r="DV107" s="83">
        <f t="shared" si="17"/>
        <v>-92.871098807400003</v>
      </c>
      <c r="DW107" s="83">
        <f t="shared" si="17"/>
        <v>25.249705867500001</v>
      </c>
      <c r="DX107" s="83">
        <f t="shared" si="17"/>
        <v>109.72362100199999</v>
      </c>
      <c r="DY107" s="83">
        <f t="shared" si="17"/>
        <v>181.6449675666</v>
      </c>
      <c r="DZ107" s="83">
        <f t="shared" si="17"/>
        <v>281.54348220210005</v>
      </c>
      <c r="EA107" s="83">
        <f t="shared" si="17"/>
        <v>388.07833104570005</v>
      </c>
      <c r="EB107" s="83">
        <f t="shared" si="17"/>
        <v>583.2849067392001</v>
      </c>
      <c r="EC107" s="83">
        <f t="shared" si="17"/>
        <v>842.07957494189998</v>
      </c>
      <c r="ED107" s="83">
        <f t="shared" si="17"/>
        <v>783.76361573150007</v>
      </c>
    </row>
    <row r="108" spans="2:134" x14ac:dyDescent="0.3">
      <c r="B108" s="45">
        <f t="shared" si="13"/>
        <v>1000000104</v>
      </c>
      <c r="C108" s="46">
        <v>43191</v>
      </c>
      <c r="D108" s="66">
        <v>-8</v>
      </c>
      <c r="E108" s="66">
        <v>-8</v>
      </c>
      <c r="F108" s="66">
        <v>-8</v>
      </c>
      <c r="G108" s="66">
        <v>-8</v>
      </c>
      <c r="H108" s="66">
        <v>-8</v>
      </c>
      <c r="I108" s="66">
        <v>-8</v>
      </c>
      <c r="J108" s="66">
        <v>-8</v>
      </c>
      <c r="K108" s="66">
        <v>-8</v>
      </c>
      <c r="L108" s="66">
        <v>-8</v>
      </c>
      <c r="M108" s="66">
        <v>-8</v>
      </c>
      <c r="N108" s="66">
        <v>-8</v>
      </c>
      <c r="O108" s="66">
        <v>-8</v>
      </c>
      <c r="P108" s="66">
        <v>-8</v>
      </c>
      <c r="Q108" s="66">
        <v>-8</v>
      </c>
      <c r="R108" s="66">
        <v>-8</v>
      </c>
      <c r="S108" s="66">
        <v>-8</v>
      </c>
      <c r="T108" s="66">
        <v>-8</v>
      </c>
      <c r="U108" s="66">
        <v>-8</v>
      </c>
      <c r="V108" s="66">
        <v>-8</v>
      </c>
      <c r="W108" s="66">
        <v>-8</v>
      </c>
      <c r="X108" s="66">
        <v>-8</v>
      </c>
      <c r="Y108" s="66">
        <v>-8</v>
      </c>
      <c r="Z108" s="66">
        <v>-8</v>
      </c>
      <c r="AA108" s="66">
        <v>-8</v>
      </c>
      <c r="AB108" s="66">
        <v>-8</v>
      </c>
      <c r="AC108" s="66">
        <v>-8</v>
      </c>
      <c r="AD108" s="66">
        <v>-8</v>
      </c>
      <c r="AE108" s="66">
        <v>-8</v>
      </c>
      <c r="AF108" s="66">
        <v>-8</v>
      </c>
      <c r="AG108" s="66">
        <v>-8</v>
      </c>
      <c r="AH108" s="66">
        <v>-8</v>
      </c>
      <c r="AI108" s="66">
        <v>-8</v>
      </c>
      <c r="AJ108" s="66">
        <v>-8</v>
      </c>
      <c r="AK108" s="66">
        <v>-8</v>
      </c>
      <c r="AL108" s="66">
        <v>-8</v>
      </c>
      <c r="AM108" s="66">
        <v>-8</v>
      </c>
      <c r="AN108" s="66">
        <v>-8</v>
      </c>
      <c r="AO108" s="66">
        <v>-8</v>
      </c>
      <c r="AP108" s="66">
        <v>-8</v>
      </c>
      <c r="AQ108" s="66">
        <v>-8</v>
      </c>
      <c r="AR108" s="66">
        <v>-8</v>
      </c>
      <c r="AS108" s="66">
        <v>-8</v>
      </c>
      <c r="AT108" s="66">
        <v>-8</v>
      </c>
      <c r="AU108" s="66">
        <v>-8</v>
      </c>
      <c r="AV108" s="66">
        <v>-8</v>
      </c>
      <c r="AW108" s="66">
        <v>-8</v>
      </c>
      <c r="AX108" s="66">
        <v>-8</v>
      </c>
      <c r="AY108" s="66">
        <v>-8</v>
      </c>
      <c r="AZ108" s="66">
        <v>-8</v>
      </c>
      <c r="BA108" s="66">
        <v>-8</v>
      </c>
      <c r="BB108" s="66">
        <v>-8</v>
      </c>
      <c r="BC108" s="66">
        <v>3.1689216142000003</v>
      </c>
      <c r="BD108" s="66">
        <v>7.2970462477000027</v>
      </c>
      <c r="BE108" s="66">
        <v>14.106378542800005</v>
      </c>
      <c r="BF108" s="66">
        <v>21.234087360700002</v>
      </c>
      <c r="BG108" s="66">
        <v>14.607284934399999</v>
      </c>
      <c r="BH108" s="66">
        <v>17.745305115100003</v>
      </c>
      <c r="BI108" s="66">
        <v>17.443853134000005</v>
      </c>
      <c r="BJ108" s="66">
        <v>15.917191924599997</v>
      </c>
      <c r="BK108" s="66">
        <v>13.682026619200002</v>
      </c>
      <c r="BL108" s="66">
        <v>19.234439624500002</v>
      </c>
      <c r="BM108" s="66">
        <v>33.216250090600006</v>
      </c>
      <c r="BN108" s="66">
        <v>28.808213801800001</v>
      </c>
      <c r="BO108" s="66">
        <v>26.734375779700002</v>
      </c>
      <c r="BP108" s="66">
        <v>33.625328647300002</v>
      </c>
      <c r="BQ108" s="66">
        <v>24.427009103499998</v>
      </c>
      <c r="BR108" s="66">
        <v>20.615572291299998</v>
      </c>
      <c r="BS108" s="66">
        <v>26.468799323799999</v>
      </c>
      <c r="BT108" s="66">
        <v>19.788746510199999</v>
      </c>
      <c r="BU108" s="66">
        <v>20.429627492799998</v>
      </c>
      <c r="BV108" s="66">
        <v>27.7007258314</v>
      </c>
      <c r="BW108" s="66">
        <v>23.036757448600003</v>
      </c>
      <c r="BX108" s="66">
        <v>23.558453631999999</v>
      </c>
      <c r="BY108" s="66">
        <v>30.026480590600002</v>
      </c>
      <c r="BZ108" s="66">
        <v>25.413961313500003</v>
      </c>
      <c r="CA108" s="66">
        <v>11.715402379000004</v>
      </c>
      <c r="CB108" s="66">
        <v>31.415944184800004</v>
      </c>
      <c r="CC108" s="66">
        <v>36.840503723200001</v>
      </c>
      <c r="CD108" s="66">
        <v>34.274427977199998</v>
      </c>
      <c r="CE108" s="66">
        <v>30.908583200800003</v>
      </c>
      <c r="CF108" s="66">
        <v>33.860283316</v>
      </c>
      <c r="CG108" s="66">
        <v>28.419174502899999</v>
      </c>
      <c r="CH108" s="66">
        <v>32.427026062899991</v>
      </c>
      <c r="CI108" s="66">
        <v>37.867084128400002</v>
      </c>
      <c r="CJ108" s="66">
        <v>41.584028709999998</v>
      </c>
      <c r="CK108" s="66">
        <v>55.5925581865</v>
      </c>
      <c r="CL108" s="66">
        <v>49.496233191400002</v>
      </c>
      <c r="CM108" s="66">
        <v>43.271191615299998</v>
      </c>
      <c r="CN108" s="66">
        <v>44.817892082500002</v>
      </c>
      <c r="CO108" s="66">
        <v>35.075360335300005</v>
      </c>
      <c r="CP108" s="66">
        <v>39.628587426400003</v>
      </c>
      <c r="CQ108" s="66">
        <v>46.097627605900001</v>
      </c>
      <c r="CR108" s="66">
        <v>44.02521559840001</v>
      </c>
      <c r="CS108" s="66">
        <v>43.551478537600005</v>
      </c>
      <c r="CT108" s="66">
        <v>46.161085255599993</v>
      </c>
      <c r="CU108" s="66">
        <v>49.768226713000004</v>
      </c>
      <c r="CV108" s="66">
        <v>42.869655925300002</v>
      </c>
      <c r="CW108" s="66">
        <v>58.834527326200003</v>
      </c>
      <c r="CX108" s="66">
        <v>75.81862389909999</v>
      </c>
      <c r="CY108" s="66">
        <v>60.612467318800014</v>
      </c>
      <c r="CZ108" s="66">
        <v>38.122941169000008</v>
      </c>
      <c r="DA108" s="66">
        <v>52.955519450800004</v>
      </c>
      <c r="DB108" s="66">
        <v>62.402941229199996</v>
      </c>
      <c r="DC108" s="66">
        <v>65.642996507199996</v>
      </c>
      <c r="DD108" s="66">
        <v>74.183998373800009</v>
      </c>
      <c r="DE108" s="66">
        <v>72.893079893800007</v>
      </c>
      <c r="DF108" s="66">
        <v>69.958041633399986</v>
      </c>
      <c r="DG108" s="66">
        <v>66.436723738899985</v>
      </c>
      <c r="DH108" s="66">
        <v>72.141345039400022</v>
      </c>
      <c r="DI108" s="66">
        <v>103.17881549529999</v>
      </c>
      <c r="DJ108" s="66">
        <v>101.07653223460001</v>
      </c>
      <c r="DK108" s="66">
        <v>104.85866069410004</v>
      </c>
      <c r="DL108" s="66">
        <v>95.455895688699997</v>
      </c>
      <c r="DM108" s="66">
        <v>83.969986039600002</v>
      </c>
      <c r="DN108" s="66">
        <v>102.6929573104</v>
      </c>
      <c r="DO108" s="66">
        <v>103.68257391610001</v>
      </c>
      <c r="DP108" s="79"/>
      <c r="DQ108" s="80"/>
      <c r="DR108" s="81"/>
      <c r="DS108" s="84">
        <f t="shared" si="12"/>
        <v>2018</v>
      </c>
      <c r="DT108" s="80"/>
      <c r="DU108" s="83">
        <f t="shared" si="17"/>
        <v>-96</v>
      </c>
      <c r="DV108" s="83">
        <f t="shared" si="17"/>
        <v>-96</v>
      </c>
      <c r="DW108" s="83">
        <f t="shared" si="17"/>
        <v>-96</v>
      </c>
      <c r="DX108" s="83">
        <f t="shared" si="17"/>
        <v>-96</v>
      </c>
      <c r="DY108" s="83">
        <f t="shared" si="17"/>
        <v>101.20209549270001</v>
      </c>
      <c r="DZ108" s="83">
        <f t="shared" si="17"/>
        <v>304.08584594549995</v>
      </c>
      <c r="EA108" s="83">
        <f t="shared" si="17"/>
        <v>356.72732501129997</v>
      </c>
      <c r="EB108" s="83">
        <f t="shared" si="17"/>
        <v>539.06948525790006</v>
      </c>
      <c r="EC108" s="83">
        <f t="shared" si="17"/>
        <v>740.73151646550002</v>
      </c>
      <c r="ED108" s="83">
        <f t="shared" si="17"/>
        <v>767.05676641819991</v>
      </c>
    </row>
    <row r="109" spans="2:134" x14ac:dyDescent="0.3">
      <c r="B109" s="45">
        <f t="shared" si="13"/>
        <v>1000000105</v>
      </c>
      <c r="C109" s="46">
        <v>41913</v>
      </c>
      <c r="D109" s="66">
        <v>-8</v>
      </c>
      <c r="E109" s="66">
        <v>-8</v>
      </c>
      <c r="F109" s="66">
        <v>-8</v>
      </c>
      <c r="G109" s="66">
        <v>-8</v>
      </c>
      <c r="H109" s="66">
        <v>-8</v>
      </c>
      <c r="I109" s="66">
        <v>-8</v>
      </c>
      <c r="J109" s="66">
        <v>-8</v>
      </c>
      <c r="K109" s="66">
        <v>-8</v>
      </c>
      <c r="L109" s="66">
        <v>-8</v>
      </c>
      <c r="M109" s="66">
        <v>-7.624733</v>
      </c>
      <c r="N109" s="66">
        <v>-3.5155593499999993</v>
      </c>
      <c r="O109" s="66">
        <v>1.0550426032000004</v>
      </c>
      <c r="P109" s="66">
        <v>8.1476264299000007</v>
      </c>
      <c r="Q109" s="66">
        <v>31.260658700199997</v>
      </c>
      <c r="R109" s="66">
        <v>16.237932629500001</v>
      </c>
      <c r="S109" s="66">
        <v>6.8740077585999995</v>
      </c>
      <c r="T109" s="66">
        <v>6.1884700030000008</v>
      </c>
      <c r="U109" s="66">
        <v>7.0063644295000014</v>
      </c>
      <c r="V109" s="66">
        <v>14.738478277600002</v>
      </c>
      <c r="W109" s="66">
        <v>15.691618930899999</v>
      </c>
      <c r="X109" s="66">
        <v>21.208906945000003</v>
      </c>
      <c r="Y109" s="66">
        <v>21.764977585600001</v>
      </c>
      <c r="Z109" s="66">
        <v>16.005492249700001</v>
      </c>
      <c r="AA109" s="66">
        <v>15.155024647600001</v>
      </c>
      <c r="AB109" s="66">
        <v>24.576477949600005</v>
      </c>
      <c r="AC109" s="66">
        <v>49.9725220678</v>
      </c>
      <c r="AD109" s="66">
        <v>47.424008817400008</v>
      </c>
      <c r="AE109" s="66">
        <v>37.744596979599997</v>
      </c>
      <c r="AF109" s="66">
        <v>20.990464024300007</v>
      </c>
      <c r="AG109" s="66">
        <v>25.215032276800002</v>
      </c>
      <c r="AH109" s="66">
        <v>25.079373256299995</v>
      </c>
      <c r="AI109" s="66">
        <v>35.761536044799996</v>
      </c>
      <c r="AJ109" s="66">
        <v>40.346473197400009</v>
      </c>
      <c r="AK109" s="66">
        <v>26.481108081400002</v>
      </c>
      <c r="AL109" s="66">
        <v>32.578146083799993</v>
      </c>
      <c r="AM109" s="66">
        <v>24.933544500099998</v>
      </c>
      <c r="AN109" s="66">
        <v>41.681260389700007</v>
      </c>
      <c r="AO109" s="66">
        <v>41.314211737000008</v>
      </c>
      <c r="AP109" s="66">
        <v>51.8660067697</v>
      </c>
      <c r="AQ109" s="66">
        <v>49.723795100200007</v>
      </c>
      <c r="AR109" s="66">
        <v>45.769981988200001</v>
      </c>
      <c r="AS109" s="66">
        <v>44.719947395500007</v>
      </c>
      <c r="AT109" s="66">
        <v>45.633009533200003</v>
      </c>
      <c r="AU109" s="66">
        <v>51.722692302400013</v>
      </c>
      <c r="AV109" s="66">
        <v>51.831369625600004</v>
      </c>
      <c r="AW109" s="66">
        <v>45.836028980199998</v>
      </c>
      <c r="AX109" s="66">
        <v>44.547812422600003</v>
      </c>
      <c r="AY109" s="66">
        <v>53.376193757799996</v>
      </c>
      <c r="AZ109" s="66">
        <v>48.299769415299991</v>
      </c>
      <c r="BA109" s="66">
        <v>75.227991167799999</v>
      </c>
      <c r="BB109" s="66">
        <v>103.365360721</v>
      </c>
      <c r="BC109" s="66">
        <v>69.002424217900014</v>
      </c>
      <c r="BD109" s="66">
        <v>74.800036681000009</v>
      </c>
      <c r="BE109" s="66">
        <v>50.989383057700003</v>
      </c>
      <c r="BF109" s="66">
        <v>56.525471948499998</v>
      </c>
      <c r="BG109" s="66">
        <v>62.388606029800002</v>
      </c>
      <c r="BH109" s="66">
        <v>53.733372888400005</v>
      </c>
      <c r="BI109" s="66">
        <v>59.94190271650001</v>
      </c>
      <c r="BJ109" s="66">
        <v>72.626152476700014</v>
      </c>
      <c r="BK109" s="66">
        <v>46.757834839000004</v>
      </c>
      <c r="BL109" s="66">
        <v>76.37319347170002</v>
      </c>
      <c r="BM109" s="66">
        <v>92.305191483399994</v>
      </c>
      <c r="BN109" s="66">
        <v>99.078535673200037</v>
      </c>
      <c r="BO109" s="66">
        <v>108.55459032370001</v>
      </c>
      <c r="BP109" s="66">
        <v>99.585333756700038</v>
      </c>
      <c r="BQ109" s="66">
        <v>64.683438788199993</v>
      </c>
      <c r="BR109" s="66">
        <v>67.370838355299995</v>
      </c>
      <c r="BS109" s="66">
        <v>99.528480806200008</v>
      </c>
      <c r="BT109" s="66">
        <v>83.7513179587</v>
      </c>
      <c r="BU109" s="66">
        <v>78.819671624800009</v>
      </c>
      <c r="BV109" s="66">
        <v>84.699129820600021</v>
      </c>
      <c r="BW109" s="66">
        <v>78.127228956400003</v>
      </c>
      <c r="BX109" s="66">
        <v>108.54438306130001</v>
      </c>
      <c r="BY109" s="66">
        <v>135.75634419249999</v>
      </c>
      <c r="BZ109" s="66">
        <v>89.257047749200012</v>
      </c>
      <c r="CA109" s="66">
        <v>67.964961069699982</v>
      </c>
      <c r="CB109" s="66">
        <v>80.278184346999993</v>
      </c>
      <c r="CC109" s="66">
        <v>85.938374034700004</v>
      </c>
      <c r="CD109" s="66">
        <v>82.617261084700004</v>
      </c>
      <c r="CE109" s="66">
        <v>103.73661236410001</v>
      </c>
      <c r="CF109" s="66">
        <v>90.150783636399993</v>
      </c>
      <c r="CG109" s="66">
        <v>81.434006706999995</v>
      </c>
      <c r="CH109" s="66">
        <v>63.955983708700003</v>
      </c>
      <c r="CI109" s="66">
        <v>55.767732822099994</v>
      </c>
      <c r="CJ109" s="66">
        <v>79.028620290400013</v>
      </c>
      <c r="CK109" s="66">
        <v>118.2153513916</v>
      </c>
      <c r="CL109" s="66">
        <v>111.53304697600001</v>
      </c>
      <c r="CM109" s="66">
        <v>114.00219125590002</v>
      </c>
      <c r="CN109" s="66">
        <v>89.092418116299996</v>
      </c>
      <c r="CO109" s="66">
        <v>71.101705342599999</v>
      </c>
      <c r="CP109" s="66">
        <v>103.021616149</v>
      </c>
      <c r="CQ109" s="66">
        <v>74.873438906200008</v>
      </c>
      <c r="CR109" s="66">
        <v>52.690918689099995</v>
      </c>
      <c r="CS109" s="66">
        <v>53.175388386099996</v>
      </c>
      <c r="CT109" s="66">
        <v>51.670229975799998</v>
      </c>
      <c r="CU109" s="66">
        <v>47.068293228100003</v>
      </c>
      <c r="CV109" s="66">
        <v>61.157580163000006</v>
      </c>
      <c r="CW109" s="66">
        <v>90.214841713300004</v>
      </c>
      <c r="CX109" s="66">
        <v>77.370915844600006</v>
      </c>
      <c r="CY109" s="66">
        <v>89.999213295099992</v>
      </c>
      <c r="CZ109" s="66">
        <v>56.246873727699992</v>
      </c>
      <c r="DA109" s="66">
        <v>55.581712970200016</v>
      </c>
      <c r="DB109" s="66">
        <v>67.47234807880001</v>
      </c>
      <c r="DC109" s="66">
        <v>68.698232787699993</v>
      </c>
      <c r="DD109" s="66">
        <v>79.826437932399998</v>
      </c>
      <c r="DE109" s="66">
        <v>74.075095890399993</v>
      </c>
      <c r="DF109" s="66">
        <v>57.723361739200001</v>
      </c>
      <c r="DG109" s="66">
        <v>58.4810633389</v>
      </c>
      <c r="DH109" s="66">
        <v>75.370592627799994</v>
      </c>
      <c r="DI109" s="66">
        <v>91.123250540200004</v>
      </c>
      <c r="DJ109" s="66">
        <v>99.311313793299988</v>
      </c>
      <c r="DK109" s="66">
        <v>112.00663393000004</v>
      </c>
      <c r="DL109" s="66">
        <v>90.384312290500006</v>
      </c>
      <c r="DM109" s="66">
        <v>105.84321119530001</v>
      </c>
      <c r="DN109" s="66">
        <v>110.38784467210002</v>
      </c>
      <c r="DO109" s="66">
        <v>111.41303658940002</v>
      </c>
      <c r="DP109" s="79"/>
      <c r="DQ109" s="80"/>
      <c r="DR109" s="81"/>
      <c r="DS109" s="84">
        <f t="shared" si="12"/>
        <v>2014</v>
      </c>
      <c r="DT109" s="80"/>
      <c r="DU109" s="83">
        <f t="shared" si="17"/>
        <v>-82.085249746800002</v>
      </c>
      <c r="DV109" s="83">
        <f t="shared" si="17"/>
        <v>180.27955858710004</v>
      </c>
      <c r="DW109" s="83">
        <f t="shared" si="17"/>
        <v>391.10328327930006</v>
      </c>
      <c r="DX109" s="83">
        <f t="shared" si="17"/>
        <v>568.02231000210008</v>
      </c>
      <c r="DY109" s="83">
        <f t="shared" si="17"/>
        <v>773.6583061596001</v>
      </c>
      <c r="DZ109" s="83">
        <f t="shared" si="17"/>
        <v>1032.8769510188999</v>
      </c>
      <c r="EA109" s="83">
        <f t="shared" si="17"/>
        <v>1045.4016747773999</v>
      </c>
      <c r="EB109" s="83">
        <f t="shared" si="17"/>
        <v>965.47321870710016</v>
      </c>
      <c r="EC109" s="83">
        <f t="shared" si="17"/>
        <v>836.84767748130002</v>
      </c>
      <c r="ED109" s="83">
        <f t="shared" si="17"/>
        <v>795.84019563860011</v>
      </c>
    </row>
    <row r="110" spans="2:134" x14ac:dyDescent="0.3">
      <c r="B110" s="45">
        <f t="shared" si="13"/>
        <v>1000000106</v>
      </c>
      <c r="C110" s="46">
        <v>41518</v>
      </c>
      <c r="D110" s="66">
        <v>-6.2532822217999993</v>
      </c>
      <c r="E110" s="66">
        <v>7.6842092116000007</v>
      </c>
      <c r="F110" s="66">
        <v>9.7393214104000023</v>
      </c>
      <c r="G110" s="66">
        <v>10.483138131099999</v>
      </c>
      <c r="H110" s="66">
        <v>2.1548376001000005</v>
      </c>
      <c r="I110" s="66">
        <v>4.146492149200002</v>
      </c>
      <c r="J110" s="66">
        <v>1.9058479455999997</v>
      </c>
      <c r="K110" s="66">
        <v>10.583034206500002</v>
      </c>
      <c r="L110" s="66">
        <v>10.439044258599999</v>
      </c>
      <c r="M110" s="66">
        <v>17.9015662939</v>
      </c>
      <c r="N110" s="66">
        <v>20.680681115800002</v>
      </c>
      <c r="O110" s="66">
        <v>16.2572213533</v>
      </c>
      <c r="P110" s="66">
        <v>11.826143670700002</v>
      </c>
      <c r="Q110" s="66">
        <v>117.53078933019999</v>
      </c>
      <c r="R110" s="66">
        <v>23.668481916400001</v>
      </c>
      <c r="S110" s="66">
        <v>24.382014590200001</v>
      </c>
      <c r="T110" s="66">
        <v>19.303939072900004</v>
      </c>
      <c r="U110" s="66">
        <v>20.375101197699998</v>
      </c>
      <c r="V110" s="66">
        <v>15.9708175789</v>
      </c>
      <c r="W110" s="66">
        <v>16.287205186599998</v>
      </c>
      <c r="X110" s="66">
        <v>23.337834162699998</v>
      </c>
      <c r="Y110" s="66">
        <v>26.086514830900001</v>
      </c>
      <c r="Z110" s="66">
        <v>22.633795744</v>
      </c>
      <c r="AA110" s="66">
        <v>27.990582062199998</v>
      </c>
      <c r="AB110" s="66">
        <v>26.038105387899996</v>
      </c>
      <c r="AC110" s="66">
        <v>62.487601464400001</v>
      </c>
      <c r="AD110" s="66">
        <v>46.529785083100002</v>
      </c>
      <c r="AE110" s="66">
        <v>40.944386108499998</v>
      </c>
      <c r="AF110" s="66">
        <v>27.593962369900005</v>
      </c>
      <c r="AG110" s="66">
        <v>29.486433850900006</v>
      </c>
      <c r="AH110" s="66">
        <v>42.9540159469</v>
      </c>
      <c r="AI110" s="66">
        <v>45.144824692899988</v>
      </c>
      <c r="AJ110" s="66">
        <v>50.362499534200005</v>
      </c>
      <c r="AK110" s="66">
        <v>47.582784285100004</v>
      </c>
      <c r="AL110" s="66">
        <v>48.758195582500008</v>
      </c>
      <c r="AM110" s="66">
        <v>43.573731870700001</v>
      </c>
      <c r="AN110" s="66">
        <v>41.395494569200004</v>
      </c>
      <c r="AO110" s="66">
        <v>86.885285255800014</v>
      </c>
      <c r="AP110" s="66">
        <v>103.86168885519999</v>
      </c>
      <c r="AQ110" s="66">
        <v>78.4933394416</v>
      </c>
      <c r="AR110" s="66">
        <v>61.443345983500009</v>
      </c>
      <c r="AS110" s="66">
        <v>50.307297758499999</v>
      </c>
      <c r="AT110" s="66">
        <v>61.527030524499992</v>
      </c>
      <c r="AU110" s="66">
        <v>63.533207906499982</v>
      </c>
      <c r="AV110" s="66">
        <v>71.417079729400001</v>
      </c>
      <c r="AW110" s="66">
        <v>68.102946745599994</v>
      </c>
      <c r="AX110" s="66">
        <v>63.720578719599999</v>
      </c>
      <c r="AY110" s="66">
        <v>59.959277578600009</v>
      </c>
      <c r="AZ110" s="66">
        <v>59.408610782799997</v>
      </c>
      <c r="BA110" s="66">
        <v>125.17614144790002</v>
      </c>
      <c r="BB110" s="66">
        <v>142.4241257752</v>
      </c>
      <c r="BC110" s="66">
        <v>104.3704383271</v>
      </c>
      <c r="BD110" s="66">
        <v>101.9637760027</v>
      </c>
      <c r="BE110" s="66">
        <v>57.84235890490001</v>
      </c>
      <c r="BF110" s="66">
        <v>68.758688301399999</v>
      </c>
      <c r="BG110" s="66">
        <v>60.710299425700001</v>
      </c>
      <c r="BH110" s="66">
        <v>60.415864937500004</v>
      </c>
      <c r="BI110" s="66">
        <v>76.650215571099992</v>
      </c>
      <c r="BJ110" s="66">
        <v>64.591235686299981</v>
      </c>
      <c r="BK110" s="66">
        <v>46.569113064699991</v>
      </c>
      <c r="BL110" s="66">
        <v>62.286796092700001</v>
      </c>
      <c r="BM110" s="66">
        <v>102.4483958065</v>
      </c>
      <c r="BN110" s="66">
        <v>96.3389364664</v>
      </c>
      <c r="BO110" s="66">
        <v>78.383311157199998</v>
      </c>
      <c r="BP110" s="66">
        <v>75.927526382500005</v>
      </c>
      <c r="BQ110" s="66">
        <v>39.692532923200005</v>
      </c>
      <c r="BR110" s="66">
        <v>70.189206105400004</v>
      </c>
      <c r="BS110" s="66">
        <v>65.935742293899992</v>
      </c>
      <c r="BT110" s="66">
        <v>59.371346769699983</v>
      </c>
      <c r="BU110" s="66">
        <v>65.620780700799997</v>
      </c>
      <c r="BV110" s="66">
        <v>63.925774715199992</v>
      </c>
      <c r="BW110" s="66">
        <v>55.586366280999997</v>
      </c>
      <c r="BX110" s="66">
        <v>63.518610020200001</v>
      </c>
      <c r="BY110" s="66">
        <v>76.264178408199996</v>
      </c>
      <c r="BZ110" s="66">
        <v>65.307019962099986</v>
      </c>
      <c r="CA110" s="66">
        <v>54.589094228500009</v>
      </c>
      <c r="CB110" s="66">
        <v>58.419444497499995</v>
      </c>
      <c r="CC110" s="66">
        <v>63.080260637500004</v>
      </c>
      <c r="CD110" s="66">
        <v>65.212865471800015</v>
      </c>
      <c r="CE110" s="66">
        <v>55.373927632300003</v>
      </c>
      <c r="CF110" s="66">
        <v>69.998382835900017</v>
      </c>
      <c r="CG110" s="66">
        <v>58.17296913189999</v>
      </c>
      <c r="CH110" s="66">
        <v>53.753262039400013</v>
      </c>
      <c r="CI110" s="66">
        <v>40.703877488199993</v>
      </c>
      <c r="CJ110" s="66">
        <v>57.45328207930001</v>
      </c>
      <c r="CK110" s="66">
        <v>74.045712484299997</v>
      </c>
      <c r="CL110" s="66">
        <v>73.083377789499991</v>
      </c>
      <c r="CM110" s="66">
        <v>70.052608917400008</v>
      </c>
      <c r="CN110" s="66">
        <v>52.294749317200008</v>
      </c>
      <c r="CO110" s="66">
        <v>32.184340894000009</v>
      </c>
      <c r="CP110" s="66">
        <v>48.261792394900006</v>
      </c>
      <c r="CQ110" s="66">
        <v>58.310129220400015</v>
      </c>
      <c r="CR110" s="66">
        <v>60.803891015499985</v>
      </c>
      <c r="CS110" s="66">
        <v>60.694313051500004</v>
      </c>
      <c r="CT110" s="66">
        <v>55.460914522899998</v>
      </c>
      <c r="CU110" s="66">
        <v>51.238034971899992</v>
      </c>
      <c r="CV110" s="66">
        <v>66.871057764699998</v>
      </c>
      <c r="CW110" s="66">
        <v>72.115526669800019</v>
      </c>
      <c r="CX110" s="66">
        <v>89.692920369700005</v>
      </c>
      <c r="CY110" s="66">
        <v>82.011354986499981</v>
      </c>
      <c r="CZ110" s="66">
        <v>80.569016271999999</v>
      </c>
      <c r="DA110" s="66">
        <v>64.3809735862</v>
      </c>
      <c r="DB110" s="66">
        <v>70.788807717999987</v>
      </c>
      <c r="DC110" s="66">
        <v>69.488882830000009</v>
      </c>
      <c r="DD110" s="66">
        <v>74.780222583400004</v>
      </c>
      <c r="DE110" s="66">
        <v>77.931489689200021</v>
      </c>
      <c r="DF110" s="66">
        <v>60.632018729500018</v>
      </c>
      <c r="DG110" s="66">
        <v>56.628632846800002</v>
      </c>
      <c r="DH110" s="66">
        <v>75.364438249000003</v>
      </c>
      <c r="DI110" s="66">
        <v>85.288711804299993</v>
      </c>
      <c r="DJ110" s="66">
        <v>118.7749870687</v>
      </c>
      <c r="DK110" s="66">
        <v>101.6384945671</v>
      </c>
      <c r="DL110" s="66">
        <v>99.109645307500003</v>
      </c>
      <c r="DM110" s="66">
        <v>92.143563986499998</v>
      </c>
      <c r="DN110" s="66">
        <v>90.950365033300002</v>
      </c>
      <c r="DO110" s="66">
        <v>101.95281820629998</v>
      </c>
      <c r="DP110" s="79"/>
      <c r="DQ110" s="80"/>
      <c r="DR110" s="81"/>
      <c r="DS110" s="84">
        <f t="shared" si="12"/>
        <v>2013</v>
      </c>
      <c r="DT110" s="80"/>
      <c r="DU110" s="83">
        <f t="shared" si="17"/>
        <v>105.72211145430001</v>
      </c>
      <c r="DV110" s="83">
        <f t="shared" si="17"/>
        <v>349.39321934340001</v>
      </c>
      <c r="DW110" s="83">
        <f t="shared" si="17"/>
        <v>511.45632617699999</v>
      </c>
      <c r="DX110" s="83">
        <f t="shared" si="17"/>
        <v>810.64657306799995</v>
      </c>
      <c r="DY110" s="83">
        <f t="shared" si="17"/>
        <v>968.88086822730008</v>
      </c>
      <c r="DZ110" s="83">
        <f t="shared" si="17"/>
        <v>835.70671569450008</v>
      </c>
      <c r="EA110" s="83">
        <f t="shared" si="17"/>
        <v>724.39389235350006</v>
      </c>
      <c r="EB110" s="83">
        <f t="shared" si="17"/>
        <v>693.8831466588</v>
      </c>
      <c r="EC110" s="83">
        <f t="shared" si="17"/>
        <v>865.89090404579997</v>
      </c>
      <c r="ED110" s="83">
        <f t="shared" si="17"/>
        <v>765.22302422270002</v>
      </c>
    </row>
    <row r="111" spans="2:134" x14ac:dyDescent="0.3">
      <c r="B111" s="45">
        <f t="shared" si="13"/>
        <v>1000000107</v>
      </c>
      <c r="C111" s="46">
        <v>41153</v>
      </c>
      <c r="D111" s="66">
        <v>26.928764085699996</v>
      </c>
      <c r="E111" s="66">
        <v>51.770201104600005</v>
      </c>
      <c r="F111" s="66">
        <v>41.090777765200002</v>
      </c>
      <c r="G111" s="66">
        <v>25.838500870600001</v>
      </c>
      <c r="H111" s="66">
        <v>17.696257718200002</v>
      </c>
      <c r="I111" s="66">
        <v>19.884552175300001</v>
      </c>
      <c r="J111" s="66">
        <v>23.050454694099997</v>
      </c>
      <c r="K111" s="66">
        <v>28.399247825200007</v>
      </c>
      <c r="L111" s="66">
        <v>28.449308443000007</v>
      </c>
      <c r="M111" s="66">
        <v>22.939600822300001</v>
      </c>
      <c r="N111" s="66">
        <v>17.997334432300001</v>
      </c>
      <c r="O111" s="66">
        <v>13.816147045000001</v>
      </c>
      <c r="P111" s="66">
        <v>23.461221952300001</v>
      </c>
      <c r="Q111" s="66">
        <v>111.4967961838</v>
      </c>
      <c r="R111" s="66">
        <v>35.793508793199997</v>
      </c>
      <c r="S111" s="66">
        <v>30.482767735900005</v>
      </c>
      <c r="T111" s="66">
        <v>23.110459887400008</v>
      </c>
      <c r="U111" s="66">
        <v>23.111960955400004</v>
      </c>
      <c r="V111" s="66">
        <v>33.381179937100001</v>
      </c>
      <c r="W111" s="66">
        <v>40.722265571200005</v>
      </c>
      <c r="X111" s="66">
        <v>30.415857629799994</v>
      </c>
      <c r="Y111" s="66">
        <v>33.322900971999999</v>
      </c>
      <c r="Z111" s="66">
        <v>35.566247097999998</v>
      </c>
      <c r="AA111" s="66">
        <v>37.080674603200002</v>
      </c>
      <c r="AB111" s="66">
        <v>37.213669228000001</v>
      </c>
      <c r="AC111" s="66">
        <v>94.483391258199987</v>
      </c>
      <c r="AD111" s="66">
        <v>71.207980957000004</v>
      </c>
      <c r="AE111" s="66">
        <v>49.582582128100007</v>
      </c>
      <c r="AF111" s="66">
        <v>52.014087127899991</v>
      </c>
      <c r="AG111" s="66">
        <v>53.675281556800009</v>
      </c>
      <c r="AH111" s="66">
        <v>64.433398386100009</v>
      </c>
      <c r="AI111" s="66">
        <v>70.365956862400012</v>
      </c>
      <c r="AJ111" s="66">
        <v>50.903221754500009</v>
      </c>
      <c r="AK111" s="66">
        <v>62.042722435900004</v>
      </c>
      <c r="AL111" s="66">
        <v>65.848830456700014</v>
      </c>
      <c r="AM111" s="66">
        <v>50.592050358100003</v>
      </c>
      <c r="AN111" s="66">
        <v>74.584408262800011</v>
      </c>
      <c r="AO111" s="66">
        <v>112.83282175719998</v>
      </c>
      <c r="AP111" s="66">
        <v>127.4013621778</v>
      </c>
      <c r="AQ111" s="66">
        <v>91.950188901399997</v>
      </c>
      <c r="AR111" s="66">
        <v>71.285398539100001</v>
      </c>
      <c r="AS111" s="66">
        <v>71.441134344099993</v>
      </c>
      <c r="AT111" s="66">
        <v>74.360036123500009</v>
      </c>
      <c r="AU111" s="66">
        <v>85.807518431799991</v>
      </c>
      <c r="AV111" s="66">
        <v>80.233414993900013</v>
      </c>
      <c r="AW111" s="66">
        <v>75.500922856900004</v>
      </c>
      <c r="AX111" s="66">
        <v>72.422495075799986</v>
      </c>
      <c r="AY111" s="66">
        <v>67.332260907700004</v>
      </c>
      <c r="AZ111" s="66">
        <v>68.925607063000015</v>
      </c>
      <c r="BA111" s="66">
        <v>136.34074749159996</v>
      </c>
      <c r="BB111" s="66">
        <v>128.85867404560003</v>
      </c>
      <c r="BC111" s="66">
        <v>97.905788771499999</v>
      </c>
      <c r="BD111" s="66">
        <v>76.211978768500018</v>
      </c>
      <c r="BE111" s="66">
        <v>73.214083285600012</v>
      </c>
      <c r="BF111" s="66">
        <v>65.680635787300005</v>
      </c>
      <c r="BG111" s="66">
        <v>72.236512750599999</v>
      </c>
      <c r="BH111" s="66">
        <v>84.776810089599991</v>
      </c>
      <c r="BI111" s="66">
        <v>92.994519435700013</v>
      </c>
      <c r="BJ111" s="66">
        <v>88.200933831100016</v>
      </c>
      <c r="BK111" s="66">
        <v>71.758272485799992</v>
      </c>
      <c r="BL111" s="66">
        <v>82.908768490300005</v>
      </c>
      <c r="BM111" s="66">
        <v>166.48951063810003</v>
      </c>
      <c r="BN111" s="66">
        <v>152.09374314429999</v>
      </c>
      <c r="BO111" s="66">
        <v>129.71214378370001</v>
      </c>
      <c r="BP111" s="66">
        <v>111.00174395740001</v>
      </c>
      <c r="BQ111" s="66">
        <v>71.668733779600018</v>
      </c>
      <c r="BR111" s="66">
        <v>73.417365419500001</v>
      </c>
      <c r="BS111" s="66">
        <v>80.385810922600001</v>
      </c>
      <c r="BT111" s="66">
        <v>70.779538623100009</v>
      </c>
      <c r="BU111" s="66">
        <v>76.551557876800004</v>
      </c>
      <c r="BV111" s="66">
        <v>67.368436646500015</v>
      </c>
      <c r="BW111" s="66">
        <v>59.680379144200003</v>
      </c>
      <c r="BX111" s="66">
        <v>105.2695030057</v>
      </c>
      <c r="BY111" s="66">
        <v>130.85137934230002</v>
      </c>
      <c r="BZ111" s="66">
        <v>86.804828010999984</v>
      </c>
      <c r="CA111" s="66">
        <v>38.013363205000005</v>
      </c>
      <c r="CB111" s="66">
        <v>32.9497354672</v>
      </c>
      <c r="CC111" s="66">
        <v>92.134182311500012</v>
      </c>
      <c r="CD111" s="66">
        <v>78.596275179700001</v>
      </c>
      <c r="CE111" s="66">
        <v>72.482462742400017</v>
      </c>
      <c r="CF111" s="66">
        <v>93.527886422799995</v>
      </c>
      <c r="CG111" s="66">
        <v>87.676085404900007</v>
      </c>
      <c r="CH111" s="66">
        <v>52.116384912100003</v>
      </c>
      <c r="CI111" s="66">
        <v>58.603663067799999</v>
      </c>
      <c r="CJ111" s="66">
        <v>71.507481549700003</v>
      </c>
      <c r="CK111" s="66">
        <v>123.37910036500003</v>
      </c>
      <c r="CL111" s="66">
        <v>122.72827480690003</v>
      </c>
      <c r="CM111" s="66">
        <v>117.6845362201</v>
      </c>
      <c r="CN111" s="66">
        <v>84.148688184999997</v>
      </c>
      <c r="CO111" s="66">
        <v>85.546445179900019</v>
      </c>
      <c r="CP111" s="66">
        <v>93.152919636400014</v>
      </c>
      <c r="CQ111" s="66">
        <v>83.052570804700011</v>
      </c>
      <c r="CR111" s="66">
        <v>89.717200144600014</v>
      </c>
      <c r="CS111" s="66">
        <v>82.000622350299992</v>
      </c>
      <c r="CT111" s="66">
        <v>52.758053955400001</v>
      </c>
      <c r="CU111" s="66">
        <v>69.018898439200001</v>
      </c>
      <c r="CV111" s="66">
        <v>71.466164653000021</v>
      </c>
      <c r="CW111" s="66">
        <v>99.54900791110002</v>
      </c>
      <c r="CX111" s="66">
        <v>122.55989250400003</v>
      </c>
      <c r="CY111" s="66">
        <v>102.7969062694</v>
      </c>
      <c r="CZ111" s="66">
        <v>64.170336219099994</v>
      </c>
      <c r="DA111" s="66">
        <v>57.223543621899992</v>
      </c>
      <c r="DB111" s="66">
        <v>81.481327875700003</v>
      </c>
      <c r="DC111" s="66">
        <v>75.996763144000013</v>
      </c>
      <c r="DD111" s="66">
        <v>83.081016043299996</v>
      </c>
      <c r="DE111" s="66">
        <v>79.010044573899989</v>
      </c>
      <c r="DF111" s="66">
        <v>51.933592356399998</v>
      </c>
      <c r="DG111" s="66">
        <v>77.288056890999997</v>
      </c>
      <c r="DH111" s="66">
        <v>83.715592540299994</v>
      </c>
      <c r="DI111" s="66">
        <v>114.262363867</v>
      </c>
      <c r="DJ111" s="66">
        <v>117.28817921470002</v>
      </c>
      <c r="DK111" s="66">
        <v>86.170701834400006</v>
      </c>
      <c r="DL111" s="66">
        <v>76.766398234300013</v>
      </c>
      <c r="DM111" s="66">
        <v>70.2325119172</v>
      </c>
      <c r="DN111" s="66">
        <v>69.484379626000006</v>
      </c>
      <c r="DO111" s="66">
        <v>92.558046387999994</v>
      </c>
      <c r="DP111" s="79"/>
      <c r="DQ111" s="80"/>
      <c r="DR111" s="81"/>
      <c r="DS111" s="84">
        <f t="shared" si="12"/>
        <v>2012</v>
      </c>
      <c r="DT111" s="80"/>
      <c r="DU111" s="83">
        <f t="shared" si="17"/>
        <v>317.86114698150004</v>
      </c>
      <c r="DV111" s="83">
        <f t="shared" si="17"/>
        <v>457.94584131930003</v>
      </c>
      <c r="DW111" s="83">
        <f t="shared" si="17"/>
        <v>722.36317250970012</v>
      </c>
      <c r="DX111" s="83">
        <f t="shared" si="17"/>
        <v>1005.1519623719998</v>
      </c>
      <c r="DY111" s="83">
        <f t="shared" si="17"/>
        <v>1057.1045638058999</v>
      </c>
      <c r="DZ111" s="83">
        <f t="shared" si="17"/>
        <v>1142.0577324261001</v>
      </c>
      <c r="EA111" s="83">
        <f t="shared" si="17"/>
        <v>929.0257490724</v>
      </c>
      <c r="EB111" s="83">
        <f t="shared" si="17"/>
        <v>1074.6947916372001</v>
      </c>
      <c r="EC111" s="83">
        <f t="shared" si="17"/>
        <v>966.55665206280025</v>
      </c>
      <c r="ED111" s="83">
        <f t="shared" si="17"/>
        <v>710.47817362189994</v>
      </c>
    </row>
    <row r="112" spans="2:134" x14ac:dyDescent="0.3">
      <c r="B112" s="45">
        <f t="shared" si="13"/>
        <v>1000000108</v>
      </c>
      <c r="C112" s="46">
        <v>41821</v>
      </c>
      <c r="D112" s="66">
        <v>-8</v>
      </c>
      <c r="E112" s="66">
        <v>-8</v>
      </c>
      <c r="F112" s="66">
        <v>-8</v>
      </c>
      <c r="G112" s="66">
        <v>-8</v>
      </c>
      <c r="H112" s="66">
        <v>-8</v>
      </c>
      <c r="I112" s="66">
        <v>-8</v>
      </c>
      <c r="J112" s="66">
        <v>-7.3207667299999999</v>
      </c>
      <c r="K112" s="66">
        <v>-2.5895129740999998</v>
      </c>
      <c r="L112" s="66">
        <v>0.9726339700000004</v>
      </c>
      <c r="M112" s="66">
        <v>8.0696084206000016</v>
      </c>
      <c r="N112" s="66">
        <v>7.9852483990000032</v>
      </c>
      <c r="O112" s="66">
        <v>8.194722438400003</v>
      </c>
      <c r="P112" s="66">
        <v>8.7216348331000013</v>
      </c>
      <c r="Q112" s="66">
        <v>34.646993054799999</v>
      </c>
      <c r="R112" s="66">
        <v>10.820653270899999</v>
      </c>
      <c r="S112" s="66">
        <v>13.298090951500001</v>
      </c>
      <c r="T112" s="66">
        <v>14.158390549</v>
      </c>
      <c r="U112" s="66">
        <v>23.743647896500008</v>
      </c>
      <c r="V112" s="66">
        <v>26.482346462500004</v>
      </c>
      <c r="W112" s="66">
        <v>29.176012988499998</v>
      </c>
      <c r="X112" s="66">
        <v>30.622029319600003</v>
      </c>
      <c r="Y112" s="66">
        <v>34.768617089500005</v>
      </c>
      <c r="Z112" s="66">
        <v>37.778258429500006</v>
      </c>
      <c r="AA112" s="66">
        <v>37.163871297099995</v>
      </c>
      <c r="AB112" s="66">
        <v>42.739550856400001</v>
      </c>
      <c r="AC112" s="66">
        <v>63.043334364700002</v>
      </c>
      <c r="AD112" s="66">
        <v>52.33238859730001</v>
      </c>
      <c r="AE112" s="66">
        <v>47.776684744000001</v>
      </c>
      <c r="AF112" s="66">
        <v>38.322433106200016</v>
      </c>
      <c r="AG112" s="66">
        <v>45.330244117599996</v>
      </c>
      <c r="AH112" s="66">
        <v>43.9053928453</v>
      </c>
      <c r="AI112" s="66">
        <v>45.168278880399996</v>
      </c>
      <c r="AJ112" s="66">
        <v>46.474996101100004</v>
      </c>
      <c r="AK112" s="66">
        <v>49.672796314899998</v>
      </c>
      <c r="AL112" s="66">
        <v>50.760732874600009</v>
      </c>
      <c r="AM112" s="66">
        <v>54.930662251899996</v>
      </c>
      <c r="AN112" s="66">
        <v>49.172227663600005</v>
      </c>
      <c r="AO112" s="66">
        <v>89.399836842699997</v>
      </c>
      <c r="AP112" s="66">
        <v>90.112468875700003</v>
      </c>
      <c r="AQ112" s="66">
        <v>62.067264897700028</v>
      </c>
      <c r="AR112" s="66">
        <v>60.906451486599991</v>
      </c>
      <c r="AS112" s="66">
        <v>49.772504756800011</v>
      </c>
      <c r="AT112" s="66">
        <v>62.103140422899997</v>
      </c>
      <c r="AU112" s="66">
        <v>54.659681951199985</v>
      </c>
      <c r="AV112" s="66">
        <v>67.329221244999999</v>
      </c>
      <c r="AW112" s="66">
        <v>58.191657428500008</v>
      </c>
      <c r="AX112" s="66">
        <v>60.700392376899984</v>
      </c>
      <c r="AY112" s="66">
        <v>52.832169187900007</v>
      </c>
      <c r="AZ112" s="66">
        <v>55.430217682300004</v>
      </c>
      <c r="BA112" s="66">
        <v>81.22760985699999</v>
      </c>
      <c r="BB112" s="66">
        <v>101.63958284139999</v>
      </c>
      <c r="BC112" s="66">
        <v>96.842282093500017</v>
      </c>
      <c r="BD112" s="66">
        <v>81.38961262090001</v>
      </c>
      <c r="BE112" s="66">
        <v>54.810764445400018</v>
      </c>
      <c r="BF112" s="66">
        <v>54.542973914200005</v>
      </c>
      <c r="BG112" s="66">
        <v>57.683358276999996</v>
      </c>
      <c r="BH112" s="66">
        <v>67.409978703400014</v>
      </c>
      <c r="BI112" s="66">
        <v>74.719504382800011</v>
      </c>
      <c r="BJ112" s="66">
        <v>57.260207207800008</v>
      </c>
      <c r="BK112" s="66">
        <v>48.433627154200003</v>
      </c>
      <c r="BL112" s="66">
        <v>55.523809272099989</v>
      </c>
      <c r="BM112" s="66">
        <v>58.019635035700006</v>
      </c>
      <c r="BN112" s="66">
        <v>59.180823713799981</v>
      </c>
      <c r="BO112" s="66">
        <v>66.68687672110002</v>
      </c>
      <c r="BP112" s="66">
        <v>73.059660915099997</v>
      </c>
      <c r="BQ112" s="66">
        <v>48.923500695999991</v>
      </c>
      <c r="BR112" s="66">
        <v>68.5894428844</v>
      </c>
      <c r="BS112" s="66">
        <v>52.129556783799998</v>
      </c>
      <c r="BT112" s="66">
        <v>48.682429175199999</v>
      </c>
      <c r="BU112" s="66">
        <v>61.986094645599991</v>
      </c>
      <c r="BV112" s="66">
        <v>66.192349868500003</v>
      </c>
      <c r="BW112" s="66">
        <v>49.541265231400004</v>
      </c>
      <c r="BX112" s="66">
        <v>56.5877287438</v>
      </c>
      <c r="BY112" s="66">
        <v>61.929091588299997</v>
      </c>
      <c r="BZ112" s="66">
        <v>49.041409587400011</v>
      </c>
      <c r="CA112" s="66">
        <v>45.505794020200007</v>
      </c>
      <c r="CB112" s="66">
        <v>83.157420404500002</v>
      </c>
      <c r="CC112" s="66">
        <v>74.785326214600005</v>
      </c>
      <c r="CD112" s="66">
        <v>64.325471596900002</v>
      </c>
      <c r="CE112" s="66">
        <v>56.200978573600011</v>
      </c>
      <c r="CF112" s="66">
        <v>59.468540922699987</v>
      </c>
      <c r="CG112" s="66">
        <v>58.388747656900009</v>
      </c>
      <c r="CH112" s="66">
        <v>72.469591084300006</v>
      </c>
      <c r="CI112" s="66">
        <v>55.981072111599985</v>
      </c>
      <c r="CJ112" s="66">
        <v>53.414808732099999</v>
      </c>
      <c r="CK112" s="66">
        <v>69.203529803199999</v>
      </c>
      <c r="CL112" s="66">
        <v>57.423973726599996</v>
      </c>
      <c r="CM112" s="66">
        <v>65.51671916170001</v>
      </c>
      <c r="CN112" s="66">
        <v>61.410397540899993</v>
      </c>
      <c r="CO112" s="66">
        <v>70.117755268600007</v>
      </c>
      <c r="CP112" s="66">
        <v>49.23227038360001</v>
      </c>
      <c r="CQ112" s="66">
        <v>64.090404348099995</v>
      </c>
      <c r="CR112" s="66">
        <v>59.302335168400006</v>
      </c>
      <c r="CS112" s="66">
        <v>68.721574395100006</v>
      </c>
      <c r="CT112" s="66">
        <v>56.958530066499989</v>
      </c>
      <c r="CU112" s="66">
        <v>70.413840931600006</v>
      </c>
      <c r="CV112" s="66">
        <v>68.730430696300019</v>
      </c>
      <c r="CW112" s="66">
        <v>92.565926994999998</v>
      </c>
      <c r="CX112" s="66">
        <v>86.312515233700026</v>
      </c>
      <c r="CY112" s="66">
        <v>79.386287268099991</v>
      </c>
      <c r="CZ112" s="66">
        <v>68.207008284700024</v>
      </c>
      <c r="DA112" s="66">
        <v>57.572241718299992</v>
      </c>
      <c r="DB112" s="66">
        <v>58.232336371300022</v>
      </c>
      <c r="DC112" s="66">
        <v>75.898105449699997</v>
      </c>
      <c r="DD112" s="66">
        <v>76.59779077120001</v>
      </c>
      <c r="DE112" s="66">
        <v>76.300879520799995</v>
      </c>
      <c r="DF112" s="66">
        <v>68.809236766300003</v>
      </c>
      <c r="DG112" s="66">
        <v>62.531019856300006</v>
      </c>
      <c r="DH112" s="66">
        <v>74.341460407</v>
      </c>
      <c r="DI112" s="66">
        <v>86.724933666700011</v>
      </c>
      <c r="DJ112" s="66">
        <v>110.53235999380003</v>
      </c>
      <c r="DK112" s="66">
        <v>96.905552109700011</v>
      </c>
      <c r="DL112" s="66">
        <v>82.9734269944</v>
      </c>
      <c r="DM112" s="66">
        <v>97.190604922900008</v>
      </c>
      <c r="DN112" s="66">
        <v>118.64878477660002</v>
      </c>
      <c r="DO112" s="66">
        <v>134.44459839400002</v>
      </c>
      <c r="DP112" s="79"/>
      <c r="DQ112" s="80"/>
      <c r="DR112" s="81"/>
      <c r="DS112" s="84">
        <f t="shared" si="12"/>
        <v>2014</v>
      </c>
      <c r="DT112" s="80"/>
      <c r="DU112" s="83">
        <f t="shared" si="17"/>
        <v>-32.688066476099991</v>
      </c>
      <c r="DV112" s="83">
        <f t="shared" si="17"/>
        <v>301.38054614250001</v>
      </c>
      <c r="DW112" s="83">
        <f t="shared" si="17"/>
        <v>580.45749505439994</v>
      </c>
      <c r="DX112" s="83">
        <f t="shared" si="17"/>
        <v>757.24701713549996</v>
      </c>
      <c r="DY112" s="83">
        <f t="shared" si="17"/>
        <v>831.38971917990023</v>
      </c>
      <c r="DZ112" s="83">
        <f t="shared" si="17"/>
        <v>708.5154449426999</v>
      </c>
      <c r="EA112" s="83">
        <f t="shared" si="17"/>
        <v>737.84117250479994</v>
      </c>
      <c r="EB112" s="83">
        <f t="shared" si="17"/>
        <v>745.80613952639999</v>
      </c>
      <c r="EC112" s="83">
        <f t="shared" si="17"/>
        <v>871.14377893170013</v>
      </c>
      <c r="ED112" s="83">
        <f t="shared" si="17"/>
        <v>801.76172126510005</v>
      </c>
    </row>
    <row r="113" spans="2:134" x14ac:dyDescent="0.3">
      <c r="B113" s="45">
        <f t="shared" si="13"/>
        <v>1000000109</v>
      </c>
      <c r="C113" s="46">
        <v>39052</v>
      </c>
      <c r="D113" s="66">
        <v>78.925346812000001</v>
      </c>
      <c r="E113" s="66">
        <v>69.775061444200006</v>
      </c>
      <c r="F113" s="66">
        <v>86.230932187900009</v>
      </c>
      <c r="G113" s="66">
        <v>101.09326914280001</v>
      </c>
      <c r="H113" s="66">
        <v>93.788659461100011</v>
      </c>
      <c r="I113" s="66">
        <v>86.606124134499993</v>
      </c>
      <c r="J113" s="66">
        <v>81.491535138100005</v>
      </c>
      <c r="K113" s="66">
        <v>83.527095926200019</v>
      </c>
      <c r="L113" s="66">
        <v>71.276054390799999</v>
      </c>
      <c r="M113" s="66">
        <v>82.122434018500002</v>
      </c>
      <c r="N113" s="66">
        <v>85.166599922500026</v>
      </c>
      <c r="O113" s="66">
        <v>90.347911391500006</v>
      </c>
      <c r="P113" s="66">
        <v>79.254606077800005</v>
      </c>
      <c r="Q113" s="66">
        <v>187.1045405962</v>
      </c>
      <c r="R113" s="66">
        <v>101.9910579136</v>
      </c>
      <c r="S113" s="66">
        <v>90.439026219100001</v>
      </c>
      <c r="T113" s="66">
        <v>91.494839923599997</v>
      </c>
      <c r="U113" s="66">
        <v>100.8002606692</v>
      </c>
      <c r="V113" s="66">
        <v>94.493073146799986</v>
      </c>
      <c r="W113" s="66">
        <v>95.757160036300007</v>
      </c>
      <c r="X113" s="66">
        <v>68.835242769400011</v>
      </c>
      <c r="Y113" s="66">
        <v>90.711207374200001</v>
      </c>
      <c r="Z113" s="66">
        <v>95.794911896500011</v>
      </c>
      <c r="AA113" s="66">
        <v>84.697853912800014</v>
      </c>
      <c r="AB113" s="66">
        <v>86.044949862699994</v>
      </c>
      <c r="AC113" s="66">
        <v>101.30184254140001</v>
      </c>
      <c r="AD113" s="66">
        <v>99.685042198600001</v>
      </c>
      <c r="AE113" s="66">
        <v>121.58314755639998</v>
      </c>
      <c r="AF113" s="66">
        <v>100.85816436730001</v>
      </c>
      <c r="AG113" s="66">
        <v>56.655426910599999</v>
      </c>
      <c r="AH113" s="66">
        <v>87.900570124300003</v>
      </c>
      <c r="AI113" s="66">
        <v>92.775363507700007</v>
      </c>
      <c r="AJ113" s="66">
        <v>100.6464387259</v>
      </c>
      <c r="AK113" s="66">
        <v>98.118152366800004</v>
      </c>
      <c r="AL113" s="66">
        <v>100.65443191300001</v>
      </c>
      <c r="AM113" s="66">
        <v>87.788327764599998</v>
      </c>
      <c r="AN113" s="66">
        <v>103.33605236830002</v>
      </c>
      <c r="AO113" s="66">
        <v>119.94518215480002</v>
      </c>
      <c r="AP113" s="66">
        <v>105.28350046479999</v>
      </c>
      <c r="AQ113" s="66">
        <v>107.55649268380002</v>
      </c>
      <c r="AR113" s="66">
        <v>92.94652278640001</v>
      </c>
      <c r="AS113" s="66">
        <v>98.158906363</v>
      </c>
      <c r="AT113" s="66">
        <v>105.20127946510001</v>
      </c>
      <c r="AU113" s="66">
        <v>128.188522237</v>
      </c>
      <c r="AV113" s="66">
        <v>111.7108860073</v>
      </c>
      <c r="AW113" s="66">
        <v>114.2362077571</v>
      </c>
      <c r="AX113" s="66">
        <v>118.35134815239999</v>
      </c>
      <c r="AY113" s="66">
        <v>93.432343444599994</v>
      </c>
      <c r="AZ113" s="66">
        <v>117.97743211360002</v>
      </c>
      <c r="BA113" s="66">
        <v>117.40740154060001</v>
      </c>
      <c r="BB113" s="66">
        <v>133.05798682899999</v>
      </c>
      <c r="BC113" s="66">
        <v>165.597013132</v>
      </c>
      <c r="BD113" s="66">
        <v>190.34009267019999</v>
      </c>
      <c r="BE113" s="66">
        <v>108.4689168676</v>
      </c>
      <c r="BF113" s="66">
        <v>88.554022551399996</v>
      </c>
      <c r="BG113" s="66">
        <v>108.91064365329999</v>
      </c>
      <c r="BH113" s="66">
        <v>85.959876833799981</v>
      </c>
      <c r="BI113" s="66">
        <v>134.4069215872</v>
      </c>
      <c r="BJ113" s="66">
        <v>132.14575027870004</v>
      </c>
      <c r="BK113" s="66">
        <v>90.314887895500007</v>
      </c>
      <c r="BL113" s="66">
        <v>112.04618707180002</v>
      </c>
      <c r="BM113" s="66">
        <v>118.84835176720001</v>
      </c>
      <c r="BN113" s="66">
        <v>142.34186724880001</v>
      </c>
      <c r="BO113" s="66">
        <v>123.58711086309998</v>
      </c>
      <c r="BP113" s="66">
        <v>138.7653851053</v>
      </c>
      <c r="BQ113" s="66">
        <v>91.944259682800009</v>
      </c>
      <c r="BR113" s="66">
        <v>71.023649806600005</v>
      </c>
      <c r="BS113" s="66">
        <v>117.3863865886</v>
      </c>
      <c r="BT113" s="66">
        <v>85.61470624719999</v>
      </c>
      <c r="BU113" s="66">
        <v>86.507503966900003</v>
      </c>
      <c r="BV113" s="66">
        <v>115.54018552870002</v>
      </c>
      <c r="BW113" s="66">
        <v>90.484058259099996</v>
      </c>
      <c r="BX113" s="66">
        <v>120.25687892500002</v>
      </c>
      <c r="BY113" s="66">
        <v>124.21680888909998</v>
      </c>
      <c r="BZ113" s="66">
        <v>101.84609227150001</v>
      </c>
      <c r="CA113" s="66">
        <v>82.386584459800005</v>
      </c>
      <c r="CB113" s="66">
        <v>101.5101907798</v>
      </c>
      <c r="CC113" s="66">
        <v>116.24358599350003</v>
      </c>
      <c r="CD113" s="66">
        <v>100.9271759686</v>
      </c>
      <c r="CE113" s="66">
        <v>92.25483065200001</v>
      </c>
      <c r="CF113" s="66">
        <v>96.393237601300001</v>
      </c>
      <c r="CG113" s="66">
        <v>98.09841332260001</v>
      </c>
      <c r="CH113" s="66">
        <v>111.6301285489</v>
      </c>
      <c r="CI113" s="66">
        <v>92.242822108000013</v>
      </c>
      <c r="CJ113" s="66">
        <v>106.33361011089998</v>
      </c>
      <c r="CK113" s="66">
        <v>75.530343789699998</v>
      </c>
      <c r="CL113" s="66">
        <v>113.50181023809999</v>
      </c>
      <c r="CM113" s="66">
        <v>119.89005543249999</v>
      </c>
      <c r="CN113" s="66">
        <v>117.80612272810002</v>
      </c>
      <c r="CO113" s="66">
        <v>90.459440743900004</v>
      </c>
      <c r="CP113" s="66">
        <v>103.88885818599999</v>
      </c>
      <c r="CQ113" s="66">
        <v>92.089075218100007</v>
      </c>
      <c r="CR113" s="66">
        <v>77.837072512000006</v>
      </c>
      <c r="CS113" s="66">
        <v>89.04322061260001</v>
      </c>
      <c r="CT113" s="66">
        <v>102.75438851829999</v>
      </c>
      <c r="CU113" s="66">
        <v>94.633610638299999</v>
      </c>
      <c r="CV113" s="66">
        <v>109.06971933460001</v>
      </c>
      <c r="CW113" s="66">
        <v>89.142553787500006</v>
      </c>
      <c r="CX113" s="66">
        <v>84.463649778100006</v>
      </c>
      <c r="CY113" s="66">
        <v>61.723445272299998</v>
      </c>
      <c r="CZ113" s="66">
        <v>91.743079044099986</v>
      </c>
      <c r="DA113" s="66">
        <v>74.806603853499993</v>
      </c>
      <c r="DB113" s="66">
        <v>78.2208580729</v>
      </c>
      <c r="DC113" s="66">
        <v>73.529682832600017</v>
      </c>
      <c r="DD113" s="66">
        <v>76.056130383400003</v>
      </c>
      <c r="DE113" s="66">
        <v>75.414161126500005</v>
      </c>
      <c r="DF113" s="66">
        <v>91.157024570200008</v>
      </c>
      <c r="DG113" s="66">
        <v>70.095351828700004</v>
      </c>
      <c r="DH113" s="66">
        <v>79.466031505600014</v>
      </c>
      <c r="DI113" s="66">
        <v>91.550717179900005</v>
      </c>
      <c r="DJ113" s="66">
        <v>97.740971505099992</v>
      </c>
      <c r="DK113" s="66">
        <v>65.705103195699991</v>
      </c>
      <c r="DL113" s="66">
        <v>87.73864241379998</v>
      </c>
      <c r="DM113" s="66">
        <v>86.651756601700029</v>
      </c>
      <c r="DN113" s="66">
        <v>91.739213793999994</v>
      </c>
      <c r="DO113" s="66">
        <v>79.996321303299993</v>
      </c>
      <c r="DP113" s="79"/>
      <c r="DQ113" s="80"/>
      <c r="DR113" s="81"/>
      <c r="DS113" s="84">
        <f t="shared" si="12"/>
        <v>2006</v>
      </c>
      <c r="DT113" s="80"/>
      <c r="DU113" s="83">
        <f t="shared" si="17"/>
        <v>1010.3510239701002</v>
      </c>
      <c r="DV113" s="83">
        <f t="shared" si="17"/>
        <v>1181.3737805354999</v>
      </c>
      <c r="DW113" s="83">
        <f t="shared" si="17"/>
        <v>1134.0118578392999</v>
      </c>
      <c r="DX113" s="83">
        <f t="shared" si="17"/>
        <v>1298.3472438846002</v>
      </c>
      <c r="DY113" s="83">
        <f t="shared" si="17"/>
        <v>1473.1409459529</v>
      </c>
      <c r="DZ113" s="83">
        <f t="shared" si="17"/>
        <v>1294.0896521361001</v>
      </c>
      <c r="EA113" s="83">
        <f t="shared" si="17"/>
        <v>1238.0067495201001</v>
      </c>
      <c r="EB113" s="83">
        <f t="shared" si="17"/>
        <v>1183.7676087284999</v>
      </c>
      <c r="EC113" s="83">
        <f t="shared" si="17"/>
        <v>975.42225988440021</v>
      </c>
      <c r="ED113" s="83">
        <f t="shared" si="17"/>
        <v>680.58875749909998</v>
      </c>
    </row>
    <row r="114" spans="2:134" x14ac:dyDescent="0.3">
      <c r="B114" s="45">
        <f t="shared" si="13"/>
        <v>1000000110</v>
      </c>
      <c r="C114" s="46">
        <v>42278</v>
      </c>
      <c r="D114" s="66">
        <v>-8</v>
      </c>
      <c r="E114" s="66">
        <v>-8</v>
      </c>
      <c r="F114" s="66">
        <v>-8</v>
      </c>
      <c r="G114" s="66">
        <v>-8</v>
      </c>
      <c r="H114" s="66">
        <v>-8</v>
      </c>
      <c r="I114" s="66">
        <v>-8</v>
      </c>
      <c r="J114" s="66">
        <v>-8</v>
      </c>
      <c r="K114" s="66">
        <v>-8</v>
      </c>
      <c r="L114" s="66">
        <v>-8</v>
      </c>
      <c r="M114" s="66">
        <v>-8</v>
      </c>
      <c r="N114" s="66">
        <v>-8</v>
      </c>
      <c r="O114" s="66">
        <v>-8</v>
      </c>
      <c r="P114" s="66">
        <v>-8</v>
      </c>
      <c r="Q114" s="66">
        <v>-8</v>
      </c>
      <c r="R114" s="66">
        <v>-8</v>
      </c>
      <c r="S114" s="66">
        <v>-8</v>
      </c>
      <c r="T114" s="66">
        <v>-8</v>
      </c>
      <c r="U114" s="66">
        <v>-8</v>
      </c>
      <c r="V114" s="66">
        <v>-8</v>
      </c>
      <c r="W114" s="66">
        <v>-8</v>
      </c>
      <c r="X114" s="66">
        <v>-8</v>
      </c>
      <c r="Y114" s="66">
        <v>-5.4144103700000006</v>
      </c>
      <c r="Z114" s="66">
        <v>-3.3238729664000006</v>
      </c>
      <c r="AA114" s="66">
        <v>2.4074673444999988</v>
      </c>
      <c r="AB114" s="66">
        <v>3.0574297885000021</v>
      </c>
      <c r="AC114" s="66">
        <v>19.340865345699999</v>
      </c>
      <c r="AD114" s="66">
        <v>11.889901534000003</v>
      </c>
      <c r="AE114" s="66">
        <v>10.360163135200001</v>
      </c>
      <c r="AF114" s="66">
        <v>10.1480622268</v>
      </c>
      <c r="AG114" s="66">
        <v>11.248457650900001</v>
      </c>
      <c r="AH114" s="66">
        <v>1.913015545300004</v>
      </c>
      <c r="AI114" s="66">
        <v>-0.49627364809999985</v>
      </c>
      <c r="AJ114" s="66">
        <v>2.4868363150000015</v>
      </c>
      <c r="AK114" s="66">
        <v>2.9396334771999992</v>
      </c>
      <c r="AL114" s="66">
        <v>3.8737480936000015</v>
      </c>
      <c r="AM114" s="66">
        <v>13.499571803800002</v>
      </c>
      <c r="AN114" s="66">
        <v>14.8926754879</v>
      </c>
      <c r="AO114" s="66">
        <v>59.204728221700009</v>
      </c>
      <c r="AP114" s="66">
        <v>61.859179346200023</v>
      </c>
      <c r="AQ114" s="66">
        <v>39.694521838299998</v>
      </c>
      <c r="AR114" s="66">
        <v>26.985617036199997</v>
      </c>
      <c r="AS114" s="66">
        <v>42.5542815385</v>
      </c>
      <c r="AT114" s="66">
        <v>35.438018364100003</v>
      </c>
      <c r="AU114" s="66">
        <v>26.18029405419999</v>
      </c>
      <c r="AV114" s="66">
        <v>39.231780100600005</v>
      </c>
      <c r="AW114" s="66">
        <v>33.780013704699996</v>
      </c>
      <c r="AX114" s="66">
        <v>34.301071934199996</v>
      </c>
      <c r="AY114" s="66">
        <v>33.064942436200006</v>
      </c>
      <c r="AZ114" s="66">
        <v>42.1644917056</v>
      </c>
      <c r="BA114" s="66">
        <v>83.51658845019999</v>
      </c>
      <c r="BB114" s="66">
        <v>93.104885460400013</v>
      </c>
      <c r="BC114" s="66">
        <v>82.02073666150001</v>
      </c>
      <c r="BD114" s="66">
        <v>44.084432730999993</v>
      </c>
      <c r="BE114" s="66">
        <v>56.709615465400006</v>
      </c>
      <c r="BF114" s="66">
        <v>40.762193979999999</v>
      </c>
      <c r="BG114" s="66">
        <v>52.035777560500001</v>
      </c>
      <c r="BH114" s="66">
        <v>38.331514567600003</v>
      </c>
      <c r="BI114" s="66">
        <v>55.534204168000009</v>
      </c>
      <c r="BJ114" s="66">
        <v>46.335997204300007</v>
      </c>
      <c r="BK114" s="66">
        <v>47.305537025500008</v>
      </c>
      <c r="BL114" s="66">
        <v>36.413562457300003</v>
      </c>
      <c r="BM114" s="66">
        <v>81.806384151100019</v>
      </c>
      <c r="BN114" s="66">
        <v>79.227324166900004</v>
      </c>
      <c r="BO114" s="66">
        <v>69.719296768000007</v>
      </c>
      <c r="BP114" s="66">
        <v>66.116771094699999</v>
      </c>
      <c r="BQ114" s="66">
        <v>63.893164012900016</v>
      </c>
      <c r="BR114" s="66">
        <v>62.10126408790002</v>
      </c>
      <c r="BS114" s="66">
        <v>72.726498872500002</v>
      </c>
      <c r="BT114" s="66">
        <v>77.337854821899995</v>
      </c>
      <c r="BU114" s="66">
        <v>63.557562734800015</v>
      </c>
      <c r="BV114" s="66">
        <v>59.638686980500012</v>
      </c>
      <c r="BW114" s="66">
        <v>58.308102778600016</v>
      </c>
      <c r="BX114" s="66">
        <v>68.6511743059</v>
      </c>
      <c r="BY114" s="66">
        <v>111.25711315090003</v>
      </c>
      <c r="BZ114" s="66">
        <v>83.353760098899997</v>
      </c>
      <c r="CA114" s="66">
        <v>72.739370530600013</v>
      </c>
      <c r="CB114" s="66">
        <v>91.257896339800013</v>
      </c>
      <c r="CC114" s="66">
        <v>100.32374663259999</v>
      </c>
      <c r="CD114" s="66">
        <v>92.007116905300009</v>
      </c>
      <c r="CE114" s="66">
        <v>91.345896451300007</v>
      </c>
      <c r="CF114" s="66">
        <v>86.165260462900008</v>
      </c>
      <c r="CG114" s="66">
        <v>87.620170621899973</v>
      </c>
      <c r="CH114" s="66">
        <v>93.109351137699988</v>
      </c>
      <c r="CI114" s="66">
        <v>70.580609586400001</v>
      </c>
      <c r="CJ114" s="66">
        <v>88.48290945490001</v>
      </c>
      <c r="CK114" s="66">
        <v>94.027967227000005</v>
      </c>
      <c r="CL114" s="66">
        <v>128.69273097820002</v>
      </c>
      <c r="CM114" s="66">
        <v>130.8489025801</v>
      </c>
      <c r="CN114" s="66">
        <v>102.9936587575</v>
      </c>
      <c r="CO114" s="66">
        <v>70.260056515000016</v>
      </c>
      <c r="CP114" s="66">
        <v>105.5363928961</v>
      </c>
      <c r="CQ114" s="66">
        <v>99.107506285599996</v>
      </c>
      <c r="CR114" s="66">
        <v>89.384713582599986</v>
      </c>
      <c r="CS114" s="66">
        <v>88.558225541800027</v>
      </c>
      <c r="CT114" s="66">
        <v>88.324621834300004</v>
      </c>
      <c r="CU114" s="66">
        <v>71.497461920800006</v>
      </c>
      <c r="CV114" s="66">
        <v>77.165006841700006</v>
      </c>
      <c r="CW114" s="66">
        <v>105.7107044176</v>
      </c>
      <c r="CX114" s="66">
        <v>113.24910544030001</v>
      </c>
      <c r="CY114" s="66">
        <v>101.77591734250001</v>
      </c>
      <c r="CZ114" s="66">
        <v>79.283614216900006</v>
      </c>
      <c r="DA114" s="66">
        <v>79.875147588999994</v>
      </c>
      <c r="DB114" s="66">
        <v>90.156600274900001</v>
      </c>
      <c r="DC114" s="66">
        <v>79.746618641499992</v>
      </c>
      <c r="DD114" s="66">
        <v>84.099303047800021</v>
      </c>
      <c r="DE114" s="66">
        <v>75.527266600299996</v>
      </c>
      <c r="DF114" s="66">
        <v>60.136666289499999</v>
      </c>
      <c r="DG114" s="66">
        <v>71.597808316599995</v>
      </c>
      <c r="DH114" s="66">
        <v>76.350452291499991</v>
      </c>
      <c r="DI114" s="66">
        <v>103.22763773200001</v>
      </c>
      <c r="DJ114" s="66">
        <v>99.083414144200006</v>
      </c>
      <c r="DK114" s="66">
        <v>89.493428432500011</v>
      </c>
      <c r="DL114" s="66">
        <v>78.909660651399989</v>
      </c>
      <c r="DM114" s="66">
        <v>80.720736720099993</v>
      </c>
      <c r="DN114" s="66">
        <v>87.495619504600015</v>
      </c>
      <c r="DO114" s="66">
        <v>90.026495206000007</v>
      </c>
      <c r="DP114" s="79"/>
      <c r="DQ114" s="80"/>
      <c r="DR114" s="81"/>
      <c r="DS114" s="84">
        <f t="shared" si="12"/>
        <v>2015</v>
      </c>
      <c r="DT114" s="80"/>
      <c r="DU114" s="83">
        <f t="shared" si="17"/>
        <v>-96</v>
      </c>
      <c r="DV114" s="83">
        <f t="shared" si="17"/>
        <v>-78.33081599190001</v>
      </c>
      <c r="DW114" s="83">
        <f t="shared" si="17"/>
        <v>90.261411267900002</v>
      </c>
      <c r="DX114" s="83">
        <f t="shared" si="17"/>
        <v>447.18712406279997</v>
      </c>
      <c r="DY114" s="83">
        <f t="shared" si="17"/>
        <v>681.90597498000011</v>
      </c>
      <c r="DZ114" s="83">
        <f t="shared" si="17"/>
        <v>790.84647292710019</v>
      </c>
      <c r="EA114" s="83">
        <f t="shared" si="17"/>
        <v>1048.4114662242</v>
      </c>
      <c r="EB114" s="83">
        <f t="shared" si="17"/>
        <v>1157.7151475739001</v>
      </c>
      <c r="EC114" s="83">
        <f t="shared" si="17"/>
        <v>1018.3237590186001</v>
      </c>
      <c r="ED114" s="83">
        <f t="shared" si="17"/>
        <v>705.3074446823</v>
      </c>
    </row>
    <row r="115" spans="2:134" x14ac:dyDescent="0.3">
      <c r="B115" s="45">
        <f t="shared" si="13"/>
        <v>1000000111</v>
      </c>
      <c r="C115" s="46">
        <v>41365</v>
      </c>
      <c r="D115" s="66">
        <v>15.2066613868</v>
      </c>
      <c r="E115" s="66">
        <v>25.293087812800003</v>
      </c>
      <c r="F115" s="66">
        <v>21.936362024500003</v>
      </c>
      <c r="G115" s="66">
        <v>23.329803448900002</v>
      </c>
      <c r="H115" s="66">
        <v>22.703182612300001</v>
      </c>
      <c r="I115" s="66">
        <v>24.220199459800007</v>
      </c>
      <c r="J115" s="66">
        <v>20.533764085300003</v>
      </c>
      <c r="K115" s="66">
        <v>28.061469998499994</v>
      </c>
      <c r="L115" s="66">
        <v>36.063325766200002</v>
      </c>
      <c r="M115" s="66">
        <v>41.072352155499999</v>
      </c>
      <c r="N115" s="66">
        <v>35.663141037400003</v>
      </c>
      <c r="O115" s="66">
        <v>38.084814041800001</v>
      </c>
      <c r="P115" s="66">
        <v>45.6915136585</v>
      </c>
      <c r="Q115" s="66">
        <v>78.493189334800007</v>
      </c>
      <c r="R115" s="66">
        <v>40.154486600200002</v>
      </c>
      <c r="S115" s="66">
        <v>32.2560544177</v>
      </c>
      <c r="T115" s="66">
        <v>42.999836047599999</v>
      </c>
      <c r="U115" s="66">
        <v>45.591992850099999</v>
      </c>
      <c r="V115" s="66">
        <v>45.9861733069</v>
      </c>
      <c r="W115" s="66">
        <v>47.525818754500001</v>
      </c>
      <c r="X115" s="66">
        <v>44.513513018799998</v>
      </c>
      <c r="Y115" s="66">
        <v>54.451596399700001</v>
      </c>
      <c r="Z115" s="66">
        <v>57.262834076800004</v>
      </c>
      <c r="AA115" s="66">
        <v>40.807338600100003</v>
      </c>
      <c r="AB115" s="66">
        <v>51.947402181999998</v>
      </c>
      <c r="AC115" s="66">
        <v>62.627988849100007</v>
      </c>
      <c r="AD115" s="66">
        <v>49.156391396200007</v>
      </c>
      <c r="AE115" s="66">
        <v>57.271840484799995</v>
      </c>
      <c r="AF115" s="66">
        <v>57.05009521449999</v>
      </c>
      <c r="AG115" s="66">
        <v>55.597699344400006</v>
      </c>
      <c r="AH115" s="66">
        <v>50.776906882299997</v>
      </c>
      <c r="AI115" s="66">
        <v>63.645300159399994</v>
      </c>
      <c r="AJ115" s="66">
        <v>47.992838536000001</v>
      </c>
      <c r="AK115" s="66">
        <v>51.74010469120001</v>
      </c>
      <c r="AL115" s="66">
        <v>61.017793205500013</v>
      </c>
      <c r="AM115" s="66">
        <v>56.431467565000005</v>
      </c>
      <c r="AN115" s="66">
        <v>55.053712301200001</v>
      </c>
      <c r="AO115" s="66">
        <v>57.916849404399997</v>
      </c>
      <c r="AP115" s="66">
        <v>64.937907340900011</v>
      </c>
      <c r="AQ115" s="66">
        <v>67.221069295600003</v>
      </c>
      <c r="AR115" s="66">
        <v>52.55736116380001</v>
      </c>
      <c r="AS115" s="66">
        <v>51.863154740500008</v>
      </c>
      <c r="AT115" s="66">
        <v>46.088846358099993</v>
      </c>
      <c r="AU115" s="66">
        <v>56.669086629399999</v>
      </c>
      <c r="AV115" s="66">
        <v>57.675139929700023</v>
      </c>
      <c r="AW115" s="66">
        <v>64.216231373199989</v>
      </c>
      <c r="AX115" s="66">
        <v>61.908977277099993</v>
      </c>
      <c r="AY115" s="66">
        <v>45.225694731399997</v>
      </c>
      <c r="AZ115" s="66">
        <v>55.5891432568</v>
      </c>
      <c r="BA115" s="66">
        <v>74.836737793600008</v>
      </c>
      <c r="BB115" s="66">
        <v>85.317719943400007</v>
      </c>
      <c r="BC115" s="66">
        <v>64.82968033809999</v>
      </c>
      <c r="BD115" s="66">
        <v>53.369476478499998</v>
      </c>
      <c r="BE115" s="66">
        <v>52.525763682399997</v>
      </c>
      <c r="BF115" s="66">
        <v>69.061603823799999</v>
      </c>
      <c r="BG115" s="66">
        <v>60.321522813699985</v>
      </c>
      <c r="BH115" s="66">
        <v>85.822866852100006</v>
      </c>
      <c r="BI115" s="66">
        <v>57.765316589800008</v>
      </c>
      <c r="BJ115" s="66">
        <v>53.617152698500007</v>
      </c>
      <c r="BK115" s="66">
        <v>40.920519127299997</v>
      </c>
      <c r="BL115" s="66">
        <v>51.576563332600003</v>
      </c>
      <c r="BM115" s="66">
        <v>79.34808508750001</v>
      </c>
      <c r="BN115" s="66">
        <v>71.632032667000004</v>
      </c>
      <c r="BO115" s="66">
        <v>73.972873159600013</v>
      </c>
      <c r="BP115" s="66">
        <v>65.640895012000001</v>
      </c>
      <c r="BQ115" s="66">
        <v>63.126193318299983</v>
      </c>
      <c r="BR115" s="66">
        <v>68.074388926899999</v>
      </c>
      <c r="BS115" s="66">
        <v>83.012529815800008</v>
      </c>
      <c r="BT115" s="66">
        <v>84.947256361000015</v>
      </c>
      <c r="BU115" s="66">
        <v>72.551849610700003</v>
      </c>
      <c r="BV115" s="66">
        <v>81.250013296900008</v>
      </c>
      <c r="BW115" s="66">
        <v>88.861854071500005</v>
      </c>
      <c r="BX115" s="66">
        <v>84.289263203199994</v>
      </c>
      <c r="BY115" s="66">
        <v>119.76370303360002</v>
      </c>
      <c r="BZ115" s="66">
        <v>91.600440057400021</v>
      </c>
      <c r="CA115" s="66">
        <v>69.865238104300005</v>
      </c>
      <c r="CB115" s="66">
        <v>97.211694928300005</v>
      </c>
      <c r="CC115" s="66">
        <v>104.1450154402</v>
      </c>
      <c r="CD115" s="66">
        <v>93.359203906299996</v>
      </c>
      <c r="CE115" s="66">
        <v>97.4379058759</v>
      </c>
      <c r="CF115" s="66">
        <v>74.905073914300004</v>
      </c>
      <c r="CG115" s="66">
        <v>94.703898147400011</v>
      </c>
      <c r="CH115" s="66">
        <v>94.49014606419999</v>
      </c>
      <c r="CI115" s="66">
        <v>67.218067159600011</v>
      </c>
      <c r="CJ115" s="66">
        <v>101.0172775753</v>
      </c>
      <c r="CK115" s="66">
        <v>131.99008952710003</v>
      </c>
      <c r="CL115" s="66">
        <v>97.418129305000022</v>
      </c>
      <c r="CM115" s="66">
        <v>100.71710150200001</v>
      </c>
      <c r="CN115" s="66">
        <v>87.645838884700012</v>
      </c>
      <c r="CO115" s="66">
        <v>93.650598731799988</v>
      </c>
      <c r="CP115" s="66">
        <v>111.87292629789999</v>
      </c>
      <c r="CQ115" s="66">
        <v>88.505763215199991</v>
      </c>
      <c r="CR115" s="66">
        <v>93.657128377600017</v>
      </c>
      <c r="CS115" s="66">
        <v>85.638122908000014</v>
      </c>
      <c r="CT115" s="66">
        <v>100.6749214912</v>
      </c>
      <c r="CU115" s="66">
        <v>85.129223329300018</v>
      </c>
      <c r="CV115" s="66">
        <v>98.539689787899988</v>
      </c>
      <c r="CW115" s="66">
        <v>117.39486762279999</v>
      </c>
      <c r="CX115" s="66">
        <v>121.30428664869996</v>
      </c>
      <c r="CY115" s="66">
        <v>96.8551537516</v>
      </c>
      <c r="CZ115" s="66">
        <v>80.695331144200011</v>
      </c>
      <c r="DA115" s="66">
        <v>76.988894038600009</v>
      </c>
      <c r="DB115" s="66">
        <v>94.966509994000006</v>
      </c>
      <c r="DC115" s="66">
        <v>102.8114291023</v>
      </c>
      <c r="DD115" s="66">
        <v>93.323591067999999</v>
      </c>
      <c r="DE115" s="66">
        <v>76.308985288000002</v>
      </c>
      <c r="DF115" s="66">
        <v>79.895787273999986</v>
      </c>
      <c r="DG115" s="66">
        <v>59.209006265500008</v>
      </c>
      <c r="DH115" s="66">
        <v>85.786353373000011</v>
      </c>
      <c r="DI115" s="66">
        <v>86.586985517499997</v>
      </c>
      <c r="DJ115" s="66">
        <v>89.450047567300018</v>
      </c>
      <c r="DK115" s="66">
        <v>65.686377372400017</v>
      </c>
      <c r="DL115" s="66">
        <v>95.752244038599997</v>
      </c>
      <c r="DM115" s="66">
        <v>79.640605714000031</v>
      </c>
      <c r="DN115" s="66">
        <v>81.596422264600008</v>
      </c>
      <c r="DO115" s="66">
        <v>69.857732764299996</v>
      </c>
      <c r="DP115" s="79"/>
      <c r="DQ115" s="80"/>
      <c r="DR115" s="81"/>
      <c r="DS115" s="84">
        <f t="shared" si="12"/>
        <v>2013</v>
      </c>
      <c r="DT115" s="80"/>
      <c r="DU115" s="83">
        <f t="shared" ref="DU115:ED124" si="18">+SUMIF($D$3:$DO$3,DU$4,$D115:$DO115)</f>
        <v>332.16816382979994</v>
      </c>
      <c r="DV115" s="83">
        <f t="shared" si="18"/>
        <v>575.73434706570004</v>
      </c>
      <c r="DW115" s="83">
        <f t="shared" si="18"/>
        <v>665.25582851040008</v>
      </c>
      <c r="DX115" s="83">
        <f t="shared" si="18"/>
        <v>681.33403054530015</v>
      </c>
      <c r="DY115" s="83">
        <f t="shared" si="18"/>
        <v>753.97750339799995</v>
      </c>
      <c r="DZ115" s="83">
        <f t="shared" si="18"/>
        <v>883.99453465979991</v>
      </c>
      <c r="EA115" s="83">
        <f t="shared" si="18"/>
        <v>1088.9896498347</v>
      </c>
      <c r="EB115" s="83">
        <f t="shared" si="18"/>
        <v>1177.9171211450998</v>
      </c>
      <c r="EC115" s="83">
        <f t="shared" si="18"/>
        <v>1098.2935319856001</v>
      </c>
      <c r="ED115" s="83">
        <f t="shared" si="18"/>
        <v>654.35676861170009</v>
      </c>
    </row>
    <row r="116" spans="2:134" x14ac:dyDescent="0.3">
      <c r="B116" s="45">
        <f t="shared" si="13"/>
        <v>1000000112</v>
      </c>
      <c r="C116" s="46">
        <v>40422</v>
      </c>
      <c r="D116" s="66">
        <v>-8</v>
      </c>
      <c r="E116" s="66">
        <v>-8</v>
      </c>
      <c r="F116" s="66">
        <v>-8</v>
      </c>
      <c r="G116" s="66">
        <v>-8</v>
      </c>
      <c r="H116" s="66">
        <v>-8</v>
      </c>
      <c r="I116" s="66">
        <v>-8</v>
      </c>
      <c r="J116" s="66">
        <v>-8</v>
      </c>
      <c r="K116" s="66">
        <v>-8</v>
      </c>
      <c r="L116" s="66">
        <v>-8</v>
      </c>
      <c r="M116" s="66">
        <v>-8</v>
      </c>
      <c r="N116" s="66">
        <v>-8</v>
      </c>
      <c r="O116" s="66">
        <v>-8</v>
      </c>
      <c r="P116" s="66">
        <v>-8</v>
      </c>
      <c r="Q116" s="66">
        <v>-8</v>
      </c>
      <c r="R116" s="66">
        <v>-8</v>
      </c>
      <c r="S116" s="66">
        <v>-8</v>
      </c>
      <c r="T116" s="66">
        <v>-8</v>
      </c>
      <c r="U116" s="66">
        <v>-8</v>
      </c>
      <c r="V116" s="66">
        <v>-8</v>
      </c>
      <c r="W116" s="66">
        <v>-8</v>
      </c>
      <c r="X116" s="66">
        <v>-8</v>
      </c>
      <c r="Y116" s="66">
        <v>-8</v>
      </c>
      <c r="Z116" s="66">
        <v>-8</v>
      </c>
      <c r="AA116" s="66">
        <v>-3.9846430999999995</v>
      </c>
      <c r="AB116" s="66">
        <v>-0.12277040299999964</v>
      </c>
      <c r="AC116" s="66">
        <v>13.531169285200001</v>
      </c>
      <c r="AD116" s="66">
        <v>14.652992455000003</v>
      </c>
      <c r="AE116" s="66">
        <v>15.808814815000002</v>
      </c>
      <c r="AF116" s="66">
        <v>15.795567889899999</v>
      </c>
      <c r="AG116" s="66">
        <v>14.6047706455</v>
      </c>
      <c r="AH116" s="66">
        <v>11.209242249399999</v>
      </c>
      <c r="AI116" s="66">
        <v>10.9731617797</v>
      </c>
      <c r="AJ116" s="66">
        <v>9.4707428184999998</v>
      </c>
      <c r="AK116" s="66">
        <v>18.787008780400001</v>
      </c>
      <c r="AL116" s="66">
        <v>14.868545819800001</v>
      </c>
      <c r="AM116" s="66">
        <v>10.537777006299997</v>
      </c>
      <c r="AN116" s="66">
        <v>13.331564767899998</v>
      </c>
      <c r="AO116" s="66">
        <v>19.408751145999997</v>
      </c>
      <c r="AP116" s="66">
        <v>16.929324550300002</v>
      </c>
      <c r="AQ116" s="66">
        <v>12.101251908400002</v>
      </c>
      <c r="AR116" s="66">
        <v>11.265232085799997</v>
      </c>
      <c r="AS116" s="66">
        <v>9.0487926037000008</v>
      </c>
      <c r="AT116" s="66">
        <v>8.5877020408</v>
      </c>
      <c r="AU116" s="66">
        <v>12.709334555200005</v>
      </c>
      <c r="AV116" s="66">
        <v>17.846251938100004</v>
      </c>
      <c r="AW116" s="66">
        <v>22.426460726500004</v>
      </c>
      <c r="AX116" s="66">
        <v>19.960843956400002</v>
      </c>
      <c r="AY116" s="66">
        <v>17.273669549500003</v>
      </c>
      <c r="AZ116" s="66">
        <v>19.623516450100002</v>
      </c>
      <c r="BA116" s="66">
        <v>27.863028808900005</v>
      </c>
      <c r="BB116" s="66">
        <v>24.7384056601</v>
      </c>
      <c r="BC116" s="66">
        <v>28.929837836499999</v>
      </c>
      <c r="BD116" s="66">
        <v>29.226824140300003</v>
      </c>
      <c r="BE116" s="66">
        <v>29.174511920500002</v>
      </c>
      <c r="BF116" s="66">
        <v>31.642755559600005</v>
      </c>
      <c r="BG116" s="66">
        <v>48.33778396240001</v>
      </c>
      <c r="BH116" s="66">
        <v>36.4309748461</v>
      </c>
      <c r="BI116" s="66">
        <v>46.899047811099997</v>
      </c>
      <c r="BJ116" s="66">
        <v>41.946236418399998</v>
      </c>
      <c r="BK116" s="66">
        <v>59.131513630000001</v>
      </c>
      <c r="BL116" s="66">
        <v>48.302846604700001</v>
      </c>
      <c r="BM116" s="66">
        <v>66.248414758300001</v>
      </c>
      <c r="BN116" s="66">
        <v>58.450704238599997</v>
      </c>
      <c r="BO116" s="66">
        <v>42.347697054999998</v>
      </c>
      <c r="BP116" s="66">
        <v>51.485448504999994</v>
      </c>
      <c r="BQ116" s="66">
        <v>45.261983050300003</v>
      </c>
      <c r="BR116" s="66">
        <v>42.801244751200009</v>
      </c>
      <c r="BS116" s="66">
        <v>44.300436416200014</v>
      </c>
      <c r="BT116" s="66">
        <v>45.494986330600014</v>
      </c>
      <c r="BU116" s="66">
        <v>50.129421200500019</v>
      </c>
      <c r="BV116" s="66">
        <v>48.418391313999997</v>
      </c>
      <c r="BW116" s="66">
        <v>54.141663384400005</v>
      </c>
      <c r="BX116" s="66">
        <v>69.056650299400005</v>
      </c>
      <c r="BY116" s="66">
        <v>52.462268506000008</v>
      </c>
      <c r="BZ116" s="66">
        <v>47.003634724000008</v>
      </c>
      <c r="CA116" s="66">
        <v>51.515132124700003</v>
      </c>
      <c r="CB116" s="66">
        <v>60.086080297899997</v>
      </c>
      <c r="CC116" s="66">
        <v>55.043354931999993</v>
      </c>
      <c r="CD116" s="66">
        <v>61.202724783100024</v>
      </c>
      <c r="CE116" s="66">
        <v>67.551717049300009</v>
      </c>
      <c r="CF116" s="66">
        <v>66.057403855299995</v>
      </c>
      <c r="CG116" s="66">
        <v>56.662219243300001</v>
      </c>
      <c r="CH116" s="66">
        <v>42.417721877200002</v>
      </c>
      <c r="CI116" s="66">
        <v>52.483358511400013</v>
      </c>
      <c r="CJ116" s="66">
        <v>64.305695025999995</v>
      </c>
      <c r="CK116" s="66">
        <v>49.742821137100002</v>
      </c>
      <c r="CL116" s="66">
        <v>87.788965718499995</v>
      </c>
      <c r="CM116" s="66">
        <v>80.637840239799999</v>
      </c>
      <c r="CN116" s="66">
        <v>65.538972494800007</v>
      </c>
      <c r="CO116" s="66">
        <v>63.630289479400005</v>
      </c>
      <c r="CP116" s="66">
        <v>57.731392453000012</v>
      </c>
      <c r="CQ116" s="66">
        <v>55.083320867499999</v>
      </c>
      <c r="CR116" s="66">
        <v>77.291922141100017</v>
      </c>
      <c r="CS116" s="66">
        <v>62.198608347700016</v>
      </c>
      <c r="CT116" s="66">
        <v>71.260293176800005</v>
      </c>
      <c r="CU116" s="66">
        <v>55.371113129800001</v>
      </c>
      <c r="CV116" s="66">
        <v>67.099257627400007</v>
      </c>
      <c r="CW116" s="66">
        <v>66.396007269400016</v>
      </c>
      <c r="CX116" s="66">
        <v>75.257449627300005</v>
      </c>
      <c r="CY116" s="66">
        <v>82.992603138100009</v>
      </c>
      <c r="CZ116" s="66">
        <v>65.771713088200002</v>
      </c>
      <c r="DA116" s="66">
        <v>75.228591594999997</v>
      </c>
      <c r="DB116" s="66">
        <v>70.109236707700006</v>
      </c>
      <c r="DC116" s="66">
        <v>85.777422018399989</v>
      </c>
      <c r="DD116" s="66">
        <v>72.524229959499991</v>
      </c>
      <c r="DE116" s="66">
        <v>68.871868828600014</v>
      </c>
      <c r="DF116" s="66">
        <v>67.888106388100013</v>
      </c>
      <c r="DG116" s="66">
        <v>85.093610490999993</v>
      </c>
      <c r="DH116" s="66">
        <v>82.773297103299996</v>
      </c>
      <c r="DI116" s="66">
        <v>88.475854435300008</v>
      </c>
      <c r="DJ116" s="66">
        <v>84.228770162800018</v>
      </c>
      <c r="DK116" s="66">
        <v>72.642176377600009</v>
      </c>
      <c r="DL116" s="66">
        <v>91.550642126500009</v>
      </c>
      <c r="DM116" s="66">
        <v>94.070034657699992</v>
      </c>
      <c r="DN116" s="66">
        <v>81.594358296100012</v>
      </c>
      <c r="DO116" s="66">
        <v>89.149383646900006</v>
      </c>
      <c r="DP116" s="79"/>
      <c r="DQ116" s="80"/>
      <c r="DR116" s="81"/>
      <c r="DS116" s="84">
        <f t="shared" si="12"/>
        <v>2010</v>
      </c>
      <c r="DT116" s="80"/>
      <c r="DU116" s="83">
        <f t="shared" si="18"/>
        <v>-96</v>
      </c>
      <c r="DV116" s="83">
        <f t="shared" si="18"/>
        <v>-91.9846431</v>
      </c>
      <c r="DW116" s="83">
        <f t="shared" si="18"/>
        <v>150.1170231417</v>
      </c>
      <c r="DX116" s="83">
        <f t="shared" si="18"/>
        <v>180.88917982860002</v>
      </c>
      <c r="DY116" s="83">
        <f t="shared" si="18"/>
        <v>423.9444370440001</v>
      </c>
      <c r="DZ116" s="83">
        <f t="shared" si="18"/>
        <v>597.38323760879996</v>
      </c>
      <c r="EA116" s="83">
        <f t="shared" si="18"/>
        <v>681.54226620360009</v>
      </c>
      <c r="EB116" s="83">
        <f t="shared" si="18"/>
        <v>790.58123421150015</v>
      </c>
      <c r="EC116" s="83">
        <f t="shared" si="18"/>
        <v>883.01009673869999</v>
      </c>
      <c r="ED116" s="83">
        <f t="shared" si="18"/>
        <v>684.48451680620008</v>
      </c>
    </row>
    <row r="117" spans="2:134" x14ac:dyDescent="0.3">
      <c r="B117" s="45">
        <f t="shared" si="13"/>
        <v>1000000113</v>
      </c>
      <c r="C117" s="46">
        <v>43009</v>
      </c>
      <c r="D117" s="66">
        <v>-8</v>
      </c>
      <c r="E117" s="66">
        <v>-8</v>
      </c>
      <c r="F117" s="66">
        <v>-8</v>
      </c>
      <c r="G117" s="66">
        <v>-8</v>
      </c>
      <c r="H117" s="66">
        <v>-8</v>
      </c>
      <c r="I117" s="66">
        <v>-8</v>
      </c>
      <c r="J117" s="66">
        <v>-8</v>
      </c>
      <c r="K117" s="66">
        <v>-8</v>
      </c>
      <c r="L117" s="66">
        <v>-8</v>
      </c>
      <c r="M117" s="66">
        <v>-8</v>
      </c>
      <c r="N117" s="66">
        <v>-8</v>
      </c>
      <c r="O117" s="66">
        <v>-8</v>
      </c>
      <c r="P117" s="66">
        <v>-8</v>
      </c>
      <c r="Q117" s="66">
        <v>-8</v>
      </c>
      <c r="R117" s="66">
        <v>-8</v>
      </c>
      <c r="S117" s="66">
        <v>-8</v>
      </c>
      <c r="T117" s="66">
        <v>-8</v>
      </c>
      <c r="U117" s="66">
        <v>-8</v>
      </c>
      <c r="V117" s="66">
        <v>-8</v>
      </c>
      <c r="W117" s="66">
        <v>-8</v>
      </c>
      <c r="X117" s="66">
        <v>-8</v>
      </c>
      <c r="Y117" s="66">
        <v>-8</v>
      </c>
      <c r="Z117" s="66">
        <v>-8</v>
      </c>
      <c r="AA117" s="66">
        <v>-8</v>
      </c>
      <c r="AB117" s="66">
        <v>-8</v>
      </c>
      <c r="AC117" s="66">
        <v>-8</v>
      </c>
      <c r="AD117" s="66">
        <v>-8</v>
      </c>
      <c r="AE117" s="66">
        <v>-8</v>
      </c>
      <c r="AF117" s="66">
        <v>-8</v>
      </c>
      <c r="AG117" s="66">
        <v>-8</v>
      </c>
      <c r="AH117" s="66">
        <v>-8</v>
      </c>
      <c r="AI117" s="66">
        <v>-8</v>
      </c>
      <c r="AJ117" s="66">
        <v>-8</v>
      </c>
      <c r="AK117" s="66">
        <v>-8</v>
      </c>
      <c r="AL117" s="66">
        <v>-8</v>
      </c>
      <c r="AM117" s="66">
        <v>-8</v>
      </c>
      <c r="AN117" s="66">
        <v>-8</v>
      </c>
      <c r="AO117" s="66">
        <v>-8</v>
      </c>
      <c r="AP117" s="66">
        <v>-8</v>
      </c>
      <c r="AQ117" s="66">
        <v>-8</v>
      </c>
      <c r="AR117" s="66">
        <v>-8</v>
      </c>
      <c r="AS117" s="66">
        <v>-8</v>
      </c>
      <c r="AT117" s="66">
        <v>-8</v>
      </c>
      <c r="AU117" s="66">
        <v>-8</v>
      </c>
      <c r="AV117" s="66">
        <v>-8</v>
      </c>
      <c r="AW117" s="66">
        <v>3.0276335887000005</v>
      </c>
      <c r="AX117" s="66">
        <v>8.9869486021</v>
      </c>
      <c r="AY117" s="66">
        <v>8.4642016710999997</v>
      </c>
      <c r="AZ117" s="66">
        <v>7.6757657040999998</v>
      </c>
      <c r="BA117" s="66">
        <v>30.712356086499994</v>
      </c>
      <c r="BB117" s="66">
        <v>38.732712517300008</v>
      </c>
      <c r="BC117" s="66">
        <v>59.871840367600001</v>
      </c>
      <c r="BD117" s="66">
        <v>32.733844362100001</v>
      </c>
      <c r="BE117" s="66">
        <v>13.710734544699999</v>
      </c>
      <c r="BF117" s="66">
        <v>19.879636177600002</v>
      </c>
      <c r="BG117" s="66">
        <v>17.344219745499998</v>
      </c>
      <c r="BH117" s="66">
        <v>13.990983940300001</v>
      </c>
      <c r="BI117" s="66">
        <v>31.013920647699997</v>
      </c>
      <c r="BJ117" s="66">
        <v>28.1998684681</v>
      </c>
      <c r="BK117" s="66">
        <v>18.287828617000002</v>
      </c>
      <c r="BL117" s="66">
        <v>27.428394569500007</v>
      </c>
      <c r="BM117" s="66">
        <v>55.48436871040002</v>
      </c>
      <c r="BN117" s="66">
        <v>31.903828811499999</v>
      </c>
      <c r="BO117" s="66">
        <v>56.438822798199993</v>
      </c>
      <c r="BP117" s="66">
        <v>37.086528768400008</v>
      </c>
      <c r="BQ117" s="66">
        <v>36.267696174399994</v>
      </c>
      <c r="BR117" s="66">
        <v>17.359530639100001</v>
      </c>
      <c r="BS117" s="66">
        <v>19.804057403800005</v>
      </c>
      <c r="BT117" s="66">
        <v>37.065851556700004</v>
      </c>
      <c r="BU117" s="66">
        <v>37.4998103155</v>
      </c>
      <c r="BV117" s="66">
        <v>47.147587145200006</v>
      </c>
      <c r="BW117" s="66">
        <v>32.974690722699997</v>
      </c>
      <c r="BX117" s="66">
        <v>37.8251668045</v>
      </c>
      <c r="BY117" s="66">
        <v>70.129726285900006</v>
      </c>
      <c r="BZ117" s="66">
        <v>73.030915462899998</v>
      </c>
      <c r="CA117" s="66">
        <v>49.939723732000004</v>
      </c>
      <c r="CB117" s="66">
        <v>64.668765848500001</v>
      </c>
      <c r="CC117" s="66">
        <v>60.755218885600001</v>
      </c>
      <c r="CD117" s="66">
        <v>70.146087927099998</v>
      </c>
      <c r="CE117" s="66">
        <v>57.424236413499997</v>
      </c>
      <c r="CF117" s="66">
        <v>68.498853430600008</v>
      </c>
      <c r="CG117" s="66">
        <v>70.824270449499991</v>
      </c>
      <c r="CH117" s="66">
        <v>69.670624638100023</v>
      </c>
      <c r="CI117" s="66">
        <v>45.860984235699995</v>
      </c>
      <c r="CJ117" s="66">
        <v>79.630623611800004</v>
      </c>
      <c r="CK117" s="66">
        <v>117.3364010242</v>
      </c>
      <c r="CL117" s="66">
        <v>137.16453360999998</v>
      </c>
      <c r="CM117" s="66">
        <v>84.038021946699999</v>
      </c>
      <c r="CN117" s="66">
        <v>78.913525901500009</v>
      </c>
      <c r="CO117" s="66">
        <v>90.572771377900025</v>
      </c>
      <c r="CP117" s="66">
        <v>97.315944100899983</v>
      </c>
      <c r="CQ117" s="66">
        <v>81.788821655500016</v>
      </c>
      <c r="CR117" s="66">
        <v>67.533591653199991</v>
      </c>
      <c r="CS117" s="66">
        <v>67.933551221799988</v>
      </c>
      <c r="CT117" s="66">
        <v>73.319645892699995</v>
      </c>
      <c r="CU117" s="66">
        <v>35.7748204966</v>
      </c>
      <c r="CV117" s="66">
        <v>22.629104906500004</v>
      </c>
      <c r="CW117" s="66">
        <v>37.551071787700003</v>
      </c>
      <c r="CX117" s="66">
        <v>31.332935124400002</v>
      </c>
      <c r="CY117" s="66">
        <v>28.137836833000001</v>
      </c>
      <c r="CZ117" s="66">
        <v>6.9413681851000018</v>
      </c>
      <c r="DA117" s="66">
        <v>43.579360875699997</v>
      </c>
      <c r="DB117" s="66">
        <v>72.171629086300001</v>
      </c>
      <c r="DC117" s="66">
        <v>58.013405603500004</v>
      </c>
      <c r="DD117" s="66">
        <v>62.988282695799995</v>
      </c>
      <c r="DE117" s="66">
        <v>73.8690367807</v>
      </c>
      <c r="DF117" s="66">
        <v>62.74169475010001</v>
      </c>
      <c r="DG117" s="66">
        <v>53.0090700517</v>
      </c>
      <c r="DH117" s="66">
        <v>77.673906420400002</v>
      </c>
      <c r="DI117" s="66">
        <v>111.8702243755</v>
      </c>
      <c r="DJ117" s="66">
        <v>103.86266454940001</v>
      </c>
      <c r="DK117" s="66">
        <v>99.035117281299989</v>
      </c>
      <c r="DL117" s="66">
        <v>74.324310705100004</v>
      </c>
      <c r="DM117" s="66">
        <v>86.25660045070002</v>
      </c>
      <c r="DN117" s="66">
        <v>68.467255949200009</v>
      </c>
      <c r="DO117" s="66">
        <v>73.325950378299993</v>
      </c>
      <c r="DP117" s="79"/>
      <c r="DQ117" s="80"/>
      <c r="DR117" s="81"/>
      <c r="DS117" s="84">
        <f t="shared" si="12"/>
        <v>2017</v>
      </c>
      <c r="DT117" s="80"/>
      <c r="DU117" s="83">
        <f t="shared" si="18"/>
        <v>-96</v>
      </c>
      <c r="DV117" s="83">
        <f t="shared" si="18"/>
        <v>-96</v>
      </c>
      <c r="DW117" s="83">
        <f t="shared" si="18"/>
        <v>-96</v>
      </c>
      <c r="DX117" s="83">
        <f t="shared" si="18"/>
        <v>-51.521216138100002</v>
      </c>
      <c r="DY117" s="83">
        <f t="shared" si="18"/>
        <v>312.15371117849998</v>
      </c>
      <c r="DZ117" s="83">
        <f t="shared" si="18"/>
        <v>436.46116761540003</v>
      </c>
      <c r="EA117" s="83">
        <f t="shared" si="18"/>
        <v>738.77457411390003</v>
      </c>
      <c r="EB117" s="83">
        <f t="shared" si="18"/>
        <v>1011.3222524928</v>
      </c>
      <c r="EC117" s="83">
        <f t="shared" si="18"/>
        <v>552.96479668050006</v>
      </c>
      <c r="ED117" s="83">
        <f t="shared" si="18"/>
        <v>694.8160301099</v>
      </c>
    </row>
    <row r="118" spans="2:134" x14ac:dyDescent="0.3">
      <c r="B118" s="45">
        <f t="shared" si="13"/>
        <v>1000000114</v>
      </c>
      <c r="C118" s="46">
        <v>42887</v>
      </c>
      <c r="D118" s="66">
        <v>-8</v>
      </c>
      <c r="E118" s="66">
        <v>-8</v>
      </c>
      <c r="F118" s="66">
        <v>-8</v>
      </c>
      <c r="G118" s="66">
        <v>-8</v>
      </c>
      <c r="H118" s="66">
        <v>-8</v>
      </c>
      <c r="I118" s="66">
        <v>-8</v>
      </c>
      <c r="J118" s="66">
        <v>-8</v>
      </c>
      <c r="K118" s="66">
        <v>-8</v>
      </c>
      <c r="L118" s="66">
        <v>-8</v>
      </c>
      <c r="M118" s="66">
        <v>-8</v>
      </c>
      <c r="N118" s="66">
        <v>-8</v>
      </c>
      <c r="O118" s="66">
        <v>-8</v>
      </c>
      <c r="P118" s="66">
        <v>-8</v>
      </c>
      <c r="Q118" s="66">
        <v>-8</v>
      </c>
      <c r="R118" s="66">
        <v>-8</v>
      </c>
      <c r="S118" s="66">
        <v>-8</v>
      </c>
      <c r="T118" s="66">
        <v>-8</v>
      </c>
      <c r="U118" s="66">
        <v>-8</v>
      </c>
      <c r="V118" s="66">
        <v>-8</v>
      </c>
      <c r="W118" s="66">
        <v>-8</v>
      </c>
      <c r="X118" s="66">
        <v>-8</v>
      </c>
      <c r="Y118" s="66">
        <v>-8</v>
      </c>
      <c r="Z118" s="66">
        <v>-8</v>
      </c>
      <c r="AA118" s="66">
        <v>-8</v>
      </c>
      <c r="AB118" s="66">
        <v>-8</v>
      </c>
      <c r="AC118" s="66">
        <v>-8</v>
      </c>
      <c r="AD118" s="66">
        <v>-8</v>
      </c>
      <c r="AE118" s="66">
        <v>-8</v>
      </c>
      <c r="AF118" s="66">
        <v>-8</v>
      </c>
      <c r="AG118" s="66">
        <v>-8</v>
      </c>
      <c r="AH118" s="66">
        <v>-8</v>
      </c>
      <c r="AI118" s="66">
        <v>-8</v>
      </c>
      <c r="AJ118" s="66">
        <v>-8</v>
      </c>
      <c r="AK118" s="66">
        <v>-8</v>
      </c>
      <c r="AL118" s="66">
        <v>-8</v>
      </c>
      <c r="AM118" s="66">
        <v>-8</v>
      </c>
      <c r="AN118" s="66">
        <v>-8</v>
      </c>
      <c r="AO118" s="66">
        <v>-8</v>
      </c>
      <c r="AP118" s="66">
        <v>-8</v>
      </c>
      <c r="AQ118" s="66">
        <v>-8</v>
      </c>
      <c r="AR118" s="66">
        <v>-8</v>
      </c>
      <c r="AS118" s="66">
        <v>-2.6931992461999998</v>
      </c>
      <c r="AT118" s="66">
        <v>31.167967751200003</v>
      </c>
      <c r="AU118" s="66">
        <v>36.898257314500007</v>
      </c>
      <c r="AV118" s="66">
        <v>34.897183563700004</v>
      </c>
      <c r="AW118" s="66">
        <v>43.6377524209</v>
      </c>
      <c r="AX118" s="66">
        <v>45.216913483599996</v>
      </c>
      <c r="AY118" s="66">
        <v>29.454911422899997</v>
      </c>
      <c r="AZ118" s="66">
        <v>48.621035494000004</v>
      </c>
      <c r="BA118" s="66">
        <v>81.174584629900011</v>
      </c>
      <c r="BB118" s="66">
        <v>99.24489153430001</v>
      </c>
      <c r="BC118" s="66">
        <v>78.088764088899993</v>
      </c>
      <c r="BD118" s="66">
        <v>58.778499963100003</v>
      </c>
      <c r="BE118" s="66">
        <v>46.655274367899992</v>
      </c>
      <c r="BF118" s="66">
        <v>29.318539395100004</v>
      </c>
      <c r="BG118" s="66">
        <v>43.861599186399999</v>
      </c>
      <c r="BH118" s="66">
        <v>34.0900968268</v>
      </c>
      <c r="BI118" s="66">
        <v>51.663550223200005</v>
      </c>
      <c r="BJ118" s="66">
        <v>39.396709947100007</v>
      </c>
      <c r="BK118" s="66">
        <v>44.732331206500007</v>
      </c>
      <c r="BL118" s="66">
        <v>55.542009721599996</v>
      </c>
      <c r="BM118" s="66">
        <v>77.658482946700019</v>
      </c>
      <c r="BN118" s="66">
        <v>94.745102463999999</v>
      </c>
      <c r="BO118" s="66">
        <v>73.322272761700006</v>
      </c>
      <c r="BP118" s="66">
        <v>76.108367549799993</v>
      </c>
      <c r="BQ118" s="66">
        <v>52.867181598999998</v>
      </c>
      <c r="BR118" s="66">
        <v>65.94958964620001</v>
      </c>
      <c r="BS118" s="66">
        <v>51.421915801899999</v>
      </c>
      <c r="BT118" s="66">
        <v>62.146146021099995</v>
      </c>
      <c r="BU118" s="66">
        <v>61.276539802000002</v>
      </c>
      <c r="BV118" s="66">
        <v>37.132686609400004</v>
      </c>
      <c r="BW118" s="66">
        <v>46.238765524599998</v>
      </c>
      <c r="BX118" s="66">
        <v>56.451169082500002</v>
      </c>
      <c r="BY118" s="66">
        <v>87.171313763200018</v>
      </c>
      <c r="BZ118" s="66">
        <v>67.459401367300003</v>
      </c>
      <c r="CA118" s="66">
        <v>43.223983026700012</v>
      </c>
      <c r="CB118" s="66">
        <v>45.129251112399999</v>
      </c>
      <c r="CC118" s="66">
        <v>46.049630956599998</v>
      </c>
      <c r="CD118" s="66">
        <v>48.833924463099997</v>
      </c>
      <c r="CE118" s="66">
        <v>65.019265226499996</v>
      </c>
      <c r="CF118" s="66">
        <v>56.18705616790001</v>
      </c>
      <c r="CG118" s="66">
        <v>46.807032342700005</v>
      </c>
      <c r="CH118" s="66">
        <v>41.801308302999999</v>
      </c>
      <c r="CI118" s="66">
        <v>51.579790628800012</v>
      </c>
      <c r="CJ118" s="66">
        <v>46.805531274699995</v>
      </c>
      <c r="CK118" s="66">
        <v>96.579970460500007</v>
      </c>
      <c r="CL118" s="66">
        <v>76.983114926799999</v>
      </c>
      <c r="CM118" s="66">
        <v>84.311066215900013</v>
      </c>
      <c r="CN118" s="66">
        <v>77.268543007000005</v>
      </c>
      <c r="CO118" s="66">
        <v>69.891882061300009</v>
      </c>
      <c r="CP118" s="66">
        <v>71.016482206899994</v>
      </c>
      <c r="CQ118" s="66">
        <v>82.816302701500007</v>
      </c>
      <c r="CR118" s="66">
        <v>60.124282478500007</v>
      </c>
      <c r="CS118" s="66">
        <v>31.253903894199993</v>
      </c>
      <c r="CT118" s="66">
        <v>29.967300984700003</v>
      </c>
      <c r="CU118" s="66">
        <v>43.214488771600003</v>
      </c>
      <c r="CV118" s="66">
        <v>47.345165220699997</v>
      </c>
      <c r="CW118" s="66">
        <v>88.199582869900013</v>
      </c>
      <c r="CX118" s="66">
        <v>60.461797618300011</v>
      </c>
      <c r="CY118" s="66">
        <v>68.570004053799991</v>
      </c>
      <c r="CZ118" s="66">
        <v>43.605892252599993</v>
      </c>
      <c r="DA118" s="66">
        <v>48.381690201399998</v>
      </c>
      <c r="DB118" s="66">
        <v>36.192305034100002</v>
      </c>
      <c r="DC118" s="66">
        <v>52.318128451300005</v>
      </c>
      <c r="DD118" s="66">
        <v>53.239296356200008</v>
      </c>
      <c r="DE118" s="66">
        <v>80.9646227434</v>
      </c>
      <c r="DF118" s="66">
        <v>80.151794421399998</v>
      </c>
      <c r="DG118" s="66">
        <v>68.014721473899996</v>
      </c>
      <c r="DH118" s="66">
        <v>93.287115115600002</v>
      </c>
      <c r="DI118" s="66">
        <v>87.198070300300003</v>
      </c>
      <c r="DJ118" s="66">
        <v>90.566279258800023</v>
      </c>
      <c r="DK118" s="66">
        <v>99.229017740200021</v>
      </c>
      <c r="DL118" s="66">
        <v>75.425006342800003</v>
      </c>
      <c r="DM118" s="66">
        <v>76.243163456200023</v>
      </c>
      <c r="DN118" s="66">
        <v>82.775060858200021</v>
      </c>
      <c r="DO118" s="66">
        <v>110.97618827470001</v>
      </c>
      <c r="DP118" s="79"/>
      <c r="DQ118" s="80"/>
      <c r="DR118" s="81"/>
      <c r="DS118" s="84">
        <f t="shared" si="12"/>
        <v>2017</v>
      </c>
      <c r="DT118" s="80"/>
      <c r="DU118" s="83">
        <f t="shared" si="18"/>
        <v>-96</v>
      </c>
      <c r="DV118" s="83">
        <f t="shared" si="18"/>
        <v>-96</v>
      </c>
      <c r="DW118" s="83">
        <f t="shared" si="18"/>
        <v>-96</v>
      </c>
      <c r="DX118" s="83">
        <f t="shared" si="18"/>
        <v>178.57978671059999</v>
      </c>
      <c r="DY118" s="83">
        <f t="shared" si="18"/>
        <v>655.62587686320012</v>
      </c>
      <c r="DZ118" s="83">
        <f t="shared" si="18"/>
        <v>754.40906044799999</v>
      </c>
      <c r="EA118" s="83">
        <f t="shared" si="18"/>
        <v>655.71312644070019</v>
      </c>
      <c r="EB118" s="83">
        <f t="shared" si="18"/>
        <v>770.23286898360016</v>
      </c>
      <c r="EC118" s="83">
        <f t="shared" si="18"/>
        <v>727.44500069699995</v>
      </c>
      <c r="ED118" s="83">
        <f t="shared" si="18"/>
        <v>715.69990134680006</v>
      </c>
    </row>
    <row r="119" spans="2:134" x14ac:dyDescent="0.3">
      <c r="B119" s="45">
        <f t="shared" si="13"/>
        <v>1000000115</v>
      </c>
      <c r="C119" s="46">
        <v>41548</v>
      </c>
      <c r="D119" s="66">
        <v>2.2969136862999999</v>
      </c>
      <c r="E119" s="66">
        <v>26.601531261700003</v>
      </c>
      <c r="F119" s="66">
        <v>27.889672765900002</v>
      </c>
      <c r="G119" s="66">
        <v>10.476946225600006</v>
      </c>
      <c r="H119" s="66">
        <v>0.14937322539999975</v>
      </c>
      <c r="I119" s="66">
        <v>5.7902741892999998</v>
      </c>
      <c r="J119" s="66">
        <v>9.6005101470999996</v>
      </c>
      <c r="K119" s="66">
        <v>7.7819287384000031</v>
      </c>
      <c r="L119" s="66">
        <v>9.4953228070000044</v>
      </c>
      <c r="M119" s="66">
        <v>8.6200125295000021</v>
      </c>
      <c r="N119" s="66">
        <v>13.548206407000002</v>
      </c>
      <c r="O119" s="66">
        <v>10.0097012839</v>
      </c>
      <c r="P119" s="66">
        <v>14.966565560199999</v>
      </c>
      <c r="Q119" s="66">
        <v>65.845715740600028</v>
      </c>
      <c r="R119" s="66">
        <v>22.102154985099997</v>
      </c>
      <c r="S119" s="66">
        <v>26.085839350299999</v>
      </c>
      <c r="T119" s="66">
        <v>8.4991015021000003</v>
      </c>
      <c r="U119" s="66">
        <v>9.3822173332000034</v>
      </c>
      <c r="V119" s="66">
        <v>9.5657979496000003</v>
      </c>
      <c r="W119" s="66">
        <v>13.733663358400001</v>
      </c>
      <c r="X119" s="66">
        <v>15.776579379700003</v>
      </c>
      <c r="Y119" s="66">
        <v>18.120271901500001</v>
      </c>
      <c r="Z119" s="66">
        <v>15.208650301900001</v>
      </c>
      <c r="AA119" s="66">
        <v>11.088331222000004</v>
      </c>
      <c r="AB119" s="66">
        <v>11.869336902400001</v>
      </c>
      <c r="AC119" s="66">
        <v>35.527482016900009</v>
      </c>
      <c r="AD119" s="66">
        <v>25.843979768799997</v>
      </c>
      <c r="AE119" s="66">
        <v>17.714383114300002</v>
      </c>
      <c r="AF119" s="66">
        <v>14.490989691100001</v>
      </c>
      <c r="AG119" s="66">
        <v>21.012679830700002</v>
      </c>
      <c r="AH119" s="66">
        <v>31.016472463300005</v>
      </c>
      <c r="AI119" s="66">
        <v>17.8028710729</v>
      </c>
      <c r="AJ119" s="66">
        <v>28.217205803500001</v>
      </c>
      <c r="AK119" s="66">
        <v>20.599998710799998</v>
      </c>
      <c r="AL119" s="66">
        <v>26.700939490000003</v>
      </c>
      <c r="AM119" s="66">
        <v>24.154302574600003</v>
      </c>
      <c r="AN119" s="66">
        <v>14.098760622699999</v>
      </c>
      <c r="AO119" s="66">
        <v>27.878677442800004</v>
      </c>
      <c r="AP119" s="66">
        <v>40.4369500711</v>
      </c>
      <c r="AQ119" s="66">
        <v>38.217696086500005</v>
      </c>
      <c r="AR119" s="66">
        <v>20.486442916599998</v>
      </c>
      <c r="AS119" s="66">
        <v>20.013456389800002</v>
      </c>
      <c r="AT119" s="66">
        <v>38.670981095800009</v>
      </c>
      <c r="AU119" s="66">
        <v>44.163426434500003</v>
      </c>
      <c r="AV119" s="66">
        <v>44.494862248900013</v>
      </c>
      <c r="AW119" s="66">
        <v>54.431894882199998</v>
      </c>
      <c r="AX119" s="66">
        <v>40.421939391100004</v>
      </c>
      <c r="AY119" s="66">
        <v>38.512580895100001</v>
      </c>
      <c r="AZ119" s="66">
        <v>57.337849950100022</v>
      </c>
      <c r="BA119" s="66">
        <v>73.023860443299995</v>
      </c>
      <c r="BB119" s="66">
        <v>101.60588386479999</v>
      </c>
      <c r="BC119" s="66">
        <v>80.117870284600016</v>
      </c>
      <c r="BD119" s="66">
        <v>49.578679351300003</v>
      </c>
      <c r="BE119" s="66">
        <v>42.655978895500006</v>
      </c>
      <c r="BF119" s="66">
        <v>42.964185682600004</v>
      </c>
      <c r="BG119" s="66">
        <v>59.01139066330002</v>
      </c>
      <c r="BH119" s="66">
        <v>56.969600443000019</v>
      </c>
      <c r="BI119" s="66">
        <v>60.751203528700017</v>
      </c>
      <c r="BJ119" s="66">
        <v>44.884089181299998</v>
      </c>
      <c r="BK119" s="66">
        <v>47.905513905100001</v>
      </c>
      <c r="BL119" s="66">
        <v>42.642506810200004</v>
      </c>
      <c r="BM119" s="66">
        <v>62.190952900900001</v>
      </c>
      <c r="BN119" s="66">
        <v>77.379697092400008</v>
      </c>
      <c r="BO119" s="66">
        <v>70.91377162900001</v>
      </c>
      <c r="BP119" s="66">
        <v>68.715420016300001</v>
      </c>
      <c r="BQ119" s="66">
        <v>47.524580373400013</v>
      </c>
      <c r="BR119" s="66">
        <v>31.576671040900003</v>
      </c>
      <c r="BS119" s="66">
        <v>34.806594109899997</v>
      </c>
      <c r="BT119" s="66">
        <v>39.192076852</v>
      </c>
      <c r="BU119" s="66">
        <v>51.519297588400008</v>
      </c>
      <c r="BV119" s="66">
        <v>45.373850142999999</v>
      </c>
      <c r="BW119" s="66">
        <v>34.305349977999995</v>
      </c>
      <c r="BX119" s="66">
        <v>49.832209736500012</v>
      </c>
      <c r="BY119" s="66">
        <v>49.781586218199998</v>
      </c>
      <c r="BZ119" s="66">
        <v>57.250863059500006</v>
      </c>
      <c r="CA119" s="66">
        <v>37.313152509699997</v>
      </c>
      <c r="CB119" s="66">
        <v>55.479452712699988</v>
      </c>
      <c r="CC119" s="66">
        <v>57.619112566599995</v>
      </c>
      <c r="CD119" s="66">
        <v>47.041799377899999</v>
      </c>
      <c r="CE119" s="66">
        <v>52.077807464500005</v>
      </c>
      <c r="CF119" s="66">
        <v>53.559023840200005</v>
      </c>
      <c r="CG119" s="66">
        <v>45.390474471100006</v>
      </c>
      <c r="CH119" s="66">
        <v>40.928662421200002</v>
      </c>
      <c r="CI119" s="66">
        <v>37.484874688900007</v>
      </c>
      <c r="CJ119" s="66">
        <v>31.464428681200012</v>
      </c>
      <c r="CK119" s="66">
        <v>47.202563760700002</v>
      </c>
      <c r="CL119" s="66">
        <v>76.086602063800001</v>
      </c>
      <c r="CM119" s="66">
        <v>48.024661177599995</v>
      </c>
      <c r="CN119" s="66">
        <v>56.384183923000009</v>
      </c>
      <c r="CO119" s="66">
        <v>37.769702341900008</v>
      </c>
      <c r="CP119" s="66">
        <v>51.480945301000006</v>
      </c>
      <c r="CQ119" s="66">
        <v>59.237489030800006</v>
      </c>
      <c r="CR119" s="66">
        <v>58.333358247700005</v>
      </c>
      <c r="CS119" s="66">
        <v>38.036254492000005</v>
      </c>
      <c r="CT119" s="66">
        <v>48.032429204500012</v>
      </c>
      <c r="CU119" s="66">
        <v>44.324078237200013</v>
      </c>
      <c r="CV119" s="66">
        <v>43.555644001299996</v>
      </c>
      <c r="CW119" s="66">
        <v>38.762396136999996</v>
      </c>
      <c r="CX119" s="66">
        <v>53.041868387500003</v>
      </c>
      <c r="CY119" s="66">
        <v>57.337474683099998</v>
      </c>
      <c r="CZ119" s="66">
        <v>37.422317679999999</v>
      </c>
      <c r="DA119" s="66">
        <v>49.757644183600007</v>
      </c>
      <c r="DB119" s="66">
        <v>32.855318290000007</v>
      </c>
      <c r="DC119" s="66">
        <v>42.741352138000003</v>
      </c>
      <c r="DD119" s="66">
        <v>43.454584598200015</v>
      </c>
      <c r="DE119" s="66">
        <v>75.335993010400003</v>
      </c>
      <c r="DF119" s="66">
        <v>65.603218205200008</v>
      </c>
      <c r="DG119" s="66">
        <v>46.362190840899999</v>
      </c>
      <c r="DH119" s="66">
        <v>74.034079207299996</v>
      </c>
      <c r="DI119" s="66">
        <v>77.329861634799997</v>
      </c>
      <c r="DJ119" s="66">
        <v>108.81540088870001</v>
      </c>
      <c r="DK119" s="66">
        <v>87.219985893100016</v>
      </c>
      <c r="DL119" s="66">
        <v>91.000725864700016</v>
      </c>
      <c r="DM119" s="66">
        <v>130.03363502260001</v>
      </c>
      <c r="DN119" s="66">
        <v>150.92632503399994</v>
      </c>
      <c r="DO119" s="66">
        <v>138.15583891719999</v>
      </c>
      <c r="DP119" s="79"/>
      <c r="DQ119" s="80"/>
      <c r="DR119" s="81"/>
      <c r="DS119" s="84">
        <f t="shared" si="12"/>
        <v>2013</v>
      </c>
      <c r="DT119" s="80"/>
      <c r="DU119" s="83">
        <f t="shared" si="18"/>
        <v>132.26039326710003</v>
      </c>
      <c r="DV119" s="83">
        <f t="shared" si="18"/>
        <v>230.37488858460003</v>
      </c>
      <c r="DW119" s="83">
        <f t="shared" si="18"/>
        <v>274.9506414393</v>
      </c>
      <c r="DX119" s="83">
        <f t="shared" si="18"/>
        <v>421.82766847710013</v>
      </c>
      <c r="DY119" s="83">
        <f t="shared" si="18"/>
        <v>716.80610619360004</v>
      </c>
      <c r="DZ119" s="83">
        <f t="shared" si="18"/>
        <v>606.14076853440008</v>
      </c>
      <c r="EA119" s="83">
        <f t="shared" si="18"/>
        <v>583.75901906700005</v>
      </c>
      <c r="EB119" s="83">
        <f t="shared" si="18"/>
        <v>596.37669646140012</v>
      </c>
      <c r="EC119" s="83">
        <f t="shared" si="18"/>
        <v>586.23000215520005</v>
      </c>
      <c r="ED119" s="83">
        <f t="shared" si="18"/>
        <v>857.51585246239995</v>
      </c>
    </row>
    <row r="120" spans="2:134" x14ac:dyDescent="0.3">
      <c r="B120" s="45">
        <f t="shared" si="13"/>
        <v>1000000116</v>
      </c>
      <c r="C120" s="46">
        <v>42186</v>
      </c>
      <c r="D120" s="66">
        <v>-8</v>
      </c>
      <c r="E120" s="66">
        <v>-8</v>
      </c>
      <c r="F120" s="66">
        <v>-8</v>
      </c>
      <c r="G120" s="66">
        <v>-8</v>
      </c>
      <c r="H120" s="66">
        <v>-8</v>
      </c>
      <c r="I120" s="66">
        <v>-8</v>
      </c>
      <c r="J120" s="66">
        <v>-8</v>
      </c>
      <c r="K120" s="66">
        <v>-8</v>
      </c>
      <c r="L120" s="66">
        <v>-8</v>
      </c>
      <c r="M120" s="66">
        <v>-8</v>
      </c>
      <c r="N120" s="66">
        <v>-8</v>
      </c>
      <c r="O120" s="66">
        <v>-8</v>
      </c>
      <c r="P120" s="66">
        <v>-8</v>
      </c>
      <c r="Q120" s="66">
        <v>-8</v>
      </c>
      <c r="R120" s="66">
        <v>-8</v>
      </c>
      <c r="S120" s="66">
        <v>-8</v>
      </c>
      <c r="T120" s="66">
        <v>-8</v>
      </c>
      <c r="U120" s="66">
        <v>-8</v>
      </c>
      <c r="V120" s="66">
        <v>6.3276940600000007</v>
      </c>
      <c r="W120" s="66">
        <v>15.812079637900002</v>
      </c>
      <c r="X120" s="66">
        <v>27.741855094600005</v>
      </c>
      <c r="Y120" s="66">
        <v>27.188974223499997</v>
      </c>
      <c r="Z120" s="66">
        <v>23.688033327100005</v>
      </c>
      <c r="AA120" s="66">
        <v>27.598690734099996</v>
      </c>
      <c r="AB120" s="66">
        <v>31.370837091399999</v>
      </c>
      <c r="AC120" s="66">
        <v>78.49694200479999</v>
      </c>
      <c r="AD120" s="66">
        <v>60.460746870699992</v>
      </c>
      <c r="AE120" s="66">
        <v>53.963824353100001</v>
      </c>
      <c r="AF120" s="66">
        <v>28.567855288299995</v>
      </c>
      <c r="AG120" s="66">
        <v>18.175060883500002</v>
      </c>
      <c r="AH120" s="66">
        <v>29.452059393700004</v>
      </c>
      <c r="AI120" s="66">
        <v>42.290506364200006</v>
      </c>
      <c r="AJ120" s="66">
        <v>32.192446661200009</v>
      </c>
      <c r="AK120" s="66">
        <v>41.637429204099995</v>
      </c>
      <c r="AL120" s="66">
        <v>45.142010190399994</v>
      </c>
      <c r="AM120" s="66">
        <v>45.892056343299998</v>
      </c>
      <c r="AN120" s="66">
        <v>79.596699475000008</v>
      </c>
      <c r="AO120" s="66">
        <v>112.57377494709998</v>
      </c>
      <c r="AP120" s="66">
        <v>145.65311067670001</v>
      </c>
      <c r="AQ120" s="66">
        <v>103.320703948</v>
      </c>
      <c r="AR120" s="66">
        <v>69.605515813599993</v>
      </c>
      <c r="AS120" s="66">
        <v>53.038190770900009</v>
      </c>
      <c r="AT120" s="66">
        <v>64.284192226900004</v>
      </c>
      <c r="AU120" s="66">
        <v>86.08559127880001</v>
      </c>
      <c r="AV120" s="66">
        <v>78.257521658799988</v>
      </c>
      <c r="AW120" s="66">
        <v>96.049755716200011</v>
      </c>
      <c r="AX120" s="66">
        <v>89.672355738099981</v>
      </c>
      <c r="AY120" s="66">
        <v>76.3255345627</v>
      </c>
      <c r="AZ120" s="66">
        <v>83.667145570600013</v>
      </c>
      <c r="BA120" s="66">
        <v>122.10581943399998</v>
      </c>
      <c r="BB120" s="66">
        <v>119.06491835290001</v>
      </c>
      <c r="BC120" s="66">
        <v>136.2869342038</v>
      </c>
      <c r="BD120" s="66">
        <v>117.61049604100002</v>
      </c>
      <c r="BE120" s="66">
        <v>73.96810726870001</v>
      </c>
      <c r="BF120" s="66">
        <v>73.666955501200007</v>
      </c>
      <c r="BG120" s="66">
        <v>81.45115640889999</v>
      </c>
      <c r="BH120" s="66">
        <v>72.468165069700021</v>
      </c>
      <c r="BI120" s="66">
        <v>84.936448671400001</v>
      </c>
      <c r="BJ120" s="66">
        <v>75.839338637499992</v>
      </c>
      <c r="BK120" s="66">
        <v>62.520512380299991</v>
      </c>
      <c r="BL120" s="66">
        <v>79.089000750700023</v>
      </c>
      <c r="BM120" s="66">
        <v>141.9628100521</v>
      </c>
      <c r="BN120" s="66">
        <v>126.29413689430001</v>
      </c>
      <c r="BO120" s="66">
        <v>118.04351663230001</v>
      </c>
      <c r="BP120" s="66">
        <v>93.594909109</v>
      </c>
      <c r="BQ120" s="66">
        <v>67.940080867599988</v>
      </c>
      <c r="BR120" s="66">
        <v>68.768407716699997</v>
      </c>
      <c r="BS120" s="66">
        <v>73.672396872700006</v>
      </c>
      <c r="BT120" s="66">
        <v>79.320465436299983</v>
      </c>
      <c r="BU120" s="66">
        <v>73.688045506600005</v>
      </c>
      <c r="BV120" s="66">
        <v>72.337609680400021</v>
      </c>
      <c r="BW120" s="66">
        <v>47.758296661000003</v>
      </c>
      <c r="BX120" s="66">
        <v>78.321879949300012</v>
      </c>
      <c r="BY120" s="66">
        <v>89.829592611100011</v>
      </c>
      <c r="BZ120" s="66">
        <v>58.831412610100003</v>
      </c>
      <c r="CA120" s="66">
        <v>42.520882775500006</v>
      </c>
      <c r="CB120" s="66">
        <v>31.344906141700001</v>
      </c>
      <c r="CC120" s="66">
        <v>37.948366960600005</v>
      </c>
      <c r="CD120" s="66">
        <v>79.212313486900015</v>
      </c>
      <c r="CE120" s="66">
        <v>87.809192609800007</v>
      </c>
      <c r="CF120" s="66">
        <v>97.870551200200012</v>
      </c>
      <c r="CG120" s="66">
        <v>88.5334579198</v>
      </c>
      <c r="CH120" s="66">
        <v>51.507289044399997</v>
      </c>
      <c r="CI120" s="66">
        <v>48.609927590799998</v>
      </c>
      <c r="CJ120" s="66">
        <v>81.241945056399999</v>
      </c>
      <c r="CK120" s="66">
        <v>97.917647208700004</v>
      </c>
      <c r="CL120" s="66">
        <v>131.99474283789999</v>
      </c>
      <c r="CM120" s="66">
        <v>113.48785030570002</v>
      </c>
      <c r="CN120" s="66">
        <v>85.038070975000011</v>
      </c>
      <c r="CO120" s="66">
        <v>77.801009353300003</v>
      </c>
      <c r="CP120" s="66">
        <v>79.189759940199991</v>
      </c>
      <c r="CQ120" s="66">
        <v>63.448622724700002</v>
      </c>
      <c r="CR120" s="66">
        <v>83.598471709599991</v>
      </c>
      <c r="CS120" s="66">
        <v>78.9466995043</v>
      </c>
      <c r="CT120" s="66">
        <v>64.814482024600011</v>
      </c>
      <c r="CU120" s="66">
        <v>41.772450270699998</v>
      </c>
      <c r="CV120" s="66">
        <v>64.450397981200013</v>
      </c>
      <c r="CW120" s="66">
        <v>73.250634291400004</v>
      </c>
      <c r="CX120" s="66">
        <v>98.210655682300015</v>
      </c>
      <c r="CY120" s="66">
        <v>63.170324717500009</v>
      </c>
      <c r="CZ120" s="66">
        <v>68.317224202599988</v>
      </c>
      <c r="DA120" s="66">
        <v>85.909928796100004</v>
      </c>
      <c r="DB120" s="66">
        <v>87.048676507600007</v>
      </c>
      <c r="DC120" s="66">
        <v>77.082973475500012</v>
      </c>
      <c r="DD120" s="66">
        <v>75.668742259300004</v>
      </c>
      <c r="DE120" s="66">
        <v>64.107403943199998</v>
      </c>
      <c r="DF120" s="66">
        <v>47.172542400699996</v>
      </c>
      <c r="DG120" s="66">
        <v>42.696432678099995</v>
      </c>
      <c r="DH120" s="66">
        <v>80.740025443900009</v>
      </c>
      <c r="DI120" s="66">
        <v>87.178331256100009</v>
      </c>
      <c r="DJ120" s="66">
        <v>91.646110051299999</v>
      </c>
      <c r="DK120" s="66">
        <v>143.0719116706</v>
      </c>
      <c r="DL120" s="66">
        <v>79.735022891200018</v>
      </c>
      <c r="DM120" s="66">
        <v>82.772771729499993</v>
      </c>
      <c r="DN120" s="66">
        <v>92.103297837400021</v>
      </c>
      <c r="DO120" s="66">
        <v>74.526992411800009</v>
      </c>
      <c r="DP120" s="79"/>
      <c r="DQ120" s="80"/>
      <c r="DR120" s="81"/>
      <c r="DS120" s="84">
        <f t="shared" si="12"/>
        <v>2015</v>
      </c>
      <c r="DT120" s="80"/>
      <c r="DU120" s="83">
        <f t="shared" si="18"/>
        <v>-96</v>
      </c>
      <c r="DV120" s="83">
        <f t="shared" si="18"/>
        <v>80.357327077200011</v>
      </c>
      <c r="DW120" s="83">
        <f t="shared" si="18"/>
        <v>507.64177464869994</v>
      </c>
      <c r="DX120" s="83">
        <f t="shared" si="18"/>
        <v>1054.4629468128001</v>
      </c>
      <c r="DY120" s="83">
        <f t="shared" si="18"/>
        <v>1103.5859975400003</v>
      </c>
      <c r="DZ120" s="83">
        <f t="shared" si="18"/>
        <v>1042.4696761796999</v>
      </c>
      <c r="EA120" s="83">
        <f t="shared" si="18"/>
        <v>792.33977290020005</v>
      </c>
      <c r="EB120" s="83">
        <f t="shared" si="18"/>
        <v>999.25175191110009</v>
      </c>
      <c r="EC120" s="83">
        <f t="shared" si="18"/>
        <v>847.08593693549994</v>
      </c>
      <c r="ED120" s="83">
        <f t="shared" si="18"/>
        <v>731.77446329180009</v>
      </c>
    </row>
    <row r="121" spans="2:134" x14ac:dyDescent="0.3">
      <c r="B121" s="45">
        <f t="shared" si="13"/>
        <v>1000000117</v>
      </c>
      <c r="C121" s="46">
        <v>42370</v>
      </c>
      <c r="D121" s="66">
        <v>-8</v>
      </c>
      <c r="E121" s="66">
        <v>-8</v>
      </c>
      <c r="F121" s="66">
        <v>-8</v>
      </c>
      <c r="G121" s="66">
        <v>-8</v>
      </c>
      <c r="H121" s="66">
        <v>-8</v>
      </c>
      <c r="I121" s="66">
        <v>-8</v>
      </c>
      <c r="J121" s="66">
        <v>-8</v>
      </c>
      <c r="K121" s="66">
        <v>-8</v>
      </c>
      <c r="L121" s="66">
        <v>-8</v>
      </c>
      <c r="M121" s="66">
        <v>-8</v>
      </c>
      <c r="N121" s="66">
        <v>-8</v>
      </c>
      <c r="O121" s="66">
        <v>-8</v>
      </c>
      <c r="P121" s="66">
        <v>-8</v>
      </c>
      <c r="Q121" s="66">
        <v>-8</v>
      </c>
      <c r="R121" s="66">
        <v>-8</v>
      </c>
      <c r="S121" s="66">
        <v>-8</v>
      </c>
      <c r="T121" s="66">
        <v>-8</v>
      </c>
      <c r="U121" s="66">
        <v>-8</v>
      </c>
      <c r="V121" s="66">
        <v>-8</v>
      </c>
      <c r="W121" s="66">
        <v>-8</v>
      </c>
      <c r="X121" s="66">
        <v>-8</v>
      </c>
      <c r="Y121" s="66">
        <v>-8</v>
      </c>
      <c r="Z121" s="66">
        <v>-8</v>
      </c>
      <c r="AA121" s="66">
        <v>-8</v>
      </c>
      <c r="AB121" s="66">
        <v>-2.434790389999999</v>
      </c>
      <c r="AC121" s="66">
        <v>8.1509287795000027</v>
      </c>
      <c r="AD121" s="66">
        <v>10.351682101000002</v>
      </c>
      <c r="AE121" s="66">
        <v>12.198633694900003</v>
      </c>
      <c r="AF121" s="66">
        <v>7.3277806150000018</v>
      </c>
      <c r="AG121" s="66">
        <v>3.1009232337999997</v>
      </c>
      <c r="AH121" s="66">
        <v>12.974460690700003</v>
      </c>
      <c r="AI121" s="66">
        <v>12.698376758799998</v>
      </c>
      <c r="AJ121" s="66">
        <v>9.3513328590999976</v>
      </c>
      <c r="AK121" s="66">
        <v>13.446696683500001</v>
      </c>
      <c r="AL121" s="66">
        <v>10.8164502805</v>
      </c>
      <c r="AM121" s="66">
        <v>9.6583387918000021</v>
      </c>
      <c r="AN121" s="66">
        <v>8.8859267257000027</v>
      </c>
      <c r="AO121" s="66">
        <v>17.477589637300003</v>
      </c>
      <c r="AP121" s="66">
        <v>31.934900919099995</v>
      </c>
      <c r="AQ121" s="66">
        <v>16.310321633800001</v>
      </c>
      <c r="AR121" s="66">
        <v>3.2696432770000001</v>
      </c>
      <c r="AS121" s="66">
        <v>6.7548980128000018</v>
      </c>
      <c r="AT121" s="66">
        <v>20.148327349600002</v>
      </c>
      <c r="AU121" s="66">
        <v>31.943532060100004</v>
      </c>
      <c r="AV121" s="66">
        <v>31.580836504600001</v>
      </c>
      <c r="AW121" s="66">
        <v>38.774104467400008</v>
      </c>
      <c r="AX121" s="66">
        <v>44.163426434499996</v>
      </c>
      <c r="AY121" s="66">
        <v>34.333157262699999</v>
      </c>
      <c r="AZ121" s="66">
        <v>38.999227140699993</v>
      </c>
      <c r="BA121" s="66">
        <v>53.5008199285</v>
      </c>
      <c r="BB121" s="66">
        <v>60.154491472000004</v>
      </c>
      <c r="BC121" s="66">
        <v>103.869719569</v>
      </c>
      <c r="BD121" s="66">
        <v>68.116081090600005</v>
      </c>
      <c r="BE121" s="66">
        <v>29.744429913399998</v>
      </c>
      <c r="BF121" s="66">
        <v>46.690774626100001</v>
      </c>
      <c r="BG121" s="66">
        <v>36.706345770699997</v>
      </c>
      <c r="BH121" s="66">
        <v>28.870883390799996</v>
      </c>
      <c r="BI121" s="66">
        <v>47.18845372149999</v>
      </c>
      <c r="BJ121" s="66">
        <v>48.267871720300001</v>
      </c>
      <c r="BK121" s="66">
        <v>28.504923012400006</v>
      </c>
      <c r="BL121" s="66">
        <v>29.545650983500003</v>
      </c>
      <c r="BM121" s="66">
        <v>36.467901118900002</v>
      </c>
      <c r="BN121" s="66">
        <v>38.154763810600002</v>
      </c>
      <c r="BO121" s="66">
        <v>42.091089480400008</v>
      </c>
      <c r="BP121" s="66">
        <v>35.851675178199997</v>
      </c>
      <c r="BQ121" s="66">
        <v>27.906597307600009</v>
      </c>
      <c r="BR121" s="66">
        <v>26.842340095600001</v>
      </c>
      <c r="BS121" s="66">
        <v>25.392721201299999</v>
      </c>
      <c r="BT121" s="66">
        <v>28.335339855099996</v>
      </c>
      <c r="BU121" s="66">
        <v>40.239296942199999</v>
      </c>
      <c r="BV121" s="66">
        <v>43.000736688399996</v>
      </c>
      <c r="BW121" s="66">
        <v>28.759654252000004</v>
      </c>
      <c r="BX121" s="66">
        <v>44.363218585300011</v>
      </c>
      <c r="BY121" s="66">
        <v>41.466420032199999</v>
      </c>
      <c r="BZ121" s="66">
        <v>51.579715575400009</v>
      </c>
      <c r="CA121" s="66">
        <v>44.680994680900007</v>
      </c>
      <c r="CB121" s="66">
        <v>43.791686944300011</v>
      </c>
      <c r="CC121" s="66">
        <v>60.570587521600004</v>
      </c>
      <c r="CD121" s="66">
        <v>51.192440031400004</v>
      </c>
      <c r="CE121" s="66">
        <v>59.533612220500004</v>
      </c>
      <c r="CF121" s="66">
        <v>71.291402811100014</v>
      </c>
      <c r="CG121" s="66">
        <v>74.106430684900005</v>
      </c>
      <c r="CH121" s="66">
        <v>52.972706679400005</v>
      </c>
      <c r="CI121" s="66">
        <v>38.122040528200003</v>
      </c>
      <c r="CJ121" s="66">
        <v>47.656036403500003</v>
      </c>
      <c r="CK121" s="66">
        <v>41.628047529100009</v>
      </c>
      <c r="CL121" s="66">
        <v>63.036579558699998</v>
      </c>
      <c r="CM121" s="66">
        <v>59.002046515000004</v>
      </c>
      <c r="CN121" s="66">
        <v>48.398126896000001</v>
      </c>
      <c r="CO121" s="66">
        <v>40.854584715400001</v>
      </c>
      <c r="CP121" s="66">
        <v>44.079178993000006</v>
      </c>
      <c r="CQ121" s="66">
        <v>44.666359267899999</v>
      </c>
      <c r="CR121" s="66">
        <v>48.213870798999999</v>
      </c>
      <c r="CS121" s="66">
        <v>62.522126028399995</v>
      </c>
      <c r="CT121" s="66">
        <v>54.277247351500002</v>
      </c>
      <c r="CU121" s="66">
        <v>48.405069335499995</v>
      </c>
      <c r="CV121" s="66">
        <v>50.814846376000006</v>
      </c>
      <c r="CW121" s="66">
        <v>63.436238913700009</v>
      </c>
      <c r="CX121" s="66">
        <v>88.554622978600008</v>
      </c>
      <c r="CY121" s="66">
        <v>85.064789985399997</v>
      </c>
      <c r="CZ121" s="66">
        <v>48.009012543700003</v>
      </c>
      <c r="DA121" s="66">
        <v>52.763457800200008</v>
      </c>
      <c r="DB121" s="66">
        <v>46.0394987476</v>
      </c>
      <c r="DC121" s="66">
        <v>54.488710306000009</v>
      </c>
      <c r="DD121" s="66">
        <v>55.749982693</v>
      </c>
      <c r="DE121" s="66">
        <v>61.326975686800012</v>
      </c>
      <c r="DF121" s="66">
        <v>64.598215652500002</v>
      </c>
      <c r="DG121" s="66">
        <v>61.823416401100019</v>
      </c>
      <c r="DH121" s="66">
        <v>72.680603718399993</v>
      </c>
      <c r="DI121" s="66">
        <v>105.03980207499998</v>
      </c>
      <c r="DJ121" s="66">
        <v>92.21966813409999</v>
      </c>
      <c r="DK121" s="66">
        <v>91.1438151718</v>
      </c>
      <c r="DL121" s="66">
        <v>93.189658275700012</v>
      </c>
      <c r="DM121" s="66">
        <v>93.792712344699993</v>
      </c>
      <c r="DN121" s="66">
        <v>83.029079090500019</v>
      </c>
      <c r="DO121" s="66">
        <v>132.38862308110001</v>
      </c>
      <c r="DP121" s="79"/>
      <c r="DQ121" s="80"/>
      <c r="DR121" s="81"/>
      <c r="DS121" s="84">
        <f t="shared" si="12"/>
        <v>2016</v>
      </c>
      <c r="DT121" s="80"/>
      <c r="DU121" s="83">
        <f t="shared" si="18"/>
        <v>-96</v>
      </c>
      <c r="DV121" s="83">
        <f t="shared" si="18"/>
        <v>-96</v>
      </c>
      <c r="DW121" s="83">
        <f t="shared" si="18"/>
        <v>107.64081409859999</v>
      </c>
      <c r="DX121" s="83">
        <f t="shared" si="18"/>
        <v>285.57666428460004</v>
      </c>
      <c r="DY121" s="83">
        <f t="shared" si="18"/>
        <v>590.61402135599997</v>
      </c>
      <c r="DZ121" s="83">
        <f t="shared" si="18"/>
        <v>402.58776691380001</v>
      </c>
      <c r="EA121" s="83">
        <f t="shared" si="18"/>
        <v>633.67125629520012</v>
      </c>
      <c r="EB121" s="83">
        <f t="shared" si="18"/>
        <v>602.73927339300008</v>
      </c>
      <c r="EC121" s="83">
        <f t="shared" si="18"/>
        <v>732.66976808460004</v>
      </c>
      <c r="ED121" s="83">
        <f t="shared" si="18"/>
        <v>763.48396189129994</v>
      </c>
    </row>
    <row r="122" spans="2:134" x14ac:dyDescent="0.3">
      <c r="B122" s="45">
        <f t="shared" si="13"/>
        <v>1000000118</v>
      </c>
      <c r="C122" s="46">
        <v>43405</v>
      </c>
      <c r="D122" s="66">
        <v>-8</v>
      </c>
      <c r="E122" s="66">
        <v>-8</v>
      </c>
      <c r="F122" s="66">
        <v>-8</v>
      </c>
      <c r="G122" s="66">
        <v>-8</v>
      </c>
      <c r="H122" s="66">
        <v>-8</v>
      </c>
      <c r="I122" s="66">
        <v>-8</v>
      </c>
      <c r="J122" s="66">
        <v>-8</v>
      </c>
      <c r="K122" s="66">
        <v>-8</v>
      </c>
      <c r="L122" s="66">
        <v>-8</v>
      </c>
      <c r="M122" s="66">
        <v>-8</v>
      </c>
      <c r="N122" s="66">
        <v>-8</v>
      </c>
      <c r="O122" s="66">
        <v>-8</v>
      </c>
      <c r="P122" s="66">
        <v>-8</v>
      </c>
      <c r="Q122" s="66">
        <v>-8</v>
      </c>
      <c r="R122" s="66">
        <v>-8</v>
      </c>
      <c r="S122" s="66">
        <v>-8</v>
      </c>
      <c r="T122" s="66">
        <v>-8</v>
      </c>
      <c r="U122" s="66">
        <v>-8</v>
      </c>
      <c r="V122" s="66">
        <v>-8</v>
      </c>
      <c r="W122" s="66">
        <v>-8</v>
      </c>
      <c r="X122" s="66">
        <v>-8</v>
      </c>
      <c r="Y122" s="66">
        <v>-8</v>
      </c>
      <c r="Z122" s="66">
        <v>-8</v>
      </c>
      <c r="AA122" s="66">
        <v>-8</v>
      </c>
      <c r="AB122" s="66">
        <v>-8</v>
      </c>
      <c r="AC122" s="66">
        <v>-8</v>
      </c>
      <c r="AD122" s="66">
        <v>-8</v>
      </c>
      <c r="AE122" s="66">
        <v>-8</v>
      </c>
      <c r="AF122" s="66">
        <v>-8</v>
      </c>
      <c r="AG122" s="66">
        <v>-8</v>
      </c>
      <c r="AH122" s="66">
        <v>-8</v>
      </c>
      <c r="AI122" s="66">
        <v>-8</v>
      </c>
      <c r="AJ122" s="66">
        <v>-8</v>
      </c>
      <c r="AK122" s="66">
        <v>-8</v>
      </c>
      <c r="AL122" s="66">
        <v>-8</v>
      </c>
      <c r="AM122" s="66">
        <v>-8</v>
      </c>
      <c r="AN122" s="66">
        <v>-8</v>
      </c>
      <c r="AO122" s="66">
        <v>-8</v>
      </c>
      <c r="AP122" s="66">
        <v>-8</v>
      </c>
      <c r="AQ122" s="66">
        <v>-8</v>
      </c>
      <c r="AR122" s="66">
        <v>-8</v>
      </c>
      <c r="AS122" s="66">
        <v>-8</v>
      </c>
      <c r="AT122" s="66">
        <v>-8</v>
      </c>
      <c r="AU122" s="66">
        <v>-8</v>
      </c>
      <c r="AV122" s="66">
        <v>-8</v>
      </c>
      <c r="AW122" s="66">
        <v>-8</v>
      </c>
      <c r="AX122" s="66">
        <v>-8</v>
      </c>
      <c r="AY122" s="66">
        <v>-8</v>
      </c>
      <c r="AZ122" s="66">
        <v>-8</v>
      </c>
      <c r="BA122" s="66">
        <v>-8</v>
      </c>
      <c r="BB122" s="66">
        <v>-8</v>
      </c>
      <c r="BC122" s="66">
        <v>-8</v>
      </c>
      <c r="BD122" s="66">
        <v>-8</v>
      </c>
      <c r="BE122" s="66">
        <v>-8</v>
      </c>
      <c r="BF122" s="66">
        <v>-8</v>
      </c>
      <c r="BG122" s="66">
        <v>-8</v>
      </c>
      <c r="BH122" s="66">
        <v>-8</v>
      </c>
      <c r="BI122" s="66">
        <v>-8</v>
      </c>
      <c r="BJ122" s="66">
        <v>-2.0652274483999999</v>
      </c>
      <c r="BK122" s="66">
        <v>-2.6309424508999992</v>
      </c>
      <c r="BL122" s="66">
        <v>2.1496589154999999</v>
      </c>
      <c r="BM122" s="66">
        <v>25.382138671900002</v>
      </c>
      <c r="BN122" s="66">
        <v>27.110806107399995</v>
      </c>
      <c r="BO122" s="66">
        <v>40.053539777199994</v>
      </c>
      <c r="BP122" s="66">
        <v>14.363624071299999</v>
      </c>
      <c r="BQ122" s="66">
        <v>10.8413304826</v>
      </c>
      <c r="BR122" s="66">
        <v>11.627364740800001</v>
      </c>
      <c r="BS122" s="66">
        <v>15.850394398599999</v>
      </c>
      <c r="BT122" s="66">
        <v>8.9606423853999999</v>
      </c>
      <c r="BU122" s="66">
        <v>6.9475976173000014</v>
      </c>
      <c r="BV122" s="66">
        <v>11.257126318600001</v>
      </c>
      <c r="BW122" s="66">
        <v>13.584382145799999</v>
      </c>
      <c r="BX122" s="66">
        <v>30.377692975900011</v>
      </c>
      <c r="BY122" s="66">
        <v>42.329158865200007</v>
      </c>
      <c r="BZ122" s="66">
        <v>25.878241645900005</v>
      </c>
      <c r="CA122" s="66">
        <v>19.504481757700002</v>
      </c>
      <c r="CB122" s="66">
        <v>17.965774477600004</v>
      </c>
      <c r="CC122" s="66">
        <v>28.588907767000002</v>
      </c>
      <c r="CD122" s="66">
        <v>40.231904182299999</v>
      </c>
      <c r="CE122" s="66">
        <v>23.683755283300002</v>
      </c>
      <c r="CF122" s="66">
        <v>15.2671169005</v>
      </c>
      <c r="CG122" s="66">
        <v>17.0951925643</v>
      </c>
      <c r="CH122" s="66">
        <v>20.254340277100003</v>
      </c>
      <c r="CI122" s="66">
        <v>13.934656363600002</v>
      </c>
      <c r="CJ122" s="66">
        <v>43.277721261099991</v>
      </c>
      <c r="CK122" s="66">
        <v>58.269900598000007</v>
      </c>
      <c r="CL122" s="66">
        <v>60.411999687400012</v>
      </c>
      <c r="CM122" s="66">
        <v>48.651957494800008</v>
      </c>
      <c r="CN122" s="66">
        <v>46.252162556500004</v>
      </c>
      <c r="CO122" s="66">
        <v>45.679092320800002</v>
      </c>
      <c r="CP122" s="66">
        <v>17.707815941800003</v>
      </c>
      <c r="CQ122" s="66">
        <v>32.646932524900002</v>
      </c>
      <c r="CR122" s="66">
        <v>24.4734671581</v>
      </c>
      <c r="CS122" s="66">
        <v>16.1748877735</v>
      </c>
      <c r="CT122" s="66">
        <v>16.0687247392</v>
      </c>
      <c r="CU122" s="66">
        <v>24.228755547400006</v>
      </c>
      <c r="CV122" s="66">
        <v>44.803256669500016</v>
      </c>
      <c r="CW122" s="66">
        <v>103.04007928540001</v>
      </c>
      <c r="CX122" s="66">
        <v>95.082129756699999</v>
      </c>
      <c r="CY122" s="66">
        <v>66.664735968100018</v>
      </c>
      <c r="CZ122" s="66">
        <v>42.424026362800006</v>
      </c>
      <c r="DA122" s="66">
        <v>39.792278891800002</v>
      </c>
      <c r="DB122" s="66">
        <v>45.312418935100006</v>
      </c>
      <c r="DC122" s="66">
        <v>70.583724302500002</v>
      </c>
      <c r="DD122" s="66">
        <v>60.883972993299992</v>
      </c>
      <c r="DE122" s="66">
        <v>62.602132952800005</v>
      </c>
      <c r="DF122" s="66">
        <v>63.32500977490001</v>
      </c>
      <c r="DG122" s="66">
        <v>46.905577456900005</v>
      </c>
      <c r="DH122" s="66">
        <v>88.523400764200005</v>
      </c>
      <c r="DI122" s="66">
        <v>144.8456486728</v>
      </c>
      <c r="DJ122" s="66">
        <v>117.83280421180001</v>
      </c>
      <c r="DK122" s="66">
        <v>83.345579278300008</v>
      </c>
      <c r="DL122" s="66">
        <v>63.527391268000002</v>
      </c>
      <c r="DM122" s="66">
        <v>53.124051860499996</v>
      </c>
      <c r="DN122" s="66">
        <v>70.021799496699998</v>
      </c>
      <c r="DO122" s="66">
        <v>63.5396624989</v>
      </c>
      <c r="DP122" s="79"/>
      <c r="DQ122" s="80"/>
      <c r="DR122" s="81"/>
      <c r="DS122" s="84">
        <f t="shared" si="12"/>
        <v>2018</v>
      </c>
      <c r="DT122" s="80"/>
      <c r="DU122" s="83">
        <f t="shared" si="18"/>
        <v>-96</v>
      </c>
      <c r="DV122" s="83">
        <f t="shared" si="18"/>
        <v>-96</v>
      </c>
      <c r="DW122" s="83">
        <f t="shared" si="18"/>
        <v>-96</v>
      </c>
      <c r="DX122" s="83">
        <f t="shared" si="18"/>
        <v>-96</v>
      </c>
      <c r="DY122" s="83">
        <f t="shared" si="18"/>
        <v>-84.696169899299989</v>
      </c>
      <c r="DZ122" s="83">
        <f t="shared" si="18"/>
        <v>188.1286056324</v>
      </c>
      <c r="EA122" s="83">
        <f t="shared" si="18"/>
        <v>295.11122306040011</v>
      </c>
      <c r="EB122" s="83">
        <f t="shared" si="18"/>
        <v>433.84341760350003</v>
      </c>
      <c r="EC122" s="83">
        <f t="shared" si="18"/>
        <v>741.4193433498001</v>
      </c>
      <c r="ED122" s="83">
        <f t="shared" si="18"/>
        <v>684.76033805120005</v>
      </c>
    </row>
    <row r="123" spans="2:134" x14ac:dyDescent="0.3">
      <c r="B123" s="45">
        <f t="shared" si="13"/>
        <v>1000000119</v>
      </c>
      <c r="C123" s="46">
        <v>42583</v>
      </c>
      <c r="D123" s="66">
        <v>-8</v>
      </c>
      <c r="E123" s="66">
        <v>-8</v>
      </c>
      <c r="F123" s="66">
        <v>-8</v>
      </c>
      <c r="G123" s="66">
        <v>-8</v>
      </c>
      <c r="H123" s="66">
        <v>-8</v>
      </c>
      <c r="I123" s="66">
        <v>-8</v>
      </c>
      <c r="J123" s="66">
        <v>-8</v>
      </c>
      <c r="K123" s="66">
        <v>-8</v>
      </c>
      <c r="L123" s="66">
        <v>-8</v>
      </c>
      <c r="M123" s="66">
        <v>-8</v>
      </c>
      <c r="N123" s="66">
        <v>-8</v>
      </c>
      <c r="O123" s="66">
        <v>-8</v>
      </c>
      <c r="P123" s="66">
        <v>-8</v>
      </c>
      <c r="Q123" s="66">
        <v>-8</v>
      </c>
      <c r="R123" s="66">
        <v>-8</v>
      </c>
      <c r="S123" s="66">
        <v>-8</v>
      </c>
      <c r="T123" s="66">
        <v>-8</v>
      </c>
      <c r="U123" s="66">
        <v>-8</v>
      </c>
      <c r="V123" s="66">
        <v>-8</v>
      </c>
      <c r="W123" s="66">
        <v>-8</v>
      </c>
      <c r="X123" s="66">
        <v>-8</v>
      </c>
      <c r="Y123" s="66">
        <v>-8</v>
      </c>
      <c r="Z123" s="66">
        <v>-8</v>
      </c>
      <c r="AA123" s="66">
        <v>-8</v>
      </c>
      <c r="AB123" s="66">
        <v>-8</v>
      </c>
      <c r="AC123" s="66">
        <v>-8</v>
      </c>
      <c r="AD123" s="66">
        <v>-8</v>
      </c>
      <c r="AE123" s="66">
        <v>-8</v>
      </c>
      <c r="AF123" s="66">
        <v>-8</v>
      </c>
      <c r="AG123" s="66">
        <v>-8</v>
      </c>
      <c r="AH123" s="66">
        <v>-8</v>
      </c>
      <c r="AI123" s="66">
        <v>-8</v>
      </c>
      <c r="AJ123" s="66">
        <v>10.7895061099</v>
      </c>
      <c r="AK123" s="66">
        <v>19.513788379299999</v>
      </c>
      <c r="AL123" s="66">
        <v>16.685851320699999</v>
      </c>
      <c r="AM123" s="66">
        <v>13.954958308300004</v>
      </c>
      <c r="AN123" s="66">
        <v>23.696214147699997</v>
      </c>
      <c r="AO123" s="66">
        <v>33.505956214600005</v>
      </c>
      <c r="AP123" s="66">
        <v>37.281254814699999</v>
      </c>
      <c r="AQ123" s="66">
        <v>30.738437142999999</v>
      </c>
      <c r="AR123" s="66">
        <v>21.2450826838</v>
      </c>
      <c r="AS123" s="66">
        <v>32.87231788510001</v>
      </c>
      <c r="AT123" s="66">
        <v>36.637071482500005</v>
      </c>
      <c r="AU123" s="66">
        <v>30.425089198000002</v>
      </c>
      <c r="AV123" s="66">
        <v>30.839871813100004</v>
      </c>
      <c r="AW123" s="66">
        <v>42.179014538499999</v>
      </c>
      <c r="AX123" s="66">
        <v>36.818513077000006</v>
      </c>
      <c r="AY123" s="66">
        <v>39.011085577899998</v>
      </c>
      <c r="AZ123" s="66">
        <v>34.118241851800001</v>
      </c>
      <c r="BA123" s="66">
        <v>50.514445142500001</v>
      </c>
      <c r="BB123" s="66">
        <v>74.829720300700004</v>
      </c>
      <c r="BC123" s="66">
        <v>105.35780333080002</v>
      </c>
      <c r="BD123" s="66">
        <v>77.589508872099998</v>
      </c>
      <c r="BE123" s="66">
        <v>37.443782952399999</v>
      </c>
      <c r="BF123" s="66">
        <v>42.408039988599995</v>
      </c>
      <c r="BG123" s="66">
        <v>33.885876525400001</v>
      </c>
      <c r="BH123" s="66">
        <v>26.948090336200003</v>
      </c>
      <c r="BI123" s="66">
        <v>61.468038552099998</v>
      </c>
      <c r="BJ123" s="66">
        <v>49.369618105600011</v>
      </c>
      <c r="BK123" s="66">
        <v>30.987389270800008</v>
      </c>
      <c r="BL123" s="66">
        <v>45.778425495700006</v>
      </c>
      <c r="BM123" s="66">
        <v>31.3258801048</v>
      </c>
      <c r="BN123" s="66">
        <v>32.738797886500002</v>
      </c>
      <c r="BO123" s="66">
        <v>55.044368152899999</v>
      </c>
      <c r="BP123" s="66">
        <v>45.922903290700006</v>
      </c>
      <c r="BQ123" s="66">
        <v>39.362973443800001</v>
      </c>
      <c r="BR123" s="66">
        <v>59.167764422200008</v>
      </c>
      <c r="BS123" s="66">
        <v>51.198594410200002</v>
      </c>
      <c r="BT123" s="66">
        <v>36.317381525200005</v>
      </c>
      <c r="BU123" s="66">
        <v>54.201781157800021</v>
      </c>
      <c r="BV123" s="66">
        <v>39.4376515768</v>
      </c>
      <c r="BW123" s="66">
        <v>43.587541696300008</v>
      </c>
      <c r="BX123" s="66">
        <v>45.223330549300002</v>
      </c>
      <c r="BY123" s="66">
        <v>49.699890592300008</v>
      </c>
      <c r="BZ123" s="66">
        <v>38.846681105199998</v>
      </c>
      <c r="CA123" s="66">
        <v>49.253360389000001</v>
      </c>
      <c r="CB123" s="66">
        <v>46.826583753400001</v>
      </c>
      <c r="CC123" s="66">
        <v>56.518754669200007</v>
      </c>
      <c r="CD123" s="66">
        <v>79.899427363900003</v>
      </c>
      <c r="CE123" s="66">
        <v>77.966539626999989</v>
      </c>
      <c r="CF123" s="66">
        <v>61.495620676599998</v>
      </c>
      <c r="CG123" s="66">
        <v>47.230070831799999</v>
      </c>
      <c r="CH123" s="66">
        <v>37.968293638300004</v>
      </c>
      <c r="CI123" s="66">
        <v>33.041750935600014</v>
      </c>
      <c r="CJ123" s="66">
        <v>56.209422081099987</v>
      </c>
      <c r="CK123" s="66">
        <v>56.117218979200004</v>
      </c>
      <c r="CL123" s="66">
        <v>65.637029761899996</v>
      </c>
      <c r="CM123" s="66">
        <v>60.931744482400006</v>
      </c>
      <c r="CN123" s="66">
        <v>39.108467364399999</v>
      </c>
      <c r="CO123" s="66">
        <v>36.957024126700006</v>
      </c>
      <c r="CP123" s="66">
        <v>57.516552095500018</v>
      </c>
      <c r="CQ123" s="66">
        <v>54.806824141900002</v>
      </c>
      <c r="CR123" s="66">
        <v>41.985789560200011</v>
      </c>
      <c r="CS123" s="66">
        <v>48.25301114709999</v>
      </c>
      <c r="CT123" s="66">
        <v>39.820386390100005</v>
      </c>
      <c r="CU123" s="66">
        <v>42.086661329800002</v>
      </c>
      <c r="CV123" s="66">
        <v>57.037448716600011</v>
      </c>
      <c r="CW123" s="66">
        <v>72.575829171999999</v>
      </c>
      <c r="CX123" s="66">
        <v>89.170098385300008</v>
      </c>
      <c r="CY123" s="66">
        <v>105.72173726740002</v>
      </c>
      <c r="CZ123" s="66">
        <v>57.858382805799991</v>
      </c>
      <c r="DA123" s="66">
        <v>45.654587385699998</v>
      </c>
      <c r="DB123" s="66">
        <v>54.425928136899998</v>
      </c>
      <c r="DC123" s="66">
        <v>70.190744700099998</v>
      </c>
      <c r="DD123" s="66">
        <v>70.780814530899988</v>
      </c>
      <c r="DE123" s="66">
        <v>57.121508524599989</v>
      </c>
      <c r="DF123" s="66">
        <v>48.945228655300006</v>
      </c>
      <c r="DG123" s="66">
        <v>42.200292177400009</v>
      </c>
      <c r="DH123" s="66">
        <v>78.510489143499996</v>
      </c>
      <c r="DI123" s="66">
        <v>110.48207421580001</v>
      </c>
      <c r="DJ123" s="66">
        <v>116.3637840136</v>
      </c>
      <c r="DK123" s="66">
        <v>102.63745532109999</v>
      </c>
      <c r="DL123" s="66">
        <v>72.581308070199995</v>
      </c>
      <c r="DM123" s="66">
        <v>81.163101459700016</v>
      </c>
      <c r="DN123" s="66">
        <v>88.398624486700001</v>
      </c>
      <c r="DO123" s="66">
        <v>104.06598421000001</v>
      </c>
      <c r="DP123" s="79"/>
      <c r="DQ123" s="80"/>
      <c r="DR123" s="81"/>
      <c r="DS123" s="84">
        <f t="shared" si="12"/>
        <v>2016</v>
      </c>
      <c r="DT123" s="80"/>
      <c r="DU123" s="83">
        <f t="shared" si="18"/>
        <v>-96</v>
      </c>
      <c r="DV123" s="83">
        <f t="shared" si="18"/>
        <v>-96</v>
      </c>
      <c r="DW123" s="83">
        <f t="shared" si="18"/>
        <v>-3.0558958817999979</v>
      </c>
      <c r="DX123" s="83">
        <f t="shared" si="18"/>
        <v>395.24990857590006</v>
      </c>
      <c r="DY123" s="83">
        <f t="shared" si="18"/>
        <v>624.92055522900012</v>
      </c>
      <c r="DZ123" s="83">
        <f t="shared" si="18"/>
        <v>534.08406316290007</v>
      </c>
      <c r="EA123" s="83">
        <f t="shared" si="18"/>
        <v>623.97030413160007</v>
      </c>
      <c r="EB123" s="83">
        <f t="shared" si="18"/>
        <v>599.4301314603</v>
      </c>
      <c r="EC123" s="83">
        <f t="shared" si="18"/>
        <v>771.68260045799991</v>
      </c>
      <c r="ED123" s="83">
        <f t="shared" si="18"/>
        <v>754.20282092060006</v>
      </c>
    </row>
    <row r="124" spans="2:134" x14ac:dyDescent="0.3">
      <c r="B124" s="45">
        <f t="shared" si="13"/>
        <v>1000000120</v>
      </c>
      <c r="C124" s="46">
        <v>44105</v>
      </c>
      <c r="D124" s="66">
        <v>-8</v>
      </c>
      <c r="E124" s="66">
        <v>-8</v>
      </c>
      <c r="F124" s="66">
        <v>-8</v>
      </c>
      <c r="G124" s="66">
        <v>-8</v>
      </c>
      <c r="H124" s="66">
        <v>-8</v>
      </c>
      <c r="I124" s="66">
        <v>-8</v>
      </c>
      <c r="J124" s="66">
        <v>-8</v>
      </c>
      <c r="K124" s="66">
        <v>-8</v>
      </c>
      <c r="L124" s="66">
        <v>-8</v>
      </c>
      <c r="M124" s="66">
        <v>-8</v>
      </c>
      <c r="N124" s="66">
        <v>-8</v>
      </c>
      <c r="O124" s="66">
        <v>-8</v>
      </c>
      <c r="P124" s="66">
        <v>-8</v>
      </c>
      <c r="Q124" s="66">
        <v>-8</v>
      </c>
      <c r="R124" s="66">
        <v>-8</v>
      </c>
      <c r="S124" s="66">
        <v>-8</v>
      </c>
      <c r="T124" s="66">
        <v>-8</v>
      </c>
      <c r="U124" s="66">
        <v>-8</v>
      </c>
      <c r="V124" s="66">
        <v>-8</v>
      </c>
      <c r="W124" s="66">
        <v>-8</v>
      </c>
      <c r="X124" s="66">
        <v>-8</v>
      </c>
      <c r="Y124" s="66">
        <v>-8</v>
      </c>
      <c r="Z124" s="66">
        <v>-8</v>
      </c>
      <c r="AA124" s="66">
        <v>-8</v>
      </c>
      <c r="AB124" s="66">
        <v>-8</v>
      </c>
      <c r="AC124" s="66">
        <v>-8</v>
      </c>
      <c r="AD124" s="66">
        <v>-8</v>
      </c>
      <c r="AE124" s="66">
        <v>-8</v>
      </c>
      <c r="AF124" s="66">
        <v>-8</v>
      </c>
      <c r="AG124" s="66">
        <v>-8</v>
      </c>
      <c r="AH124" s="66">
        <v>-8</v>
      </c>
      <c r="AI124" s="66">
        <v>-8</v>
      </c>
      <c r="AJ124" s="66">
        <v>-8</v>
      </c>
      <c r="AK124" s="66">
        <v>-8</v>
      </c>
      <c r="AL124" s="66">
        <v>-8</v>
      </c>
      <c r="AM124" s="66">
        <v>-8</v>
      </c>
      <c r="AN124" s="66">
        <v>-8</v>
      </c>
      <c r="AO124" s="66">
        <v>-8</v>
      </c>
      <c r="AP124" s="66">
        <v>-8</v>
      </c>
      <c r="AQ124" s="66">
        <v>-8</v>
      </c>
      <c r="AR124" s="66">
        <v>-8</v>
      </c>
      <c r="AS124" s="66">
        <v>-8</v>
      </c>
      <c r="AT124" s="66">
        <v>-8</v>
      </c>
      <c r="AU124" s="66">
        <v>-8</v>
      </c>
      <c r="AV124" s="66">
        <v>-8</v>
      </c>
      <c r="AW124" s="66">
        <v>-8</v>
      </c>
      <c r="AX124" s="66">
        <v>-8</v>
      </c>
      <c r="AY124" s="66">
        <v>-8</v>
      </c>
      <c r="AZ124" s="66">
        <v>-8</v>
      </c>
      <c r="BA124" s="66">
        <v>-8</v>
      </c>
      <c r="BB124" s="66">
        <v>-8</v>
      </c>
      <c r="BC124" s="66">
        <v>-8</v>
      </c>
      <c r="BD124" s="66">
        <v>-8</v>
      </c>
      <c r="BE124" s="66">
        <v>-8</v>
      </c>
      <c r="BF124" s="66">
        <v>-8</v>
      </c>
      <c r="BG124" s="66">
        <v>-8</v>
      </c>
      <c r="BH124" s="66">
        <v>-8</v>
      </c>
      <c r="BI124" s="66">
        <v>-8</v>
      </c>
      <c r="BJ124" s="66">
        <v>-8</v>
      </c>
      <c r="BK124" s="66">
        <v>-8</v>
      </c>
      <c r="BL124" s="66">
        <v>-8</v>
      </c>
      <c r="BM124" s="66">
        <v>-8</v>
      </c>
      <c r="BN124" s="66">
        <v>-8</v>
      </c>
      <c r="BO124" s="66">
        <v>-8</v>
      </c>
      <c r="BP124" s="66">
        <v>-8</v>
      </c>
      <c r="BQ124" s="66">
        <v>-8</v>
      </c>
      <c r="BR124" s="66">
        <v>-8</v>
      </c>
      <c r="BS124" s="66">
        <v>-8</v>
      </c>
      <c r="BT124" s="66">
        <v>-8</v>
      </c>
      <c r="BU124" s="66">
        <v>-8</v>
      </c>
      <c r="BV124" s="66">
        <v>-8</v>
      </c>
      <c r="BW124" s="66">
        <v>-8</v>
      </c>
      <c r="BX124" s="66">
        <v>-8</v>
      </c>
      <c r="BY124" s="66">
        <v>-8</v>
      </c>
      <c r="BZ124" s="66">
        <v>-8</v>
      </c>
      <c r="CA124" s="66">
        <v>-8</v>
      </c>
      <c r="CB124" s="66">
        <v>-8</v>
      </c>
      <c r="CC124" s="66">
        <v>-8</v>
      </c>
      <c r="CD124" s="66">
        <v>-8</v>
      </c>
      <c r="CE124" s="66">
        <v>-8</v>
      </c>
      <c r="CF124" s="66">
        <v>-8</v>
      </c>
      <c r="CG124" s="66">
        <v>-8</v>
      </c>
      <c r="CH124" s="66">
        <v>7.9584543352000008</v>
      </c>
      <c r="CI124" s="66">
        <v>10.911317778100003</v>
      </c>
      <c r="CJ124" s="66">
        <v>18.621891300400005</v>
      </c>
      <c r="CK124" s="66">
        <v>67.733984231200012</v>
      </c>
      <c r="CL124" s="66">
        <v>67.880075674300016</v>
      </c>
      <c r="CM124" s="66">
        <v>30.041116003599996</v>
      </c>
      <c r="CN124" s="66">
        <v>31.48735749490001</v>
      </c>
      <c r="CO124" s="66">
        <v>18.535654943800001</v>
      </c>
      <c r="CP124" s="66">
        <v>20.064154961499998</v>
      </c>
      <c r="CQ124" s="66">
        <v>14.0536535293</v>
      </c>
      <c r="CR124" s="66">
        <v>12.685317467200001</v>
      </c>
      <c r="CS124" s="66">
        <v>19.569928322500001</v>
      </c>
      <c r="CT124" s="66">
        <v>10.7702924395</v>
      </c>
      <c r="CU124" s="66">
        <v>16.320191155900002</v>
      </c>
      <c r="CV124" s="66">
        <v>26.648252003199993</v>
      </c>
      <c r="CW124" s="66">
        <v>52.093681258600007</v>
      </c>
      <c r="CX124" s="66">
        <v>69.42201025060001</v>
      </c>
      <c r="CY124" s="66">
        <v>79.732883869299997</v>
      </c>
      <c r="CZ124" s="66">
        <v>49.6332056464</v>
      </c>
      <c r="DA124" s="66">
        <v>27.541950363700003</v>
      </c>
      <c r="DB124" s="66">
        <v>30.466818888399999</v>
      </c>
      <c r="DC124" s="66">
        <v>39.3351286324</v>
      </c>
      <c r="DD124" s="66">
        <v>48.701117471799996</v>
      </c>
      <c r="DE124" s="66">
        <v>59.105770313800008</v>
      </c>
      <c r="DF124" s="66">
        <v>56.406662416300009</v>
      </c>
      <c r="DG124" s="66">
        <v>41.408854074399997</v>
      </c>
      <c r="DH124" s="66">
        <v>80.223395365000002</v>
      </c>
      <c r="DI124" s="66">
        <v>105.06374410960001</v>
      </c>
      <c r="DJ124" s="66">
        <v>86.915118982300015</v>
      </c>
      <c r="DK124" s="66">
        <v>151.59415018720003</v>
      </c>
      <c r="DL124" s="66">
        <v>73.810307495199993</v>
      </c>
      <c r="DM124" s="66">
        <v>71.967483838299998</v>
      </c>
      <c r="DN124" s="66">
        <v>69.558607438600006</v>
      </c>
      <c r="DO124" s="66">
        <v>96.609579026799992</v>
      </c>
      <c r="DP124" s="79"/>
      <c r="DQ124" s="80"/>
      <c r="DR124" s="81"/>
      <c r="DS124" s="84">
        <f t="shared" si="12"/>
        <v>2020</v>
      </c>
      <c r="DT124" s="80"/>
      <c r="DU124" s="83">
        <f t="shared" si="18"/>
        <v>-96</v>
      </c>
      <c r="DV124" s="83">
        <f t="shared" si="18"/>
        <v>-96</v>
      </c>
      <c r="DW124" s="83">
        <f t="shared" si="18"/>
        <v>-96</v>
      </c>
      <c r="DX124" s="83">
        <f t="shared" si="18"/>
        <v>-96</v>
      </c>
      <c r="DY124" s="83">
        <f t="shared" si="18"/>
        <v>-96</v>
      </c>
      <c r="DZ124" s="83">
        <f t="shared" si="18"/>
        <v>-96</v>
      </c>
      <c r="EA124" s="83">
        <f t="shared" si="18"/>
        <v>-61.130227886699998</v>
      </c>
      <c r="EB124" s="83">
        <f t="shared" si="18"/>
        <v>327.76361752410003</v>
      </c>
      <c r="EC124" s="83">
        <f t="shared" si="18"/>
        <v>580.49633518889993</v>
      </c>
      <c r="ED124" s="83">
        <f t="shared" si="18"/>
        <v>735.7423864430001</v>
      </c>
    </row>
    <row r="125" spans="2:134" x14ac:dyDescent="0.3">
      <c r="B125" s="45">
        <f t="shared" si="13"/>
        <v>1000000121</v>
      </c>
      <c r="C125" s="46">
        <v>39479</v>
      </c>
      <c r="D125" s="66">
        <v>37.443632845600007</v>
      </c>
      <c r="E125" s="66">
        <v>45.886502391700006</v>
      </c>
      <c r="F125" s="66">
        <v>49.257525852699992</v>
      </c>
      <c r="G125" s="66">
        <v>37.9449145042</v>
      </c>
      <c r="H125" s="66">
        <v>31.547550321700001</v>
      </c>
      <c r="I125" s="66">
        <v>33.544946455900003</v>
      </c>
      <c r="J125" s="66">
        <v>35.874829152100006</v>
      </c>
      <c r="K125" s="66">
        <v>45.114390539199995</v>
      </c>
      <c r="L125" s="66">
        <v>40.787149235500003</v>
      </c>
      <c r="M125" s="66">
        <v>46.236176182300007</v>
      </c>
      <c r="N125" s="66">
        <v>25.228879629100007</v>
      </c>
      <c r="O125" s="66">
        <v>36.780160789600004</v>
      </c>
      <c r="P125" s="66">
        <v>47.377288075899997</v>
      </c>
      <c r="Q125" s="66">
        <v>112.82268954820002</v>
      </c>
      <c r="R125" s="66">
        <v>57.377853412299999</v>
      </c>
      <c r="S125" s="66">
        <v>54.090064171899996</v>
      </c>
      <c r="T125" s="66">
        <v>36.031653231400007</v>
      </c>
      <c r="U125" s="66">
        <v>39.323232668500005</v>
      </c>
      <c r="V125" s="66">
        <v>45.683895738399997</v>
      </c>
      <c r="W125" s="66">
        <v>40.028509468300001</v>
      </c>
      <c r="X125" s="66">
        <v>43.969863715900004</v>
      </c>
      <c r="Y125" s="66">
        <v>56.740049619099992</v>
      </c>
      <c r="Z125" s="66">
        <v>56.650998760000007</v>
      </c>
      <c r="AA125" s="66">
        <v>36.605436474400001</v>
      </c>
      <c r="AB125" s="66">
        <v>32.348707840000003</v>
      </c>
      <c r="AC125" s="66">
        <v>82.350108507400009</v>
      </c>
      <c r="AD125" s="66">
        <v>65.690843049700007</v>
      </c>
      <c r="AE125" s="66">
        <v>62.086253407900003</v>
      </c>
      <c r="AF125" s="66">
        <v>42.934351956100002</v>
      </c>
      <c r="AG125" s="66">
        <v>43.376829275799999</v>
      </c>
      <c r="AH125" s="66">
        <v>53.545251541299997</v>
      </c>
      <c r="AI125" s="66">
        <v>65.257747405000003</v>
      </c>
      <c r="AJ125" s="66">
        <v>67.108751882500002</v>
      </c>
      <c r="AK125" s="66">
        <v>64.554196833399985</v>
      </c>
      <c r="AL125" s="66">
        <v>53.562889090300004</v>
      </c>
      <c r="AM125" s="66">
        <v>42.170008130500008</v>
      </c>
      <c r="AN125" s="66">
        <v>50.506527008800006</v>
      </c>
      <c r="AO125" s="66">
        <v>46.474658360800014</v>
      </c>
      <c r="AP125" s="66">
        <v>90.902368383999985</v>
      </c>
      <c r="AQ125" s="66">
        <v>71.60156098660002</v>
      </c>
      <c r="AR125" s="66">
        <v>61.9068382552</v>
      </c>
      <c r="AS125" s="66">
        <v>67.530664570599995</v>
      </c>
      <c r="AT125" s="66">
        <v>63.225076172800001</v>
      </c>
      <c r="AU125" s="66">
        <v>50.729435606800003</v>
      </c>
      <c r="AV125" s="66">
        <v>54.16609326610002</v>
      </c>
      <c r="AW125" s="66">
        <v>69.601650563500002</v>
      </c>
      <c r="AX125" s="66">
        <v>63.509528558800014</v>
      </c>
      <c r="AY125" s="66">
        <v>59.942578197100019</v>
      </c>
      <c r="AZ125" s="66">
        <v>58.148464196800006</v>
      </c>
      <c r="BA125" s="66">
        <v>83.591979590500003</v>
      </c>
      <c r="BB125" s="66">
        <v>89.173926108700002</v>
      </c>
      <c r="BC125" s="66">
        <v>105.2648121682</v>
      </c>
      <c r="BD125" s="66">
        <v>70.607328596800002</v>
      </c>
      <c r="BE125" s="66">
        <v>73.165223522200009</v>
      </c>
      <c r="BF125" s="66">
        <v>64.245352092400012</v>
      </c>
      <c r="BG125" s="66">
        <v>67.106950600900021</v>
      </c>
      <c r="BH125" s="66">
        <v>64.464808234000003</v>
      </c>
      <c r="BI125" s="66">
        <v>62.454840655300004</v>
      </c>
      <c r="BJ125" s="66">
        <v>59.12791106680001</v>
      </c>
      <c r="BK125" s="66">
        <v>65.224198535200003</v>
      </c>
      <c r="BL125" s="66">
        <v>67.137947655100007</v>
      </c>
      <c r="BM125" s="66">
        <v>89.591673333100005</v>
      </c>
      <c r="BN125" s="66">
        <v>88.358058123999996</v>
      </c>
      <c r="BO125" s="66">
        <v>88.018366435600015</v>
      </c>
      <c r="BP125" s="66">
        <v>72.228069243100009</v>
      </c>
      <c r="BQ125" s="66">
        <v>84.464587945600016</v>
      </c>
      <c r="BR125" s="66">
        <v>74.974348202499982</v>
      </c>
      <c r="BS125" s="66">
        <v>73.81109555590001</v>
      </c>
      <c r="BT125" s="66">
        <v>64.995811039000017</v>
      </c>
      <c r="BU125" s="66">
        <v>74.080950055599985</v>
      </c>
      <c r="BV125" s="66">
        <v>58.048155327700002</v>
      </c>
      <c r="BW125" s="66">
        <v>71.329117144599991</v>
      </c>
      <c r="BX125" s="66">
        <v>71.599421964699999</v>
      </c>
      <c r="BY125" s="66">
        <v>78.005830081900001</v>
      </c>
      <c r="BZ125" s="66">
        <v>68.258157176799998</v>
      </c>
      <c r="CA125" s="66">
        <v>78.253919095600011</v>
      </c>
      <c r="CB125" s="66">
        <v>59.000582973700006</v>
      </c>
      <c r="CC125" s="66">
        <v>87.905373541900005</v>
      </c>
      <c r="CD125" s="66">
        <v>90.716686272400011</v>
      </c>
      <c r="CE125" s="66">
        <v>80.302276488400011</v>
      </c>
      <c r="CF125" s="66">
        <v>93.289741984599999</v>
      </c>
      <c r="CG125" s="66">
        <v>97.982418292900022</v>
      </c>
      <c r="CH125" s="66">
        <v>61.328139014499996</v>
      </c>
      <c r="CI125" s="66">
        <v>58.100842814500012</v>
      </c>
      <c r="CJ125" s="66">
        <v>59.918898849400009</v>
      </c>
      <c r="CK125" s="66">
        <v>136.33969674400001</v>
      </c>
      <c r="CL125" s="66">
        <v>106.77113390620001</v>
      </c>
      <c r="CM125" s="66">
        <v>85.940888323600007</v>
      </c>
      <c r="CN125" s="66">
        <v>72.798662716600006</v>
      </c>
      <c r="CO125" s="66">
        <v>66.219519199299995</v>
      </c>
      <c r="CP125" s="66">
        <v>63.575575550799996</v>
      </c>
      <c r="CQ125" s="66">
        <v>66.780730997800021</v>
      </c>
      <c r="CR125" s="66">
        <v>74.801087428600013</v>
      </c>
      <c r="CS125" s="66">
        <v>60.274464331900006</v>
      </c>
      <c r="CT125" s="66">
        <v>67.691579060200013</v>
      </c>
      <c r="CU125" s="66">
        <v>52.550418724300009</v>
      </c>
      <c r="CV125" s="66">
        <v>63.327036216700009</v>
      </c>
      <c r="CW125" s="66">
        <v>123.4297238833</v>
      </c>
      <c r="CX125" s="66">
        <v>60.481424082399997</v>
      </c>
      <c r="CY125" s="66">
        <v>84.460422481900011</v>
      </c>
      <c r="CZ125" s="66">
        <v>48.299994575500008</v>
      </c>
      <c r="DA125" s="66">
        <v>55.898851111900008</v>
      </c>
      <c r="DB125" s="66">
        <v>45.518628151599998</v>
      </c>
      <c r="DC125" s="66">
        <v>80.013733692100004</v>
      </c>
      <c r="DD125" s="66">
        <v>48.245168066800005</v>
      </c>
      <c r="DE125" s="66">
        <v>69.264735850899996</v>
      </c>
      <c r="DF125" s="66">
        <v>54.538395656800006</v>
      </c>
      <c r="DG125" s="66">
        <v>53.840474090200004</v>
      </c>
      <c r="DH125" s="66">
        <v>96.43324106350002</v>
      </c>
      <c r="DI125" s="66">
        <v>109.96825863940001</v>
      </c>
      <c r="DJ125" s="66">
        <v>102.11699751880001</v>
      </c>
      <c r="DK125" s="66">
        <v>91.761954974199995</v>
      </c>
      <c r="DL125" s="66">
        <v>60.696039279700003</v>
      </c>
      <c r="DM125" s="66">
        <v>76.335816878499998</v>
      </c>
      <c r="DN125" s="66">
        <v>64.201821120400012</v>
      </c>
      <c r="DO125" s="66">
        <v>84.426761032000016</v>
      </c>
      <c r="DP125" s="79"/>
      <c r="DQ125" s="80"/>
      <c r="DR125" s="81"/>
      <c r="DS125" s="84">
        <f t="shared" si="12"/>
        <v>2008</v>
      </c>
      <c r="DT125" s="80"/>
      <c r="DU125" s="83">
        <f t="shared" ref="DU125:ED134" si="19">+SUMIF($D$3:$DO$3,DU$4,$D125:$DO125)</f>
        <v>465.64665789960003</v>
      </c>
      <c r="DV125" s="83">
        <f t="shared" si="19"/>
        <v>626.70153488430003</v>
      </c>
      <c r="DW125" s="83">
        <f t="shared" si="19"/>
        <v>674.98593891989992</v>
      </c>
      <c r="DX125" s="83">
        <f t="shared" si="19"/>
        <v>750.09697993110001</v>
      </c>
      <c r="DY125" s="83">
        <f t="shared" si="19"/>
        <v>862.5757953678002</v>
      </c>
      <c r="DZ125" s="83">
        <f t="shared" si="19"/>
        <v>907.03818006179995</v>
      </c>
      <c r="EA125" s="83">
        <f t="shared" si="19"/>
        <v>924.74338970190001</v>
      </c>
      <c r="EB125" s="83">
        <f t="shared" si="19"/>
        <v>913.66265583270001</v>
      </c>
      <c r="EC125" s="83">
        <f t="shared" si="19"/>
        <v>787.31858786010014</v>
      </c>
      <c r="ED125" s="83">
        <f t="shared" si="19"/>
        <v>685.94089050650007</v>
      </c>
    </row>
    <row r="126" spans="2:134" x14ac:dyDescent="0.3">
      <c r="B126" s="45">
        <f t="shared" si="13"/>
        <v>1000000122</v>
      </c>
      <c r="C126" s="46">
        <v>42644</v>
      </c>
      <c r="D126" s="66">
        <v>-8</v>
      </c>
      <c r="E126" s="66">
        <v>-8</v>
      </c>
      <c r="F126" s="66">
        <v>-8</v>
      </c>
      <c r="G126" s="66">
        <v>-8</v>
      </c>
      <c r="H126" s="66">
        <v>-8</v>
      </c>
      <c r="I126" s="66">
        <v>-8</v>
      </c>
      <c r="J126" s="66">
        <v>-8</v>
      </c>
      <c r="K126" s="66">
        <v>-8</v>
      </c>
      <c r="L126" s="66">
        <v>-8</v>
      </c>
      <c r="M126" s="66">
        <v>-8</v>
      </c>
      <c r="N126" s="66">
        <v>-8</v>
      </c>
      <c r="O126" s="66">
        <v>-8</v>
      </c>
      <c r="P126" s="66">
        <v>-8</v>
      </c>
      <c r="Q126" s="66">
        <v>-8</v>
      </c>
      <c r="R126" s="66">
        <v>-8</v>
      </c>
      <c r="S126" s="66">
        <v>-8</v>
      </c>
      <c r="T126" s="66">
        <v>-8</v>
      </c>
      <c r="U126" s="66">
        <v>-8</v>
      </c>
      <c r="V126" s="66">
        <v>-8</v>
      </c>
      <c r="W126" s="66">
        <v>-8</v>
      </c>
      <c r="X126" s="66">
        <v>-8</v>
      </c>
      <c r="Y126" s="66">
        <v>-8</v>
      </c>
      <c r="Z126" s="66">
        <v>-8</v>
      </c>
      <c r="AA126" s="66">
        <v>-8</v>
      </c>
      <c r="AB126" s="66">
        <v>-8</v>
      </c>
      <c r="AC126" s="66">
        <v>-8</v>
      </c>
      <c r="AD126" s="66">
        <v>-8</v>
      </c>
      <c r="AE126" s="66">
        <v>-8</v>
      </c>
      <c r="AF126" s="66">
        <v>-8</v>
      </c>
      <c r="AG126" s="66">
        <v>-8</v>
      </c>
      <c r="AH126" s="66">
        <v>-8</v>
      </c>
      <c r="AI126" s="66">
        <v>-8</v>
      </c>
      <c r="AJ126" s="66">
        <v>-8</v>
      </c>
      <c r="AK126" s="66">
        <v>-3.8795683399999996</v>
      </c>
      <c r="AL126" s="66">
        <v>4.8434380216000008</v>
      </c>
      <c r="AM126" s="66">
        <v>11.574939940900002</v>
      </c>
      <c r="AN126" s="66">
        <v>38.66400112960001</v>
      </c>
      <c r="AO126" s="66">
        <v>139.23356821450002</v>
      </c>
      <c r="AP126" s="66">
        <v>66.687777361900004</v>
      </c>
      <c r="AQ126" s="66">
        <v>56.539807147900007</v>
      </c>
      <c r="AR126" s="66">
        <v>19.990264889200002</v>
      </c>
      <c r="AS126" s="66">
        <v>14.403139686400003</v>
      </c>
      <c r="AT126" s="66">
        <v>16.046321299300001</v>
      </c>
      <c r="AU126" s="66">
        <v>17.089263345700001</v>
      </c>
      <c r="AV126" s="66">
        <v>15.698261156800001</v>
      </c>
      <c r="AW126" s="66">
        <v>17.072113643799998</v>
      </c>
      <c r="AX126" s="66">
        <v>13.271446994500003</v>
      </c>
      <c r="AY126" s="66">
        <v>16.413595112199999</v>
      </c>
      <c r="AZ126" s="66">
        <v>39.579540029500002</v>
      </c>
      <c r="BA126" s="66">
        <v>91.230201635200004</v>
      </c>
      <c r="BB126" s="66">
        <v>40.072603340800001</v>
      </c>
      <c r="BC126" s="66">
        <v>24.661063131399999</v>
      </c>
      <c r="BD126" s="66">
        <v>21.031630814200007</v>
      </c>
      <c r="BE126" s="66">
        <v>23.819676990699996</v>
      </c>
      <c r="BF126" s="66">
        <v>24.604547921200016</v>
      </c>
      <c r="BG126" s="66">
        <v>26.331151388199999</v>
      </c>
      <c r="BH126" s="66">
        <v>22.596156463899998</v>
      </c>
      <c r="BI126" s="66">
        <v>26.050038878500004</v>
      </c>
      <c r="BJ126" s="66">
        <v>28.276985836599998</v>
      </c>
      <c r="BK126" s="66">
        <v>26.146932817899994</v>
      </c>
      <c r="BL126" s="66">
        <v>43.952301220300001</v>
      </c>
      <c r="BM126" s="66">
        <v>69.72605157400001</v>
      </c>
      <c r="BN126" s="66">
        <v>43.1717458603</v>
      </c>
      <c r="BO126" s="66">
        <v>38.629964412700012</v>
      </c>
      <c r="BP126" s="66">
        <v>37.593101691699999</v>
      </c>
      <c r="BQ126" s="66">
        <v>28.166920025499998</v>
      </c>
      <c r="BR126" s="66">
        <v>29.040091281099997</v>
      </c>
      <c r="BS126" s="66">
        <v>34.179297792700012</v>
      </c>
      <c r="BT126" s="66">
        <v>33.3260156881</v>
      </c>
      <c r="BU126" s="66">
        <v>34.646542734400001</v>
      </c>
      <c r="BV126" s="66">
        <v>31.023452429499997</v>
      </c>
      <c r="BW126" s="66">
        <v>27.050988547599992</v>
      </c>
      <c r="BX126" s="66">
        <v>43.544648678200005</v>
      </c>
      <c r="BY126" s="66">
        <v>58.316208545799995</v>
      </c>
      <c r="BZ126" s="66">
        <v>39.968729435200011</v>
      </c>
      <c r="CA126" s="66">
        <v>38.733387997900017</v>
      </c>
      <c r="CB126" s="66">
        <v>32.377303185399995</v>
      </c>
      <c r="CC126" s="66">
        <v>32.958891982000004</v>
      </c>
      <c r="CD126" s="66">
        <v>32.73196802710001</v>
      </c>
      <c r="CE126" s="66">
        <v>38.800260577300001</v>
      </c>
      <c r="CF126" s="66">
        <v>29.285178158800001</v>
      </c>
      <c r="CG126" s="66">
        <v>25.302281854300006</v>
      </c>
      <c r="CH126" s="66">
        <v>25.052053818700003</v>
      </c>
      <c r="CI126" s="66">
        <v>24.578504391399996</v>
      </c>
      <c r="CJ126" s="66">
        <v>30.898638625300002</v>
      </c>
      <c r="CK126" s="66">
        <v>51.819248501499999</v>
      </c>
      <c r="CL126" s="66">
        <v>42.669450980800008</v>
      </c>
      <c r="CM126" s="66">
        <v>50.512456227400008</v>
      </c>
      <c r="CN126" s="66">
        <v>38.397636612999996</v>
      </c>
      <c r="CO126" s="66">
        <v>39.853259779300011</v>
      </c>
      <c r="CP126" s="66">
        <v>54.655666594300008</v>
      </c>
      <c r="CQ126" s="66">
        <v>50.319568989400011</v>
      </c>
      <c r="CR126" s="66">
        <v>48.049466326299999</v>
      </c>
      <c r="CS126" s="66">
        <v>32.740111321000001</v>
      </c>
      <c r="CT126" s="66">
        <v>32.713917684400002</v>
      </c>
      <c r="CU126" s="66">
        <v>33.059200851100002</v>
      </c>
      <c r="CV126" s="66">
        <v>39.230654299600005</v>
      </c>
      <c r="CW126" s="66">
        <v>66.036013636299998</v>
      </c>
      <c r="CX126" s="66">
        <v>81.170569273000012</v>
      </c>
      <c r="CY126" s="66">
        <v>85.516761560199996</v>
      </c>
      <c r="CZ126" s="66">
        <v>67.528525548700003</v>
      </c>
      <c r="DA126" s="66">
        <v>59.416416336400005</v>
      </c>
      <c r="DB126" s="66">
        <v>59.907378152500002</v>
      </c>
      <c r="DC126" s="66">
        <v>62.1195771175</v>
      </c>
      <c r="DD126" s="66">
        <v>67.929048017800014</v>
      </c>
      <c r="DE126" s="66">
        <v>68.942118811</v>
      </c>
      <c r="DF126" s="66">
        <v>63.269019938500023</v>
      </c>
      <c r="DG126" s="66">
        <v>61.722206891200003</v>
      </c>
      <c r="DH126" s="66">
        <v>84.949883229999998</v>
      </c>
      <c r="DI126" s="66">
        <v>98.070343351000005</v>
      </c>
      <c r="DJ126" s="66">
        <v>90.601554356800008</v>
      </c>
      <c r="DK126" s="66">
        <v>94.022751015699995</v>
      </c>
      <c r="DL126" s="66">
        <v>71.263407892900005</v>
      </c>
      <c r="DM126" s="66">
        <v>59.923176893199994</v>
      </c>
      <c r="DN126" s="66">
        <v>57.42239760519999</v>
      </c>
      <c r="DO126" s="66">
        <v>63.030012386199999</v>
      </c>
      <c r="DP126" s="79"/>
      <c r="DQ126" s="80"/>
      <c r="DR126" s="81"/>
      <c r="DS126" s="84">
        <f t="shared" si="12"/>
        <v>2016</v>
      </c>
      <c r="DT126" s="80"/>
      <c r="DU126" s="83">
        <f t="shared" si="19"/>
        <v>-96</v>
      </c>
      <c r="DV126" s="83">
        <f t="shared" si="19"/>
        <v>-96</v>
      </c>
      <c r="DW126" s="83">
        <f t="shared" si="19"/>
        <v>-59.46119037750001</v>
      </c>
      <c r="DX126" s="83">
        <f t="shared" si="19"/>
        <v>431.10955998179998</v>
      </c>
      <c r="DY126" s="83">
        <f t="shared" si="19"/>
        <v>394.40052924809999</v>
      </c>
      <c r="DZ126" s="83">
        <f t="shared" si="19"/>
        <v>450.5064732579001</v>
      </c>
      <c r="EA126" s="83">
        <f t="shared" si="19"/>
        <v>421.64941665210006</v>
      </c>
      <c r="EB126" s="83">
        <f t="shared" si="19"/>
        <v>505.6886224938001</v>
      </c>
      <c r="EC126" s="83">
        <f t="shared" si="19"/>
        <v>782.78828958270003</v>
      </c>
      <c r="ED126" s="83">
        <f t="shared" si="19"/>
        <v>619.28352673100005</v>
      </c>
    </row>
    <row r="127" spans="2:134" x14ac:dyDescent="0.3">
      <c r="B127" s="45">
        <f t="shared" si="13"/>
        <v>1000000123</v>
      </c>
      <c r="C127" s="46">
        <v>42644</v>
      </c>
      <c r="D127" s="66">
        <v>-8</v>
      </c>
      <c r="E127" s="66">
        <v>-8</v>
      </c>
      <c r="F127" s="66">
        <v>-8</v>
      </c>
      <c r="G127" s="66">
        <v>-8</v>
      </c>
      <c r="H127" s="66">
        <v>-8</v>
      </c>
      <c r="I127" s="66">
        <v>-8</v>
      </c>
      <c r="J127" s="66">
        <v>-8</v>
      </c>
      <c r="K127" s="66">
        <v>-8</v>
      </c>
      <c r="L127" s="66">
        <v>-8</v>
      </c>
      <c r="M127" s="66">
        <v>-8</v>
      </c>
      <c r="N127" s="66">
        <v>-8</v>
      </c>
      <c r="O127" s="66">
        <v>-8</v>
      </c>
      <c r="P127" s="66">
        <v>-8</v>
      </c>
      <c r="Q127" s="66">
        <v>-8</v>
      </c>
      <c r="R127" s="66">
        <v>-8</v>
      </c>
      <c r="S127" s="66">
        <v>-8</v>
      </c>
      <c r="T127" s="66">
        <v>-8</v>
      </c>
      <c r="U127" s="66">
        <v>-8</v>
      </c>
      <c r="V127" s="66">
        <v>-8</v>
      </c>
      <c r="W127" s="66">
        <v>-8</v>
      </c>
      <c r="X127" s="66">
        <v>-8</v>
      </c>
      <c r="Y127" s="66">
        <v>-8</v>
      </c>
      <c r="Z127" s="66">
        <v>-8</v>
      </c>
      <c r="AA127" s="66">
        <v>-8</v>
      </c>
      <c r="AB127" s="66">
        <v>-8</v>
      </c>
      <c r="AC127" s="66">
        <v>-8</v>
      </c>
      <c r="AD127" s="66">
        <v>-8</v>
      </c>
      <c r="AE127" s="66">
        <v>-8</v>
      </c>
      <c r="AF127" s="66">
        <v>-8</v>
      </c>
      <c r="AG127" s="66">
        <v>-8</v>
      </c>
      <c r="AH127" s="66">
        <v>-8</v>
      </c>
      <c r="AI127" s="66">
        <v>-8</v>
      </c>
      <c r="AJ127" s="66">
        <v>-8</v>
      </c>
      <c r="AK127" s="66">
        <v>-7.3733041100000003</v>
      </c>
      <c r="AL127" s="66">
        <v>3.5266261186000012</v>
      </c>
      <c r="AM127" s="66">
        <v>4.2454125303999994</v>
      </c>
      <c r="AN127" s="66">
        <v>7.2188030782000006</v>
      </c>
      <c r="AO127" s="66">
        <v>15.239046928899999</v>
      </c>
      <c r="AP127" s="66">
        <v>16.179578610999997</v>
      </c>
      <c r="AQ127" s="66">
        <v>13.433149544799999</v>
      </c>
      <c r="AR127" s="66">
        <v>11.535386799100003</v>
      </c>
      <c r="AS127" s="66">
        <v>14.046373349500001</v>
      </c>
      <c r="AT127" s="66">
        <v>11.937297756100001</v>
      </c>
      <c r="AU127" s="66">
        <v>23.758996316800001</v>
      </c>
      <c r="AV127" s="66">
        <v>20.201089889800002</v>
      </c>
      <c r="AW127" s="66">
        <v>18.071637298300001</v>
      </c>
      <c r="AX127" s="66">
        <v>18.802769994400006</v>
      </c>
      <c r="AY127" s="66">
        <v>17.459051447500002</v>
      </c>
      <c r="AZ127" s="66">
        <v>23.217598615900005</v>
      </c>
      <c r="BA127" s="66">
        <v>33.998344045299994</v>
      </c>
      <c r="BB127" s="66">
        <v>27.996211067200001</v>
      </c>
      <c r="BC127" s="66">
        <v>46.430189221299997</v>
      </c>
      <c r="BD127" s="66">
        <v>31.553104273300001</v>
      </c>
      <c r="BE127" s="66">
        <v>24.037256797300003</v>
      </c>
      <c r="BF127" s="66">
        <v>37.178919503800003</v>
      </c>
      <c r="BG127" s="66">
        <v>29.071838869300002</v>
      </c>
      <c r="BH127" s="66">
        <v>29.001401253399997</v>
      </c>
      <c r="BI127" s="66">
        <v>34.7236225762</v>
      </c>
      <c r="BJ127" s="66">
        <v>28.380709635399995</v>
      </c>
      <c r="BK127" s="66">
        <v>20.8226446219</v>
      </c>
      <c r="BL127" s="66">
        <v>26.139502531299996</v>
      </c>
      <c r="BM127" s="66">
        <v>34.098840547900004</v>
      </c>
      <c r="BN127" s="66">
        <v>49.552785928300004</v>
      </c>
      <c r="BO127" s="66">
        <v>51.419251406200004</v>
      </c>
      <c r="BP127" s="66">
        <v>38.816809852000006</v>
      </c>
      <c r="BQ127" s="66">
        <v>33.760349713900005</v>
      </c>
      <c r="BR127" s="66">
        <v>38.501060198199994</v>
      </c>
      <c r="BS127" s="66">
        <v>41.549504146000004</v>
      </c>
      <c r="BT127" s="66">
        <v>48.237512620000011</v>
      </c>
      <c r="BU127" s="66">
        <v>52.419750754900008</v>
      </c>
      <c r="BV127" s="66">
        <v>43.109789278599997</v>
      </c>
      <c r="BW127" s="66">
        <v>30.976281367600002</v>
      </c>
      <c r="BX127" s="66">
        <v>46.703120910399996</v>
      </c>
      <c r="BY127" s="66">
        <v>47.882397457899998</v>
      </c>
      <c r="BZ127" s="66">
        <v>50.314803098499993</v>
      </c>
      <c r="CA127" s="66">
        <v>34.695927871600006</v>
      </c>
      <c r="CB127" s="66">
        <v>41.182905813700003</v>
      </c>
      <c r="CC127" s="66">
        <v>48.192330473200009</v>
      </c>
      <c r="CD127" s="66">
        <v>55.927746670900021</v>
      </c>
      <c r="CE127" s="66">
        <v>50.036730251500003</v>
      </c>
      <c r="CF127" s="66">
        <v>51.549994428999995</v>
      </c>
      <c r="CG127" s="66">
        <v>60.198210077500008</v>
      </c>
      <c r="CH127" s="66">
        <v>37.129834580200004</v>
      </c>
      <c r="CI127" s="66">
        <v>35.395725773199992</v>
      </c>
      <c r="CJ127" s="66">
        <v>46.734868498599994</v>
      </c>
      <c r="CK127" s="66">
        <v>44.273454718899998</v>
      </c>
      <c r="CL127" s="66">
        <v>63.226539714099999</v>
      </c>
      <c r="CM127" s="66">
        <v>63.326623423000015</v>
      </c>
      <c r="CN127" s="66">
        <v>63.605784544299993</v>
      </c>
      <c r="CO127" s="66">
        <v>48.634094785600006</v>
      </c>
      <c r="CP127" s="66">
        <v>50.436164446300005</v>
      </c>
      <c r="CQ127" s="66">
        <v>49.213244346700002</v>
      </c>
      <c r="CR127" s="66">
        <v>48.585985556200008</v>
      </c>
      <c r="CS127" s="66">
        <v>56.904941938899995</v>
      </c>
      <c r="CT127" s="66">
        <v>34.756495965399999</v>
      </c>
      <c r="CU127" s="66">
        <v>52.777830526300008</v>
      </c>
      <c r="CV127" s="66">
        <v>42.862713485800008</v>
      </c>
      <c r="CW127" s="66">
        <v>47.003259456999999</v>
      </c>
      <c r="CX127" s="66">
        <v>62.293776058900008</v>
      </c>
      <c r="CY127" s="66">
        <v>69.710402940099996</v>
      </c>
      <c r="CZ127" s="66">
        <v>46.318809975700006</v>
      </c>
      <c r="DA127" s="66">
        <v>81.405486415000013</v>
      </c>
      <c r="DB127" s="66">
        <v>64.455651719200006</v>
      </c>
      <c r="DC127" s="66">
        <v>52.563440489199998</v>
      </c>
      <c r="DD127" s="66">
        <v>62.264054912500015</v>
      </c>
      <c r="DE127" s="66">
        <v>65.419750168899995</v>
      </c>
      <c r="DF127" s="66">
        <v>61.829946046900019</v>
      </c>
      <c r="DG127" s="66">
        <v>54.817444198000004</v>
      </c>
      <c r="DH127" s="66">
        <v>72.975338420200003</v>
      </c>
      <c r="DI127" s="66">
        <v>62.544416888200004</v>
      </c>
      <c r="DJ127" s="66">
        <v>129.30820638489996</v>
      </c>
      <c r="DK127" s="66">
        <v>108.58573748470002</v>
      </c>
      <c r="DL127" s="66">
        <v>47.620048298200004</v>
      </c>
      <c r="DM127" s="66">
        <v>75.635005755999998</v>
      </c>
      <c r="DN127" s="66">
        <v>58.636874197300003</v>
      </c>
      <c r="DO127" s="66">
        <v>50.470801590400008</v>
      </c>
      <c r="DP127" s="79"/>
      <c r="DQ127" s="80"/>
      <c r="DR127" s="81"/>
      <c r="DS127" s="84">
        <f t="shared" si="12"/>
        <v>2016</v>
      </c>
      <c r="DT127" s="80"/>
      <c r="DU127" s="83">
        <f t="shared" si="19"/>
        <v>-96</v>
      </c>
      <c r="DV127" s="83">
        <f t="shared" si="19"/>
        <v>-96</v>
      </c>
      <c r="DW127" s="83">
        <f t="shared" si="19"/>
        <v>-71.601265460999997</v>
      </c>
      <c r="DX127" s="83">
        <f t="shared" si="19"/>
        <v>187.88318101440001</v>
      </c>
      <c r="DY127" s="83">
        <f t="shared" si="19"/>
        <v>366.41184048029999</v>
      </c>
      <c r="DZ127" s="83">
        <f t="shared" si="19"/>
        <v>488.58143834490005</v>
      </c>
      <c r="EA127" s="83">
        <f t="shared" si="19"/>
        <v>559.20972740759998</v>
      </c>
      <c r="EB127" s="83">
        <f t="shared" si="19"/>
        <v>622.47602846429993</v>
      </c>
      <c r="EC127" s="83">
        <f t="shared" si="19"/>
        <v>710.94473586719994</v>
      </c>
      <c r="ED127" s="83">
        <f t="shared" si="19"/>
        <v>605.77642901989998</v>
      </c>
    </row>
    <row r="128" spans="2:134" x14ac:dyDescent="0.3">
      <c r="B128" s="45">
        <f t="shared" si="13"/>
        <v>1000000124</v>
      </c>
      <c r="C128" s="46">
        <v>42186</v>
      </c>
      <c r="D128" s="66">
        <v>-8</v>
      </c>
      <c r="E128" s="66">
        <v>-8</v>
      </c>
      <c r="F128" s="66">
        <v>-8</v>
      </c>
      <c r="G128" s="66">
        <v>-8</v>
      </c>
      <c r="H128" s="66">
        <v>-8</v>
      </c>
      <c r="I128" s="66">
        <v>-8</v>
      </c>
      <c r="J128" s="66">
        <v>-8</v>
      </c>
      <c r="K128" s="66">
        <v>-8</v>
      </c>
      <c r="L128" s="66">
        <v>-8</v>
      </c>
      <c r="M128" s="66">
        <v>-8</v>
      </c>
      <c r="N128" s="66">
        <v>-8</v>
      </c>
      <c r="O128" s="66">
        <v>-8</v>
      </c>
      <c r="P128" s="66">
        <v>-8</v>
      </c>
      <c r="Q128" s="66">
        <v>-8</v>
      </c>
      <c r="R128" s="66">
        <v>-8</v>
      </c>
      <c r="S128" s="66">
        <v>-8</v>
      </c>
      <c r="T128" s="66">
        <v>-8</v>
      </c>
      <c r="U128" s="66">
        <v>-8</v>
      </c>
      <c r="V128" s="66">
        <v>1.3936084906000001</v>
      </c>
      <c r="W128" s="66">
        <v>5.3641960374999993</v>
      </c>
      <c r="X128" s="66">
        <v>14.589384698500002</v>
      </c>
      <c r="Y128" s="66">
        <v>17.437210908100003</v>
      </c>
      <c r="Z128" s="66">
        <v>7.2263084182000004</v>
      </c>
      <c r="AA128" s="66">
        <v>4.6539657132999981</v>
      </c>
      <c r="AB128" s="66">
        <v>11.293377110800002</v>
      </c>
      <c r="AC128" s="66">
        <v>15.161141499700001</v>
      </c>
      <c r="AD128" s="66">
        <v>22.728775821700005</v>
      </c>
      <c r="AE128" s="66">
        <v>12.0871418692</v>
      </c>
      <c r="AF128" s="66">
        <v>6.3890126878000011</v>
      </c>
      <c r="AG128" s="66">
        <v>10.882459745800002</v>
      </c>
      <c r="AH128" s="66">
        <v>17.464642925800003</v>
      </c>
      <c r="AI128" s="66">
        <v>27.548104742500001</v>
      </c>
      <c r="AJ128" s="66">
        <v>19.7527584049</v>
      </c>
      <c r="AK128" s="66">
        <v>20.485016902000002</v>
      </c>
      <c r="AL128" s="66">
        <v>26.314527060100005</v>
      </c>
      <c r="AM128" s="66">
        <v>23.960627275900006</v>
      </c>
      <c r="AN128" s="66">
        <v>11.833386323799999</v>
      </c>
      <c r="AO128" s="66">
        <v>22.106020235200003</v>
      </c>
      <c r="AP128" s="66">
        <v>26.065237192000005</v>
      </c>
      <c r="AQ128" s="66">
        <v>15.9609480568</v>
      </c>
      <c r="AR128" s="66">
        <v>17.2147151038</v>
      </c>
      <c r="AS128" s="66">
        <v>16.965612869200001</v>
      </c>
      <c r="AT128" s="66">
        <v>12.0316023532</v>
      </c>
      <c r="AU128" s="66">
        <v>26.906886019600002</v>
      </c>
      <c r="AV128" s="66">
        <v>28.338191884300002</v>
      </c>
      <c r="AW128" s="66">
        <v>22.289638378300005</v>
      </c>
      <c r="AX128" s="66">
        <v>19.658791548100005</v>
      </c>
      <c r="AY128" s="66">
        <v>20.639889592900005</v>
      </c>
      <c r="AZ128" s="66">
        <v>31.534078236399999</v>
      </c>
      <c r="BA128" s="66">
        <v>39.312537558999999</v>
      </c>
      <c r="BB128" s="66">
        <v>44.596972399599991</v>
      </c>
      <c r="BC128" s="66">
        <v>47.844007643799998</v>
      </c>
      <c r="BD128" s="66">
        <v>36.783050345500001</v>
      </c>
      <c r="BE128" s="66">
        <v>31.865288890600006</v>
      </c>
      <c r="BF128" s="66">
        <v>29.919904762599998</v>
      </c>
      <c r="BG128" s="66">
        <v>36.397726189900006</v>
      </c>
      <c r="BH128" s="66">
        <v>25.117200169900002</v>
      </c>
      <c r="BI128" s="66">
        <v>40.602480344799993</v>
      </c>
      <c r="BJ128" s="66">
        <v>37.1586550858</v>
      </c>
      <c r="BK128" s="66">
        <v>28.940570472700003</v>
      </c>
      <c r="BL128" s="66">
        <v>59.428837674099995</v>
      </c>
      <c r="BM128" s="66">
        <v>53.413270137400005</v>
      </c>
      <c r="BN128" s="66">
        <v>47.077524796300004</v>
      </c>
      <c r="BO128" s="66">
        <v>65.432058926499991</v>
      </c>
      <c r="BP128" s="66">
        <v>47.024462042500005</v>
      </c>
      <c r="BQ128" s="66">
        <v>45.602575379500003</v>
      </c>
      <c r="BR128" s="66">
        <v>48.905900673699996</v>
      </c>
      <c r="BS128" s="66">
        <v>59.528320955799984</v>
      </c>
      <c r="BT128" s="66">
        <v>34.600535000200011</v>
      </c>
      <c r="BU128" s="66">
        <v>53.897852414499994</v>
      </c>
      <c r="BV128" s="66">
        <v>56.060553662200007</v>
      </c>
      <c r="BW128" s="66">
        <v>29.067110505099997</v>
      </c>
      <c r="BX128" s="66">
        <v>52.244763752800004</v>
      </c>
      <c r="BY128" s="66">
        <v>57.794925156100007</v>
      </c>
      <c r="BZ128" s="66">
        <v>54.166468533100009</v>
      </c>
      <c r="CA128" s="66">
        <v>21.488555913400003</v>
      </c>
      <c r="CB128" s="66">
        <v>45.289790334999999</v>
      </c>
      <c r="CC128" s="66">
        <v>50.687480756200003</v>
      </c>
      <c r="CD128" s="66">
        <v>69.682295441800022</v>
      </c>
      <c r="CE128" s="66">
        <v>58.802066730699991</v>
      </c>
      <c r="CF128" s="66">
        <v>51.878540687500006</v>
      </c>
      <c r="CG128" s="66">
        <v>48.729262496799997</v>
      </c>
      <c r="CH128" s="66">
        <v>40.768423412200001</v>
      </c>
      <c r="CI128" s="66">
        <v>36.703343634699998</v>
      </c>
      <c r="CJ128" s="66">
        <v>42.825036679000007</v>
      </c>
      <c r="CK128" s="66">
        <v>66.814880294799991</v>
      </c>
      <c r="CL128" s="66">
        <v>72.359637853300001</v>
      </c>
      <c r="CM128" s="66">
        <v>42.107826388600003</v>
      </c>
      <c r="CN128" s="66">
        <v>51.89396416120001</v>
      </c>
      <c r="CO128" s="66">
        <v>51.403640298999996</v>
      </c>
      <c r="CP128" s="66">
        <v>50.292474712000001</v>
      </c>
      <c r="CQ128" s="66">
        <v>44.541808150599998</v>
      </c>
      <c r="CR128" s="66">
        <v>41.717286021699998</v>
      </c>
      <c r="CS128" s="66">
        <v>39.970755877000009</v>
      </c>
      <c r="CT128" s="66">
        <v>45.396741430000013</v>
      </c>
      <c r="CU128" s="66">
        <v>33.327216542499997</v>
      </c>
      <c r="CV128" s="66">
        <v>49.941675120400006</v>
      </c>
      <c r="CW128" s="66">
        <v>63.537823690600007</v>
      </c>
      <c r="CX128" s="66">
        <v>39.889135304500002</v>
      </c>
      <c r="CY128" s="66">
        <v>65.785710547300013</v>
      </c>
      <c r="CZ128" s="66">
        <v>42.690766146400009</v>
      </c>
      <c r="DA128" s="66">
        <v>45.985085032600004</v>
      </c>
      <c r="DB128" s="66">
        <v>44.696718368199996</v>
      </c>
      <c r="DC128" s="66">
        <v>53.68635193330001</v>
      </c>
      <c r="DD128" s="66">
        <v>46.592567252200006</v>
      </c>
      <c r="DE128" s="66">
        <v>60.441195460000003</v>
      </c>
      <c r="DF128" s="66">
        <v>59.332093841499997</v>
      </c>
      <c r="DG128" s="66">
        <v>49.656809940700008</v>
      </c>
      <c r="DH128" s="66">
        <v>58.843233520600009</v>
      </c>
      <c r="DI128" s="66">
        <v>87.476030567200013</v>
      </c>
      <c r="DJ128" s="66">
        <v>90.67803377140001</v>
      </c>
      <c r="DK128" s="66">
        <v>111.88834977160001</v>
      </c>
      <c r="DL128" s="66">
        <v>84.010439822199999</v>
      </c>
      <c r="DM128" s="66">
        <v>86.149536775599998</v>
      </c>
      <c r="DN128" s="66">
        <v>79.072226315799995</v>
      </c>
      <c r="DO128" s="66">
        <v>90.728807396500017</v>
      </c>
      <c r="DP128" s="79"/>
      <c r="DQ128" s="80"/>
      <c r="DR128" s="81"/>
      <c r="DS128" s="84">
        <f t="shared" si="12"/>
        <v>2015</v>
      </c>
      <c r="DT128" s="80"/>
      <c r="DU128" s="83">
        <f t="shared" si="19"/>
        <v>-96</v>
      </c>
      <c r="DV128" s="83">
        <f t="shared" si="19"/>
        <v>2.6646742662000058</v>
      </c>
      <c r="DW128" s="83">
        <f t="shared" si="19"/>
        <v>214.06758604620006</v>
      </c>
      <c r="DX128" s="83">
        <f t="shared" si="19"/>
        <v>240.0109195572</v>
      </c>
      <c r="DY128" s="83">
        <f t="shared" si="19"/>
        <v>430.07247210059995</v>
      </c>
      <c r="DZ128" s="83">
        <f t="shared" si="19"/>
        <v>600.03900216780005</v>
      </c>
      <c r="EA128" s="83">
        <f t="shared" si="19"/>
        <v>588.2359168503001</v>
      </c>
      <c r="EB128" s="83">
        <f t="shared" si="19"/>
        <v>582.65126840969992</v>
      </c>
      <c r="EC128" s="83">
        <f t="shared" si="19"/>
        <v>622.23593263769999</v>
      </c>
      <c r="ED128" s="83">
        <f t="shared" si="19"/>
        <v>688.84665794090006</v>
      </c>
    </row>
    <row r="129" spans="2:134" x14ac:dyDescent="0.3">
      <c r="B129" s="45">
        <f t="shared" si="13"/>
        <v>1000000125</v>
      </c>
      <c r="C129" s="46">
        <v>42826</v>
      </c>
      <c r="D129" s="66">
        <v>-8</v>
      </c>
      <c r="E129" s="66">
        <v>-8</v>
      </c>
      <c r="F129" s="66">
        <v>-8</v>
      </c>
      <c r="G129" s="66">
        <v>-8</v>
      </c>
      <c r="H129" s="66">
        <v>-8</v>
      </c>
      <c r="I129" s="66">
        <v>-8</v>
      </c>
      <c r="J129" s="66">
        <v>-8</v>
      </c>
      <c r="K129" s="66">
        <v>-8</v>
      </c>
      <c r="L129" s="66">
        <v>-8</v>
      </c>
      <c r="M129" s="66">
        <v>-8</v>
      </c>
      <c r="N129" s="66">
        <v>-8</v>
      </c>
      <c r="O129" s="66">
        <v>-8</v>
      </c>
      <c r="P129" s="66">
        <v>-8</v>
      </c>
      <c r="Q129" s="66">
        <v>-8</v>
      </c>
      <c r="R129" s="66">
        <v>-8</v>
      </c>
      <c r="S129" s="66">
        <v>-8</v>
      </c>
      <c r="T129" s="66">
        <v>-8</v>
      </c>
      <c r="U129" s="66">
        <v>-8</v>
      </c>
      <c r="V129" s="66">
        <v>-8</v>
      </c>
      <c r="W129" s="66">
        <v>-8</v>
      </c>
      <c r="X129" s="66">
        <v>-8</v>
      </c>
      <c r="Y129" s="66">
        <v>-8</v>
      </c>
      <c r="Z129" s="66">
        <v>-8</v>
      </c>
      <c r="AA129" s="66">
        <v>-8</v>
      </c>
      <c r="AB129" s="66">
        <v>-8</v>
      </c>
      <c r="AC129" s="66">
        <v>-8</v>
      </c>
      <c r="AD129" s="66">
        <v>-8</v>
      </c>
      <c r="AE129" s="66">
        <v>-8</v>
      </c>
      <c r="AF129" s="66">
        <v>-8</v>
      </c>
      <c r="AG129" s="66">
        <v>-8</v>
      </c>
      <c r="AH129" s="66">
        <v>-8</v>
      </c>
      <c r="AI129" s="66">
        <v>-8</v>
      </c>
      <c r="AJ129" s="66">
        <v>-8</v>
      </c>
      <c r="AK129" s="66">
        <v>-8</v>
      </c>
      <c r="AL129" s="66">
        <v>-8</v>
      </c>
      <c r="AM129" s="66">
        <v>-8</v>
      </c>
      <c r="AN129" s="66">
        <v>-8</v>
      </c>
      <c r="AO129" s="66">
        <v>-8</v>
      </c>
      <c r="AP129" s="66">
        <v>-8</v>
      </c>
      <c r="AQ129" s="66">
        <v>-6.3488252000000003</v>
      </c>
      <c r="AR129" s="66">
        <v>-1.7693294189</v>
      </c>
      <c r="AS129" s="66">
        <v>-3.8026386049999994</v>
      </c>
      <c r="AT129" s="66">
        <v>-1.8854370287000002</v>
      </c>
      <c r="AU129" s="66">
        <v>3.3566676943000004</v>
      </c>
      <c r="AV129" s="66">
        <v>-0.81645145249999995</v>
      </c>
      <c r="AW129" s="66">
        <v>0.29505187480000039</v>
      </c>
      <c r="AX129" s="66">
        <v>-0.16581352790000015</v>
      </c>
      <c r="AY129" s="66">
        <v>-0.17928561320000025</v>
      </c>
      <c r="AZ129" s="66">
        <v>2.5138180123000016</v>
      </c>
      <c r="BA129" s="66">
        <v>12.654320413000001</v>
      </c>
      <c r="BB129" s="66">
        <v>28.6247832922</v>
      </c>
      <c r="BC129" s="66">
        <v>39.3025554568</v>
      </c>
      <c r="BD129" s="66">
        <v>28.288243846599997</v>
      </c>
      <c r="BE129" s="66">
        <v>17.635764677800001</v>
      </c>
      <c r="BF129" s="66">
        <v>17.1558357115</v>
      </c>
      <c r="BG129" s="66">
        <v>16.54996714</v>
      </c>
      <c r="BH129" s="66">
        <v>15.991382210499996</v>
      </c>
      <c r="BI129" s="66">
        <v>28.280325712900002</v>
      </c>
      <c r="BJ129" s="66">
        <v>21.330043132600004</v>
      </c>
      <c r="BK129" s="66">
        <v>13.0485383965</v>
      </c>
      <c r="BL129" s="66">
        <v>24.910953426700004</v>
      </c>
      <c r="BM129" s="66">
        <v>21.976252906599999</v>
      </c>
      <c r="BN129" s="66">
        <v>27.291572221300001</v>
      </c>
      <c r="BO129" s="66">
        <v>27.861077420499996</v>
      </c>
      <c r="BP129" s="66">
        <v>36.536687560000011</v>
      </c>
      <c r="BQ129" s="66">
        <v>30.875709811600004</v>
      </c>
      <c r="BR129" s="66">
        <v>32.309717598700004</v>
      </c>
      <c r="BS129" s="66">
        <v>29.585129071900006</v>
      </c>
      <c r="BT129" s="66">
        <v>21.921463924600005</v>
      </c>
      <c r="BU129" s="66">
        <v>40.484533926699996</v>
      </c>
      <c r="BV129" s="66">
        <v>39.521823964900008</v>
      </c>
      <c r="BW129" s="66">
        <v>19.618000025199997</v>
      </c>
      <c r="BX129" s="66">
        <v>34.823856391900001</v>
      </c>
      <c r="BY129" s="66">
        <v>36.267020693799992</v>
      </c>
      <c r="BZ129" s="66">
        <v>23.928917214400006</v>
      </c>
      <c r="CA129" s="66">
        <v>34.915721753500002</v>
      </c>
      <c r="CB129" s="66">
        <v>40.285830050199998</v>
      </c>
      <c r="CC129" s="66">
        <v>45.235339093300006</v>
      </c>
      <c r="CD129" s="66">
        <v>44.336837315200007</v>
      </c>
      <c r="CE129" s="66">
        <v>59.384443588000011</v>
      </c>
      <c r="CF129" s="66">
        <v>53.735361803499998</v>
      </c>
      <c r="CG129" s="66">
        <v>64.195854375099998</v>
      </c>
      <c r="CH129" s="66">
        <v>48.374897868700003</v>
      </c>
      <c r="CI129" s="66">
        <v>36.414463098100001</v>
      </c>
      <c r="CJ129" s="66">
        <v>41.948037700000008</v>
      </c>
      <c r="CK129" s="66">
        <v>68.686674564100002</v>
      </c>
      <c r="CL129" s="66">
        <v>59.291414898699983</v>
      </c>
      <c r="CM129" s="66">
        <v>49.394760994600006</v>
      </c>
      <c r="CN129" s="66">
        <v>57.196899664900002</v>
      </c>
      <c r="CO129" s="66">
        <v>33.600485971900007</v>
      </c>
      <c r="CP129" s="66">
        <v>57.438121292500014</v>
      </c>
      <c r="CQ129" s="66">
        <v>72.878406954100001</v>
      </c>
      <c r="CR129" s="66">
        <v>38.22257455750001</v>
      </c>
      <c r="CS129" s="66">
        <v>52.313550193899999</v>
      </c>
      <c r="CT129" s="66">
        <v>55.610571002500002</v>
      </c>
      <c r="CU129" s="66">
        <v>39.474202582600007</v>
      </c>
      <c r="CV129" s="66">
        <v>71.020497563800021</v>
      </c>
      <c r="CW129" s="66">
        <v>51.338381367700002</v>
      </c>
      <c r="CX129" s="66">
        <v>55.279923248799996</v>
      </c>
      <c r="CY129" s="66">
        <v>51.192214871200001</v>
      </c>
      <c r="CZ129" s="66">
        <v>49.658798855800008</v>
      </c>
      <c r="DA129" s="66">
        <v>45.4191823966</v>
      </c>
      <c r="DB129" s="66">
        <v>47.952197119900006</v>
      </c>
      <c r="DC129" s="66">
        <v>65.419487481999994</v>
      </c>
      <c r="DD129" s="66">
        <v>58.573153860699989</v>
      </c>
      <c r="DE129" s="66">
        <v>67.1372346478</v>
      </c>
      <c r="DF129" s="66">
        <v>69.615010068700002</v>
      </c>
      <c r="DG129" s="66">
        <v>58.773846652299994</v>
      </c>
      <c r="DH129" s="66">
        <v>106.0069777141</v>
      </c>
      <c r="DI129" s="66">
        <v>86.839652788599992</v>
      </c>
      <c r="DJ129" s="66">
        <v>82.693665445900024</v>
      </c>
      <c r="DK129" s="66">
        <v>74.631654378100009</v>
      </c>
      <c r="DL129" s="66">
        <v>53.640569359300002</v>
      </c>
      <c r="DM129" s="66">
        <v>67.549202760400021</v>
      </c>
      <c r="DN129" s="66">
        <v>84.324913568200003</v>
      </c>
      <c r="DO129" s="66">
        <v>88.660410745900023</v>
      </c>
      <c r="DP129" s="79"/>
      <c r="DQ129" s="80"/>
      <c r="DR129" s="81"/>
      <c r="DS129" s="84">
        <f t="shared" si="12"/>
        <v>2017</v>
      </c>
      <c r="DT129" s="80"/>
      <c r="DU129" s="83">
        <f t="shared" si="19"/>
        <v>-96</v>
      </c>
      <c r="DV129" s="83">
        <f t="shared" si="19"/>
        <v>-96</v>
      </c>
      <c r="DW129" s="83">
        <f t="shared" si="19"/>
        <v>-96</v>
      </c>
      <c r="DX129" s="83">
        <f t="shared" si="19"/>
        <v>-35.316061277099998</v>
      </c>
      <c r="DY129" s="83">
        <f t="shared" si="19"/>
        <v>241.37557800270002</v>
      </c>
      <c r="DZ129" s="83">
        <f t="shared" si="19"/>
        <v>352.89292185869999</v>
      </c>
      <c r="EA129" s="83">
        <f t="shared" si="19"/>
        <v>521.89854324570001</v>
      </c>
      <c r="EB129" s="83">
        <f t="shared" si="19"/>
        <v>626.05570037730013</v>
      </c>
      <c r="EC129" s="83">
        <f t="shared" si="19"/>
        <v>691.37992813530013</v>
      </c>
      <c r="ED129" s="83">
        <f t="shared" si="19"/>
        <v>644.34704676050001</v>
      </c>
    </row>
    <row r="130" spans="2:134" x14ac:dyDescent="0.3">
      <c r="B130" s="45">
        <f t="shared" si="13"/>
        <v>1000000126</v>
      </c>
      <c r="C130" s="46">
        <v>41791</v>
      </c>
      <c r="D130" s="66">
        <v>-8</v>
      </c>
      <c r="E130" s="66">
        <v>-8</v>
      </c>
      <c r="F130" s="66">
        <v>-8</v>
      </c>
      <c r="G130" s="66">
        <v>-8</v>
      </c>
      <c r="H130" s="66">
        <v>-8</v>
      </c>
      <c r="I130" s="66">
        <v>1.5205237900000004</v>
      </c>
      <c r="J130" s="66">
        <v>15.194615316100002</v>
      </c>
      <c r="K130" s="66">
        <v>35.204602290100006</v>
      </c>
      <c r="L130" s="66">
        <v>64.890848859100004</v>
      </c>
      <c r="M130" s="66">
        <v>50.375521299099994</v>
      </c>
      <c r="N130" s="66">
        <v>39.076119349000003</v>
      </c>
      <c r="O130" s="66">
        <v>25.860453990100005</v>
      </c>
      <c r="P130" s="66">
        <v>44.3584526944</v>
      </c>
      <c r="Q130" s="66">
        <v>138.2829043234</v>
      </c>
      <c r="R130" s="66">
        <v>80.697245005900001</v>
      </c>
      <c r="S130" s="66">
        <v>78.808225981300012</v>
      </c>
      <c r="T130" s="66">
        <v>55.467519222100002</v>
      </c>
      <c r="U130" s="66">
        <v>48.584747175099999</v>
      </c>
      <c r="V130" s="66">
        <v>52.475065110699994</v>
      </c>
      <c r="W130" s="66">
        <v>45.884325843100008</v>
      </c>
      <c r="X130" s="66">
        <v>53.488661277700004</v>
      </c>
      <c r="Y130" s="66">
        <v>82.742224995699999</v>
      </c>
      <c r="Z130" s="66">
        <v>53.145066812499998</v>
      </c>
      <c r="AA130" s="66">
        <v>51.620319464800005</v>
      </c>
      <c r="AB130" s="66">
        <v>66.462016734700001</v>
      </c>
      <c r="AC130" s="66">
        <v>145.87541884750004</v>
      </c>
      <c r="AD130" s="66">
        <v>108.745938967</v>
      </c>
      <c r="AE130" s="66">
        <v>100.7650606246</v>
      </c>
      <c r="AF130" s="66">
        <v>69.32901908800001</v>
      </c>
      <c r="AG130" s="66">
        <v>66.889933694800007</v>
      </c>
      <c r="AH130" s="66">
        <v>68.941480857100018</v>
      </c>
      <c r="AI130" s="66">
        <v>80.953139573200005</v>
      </c>
      <c r="AJ130" s="66">
        <v>69.9879128866</v>
      </c>
      <c r="AK130" s="66">
        <v>70.220691006700008</v>
      </c>
      <c r="AL130" s="66">
        <v>61.686406419400001</v>
      </c>
      <c r="AM130" s="66">
        <v>47.335445805399999</v>
      </c>
      <c r="AN130" s="66">
        <v>53.905995708400006</v>
      </c>
      <c r="AO130" s="66">
        <v>129.36532202230003</v>
      </c>
      <c r="AP130" s="66">
        <v>136.143056836</v>
      </c>
      <c r="AQ130" s="66">
        <v>117.66524749630001</v>
      </c>
      <c r="AR130" s="66">
        <v>108.58821424689998</v>
      </c>
      <c r="AS130" s="66">
        <v>88.639696007499992</v>
      </c>
      <c r="AT130" s="66">
        <v>78.339479971600028</v>
      </c>
      <c r="AU130" s="66">
        <v>91.181004131500018</v>
      </c>
      <c r="AV130" s="66">
        <v>99.920597294500013</v>
      </c>
      <c r="AW130" s="66">
        <v>96.677802567400008</v>
      </c>
      <c r="AX130" s="66">
        <v>91.276997430099996</v>
      </c>
      <c r="AY130" s="66">
        <v>72.420281000500012</v>
      </c>
      <c r="AZ130" s="66">
        <v>71.693501401600003</v>
      </c>
      <c r="BA130" s="66">
        <v>87.288884914299985</v>
      </c>
      <c r="BB130" s="66">
        <v>117.70502579830003</v>
      </c>
      <c r="BC130" s="66">
        <v>123.73545390820001</v>
      </c>
      <c r="BD130" s="66">
        <v>83.671461141100011</v>
      </c>
      <c r="BE130" s="66">
        <v>87.814971721600003</v>
      </c>
      <c r="BF130" s="66">
        <v>62.337907458100005</v>
      </c>
      <c r="BG130" s="66">
        <v>63.603983262699984</v>
      </c>
      <c r="BH130" s="66">
        <v>70.330006283800003</v>
      </c>
      <c r="BI130" s="66">
        <v>79.468320634299999</v>
      </c>
      <c r="BJ130" s="66">
        <v>69.844523365900002</v>
      </c>
      <c r="BK130" s="66">
        <v>55.394754950800014</v>
      </c>
      <c r="BL130" s="66">
        <v>62.40192800829999</v>
      </c>
      <c r="BM130" s="66">
        <v>98.28743531050003</v>
      </c>
      <c r="BN130" s="66">
        <v>92.462465883100009</v>
      </c>
      <c r="BO130" s="66">
        <v>110.6202099985</v>
      </c>
      <c r="BP130" s="66">
        <v>83.701932821500009</v>
      </c>
      <c r="BQ130" s="66">
        <v>66.618428020300001</v>
      </c>
      <c r="BR130" s="66">
        <v>70.382318503600018</v>
      </c>
      <c r="BS130" s="66">
        <v>80.132318064100005</v>
      </c>
      <c r="BT130" s="66">
        <v>82.139958987400007</v>
      </c>
      <c r="BU130" s="66">
        <v>87.430135413100004</v>
      </c>
      <c r="BV130" s="66">
        <v>90.19908049930001</v>
      </c>
      <c r="BW130" s="66">
        <v>71.605763976999995</v>
      </c>
      <c r="BX130" s="66">
        <v>82.476873699999999</v>
      </c>
      <c r="BY130" s="66">
        <v>109.01939602989999</v>
      </c>
      <c r="BZ130" s="66">
        <v>107.42312279199999</v>
      </c>
      <c r="CA130" s="66">
        <v>80.012795524599994</v>
      </c>
      <c r="CB130" s="66">
        <v>91.692230365600011</v>
      </c>
      <c r="CC130" s="66">
        <v>104.2365055348</v>
      </c>
      <c r="CD130" s="66">
        <v>115.84351384480001</v>
      </c>
      <c r="CE130" s="66">
        <v>121.98734764210002</v>
      </c>
      <c r="CF130" s="66">
        <v>103.3716652066</v>
      </c>
      <c r="CG130" s="66">
        <v>106.76021363650001</v>
      </c>
      <c r="CH130" s="66">
        <v>97.087744238199988</v>
      </c>
      <c r="CI130" s="66">
        <v>65.071727553100004</v>
      </c>
      <c r="CJ130" s="66">
        <v>79.1614272817</v>
      </c>
      <c r="CK130" s="66">
        <v>109.751654527</v>
      </c>
      <c r="CL130" s="66">
        <v>136.09333395850001</v>
      </c>
      <c r="CM130" s="66">
        <v>123.40788334390001</v>
      </c>
      <c r="CN130" s="66">
        <v>91.184456587900016</v>
      </c>
      <c r="CO130" s="66">
        <v>77.684789163399998</v>
      </c>
      <c r="CP130" s="66">
        <v>86.749175914900007</v>
      </c>
      <c r="CQ130" s="66">
        <v>76.36580071180002</v>
      </c>
      <c r="CR130" s="66">
        <v>70.359802483600006</v>
      </c>
      <c r="CS130" s="66">
        <v>79.367786605000006</v>
      </c>
      <c r="CT130" s="66">
        <v>74.114761612300015</v>
      </c>
      <c r="CU130" s="66">
        <v>49.643300328700001</v>
      </c>
      <c r="CV130" s="66">
        <v>75.141266964099998</v>
      </c>
      <c r="CW130" s="66">
        <v>92.305679330500027</v>
      </c>
      <c r="CX130" s="66">
        <v>116.5128025393</v>
      </c>
      <c r="CY130" s="66">
        <v>113.5025607721</v>
      </c>
      <c r="CZ130" s="66">
        <v>62.123554947700015</v>
      </c>
      <c r="DA130" s="66">
        <v>50.664777102699993</v>
      </c>
      <c r="DB130" s="66">
        <v>76.472226433000017</v>
      </c>
      <c r="DC130" s="66">
        <v>68.782517755900002</v>
      </c>
      <c r="DD130" s="66">
        <v>93.032909249800014</v>
      </c>
      <c r="DE130" s="66">
        <v>72.4856525119</v>
      </c>
      <c r="DF130" s="66">
        <v>55.075064993500007</v>
      </c>
      <c r="DG130" s="66">
        <v>54.401723415399992</v>
      </c>
      <c r="DH130" s="66">
        <v>72.870563873799995</v>
      </c>
      <c r="DI130" s="66">
        <v>85.096087253199983</v>
      </c>
      <c r="DJ130" s="66">
        <v>93.364757857900003</v>
      </c>
      <c r="DK130" s="66">
        <v>69.078453312099995</v>
      </c>
      <c r="DL130" s="66">
        <v>56.24991339040001</v>
      </c>
      <c r="DM130" s="66">
        <v>67.668312506199996</v>
      </c>
      <c r="DN130" s="66">
        <v>57.777475240599998</v>
      </c>
      <c r="DO130" s="66">
        <v>52.55465924140001</v>
      </c>
      <c r="DP130" s="79"/>
      <c r="DQ130" s="80"/>
      <c r="DR130" s="81"/>
      <c r="DS130" s="84">
        <f t="shared" si="12"/>
        <v>2014</v>
      </c>
      <c r="DT130" s="80"/>
      <c r="DU130" s="83">
        <f t="shared" si="19"/>
        <v>192.12268489350004</v>
      </c>
      <c r="DV130" s="83">
        <f t="shared" si="19"/>
        <v>785.55475790669993</v>
      </c>
      <c r="DW130" s="83">
        <f t="shared" si="19"/>
        <v>957.19246450500009</v>
      </c>
      <c r="DX130" s="83">
        <f t="shared" si="19"/>
        <v>1164.1236947130001</v>
      </c>
      <c r="DY130" s="83">
        <f t="shared" si="19"/>
        <v>972.88879484070014</v>
      </c>
      <c r="DZ130" s="83">
        <f t="shared" si="19"/>
        <v>995.98197548670021</v>
      </c>
      <c r="EA130" s="83">
        <f t="shared" si="19"/>
        <v>1184.9831360682001</v>
      </c>
      <c r="EB130" s="83">
        <f t="shared" si="19"/>
        <v>1053.8841725187001</v>
      </c>
      <c r="EC130" s="83">
        <f t="shared" si="19"/>
        <v>930.50073601589986</v>
      </c>
      <c r="ED130" s="83">
        <f t="shared" si="19"/>
        <v>554.66022267559993</v>
      </c>
    </row>
    <row r="131" spans="2:134" x14ac:dyDescent="0.3">
      <c r="B131" s="45">
        <f t="shared" si="13"/>
        <v>1000000127</v>
      </c>
      <c r="C131" s="46">
        <v>41640</v>
      </c>
      <c r="D131" s="66">
        <v>-8</v>
      </c>
      <c r="E131" s="66">
        <v>-3.2234139905000001</v>
      </c>
      <c r="F131" s="66">
        <v>-1.7990505652999991</v>
      </c>
      <c r="G131" s="66">
        <v>5.9723537377000007</v>
      </c>
      <c r="H131" s="66">
        <v>11.056320946899998</v>
      </c>
      <c r="I131" s="66">
        <v>8.0679572458000024</v>
      </c>
      <c r="J131" s="66">
        <v>4.5179314258000005</v>
      </c>
      <c r="K131" s="66">
        <v>7.617524265700002</v>
      </c>
      <c r="L131" s="66">
        <v>8.4719696979999988</v>
      </c>
      <c r="M131" s="66">
        <v>14.475341057200001</v>
      </c>
      <c r="N131" s="66">
        <v>7.5049066389999997</v>
      </c>
      <c r="O131" s="66">
        <v>10.016043296199999</v>
      </c>
      <c r="P131" s="66">
        <v>3.7779424285000012</v>
      </c>
      <c r="Q131" s="66">
        <v>7.6382014773999991</v>
      </c>
      <c r="R131" s="66">
        <v>3.0304480912000002</v>
      </c>
      <c r="S131" s="66">
        <v>1.7966452486000009</v>
      </c>
      <c r="T131" s="66">
        <v>13.013638565499999</v>
      </c>
      <c r="U131" s="66">
        <v>3.7249547281000019</v>
      </c>
      <c r="V131" s="66">
        <v>9.2720014153000001</v>
      </c>
      <c r="W131" s="66">
        <v>7.4656537107999981</v>
      </c>
      <c r="X131" s="66">
        <v>8.1800870254000024</v>
      </c>
      <c r="Y131" s="66">
        <v>11.171265228999999</v>
      </c>
      <c r="Z131" s="66">
        <v>12.073031830000001</v>
      </c>
      <c r="AA131" s="66">
        <v>14.041269718300001</v>
      </c>
      <c r="AB131" s="66">
        <v>17.2754333044</v>
      </c>
      <c r="AC131" s="66">
        <v>34.434254192499999</v>
      </c>
      <c r="AD131" s="66">
        <v>17.714758381300001</v>
      </c>
      <c r="AE131" s="66">
        <v>24.5242407832</v>
      </c>
      <c r="AF131" s="66">
        <v>24.957449008000005</v>
      </c>
      <c r="AG131" s="66">
        <v>18.445440756999997</v>
      </c>
      <c r="AH131" s="66">
        <v>17.946110486800002</v>
      </c>
      <c r="AI131" s="66">
        <v>17.818294546600004</v>
      </c>
      <c r="AJ131" s="66">
        <v>32.951987069199994</v>
      </c>
      <c r="AK131" s="66">
        <v>22.300633701400002</v>
      </c>
      <c r="AL131" s="66">
        <v>21.997905812500004</v>
      </c>
      <c r="AM131" s="66">
        <v>28.450659404200003</v>
      </c>
      <c r="AN131" s="66">
        <v>31.24020664870001</v>
      </c>
      <c r="AO131" s="66">
        <v>58.875168742300019</v>
      </c>
      <c r="AP131" s="66">
        <v>62.800086295300005</v>
      </c>
      <c r="AQ131" s="66">
        <v>59.352020519200011</v>
      </c>
      <c r="AR131" s="66">
        <v>52.51897134970001</v>
      </c>
      <c r="AS131" s="66">
        <v>49.136352138399999</v>
      </c>
      <c r="AT131" s="66">
        <v>51.030437267499998</v>
      </c>
      <c r="AU131" s="66">
        <v>57.269025982300008</v>
      </c>
      <c r="AV131" s="66">
        <v>40.028021621200011</v>
      </c>
      <c r="AW131" s="66">
        <v>49.425495361899998</v>
      </c>
      <c r="AX131" s="66">
        <v>74.885072183199995</v>
      </c>
      <c r="AY131" s="66">
        <v>78.24239839869999</v>
      </c>
      <c r="AZ131" s="66">
        <v>53.492188787500005</v>
      </c>
      <c r="BA131" s="66">
        <v>41.879739105999995</v>
      </c>
      <c r="BB131" s="66">
        <v>47.386369537299998</v>
      </c>
      <c r="BC131" s="66">
        <v>56.470457806300004</v>
      </c>
      <c r="BD131" s="66">
        <v>47.015643267999998</v>
      </c>
      <c r="BE131" s="66">
        <v>46.658876931100004</v>
      </c>
      <c r="BF131" s="66">
        <v>36.206189913100005</v>
      </c>
      <c r="BG131" s="66">
        <v>33.971625034900001</v>
      </c>
      <c r="BH131" s="66">
        <v>31.957229305600009</v>
      </c>
      <c r="BI131" s="66">
        <v>45.340001059600006</v>
      </c>
      <c r="BJ131" s="66">
        <v>61.921023347800016</v>
      </c>
      <c r="BK131" s="66">
        <v>62.566857854800006</v>
      </c>
      <c r="BL131" s="66">
        <v>44.8613104744</v>
      </c>
      <c r="BM131" s="66">
        <v>44.938990743400005</v>
      </c>
      <c r="BN131" s="66">
        <v>60.35829897970001</v>
      </c>
      <c r="BO131" s="66">
        <v>77.079220805499986</v>
      </c>
      <c r="BP131" s="66">
        <v>60.021159106900001</v>
      </c>
      <c r="BQ131" s="66">
        <v>35.403081006400001</v>
      </c>
      <c r="BR131" s="66">
        <v>39.890073471999997</v>
      </c>
      <c r="BS131" s="66">
        <v>50.198733015399995</v>
      </c>
      <c r="BT131" s="66">
        <v>60.753642764199995</v>
      </c>
      <c r="BU131" s="66">
        <v>61.182347785000005</v>
      </c>
      <c r="BV131" s="66">
        <v>45.567525441699999</v>
      </c>
      <c r="BW131" s="66">
        <v>38.634505143400006</v>
      </c>
      <c r="BX131" s="66">
        <v>48.891603001</v>
      </c>
      <c r="BY131" s="66">
        <v>78.54388790649999</v>
      </c>
      <c r="BZ131" s="66">
        <v>76.050126111400004</v>
      </c>
      <c r="CA131" s="66">
        <v>63.907912006000004</v>
      </c>
      <c r="CB131" s="66">
        <v>41.975807457999998</v>
      </c>
      <c r="CC131" s="66">
        <v>23.792282499700001</v>
      </c>
      <c r="CD131" s="66">
        <v>38.4988085962</v>
      </c>
      <c r="CE131" s="66">
        <v>63.268231877800005</v>
      </c>
      <c r="CF131" s="66">
        <v>53.0569916476</v>
      </c>
      <c r="CG131" s="66">
        <v>60.460484183800006</v>
      </c>
      <c r="CH131" s="66">
        <v>62.179732417600007</v>
      </c>
      <c r="CI131" s="66">
        <v>19.781016009999998</v>
      </c>
      <c r="CJ131" s="66">
        <v>26.621983313200005</v>
      </c>
      <c r="CK131" s="66">
        <v>63.928101370600004</v>
      </c>
      <c r="CL131" s="66">
        <v>66.158913578799996</v>
      </c>
      <c r="CM131" s="66">
        <v>48.361988683900009</v>
      </c>
      <c r="CN131" s="66">
        <v>37.132386395800005</v>
      </c>
      <c r="CO131" s="66">
        <v>27.540824562700003</v>
      </c>
      <c r="CP131" s="66">
        <v>39.4565650336</v>
      </c>
      <c r="CQ131" s="66">
        <v>49.613391548800003</v>
      </c>
      <c r="CR131" s="66">
        <v>65.681161161100007</v>
      </c>
      <c r="CS131" s="66">
        <v>53.022279450099994</v>
      </c>
      <c r="CT131" s="66">
        <v>31.484017618600006</v>
      </c>
      <c r="CU131" s="66">
        <v>18.651462340000002</v>
      </c>
      <c r="CV131" s="66">
        <v>26.446771150900005</v>
      </c>
      <c r="CW131" s="66">
        <v>50.384978027499997</v>
      </c>
      <c r="CX131" s="66">
        <v>67.270379379399998</v>
      </c>
      <c r="CY131" s="66">
        <v>75.604046228499996</v>
      </c>
      <c r="CZ131" s="66">
        <v>34.004873691100002</v>
      </c>
      <c r="DA131" s="66">
        <v>26.938671134499991</v>
      </c>
      <c r="DB131" s="66">
        <v>48.768402844900002</v>
      </c>
      <c r="DC131" s="66">
        <v>61.328364174699985</v>
      </c>
      <c r="DD131" s="66">
        <v>63.8215255426</v>
      </c>
      <c r="DE131" s="66">
        <v>36.176243606499995</v>
      </c>
      <c r="DF131" s="66">
        <v>45.078777700900005</v>
      </c>
      <c r="DG131" s="66">
        <v>23.169939706900003</v>
      </c>
      <c r="DH131" s="66">
        <v>15.798119705500003</v>
      </c>
      <c r="DI131" s="66">
        <v>270.84034306840005</v>
      </c>
      <c r="DJ131" s="66">
        <v>86.218098056500025</v>
      </c>
      <c r="DK131" s="66">
        <v>50.184247709200008</v>
      </c>
      <c r="DL131" s="66">
        <v>53.816231842000015</v>
      </c>
      <c r="DM131" s="66">
        <v>61.444058990799988</v>
      </c>
      <c r="DN131" s="66">
        <v>48.433176833800005</v>
      </c>
      <c r="DO131" s="66">
        <v>63.722304947799998</v>
      </c>
      <c r="DP131" s="79"/>
      <c r="DQ131" s="80"/>
      <c r="DR131" s="81"/>
      <c r="DS131" s="84">
        <f t="shared" si="12"/>
        <v>2014</v>
      </c>
      <c r="DT131" s="80"/>
      <c r="DU131" s="83">
        <f t="shared" si="19"/>
        <v>64.677883756499995</v>
      </c>
      <c r="DV131" s="83">
        <f t="shared" si="19"/>
        <v>95.185139468100004</v>
      </c>
      <c r="DW131" s="83">
        <f t="shared" si="19"/>
        <v>278.81716744710002</v>
      </c>
      <c r="DX131" s="83">
        <f t="shared" si="19"/>
        <v>664.80325650840007</v>
      </c>
      <c r="DY131" s="83">
        <f t="shared" si="19"/>
        <v>564.8662019520001</v>
      </c>
      <c r="DZ131" s="83">
        <f t="shared" si="19"/>
        <v>618.88888873799999</v>
      </c>
      <c r="EA131" s="83">
        <f t="shared" si="19"/>
        <v>630.40688371559997</v>
      </c>
      <c r="EB131" s="83">
        <f t="shared" si="19"/>
        <v>527.6530750572</v>
      </c>
      <c r="EC131" s="83">
        <f t="shared" si="19"/>
        <v>558.9929731883999</v>
      </c>
      <c r="ED131" s="83">
        <f t="shared" si="19"/>
        <v>650.45658115400011</v>
      </c>
    </row>
    <row r="132" spans="2:134" x14ac:dyDescent="0.3">
      <c r="B132" s="45">
        <f t="shared" si="13"/>
        <v>1000000128</v>
      </c>
      <c r="C132" s="46">
        <v>40513</v>
      </c>
      <c r="D132" s="66">
        <v>39.609223649200004</v>
      </c>
      <c r="E132" s="66">
        <v>95.878108590400004</v>
      </c>
      <c r="F132" s="66">
        <v>49.304734441299999</v>
      </c>
      <c r="G132" s="66">
        <v>51.343897792599996</v>
      </c>
      <c r="H132" s="66">
        <v>40.131144992800003</v>
      </c>
      <c r="I132" s="66">
        <v>37.094146688499997</v>
      </c>
      <c r="J132" s="66">
        <v>34.877219359300007</v>
      </c>
      <c r="K132" s="66">
        <v>36.306123515200007</v>
      </c>
      <c r="L132" s="66">
        <v>34.647818642200008</v>
      </c>
      <c r="M132" s="66">
        <v>49.873451579799998</v>
      </c>
      <c r="N132" s="66">
        <v>45.571765958800007</v>
      </c>
      <c r="O132" s="66">
        <v>39.511278962200002</v>
      </c>
      <c r="P132" s="66">
        <v>43.299636853900004</v>
      </c>
      <c r="Q132" s="66">
        <v>158.86937646280003</v>
      </c>
      <c r="R132" s="66">
        <v>58.19218280230001</v>
      </c>
      <c r="S132" s="66">
        <v>56.457773781699998</v>
      </c>
      <c r="T132" s="66">
        <v>39.490977017500008</v>
      </c>
      <c r="U132" s="66">
        <v>42.344657392299993</v>
      </c>
      <c r="V132" s="66">
        <v>44.353761856900007</v>
      </c>
      <c r="W132" s="66">
        <v>43.443326588199994</v>
      </c>
      <c r="X132" s="66">
        <v>44.2436960458</v>
      </c>
      <c r="Y132" s="66">
        <v>44.891294307700015</v>
      </c>
      <c r="Z132" s="66">
        <v>43.655164809700004</v>
      </c>
      <c r="AA132" s="66">
        <v>37.764035810199999</v>
      </c>
      <c r="AB132" s="66">
        <v>44.100381578499999</v>
      </c>
      <c r="AC132" s="66">
        <v>47.809370499700002</v>
      </c>
      <c r="AD132" s="66">
        <v>39.466584662500004</v>
      </c>
      <c r="AE132" s="66">
        <v>49.765712424100002</v>
      </c>
      <c r="AF132" s="66">
        <v>50.882769703000001</v>
      </c>
      <c r="AG132" s="66">
        <v>46.098002872900004</v>
      </c>
      <c r="AH132" s="66">
        <v>46.235650808499997</v>
      </c>
      <c r="AI132" s="66">
        <v>49.080324775299999</v>
      </c>
      <c r="AJ132" s="66">
        <v>38.639383614399996</v>
      </c>
      <c r="AK132" s="66">
        <v>40.099847725000004</v>
      </c>
      <c r="AL132" s="66">
        <v>44.081505648399997</v>
      </c>
      <c r="AM132" s="66">
        <v>44.110551314200002</v>
      </c>
      <c r="AN132" s="66">
        <v>42.617889294999998</v>
      </c>
      <c r="AO132" s="66">
        <v>68.026242170800003</v>
      </c>
      <c r="AP132" s="66">
        <v>64.470399712299979</v>
      </c>
      <c r="AQ132" s="66">
        <v>65.406803457400031</v>
      </c>
      <c r="AR132" s="66">
        <v>46.099428887500004</v>
      </c>
      <c r="AS132" s="66">
        <v>42.151319833899997</v>
      </c>
      <c r="AT132" s="66">
        <v>47.906226912400008</v>
      </c>
      <c r="AU132" s="66">
        <v>53.343395422</v>
      </c>
      <c r="AV132" s="66">
        <v>48.913368487</v>
      </c>
      <c r="AW132" s="66">
        <v>42.978295721800002</v>
      </c>
      <c r="AX132" s="66">
        <v>45.857606832699993</v>
      </c>
      <c r="AY132" s="66">
        <v>45.434455763499997</v>
      </c>
      <c r="AZ132" s="66">
        <v>47.245494305500003</v>
      </c>
      <c r="BA132" s="66">
        <v>89.497856583100003</v>
      </c>
      <c r="BB132" s="66">
        <v>86.011738733200005</v>
      </c>
      <c r="BC132" s="66">
        <v>83.2203151537</v>
      </c>
      <c r="BD132" s="66">
        <v>70.459360818699992</v>
      </c>
      <c r="BE132" s="66">
        <v>55.925945389300004</v>
      </c>
      <c r="BF132" s="66">
        <v>43.460438763400006</v>
      </c>
      <c r="BG132" s="66">
        <v>54.907057957599996</v>
      </c>
      <c r="BH132" s="66">
        <v>46.628442777400004</v>
      </c>
      <c r="BI132" s="66">
        <v>51.095733725500011</v>
      </c>
      <c r="BJ132" s="66">
        <v>51.036704226400012</v>
      </c>
      <c r="BK132" s="66">
        <v>37.054405913199993</v>
      </c>
      <c r="BL132" s="66">
        <v>41.696796443499991</v>
      </c>
      <c r="BM132" s="66">
        <v>56.879461309600003</v>
      </c>
      <c r="BN132" s="66">
        <v>59.529184069900012</v>
      </c>
      <c r="BO132" s="66">
        <v>76.864568081499996</v>
      </c>
      <c r="BP132" s="66">
        <v>57.607929609999999</v>
      </c>
      <c r="BQ132" s="66">
        <v>50.469112888900007</v>
      </c>
      <c r="BR132" s="66">
        <v>49.568622195699994</v>
      </c>
      <c r="BS132" s="66">
        <v>46.486329164499999</v>
      </c>
      <c r="BT132" s="66">
        <v>47.215623052299996</v>
      </c>
      <c r="BU132" s="66">
        <v>53.191187126799989</v>
      </c>
      <c r="BV132" s="66">
        <v>45.3799294684</v>
      </c>
      <c r="BW132" s="66">
        <v>41.279049219100003</v>
      </c>
      <c r="BX132" s="66">
        <v>53.593248190600008</v>
      </c>
      <c r="BY132" s="66">
        <v>62.5197618463</v>
      </c>
      <c r="BZ132" s="66">
        <v>59.329091705500019</v>
      </c>
      <c r="CA132" s="66">
        <v>65.367550529199988</v>
      </c>
      <c r="CB132" s="66">
        <v>52.9961233402</v>
      </c>
      <c r="CC132" s="66">
        <v>47.672960945199996</v>
      </c>
      <c r="CD132" s="66">
        <v>62.962464326200006</v>
      </c>
      <c r="CE132" s="66">
        <v>31.870880368900004</v>
      </c>
      <c r="CF132" s="66">
        <v>46.265672168500004</v>
      </c>
      <c r="CG132" s="66">
        <v>44.228122465300004</v>
      </c>
      <c r="CH132" s="66">
        <v>47.424121397500002</v>
      </c>
      <c r="CI132" s="66">
        <v>45.599385609999999</v>
      </c>
      <c r="CJ132" s="66">
        <v>45.589253401000001</v>
      </c>
      <c r="CK132" s="66">
        <v>54.110103429699983</v>
      </c>
      <c r="CL132" s="66">
        <v>72.723421683100014</v>
      </c>
      <c r="CM132" s="66">
        <v>72.831423525700004</v>
      </c>
      <c r="CN132" s="66">
        <v>58.218338912199997</v>
      </c>
      <c r="CO132" s="66">
        <v>53.391429598000009</v>
      </c>
      <c r="CP132" s="66">
        <v>46.349506816299993</v>
      </c>
      <c r="CQ132" s="66">
        <v>43.526973602500007</v>
      </c>
      <c r="CR132" s="66">
        <v>56.492673612699988</v>
      </c>
      <c r="CS132" s="66">
        <v>45.270351504399997</v>
      </c>
      <c r="CT132" s="66">
        <v>53.338104157299995</v>
      </c>
      <c r="CU132" s="66">
        <v>54.390127665099996</v>
      </c>
      <c r="CV132" s="66">
        <v>55.895586288999993</v>
      </c>
      <c r="CW132" s="66">
        <v>59.200337597800015</v>
      </c>
      <c r="CX132" s="66">
        <v>70.40382130270001</v>
      </c>
      <c r="CY132" s="66">
        <v>100.64884043470001</v>
      </c>
      <c r="CZ132" s="66">
        <v>66.164880324099997</v>
      </c>
      <c r="DA132" s="66">
        <v>65.811979237300008</v>
      </c>
      <c r="DB132" s="66">
        <v>57.415867959399989</v>
      </c>
      <c r="DC132" s="66">
        <v>63.405692179900001</v>
      </c>
      <c r="DD132" s="66">
        <v>57.984059724100007</v>
      </c>
      <c r="DE132" s="66">
        <v>58.269863071300009</v>
      </c>
      <c r="DF132" s="66">
        <v>60.527356763200004</v>
      </c>
      <c r="DG132" s="66">
        <v>57.051821442700003</v>
      </c>
      <c r="DH132" s="66">
        <v>77.3954958331</v>
      </c>
      <c r="DI132" s="66">
        <v>82.821931706499996</v>
      </c>
      <c r="DJ132" s="66">
        <v>82.776149132500024</v>
      </c>
      <c r="DK132" s="66">
        <v>104.3514873436</v>
      </c>
      <c r="DL132" s="66">
        <v>62.686042654000005</v>
      </c>
      <c r="DM132" s="66">
        <v>55.247500180000003</v>
      </c>
      <c r="DN132" s="66">
        <v>50.423780635299991</v>
      </c>
      <c r="DO132" s="66">
        <v>55.746042389500005</v>
      </c>
      <c r="DP132" s="79"/>
      <c r="DQ132" s="80"/>
      <c r="DR132" s="81"/>
      <c r="DS132" s="84">
        <f t="shared" si="12"/>
        <v>2010</v>
      </c>
      <c r="DT132" s="80"/>
      <c r="DU132" s="83">
        <f t="shared" si="19"/>
        <v>554.14891417230001</v>
      </c>
      <c r="DV132" s="83">
        <f t="shared" si="19"/>
        <v>657.00588372900006</v>
      </c>
      <c r="DW132" s="83">
        <f t="shared" si="19"/>
        <v>540.3700856265001</v>
      </c>
      <c r="DX132" s="83">
        <f t="shared" si="19"/>
        <v>613.20543249629998</v>
      </c>
      <c r="DY132" s="83">
        <f t="shared" si="19"/>
        <v>716.54349434700009</v>
      </c>
      <c r="DZ132" s="83">
        <f t="shared" si="19"/>
        <v>626.16779263019987</v>
      </c>
      <c r="EA132" s="83">
        <f t="shared" si="19"/>
        <v>619.82938289340007</v>
      </c>
      <c r="EB132" s="83">
        <f t="shared" si="19"/>
        <v>656.23170790799998</v>
      </c>
      <c r="EC132" s="83">
        <f t="shared" si="19"/>
        <v>772.7801063262001</v>
      </c>
      <c r="ED132" s="83">
        <f t="shared" si="19"/>
        <v>571.44842987449999</v>
      </c>
    </row>
    <row r="133" spans="2:134" x14ac:dyDescent="0.3">
      <c r="B133" s="45">
        <f t="shared" si="13"/>
        <v>1000000129</v>
      </c>
      <c r="C133" s="46">
        <v>42675</v>
      </c>
      <c r="D133" s="66">
        <v>-8</v>
      </c>
      <c r="E133" s="66">
        <v>-8</v>
      </c>
      <c r="F133" s="66">
        <v>-8</v>
      </c>
      <c r="G133" s="66">
        <v>-8</v>
      </c>
      <c r="H133" s="66">
        <v>-8</v>
      </c>
      <c r="I133" s="66">
        <v>-8</v>
      </c>
      <c r="J133" s="66">
        <v>-8</v>
      </c>
      <c r="K133" s="66">
        <v>-8</v>
      </c>
      <c r="L133" s="66">
        <v>-8</v>
      </c>
      <c r="M133" s="66">
        <v>-8</v>
      </c>
      <c r="N133" s="66">
        <v>-8</v>
      </c>
      <c r="O133" s="66">
        <v>-8</v>
      </c>
      <c r="P133" s="66">
        <v>-8</v>
      </c>
      <c r="Q133" s="66">
        <v>-8</v>
      </c>
      <c r="R133" s="66">
        <v>-8</v>
      </c>
      <c r="S133" s="66">
        <v>-8</v>
      </c>
      <c r="T133" s="66">
        <v>-8</v>
      </c>
      <c r="U133" s="66">
        <v>-8</v>
      </c>
      <c r="V133" s="66">
        <v>-8</v>
      </c>
      <c r="W133" s="66">
        <v>-8</v>
      </c>
      <c r="X133" s="66">
        <v>-8</v>
      </c>
      <c r="Y133" s="66">
        <v>-8</v>
      </c>
      <c r="Z133" s="66">
        <v>-8</v>
      </c>
      <c r="AA133" s="66">
        <v>-8</v>
      </c>
      <c r="AB133" s="66">
        <v>-8</v>
      </c>
      <c r="AC133" s="66">
        <v>-8</v>
      </c>
      <c r="AD133" s="66">
        <v>-8</v>
      </c>
      <c r="AE133" s="66">
        <v>-8</v>
      </c>
      <c r="AF133" s="66">
        <v>-8</v>
      </c>
      <c r="AG133" s="66">
        <v>-8</v>
      </c>
      <c r="AH133" s="66">
        <v>-8</v>
      </c>
      <c r="AI133" s="66">
        <v>-8</v>
      </c>
      <c r="AJ133" s="66">
        <v>-8</v>
      </c>
      <c r="AK133" s="66">
        <v>-8</v>
      </c>
      <c r="AL133" s="66">
        <v>-5.4106576999999998</v>
      </c>
      <c r="AM133" s="66">
        <v>13.795432306599999</v>
      </c>
      <c r="AN133" s="66">
        <v>28.427730590500005</v>
      </c>
      <c r="AO133" s="66">
        <v>14.702940492700002</v>
      </c>
      <c r="AP133" s="66">
        <v>15.112844636799998</v>
      </c>
      <c r="AQ133" s="66">
        <v>25.248243406299999</v>
      </c>
      <c r="AR133" s="66">
        <v>27.080447007099998</v>
      </c>
      <c r="AS133" s="66">
        <v>18.797253569500004</v>
      </c>
      <c r="AT133" s="66">
        <v>26.368865721699997</v>
      </c>
      <c r="AU133" s="66">
        <v>29.714971453899999</v>
      </c>
      <c r="AV133" s="66">
        <v>22.581295890700002</v>
      </c>
      <c r="AW133" s="66">
        <v>25.728960433300003</v>
      </c>
      <c r="AX133" s="66">
        <v>33.962280886600006</v>
      </c>
      <c r="AY133" s="66">
        <v>27.674794881700002</v>
      </c>
      <c r="AZ133" s="66">
        <v>27.6741194011</v>
      </c>
      <c r="BA133" s="66">
        <v>41.726517589899998</v>
      </c>
      <c r="BB133" s="66">
        <v>50.253296837200004</v>
      </c>
      <c r="BC133" s="66">
        <v>69.375964989700009</v>
      </c>
      <c r="BD133" s="66">
        <v>54.846414810400013</v>
      </c>
      <c r="BE133" s="66">
        <v>35.051906147800011</v>
      </c>
      <c r="BF133" s="66">
        <v>51.859927444299998</v>
      </c>
      <c r="BG133" s="66">
        <v>50.382463738600002</v>
      </c>
      <c r="BH133" s="66">
        <v>35.708698451200014</v>
      </c>
      <c r="BI133" s="66">
        <v>42.487709172700008</v>
      </c>
      <c r="BJ133" s="66">
        <v>49.965992422000006</v>
      </c>
      <c r="BK133" s="66">
        <v>46.976090126200006</v>
      </c>
      <c r="BL133" s="66">
        <v>45.306452189800005</v>
      </c>
      <c r="BM133" s="66">
        <v>59.575979864800019</v>
      </c>
      <c r="BN133" s="66">
        <v>63.454514416599991</v>
      </c>
      <c r="BO133" s="66">
        <v>91.702887948400004</v>
      </c>
      <c r="BP133" s="66">
        <v>78.02072818180001</v>
      </c>
      <c r="BQ133" s="66">
        <v>54.481017332500009</v>
      </c>
      <c r="BR133" s="66">
        <v>55.01029390930001</v>
      </c>
      <c r="BS133" s="66">
        <v>57.298709601999988</v>
      </c>
      <c r="BT133" s="66">
        <v>53.803697924200009</v>
      </c>
      <c r="BU133" s="66">
        <v>47.047503436299998</v>
      </c>
      <c r="BV133" s="66">
        <v>56.906780747200003</v>
      </c>
      <c r="BW133" s="66">
        <v>71.022599059000001</v>
      </c>
      <c r="BX133" s="66">
        <v>51.033439403500005</v>
      </c>
      <c r="BY133" s="66">
        <v>69.414692544100006</v>
      </c>
      <c r="BZ133" s="66">
        <v>61.289148773199997</v>
      </c>
      <c r="CA133" s="66">
        <v>58.443461585500017</v>
      </c>
      <c r="CB133" s="66">
        <v>55.865977722699995</v>
      </c>
      <c r="CC133" s="66">
        <v>85.051880800600003</v>
      </c>
      <c r="CD133" s="66">
        <v>68.223970353099986</v>
      </c>
      <c r="CE133" s="66">
        <v>80.930473446400001</v>
      </c>
      <c r="CF133" s="66">
        <v>92.533016079099994</v>
      </c>
      <c r="CG133" s="66">
        <v>82.885614516400011</v>
      </c>
      <c r="CH133" s="66">
        <v>68.08298254120001</v>
      </c>
      <c r="CI133" s="66">
        <v>72.955074002200007</v>
      </c>
      <c r="CJ133" s="66">
        <v>58.780714038399992</v>
      </c>
      <c r="CK133" s="66">
        <v>64.020454579300008</v>
      </c>
      <c r="CL133" s="66">
        <v>85.107195156399996</v>
      </c>
      <c r="CM133" s="66">
        <v>80.840371839699998</v>
      </c>
      <c r="CN133" s="66">
        <v>82.993128511899997</v>
      </c>
      <c r="CO133" s="66">
        <v>74.405405903800002</v>
      </c>
      <c r="CP133" s="66">
        <v>72.500325451600006</v>
      </c>
      <c r="CQ133" s="66">
        <v>89.958046505200002</v>
      </c>
      <c r="CR133" s="66">
        <v>99.941199452800006</v>
      </c>
      <c r="CS133" s="66">
        <v>86.231682721900015</v>
      </c>
      <c r="CT133" s="66">
        <v>73.26343089609999</v>
      </c>
      <c r="CU133" s="66">
        <v>81.474835756600015</v>
      </c>
      <c r="CV133" s="66">
        <v>83.149427217400003</v>
      </c>
      <c r="CW133" s="66">
        <v>74.299205342800008</v>
      </c>
      <c r="CX133" s="66">
        <v>90.771925574799994</v>
      </c>
      <c r="CY133" s="66">
        <v>106.46878128430002</v>
      </c>
      <c r="CZ133" s="66">
        <v>82.157296322799994</v>
      </c>
      <c r="DA133" s="66">
        <v>83.700469280199997</v>
      </c>
      <c r="DB133" s="66">
        <v>77.354366569900009</v>
      </c>
      <c r="DC133" s="66">
        <v>70.686622513900005</v>
      </c>
      <c r="DD133" s="66">
        <v>84.84439567630001</v>
      </c>
      <c r="DE133" s="66">
        <v>83.500076702200005</v>
      </c>
      <c r="DF133" s="66">
        <v>79.414770033400004</v>
      </c>
      <c r="DG133" s="66">
        <v>67.354664347599993</v>
      </c>
      <c r="DH133" s="66">
        <v>53.8223486941</v>
      </c>
      <c r="DI133" s="66">
        <v>50.465848066</v>
      </c>
      <c r="DJ133" s="66">
        <v>44.046830977600003</v>
      </c>
      <c r="DK133" s="66">
        <v>70.156895616700012</v>
      </c>
      <c r="DL133" s="66">
        <v>55.682059365999997</v>
      </c>
      <c r="DM133" s="66">
        <v>76.158428167599993</v>
      </c>
      <c r="DN133" s="66">
        <v>65.447107133200007</v>
      </c>
      <c r="DO133" s="66">
        <v>59.052557453200009</v>
      </c>
      <c r="DP133" s="79"/>
      <c r="DQ133" s="80"/>
      <c r="DR133" s="81"/>
      <c r="DS133" s="84">
        <f t="shared" ref="DS133:DS196" si="20">+YEAR(C133)</f>
        <v>2016</v>
      </c>
      <c r="DT133" s="80"/>
      <c r="DU133" s="83">
        <f t="shared" si="19"/>
        <v>-96</v>
      </c>
      <c r="DV133" s="83">
        <f t="shared" si="19"/>
        <v>-96</v>
      </c>
      <c r="DW133" s="83">
        <f t="shared" si="19"/>
        <v>-71.61522539340001</v>
      </c>
      <c r="DX133" s="83">
        <f t="shared" si="19"/>
        <v>295.40062897080003</v>
      </c>
      <c r="DY133" s="83">
        <f t="shared" si="19"/>
        <v>556.30910113110008</v>
      </c>
      <c r="DZ133" s="83">
        <f t="shared" si="19"/>
        <v>733.63116461189998</v>
      </c>
      <c r="EA133" s="83">
        <f t="shared" si="19"/>
        <v>846.70973176799998</v>
      </c>
      <c r="EB133" s="83">
        <f t="shared" si="19"/>
        <v>949.51679081370003</v>
      </c>
      <c r="EC133" s="83">
        <f t="shared" si="19"/>
        <v>983.70200086559998</v>
      </c>
      <c r="ED133" s="83">
        <f t="shared" si="19"/>
        <v>474.83207547439997</v>
      </c>
    </row>
    <row r="134" spans="2:134" x14ac:dyDescent="0.3">
      <c r="B134" s="45">
        <f t="shared" si="13"/>
        <v>1000000130</v>
      </c>
      <c r="C134" s="46">
        <v>42644</v>
      </c>
      <c r="D134" s="66">
        <v>-8</v>
      </c>
      <c r="E134" s="66">
        <v>-8</v>
      </c>
      <c r="F134" s="66">
        <v>-8</v>
      </c>
      <c r="G134" s="66">
        <v>-8</v>
      </c>
      <c r="H134" s="66">
        <v>-8</v>
      </c>
      <c r="I134" s="66">
        <v>-8</v>
      </c>
      <c r="J134" s="66">
        <v>-8</v>
      </c>
      <c r="K134" s="66">
        <v>-8</v>
      </c>
      <c r="L134" s="66">
        <v>-8</v>
      </c>
      <c r="M134" s="66">
        <v>-8</v>
      </c>
      <c r="N134" s="66">
        <v>-8</v>
      </c>
      <c r="O134" s="66">
        <v>-8</v>
      </c>
      <c r="P134" s="66">
        <v>-8</v>
      </c>
      <c r="Q134" s="66">
        <v>-8</v>
      </c>
      <c r="R134" s="66">
        <v>-8</v>
      </c>
      <c r="S134" s="66">
        <v>-8</v>
      </c>
      <c r="T134" s="66">
        <v>-8</v>
      </c>
      <c r="U134" s="66">
        <v>-8</v>
      </c>
      <c r="V134" s="66">
        <v>-8</v>
      </c>
      <c r="W134" s="66">
        <v>-8</v>
      </c>
      <c r="X134" s="66">
        <v>-8</v>
      </c>
      <c r="Y134" s="66">
        <v>-8</v>
      </c>
      <c r="Z134" s="66">
        <v>-8</v>
      </c>
      <c r="AA134" s="66">
        <v>-8</v>
      </c>
      <c r="AB134" s="66">
        <v>-8</v>
      </c>
      <c r="AC134" s="66">
        <v>-8</v>
      </c>
      <c r="AD134" s="66">
        <v>-8</v>
      </c>
      <c r="AE134" s="66">
        <v>-8</v>
      </c>
      <c r="AF134" s="66">
        <v>-8</v>
      </c>
      <c r="AG134" s="66">
        <v>-8</v>
      </c>
      <c r="AH134" s="66">
        <v>-8</v>
      </c>
      <c r="AI134" s="66">
        <v>-8</v>
      </c>
      <c r="AJ134" s="66">
        <v>-8</v>
      </c>
      <c r="AK134" s="66">
        <v>-6.1124069900000002</v>
      </c>
      <c r="AL134" s="66">
        <v>-1.0528696624999982</v>
      </c>
      <c r="AM134" s="66">
        <v>5.8414981348000001</v>
      </c>
      <c r="AN134" s="66">
        <v>3.9546931855</v>
      </c>
      <c r="AO134" s="66">
        <v>10.482575230600002</v>
      </c>
      <c r="AP134" s="66">
        <v>14.258474257899998</v>
      </c>
      <c r="AQ134" s="66">
        <v>15.630900730300002</v>
      </c>
      <c r="AR134" s="66">
        <v>13.338844947700004</v>
      </c>
      <c r="AS134" s="66">
        <v>23.009888331400003</v>
      </c>
      <c r="AT134" s="66">
        <v>15.2589360799</v>
      </c>
      <c r="AU134" s="66">
        <v>16.432471042300001</v>
      </c>
      <c r="AV134" s="66">
        <v>16.356254314600001</v>
      </c>
      <c r="AW134" s="66">
        <v>18.724676931700003</v>
      </c>
      <c r="AX134" s="66">
        <v>21.725199283600002</v>
      </c>
      <c r="AY134" s="66">
        <v>14.253333099999999</v>
      </c>
      <c r="AZ134" s="66">
        <v>21.345391552900001</v>
      </c>
      <c r="BA134" s="66">
        <v>40.281777166600001</v>
      </c>
      <c r="BB134" s="66">
        <v>41.97700831240001</v>
      </c>
      <c r="BC134" s="66">
        <v>42.596986923099998</v>
      </c>
      <c r="BD134" s="66">
        <v>31.739124125200007</v>
      </c>
      <c r="BE134" s="66">
        <v>18.398982702400001</v>
      </c>
      <c r="BF134" s="66">
        <v>15.694395906699999</v>
      </c>
      <c r="BG134" s="66">
        <v>28.133221048899998</v>
      </c>
      <c r="BH134" s="66">
        <v>19.668736123600002</v>
      </c>
      <c r="BI134" s="66">
        <v>23.153165272000003</v>
      </c>
      <c r="BJ134" s="66">
        <v>27.174751604200004</v>
      </c>
      <c r="BK134" s="66">
        <v>23.368118209599999</v>
      </c>
      <c r="BL134" s="66">
        <v>21.885250659100009</v>
      </c>
      <c r="BM134" s="66">
        <v>41.567404381900005</v>
      </c>
      <c r="BN134" s="66">
        <v>39.064823812299998</v>
      </c>
      <c r="BO134" s="66">
        <v>31.107249550600002</v>
      </c>
      <c r="BP134" s="66">
        <v>31.278333775900002</v>
      </c>
      <c r="BQ134" s="66">
        <v>29.346834526899997</v>
      </c>
      <c r="BR134" s="66">
        <v>38.239949419600002</v>
      </c>
      <c r="BS134" s="66">
        <v>27.396571927899998</v>
      </c>
      <c r="BT134" s="66">
        <v>33.132940816600005</v>
      </c>
      <c r="BU134" s="66">
        <v>26.613014431900005</v>
      </c>
      <c r="BV134" s="66">
        <v>41.917228279299991</v>
      </c>
      <c r="BW134" s="66">
        <v>25.646551800099999</v>
      </c>
      <c r="BX134" s="66">
        <v>23.411086281099998</v>
      </c>
      <c r="BY134" s="66">
        <v>35.273463784599997</v>
      </c>
      <c r="BZ134" s="66">
        <v>35.200812093400003</v>
      </c>
      <c r="CA134" s="66">
        <v>29.794528057899996</v>
      </c>
      <c r="CB134" s="66">
        <v>29.511464159800006</v>
      </c>
      <c r="CC134" s="66">
        <v>40.5477288895</v>
      </c>
      <c r="CD134" s="66">
        <v>30.148705052499999</v>
      </c>
      <c r="CE134" s="66">
        <v>22.010702417199997</v>
      </c>
      <c r="CF134" s="66">
        <v>28.694132633799995</v>
      </c>
      <c r="CG134" s="66">
        <v>26.738803930300001</v>
      </c>
      <c r="CH134" s="66">
        <v>30.983561547399994</v>
      </c>
      <c r="CI134" s="66">
        <v>41.061994786299998</v>
      </c>
      <c r="CJ134" s="66">
        <v>45.222317328400003</v>
      </c>
      <c r="CK134" s="66">
        <v>88.134999419199985</v>
      </c>
      <c r="CL134" s="66">
        <v>60.85128723759999</v>
      </c>
      <c r="CM134" s="66">
        <v>39.349876625500002</v>
      </c>
      <c r="CN134" s="66">
        <v>34.191681603700005</v>
      </c>
      <c r="CO134" s="66">
        <v>23.345339502700007</v>
      </c>
      <c r="CP134" s="66">
        <v>26.060171087500002</v>
      </c>
      <c r="CQ134" s="66">
        <v>25.9820029714</v>
      </c>
      <c r="CR134" s="66">
        <v>25.912691156500003</v>
      </c>
      <c r="CS134" s="66">
        <v>14.957784312399998</v>
      </c>
      <c r="CT134" s="66">
        <v>22.1692902514</v>
      </c>
      <c r="CU134" s="66">
        <v>29.737187260299997</v>
      </c>
      <c r="CV134" s="66">
        <v>17.605292997399999</v>
      </c>
      <c r="CW134" s="66">
        <v>15.0819601627</v>
      </c>
      <c r="CX134" s="66">
        <v>18.125225425899998</v>
      </c>
      <c r="CY134" s="66">
        <v>9.8778324601000023</v>
      </c>
      <c r="CZ134" s="66">
        <v>8.5239066508000008</v>
      </c>
      <c r="DA134" s="66">
        <v>20.022950644900003</v>
      </c>
      <c r="DB134" s="66">
        <v>21.5153499772</v>
      </c>
      <c r="DC134" s="66">
        <v>16.132482602500001</v>
      </c>
      <c r="DD134" s="66">
        <v>34.627178957200002</v>
      </c>
      <c r="DE134" s="66">
        <v>30.716371443400007</v>
      </c>
      <c r="DF134" s="66">
        <v>40.215917808099988</v>
      </c>
      <c r="DG134" s="66">
        <v>48.3510684142</v>
      </c>
      <c r="DH134" s="66">
        <v>52.34987603950001</v>
      </c>
      <c r="DI134" s="66">
        <v>59.127535799800015</v>
      </c>
      <c r="DJ134" s="66">
        <v>94.417907166700004</v>
      </c>
      <c r="DK134" s="66">
        <v>94.265060917599996</v>
      </c>
      <c r="DL134" s="66">
        <v>88.429884227800031</v>
      </c>
      <c r="DM134" s="66">
        <v>112.94904194710001</v>
      </c>
      <c r="DN134" s="66">
        <v>113.86473095380001</v>
      </c>
      <c r="DO134" s="66">
        <v>122.04209909740001</v>
      </c>
      <c r="DP134" s="79"/>
      <c r="DQ134" s="80"/>
      <c r="DR134" s="81"/>
      <c r="DS134" s="84">
        <f t="shared" si="20"/>
        <v>2016</v>
      </c>
      <c r="DT134" s="80"/>
      <c r="DU134" s="83">
        <f t="shared" si="19"/>
        <v>-96</v>
      </c>
      <c r="DV134" s="83">
        <f t="shared" si="19"/>
        <v>-96</v>
      </c>
      <c r="DW134" s="83">
        <f t="shared" si="19"/>
        <v>-73.323778517699992</v>
      </c>
      <c r="DX134" s="83">
        <f t="shared" si="19"/>
        <v>183.42624743549999</v>
      </c>
      <c r="DY134" s="83">
        <f t="shared" si="19"/>
        <v>333.53165894760002</v>
      </c>
      <c r="DZ134" s="83">
        <f t="shared" si="19"/>
        <v>387.19615338210002</v>
      </c>
      <c r="EA134" s="83">
        <f t="shared" si="19"/>
        <v>373.37698363379991</v>
      </c>
      <c r="EB134" s="83">
        <f t="shared" si="19"/>
        <v>435.91462875660005</v>
      </c>
      <c r="EC134" s="83">
        <f t="shared" si="19"/>
        <v>280.79553754440002</v>
      </c>
      <c r="ED134" s="83">
        <f t="shared" si="19"/>
        <v>737.44613614970012</v>
      </c>
    </row>
    <row r="135" spans="2:134" x14ac:dyDescent="0.3">
      <c r="B135" s="45">
        <f t="shared" ref="B135:B198" si="21">B134+1</f>
        <v>1000000131</v>
      </c>
      <c r="C135" s="46">
        <v>39995</v>
      </c>
      <c r="D135" s="66">
        <v>32.345855810799996</v>
      </c>
      <c r="E135" s="66">
        <v>89.00880862870001</v>
      </c>
      <c r="F135" s="66">
        <v>56.724400985200006</v>
      </c>
      <c r="G135" s="66">
        <v>57.673376174799998</v>
      </c>
      <c r="H135" s="66">
        <v>33.037472891800007</v>
      </c>
      <c r="I135" s="66">
        <v>34.0650665179</v>
      </c>
      <c r="J135" s="66">
        <v>32.069208978400006</v>
      </c>
      <c r="K135" s="66">
        <v>26.813594643400002</v>
      </c>
      <c r="L135" s="66">
        <v>45.734331623199999</v>
      </c>
      <c r="M135" s="66">
        <v>45.288551953900004</v>
      </c>
      <c r="N135" s="66">
        <v>39.798583377400007</v>
      </c>
      <c r="O135" s="66">
        <v>32.070597466300001</v>
      </c>
      <c r="P135" s="66">
        <v>55.633124549200012</v>
      </c>
      <c r="Q135" s="66">
        <v>238.92380966499999</v>
      </c>
      <c r="R135" s="66">
        <v>69.910870571499999</v>
      </c>
      <c r="S135" s="66">
        <v>72.972486391000004</v>
      </c>
      <c r="T135" s="66">
        <v>46.995941750500009</v>
      </c>
      <c r="U135" s="66">
        <v>28.4466065206</v>
      </c>
      <c r="V135" s="66">
        <v>41.621405303199992</v>
      </c>
      <c r="W135" s="66">
        <v>39.539611620699993</v>
      </c>
      <c r="X135" s="66">
        <v>30.646459201299997</v>
      </c>
      <c r="Y135" s="66">
        <v>42.828414082000009</v>
      </c>
      <c r="Z135" s="66">
        <v>36.148661482000001</v>
      </c>
      <c r="AA135" s="66">
        <v>33.927005788599999</v>
      </c>
      <c r="AB135" s="66">
        <v>35.8504743238</v>
      </c>
      <c r="AC135" s="66">
        <v>180.21411310240001</v>
      </c>
      <c r="AD135" s="66">
        <v>83.169091208200001</v>
      </c>
      <c r="AE135" s="66">
        <v>68.465041873899978</v>
      </c>
      <c r="AF135" s="66">
        <v>48.120767056299997</v>
      </c>
      <c r="AG135" s="66">
        <v>31.062367617400007</v>
      </c>
      <c r="AH135" s="66">
        <v>45.571578325299996</v>
      </c>
      <c r="AI135" s="66">
        <v>45.024476566000011</v>
      </c>
      <c r="AJ135" s="66">
        <v>48.742246735000002</v>
      </c>
      <c r="AK135" s="66">
        <v>62.863093624599998</v>
      </c>
      <c r="AL135" s="66">
        <v>60.244818238899995</v>
      </c>
      <c r="AM135" s="66">
        <v>55.618864403199993</v>
      </c>
      <c r="AN135" s="66">
        <v>64.525676541400003</v>
      </c>
      <c r="AO135" s="66">
        <v>201.370090441</v>
      </c>
      <c r="AP135" s="66">
        <v>128.17902798189999</v>
      </c>
      <c r="AQ135" s="66">
        <v>87.650679829000012</v>
      </c>
      <c r="AR135" s="66">
        <v>66.870757551099999</v>
      </c>
      <c r="AS135" s="66">
        <v>66.998160697599999</v>
      </c>
      <c r="AT135" s="66">
        <v>67.400521975000004</v>
      </c>
      <c r="AU135" s="66">
        <v>61.864057817200006</v>
      </c>
      <c r="AV135" s="66">
        <v>73.857628663900002</v>
      </c>
      <c r="AW135" s="66">
        <v>70.298709016000018</v>
      </c>
      <c r="AX135" s="66">
        <v>47.187365447200001</v>
      </c>
      <c r="AY135" s="66">
        <v>60.672922832500007</v>
      </c>
      <c r="AZ135" s="66">
        <v>63.319756036900003</v>
      </c>
      <c r="BA135" s="66">
        <v>193.78601942440002</v>
      </c>
      <c r="BB135" s="66">
        <v>132.96105536290003</v>
      </c>
      <c r="BC135" s="66">
        <v>115.8923736082</v>
      </c>
      <c r="BD135" s="66">
        <v>97.899184072300002</v>
      </c>
      <c r="BE135" s="66">
        <v>70.072047748000003</v>
      </c>
      <c r="BF135" s="66">
        <v>66.702187614700009</v>
      </c>
      <c r="BG135" s="66">
        <v>63.851884642900004</v>
      </c>
      <c r="BH135" s="66">
        <v>58.131802342</v>
      </c>
      <c r="BI135" s="66">
        <v>55.446129003099998</v>
      </c>
      <c r="BJ135" s="66">
        <v>77.439927445899983</v>
      </c>
      <c r="BK135" s="66">
        <v>68.029169253400013</v>
      </c>
      <c r="BL135" s="66">
        <v>68.314709913700014</v>
      </c>
      <c r="BM135" s="66">
        <v>178.54252377759997</v>
      </c>
      <c r="BN135" s="66">
        <v>116.2112379781</v>
      </c>
      <c r="BO135" s="66">
        <v>100.53423389290001</v>
      </c>
      <c r="BP135" s="66">
        <v>82.886027310100005</v>
      </c>
      <c r="BQ135" s="66">
        <v>74.227341712300003</v>
      </c>
      <c r="BR135" s="66">
        <v>57.8914813552</v>
      </c>
      <c r="BS135" s="66">
        <v>59.169865917400003</v>
      </c>
      <c r="BT135" s="66">
        <v>58.364617988799992</v>
      </c>
      <c r="BU135" s="66">
        <v>72.369957695799997</v>
      </c>
      <c r="BV135" s="66">
        <v>67.196977154200013</v>
      </c>
      <c r="BW135" s="66">
        <v>73.278779316400005</v>
      </c>
      <c r="BX135" s="66">
        <v>97.760635495900019</v>
      </c>
      <c r="BY135" s="66">
        <v>156.45836104119999</v>
      </c>
      <c r="BZ135" s="66">
        <v>93.527698789300018</v>
      </c>
      <c r="CA135" s="66">
        <v>85.851274563999993</v>
      </c>
      <c r="CB135" s="66">
        <v>68.995068984699998</v>
      </c>
      <c r="CC135" s="66">
        <v>72.142883634100002</v>
      </c>
      <c r="CD135" s="66">
        <v>65.618003725000008</v>
      </c>
      <c r="CE135" s="66">
        <v>65.942572153299992</v>
      </c>
      <c r="CF135" s="66">
        <v>54.937379531200008</v>
      </c>
      <c r="CG135" s="66">
        <v>65.562351628900004</v>
      </c>
      <c r="CH135" s="66">
        <v>68.956378956999998</v>
      </c>
      <c r="CI135" s="66">
        <v>47.9133569854</v>
      </c>
      <c r="CJ135" s="66">
        <v>45.868114308700008</v>
      </c>
      <c r="CK135" s="66">
        <v>87.795157624000012</v>
      </c>
      <c r="CL135" s="66">
        <v>106.02544085050002</v>
      </c>
      <c r="CM135" s="66">
        <v>80.231275972000006</v>
      </c>
      <c r="CN135" s="66">
        <v>71.241379719999998</v>
      </c>
      <c r="CO135" s="66">
        <v>64.270457454700008</v>
      </c>
      <c r="CP135" s="66">
        <v>55.71834768490001</v>
      </c>
      <c r="CQ135" s="66">
        <v>61.665016200400004</v>
      </c>
      <c r="CR135" s="66">
        <v>47.636597572899994</v>
      </c>
      <c r="CS135" s="66">
        <v>38.904922543600001</v>
      </c>
      <c r="CT135" s="66">
        <v>42.728518006600005</v>
      </c>
      <c r="CU135" s="66">
        <v>40.137524531800004</v>
      </c>
      <c r="CV135" s="66">
        <v>54.861162803500001</v>
      </c>
      <c r="CW135" s="66">
        <v>87.204374785900001</v>
      </c>
      <c r="CX135" s="66">
        <v>56.029143814299999</v>
      </c>
      <c r="CY135" s="66">
        <v>84.595143334900001</v>
      </c>
      <c r="CZ135" s="66">
        <v>49.653282430899999</v>
      </c>
      <c r="DA135" s="66">
        <v>45.743187924400019</v>
      </c>
      <c r="DB135" s="66">
        <v>47.970622729600002</v>
      </c>
      <c r="DC135" s="66">
        <v>36.659887716100002</v>
      </c>
      <c r="DD135" s="66">
        <v>48.462897980199998</v>
      </c>
      <c r="DE135" s="66">
        <v>53.962923712300011</v>
      </c>
      <c r="DF135" s="66">
        <v>46.04707914099999</v>
      </c>
      <c r="DG135" s="66">
        <v>48.5261304697</v>
      </c>
      <c r="DH135" s="66">
        <v>59.653660133800003</v>
      </c>
      <c r="DI135" s="66">
        <v>82.655688425500003</v>
      </c>
      <c r="DJ135" s="66">
        <v>88.374457291900001</v>
      </c>
      <c r="DK135" s="66">
        <v>89.254833673899981</v>
      </c>
      <c r="DL135" s="66">
        <v>51.9625629688</v>
      </c>
      <c r="DM135" s="66">
        <v>66.321179029600003</v>
      </c>
      <c r="DN135" s="66">
        <v>63.934480909600012</v>
      </c>
      <c r="DO135" s="66">
        <v>60.241328255799999</v>
      </c>
      <c r="DP135" s="79"/>
      <c r="DQ135" s="80"/>
      <c r="DR135" s="81"/>
      <c r="DS135" s="84">
        <f t="shared" si="20"/>
        <v>2009</v>
      </c>
      <c r="DT135" s="80"/>
      <c r="DU135" s="83">
        <f t="shared" ref="DU135:ED144" si="22">+SUMIF($D$3:$DO$3,DU$4,$D135:$DO135)</f>
        <v>524.62984905179997</v>
      </c>
      <c r="DV135" s="83">
        <f t="shared" si="22"/>
        <v>737.59439692559999</v>
      </c>
      <c r="DW135" s="83">
        <f t="shared" si="22"/>
        <v>764.94693307499983</v>
      </c>
      <c r="DX135" s="83">
        <f t="shared" si="22"/>
        <v>996.87559879380001</v>
      </c>
      <c r="DY135" s="83">
        <f t="shared" si="22"/>
        <v>1063.5315365547003</v>
      </c>
      <c r="DZ135" s="83">
        <f t="shared" si="22"/>
        <v>1008.9877540125</v>
      </c>
      <c r="EA135" s="83">
        <f t="shared" si="22"/>
        <v>943.66596549000008</v>
      </c>
      <c r="EB135" s="83">
        <f t="shared" si="22"/>
        <v>742.22275247010009</v>
      </c>
      <c r="EC135" s="83">
        <f t="shared" si="22"/>
        <v>659.71583684280006</v>
      </c>
      <c r="ED135" s="83">
        <f t="shared" si="22"/>
        <v>562.39819068890006</v>
      </c>
    </row>
    <row r="136" spans="2:134" x14ac:dyDescent="0.3">
      <c r="B136" s="45">
        <f t="shared" si="21"/>
        <v>1000000132</v>
      </c>
      <c r="C136" s="46">
        <v>41821</v>
      </c>
      <c r="D136" s="66">
        <v>-8</v>
      </c>
      <c r="E136" s="66">
        <v>-8</v>
      </c>
      <c r="F136" s="66">
        <v>-8</v>
      </c>
      <c r="G136" s="66">
        <v>-8</v>
      </c>
      <c r="H136" s="66">
        <v>-8</v>
      </c>
      <c r="I136" s="66">
        <v>-8</v>
      </c>
      <c r="J136" s="66">
        <v>-2.4047690299999998</v>
      </c>
      <c r="K136" s="66">
        <v>9.5780691805000018</v>
      </c>
      <c r="L136" s="66">
        <v>7.3383631444000006</v>
      </c>
      <c r="M136" s="66">
        <v>5.6635465234000009</v>
      </c>
      <c r="N136" s="66">
        <v>12.719804504500001</v>
      </c>
      <c r="O136" s="66">
        <v>8.5983220969000023</v>
      </c>
      <c r="P136" s="66">
        <v>16.023730225900003</v>
      </c>
      <c r="Q136" s="66">
        <v>158.94533050359999</v>
      </c>
      <c r="R136" s="66">
        <v>32.764616256100005</v>
      </c>
      <c r="S136" s="66">
        <v>27.2702570557</v>
      </c>
      <c r="T136" s="66">
        <v>8.7582233655999993</v>
      </c>
      <c r="U136" s="66">
        <v>18.905443045599998</v>
      </c>
      <c r="V136" s="66">
        <v>10.611629551899998</v>
      </c>
      <c r="W136" s="66">
        <v>17.247363332800003</v>
      </c>
      <c r="X136" s="66">
        <v>21.391849607500003</v>
      </c>
      <c r="Y136" s="66">
        <v>26.113496528199995</v>
      </c>
      <c r="Z136" s="66">
        <v>19.982571915700003</v>
      </c>
      <c r="AA136" s="66">
        <v>17.833567913500001</v>
      </c>
      <c r="AB136" s="66">
        <v>28.2088373494</v>
      </c>
      <c r="AC136" s="66">
        <v>78.778354728099998</v>
      </c>
      <c r="AD136" s="66">
        <v>79.681772503900007</v>
      </c>
      <c r="AE136" s="66">
        <v>61.998966303700016</v>
      </c>
      <c r="AF136" s="66">
        <v>47.153779050699995</v>
      </c>
      <c r="AG136" s="66">
        <v>34.067055433000007</v>
      </c>
      <c r="AH136" s="66">
        <v>36.546031708300006</v>
      </c>
      <c r="AI136" s="66">
        <v>44.807009339499992</v>
      </c>
      <c r="AJ136" s="66">
        <v>48.480535529200004</v>
      </c>
      <c r="AK136" s="66">
        <v>49.3379830975</v>
      </c>
      <c r="AL136" s="66">
        <v>37.618920061299995</v>
      </c>
      <c r="AM136" s="66">
        <v>29.462191602700003</v>
      </c>
      <c r="AN136" s="66">
        <v>39.080922766600004</v>
      </c>
      <c r="AO136" s="66">
        <v>44.187856316200005</v>
      </c>
      <c r="AP136" s="66">
        <v>37.396461783700005</v>
      </c>
      <c r="AQ136" s="66">
        <v>46.892255478400003</v>
      </c>
      <c r="AR136" s="66">
        <v>40.399423371100006</v>
      </c>
      <c r="AS136" s="66">
        <v>38.452875915400007</v>
      </c>
      <c r="AT136" s="66">
        <v>38.152962528999993</v>
      </c>
      <c r="AU136" s="66">
        <v>43.291193346400007</v>
      </c>
      <c r="AV136" s="66">
        <v>37.506527594799998</v>
      </c>
      <c r="AW136" s="66">
        <v>46.392587467899993</v>
      </c>
      <c r="AX136" s="66">
        <v>39.6560944975</v>
      </c>
      <c r="AY136" s="66">
        <v>44.313495707800001</v>
      </c>
      <c r="AZ136" s="66">
        <v>39.127605981400002</v>
      </c>
      <c r="BA136" s="66">
        <v>41.24377412110001</v>
      </c>
      <c r="BB136" s="66">
        <v>53.668451697400009</v>
      </c>
      <c r="BC136" s="66">
        <v>70.7211470779</v>
      </c>
      <c r="BD136" s="66">
        <v>50.942061889000009</v>
      </c>
      <c r="BE136" s="66">
        <v>48.579268276900002</v>
      </c>
      <c r="BF136" s="66">
        <v>44.1721701556</v>
      </c>
      <c r="BG136" s="66">
        <v>38.564555374600005</v>
      </c>
      <c r="BH136" s="66">
        <v>42.67879512910001</v>
      </c>
      <c r="BI136" s="66">
        <v>49.490416552899994</v>
      </c>
      <c r="BJ136" s="66">
        <v>28.298113368700001</v>
      </c>
      <c r="BK136" s="66">
        <v>37.985593446999992</v>
      </c>
      <c r="BL136" s="66">
        <v>31.310831898099998</v>
      </c>
      <c r="BM136" s="66">
        <v>34.512985209100002</v>
      </c>
      <c r="BN136" s="66">
        <v>50.457517138600004</v>
      </c>
      <c r="BO136" s="66">
        <v>40.303992973</v>
      </c>
      <c r="BP136" s="66">
        <v>39.622845841299998</v>
      </c>
      <c r="BQ136" s="66">
        <v>29.1592010269</v>
      </c>
      <c r="BR136" s="66">
        <v>36.555788650300009</v>
      </c>
      <c r="BS136" s="66">
        <v>34.545483331299998</v>
      </c>
      <c r="BT136" s="66">
        <v>53.045883744399994</v>
      </c>
      <c r="BU136" s="66">
        <v>34.832825273200001</v>
      </c>
      <c r="BV136" s="66">
        <v>40.314575502400011</v>
      </c>
      <c r="BW136" s="66">
        <v>31.058690000799999</v>
      </c>
      <c r="BX136" s="66">
        <v>34.867237257100001</v>
      </c>
      <c r="BY136" s="66">
        <v>32.183702940100005</v>
      </c>
      <c r="BZ136" s="66">
        <v>32.801655108999995</v>
      </c>
      <c r="CA136" s="66">
        <v>30.184805737900007</v>
      </c>
      <c r="CB136" s="66">
        <v>44.561884935100011</v>
      </c>
      <c r="CC136" s="66">
        <v>45.845185495000003</v>
      </c>
      <c r="CD136" s="66">
        <v>50.731161834999995</v>
      </c>
      <c r="CE136" s="66">
        <v>67.239344798500014</v>
      </c>
      <c r="CF136" s="66">
        <v>72.361401608199998</v>
      </c>
      <c r="CG136" s="66">
        <v>58.701832914999997</v>
      </c>
      <c r="CH136" s="66">
        <v>55.427778446799998</v>
      </c>
      <c r="CI136" s="66">
        <v>47.306024872600005</v>
      </c>
      <c r="CJ136" s="66">
        <v>47.976401841399998</v>
      </c>
      <c r="CK136" s="66">
        <v>44.708314118499999</v>
      </c>
      <c r="CL136" s="66">
        <v>52.919906612500007</v>
      </c>
      <c r="CM136" s="66">
        <v>44.140947941199997</v>
      </c>
      <c r="CN136" s="66">
        <v>45.766041684700006</v>
      </c>
      <c r="CO136" s="66">
        <v>46.841669486800001</v>
      </c>
      <c r="CP136" s="66">
        <v>39.214480291900003</v>
      </c>
      <c r="CQ136" s="66">
        <v>63.8525225968</v>
      </c>
      <c r="CR136" s="66">
        <v>58.818916219000016</v>
      </c>
      <c r="CS136" s="66">
        <v>48.469690312900006</v>
      </c>
      <c r="CT136" s="66">
        <v>51.955507949200012</v>
      </c>
      <c r="CU136" s="66">
        <v>40.174788544900004</v>
      </c>
      <c r="CV136" s="66">
        <v>40.261024901500001</v>
      </c>
      <c r="CW136" s="66">
        <v>58.522830556000002</v>
      </c>
      <c r="CX136" s="66">
        <v>74.093821713700024</v>
      </c>
      <c r="CY136" s="66">
        <v>65.767885364800009</v>
      </c>
      <c r="CZ136" s="66">
        <v>68.466280255000001</v>
      </c>
      <c r="DA136" s="66">
        <v>33.530686309900005</v>
      </c>
      <c r="DB136" s="66">
        <v>47.953998401500002</v>
      </c>
      <c r="DC136" s="66">
        <v>53.390453903800015</v>
      </c>
      <c r="DD136" s="66">
        <v>65.429432057500009</v>
      </c>
      <c r="DE136" s="66">
        <v>72.441896379699998</v>
      </c>
      <c r="DF136" s="66">
        <v>54.35316386560001</v>
      </c>
      <c r="DG136" s="66">
        <v>51.814820350900007</v>
      </c>
      <c r="DH136" s="66">
        <v>58.300447331800015</v>
      </c>
      <c r="DI136" s="66">
        <v>52.576912574500007</v>
      </c>
      <c r="DJ136" s="66">
        <v>66.822122947899999</v>
      </c>
      <c r="DK136" s="66">
        <v>68.702098037800013</v>
      </c>
      <c r="DL136" s="66">
        <v>72.920887178499996</v>
      </c>
      <c r="DM136" s="66">
        <v>68.320188811899996</v>
      </c>
      <c r="DN136" s="66">
        <v>64.780145094100007</v>
      </c>
      <c r="DO136" s="66">
        <v>54.542260906900005</v>
      </c>
      <c r="DP136" s="79"/>
      <c r="DQ136" s="80"/>
      <c r="DR136" s="81"/>
      <c r="DS136" s="84">
        <f t="shared" si="20"/>
        <v>2014</v>
      </c>
      <c r="DT136" s="80"/>
      <c r="DU136" s="83">
        <f t="shared" si="22"/>
        <v>-6.5066635802999926</v>
      </c>
      <c r="DV136" s="83">
        <f t="shared" si="22"/>
        <v>375.84807930210002</v>
      </c>
      <c r="DW136" s="83">
        <f t="shared" si="22"/>
        <v>576.14143670730004</v>
      </c>
      <c r="DX136" s="83">
        <f t="shared" si="22"/>
        <v>495.72265677480004</v>
      </c>
      <c r="DY136" s="83">
        <f t="shared" si="22"/>
        <v>545.47195307160007</v>
      </c>
      <c r="DZ136" s="83">
        <f t="shared" si="22"/>
        <v>455.72062058940003</v>
      </c>
      <c r="EA136" s="83">
        <f t="shared" si="22"/>
        <v>572.21201595030016</v>
      </c>
      <c r="EB136" s="83">
        <f t="shared" si="22"/>
        <v>584.83918759980008</v>
      </c>
      <c r="EC136" s="83">
        <f t="shared" si="22"/>
        <v>686.02629405990012</v>
      </c>
      <c r="ED136" s="83">
        <f t="shared" si="22"/>
        <v>506.96506288340004</v>
      </c>
    </row>
    <row r="137" spans="2:134" x14ac:dyDescent="0.3">
      <c r="B137" s="45">
        <f t="shared" si="21"/>
        <v>1000000133</v>
      </c>
      <c r="C137" s="46">
        <v>43435</v>
      </c>
      <c r="D137" s="66">
        <v>-8</v>
      </c>
      <c r="E137" s="66">
        <v>-8</v>
      </c>
      <c r="F137" s="66">
        <v>-8</v>
      </c>
      <c r="G137" s="66">
        <v>-8</v>
      </c>
      <c r="H137" s="66">
        <v>-8</v>
      </c>
      <c r="I137" s="66">
        <v>-8</v>
      </c>
      <c r="J137" s="66">
        <v>-8</v>
      </c>
      <c r="K137" s="66">
        <v>-8</v>
      </c>
      <c r="L137" s="66">
        <v>-8</v>
      </c>
      <c r="M137" s="66">
        <v>-8</v>
      </c>
      <c r="N137" s="66">
        <v>-8</v>
      </c>
      <c r="O137" s="66">
        <v>-8</v>
      </c>
      <c r="P137" s="66">
        <v>-8</v>
      </c>
      <c r="Q137" s="66">
        <v>-8</v>
      </c>
      <c r="R137" s="66">
        <v>-8</v>
      </c>
      <c r="S137" s="66">
        <v>-8</v>
      </c>
      <c r="T137" s="66">
        <v>-8</v>
      </c>
      <c r="U137" s="66">
        <v>-8</v>
      </c>
      <c r="V137" s="66">
        <v>-8</v>
      </c>
      <c r="W137" s="66">
        <v>-8</v>
      </c>
      <c r="X137" s="66">
        <v>-8</v>
      </c>
      <c r="Y137" s="66">
        <v>-8</v>
      </c>
      <c r="Z137" s="66">
        <v>-8</v>
      </c>
      <c r="AA137" s="66">
        <v>-8</v>
      </c>
      <c r="AB137" s="66">
        <v>-8</v>
      </c>
      <c r="AC137" s="66">
        <v>-8</v>
      </c>
      <c r="AD137" s="66">
        <v>-8</v>
      </c>
      <c r="AE137" s="66">
        <v>-8</v>
      </c>
      <c r="AF137" s="66">
        <v>-8</v>
      </c>
      <c r="AG137" s="66">
        <v>-8</v>
      </c>
      <c r="AH137" s="66">
        <v>-8</v>
      </c>
      <c r="AI137" s="66">
        <v>-8</v>
      </c>
      <c r="AJ137" s="66">
        <v>-8</v>
      </c>
      <c r="AK137" s="66">
        <v>-8</v>
      </c>
      <c r="AL137" s="66">
        <v>-8</v>
      </c>
      <c r="AM137" s="66">
        <v>-8</v>
      </c>
      <c r="AN137" s="66">
        <v>-8</v>
      </c>
      <c r="AO137" s="66">
        <v>-8</v>
      </c>
      <c r="AP137" s="66">
        <v>-8</v>
      </c>
      <c r="AQ137" s="66">
        <v>-8</v>
      </c>
      <c r="AR137" s="66">
        <v>-8</v>
      </c>
      <c r="AS137" s="66">
        <v>-8</v>
      </c>
      <c r="AT137" s="66">
        <v>-8</v>
      </c>
      <c r="AU137" s="66">
        <v>-8</v>
      </c>
      <c r="AV137" s="66">
        <v>-8</v>
      </c>
      <c r="AW137" s="66">
        <v>-8</v>
      </c>
      <c r="AX137" s="66">
        <v>-8</v>
      </c>
      <c r="AY137" s="66">
        <v>-8</v>
      </c>
      <c r="AZ137" s="66">
        <v>-8</v>
      </c>
      <c r="BA137" s="66">
        <v>-8</v>
      </c>
      <c r="BB137" s="66">
        <v>-8</v>
      </c>
      <c r="BC137" s="66">
        <v>-8</v>
      </c>
      <c r="BD137" s="66">
        <v>-8</v>
      </c>
      <c r="BE137" s="66">
        <v>-8</v>
      </c>
      <c r="BF137" s="66">
        <v>-8</v>
      </c>
      <c r="BG137" s="66">
        <v>-8</v>
      </c>
      <c r="BH137" s="66">
        <v>-8</v>
      </c>
      <c r="BI137" s="66">
        <v>-8</v>
      </c>
      <c r="BJ137" s="66">
        <v>-8</v>
      </c>
      <c r="BK137" s="66">
        <v>-6.9353299943</v>
      </c>
      <c r="BL137" s="66">
        <v>-3.4784829703999991</v>
      </c>
      <c r="BM137" s="66">
        <v>2.4655586761000006</v>
      </c>
      <c r="BN137" s="66">
        <v>2.9965239544000006</v>
      </c>
      <c r="BO137" s="66">
        <v>10.985733224200001</v>
      </c>
      <c r="BP137" s="66">
        <v>6.4165197589000016</v>
      </c>
      <c r="BQ137" s="66">
        <v>6.7994046790000002</v>
      </c>
      <c r="BR137" s="66">
        <v>7.9554146725000017</v>
      </c>
      <c r="BS137" s="66">
        <v>10.674786988000005</v>
      </c>
      <c r="BT137" s="66">
        <v>9.0412497370000011</v>
      </c>
      <c r="BU137" s="66">
        <v>10.393712005000001</v>
      </c>
      <c r="BV137" s="66">
        <v>7.424599501000003</v>
      </c>
      <c r="BW137" s="66">
        <v>7.7708208351999968</v>
      </c>
      <c r="BX137" s="66">
        <v>21.8315499514</v>
      </c>
      <c r="BY137" s="66">
        <v>18.470095798900001</v>
      </c>
      <c r="BZ137" s="66">
        <v>16.181755159600002</v>
      </c>
      <c r="CA137" s="66">
        <v>16.589257594900001</v>
      </c>
      <c r="CB137" s="66">
        <v>19.136194723900005</v>
      </c>
      <c r="CC137" s="66">
        <v>17.2963356763</v>
      </c>
      <c r="CD137" s="66">
        <v>18.873019976800002</v>
      </c>
      <c r="CE137" s="66">
        <v>16.673242349500004</v>
      </c>
      <c r="CF137" s="66">
        <v>16.877537704300003</v>
      </c>
      <c r="CG137" s="66">
        <v>17.727142192300004</v>
      </c>
      <c r="CH137" s="66">
        <v>35.267384459200002</v>
      </c>
      <c r="CI137" s="66">
        <v>21.323701120300001</v>
      </c>
      <c r="CJ137" s="66">
        <v>18.848327408200003</v>
      </c>
      <c r="CK137" s="66">
        <v>26.215043778399995</v>
      </c>
      <c r="CL137" s="66">
        <v>29.105387739100003</v>
      </c>
      <c r="CM137" s="66">
        <v>27.043933528000011</v>
      </c>
      <c r="CN137" s="66">
        <v>38.600355846400006</v>
      </c>
      <c r="CO137" s="66">
        <v>29.109365569300003</v>
      </c>
      <c r="CP137" s="66">
        <v>25.520011767700005</v>
      </c>
      <c r="CQ137" s="66">
        <v>31.042478466399999</v>
      </c>
      <c r="CR137" s="66">
        <v>25.188613480000001</v>
      </c>
      <c r="CS137" s="66">
        <v>29.163629177499999</v>
      </c>
      <c r="CT137" s="66">
        <v>28.077944219800003</v>
      </c>
      <c r="CU137" s="66">
        <v>32.942267653900004</v>
      </c>
      <c r="CV137" s="66">
        <v>33.148889664100004</v>
      </c>
      <c r="CW137" s="66">
        <v>36.595079105200007</v>
      </c>
      <c r="CX137" s="66">
        <v>40.452786338500005</v>
      </c>
      <c r="CY137" s="66">
        <v>39.095633233000008</v>
      </c>
      <c r="CZ137" s="66">
        <v>47.315218914100001</v>
      </c>
      <c r="DA137" s="66">
        <v>49.910040112299995</v>
      </c>
      <c r="DB137" s="66">
        <v>53.10615162460001</v>
      </c>
      <c r="DC137" s="66">
        <v>66.397508337400012</v>
      </c>
      <c r="DD137" s="66">
        <v>57.001573191399999</v>
      </c>
      <c r="DE137" s="66">
        <v>62.728147611400018</v>
      </c>
      <c r="DF137" s="66">
        <v>38.7175142038</v>
      </c>
      <c r="DG137" s="66">
        <v>45.323714471800002</v>
      </c>
      <c r="DH137" s="66">
        <v>78.576911402500016</v>
      </c>
      <c r="DI137" s="66">
        <v>71.097727512400013</v>
      </c>
      <c r="DJ137" s="66">
        <v>71.424622596100008</v>
      </c>
      <c r="DK137" s="66">
        <v>72.061112954800009</v>
      </c>
      <c r="DL137" s="66">
        <v>60.707147182900002</v>
      </c>
      <c r="DM137" s="66">
        <v>68.440536938800008</v>
      </c>
      <c r="DN137" s="66">
        <v>63.213555475900009</v>
      </c>
      <c r="DO137" s="66">
        <v>69.80939837470001</v>
      </c>
      <c r="DP137" s="79"/>
      <c r="DQ137" s="80"/>
      <c r="DR137" s="81"/>
      <c r="DS137" s="84">
        <f t="shared" si="20"/>
        <v>2018</v>
      </c>
      <c r="DT137" s="80"/>
      <c r="DU137" s="83">
        <f t="shared" si="22"/>
        <v>-96</v>
      </c>
      <c r="DV137" s="83">
        <f t="shared" si="22"/>
        <v>-96</v>
      </c>
      <c r="DW137" s="83">
        <f t="shared" si="22"/>
        <v>-96</v>
      </c>
      <c r="DX137" s="83">
        <f t="shared" si="22"/>
        <v>-96</v>
      </c>
      <c r="DY137" s="83">
        <f t="shared" si="22"/>
        <v>-94.935329994300005</v>
      </c>
      <c r="DZ137" s="83">
        <f t="shared" si="22"/>
        <v>79.445841060900008</v>
      </c>
      <c r="EA137" s="83">
        <f t="shared" si="22"/>
        <v>236.24721670740004</v>
      </c>
      <c r="EB137" s="83">
        <f t="shared" si="22"/>
        <v>340.85735863470006</v>
      </c>
      <c r="EC137" s="83">
        <f t="shared" si="22"/>
        <v>569.79225680759998</v>
      </c>
      <c r="ED137" s="83">
        <f t="shared" si="22"/>
        <v>555.33101243810006</v>
      </c>
    </row>
    <row r="138" spans="2:134" x14ac:dyDescent="0.3">
      <c r="B138" s="45">
        <f t="shared" si="21"/>
        <v>1000000134</v>
      </c>
      <c r="C138" s="46">
        <v>41974</v>
      </c>
      <c r="D138" s="66">
        <v>-8</v>
      </c>
      <c r="E138" s="66">
        <v>-8</v>
      </c>
      <c r="F138" s="66">
        <v>-8</v>
      </c>
      <c r="G138" s="66">
        <v>-8</v>
      </c>
      <c r="H138" s="66">
        <v>-8</v>
      </c>
      <c r="I138" s="66">
        <v>-8</v>
      </c>
      <c r="J138" s="66">
        <v>-8</v>
      </c>
      <c r="K138" s="66">
        <v>-8</v>
      </c>
      <c r="L138" s="66">
        <v>-8</v>
      </c>
      <c r="M138" s="66">
        <v>-8</v>
      </c>
      <c r="N138" s="66">
        <v>-8</v>
      </c>
      <c r="O138" s="66">
        <v>2.5119792039999993</v>
      </c>
      <c r="P138" s="66">
        <v>8.0215367179000019</v>
      </c>
      <c r="Q138" s="66">
        <v>102.00704428780001</v>
      </c>
      <c r="R138" s="66">
        <v>40.282715334100011</v>
      </c>
      <c r="S138" s="66">
        <v>53.502658736800008</v>
      </c>
      <c r="T138" s="66">
        <v>24.5815440541</v>
      </c>
      <c r="U138" s="66">
        <v>28.273946173900001</v>
      </c>
      <c r="V138" s="66">
        <v>27.7933042003</v>
      </c>
      <c r="W138" s="66">
        <v>21.457221118900001</v>
      </c>
      <c r="X138" s="66">
        <v>15.613225654600004</v>
      </c>
      <c r="Y138" s="66">
        <v>20.830412648799999</v>
      </c>
      <c r="Z138" s="66">
        <v>15.929388102100003</v>
      </c>
      <c r="AA138" s="66">
        <v>11.952421016199999</v>
      </c>
      <c r="AB138" s="66">
        <v>31.965072385900001</v>
      </c>
      <c r="AC138" s="66">
        <v>88.434650118700006</v>
      </c>
      <c r="AD138" s="66">
        <v>40.476503212900006</v>
      </c>
      <c r="AE138" s="66">
        <v>51.404953733500001</v>
      </c>
      <c r="AF138" s="66">
        <v>19.836067678900001</v>
      </c>
      <c r="AG138" s="66">
        <v>21.642377856700005</v>
      </c>
      <c r="AH138" s="66">
        <v>20.903927454100003</v>
      </c>
      <c r="AI138" s="66">
        <v>20.833039517800003</v>
      </c>
      <c r="AJ138" s="66">
        <v>12.7984604677</v>
      </c>
      <c r="AK138" s="66">
        <v>20.097778884699999</v>
      </c>
      <c r="AL138" s="66">
        <v>20.8733431936</v>
      </c>
      <c r="AM138" s="66">
        <v>22.486728606700002</v>
      </c>
      <c r="AN138" s="66">
        <v>47.821341516999986</v>
      </c>
      <c r="AO138" s="66">
        <v>84.535663515400003</v>
      </c>
      <c r="AP138" s="66">
        <v>63.778932738100011</v>
      </c>
      <c r="AQ138" s="66">
        <v>74.954571631600018</v>
      </c>
      <c r="AR138" s="66">
        <v>40.272020224600006</v>
      </c>
      <c r="AS138" s="66">
        <v>27.161804892700005</v>
      </c>
      <c r="AT138" s="66">
        <v>30.219292775200003</v>
      </c>
      <c r="AU138" s="66">
        <v>30.366660126100001</v>
      </c>
      <c r="AV138" s="66">
        <v>36.040284372399995</v>
      </c>
      <c r="AW138" s="66">
        <v>41.288393367399998</v>
      </c>
      <c r="AX138" s="66">
        <v>42.154809816999993</v>
      </c>
      <c r="AY138" s="66">
        <v>32.299247649400002</v>
      </c>
      <c r="AZ138" s="66">
        <v>43.311307657599997</v>
      </c>
      <c r="BA138" s="66">
        <v>92.841860820099996</v>
      </c>
      <c r="BB138" s="66">
        <v>75.327774663100001</v>
      </c>
      <c r="BC138" s="66">
        <v>64.615778148099992</v>
      </c>
      <c r="BD138" s="66">
        <v>48.478096293700006</v>
      </c>
      <c r="BE138" s="66">
        <v>47.3113911907</v>
      </c>
      <c r="BF138" s="66">
        <v>45.794561976700003</v>
      </c>
      <c r="BG138" s="66">
        <v>26.759668775500003</v>
      </c>
      <c r="BH138" s="66">
        <v>25.051003071100006</v>
      </c>
      <c r="BI138" s="66">
        <v>26.894877475600005</v>
      </c>
      <c r="BJ138" s="66">
        <v>31.353950076400004</v>
      </c>
      <c r="BK138" s="66">
        <v>34.908066306700007</v>
      </c>
      <c r="BL138" s="66">
        <v>37.871024431900011</v>
      </c>
      <c r="BM138" s="66">
        <v>76.696335885400003</v>
      </c>
      <c r="BN138" s="66">
        <v>67.961020766199994</v>
      </c>
      <c r="BO138" s="66">
        <v>77.646474402700022</v>
      </c>
      <c r="BP138" s="66">
        <v>47.392598969499993</v>
      </c>
      <c r="BQ138" s="66">
        <v>41.160164633500003</v>
      </c>
      <c r="BR138" s="66">
        <v>37.034666869000006</v>
      </c>
      <c r="BS138" s="66">
        <v>35.852650872400005</v>
      </c>
      <c r="BT138" s="66">
        <v>34.318972170100004</v>
      </c>
      <c r="BU138" s="66">
        <v>56.413905069400002</v>
      </c>
      <c r="BV138" s="66">
        <v>47.013804459700005</v>
      </c>
      <c r="BW138" s="66">
        <v>39.157477234599995</v>
      </c>
      <c r="BX138" s="66">
        <v>75.502574031700021</v>
      </c>
      <c r="BY138" s="66">
        <v>102.4529740639</v>
      </c>
      <c r="BZ138" s="66">
        <v>69.2097592354</v>
      </c>
      <c r="CA138" s="66">
        <v>55.252078437400016</v>
      </c>
      <c r="CB138" s="66">
        <v>64.279276229199994</v>
      </c>
      <c r="CC138" s="66">
        <v>66.119660650599997</v>
      </c>
      <c r="CD138" s="66">
        <v>58.100955394600007</v>
      </c>
      <c r="CE138" s="66">
        <v>48.131987539599997</v>
      </c>
      <c r="CF138" s="66">
        <v>39.379072398099993</v>
      </c>
      <c r="CG138" s="66">
        <v>45.262733584300008</v>
      </c>
      <c r="CH138" s="66">
        <v>44.850202571200001</v>
      </c>
      <c r="CI138" s="66">
        <v>49.038407451400005</v>
      </c>
      <c r="CJ138" s="66">
        <v>46.248484939900003</v>
      </c>
      <c r="CK138" s="66">
        <v>56.859909898899986</v>
      </c>
      <c r="CL138" s="66">
        <v>103.0431564748</v>
      </c>
      <c r="CM138" s="66">
        <v>69.707175643900001</v>
      </c>
      <c r="CN138" s="66">
        <v>60.915120154300013</v>
      </c>
      <c r="CO138" s="66">
        <v>50.5689339109</v>
      </c>
      <c r="CP138" s="66">
        <v>38.084288668000006</v>
      </c>
      <c r="CQ138" s="66">
        <v>44.320513200699999</v>
      </c>
      <c r="CR138" s="66">
        <v>44.896848259300008</v>
      </c>
      <c r="CS138" s="66">
        <v>48.181109989900001</v>
      </c>
      <c r="CT138" s="66">
        <v>42.589594163199997</v>
      </c>
      <c r="CU138" s="66">
        <v>39.450635815000005</v>
      </c>
      <c r="CV138" s="66">
        <v>43.691303021799996</v>
      </c>
      <c r="CW138" s="66">
        <v>75.583744283800002</v>
      </c>
      <c r="CX138" s="66">
        <v>82.384595544700019</v>
      </c>
      <c r="CY138" s="66">
        <v>85.560817905999997</v>
      </c>
      <c r="CZ138" s="66">
        <v>39.969479969199995</v>
      </c>
      <c r="DA138" s="66">
        <v>53.737801039000011</v>
      </c>
      <c r="DB138" s="66">
        <v>60.423520384299991</v>
      </c>
      <c r="DC138" s="66">
        <v>58.261006770099996</v>
      </c>
      <c r="DD138" s="66">
        <v>55.171621192599993</v>
      </c>
      <c r="DE138" s="66">
        <v>52.510115048499998</v>
      </c>
      <c r="DF138" s="66">
        <v>53.518007157100001</v>
      </c>
      <c r="DG138" s="66">
        <v>55.973116451200006</v>
      </c>
      <c r="DH138" s="66">
        <v>50.644362577899997</v>
      </c>
      <c r="DI138" s="66">
        <v>72.899196745900014</v>
      </c>
      <c r="DJ138" s="66">
        <v>79.729056145900017</v>
      </c>
      <c r="DK138" s="66">
        <v>83.680842816100011</v>
      </c>
      <c r="DL138" s="66">
        <v>59.966482705000004</v>
      </c>
      <c r="DM138" s="66">
        <v>54.601102772500006</v>
      </c>
      <c r="DN138" s="66">
        <v>58.247497158100003</v>
      </c>
      <c r="DO138" s="66">
        <v>66.801070469199999</v>
      </c>
      <c r="DP138" s="79"/>
      <c r="DQ138" s="80"/>
      <c r="DR138" s="81"/>
      <c r="DS138" s="84">
        <f t="shared" si="20"/>
        <v>2014</v>
      </c>
      <c r="DT138" s="80"/>
      <c r="DU138" s="83">
        <f t="shared" si="22"/>
        <v>-85.488020796000001</v>
      </c>
      <c r="DV138" s="83">
        <f t="shared" si="22"/>
        <v>370.24541804550006</v>
      </c>
      <c r="DW138" s="83">
        <f t="shared" si="22"/>
        <v>371.75290311120006</v>
      </c>
      <c r="DX138" s="83">
        <f t="shared" si="22"/>
        <v>550.89302262689989</v>
      </c>
      <c r="DY138" s="83">
        <f t="shared" si="22"/>
        <v>562.64833645530007</v>
      </c>
      <c r="DZ138" s="83">
        <f t="shared" si="22"/>
        <v>598.51909576440016</v>
      </c>
      <c r="EA138" s="83">
        <f t="shared" si="22"/>
        <v>717.57968158740005</v>
      </c>
      <c r="EB138" s="83">
        <f t="shared" si="22"/>
        <v>644.86577111880013</v>
      </c>
      <c r="EC138" s="83">
        <f t="shared" si="22"/>
        <v>716.78512876829996</v>
      </c>
      <c r="ED138" s="83">
        <f t="shared" si="22"/>
        <v>526.56961139060002</v>
      </c>
    </row>
    <row r="139" spans="2:134" x14ac:dyDescent="0.3">
      <c r="B139" s="45">
        <f t="shared" si="21"/>
        <v>1000000135</v>
      </c>
      <c r="C139" s="46">
        <v>41883</v>
      </c>
      <c r="D139" s="66">
        <v>-8</v>
      </c>
      <c r="E139" s="66">
        <v>-8</v>
      </c>
      <c r="F139" s="66">
        <v>-8</v>
      </c>
      <c r="G139" s="66">
        <v>-8</v>
      </c>
      <c r="H139" s="66">
        <v>-8</v>
      </c>
      <c r="I139" s="66">
        <v>-8</v>
      </c>
      <c r="J139" s="66">
        <v>-8</v>
      </c>
      <c r="K139" s="66">
        <v>-8</v>
      </c>
      <c r="L139" s="66">
        <v>-5.2230241999999993</v>
      </c>
      <c r="M139" s="66">
        <v>-3.4202040052999996</v>
      </c>
      <c r="N139" s="66">
        <v>0.14291863300000074</v>
      </c>
      <c r="O139" s="66">
        <v>-2.5392647228000005</v>
      </c>
      <c r="P139" s="66">
        <v>-1.0789882456999997</v>
      </c>
      <c r="Q139" s="66">
        <v>6.8734823848000008</v>
      </c>
      <c r="R139" s="66">
        <v>1.5127557630999995</v>
      </c>
      <c r="S139" s="66">
        <v>-0.41247652699999993</v>
      </c>
      <c r="T139" s="66">
        <v>5.7920004175000006</v>
      </c>
      <c r="U139" s="66">
        <v>4.9306500724000006</v>
      </c>
      <c r="V139" s="66">
        <v>7.983297010600003</v>
      </c>
      <c r="W139" s="66">
        <v>3.319966581700001</v>
      </c>
      <c r="X139" s="66">
        <v>0.66210052750000159</v>
      </c>
      <c r="Y139" s="66">
        <v>2.7393910060000017</v>
      </c>
      <c r="Z139" s="66">
        <v>4.3933052550999996</v>
      </c>
      <c r="AA139" s="66">
        <v>5.9417694772000011</v>
      </c>
      <c r="AB139" s="66">
        <v>5.4466046707000011</v>
      </c>
      <c r="AC139" s="66">
        <v>13.293512694099999</v>
      </c>
      <c r="AD139" s="66">
        <v>15.303742959699999</v>
      </c>
      <c r="AE139" s="66">
        <v>9.9563758432</v>
      </c>
      <c r="AF139" s="66">
        <v>1.8149958049000006</v>
      </c>
      <c r="AG139" s="66">
        <v>5.3828843340999999</v>
      </c>
      <c r="AH139" s="66">
        <v>11.539552262800004</v>
      </c>
      <c r="AI139" s="66">
        <v>14.3184419245</v>
      </c>
      <c r="AJ139" s="66">
        <v>25.674246504700001</v>
      </c>
      <c r="AK139" s="66">
        <v>16.072552462600001</v>
      </c>
      <c r="AL139" s="66">
        <v>23.262030228700002</v>
      </c>
      <c r="AM139" s="66">
        <v>23.012214986800007</v>
      </c>
      <c r="AN139" s="66">
        <v>26.472439413700009</v>
      </c>
      <c r="AO139" s="66">
        <v>24.6107023</v>
      </c>
      <c r="AP139" s="66">
        <v>27.130169884600001</v>
      </c>
      <c r="AQ139" s="66">
        <v>27.4669344904</v>
      </c>
      <c r="AR139" s="66">
        <v>27.575349126700004</v>
      </c>
      <c r="AS139" s="66">
        <v>26.006057586100006</v>
      </c>
      <c r="AT139" s="66">
        <v>33.827147239900007</v>
      </c>
      <c r="AU139" s="66">
        <v>29.718011116599996</v>
      </c>
      <c r="AV139" s="66">
        <v>45.032769966700009</v>
      </c>
      <c r="AW139" s="66">
        <v>34.064691250900005</v>
      </c>
      <c r="AX139" s="66">
        <v>27.495604889200003</v>
      </c>
      <c r="AY139" s="66">
        <v>28.964587560699997</v>
      </c>
      <c r="AZ139" s="66">
        <v>37.427946685000002</v>
      </c>
      <c r="BA139" s="66">
        <v>46.80834577720001</v>
      </c>
      <c r="BB139" s="66">
        <v>48.825068161899999</v>
      </c>
      <c r="BC139" s="66">
        <v>69.605703447099998</v>
      </c>
      <c r="BD139" s="66">
        <v>59.971886549800004</v>
      </c>
      <c r="BE139" s="66">
        <v>33.467678980600006</v>
      </c>
      <c r="BF139" s="66">
        <v>44.6984821231</v>
      </c>
      <c r="BG139" s="66">
        <v>35.761798731699997</v>
      </c>
      <c r="BH139" s="66">
        <v>39.8917246468</v>
      </c>
      <c r="BI139" s="66">
        <v>36.344700962800005</v>
      </c>
      <c r="BJ139" s="66">
        <v>43.218016281399997</v>
      </c>
      <c r="BK139" s="66">
        <v>50.06247356770001</v>
      </c>
      <c r="BL139" s="66">
        <v>70.401832387599995</v>
      </c>
      <c r="BM139" s="66">
        <v>27.321818741500003</v>
      </c>
      <c r="BN139" s="66">
        <v>52.408380164800015</v>
      </c>
      <c r="BO139" s="66">
        <v>61.71522692500001</v>
      </c>
      <c r="BP139" s="66">
        <v>55.160400709300006</v>
      </c>
      <c r="BQ139" s="66">
        <v>40.274309353299991</v>
      </c>
      <c r="BR139" s="66">
        <v>65.234743537899988</v>
      </c>
      <c r="BS139" s="66">
        <v>40.929300375100006</v>
      </c>
      <c r="BT139" s="66">
        <v>44.005138813900004</v>
      </c>
      <c r="BU139" s="66">
        <v>41.847090877000007</v>
      </c>
      <c r="BV139" s="66">
        <v>45.641940887799997</v>
      </c>
      <c r="BW139" s="66">
        <v>65.299889889100001</v>
      </c>
      <c r="BX139" s="66">
        <v>64.336767133600006</v>
      </c>
      <c r="BY139" s="66">
        <v>61.95397179039999</v>
      </c>
      <c r="BZ139" s="66">
        <v>56.53376534920001</v>
      </c>
      <c r="CA139" s="66">
        <v>39.733174339300014</v>
      </c>
      <c r="CB139" s="66">
        <v>60.373384713100009</v>
      </c>
      <c r="CC139" s="66">
        <v>60.394061924799999</v>
      </c>
      <c r="CD139" s="66">
        <v>70.707299725600009</v>
      </c>
      <c r="CE139" s="66">
        <v>56.776000197700014</v>
      </c>
      <c r="CF139" s="66">
        <v>84.396176771499995</v>
      </c>
      <c r="CG139" s="66">
        <v>65.037765889599996</v>
      </c>
      <c r="CH139" s="66">
        <v>67.718673337600009</v>
      </c>
      <c r="CI139" s="66">
        <v>59.017845255699996</v>
      </c>
      <c r="CJ139" s="66">
        <v>53.432446281099999</v>
      </c>
      <c r="CK139" s="66">
        <v>49.875553074999999</v>
      </c>
      <c r="CL139" s="66">
        <v>68.853255585400021</v>
      </c>
      <c r="CM139" s="66">
        <v>75.412585005100013</v>
      </c>
      <c r="CN139" s="66">
        <v>52.622169774699998</v>
      </c>
      <c r="CO139" s="66">
        <v>55.5052335556</v>
      </c>
      <c r="CP139" s="66">
        <v>49.513345366600007</v>
      </c>
      <c r="CQ139" s="66">
        <v>48.484100565700011</v>
      </c>
      <c r="CR139" s="66">
        <v>64.332226402900005</v>
      </c>
      <c r="CS139" s="66">
        <v>43.527123709300014</v>
      </c>
      <c r="CT139" s="66">
        <v>54.785208762699995</v>
      </c>
      <c r="CU139" s="66">
        <v>41.813692114000006</v>
      </c>
      <c r="CV139" s="66">
        <v>45.072548268700011</v>
      </c>
      <c r="CW139" s="66">
        <v>59.17511965540001</v>
      </c>
      <c r="CX139" s="66">
        <v>77.493102779799997</v>
      </c>
      <c r="CY139" s="66">
        <v>77.216831214400003</v>
      </c>
      <c r="CZ139" s="66">
        <v>56.208221226700019</v>
      </c>
      <c r="DA139" s="66">
        <v>32.159423165200003</v>
      </c>
      <c r="DB139" s="66">
        <v>40.188973637499998</v>
      </c>
      <c r="DC139" s="66">
        <v>48.476257485399991</v>
      </c>
      <c r="DD139" s="66">
        <v>78.824137302099999</v>
      </c>
      <c r="DE139" s="66">
        <v>55.482079581700013</v>
      </c>
      <c r="DF139" s="66">
        <v>38.798684455899995</v>
      </c>
      <c r="DG139" s="66">
        <v>21.535126548100003</v>
      </c>
      <c r="DH139" s="66">
        <v>69.070009804600005</v>
      </c>
      <c r="DI139" s="66">
        <v>75.981865044100005</v>
      </c>
      <c r="DJ139" s="66">
        <v>84.461961076599991</v>
      </c>
      <c r="DK139" s="66">
        <v>60.091183929100012</v>
      </c>
      <c r="DL139" s="66">
        <v>55.038438934300011</v>
      </c>
      <c r="DM139" s="66">
        <v>76.614902946399994</v>
      </c>
      <c r="DN139" s="66">
        <v>76.041269810200006</v>
      </c>
      <c r="DO139" s="66">
        <v>87.562266923799996</v>
      </c>
      <c r="DP139" s="79"/>
      <c r="DQ139" s="80"/>
      <c r="DR139" s="81"/>
      <c r="DS139" s="84">
        <f t="shared" si="20"/>
        <v>2014</v>
      </c>
      <c r="DT139" s="80"/>
      <c r="DU139" s="83">
        <f t="shared" si="22"/>
        <v>-75.039574295099982</v>
      </c>
      <c r="DV139" s="83">
        <f t="shared" si="22"/>
        <v>42.657253723200014</v>
      </c>
      <c r="DW139" s="83">
        <f t="shared" si="22"/>
        <v>165.07715467680001</v>
      </c>
      <c r="DX139" s="83">
        <f t="shared" si="22"/>
        <v>358.36446482550008</v>
      </c>
      <c r="DY139" s="83">
        <f t="shared" si="22"/>
        <v>546.08382591510008</v>
      </c>
      <c r="DZ139" s="83">
        <f t="shared" si="22"/>
        <v>610.24007266230012</v>
      </c>
      <c r="EA139" s="83">
        <f t="shared" si="22"/>
        <v>746.97888642809994</v>
      </c>
      <c r="EB139" s="83">
        <f t="shared" si="22"/>
        <v>658.15694019810007</v>
      </c>
      <c r="EC139" s="83">
        <f t="shared" si="22"/>
        <v>630.63050532090006</v>
      </c>
      <c r="ED139" s="83">
        <f t="shared" si="22"/>
        <v>584.86189846909997</v>
      </c>
    </row>
    <row r="140" spans="2:134" x14ac:dyDescent="0.3">
      <c r="B140" s="45">
        <f t="shared" si="21"/>
        <v>1000000136</v>
      </c>
      <c r="C140" s="46">
        <v>44044</v>
      </c>
      <c r="D140" s="66">
        <v>-8</v>
      </c>
      <c r="E140" s="66">
        <v>-8</v>
      </c>
      <c r="F140" s="66">
        <v>-8</v>
      </c>
      <c r="G140" s="66">
        <v>-8</v>
      </c>
      <c r="H140" s="66">
        <v>-8</v>
      </c>
      <c r="I140" s="66">
        <v>-8</v>
      </c>
      <c r="J140" s="66">
        <v>-8</v>
      </c>
      <c r="K140" s="66">
        <v>-8</v>
      </c>
      <c r="L140" s="66">
        <v>-8</v>
      </c>
      <c r="M140" s="66">
        <v>-8</v>
      </c>
      <c r="N140" s="66">
        <v>-8</v>
      </c>
      <c r="O140" s="66">
        <v>-8</v>
      </c>
      <c r="P140" s="66">
        <v>-8</v>
      </c>
      <c r="Q140" s="66">
        <v>-8</v>
      </c>
      <c r="R140" s="66">
        <v>-8</v>
      </c>
      <c r="S140" s="66">
        <v>-8</v>
      </c>
      <c r="T140" s="66">
        <v>-8</v>
      </c>
      <c r="U140" s="66">
        <v>-8</v>
      </c>
      <c r="V140" s="66">
        <v>-8</v>
      </c>
      <c r="W140" s="66">
        <v>-8</v>
      </c>
      <c r="X140" s="66">
        <v>-8</v>
      </c>
      <c r="Y140" s="66">
        <v>-8</v>
      </c>
      <c r="Z140" s="66">
        <v>-8</v>
      </c>
      <c r="AA140" s="66">
        <v>-8</v>
      </c>
      <c r="AB140" s="66">
        <v>-8</v>
      </c>
      <c r="AC140" s="66">
        <v>-8</v>
      </c>
      <c r="AD140" s="66">
        <v>-8</v>
      </c>
      <c r="AE140" s="66">
        <v>-8</v>
      </c>
      <c r="AF140" s="66">
        <v>-8</v>
      </c>
      <c r="AG140" s="66">
        <v>-8</v>
      </c>
      <c r="AH140" s="66">
        <v>-8</v>
      </c>
      <c r="AI140" s="66">
        <v>-8</v>
      </c>
      <c r="AJ140" s="66">
        <v>-8</v>
      </c>
      <c r="AK140" s="66">
        <v>-8</v>
      </c>
      <c r="AL140" s="66">
        <v>-8</v>
      </c>
      <c r="AM140" s="66">
        <v>-8</v>
      </c>
      <c r="AN140" s="66">
        <v>-8</v>
      </c>
      <c r="AO140" s="66">
        <v>-8</v>
      </c>
      <c r="AP140" s="66">
        <v>-8</v>
      </c>
      <c r="AQ140" s="66">
        <v>-8</v>
      </c>
      <c r="AR140" s="66">
        <v>-8</v>
      </c>
      <c r="AS140" s="66">
        <v>-8</v>
      </c>
      <c r="AT140" s="66">
        <v>-8</v>
      </c>
      <c r="AU140" s="66">
        <v>-8</v>
      </c>
      <c r="AV140" s="66">
        <v>-8</v>
      </c>
      <c r="AW140" s="66">
        <v>-8</v>
      </c>
      <c r="AX140" s="66">
        <v>-8</v>
      </c>
      <c r="AY140" s="66">
        <v>-8</v>
      </c>
      <c r="AZ140" s="66">
        <v>-8</v>
      </c>
      <c r="BA140" s="66">
        <v>-8</v>
      </c>
      <c r="BB140" s="66">
        <v>-8</v>
      </c>
      <c r="BC140" s="66">
        <v>-8</v>
      </c>
      <c r="BD140" s="66">
        <v>-8</v>
      </c>
      <c r="BE140" s="66">
        <v>-8</v>
      </c>
      <c r="BF140" s="66">
        <v>-8</v>
      </c>
      <c r="BG140" s="66">
        <v>-8</v>
      </c>
      <c r="BH140" s="66">
        <v>-8</v>
      </c>
      <c r="BI140" s="66">
        <v>-8</v>
      </c>
      <c r="BJ140" s="66">
        <v>-8</v>
      </c>
      <c r="BK140" s="66">
        <v>-8</v>
      </c>
      <c r="BL140" s="66">
        <v>-8</v>
      </c>
      <c r="BM140" s="66">
        <v>-8</v>
      </c>
      <c r="BN140" s="66">
        <v>-8</v>
      </c>
      <c r="BO140" s="66">
        <v>-8</v>
      </c>
      <c r="BP140" s="66">
        <v>-8</v>
      </c>
      <c r="BQ140" s="66">
        <v>-8</v>
      </c>
      <c r="BR140" s="66">
        <v>-8</v>
      </c>
      <c r="BS140" s="66">
        <v>-8</v>
      </c>
      <c r="BT140" s="66">
        <v>-8</v>
      </c>
      <c r="BU140" s="66">
        <v>-8</v>
      </c>
      <c r="BV140" s="66">
        <v>-8</v>
      </c>
      <c r="BW140" s="66">
        <v>-8</v>
      </c>
      <c r="BX140" s="66">
        <v>-8</v>
      </c>
      <c r="BY140" s="66">
        <v>-8</v>
      </c>
      <c r="BZ140" s="66">
        <v>-8</v>
      </c>
      <c r="CA140" s="66">
        <v>-8</v>
      </c>
      <c r="CB140" s="66">
        <v>-8</v>
      </c>
      <c r="CC140" s="66">
        <v>-8</v>
      </c>
      <c r="CD140" s="66">
        <v>-8</v>
      </c>
      <c r="CE140" s="66">
        <v>-8</v>
      </c>
      <c r="CF140" s="66">
        <v>-7.2016194574999997</v>
      </c>
      <c r="CG140" s="66">
        <v>0.10509171940000073</v>
      </c>
      <c r="CH140" s="66">
        <v>2.204635531000001</v>
      </c>
      <c r="CI140" s="66">
        <v>4.2486773532999997</v>
      </c>
      <c r="CJ140" s="66">
        <v>7.4407735086999995</v>
      </c>
      <c r="CK140" s="66">
        <v>16.389578024200002</v>
      </c>
      <c r="CL140" s="66">
        <v>26.071804364500004</v>
      </c>
      <c r="CM140" s="66">
        <v>26.466097401399999</v>
      </c>
      <c r="CN140" s="66">
        <v>21.758710626700005</v>
      </c>
      <c r="CO140" s="66">
        <v>22.610566716699999</v>
      </c>
      <c r="CP140" s="66">
        <v>23.300119829199993</v>
      </c>
      <c r="CQ140" s="66">
        <v>35.0731837867</v>
      </c>
      <c r="CR140" s="66">
        <v>36.912554987199989</v>
      </c>
      <c r="CS140" s="66">
        <v>31.363256698000001</v>
      </c>
      <c r="CT140" s="66">
        <v>23.215497120699997</v>
      </c>
      <c r="CU140" s="66">
        <v>38.586696127599993</v>
      </c>
      <c r="CV140" s="66">
        <v>38.274323876800004</v>
      </c>
      <c r="CW140" s="66">
        <v>47.544807264700005</v>
      </c>
      <c r="CX140" s="66">
        <v>51.607447806700002</v>
      </c>
      <c r="CY140" s="66">
        <v>43.900064053899996</v>
      </c>
      <c r="CZ140" s="66">
        <v>27.868207493500002</v>
      </c>
      <c r="DA140" s="66">
        <v>35.085379964200008</v>
      </c>
      <c r="DB140" s="66">
        <v>41.343632669800002</v>
      </c>
      <c r="DC140" s="66">
        <v>39.763796126499997</v>
      </c>
      <c r="DD140" s="66">
        <v>46.501114684299999</v>
      </c>
      <c r="DE140" s="66">
        <v>46.981681604499997</v>
      </c>
      <c r="DF140" s="66">
        <v>41.753461760499995</v>
      </c>
      <c r="DG140" s="66">
        <v>63.011886990099995</v>
      </c>
      <c r="DH140" s="66">
        <v>52.38443813020001</v>
      </c>
      <c r="DI140" s="66">
        <v>74.775231532299998</v>
      </c>
      <c r="DJ140" s="66">
        <v>73.044650235100008</v>
      </c>
      <c r="DK140" s="66">
        <v>76.457103172899991</v>
      </c>
      <c r="DL140" s="66">
        <v>69.230924294199994</v>
      </c>
      <c r="DM140" s="66">
        <v>69.869628728200013</v>
      </c>
      <c r="DN140" s="66">
        <v>74.777595714400007</v>
      </c>
      <c r="DO140" s="66">
        <v>80.630560059999993</v>
      </c>
      <c r="DP140" s="79"/>
      <c r="DQ140" s="80"/>
      <c r="DR140" s="81"/>
      <c r="DS140" s="84">
        <f t="shared" si="20"/>
        <v>2020</v>
      </c>
      <c r="DT140" s="80"/>
      <c r="DU140" s="83">
        <f t="shared" si="22"/>
        <v>-96</v>
      </c>
      <c r="DV140" s="83">
        <f t="shared" si="22"/>
        <v>-96</v>
      </c>
      <c r="DW140" s="83">
        <f t="shared" si="22"/>
        <v>-96</v>
      </c>
      <c r="DX140" s="83">
        <f t="shared" si="22"/>
        <v>-96</v>
      </c>
      <c r="DY140" s="83">
        <f t="shared" si="22"/>
        <v>-96</v>
      </c>
      <c r="DZ140" s="83">
        <f t="shared" si="22"/>
        <v>-96</v>
      </c>
      <c r="EA140" s="83">
        <f t="shared" si="22"/>
        <v>-64.643214853800004</v>
      </c>
      <c r="EB140" s="83">
        <f t="shared" si="22"/>
        <v>309.18883919159998</v>
      </c>
      <c r="EC140" s="83">
        <f t="shared" si="22"/>
        <v>523.63580429549995</v>
      </c>
      <c r="ED140" s="83">
        <f t="shared" si="22"/>
        <v>571.17013186730003</v>
      </c>
    </row>
    <row r="141" spans="2:134" x14ac:dyDescent="0.3">
      <c r="B141" s="45">
        <f t="shared" si="21"/>
        <v>1000000137</v>
      </c>
      <c r="C141" s="46">
        <v>42705</v>
      </c>
      <c r="D141" s="66">
        <v>-8</v>
      </c>
      <c r="E141" s="66">
        <v>-8</v>
      </c>
      <c r="F141" s="66">
        <v>-8</v>
      </c>
      <c r="G141" s="66">
        <v>-8</v>
      </c>
      <c r="H141" s="66">
        <v>-8</v>
      </c>
      <c r="I141" s="66">
        <v>-8</v>
      </c>
      <c r="J141" s="66">
        <v>-8</v>
      </c>
      <c r="K141" s="66">
        <v>-8</v>
      </c>
      <c r="L141" s="66">
        <v>-8</v>
      </c>
      <c r="M141" s="66">
        <v>-8</v>
      </c>
      <c r="N141" s="66">
        <v>-8</v>
      </c>
      <c r="O141" s="66">
        <v>-8</v>
      </c>
      <c r="P141" s="66">
        <v>-8</v>
      </c>
      <c r="Q141" s="66">
        <v>-8</v>
      </c>
      <c r="R141" s="66">
        <v>-8</v>
      </c>
      <c r="S141" s="66">
        <v>-8</v>
      </c>
      <c r="T141" s="66">
        <v>-8</v>
      </c>
      <c r="U141" s="66">
        <v>-8</v>
      </c>
      <c r="V141" s="66">
        <v>-8</v>
      </c>
      <c r="W141" s="66">
        <v>-8</v>
      </c>
      <c r="X141" s="66">
        <v>-8</v>
      </c>
      <c r="Y141" s="66">
        <v>-8</v>
      </c>
      <c r="Z141" s="66">
        <v>-8</v>
      </c>
      <c r="AA141" s="66">
        <v>-8</v>
      </c>
      <c r="AB141" s="66">
        <v>-8</v>
      </c>
      <c r="AC141" s="66">
        <v>-8</v>
      </c>
      <c r="AD141" s="66">
        <v>-8</v>
      </c>
      <c r="AE141" s="66">
        <v>-8</v>
      </c>
      <c r="AF141" s="66">
        <v>-8</v>
      </c>
      <c r="AG141" s="66">
        <v>-8</v>
      </c>
      <c r="AH141" s="66">
        <v>-8</v>
      </c>
      <c r="AI141" s="66">
        <v>-8</v>
      </c>
      <c r="AJ141" s="66">
        <v>-8</v>
      </c>
      <c r="AK141" s="66">
        <v>-8</v>
      </c>
      <c r="AL141" s="66">
        <v>-8</v>
      </c>
      <c r="AM141" s="66">
        <v>1.8920381200000005</v>
      </c>
      <c r="AN141" s="66">
        <v>11.618958760000002</v>
      </c>
      <c r="AO141" s="66">
        <v>26.805826616500006</v>
      </c>
      <c r="AP141" s="66">
        <v>33.346918060000007</v>
      </c>
      <c r="AQ141" s="66">
        <v>29.860499996500003</v>
      </c>
      <c r="AR141" s="66">
        <v>28.362884452900005</v>
      </c>
      <c r="AS141" s="66">
        <v>31.806071758000002</v>
      </c>
      <c r="AT141" s="66">
        <v>41.192174908600002</v>
      </c>
      <c r="AU141" s="66">
        <v>32.185391641599999</v>
      </c>
      <c r="AV141" s="66">
        <v>42.034574270200011</v>
      </c>
      <c r="AW141" s="66">
        <v>29.114469200500004</v>
      </c>
      <c r="AX141" s="66">
        <v>41.022254011000008</v>
      </c>
      <c r="AY141" s="66">
        <v>32.690463496900001</v>
      </c>
      <c r="AZ141" s="66">
        <v>40.783771832500001</v>
      </c>
      <c r="BA141" s="66">
        <v>49.539801690099999</v>
      </c>
      <c r="BB141" s="66">
        <v>69.407750104599998</v>
      </c>
      <c r="BC141" s="66">
        <v>99.2120931985</v>
      </c>
      <c r="BD141" s="66">
        <v>75.816747564099998</v>
      </c>
      <c r="BE141" s="66">
        <v>70.66376875360001</v>
      </c>
      <c r="BF141" s="66">
        <v>88.243339002100015</v>
      </c>
      <c r="BG141" s="66">
        <v>68.201004012700011</v>
      </c>
      <c r="BH141" s="66">
        <v>90.136598543799991</v>
      </c>
      <c r="BI141" s="66">
        <v>81.02965651449999</v>
      </c>
      <c r="BJ141" s="66">
        <v>70.7109022888</v>
      </c>
      <c r="BK141" s="66">
        <v>64.216118793099994</v>
      </c>
      <c r="BL141" s="66">
        <v>61.800112320400004</v>
      </c>
      <c r="BM141" s="66">
        <v>79.235092193799986</v>
      </c>
      <c r="BN141" s="66">
        <v>70.155994975900001</v>
      </c>
      <c r="BO141" s="66">
        <v>77.788025115099998</v>
      </c>
      <c r="BP141" s="66">
        <v>76.770751331499994</v>
      </c>
      <c r="BQ141" s="66">
        <v>95.028691735900011</v>
      </c>
      <c r="BR141" s="66">
        <v>119.50870910710003</v>
      </c>
      <c r="BS141" s="66">
        <v>112.13141020750001</v>
      </c>
      <c r="BT141" s="66">
        <v>117.14629076200002</v>
      </c>
      <c r="BU141" s="66">
        <v>118.6327608757</v>
      </c>
      <c r="BV141" s="66">
        <v>95.941078393000026</v>
      </c>
      <c r="BW141" s="66">
        <v>104.55116691430001</v>
      </c>
      <c r="BX141" s="66">
        <v>109.26699719650001</v>
      </c>
      <c r="BY141" s="66">
        <v>126.83823651760002</v>
      </c>
      <c r="BZ141" s="66">
        <v>126.98759278360001</v>
      </c>
      <c r="CA141" s="66">
        <v>115.93691780110001</v>
      </c>
      <c r="CB141" s="66">
        <v>128.03578856800002</v>
      </c>
      <c r="CC141" s="66">
        <v>127.20314614840004</v>
      </c>
      <c r="CD141" s="66">
        <v>126.21656920539999</v>
      </c>
      <c r="CE141" s="66">
        <v>116.05629023380004</v>
      </c>
      <c r="CF141" s="66">
        <v>117.0238411399</v>
      </c>
      <c r="CG141" s="66">
        <v>150.25084443399999</v>
      </c>
      <c r="CH141" s="66">
        <v>117.59188279779998</v>
      </c>
      <c r="CI141" s="66">
        <v>121.84103103880003</v>
      </c>
      <c r="CJ141" s="66">
        <v>121.49871248140002</v>
      </c>
      <c r="CK141" s="66">
        <v>163.60119311919999</v>
      </c>
      <c r="CL141" s="66">
        <v>128.73097068549998</v>
      </c>
      <c r="CM141" s="66">
        <v>155.29405764700002</v>
      </c>
      <c r="CN141" s="66">
        <v>142.99359344769999</v>
      </c>
      <c r="CO141" s="66">
        <v>130.71215528529999</v>
      </c>
      <c r="CP141" s="66">
        <v>137.99413636689997</v>
      </c>
      <c r="CQ141" s="66">
        <v>146.0685312457</v>
      </c>
      <c r="CR141" s="66">
        <v>132.58822759840001</v>
      </c>
      <c r="CS141" s="66">
        <v>112.15058635120002</v>
      </c>
      <c r="CT141" s="66">
        <v>110.53701330460002</v>
      </c>
      <c r="CU141" s="66">
        <v>63.603382835500028</v>
      </c>
      <c r="CV141" s="66">
        <v>93.964396997199984</v>
      </c>
      <c r="CW141" s="66">
        <v>109.17880945150002</v>
      </c>
      <c r="CX141" s="66">
        <v>121.74897804369999</v>
      </c>
      <c r="CY141" s="66">
        <v>110.26475709610001</v>
      </c>
      <c r="CZ141" s="66">
        <v>93.783818516799997</v>
      </c>
      <c r="DA141" s="66">
        <v>83.232286171000013</v>
      </c>
      <c r="DB141" s="66">
        <v>100.8201873469</v>
      </c>
      <c r="DC141" s="66">
        <v>116.79380246889997</v>
      </c>
      <c r="DD141" s="66">
        <v>106.3451308078</v>
      </c>
      <c r="DE141" s="66">
        <v>75.845680649800002</v>
      </c>
      <c r="DF141" s="66">
        <v>61.043836735300005</v>
      </c>
      <c r="DG141" s="66">
        <v>36.272049271600004</v>
      </c>
      <c r="DH141" s="66">
        <v>67.334962830099997</v>
      </c>
      <c r="DI141" s="66">
        <v>60.129573743199998</v>
      </c>
      <c r="DJ141" s="66">
        <v>59.852514117100014</v>
      </c>
      <c r="DK141" s="66">
        <v>41.351926070499999</v>
      </c>
      <c r="DL141" s="66">
        <v>40.759492057599999</v>
      </c>
      <c r="DM141" s="66">
        <v>62.060660198500003</v>
      </c>
      <c r="DN141" s="66">
        <v>96.780325511800001</v>
      </c>
      <c r="DO141" s="66">
        <v>68.219954996200016</v>
      </c>
      <c r="DP141" s="79"/>
      <c r="DQ141" s="80"/>
      <c r="DR141" s="81"/>
      <c r="DS141" s="84">
        <f t="shared" si="20"/>
        <v>2016</v>
      </c>
      <c r="DT141" s="80"/>
      <c r="DU141" s="83">
        <f t="shared" si="22"/>
        <v>-96</v>
      </c>
      <c r="DV141" s="83">
        <f t="shared" si="22"/>
        <v>-96</v>
      </c>
      <c r="DW141" s="83">
        <f t="shared" si="22"/>
        <v>-86.107961880000005</v>
      </c>
      <c r="DX141" s="83">
        <f t="shared" si="22"/>
        <v>380.04048717270013</v>
      </c>
      <c r="DY141" s="83">
        <f t="shared" si="22"/>
        <v>867.96155229839997</v>
      </c>
      <c r="DZ141" s="83">
        <f t="shared" si="22"/>
        <v>1128.6900839322002</v>
      </c>
      <c r="EA141" s="83">
        <f t="shared" si="22"/>
        <v>1483.2491378649001</v>
      </c>
      <c r="EB141" s="83">
        <f t="shared" si="22"/>
        <v>1545.7725603684</v>
      </c>
      <c r="EC141" s="83">
        <f t="shared" si="22"/>
        <v>1109.2937335566</v>
      </c>
      <c r="ED141" s="83">
        <f t="shared" si="22"/>
        <v>496.48940952500004</v>
      </c>
    </row>
    <row r="142" spans="2:134" x14ac:dyDescent="0.3">
      <c r="B142" s="45">
        <f t="shared" si="21"/>
        <v>1000000138</v>
      </c>
      <c r="C142" s="46">
        <v>43435</v>
      </c>
      <c r="D142" s="66">
        <v>-8</v>
      </c>
      <c r="E142" s="66">
        <v>-8</v>
      </c>
      <c r="F142" s="66">
        <v>-8</v>
      </c>
      <c r="G142" s="66">
        <v>-8</v>
      </c>
      <c r="H142" s="66">
        <v>-8</v>
      </c>
      <c r="I142" s="66">
        <v>-8</v>
      </c>
      <c r="J142" s="66">
        <v>-8</v>
      </c>
      <c r="K142" s="66">
        <v>-8</v>
      </c>
      <c r="L142" s="66">
        <v>-8</v>
      </c>
      <c r="M142" s="66">
        <v>-8</v>
      </c>
      <c r="N142" s="66">
        <v>-8</v>
      </c>
      <c r="O142" s="66">
        <v>-8</v>
      </c>
      <c r="P142" s="66">
        <v>-8</v>
      </c>
      <c r="Q142" s="66">
        <v>-8</v>
      </c>
      <c r="R142" s="66">
        <v>-8</v>
      </c>
      <c r="S142" s="66">
        <v>-8</v>
      </c>
      <c r="T142" s="66">
        <v>-8</v>
      </c>
      <c r="U142" s="66">
        <v>-8</v>
      </c>
      <c r="V142" s="66">
        <v>-8</v>
      </c>
      <c r="W142" s="66">
        <v>-8</v>
      </c>
      <c r="X142" s="66">
        <v>-8</v>
      </c>
      <c r="Y142" s="66">
        <v>-8</v>
      </c>
      <c r="Z142" s="66">
        <v>-8</v>
      </c>
      <c r="AA142" s="66">
        <v>-8</v>
      </c>
      <c r="AB142" s="66">
        <v>-8</v>
      </c>
      <c r="AC142" s="66">
        <v>-8</v>
      </c>
      <c r="AD142" s="66">
        <v>-8</v>
      </c>
      <c r="AE142" s="66">
        <v>-8</v>
      </c>
      <c r="AF142" s="66">
        <v>-8</v>
      </c>
      <c r="AG142" s="66">
        <v>-8</v>
      </c>
      <c r="AH142" s="66">
        <v>-8</v>
      </c>
      <c r="AI142" s="66">
        <v>-8</v>
      </c>
      <c r="AJ142" s="66">
        <v>-8</v>
      </c>
      <c r="AK142" s="66">
        <v>-8</v>
      </c>
      <c r="AL142" s="66">
        <v>-8</v>
      </c>
      <c r="AM142" s="66">
        <v>-8</v>
      </c>
      <c r="AN142" s="66">
        <v>-8</v>
      </c>
      <c r="AO142" s="66">
        <v>-8</v>
      </c>
      <c r="AP142" s="66">
        <v>-8</v>
      </c>
      <c r="AQ142" s="66">
        <v>-8</v>
      </c>
      <c r="AR142" s="66">
        <v>-8</v>
      </c>
      <c r="AS142" s="66">
        <v>-8</v>
      </c>
      <c r="AT142" s="66">
        <v>-8</v>
      </c>
      <c r="AU142" s="66">
        <v>-8</v>
      </c>
      <c r="AV142" s="66">
        <v>-8</v>
      </c>
      <c r="AW142" s="66">
        <v>-8</v>
      </c>
      <c r="AX142" s="66">
        <v>-8</v>
      </c>
      <c r="AY142" s="66">
        <v>-8</v>
      </c>
      <c r="AZ142" s="66">
        <v>-8</v>
      </c>
      <c r="BA142" s="66">
        <v>-8</v>
      </c>
      <c r="BB142" s="66">
        <v>-8</v>
      </c>
      <c r="BC142" s="66">
        <v>-8</v>
      </c>
      <c r="BD142" s="66">
        <v>-8</v>
      </c>
      <c r="BE142" s="66">
        <v>-8</v>
      </c>
      <c r="BF142" s="66">
        <v>-8</v>
      </c>
      <c r="BG142" s="66">
        <v>-8</v>
      </c>
      <c r="BH142" s="66">
        <v>-8</v>
      </c>
      <c r="BI142" s="66">
        <v>-8</v>
      </c>
      <c r="BJ142" s="66">
        <v>-8</v>
      </c>
      <c r="BK142" s="66">
        <v>-0.95184778610000009</v>
      </c>
      <c r="BL142" s="66">
        <v>2.5802777980000009</v>
      </c>
      <c r="BM142" s="66">
        <v>13.298353638400002</v>
      </c>
      <c r="BN142" s="66">
        <v>17.270479780000002</v>
      </c>
      <c r="BO142" s="66">
        <v>16.948725854200003</v>
      </c>
      <c r="BP142" s="66">
        <v>17.348047468900003</v>
      </c>
      <c r="BQ142" s="66">
        <v>8.7506054454999997</v>
      </c>
      <c r="BR142" s="66">
        <v>24.4180026955</v>
      </c>
      <c r="BS142" s="66">
        <v>21.873542328700001</v>
      </c>
      <c r="BT142" s="66">
        <v>17.558459675800002</v>
      </c>
      <c r="BU142" s="66">
        <v>15.785135467300005</v>
      </c>
      <c r="BV142" s="66">
        <v>27.236670659200001</v>
      </c>
      <c r="BW142" s="66">
        <v>18.479214787000004</v>
      </c>
      <c r="BX142" s="66">
        <v>38.418238771299997</v>
      </c>
      <c r="BY142" s="66">
        <v>47.582596651599999</v>
      </c>
      <c r="BZ142" s="66">
        <v>44.278633403499995</v>
      </c>
      <c r="CA142" s="66">
        <v>42.806198275600011</v>
      </c>
      <c r="CB142" s="66">
        <v>52.187347901799995</v>
      </c>
      <c r="CC142" s="66">
        <v>37.681026749800004</v>
      </c>
      <c r="CD142" s="66">
        <v>37.234984393600008</v>
      </c>
      <c r="CE142" s="66">
        <v>43.420022507500001</v>
      </c>
      <c r="CF142" s="66">
        <v>49.503513371200007</v>
      </c>
      <c r="CG142" s="66">
        <v>43.298698686400009</v>
      </c>
      <c r="CH142" s="66">
        <v>45.984559658799995</v>
      </c>
      <c r="CI142" s="66">
        <v>26.021330952999996</v>
      </c>
      <c r="CJ142" s="66">
        <v>49.266870001000008</v>
      </c>
      <c r="CK142" s="66">
        <v>66.147092668300004</v>
      </c>
      <c r="CL142" s="66">
        <v>64.155588226000006</v>
      </c>
      <c r="CM142" s="66">
        <v>78.498330492700006</v>
      </c>
      <c r="CN142" s="66">
        <v>84.638786886999995</v>
      </c>
      <c r="CO142" s="66">
        <v>51.500271551500006</v>
      </c>
      <c r="CP142" s="66">
        <v>40.2452636875</v>
      </c>
      <c r="CQ142" s="66">
        <v>68.934951211300017</v>
      </c>
      <c r="CR142" s="66">
        <v>53.303617119999998</v>
      </c>
      <c r="CS142" s="66">
        <v>41.579000132200008</v>
      </c>
      <c r="CT142" s="66">
        <v>53.401824493900001</v>
      </c>
      <c r="CU142" s="66">
        <v>44.719046754700003</v>
      </c>
      <c r="CV142" s="66">
        <v>63.720128399200007</v>
      </c>
      <c r="CW142" s="66">
        <v>82.136656637800002</v>
      </c>
      <c r="CX142" s="66">
        <v>74.727760256800011</v>
      </c>
      <c r="CY142" s="66">
        <v>80.154796557400005</v>
      </c>
      <c r="CZ142" s="66">
        <v>53.528214419500003</v>
      </c>
      <c r="DA142" s="66">
        <v>47.262944220999984</v>
      </c>
      <c r="DB142" s="66">
        <v>49.900996177600014</v>
      </c>
      <c r="DC142" s="66">
        <v>52.058593794099998</v>
      </c>
      <c r="DD142" s="66">
        <v>38.621708538700005</v>
      </c>
      <c r="DE142" s="66">
        <v>49.971809060500007</v>
      </c>
      <c r="DF142" s="66">
        <v>43.009968256600004</v>
      </c>
      <c r="DG142" s="66">
        <v>31.013320220500006</v>
      </c>
      <c r="DH142" s="66">
        <v>79.0237793461</v>
      </c>
      <c r="DI142" s="66">
        <v>75.899493937599999</v>
      </c>
      <c r="DJ142" s="66">
        <v>89.836835264200019</v>
      </c>
      <c r="DK142" s="66">
        <v>70.108373593599993</v>
      </c>
      <c r="DL142" s="66">
        <v>66.965024621500007</v>
      </c>
      <c r="DM142" s="66">
        <v>64.415648256999987</v>
      </c>
      <c r="DN142" s="66">
        <v>74.935958388399996</v>
      </c>
      <c r="DO142" s="66">
        <v>109.08221572570002</v>
      </c>
      <c r="DP142" s="79"/>
      <c r="DQ142" s="80"/>
      <c r="DR142" s="81"/>
      <c r="DS142" s="84">
        <f t="shared" si="20"/>
        <v>2018</v>
      </c>
      <c r="DT142" s="80"/>
      <c r="DU142" s="83">
        <f t="shared" si="22"/>
        <v>-96</v>
      </c>
      <c r="DV142" s="83">
        <f t="shared" si="22"/>
        <v>-96</v>
      </c>
      <c r="DW142" s="83">
        <f t="shared" si="22"/>
        <v>-96</v>
      </c>
      <c r="DX142" s="83">
        <f t="shared" si="22"/>
        <v>-96</v>
      </c>
      <c r="DY142" s="83">
        <f t="shared" si="22"/>
        <v>-88.951847786100004</v>
      </c>
      <c r="DZ142" s="83">
        <f t="shared" si="22"/>
        <v>201.54751559850001</v>
      </c>
      <c r="EA142" s="83">
        <f t="shared" si="22"/>
        <v>508.41715132410008</v>
      </c>
      <c r="EB142" s="83">
        <f t="shared" si="22"/>
        <v>696.39064322610011</v>
      </c>
      <c r="EC142" s="83">
        <f t="shared" si="22"/>
        <v>666.10689653970007</v>
      </c>
      <c r="ED142" s="83">
        <f t="shared" si="22"/>
        <v>630.26732913410001</v>
      </c>
    </row>
    <row r="143" spans="2:134" x14ac:dyDescent="0.3">
      <c r="B143" s="45">
        <f t="shared" si="21"/>
        <v>1000000139</v>
      </c>
      <c r="C143" s="46">
        <v>43831</v>
      </c>
      <c r="D143" s="66">
        <v>-8</v>
      </c>
      <c r="E143" s="66">
        <v>-8</v>
      </c>
      <c r="F143" s="66">
        <v>-8</v>
      </c>
      <c r="G143" s="66">
        <v>-8</v>
      </c>
      <c r="H143" s="66">
        <v>-8</v>
      </c>
      <c r="I143" s="66">
        <v>-8</v>
      </c>
      <c r="J143" s="66">
        <v>-8</v>
      </c>
      <c r="K143" s="66">
        <v>-8</v>
      </c>
      <c r="L143" s="66">
        <v>-8</v>
      </c>
      <c r="M143" s="66">
        <v>-8</v>
      </c>
      <c r="N143" s="66">
        <v>-8</v>
      </c>
      <c r="O143" s="66">
        <v>-8</v>
      </c>
      <c r="P143" s="66">
        <v>-8</v>
      </c>
      <c r="Q143" s="66">
        <v>-8</v>
      </c>
      <c r="R143" s="66">
        <v>-8</v>
      </c>
      <c r="S143" s="66">
        <v>-8</v>
      </c>
      <c r="T143" s="66">
        <v>-8</v>
      </c>
      <c r="U143" s="66">
        <v>-8</v>
      </c>
      <c r="V143" s="66">
        <v>-8</v>
      </c>
      <c r="W143" s="66">
        <v>-8</v>
      </c>
      <c r="X143" s="66">
        <v>-8</v>
      </c>
      <c r="Y143" s="66">
        <v>-8</v>
      </c>
      <c r="Z143" s="66">
        <v>-8</v>
      </c>
      <c r="AA143" s="66">
        <v>-8</v>
      </c>
      <c r="AB143" s="66">
        <v>-8</v>
      </c>
      <c r="AC143" s="66">
        <v>-8</v>
      </c>
      <c r="AD143" s="66">
        <v>-8</v>
      </c>
      <c r="AE143" s="66">
        <v>-8</v>
      </c>
      <c r="AF143" s="66">
        <v>-8</v>
      </c>
      <c r="AG143" s="66">
        <v>-8</v>
      </c>
      <c r="AH143" s="66">
        <v>-8</v>
      </c>
      <c r="AI143" s="66">
        <v>-8</v>
      </c>
      <c r="AJ143" s="66">
        <v>-8</v>
      </c>
      <c r="AK143" s="66">
        <v>-8</v>
      </c>
      <c r="AL143" s="66">
        <v>-8</v>
      </c>
      <c r="AM143" s="66">
        <v>-8</v>
      </c>
      <c r="AN143" s="66">
        <v>-8</v>
      </c>
      <c r="AO143" s="66">
        <v>-8</v>
      </c>
      <c r="AP143" s="66">
        <v>-8</v>
      </c>
      <c r="AQ143" s="66">
        <v>-8</v>
      </c>
      <c r="AR143" s="66">
        <v>-8</v>
      </c>
      <c r="AS143" s="66">
        <v>-8</v>
      </c>
      <c r="AT143" s="66">
        <v>-8</v>
      </c>
      <c r="AU143" s="66">
        <v>-8</v>
      </c>
      <c r="AV143" s="66">
        <v>-8</v>
      </c>
      <c r="AW143" s="66">
        <v>-8</v>
      </c>
      <c r="AX143" s="66">
        <v>-8</v>
      </c>
      <c r="AY143" s="66">
        <v>-8</v>
      </c>
      <c r="AZ143" s="66">
        <v>-8</v>
      </c>
      <c r="BA143" s="66">
        <v>-8</v>
      </c>
      <c r="BB143" s="66">
        <v>-8</v>
      </c>
      <c r="BC143" s="66">
        <v>-8</v>
      </c>
      <c r="BD143" s="66">
        <v>-8</v>
      </c>
      <c r="BE143" s="66">
        <v>-8</v>
      </c>
      <c r="BF143" s="66">
        <v>-8</v>
      </c>
      <c r="BG143" s="66">
        <v>-8</v>
      </c>
      <c r="BH143" s="66">
        <v>-8</v>
      </c>
      <c r="BI143" s="66">
        <v>-8</v>
      </c>
      <c r="BJ143" s="66">
        <v>-8</v>
      </c>
      <c r="BK143" s="66">
        <v>-8</v>
      </c>
      <c r="BL143" s="66">
        <v>-8</v>
      </c>
      <c r="BM143" s="66">
        <v>-8</v>
      </c>
      <c r="BN143" s="66">
        <v>-8</v>
      </c>
      <c r="BO143" s="66">
        <v>-8</v>
      </c>
      <c r="BP143" s="66">
        <v>-8</v>
      </c>
      <c r="BQ143" s="66">
        <v>-8</v>
      </c>
      <c r="BR143" s="66">
        <v>-8</v>
      </c>
      <c r="BS143" s="66">
        <v>-8</v>
      </c>
      <c r="BT143" s="66">
        <v>-8</v>
      </c>
      <c r="BU143" s="66">
        <v>-8</v>
      </c>
      <c r="BV143" s="66">
        <v>-8</v>
      </c>
      <c r="BW143" s="66">
        <v>-8</v>
      </c>
      <c r="BX143" s="66">
        <v>-8</v>
      </c>
      <c r="BY143" s="66">
        <v>6.8803872976000022</v>
      </c>
      <c r="BZ143" s="66">
        <v>14.776455298000002</v>
      </c>
      <c r="CA143" s="66">
        <v>27.251268545499997</v>
      </c>
      <c r="CB143" s="66">
        <v>32.634361080399998</v>
      </c>
      <c r="CC143" s="66">
        <v>52.487486448400006</v>
      </c>
      <c r="CD143" s="66">
        <v>51.373243672000001</v>
      </c>
      <c r="CE143" s="66">
        <v>29.377381260699998</v>
      </c>
      <c r="CF143" s="66">
        <v>36.8308593613</v>
      </c>
      <c r="CG143" s="66">
        <v>60.832861627900002</v>
      </c>
      <c r="CH143" s="66">
        <v>38.810355259600009</v>
      </c>
      <c r="CI143" s="66">
        <v>18.253304053000004</v>
      </c>
      <c r="CJ143" s="66">
        <v>36.879756651400001</v>
      </c>
      <c r="CK143" s="66">
        <v>70.742424716800016</v>
      </c>
      <c r="CL143" s="66">
        <v>76.9995891481</v>
      </c>
      <c r="CM143" s="66">
        <v>124.73306370100002</v>
      </c>
      <c r="CN143" s="66">
        <v>63.492453910300014</v>
      </c>
      <c r="CO143" s="66">
        <v>54.492950823099996</v>
      </c>
      <c r="CP143" s="66">
        <v>46.351608311500009</v>
      </c>
      <c r="CQ143" s="66">
        <v>57.658553128300014</v>
      </c>
      <c r="CR143" s="66">
        <v>43.808611486000004</v>
      </c>
      <c r="CS143" s="66">
        <v>39.595488877000001</v>
      </c>
      <c r="CT143" s="66">
        <v>49.816898842900002</v>
      </c>
      <c r="CU143" s="66">
        <v>44.613746834499999</v>
      </c>
      <c r="CV143" s="66">
        <v>34.132652104600005</v>
      </c>
      <c r="CW143" s="66">
        <v>56.967574001199992</v>
      </c>
      <c r="CX143" s="66">
        <v>47.152540669599993</v>
      </c>
      <c r="CY143" s="66">
        <v>63.419689638999998</v>
      </c>
      <c r="CZ143" s="66">
        <v>58.662129666400006</v>
      </c>
      <c r="DA143" s="66">
        <v>49.946853805000003</v>
      </c>
      <c r="DB143" s="66">
        <v>52.820273224000005</v>
      </c>
      <c r="DC143" s="66">
        <v>45.738497086900004</v>
      </c>
      <c r="DD143" s="66">
        <v>47.082515847400011</v>
      </c>
      <c r="DE143" s="66">
        <v>13.433712445300003</v>
      </c>
      <c r="DF143" s="66">
        <v>24.109570748199999</v>
      </c>
      <c r="DG143" s="66">
        <v>53.210851117600015</v>
      </c>
      <c r="DH143" s="66">
        <v>75.485874650199989</v>
      </c>
      <c r="DI143" s="66">
        <v>105.41810873770001</v>
      </c>
      <c r="DJ143" s="66">
        <v>119.68279546839999</v>
      </c>
      <c r="DK143" s="66">
        <v>81.481853249500006</v>
      </c>
      <c r="DL143" s="66">
        <v>29.501744744500002</v>
      </c>
      <c r="DM143" s="66">
        <v>45.671099133699997</v>
      </c>
      <c r="DN143" s="66">
        <v>56.091100396000002</v>
      </c>
      <c r="DO143" s="66">
        <v>59.640826002400004</v>
      </c>
      <c r="DP143" s="79"/>
      <c r="DQ143" s="80"/>
      <c r="DR143" s="81"/>
      <c r="DS143" s="84">
        <f t="shared" si="20"/>
        <v>2020</v>
      </c>
      <c r="DT143" s="80"/>
      <c r="DU143" s="83">
        <f t="shared" si="22"/>
        <v>-96</v>
      </c>
      <c r="DV143" s="83">
        <f t="shared" si="22"/>
        <v>-96</v>
      </c>
      <c r="DW143" s="83">
        <f t="shared" si="22"/>
        <v>-96</v>
      </c>
      <c r="DX143" s="83">
        <f t="shared" si="22"/>
        <v>-96</v>
      </c>
      <c r="DY143" s="83">
        <f t="shared" si="22"/>
        <v>-96</v>
      </c>
      <c r="DZ143" s="83">
        <f t="shared" si="22"/>
        <v>-96</v>
      </c>
      <c r="EA143" s="83">
        <f t="shared" si="22"/>
        <v>361.50796390440001</v>
      </c>
      <c r="EB143" s="83">
        <f t="shared" si="22"/>
        <v>709.18514643089998</v>
      </c>
      <c r="EC143" s="83">
        <f t="shared" si="22"/>
        <v>546.67686035520001</v>
      </c>
      <c r="ED143" s="83">
        <f t="shared" si="22"/>
        <v>572.97340238240008</v>
      </c>
    </row>
    <row r="144" spans="2:134" x14ac:dyDescent="0.3">
      <c r="B144" s="45">
        <f t="shared" si="21"/>
        <v>1000000140</v>
      </c>
      <c r="C144" s="46">
        <v>42948</v>
      </c>
      <c r="D144" s="66">
        <v>-8</v>
      </c>
      <c r="E144" s="66">
        <v>-8</v>
      </c>
      <c r="F144" s="66">
        <v>-8</v>
      </c>
      <c r="G144" s="66">
        <v>-8</v>
      </c>
      <c r="H144" s="66">
        <v>-8</v>
      </c>
      <c r="I144" s="66">
        <v>-8</v>
      </c>
      <c r="J144" s="66">
        <v>-8</v>
      </c>
      <c r="K144" s="66">
        <v>-8</v>
      </c>
      <c r="L144" s="66">
        <v>-8</v>
      </c>
      <c r="M144" s="66">
        <v>-8</v>
      </c>
      <c r="N144" s="66">
        <v>-8</v>
      </c>
      <c r="O144" s="66">
        <v>-8</v>
      </c>
      <c r="P144" s="66">
        <v>-8</v>
      </c>
      <c r="Q144" s="66">
        <v>-8</v>
      </c>
      <c r="R144" s="66">
        <v>-8</v>
      </c>
      <c r="S144" s="66">
        <v>-8</v>
      </c>
      <c r="T144" s="66">
        <v>-8</v>
      </c>
      <c r="U144" s="66">
        <v>-8</v>
      </c>
      <c r="V144" s="66">
        <v>-8</v>
      </c>
      <c r="W144" s="66">
        <v>-8</v>
      </c>
      <c r="X144" s="66">
        <v>-8</v>
      </c>
      <c r="Y144" s="66">
        <v>-8</v>
      </c>
      <c r="Z144" s="66">
        <v>-8</v>
      </c>
      <c r="AA144" s="66">
        <v>-8</v>
      </c>
      <c r="AB144" s="66">
        <v>-8</v>
      </c>
      <c r="AC144" s="66">
        <v>-8</v>
      </c>
      <c r="AD144" s="66">
        <v>-8</v>
      </c>
      <c r="AE144" s="66">
        <v>-8</v>
      </c>
      <c r="AF144" s="66">
        <v>-8</v>
      </c>
      <c r="AG144" s="66">
        <v>-8</v>
      </c>
      <c r="AH144" s="66">
        <v>-8</v>
      </c>
      <c r="AI144" s="66">
        <v>-8</v>
      </c>
      <c r="AJ144" s="66">
        <v>-8</v>
      </c>
      <c r="AK144" s="66">
        <v>-8</v>
      </c>
      <c r="AL144" s="66">
        <v>-8</v>
      </c>
      <c r="AM144" s="66">
        <v>-8</v>
      </c>
      <c r="AN144" s="66">
        <v>-8</v>
      </c>
      <c r="AO144" s="66">
        <v>-8</v>
      </c>
      <c r="AP144" s="66">
        <v>-8</v>
      </c>
      <c r="AQ144" s="66">
        <v>-8</v>
      </c>
      <c r="AR144" s="66">
        <v>-8</v>
      </c>
      <c r="AS144" s="66">
        <v>-8</v>
      </c>
      <c r="AT144" s="66">
        <v>-8</v>
      </c>
      <c r="AU144" s="66">
        <v>-2.4724296701000004</v>
      </c>
      <c r="AV144" s="66">
        <v>3.5181450844000022</v>
      </c>
      <c r="AW144" s="66">
        <v>8.3302688787999983</v>
      </c>
      <c r="AX144" s="66">
        <v>5.0448062938000007</v>
      </c>
      <c r="AY144" s="66">
        <v>1.9611247746999982</v>
      </c>
      <c r="AZ144" s="66">
        <v>2.7265944012999999</v>
      </c>
      <c r="BA144" s="66">
        <v>4.5546700651000016</v>
      </c>
      <c r="BB144" s="66">
        <v>4.1452162414</v>
      </c>
      <c r="BC144" s="66">
        <v>6.8347548304000014</v>
      </c>
      <c r="BD144" s="66">
        <v>16.312648289200002</v>
      </c>
      <c r="BE144" s="66">
        <v>6.2212308121000017</v>
      </c>
      <c r="BF144" s="66">
        <v>6.9751422151000018</v>
      </c>
      <c r="BG144" s="66">
        <v>1.5607524124000012</v>
      </c>
      <c r="BH144" s="66">
        <v>9.0555849364000061</v>
      </c>
      <c r="BI144" s="66">
        <v>13.991209100500001</v>
      </c>
      <c r="BJ144" s="66">
        <v>10.8600938326</v>
      </c>
      <c r="BK144" s="66">
        <v>12.3066355375</v>
      </c>
      <c r="BL144" s="66">
        <v>15.134122275700001</v>
      </c>
      <c r="BM144" s="66">
        <v>21.473320073200004</v>
      </c>
      <c r="BN144" s="66">
        <v>20.646569345500001</v>
      </c>
      <c r="BO144" s="66">
        <v>19.042565607399997</v>
      </c>
      <c r="BP144" s="66">
        <v>17.486070671500006</v>
      </c>
      <c r="BQ144" s="66">
        <v>15.858875432800001</v>
      </c>
      <c r="BR144" s="66">
        <v>16.367587378</v>
      </c>
      <c r="BS144" s="66">
        <v>13.8294690235</v>
      </c>
      <c r="BT144" s="66">
        <v>16.930300244500003</v>
      </c>
      <c r="BU144" s="66">
        <v>23.351343774700002</v>
      </c>
      <c r="BV144" s="66">
        <v>10.512108743500001</v>
      </c>
      <c r="BW144" s="66">
        <v>19.749043261600001</v>
      </c>
      <c r="BX144" s="66">
        <v>24.5118569722</v>
      </c>
      <c r="BY144" s="66">
        <v>33.832626138100004</v>
      </c>
      <c r="BZ144" s="66">
        <v>21.992539494399999</v>
      </c>
      <c r="CA144" s="66">
        <v>32.522231300800001</v>
      </c>
      <c r="CB144" s="66">
        <v>23.211706924000008</v>
      </c>
      <c r="CC144" s="66">
        <v>32.330770077399997</v>
      </c>
      <c r="CD144" s="66">
        <v>42.671364842500004</v>
      </c>
      <c r="CE144" s="66">
        <v>42.611397175900017</v>
      </c>
      <c r="CF144" s="66">
        <v>18.312483658900003</v>
      </c>
      <c r="CG144" s="66">
        <v>19.759100417199999</v>
      </c>
      <c r="CH144" s="66">
        <v>33.848950252599998</v>
      </c>
      <c r="CI144" s="66">
        <v>32.956715433400007</v>
      </c>
      <c r="CJ144" s="66">
        <v>37.2827934094</v>
      </c>
      <c r="CK144" s="66">
        <v>47.758033974100002</v>
      </c>
      <c r="CL144" s="66">
        <v>37.7631726961</v>
      </c>
      <c r="CM144" s="66">
        <v>34.589314516899996</v>
      </c>
      <c r="CN144" s="66">
        <v>32.141673036100002</v>
      </c>
      <c r="CO144" s="66">
        <v>29.012959477000003</v>
      </c>
      <c r="CP144" s="66">
        <v>30.057214957899994</v>
      </c>
      <c r="CQ144" s="66">
        <v>35.301683863000001</v>
      </c>
      <c r="CR144" s="66">
        <v>37.715889054100003</v>
      </c>
      <c r="CS144" s="66">
        <v>31.941993465400003</v>
      </c>
      <c r="CT144" s="66">
        <v>26.510754174399999</v>
      </c>
      <c r="CU144" s="66">
        <v>31.740475086399996</v>
      </c>
      <c r="CV144" s="66">
        <v>24.110058595300004</v>
      </c>
      <c r="CW144" s="66">
        <v>42.665435623899995</v>
      </c>
      <c r="CX144" s="66">
        <v>36.486927155800004</v>
      </c>
      <c r="CY144" s="66">
        <v>31.419133954300008</v>
      </c>
      <c r="CZ144" s="66">
        <v>34.752743295400002</v>
      </c>
      <c r="DA144" s="66">
        <v>32.632222058499998</v>
      </c>
      <c r="DB144" s="66">
        <v>30.647810162500008</v>
      </c>
      <c r="DC144" s="66">
        <v>56.051171987199993</v>
      </c>
      <c r="DD144" s="66">
        <v>52.679960892699995</v>
      </c>
      <c r="DE144" s="66">
        <v>44.593782630100002</v>
      </c>
      <c r="DF144" s="66">
        <v>48.593866163199998</v>
      </c>
      <c r="DG144" s="66">
        <v>51.081135839200002</v>
      </c>
      <c r="DH144" s="66">
        <v>55.915362859900007</v>
      </c>
      <c r="DI144" s="66">
        <v>64.235032249900001</v>
      </c>
      <c r="DJ144" s="66">
        <v>76.982476972900017</v>
      </c>
      <c r="DK144" s="66">
        <v>63.7316490961</v>
      </c>
      <c r="DL144" s="66">
        <v>54.625232440600001</v>
      </c>
      <c r="DM144" s="66">
        <v>63.659260091800007</v>
      </c>
      <c r="DN144" s="66">
        <v>48.467401184200007</v>
      </c>
      <c r="DO144" s="66">
        <v>69.160636785099996</v>
      </c>
      <c r="DP144" s="79"/>
      <c r="DQ144" s="80"/>
      <c r="DR144" s="81"/>
      <c r="DS144" s="84">
        <f t="shared" si="20"/>
        <v>2017</v>
      </c>
      <c r="DT144" s="80"/>
      <c r="DU144" s="83">
        <f t="shared" si="22"/>
        <v>-96</v>
      </c>
      <c r="DV144" s="83">
        <f t="shared" si="22"/>
        <v>-96</v>
      </c>
      <c r="DW144" s="83">
        <f t="shared" si="22"/>
        <v>-96</v>
      </c>
      <c r="DX144" s="83">
        <f t="shared" si="22"/>
        <v>-39.618084638399999</v>
      </c>
      <c r="DY144" s="83">
        <f t="shared" si="22"/>
        <v>95.544532674000024</v>
      </c>
      <c r="DZ144" s="83">
        <f t="shared" si="22"/>
        <v>210.38137583190004</v>
      </c>
      <c r="EA144" s="83">
        <f t="shared" si="22"/>
        <v>358.5617426874</v>
      </c>
      <c r="EB144" s="83">
        <f t="shared" si="22"/>
        <v>411.81595771080003</v>
      </c>
      <c r="EC144" s="83">
        <f t="shared" si="22"/>
        <v>485.71424835810001</v>
      </c>
      <c r="ED144" s="83">
        <f t="shared" si="22"/>
        <v>496.77705168050005</v>
      </c>
    </row>
    <row r="145" spans="2:134" x14ac:dyDescent="0.3">
      <c r="B145" s="45">
        <f t="shared" si="21"/>
        <v>1000000141</v>
      </c>
      <c r="C145" s="46">
        <v>42583</v>
      </c>
      <c r="D145" s="66">
        <v>-8</v>
      </c>
      <c r="E145" s="66">
        <v>-8</v>
      </c>
      <c r="F145" s="66">
        <v>-8</v>
      </c>
      <c r="G145" s="66">
        <v>-8</v>
      </c>
      <c r="H145" s="66">
        <v>-8</v>
      </c>
      <c r="I145" s="66">
        <v>-8</v>
      </c>
      <c r="J145" s="66">
        <v>-8</v>
      </c>
      <c r="K145" s="66">
        <v>-8</v>
      </c>
      <c r="L145" s="66">
        <v>-8</v>
      </c>
      <c r="M145" s="66">
        <v>-8</v>
      </c>
      <c r="N145" s="66">
        <v>-8</v>
      </c>
      <c r="O145" s="66">
        <v>-8</v>
      </c>
      <c r="P145" s="66">
        <v>-8</v>
      </c>
      <c r="Q145" s="66">
        <v>-8</v>
      </c>
      <c r="R145" s="66">
        <v>-8</v>
      </c>
      <c r="S145" s="66">
        <v>-8</v>
      </c>
      <c r="T145" s="66">
        <v>-8</v>
      </c>
      <c r="U145" s="66">
        <v>-8</v>
      </c>
      <c r="V145" s="66">
        <v>-8</v>
      </c>
      <c r="W145" s="66">
        <v>-8</v>
      </c>
      <c r="X145" s="66">
        <v>-8</v>
      </c>
      <c r="Y145" s="66">
        <v>-8</v>
      </c>
      <c r="Z145" s="66">
        <v>-8</v>
      </c>
      <c r="AA145" s="66">
        <v>-8</v>
      </c>
      <c r="AB145" s="66">
        <v>-8</v>
      </c>
      <c r="AC145" s="66">
        <v>-8</v>
      </c>
      <c r="AD145" s="66">
        <v>-8</v>
      </c>
      <c r="AE145" s="66">
        <v>-8</v>
      </c>
      <c r="AF145" s="66">
        <v>-8</v>
      </c>
      <c r="AG145" s="66">
        <v>-8</v>
      </c>
      <c r="AH145" s="66">
        <v>-8</v>
      </c>
      <c r="AI145" s="66">
        <v>-7.79360315</v>
      </c>
      <c r="AJ145" s="66">
        <v>-4.8871977616999995</v>
      </c>
      <c r="AK145" s="66">
        <v>0.53991359229999958</v>
      </c>
      <c r="AL145" s="66">
        <v>-0.15207875569999985</v>
      </c>
      <c r="AM145" s="66">
        <v>8.9593192300000624E-2</v>
      </c>
      <c r="AN145" s="66">
        <v>0.97867576869999873</v>
      </c>
      <c r="AO145" s="66">
        <v>5.0674348938999998</v>
      </c>
      <c r="AP145" s="66">
        <v>16.121299645900002</v>
      </c>
      <c r="AQ145" s="66">
        <v>4.5406350793000012</v>
      </c>
      <c r="AR145" s="66">
        <v>5.0129836522000026</v>
      </c>
      <c r="AS145" s="66">
        <v>7.6632317863000008</v>
      </c>
      <c r="AT145" s="66">
        <v>7.3190368938999999</v>
      </c>
      <c r="AU145" s="66">
        <v>18.093740524599998</v>
      </c>
      <c r="AV145" s="66">
        <v>10.585923762399997</v>
      </c>
      <c r="AW145" s="66">
        <v>12.764836544500003</v>
      </c>
      <c r="AX145" s="66">
        <v>12.773542738899998</v>
      </c>
      <c r="AY145" s="66">
        <v>7.6872113475999999</v>
      </c>
      <c r="AZ145" s="66">
        <v>18.081056500000003</v>
      </c>
      <c r="BA145" s="66">
        <v>12.795083064700002</v>
      </c>
      <c r="BB145" s="66">
        <v>1.891175005900001</v>
      </c>
      <c r="BC145" s="66">
        <v>12.256950186699999</v>
      </c>
      <c r="BD145" s="66">
        <v>5.357478758200001</v>
      </c>
      <c r="BE145" s="66">
        <v>8.4484029304000003</v>
      </c>
      <c r="BF145" s="66">
        <v>11.894780005000001</v>
      </c>
      <c r="BG145" s="66">
        <v>7.8000166078000017</v>
      </c>
      <c r="BH145" s="66">
        <v>12.975473911600002</v>
      </c>
      <c r="BI145" s="66">
        <v>11.672284200700002</v>
      </c>
      <c r="BJ145" s="66">
        <v>15.766297063900002</v>
      </c>
      <c r="BK145" s="66">
        <v>14.796532082500008</v>
      </c>
      <c r="BL145" s="66">
        <v>6.0832451361999986</v>
      </c>
      <c r="BM145" s="66">
        <v>10.629830001400009</v>
      </c>
      <c r="BN145" s="66">
        <v>29.306493324400002</v>
      </c>
      <c r="BO145" s="66">
        <v>95.388535262199994</v>
      </c>
      <c r="BP145" s="66">
        <v>59.317083161500008</v>
      </c>
      <c r="BQ145" s="66">
        <v>76.243463669800008</v>
      </c>
      <c r="BR145" s="66">
        <v>83.192920662700004</v>
      </c>
      <c r="BS145" s="66">
        <v>99.304146193600005</v>
      </c>
      <c r="BT145" s="66">
        <v>81.907818821199996</v>
      </c>
      <c r="BU145" s="66">
        <v>129.15971323300002</v>
      </c>
      <c r="BV145" s="66">
        <v>97.671397003300015</v>
      </c>
      <c r="BW145" s="66">
        <v>88.33302781510001</v>
      </c>
      <c r="BX145" s="66">
        <v>72.58727481550001</v>
      </c>
      <c r="BY145" s="66">
        <v>106.3806685927</v>
      </c>
      <c r="BZ145" s="66">
        <v>137.34567499089999</v>
      </c>
      <c r="CA145" s="66">
        <v>125.67532161130001</v>
      </c>
      <c r="CB145" s="66">
        <v>110.63270638959999</v>
      </c>
      <c r="CC145" s="66">
        <v>123.759621103</v>
      </c>
      <c r="CD145" s="66">
        <v>93.548225894200002</v>
      </c>
      <c r="CE145" s="66">
        <v>62.596541474500015</v>
      </c>
      <c r="CF145" s="66">
        <v>65.341169259099999</v>
      </c>
      <c r="CG145" s="66">
        <v>84.876556058199995</v>
      </c>
      <c r="CH145" s="66">
        <v>79.14532832739998</v>
      </c>
      <c r="CI145" s="66">
        <v>60.915833161600005</v>
      </c>
      <c r="CJ145" s="66">
        <v>76.325797249600015</v>
      </c>
      <c r="CK145" s="66">
        <v>69.841183489599999</v>
      </c>
      <c r="CL145" s="66">
        <v>67.933551221800002</v>
      </c>
      <c r="CM145" s="66">
        <v>98.452477737099997</v>
      </c>
      <c r="CN145" s="66">
        <v>112.85653863160002</v>
      </c>
      <c r="CO145" s="66">
        <v>85.205289950200012</v>
      </c>
      <c r="CP145" s="66">
        <v>94.064255545900011</v>
      </c>
      <c r="CQ145" s="66">
        <v>70.515163021599975</v>
      </c>
      <c r="CR145" s="66">
        <v>80.12436240369999</v>
      </c>
      <c r="CS145" s="66">
        <v>32.656952153799999</v>
      </c>
      <c r="CT145" s="66">
        <v>122.61667040110001</v>
      </c>
      <c r="CU145" s="66">
        <v>60.773231701599997</v>
      </c>
      <c r="CV145" s="66">
        <v>61.947779884899987</v>
      </c>
      <c r="CW145" s="66">
        <v>58.933072440399997</v>
      </c>
      <c r="CX145" s="66">
        <v>57.193409681800006</v>
      </c>
      <c r="CY145" s="66">
        <v>85.626902424700006</v>
      </c>
      <c r="CZ145" s="66">
        <v>55.600701480399998</v>
      </c>
      <c r="DA145" s="66">
        <v>64.153524257500024</v>
      </c>
      <c r="DB145" s="66">
        <v>68.019787578399985</v>
      </c>
      <c r="DC145" s="66">
        <v>58.087183095699999</v>
      </c>
      <c r="DD145" s="66">
        <v>56.540294994999996</v>
      </c>
      <c r="DE145" s="66">
        <v>62.933155973500007</v>
      </c>
      <c r="DF145" s="66">
        <v>69.939953764000009</v>
      </c>
      <c r="DG145" s="66">
        <v>66.41773522870001</v>
      </c>
      <c r="DH145" s="66">
        <v>35.8628581348</v>
      </c>
      <c r="DI145" s="66">
        <v>69.413529216399994</v>
      </c>
      <c r="DJ145" s="66">
        <v>50.790191334100001</v>
      </c>
      <c r="DK145" s="66">
        <v>57.941279286100013</v>
      </c>
      <c r="DL145" s="66">
        <v>43.396005419499993</v>
      </c>
      <c r="DM145" s="66">
        <v>41.260098235600005</v>
      </c>
      <c r="DN145" s="66">
        <v>67.326481795899994</v>
      </c>
      <c r="DO145" s="66">
        <v>68.569215993100002</v>
      </c>
      <c r="DP145" s="79"/>
      <c r="DQ145" s="80"/>
      <c r="DR145" s="81"/>
      <c r="DS145" s="84">
        <f t="shared" si="20"/>
        <v>2016</v>
      </c>
      <c r="DT145" s="80"/>
      <c r="DU145" s="83">
        <f t="shared" ref="DU145:ED154" si="23">+SUMIF($D$3:$DO$3,DU$4,$D145:$DO145)</f>
        <v>-96</v>
      </c>
      <c r="DV145" s="83">
        <f t="shared" si="23"/>
        <v>-96</v>
      </c>
      <c r="DW145" s="83">
        <f t="shared" si="23"/>
        <v>-68.203372882800011</v>
      </c>
      <c r="DX145" s="83">
        <f t="shared" si="23"/>
        <v>108.6085526382</v>
      </c>
      <c r="DY145" s="83">
        <f t="shared" si="23"/>
        <v>133.73553031740002</v>
      </c>
      <c r="DZ145" s="83">
        <f t="shared" si="23"/>
        <v>856.53767428440005</v>
      </c>
      <c r="EA145" s="83">
        <f t="shared" si="23"/>
        <v>1122.8049216779998</v>
      </c>
      <c r="EB145" s="83">
        <f t="shared" si="23"/>
        <v>971.36547350760009</v>
      </c>
      <c r="EC145" s="83">
        <f t="shared" si="23"/>
        <v>765.39350080500003</v>
      </c>
      <c r="ED145" s="83">
        <f t="shared" si="23"/>
        <v>434.55965941549999</v>
      </c>
    </row>
    <row r="146" spans="2:134" x14ac:dyDescent="0.3">
      <c r="B146" s="45">
        <f t="shared" si="21"/>
        <v>1000000142</v>
      </c>
      <c r="C146" s="46">
        <v>41821</v>
      </c>
      <c r="D146" s="66">
        <v>-8</v>
      </c>
      <c r="E146" s="66">
        <v>-8</v>
      </c>
      <c r="F146" s="66">
        <v>-8</v>
      </c>
      <c r="G146" s="66">
        <v>-8</v>
      </c>
      <c r="H146" s="66">
        <v>-8</v>
      </c>
      <c r="I146" s="66">
        <v>-8</v>
      </c>
      <c r="J146" s="66">
        <v>-4.8965419099999998</v>
      </c>
      <c r="K146" s="66">
        <v>1.1175620853999977</v>
      </c>
      <c r="L146" s="66">
        <v>14.327560912599999</v>
      </c>
      <c r="M146" s="66">
        <v>6.8985126937000008</v>
      </c>
      <c r="N146" s="66">
        <v>13.286232514300004</v>
      </c>
      <c r="O146" s="66">
        <v>7.9363511089000003</v>
      </c>
      <c r="P146" s="66">
        <v>15.763970408500004</v>
      </c>
      <c r="Q146" s="66">
        <v>77.337517081599998</v>
      </c>
      <c r="R146" s="66">
        <v>25.938021679000009</v>
      </c>
      <c r="S146" s="66">
        <v>22.648130943400005</v>
      </c>
      <c r="T146" s="66">
        <v>15.505336392100002</v>
      </c>
      <c r="U146" s="66">
        <v>19.955440111599998</v>
      </c>
      <c r="V146" s="66">
        <v>17.669013333999999</v>
      </c>
      <c r="W146" s="66">
        <v>15.9696917779</v>
      </c>
      <c r="X146" s="66">
        <v>22.808182318900005</v>
      </c>
      <c r="Y146" s="66">
        <v>25.8042389935</v>
      </c>
      <c r="Z146" s="66">
        <v>23.509218601600004</v>
      </c>
      <c r="AA146" s="66">
        <v>12.780522705100001</v>
      </c>
      <c r="AB146" s="66">
        <v>17.937967192900004</v>
      </c>
      <c r="AC146" s="66">
        <v>53.581765020399999</v>
      </c>
      <c r="AD146" s="66">
        <v>48.894867823900007</v>
      </c>
      <c r="AE146" s="66">
        <v>30.132718678300002</v>
      </c>
      <c r="AF146" s="66">
        <v>35.373772653700009</v>
      </c>
      <c r="AG146" s="66">
        <v>31.817367294699999</v>
      </c>
      <c r="AH146" s="66">
        <v>31.878047968600001</v>
      </c>
      <c r="AI146" s="66">
        <v>34.139819704300002</v>
      </c>
      <c r="AJ146" s="66">
        <v>24.848734158100001</v>
      </c>
      <c r="AK146" s="66">
        <v>28.598627182300007</v>
      </c>
      <c r="AL146" s="66">
        <v>29.828076927700003</v>
      </c>
      <c r="AM146" s="66">
        <v>24.317881459900008</v>
      </c>
      <c r="AN146" s="66">
        <v>42.2084354713</v>
      </c>
      <c r="AO146" s="66">
        <v>59.923101839800012</v>
      </c>
      <c r="AP146" s="66">
        <v>51.901844768199993</v>
      </c>
      <c r="AQ146" s="66">
        <v>39.513868304500008</v>
      </c>
      <c r="AR146" s="66">
        <v>33.826096492299996</v>
      </c>
      <c r="AS146" s="66">
        <v>47.043112812399997</v>
      </c>
      <c r="AT146" s="66">
        <v>37.578841545700001</v>
      </c>
      <c r="AU146" s="66">
        <v>36.769840947100008</v>
      </c>
      <c r="AV146" s="66">
        <v>34.4852905045</v>
      </c>
      <c r="AW146" s="66">
        <v>39.400612723900004</v>
      </c>
      <c r="AX146" s="66">
        <v>29.355578248</v>
      </c>
      <c r="AY146" s="66">
        <v>35.886987802899995</v>
      </c>
      <c r="AZ146" s="66">
        <v>45.9157732177</v>
      </c>
      <c r="BA146" s="66">
        <v>81.082231421200007</v>
      </c>
      <c r="BB146" s="66">
        <v>72.051618699699986</v>
      </c>
      <c r="BC146" s="66">
        <v>66.901679551900003</v>
      </c>
      <c r="BD146" s="66">
        <v>42.665247990400005</v>
      </c>
      <c r="BE146" s="66">
        <v>36.131511780099999</v>
      </c>
      <c r="BF146" s="66">
        <v>29.8710825259</v>
      </c>
      <c r="BG146" s="66">
        <v>33.218239005699999</v>
      </c>
      <c r="BH146" s="66">
        <v>35.111498547400011</v>
      </c>
      <c r="BI146" s="66">
        <v>36.777871660900011</v>
      </c>
      <c r="BJ146" s="66">
        <v>28.100272606299995</v>
      </c>
      <c r="BK146" s="66">
        <v>23.8762672543</v>
      </c>
      <c r="BL146" s="66">
        <v>38.478093857799998</v>
      </c>
      <c r="BM146" s="66">
        <v>54.172210118200006</v>
      </c>
      <c r="BN146" s="66">
        <v>59.212758935500005</v>
      </c>
      <c r="BO146" s="66">
        <v>53.751798498100001</v>
      </c>
      <c r="BP146" s="66">
        <v>47.5315228129</v>
      </c>
      <c r="BQ146" s="66">
        <v>40.496692577499999</v>
      </c>
      <c r="BR146" s="66">
        <v>44.866526685700009</v>
      </c>
      <c r="BS146" s="66">
        <v>38.317554635200004</v>
      </c>
      <c r="BT146" s="66">
        <v>39.944562240399996</v>
      </c>
      <c r="BU146" s="66">
        <v>42.918215475099998</v>
      </c>
      <c r="BV146" s="66">
        <v>48.108683458900003</v>
      </c>
      <c r="BW146" s="66">
        <v>30.9237064609</v>
      </c>
      <c r="BX146" s="66">
        <v>39.813368897200007</v>
      </c>
      <c r="BY146" s="66">
        <v>77.820823450900022</v>
      </c>
      <c r="BZ146" s="66">
        <v>64.549393415799997</v>
      </c>
      <c r="CA146" s="66">
        <v>39.505837590699997</v>
      </c>
      <c r="CB146" s="66">
        <v>39.354867676600001</v>
      </c>
      <c r="CC146" s="66">
        <v>45.903051666400003</v>
      </c>
      <c r="CD146" s="66">
        <v>63.121652587599996</v>
      </c>
      <c r="CE146" s="66">
        <v>46.655349421300002</v>
      </c>
      <c r="CF146" s="66">
        <v>46.124609303200003</v>
      </c>
      <c r="CG146" s="66">
        <v>50.495381578900002</v>
      </c>
      <c r="CH146" s="66">
        <v>36.307699636599999</v>
      </c>
      <c r="CI146" s="66">
        <v>30.329058372700004</v>
      </c>
      <c r="CJ146" s="66">
        <v>46.144348347399998</v>
      </c>
      <c r="CK146" s="66">
        <v>69.138045711700016</v>
      </c>
      <c r="CL146" s="66">
        <v>70.224030883000012</v>
      </c>
      <c r="CM146" s="66">
        <v>62.366690436999988</v>
      </c>
      <c r="CN146" s="66">
        <v>43.782718062999997</v>
      </c>
      <c r="CO146" s="66">
        <v>43.806322357299997</v>
      </c>
      <c r="CP146" s="66">
        <v>38.612589550599999</v>
      </c>
      <c r="CQ146" s="66">
        <v>34.504579228300003</v>
      </c>
      <c r="CR146" s="66">
        <v>42.518856333700008</v>
      </c>
      <c r="CS146" s="66">
        <v>44.955464964699999</v>
      </c>
      <c r="CT146" s="66">
        <v>30.699034107999999</v>
      </c>
      <c r="CU146" s="66">
        <v>35.9653810792</v>
      </c>
      <c r="CV146" s="66">
        <v>35.956637358100004</v>
      </c>
      <c r="CW146" s="66">
        <v>42.7203747127</v>
      </c>
      <c r="CX146" s="66">
        <v>76.407680509000002</v>
      </c>
      <c r="CY146" s="66">
        <v>60.9532097548</v>
      </c>
      <c r="CZ146" s="66">
        <v>37.776907468300003</v>
      </c>
      <c r="DA146" s="66">
        <v>39.248742169000003</v>
      </c>
      <c r="DB146" s="66">
        <v>44.458273716400001</v>
      </c>
      <c r="DC146" s="66">
        <v>40.006218608499999</v>
      </c>
      <c r="DD146" s="66">
        <v>37.084352219800003</v>
      </c>
      <c r="DE146" s="66">
        <v>48.644714841700001</v>
      </c>
      <c r="DF146" s="66">
        <v>31.872156276700004</v>
      </c>
      <c r="DG146" s="66">
        <v>45.644680336900002</v>
      </c>
      <c r="DH146" s="66">
        <v>52.643935260699998</v>
      </c>
      <c r="DI146" s="66">
        <v>64.332601669900001</v>
      </c>
      <c r="DJ146" s="66">
        <v>76.408806310000017</v>
      </c>
      <c r="DK146" s="66">
        <v>76.995461211100007</v>
      </c>
      <c r="DL146" s="66">
        <v>55.810250573200001</v>
      </c>
      <c r="DM146" s="66">
        <v>63.696824318500006</v>
      </c>
      <c r="DN146" s="66">
        <v>48.117239546500002</v>
      </c>
      <c r="DO146" s="66">
        <v>60.358374033100006</v>
      </c>
      <c r="DP146" s="79"/>
      <c r="DQ146" s="80"/>
      <c r="DR146" s="81"/>
      <c r="DS146" s="84">
        <f t="shared" si="20"/>
        <v>2014</v>
      </c>
      <c r="DT146" s="80"/>
      <c r="DU146" s="83">
        <f t="shared" si="23"/>
        <v>-9.3303225950999984</v>
      </c>
      <c r="DV146" s="83">
        <f t="shared" si="23"/>
        <v>295.68928434720004</v>
      </c>
      <c r="DW146" s="83">
        <f t="shared" si="23"/>
        <v>391.34964606480003</v>
      </c>
      <c r="DX146" s="83">
        <f t="shared" si="23"/>
        <v>487.89361146060003</v>
      </c>
      <c r="DY146" s="83">
        <f t="shared" si="23"/>
        <v>531.70329426149999</v>
      </c>
      <c r="DZ146" s="83">
        <f t="shared" si="23"/>
        <v>538.72232575620001</v>
      </c>
      <c r="EA146" s="83">
        <f t="shared" si="23"/>
        <v>579.9810935979001</v>
      </c>
      <c r="EB146" s="83">
        <f t="shared" si="23"/>
        <v>562.7180610639</v>
      </c>
      <c r="EC146" s="83">
        <f t="shared" si="23"/>
        <v>540.77394797190004</v>
      </c>
      <c r="ED146" s="83">
        <f t="shared" si="23"/>
        <v>498.36349292299997</v>
      </c>
    </row>
    <row r="147" spans="2:134" x14ac:dyDescent="0.3">
      <c r="B147" s="45">
        <f t="shared" si="21"/>
        <v>1000000143</v>
      </c>
      <c r="C147" s="46">
        <v>42887</v>
      </c>
      <c r="D147" s="66">
        <v>-8</v>
      </c>
      <c r="E147" s="66">
        <v>-8</v>
      </c>
      <c r="F147" s="66">
        <v>-8</v>
      </c>
      <c r="G147" s="66">
        <v>-8</v>
      </c>
      <c r="H147" s="66">
        <v>-8</v>
      </c>
      <c r="I147" s="66">
        <v>-8</v>
      </c>
      <c r="J147" s="66">
        <v>-8</v>
      </c>
      <c r="K147" s="66">
        <v>-8</v>
      </c>
      <c r="L147" s="66">
        <v>-8</v>
      </c>
      <c r="M147" s="66">
        <v>-8</v>
      </c>
      <c r="N147" s="66">
        <v>-8</v>
      </c>
      <c r="O147" s="66">
        <v>-8</v>
      </c>
      <c r="P147" s="66">
        <v>-8</v>
      </c>
      <c r="Q147" s="66">
        <v>-8</v>
      </c>
      <c r="R147" s="66">
        <v>-8</v>
      </c>
      <c r="S147" s="66">
        <v>-8</v>
      </c>
      <c r="T147" s="66">
        <v>-8</v>
      </c>
      <c r="U147" s="66">
        <v>-8</v>
      </c>
      <c r="V147" s="66">
        <v>-8</v>
      </c>
      <c r="W147" s="66">
        <v>-8</v>
      </c>
      <c r="X147" s="66">
        <v>-8</v>
      </c>
      <c r="Y147" s="66">
        <v>-8</v>
      </c>
      <c r="Z147" s="66">
        <v>-8</v>
      </c>
      <c r="AA147" s="66">
        <v>-8</v>
      </c>
      <c r="AB147" s="66">
        <v>-8</v>
      </c>
      <c r="AC147" s="66">
        <v>-8</v>
      </c>
      <c r="AD147" s="66">
        <v>-8</v>
      </c>
      <c r="AE147" s="66">
        <v>-8</v>
      </c>
      <c r="AF147" s="66">
        <v>-8</v>
      </c>
      <c r="AG147" s="66">
        <v>-8</v>
      </c>
      <c r="AH147" s="66">
        <v>-8</v>
      </c>
      <c r="AI147" s="66">
        <v>-8</v>
      </c>
      <c r="AJ147" s="66">
        <v>-8</v>
      </c>
      <c r="AK147" s="66">
        <v>-8</v>
      </c>
      <c r="AL147" s="66">
        <v>-8</v>
      </c>
      <c r="AM147" s="66">
        <v>-8</v>
      </c>
      <c r="AN147" s="66">
        <v>-8</v>
      </c>
      <c r="AO147" s="66">
        <v>-8</v>
      </c>
      <c r="AP147" s="66">
        <v>-8</v>
      </c>
      <c r="AQ147" s="66">
        <v>-8</v>
      </c>
      <c r="AR147" s="66">
        <v>-8</v>
      </c>
      <c r="AS147" s="66">
        <v>-7.2430864609999999</v>
      </c>
      <c r="AT147" s="66">
        <v>2.6628365379999988</v>
      </c>
      <c r="AU147" s="66">
        <v>9.6547362286000009</v>
      </c>
      <c r="AV147" s="66">
        <v>4.6534403394999995</v>
      </c>
      <c r="AW147" s="66">
        <v>6.1734968497000011</v>
      </c>
      <c r="AX147" s="66">
        <v>9.9604662534999981</v>
      </c>
      <c r="AY147" s="66">
        <v>17.1761001295</v>
      </c>
      <c r="AZ147" s="66">
        <v>17.587880608599999</v>
      </c>
      <c r="BA147" s="66">
        <v>34.102705798000009</v>
      </c>
      <c r="BB147" s="66">
        <v>38.849195394100001</v>
      </c>
      <c r="BC147" s="66">
        <v>48.217736049099997</v>
      </c>
      <c r="BD147" s="66">
        <v>22.185013938700006</v>
      </c>
      <c r="BE147" s="66">
        <v>24.868773415900002</v>
      </c>
      <c r="BF147" s="66">
        <v>26.315502754300006</v>
      </c>
      <c r="BG147" s="66">
        <v>29.0147232319</v>
      </c>
      <c r="BH147" s="66">
        <v>23.199923540200007</v>
      </c>
      <c r="BI147" s="66">
        <v>29.100959588500004</v>
      </c>
      <c r="BJ147" s="66">
        <v>27.546153354099999</v>
      </c>
      <c r="BK147" s="66">
        <v>20.287626460000002</v>
      </c>
      <c r="BL147" s="66">
        <v>26.997663106900006</v>
      </c>
      <c r="BM147" s="66">
        <v>51.291472992699994</v>
      </c>
      <c r="BN147" s="66">
        <v>49.601533111599998</v>
      </c>
      <c r="BO147" s="66">
        <v>41.869119049900007</v>
      </c>
      <c r="BP147" s="66">
        <v>37.961914099300003</v>
      </c>
      <c r="BQ147" s="66">
        <v>29.818770306100014</v>
      </c>
      <c r="BR147" s="66">
        <v>37.461007707699999</v>
      </c>
      <c r="BS147" s="66">
        <v>33.073573577199994</v>
      </c>
      <c r="BT147" s="66">
        <v>32.827698638800001</v>
      </c>
      <c r="BU147" s="66">
        <v>31.21243689069999</v>
      </c>
      <c r="BV147" s="66">
        <v>27.937894575399994</v>
      </c>
      <c r="BW147" s="66">
        <v>26.618756017000003</v>
      </c>
      <c r="BX147" s="66">
        <v>34.486866625900007</v>
      </c>
      <c r="BY147" s="66">
        <v>39.5781515416</v>
      </c>
      <c r="BZ147" s="66">
        <v>39.356518851400011</v>
      </c>
      <c r="CA147" s="66">
        <v>35.928379753000002</v>
      </c>
      <c r="CB147" s="66">
        <v>38.297177637100006</v>
      </c>
      <c r="CC147" s="66">
        <v>36.234409991500002</v>
      </c>
      <c r="CD147" s="66">
        <v>54.986539508199989</v>
      </c>
      <c r="CE147" s="66">
        <v>34.985258728600002</v>
      </c>
      <c r="CF147" s="66">
        <v>47.730564429699996</v>
      </c>
      <c r="CG147" s="66">
        <v>46.325189514700007</v>
      </c>
      <c r="CH147" s="66">
        <v>34.624439508099996</v>
      </c>
      <c r="CI147" s="66">
        <v>24.083377111600001</v>
      </c>
      <c r="CJ147" s="66">
        <v>31.196037722800007</v>
      </c>
      <c r="CK147" s="66">
        <v>38.047062181599998</v>
      </c>
      <c r="CL147" s="66">
        <v>44.375677449700007</v>
      </c>
      <c r="CM147" s="66">
        <v>36.709385433400001</v>
      </c>
      <c r="CN147" s="66">
        <v>29.612523562900002</v>
      </c>
      <c r="CO147" s="66">
        <v>27.019316012799997</v>
      </c>
      <c r="CP147" s="66">
        <v>31.416919879000005</v>
      </c>
      <c r="CQ147" s="66">
        <v>34.319009696800009</v>
      </c>
      <c r="CR147" s="66">
        <v>39.427519367800002</v>
      </c>
      <c r="CS147" s="66">
        <v>26.070003082899994</v>
      </c>
      <c r="CT147" s="66">
        <v>21.974188938100006</v>
      </c>
      <c r="CU147" s="66">
        <v>17.494626759099997</v>
      </c>
      <c r="CV147" s="66">
        <v>16.775202393400001</v>
      </c>
      <c r="CW147" s="66">
        <v>31.640316324099999</v>
      </c>
      <c r="CX147" s="66">
        <v>56.842422456700007</v>
      </c>
      <c r="CY147" s="66">
        <v>63.445545535299999</v>
      </c>
      <c r="CZ147" s="66">
        <v>32.7106903882</v>
      </c>
      <c r="DA147" s="66">
        <v>40.948326411999993</v>
      </c>
      <c r="DB147" s="66">
        <v>49.975974524199998</v>
      </c>
      <c r="DC147" s="66">
        <v>36.543892686400007</v>
      </c>
      <c r="DD147" s="66">
        <v>44.229510953199998</v>
      </c>
      <c r="DE147" s="66">
        <v>46.671823642599996</v>
      </c>
      <c r="DF147" s="66">
        <v>38.535622288900001</v>
      </c>
      <c r="DG147" s="66">
        <v>32.057650754800001</v>
      </c>
      <c r="DH147" s="66">
        <v>38.183847003099999</v>
      </c>
      <c r="DI147" s="66">
        <v>52.533344075800017</v>
      </c>
      <c r="DJ147" s="66">
        <v>85.449251026900015</v>
      </c>
      <c r="DK147" s="66">
        <v>76.541012874100005</v>
      </c>
      <c r="DL147" s="66">
        <v>63.842878234899999</v>
      </c>
      <c r="DM147" s="66">
        <v>68.372501031700025</v>
      </c>
      <c r="DN147" s="66">
        <v>79.254981344800001</v>
      </c>
      <c r="DO147" s="66">
        <v>86.058759688300029</v>
      </c>
      <c r="DP147" s="79"/>
      <c r="DQ147" s="80"/>
      <c r="DR147" s="81"/>
      <c r="DS147" s="84">
        <f t="shared" si="20"/>
        <v>2017</v>
      </c>
      <c r="DT147" s="80"/>
      <c r="DU147" s="83">
        <f t="shared" si="23"/>
        <v>-96</v>
      </c>
      <c r="DV147" s="83">
        <f t="shared" si="23"/>
        <v>-96</v>
      </c>
      <c r="DW147" s="83">
        <f t="shared" si="23"/>
        <v>-96</v>
      </c>
      <c r="DX147" s="83">
        <f t="shared" si="23"/>
        <v>3.0379898778000047</v>
      </c>
      <c r="DY147" s="83">
        <f t="shared" si="23"/>
        <v>341.27619413340005</v>
      </c>
      <c r="DZ147" s="83">
        <f t="shared" si="23"/>
        <v>426.67184007330007</v>
      </c>
      <c r="EA147" s="83">
        <f t="shared" si="23"/>
        <v>466.61687320140004</v>
      </c>
      <c r="EB147" s="83">
        <f t="shared" si="23"/>
        <v>377.66227008690004</v>
      </c>
      <c r="EC147" s="83">
        <f t="shared" si="23"/>
        <v>490.37697835980003</v>
      </c>
      <c r="ED147" s="83">
        <f t="shared" si="23"/>
        <v>550.23657527960017</v>
      </c>
    </row>
    <row r="148" spans="2:134" x14ac:dyDescent="0.3">
      <c r="B148" s="45">
        <f t="shared" si="21"/>
        <v>1000000144</v>
      </c>
      <c r="C148" s="46">
        <v>44166</v>
      </c>
      <c r="D148" s="66">
        <v>-8</v>
      </c>
      <c r="E148" s="66">
        <v>-8</v>
      </c>
      <c r="F148" s="66">
        <v>-8</v>
      </c>
      <c r="G148" s="66">
        <v>-8</v>
      </c>
      <c r="H148" s="66">
        <v>-8</v>
      </c>
      <c r="I148" s="66">
        <v>-8</v>
      </c>
      <c r="J148" s="66">
        <v>-8</v>
      </c>
      <c r="K148" s="66">
        <v>-8</v>
      </c>
      <c r="L148" s="66">
        <v>-8</v>
      </c>
      <c r="M148" s="66">
        <v>-8</v>
      </c>
      <c r="N148" s="66">
        <v>-8</v>
      </c>
      <c r="O148" s="66">
        <v>-8</v>
      </c>
      <c r="P148" s="66">
        <v>-8</v>
      </c>
      <c r="Q148" s="66">
        <v>-8</v>
      </c>
      <c r="R148" s="66">
        <v>-8</v>
      </c>
      <c r="S148" s="66">
        <v>-8</v>
      </c>
      <c r="T148" s="66">
        <v>-8</v>
      </c>
      <c r="U148" s="66">
        <v>-8</v>
      </c>
      <c r="V148" s="66">
        <v>-8</v>
      </c>
      <c r="W148" s="66">
        <v>-8</v>
      </c>
      <c r="X148" s="66">
        <v>-8</v>
      </c>
      <c r="Y148" s="66">
        <v>-8</v>
      </c>
      <c r="Z148" s="66">
        <v>-8</v>
      </c>
      <c r="AA148" s="66">
        <v>-8</v>
      </c>
      <c r="AB148" s="66">
        <v>-8</v>
      </c>
      <c r="AC148" s="66">
        <v>-8</v>
      </c>
      <c r="AD148" s="66">
        <v>-8</v>
      </c>
      <c r="AE148" s="66">
        <v>-8</v>
      </c>
      <c r="AF148" s="66">
        <v>-8</v>
      </c>
      <c r="AG148" s="66">
        <v>-8</v>
      </c>
      <c r="AH148" s="66">
        <v>-8</v>
      </c>
      <c r="AI148" s="66">
        <v>-8</v>
      </c>
      <c r="AJ148" s="66">
        <v>-8</v>
      </c>
      <c r="AK148" s="66">
        <v>-8</v>
      </c>
      <c r="AL148" s="66">
        <v>-8</v>
      </c>
      <c r="AM148" s="66">
        <v>-8</v>
      </c>
      <c r="AN148" s="66">
        <v>-8</v>
      </c>
      <c r="AO148" s="66">
        <v>-8</v>
      </c>
      <c r="AP148" s="66">
        <v>-8</v>
      </c>
      <c r="AQ148" s="66">
        <v>-8</v>
      </c>
      <c r="AR148" s="66">
        <v>-8</v>
      </c>
      <c r="AS148" s="66">
        <v>-8</v>
      </c>
      <c r="AT148" s="66">
        <v>-8</v>
      </c>
      <c r="AU148" s="66">
        <v>-8</v>
      </c>
      <c r="AV148" s="66">
        <v>-8</v>
      </c>
      <c r="AW148" s="66">
        <v>-8</v>
      </c>
      <c r="AX148" s="66">
        <v>-8</v>
      </c>
      <c r="AY148" s="66">
        <v>-8</v>
      </c>
      <c r="AZ148" s="66">
        <v>-8</v>
      </c>
      <c r="BA148" s="66">
        <v>-8</v>
      </c>
      <c r="BB148" s="66">
        <v>-8</v>
      </c>
      <c r="BC148" s="66">
        <v>-8</v>
      </c>
      <c r="BD148" s="66">
        <v>-8</v>
      </c>
      <c r="BE148" s="66">
        <v>-8</v>
      </c>
      <c r="BF148" s="66">
        <v>-8</v>
      </c>
      <c r="BG148" s="66">
        <v>-8</v>
      </c>
      <c r="BH148" s="66">
        <v>-8</v>
      </c>
      <c r="BI148" s="66">
        <v>-8</v>
      </c>
      <c r="BJ148" s="66">
        <v>-8</v>
      </c>
      <c r="BK148" s="66">
        <v>-8</v>
      </c>
      <c r="BL148" s="66">
        <v>-8</v>
      </c>
      <c r="BM148" s="66">
        <v>-8</v>
      </c>
      <c r="BN148" s="66">
        <v>-8</v>
      </c>
      <c r="BO148" s="66">
        <v>-8</v>
      </c>
      <c r="BP148" s="66">
        <v>-8</v>
      </c>
      <c r="BQ148" s="66">
        <v>-8</v>
      </c>
      <c r="BR148" s="66">
        <v>-8</v>
      </c>
      <c r="BS148" s="66">
        <v>-8</v>
      </c>
      <c r="BT148" s="66">
        <v>-8</v>
      </c>
      <c r="BU148" s="66">
        <v>-8</v>
      </c>
      <c r="BV148" s="66">
        <v>-8</v>
      </c>
      <c r="BW148" s="66">
        <v>-8</v>
      </c>
      <c r="BX148" s="66">
        <v>-8</v>
      </c>
      <c r="BY148" s="66">
        <v>-8</v>
      </c>
      <c r="BZ148" s="66">
        <v>-8</v>
      </c>
      <c r="CA148" s="66">
        <v>-8</v>
      </c>
      <c r="CB148" s="66">
        <v>-8</v>
      </c>
      <c r="CC148" s="66">
        <v>-8</v>
      </c>
      <c r="CD148" s="66">
        <v>-8</v>
      </c>
      <c r="CE148" s="66">
        <v>-8</v>
      </c>
      <c r="CF148" s="66">
        <v>-8</v>
      </c>
      <c r="CG148" s="66">
        <v>-8</v>
      </c>
      <c r="CH148" s="66">
        <v>-8</v>
      </c>
      <c r="CI148" s="66">
        <v>1.7132233945000017</v>
      </c>
      <c r="CJ148" s="66">
        <v>12.745397713900001</v>
      </c>
      <c r="CK148" s="66">
        <v>14.298064926399999</v>
      </c>
      <c r="CL148" s="66">
        <v>31.669211883099997</v>
      </c>
      <c r="CM148" s="66">
        <v>31.302088176999995</v>
      </c>
      <c r="CN148" s="66">
        <v>29.2280249947</v>
      </c>
      <c r="CO148" s="66">
        <v>36.750627276699987</v>
      </c>
      <c r="CP148" s="66">
        <v>37.172464911399999</v>
      </c>
      <c r="CQ148" s="66">
        <v>46.925616714700006</v>
      </c>
      <c r="CR148" s="66">
        <v>26.632978636300003</v>
      </c>
      <c r="CS148" s="66">
        <v>44.681219841100003</v>
      </c>
      <c r="CT148" s="66">
        <v>45.040162726600009</v>
      </c>
      <c r="CU148" s="66">
        <v>31.598399000200004</v>
      </c>
      <c r="CV148" s="66">
        <v>36.733252414600003</v>
      </c>
      <c r="CW148" s="66">
        <v>39.909137035599997</v>
      </c>
      <c r="CX148" s="66">
        <v>40.680123087100007</v>
      </c>
      <c r="CY148" s="66">
        <v>65.746307512299992</v>
      </c>
      <c r="CZ148" s="66">
        <v>46.691450106699996</v>
      </c>
      <c r="DA148" s="66">
        <v>35.728700182299995</v>
      </c>
      <c r="DB148" s="66">
        <v>42.442264339000005</v>
      </c>
      <c r="DC148" s="66">
        <v>40.500182560600003</v>
      </c>
      <c r="DD148" s="66">
        <v>29.163404017300003</v>
      </c>
      <c r="DE148" s="66">
        <v>41.171647803700004</v>
      </c>
      <c r="DF148" s="66">
        <v>41.670190013200006</v>
      </c>
      <c r="DG148" s="66">
        <v>31.304790099400002</v>
      </c>
      <c r="DH148" s="66">
        <v>49.051804483300003</v>
      </c>
      <c r="DI148" s="66">
        <v>43.729842942700003</v>
      </c>
      <c r="DJ148" s="66">
        <v>48.543843072100003</v>
      </c>
      <c r="DK148" s="66">
        <v>88.855699692700014</v>
      </c>
      <c r="DL148" s="66">
        <v>83.550324953500009</v>
      </c>
      <c r="DM148" s="66">
        <v>78.382035249399991</v>
      </c>
      <c r="DN148" s="66">
        <v>78.230239747900001</v>
      </c>
      <c r="DO148" s="66">
        <v>94.542270650500015</v>
      </c>
      <c r="DP148" s="79"/>
      <c r="DQ148" s="80"/>
      <c r="DR148" s="81"/>
      <c r="DS148" s="84">
        <f t="shared" si="20"/>
        <v>2020</v>
      </c>
      <c r="DT148" s="80"/>
      <c r="DU148" s="83">
        <f t="shared" si="23"/>
        <v>-96</v>
      </c>
      <c r="DV148" s="83">
        <f t="shared" si="23"/>
        <v>-96</v>
      </c>
      <c r="DW148" s="83">
        <f t="shared" si="23"/>
        <v>-96</v>
      </c>
      <c r="DX148" s="83">
        <f t="shared" si="23"/>
        <v>-96</v>
      </c>
      <c r="DY148" s="83">
        <f t="shared" si="23"/>
        <v>-96</v>
      </c>
      <c r="DZ148" s="83">
        <f t="shared" si="23"/>
        <v>-96</v>
      </c>
      <c r="EA148" s="83">
        <f t="shared" si="23"/>
        <v>-86.286776605499995</v>
      </c>
      <c r="EB148" s="83">
        <f t="shared" si="23"/>
        <v>388.04425680209999</v>
      </c>
      <c r="EC148" s="83">
        <f t="shared" si="23"/>
        <v>491.74144917180007</v>
      </c>
      <c r="ED148" s="83">
        <f t="shared" si="23"/>
        <v>564.88606079210001</v>
      </c>
    </row>
    <row r="149" spans="2:134" x14ac:dyDescent="0.3">
      <c r="B149" s="45">
        <f t="shared" si="21"/>
        <v>1000000145</v>
      </c>
      <c r="C149" s="46">
        <v>41821</v>
      </c>
      <c r="D149" s="66">
        <v>-8</v>
      </c>
      <c r="E149" s="66">
        <v>-8</v>
      </c>
      <c r="F149" s="66">
        <v>-8</v>
      </c>
      <c r="G149" s="66">
        <v>-8</v>
      </c>
      <c r="H149" s="66">
        <v>-8</v>
      </c>
      <c r="I149" s="66">
        <v>-8</v>
      </c>
      <c r="J149" s="66">
        <v>1.2052995099999997</v>
      </c>
      <c r="K149" s="66">
        <v>18.495764061700001</v>
      </c>
      <c r="L149" s="66">
        <v>22.2824707786</v>
      </c>
      <c r="M149" s="66">
        <v>19.939040943700007</v>
      </c>
      <c r="N149" s="66">
        <v>13.748298771400002</v>
      </c>
      <c r="O149" s="66">
        <v>19.679206072900001</v>
      </c>
      <c r="P149" s="66">
        <v>22.444323435699999</v>
      </c>
      <c r="Q149" s="66">
        <v>100.9549457266</v>
      </c>
      <c r="R149" s="66">
        <v>51.866644723600004</v>
      </c>
      <c r="S149" s="66">
        <v>44.610857278600001</v>
      </c>
      <c r="T149" s="66">
        <v>39.241762202799997</v>
      </c>
      <c r="U149" s="66">
        <v>30.475262395900003</v>
      </c>
      <c r="V149" s="66">
        <v>33.503179238800001</v>
      </c>
      <c r="W149" s="66">
        <v>41.383711185400003</v>
      </c>
      <c r="X149" s="66">
        <v>43.490272489900001</v>
      </c>
      <c r="Y149" s="66">
        <v>33.794649117699997</v>
      </c>
      <c r="Z149" s="66">
        <v>29.366761204600003</v>
      </c>
      <c r="AA149" s="66">
        <v>23.737756204600004</v>
      </c>
      <c r="AB149" s="66">
        <v>27.721065302800007</v>
      </c>
      <c r="AC149" s="66">
        <v>58.2432941677</v>
      </c>
      <c r="AD149" s="66">
        <v>53.971367219800008</v>
      </c>
      <c r="AE149" s="66">
        <v>55.542460041999995</v>
      </c>
      <c r="AF149" s="66">
        <v>41.332412186500008</v>
      </c>
      <c r="AG149" s="66">
        <v>38.331064247200004</v>
      </c>
      <c r="AH149" s="66">
        <v>36.800687894500001</v>
      </c>
      <c r="AI149" s="66">
        <v>38.004506903799985</v>
      </c>
      <c r="AJ149" s="66">
        <v>45.870290857300006</v>
      </c>
      <c r="AK149" s="66">
        <v>44.640803585199997</v>
      </c>
      <c r="AL149" s="66">
        <v>47.307075620200003</v>
      </c>
      <c r="AM149" s="66">
        <v>52.470261693099999</v>
      </c>
      <c r="AN149" s="66">
        <v>81.087973006300018</v>
      </c>
      <c r="AO149" s="66">
        <v>56.566413578200013</v>
      </c>
      <c r="AP149" s="66">
        <v>77.490588490899995</v>
      </c>
      <c r="AQ149" s="66">
        <v>77.480231121699987</v>
      </c>
      <c r="AR149" s="66">
        <v>57.924054530799992</v>
      </c>
      <c r="AS149" s="66">
        <v>67.613373417399998</v>
      </c>
      <c r="AT149" s="66">
        <v>57.456584428900001</v>
      </c>
      <c r="AU149" s="66">
        <v>59.112937913499991</v>
      </c>
      <c r="AV149" s="66">
        <v>77.151872496700008</v>
      </c>
      <c r="AW149" s="66">
        <v>70.306777256499984</v>
      </c>
      <c r="AX149" s="66">
        <v>61.759921224700008</v>
      </c>
      <c r="AY149" s="66">
        <v>69.153806925699982</v>
      </c>
      <c r="AZ149" s="66">
        <v>57.608942830900006</v>
      </c>
      <c r="BA149" s="66">
        <v>80.227673408800015</v>
      </c>
      <c r="BB149" s="66">
        <v>87.618031600000009</v>
      </c>
      <c r="BC149" s="66">
        <v>69.10412157490002</v>
      </c>
      <c r="BD149" s="66">
        <v>58.55454061750001</v>
      </c>
      <c r="BE149" s="66">
        <v>56.180001148300008</v>
      </c>
      <c r="BF149" s="66">
        <v>54.843712888000006</v>
      </c>
      <c r="BG149" s="66">
        <v>62.361511752400006</v>
      </c>
      <c r="BH149" s="66">
        <v>74.458205970699993</v>
      </c>
      <c r="BI149" s="66">
        <v>67.157536592500009</v>
      </c>
      <c r="BJ149" s="66">
        <v>56.798028370600008</v>
      </c>
      <c r="BK149" s="66">
        <v>69.585363975699991</v>
      </c>
      <c r="BL149" s="66">
        <v>65.305218680500005</v>
      </c>
      <c r="BM149" s="66">
        <v>81.749718834099994</v>
      </c>
      <c r="BN149" s="66">
        <v>99.808542568299998</v>
      </c>
      <c r="BO149" s="66">
        <v>83.558543300799997</v>
      </c>
      <c r="BP149" s="66">
        <v>60.109234271800005</v>
      </c>
      <c r="BQ149" s="66">
        <v>57.965596587699991</v>
      </c>
      <c r="BR149" s="66">
        <v>63.091781334399997</v>
      </c>
      <c r="BS149" s="66">
        <v>64.8957648568</v>
      </c>
      <c r="BT149" s="66">
        <v>73.276415134300009</v>
      </c>
      <c r="BU149" s="66">
        <v>69.015483509500001</v>
      </c>
      <c r="BV149" s="66">
        <v>67.846977124900008</v>
      </c>
      <c r="BW149" s="66">
        <v>73.1082204649</v>
      </c>
      <c r="BX149" s="66">
        <v>83.157382877800018</v>
      </c>
      <c r="BY149" s="66">
        <v>93.844274030499989</v>
      </c>
      <c r="BZ149" s="66">
        <v>102.04543410190001</v>
      </c>
      <c r="CA149" s="66">
        <v>80.216903245900014</v>
      </c>
      <c r="CB149" s="66">
        <v>62.762221855000007</v>
      </c>
      <c r="CC149" s="66">
        <v>75.28672045330002</v>
      </c>
      <c r="CD149" s="66">
        <v>71.93509829620001</v>
      </c>
      <c r="CE149" s="66">
        <v>87.123091953700026</v>
      </c>
      <c r="CF149" s="66">
        <v>76.597865824600021</v>
      </c>
      <c r="CG149" s="66">
        <v>92.771198044000002</v>
      </c>
      <c r="CH149" s="66">
        <v>74.119527503200004</v>
      </c>
      <c r="CI149" s="66">
        <v>73.827907517500009</v>
      </c>
      <c r="CJ149" s="66">
        <v>76.226989448500007</v>
      </c>
      <c r="CK149" s="66">
        <v>172.41606484239998</v>
      </c>
      <c r="CL149" s="66">
        <v>101.35347928060001</v>
      </c>
      <c r="CM149" s="66">
        <v>88.11773713720001</v>
      </c>
      <c r="CN149" s="66">
        <v>66.611785794400006</v>
      </c>
      <c r="CO149" s="66">
        <v>62.405455518100013</v>
      </c>
      <c r="CP149" s="66">
        <v>88.821175128700006</v>
      </c>
      <c r="CQ149" s="66">
        <v>79.541047378900004</v>
      </c>
      <c r="CR149" s="66">
        <v>79.697195977600018</v>
      </c>
      <c r="CS149" s="66">
        <v>55.871719307800007</v>
      </c>
      <c r="CT149" s="66">
        <v>60.960640041399998</v>
      </c>
      <c r="CU149" s="66">
        <v>52.669003096299996</v>
      </c>
      <c r="CV149" s="66">
        <v>58.527746553700013</v>
      </c>
      <c r="CW149" s="66">
        <v>51.659159599300004</v>
      </c>
      <c r="CX149" s="66">
        <v>69.308942303500004</v>
      </c>
      <c r="CY149" s="66">
        <v>78.222584301099999</v>
      </c>
      <c r="CZ149" s="66">
        <v>55.481591734600002</v>
      </c>
      <c r="DA149" s="66">
        <v>64.453099903600005</v>
      </c>
      <c r="DB149" s="66">
        <v>82.976053863399997</v>
      </c>
      <c r="DC149" s="66">
        <v>63.504987828099985</v>
      </c>
      <c r="DD149" s="66">
        <v>73.120416642400002</v>
      </c>
      <c r="DE149" s="66">
        <v>41.769748348299998</v>
      </c>
      <c r="DF149" s="66">
        <v>40.756790135199999</v>
      </c>
      <c r="DG149" s="66">
        <v>54.699272619699997</v>
      </c>
      <c r="DH149" s="66">
        <v>51.863229793900011</v>
      </c>
      <c r="DI149" s="66">
        <v>63.782873041599984</v>
      </c>
      <c r="DJ149" s="66">
        <v>73.727636175100002</v>
      </c>
      <c r="DK149" s="66">
        <v>50.344261557999999</v>
      </c>
      <c r="DL149" s="66">
        <v>42.359480438799991</v>
      </c>
      <c r="DM149" s="66">
        <v>42.894536127400009</v>
      </c>
      <c r="DN149" s="66">
        <v>58.237777742799992</v>
      </c>
      <c r="DO149" s="66">
        <v>49.535523646300007</v>
      </c>
      <c r="DP149" s="79"/>
      <c r="DQ149" s="80"/>
      <c r="DR149" s="81"/>
      <c r="DS149" s="84">
        <f t="shared" si="20"/>
        <v>2014</v>
      </c>
      <c r="DT149" s="80"/>
      <c r="DU149" s="83">
        <f t="shared" si="23"/>
        <v>47.350080138300015</v>
      </c>
      <c r="DV149" s="83">
        <f t="shared" si="23"/>
        <v>494.87012520420001</v>
      </c>
      <c r="DW149" s="83">
        <f t="shared" si="23"/>
        <v>540.23528972010001</v>
      </c>
      <c r="DX149" s="83">
        <f t="shared" si="23"/>
        <v>813.10453439130004</v>
      </c>
      <c r="DY149" s="83">
        <f t="shared" si="23"/>
        <v>794.49767073030023</v>
      </c>
      <c r="DZ149" s="83">
        <f t="shared" si="23"/>
        <v>859.73149666800009</v>
      </c>
      <c r="EA149" s="83">
        <f t="shared" si="23"/>
        <v>973.68762570360002</v>
      </c>
      <c r="EB149" s="83">
        <f t="shared" si="23"/>
        <v>984.69229295190007</v>
      </c>
      <c r="EC149" s="83">
        <f t="shared" si="23"/>
        <v>734.48039383289995</v>
      </c>
      <c r="ED149" s="83">
        <f t="shared" si="23"/>
        <v>432.74531852389998</v>
      </c>
    </row>
    <row r="150" spans="2:134" x14ac:dyDescent="0.3">
      <c r="B150" s="45">
        <f t="shared" si="21"/>
        <v>1000000146</v>
      </c>
      <c r="C150" s="46">
        <v>42795</v>
      </c>
      <c r="D150" s="66">
        <v>-8</v>
      </c>
      <c r="E150" s="66">
        <v>-8</v>
      </c>
      <c r="F150" s="66">
        <v>-8</v>
      </c>
      <c r="G150" s="66">
        <v>-8</v>
      </c>
      <c r="H150" s="66">
        <v>-8</v>
      </c>
      <c r="I150" s="66">
        <v>-8</v>
      </c>
      <c r="J150" s="66">
        <v>-8</v>
      </c>
      <c r="K150" s="66">
        <v>-8</v>
      </c>
      <c r="L150" s="66">
        <v>-8</v>
      </c>
      <c r="M150" s="66">
        <v>-8</v>
      </c>
      <c r="N150" s="66">
        <v>-8</v>
      </c>
      <c r="O150" s="66">
        <v>-8</v>
      </c>
      <c r="P150" s="66">
        <v>-8</v>
      </c>
      <c r="Q150" s="66">
        <v>-8</v>
      </c>
      <c r="R150" s="66">
        <v>-8</v>
      </c>
      <c r="S150" s="66">
        <v>-8</v>
      </c>
      <c r="T150" s="66">
        <v>-8</v>
      </c>
      <c r="U150" s="66">
        <v>-8</v>
      </c>
      <c r="V150" s="66">
        <v>-8</v>
      </c>
      <c r="W150" s="66">
        <v>-8</v>
      </c>
      <c r="X150" s="66">
        <v>-8</v>
      </c>
      <c r="Y150" s="66">
        <v>-8</v>
      </c>
      <c r="Z150" s="66">
        <v>-8</v>
      </c>
      <c r="AA150" s="66">
        <v>-8</v>
      </c>
      <c r="AB150" s="66">
        <v>-8</v>
      </c>
      <c r="AC150" s="66">
        <v>-8</v>
      </c>
      <c r="AD150" s="66">
        <v>-8</v>
      </c>
      <c r="AE150" s="66">
        <v>-8</v>
      </c>
      <c r="AF150" s="66">
        <v>-8</v>
      </c>
      <c r="AG150" s="66">
        <v>-8</v>
      </c>
      <c r="AH150" s="66">
        <v>-8</v>
      </c>
      <c r="AI150" s="66">
        <v>-8</v>
      </c>
      <c r="AJ150" s="66">
        <v>-8</v>
      </c>
      <c r="AK150" s="66">
        <v>-8</v>
      </c>
      <c r="AL150" s="66">
        <v>-8</v>
      </c>
      <c r="AM150" s="66">
        <v>-8</v>
      </c>
      <c r="AN150" s="66">
        <v>-8</v>
      </c>
      <c r="AO150" s="66">
        <v>-8</v>
      </c>
      <c r="AP150" s="66">
        <v>8.3203618300000031</v>
      </c>
      <c r="AQ150" s="66">
        <v>25.337744585800003</v>
      </c>
      <c r="AR150" s="66">
        <v>31.0737382075</v>
      </c>
      <c r="AS150" s="66">
        <v>30.058378285600007</v>
      </c>
      <c r="AT150" s="66">
        <v>36.4369415914</v>
      </c>
      <c r="AU150" s="66">
        <v>40.390679650000003</v>
      </c>
      <c r="AV150" s="66">
        <v>43.5249846874</v>
      </c>
      <c r="AW150" s="66">
        <v>39.523812880000001</v>
      </c>
      <c r="AX150" s="66">
        <v>40.997636495800009</v>
      </c>
      <c r="AY150" s="66">
        <v>43.212574909899999</v>
      </c>
      <c r="AZ150" s="66">
        <v>48.3233361829</v>
      </c>
      <c r="BA150" s="66">
        <v>60.235323983800001</v>
      </c>
      <c r="BB150" s="66">
        <v>54.683774092599997</v>
      </c>
      <c r="BC150" s="66">
        <v>38.016177707499999</v>
      </c>
      <c r="BD150" s="66">
        <v>37.1057424388</v>
      </c>
      <c r="BE150" s="66">
        <v>32.532288456399996</v>
      </c>
      <c r="BF150" s="66">
        <v>44.734057434699999</v>
      </c>
      <c r="BG150" s="66">
        <v>36.521151506200006</v>
      </c>
      <c r="BH150" s="66">
        <v>57.894220804300005</v>
      </c>
      <c r="BI150" s="66">
        <v>53.083072704100012</v>
      </c>
      <c r="BJ150" s="66">
        <v>38.032239135099999</v>
      </c>
      <c r="BK150" s="66">
        <v>43.092076676200001</v>
      </c>
      <c r="BL150" s="66">
        <v>55.360530600400011</v>
      </c>
      <c r="BM150" s="66">
        <v>68.247311960500014</v>
      </c>
      <c r="BN150" s="66">
        <v>73.144283623600003</v>
      </c>
      <c r="BO150" s="66">
        <v>61.720968510100008</v>
      </c>
      <c r="BP150" s="66">
        <v>60.916583695599996</v>
      </c>
      <c r="BQ150" s="66">
        <v>39.882943399000006</v>
      </c>
      <c r="BR150" s="66">
        <v>32.325103545699996</v>
      </c>
      <c r="BS150" s="66">
        <v>38.625573788800004</v>
      </c>
      <c r="BT150" s="66">
        <v>51.633003489400011</v>
      </c>
      <c r="BU150" s="66">
        <v>56.763841546899997</v>
      </c>
      <c r="BV150" s="66">
        <v>37.343999457100004</v>
      </c>
      <c r="BW150" s="66">
        <v>40.625821952200006</v>
      </c>
      <c r="BX150" s="66">
        <v>48.080500907200005</v>
      </c>
      <c r="BY150" s="66">
        <v>66.401561221000023</v>
      </c>
      <c r="BZ150" s="66">
        <v>79.923819718899992</v>
      </c>
      <c r="CA150" s="66">
        <v>41.057303948800005</v>
      </c>
      <c r="CB150" s="66">
        <v>40.578988630600001</v>
      </c>
      <c r="CC150" s="66">
        <v>48.803039989000006</v>
      </c>
      <c r="CD150" s="66">
        <v>49.5042263785</v>
      </c>
      <c r="CE150" s="66">
        <v>43.1299411165</v>
      </c>
      <c r="CF150" s="66">
        <v>51.274510924300003</v>
      </c>
      <c r="CG150" s="66">
        <v>48.299806941999996</v>
      </c>
      <c r="CH150" s="66">
        <v>35.107520717199996</v>
      </c>
      <c r="CI150" s="66">
        <v>52.392656477500005</v>
      </c>
      <c r="CJ150" s="66">
        <v>47.866411083700001</v>
      </c>
      <c r="CK150" s="66">
        <v>68.198302090300004</v>
      </c>
      <c r="CL150" s="66">
        <v>55.756775025700001</v>
      </c>
      <c r="CM150" s="66">
        <v>80.053211780499993</v>
      </c>
      <c r="CN150" s="66">
        <v>52.852208445699993</v>
      </c>
      <c r="CO150" s="66">
        <v>63.222449303800019</v>
      </c>
      <c r="CP150" s="66">
        <v>65.227575938200005</v>
      </c>
      <c r="CQ150" s="66">
        <v>66.815893515699997</v>
      </c>
      <c r="CR150" s="66">
        <v>51.874187590300011</v>
      </c>
      <c r="CS150" s="66">
        <v>72.537626991400003</v>
      </c>
      <c r="CT150" s="66">
        <v>47.410611785499995</v>
      </c>
      <c r="CU150" s="66">
        <v>53.950464847900015</v>
      </c>
      <c r="CV150" s="66">
        <v>64.737177022600008</v>
      </c>
      <c r="CW150" s="66">
        <v>64.4640201733</v>
      </c>
      <c r="CX150" s="66">
        <v>70.640877466599989</v>
      </c>
      <c r="CY150" s="66">
        <v>63.493579711300015</v>
      </c>
      <c r="CZ150" s="66">
        <v>37.684329099399996</v>
      </c>
      <c r="DA150" s="66">
        <v>57.627443494000005</v>
      </c>
      <c r="DB150" s="66">
        <v>58.405184351499997</v>
      </c>
      <c r="DC150" s="66">
        <v>64.865180596299993</v>
      </c>
      <c r="DD150" s="66">
        <v>49.689157956100004</v>
      </c>
      <c r="DE150" s="66">
        <v>56.028468333700005</v>
      </c>
      <c r="DF150" s="66">
        <v>52.1959415161</v>
      </c>
      <c r="DG150" s="66">
        <v>56.171332480600014</v>
      </c>
      <c r="DH150" s="66">
        <v>59.814762256899996</v>
      </c>
      <c r="DI150" s="66">
        <v>68.159274322300007</v>
      </c>
      <c r="DJ150" s="66">
        <v>60.593816548899994</v>
      </c>
      <c r="DK150" s="66">
        <v>49.192792295200007</v>
      </c>
      <c r="DL150" s="66">
        <v>31.223132000200003</v>
      </c>
      <c r="DM150" s="66">
        <v>39.713735508700005</v>
      </c>
      <c r="DN150" s="66">
        <v>80.614123365400005</v>
      </c>
      <c r="DO150" s="66">
        <v>88.001216733700005</v>
      </c>
      <c r="DP150" s="79"/>
      <c r="DQ150" s="80"/>
      <c r="DR150" s="81"/>
      <c r="DS150" s="84">
        <f t="shared" si="20"/>
        <v>2017</v>
      </c>
      <c r="DT150" s="80"/>
      <c r="DU150" s="83">
        <f t="shared" si="23"/>
        <v>-96</v>
      </c>
      <c r="DV150" s="83">
        <f t="shared" si="23"/>
        <v>-96</v>
      </c>
      <c r="DW150" s="83">
        <f t="shared" si="23"/>
        <v>-96</v>
      </c>
      <c r="DX150" s="83">
        <f t="shared" si="23"/>
        <v>322.87685312340005</v>
      </c>
      <c r="DY150" s="83">
        <f t="shared" si="23"/>
        <v>544.25346112260002</v>
      </c>
      <c r="DZ150" s="83">
        <f t="shared" si="23"/>
        <v>616.58996556930015</v>
      </c>
      <c r="EA150" s="83">
        <f t="shared" si="23"/>
        <v>604.55387697150013</v>
      </c>
      <c r="EB150" s="83">
        <f t="shared" si="23"/>
        <v>725.76571839869996</v>
      </c>
      <c r="EC150" s="83">
        <f t="shared" si="23"/>
        <v>696.00269220149983</v>
      </c>
      <c r="ED150" s="83">
        <f t="shared" si="23"/>
        <v>477.31285303130005</v>
      </c>
    </row>
    <row r="151" spans="2:134" x14ac:dyDescent="0.3">
      <c r="B151" s="45">
        <f t="shared" si="21"/>
        <v>1000000147</v>
      </c>
      <c r="C151" s="46">
        <v>43191</v>
      </c>
      <c r="D151" s="66">
        <v>-8</v>
      </c>
      <c r="E151" s="66">
        <v>-8</v>
      </c>
      <c r="F151" s="66">
        <v>-8</v>
      </c>
      <c r="G151" s="66">
        <v>-8</v>
      </c>
      <c r="H151" s="66">
        <v>-8</v>
      </c>
      <c r="I151" s="66">
        <v>-8</v>
      </c>
      <c r="J151" s="66">
        <v>-8</v>
      </c>
      <c r="K151" s="66">
        <v>-8</v>
      </c>
      <c r="L151" s="66">
        <v>-8</v>
      </c>
      <c r="M151" s="66">
        <v>-8</v>
      </c>
      <c r="N151" s="66">
        <v>-8</v>
      </c>
      <c r="O151" s="66">
        <v>-8</v>
      </c>
      <c r="P151" s="66">
        <v>-8</v>
      </c>
      <c r="Q151" s="66">
        <v>-8</v>
      </c>
      <c r="R151" s="66">
        <v>-8</v>
      </c>
      <c r="S151" s="66">
        <v>-8</v>
      </c>
      <c r="T151" s="66">
        <v>-8</v>
      </c>
      <c r="U151" s="66">
        <v>-8</v>
      </c>
      <c r="V151" s="66">
        <v>-8</v>
      </c>
      <c r="W151" s="66">
        <v>-8</v>
      </c>
      <c r="X151" s="66">
        <v>-8</v>
      </c>
      <c r="Y151" s="66">
        <v>-8</v>
      </c>
      <c r="Z151" s="66">
        <v>-8</v>
      </c>
      <c r="AA151" s="66">
        <v>-8</v>
      </c>
      <c r="AB151" s="66">
        <v>-8</v>
      </c>
      <c r="AC151" s="66">
        <v>-8</v>
      </c>
      <c r="AD151" s="66">
        <v>-8</v>
      </c>
      <c r="AE151" s="66">
        <v>-8</v>
      </c>
      <c r="AF151" s="66">
        <v>-8</v>
      </c>
      <c r="AG151" s="66">
        <v>-8</v>
      </c>
      <c r="AH151" s="66">
        <v>-8</v>
      </c>
      <c r="AI151" s="66">
        <v>-8</v>
      </c>
      <c r="AJ151" s="66">
        <v>-8</v>
      </c>
      <c r="AK151" s="66">
        <v>-8</v>
      </c>
      <c r="AL151" s="66">
        <v>-8</v>
      </c>
      <c r="AM151" s="66">
        <v>-8</v>
      </c>
      <c r="AN151" s="66">
        <v>-8</v>
      </c>
      <c r="AO151" s="66">
        <v>-8</v>
      </c>
      <c r="AP151" s="66">
        <v>-8</v>
      </c>
      <c r="AQ151" s="66">
        <v>-8</v>
      </c>
      <c r="AR151" s="66">
        <v>-8</v>
      </c>
      <c r="AS151" s="66">
        <v>-8</v>
      </c>
      <c r="AT151" s="66">
        <v>-8</v>
      </c>
      <c r="AU151" s="66">
        <v>-8</v>
      </c>
      <c r="AV151" s="66">
        <v>-8</v>
      </c>
      <c r="AW151" s="66">
        <v>-8</v>
      </c>
      <c r="AX151" s="66">
        <v>-8</v>
      </c>
      <c r="AY151" s="66">
        <v>-8</v>
      </c>
      <c r="AZ151" s="66">
        <v>-8</v>
      </c>
      <c r="BA151" s="66">
        <v>-8</v>
      </c>
      <c r="BB151" s="66">
        <v>-8</v>
      </c>
      <c r="BC151" s="66">
        <v>-5.6615236895000001</v>
      </c>
      <c r="BD151" s="66">
        <v>4.7891744134000032</v>
      </c>
      <c r="BE151" s="66">
        <v>13.453076222500005</v>
      </c>
      <c r="BF151" s="66">
        <v>10.632832137400001</v>
      </c>
      <c r="BG151" s="66">
        <v>13.445758515999998</v>
      </c>
      <c r="BH151" s="66">
        <v>22.895394369700004</v>
      </c>
      <c r="BI151" s="66">
        <v>26.261877100000007</v>
      </c>
      <c r="BJ151" s="66">
        <v>17.866703989599998</v>
      </c>
      <c r="BK151" s="66">
        <v>19.064518726900005</v>
      </c>
      <c r="BL151" s="66">
        <v>12.359735818000001</v>
      </c>
      <c r="BM151" s="66">
        <v>28.542900032800013</v>
      </c>
      <c r="BN151" s="66">
        <v>37.998352525000001</v>
      </c>
      <c r="BO151" s="66">
        <v>60.159595103200004</v>
      </c>
      <c r="BP151" s="66">
        <v>48.199723233100009</v>
      </c>
      <c r="BQ151" s="66">
        <v>41.272782260200003</v>
      </c>
      <c r="BR151" s="66">
        <v>31.139259825699995</v>
      </c>
      <c r="BS151" s="66">
        <v>24.537787921899998</v>
      </c>
      <c r="BT151" s="66">
        <v>43.777389271600008</v>
      </c>
      <c r="BU151" s="66">
        <v>31.519292716599999</v>
      </c>
      <c r="BV151" s="66">
        <v>36.953384036800003</v>
      </c>
      <c r="BW151" s="66">
        <v>37.926413841100008</v>
      </c>
      <c r="BX151" s="66">
        <v>42.191248242700013</v>
      </c>
      <c r="BY151" s="66">
        <v>62.98543066660001</v>
      </c>
      <c r="BZ151" s="66">
        <v>40.533506270200007</v>
      </c>
      <c r="CA151" s="66">
        <v>19.132629687400001</v>
      </c>
      <c r="CB151" s="66">
        <v>11.668719164200002</v>
      </c>
      <c r="CC151" s="66">
        <v>33.7672921534</v>
      </c>
      <c r="CD151" s="66">
        <v>40.512228631299998</v>
      </c>
      <c r="CE151" s="66">
        <v>67.9173772141</v>
      </c>
      <c r="CF151" s="66">
        <v>47.632657269399999</v>
      </c>
      <c r="CG151" s="66">
        <v>39.819785962899999</v>
      </c>
      <c r="CH151" s="66">
        <v>23.943515100700001</v>
      </c>
      <c r="CI151" s="66">
        <v>37.045136818300001</v>
      </c>
      <c r="CJ151" s="66">
        <v>59.157444579700012</v>
      </c>
      <c r="CK151" s="66">
        <v>51.175628069800005</v>
      </c>
      <c r="CL151" s="66">
        <v>67.914937978599994</v>
      </c>
      <c r="CM151" s="66">
        <v>62.444896079799989</v>
      </c>
      <c r="CN151" s="66">
        <v>43.870493014299996</v>
      </c>
      <c r="CO151" s="66">
        <v>43.112341094199998</v>
      </c>
      <c r="CP151" s="66">
        <v>47.410123938399998</v>
      </c>
      <c r="CQ151" s="66">
        <v>39.369503089599995</v>
      </c>
      <c r="CR151" s="66">
        <v>58.643591476600022</v>
      </c>
      <c r="CS151" s="66">
        <v>41.7576272242</v>
      </c>
      <c r="CT151" s="66">
        <v>32.933148665800005</v>
      </c>
      <c r="CU151" s="66">
        <v>27.4013753455</v>
      </c>
      <c r="CV151" s="66">
        <v>37.4063688325</v>
      </c>
      <c r="CW151" s="66">
        <v>36.823541654799989</v>
      </c>
      <c r="CX151" s="66">
        <v>48.154803773199994</v>
      </c>
      <c r="CY151" s="66">
        <v>62.65151809000001</v>
      </c>
      <c r="CZ151" s="66">
        <v>29.141263264300008</v>
      </c>
      <c r="DA151" s="66">
        <v>35.159382616599999</v>
      </c>
      <c r="DB151" s="66">
        <v>46.116353429200011</v>
      </c>
      <c r="DC151" s="66">
        <v>50.505588841300003</v>
      </c>
      <c r="DD151" s="66">
        <v>53.476877893899996</v>
      </c>
      <c r="DE151" s="66">
        <v>48.334556666200001</v>
      </c>
      <c r="DF151" s="66">
        <v>32.101669573900004</v>
      </c>
      <c r="DG151" s="66">
        <v>39.437876736999996</v>
      </c>
      <c r="DH151" s="66">
        <v>60.231233573500006</v>
      </c>
      <c r="DI151" s="66">
        <v>49.786577269300011</v>
      </c>
      <c r="DJ151" s="66">
        <v>72.969446728300014</v>
      </c>
      <c r="DK151" s="66">
        <v>68.399632835799991</v>
      </c>
      <c r="DL151" s="66">
        <v>49.451238678099998</v>
      </c>
      <c r="DM151" s="66">
        <v>46.798063461399998</v>
      </c>
      <c r="DN151" s="66">
        <v>58.439108488299993</v>
      </c>
      <c r="DO151" s="66">
        <v>66.758777878299995</v>
      </c>
      <c r="DP151" s="79"/>
      <c r="DQ151" s="80"/>
      <c r="DR151" s="81"/>
      <c r="DS151" s="84">
        <f t="shared" si="20"/>
        <v>2018</v>
      </c>
      <c r="DT151" s="80"/>
      <c r="DU151" s="83">
        <f t="shared" si="23"/>
        <v>-96</v>
      </c>
      <c r="DV151" s="83">
        <f t="shared" si="23"/>
        <v>-96</v>
      </c>
      <c r="DW151" s="83">
        <f t="shared" si="23"/>
        <v>-96</v>
      </c>
      <c r="DX151" s="83">
        <f t="shared" si="23"/>
        <v>-96</v>
      </c>
      <c r="DY151" s="83">
        <f t="shared" si="23"/>
        <v>98.747811786000014</v>
      </c>
      <c r="DZ151" s="83">
        <f t="shared" si="23"/>
        <v>434.38661658599995</v>
      </c>
      <c r="EA151" s="83">
        <f t="shared" si="23"/>
        <v>467.14952718120009</v>
      </c>
      <c r="EB151" s="83">
        <f t="shared" si="23"/>
        <v>575.19111055650001</v>
      </c>
      <c r="EC151" s="83">
        <f t="shared" si="23"/>
        <v>519.30980137289987</v>
      </c>
      <c r="ED151" s="83">
        <f t="shared" si="23"/>
        <v>472.83407891299998</v>
      </c>
    </row>
    <row r="152" spans="2:134" x14ac:dyDescent="0.3">
      <c r="B152" s="45">
        <f t="shared" si="21"/>
        <v>1000000148</v>
      </c>
      <c r="C152" s="46">
        <v>38899</v>
      </c>
      <c r="D152" s="66">
        <v>18.563237068300001</v>
      </c>
      <c r="E152" s="66">
        <v>63.530693617600008</v>
      </c>
      <c r="F152" s="66">
        <v>44.229961273600004</v>
      </c>
      <c r="G152" s="66">
        <v>29.060468279200002</v>
      </c>
      <c r="H152" s="66">
        <v>22.809720913600007</v>
      </c>
      <c r="I152" s="66">
        <v>14.4969189097</v>
      </c>
      <c r="J152" s="66">
        <v>16.329835517800003</v>
      </c>
      <c r="K152" s="66">
        <v>20.510685164800002</v>
      </c>
      <c r="L152" s="66">
        <v>21.534413540799999</v>
      </c>
      <c r="M152" s="66">
        <v>18.119821581100002</v>
      </c>
      <c r="N152" s="66">
        <v>17.693368162300004</v>
      </c>
      <c r="O152" s="66">
        <v>10.5787561627</v>
      </c>
      <c r="P152" s="66">
        <v>23.830034359900004</v>
      </c>
      <c r="Q152" s="66">
        <v>129.69837148480002</v>
      </c>
      <c r="R152" s="66">
        <v>27.300653682700009</v>
      </c>
      <c r="S152" s="66">
        <v>29.193462904000008</v>
      </c>
      <c r="T152" s="66">
        <v>28.0599314038</v>
      </c>
      <c r="U152" s="66">
        <v>15.399473571400002</v>
      </c>
      <c r="V152" s="66">
        <v>25.614766685200003</v>
      </c>
      <c r="W152" s="66">
        <v>21.716643196000003</v>
      </c>
      <c r="X152" s="66">
        <v>30.065320725099994</v>
      </c>
      <c r="Y152" s="66">
        <v>21.157720526199999</v>
      </c>
      <c r="Z152" s="66">
        <v>28.6328890594</v>
      </c>
      <c r="AA152" s="66">
        <v>24.899807996800007</v>
      </c>
      <c r="AB152" s="66">
        <v>20.773184431299999</v>
      </c>
      <c r="AC152" s="66">
        <v>61.49318144110002</v>
      </c>
      <c r="AD152" s="66">
        <v>53.312023100800012</v>
      </c>
      <c r="AE152" s="66">
        <v>34.695815291500004</v>
      </c>
      <c r="AF152" s="66">
        <v>38.086052422899996</v>
      </c>
      <c r="AG152" s="66">
        <v>27.940596497800001</v>
      </c>
      <c r="AH152" s="66">
        <v>29.065159116700002</v>
      </c>
      <c r="AI152" s="66">
        <v>29.276134224100005</v>
      </c>
      <c r="AJ152" s="66">
        <v>24.232770904300004</v>
      </c>
      <c r="AK152" s="66">
        <v>23.249646417700003</v>
      </c>
      <c r="AL152" s="66">
        <v>29.232978519100001</v>
      </c>
      <c r="AM152" s="66">
        <v>27.745645291300001</v>
      </c>
      <c r="AN152" s="66">
        <v>29.800044482799997</v>
      </c>
      <c r="AO152" s="66">
        <v>32.254027975900001</v>
      </c>
      <c r="AP152" s="66">
        <v>32.973114601299997</v>
      </c>
      <c r="AQ152" s="66">
        <v>34.833725913999999</v>
      </c>
      <c r="AR152" s="66">
        <v>36.413224716999999</v>
      </c>
      <c r="AS152" s="66">
        <v>22.380115252000007</v>
      </c>
      <c r="AT152" s="66">
        <v>28.534231365100005</v>
      </c>
      <c r="AU152" s="66">
        <v>27.760956184900003</v>
      </c>
      <c r="AV152" s="66">
        <v>22.206216524200002</v>
      </c>
      <c r="AW152" s="66">
        <v>26.117174144799996</v>
      </c>
      <c r="AX152" s="66">
        <v>31.791511398399997</v>
      </c>
      <c r="AY152" s="66">
        <v>18.617050356100002</v>
      </c>
      <c r="AZ152" s="66">
        <v>42.859861456600001</v>
      </c>
      <c r="BA152" s="66">
        <v>51.322732733799995</v>
      </c>
      <c r="BB152" s="66">
        <v>49.673959642600003</v>
      </c>
      <c r="BC152" s="66">
        <v>41.271393772300002</v>
      </c>
      <c r="BD152" s="66">
        <v>36.690471976600001</v>
      </c>
      <c r="BE152" s="66">
        <v>36.070906159600007</v>
      </c>
      <c r="BF152" s="66">
        <v>43.654151588799991</v>
      </c>
      <c r="BG152" s="66">
        <v>44.916174509800008</v>
      </c>
      <c r="BH152" s="66">
        <v>43.587691803100007</v>
      </c>
      <c r="BI152" s="66">
        <v>51.352566460300011</v>
      </c>
      <c r="BJ152" s="66">
        <v>30.053162074300005</v>
      </c>
      <c r="BK152" s="66">
        <v>39.188549342200005</v>
      </c>
      <c r="BL152" s="66">
        <v>47.009376309100006</v>
      </c>
      <c r="BM152" s="66">
        <v>54.147029702499999</v>
      </c>
      <c r="BN152" s="66">
        <v>72.074697620200013</v>
      </c>
      <c r="BO152" s="66">
        <v>77.866943765199991</v>
      </c>
      <c r="BP152" s="66">
        <v>77.621931940900012</v>
      </c>
      <c r="BQ152" s="66">
        <v>57.242306971900007</v>
      </c>
      <c r="BR152" s="66">
        <v>60.173892775900001</v>
      </c>
      <c r="BS152" s="66">
        <v>50.832746611899999</v>
      </c>
      <c r="BT152" s="66">
        <v>61.427547242800003</v>
      </c>
      <c r="BU152" s="66">
        <v>72.826545054700006</v>
      </c>
      <c r="BV152" s="66">
        <v>64.123090103799996</v>
      </c>
      <c r="BW152" s="66">
        <v>52.208738120800014</v>
      </c>
      <c r="BX152" s="66">
        <v>50.001680313700014</v>
      </c>
      <c r="BY152" s="66">
        <v>43.189158249100004</v>
      </c>
      <c r="BZ152" s="66">
        <v>57.507958481200006</v>
      </c>
      <c r="CA152" s="66">
        <v>44.163726648100003</v>
      </c>
      <c r="CB152" s="66">
        <v>77.314137947500001</v>
      </c>
      <c r="CC152" s="66">
        <v>195.27432834639998</v>
      </c>
      <c r="CD152" s="66">
        <v>87.485262135400021</v>
      </c>
      <c r="CE152" s="66">
        <v>68.51825473449999</v>
      </c>
      <c r="CF152" s="66">
        <v>58.230610143100009</v>
      </c>
      <c r="CG152" s="66">
        <v>52.934654605600009</v>
      </c>
      <c r="CH152" s="66">
        <v>47.1400442785</v>
      </c>
      <c r="CI152" s="66">
        <v>31.482779237500004</v>
      </c>
      <c r="CJ152" s="66">
        <v>300.21950865130003</v>
      </c>
      <c r="CK152" s="66">
        <v>56.756861580700004</v>
      </c>
      <c r="CL152" s="66">
        <v>67.991417393199981</v>
      </c>
      <c r="CM152" s="66">
        <v>66.201318749800009</v>
      </c>
      <c r="CN152" s="66">
        <v>61.120766470300012</v>
      </c>
      <c r="CO152" s="66">
        <v>39.293098728400004</v>
      </c>
      <c r="CP152" s="66">
        <v>47.396614326400005</v>
      </c>
      <c r="CQ152" s="66">
        <v>59.508544384899992</v>
      </c>
      <c r="CR152" s="66">
        <v>52.700825737900004</v>
      </c>
      <c r="CS152" s="66">
        <v>50.517372225100004</v>
      </c>
      <c r="CT152" s="66">
        <v>42.605017636900001</v>
      </c>
      <c r="CU152" s="66">
        <v>51.612401331100003</v>
      </c>
      <c r="CV152" s="66">
        <v>50.964728015800006</v>
      </c>
      <c r="CW152" s="66">
        <v>56.530425472900006</v>
      </c>
      <c r="CX152" s="66">
        <v>69.358665181000006</v>
      </c>
      <c r="CY152" s="66">
        <v>66.104424810400019</v>
      </c>
      <c r="CZ152" s="66">
        <v>51.693834270099998</v>
      </c>
      <c r="DA152" s="66">
        <v>43.811576095300005</v>
      </c>
      <c r="DB152" s="66">
        <v>54.481355072800007</v>
      </c>
      <c r="DC152" s="66">
        <v>42.929435958399992</v>
      </c>
      <c r="DD152" s="66">
        <v>57.453432186100017</v>
      </c>
      <c r="DE152" s="66">
        <v>34.337923153600002</v>
      </c>
      <c r="DF152" s="66">
        <v>44.068071089800007</v>
      </c>
      <c r="DG152" s="66">
        <v>40.727781996100013</v>
      </c>
      <c r="DH152" s="66">
        <v>42.6677622793</v>
      </c>
      <c r="DI152" s="66">
        <v>55.469320503700004</v>
      </c>
      <c r="DJ152" s="66">
        <v>67.723364175100016</v>
      </c>
      <c r="DK152" s="66">
        <v>54.546576477400002</v>
      </c>
      <c r="DL152" s="66">
        <v>61.321459261900003</v>
      </c>
      <c r="DM152" s="66">
        <v>55.913373944800014</v>
      </c>
      <c r="DN152" s="66">
        <v>45.885751857700001</v>
      </c>
      <c r="DO152" s="66">
        <v>68.143475581600001</v>
      </c>
      <c r="DP152" s="79"/>
      <c r="DQ152" s="80"/>
      <c r="DR152" s="81"/>
      <c r="DS152" s="84">
        <f t="shared" si="20"/>
        <v>2006</v>
      </c>
      <c r="DT152" s="80"/>
      <c r="DU152" s="83">
        <f t="shared" si="23"/>
        <v>297.45788019150001</v>
      </c>
      <c r="DV152" s="83">
        <f t="shared" si="23"/>
        <v>405.56907559530003</v>
      </c>
      <c r="DW152" s="83">
        <f t="shared" si="23"/>
        <v>399.10318765860001</v>
      </c>
      <c r="DX152" s="83">
        <f t="shared" si="23"/>
        <v>343.68139291649999</v>
      </c>
      <c r="DY152" s="83">
        <f t="shared" si="23"/>
        <v>510.64162152000006</v>
      </c>
      <c r="DZ152" s="83">
        <f t="shared" si="23"/>
        <v>747.55484621970004</v>
      </c>
      <c r="EA152" s="83">
        <f t="shared" si="23"/>
        <v>813.24259512060019</v>
      </c>
      <c r="EB152" s="83">
        <f t="shared" si="23"/>
        <v>895.92374721600004</v>
      </c>
      <c r="EC152" s="83">
        <f t="shared" si="23"/>
        <v>612.46165330230008</v>
      </c>
      <c r="ED152" s="83">
        <f t="shared" si="23"/>
        <v>451.67108408150011</v>
      </c>
    </row>
    <row r="153" spans="2:134" x14ac:dyDescent="0.3">
      <c r="B153" s="45">
        <f t="shared" si="21"/>
        <v>1000000149</v>
      </c>
      <c r="C153" s="46">
        <v>40179</v>
      </c>
      <c r="D153" s="66">
        <v>30.813940863400006</v>
      </c>
      <c r="E153" s="66">
        <v>16.6104601804</v>
      </c>
      <c r="F153" s="66">
        <v>23.834612617300003</v>
      </c>
      <c r="G153" s="66">
        <v>25.650642210400001</v>
      </c>
      <c r="H153" s="66">
        <v>37.9487422276</v>
      </c>
      <c r="I153" s="66">
        <v>26.733925459299996</v>
      </c>
      <c r="J153" s="66">
        <v>30.268152538600006</v>
      </c>
      <c r="K153" s="66">
        <v>24.443821065100003</v>
      </c>
      <c r="L153" s="66">
        <v>37.117000448799999</v>
      </c>
      <c r="M153" s="66">
        <v>28.356129646900001</v>
      </c>
      <c r="N153" s="66">
        <v>28.1112679294</v>
      </c>
      <c r="O153" s="66">
        <v>32.096716049500003</v>
      </c>
      <c r="P153" s="66">
        <v>30.138835530400002</v>
      </c>
      <c r="Q153" s="66">
        <v>57.901538510800009</v>
      </c>
      <c r="R153" s="66">
        <v>30.3318353485</v>
      </c>
      <c r="S153" s="66">
        <v>41.282276515300005</v>
      </c>
      <c r="T153" s="66">
        <v>39.740191832200011</v>
      </c>
      <c r="U153" s="66">
        <v>39.640558443700002</v>
      </c>
      <c r="V153" s="66">
        <v>40.652691069399999</v>
      </c>
      <c r="W153" s="66">
        <v>24.654946279300006</v>
      </c>
      <c r="X153" s="66">
        <v>53.893124050299996</v>
      </c>
      <c r="Y153" s="66">
        <v>43.014433933900001</v>
      </c>
      <c r="Z153" s="66">
        <v>36.759596158000001</v>
      </c>
      <c r="AA153" s="66">
        <v>33.669835313500002</v>
      </c>
      <c r="AB153" s="66">
        <v>33.543295281100001</v>
      </c>
      <c r="AC153" s="66">
        <v>24.991298091399997</v>
      </c>
      <c r="AD153" s="66">
        <v>43.102959419200005</v>
      </c>
      <c r="AE153" s="66">
        <v>49.892289983199994</v>
      </c>
      <c r="AF153" s="66">
        <v>46.353221959600006</v>
      </c>
      <c r="AG153" s="66">
        <v>43.770071565099997</v>
      </c>
      <c r="AH153" s="66">
        <v>34.021385439100001</v>
      </c>
      <c r="AI153" s="66">
        <v>28.584141876099999</v>
      </c>
      <c r="AJ153" s="66">
        <v>50.461682602300002</v>
      </c>
      <c r="AK153" s="66">
        <v>42.029283005499998</v>
      </c>
      <c r="AL153" s="66">
        <v>55.069961362299999</v>
      </c>
      <c r="AM153" s="66">
        <v>39.227126789800003</v>
      </c>
      <c r="AN153" s="66">
        <v>33.030905719299994</v>
      </c>
      <c r="AO153" s="66">
        <v>26.014313460099999</v>
      </c>
      <c r="AP153" s="66">
        <v>40.3079708032</v>
      </c>
      <c r="AQ153" s="66">
        <v>47.045777208100006</v>
      </c>
      <c r="AR153" s="66">
        <v>49.550121532600002</v>
      </c>
      <c r="AS153" s="66">
        <v>40.9870164397</v>
      </c>
      <c r="AT153" s="66">
        <v>44.871067416400003</v>
      </c>
      <c r="AU153" s="66">
        <v>38.283030071200002</v>
      </c>
      <c r="AV153" s="66">
        <v>51.229741571200002</v>
      </c>
      <c r="AW153" s="66">
        <v>58.320524116299993</v>
      </c>
      <c r="AX153" s="66">
        <v>51.653380487500002</v>
      </c>
      <c r="AY153" s="66">
        <v>37.181921639799995</v>
      </c>
      <c r="AZ153" s="66">
        <v>51.522787571500011</v>
      </c>
      <c r="BA153" s="66">
        <v>47.655886296699997</v>
      </c>
      <c r="BB153" s="66">
        <v>41.548040604699999</v>
      </c>
      <c r="BC153" s="66">
        <v>59.389359585699992</v>
      </c>
      <c r="BD153" s="66">
        <v>53.677908425799998</v>
      </c>
      <c r="BE153" s="66">
        <v>44.865475938099998</v>
      </c>
      <c r="BF153" s="66">
        <v>43.415969623899997</v>
      </c>
      <c r="BG153" s="66">
        <v>52.007407375299998</v>
      </c>
      <c r="BH153" s="66">
        <v>50.390156712099994</v>
      </c>
      <c r="BI153" s="66">
        <v>44.334735819999999</v>
      </c>
      <c r="BJ153" s="66">
        <v>46.115903108800005</v>
      </c>
      <c r="BK153" s="66">
        <v>49.732839034899996</v>
      </c>
      <c r="BL153" s="66">
        <v>37.002656593899999</v>
      </c>
      <c r="BM153" s="66">
        <v>49.026248800600001</v>
      </c>
      <c r="BN153" s="66">
        <v>50.801974717900002</v>
      </c>
      <c r="BO153" s="66">
        <v>60.53917767370001</v>
      </c>
      <c r="BP153" s="66">
        <v>50.978988161800004</v>
      </c>
      <c r="BQ153" s="66">
        <v>58.010478520900008</v>
      </c>
      <c r="BR153" s="66">
        <v>37.954446286</v>
      </c>
      <c r="BS153" s="66">
        <v>48.961177502799998</v>
      </c>
      <c r="BT153" s="66">
        <v>65.328860501500003</v>
      </c>
      <c r="BU153" s="66">
        <v>40.4929774342</v>
      </c>
      <c r="BV153" s="66">
        <v>37.467162086500004</v>
      </c>
      <c r="BW153" s="66">
        <v>36.389357735800004</v>
      </c>
      <c r="BX153" s="66">
        <v>52.908723655900005</v>
      </c>
      <c r="BY153" s="66">
        <v>45.950447888500001</v>
      </c>
      <c r="BZ153" s="66">
        <v>44.277470075800004</v>
      </c>
      <c r="CA153" s="66">
        <v>48.011076512200006</v>
      </c>
      <c r="CB153" s="66">
        <v>43.269990760900008</v>
      </c>
      <c r="CC153" s="66">
        <v>42.4149073747</v>
      </c>
      <c r="CD153" s="66">
        <v>47.239077239800004</v>
      </c>
      <c r="CE153" s="66">
        <v>55.918214889100007</v>
      </c>
      <c r="CF153" s="66">
        <v>56.824146953799996</v>
      </c>
      <c r="CG153" s="66">
        <v>40.590359220700002</v>
      </c>
      <c r="CH153" s="66">
        <v>44.474335144000001</v>
      </c>
      <c r="CI153" s="66">
        <v>35.207792059600003</v>
      </c>
      <c r="CJ153" s="66">
        <v>46.679404036000001</v>
      </c>
      <c r="CK153" s="66">
        <v>49.735540957300003</v>
      </c>
      <c r="CL153" s="66">
        <v>38.357107777000003</v>
      </c>
      <c r="CM153" s="66">
        <v>57.226996078300004</v>
      </c>
      <c r="CN153" s="66">
        <v>52.916153942500003</v>
      </c>
      <c r="CO153" s="66">
        <v>39.878290088200004</v>
      </c>
      <c r="CP153" s="66">
        <v>40.816269954699997</v>
      </c>
      <c r="CQ153" s="66">
        <v>54.651913924300004</v>
      </c>
      <c r="CR153" s="66">
        <v>46.507269063099997</v>
      </c>
      <c r="CS153" s="66">
        <v>36.375435330100004</v>
      </c>
      <c r="CT153" s="66">
        <v>40.426067328100004</v>
      </c>
      <c r="CU153" s="66">
        <v>36.949406206599996</v>
      </c>
      <c r="CV153" s="66">
        <v>48.461246805400002</v>
      </c>
      <c r="CW153" s="66">
        <v>53.750785277200002</v>
      </c>
      <c r="CX153" s="66">
        <v>51.148196052100005</v>
      </c>
      <c r="CY153" s="66">
        <v>63.940860448600006</v>
      </c>
      <c r="CZ153" s="66">
        <v>43.411954266999999</v>
      </c>
      <c r="DA153" s="66">
        <v>37.949530288299997</v>
      </c>
      <c r="DB153" s="66">
        <v>46.226606873800009</v>
      </c>
      <c r="DC153" s="66">
        <v>55.272380382100003</v>
      </c>
      <c r="DD153" s="66">
        <v>47.238026492199999</v>
      </c>
      <c r="DE153" s="66">
        <v>43.339677842800008</v>
      </c>
      <c r="DF153" s="66">
        <v>43.993730697099998</v>
      </c>
      <c r="DG153" s="66">
        <v>37.940373773500006</v>
      </c>
      <c r="DH153" s="66">
        <v>42.067935506500007</v>
      </c>
      <c r="DI153" s="66">
        <v>59.022573619900015</v>
      </c>
      <c r="DJ153" s="66">
        <v>56.328644406999999</v>
      </c>
      <c r="DK153" s="66">
        <v>81.864137742400018</v>
      </c>
      <c r="DL153" s="66">
        <v>48.409497486100001</v>
      </c>
      <c r="DM153" s="66">
        <v>36.769540733500001</v>
      </c>
      <c r="DN153" s="66">
        <v>45.315158384199997</v>
      </c>
      <c r="DO153" s="66">
        <v>44.055574698700006</v>
      </c>
      <c r="DP153" s="79"/>
      <c r="DQ153" s="80"/>
      <c r="DR153" s="81"/>
      <c r="DS153" s="84">
        <f t="shared" si="20"/>
        <v>2010</v>
      </c>
      <c r="DT153" s="80"/>
      <c r="DU153" s="83">
        <f t="shared" si="23"/>
        <v>341.98541123670003</v>
      </c>
      <c r="DV153" s="83">
        <f t="shared" si="23"/>
        <v>471.67986298530013</v>
      </c>
      <c r="DW153" s="83">
        <f t="shared" si="23"/>
        <v>491.04671737470005</v>
      </c>
      <c r="DX153" s="83">
        <f t="shared" si="23"/>
        <v>518.47577046540005</v>
      </c>
      <c r="DY153" s="83">
        <f t="shared" si="23"/>
        <v>584.65647009750001</v>
      </c>
      <c r="DZ153" s="83">
        <f t="shared" si="23"/>
        <v>572.95350601560006</v>
      </c>
      <c r="EA153" s="83">
        <f t="shared" si="23"/>
        <v>557.086541775</v>
      </c>
      <c r="EB153" s="83">
        <f t="shared" si="23"/>
        <v>540.51985468620001</v>
      </c>
      <c r="EC153" s="83">
        <f t="shared" si="23"/>
        <v>572.67336920010007</v>
      </c>
      <c r="ED153" s="83">
        <f t="shared" si="23"/>
        <v>413.83306257830003</v>
      </c>
    </row>
    <row r="154" spans="2:134" x14ac:dyDescent="0.3">
      <c r="B154" s="45">
        <f t="shared" si="21"/>
        <v>1000000150</v>
      </c>
      <c r="C154" s="46">
        <v>41640</v>
      </c>
      <c r="D154" s="66">
        <v>-8</v>
      </c>
      <c r="E154" s="66">
        <v>3.5187455115999988</v>
      </c>
      <c r="F154" s="66">
        <v>-2.6026097924</v>
      </c>
      <c r="G154" s="66">
        <v>3.7167739075000021</v>
      </c>
      <c r="H154" s="66">
        <v>2.7467837659000018</v>
      </c>
      <c r="I154" s="66">
        <v>1.3463248486000001</v>
      </c>
      <c r="J154" s="66">
        <v>-2.4440594849000004</v>
      </c>
      <c r="K154" s="66">
        <v>-0.43169019740000003</v>
      </c>
      <c r="L154" s="66">
        <v>-1.0273890332000004</v>
      </c>
      <c r="M154" s="66">
        <v>-1.7361558160999984</v>
      </c>
      <c r="N154" s="66">
        <v>0.88347053080000038</v>
      </c>
      <c r="O154" s="66">
        <v>6.1994653261000021</v>
      </c>
      <c r="P154" s="66">
        <v>2.8326823821999998</v>
      </c>
      <c r="Q154" s="66">
        <v>22.144222415800002</v>
      </c>
      <c r="R154" s="66">
        <v>8.5056686746000025</v>
      </c>
      <c r="S154" s="66">
        <v>6.7885969894000002</v>
      </c>
      <c r="T154" s="66">
        <v>4.2634628731000017</v>
      </c>
      <c r="U154" s="66">
        <v>4.3574672566000014</v>
      </c>
      <c r="V154" s="66">
        <v>1.0641240646000014</v>
      </c>
      <c r="W154" s="66">
        <v>0.83596172860000095</v>
      </c>
      <c r="X154" s="66">
        <v>2.203960050400001</v>
      </c>
      <c r="Y154" s="66">
        <v>10.3333690714</v>
      </c>
      <c r="Z154" s="66">
        <v>12.631729339600003</v>
      </c>
      <c r="AA154" s="66">
        <v>11.460333399099998</v>
      </c>
      <c r="AB154" s="66">
        <v>9.9025250287000013</v>
      </c>
      <c r="AC154" s="66">
        <v>25.054267894000006</v>
      </c>
      <c r="AD154" s="66">
        <v>22.432202311600001</v>
      </c>
      <c r="AE154" s="66">
        <v>6.9240308497000012</v>
      </c>
      <c r="AF154" s="66">
        <v>13.506851983600001</v>
      </c>
      <c r="AG154" s="66">
        <v>5.5881929098000001</v>
      </c>
      <c r="AH154" s="66">
        <v>5.0234536015</v>
      </c>
      <c r="AI154" s="66">
        <v>5.1457155901</v>
      </c>
      <c r="AJ154" s="66">
        <v>7.1908832134000011</v>
      </c>
      <c r="AK154" s="66">
        <v>11.038908558100001</v>
      </c>
      <c r="AL154" s="66">
        <v>10.158607229500003</v>
      </c>
      <c r="AM154" s="66">
        <v>6.9510876004000011</v>
      </c>
      <c r="AN154" s="66">
        <v>9.8084455918000018</v>
      </c>
      <c r="AO154" s="66">
        <v>9.1647125799999998</v>
      </c>
      <c r="AP154" s="66">
        <v>16.981936983700002</v>
      </c>
      <c r="AQ154" s="66">
        <v>21.325652508700006</v>
      </c>
      <c r="AR154" s="66">
        <v>17.356190762800004</v>
      </c>
      <c r="AS154" s="66">
        <v>11.221663587100004</v>
      </c>
      <c r="AT154" s="66">
        <v>18.223620433300002</v>
      </c>
      <c r="AU154" s="66">
        <v>15.850131711700005</v>
      </c>
      <c r="AV154" s="66">
        <v>19.193160254500008</v>
      </c>
      <c r="AW154" s="66">
        <v>13.900394486499998</v>
      </c>
      <c r="AX154" s="66">
        <v>15.352640249800004</v>
      </c>
      <c r="AY154" s="66">
        <v>13.988507178100004</v>
      </c>
      <c r="AZ154" s="66">
        <v>5.8489284214000001</v>
      </c>
      <c r="BA154" s="66">
        <v>18.186168786700001</v>
      </c>
      <c r="BB154" s="66">
        <v>24.94664131839999</v>
      </c>
      <c r="BC154" s="66">
        <v>26.096421879699996</v>
      </c>
      <c r="BD154" s="66">
        <v>19.5170532022</v>
      </c>
      <c r="BE154" s="66">
        <v>13.358884205499997</v>
      </c>
      <c r="BF154" s="66">
        <v>16.190573934100001</v>
      </c>
      <c r="BG154" s="66">
        <v>19.357902467500004</v>
      </c>
      <c r="BH154" s="66">
        <v>9.8235313252000012</v>
      </c>
      <c r="BI154" s="66">
        <v>14.439465532000003</v>
      </c>
      <c r="BJ154" s="66">
        <v>20.036685417100003</v>
      </c>
      <c r="BK154" s="66">
        <v>11.6033476528</v>
      </c>
      <c r="BL154" s="66">
        <v>22.412088000400001</v>
      </c>
      <c r="BM154" s="66">
        <v>18.3961681999</v>
      </c>
      <c r="BN154" s="66">
        <v>23.611966706200008</v>
      </c>
      <c r="BO154" s="66">
        <v>22.412463267399993</v>
      </c>
      <c r="BP154" s="66">
        <v>24.264480965800004</v>
      </c>
      <c r="BQ154" s="66">
        <v>18.773911962100001</v>
      </c>
      <c r="BR154" s="66">
        <v>23.540328235900006</v>
      </c>
      <c r="BS154" s="66">
        <v>19.921591028200002</v>
      </c>
      <c r="BT154" s="66">
        <v>13.4017772236</v>
      </c>
      <c r="BU154" s="66">
        <v>14.123228031099998</v>
      </c>
      <c r="BV154" s="66">
        <v>18.8232970993</v>
      </c>
      <c r="BW154" s="66">
        <v>21.825620732800004</v>
      </c>
      <c r="BX154" s="66">
        <v>19.751782710699999</v>
      </c>
      <c r="BY154" s="66">
        <v>30.858560109700001</v>
      </c>
      <c r="BZ154" s="66">
        <v>23.872026737199999</v>
      </c>
      <c r="CA154" s="66">
        <v>26.838587425600004</v>
      </c>
      <c r="CB154" s="66">
        <v>21.7083122686</v>
      </c>
      <c r="CC154" s="66">
        <v>23.903098844799995</v>
      </c>
      <c r="CD154" s="66">
        <v>22.0043979316</v>
      </c>
      <c r="CE154" s="66">
        <v>20.687661082000002</v>
      </c>
      <c r="CF154" s="66">
        <v>23.867410953100002</v>
      </c>
      <c r="CG154" s="66">
        <v>32.768106239200002</v>
      </c>
      <c r="CH154" s="66">
        <v>22.060162607799999</v>
      </c>
      <c r="CI154" s="66">
        <v>17.9896039321</v>
      </c>
      <c r="CJ154" s="66">
        <v>14.774841649899997</v>
      </c>
      <c r="CK154" s="66">
        <v>178.18440647950004</v>
      </c>
      <c r="CL154" s="66">
        <v>44.223093887500006</v>
      </c>
      <c r="CM154" s="66">
        <v>40.882129313200004</v>
      </c>
      <c r="CN154" s="66">
        <v>-117.31827923600001</v>
      </c>
      <c r="CO154" s="66">
        <v>26.652755207200002</v>
      </c>
      <c r="CP154" s="66">
        <v>14.267443139200001</v>
      </c>
      <c r="CQ154" s="66">
        <v>16.042981423000001</v>
      </c>
      <c r="CR154" s="66">
        <v>19.486619048500003</v>
      </c>
      <c r="CS154" s="66">
        <v>21.391211653599999</v>
      </c>
      <c r="CT154" s="66">
        <v>17.5596230035</v>
      </c>
      <c r="CU154" s="66">
        <v>22.684043995299998</v>
      </c>
      <c r="CV154" s="66">
        <v>27.722228630500005</v>
      </c>
      <c r="CW154" s="66">
        <v>48.923050375600006</v>
      </c>
      <c r="CX154" s="66">
        <v>46.369471020699997</v>
      </c>
      <c r="CY154" s="66">
        <v>35.412800421699998</v>
      </c>
      <c r="CZ154" s="66">
        <v>35.509957048000004</v>
      </c>
      <c r="DA154" s="66">
        <v>31.738148431000006</v>
      </c>
      <c r="DB154" s="66">
        <v>22.611242197300001</v>
      </c>
      <c r="DC154" s="66">
        <v>23.607988875999997</v>
      </c>
      <c r="DD154" s="66">
        <v>26.409469611099993</v>
      </c>
      <c r="DE154" s="66">
        <v>19.3559886058</v>
      </c>
      <c r="DF154" s="66">
        <v>24.879393471999997</v>
      </c>
      <c r="DG154" s="66">
        <v>27.197079990700004</v>
      </c>
      <c r="DH154" s="66">
        <v>35.589438598599997</v>
      </c>
      <c r="DI154" s="66">
        <v>64.73770239640001</v>
      </c>
      <c r="DJ154" s="66">
        <v>83.979555348099993</v>
      </c>
      <c r="DK154" s="66">
        <v>74.777633241100006</v>
      </c>
      <c r="DL154" s="66">
        <v>66.462692215300009</v>
      </c>
      <c r="DM154" s="66">
        <v>71.411600831199991</v>
      </c>
      <c r="DN154" s="66">
        <v>60.416690524900019</v>
      </c>
      <c r="DO154" s="66">
        <v>55.646896848099999</v>
      </c>
      <c r="DP154" s="79"/>
      <c r="DQ154" s="80"/>
      <c r="DR154" s="81"/>
      <c r="DS154" s="84">
        <f t="shared" si="20"/>
        <v>2014</v>
      </c>
      <c r="DT154" s="80"/>
      <c r="DU154" s="83">
        <f t="shared" si="23"/>
        <v>2.1696595665000062</v>
      </c>
      <c r="DV154" s="83">
        <f t="shared" si="23"/>
        <v>87.421578245399999</v>
      </c>
      <c r="DW154" s="83">
        <f t="shared" si="23"/>
        <v>128.9167267704</v>
      </c>
      <c r="DX154" s="83">
        <f t="shared" si="23"/>
        <v>182.36705632800005</v>
      </c>
      <c r="DY154" s="83">
        <f t="shared" si="23"/>
        <v>199.40560414260003</v>
      </c>
      <c r="DZ154" s="83">
        <f t="shared" si="23"/>
        <v>241.5069214527</v>
      </c>
      <c r="EA154" s="83">
        <f t="shared" si="23"/>
        <v>286.30971084240002</v>
      </c>
      <c r="EB154" s="83">
        <f t="shared" si="23"/>
        <v>298.83086956440007</v>
      </c>
      <c r="EC154" s="83">
        <f t="shared" si="23"/>
        <v>369.73681868040001</v>
      </c>
      <c r="ED154" s="83">
        <f t="shared" si="23"/>
        <v>513.02221000370002</v>
      </c>
    </row>
    <row r="155" spans="2:134" x14ac:dyDescent="0.3">
      <c r="B155" s="45">
        <f t="shared" si="21"/>
        <v>1000000151</v>
      </c>
      <c r="C155" s="46">
        <v>43556</v>
      </c>
      <c r="D155" s="66">
        <v>-8</v>
      </c>
      <c r="E155" s="66">
        <v>-8</v>
      </c>
      <c r="F155" s="66">
        <v>-8</v>
      </c>
      <c r="G155" s="66">
        <v>-8</v>
      </c>
      <c r="H155" s="66">
        <v>-8</v>
      </c>
      <c r="I155" s="66">
        <v>-8</v>
      </c>
      <c r="J155" s="66">
        <v>-8</v>
      </c>
      <c r="K155" s="66">
        <v>-8</v>
      </c>
      <c r="L155" s="66">
        <v>-8</v>
      </c>
      <c r="M155" s="66">
        <v>-8</v>
      </c>
      <c r="N155" s="66">
        <v>-8</v>
      </c>
      <c r="O155" s="66">
        <v>-8</v>
      </c>
      <c r="P155" s="66">
        <v>-8</v>
      </c>
      <c r="Q155" s="66">
        <v>-8</v>
      </c>
      <c r="R155" s="66">
        <v>-8</v>
      </c>
      <c r="S155" s="66">
        <v>-8</v>
      </c>
      <c r="T155" s="66">
        <v>-8</v>
      </c>
      <c r="U155" s="66">
        <v>-8</v>
      </c>
      <c r="V155" s="66">
        <v>-8</v>
      </c>
      <c r="W155" s="66">
        <v>-8</v>
      </c>
      <c r="X155" s="66">
        <v>-8</v>
      </c>
      <c r="Y155" s="66">
        <v>-8</v>
      </c>
      <c r="Z155" s="66">
        <v>-8</v>
      </c>
      <c r="AA155" s="66">
        <v>-8</v>
      </c>
      <c r="AB155" s="66">
        <v>-8</v>
      </c>
      <c r="AC155" s="66">
        <v>-8</v>
      </c>
      <c r="AD155" s="66">
        <v>-8</v>
      </c>
      <c r="AE155" s="66">
        <v>-8</v>
      </c>
      <c r="AF155" s="66">
        <v>-8</v>
      </c>
      <c r="AG155" s="66">
        <v>-8</v>
      </c>
      <c r="AH155" s="66">
        <v>-8</v>
      </c>
      <c r="AI155" s="66">
        <v>-8</v>
      </c>
      <c r="AJ155" s="66">
        <v>-8</v>
      </c>
      <c r="AK155" s="66">
        <v>-8</v>
      </c>
      <c r="AL155" s="66">
        <v>-8</v>
      </c>
      <c r="AM155" s="66">
        <v>-8</v>
      </c>
      <c r="AN155" s="66">
        <v>-8</v>
      </c>
      <c r="AO155" s="66">
        <v>-8</v>
      </c>
      <c r="AP155" s="66">
        <v>-8</v>
      </c>
      <c r="AQ155" s="66">
        <v>-8</v>
      </c>
      <c r="AR155" s="66">
        <v>-8</v>
      </c>
      <c r="AS155" s="66">
        <v>-8</v>
      </c>
      <c r="AT155" s="66">
        <v>-8</v>
      </c>
      <c r="AU155" s="66">
        <v>-8</v>
      </c>
      <c r="AV155" s="66">
        <v>-8</v>
      </c>
      <c r="AW155" s="66">
        <v>-8</v>
      </c>
      <c r="AX155" s="66">
        <v>-8</v>
      </c>
      <c r="AY155" s="66">
        <v>-8</v>
      </c>
      <c r="AZ155" s="66">
        <v>-8</v>
      </c>
      <c r="BA155" s="66">
        <v>-8</v>
      </c>
      <c r="BB155" s="66">
        <v>-8</v>
      </c>
      <c r="BC155" s="66">
        <v>-8</v>
      </c>
      <c r="BD155" s="66">
        <v>-8</v>
      </c>
      <c r="BE155" s="66">
        <v>-8</v>
      </c>
      <c r="BF155" s="66">
        <v>-8</v>
      </c>
      <c r="BG155" s="66">
        <v>-8</v>
      </c>
      <c r="BH155" s="66">
        <v>-8</v>
      </c>
      <c r="BI155" s="66">
        <v>-8</v>
      </c>
      <c r="BJ155" s="66">
        <v>-8</v>
      </c>
      <c r="BK155" s="66">
        <v>-8</v>
      </c>
      <c r="BL155" s="66">
        <v>-8</v>
      </c>
      <c r="BM155" s="66">
        <v>-8</v>
      </c>
      <c r="BN155" s="66">
        <v>-8</v>
      </c>
      <c r="BO155" s="66">
        <v>-8</v>
      </c>
      <c r="BP155" s="66">
        <v>-6.8662433396000004</v>
      </c>
      <c r="BQ155" s="66">
        <v>28.785697781800003</v>
      </c>
      <c r="BR155" s="66">
        <v>27.805087584099994</v>
      </c>
      <c r="BS155" s="66">
        <v>28.773576657700005</v>
      </c>
      <c r="BT155" s="66">
        <v>39.422340683199998</v>
      </c>
      <c r="BU155" s="66">
        <v>44.405848916500005</v>
      </c>
      <c r="BV155" s="66">
        <v>32.929733736099998</v>
      </c>
      <c r="BW155" s="66">
        <v>35.137241863599996</v>
      </c>
      <c r="BX155" s="66">
        <v>39.103814053600004</v>
      </c>
      <c r="BY155" s="66">
        <v>50.523414023800001</v>
      </c>
      <c r="BZ155" s="66">
        <v>31.53130126060001</v>
      </c>
      <c r="CA155" s="66">
        <v>29.960396071899993</v>
      </c>
      <c r="CB155" s="66">
        <v>12.496783326399999</v>
      </c>
      <c r="CC155" s="66">
        <v>24.830946502299994</v>
      </c>
      <c r="CD155" s="66">
        <v>42.608957940400003</v>
      </c>
      <c r="CE155" s="66">
        <v>29.442490085200006</v>
      </c>
      <c r="CF155" s="66">
        <v>43.418071119100006</v>
      </c>
      <c r="CG155" s="66">
        <v>33.901487632599995</v>
      </c>
      <c r="CH155" s="66">
        <v>21.458346919899999</v>
      </c>
      <c r="CI155" s="66">
        <v>30.009480995500013</v>
      </c>
      <c r="CJ155" s="66">
        <v>31.072499826400005</v>
      </c>
      <c r="CK155" s="66">
        <v>39.3492011449</v>
      </c>
      <c r="CL155" s="66">
        <v>36.029814423099999</v>
      </c>
      <c r="CM155" s="66">
        <v>42.124112976399999</v>
      </c>
      <c r="CN155" s="66">
        <v>27.265603744900005</v>
      </c>
      <c r="CO155" s="66">
        <v>22.709412044500006</v>
      </c>
      <c r="CP155" s="66">
        <v>40.292885069800001</v>
      </c>
      <c r="CQ155" s="66">
        <v>40.608221929900004</v>
      </c>
      <c r="CR155" s="66">
        <v>48.699691457199997</v>
      </c>
      <c r="CS155" s="66">
        <v>36.308600277399989</v>
      </c>
      <c r="CT155" s="66">
        <v>37.625862500799997</v>
      </c>
      <c r="CU155" s="66">
        <v>28.0031910334</v>
      </c>
      <c r="CV155" s="66">
        <v>31.9153119817</v>
      </c>
      <c r="CW155" s="66">
        <v>41.514829475200003</v>
      </c>
      <c r="CX155" s="66">
        <v>36.28128083979999</v>
      </c>
      <c r="CY155" s="66">
        <v>30.15302062300001</v>
      </c>
      <c r="CZ155" s="66">
        <v>48.380601927100003</v>
      </c>
      <c r="DA155" s="66">
        <v>35.0015077897</v>
      </c>
      <c r="DB155" s="66">
        <v>42.757000771900003</v>
      </c>
      <c r="DC155" s="66">
        <v>46.517663959000011</v>
      </c>
      <c r="DD155" s="66">
        <v>75.745221673900005</v>
      </c>
      <c r="DE155" s="66">
        <v>55.410140897800005</v>
      </c>
      <c r="DF155" s="66">
        <v>29.844325988800001</v>
      </c>
      <c r="DG155" s="66">
        <v>43.016197688799998</v>
      </c>
      <c r="DH155" s="66">
        <v>52.968241002100015</v>
      </c>
      <c r="DI155" s="66">
        <v>50.290448270199995</v>
      </c>
      <c r="DJ155" s="66">
        <v>54.367686698500002</v>
      </c>
      <c r="DK155" s="66">
        <v>56.288265677800013</v>
      </c>
      <c r="DL155" s="66">
        <v>28.022592337299997</v>
      </c>
      <c r="DM155" s="66">
        <v>44.578884530200007</v>
      </c>
      <c r="DN155" s="66">
        <v>51.530968392100007</v>
      </c>
      <c r="DO155" s="66">
        <v>34.225530687100004</v>
      </c>
      <c r="DP155" s="79"/>
      <c r="DQ155" s="80"/>
      <c r="DR155" s="81"/>
      <c r="DS155" s="84">
        <f t="shared" si="20"/>
        <v>2019</v>
      </c>
      <c r="DT155" s="80"/>
      <c r="DU155" s="83">
        <f t="shared" ref="DU155:ED164" si="24">+SUMIF($D$3:$DO$3,DU$4,$D155:$DO155)</f>
        <v>-96</v>
      </c>
      <c r="DV155" s="83">
        <f t="shared" si="24"/>
        <v>-96</v>
      </c>
      <c r="DW155" s="83">
        <f t="shared" si="24"/>
        <v>-96</v>
      </c>
      <c r="DX155" s="83">
        <f t="shared" si="24"/>
        <v>-96</v>
      </c>
      <c r="DY155" s="83">
        <f t="shared" si="24"/>
        <v>-96</v>
      </c>
      <c r="DZ155" s="83">
        <f t="shared" si="24"/>
        <v>198.39328388339999</v>
      </c>
      <c r="EA155" s="83">
        <f t="shared" si="24"/>
        <v>389.28548993130005</v>
      </c>
      <c r="EB155" s="83">
        <f t="shared" si="24"/>
        <v>430.08909642870003</v>
      </c>
      <c r="EC155" s="83">
        <f t="shared" si="24"/>
        <v>516.53710361669994</v>
      </c>
      <c r="ED155" s="83">
        <f t="shared" si="24"/>
        <v>372.27261759530006</v>
      </c>
    </row>
    <row r="156" spans="2:134" x14ac:dyDescent="0.3">
      <c r="B156" s="45">
        <f t="shared" si="21"/>
        <v>1000000152</v>
      </c>
      <c r="C156" s="46">
        <v>41944</v>
      </c>
      <c r="D156" s="66">
        <v>-8</v>
      </c>
      <c r="E156" s="66">
        <v>-8</v>
      </c>
      <c r="F156" s="66">
        <v>-8</v>
      </c>
      <c r="G156" s="66">
        <v>-8</v>
      </c>
      <c r="H156" s="66">
        <v>-8</v>
      </c>
      <c r="I156" s="66">
        <v>-8</v>
      </c>
      <c r="J156" s="66">
        <v>-8</v>
      </c>
      <c r="K156" s="66">
        <v>-8</v>
      </c>
      <c r="L156" s="66">
        <v>-8</v>
      </c>
      <c r="M156" s="66">
        <v>-8</v>
      </c>
      <c r="N156" s="66">
        <v>-0.32954251999999951</v>
      </c>
      <c r="O156" s="66">
        <v>7.6619934051999987</v>
      </c>
      <c r="P156" s="66">
        <v>8.5195535536000015</v>
      </c>
      <c r="Q156" s="66">
        <v>49.957511387800004</v>
      </c>
      <c r="R156" s="66">
        <v>21.1092735565</v>
      </c>
      <c r="S156" s="66">
        <v>21.626466535900004</v>
      </c>
      <c r="T156" s="66">
        <v>18.648347623900001</v>
      </c>
      <c r="U156" s="66">
        <v>15.371215966299999</v>
      </c>
      <c r="V156" s="66">
        <v>19.309493024500004</v>
      </c>
      <c r="W156" s="66">
        <v>22.010477257000002</v>
      </c>
      <c r="X156" s="66">
        <v>25.136076100000004</v>
      </c>
      <c r="Y156" s="66">
        <v>19.6201390471</v>
      </c>
      <c r="Z156" s="66">
        <v>20.352209910699997</v>
      </c>
      <c r="AA156" s="66">
        <v>20.885126577400001</v>
      </c>
      <c r="AB156" s="66">
        <v>26.130758810200007</v>
      </c>
      <c r="AC156" s="66">
        <v>34.719869906200003</v>
      </c>
      <c r="AD156" s="66">
        <v>37.572011686300002</v>
      </c>
      <c r="AE156" s="66">
        <v>41.680922649400003</v>
      </c>
      <c r="AF156" s="66">
        <v>24.372745495300002</v>
      </c>
      <c r="AG156" s="66">
        <v>29.709492555700002</v>
      </c>
      <c r="AH156" s="66">
        <v>32.316584984799995</v>
      </c>
      <c r="AI156" s="66">
        <v>37.937259057400013</v>
      </c>
      <c r="AJ156" s="66">
        <v>40.437625551699995</v>
      </c>
      <c r="AK156" s="66">
        <v>43.621353253000002</v>
      </c>
      <c r="AL156" s="66">
        <v>42.623780986900002</v>
      </c>
      <c r="AM156" s="66">
        <v>38.949241576300004</v>
      </c>
      <c r="AN156" s="66">
        <v>42.378168735400003</v>
      </c>
      <c r="AO156" s="66">
        <v>54.659156577400012</v>
      </c>
      <c r="AP156" s="66">
        <v>65.26273845610001</v>
      </c>
      <c r="AQ156" s="66">
        <v>61.708959966100011</v>
      </c>
      <c r="AR156" s="66">
        <v>58.895057893300006</v>
      </c>
      <c r="AS156" s="66">
        <v>53.572383345399992</v>
      </c>
      <c r="AT156" s="66">
        <v>51.858013582600002</v>
      </c>
      <c r="AU156" s="66">
        <v>51.565680589600014</v>
      </c>
      <c r="AV156" s="66">
        <v>49.919121573700004</v>
      </c>
      <c r="AW156" s="66">
        <v>51.519822962200003</v>
      </c>
      <c r="AX156" s="66">
        <v>49.681540036000008</v>
      </c>
      <c r="AY156" s="66">
        <v>48.306749381500005</v>
      </c>
      <c r="AZ156" s="66">
        <v>57.230898855100008</v>
      </c>
      <c r="BA156" s="66">
        <v>69.612683413300005</v>
      </c>
      <c r="BB156" s="66">
        <v>62.798209960299999</v>
      </c>
      <c r="BC156" s="66">
        <v>67.080381697300012</v>
      </c>
      <c r="BD156" s="66">
        <v>56.663495151100022</v>
      </c>
      <c r="BE156" s="66">
        <v>53.233404664300004</v>
      </c>
      <c r="BF156" s="66">
        <v>56.559546192100001</v>
      </c>
      <c r="BG156" s="66">
        <v>52.389466708000022</v>
      </c>
      <c r="BH156" s="66">
        <v>51.366263705800002</v>
      </c>
      <c r="BI156" s="66">
        <v>41.172285757599994</v>
      </c>
      <c r="BJ156" s="66">
        <v>35.680966219900007</v>
      </c>
      <c r="BK156" s="66">
        <v>39.194441034099995</v>
      </c>
      <c r="BL156" s="66">
        <v>42.681046731100004</v>
      </c>
      <c r="BM156" s="66">
        <v>54.16838239480002</v>
      </c>
      <c r="BN156" s="66">
        <v>56.60941917640001</v>
      </c>
      <c r="BO156" s="66">
        <v>53.003403520000006</v>
      </c>
      <c r="BP156" s="66">
        <v>50.840627218900011</v>
      </c>
      <c r="BQ156" s="66">
        <v>50.549570133700001</v>
      </c>
      <c r="BR156" s="66">
        <v>44.937639782199994</v>
      </c>
      <c r="BS156" s="66">
        <v>50.119476624999997</v>
      </c>
      <c r="BT156" s="66">
        <v>39.402714219100005</v>
      </c>
      <c r="BU156" s="66">
        <v>37.190740414300009</v>
      </c>
      <c r="BV156" s="66">
        <v>36.317831845600004</v>
      </c>
      <c r="BW156" s="66">
        <v>36.195269643400003</v>
      </c>
      <c r="BX156" s="66">
        <v>47.540229007300006</v>
      </c>
      <c r="BY156" s="66">
        <v>64.9076983474</v>
      </c>
      <c r="BZ156" s="66">
        <v>50.310525054700001</v>
      </c>
      <c r="CA156" s="66">
        <v>51.537010190800004</v>
      </c>
      <c r="CB156" s="66">
        <v>50.197044313899987</v>
      </c>
      <c r="CC156" s="66">
        <v>51.66501376450001</v>
      </c>
      <c r="CD156" s="66">
        <v>45.492359461599996</v>
      </c>
      <c r="CE156" s="66">
        <v>49.924000044700009</v>
      </c>
      <c r="CF156" s="66">
        <v>43.859722851400008</v>
      </c>
      <c r="CG156" s="66">
        <v>40.959509368600003</v>
      </c>
      <c r="CH156" s="66">
        <v>40.620305527300005</v>
      </c>
      <c r="CI156" s="66">
        <v>40.377845518599997</v>
      </c>
      <c r="CJ156" s="66">
        <v>38.433399558100007</v>
      </c>
      <c r="CK156" s="66">
        <v>44.8106869561</v>
      </c>
      <c r="CL156" s="66">
        <v>57.428064136899991</v>
      </c>
      <c r="CM156" s="66">
        <v>63.954182427099994</v>
      </c>
      <c r="CN156" s="66">
        <v>39.807364625200009</v>
      </c>
      <c r="CO156" s="66">
        <v>48.858541978300011</v>
      </c>
      <c r="CP156" s="66">
        <v>41.387839122399996</v>
      </c>
      <c r="CQ156" s="66">
        <v>46.46448862510001</v>
      </c>
      <c r="CR156" s="66">
        <v>40.308946497400008</v>
      </c>
      <c r="CS156" s="66">
        <v>26.272572209500005</v>
      </c>
      <c r="CT156" s="66">
        <v>29.740001762799992</v>
      </c>
      <c r="CU156" s="66">
        <v>30.3730771918</v>
      </c>
      <c r="CV156" s="66">
        <v>29.495365205500008</v>
      </c>
      <c r="CW156" s="66">
        <v>34.175657702800002</v>
      </c>
      <c r="CX156" s="66">
        <v>24.3538695652</v>
      </c>
      <c r="CY156" s="66">
        <v>39.244276491700006</v>
      </c>
      <c r="CZ156" s="66">
        <v>35.513447031100007</v>
      </c>
      <c r="DA156" s="66">
        <v>29.835544741</v>
      </c>
      <c r="DB156" s="66">
        <v>37.064800809099999</v>
      </c>
      <c r="DC156" s="66">
        <v>42.222545510500005</v>
      </c>
      <c r="DD156" s="66">
        <v>43.389025453300015</v>
      </c>
      <c r="DE156" s="66">
        <v>49.615755730900005</v>
      </c>
      <c r="DF156" s="66">
        <v>42.378806689300006</v>
      </c>
      <c r="DG156" s="66">
        <v>30.47526239590001</v>
      </c>
      <c r="DH156" s="66">
        <v>44.785506540400007</v>
      </c>
      <c r="DI156" s="66">
        <v>48.264419263900002</v>
      </c>
      <c r="DJ156" s="66">
        <v>46.713403226200001</v>
      </c>
      <c r="DK156" s="66">
        <v>64.551870178000001</v>
      </c>
      <c r="DL156" s="66">
        <v>62.051353576899999</v>
      </c>
      <c r="DM156" s="66">
        <v>53.399910632200005</v>
      </c>
      <c r="DN156" s="66">
        <v>57.565712072500006</v>
      </c>
      <c r="DO156" s="66">
        <v>72.599508519700009</v>
      </c>
      <c r="DP156" s="79"/>
      <c r="DQ156" s="80"/>
      <c r="DR156" s="81"/>
      <c r="DS156" s="84">
        <f t="shared" si="20"/>
        <v>2014</v>
      </c>
      <c r="DT156" s="80"/>
      <c r="DU156" s="83">
        <f t="shared" si="24"/>
        <v>-72.667549114800011</v>
      </c>
      <c r="DV156" s="83">
        <f t="shared" si="24"/>
        <v>262.54589054069999</v>
      </c>
      <c r="DW156" s="83">
        <f t="shared" si="24"/>
        <v>430.07164651319994</v>
      </c>
      <c r="DX156" s="83">
        <f t="shared" si="24"/>
        <v>639.32739309930002</v>
      </c>
      <c r="DY156" s="83">
        <f t="shared" si="24"/>
        <v>642.98204335890011</v>
      </c>
      <c r="DZ156" s="83">
        <f t="shared" si="24"/>
        <v>552.01612170450016</v>
      </c>
      <c r="EA156" s="83">
        <f t="shared" si="24"/>
        <v>577.39126345080001</v>
      </c>
      <c r="EB156" s="83">
        <f t="shared" si="24"/>
        <v>507.83916509070008</v>
      </c>
      <c r="EC156" s="83">
        <f t="shared" si="24"/>
        <v>437.76435732630006</v>
      </c>
      <c r="ED156" s="83">
        <f t="shared" si="24"/>
        <v>449.93168400979999</v>
      </c>
    </row>
    <row r="157" spans="2:134" x14ac:dyDescent="0.3">
      <c r="B157" s="45">
        <f t="shared" si="21"/>
        <v>1000000153</v>
      </c>
      <c r="C157" s="46">
        <v>43160</v>
      </c>
      <c r="D157" s="66">
        <v>-8</v>
      </c>
      <c r="E157" s="66">
        <v>-8</v>
      </c>
      <c r="F157" s="66">
        <v>-8</v>
      </c>
      <c r="G157" s="66">
        <v>-8</v>
      </c>
      <c r="H157" s="66">
        <v>-8</v>
      </c>
      <c r="I157" s="66">
        <v>-8</v>
      </c>
      <c r="J157" s="66">
        <v>-8</v>
      </c>
      <c r="K157" s="66">
        <v>-8</v>
      </c>
      <c r="L157" s="66">
        <v>-8</v>
      </c>
      <c r="M157" s="66">
        <v>-8</v>
      </c>
      <c r="N157" s="66">
        <v>-8</v>
      </c>
      <c r="O157" s="66">
        <v>-8</v>
      </c>
      <c r="P157" s="66">
        <v>-8</v>
      </c>
      <c r="Q157" s="66">
        <v>-8</v>
      </c>
      <c r="R157" s="66">
        <v>-8</v>
      </c>
      <c r="S157" s="66">
        <v>-8</v>
      </c>
      <c r="T157" s="66">
        <v>-8</v>
      </c>
      <c r="U157" s="66">
        <v>-8</v>
      </c>
      <c r="V157" s="66">
        <v>-8</v>
      </c>
      <c r="W157" s="66">
        <v>-8</v>
      </c>
      <c r="X157" s="66">
        <v>-8</v>
      </c>
      <c r="Y157" s="66">
        <v>-8</v>
      </c>
      <c r="Z157" s="66">
        <v>-8</v>
      </c>
      <c r="AA157" s="66">
        <v>-8</v>
      </c>
      <c r="AB157" s="66">
        <v>-8</v>
      </c>
      <c r="AC157" s="66">
        <v>-8</v>
      </c>
      <c r="AD157" s="66">
        <v>-8</v>
      </c>
      <c r="AE157" s="66">
        <v>-8</v>
      </c>
      <c r="AF157" s="66">
        <v>-8</v>
      </c>
      <c r="AG157" s="66">
        <v>-8</v>
      </c>
      <c r="AH157" s="66">
        <v>-8</v>
      </c>
      <c r="AI157" s="66">
        <v>-8</v>
      </c>
      <c r="AJ157" s="66">
        <v>-8</v>
      </c>
      <c r="AK157" s="66">
        <v>-8</v>
      </c>
      <c r="AL157" s="66">
        <v>-8</v>
      </c>
      <c r="AM157" s="66">
        <v>-8</v>
      </c>
      <c r="AN157" s="66">
        <v>-8</v>
      </c>
      <c r="AO157" s="66">
        <v>-8</v>
      </c>
      <c r="AP157" s="66">
        <v>-8</v>
      </c>
      <c r="AQ157" s="66">
        <v>-8</v>
      </c>
      <c r="AR157" s="66">
        <v>-8</v>
      </c>
      <c r="AS157" s="66">
        <v>-8</v>
      </c>
      <c r="AT157" s="66">
        <v>-8</v>
      </c>
      <c r="AU157" s="66">
        <v>-8</v>
      </c>
      <c r="AV157" s="66">
        <v>-8</v>
      </c>
      <c r="AW157" s="66">
        <v>-8</v>
      </c>
      <c r="AX157" s="66">
        <v>-8</v>
      </c>
      <c r="AY157" s="66">
        <v>-8</v>
      </c>
      <c r="AZ157" s="66">
        <v>-8</v>
      </c>
      <c r="BA157" s="66">
        <v>-8</v>
      </c>
      <c r="BB157" s="66">
        <v>-0.9449053465999997</v>
      </c>
      <c r="BC157" s="66">
        <v>16.370101666899998</v>
      </c>
      <c r="BD157" s="66">
        <v>24.223239122500004</v>
      </c>
      <c r="BE157" s="66">
        <v>34.945930747000013</v>
      </c>
      <c r="BF157" s="66">
        <v>19.469544400000004</v>
      </c>
      <c r="BG157" s="66">
        <v>30.136358768199997</v>
      </c>
      <c r="BH157" s="66">
        <v>22.840943128000003</v>
      </c>
      <c r="BI157" s="66">
        <v>17.811727374099995</v>
      </c>
      <c r="BJ157" s="66">
        <v>28.258260013300003</v>
      </c>
      <c r="BK157" s="66">
        <v>26.287545362799996</v>
      </c>
      <c r="BL157" s="66">
        <v>22.608878015200006</v>
      </c>
      <c r="BM157" s="66">
        <v>24.70632033159999</v>
      </c>
      <c r="BN157" s="66">
        <v>31.237091932599995</v>
      </c>
      <c r="BO157" s="66">
        <v>30.547201079800004</v>
      </c>
      <c r="BP157" s="66">
        <v>27.080296900300006</v>
      </c>
      <c r="BQ157" s="66">
        <v>23.382978782799995</v>
      </c>
      <c r="BR157" s="66">
        <v>25.8103558456</v>
      </c>
      <c r="BS157" s="66">
        <v>31.016097196299995</v>
      </c>
      <c r="BT157" s="66">
        <v>24.457593364000004</v>
      </c>
      <c r="BU157" s="66">
        <v>26.843240736399999</v>
      </c>
      <c r="BV157" s="66">
        <v>23.754155372500001</v>
      </c>
      <c r="BW157" s="66">
        <v>25.001880620800002</v>
      </c>
      <c r="BX157" s="66">
        <v>36.506403513100004</v>
      </c>
      <c r="BY157" s="66">
        <v>35.123469564700009</v>
      </c>
      <c r="BZ157" s="66">
        <v>36.407520658600006</v>
      </c>
      <c r="CA157" s="66">
        <v>27.673706607400007</v>
      </c>
      <c r="CB157" s="66">
        <v>22.689522893500005</v>
      </c>
      <c r="CC157" s="66">
        <v>24.402729328600003</v>
      </c>
      <c r="CD157" s="66">
        <v>31.123386031600006</v>
      </c>
      <c r="CE157" s="66">
        <v>26.241124834900006</v>
      </c>
      <c r="CF157" s="66">
        <v>23.338397063199999</v>
      </c>
      <c r="CG157" s="66">
        <v>29.159463713800001</v>
      </c>
      <c r="CH157" s="66">
        <v>39.958597226200006</v>
      </c>
      <c r="CI157" s="66">
        <v>22.520727796900001</v>
      </c>
      <c r="CJ157" s="66">
        <v>25.4464594357</v>
      </c>
      <c r="CK157" s="66">
        <v>28.226437371700001</v>
      </c>
      <c r="CL157" s="66">
        <v>24.137753299899998</v>
      </c>
      <c r="CM157" s="66">
        <v>41.248502485300001</v>
      </c>
      <c r="CN157" s="66">
        <v>32.181151124499998</v>
      </c>
      <c r="CO157" s="66">
        <v>32.019673734400001</v>
      </c>
      <c r="CP157" s="66">
        <v>31.414668277000004</v>
      </c>
      <c r="CQ157" s="66">
        <v>25.099037247100007</v>
      </c>
      <c r="CR157" s="66">
        <v>25.324760347599998</v>
      </c>
      <c r="CS157" s="66">
        <v>33.842570713599997</v>
      </c>
      <c r="CT157" s="66">
        <v>23.142695322700007</v>
      </c>
      <c r="CU157" s="66">
        <v>24.520150372899998</v>
      </c>
      <c r="CV157" s="66">
        <v>33.859945575700003</v>
      </c>
      <c r="CW157" s="66">
        <v>33.863773299099996</v>
      </c>
      <c r="CX157" s="66">
        <v>46.837016176000006</v>
      </c>
      <c r="CY157" s="66">
        <v>48.030740503000004</v>
      </c>
      <c r="CZ157" s="66">
        <v>39.110193592599998</v>
      </c>
      <c r="DA157" s="66">
        <v>32.040200839300006</v>
      </c>
      <c r="DB157" s="66">
        <v>37.577903378199998</v>
      </c>
      <c r="DC157" s="66">
        <v>37.548595025499999</v>
      </c>
      <c r="DD157" s="66">
        <v>38.035278797800004</v>
      </c>
      <c r="DE157" s="66">
        <v>48.517949649100004</v>
      </c>
      <c r="DF157" s="66">
        <v>43.301137921899993</v>
      </c>
      <c r="DG157" s="66">
        <v>36.178570261899992</v>
      </c>
      <c r="DH157" s="66">
        <v>44.769857906500008</v>
      </c>
      <c r="DI157" s="66">
        <v>46.612043609500006</v>
      </c>
      <c r="DJ157" s="66">
        <v>59.145436035699987</v>
      </c>
      <c r="DK157" s="66">
        <v>63.667140698799997</v>
      </c>
      <c r="DL157" s="66">
        <v>50.164208451400008</v>
      </c>
      <c r="DM157" s="66">
        <v>53.239971836800009</v>
      </c>
      <c r="DN157" s="66">
        <v>59.547497099499992</v>
      </c>
      <c r="DO157" s="66">
        <v>62.420090931100006</v>
      </c>
      <c r="DP157" s="79"/>
      <c r="DQ157" s="80"/>
      <c r="DR157" s="81"/>
      <c r="DS157" s="84">
        <f t="shared" si="20"/>
        <v>2018</v>
      </c>
      <c r="DT157" s="80"/>
      <c r="DU157" s="83">
        <f t="shared" si="24"/>
        <v>-96</v>
      </c>
      <c r="DV157" s="83">
        <f t="shared" si="24"/>
        <v>-96</v>
      </c>
      <c r="DW157" s="83">
        <f t="shared" si="24"/>
        <v>-96</v>
      </c>
      <c r="DX157" s="83">
        <f t="shared" si="24"/>
        <v>-96</v>
      </c>
      <c r="DY157" s="83">
        <f t="shared" si="24"/>
        <v>203.3987452362</v>
      </c>
      <c r="DZ157" s="83">
        <f t="shared" si="24"/>
        <v>316.44609017789998</v>
      </c>
      <c r="EA157" s="83">
        <f t="shared" si="24"/>
        <v>355.14504923250007</v>
      </c>
      <c r="EB157" s="83">
        <f t="shared" si="24"/>
        <v>346.60385973239994</v>
      </c>
      <c r="EC157" s="83">
        <f t="shared" si="24"/>
        <v>474.90130502009998</v>
      </c>
      <c r="ED157" s="83">
        <f t="shared" si="24"/>
        <v>439.56624656929995</v>
      </c>
    </row>
    <row r="158" spans="2:134" x14ac:dyDescent="0.3">
      <c r="B158" s="45">
        <f t="shared" si="21"/>
        <v>1000000154</v>
      </c>
      <c r="C158" s="46">
        <v>42675</v>
      </c>
      <c r="D158" s="66">
        <v>-8</v>
      </c>
      <c r="E158" s="66">
        <v>-8</v>
      </c>
      <c r="F158" s="66">
        <v>-8</v>
      </c>
      <c r="G158" s="66">
        <v>-8</v>
      </c>
      <c r="H158" s="66">
        <v>-8</v>
      </c>
      <c r="I158" s="66">
        <v>-8</v>
      </c>
      <c r="J158" s="66">
        <v>-8</v>
      </c>
      <c r="K158" s="66">
        <v>-8</v>
      </c>
      <c r="L158" s="66">
        <v>-8</v>
      </c>
      <c r="M158" s="66">
        <v>-8</v>
      </c>
      <c r="N158" s="66">
        <v>-8</v>
      </c>
      <c r="O158" s="66">
        <v>-8</v>
      </c>
      <c r="P158" s="66">
        <v>-8</v>
      </c>
      <c r="Q158" s="66">
        <v>-8</v>
      </c>
      <c r="R158" s="66">
        <v>-8</v>
      </c>
      <c r="S158" s="66">
        <v>-8</v>
      </c>
      <c r="T158" s="66">
        <v>-8</v>
      </c>
      <c r="U158" s="66">
        <v>-8</v>
      </c>
      <c r="V158" s="66">
        <v>-8</v>
      </c>
      <c r="W158" s="66">
        <v>-8</v>
      </c>
      <c r="X158" s="66">
        <v>-8</v>
      </c>
      <c r="Y158" s="66">
        <v>-8</v>
      </c>
      <c r="Z158" s="66">
        <v>-8</v>
      </c>
      <c r="AA158" s="66">
        <v>-8</v>
      </c>
      <c r="AB158" s="66">
        <v>-8</v>
      </c>
      <c r="AC158" s="66">
        <v>-8</v>
      </c>
      <c r="AD158" s="66">
        <v>-8</v>
      </c>
      <c r="AE158" s="66">
        <v>-8</v>
      </c>
      <c r="AF158" s="66">
        <v>-8</v>
      </c>
      <c r="AG158" s="66">
        <v>-8</v>
      </c>
      <c r="AH158" s="66">
        <v>-8</v>
      </c>
      <c r="AI158" s="66">
        <v>-8</v>
      </c>
      <c r="AJ158" s="66">
        <v>-8</v>
      </c>
      <c r="AK158" s="66">
        <v>-8</v>
      </c>
      <c r="AL158" s="66">
        <v>-7.7560764500000001</v>
      </c>
      <c r="AM158" s="66">
        <v>-6.0832487441000005</v>
      </c>
      <c r="AN158" s="66">
        <v>-1.879770497</v>
      </c>
      <c r="AO158" s="66">
        <v>4.5540321112000015</v>
      </c>
      <c r="AP158" s="66">
        <v>13.9501924174</v>
      </c>
      <c r="AQ158" s="66">
        <v>4.6595947182999993</v>
      </c>
      <c r="AR158" s="66">
        <v>13.323609107500001</v>
      </c>
      <c r="AS158" s="66">
        <v>5.258445796900002</v>
      </c>
      <c r="AT158" s="66">
        <v>4.8608879371000011</v>
      </c>
      <c r="AU158" s="66">
        <v>11.685268438900003</v>
      </c>
      <c r="AV158" s="66">
        <v>15.599603462500003</v>
      </c>
      <c r="AW158" s="66">
        <v>11.029864623400005</v>
      </c>
      <c r="AX158" s="66">
        <v>10.7103622996</v>
      </c>
      <c r="AY158" s="66">
        <v>6.3933282582999986</v>
      </c>
      <c r="AZ158" s="66">
        <v>18.068297422000001</v>
      </c>
      <c r="BA158" s="66">
        <v>31.356426838600001</v>
      </c>
      <c r="BB158" s="66">
        <v>27.685264830999998</v>
      </c>
      <c r="BC158" s="66">
        <v>33.160973261500004</v>
      </c>
      <c r="BD158" s="66">
        <v>18.385698250600001</v>
      </c>
      <c r="BE158" s="66">
        <v>11.112573470200001</v>
      </c>
      <c r="BF158" s="66">
        <v>7.7772379008999977</v>
      </c>
      <c r="BG158" s="66">
        <v>12.046575506500002</v>
      </c>
      <c r="BH158" s="66">
        <v>4.768459674999999</v>
      </c>
      <c r="BI158" s="66">
        <v>9.0167072752000017</v>
      </c>
      <c r="BJ158" s="66">
        <v>14.592874681600001</v>
      </c>
      <c r="BK158" s="66">
        <v>10.314155401000001</v>
      </c>
      <c r="BL158" s="66">
        <v>14.291385173800002</v>
      </c>
      <c r="BM158" s="66">
        <v>27.866518792000008</v>
      </c>
      <c r="BN158" s="66">
        <v>15.848855803900001</v>
      </c>
      <c r="BO158" s="66">
        <v>21.371810349700002</v>
      </c>
      <c r="BP158" s="66">
        <v>23.827782757899996</v>
      </c>
      <c r="BQ158" s="66">
        <v>20.3309697985</v>
      </c>
      <c r="BR158" s="66">
        <v>27.101687119300003</v>
      </c>
      <c r="BS158" s="66">
        <v>24.147397661800014</v>
      </c>
      <c r="BT158" s="66">
        <v>20.978267846800001</v>
      </c>
      <c r="BU158" s="66">
        <v>17.7961162669</v>
      </c>
      <c r="BV158" s="66">
        <v>27.168672278799995</v>
      </c>
      <c r="BW158" s="66">
        <v>19.848714176800001</v>
      </c>
      <c r="BX158" s="66">
        <v>24.475343493100006</v>
      </c>
      <c r="BY158" s="66">
        <v>30.279335495200009</v>
      </c>
      <c r="BZ158" s="66">
        <v>33.370709987800005</v>
      </c>
      <c r="CA158" s="66">
        <v>26.750812474299998</v>
      </c>
      <c r="CB158" s="66">
        <v>26.831419825900007</v>
      </c>
      <c r="CC158" s="66">
        <v>26.556461695000003</v>
      </c>
      <c r="CD158" s="66">
        <v>38.719202905299994</v>
      </c>
      <c r="CE158" s="66">
        <v>43.271191615300005</v>
      </c>
      <c r="CF158" s="66">
        <v>38.851409469399997</v>
      </c>
      <c r="CG158" s="66">
        <v>31.385359924300005</v>
      </c>
      <c r="CH158" s="66">
        <v>27.039655484200004</v>
      </c>
      <c r="CI158" s="66">
        <v>16.9125876421</v>
      </c>
      <c r="CJ158" s="66">
        <v>31.984773903400004</v>
      </c>
      <c r="CK158" s="66">
        <v>40.179516909099995</v>
      </c>
      <c r="CL158" s="66">
        <v>57.847950383200001</v>
      </c>
      <c r="CM158" s="66">
        <v>53.046709331800002</v>
      </c>
      <c r="CN158" s="66">
        <v>34.1408704519</v>
      </c>
      <c r="CO158" s="66">
        <v>27.678922818700009</v>
      </c>
      <c r="CP158" s="66">
        <v>32.098404750999997</v>
      </c>
      <c r="CQ158" s="66">
        <v>38.979075302800005</v>
      </c>
      <c r="CR158" s="66">
        <v>41.106914246200006</v>
      </c>
      <c r="CS158" s="66">
        <v>40.521685359700001</v>
      </c>
      <c r="CT158" s="66">
        <v>37.818974899000011</v>
      </c>
      <c r="CU158" s="66">
        <v>34.231985279500002</v>
      </c>
      <c r="CV158" s="66">
        <v>40.008169996900008</v>
      </c>
      <c r="CW158" s="66">
        <v>44.953138309300009</v>
      </c>
      <c r="CX158" s="66">
        <v>52.057543046500001</v>
      </c>
      <c r="CY158" s="66">
        <v>58.565610993999996</v>
      </c>
      <c r="CZ158" s="66">
        <v>40.015375123299997</v>
      </c>
      <c r="DA158" s="66">
        <v>34.609428828100008</v>
      </c>
      <c r="DB158" s="66">
        <v>41.624219805700001</v>
      </c>
      <c r="DC158" s="66">
        <v>42.452471601400006</v>
      </c>
      <c r="DD158" s="66">
        <v>50.308536139599994</v>
      </c>
      <c r="DE158" s="66">
        <v>41.375605418200003</v>
      </c>
      <c r="DF158" s="66">
        <v>35.374898454700002</v>
      </c>
      <c r="DG158" s="66">
        <v>35.365103986000008</v>
      </c>
      <c r="DH158" s="66">
        <v>43.14513943</v>
      </c>
      <c r="DI158" s="66">
        <v>45.775423359699992</v>
      </c>
      <c r="DJ158" s="66">
        <v>69.994892852800007</v>
      </c>
      <c r="DK158" s="66">
        <v>63.382275519099991</v>
      </c>
      <c r="DL158" s="66">
        <v>43.749019086400004</v>
      </c>
      <c r="DM158" s="66">
        <v>54.179828038299995</v>
      </c>
      <c r="DN158" s="66">
        <v>65.165994623500012</v>
      </c>
      <c r="DO158" s="66">
        <v>68.294483022400001</v>
      </c>
      <c r="DP158" s="79"/>
      <c r="DQ158" s="80"/>
      <c r="DR158" s="81"/>
      <c r="DS158" s="84">
        <f t="shared" si="20"/>
        <v>2016</v>
      </c>
      <c r="DT158" s="80"/>
      <c r="DU158" s="83">
        <f t="shared" si="24"/>
        <v>-96</v>
      </c>
      <c r="DV158" s="83">
        <f t="shared" si="24"/>
        <v>-96</v>
      </c>
      <c r="DW158" s="83">
        <f t="shared" si="24"/>
        <v>-93.839325194099999</v>
      </c>
      <c r="DX158" s="83">
        <f t="shared" si="24"/>
        <v>100.14541867410001</v>
      </c>
      <c r="DY158" s="83">
        <f t="shared" si="24"/>
        <v>198.28524451409999</v>
      </c>
      <c r="DZ158" s="83">
        <f t="shared" si="24"/>
        <v>260.57817802620002</v>
      </c>
      <c r="EA158" s="83">
        <f t="shared" si="24"/>
        <v>364.44349001190005</v>
      </c>
      <c r="EB158" s="83">
        <f t="shared" si="24"/>
        <v>469.6357836363</v>
      </c>
      <c r="EC158" s="83">
        <f t="shared" si="24"/>
        <v>516.71010170370005</v>
      </c>
      <c r="ED158" s="83">
        <f t="shared" si="24"/>
        <v>453.6870559322</v>
      </c>
    </row>
    <row r="159" spans="2:134" x14ac:dyDescent="0.3">
      <c r="B159" s="45">
        <f t="shared" si="21"/>
        <v>1000000155</v>
      </c>
      <c r="C159" s="46">
        <v>42125</v>
      </c>
      <c r="D159" s="66">
        <v>-8</v>
      </c>
      <c r="E159" s="66">
        <v>-8</v>
      </c>
      <c r="F159" s="66">
        <v>-8</v>
      </c>
      <c r="G159" s="66">
        <v>-8</v>
      </c>
      <c r="H159" s="66">
        <v>-8</v>
      </c>
      <c r="I159" s="66">
        <v>-8</v>
      </c>
      <c r="J159" s="66">
        <v>-8</v>
      </c>
      <c r="K159" s="66">
        <v>-8</v>
      </c>
      <c r="L159" s="66">
        <v>-8</v>
      </c>
      <c r="M159" s="66">
        <v>-8</v>
      </c>
      <c r="N159" s="66">
        <v>-8</v>
      </c>
      <c r="O159" s="66">
        <v>-8</v>
      </c>
      <c r="P159" s="66">
        <v>-8</v>
      </c>
      <c r="Q159" s="66">
        <v>-8</v>
      </c>
      <c r="R159" s="66">
        <v>-8</v>
      </c>
      <c r="S159" s="66">
        <v>-8</v>
      </c>
      <c r="T159" s="66">
        <v>-2.434790389999999</v>
      </c>
      <c r="U159" s="66">
        <v>2.5306675006000017</v>
      </c>
      <c r="V159" s="66">
        <v>4.9459984926999994</v>
      </c>
      <c r="W159" s="66">
        <v>9.0641034973000032</v>
      </c>
      <c r="X159" s="66">
        <v>7.7300668390000009</v>
      </c>
      <c r="Y159" s="66">
        <v>10.981192493500004</v>
      </c>
      <c r="Z159" s="66">
        <v>9.2855485539999982</v>
      </c>
      <c r="AA159" s="66">
        <v>7.7338945624000033</v>
      </c>
      <c r="AB159" s="66">
        <v>9.9520227460000008</v>
      </c>
      <c r="AC159" s="66">
        <v>24.439392914500004</v>
      </c>
      <c r="AD159" s="66">
        <v>19.0698099916</v>
      </c>
      <c r="AE159" s="66">
        <v>12.225014965</v>
      </c>
      <c r="AF159" s="66">
        <v>20.154143988100003</v>
      </c>
      <c r="AG159" s="66">
        <v>13.4964946144</v>
      </c>
      <c r="AH159" s="66">
        <v>21.455157150400005</v>
      </c>
      <c r="AI159" s="66">
        <v>19.9566034393</v>
      </c>
      <c r="AJ159" s="66">
        <v>27.268605880900004</v>
      </c>
      <c r="AK159" s="66">
        <v>32.772421809700006</v>
      </c>
      <c r="AL159" s="66">
        <v>28.544401100800002</v>
      </c>
      <c r="AM159" s="66">
        <v>26.869509426400001</v>
      </c>
      <c r="AN159" s="66">
        <v>35.1809604691</v>
      </c>
      <c r="AO159" s="66">
        <v>59.676438840700001</v>
      </c>
      <c r="AP159" s="66">
        <v>49.6882573153</v>
      </c>
      <c r="AQ159" s="66">
        <v>53.167507779100006</v>
      </c>
      <c r="AR159" s="66">
        <v>43.894435048900014</v>
      </c>
      <c r="AS159" s="66">
        <v>32.402371021000008</v>
      </c>
      <c r="AT159" s="66">
        <v>36.032103551800006</v>
      </c>
      <c r="AU159" s="66">
        <v>34.258028809300001</v>
      </c>
      <c r="AV159" s="66">
        <v>36.371682660099999</v>
      </c>
      <c r="AW159" s="66">
        <v>29.473787352999999</v>
      </c>
      <c r="AX159" s="66">
        <v>29.601002866000002</v>
      </c>
      <c r="AY159" s="66">
        <v>27.552082572700009</v>
      </c>
      <c r="AZ159" s="66">
        <v>46.132227223300006</v>
      </c>
      <c r="BA159" s="66">
        <v>57.091074370900003</v>
      </c>
      <c r="BB159" s="66">
        <v>49.303083266500018</v>
      </c>
      <c r="BC159" s="66">
        <v>61.77707092659999</v>
      </c>
      <c r="BD159" s="66">
        <v>56.542959390700005</v>
      </c>
      <c r="BE159" s="66">
        <v>45.068532911799998</v>
      </c>
      <c r="BF159" s="66">
        <v>47.511896348800001</v>
      </c>
      <c r="BG159" s="66">
        <v>47.229658038100006</v>
      </c>
      <c r="BH159" s="66">
        <v>40.213591152700005</v>
      </c>
      <c r="BI159" s="66">
        <v>44.7815287102</v>
      </c>
      <c r="BJ159" s="66">
        <v>51.985416729100002</v>
      </c>
      <c r="BK159" s="66">
        <v>46.678278235000001</v>
      </c>
      <c r="BL159" s="66">
        <v>47.968108440700007</v>
      </c>
      <c r="BM159" s="66">
        <v>56.715319523800005</v>
      </c>
      <c r="BN159" s="66">
        <v>58.879671946300022</v>
      </c>
      <c r="BO159" s="66">
        <v>46.068807100300006</v>
      </c>
      <c r="BP159" s="66">
        <v>54.270154805200001</v>
      </c>
      <c r="BQ159" s="66">
        <v>47.271425255200008</v>
      </c>
      <c r="BR159" s="66">
        <v>38.428220873500003</v>
      </c>
      <c r="BS159" s="66">
        <v>37.198771128100006</v>
      </c>
      <c r="BT159" s="66">
        <v>56.92227927430001</v>
      </c>
      <c r="BU159" s="66">
        <v>53.273445653200007</v>
      </c>
      <c r="BV159" s="66">
        <v>51.947477235400001</v>
      </c>
      <c r="BW159" s="66">
        <v>44.112652809400004</v>
      </c>
      <c r="BX159" s="66">
        <v>49.553949255999996</v>
      </c>
      <c r="BY159" s="66">
        <v>54.705201838300013</v>
      </c>
      <c r="BZ159" s="66">
        <v>41.830541602300009</v>
      </c>
      <c r="CA159" s="66">
        <v>54.623543739100008</v>
      </c>
      <c r="CB159" s="66">
        <v>50.840927432499996</v>
      </c>
      <c r="CC159" s="66">
        <v>58.235413560699996</v>
      </c>
      <c r="CD159" s="66">
        <v>75.050790090400014</v>
      </c>
      <c r="CE159" s="66">
        <v>53.830829728299996</v>
      </c>
      <c r="CF159" s="66">
        <v>40.146155672800006</v>
      </c>
      <c r="CG159" s="66">
        <v>42.209148478600007</v>
      </c>
      <c r="CH159" s="66">
        <v>54.764118757300011</v>
      </c>
      <c r="CI159" s="66">
        <v>44.26910162170001</v>
      </c>
      <c r="CJ159" s="66">
        <v>47.949270037299996</v>
      </c>
      <c r="CK159" s="66">
        <v>58.704872577699987</v>
      </c>
      <c r="CL159" s="66">
        <v>44.993141771500014</v>
      </c>
      <c r="CM159" s="66">
        <v>57.361078977399998</v>
      </c>
      <c r="CN159" s="66">
        <v>58.821993408400004</v>
      </c>
      <c r="CO159" s="66">
        <v>44.840333049099996</v>
      </c>
      <c r="CP159" s="66">
        <v>49.945990690900011</v>
      </c>
      <c r="CQ159" s="66">
        <v>59.979129202899998</v>
      </c>
      <c r="CR159" s="66">
        <v>56.947722376900003</v>
      </c>
      <c r="CS159" s="66">
        <v>48.224340748300008</v>
      </c>
      <c r="CT159" s="66">
        <v>53.008432097799997</v>
      </c>
      <c r="CU159" s="66">
        <v>33.0495564892</v>
      </c>
      <c r="CV159" s="66">
        <v>35.176081998100003</v>
      </c>
      <c r="CW159" s="66">
        <v>68.796552741700012</v>
      </c>
      <c r="CX159" s="66">
        <v>53.849780711800015</v>
      </c>
      <c r="CY159" s="66">
        <v>67.951601564499995</v>
      </c>
      <c r="CZ159" s="66">
        <v>55.249414041700007</v>
      </c>
      <c r="DA159" s="66">
        <v>28.223585342500002</v>
      </c>
      <c r="DB159" s="66">
        <v>28.842062885200001</v>
      </c>
      <c r="DC159" s="66">
        <v>43.169756945200007</v>
      </c>
      <c r="DD159" s="66">
        <v>30.455598405099998</v>
      </c>
      <c r="DE159" s="66">
        <v>37.844305421499996</v>
      </c>
      <c r="DF159" s="66">
        <v>47.701856504200002</v>
      </c>
      <c r="DG159" s="66">
        <v>35.327802446200003</v>
      </c>
      <c r="DH159" s="66">
        <v>44.657765653600002</v>
      </c>
      <c r="DI159" s="66">
        <v>50.894740720299993</v>
      </c>
      <c r="DJ159" s="66">
        <v>43.045393461400003</v>
      </c>
      <c r="DK159" s="66">
        <v>48.922374894999997</v>
      </c>
      <c r="DL159" s="66">
        <v>70.366031915799994</v>
      </c>
      <c r="DM159" s="66">
        <v>66.045395311300013</v>
      </c>
      <c r="DN159" s="66">
        <v>51.476517150399999</v>
      </c>
      <c r="DO159" s="66">
        <v>49.517060509899999</v>
      </c>
      <c r="DP159" s="79"/>
      <c r="DQ159" s="80"/>
      <c r="DR159" s="81"/>
      <c r="DS159" s="84">
        <f t="shared" si="20"/>
        <v>2015</v>
      </c>
      <c r="DT159" s="80"/>
      <c r="DU159" s="83">
        <f t="shared" si="24"/>
        <v>-96</v>
      </c>
      <c r="DV159" s="83">
        <f t="shared" si="24"/>
        <v>17.836681549500014</v>
      </c>
      <c r="DW159" s="83">
        <f t="shared" si="24"/>
        <v>256.20357802710004</v>
      </c>
      <c r="DX159" s="83">
        <f t="shared" si="24"/>
        <v>467.29865828700002</v>
      </c>
      <c r="DY159" s="83">
        <f t="shared" si="24"/>
        <v>594.31531730370011</v>
      </c>
      <c r="DZ159" s="83">
        <f t="shared" si="24"/>
        <v>593.05633404540004</v>
      </c>
      <c r="EA159" s="83">
        <f t="shared" si="24"/>
        <v>620.05972177800004</v>
      </c>
      <c r="EB159" s="83">
        <f t="shared" si="24"/>
        <v>613.8258614273999</v>
      </c>
      <c r="EC159" s="83">
        <f t="shared" si="24"/>
        <v>532.58839900769999</v>
      </c>
      <c r="ED159" s="83">
        <f t="shared" si="24"/>
        <v>424.92527961770003</v>
      </c>
    </row>
    <row r="160" spans="2:134" x14ac:dyDescent="0.3">
      <c r="B160" s="45">
        <f t="shared" si="21"/>
        <v>1000000156</v>
      </c>
      <c r="C160" s="46">
        <v>43678</v>
      </c>
      <c r="D160" s="66">
        <v>-8</v>
      </c>
      <c r="E160" s="66">
        <v>-8</v>
      </c>
      <c r="F160" s="66">
        <v>-8</v>
      </c>
      <c r="G160" s="66">
        <v>-8</v>
      </c>
      <c r="H160" s="66">
        <v>-8</v>
      </c>
      <c r="I160" s="66">
        <v>-8</v>
      </c>
      <c r="J160" s="66">
        <v>-8</v>
      </c>
      <c r="K160" s="66">
        <v>-8</v>
      </c>
      <c r="L160" s="66">
        <v>-8</v>
      </c>
      <c r="M160" s="66">
        <v>-8</v>
      </c>
      <c r="N160" s="66">
        <v>-8</v>
      </c>
      <c r="O160" s="66">
        <v>-8</v>
      </c>
      <c r="P160" s="66">
        <v>-8</v>
      </c>
      <c r="Q160" s="66">
        <v>-8</v>
      </c>
      <c r="R160" s="66">
        <v>-8</v>
      </c>
      <c r="S160" s="66">
        <v>-8</v>
      </c>
      <c r="T160" s="66">
        <v>-8</v>
      </c>
      <c r="U160" s="66">
        <v>-8</v>
      </c>
      <c r="V160" s="66">
        <v>-8</v>
      </c>
      <c r="W160" s="66">
        <v>-8</v>
      </c>
      <c r="X160" s="66">
        <v>-8</v>
      </c>
      <c r="Y160" s="66">
        <v>-8</v>
      </c>
      <c r="Z160" s="66">
        <v>-8</v>
      </c>
      <c r="AA160" s="66">
        <v>-8</v>
      </c>
      <c r="AB160" s="66">
        <v>-8</v>
      </c>
      <c r="AC160" s="66">
        <v>-8</v>
      </c>
      <c r="AD160" s="66">
        <v>-8</v>
      </c>
      <c r="AE160" s="66">
        <v>-8</v>
      </c>
      <c r="AF160" s="66">
        <v>-8</v>
      </c>
      <c r="AG160" s="66">
        <v>-8</v>
      </c>
      <c r="AH160" s="66">
        <v>-8</v>
      </c>
      <c r="AI160" s="66">
        <v>-8</v>
      </c>
      <c r="AJ160" s="66">
        <v>-8</v>
      </c>
      <c r="AK160" s="66">
        <v>-8</v>
      </c>
      <c r="AL160" s="66">
        <v>-8</v>
      </c>
      <c r="AM160" s="66">
        <v>-8</v>
      </c>
      <c r="AN160" s="66">
        <v>-8</v>
      </c>
      <c r="AO160" s="66">
        <v>-8</v>
      </c>
      <c r="AP160" s="66">
        <v>-8</v>
      </c>
      <c r="AQ160" s="66">
        <v>-8</v>
      </c>
      <c r="AR160" s="66">
        <v>-8</v>
      </c>
      <c r="AS160" s="66">
        <v>-8</v>
      </c>
      <c r="AT160" s="66">
        <v>-8</v>
      </c>
      <c r="AU160" s="66">
        <v>-8</v>
      </c>
      <c r="AV160" s="66">
        <v>-8</v>
      </c>
      <c r="AW160" s="66">
        <v>-8</v>
      </c>
      <c r="AX160" s="66">
        <v>-8</v>
      </c>
      <c r="AY160" s="66">
        <v>-8</v>
      </c>
      <c r="AZ160" s="66">
        <v>-8</v>
      </c>
      <c r="BA160" s="66">
        <v>-8</v>
      </c>
      <c r="BB160" s="66">
        <v>-8</v>
      </c>
      <c r="BC160" s="66">
        <v>-8</v>
      </c>
      <c r="BD160" s="66">
        <v>-8</v>
      </c>
      <c r="BE160" s="66">
        <v>-8</v>
      </c>
      <c r="BF160" s="66">
        <v>-8</v>
      </c>
      <c r="BG160" s="66">
        <v>-8</v>
      </c>
      <c r="BH160" s="66">
        <v>-8</v>
      </c>
      <c r="BI160" s="66">
        <v>-8</v>
      </c>
      <c r="BJ160" s="66">
        <v>-8</v>
      </c>
      <c r="BK160" s="66">
        <v>-8</v>
      </c>
      <c r="BL160" s="66">
        <v>-8</v>
      </c>
      <c r="BM160" s="66">
        <v>-8</v>
      </c>
      <c r="BN160" s="66">
        <v>-8</v>
      </c>
      <c r="BO160" s="66">
        <v>-8</v>
      </c>
      <c r="BP160" s="66">
        <v>-8</v>
      </c>
      <c r="BQ160" s="66">
        <v>-8</v>
      </c>
      <c r="BR160" s="66">
        <v>-8</v>
      </c>
      <c r="BS160" s="66">
        <v>-3.3650397562999999</v>
      </c>
      <c r="BT160" s="66">
        <v>3.3687888183999988</v>
      </c>
      <c r="BU160" s="66">
        <v>0.70919653600000032</v>
      </c>
      <c r="BV160" s="66">
        <v>0.64337470419999931</v>
      </c>
      <c r="BW160" s="66">
        <v>4.7722498716999997</v>
      </c>
      <c r="BX160" s="66">
        <v>12.697513644700003</v>
      </c>
      <c r="BY160" s="66">
        <v>13.2415757413</v>
      </c>
      <c r="BZ160" s="66">
        <v>10.4366800765</v>
      </c>
      <c r="CA160" s="66">
        <v>5.7687338635000014</v>
      </c>
      <c r="CB160" s="66">
        <v>12.323785239400003</v>
      </c>
      <c r="CC160" s="66">
        <v>15.423303025900005</v>
      </c>
      <c r="CD160" s="66">
        <v>17.508399057999998</v>
      </c>
      <c r="CE160" s="66">
        <v>8.6900373517000027</v>
      </c>
      <c r="CF160" s="66">
        <v>14.187886535199997</v>
      </c>
      <c r="CG160" s="66">
        <v>15.784872780400001</v>
      </c>
      <c r="CH160" s="66">
        <v>14.132609706100002</v>
      </c>
      <c r="CI160" s="66">
        <v>13.4092450369</v>
      </c>
      <c r="CJ160" s="66">
        <v>8.6963418373000039</v>
      </c>
      <c r="CK160" s="66">
        <v>45.478324475800001</v>
      </c>
      <c r="CL160" s="66">
        <v>33.865987374400007</v>
      </c>
      <c r="CM160" s="66">
        <v>36.948205352200013</v>
      </c>
      <c r="CN160" s="66">
        <v>28.526726025099997</v>
      </c>
      <c r="CO160" s="66">
        <v>18.293269988500001</v>
      </c>
      <c r="CP160" s="66">
        <v>17.685487555300003</v>
      </c>
      <c r="CQ160" s="66">
        <v>14.737014736299997</v>
      </c>
      <c r="CR160" s="66">
        <v>15.590597054500002</v>
      </c>
      <c r="CS160" s="66">
        <v>9.4832767363000023</v>
      </c>
      <c r="CT160" s="66">
        <v>11.299906756599999</v>
      </c>
      <c r="CU160" s="66">
        <v>16.455850176399998</v>
      </c>
      <c r="CV160" s="66">
        <v>24.717540814899998</v>
      </c>
      <c r="CW160" s="66">
        <v>44.028217734400009</v>
      </c>
      <c r="CX160" s="66">
        <v>28.095244028499998</v>
      </c>
      <c r="CY160" s="66">
        <v>37.3359687433</v>
      </c>
      <c r="CZ160" s="66">
        <v>21.548373473200002</v>
      </c>
      <c r="DA160" s="66">
        <v>15.094644187300005</v>
      </c>
      <c r="DB160" s="66">
        <v>11.0664531559</v>
      </c>
      <c r="DC160" s="66">
        <v>18.405437294800002</v>
      </c>
      <c r="DD160" s="66">
        <v>29.36875011970001</v>
      </c>
      <c r="DE160" s="66">
        <v>18.986875984600005</v>
      </c>
      <c r="DF160" s="66">
        <v>17.948249508700002</v>
      </c>
      <c r="DG160" s="66">
        <v>24.549946572700001</v>
      </c>
      <c r="DH160" s="66">
        <v>32.484592020699999</v>
      </c>
      <c r="DI160" s="66">
        <v>42.104373932199991</v>
      </c>
      <c r="DJ160" s="66">
        <v>41.180766791800011</v>
      </c>
      <c r="DK160" s="66">
        <v>180.06239265430006</v>
      </c>
      <c r="DL160" s="66">
        <v>46.832025124900007</v>
      </c>
      <c r="DM160" s="66">
        <v>41.620617242499996</v>
      </c>
      <c r="DN160" s="66">
        <v>19.473935023900001</v>
      </c>
      <c r="DO160" s="66">
        <v>35.651207546800009</v>
      </c>
      <c r="DP160" s="79"/>
      <c r="DQ160" s="80"/>
      <c r="DR160" s="81"/>
      <c r="DS160" s="84">
        <f t="shared" si="20"/>
        <v>2019</v>
      </c>
      <c r="DT160" s="80"/>
      <c r="DU160" s="83">
        <f t="shared" si="24"/>
        <v>-96</v>
      </c>
      <c r="DV160" s="83">
        <f t="shared" si="24"/>
        <v>-96</v>
      </c>
      <c r="DW160" s="83">
        <f t="shared" si="24"/>
        <v>-96</v>
      </c>
      <c r="DX160" s="83">
        <f t="shared" si="24"/>
        <v>-96</v>
      </c>
      <c r="DY160" s="83">
        <f t="shared" si="24"/>
        <v>-96</v>
      </c>
      <c r="DZ160" s="83">
        <f t="shared" si="24"/>
        <v>-49.871429826000004</v>
      </c>
      <c r="EA160" s="83">
        <f t="shared" si="24"/>
        <v>153.6046420596</v>
      </c>
      <c r="EB160" s="83">
        <f t="shared" si="24"/>
        <v>257.0609880687</v>
      </c>
      <c r="EC160" s="83">
        <f t="shared" si="24"/>
        <v>291.14570161799998</v>
      </c>
      <c r="ED160" s="83">
        <f t="shared" si="24"/>
        <v>439.40991033710009</v>
      </c>
    </row>
    <row r="161" spans="2:134" x14ac:dyDescent="0.3">
      <c r="B161" s="45">
        <f t="shared" si="21"/>
        <v>1000000157</v>
      </c>
      <c r="C161" s="46">
        <v>43922</v>
      </c>
      <c r="D161" s="66">
        <v>-8</v>
      </c>
      <c r="E161" s="66">
        <v>-8</v>
      </c>
      <c r="F161" s="66">
        <v>-8</v>
      </c>
      <c r="G161" s="66">
        <v>-8</v>
      </c>
      <c r="H161" s="66">
        <v>-8</v>
      </c>
      <c r="I161" s="66">
        <v>-8</v>
      </c>
      <c r="J161" s="66">
        <v>-8</v>
      </c>
      <c r="K161" s="66">
        <v>-8</v>
      </c>
      <c r="L161" s="66">
        <v>-8</v>
      </c>
      <c r="M161" s="66">
        <v>-8</v>
      </c>
      <c r="N161" s="66">
        <v>-8</v>
      </c>
      <c r="O161" s="66">
        <v>-8</v>
      </c>
      <c r="P161" s="66">
        <v>-8</v>
      </c>
      <c r="Q161" s="66">
        <v>-8</v>
      </c>
      <c r="R161" s="66">
        <v>-8</v>
      </c>
      <c r="S161" s="66">
        <v>-8</v>
      </c>
      <c r="T161" s="66">
        <v>-8</v>
      </c>
      <c r="U161" s="66">
        <v>-8</v>
      </c>
      <c r="V161" s="66">
        <v>-8</v>
      </c>
      <c r="W161" s="66">
        <v>-8</v>
      </c>
      <c r="X161" s="66">
        <v>-8</v>
      </c>
      <c r="Y161" s="66">
        <v>-8</v>
      </c>
      <c r="Z161" s="66">
        <v>-8</v>
      </c>
      <c r="AA161" s="66">
        <v>-8</v>
      </c>
      <c r="AB161" s="66">
        <v>-8</v>
      </c>
      <c r="AC161" s="66">
        <v>-8</v>
      </c>
      <c r="AD161" s="66">
        <v>-8</v>
      </c>
      <c r="AE161" s="66">
        <v>-8</v>
      </c>
      <c r="AF161" s="66">
        <v>-8</v>
      </c>
      <c r="AG161" s="66">
        <v>-8</v>
      </c>
      <c r="AH161" s="66">
        <v>-8</v>
      </c>
      <c r="AI161" s="66">
        <v>-8</v>
      </c>
      <c r="AJ161" s="66">
        <v>-8</v>
      </c>
      <c r="AK161" s="66">
        <v>-8</v>
      </c>
      <c r="AL161" s="66">
        <v>-8</v>
      </c>
      <c r="AM161" s="66">
        <v>-8</v>
      </c>
      <c r="AN161" s="66">
        <v>-8</v>
      </c>
      <c r="AO161" s="66">
        <v>-8</v>
      </c>
      <c r="AP161" s="66">
        <v>-8</v>
      </c>
      <c r="AQ161" s="66">
        <v>-8</v>
      </c>
      <c r="AR161" s="66">
        <v>-8</v>
      </c>
      <c r="AS161" s="66">
        <v>-8</v>
      </c>
      <c r="AT161" s="66">
        <v>-8</v>
      </c>
      <c r="AU161" s="66">
        <v>-8</v>
      </c>
      <c r="AV161" s="66">
        <v>-8</v>
      </c>
      <c r="AW161" s="66">
        <v>-8</v>
      </c>
      <c r="AX161" s="66">
        <v>-8</v>
      </c>
      <c r="AY161" s="66">
        <v>-8</v>
      </c>
      <c r="AZ161" s="66">
        <v>-8</v>
      </c>
      <c r="BA161" s="66">
        <v>-8</v>
      </c>
      <c r="BB161" s="66">
        <v>-8</v>
      </c>
      <c r="BC161" s="66">
        <v>-8</v>
      </c>
      <c r="BD161" s="66">
        <v>-8</v>
      </c>
      <c r="BE161" s="66">
        <v>-8</v>
      </c>
      <c r="BF161" s="66">
        <v>-8</v>
      </c>
      <c r="BG161" s="66">
        <v>-8</v>
      </c>
      <c r="BH161" s="66">
        <v>-8</v>
      </c>
      <c r="BI161" s="66">
        <v>-8</v>
      </c>
      <c r="BJ161" s="66">
        <v>-8</v>
      </c>
      <c r="BK161" s="66">
        <v>-8</v>
      </c>
      <c r="BL161" s="66">
        <v>-8</v>
      </c>
      <c r="BM161" s="66">
        <v>-8</v>
      </c>
      <c r="BN161" s="66">
        <v>-8</v>
      </c>
      <c r="BO161" s="66">
        <v>-8</v>
      </c>
      <c r="BP161" s="66">
        <v>-8</v>
      </c>
      <c r="BQ161" s="66">
        <v>-8</v>
      </c>
      <c r="BR161" s="66">
        <v>-8</v>
      </c>
      <c r="BS161" s="66">
        <v>-8</v>
      </c>
      <c r="BT161" s="66">
        <v>-8</v>
      </c>
      <c r="BU161" s="66">
        <v>-8</v>
      </c>
      <c r="BV161" s="66">
        <v>-8</v>
      </c>
      <c r="BW161" s="66">
        <v>-8</v>
      </c>
      <c r="BX161" s="66">
        <v>-8</v>
      </c>
      <c r="BY161" s="66">
        <v>-8</v>
      </c>
      <c r="BZ161" s="66">
        <v>-8</v>
      </c>
      <c r="CA161" s="66">
        <v>-3.0885055039999987</v>
      </c>
      <c r="CB161" s="66">
        <v>4.8265134799000027</v>
      </c>
      <c r="CC161" s="66">
        <v>-2.7899055521000005</v>
      </c>
      <c r="CD161" s="66">
        <v>6.3540002767000008</v>
      </c>
      <c r="CE161" s="66">
        <v>7.2596321278000016</v>
      </c>
      <c r="CF161" s="66">
        <v>2.3882161474000014</v>
      </c>
      <c r="CG161" s="66">
        <v>7.253928069399997</v>
      </c>
      <c r="CH161" s="66">
        <v>10.2679600333</v>
      </c>
      <c r="CI161" s="66">
        <v>3.3455222644000013</v>
      </c>
      <c r="CJ161" s="66">
        <v>9.3684825609999969</v>
      </c>
      <c r="CK161" s="66">
        <v>7.961381417800002</v>
      </c>
      <c r="CL161" s="66">
        <v>17.648974076200005</v>
      </c>
      <c r="CM161" s="66">
        <v>13.576013691700002</v>
      </c>
      <c r="CN161" s="66">
        <v>15.730946912500002</v>
      </c>
      <c r="CO161" s="66">
        <v>17.4273038593</v>
      </c>
      <c r="CP161" s="66">
        <v>23.9891100412</v>
      </c>
      <c r="CQ161" s="66">
        <v>22.810696607800004</v>
      </c>
      <c r="CR161" s="66">
        <v>15.986578792900005</v>
      </c>
      <c r="CS161" s="66">
        <v>14.212654157199999</v>
      </c>
      <c r="CT161" s="66">
        <v>27.3718043059</v>
      </c>
      <c r="CU161" s="66">
        <v>17.838108644200002</v>
      </c>
      <c r="CV161" s="66">
        <v>49.461070673500004</v>
      </c>
      <c r="CW161" s="66">
        <v>23.236099279000005</v>
      </c>
      <c r="CX161" s="66">
        <v>26.856675295000002</v>
      </c>
      <c r="CY161" s="66">
        <v>27.170736247299992</v>
      </c>
      <c r="CZ161" s="66">
        <v>12.539976558100001</v>
      </c>
      <c r="DA161" s="66">
        <v>18.299574474099998</v>
      </c>
      <c r="DB161" s="66">
        <v>20.9733893758</v>
      </c>
      <c r="DC161" s="66">
        <v>22.726374112900004</v>
      </c>
      <c r="DD161" s="66">
        <v>27.830192946399997</v>
      </c>
      <c r="DE161" s="66">
        <v>35.043575220400001</v>
      </c>
      <c r="DF161" s="66">
        <v>38.906723825199997</v>
      </c>
      <c r="DG161" s="66">
        <v>20.0741370637</v>
      </c>
      <c r="DH161" s="66">
        <v>34.623163600300003</v>
      </c>
      <c r="DI161" s="66">
        <v>29.465343845500001</v>
      </c>
      <c r="DJ161" s="66">
        <v>44.641141325500001</v>
      </c>
      <c r="DK161" s="66">
        <v>154.82823871990001</v>
      </c>
      <c r="DL161" s="66">
        <v>38.148009004600006</v>
      </c>
      <c r="DM161" s="66">
        <v>36.810895156900003</v>
      </c>
      <c r="DN161" s="66">
        <v>37.061535986200006</v>
      </c>
      <c r="DO161" s="66">
        <v>45.4617001477</v>
      </c>
      <c r="DP161" s="79"/>
      <c r="DQ161" s="80"/>
      <c r="DR161" s="81"/>
      <c r="DS161" s="84">
        <f t="shared" si="20"/>
        <v>2020</v>
      </c>
      <c r="DT161" s="80"/>
      <c r="DU161" s="83">
        <f t="shared" si="24"/>
        <v>-96</v>
      </c>
      <c r="DV161" s="83">
        <f t="shared" si="24"/>
        <v>-96</v>
      </c>
      <c r="DW161" s="83">
        <f t="shared" si="24"/>
        <v>-96</v>
      </c>
      <c r="DX161" s="83">
        <f t="shared" si="24"/>
        <v>-96</v>
      </c>
      <c r="DY161" s="83">
        <f t="shared" si="24"/>
        <v>-96</v>
      </c>
      <c r="DZ161" s="83">
        <f t="shared" si="24"/>
        <v>-96</v>
      </c>
      <c r="EA161" s="83">
        <f t="shared" si="24"/>
        <v>11.817361342800002</v>
      </c>
      <c r="EB161" s="83">
        <f t="shared" si="24"/>
        <v>203.92205506770003</v>
      </c>
      <c r="EC161" s="83">
        <f t="shared" si="24"/>
        <v>323.11852507139997</v>
      </c>
      <c r="ED161" s="83">
        <f t="shared" si="24"/>
        <v>421.04002778660004</v>
      </c>
    </row>
    <row r="162" spans="2:134" x14ac:dyDescent="0.3">
      <c r="B162" s="45">
        <f t="shared" si="21"/>
        <v>1000000158</v>
      </c>
      <c r="C162" s="46">
        <v>41821</v>
      </c>
      <c r="D162" s="66">
        <v>-8</v>
      </c>
      <c r="E162" s="66">
        <v>-8</v>
      </c>
      <c r="F162" s="66">
        <v>-8</v>
      </c>
      <c r="G162" s="66">
        <v>-8</v>
      </c>
      <c r="H162" s="66">
        <v>-8</v>
      </c>
      <c r="I162" s="66">
        <v>-8</v>
      </c>
      <c r="J162" s="66">
        <v>1.8094793800000009</v>
      </c>
      <c r="K162" s="66">
        <v>11.616594577899999</v>
      </c>
      <c r="L162" s="66">
        <v>5.9908168741000001</v>
      </c>
      <c r="M162" s="66">
        <v>9.7458510561999994</v>
      </c>
      <c r="N162" s="66">
        <v>14.942398365400003</v>
      </c>
      <c r="O162" s="66">
        <v>4.7183615304999993</v>
      </c>
      <c r="P162" s="66">
        <v>22.018958291200001</v>
      </c>
      <c r="Q162" s="66">
        <v>73.010313304600004</v>
      </c>
      <c r="R162" s="66">
        <v>43.713030981099998</v>
      </c>
      <c r="S162" s="66">
        <v>24.313603416100001</v>
      </c>
      <c r="T162" s="66">
        <v>32.011530440500003</v>
      </c>
      <c r="U162" s="66">
        <v>28.115846186800006</v>
      </c>
      <c r="V162" s="66">
        <v>26.1758283769</v>
      </c>
      <c r="W162" s="66">
        <v>20.784855235000002</v>
      </c>
      <c r="X162" s="66">
        <v>31.194499128100006</v>
      </c>
      <c r="Y162" s="66">
        <v>36.929592109000005</v>
      </c>
      <c r="Z162" s="66">
        <v>25.771778398000002</v>
      </c>
      <c r="AA162" s="66">
        <v>19.185729967900002</v>
      </c>
      <c r="AB162" s="66">
        <v>31.6328860375</v>
      </c>
      <c r="AC162" s="66">
        <v>34.170441491500007</v>
      </c>
      <c r="AD162" s="66">
        <v>59.900923560100011</v>
      </c>
      <c r="AE162" s="66">
        <v>52.326834645700004</v>
      </c>
      <c r="AF162" s="66">
        <v>33.222779736400007</v>
      </c>
      <c r="AG162" s="66">
        <v>24.603985020700001</v>
      </c>
      <c r="AH162" s="66">
        <v>19.814152086100002</v>
      </c>
      <c r="AI162" s="66">
        <v>28.572583652500001</v>
      </c>
      <c r="AJ162" s="66">
        <v>21.945968859700002</v>
      </c>
      <c r="AK162" s="66">
        <v>12.405856132300006</v>
      </c>
      <c r="AL162" s="66">
        <v>11.902998352300003</v>
      </c>
      <c r="AM162" s="66">
        <v>11.229356560599999</v>
      </c>
      <c r="AN162" s="66">
        <v>15.0925426921</v>
      </c>
      <c r="AO162" s="66">
        <v>32.844810813999999</v>
      </c>
      <c r="AP162" s="66">
        <v>36.968207083300001</v>
      </c>
      <c r="AQ162" s="66">
        <v>35.083315995699998</v>
      </c>
      <c r="AR162" s="66">
        <v>29.685625574500001</v>
      </c>
      <c r="AS162" s="66">
        <v>25.162494896799998</v>
      </c>
      <c r="AT162" s="66">
        <v>33.541156259200001</v>
      </c>
      <c r="AU162" s="66">
        <v>32.779064035600001</v>
      </c>
      <c r="AV162" s="66">
        <v>26.7826351159</v>
      </c>
      <c r="AW162" s="66">
        <v>24.252097154800005</v>
      </c>
      <c r="AX162" s="66">
        <v>23.837727333400004</v>
      </c>
      <c r="AY162" s="66">
        <v>23.249458784199998</v>
      </c>
      <c r="AZ162" s="66">
        <v>28.9605346771</v>
      </c>
      <c r="BA162" s="66">
        <v>65.67429377500001</v>
      </c>
      <c r="BB162" s="66">
        <v>59.642664810699983</v>
      </c>
      <c r="BC162" s="66">
        <v>62.123630001100011</v>
      </c>
      <c r="BD162" s="66">
        <v>76.881417569799993</v>
      </c>
      <c r="BE162" s="66">
        <v>43.4715091399</v>
      </c>
      <c r="BF162" s="66">
        <v>36.806617113100003</v>
      </c>
      <c r="BG162" s="66">
        <v>42.843762502299995</v>
      </c>
      <c r="BH162" s="66">
        <v>34.341713350299997</v>
      </c>
      <c r="BI162" s="66">
        <v>44.581511399199997</v>
      </c>
      <c r="BJ162" s="66">
        <v>41.655629653600002</v>
      </c>
      <c r="BK162" s="66">
        <v>50.584545018100009</v>
      </c>
      <c r="BL162" s="66">
        <v>43.042353798700006</v>
      </c>
      <c r="BM162" s="66">
        <v>75.496682339800017</v>
      </c>
      <c r="BN162" s="66">
        <v>71.659051891000004</v>
      </c>
      <c r="BO162" s="66">
        <v>68.20085390589999</v>
      </c>
      <c r="BP162" s="66">
        <v>53.315475557200003</v>
      </c>
      <c r="BQ162" s="66">
        <v>49.022496130600004</v>
      </c>
      <c r="BR162" s="66">
        <v>57.917337251500001</v>
      </c>
      <c r="BS162" s="66">
        <v>58.568538076599992</v>
      </c>
      <c r="BT162" s="66">
        <v>44.706662943700003</v>
      </c>
      <c r="BU162" s="66">
        <v>53.750410010199985</v>
      </c>
      <c r="BV162" s="66">
        <v>46.817502291999993</v>
      </c>
      <c r="BW162" s="66">
        <v>46.143335126499998</v>
      </c>
      <c r="BX162" s="66">
        <v>74.37384594910003</v>
      </c>
      <c r="BY162" s="66">
        <v>67.19532597940001</v>
      </c>
      <c r="BZ162" s="66">
        <v>63.760281968200005</v>
      </c>
      <c r="CA162" s="66">
        <v>43.621728520000005</v>
      </c>
      <c r="CB162" s="66">
        <v>48.291926335000007</v>
      </c>
      <c r="CC162" s="66">
        <v>48.591051660700003</v>
      </c>
      <c r="CD162" s="66">
        <v>48.194094228099999</v>
      </c>
      <c r="CE162" s="66">
        <v>40.972268446599998</v>
      </c>
      <c r="CF162" s="66">
        <v>64.211803222599983</v>
      </c>
      <c r="CG162" s="66">
        <v>55.395843225099995</v>
      </c>
      <c r="CH162" s="66">
        <v>47.636447466100002</v>
      </c>
      <c r="CI162" s="66">
        <v>35.485827379899995</v>
      </c>
      <c r="CJ162" s="66">
        <v>33.500177102800002</v>
      </c>
      <c r="CK162" s="66">
        <v>44.389749962200007</v>
      </c>
      <c r="CL162" s="66">
        <v>52.328635927300006</v>
      </c>
      <c r="CM162" s="66">
        <v>48.006310621299995</v>
      </c>
      <c r="CN162" s="66">
        <v>51.070740943300002</v>
      </c>
      <c r="CO162" s="66">
        <v>43.313896999900003</v>
      </c>
      <c r="CP162" s="66">
        <v>39.69358367080001</v>
      </c>
      <c r="CQ162" s="66">
        <v>37.162933129599999</v>
      </c>
      <c r="CR162" s="66">
        <v>35.894192929300004</v>
      </c>
      <c r="CS162" s="66">
        <v>37.090581651999997</v>
      </c>
      <c r="CT162" s="66">
        <v>37.205413354000001</v>
      </c>
      <c r="CU162" s="66">
        <v>46.695277830099997</v>
      </c>
      <c r="CV162" s="66">
        <v>38.136225620799998</v>
      </c>
      <c r="CW162" s="66">
        <v>40.653891923799996</v>
      </c>
      <c r="CX162" s="66">
        <v>37.696825490500004</v>
      </c>
      <c r="CY162" s="66">
        <v>51.254359086400001</v>
      </c>
      <c r="CZ162" s="66">
        <v>31.415794077999998</v>
      </c>
      <c r="DA162" s="66">
        <v>38.507739950800008</v>
      </c>
      <c r="DB162" s="66">
        <v>48.950144652999995</v>
      </c>
      <c r="DC162" s="66">
        <v>33.6457056454</v>
      </c>
      <c r="DD162" s="66">
        <v>43.38129495310001</v>
      </c>
      <c r="DE162" s="66">
        <v>50.137677074499997</v>
      </c>
      <c r="DF162" s="66">
        <v>41.946499105299999</v>
      </c>
      <c r="DG162" s="66">
        <v>38.320406664400004</v>
      </c>
      <c r="DH162" s="66">
        <v>43.905280265199998</v>
      </c>
      <c r="DI162" s="66">
        <v>43.328082092500004</v>
      </c>
      <c r="DJ162" s="66">
        <v>53.789175091300002</v>
      </c>
      <c r="DK162" s="66">
        <v>58.705660638400005</v>
      </c>
      <c r="DL162" s="66">
        <v>40.064760260500009</v>
      </c>
      <c r="DM162" s="66">
        <v>44.809073308000002</v>
      </c>
      <c r="DN162" s="66">
        <v>42.311633896299995</v>
      </c>
      <c r="DO162" s="66">
        <v>46.84076884600001</v>
      </c>
      <c r="DP162" s="79"/>
      <c r="DQ162" s="80"/>
      <c r="DR162" s="81"/>
      <c r="DS162" s="84">
        <f t="shared" si="20"/>
        <v>2014</v>
      </c>
      <c r="DT162" s="80"/>
      <c r="DU162" s="83">
        <f t="shared" si="24"/>
        <v>0.82350178410000119</v>
      </c>
      <c r="DV162" s="83">
        <f t="shared" si="24"/>
        <v>383.22556583519997</v>
      </c>
      <c r="DW162" s="83">
        <f t="shared" si="24"/>
        <v>341.72876613540012</v>
      </c>
      <c r="DX162" s="83">
        <f t="shared" si="24"/>
        <v>339.27913573949996</v>
      </c>
      <c r="DY162" s="83">
        <f t="shared" si="24"/>
        <v>587.56782901019994</v>
      </c>
      <c r="DZ162" s="83">
        <f t="shared" si="24"/>
        <v>668.64069932370001</v>
      </c>
      <c r="EA162" s="83">
        <f t="shared" si="24"/>
        <v>637.7304443807999</v>
      </c>
      <c r="EB162" s="83">
        <f t="shared" si="24"/>
        <v>506.35149412260006</v>
      </c>
      <c r="EC162" s="83">
        <f t="shared" si="24"/>
        <v>494.046564246</v>
      </c>
      <c r="ED162" s="83">
        <f t="shared" si="24"/>
        <v>373.75443439820003</v>
      </c>
    </row>
    <row r="163" spans="2:134" x14ac:dyDescent="0.3">
      <c r="B163" s="45">
        <f t="shared" si="21"/>
        <v>1000000159</v>
      </c>
      <c r="C163" s="46">
        <v>40878</v>
      </c>
      <c r="D163" s="66">
        <v>29.802746405200004</v>
      </c>
      <c r="E163" s="66">
        <v>37.327787922700004</v>
      </c>
      <c r="F163" s="66">
        <v>28.741603909300004</v>
      </c>
      <c r="G163" s="66">
        <v>42.127865646400004</v>
      </c>
      <c r="H163" s="66">
        <v>28.983463490800006</v>
      </c>
      <c r="I163" s="66">
        <v>22.9581765388</v>
      </c>
      <c r="J163" s="66">
        <v>27.958646840500002</v>
      </c>
      <c r="K163" s="66">
        <v>26.8224509446</v>
      </c>
      <c r="L163" s="66">
        <v>23.850936731799997</v>
      </c>
      <c r="M163" s="66">
        <v>25.572211407400005</v>
      </c>
      <c r="N163" s="66">
        <v>45.497500619500002</v>
      </c>
      <c r="O163" s="66">
        <v>41.0342250283</v>
      </c>
      <c r="P163" s="66">
        <v>27.341632839100001</v>
      </c>
      <c r="Q163" s="66">
        <v>60.960339827799999</v>
      </c>
      <c r="R163" s="66">
        <v>27.0650610601</v>
      </c>
      <c r="S163" s="66">
        <v>37.0394702866</v>
      </c>
      <c r="T163" s="66">
        <v>26.393107969900001</v>
      </c>
      <c r="U163" s="66">
        <v>23.028914368300001</v>
      </c>
      <c r="V163" s="66">
        <v>18.899025979900003</v>
      </c>
      <c r="W163" s="66">
        <v>20.734344296800003</v>
      </c>
      <c r="X163" s="66">
        <v>26.918256609700002</v>
      </c>
      <c r="Y163" s="66">
        <v>27.924384963400001</v>
      </c>
      <c r="Z163" s="66">
        <v>44.938540422999999</v>
      </c>
      <c r="AA163" s="66">
        <v>35.134314781000008</v>
      </c>
      <c r="AB163" s="66">
        <v>30.013871619400007</v>
      </c>
      <c r="AC163" s="66">
        <v>26.371229903800007</v>
      </c>
      <c r="AD163" s="66">
        <v>30.351799552900005</v>
      </c>
      <c r="AE163" s="66">
        <v>43.038300915100002</v>
      </c>
      <c r="AF163" s="66">
        <v>34.025475849400003</v>
      </c>
      <c r="AG163" s="66">
        <v>26.351678493100003</v>
      </c>
      <c r="AH163" s="66">
        <v>27.732210732700004</v>
      </c>
      <c r="AI163" s="66">
        <v>35.1360410092</v>
      </c>
      <c r="AJ163" s="66">
        <v>25.601707393600002</v>
      </c>
      <c r="AK163" s="66">
        <v>36.0525556033</v>
      </c>
      <c r="AL163" s="66">
        <v>28.792227427600004</v>
      </c>
      <c r="AM163" s="66">
        <v>39.913227445900006</v>
      </c>
      <c r="AN163" s="66">
        <v>28.102073887899998</v>
      </c>
      <c r="AO163" s="66">
        <v>30.185593798600003</v>
      </c>
      <c r="AP163" s="66">
        <v>42.014535012400003</v>
      </c>
      <c r="AQ163" s="66">
        <v>68.538556679199999</v>
      </c>
      <c r="AR163" s="66">
        <v>47.838603799000005</v>
      </c>
      <c r="AS163" s="66">
        <v>44.514676346500003</v>
      </c>
      <c r="AT163" s="66">
        <v>40.257422338299996</v>
      </c>
      <c r="AU163" s="66">
        <v>52.323794982999999</v>
      </c>
      <c r="AV163" s="66">
        <v>39.8520589249</v>
      </c>
      <c r="AW163" s="66">
        <v>56.438485057899996</v>
      </c>
      <c r="AX163" s="66">
        <v>69.182252164299996</v>
      </c>
      <c r="AY163" s="66">
        <v>48.762923946700006</v>
      </c>
      <c r="AZ163" s="66">
        <v>41.603354960499999</v>
      </c>
      <c r="BA163" s="66">
        <v>56.1702066796</v>
      </c>
      <c r="BB163" s="66">
        <v>42.897725896899999</v>
      </c>
      <c r="BC163" s="66">
        <v>48.806605025500005</v>
      </c>
      <c r="BD163" s="66">
        <v>39.580815937299995</v>
      </c>
      <c r="BE163" s="66">
        <v>47.462773898500004</v>
      </c>
      <c r="BF163" s="66">
        <v>44.365057393599997</v>
      </c>
      <c r="BG163" s="66">
        <v>56.141461227400001</v>
      </c>
      <c r="BH163" s="66">
        <v>74.767275871899997</v>
      </c>
      <c r="BI163" s="66">
        <v>37.775781667300002</v>
      </c>
      <c r="BJ163" s="66">
        <v>35.715077990200001</v>
      </c>
      <c r="BK163" s="66">
        <v>34.1832380962</v>
      </c>
      <c r="BL163" s="66">
        <v>35.507893079500001</v>
      </c>
      <c r="BM163" s="66">
        <v>60.471104239899987</v>
      </c>
      <c r="BN163" s="66">
        <v>38.7594690544</v>
      </c>
      <c r="BO163" s="66">
        <v>60.490242856899997</v>
      </c>
      <c r="BP163" s="66">
        <v>40.921382241400003</v>
      </c>
      <c r="BQ163" s="66">
        <v>42.669826247800003</v>
      </c>
      <c r="BR163" s="66">
        <v>42.655941368800001</v>
      </c>
      <c r="BS163" s="66">
        <v>56.638052048500001</v>
      </c>
      <c r="BT163" s="66">
        <v>49.231782536499999</v>
      </c>
      <c r="BU163" s="66">
        <v>34.477560004300003</v>
      </c>
      <c r="BV163" s="66">
        <v>43.109414011600002</v>
      </c>
      <c r="BW163" s="66">
        <v>21.319835870200002</v>
      </c>
      <c r="BX163" s="66">
        <v>53.070914053300008</v>
      </c>
      <c r="BY163" s="66">
        <v>81.904366364799998</v>
      </c>
      <c r="BZ163" s="66">
        <v>27.399311377000004</v>
      </c>
      <c r="CA163" s="66">
        <v>40.720351709500001</v>
      </c>
      <c r="CB163" s="66">
        <v>50.003594175400004</v>
      </c>
      <c r="CC163" s="66">
        <v>42.634813836699998</v>
      </c>
      <c r="CD163" s="66">
        <v>33.659290310800003</v>
      </c>
      <c r="CE163" s="66">
        <v>50.969869173700005</v>
      </c>
      <c r="CF163" s="66">
        <v>37.558089280600008</v>
      </c>
      <c r="CG163" s="66">
        <v>33.748866543700004</v>
      </c>
      <c r="CH163" s="66">
        <v>71.917385693800014</v>
      </c>
      <c r="CI163" s="66">
        <v>27.894926503900003</v>
      </c>
      <c r="CJ163" s="66">
        <v>33.710776943200003</v>
      </c>
      <c r="CK163" s="66">
        <v>57.479062922200001</v>
      </c>
      <c r="CL163" s="66">
        <v>31.667072861200005</v>
      </c>
      <c r="CM163" s="66">
        <v>48.862107014800003</v>
      </c>
      <c r="CN163" s="66">
        <v>49.488765378100005</v>
      </c>
      <c r="CO163" s="66">
        <v>36.478446121600001</v>
      </c>
      <c r="CP163" s="66">
        <v>34.151415454599999</v>
      </c>
      <c r="CQ163" s="66">
        <v>47.397627547300004</v>
      </c>
      <c r="CR163" s="66">
        <v>30.425577045100006</v>
      </c>
      <c r="CS163" s="66">
        <v>28.6381427974</v>
      </c>
      <c r="CT163" s="66">
        <v>54.504133779699998</v>
      </c>
      <c r="CU163" s="66">
        <v>28.496291871400004</v>
      </c>
      <c r="CV163" s="66">
        <v>40.967427502300005</v>
      </c>
      <c r="CW163" s="66">
        <v>63.32996329929999</v>
      </c>
      <c r="CX163" s="66">
        <v>39.967303420600004</v>
      </c>
      <c r="CY163" s="66">
        <v>47.177008078</v>
      </c>
      <c r="CZ163" s="66">
        <v>56.666309653599995</v>
      </c>
      <c r="DA163" s="66">
        <v>38.281303843000003</v>
      </c>
      <c r="DB163" s="66">
        <v>18.0679596817</v>
      </c>
      <c r="DC163" s="66">
        <v>57.080679475000011</v>
      </c>
      <c r="DD163" s="66">
        <v>50.626950189100008</v>
      </c>
      <c r="DE163" s="66">
        <v>36.977175964600001</v>
      </c>
      <c r="DF163" s="66">
        <v>44.765204595699998</v>
      </c>
      <c r="DG163" s="66">
        <v>20.601349672000001</v>
      </c>
      <c r="DH163" s="66">
        <v>30.455335718199997</v>
      </c>
      <c r="DI163" s="66">
        <v>92.097331092099992</v>
      </c>
      <c r="DJ163" s="66">
        <v>37.236785675199997</v>
      </c>
      <c r="DK163" s="66">
        <v>57.528260425900001</v>
      </c>
      <c r="DL163" s="66">
        <v>38.816997485500011</v>
      </c>
      <c r="DM163" s="66">
        <v>36.742296349299998</v>
      </c>
      <c r="DN163" s="66">
        <v>30.10055829640001</v>
      </c>
      <c r="DO163" s="66">
        <v>44.652999762699999</v>
      </c>
      <c r="DP163" s="79"/>
      <c r="DQ163" s="80"/>
      <c r="DR163" s="81"/>
      <c r="DS163" s="84">
        <f t="shared" si="20"/>
        <v>2011</v>
      </c>
      <c r="DT163" s="80"/>
      <c r="DU163" s="83">
        <f t="shared" si="24"/>
        <v>380.67761548530001</v>
      </c>
      <c r="DV163" s="83">
        <f t="shared" si="24"/>
        <v>376.37739340560006</v>
      </c>
      <c r="DW163" s="83">
        <f t="shared" si="24"/>
        <v>383.38032594600003</v>
      </c>
      <c r="DX163" s="83">
        <f t="shared" si="24"/>
        <v>568.01097693869997</v>
      </c>
      <c r="DY163" s="83">
        <f t="shared" si="24"/>
        <v>559.46937464489997</v>
      </c>
      <c r="DZ163" s="83">
        <f t="shared" si="24"/>
        <v>526.25250355980006</v>
      </c>
      <c r="EA163" s="83">
        <f t="shared" si="24"/>
        <v>551.48177902320003</v>
      </c>
      <c r="EB163" s="83">
        <f t="shared" si="24"/>
        <v>481.29941973660004</v>
      </c>
      <c r="EC163" s="83">
        <f t="shared" si="24"/>
        <v>514.5086353749</v>
      </c>
      <c r="ED163" s="83">
        <f t="shared" si="24"/>
        <v>367.63056480529997</v>
      </c>
    </row>
    <row r="164" spans="2:134" x14ac:dyDescent="0.3">
      <c r="B164" s="45">
        <f t="shared" si="21"/>
        <v>1000000160</v>
      </c>
      <c r="C164" s="46">
        <v>42948</v>
      </c>
      <c r="D164" s="66">
        <v>-8</v>
      </c>
      <c r="E164" s="66">
        <v>-8</v>
      </c>
      <c r="F164" s="66">
        <v>-8</v>
      </c>
      <c r="G164" s="66">
        <v>-8</v>
      </c>
      <c r="H164" s="66">
        <v>-8</v>
      </c>
      <c r="I164" s="66">
        <v>-8</v>
      </c>
      <c r="J164" s="66">
        <v>-8</v>
      </c>
      <c r="K164" s="66">
        <v>-8</v>
      </c>
      <c r="L164" s="66">
        <v>-8</v>
      </c>
      <c r="M164" s="66">
        <v>-8</v>
      </c>
      <c r="N164" s="66">
        <v>-8</v>
      </c>
      <c r="O164" s="66">
        <v>-8</v>
      </c>
      <c r="P164" s="66">
        <v>-8</v>
      </c>
      <c r="Q164" s="66">
        <v>-8</v>
      </c>
      <c r="R164" s="66">
        <v>-8</v>
      </c>
      <c r="S164" s="66">
        <v>-8</v>
      </c>
      <c r="T164" s="66">
        <v>-8</v>
      </c>
      <c r="U164" s="66">
        <v>-8</v>
      </c>
      <c r="V164" s="66">
        <v>-8</v>
      </c>
      <c r="W164" s="66">
        <v>-8</v>
      </c>
      <c r="X164" s="66">
        <v>-8</v>
      </c>
      <c r="Y164" s="66">
        <v>-8</v>
      </c>
      <c r="Z164" s="66">
        <v>-8</v>
      </c>
      <c r="AA164" s="66">
        <v>-8</v>
      </c>
      <c r="AB164" s="66">
        <v>-8</v>
      </c>
      <c r="AC164" s="66">
        <v>-8</v>
      </c>
      <c r="AD164" s="66">
        <v>-8</v>
      </c>
      <c r="AE164" s="66">
        <v>-8</v>
      </c>
      <c r="AF164" s="66">
        <v>-8</v>
      </c>
      <c r="AG164" s="66">
        <v>-8</v>
      </c>
      <c r="AH164" s="66">
        <v>-8</v>
      </c>
      <c r="AI164" s="66">
        <v>-8</v>
      </c>
      <c r="AJ164" s="66">
        <v>-8</v>
      </c>
      <c r="AK164" s="66">
        <v>-8</v>
      </c>
      <c r="AL164" s="66">
        <v>-8</v>
      </c>
      <c r="AM164" s="66">
        <v>-8</v>
      </c>
      <c r="AN164" s="66">
        <v>-8</v>
      </c>
      <c r="AO164" s="66">
        <v>-8</v>
      </c>
      <c r="AP164" s="66">
        <v>-8</v>
      </c>
      <c r="AQ164" s="66">
        <v>-8</v>
      </c>
      <c r="AR164" s="66">
        <v>-8</v>
      </c>
      <c r="AS164" s="66">
        <v>-8</v>
      </c>
      <c r="AT164" s="66">
        <v>-8</v>
      </c>
      <c r="AU164" s="66">
        <v>6.7834183048000014</v>
      </c>
      <c r="AV164" s="66">
        <v>21.383143413100001</v>
      </c>
      <c r="AW164" s="66">
        <v>24.3565714876</v>
      </c>
      <c r="AX164" s="66">
        <v>18.747192951700004</v>
      </c>
      <c r="AY164" s="66">
        <v>17.597637550600002</v>
      </c>
      <c r="AZ164" s="66">
        <v>21.362878995100001</v>
      </c>
      <c r="BA164" s="66">
        <v>69.495374949099997</v>
      </c>
      <c r="BB164" s="66">
        <v>50.841865599999998</v>
      </c>
      <c r="BC164" s="66">
        <v>64.09607087980001</v>
      </c>
      <c r="BD164" s="66">
        <v>34.218738354400003</v>
      </c>
      <c r="BE164" s="66">
        <v>39.10084944430001</v>
      </c>
      <c r="BF164" s="66">
        <v>32.551577180199999</v>
      </c>
      <c r="BG164" s="66">
        <v>43.9533144412</v>
      </c>
      <c r="BH164" s="66">
        <v>41.885180477500001</v>
      </c>
      <c r="BI164" s="66">
        <v>51.656945524000008</v>
      </c>
      <c r="BJ164" s="66">
        <v>58.321349703700008</v>
      </c>
      <c r="BK164" s="66">
        <v>46.064791743400008</v>
      </c>
      <c r="BL164" s="66">
        <v>48.628503307300008</v>
      </c>
      <c r="BM164" s="66">
        <v>112.71363695800001</v>
      </c>
      <c r="BN164" s="66">
        <v>102.25487061459999</v>
      </c>
      <c r="BO164" s="66">
        <v>94.62798163330001</v>
      </c>
      <c r="BP164" s="66">
        <v>82.376264617299995</v>
      </c>
      <c r="BQ164" s="66">
        <v>50.2378733635</v>
      </c>
      <c r="BR164" s="66">
        <v>46.999431733599998</v>
      </c>
      <c r="BS164" s="66">
        <v>61.066390282</v>
      </c>
      <c r="BT164" s="66">
        <v>54.947286580000004</v>
      </c>
      <c r="BU164" s="66">
        <v>62.9682809647</v>
      </c>
      <c r="BV164" s="66">
        <v>49.881482293600001</v>
      </c>
      <c r="BW164" s="66">
        <v>60.189991730199992</v>
      </c>
      <c r="BX164" s="66">
        <v>74.670682146100006</v>
      </c>
      <c r="BY164" s="66">
        <v>104.83089093610002</v>
      </c>
      <c r="BZ164" s="66">
        <v>80.807535977200004</v>
      </c>
      <c r="CA164" s="66">
        <v>82.208182528000009</v>
      </c>
      <c r="CB164" s="66">
        <v>82.287626551900004</v>
      </c>
      <c r="CC164" s="66">
        <v>79.695619856200011</v>
      </c>
      <c r="CD164" s="66">
        <v>58.205579834200009</v>
      </c>
      <c r="CE164" s="66">
        <v>32.348407626400004</v>
      </c>
      <c r="CF164" s="66">
        <v>22.124483371600004</v>
      </c>
      <c r="CG164" s="66">
        <v>60.89478068290002</v>
      </c>
      <c r="CH164" s="66">
        <v>57.17881179550001</v>
      </c>
      <c r="CI164" s="66">
        <v>50.798259574599996</v>
      </c>
      <c r="CJ164" s="66">
        <v>62.904935895099996</v>
      </c>
      <c r="CK164" s="66">
        <v>102.14214040779999</v>
      </c>
      <c r="CL164" s="66">
        <v>123.72911189590002</v>
      </c>
      <c r="CM164" s="66">
        <v>110.86923717969998</v>
      </c>
      <c r="CN164" s="66">
        <v>82.502992283200001</v>
      </c>
      <c r="CO164" s="66">
        <v>66.015223844500014</v>
      </c>
      <c r="CP164" s="66">
        <v>77.543313504400004</v>
      </c>
      <c r="CQ164" s="66">
        <v>74.797935185800014</v>
      </c>
      <c r="CR164" s="66">
        <v>47.829297177400008</v>
      </c>
      <c r="CS164" s="66">
        <v>39.9409221505</v>
      </c>
      <c r="CT164" s="66">
        <v>52.348450024899989</v>
      </c>
      <c r="CU164" s="66">
        <v>28.708993206999999</v>
      </c>
      <c r="CV164" s="66">
        <v>41.207410748800001</v>
      </c>
      <c r="CW164" s="66">
        <v>23.878068535900006</v>
      </c>
      <c r="CX164" s="66">
        <v>36.164647856200006</v>
      </c>
      <c r="CY164" s="66">
        <v>43.282412098599998</v>
      </c>
      <c r="CZ164" s="66">
        <v>23.490530305000004</v>
      </c>
      <c r="DA164" s="66">
        <v>38.73353810470001</v>
      </c>
      <c r="DB164" s="66">
        <v>36.04268608120001</v>
      </c>
      <c r="DC164" s="66">
        <v>55.945872066999982</v>
      </c>
      <c r="DD164" s="66">
        <v>33.459122893000007</v>
      </c>
      <c r="DE164" s="66">
        <v>44.987700400000008</v>
      </c>
      <c r="DF164" s="66">
        <v>58.294893380200008</v>
      </c>
      <c r="DG164" s="66">
        <v>44.486944115200004</v>
      </c>
      <c r="DH164" s="66">
        <v>47.966907586299996</v>
      </c>
      <c r="DI164" s="66">
        <v>39.011198157999999</v>
      </c>
      <c r="DJ164" s="66">
        <v>33.614220744099988</v>
      </c>
      <c r="DK164" s="66">
        <v>45.305889289300005</v>
      </c>
      <c r="DL164" s="66">
        <v>29.587643360800001</v>
      </c>
      <c r="DM164" s="66">
        <v>52.742255214699995</v>
      </c>
      <c r="DN164" s="66">
        <v>65.113532296900019</v>
      </c>
      <c r="DO164" s="66">
        <v>73.918647078099994</v>
      </c>
      <c r="DP164" s="79"/>
      <c r="DQ164" s="80"/>
      <c r="DR164" s="81"/>
      <c r="DS164" s="84">
        <f t="shared" si="20"/>
        <v>2017</v>
      </c>
      <c r="DT164" s="80"/>
      <c r="DU164" s="83">
        <f t="shared" si="24"/>
        <v>-96</v>
      </c>
      <c r="DV164" s="83">
        <f t="shared" si="24"/>
        <v>-96</v>
      </c>
      <c r="DW164" s="83">
        <f t="shared" si="24"/>
        <v>-96</v>
      </c>
      <c r="DX164" s="83">
        <f t="shared" si="24"/>
        <v>32.867963707800008</v>
      </c>
      <c r="DY164" s="83">
        <f t="shared" si="24"/>
        <v>553.54893729269997</v>
      </c>
      <c r="DZ164" s="83">
        <f t="shared" si="24"/>
        <v>826.89199407809997</v>
      </c>
      <c r="EA164" s="83">
        <f t="shared" si="24"/>
        <v>786.05086088070004</v>
      </c>
      <c r="EB164" s="83">
        <f t="shared" si="24"/>
        <v>869.33255275620013</v>
      </c>
      <c r="EC164" s="83">
        <f t="shared" si="24"/>
        <v>479.9738265858</v>
      </c>
      <c r="ED164" s="83">
        <f t="shared" si="24"/>
        <v>387.2602937282</v>
      </c>
    </row>
    <row r="165" spans="2:134" x14ac:dyDescent="0.3">
      <c r="B165" s="45">
        <f t="shared" si="21"/>
        <v>1000000161</v>
      </c>
      <c r="C165" s="46">
        <v>42887</v>
      </c>
      <c r="D165" s="66">
        <v>-8</v>
      </c>
      <c r="E165" s="66">
        <v>-8</v>
      </c>
      <c r="F165" s="66">
        <v>-8</v>
      </c>
      <c r="G165" s="66">
        <v>-8</v>
      </c>
      <c r="H165" s="66">
        <v>-8</v>
      </c>
      <c r="I165" s="66">
        <v>-8</v>
      </c>
      <c r="J165" s="66">
        <v>-8</v>
      </c>
      <c r="K165" s="66">
        <v>-8</v>
      </c>
      <c r="L165" s="66">
        <v>-8</v>
      </c>
      <c r="M165" s="66">
        <v>-8</v>
      </c>
      <c r="N165" s="66">
        <v>-8</v>
      </c>
      <c r="O165" s="66">
        <v>-8</v>
      </c>
      <c r="P165" s="66">
        <v>-8</v>
      </c>
      <c r="Q165" s="66">
        <v>-8</v>
      </c>
      <c r="R165" s="66">
        <v>-8</v>
      </c>
      <c r="S165" s="66">
        <v>-8</v>
      </c>
      <c r="T165" s="66">
        <v>-8</v>
      </c>
      <c r="U165" s="66">
        <v>-8</v>
      </c>
      <c r="V165" s="66">
        <v>-8</v>
      </c>
      <c r="W165" s="66">
        <v>-8</v>
      </c>
      <c r="X165" s="66">
        <v>-8</v>
      </c>
      <c r="Y165" s="66">
        <v>-8</v>
      </c>
      <c r="Z165" s="66">
        <v>-8</v>
      </c>
      <c r="AA165" s="66">
        <v>-8</v>
      </c>
      <c r="AB165" s="66">
        <v>-8</v>
      </c>
      <c r="AC165" s="66">
        <v>-8</v>
      </c>
      <c r="AD165" s="66">
        <v>-8</v>
      </c>
      <c r="AE165" s="66">
        <v>-8</v>
      </c>
      <c r="AF165" s="66">
        <v>-8</v>
      </c>
      <c r="AG165" s="66">
        <v>-8</v>
      </c>
      <c r="AH165" s="66">
        <v>-8</v>
      </c>
      <c r="AI165" s="66">
        <v>-8</v>
      </c>
      <c r="AJ165" s="66">
        <v>-8</v>
      </c>
      <c r="AK165" s="66">
        <v>-8</v>
      </c>
      <c r="AL165" s="66">
        <v>-8</v>
      </c>
      <c r="AM165" s="66">
        <v>-8</v>
      </c>
      <c r="AN165" s="66">
        <v>-8</v>
      </c>
      <c r="AO165" s="66">
        <v>-8</v>
      </c>
      <c r="AP165" s="66">
        <v>-8</v>
      </c>
      <c r="AQ165" s="66">
        <v>-8</v>
      </c>
      <c r="AR165" s="66">
        <v>-8</v>
      </c>
      <c r="AS165" s="66">
        <v>-8</v>
      </c>
      <c r="AT165" s="66">
        <v>2.0103222784000003</v>
      </c>
      <c r="AU165" s="66">
        <v>15.141965356000004</v>
      </c>
      <c r="AV165" s="66">
        <v>11.517411509799999</v>
      </c>
      <c r="AW165" s="66">
        <v>16.347210379900005</v>
      </c>
      <c r="AX165" s="66">
        <v>9.2269318485999996</v>
      </c>
      <c r="AY165" s="66">
        <v>15.5324681962</v>
      </c>
      <c r="AZ165" s="66">
        <v>30.605892838600006</v>
      </c>
      <c r="BA165" s="66">
        <v>108.84320817340001</v>
      </c>
      <c r="BB165" s="66">
        <v>90.561025520800001</v>
      </c>
      <c r="BC165" s="66">
        <v>61.030139489799978</v>
      </c>
      <c r="BD165" s="66">
        <v>24.310150959699989</v>
      </c>
      <c r="BE165" s="66">
        <v>19.427627076099999</v>
      </c>
      <c r="BF165" s="66">
        <v>20.719145983299999</v>
      </c>
      <c r="BG165" s="66">
        <v>24.254198650000006</v>
      </c>
      <c r="BH165" s="66">
        <v>21.418718724700003</v>
      </c>
      <c r="BI165" s="66">
        <v>24.1587682519</v>
      </c>
      <c r="BJ165" s="66">
        <v>18.569428973800001</v>
      </c>
      <c r="BK165" s="66">
        <v>15.553558201599998</v>
      </c>
      <c r="BL165" s="66">
        <v>20.762001474700003</v>
      </c>
      <c r="BM165" s="66">
        <v>54.873396507699994</v>
      </c>
      <c r="BN165" s="66">
        <v>49.304659387900003</v>
      </c>
      <c r="BO165" s="66">
        <v>43.901077274800002</v>
      </c>
      <c r="BP165" s="66">
        <v>33.409324962100008</v>
      </c>
      <c r="BQ165" s="66">
        <v>19.859221652800002</v>
      </c>
      <c r="BR165" s="66">
        <v>27.110093100100002</v>
      </c>
      <c r="BS165" s="66">
        <v>37.548069651700011</v>
      </c>
      <c r="BT165" s="66">
        <v>38.784011516200003</v>
      </c>
      <c r="BU165" s="66">
        <v>34.912494457299999</v>
      </c>
      <c r="BV165" s="66">
        <v>28.302091198900008</v>
      </c>
      <c r="BW165" s="66">
        <v>26.0056072657</v>
      </c>
      <c r="BX165" s="66">
        <v>46.792772196700014</v>
      </c>
      <c r="BY165" s="66">
        <v>62.605435302400011</v>
      </c>
      <c r="BZ165" s="66">
        <v>62.443807805500001</v>
      </c>
      <c r="CA165" s="66">
        <v>44.904991553200006</v>
      </c>
      <c r="CB165" s="66">
        <v>47.815262191599992</v>
      </c>
      <c r="CC165" s="66">
        <v>47.463899699500004</v>
      </c>
      <c r="CD165" s="66">
        <v>46.09860330010001</v>
      </c>
      <c r="CE165" s="66">
        <v>41.079669861999996</v>
      </c>
      <c r="CF165" s="66">
        <v>38.682802006300008</v>
      </c>
      <c r="CG165" s="66">
        <v>48.442708615599997</v>
      </c>
      <c r="CH165" s="66">
        <v>28.112168570199998</v>
      </c>
      <c r="CI165" s="66">
        <v>36.214445787099997</v>
      </c>
      <c r="CJ165" s="66">
        <v>44.491334739099997</v>
      </c>
      <c r="CK165" s="66">
        <v>63.848807453500001</v>
      </c>
      <c r="CL165" s="66">
        <v>63.603570469000005</v>
      </c>
      <c r="CM165" s="66">
        <v>57.815414734300006</v>
      </c>
      <c r="CN165" s="66">
        <v>45.221716901200004</v>
      </c>
      <c r="CO165" s="66">
        <v>54.589619602300004</v>
      </c>
      <c r="CP165" s="66">
        <v>42.265063261600005</v>
      </c>
      <c r="CQ165" s="66">
        <v>40.251905913400002</v>
      </c>
      <c r="CR165" s="66">
        <v>27.190850558499996</v>
      </c>
      <c r="CS165" s="66">
        <v>34.138393689699996</v>
      </c>
      <c r="CT165" s="66">
        <v>31.279984950700005</v>
      </c>
      <c r="CU165" s="66">
        <v>34.723022149000002</v>
      </c>
      <c r="CV165" s="66">
        <v>38.355193915299999</v>
      </c>
      <c r="CW165" s="66">
        <v>55.613460558400014</v>
      </c>
      <c r="CX165" s="66">
        <v>56.208183700000006</v>
      </c>
      <c r="CY165" s="66">
        <v>48.086730339399999</v>
      </c>
      <c r="CZ165" s="66">
        <v>25.165271872600002</v>
      </c>
      <c r="DA165" s="66">
        <v>32.881999773700009</v>
      </c>
      <c r="DB165" s="66">
        <v>32.942342707299986</v>
      </c>
      <c r="DC165" s="66">
        <v>40.210701596800014</v>
      </c>
      <c r="DD165" s="66">
        <v>29.612035715800005</v>
      </c>
      <c r="DE165" s="66">
        <v>24.748200128800001</v>
      </c>
      <c r="DF165" s="66">
        <v>35.170978366900009</v>
      </c>
      <c r="DG165" s="66">
        <v>30.634375603900004</v>
      </c>
      <c r="DH165" s="66">
        <v>46.427262138700009</v>
      </c>
      <c r="DI165" s="66">
        <v>55.562949620200001</v>
      </c>
      <c r="DJ165" s="66">
        <v>60.278592268899999</v>
      </c>
      <c r="DK165" s="66">
        <v>55.848039960099996</v>
      </c>
      <c r="DL165" s="66">
        <v>52.553908707399998</v>
      </c>
      <c r="DM165" s="66">
        <v>37.913917449999992</v>
      </c>
      <c r="DN165" s="66">
        <v>48.158068596099987</v>
      </c>
      <c r="DO165" s="66">
        <v>48.786828454599998</v>
      </c>
      <c r="DP165" s="79"/>
      <c r="DQ165" s="80"/>
      <c r="DR165" s="81"/>
      <c r="DS165" s="84">
        <f t="shared" si="20"/>
        <v>2017</v>
      </c>
      <c r="DT165" s="80"/>
      <c r="DU165" s="83">
        <f t="shared" ref="DU165:ED174" si="25">+SUMIF($D$3:$DO$3,DU$4,$D165:$DO165)</f>
        <v>-96</v>
      </c>
      <c r="DV165" s="83">
        <f t="shared" si="25"/>
        <v>-96</v>
      </c>
      <c r="DW165" s="83">
        <f t="shared" si="25"/>
        <v>-96</v>
      </c>
      <c r="DX165" s="83">
        <f t="shared" si="25"/>
        <v>21.776309568900004</v>
      </c>
      <c r="DY165" s="83">
        <f t="shared" si="25"/>
        <v>459.45186284369993</v>
      </c>
      <c r="DZ165" s="83">
        <f t="shared" si="25"/>
        <v>414.77204844990007</v>
      </c>
      <c r="EA165" s="83">
        <f t="shared" si="25"/>
        <v>550.6565668902</v>
      </c>
      <c r="EB165" s="83">
        <f t="shared" si="25"/>
        <v>539.41968442229995</v>
      </c>
      <c r="EC165" s="83">
        <f t="shared" si="25"/>
        <v>449.62947427890003</v>
      </c>
      <c r="ED165" s="83">
        <f t="shared" si="25"/>
        <v>405.52956719600002</v>
      </c>
    </row>
    <row r="166" spans="2:134" x14ac:dyDescent="0.3">
      <c r="B166" s="45">
        <f t="shared" si="21"/>
        <v>1000000162</v>
      </c>
      <c r="C166" s="46">
        <v>44531</v>
      </c>
      <c r="D166" s="66">
        <v>-8</v>
      </c>
      <c r="E166" s="66">
        <v>-8</v>
      </c>
      <c r="F166" s="66">
        <v>-8</v>
      </c>
      <c r="G166" s="66">
        <v>-8</v>
      </c>
      <c r="H166" s="66">
        <v>-8</v>
      </c>
      <c r="I166" s="66">
        <v>-8</v>
      </c>
      <c r="J166" s="66">
        <v>-8</v>
      </c>
      <c r="K166" s="66">
        <v>-8</v>
      </c>
      <c r="L166" s="66">
        <v>-8</v>
      </c>
      <c r="M166" s="66">
        <v>-8</v>
      </c>
      <c r="N166" s="66">
        <v>-8</v>
      </c>
      <c r="O166" s="66">
        <v>-8</v>
      </c>
      <c r="P166" s="66">
        <v>-8</v>
      </c>
      <c r="Q166" s="66">
        <v>-8</v>
      </c>
      <c r="R166" s="66">
        <v>-8</v>
      </c>
      <c r="S166" s="66">
        <v>-8</v>
      </c>
      <c r="T166" s="66">
        <v>-8</v>
      </c>
      <c r="U166" s="66">
        <v>-8</v>
      </c>
      <c r="V166" s="66">
        <v>-8</v>
      </c>
      <c r="W166" s="66">
        <v>-8</v>
      </c>
      <c r="X166" s="66">
        <v>-8</v>
      </c>
      <c r="Y166" s="66">
        <v>-8</v>
      </c>
      <c r="Z166" s="66">
        <v>-8</v>
      </c>
      <c r="AA166" s="66">
        <v>-8</v>
      </c>
      <c r="AB166" s="66">
        <v>-8</v>
      </c>
      <c r="AC166" s="66">
        <v>-8</v>
      </c>
      <c r="AD166" s="66">
        <v>-8</v>
      </c>
      <c r="AE166" s="66">
        <v>-8</v>
      </c>
      <c r="AF166" s="66">
        <v>-8</v>
      </c>
      <c r="AG166" s="66">
        <v>-8</v>
      </c>
      <c r="AH166" s="66">
        <v>-8</v>
      </c>
      <c r="AI166" s="66">
        <v>-8</v>
      </c>
      <c r="AJ166" s="66">
        <v>-8</v>
      </c>
      <c r="AK166" s="66">
        <v>-8</v>
      </c>
      <c r="AL166" s="66">
        <v>-8</v>
      </c>
      <c r="AM166" s="66">
        <v>-8</v>
      </c>
      <c r="AN166" s="66">
        <v>-8</v>
      </c>
      <c r="AO166" s="66">
        <v>-8</v>
      </c>
      <c r="AP166" s="66">
        <v>-8</v>
      </c>
      <c r="AQ166" s="66">
        <v>-8</v>
      </c>
      <c r="AR166" s="66">
        <v>-8</v>
      </c>
      <c r="AS166" s="66">
        <v>-8</v>
      </c>
      <c r="AT166" s="66">
        <v>-8</v>
      </c>
      <c r="AU166" s="66">
        <v>-8</v>
      </c>
      <c r="AV166" s="66">
        <v>-8</v>
      </c>
      <c r="AW166" s="66">
        <v>-8</v>
      </c>
      <c r="AX166" s="66">
        <v>-8</v>
      </c>
      <c r="AY166" s="66">
        <v>-8</v>
      </c>
      <c r="AZ166" s="66">
        <v>-8</v>
      </c>
      <c r="BA166" s="66">
        <v>-8</v>
      </c>
      <c r="BB166" s="66">
        <v>-8</v>
      </c>
      <c r="BC166" s="66">
        <v>-8</v>
      </c>
      <c r="BD166" s="66">
        <v>-8</v>
      </c>
      <c r="BE166" s="66">
        <v>-8</v>
      </c>
      <c r="BF166" s="66">
        <v>-8</v>
      </c>
      <c r="BG166" s="66">
        <v>-8</v>
      </c>
      <c r="BH166" s="66">
        <v>-8</v>
      </c>
      <c r="BI166" s="66">
        <v>-8</v>
      </c>
      <c r="BJ166" s="66">
        <v>-8</v>
      </c>
      <c r="BK166" s="66">
        <v>-8</v>
      </c>
      <c r="BL166" s="66">
        <v>-8</v>
      </c>
      <c r="BM166" s="66">
        <v>-8</v>
      </c>
      <c r="BN166" s="66">
        <v>-8</v>
      </c>
      <c r="BO166" s="66">
        <v>-8</v>
      </c>
      <c r="BP166" s="66">
        <v>-8</v>
      </c>
      <c r="BQ166" s="66">
        <v>-8</v>
      </c>
      <c r="BR166" s="66">
        <v>-8</v>
      </c>
      <c r="BS166" s="66">
        <v>-8</v>
      </c>
      <c r="BT166" s="66">
        <v>-8</v>
      </c>
      <c r="BU166" s="66">
        <v>-8</v>
      </c>
      <c r="BV166" s="66">
        <v>-8</v>
      </c>
      <c r="BW166" s="66">
        <v>-8</v>
      </c>
      <c r="BX166" s="66">
        <v>-8</v>
      </c>
      <c r="BY166" s="66">
        <v>-8</v>
      </c>
      <c r="BZ166" s="66">
        <v>-8</v>
      </c>
      <c r="CA166" s="66">
        <v>-8</v>
      </c>
      <c r="CB166" s="66">
        <v>-8</v>
      </c>
      <c r="CC166" s="66">
        <v>-8</v>
      </c>
      <c r="CD166" s="66">
        <v>-8</v>
      </c>
      <c r="CE166" s="66">
        <v>-8</v>
      </c>
      <c r="CF166" s="66">
        <v>-8</v>
      </c>
      <c r="CG166" s="66">
        <v>-8</v>
      </c>
      <c r="CH166" s="66">
        <v>-8</v>
      </c>
      <c r="CI166" s="66">
        <v>-8</v>
      </c>
      <c r="CJ166" s="66">
        <v>-8</v>
      </c>
      <c r="CK166" s="66">
        <v>-8</v>
      </c>
      <c r="CL166" s="66">
        <v>-8</v>
      </c>
      <c r="CM166" s="66">
        <v>-8</v>
      </c>
      <c r="CN166" s="66">
        <v>-8</v>
      </c>
      <c r="CO166" s="66">
        <v>-8</v>
      </c>
      <c r="CP166" s="66">
        <v>-8</v>
      </c>
      <c r="CQ166" s="66">
        <v>-8</v>
      </c>
      <c r="CR166" s="66">
        <v>-8</v>
      </c>
      <c r="CS166" s="66">
        <v>-8</v>
      </c>
      <c r="CT166" s="66">
        <v>-8</v>
      </c>
      <c r="CU166" s="66">
        <v>-8</v>
      </c>
      <c r="CV166" s="66">
        <v>-8</v>
      </c>
      <c r="CW166" s="66">
        <v>21.147550790500006</v>
      </c>
      <c r="CX166" s="66">
        <v>28.93527920799999</v>
      </c>
      <c r="CY166" s="66">
        <v>27.34227079299999</v>
      </c>
      <c r="CZ166" s="66">
        <v>21.369258534100005</v>
      </c>
      <c r="DA166" s="66">
        <v>27.027684466900006</v>
      </c>
      <c r="DB166" s="66">
        <v>31.062292564000003</v>
      </c>
      <c r="DC166" s="66">
        <v>22.077725103400002</v>
      </c>
      <c r="DD166" s="66">
        <v>32.729266104700002</v>
      </c>
      <c r="DE166" s="66">
        <v>30.198728143599993</v>
      </c>
      <c r="DF166" s="66">
        <v>27.331838370399993</v>
      </c>
      <c r="DG166" s="66">
        <v>23.499836926599997</v>
      </c>
      <c r="DH166" s="66">
        <v>40.804561624300007</v>
      </c>
      <c r="DI166" s="66">
        <v>66.287067259300017</v>
      </c>
      <c r="DJ166" s="66">
        <v>59.39127344740001</v>
      </c>
      <c r="DK166" s="66">
        <v>59.664355243300008</v>
      </c>
      <c r="DL166" s="66">
        <v>38.604446256700008</v>
      </c>
      <c r="DM166" s="66">
        <v>31.117719499899998</v>
      </c>
      <c r="DN166" s="66">
        <v>48.290425267000003</v>
      </c>
      <c r="DO166" s="66">
        <v>58.135104691600006</v>
      </c>
      <c r="DP166" s="79"/>
      <c r="DQ166" s="80"/>
      <c r="DR166" s="81"/>
      <c r="DS166" s="84">
        <f t="shared" si="20"/>
        <v>2021</v>
      </c>
      <c r="DT166" s="80"/>
      <c r="DU166" s="83">
        <f t="shared" si="25"/>
        <v>-96</v>
      </c>
      <c r="DV166" s="83">
        <f t="shared" si="25"/>
        <v>-96</v>
      </c>
      <c r="DW166" s="83">
        <f t="shared" si="25"/>
        <v>-96</v>
      </c>
      <c r="DX166" s="83">
        <f t="shared" si="25"/>
        <v>-96</v>
      </c>
      <c r="DY166" s="83">
        <f t="shared" si="25"/>
        <v>-96</v>
      </c>
      <c r="DZ166" s="83">
        <f t="shared" si="25"/>
        <v>-96</v>
      </c>
      <c r="EA166" s="83">
        <f t="shared" si="25"/>
        <v>-96</v>
      </c>
      <c r="EB166" s="83">
        <f t="shared" si="25"/>
        <v>-96</v>
      </c>
      <c r="EC166" s="83">
        <f t="shared" si="25"/>
        <v>284.72173100520001</v>
      </c>
      <c r="ED166" s="83">
        <f t="shared" si="25"/>
        <v>402.29495328950003</v>
      </c>
    </row>
    <row r="167" spans="2:134" x14ac:dyDescent="0.3">
      <c r="B167" s="45">
        <f t="shared" si="21"/>
        <v>1000000163</v>
      </c>
      <c r="C167" s="46">
        <v>42339</v>
      </c>
      <c r="D167" s="66">
        <v>-8</v>
      </c>
      <c r="E167" s="66">
        <v>-8</v>
      </c>
      <c r="F167" s="66">
        <v>-8</v>
      </c>
      <c r="G167" s="66">
        <v>-8</v>
      </c>
      <c r="H167" s="66">
        <v>-8</v>
      </c>
      <c r="I167" s="66">
        <v>-8</v>
      </c>
      <c r="J167" s="66">
        <v>-8</v>
      </c>
      <c r="K167" s="66">
        <v>-8</v>
      </c>
      <c r="L167" s="66">
        <v>-8</v>
      </c>
      <c r="M167" s="66">
        <v>-8</v>
      </c>
      <c r="N167" s="66">
        <v>-8</v>
      </c>
      <c r="O167" s="66">
        <v>-8</v>
      </c>
      <c r="P167" s="66">
        <v>-8</v>
      </c>
      <c r="Q167" s="66">
        <v>-8</v>
      </c>
      <c r="R167" s="66">
        <v>-8</v>
      </c>
      <c r="S167" s="66">
        <v>-8</v>
      </c>
      <c r="T167" s="66">
        <v>-8</v>
      </c>
      <c r="U167" s="66">
        <v>-8</v>
      </c>
      <c r="V167" s="66">
        <v>-8</v>
      </c>
      <c r="W167" s="66">
        <v>-8</v>
      </c>
      <c r="X167" s="66">
        <v>-8</v>
      </c>
      <c r="Y167" s="66">
        <v>-8</v>
      </c>
      <c r="Z167" s="66">
        <v>-8</v>
      </c>
      <c r="AA167" s="66">
        <v>-1.2639573500000001</v>
      </c>
      <c r="AB167" s="66">
        <v>11.2759271953</v>
      </c>
      <c r="AC167" s="66">
        <v>35.316169169199995</v>
      </c>
      <c r="AD167" s="66">
        <v>22.803078687699998</v>
      </c>
      <c r="AE167" s="66">
        <v>26.278538954799998</v>
      </c>
      <c r="AF167" s="66">
        <v>18.279797903200002</v>
      </c>
      <c r="AG167" s="66">
        <v>25.250007161200003</v>
      </c>
      <c r="AH167" s="66">
        <v>32.570453110300001</v>
      </c>
      <c r="AI167" s="66">
        <v>45.376852279000005</v>
      </c>
      <c r="AJ167" s="66">
        <v>36.493119061299993</v>
      </c>
      <c r="AK167" s="66">
        <v>36.988696661500008</v>
      </c>
      <c r="AL167" s="66">
        <v>36.070080572200006</v>
      </c>
      <c r="AM167" s="66">
        <v>53.3820854497</v>
      </c>
      <c r="AN167" s="66">
        <v>36.985544418700002</v>
      </c>
      <c r="AO167" s="66">
        <v>73.057634473300013</v>
      </c>
      <c r="AP167" s="66">
        <v>87.770239895200007</v>
      </c>
      <c r="AQ167" s="66">
        <v>68.439898984899997</v>
      </c>
      <c r="AR167" s="66">
        <v>35.343638713600001</v>
      </c>
      <c r="AS167" s="66">
        <v>53.276110048900001</v>
      </c>
      <c r="AT167" s="66">
        <v>43.949299084300016</v>
      </c>
      <c r="AU167" s="66">
        <v>56.919840038800018</v>
      </c>
      <c r="AV167" s="66">
        <v>54.290606856700002</v>
      </c>
      <c r="AW167" s="66">
        <v>48.642200552800006</v>
      </c>
      <c r="AX167" s="66">
        <v>49.420204097199999</v>
      </c>
      <c r="AY167" s="66">
        <v>43.621578413199998</v>
      </c>
      <c r="AZ167" s="66">
        <v>42.745067281300003</v>
      </c>
      <c r="BA167" s="66">
        <v>110.3913721819</v>
      </c>
      <c r="BB167" s="66">
        <v>91.679321180800017</v>
      </c>
      <c r="BC167" s="66">
        <v>77.011935432400008</v>
      </c>
      <c r="BD167" s="66">
        <v>67.30028815930001</v>
      </c>
      <c r="BE167" s="66">
        <v>68.031383328700002</v>
      </c>
      <c r="BF167" s="66">
        <v>53.561538129100008</v>
      </c>
      <c r="BG167" s="66">
        <v>66.218205764800004</v>
      </c>
      <c r="BH167" s="66">
        <v>64.442442320799984</v>
      </c>
      <c r="BI167" s="66">
        <v>57.048331459600007</v>
      </c>
      <c r="BJ167" s="66">
        <v>37.116287441500006</v>
      </c>
      <c r="BK167" s="66">
        <v>52.828866838300002</v>
      </c>
      <c r="BL167" s="66">
        <v>52.79351668690002</v>
      </c>
      <c r="BM167" s="66">
        <v>85.927603871800002</v>
      </c>
      <c r="BN167" s="66">
        <v>80.597536564000009</v>
      </c>
      <c r="BO167" s="66">
        <v>85.907189346999999</v>
      </c>
      <c r="BP167" s="66">
        <v>63.9296024386</v>
      </c>
      <c r="BQ167" s="66">
        <v>83.807833168900004</v>
      </c>
      <c r="BR167" s="66">
        <v>71.980205389599988</v>
      </c>
      <c r="BS167" s="66">
        <v>69.968436529300007</v>
      </c>
      <c r="BT167" s="66">
        <v>56.238392693500003</v>
      </c>
      <c r="BU167" s="66">
        <v>74.526692198200024</v>
      </c>
      <c r="BV167" s="66">
        <v>53.786060375200009</v>
      </c>
      <c r="BW167" s="66">
        <v>62.088354903099997</v>
      </c>
      <c r="BX167" s="66">
        <v>72.151064454700006</v>
      </c>
      <c r="BY167" s="66">
        <v>91.878850644700023</v>
      </c>
      <c r="BZ167" s="66">
        <v>59.028165098200006</v>
      </c>
      <c r="CA167" s="66">
        <v>27.804412103499999</v>
      </c>
      <c r="CB167" s="66">
        <v>3.2942232655000012</v>
      </c>
      <c r="CC167" s="66">
        <v>18.898050285699998</v>
      </c>
      <c r="CD167" s="66">
        <v>9.9728500645000011</v>
      </c>
      <c r="CE167" s="66">
        <v>14.538123226300002</v>
      </c>
      <c r="CF167" s="66">
        <v>11.133250681899998</v>
      </c>
      <c r="CG167" s="66">
        <v>31.443451255900008</v>
      </c>
      <c r="CH167" s="66">
        <v>26.771189472400003</v>
      </c>
      <c r="CI167" s="66">
        <v>46.35299679940001</v>
      </c>
      <c r="CJ167" s="66">
        <v>41.340030106600004</v>
      </c>
      <c r="CK167" s="66">
        <v>67.149655985500004</v>
      </c>
      <c r="CL167" s="66">
        <v>91.824061662700018</v>
      </c>
      <c r="CM167" s="66">
        <v>72.202926354100001</v>
      </c>
      <c r="CN167" s="66">
        <v>62.092107573099995</v>
      </c>
      <c r="CO167" s="66">
        <v>53.657568954399999</v>
      </c>
      <c r="CP167" s="66">
        <v>65.371153092400007</v>
      </c>
      <c r="CQ167" s="66">
        <v>43.601464102000001</v>
      </c>
      <c r="CR167" s="66">
        <v>13.051390425699999</v>
      </c>
      <c r="CS167" s="66">
        <v>44.267900767300006</v>
      </c>
      <c r="CT167" s="66">
        <v>36.511131877300002</v>
      </c>
      <c r="CU167" s="66">
        <v>59.315582093500012</v>
      </c>
      <c r="CV167" s="66">
        <v>54.341305428400005</v>
      </c>
      <c r="CW167" s="66">
        <v>88.835848068399997</v>
      </c>
      <c r="CX167" s="66">
        <v>75.7165888018</v>
      </c>
      <c r="CY167" s="66">
        <v>55.785032630799996</v>
      </c>
      <c r="CZ167" s="66">
        <v>27.170811300699995</v>
      </c>
      <c r="DA167" s="66">
        <v>28.208649715900002</v>
      </c>
      <c r="DB167" s="66">
        <v>30.747443551000003</v>
      </c>
      <c r="DC167" s="66">
        <v>39.877389447399992</v>
      </c>
      <c r="DD167" s="66">
        <v>13.645888407100003</v>
      </c>
      <c r="DE167" s="66">
        <v>31.219829650600005</v>
      </c>
      <c r="DF167" s="66">
        <v>36.111172308700006</v>
      </c>
      <c r="DG167" s="66">
        <v>42.334149916299999</v>
      </c>
      <c r="DH167" s="66">
        <v>45.161411494300005</v>
      </c>
      <c r="DI167" s="66">
        <v>51.078283810000009</v>
      </c>
      <c r="DJ167" s="66">
        <v>70.271014311400009</v>
      </c>
      <c r="DK167" s="66">
        <v>38.051865599200006</v>
      </c>
      <c r="DL167" s="66">
        <v>33.826696919500016</v>
      </c>
      <c r="DM167" s="66">
        <v>43.596022730500003</v>
      </c>
      <c r="DN167" s="66">
        <v>49.907826037000007</v>
      </c>
      <c r="DO167" s="66">
        <v>41.430844720600007</v>
      </c>
      <c r="DP167" s="79"/>
      <c r="DQ167" s="80"/>
      <c r="DR167" s="81"/>
      <c r="DS167" s="84">
        <f t="shared" si="20"/>
        <v>2015</v>
      </c>
      <c r="DT167" s="80"/>
      <c r="DU167" s="83">
        <f t="shared" si="25"/>
        <v>-96</v>
      </c>
      <c r="DV167" s="83">
        <f t="shared" si="25"/>
        <v>-89.263957349999998</v>
      </c>
      <c r="DW167" s="83">
        <f t="shared" si="25"/>
        <v>380.08480620540001</v>
      </c>
      <c r="DX167" s="83">
        <f t="shared" si="25"/>
        <v>651.71679557760012</v>
      </c>
      <c r="DY167" s="83">
        <f t="shared" si="25"/>
        <v>788.37503951849999</v>
      </c>
      <c r="DZ167" s="83">
        <f t="shared" si="25"/>
        <v>841.55142416610011</v>
      </c>
      <c r="EA167" s="83">
        <f t="shared" si="25"/>
        <v>413.26662735270003</v>
      </c>
      <c r="EB167" s="83">
        <f t="shared" si="25"/>
        <v>650.38497299460005</v>
      </c>
      <c r="EC167" s="83">
        <f t="shared" si="25"/>
        <v>523.99410922710001</v>
      </c>
      <c r="ED167" s="83">
        <f t="shared" si="25"/>
        <v>373.32396562250005</v>
      </c>
    </row>
    <row r="168" spans="2:134" x14ac:dyDescent="0.3">
      <c r="B168" s="45">
        <f t="shared" si="21"/>
        <v>1000000164</v>
      </c>
      <c r="C168" s="46">
        <v>39479</v>
      </c>
      <c r="D168" s="66">
        <v>21.719645331999999</v>
      </c>
      <c r="E168" s="66">
        <v>55.936340285200011</v>
      </c>
      <c r="F168" s="66">
        <v>42.0697743148</v>
      </c>
      <c r="G168" s="66">
        <v>29.177851796800006</v>
      </c>
      <c r="H168" s="66">
        <v>19.540432336299997</v>
      </c>
      <c r="I168" s="66">
        <v>17.083296600400001</v>
      </c>
      <c r="J168" s="66">
        <v>17.760090634899996</v>
      </c>
      <c r="K168" s="66">
        <v>21.833313706299993</v>
      </c>
      <c r="L168" s="66">
        <v>22.644453326800004</v>
      </c>
      <c r="M168" s="66">
        <v>23.206002865600002</v>
      </c>
      <c r="N168" s="66">
        <v>9.2952679692999993</v>
      </c>
      <c r="O168" s="66">
        <v>10.515411093100003</v>
      </c>
      <c r="P168" s="66">
        <v>18.248500635399999</v>
      </c>
      <c r="Q168" s="66">
        <v>32.797677278800002</v>
      </c>
      <c r="R168" s="66">
        <v>16.951127563</v>
      </c>
      <c r="S168" s="66">
        <v>14.686015951000002</v>
      </c>
      <c r="T168" s="66">
        <v>10.589301165400002</v>
      </c>
      <c r="U168" s="66">
        <v>11.409559774000002</v>
      </c>
      <c r="V168" s="66">
        <v>12.331928533300001</v>
      </c>
      <c r="W168" s="66">
        <v>2.9006057091999988</v>
      </c>
      <c r="X168" s="66">
        <v>6.2881409181999999</v>
      </c>
      <c r="Y168" s="66">
        <v>12.818049405100005</v>
      </c>
      <c r="Z168" s="66">
        <v>4.5658154950000007</v>
      </c>
      <c r="AA168" s="66">
        <v>6.3097938240999998</v>
      </c>
      <c r="AB168" s="66">
        <v>5.6378782606000009</v>
      </c>
      <c r="AC168" s="66">
        <v>1.8053889696999992</v>
      </c>
      <c r="AD168" s="66">
        <v>2.6889551212000011</v>
      </c>
      <c r="AE168" s="66">
        <v>2.0772699112000019</v>
      </c>
      <c r="AF168" s="66">
        <v>1.6712310172000002</v>
      </c>
      <c r="AG168" s="66">
        <v>1.9467520486000005</v>
      </c>
      <c r="AH168" s="66">
        <v>3.8978027083000004</v>
      </c>
      <c r="AI168" s="66">
        <v>0.58265650360000087</v>
      </c>
      <c r="AJ168" s="66">
        <v>-1.8176262818</v>
      </c>
      <c r="AK168" s="66">
        <v>-3.2464178575999991</v>
      </c>
      <c r="AL168" s="66">
        <v>-1.8919291477999991</v>
      </c>
      <c r="AM168" s="66">
        <v>4.9122995161000027</v>
      </c>
      <c r="AN168" s="66">
        <v>17.169120163299997</v>
      </c>
      <c r="AO168" s="66">
        <v>31.4042358544</v>
      </c>
      <c r="AP168" s="66">
        <v>44.505369724900007</v>
      </c>
      <c r="AQ168" s="66">
        <v>36.634407086800003</v>
      </c>
      <c r="AR168" s="66">
        <v>22.3794022447</v>
      </c>
      <c r="AS168" s="66">
        <v>27.827903817700005</v>
      </c>
      <c r="AT168" s="66">
        <v>28.265089872700003</v>
      </c>
      <c r="AU168" s="66">
        <v>33.099804740499998</v>
      </c>
      <c r="AV168" s="66">
        <v>26.490076962699995</v>
      </c>
      <c r="AW168" s="66">
        <v>30.075340354000005</v>
      </c>
      <c r="AX168" s="66">
        <v>39.219096076</v>
      </c>
      <c r="AY168" s="66">
        <v>35.005110352900012</v>
      </c>
      <c r="AZ168" s="66">
        <v>24.846219869200006</v>
      </c>
      <c r="BA168" s="66">
        <v>45.188918565400002</v>
      </c>
      <c r="BB168" s="66">
        <v>40.655655678700008</v>
      </c>
      <c r="BC168" s="66">
        <v>48.902260583800008</v>
      </c>
      <c r="BD168" s="66">
        <v>46.474508254000007</v>
      </c>
      <c r="BE168" s="66">
        <v>41.930587784500005</v>
      </c>
      <c r="BF168" s="66">
        <v>26.873937577000007</v>
      </c>
      <c r="BG168" s="66">
        <v>35.895056043400004</v>
      </c>
      <c r="BH168" s="66">
        <v>28.80994003</v>
      </c>
      <c r="BI168" s="66">
        <v>38.522337837100004</v>
      </c>
      <c r="BJ168" s="66">
        <v>26.7561787924</v>
      </c>
      <c r="BK168" s="66">
        <v>36.228705933100002</v>
      </c>
      <c r="BL168" s="66">
        <v>25.466949013899999</v>
      </c>
      <c r="BM168" s="66">
        <v>54.879663466600007</v>
      </c>
      <c r="BN168" s="66">
        <v>62.156128123299993</v>
      </c>
      <c r="BO168" s="66">
        <v>52.223936434300008</v>
      </c>
      <c r="BP168" s="66">
        <v>50.545817463700011</v>
      </c>
      <c r="BQ168" s="66">
        <v>36.742071189100002</v>
      </c>
      <c r="BR168" s="66">
        <v>46.268561724399994</v>
      </c>
      <c r="BS168" s="66">
        <v>38.381387551899998</v>
      </c>
      <c r="BT168" s="66">
        <v>33.883287183100002</v>
      </c>
      <c r="BU168" s="66">
        <v>29.353514279499997</v>
      </c>
      <c r="BV168" s="66">
        <v>32.043353082099998</v>
      </c>
      <c r="BW168" s="66">
        <v>47.983419334299995</v>
      </c>
      <c r="BX168" s="66">
        <v>48.204714284199994</v>
      </c>
      <c r="BY168" s="66">
        <v>54.367874332</v>
      </c>
      <c r="BZ168" s="66">
        <v>55.698608640700002</v>
      </c>
      <c r="CA168" s="66">
        <v>54.76130425480001</v>
      </c>
      <c r="CB168" s="66">
        <v>55.867065996999997</v>
      </c>
      <c r="CC168" s="66">
        <v>69.894846670600003</v>
      </c>
      <c r="CD168" s="66">
        <v>43.247324634099996</v>
      </c>
      <c r="CE168" s="66">
        <v>42.064407996700005</v>
      </c>
      <c r="CF168" s="66">
        <v>30.594447195100003</v>
      </c>
      <c r="CG168" s="66">
        <v>43.76042720320001</v>
      </c>
      <c r="CH168" s="66">
        <v>38.953519620099996</v>
      </c>
      <c r="CI168" s="66">
        <v>42.2198060614</v>
      </c>
      <c r="CJ168" s="66">
        <v>37.069904440300007</v>
      </c>
      <c r="CK168" s="66">
        <v>66.46096598710001</v>
      </c>
      <c r="CL168" s="66">
        <v>62.877166137100019</v>
      </c>
      <c r="CM168" s="66">
        <v>100.30040502520001</v>
      </c>
      <c r="CN168" s="66">
        <v>81.661456035699999</v>
      </c>
      <c r="CO168" s="66">
        <v>55.072963498300005</v>
      </c>
      <c r="CP168" s="66">
        <v>54.310458480999998</v>
      </c>
      <c r="CQ168" s="66">
        <v>69.51001036209999</v>
      </c>
      <c r="CR168" s="66">
        <v>41.311847554900005</v>
      </c>
      <c r="CS168" s="66">
        <v>43.334349051400004</v>
      </c>
      <c r="CT168" s="66">
        <v>37.863819305500002</v>
      </c>
      <c r="CU168" s="66">
        <v>44.355788298699999</v>
      </c>
      <c r="CV168" s="66">
        <v>34.426598745699998</v>
      </c>
      <c r="CW168" s="66">
        <v>47.655661136500001</v>
      </c>
      <c r="CX168" s="66">
        <v>51.165533387499998</v>
      </c>
      <c r="CY168" s="66">
        <v>53.35187645620001</v>
      </c>
      <c r="CZ168" s="66">
        <v>43.608931915299998</v>
      </c>
      <c r="DA168" s="66">
        <v>39.000015201399997</v>
      </c>
      <c r="DB168" s="66">
        <v>28.84401427360001</v>
      </c>
      <c r="DC168" s="66">
        <v>41.275709342799999</v>
      </c>
      <c r="DD168" s="66">
        <v>30.814803977499992</v>
      </c>
      <c r="DE168" s="66">
        <v>27.565779818199999</v>
      </c>
      <c r="DF168" s="66">
        <v>33.1498278316</v>
      </c>
      <c r="DG168" s="66">
        <v>33.161010788199988</v>
      </c>
      <c r="DH168" s="66">
        <v>35.496897756400003</v>
      </c>
      <c r="DI168" s="66">
        <v>55.418621932000001</v>
      </c>
      <c r="DJ168" s="66">
        <v>49.807479641200004</v>
      </c>
      <c r="DK168" s="66">
        <v>38.323371273700005</v>
      </c>
      <c r="DL168" s="66">
        <v>38.612026650099999</v>
      </c>
      <c r="DM168" s="66">
        <v>55.197214402</v>
      </c>
      <c r="DN168" s="66">
        <v>44.971864132600004</v>
      </c>
      <c r="DO168" s="66">
        <v>47.509457113300009</v>
      </c>
      <c r="DP168" s="79"/>
      <c r="DQ168" s="80"/>
      <c r="DR168" s="81"/>
      <c r="DS168" s="84">
        <f t="shared" si="20"/>
        <v>2008</v>
      </c>
      <c r="DT168" s="80"/>
      <c r="DU168" s="83">
        <f t="shared" si="25"/>
        <v>290.78188026150002</v>
      </c>
      <c r="DV168" s="83">
        <f t="shared" si="25"/>
        <v>149.89651625250002</v>
      </c>
      <c r="DW168" s="83">
        <f t="shared" si="25"/>
        <v>18.264260769300009</v>
      </c>
      <c r="DX168" s="83">
        <f t="shared" si="25"/>
        <v>372.07495725060005</v>
      </c>
      <c r="DY168" s="83">
        <f t="shared" si="25"/>
        <v>441.0843069486001</v>
      </c>
      <c r="DZ168" s="83">
        <f t="shared" si="25"/>
        <v>509.92808884620001</v>
      </c>
      <c r="EA168" s="83">
        <f t="shared" si="25"/>
        <v>579.63434688990014</v>
      </c>
      <c r="EB168" s="83">
        <f t="shared" si="25"/>
        <v>694.12913417729999</v>
      </c>
      <c r="EC168" s="83">
        <f t="shared" si="25"/>
        <v>464.01976287449997</v>
      </c>
      <c r="ED168" s="83">
        <f t="shared" si="25"/>
        <v>365.33693290129997</v>
      </c>
    </row>
    <row r="169" spans="2:134" x14ac:dyDescent="0.3">
      <c r="B169" s="45">
        <f t="shared" si="21"/>
        <v>1000000165</v>
      </c>
      <c r="C169" s="46">
        <v>41609</v>
      </c>
      <c r="D169" s="66">
        <v>1.441229872900001</v>
      </c>
      <c r="E169" s="66">
        <v>4.5201079744000001</v>
      </c>
      <c r="F169" s="66">
        <v>7.8400200700000013</v>
      </c>
      <c r="G169" s="66">
        <v>8.7426122584000012</v>
      </c>
      <c r="H169" s="66">
        <v>9.3811290589000009</v>
      </c>
      <c r="I169" s="66">
        <v>6.7317065121999988</v>
      </c>
      <c r="J169" s="66">
        <v>6.2673511264000012</v>
      </c>
      <c r="K169" s="66">
        <v>2.1675216246999991</v>
      </c>
      <c r="L169" s="66">
        <v>5.6334876367000017</v>
      </c>
      <c r="M169" s="66">
        <v>8.3665571977000006</v>
      </c>
      <c r="N169" s="66">
        <v>5.6642595307000008</v>
      </c>
      <c r="O169" s="66">
        <v>15.0141869425</v>
      </c>
      <c r="P169" s="66">
        <v>10.219175323300004</v>
      </c>
      <c r="Q169" s="66">
        <v>37.194080290599999</v>
      </c>
      <c r="R169" s="66">
        <v>13.283793278799997</v>
      </c>
      <c r="S169" s="66">
        <v>10.769504378799997</v>
      </c>
      <c r="T169" s="66">
        <v>11.462359840900003</v>
      </c>
      <c r="U169" s="66">
        <v>7.7572736965000004</v>
      </c>
      <c r="V169" s="66">
        <v>12.780785392000002</v>
      </c>
      <c r="W169" s="66">
        <v>5.6695132686999994</v>
      </c>
      <c r="X169" s="66">
        <v>3.653991738400002</v>
      </c>
      <c r="Y169" s="66">
        <v>4.127578692400002</v>
      </c>
      <c r="Z169" s="66">
        <v>4.4750008810000015</v>
      </c>
      <c r="AA169" s="66">
        <v>13.321057291900001</v>
      </c>
      <c r="AB169" s="66">
        <v>9.633758803300001</v>
      </c>
      <c r="AC169" s="66">
        <v>12.856439219200002</v>
      </c>
      <c r="AD169" s="66">
        <v>22.904663464599999</v>
      </c>
      <c r="AE169" s="66">
        <v>10.151777370100003</v>
      </c>
      <c r="AF169" s="66">
        <v>15.518921057500002</v>
      </c>
      <c r="AG169" s="66">
        <v>22.131313231000004</v>
      </c>
      <c r="AH169" s="66">
        <v>16.325782634200003</v>
      </c>
      <c r="AI169" s="66">
        <v>14.882092958499999</v>
      </c>
      <c r="AJ169" s="66">
        <v>13.569596625999999</v>
      </c>
      <c r="AK169" s="66">
        <v>9.1971356487999998</v>
      </c>
      <c r="AL169" s="66">
        <v>7.7243627806000035</v>
      </c>
      <c r="AM169" s="66">
        <v>12.029463331299997</v>
      </c>
      <c r="AN169" s="66">
        <v>13.0611848944</v>
      </c>
      <c r="AO169" s="66">
        <v>19.720560496299999</v>
      </c>
      <c r="AP169" s="66">
        <v>31.019174385700005</v>
      </c>
      <c r="AQ169" s="66">
        <v>19.648471705599999</v>
      </c>
      <c r="AR169" s="66">
        <v>18.242984210500001</v>
      </c>
      <c r="AS169" s="66">
        <v>25.268170084000005</v>
      </c>
      <c r="AT169" s="66">
        <v>25.233232726299995</v>
      </c>
      <c r="AU169" s="66">
        <v>24.964166287300003</v>
      </c>
      <c r="AV169" s="66">
        <v>20.5808225671</v>
      </c>
      <c r="AW169" s="66">
        <v>24.313453309300009</v>
      </c>
      <c r="AX169" s="66">
        <v>14.050050966099999</v>
      </c>
      <c r="AY169" s="66">
        <v>24.735891371199997</v>
      </c>
      <c r="AZ169" s="66">
        <v>26.418851286100001</v>
      </c>
      <c r="BA169" s="66">
        <v>27.1603413514</v>
      </c>
      <c r="BB169" s="66">
        <v>35.112324134799998</v>
      </c>
      <c r="BC169" s="66">
        <v>19.988576187700005</v>
      </c>
      <c r="BD169" s="66">
        <v>21.992051647300006</v>
      </c>
      <c r="BE169" s="66">
        <v>27.021905355099996</v>
      </c>
      <c r="BF169" s="66">
        <v>28.221558900699996</v>
      </c>
      <c r="BG169" s="66">
        <v>29.1199480987</v>
      </c>
      <c r="BH169" s="66">
        <v>29.324093346699996</v>
      </c>
      <c r="BI169" s="66">
        <v>28.266665994100002</v>
      </c>
      <c r="BJ169" s="66">
        <v>16.284578317600001</v>
      </c>
      <c r="BK169" s="66">
        <v>29.298124870300001</v>
      </c>
      <c r="BL169" s="66">
        <v>30.88197677050001</v>
      </c>
      <c r="BM169" s="66">
        <v>24.827906839599997</v>
      </c>
      <c r="BN169" s="66">
        <v>32.730917279499998</v>
      </c>
      <c r="BO169" s="66">
        <v>28.168571200299994</v>
      </c>
      <c r="BP169" s="66">
        <v>31.225008335200009</v>
      </c>
      <c r="BQ169" s="66">
        <v>23.082089702200001</v>
      </c>
      <c r="BR169" s="66">
        <v>26.397648700600001</v>
      </c>
      <c r="BS169" s="66">
        <v>27.133885027899993</v>
      </c>
      <c r="BT169" s="66">
        <v>33.983821212399995</v>
      </c>
      <c r="BU169" s="66">
        <v>38.513519062600004</v>
      </c>
      <c r="BV169" s="66">
        <v>26.308710421599997</v>
      </c>
      <c r="BW169" s="66">
        <v>35.769416651800007</v>
      </c>
      <c r="BX169" s="66">
        <v>28.386601327299999</v>
      </c>
      <c r="BY169" s="66">
        <v>30.892746933400005</v>
      </c>
      <c r="BZ169" s="66">
        <v>29.750584292199996</v>
      </c>
      <c r="CA169" s="66">
        <v>29.118334450600003</v>
      </c>
      <c r="CB169" s="66">
        <v>33.888128127400009</v>
      </c>
      <c r="CC169" s="66">
        <v>38.155589398000011</v>
      </c>
      <c r="CD169" s="66">
        <v>42.317075267800014</v>
      </c>
      <c r="CE169" s="66">
        <v>32.230348628199998</v>
      </c>
      <c r="CF169" s="66">
        <v>36.018256199500001</v>
      </c>
      <c r="CG169" s="66">
        <v>35.934496605099994</v>
      </c>
      <c r="CH169" s="66">
        <v>32.828786913100004</v>
      </c>
      <c r="CI169" s="66">
        <v>34.218775881100001</v>
      </c>
      <c r="CJ169" s="66">
        <v>34.868625745000003</v>
      </c>
      <c r="CK169" s="66">
        <v>38.361273240699994</v>
      </c>
      <c r="CL169" s="66">
        <v>48.075172115800008</v>
      </c>
      <c r="CM169" s="66">
        <v>47.274690078100008</v>
      </c>
      <c r="CN169" s="66">
        <v>40.927611673600005</v>
      </c>
      <c r="CO169" s="66">
        <v>37.273036467400011</v>
      </c>
      <c r="CP169" s="66">
        <v>36.8321352691</v>
      </c>
      <c r="CQ169" s="66">
        <v>55.064820204399993</v>
      </c>
      <c r="CR169" s="66">
        <v>43.544085777700012</v>
      </c>
      <c r="CS169" s="66">
        <v>33.515262836200002</v>
      </c>
      <c r="CT169" s="66">
        <v>30.835668822700001</v>
      </c>
      <c r="CU169" s="66">
        <v>43.041978531699996</v>
      </c>
      <c r="CV169" s="66">
        <v>27.214342272700002</v>
      </c>
      <c r="CW169" s="66">
        <v>53.634414980500004</v>
      </c>
      <c r="CX169" s="66">
        <v>49.016904652300006</v>
      </c>
      <c r="CY169" s="66">
        <v>38.510441873200001</v>
      </c>
      <c r="CZ169" s="66">
        <v>35.815236752500006</v>
      </c>
      <c r="DA169" s="66">
        <v>31.050058859800004</v>
      </c>
      <c r="DB169" s="66">
        <v>33.660378585100005</v>
      </c>
      <c r="DC169" s="66">
        <v>40.825051202499999</v>
      </c>
      <c r="DD169" s="66">
        <v>41.454599121700014</v>
      </c>
      <c r="DE169" s="66">
        <v>34.727562879699995</v>
      </c>
      <c r="DF169" s="66">
        <v>36.78684054219999</v>
      </c>
      <c r="DG169" s="66">
        <v>41.761942794700005</v>
      </c>
      <c r="DH169" s="66">
        <v>27.565929924999999</v>
      </c>
      <c r="DI169" s="66">
        <v>44.927319939700013</v>
      </c>
      <c r="DJ169" s="66">
        <v>41.214653401900001</v>
      </c>
      <c r="DK169" s="66">
        <v>47.5943800354</v>
      </c>
      <c r="DL169" s="66">
        <v>36.673847648500001</v>
      </c>
      <c r="DM169" s="66">
        <v>40.665750361000001</v>
      </c>
      <c r="DN169" s="66">
        <v>47.1553926988</v>
      </c>
      <c r="DO169" s="66">
        <v>54.629060163999988</v>
      </c>
      <c r="DP169" s="79"/>
      <c r="DQ169" s="80"/>
      <c r="DR169" s="81"/>
      <c r="DS169" s="84">
        <f t="shared" si="20"/>
        <v>2013</v>
      </c>
      <c r="DT169" s="80"/>
      <c r="DU169" s="83">
        <f t="shared" si="25"/>
        <v>81.770169805500018</v>
      </c>
      <c r="DV169" s="83">
        <f t="shared" si="25"/>
        <v>134.71411407330001</v>
      </c>
      <c r="DW169" s="83">
        <f t="shared" si="25"/>
        <v>166.92530712510006</v>
      </c>
      <c r="DX169" s="83">
        <f t="shared" si="25"/>
        <v>260.83816300379999</v>
      </c>
      <c r="DY169" s="83">
        <f t="shared" si="25"/>
        <v>318.20901949049994</v>
      </c>
      <c r="DZ169" s="83">
        <f t="shared" si="25"/>
        <v>359.02347120419995</v>
      </c>
      <c r="EA169" s="83">
        <f t="shared" si="25"/>
        <v>403.73972402369998</v>
      </c>
      <c r="EB169" s="83">
        <f t="shared" si="25"/>
        <v>489.6143607624</v>
      </c>
      <c r="EC169" s="83">
        <f t="shared" si="25"/>
        <v>464.45777451689997</v>
      </c>
      <c r="ED169" s="83">
        <f t="shared" si="25"/>
        <v>340.42633417430005</v>
      </c>
    </row>
    <row r="170" spans="2:134" x14ac:dyDescent="0.3">
      <c r="B170" s="45">
        <f t="shared" si="21"/>
        <v>1000000166</v>
      </c>
      <c r="C170" s="46">
        <v>44105</v>
      </c>
      <c r="D170" s="66">
        <v>-8</v>
      </c>
      <c r="E170" s="66">
        <v>-8</v>
      </c>
      <c r="F170" s="66">
        <v>-8</v>
      </c>
      <c r="G170" s="66">
        <v>-8</v>
      </c>
      <c r="H170" s="66">
        <v>-8</v>
      </c>
      <c r="I170" s="66">
        <v>-8</v>
      </c>
      <c r="J170" s="66">
        <v>-8</v>
      </c>
      <c r="K170" s="66">
        <v>-8</v>
      </c>
      <c r="L170" s="66">
        <v>-8</v>
      </c>
      <c r="M170" s="66">
        <v>-8</v>
      </c>
      <c r="N170" s="66">
        <v>-8</v>
      </c>
      <c r="O170" s="66">
        <v>-8</v>
      </c>
      <c r="P170" s="66">
        <v>-8</v>
      </c>
      <c r="Q170" s="66">
        <v>-8</v>
      </c>
      <c r="R170" s="66">
        <v>-8</v>
      </c>
      <c r="S170" s="66">
        <v>-8</v>
      </c>
      <c r="T170" s="66">
        <v>-8</v>
      </c>
      <c r="U170" s="66">
        <v>-8</v>
      </c>
      <c r="V170" s="66">
        <v>-8</v>
      </c>
      <c r="W170" s="66">
        <v>-8</v>
      </c>
      <c r="X170" s="66">
        <v>-8</v>
      </c>
      <c r="Y170" s="66">
        <v>-8</v>
      </c>
      <c r="Z170" s="66">
        <v>-8</v>
      </c>
      <c r="AA170" s="66">
        <v>-8</v>
      </c>
      <c r="AB170" s="66">
        <v>-8</v>
      </c>
      <c r="AC170" s="66">
        <v>-8</v>
      </c>
      <c r="AD170" s="66">
        <v>-8</v>
      </c>
      <c r="AE170" s="66">
        <v>-8</v>
      </c>
      <c r="AF170" s="66">
        <v>-8</v>
      </c>
      <c r="AG170" s="66">
        <v>-8</v>
      </c>
      <c r="AH170" s="66">
        <v>-8</v>
      </c>
      <c r="AI170" s="66">
        <v>-8</v>
      </c>
      <c r="AJ170" s="66">
        <v>-8</v>
      </c>
      <c r="AK170" s="66">
        <v>-8</v>
      </c>
      <c r="AL170" s="66">
        <v>-8</v>
      </c>
      <c r="AM170" s="66">
        <v>-8</v>
      </c>
      <c r="AN170" s="66">
        <v>-8</v>
      </c>
      <c r="AO170" s="66">
        <v>-8</v>
      </c>
      <c r="AP170" s="66">
        <v>-8</v>
      </c>
      <c r="AQ170" s="66">
        <v>-8</v>
      </c>
      <c r="AR170" s="66">
        <v>-8</v>
      </c>
      <c r="AS170" s="66">
        <v>-8</v>
      </c>
      <c r="AT170" s="66">
        <v>-8</v>
      </c>
      <c r="AU170" s="66">
        <v>-8</v>
      </c>
      <c r="AV170" s="66">
        <v>-8</v>
      </c>
      <c r="AW170" s="66">
        <v>-8</v>
      </c>
      <c r="AX170" s="66">
        <v>-8</v>
      </c>
      <c r="AY170" s="66">
        <v>-8</v>
      </c>
      <c r="AZ170" s="66">
        <v>-8</v>
      </c>
      <c r="BA170" s="66">
        <v>-8</v>
      </c>
      <c r="BB170" s="66">
        <v>-8</v>
      </c>
      <c r="BC170" s="66">
        <v>-8</v>
      </c>
      <c r="BD170" s="66">
        <v>-8</v>
      </c>
      <c r="BE170" s="66">
        <v>-8</v>
      </c>
      <c r="BF170" s="66">
        <v>-8</v>
      </c>
      <c r="BG170" s="66">
        <v>-8</v>
      </c>
      <c r="BH170" s="66">
        <v>-8</v>
      </c>
      <c r="BI170" s="66">
        <v>-8</v>
      </c>
      <c r="BJ170" s="66">
        <v>-8</v>
      </c>
      <c r="BK170" s="66">
        <v>-8</v>
      </c>
      <c r="BL170" s="66">
        <v>-8</v>
      </c>
      <c r="BM170" s="66">
        <v>-8</v>
      </c>
      <c r="BN170" s="66">
        <v>-8</v>
      </c>
      <c r="BO170" s="66">
        <v>-8</v>
      </c>
      <c r="BP170" s="66">
        <v>-8</v>
      </c>
      <c r="BQ170" s="66">
        <v>-8</v>
      </c>
      <c r="BR170" s="66">
        <v>-8</v>
      </c>
      <c r="BS170" s="66">
        <v>-8</v>
      </c>
      <c r="BT170" s="66">
        <v>-8</v>
      </c>
      <c r="BU170" s="66">
        <v>-8</v>
      </c>
      <c r="BV170" s="66">
        <v>-8</v>
      </c>
      <c r="BW170" s="66">
        <v>-8</v>
      </c>
      <c r="BX170" s="66">
        <v>-8</v>
      </c>
      <c r="BY170" s="66">
        <v>-8</v>
      </c>
      <c r="BZ170" s="66">
        <v>-8</v>
      </c>
      <c r="CA170" s="66">
        <v>-8</v>
      </c>
      <c r="CB170" s="66">
        <v>-8</v>
      </c>
      <c r="CC170" s="66">
        <v>-8</v>
      </c>
      <c r="CD170" s="66">
        <v>-8</v>
      </c>
      <c r="CE170" s="66">
        <v>-8</v>
      </c>
      <c r="CF170" s="66">
        <v>-8</v>
      </c>
      <c r="CG170" s="66">
        <v>-8</v>
      </c>
      <c r="CH170" s="66">
        <v>-7.6103227471999997</v>
      </c>
      <c r="CI170" s="66">
        <v>-7.2076612561999998</v>
      </c>
      <c r="CJ170" s="66">
        <v>-1.8050548372999993</v>
      </c>
      <c r="CK170" s="66">
        <v>7.9768799448999985</v>
      </c>
      <c r="CL170" s="66">
        <v>17.921080177900006</v>
      </c>
      <c r="CM170" s="66">
        <v>35.848485408700007</v>
      </c>
      <c r="CN170" s="66">
        <v>43.086297564399999</v>
      </c>
      <c r="CO170" s="66">
        <v>32.977993072300009</v>
      </c>
      <c r="CP170" s="66">
        <v>39.172788128200004</v>
      </c>
      <c r="CQ170" s="66">
        <v>50.560377823300001</v>
      </c>
      <c r="CR170" s="66">
        <v>46.61181844930001</v>
      </c>
      <c r="CS170" s="66">
        <v>33.0106037746</v>
      </c>
      <c r="CT170" s="66">
        <v>34.67408733220001</v>
      </c>
      <c r="CU170" s="66">
        <v>27.446707599100002</v>
      </c>
      <c r="CV170" s="66">
        <v>30.882051823899992</v>
      </c>
      <c r="CW170" s="66">
        <v>35.756207253400007</v>
      </c>
      <c r="CX170" s="66">
        <v>34.817101585899998</v>
      </c>
      <c r="CY170" s="66">
        <v>41.884730157100009</v>
      </c>
      <c r="CZ170" s="66">
        <v>46.539654605199999</v>
      </c>
      <c r="DA170" s="66">
        <v>28.761793273900004</v>
      </c>
      <c r="DB170" s="66">
        <v>32.863649217400003</v>
      </c>
      <c r="DC170" s="66">
        <v>31.717171005700003</v>
      </c>
      <c r="DD170" s="66">
        <v>36.466174890700003</v>
      </c>
      <c r="DE170" s="66">
        <v>34.565184848800001</v>
      </c>
      <c r="DF170" s="66">
        <v>34.712777359899995</v>
      </c>
      <c r="DG170" s="66">
        <v>36.103967182300003</v>
      </c>
      <c r="DH170" s="66">
        <v>42.942720410199996</v>
      </c>
      <c r="DI170" s="66">
        <v>56.369998830400007</v>
      </c>
      <c r="DJ170" s="66">
        <v>41.473099784799992</v>
      </c>
      <c r="DK170" s="66">
        <v>41.2105629916</v>
      </c>
      <c r="DL170" s="66">
        <v>45.952962177400011</v>
      </c>
      <c r="DM170" s="66">
        <v>18.128640355600005</v>
      </c>
      <c r="DN170" s="66">
        <v>45.021849697000007</v>
      </c>
      <c r="DO170" s="66">
        <v>43.299149006799993</v>
      </c>
      <c r="DP170" s="79"/>
      <c r="DQ170" s="80"/>
      <c r="DR170" s="81"/>
      <c r="DS170" s="84">
        <f t="shared" si="20"/>
        <v>2020</v>
      </c>
      <c r="DT170" s="80"/>
      <c r="DU170" s="83">
        <f t="shared" si="25"/>
        <v>-96</v>
      </c>
      <c r="DV170" s="83">
        <f t="shared" si="25"/>
        <v>-96</v>
      </c>
      <c r="DW170" s="83">
        <f t="shared" si="25"/>
        <v>-96</v>
      </c>
      <c r="DX170" s="83">
        <f t="shared" si="25"/>
        <v>-96</v>
      </c>
      <c r="DY170" s="83">
        <f t="shared" si="25"/>
        <v>-96</v>
      </c>
      <c r="DZ170" s="83">
        <f t="shared" si="25"/>
        <v>-96</v>
      </c>
      <c r="EA170" s="83">
        <f t="shared" si="25"/>
        <v>-94.817984003399999</v>
      </c>
      <c r="EB170" s="83">
        <f t="shared" si="25"/>
        <v>367.48206443760006</v>
      </c>
      <c r="EC170" s="83">
        <f t="shared" si="25"/>
        <v>425.0704632042</v>
      </c>
      <c r="ED170" s="83">
        <f t="shared" si="25"/>
        <v>334.3989832538</v>
      </c>
    </row>
    <row r="171" spans="2:134" x14ac:dyDescent="0.3">
      <c r="B171" s="45">
        <f t="shared" si="21"/>
        <v>1000000167</v>
      </c>
      <c r="C171" s="46">
        <v>41640</v>
      </c>
      <c r="D171" s="66">
        <v>-7.624733</v>
      </c>
      <c r="E171" s="66">
        <v>22.839742273599995</v>
      </c>
      <c r="F171" s="66">
        <v>25.088492244400001</v>
      </c>
      <c r="G171" s="66">
        <v>26.199207510999997</v>
      </c>
      <c r="H171" s="66">
        <v>13.466998628200002</v>
      </c>
      <c r="I171" s="66">
        <v>9.1339782127000007</v>
      </c>
      <c r="J171" s="66">
        <v>12.506840482000005</v>
      </c>
      <c r="K171" s="66">
        <v>19.979457199600002</v>
      </c>
      <c r="L171" s="66">
        <v>19.155408394300004</v>
      </c>
      <c r="M171" s="66">
        <v>23.828683398700001</v>
      </c>
      <c r="N171" s="66">
        <v>14.334465825400002</v>
      </c>
      <c r="O171" s="66">
        <v>14.410494919600001</v>
      </c>
      <c r="P171" s="66">
        <v>21.078876929500005</v>
      </c>
      <c r="Q171" s="66">
        <v>103.9469495176</v>
      </c>
      <c r="R171" s="66">
        <v>46.2165497182</v>
      </c>
      <c r="S171" s="66">
        <v>49.733251828600004</v>
      </c>
      <c r="T171" s="66">
        <v>26.4980701498</v>
      </c>
      <c r="U171" s="66">
        <v>37.145558267500007</v>
      </c>
      <c r="V171" s="66">
        <v>42.104711672500002</v>
      </c>
      <c r="W171" s="66">
        <v>37.833122464900008</v>
      </c>
      <c r="X171" s="66">
        <v>31.998996522700004</v>
      </c>
      <c r="Y171" s="66">
        <v>36.612153753700007</v>
      </c>
      <c r="Z171" s="66">
        <v>26.240862148000005</v>
      </c>
      <c r="AA171" s="66">
        <v>33.768267847600001</v>
      </c>
      <c r="AB171" s="66">
        <v>49.197820873000005</v>
      </c>
      <c r="AC171" s="66">
        <v>83.306063663199993</v>
      </c>
      <c r="AD171" s="66">
        <v>46.593280259500013</v>
      </c>
      <c r="AE171" s="66">
        <v>58.0723600492</v>
      </c>
      <c r="AF171" s="66">
        <v>44.233226096500005</v>
      </c>
      <c r="AG171" s="66">
        <v>46.213097261800002</v>
      </c>
      <c r="AH171" s="66">
        <v>44.678855659000007</v>
      </c>
      <c r="AI171" s="66">
        <v>44.093063871999995</v>
      </c>
      <c r="AJ171" s="66">
        <v>43.770634465600004</v>
      </c>
      <c r="AK171" s="66">
        <v>40.997036068600003</v>
      </c>
      <c r="AL171" s="66">
        <v>41.957719588600007</v>
      </c>
      <c r="AM171" s="66">
        <v>48.860230679800004</v>
      </c>
      <c r="AN171" s="66">
        <v>44.992879084600006</v>
      </c>
      <c r="AO171" s="66">
        <v>75.627612996100012</v>
      </c>
      <c r="AP171" s="66">
        <v>66.116958728200004</v>
      </c>
      <c r="AQ171" s="66">
        <v>54.885817845399998</v>
      </c>
      <c r="AR171" s="66">
        <v>44.823033240400001</v>
      </c>
      <c r="AS171" s="66">
        <v>39.541563009100003</v>
      </c>
      <c r="AT171" s="66">
        <v>38.479257185500011</v>
      </c>
      <c r="AU171" s="66">
        <v>41.1650431045</v>
      </c>
      <c r="AV171" s="66">
        <v>43.129903589799994</v>
      </c>
      <c r="AW171" s="66">
        <v>38.880830402199997</v>
      </c>
      <c r="AX171" s="66">
        <v>35.667606714699993</v>
      </c>
      <c r="AY171" s="66">
        <v>35.005222933000006</v>
      </c>
      <c r="AZ171" s="66">
        <v>43.466480562100003</v>
      </c>
      <c r="BA171" s="66">
        <v>61.976637917199994</v>
      </c>
      <c r="BB171" s="66">
        <v>58.517464237900001</v>
      </c>
      <c r="BC171" s="66">
        <v>48.33905987020001</v>
      </c>
      <c r="BD171" s="66">
        <v>37.024797346900002</v>
      </c>
      <c r="BE171" s="66">
        <v>32.153043626200002</v>
      </c>
      <c r="BF171" s="66">
        <v>35.924364396100003</v>
      </c>
      <c r="BG171" s="66">
        <v>35.606700880599995</v>
      </c>
      <c r="BH171" s="66">
        <v>33.104608158100007</v>
      </c>
      <c r="BI171" s="66">
        <v>29.364359495800002</v>
      </c>
      <c r="BJ171" s="66">
        <v>35.832198820900004</v>
      </c>
      <c r="BK171" s="66">
        <v>32.114578758699999</v>
      </c>
      <c r="BL171" s="66">
        <v>34.808995818700005</v>
      </c>
      <c r="BM171" s="66">
        <v>57.910619972199996</v>
      </c>
      <c r="BN171" s="66">
        <v>54.593222165500009</v>
      </c>
      <c r="BO171" s="66">
        <v>45.3320078725</v>
      </c>
      <c r="BP171" s="66">
        <v>42.279135774099998</v>
      </c>
      <c r="BQ171" s="66">
        <v>40.509826922499997</v>
      </c>
      <c r="BR171" s="66">
        <v>39.661986189400004</v>
      </c>
      <c r="BS171" s="66">
        <v>34.036020852100009</v>
      </c>
      <c r="BT171" s="66">
        <v>41.641519614400003</v>
      </c>
      <c r="BU171" s="66">
        <v>33.0613773997</v>
      </c>
      <c r="BV171" s="66">
        <v>36.457168482699998</v>
      </c>
      <c r="BW171" s="66">
        <v>33.808158729700004</v>
      </c>
      <c r="BX171" s="66">
        <v>45.792648115000013</v>
      </c>
      <c r="BY171" s="66">
        <v>57.039062364700001</v>
      </c>
      <c r="BZ171" s="66">
        <v>45.763152128799995</v>
      </c>
      <c r="CA171" s="66">
        <v>51.497231888799995</v>
      </c>
      <c r="CB171" s="66">
        <v>41.138361620799998</v>
      </c>
      <c r="CC171" s="66">
        <v>43.409740191700003</v>
      </c>
      <c r="CD171" s="66">
        <v>38.083050286900011</v>
      </c>
      <c r="CE171" s="66">
        <v>38.786675911900012</v>
      </c>
      <c r="CF171" s="66">
        <v>30.5750083645</v>
      </c>
      <c r="CG171" s="66">
        <v>31.456885814499998</v>
      </c>
      <c r="CH171" s="66">
        <v>28.461879887500011</v>
      </c>
      <c r="CI171" s="66">
        <v>26.201609219800005</v>
      </c>
      <c r="CJ171" s="66">
        <v>28.518770364700003</v>
      </c>
      <c r="CK171" s="66">
        <v>55.787621973100002</v>
      </c>
      <c r="CL171" s="66">
        <v>55.403761358800004</v>
      </c>
      <c r="CM171" s="66">
        <v>49.901183811100005</v>
      </c>
      <c r="CN171" s="66">
        <v>41.682611350900004</v>
      </c>
      <c r="CO171" s="66">
        <v>28.432796695000008</v>
      </c>
      <c r="CP171" s="66">
        <v>30.715133062299998</v>
      </c>
      <c r="CQ171" s="66">
        <v>26.289872018200008</v>
      </c>
      <c r="CR171" s="66">
        <v>32.772947183500001</v>
      </c>
      <c r="CS171" s="66">
        <v>33.8231694097</v>
      </c>
      <c r="CT171" s="66">
        <v>25.496895320500002</v>
      </c>
      <c r="CU171" s="66">
        <v>25.9288276375</v>
      </c>
      <c r="CV171" s="66">
        <v>40.292134535799995</v>
      </c>
      <c r="CW171" s="66">
        <v>75.933980974899995</v>
      </c>
      <c r="CX171" s="66">
        <v>56.406662416300009</v>
      </c>
      <c r="CY171" s="66">
        <v>69.785081073100002</v>
      </c>
      <c r="CZ171" s="66">
        <v>31.648834884999999</v>
      </c>
      <c r="DA171" s="66">
        <v>27.064235472700005</v>
      </c>
      <c r="DB171" s="66">
        <v>38.821388109400004</v>
      </c>
      <c r="DC171" s="66">
        <v>41.483156940400001</v>
      </c>
      <c r="DD171" s="66">
        <v>31.464691368099999</v>
      </c>
      <c r="DE171" s="66">
        <v>31.481015482599993</v>
      </c>
      <c r="DF171" s="66">
        <v>30.546150332200007</v>
      </c>
      <c r="DG171" s="66">
        <v>22.672072977999999</v>
      </c>
      <c r="DH171" s="66">
        <v>38.815834157800012</v>
      </c>
      <c r="DI171" s="66">
        <v>58.974539443899999</v>
      </c>
      <c r="DJ171" s="66">
        <v>52.347699490900006</v>
      </c>
      <c r="DK171" s="66">
        <v>62.826092298399999</v>
      </c>
      <c r="DL171" s="66">
        <v>29.410142069800003</v>
      </c>
      <c r="DM171" s="66">
        <v>27.100073471200012</v>
      </c>
      <c r="DN171" s="66">
        <v>23.642438386599999</v>
      </c>
      <c r="DO171" s="66">
        <v>26.692008135400009</v>
      </c>
      <c r="DP171" s="79"/>
      <c r="DQ171" s="80"/>
      <c r="DR171" s="81"/>
      <c r="DS171" s="84">
        <f t="shared" si="20"/>
        <v>2014</v>
      </c>
      <c r="DT171" s="80"/>
      <c r="DU171" s="83">
        <f t="shared" si="25"/>
        <v>193.31903608950003</v>
      </c>
      <c r="DV171" s="83">
        <f t="shared" si="25"/>
        <v>493.1773708206</v>
      </c>
      <c r="DW171" s="83">
        <f t="shared" si="25"/>
        <v>591.97338853679992</v>
      </c>
      <c r="DX171" s="83">
        <f t="shared" si="25"/>
        <v>558.31572883349997</v>
      </c>
      <c r="DY171" s="83">
        <f t="shared" si="25"/>
        <v>483.4242940707</v>
      </c>
      <c r="DZ171" s="83">
        <f t="shared" si="25"/>
        <v>494.10003979350006</v>
      </c>
      <c r="EA171" s="83">
        <f t="shared" si="25"/>
        <v>478.20530579489997</v>
      </c>
      <c r="EB171" s="83">
        <f t="shared" si="25"/>
        <v>434.75359018529997</v>
      </c>
      <c r="EC171" s="83">
        <f t="shared" si="25"/>
        <v>497.59940456850006</v>
      </c>
      <c r="ED171" s="83">
        <f t="shared" si="25"/>
        <v>319.80882745400004</v>
      </c>
    </row>
    <row r="172" spans="2:134" x14ac:dyDescent="0.3">
      <c r="B172" s="45">
        <f t="shared" si="21"/>
        <v>1000000168</v>
      </c>
      <c r="C172" s="46">
        <v>43770</v>
      </c>
      <c r="D172" s="66">
        <v>-8</v>
      </c>
      <c r="E172" s="66">
        <v>-8</v>
      </c>
      <c r="F172" s="66">
        <v>-8</v>
      </c>
      <c r="G172" s="66">
        <v>-8</v>
      </c>
      <c r="H172" s="66">
        <v>-8</v>
      </c>
      <c r="I172" s="66">
        <v>-8</v>
      </c>
      <c r="J172" s="66">
        <v>-8</v>
      </c>
      <c r="K172" s="66">
        <v>-8</v>
      </c>
      <c r="L172" s="66">
        <v>-8</v>
      </c>
      <c r="M172" s="66">
        <v>-8</v>
      </c>
      <c r="N172" s="66">
        <v>-8</v>
      </c>
      <c r="O172" s="66">
        <v>-8</v>
      </c>
      <c r="P172" s="66">
        <v>-8</v>
      </c>
      <c r="Q172" s="66">
        <v>-8</v>
      </c>
      <c r="R172" s="66">
        <v>-8</v>
      </c>
      <c r="S172" s="66">
        <v>-8</v>
      </c>
      <c r="T172" s="66">
        <v>-8</v>
      </c>
      <c r="U172" s="66">
        <v>-8</v>
      </c>
      <c r="V172" s="66">
        <v>-8</v>
      </c>
      <c r="W172" s="66">
        <v>-8</v>
      </c>
      <c r="X172" s="66">
        <v>-8</v>
      </c>
      <c r="Y172" s="66">
        <v>-8</v>
      </c>
      <c r="Z172" s="66">
        <v>-8</v>
      </c>
      <c r="AA172" s="66">
        <v>-8</v>
      </c>
      <c r="AB172" s="66">
        <v>-8</v>
      </c>
      <c r="AC172" s="66">
        <v>-8</v>
      </c>
      <c r="AD172" s="66">
        <v>-8</v>
      </c>
      <c r="AE172" s="66">
        <v>-8</v>
      </c>
      <c r="AF172" s="66">
        <v>-8</v>
      </c>
      <c r="AG172" s="66">
        <v>-8</v>
      </c>
      <c r="AH172" s="66">
        <v>-8</v>
      </c>
      <c r="AI172" s="66">
        <v>-8</v>
      </c>
      <c r="AJ172" s="66">
        <v>-8</v>
      </c>
      <c r="AK172" s="66">
        <v>-8</v>
      </c>
      <c r="AL172" s="66">
        <v>-8</v>
      </c>
      <c r="AM172" s="66">
        <v>-8</v>
      </c>
      <c r="AN172" s="66">
        <v>-8</v>
      </c>
      <c r="AO172" s="66">
        <v>-8</v>
      </c>
      <c r="AP172" s="66">
        <v>-8</v>
      </c>
      <c r="AQ172" s="66">
        <v>-8</v>
      </c>
      <c r="AR172" s="66">
        <v>-8</v>
      </c>
      <c r="AS172" s="66">
        <v>-8</v>
      </c>
      <c r="AT172" s="66">
        <v>-8</v>
      </c>
      <c r="AU172" s="66">
        <v>-8</v>
      </c>
      <c r="AV172" s="66">
        <v>-8</v>
      </c>
      <c r="AW172" s="66">
        <v>-8</v>
      </c>
      <c r="AX172" s="66">
        <v>-8</v>
      </c>
      <c r="AY172" s="66">
        <v>-8</v>
      </c>
      <c r="AZ172" s="66">
        <v>-8</v>
      </c>
      <c r="BA172" s="66">
        <v>-8</v>
      </c>
      <c r="BB172" s="66">
        <v>-8</v>
      </c>
      <c r="BC172" s="66">
        <v>-8</v>
      </c>
      <c r="BD172" s="66">
        <v>-8</v>
      </c>
      <c r="BE172" s="66">
        <v>-8</v>
      </c>
      <c r="BF172" s="66">
        <v>-8</v>
      </c>
      <c r="BG172" s="66">
        <v>-8</v>
      </c>
      <c r="BH172" s="66">
        <v>-8</v>
      </c>
      <c r="BI172" s="66">
        <v>-8</v>
      </c>
      <c r="BJ172" s="66">
        <v>-8</v>
      </c>
      <c r="BK172" s="66">
        <v>-8</v>
      </c>
      <c r="BL172" s="66">
        <v>-8</v>
      </c>
      <c r="BM172" s="66">
        <v>-8</v>
      </c>
      <c r="BN172" s="66">
        <v>-8</v>
      </c>
      <c r="BO172" s="66">
        <v>-8</v>
      </c>
      <c r="BP172" s="66">
        <v>-8</v>
      </c>
      <c r="BQ172" s="66">
        <v>-8</v>
      </c>
      <c r="BR172" s="66">
        <v>-8</v>
      </c>
      <c r="BS172" s="66">
        <v>-8</v>
      </c>
      <c r="BT172" s="66">
        <v>-8</v>
      </c>
      <c r="BU172" s="66">
        <v>-8</v>
      </c>
      <c r="BV172" s="66">
        <v>-3.7819989199999995</v>
      </c>
      <c r="BW172" s="66">
        <v>-1.5263815630999993</v>
      </c>
      <c r="BX172" s="66">
        <v>5.801757359499998</v>
      </c>
      <c r="BY172" s="66">
        <v>-0.14100837920000053</v>
      </c>
      <c r="BZ172" s="66">
        <v>-0.67861588340000001</v>
      </c>
      <c r="CA172" s="66">
        <v>-5.0666879678000001</v>
      </c>
      <c r="CB172" s="66">
        <v>-2.9833556905999998</v>
      </c>
      <c r="CC172" s="66">
        <v>5.970890196400001</v>
      </c>
      <c r="CD172" s="66">
        <v>8.9376009916000001</v>
      </c>
      <c r="CE172" s="66">
        <v>12.4444335799</v>
      </c>
      <c r="CF172" s="66">
        <v>7.198951453900003</v>
      </c>
      <c r="CG172" s="66">
        <v>11.330040696700003</v>
      </c>
      <c r="CH172" s="66">
        <v>8.9434926835000006</v>
      </c>
      <c r="CI172" s="66">
        <v>9.6878723047000008</v>
      </c>
      <c r="CJ172" s="66">
        <v>18.778677852999998</v>
      </c>
      <c r="CK172" s="66">
        <v>25.898168323600004</v>
      </c>
      <c r="CL172" s="66">
        <v>29.393367634900002</v>
      </c>
      <c r="CM172" s="66">
        <v>25.060159585900003</v>
      </c>
      <c r="CN172" s="66">
        <v>27.158802756699998</v>
      </c>
      <c r="CO172" s="66">
        <v>24.325349273199997</v>
      </c>
      <c r="CP172" s="66">
        <v>28.2493661854</v>
      </c>
      <c r="CQ172" s="66">
        <v>35.197697377300003</v>
      </c>
      <c r="CR172" s="66">
        <v>29.874122188600005</v>
      </c>
      <c r="CS172" s="66">
        <v>18.635250805600002</v>
      </c>
      <c r="CT172" s="66">
        <v>18.361118262100003</v>
      </c>
      <c r="CU172" s="66">
        <v>16.047522153700001</v>
      </c>
      <c r="CV172" s="66">
        <v>13.358358831700002</v>
      </c>
      <c r="CW172" s="66">
        <v>24.350191948600006</v>
      </c>
      <c r="CX172" s="66">
        <v>30.766844854900008</v>
      </c>
      <c r="CY172" s="66">
        <v>34.661853628000003</v>
      </c>
      <c r="CZ172" s="66">
        <v>31.720961202400005</v>
      </c>
      <c r="DA172" s="66">
        <v>26.611588417299998</v>
      </c>
      <c r="DB172" s="66">
        <v>29.109403096000001</v>
      </c>
      <c r="DC172" s="66">
        <v>30.7655689471</v>
      </c>
      <c r="DD172" s="66">
        <v>35.9010978421</v>
      </c>
      <c r="DE172" s="66">
        <v>32.633010119200001</v>
      </c>
      <c r="DF172" s="66">
        <v>40.092079698100015</v>
      </c>
      <c r="DG172" s="66">
        <v>31.382808108700004</v>
      </c>
      <c r="DH172" s="66">
        <v>48.920873827000001</v>
      </c>
      <c r="DI172" s="66">
        <v>41.1421518175</v>
      </c>
      <c r="DJ172" s="66">
        <v>39.158040135099988</v>
      </c>
      <c r="DK172" s="66">
        <v>42.354489387699999</v>
      </c>
      <c r="DL172" s="66">
        <v>41.139224734899997</v>
      </c>
      <c r="DM172" s="66">
        <v>28.527026238699996</v>
      </c>
      <c r="DN172" s="66">
        <v>30.140937025599996</v>
      </c>
      <c r="DO172" s="66">
        <v>29.499830882799998</v>
      </c>
      <c r="DP172" s="79"/>
      <c r="DQ172" s="80"/>
      <c r="DR172" s="81"/>
      <c r="DS172" s="84">
        <f t="shared" si="20"/>
        <v>2019</v>
      </c>
      <c r="DT172" s="80"/>
      <c r="DU172" s="83">
        <f t="shared" si="25"/>
        <v>-96</v>
      </c>
      <c r="DV172" s="83">
        <f t="shared" si="25"/>
        <v>-96</v>
      </c>
      <c r="DW172" s="83">
        <f t="shared" si="25"/>
        <v>-96</v>
      </c>
      <c r="DX172" s="83">
        <f t="shared" si="25"/>
        <v>-96</v>
      </c>
      <c r="DY172" s="83">
        <f t="shared" si="25"/>
        <v>-96</v>
      </c>
      <c r="DZ172" s="83">
        <f t="shared" si="25"/>
        <v>-85.308380483100009</v>
      </c>
      <c r="EA172" s="83">
        <f t="shared" si="25"/>
        <v>61.445371345200009</v>
      </c>
      <c r="EB172" s="83">
        <f t="shared" si="25"/>
        <v>296.97960240000003</v>
      </c>
      <c r="EC172" s="83">
        <f t="shared" si="25"/>
        <v>361.35376669410005</v>
      </c>
      <c r="ED172" s="83">
        <f t="shared" si="25"/>
        <v>300.88257404929999</v>
      </c>
    </row>
    <row r="173" spans="2:134" x14ac:dyDescent="0.3">
      <c r="B173" s="45">
        <f t="shared" si="21"/>
        <v>1000000169</v>
      </c>
      <c r="C173" s="46">
        <v>44440</v>
      </c>
      <c r="D173" s="66">
        <v>-8</v>
      </c>
      <c r="E173" s="66">
        <v>-8</v>
      </c>
      <c r="F173" s="66">
        <v>-8</v>
      </c>
      <c r="G173" s="66">
        <v>-8</v>
      </c>
      <c r="H173" s="66">
        <v>-8</v>
      </c>
      <c r="I173" s="66">
        <v>-8</v>
      </c>
      <c r="J173" s="66">
        <v>-8</v>
      </c>
      <c r="K173" s="66">
        <v>-8</v>
      </c>
      <c r="L173" s="66">
        <v>-8</v>
      </c>
      <c r="M173" s="66">
        <v>-8</v>
      </c>
      <c r="N173" s="66">
        <v>-8</v>
      </c>
      <c r="O173" s="66">
        <v>-8</v>
      </c>
      <c r="P173" s="66">
        <v>-8</v>
      </c>
      <c r="Q173" s="66">
        <v>-8</v>
      </c>
      <c r="R173" s="66">
        <v>-8</v>
      </c>
      <c r="S173" s="66">
        <v>-8</v>
      </c>
      <c r="T173" s="66">
        <v>-8</v>
      </c>
      <c r="U173" s="66">
        <v>-8</v>
      </c>
      <c r="V173" s="66">
        <v>-8</v>
      </c>
      <c r="W173" s="66">
        <v>-8</v>
      </c>
      <c r="X173" s="66">
        <v>-8</v>
      </c>
      <c r="Y173" s="66">
        <v>-8</v>
      </c>
      <c r="Z173" s="66">
        <v>-8</v>
      </c>
      <c r="AA173" s="66">
        <v>-8</v>
      </c>
      <c r="AB173" s="66">
        <v>-8</v>
      </c>
      <c r="AC173" s="66">
        <v>-8</v>
      </c>
      <c r="AD173" s="66">
        <v>-8</v>
      </c>
      <c r="AE173" s="66">
        <v>-8</v>
      </c>
      <c r="AF173" s="66">
        <v>-8</v>
      </c>
      <c r="AG173" s="66">
        <v>-8</v>
      </c>
      <c r="AH173" s="66">
        <v>-8</v>
      </c>
      <c r="AI173" s="66">
        <v>-8</v>
      </c>
      <c r="AJ173" s="66">
        <v>-8</v>
      </c>
      <c r="AK173" s="66">
        <v>-8</v>
      </c>
      <c r="AL173" s="66">
        <v>-8</v>
      </c>
      <c r="AM173" s="66">
        <v>-8</v>
      </c>
      <c r="AN173" s="66">
        <v>-8</v>
      </c>
      <c r="AO173" s="66">
        <v>-8</v>
      </c>
      <c r="AP173" s="66">
        <v>-8</v>
      </c>
      <c r="AQ173" s="66">
        <v>-8</v>
      </c>
      <c r="AR173" s="66">
        <v>-8</v>
      </c>
      <c r="AS173" s="66">
        <v>-8</v>
      </c>
      <c r="AT173" s="66">
        <v>-8</v>
      </c>
      <c r="AU173" s="66">
        <v>-8</v>
      </c>
      <c r="AV173" s="66">
        <v>-8</v>
      </c>
      <c r="AW173" s="66">
        <v>-8</v>
      </c>
      <c r="AX173" s="66">
        <v>-8</v>
      </c>
      <c r="AY173" s="66">
        <v>-8</v>
      </c>
      <c r="AZ173" s="66">
        <v>-8</v>
      </c>
      <c r="BA173" s="66">
        <v>-8</v>
      </c>
      <c r="BB173" s="66">
        <v>-8</v>
      </c>
      <c r="BC173" s="66">
        <v>-8</v>
      </c>
      <c r="BD173" s="66">
        <v>-8</v>
      </c>
      <c r="BE173" s="66">
        <v>-8</v>
      </c>
      <c r="BF173" s="66">
        <v>-8</v>
      </c>
      <c r="BG173" s="66">
        <v>-8</v>
      </c>
      <c r="BH173" s="66">
        <v>-8</v>
      </c>
      <c r="BI173" s="66">
        <v>-8</v>
      </c>
      <c r="BJ173" s="66">
        <v>-8</v>
      </c>
      <c r="BK173" s="66">
        <v>-8</v>
      </c>
      <c r="BL173" s="66">
        <v>-8</v>
      </c>
      <c r="BM173" s="66">
        <v>-8</v>
      </c>
      <c r="BN173" s="66">
        <v>-8</v>
      </c>
      <c r="BO173" s="66">
        <v>-8</v>
      </c>
      <c r="BP173" s="66">
        <v>-8</v>
      </c>
      <c r="BQ173" s="66">
        <v>-8</v>
      </c>
      <c r="BR173" s="66">
        <v>-8</v>
      </c>
      <c r="BS173" s="66">
        <v>-8</v>
      </c>
      <c r="BT173" s="66">
        <v>-8</v>
      </c>
      <c r="BU173" s="66">
        <v>-8</v>
      </c>
      <c r="BV173" s="66">
        <v>-8</v>
      </c>
      <c r="BW173" s="66">
        <v>-8</v>
      </c>
      <c r="BX173" s="66">
        <v>-8</v>
      </c>
      <c r="BY173" s="66">
        <v>-8</v>
      </c>
      <c r="BZ173" s="66">
        <v>-8</v>
      </c>
      <c r="CA173" s="66">
        <v>-8</v>
      </c>
      <c r="CB173" s="66">
        <v>-8</v>
      </c>
      <c r="CC173" s="66">
        <v>-8</v>
      </c>
      <c r="CD173" s="66">
        <v>-8</v>
      </c>
      <c r="CE173" s="66">
        <v>-8</v>
      </c>
      <c r="CF173" s="66">
        <v>-8</v>
      </c>
      <c r="CG173" s="66">
        <v>-8</v>
      </c>
      <c r="CH173" s="66">
        <v>-8</v>
      </c>
      <c r="CI173" s="66">
        <v>-8</v>
      </c>
      <c r="CJ173" s="66">
        <v>-8</v>
      </c>
      <c r="CK173" s="66">
        <v>-8</v>
      </c>
      <c r="CL173" s="66">
        <v>-8</v>
      </c>
      <c r="CM173" s="66">
        <v>-8</v>
      </c>
      <c r="CN173" s="66">
        <v>-8</v>
      </c>
      <c r="CO173" s="66">
        <v>-8</v>
      </c>
      <c r="CP173" s="66">
        <v>-8</v>
      </c>
      <c r="CQ173" s="66">
        <v>-8</v>
      </c>
      <c r="CR173" s="66">
        <v>-0.276029445799999</v>
      </c>
      <c r="CS173" s="66">
        <v>8.8220562823000037</v>
      </c>
      <c r="CT173" s="66">
        <v>17.293108380100001</v>
      </c>
      <c r="CU173" s="66">
        <v>19.476186625900006</v>
      </c>
      <c r="CV173" s="66">
        <v>29.304654516100001</v>
      </c>
      <c r="CW173" s="66">
        <v>28.27045619079999</v>
      </c>
      <c r="CX173" s="66">
        <v>32.373700622200005</v>
      </c>
      <c r="CY173" s="66">
        <v>40.952004028600001</v>
      </c>
      <c r="CZ173" s="66">
        <v>32.985836152600001</v>
      </c>
      <c r="DA173" s="66">
        <v>25.663138601500002</v>
      </c>
      <c r="DB173" s="66">
        <v>19.5451982272</v>
      </c>
      <c r="DC173" s="66">
        <v>25.332490847799995</v>
      </c>
      <c r="DD173" s="66">
        <v>25.301944114000001</v>
      </c>
      <c r="DE173" s="66">
        <v>23.076798437500003</v>
      </c>
      <c r="DF173" s="66">
        <v>29.939306066500009</v>
      </c>
      <c r="DG173" s="66">
        <v>26.782072215399999</v>
      </c>
      <c r="DH173" s="66">
        <v>36.204426158199993</v>
      </c>
      <c r="DI173" s="66">
        <v>41.4827441467</v>
      </c>
      <c r="DJ173" s="66">
        <v>42.854345031700007</v>
      </c>
      <c r="DK173" s="66">
        <v>38.0406075892</v>
      </c>
      <c r="DL173" s="66">
        <v>51.131909464300008</v>
      </c>
      <c r="DM173" s="66">
        <v>60.69532627240001</v>
      </c>
      <c r="DN173" s="66">
        <v>65.6056574407</v>
      </c>
      <c r="DO173" s="66">
        <v>74.583882889000023</v>
      </c>
      <c r="DP173" s="79"/>
      <c r="DQ173" s="80"/>
      <c r="DR173" s="81"/>
      <c r="DS173" s="84">
        <f t="shared" si="20"/>
        <v>2021</v>
      </c>
      <c r="DT173" s="80"/>
      <c r="DU173" s="83">
        <f t="shared" si="25"/>
        <v>-96</v>
      </c>
      <c r="DV173" s="83">
        <f t="shared" si="25"/>
        <v>-96</v>
      </c>
      <c r="DW173" s="83">
        <f t="shared" si="25"/>
        <v>-96</v>
      </c>
      <c r="DX173" s="83">
        <f t="shared" si="25"/>
        <v>-96</v>
      </c>
      <c r="DY173" s="83">
        <f t="shared" si="25"/>
        <v>-96</v>
      </c>
      <c r="DZ173" s="83">
        <f t="shared" si="25"/>
        <v>-96</v>
      </c>
      <c r="EA173" s="83">
        <f t="shared" si="25"/>
        <v>-96</v>
      </c>
      <c r="EB173" s="83">
        <f t="shared" si="25"/>
        <v>-18.684678157499981</v>
      </c>
      <c r="EC173" s="83">
        <f t="shared" si="25"/>
        <v>339.5276000202</v>
      </c>
      <c r="ED173" s="83">
        <f t="shared" si="25"/>
        <v>410.59889899220002</v>
      </c>
    </row>
    <row r="174" spans="2:134" x14ac:dyDescent="0.3">
      <c r="B174" s="45">
        <f t="shared" si="21"/>
        <v>1000000170</v>
      </c>
      <c r="C174" s="46">
        <v>44440</v>
      </c>
      <c r="D174" s="66">
        <v>-8</v>
      </c>
      <c r="E174" s="66">
        <v>-8</v>
      </c>
      <c r="F174" s="66">
        <v>-8</v>
      </c>
      <c r="G174" s="66">
        <v>-8</v>
      </c>
      <c r="H174" s="66">
        <v>-8</v>
      </c>
      <c r="I174" s="66">
        <v>-8</v>
      </c>
      <c r="J174" s="66">
        <v>-8</v>
      </c>
      <c r="K174" s="66">
        <v>-8</v>
      </c>
      <c r="L174" s="66">
        <v>-8</v>
      </c>
      <c r="M174" s="66">
        <v>-8</v>
      </c>
      <c r="N174" s="66">
        <v>-8</v>
      </c>
      <c r="O174" s="66">
        <v>-8</v>
      </c>
      <c r="P174" s="66">
        <v>-8</v>
      </c>
      <c r="Q174" s="66">
        <v>-8</v>
      </c>
      <c r="R174" s="66">
        <v>-8</v>
      </c>
      <c r="S174" s="66">
        <v>-8</v>
      </c>
      <c r="T174" s="66">
        <v>-8</v>
      </c>
      <c r="U174" s="66">
        <v>-8</v>
      </c>
      <c r="V174" s="66">
        <v>-8</v>
      </c>
      <c r="W174" s="66">
        <v>-8</v>
      </c>
      <c r="X174" s="66">
        <v>-8</v>
      </c>
      <c r="Y174" s="66">
        <v>-8</v>
      </c>
      <c r="Z174" s="66">
        <v>-8</v>
      </c>
      <c r="AA174" s="66">
        <v>-8</v>
      </c>
      <c r="AB174" s="66">
        <v>-8</v>
      </c>
      <c r="AC174" s="66">
        <v>-8</v>
      </c>
      <c r="AD174" s="66">
        <v>-8</v>
      </c>
      <c r="AE174" s="66">
        <v>-8</v>
      </c>
      <c r="AF174" s="66">
        <v>-8</v>
      </c>
      <c r="AG174" s="66">
        <v>-8</v>
      </c>
      <c r="AH174" s="66">
        <v>-8</v>
      </c>
      <c r="AI174" s="66">
        <v>-8</v>
      </c>
      <c r="AJ174" s="66">
        <v>-8</v>
      </c>
      <c r="AK174" s="66">
        <v>-8</v>
      </c>
      <c r="AL174" s="66">
        <v>-8</v>
      </c>
      <c r="AM174" s="66">
        <v>-8</v>
      </c>
      <c r="AN174" s="66">
        <v>-8</v>
      </c>
      <c r="AO174" s="66">
        <v>-8</v>
      </c>
      <c r="AP174" s="66">
        <v>-8</v>
      </c>
      <c r="AQ174" s="66">
        <v>-8</v>
      </c>
      <c r="AR174" s="66">
        <v>-8</v>
      </c>
      <c r="AS174" s="66">
        <v>-8</v>
      </c>
      <c r="AT174" s="66">
        <v>-8</v>
      </c>
      <c r="AU174" s="66">
        <v>-8</v>
      </c>
      <c r="AV174" s="66">
        <v>-8</v>
      </c>
      <c r="AW174" s="66">
        <v>-8</v>
      </c>
      <c r="AX174" s="66">
        <v>-8</v>
      </c>
      <c r="AY174" s="66">
        <v>-8</v>
      </c>
      <c r="AZ174" s="66">
        <v>-8</v>
      </c>
      <c r="BA174" s="66">
        <v>-8</v>
      </c>
      <c r="BB174" s="66">
        <v>-8</v>
      </c>
      <c r="BC174" s="66">
        <v>-8</v>
      </c>
      <c r="BD174" s="66">
        <v>-8</v>
      </c>
      <c r="BE174" s="66">
        <v>-8</v>
      </c>
      <c r="BF174" s="66">
        <v>-8</v>
      </c>
      <c r="BG174" s="66">
        <v>-8</v>
      </c>
      <c r="BH174" s="66">
        <v>-8</v>
      </c>
      <c r="BI174" s="66">
        <v>-8</v>
      </c>
      <c r="BJ174" s="66">
        <v>-8</v>
      </c>
      <c r="BK174" s="66">
        <v>-8</v>
      </c>
      <c r="BL174" s="66">
        <v>-8</v>
      </c>
      <c r="BM174" s="66">
        <v>-8</v>
      </c>
      <c r="BN174" s="66">
        <v>-8</v>
      </c>
      <c r="BO174" s="66">
        <v>-8</v>
      </c>
      <c r="BP174" s="66">
        <v>-8</v>
      </c>
      <c r="BQ174" s="66">
        <v>-8</v>
      </c>
      <c r="BR174" s="66">
        <v>-8</v>
      </c>
      <c r="BS174" s="66">
        <v>-8</v>
      </c>
      <c r="BT174" s="66">
        <v>-8</v>
      </c>
      <c r="BU174" s="66">
        <v>-8</v>
      </c>
      <c r="BV174" s="66">
        <v>-8</v>
      </c>
      <c r="BW174" s="66">
        <v>-8</v>
      </c>
      <c r="BX174" s="66">
        <v>-8</v>
      </c>
      <c r="BY174" s="66">
        <v>-8</v>
      </c>
      <c r="BZ174" s="66">
        <v>-8</v>
      </c>
      <c r="CA174" s="66">
        <v>-8</v>
      </c>
      <c r="CB174" s="66">
        <v>-8</v>
      </c>
      <c r="CC174" s="66">
        <v>-8</v>
      </c>
      <c r="CD174" s="66">
        <v>-8</v>
      </c>
      <c r="CE174" s="66">
        <v>-8</v>
      </c>
      <c r="CF174" s="66">
        <v>-8</v>
      </c>
      <c r="CG174" s="66">
        <v>-8</v>
      </c>
      <c r="CH174" s="66">
        <v>-8</v>
      </c>
      <c r="CI174" s="66">
        <v>-8</v>
      </c>
      <c r="CJ174" s="66">
        <v>-8</v>
      </c>
      <c r="CK174" s="66">
        <v>-8</v>
      </c>
      <c r="CL174" s="66">
        <v>-8</v>
      </c>
      <c r="CM174" s="66">
        <v>-8</v>
      </c>
      <c r="CN174" s="66">
        <v>-8</v>
      </c>
      <c r="CO174" s="66">
        <v>-8</v>
      </c>
      <c r="CP174" s="66">
        <v>-8</v>
      </c>
      <c r="CQ174" s="66">
        <v>-8</v>
      </c>
      <c r="CR174" s="66">
        <v>-0.74308675400000013</v>
      </c>
      <c r="CS174" s="66">
        <v>10.347554163999998</v>
      </c>
      <c r="CT174" s="66">
        <v>9.5594934639999991</v>
      </c>
      <c r="CU174" s="66">
        <v>5.8746342109000018</v>
      </c>
      <c r="CV174" s="66">
        <v>7.9112832733000023</v>
      </c>
      <c r="CW174" s="66">
        <v>3.5534952357999998</v>
      </c>
      <c r="CX174" s="66">
        <v>6.8176801819000019</v>
      </c>
      <c r="CY174" s="66">
        <v>29.779705011400011</v>
      </c>
      <c r="CZ174" s="66">
        <v>38.486237151700003</v>
      </c>
      <c r="DA174" s="66">
        <v>21.546797351800002</v>
      </c>
      <c r="DB174" s="66">
        <v>16.968990272199999</v>
      </c>
      <c r="DC174" s="66">
        <v>19.903428105400003</v>
      </c>
      <c r="DD174" s="66">
        <v>17.1167328901</v>
      </c>
      <c r="DE174" s="66">
        <v>27.306620428000009</v>
      </c>
      <c r="DF174" s="66">
        <v>33.345454518700009</v>
      </c>
      <c r="DG174" s="66">
        <v>14.183796124899999</v>
      </c>
      <c r="DH174" s="66">
        <v>27.414809904099997</v>
      </c>
      <c r="DI174" s="66">
        <v>34.276979792800006</v>
      </c>
      <c r="DJ174" s="66">
        <v>53.383736624500003</v>
      </c>
      <c r="DK174" s="66">
        <v>69.640678331499998</v>
      </c>
      <c r="DL174" s="66">
        <v>45.884213262999999</v>
      </c>
      <c r="DM174" s="66">
        <v>46.813224248200001</v>
      </c>
      <c r="DN174" s="66">
        <v>60.851587451200004</v>
      </c>
      <c r="DO174" s="66">
        <v>69.223268847400007</v>
      </c>
      <c r="DP174" s="79"/>
      <c r="DQ174" s="80"/>
      <c r="DR174" s="81"/>
      <c r="DS174" s="84">
        <f t="shared" si="20"/>
        <v>2021</v>
      </c>
      <c r="DT174" s="80"/>
      <c r="DU174" s="83">
        <f t="shared" si="25"/>
        <v>-96</v>
      </c>
      <c r="DV174" s="83">
        <f t="shared" si="25"/>
        <v>-96</v>
      </c>
      <c r="DW174" s="83">
        <f t="shared" si="25"/>
        <v>-96</v>
      </c>
      <c r="DX174" s="83">
        <f t="shared" si="25"/>
        <v>-96</v>
      </c>
      <c r="DY174" s="83">
        <f t="shared" si="25"/>
        <v>-96</v>
      </c>
      <c r="DZ174" s="83">
        <f t="shared" si="25"/>
        <v>-96</v>
      </c>
      <c r="EA174" s="83">
        <f t="shared" si="25"/>
        <v>-96</v>
      </c>
      <c r="EB174" s="83">
        <f t="shared" si="25"/>
        <v>-38.961404915100005</v>
      </c>
      <c r="EC174" s="83">
        <f t="shared" si="25"/>
        <v>236.92022054520001</v>
      </c>
      <c r="ED174" s="83">
        <f t="shared" si="25"/>
        <v>407.48849846269997</v>
      </c>
    </row>
    <row r="175" spans="2:134" x14ac:dyDescent="0.3">
      <c r="B175" s="45">
        <f t="shared" si="21"/>
        <v>1000000171</v>
      </c>
      <c r="C175" s="46">
        <v>44197</v>
      </c>
      <c r="D175" s="66">
        <v>-8</v>
      </c>
      <c r="E175" s="66">
        <v>-8</v>
      </c>
      <c r="F175" s="66">
        <v>-8</v>
      </c>
      <c r="G175" s="66">
        <v>-8</v>
      </c>
      <c r="H175" s="66">
        <v>-8</v>
      </c>
      <c r="I175" s="66">
        <v>-8</v>
      </c>
      <c r="J175" s="66">
        <v>-8</v>
      </c>
      <c r="K175" s="66">
        <v>-8</v>
      </c>
      <c r="L175" s="66">
        <v>-8</v>
      </c>
      <c r="M175" s="66">
        <v>-8</v>
      </c>
      <c r="N175" s="66">
        <v>-8</v>
      </c>
      <c r="O175" s="66">
        <v>-8</v>
      </c>
      <c r="P175" s="66">
        <v>-8</v>
      </c>
      <c r="Q175" s="66">
        <v>-8</v>
      </c>
      <c r="R175" s="66">
        <v>-8</v>
      </c>
      <c r="S175" s="66">
        <v>-8</v>
      </c>
      <c r="T175" s="66">
        <v>-8</v>
      </c>
      <c r="U175" s="66">
        <v>-8</v>
      </c>
      <c r="V175" s="66">
        <v>-8</v>
      </c>
      <c r="W175" s="66">
        <v>-8</v>
      </c>
      <c r="X175" s="66">
        <v>-8</v>
      </c>
      <c r="Y175" s="66">
        <v>-8</v>
      </c>
      <c r="Z175" s="66">
        <v>-8</v>
      </c>
      <c r="AA175" s="66">
        <v>-8</v>
      </c>
      <c r="AB175" s="66">
        <v>-8</v>
      </c>
      <c r="AC175" s="66">
        <v>-8</v>
      </c>
      <c r="AD175" s="66">
        <v>-8</v>
      </c>
      <c r="AE175" s="66">
        <v>-8</v>
      </c>
      <c r="AF175" s="66">
        <v>-8</v>
      </c>
      <c r="AG175" s="66">
        <v>-8</v>
      </c>
      <c r="AH175" s="66">
        <v>-8</v>
      </c>
      <c r="AI175" s="66">
        <v>-8</v>
      </c>
      <c r="AJ175" s="66">
        <v>-8</v>
      </c>
      <c r="AK175" s="66">
        <v>-8</v>
      </c>
      <c r="AL175" s="66">
        <v>-8</v>
      </c>
      <c r="AM175" s="66">
        <v>-8</v>
      </c>
      <c r="AN175" s="66">
        <v>-8</v>
      </c>
      <c r="AO175" s="66">
        <v>-8</v>
      </c>
      <c r="AP175" s="66">
        <v>-8</v>
      </c>
      <c r="AQ175" s="66">
        <v>-8</v>
      </c>
      <c r="AR175" s="66">
        <v>-8</v>
      </c>
      <c r="AS175" s="66">
        <v>-8</v>
      </c>
      <c r="AT175" s="66">
        <v>-8</v>
      </c>
      <c r="AU175" s="66">
        <v>-8</v>
      </c>
      <c r="AV175" s="66">
        <v>-8</v>
      </c>
      <c r="AW175" s="66">
        <v>-8</v>
      </c>
      <c r="AX175" s="66">
        <v>-8</v>
      </c>
      <c r="AY175" s="66">
        <v>-8</v>
      </c>
      <c r="AZ175" s="66">
        <v>-8</v>
      </c>
      <c r="BA175" s="66">
        <v>-8</v>
      </c>
      <c r="BB175" s="66">
        <v>-8</v>
      </c>
      <c r="BC175" s="66">
        <v>-8</v>
      </c>
      <c r="BD175" s="66">
        <v>-8</v>
      </c>
      <c r="BE175" s="66">
        <v>-8</v>
      </c>
      <c r="BF175" s="66">
        <v>-8</v>
      </c>
      <c r="BG175" s="66">
        <v>-8</v>
      </c>
      <c r="BH175" s="66">
        <v>-8</v>
      </c>
      <c r="BI175" s="66">
        <v>-8</v>
      </c>
      <c r="BJ175" s="66">
        <v>-8</v>
      </c>
      <c r="BK175" s="66">
        <v>-8</v>
      </c>
      <c r="BL175" s="66">
        <v>-8</v>
      </c>
      <c r="BM175" s="66">
        <v>-8</v>
      </c>
      <c r="BN175" s="66">
        <v>-8</v>
      </c>
      <c r="BO175" s="66">
        <v>-8</v>
      </c>
      <c r="BP175" s="66">
        <v>-8</v>
      </c>
      <c r="BQ175" s="66">
        <v>-8</v>
      </c>
      <c r="BR175" s="66">
        <v>-8</v>
      </c>
      <c r="BS175" s="66">
        <v>-8</v>
      </c>
      <c r="BT175" s="66">
        <v>-8</v>
      </c>
      <c r="BU175" s="66">
        <v>-8</v>
      </c>
      <c r="BV175" s="66">
        <v>-8</v>
      </c>
      <c r="BW175" s="66">
        <v>-8</v>
      </c>
      <c r="BX175" s="66">
        <v>-8</v>
      </c>
      <c r="BY175" s="66">
        <v>-8</v>
      </c>
      <c r="BZ175" s="66">
        <v>-8</v>
      </c>
      <c r="CA175" s="66">
        <v>-8</v>
      </c>
      <c r="CB175" s="66">
        <v>-8</v>
      </c>
      <c r="CC175" s="66">
        <v>-8</v>
      </c>
      <c r="CD175" s="66">
        <v>-8</v>
      </c>
      <c r="CE175" s="66">
        <v>-8</v>
      </c>
      <c r="CF175" s="66">
        <v>-8</v>
      </c>
      <c r="CG175" s="66">
        <v>-8</v>
      </c>
      <c r="CH175" s="66">
        <v>-8</v>
      </c>
      <c r="CI175" s="66">
        <v>-8</v>
      </c>
      <c r="CJ175" s="66">
        <v>-8</v>
      </c>
      <c r="CK175" s="66">
        <v>5.5967489974000024</v>
      </c>
      <c r="CL175" s="66">
        <v>4.3105588816000022</v>
      </c>
      <c r="CM175" s="66">
        <v>7.4083879665999994</v>
      </c>
      <c r="CN175" s="66">
        <v>6.9320240367999979</v>
      </c>
      <c r="CO175" s="66">
        <v>20.4714697633</v>
      </c>
      <c r="CP175" s="66">
        <v>28.663660953400004</v>
      </c>
      <c r="CQ175" s="66">
        <v>16.2243104374</v>
      </c>
      <c r="CR175" s="66">
        <v>13.555486586800004</v>
      </c>
      <c r="CS175" s="66">
        <v>18.488146141600001</v>
      </c>
      <c r="CT175" s="66">
        <v>16.099271473000002</v>
      </c>
      <c r="CU175" s="66">
        <v>16.670427847000006</v>
      </c>
      <c r="CV175" s="66">
        <v>13.8475944196</v>
      </c>
      <c r="CW175" s="66">
        <v>12.590712656500006</v>
      </c>
      <c r="CX175" s="66">
        <v>17.1120420526</v>
      </c>
      <c r="CY175" s="66">
        <v>18.789560596000005</v>
      </c>
      <c r="CZ175" s="66">
        <v>22.441696566699999</v>
      </c>
      <c r="DA175" s="66">
        <v>28.475577133000002</v>
      </c>
      <c r="DB175" s="66">
        <v>30.112416733599993</v>
      </c>
      <c r="DC175" s="66">
        <v>35.160283257400003</v>
      </c>
      <c r="DD175" s="66">
        <v>23.0776990783</v>
      </c>
      <c r="DE175" s="66">
        <v>36.755092954000006</v>
      </c>
      <c r="DF175" s="66">
        <v>29.385036707500007</v>
      </c>
      <c r="DG175" s="66">
        <v>34.301109460900001</v>
      </c>
      <c r="DH175" s="66">
        <v>27.693070384600006</v>
      </c>
      <c r="DI175" s="66">
        <v>33.608366578899997</v>
      </c>
      <c r="DJ175" s="66">
        <v>51.578477194300007</v>
      </c>
      <c r="DK175" s="66">
        <v>40.635916634499999</v>
      </c>
      <c r="DL175" s="66">
        <v>48.531797001399994</v>
      </c>
      <c r="DM175" s="66">
        <v>36.201574129000001</v>
      </c>
      <c r="DN175" s="66">
        <v>38.306746945599997</v>
      </c>
      <c r="DO175" s="66">
        <v>65.380497240699995</v>
      </c>
      <c r="DP175" s="79"/>
      <c r="DQ175" s="80"/>
      <c r="DR175" s="81"/>
      <c r="DS175" s="84">
        <f t="shared" si="20"/>
        <v>2021</v>
      </c>
      <c r="DT175" s="80"/>
      <c r="DU175" s="83">
        <f t="shared" ref="DU175:ED184" si="26">+SUMIF($D$3:$DO$3,DU$4,$D175:$DO175)</f>
        <v>-96</v>
      </c>
      <c r="DV175" s="83">
        <f t="shared" si="26"/>
        <v>-96</v>
      </c>
      <c r="DW175" s="83">
        <f t="shared" si="26"/>
        <v>-96</v>
      </c>
      <c r="DX175" s="83">
        <f t="shared" si="26"/>
        <v>-96</v>
      </c>
      <c r="DY175" s="83">
        <f t="shared" si="26"/>
        <v>-96</v>
      </c>
      <c r="DZ175" s="83">
        <f t="shared" si="26"/>
        <v>-96</v>
      </c>
      <c r="EA175" s="83">
        <f t="shared" si="26"/>
        <v>-96</v>
      </c>
      <c r="EB175" s="83">
        <f t="shared" si="26"/>
        <v>146.42049308490002</v>
      </c>
      <c r="EC175" s="83">
        <f t="shared" si="26"/>
        <v>302.04882161610004</v>
      </c>
      <c r="ED175" s="83">
        <f t="shared" si="26"/>
        <v>341.93644610899997</v>
      </c>
    </row>
    <row r="176" spans="2:134" x14ac:dyDescent="0.3">
      <c r="B176" s="45">
        <f t="shared" si="21"/>
        <v>1000000172</v>
      </c>
      <c r="C176" s="46">
        <v>43891</v>
      </c>
      <c r="D176" s="66">
        <v>-8</v>
      </c>
      <c r="E176" s="66">
        <v>-8</v>
      </c>
      <c r="F176" s="66">
        <v>-8</v>
      </c>
      <c r="G176" s="66">
        <v>-8</v>
      </c>
      <c r="H176" s="66">
        <v>-8</v>
      </c>
      <c r="I176" s="66">
        <v>-8</v>
      </c>
      <c r="J176" s="66">
        <v>-8</v>
      </c>
      <c r="K176" s="66">
        <v>-8</v>
      </c>
      <c r="L176" s="66">
        <v>-8</v>
      </c>
      <c r="M176" s="66">
        <v>-8</v>
      </c>
      <c r="N176" s="66">
        <v>-8</v>
      </c>
      <c r="O176" s="66">
        <v>-8</v>
      </c>
      <c r="P176" s="66">
        <v>-8</v>
      </c>
      <c r="Q176" s="66">
        <v>-8</v>
      </c>
      <c r="R176" s="66">
        <v>-8</v>
      </c>
      <c r="S176" s="66">
        <v>-8</v>
      </c>
      <c r="T176" s="66">
        <v>-8</v>
      </c>
      <c r="U176" s="66">
        <v>-8</v>
      </c>
      <c r="V176" s="66">
        <v>-8</v>
      </c>
      <c r="W176" s="66">
        <v>-8</v>
      </c>
      <c r="X176" s="66">
        <v>-8</v>
      </c>
      <c r="Y176" s="66">
        <v>-8</v>
      </c>
      <c r="Z176" s="66">
        <v>-8</v>
      </c>
      <c r="AA176" s="66">
        <v>-8</v>
      </c>
      <c r="AB176" s="66">
        <v>-8</v>
      </c>
      <c r="AC176" s="66">
        <v>-8</v>
      </c>
      <c r="AD176" s="66">
        <v>-8</v>
      </c>
      <c r="AE176" s="66">
        <v>-8</v>
      </c>
      <c r="AF176" s="66">
        <v>-8</v>
      </c>
      <c r="AG176" s="66">
        <v>-8</v>
      </c>
      <c r="AH176" s="66">
        <v>-8</v>
      </c>
      <c r="AI176" s="66">
        <v>-8</v>
      </c>
      <c r="AJ176" s="66">
        <v>-8</v>
      </c>
      <c r="AK176" s="66">
        <v>-8</v>
      </c>
      <c r="AL176" s="66">
        <v>-8</v>
      </c>
      <c r="AM176" s="66">
        <v>-8</v>
      </c>
      <c r="AN176" s="66">
        <v>-8</v>
      </c>
      <c r="AO176" s="66">
        <v>-8</v>
      </c>
      <c r="AP176" s="66">
        <v>-8</v>
      </c>
      <c r="AQ176" s="66">
        <v>-8</v>
      </c>
      <c r="AR176" s="66">
        <v>-8</v>
      </c>
      <c r="AS176" s="66">
        <v>-8</v>
      </c>
      <c r="AT176" s="66">
        <v>-8</v>
      </c>
      <c r="AU176" s="66">
        <v>-8</v>
      </c>
      <c r="AV176" s="66">
        <v>-8</v>
      </c>
      <c r="AW176" s="66">
        <v>-8</v>
      </c>
      <c r="AX176" s="66">
        <v>-8</v>
      </c>
      <c r="AY176" s="66">
        <v>-8</v>
      </c>
      <c r="AZ176" s="66">
        <v>-8</v>
      </c>
      <c r="BA176" s="66">
        <v>-8</v>
      </c>
      <c r="BB176" s="66">
        <v>-8</v>
      </c>
      <c r="BC176" s="66">
        <v>-8</v>
      </c>
      <c r="BD176" s="66">
        <v>-8</v>
      </c>
      <c r="BE176" s="66">
        <v>-8</v>
      </c>
      <c r="BF176" s="66">
        <v>-8</v>
      </c>
      <c r="BG176" s="66">
        <v>-8</v>
      </c>
      <c r="BH176" s="66">
        <v>-8</v>
      </c>
      <c r="BI176" s="66">
        <v>-8</v>
      </c>
      <c r="BJ176" s="66">
        <v>-8</v>
      </c>
      <c r="BK176" s="66">
        <v>-8</v>
      </c>
      <c r="BL176" s="66">
        <v>-8</v>
      </c>
      <c r="BM176" s="66">
        <v>-8</v>
      </c>
      <c r="BN176" s="66">
        <v>-8</v>
      </c>
      <c r="BO176" s="66">
        <v>-8</v>
      </c>
      <c r="BP176" s="66">
        <v>-8</v>
      </c>
      <c r="BQ176" s="66">
        <v>-8</v>
      </c>
      <c r="BR176" s="66">
        <v>-8</v>
      </c>
      <c r="BS176" s="66">
        <v>-8</v>
      </c>
      <c r="BT176" s="66">
        <v>-8</v>
      </c>
      <c r="BU176" s="66">
        <v>-8</v>
      </c>
      <c r="BV176" s="66">
        <v>-8</v>
      </c>
      <c r="BW176" s="66">
        <v>-8</v>
      </c>
      <c r="BX176" s="66">
        <v>-8</v>
      </c>
      <c r="BY176" s="66">
        <v>-8</v>
      </c>
      <c r="BZ176" s="66">
        <v>-1.1271350017999993</v>
      </c>
      <c r="CA176" s="66">
        <v>3.357793495300001</v>
      </c>
      <c r="CB176" s="66">
        <v>4.5536193175000008</v>
      </c>
      <c r="CC176" s="66">
        <v>3.2231852224000015</v>
      </c>
      <c r="CD176" s="66">
        <v>7.7737854445000014</v>
      </c>
      <c r="CE176" s="66">
        <v>8.8643113464999992</v>
      </c>
      <c r="CF176" s="66">
        <v>9.078551276799999</v>
      </c>
      <c r="CG176" s="66">
        <v>10.185401293300004</v>
      </c>
      <c r="CH176" s="66">
        <v>1.8259911280000001</v>
      </c>
      <c r="CI176" s="66">
        <v>2.0271342400000005</v>
      </c>
      <c r="CJ176" s="66">
        <v>5.4744870087999988</v>
      </c>
      <c r="CK176" s="66">
        <v>15.697473096100005</v>
      </c>
      <c r="CL176" s="66">
        <v>-2.2469692565000008</v>
      </c>
      <c r="CM176" s="66">
        <v>-6.1012240333999994</v>
      </c>
      <c r="CN176" s="66">
        <v>3.3430830289000024</v>
      </c>
      <c r="CO176" s="66">
        <v>4.0356007506999987</v>
      </c>
      <c r="CP176" s="66">
        <v>5.9302112536000013</v>
      </c>
      <c r="CQ176" s="66">
        <v>3.4940154163000017</v>
      </c>
      <c r="CR176" s="66">
        <v>5.1025974117999997</v>
      </c>
      <c r="CS176" s="66">
        <v>10.896832471900002</v>
      </c>
      <c r="CT176" s="66">
        <v>10.694901299200001</v>
      </c>
      <c r="CU176" s="66">
        <v>9.9743136058000026</v>
      </c>
      <c r="CV176" s="66">
        <v>24.586084784800008</v>
      </c>
      <c r="CW176" s="66">
        <v>28.12458990790001</v>
      </c>
      <c r="CX176" s="66">
        <v>25.122604014700002</v>
      </c>
      <c r="CY176" s="66">
        <v>28.267566634900007</v>
      </c>
      <c r="CZ176" s="66">
        <v>14.346624476200002</v>
      </c>
      <c r="DA176" s="66">
        <v>16.685401000300001</v>
      </c>
      <c r="DB176" s="66">
        <v>23.076010376800003</v>
      </c>
      <c r="DC176" s="66">
        <v>24.219749139400001</v>
      </c>
      <c r="DD176" s="66">
        <v>30.094403917599998</v>
      </c>
      <c r="DE176" s="66">
        <v>30.7286051476</v>
      </c>
      <c r="DF176" s="66">
        <v>27.316527476800005</v>
      </c>
      <c r="DG176" s="66">
        <v>22.9069150666</v>
      </c>
      <c r="DH176" s="66">
        <v>24.543341873499998</v>
      </c>
      <c r="DI176" s="66">
        <v>42.545049970300006</v>
      </c>
      <c r="DJ176" s="66">
        <v>48.747988320099999</v>
      </c>
      <c r="DK176" s="66">
        <v>59.688147171099999</v>
      </c>
      <c r="DL176" s="66">
        <v>37.2584761078</v>
      </c>
      <c r="DM176" s="66">
        <v>29.938105212099998</v>
      </c>
      <c r="DN176" s="66">
        <v>31.413279789100002</v>
      </c>
      <c r="DO176" s="66">
        <v>34.554527266000001</v>
      </c>
      <c r="DP176" s="79"/>
      <c r="DQ176" s="80"/>
      <c r="DR176" s="81"/>
      <c r="DS176" s="84">
        <f t="shared" si="20"/>
        <v>2020</v>
      </c>
      <c r="DT176" s="80"/>
      <c r="DU176" s="83">
        <f t="shared" si="26"/>
        <v>-96</v>
      </c>
      <c r="DV176" s="83">
        <f t="shared" si="26"/>
        <v>-96</v>
      </c>
      <c r="DW176" s="83">
        <f t="shared" si="26"/>
        <v>-96</v>
      </c>
      <c r="DX176" s="83">
        <f t="shared" si="26"/>
        <v>-96</v>
      </c>
      <c r="DY176" s="83">
        <f t="shared" si="26"/>
        <v>-96</v>
      </c>
      <c r="DZ176" s="83">
        <f t="shared" si="26"/>
        <v>-96</v>
      </c>
      <c r="EA176" s="83">
        <f t="shared" si="26"/>
        <v>33.762637762500006</v>
      </c>
      <c r="EB176" s="83">
        <f t="shared" si="26"/>
        <v>66.29532205320001</v>
      </c>
      <c r="EC176" s="83">
        <f t="shared" si="26"/>
        <v>295.47508194360006</v>
      </c>
      <c r="ED176" s="83">
        <f t="shared" si="26"/>
        <v>308.68891571</v>
      </c>
    </row>
    <row r="177" spans="2:134" x14ac:dyDescent="0.3">
      <c r="B177" s="45">
        <f t="shared" si="21"/>
        <v>1000000173</v>
      </c>
      <c r="C177" s="46">
        <v>44197</v>
      </c>
      <c r="D177" s="66">
        <v>-8</v>
      </c>
      <c r="E177" s="66">
        <v>-8</v>
      </c>
      <c r="F177" s="66">
        <v>-8</v>
      </c>
      <c r="G177" s="66">
        <v>-8</v>
      </c>
      <c r="H177" s="66">
        <v>-8</v>
      </c>
      <c r="I177" s="66">
        <v>-8</v>
      </c>
      <c r="J177" s="66">
        <v>-8</v>
      </c>
      <c r="K177" s="66">
        <v>-8</v>
      </c>
      <c r="L177" s="66">
        <v>-8</v>
      </c>
      <c r="M177" s="66">
        <v>-8</v>
      </c>
      <c r="N177" s="66">
        <v>-8</v>
      </c>
      <c r="O177" s="66">
        <v>-8</v>
      </c>
      <c r="P177" s="66">
        <v>-8</v>
      </c>
      <c r="Q177" s="66">
        <v>-8</v>
      </c>
      <c r="R177" s="66">
        <v>-8</v>
      </c>
      <c r="S177" s="66">
        <v>-8</v>
      </c>
      <c r="T177" s="66">
        <v>-8</v>
      </c>
      <c r="U177" s="66">
        <v>-8</v>
      </c>
      <c r="V177" s="66">
        <v>-8</v>
      </c>
      <c r="W177" s="66">
        <v>-8</v>
      </c>
      <c r="X177" s="66">
        <v>-8</v>
      </c>
      <c r="Y177" s="66">
        <v>-8</v>
      </c>
      <c r="Z177" s="66">
        <v>-8</v>
      </c>
      <c r="AA177" s="66">
        <v>-8</v>
      </c>
      <c r="AB177" s="66">
        <v>-8</v>
      </c>
      <c r="AC177" s="66">
        <v>-8</v>
      </c>
      <c r="AD177" s="66">
        <v>-8</v>
      </c>
      <c r="AE177" s="66">
        <v>-8</v>
      </c>
      <c r="AF177" s="66">
        <v>-8</v>
      </c>
      <c r="AG177" s="66">
        <v>-8</v>
      </c>
      <c r="AH177" s="66">
        <v>-8</v>
      </c>
      <c r="AI177" s="66">
        <v>-8</v>
      </c>
      <c r="AJ177" s="66">
        <v>-8</v>
      </c>
      <c r="AK177" s="66">
        <v>-8</v>
      </c>
      <c r="AL177" s="66">
        <v>-8</v>
      </c>
      <c r="AM177" s="66">
        <v>-8</v>
      </c>
      <c r="AN177" s="66">
        <v>-8</v>
      </c>
      <c r="AO177" s="66">
        <v>-8</v>
      </c>
      <c r="AP177" s="66">
        <v>-8</v>
      </c>
      <c r="AQ177" s="66">
        <v>-8</v>
      </c>
      <c r="AR177" s="66">
        <v>-8</v>
      </c>
      <c r="AS177" s="66">
        <v>-8</v>
      </c>
      <c r="AT177" s="66">
        <v>-8</v>
      </c>
      <c r="AU177" s="66">
        <v>-8</v>
      </c>
      <c r="AV177" s="66">
        <v>-8</v>
      </c>
      <c r="AW177" s="66">
        <v>-8</v>
      </c>
      <c r="AX177" s="66">
        <v>-8</v>
      </c>
      <c r="AY177" s="66">
        <v>-8</v>
      </c>
      <c r="AZ177" s="66">
        <v>-8</v>
      </c>
      <c r="BA177" s="66">
        <v>-8</v>
      </c>
      <c r="BB177" s="66">
        <v>-8</v>
      </c>
      <c r="BC177" s="66">
        <v>-8</v>
      </c>
      <c r="BD177" s="66">
        <v>-8</v>
      </c>
      <c r="BE177" s="66">
        <v>-8</v>
      </c>
      <c r="BF177" s="66">
        <v>-8</v>
      </c>
      <c r="BG177" s="66">
        <v>-8</v>
      </c>
      <c r="BH177" s="66">
        <v>-8</v>
      </c>
      <c r="BI177" s="66">
        <v>-8</v>
      </c>
      <c r="BJ177" s="66">
        <v>-8</v>
      </c>
      <c r="BK177" s="66">
        <v>-8</v>
      </c>
      <c r="BL177" s="66">
        <v>-8</v>
      </c>
      <c r="BM177" s="66">
        <v>-8</v>
      </c>
      <c r="BN177" s="66">
        <v>-8</v>
      </c>
      <c r="BO177" s="66">
        <v>-8</v>
      </c>
      <c r="BP177" s="66">
        <v>-8</v>
      </c>
      <c r="BQ177" s="66">
        <v>-8</v>
      </c>
      <c r="BR177" s="66">
        <v>-8</v>
      </c>
      <c r="BS177" s="66">
        <v>-8</v>
      </c>
      <c r="BT177" s="66">
        <v>-8</v>
      </c>
      <c r="BU177" s="66">
        <v>-8</v>
      </c>
      <c r="BV177" s="66">
        <v>-8</v>
      </c>
      <c r="BW177" s="66">
        <v>-8</v>
      </c>
      <c r="BX177" s="66">
        <v>-8</v>
      </c>
      <c r="BY177" s="66">
        <v>-8</v>
      </c>
      <c r="BZ177" s="66">
        <v>-8</v>
      </c>
      <c r="CA177" s="66">
        <v>-8</v>
      </c>
      <c r="CB177" s="66">
        <v>-8</v>
      </c>
      <c r="CC177" s="66">
        <v>-8</v>
      </c>
      <c r="CD177" s="66">
        <v>-8</v>
      </c>
      <c r="CE177" s="66">
        <v>-8</v>
      </c>
      <c r="CF177" s="66">
        <v>-8</v>
      </c>
      <c r="CG177" s="66">
        <v>-8</v>
      </c>
      <c r="CH177" s="66">
        <v>-8</v>
      </c>
      <c r="CI177" s="66">
        <v>-8</v>
      </c>
      <c r="CJ177" s="66">
        <v>-5.8609781000000005</v>
      </c>
      <c r="CK177" s="66">
        <v>18.396618520300002</v>
      </c>
      <c r="CL177" s="66">
        <v>31.744227756400001</v>
      </c>
      <c r="CM177" s="66">
        <v>28.692031138600001</v>
      </c>
      <c r="CN177" s="66">
        <v>26.163144352300002</v>
      </c>
      <c r="CO177" s="66">
        <v>42.0022262548</v>
      </c>
      <c r="CP177" s="66">
        <v>39.441404246800005</v>
      </c>
      <c r="CQ177" s="66">
        <v>42.363871062699999</v>
      </c>
      <c r="CR177" s="66">
        <v>44.133930448300006</v>
      </c>
      <c r="CS177" s="66">
        <v>38.2867827412</v>
      </c>
      <c r="CT177" s="66">
        <v>28.606245102399996</v>
      </c>
      <c r="CU177" s="66">
        <v>21.558730842399999</v>
      </c>
      <c r="CV177" s="66">
        <v>22.361689642300011</v>
      </c>
      <c r="CW177" s="66">
        <v>22.2605176591</v>
      </c>
      <c r="CX177" s="66">
        <v>20.295732227200006</v>
      </c>
      <c r="CY177" s="66">
        <v>41.50473479290001</v>
      </c>
      <c r="CZ177" s="66">
        <v>31.105973642799995</v>
      </c>
      <c r="DA177" s="66">
        <v>36.221012959600003</v>
      </c>
      <c r="DB177" s="66">
        <v>41.294960539899996</v>
      </c>
      <c r="DC177" s="66">
        <v>35.702469019000006</v>
      </c>
      <c r="DD177" s="66">
        <v>32.956940593600009</v>
      </c>
      <c r="DE177" s="66">
        <v>10.529896399299997</v>
      </c>
      <c r="DF177" s="66">
        <v>29.679283562199998</v>
      </c>
      <c r="DG177" s="66">
        <v>31.364795292700009</v>
      </c>
      <c r="DH177" s="66">
        <v>28.491525980500001</v>
      </c>
      <c r="DI177" s="66">
        <v>52.360758782500014</v>
      </c>
      <c r="DJ177" s="66">
        <v>33.7496546044</v>
      </c>
      <c r="DK177" s="66">
        <v>51.664676024200013</v>
      </c>
      <c r="DL177" s="66">
        <v>41.842062299200002</v>
      </c>
      <c r="DM177" s="66">
        <v>40.319303866599995</v>
      </c>
      <c r="DN177" s="66">
        <v>36.178570261899992</v>
      </c>
      <c r="DO177" s="66">
        <v>37.996138449699998</v>
      </c>
      <c r="DP177" s="79"/>
      <c r="DQ177" s="80"/>
      <c r="DR177" s="81"/>
      <c r="DS177" s="84">
        <f t="shared" si="20"/>
        <v>2021</v>
      </c>
      <c r="DT177" s="80"/>
      <c r="DU177" s="83">
        <f t="shared" si="26"/>
        <v>-96</v>
      </c>
      <c r="DV177" s="83">
        <f t="shared" si="26"/>
        <v>-96</v>
      </c>
      <c r="DW177" s="83">
        <f t="shared" si="26"/>
        <v>-96</v>
      </c>
      <c r="DX177" s="83">
        <f t="shared" si="26"/>
        <v>-96</v>
      </c>
      <c r="DY177" s="83">
        <f t="shared" si="26"/>
        <v>-96</v>
      </c>
      <c r="DZ177" s="83">
        <f t="shared" si="26"/>
        <v>-96</v>
      </c>
      <c r="EA177" s="83">
        <f t="shared" si="26"/>
        <v>-96</v>
      </c>
      <c r="EB177" s="83">
        <f t="shared" si="26"/>
        <v>355.52823436620002</v>
      </c>
      <c r="EC177" s="83">
        <f t="shared" si="26"/>
        <v>355.27800633060008</v>
      </c>
      <c r="ED177" s="83">
        <f t="shared" si="26"/>
        <v>322.60269026900005</v>
      </c>
    </row>
    <row r="178" spans="2:134" x14ac:dyDescent="0.3">
      <c r="B178" s="45">
        <f t="shared" si="21"/>
        <v>1000000174</v>
      </c>
      <c r="C178" s="46">
        <v>43040</v>
      </c>
      <c r="D178" s="66">
        <v>-8</v>
      </c>
      <c r="E178" s="66">
        <v>-8</v>
      </c>
      <c r="F178" s="66">
        <v>-8</v>
      </c>
      <c r="G178" s="66">
        <v>-8</v>
      </c>
      <c r="H178" s="66">
        <v>-8</v>
      </c>
      <c r="I178" s="66">
        <v>-8</v>
      </c>
      <c r="J178" s="66">
        <v>-8</v>
      </c>
      <c r="K178" s="66">
        <v>-8</v>
      </c>
      <c r="L178" s="66">
        <v>-8</v>
      </c>
      <c r="M178" s="66">
        <v>-8</v>
      </c>
      <c r="N178" s="66">
        <v>-8</v>
      </c>
      <c r="O178" s="66">
        <v>-8</v>
      </c>
      <c r="P178" s="66">
        <v>-8</v>
      </c>
      <c r="Q178" s="66">
        <v>-8</v>
      </c>
      <c r="R178" s="66">
        <v>-8</v>
      </c>
      <c r="S178" s="66">
        <v>-8</v>
      </c>
      <c r="T178" s="66">
        <v>-8</v>
      </c>
      <c r="U178" s="66">
        <v>-8</v>
      </c>
      <c r="V178" s="66">
        <v>-8</v>
      </c>
      <c r="W178" s="66">
        <v>-8</v>
      </c>
      <c r="X178" s="66">
        <v>-8</v>
      </c>
      <c r="Y178" s="66">
        <v>-8</v>
      </c>
      <c r="Z178" s="66">
        <v>-8</v>
      </c>
      <c r="AA178" s="66">
        <v>-8</v>
      </c>
      <c r="AB178" s="66">
        <v>-8</v>
      </c>
      <c r="AC178" s="66">
        <v>-8</v>
      </c>
      <c r="AD178" s="66">
        <v>-8</v>
      </c>
      <c r="AE178" s="66">
        <v>-8</v>
      </c>
      <c r="AF178" s="66">
        <v>-8</v>
      </c>
      <c r="AG178" s="66">
        <v>-8</v>
      </c>
      <c r="AH178" s="66">
        <v>-8</v>
      </c>
      <c r="AI178" s="66">
        <v>-8</v>
      </c>
      <c r="AJ178" s="66">
        <v>-8</v>
      </c>
      <c r="AK178" s="66">
        <v>-8</v>
      </c>
      <c r="AL178" s="66">
        <v>-8</v>
      </c>
      <c r="AM178" s="66">
        <v>-8</v>
      </c>
      <c r="AN178" s="66">
        <v>-8</v>
      </c>
      <c r="AO178" s="66">
        <v>-8</v>
      </c>
      <c r="AP178" s="66">
        <v>-8</v>
      </c>
      <c r="AQ178" s="66">
        <v>-8</v>
      </c>
      <c r="AR178" s="66">
        <v>-8</v>
      </c>
      <c r="AS178" s="66">
        <v>-8</v>
      </c>
      <c r="AT178" s="66">
        <v>-8</v>
      </c>
      <c r="AU178" s="66">
        <v>-8</v>
      </c>
      <c r="AV178" s="66">
        <v>-8</v>
      </c>
      <c r="AW178" s="66">
        <v>-8</v>
      </c>
      <c r="AX178" s="66">
        <v>-2.4239451736999991</v>
      </c>
      <c r="AY178" s="66">
        <v>7.0616037319</v>
      </c>
      <c r="AZ178" s="66">
        <v>19.385184378400002</v>
      </c>
      <c r="BA178" s="66">
        <v>23.524829708799999</v>
      </c>
      <c r="BB178" s="66">
        <v>37.477519455699998</v>
      </c>
      <c r="BC178" s="66">
        <v>43.450006340799995</v>
      </c>
      <c r="BD178" s="66">
        <v>25.064400103000004</v>
      </c>
      <c r="BE178" s="66">
        <v>13.819899715000002</v>
      </c>
      <c r="BF178" s="66">
        <v>22.323037141299999</v>
      </c>
      <c r="BG178" s="66">
        <v>22.604750078199999</v>
      </c>
      <c r="BH178" s="66">
        <v>10.485915106899995</v>
      </c>
      <c r="BI178" s="66">
        <v>19.164677489200002</v>
      </c>
      <c r="BJ178" s="66">
        <v>18.054412543000002</v>
      </c>
      <c r="BK178" s="66">
        <v>14.9046840319</v>
      </c>
      <c r="BL178" s="66">
        <v>19.460387885200003</v>
      </c>
      <c r="BM178" s="66">
        <v>36.951169961500014</v>
      </c>
      <c r="BN178" s="66">
        <v>25.430060267800009</v>
      </c>
      <c r="BO178" s="66">
        <v>37.137002179900001</v>
      </c>
      <c r="BP178" s="66">
        <v>26.698725414699993</v>
      </c>
      <c r="BQ178" s="66">
        <v>30.039089561800004</v>
      </c>
      <c r="BR178" s="66">
        <v>35.185200986200002</v>
      </c>
      <c r="BS178" s="66">
        <v>26.243113749999999</v>
      </c>
      <c r="BT178" s="66">
        <v>16.059605751099998</v>
      </c>
      <c r="BU178" s="66">
        <v>2.7414925011999998</v>
      </c>
      <c r="BV178" s="66">
        <v>2.4127210825000009</v>
      </c>
      <c r="BW178" s="66">
        <v>-0.50051416519999936</v>
      </c>
      <c r="BX178" s="66">
        <v>-1.4141392033999995</v>
      </c>
      <c r="BY178" s="66">
        <v>3.7072796524000005</v>
      </c>
      <c r="BZ178" s="66">
        <v>-2.4926940880999995</v>
      </c>
      <c r="CA178" s="66">
        <v>2.1531113718999997</v>
      </c>
      <c r="CB178" s="66">
        <v>-0.91086862969999949</v>
      </c>
      <c r="CC178" s="66">
        <v>-2.8123840454</v>
      </c>
      <c r="CD178" s="66">
        <v>-0.93045756709999949</v>
      </c>
      <c r="CE178" s="66">
        <v>2.6927077912000001</v>
      </c>
      <c r="CF178" s="66">
        <v>-3.7429711519999991</v>
      </c>
      <c r="CG178" s="66">
        <v>1.2832049392000027</v>
      </c>
      <c r="CH178" s="66">
        <v>-2.7709545685999997</v>
      </c>
      <c r="CI178" s="66">
        <v>-4.7048555263999994</v>
      </c>
      <c r="CJ178" s="66">
        <v>-2.4637985290999991</v>
      </c>
      <c r="CK178" s="66">
        <v>-0.87777008029999948</v>
      </c>
      <c r="CL178" s="66">
        <v>-3.2443163624000002</v>
      </c>
      <c r="CM178" s="66">
        <v>-3.1456211414000004</v>
      </c>
      <c r="CN178" s="66">
        <v>-1.9887105071000004</v>
      </c>
      <c r="CO178" s="66">
        <v>-5.8726864303999999</v>
      </c>
      <c r="CP178" s="66">
        <v>-4.0055454718999997</v>
      </c>
      <c r="CQ178" s="66">
        <v>20.817128197000006</v>
      </c>
      <c r="CR178" s="66">
        <v>12.504213612999997</v>
      </c>
      <c r="CS178" s="66">
        <v>9.1515407083000007</v>
      </c>
      <c r="CT178" s="66">
        <v>13.558976569900004</v>
      </c>
      <c r="CU178" s="66">
        <v>18.515578159300002</v>
      </c>
      <c r="CV178" s="66">
        <v>12.234133953100002</v>
      </c>
      <c r="CW178" s="66">
        <v>21.305275510600001</v>
      </c>
      <c r="CX178" s="66">
        <v>32.531050075300001</v>
      </c>
      <c r="CY178" s="66">
        <v>32.181413811399999</v>
      </c>
      <c r="CZ178" s="66">
        <v>8.1710806173999941</v>
      </c>
      <c r="DA178" s="66">
        <v>14.922546741100003</v>
      </c>
      <c r="DB178" s="66">
        <v>12.013852224099995</v>
      </c>
      <c r="DC178" s="66">
        <v>28.625008452400003</v>
      </c>
      <c r="DD178" s="66">
        <v>30.068998341700002</v>
      </c>
      <c r="DE178" s="66">
        <v>22.1784467662</v>
      </c>
      <c r="DF178" s="66">
        <v>27.781483289800001</v>
      </c>
      <c r="DG178" s="66">
        <v>18.249401276199997</v>
      </c>
      <c r="DH178" s="66">
        <v>28.738451666500005</v>
      </c>
      <c r="DI178" s="66">
        <v>45.340563960099999</v>
      </c>
      <c r="DJ178" s="66">
        <v>39.556836376000007</v>
      </c>
      <c r="DK178" s="66">
        <v>48.086842919499993</v>
      </c>
      <c r="DL178" s="66">
        <v>38.698338060100006</v>
      </c>
      <c r="DM178" s="66">
        <v>39.296851398400001</v>
      </c>
      <c r="DN178" s="66">
        <v>31.139635092700004</v>
      </c>
      <c r="DO178" s="66">
        <v>54.182567487400014</v>
      </c>
      <c r="DP178" s="79"/>
      <c r="DQ178" s="80"/>
      <c r="DR178" s="81"/>
      <c r="DS178" s="84">
        <f t="shared" si="20"/>
        <v>2017</v>
      </c>
      <c r="DT178" s="80"/>
      <c r="DU178" s="83">
        <f t="shared" si="26"/>
        <v>-96</v>
      </c>
      <c r="DV178" s="83">
        <f t="shared" si="26"/>
        <v>-96</v>
      </c>
      <c r="DW178" s="83">
        <f t="shared" si="26"/>
        <v>-96</v>
      </c>
      <c r="DX178" s="83">
        <f t="shared" si="26"/>
        <v>-75.362341441799998</v>
      </c>
      <c r="DY178" s="83">
        <f t="shared" si="26"/>
        <v>270.25931609219998</v>
      </c>
      <c r="DZ178" s="83">
        <f t="shared" si="26"/>
        <v>257.85805517670008</v>
      </c>
      <c r="EA178" s="83">
        <f t="shared" si="26"/>
        <v>-9.9430210259999932</v>
      </c>
      <c r="EB178" s="83">
        <f t="shared" si="26"/>
        <v>52.948988724900019</v>
      </c>
      <c r="EC178" s="83">
        <f t="shared" si="26"/>
        <v>260.26269105930004</v>
      </c>
      <c r="ED178" s="83">
        <f t="shared" si="26"/>
        <v>325.04008696070008</v>
      </c>
    </row>
    <row r="179" spans="2:134" x14ac:dyDescent="0.3">
      <c r="B179" s="45">
        <f t="shared" si="21"/>
        <v>1000000175</v>
      </c>
      <c r="C179" s="46">
        <v>42948</v>
      </c>
      <c r="D179" s="66">
        <v>-8</v>
      </c>
      <c r="E179" s="66">
        <v>-8</v>
      </c>
      <c r="F179" s="66">
        <v>-8</v>
      </c>
      <c r="G179" s="66">
        <v>-8</v>
      </c>
      <c r="H179" s="66">
        <v>-8</v>
      </c>
      <c r="I179" s="66">
        <v>-8</v>
      </c>
      <c r="J179" s="66">
        <v>-8</v>
      </c>
      <c r="K179" s="66">
        <v>-8</v>
      </c>
      <c r="L179" s="66">
        <v>-8</v>
      </c>
      <c r="M179" s="66">
        <v>-8</v>
      </c>
      <c r="N179" s="66">
        <v>-8</v>
      </c>
      <c r="O179" s="66">
        <v>-8</v>
      </c>
      <c r="P179" s="66">
        <v>-8</v>
      </c>
      <c r="Q179" s="66">
        <v>-8</v>
      </c>
      <c r="R179" s="66">
        <v>-8</v>
      </c>
      <c r="S179" s="66">
        <v>-8</v>
      </c>
      <c r="T179" s="66">
        <v>-8</v>
      </c>
      <c r="U179" s="66">
        <v>-8</v>
      </c>
      <c r="V179" s="66">
        <v>-8</v>
      </c>
      <c r="W179" s="66">
        <v>-8</v>
      </c>
      <c r="X179" s="66">
        <v>-8</v>
      </c>
      <c r="Y179" s="66">
        <v>-8</v>
      </c>
      <c r="Z179" s="66">
        <v>-8</v>
      </c>
      <c r="AA179" s="66">
        <v>-8</v>
      </c>
      <c r="AB179" s="66">
        <v>-8</v>
      </c>
      <c r="AC179" s="66">
        <v>-8</v>
      </c>
      <c r="AD179" s="66">
        <v>-8</v>
      </c>
      <c r="AE179" s="66">
        <v>-8</v>
      </c>
      <c r="AF179" s="66">
        <v>-8</v>
      </c>
      <c r="AG179" s="66">
        <v>-8</v>
      </c>
      <c r="AH179" s="66">
        <v>-8</v>
      </c>
      <c r="AI179" s="66">
        <v>-8</v>
      </c>
      <c r="AJ179" s="66">
        <v>-8</v>
      </c>
      <c r="AK179" s="66">
        <v>-8</v>
      </c>
      <c r="AL179" s="66">
        <v>-8</v>
      </c>
      <c r="AM179" s="66">
        <v>-8</v>
      </c>
      <c r="AN179" s="66">
        <v>-8</v>
      </c>
      <c r="AO179" s="66">
        <v>-8</v>
      </c>
      <c r="AP179" s="66">
        <v>-8</v>
      </c>
      <c r="AQ179" s="66">
        <v>-8</v>
      </c>
      <c r="AR179" s="66">
        <v>-8</v>
      </c>
      <c r="AS179" s="66">
        <v>-8</v>
      </c>
      <c r="AT179" s="66">
        <v>-8</v>
      </c>
      <c r="AU179" s="66">
        <v>-8</v>
      </c>
      <c r="AV179" s="66">
        <v>-4.7366406412999993</v>
      </c>
      <c r="AW179" s="66">
        <v>5.1737480350000009</v>
      </c>
      <c r="AX179" s="66">
        <v>7.0449043504000013</v>
      </c>
      <c r="AY179" s="66">
        <v>10.386169138300001</v>
      </c>
      <c r="AZ179" s="66">
        <v>6.5252721355000016</v>
      </c>
      <c r="BA179" s="66">
        <v>21.502290685600006</v>
      </c>
      <c r="BB179" s="66">
        <v>24.245229768700007</v>
      </c>
      <c r="BC179" s="66">
        <v>10.501226000499997</v>
      </c>
      <c r="BD179" s="66">
        <v>17.468920969599999</v>
      </c>
      <c r="BE179" s="66">
        <v>11.943302028100003</v>
      </c>
      <c r="BF179" s="66">
        <v>14.921158253200002</v>
      </c>
      <c r="BG179" s="66">
        <v>10.3048487794</v>
      </c>
      <c r="BH179" s="66">
        <v>12.488377345600004</v>
      </c>
      <c r="BI179" s="66">
        <v>14.599029060400003</v>
      </c>
      <c r="BJ179" s="66">
        <v>6.8553194620000024</v>
      </c>
      <c r="BK179" s="66">
        <v>8.9023634202999986</v>
      </c>
      <c r="BL179" s="66">
        <v>11.477483101000004</v>
      </c>
      <c r="BM179" s="66">
        <v>35.070556917699996</v>
      </c>
      <c r="BN179" s="66">
        <v>19.396029594700007</v>
      </c>
      <c r="BO179" s="66">
        <v>14.633816311300002</v>
      </c>
      <c r="BP179" s="66">
        <v>10.484376512200001</v>
      </c>
      <c r="BQ179" s="66">
        <v>9.2077557049000021</v>
      </c>
      <c r="BR179" s="66">
        <v>8.5079202766000002</v>
      </c>
      <c r="BS179" s="66">
        <v>6.6682113358000006</v>
      </c>
      <c r="BT179" s="66">
        <v>9.0512693659000014</v>
      </c>
      <c r="BU179" s="66">
        <v>9.0107405299000014</v>
      </c>
      <c r="BV179" s="66">
        <v>8.7804391720000012</v>
      </c>
      <c r="BW179" s="66">
        <v>4.459652460700001</v>
      </c>
      <c r="BX179" s="66">
        <v>16.920318142300005</v>
      </c>
      <c r="BY179" s="66">
        <v>17.296861050100002</v>
      </c>
      <c r="BZ179" s="66">
        <v>8.3519968380999998</v>
      </c>
      <c r="CA179" s="66">
        <v>13.960662366699999</v>
      </c>
      <c r="CB179" s="66">
        <v>9.174356941899994</v>
      </c>
      <c r="CC179" s="66">
        <v>10.987459452400003</v>
      </c>
      <c r="CD179" s="66">
        <v>14.0090718097</v>
      </c>
      <c r="CE179" s="66">
        <v>9.1985616634000031</v>
      </c>
      <c r="CF179" s="66">
        <v>13.889211529900003</v>
      </c>
      <c r="CG179" s="66">
        <v>13.800160670800004</v>
      </c>
      <c r="CH179" s="66">
        <v>12.647490553600001</v>
      </c>
      <c r="CI179" s="66">
        <v>9.7017196570000017</v>
      </c>
      <c r="CJ179" s="66">
        <v>13.6171429549</v>
      </c>
      <c r="CK179" s="66">
        <v>27.110580947199999</v>
      </c>
      <c r="CL179" s="66">
        <v>18.830277065499999</v>
      </c>
      <c r="CM179" s="66">
        <v>17.040478635700001</v>
      </c>
      <c r="CN179" s="66">
        <v>21.381492238299998</v>
      </c>
      <c r="CO179" s="66">
        <v>17.927422190200001</v>
      </c>
      <c r="CP179" s="66">
        <v>13.811080940500002</v>
      </c>
      <c r="CQ179" s="66">
        <v>13.527941989000002</v>
      </c>
      <c r="CR179" s="66">
        <v>16.049623648899999</v>
      </c>
      <c r="CS179" s="66">
        <v>12.024021959800002</v>
      </c>
      <c r="CT179" s="66">
        <v>16.658044036000003</v>
      </c>
      <c r="CU179" s="66">
        <v>14.660910588699998</v>
      </c>
      <c r="CV179" s="66">
        <v>19.463615181400002</v>
      </c>
      <c r="CW179" s="66">
        <v>24.193855716400002</v>
      </c>
      <c r="CX179" s="66">
        <v>28.473813378100004</v>
      </c>
      <c r="CY179" s="66">
        <v>30.606943586199996</v>
      </c>
      <c r="CZ179" s="66">
        <v>24.172052703700004</v>
      </c>
      <c r="DA179" s="66">
        <v>23.826581903499999</v>
      </c>
      <c r="DB179" s="66">
        <v>26.001554382100011</v>
      </c>
      <c r="DC179" s="66">
        <v>23.303534758900003</v>
      </c>
      <c r="DD179" s="66">
        <v>21.800928164200005</v>
      </c>
      <c r="DE179" s="66">
        <v>37.8022755175</v>
      </c>
      <c r="DF179" s="66">
        <v>26.299178639799997</v>
      </c>
      <c r="DG179" s="66">
        <v>23.863283016100006</v>
      </c>
      <c r="DH179" s="66">
        <v>33.882424068999995</v>
      </c>
      <c r="DI179" s="66">
        <v>33.168516128199997</v>
      </c>
      <c r="DJ179" s="66">
        <v>43.392402856300009</v>
      </c>
      <c r="DK179" s="66">
        <v>52.706267109400002</v>
      </c>
      <c r="DL179" s="66">
        <v>28.3073824636</v>
      </c>
      <c r="DM179" s="66">
        <v>32.641228466500003</v>
      </c>
      <c r="DN179" s="66">
        <v>33.233324739099999</v>
      </c>
      <c r="DO179" s="66">
        <v>31.043566740700001</v>
      </c>
      <c r="DP179" s="79"/>
      <c r="DQ179" s="80"/>
      <c r="DR179" s="81"/>
      <c r="DS179" s="84">
        <f t="shared" si="20"/>
        <v>2017</v>
      </c>
      <c r="DT179" s="80"/>
      <c r="DU179" s="83">
        <f t="shared" si="26"/>
        <v>-96</v>
      </c>
      <c r="DV179" s="83">
        <f t="shared" si="26"/>
        <v>-96</v>
      </c>
      <c r="DW179" s="83">
        <f t="shared" si="26"/>
        <v>-96</v>
      </c>
      <c r="DX179" s="83">
        <f t="shared" si="26"/>
        <v>-46.131819117599989</v>
      </c>
      <c r="DY179" s="83">
        <f t="shared" si="26"/>
        <v>160.25733790890004</v>
      </c>
      <c r="DZ179" s="83">
        <f t="shared" si="26"/>
        <v>146.74825128270001</v>
      </c>
      <c r="EA179" s="83">
        <f t="shared" si="26"/>
        <v>149.93787067590003</v>
      </c>
      <c r="EB179" s="83">
        <f t="shared" si="26"/>
        <v>202.63901719469999</v>
      </c>
      <c r="EC179" s="83">
        <f t="shared" si="26"/>
        <v>309.8076169479001</v>
      </c>
      <c r="ED179" s="83">
        <f t="shared" si="26"/>
        <v>288.37511257279999</v>
      </c>
    </row>
    <row r="180" spans="2:134" x14ac:dyDescent="0.3">
      <c r="B180" s="45">
        <f t="shared" si="21"/>
        <v>1000000176</v>
      </c>
      <c r="C180" s="46">
        <v>43800</v>
      </c>
      <c r="D180" s="66">
        <v>-8</v>
      </c>
      <c r="E180" s="66">
        <v>-8</v>
      </c>
      <c r="F180" s="66">
        <v>-8</v>
      </c>
      <c r="G180" s="66">
        <v>-8</v>
      </c>
      <c r="H180" s="66">
        <v>-8</v>
      </c>
      <c r="I180" s="66">
        <v>-8</v>
      </c>
      <c r="J180" s="66">
        <v>-8</v>
      </c>
      <c r="K180" s="66">
        <v>-8</v>
      </c>
      <c r="L180" s="66">
        <v>-8</v>
      </c>
      <c r="M180" s="66">
        <v>-8</v>
      </c>
      <c r="N180" s="66">
        <v>-8</v>
      </c>
      <c r="O180" s="66">
        <v>-8</v>
      </c>
      <c r="P180" s="66">
        <v>-8</v>
      </c>
      <c r="Q180" s="66">
        <v>-8</v>
      </c>
      <c r="R180" s="66">
        <v>-8</v>
      </c>
      <c r="S180" s="66">
        <v>-8</v>
      </c>
      <c r="T180" s="66">
        <v>-8</v>
      </c>
      <c r="U180" s="66">
        <v>-8</v>
      </c>
      <c r="V180" s="66">
        <v>-8</v>
      </c>
      <c r="W180" s="66">
        <v>-8</v>
      </c>
      <c r="X180" s="66">
        <v>-8</v>
      </c>
      <c r="Y180" s="66">
        <v>-8</v>
      </c>
      <c r="Z180" s="66">
        <v>-8</v>
      </c>
      <c r="AA180" s="66">
        <v>-8</v>
      </c>
      <c r="AB180" s="66">
        <v>-8</v>
      </c>
      <c r="AC180" s="66">
        <v>-8</v>
      </c>
      <c r="AD180" s="66">
        <v>-8</v>
      </c>
      <c r="AE180" s="66">
        <v>-8</v>
      </c>
      <c r="AF180" s="66">
        <v>-8</v>
      </c>
      <c r="AG180" s="66">
        <v>-8</v>
      </c>
      <c r="AH180" s="66">
        <v>-8</v>
      </c>
      <c r="AI180" s="66">
        <v>-8</v>
      </c>
      <c r="AJ180" s="66">
        <v>-8</v>
      </c>
      <c r="AK180" s="66">
        <v>-8</v>
      </c>
      <c r="AL180" s="66">
        <v>-8</v>
      </c>
      <c r="AM180" s="66">
        <v>-8</v>
      </c>
      <c r="AN180" s="66">
        <v>-8</v>
      </c>
      <c r="AO180" s="66">
        <v>-8</v>
      </c>
      <c r="AP180" s="66">
        <v>-8</v>
      </c>
      <c r="AQ180" s="66">
        <v>-8</v>
      </c>
      <c r="AR180" s="66">
        <v>-8</v>
      </c>
      <c r="AS180" s="66">
        <v>-8</v>
      </c>
      <c r="AT180" s="66">
        <v>-8</v>
      </c>
      <c r="AU180" s="66">
        <v>-8</v>
      </c>
      <c r="AV180" s="66">
        <v>-8</v>
      </c>
      <c r="AW180" s="66">
        <v>-8</v>
      </c>
      <c r="AX180" s="66">
        <v>-8</v>
      </c>
      <c r="AY180" s="66">
        <v>-8</v>
      </c>
      <c r="AZ180" s="66">
        <v>-8</v>
      </c>
      <c r="BA180" s="66">
        <v>-8</v>
      </c>
      <c r="BB180" s="66">
        <v>-8</v>
      </c>
      <c r="BC180" s="66">
        <v>-8</v>
      </c>
      <c r="BD180" s="66">
        <v>-8</v>
      </c>
      <c r="BE180" s="66">
        <v>-8</v>
      </c>
      <c r="BF180" s="66">
        <v>-8</v>
      </c>
      <c r="BG180" s="66">
        <v>-8</v>
      </c>
      <c r="BH180" s="66">
        <v>-8</v>
      </c>
      <c r="BI180" s="66">
        <v>-8</v>
      </c>
      <c r="BJ180" s="66">
        <v>-8</v>
      </c>
      <c r="BK180" s="66">
        <v>-8</v>
      </c>
      <c r="BL180" s="66">
        <v>-8</v>
      </c>
      <c r="BM180" s="66">
        <v>-8</v>
      </c>
      <c r="BN180" s="66">
        <v>-8</v>
      </c>
      <c r="BO180" s="66">
        <v>-8</v>
      </c>
      <c r="BP180" s="66">
        <v>-8</v>
      </c>
      <c r="BQ180" s="66">
        <v>-8</v>
      </c>
      <c r="BR180" s="66">
        <v>-8</v>
      </c>
      <c r="BS180" s="66">
        <v>-8</v>
      </c>
      <c r="BT180" s="66">
        <v>-8</v>
      </c>
      <c r="BU180" s="66">
        <v>-8</v>
      </c>
      <c r="BV180" s="66">
        <v>-8</v>
      </c>
      <c r="BW180" s="66">
        <v>-5.8674702191000003</v>
      </c>
      <c r="BX180" s="66">
        <v>0.9511311709000001</v>
      </c>
      <c r="BY180" s="66">
        <v>1.5217621711000007</v>
      </c>
      <c r="BZ180" s="66">
        <v>1.9956868653999997</v>
      </c>
      <c r="CA180" s="66">
        <v>4.0598429989000024</v>
      </c>
      <c r="CB180" s="66">
        <v>-0.91589720750000048</v>
      </c>
      <c r="CC180" s="66">
        <v>-1.1893917970999999</v>
      </c>
      <c r="CD180" s="66">
        <v>-0.48873078139999926</v>
      </c>
      <c r="CE180" s="66">
        <v>-0.28638681500000018</v>
      </c>
      <c r="CF180" s="66">
        <v>-1.7352927020000015</v>
      </c>
      <c r="CG180" s="66">
        <v>-1.8005516332999996</v>
      </c>
      <c r="CH180" s="66">
        <v>-4.2349837156999985</v>
      </c>
      <c r="CI180" s="66">
        <v>8.2850492053000018</v>
      </c>
      <c r="CJ180" s="66">
        <v>11.888813259700001</v>
      </c>
      <c r="CK180" s="66">
        <v>11.285458977099999</v>
      </c>
      <c r="CL180" s="66">
        <v>26.4081937033</v>
      </c>
      <c r="CM180" s="66">
        <v>39.227614636900007</v>
      </c>
      <c r="CN180" s="66">
        <v>29.679133455399999</v>
      </c>
      <c r="CO180" s="66">
        <v>33.295468954299999</v>
      </c>
      <c r="CP180" s="66">
        <v>26.761732744000007</v>
      </c>
      <c r="CQ180" s="66">
        <v>23.991286589800005</v>
      </c>
      <c r="CR180" s="66">
        <v>2.1384759589000009</v>
      </c>
      <c r="CS180" s="66">
        <v>15.9952849873</v>
      </c>
      <c r="CT180" s="66">
        <v>19.623854190399999</v>
      </c>
      <c r="CU180" s="66">
        <v>22.397640220899994</v>
      </c>
      <c r="CV180" s="66">
        <v>18.228348797500001</v>
      </c>
      <c r="CW180" s="66">
        <v>40.197379618299998</v>
      </c>
      <c r="CX180" s="66">
        <v>50.134112038000012</v>
      </c>
      <c r="CY180" s="66">
        <v>45.489507432400011</v>
      </c>
      <c r="CZ180" s="66">
        <v>29.438474728300001</v>
      </c>
      <c r="DA180" s="66">
        <v>21.384832114600002</v>
      </c>
      <c r="DB180" s="66">
        <v>28.789975825600003</v>
      </c>
      <c r="DC180" s="66">
        <v>27.694871666199994</v>
      </c>
      <c r="DD180" s="66">
        <v>23.989522834900004</v>
      </c>
      <c r="DE180" s="66">
        <v>19.426688908600003</v>
      </c>
      <c r="DF180" s="66">
        <v>21.656975743</v>
      </c>
      <c r="DG180" s="66">
        <v>25.961475866499995</v>
      </c>
      <c r="DH180" s="66">
        <v>35.87460399190001</v>
      </c>
      <c r="DI180" s="66">
        <v>46.097139758800004</v>
      </c>
      <c r="DJ180" s="66">
        <v>60.378488344299996</v>
      </c>
      <c r="DK180" s="66">
        <v>29.622543191799998</v>
      </c>
      <c r="DL180" s="66">
        <v>34.055497209400009</v>
      </c>
      <c r="DM180" s="66">
        <v>28.806149833300005</v>
      </c>
      <c r="DN180" s="66">
        <v>32.839444495900004</v>
      </c>
      <c r="DO180" s="66">
        <v>58.211584106200007</v>
      </c>
      <c r="DP180" s="79"/>
      <c r="DQ180" s="80"/>
      <c r="DR180" s="81"/>
      <c r="DS180" s="84">
        <f t="shared" si="20"/>
        <v>2019</v>
      </c>
      <c r="DT180" s="80"/>
      <c r="DU180" s="83">
        <f t="shared" si="26"/>
        <v>-96</v>
      </c>
      <c r="DV180" s="83">
        <f t="shared" si="26"/>
        <v>-96</v>
      </c>
      <c r="DW180" s="83">
        <f t="shared" si="26"/>
        <v>-96</v>
      </c>
      <c r="DX180" s="83">
        <f t="shared" si="26"/>
        <v>-96</v>
      </c>
      <c r="DY180" s="83">
        <f t="shared" si="26"/>
        <v>-96</v>
      </c>
      <c r="DZ180" s="83">
        <f t="shared" si="26"/>
        <v>-93.867470219099999</v>
      </c>
      <c r="EA180" s="83">
        <f t="shared" si="26"/>
        <v>6.1622377596000053</v>
      </c>
      <c r="EB180" s="83">
        <f t="shared" si="26"/>
        <v>262.69295767800003</v>
      </c>
      <c r="EC180" s="83">
        <f t="shared" si="26"/>
        <v>352.3921655739</v>
      </c>
      <c r="ED180" s="83">
        <f t="shared" si="26"/>
        <v>325.88545093160002</v>
      </c>
    </row>
    <row r="181" spans="2:134" x14ac:dyDescent="0.3">
      <c r="B181" s="45">
        <f t="shared" si="21"/>
        <v>1000000177</v>
      </c>
      <c r="C181" s="46">
        <v>43282</v>
      </c>
      <c r="D181" s="66">
        <v>-8</v>
      </c>
      <c r="E181" s="66">
        <v>-8</v>
      </c>
      <c r="F181" s="66">
        <v>-8</v>
      </c>
      <c r="G181" s="66">
        <v>-8</v>
      </c>
      <c r="H181" s="66">
        <v>-8</v>
      </c>
      <c r="I181" s="66">
        <v>-8</v>
      </c>
      <c r="J181" s="66">
        <v>-8</v>
      </c>
      <c r="K181" s="66">
        <v>-8</v>
      </c>
      <c r="L181" s="66">
        <v>-8</v>
      </c>
      <c r="M181" s="66">
        <v>-8</v>
      </c>
      <c r="N181" s="66">
        <v>-8</v>
      </c>
      <c r="O181" s="66">
        <v>-8</v>
      </c>
      <c r="P181" s="66">
        <v>-8</v>
      </c>
      <c r="Q181" s="66">
        <v>-8</v>
      </c>
      <c r="R181" s="66">
        <v>-8</v>
      </c>
      <c r="S181" s="66">
        <v>-8</v>
      </c>
      <c r="T181" s="66">
        <v>-8</v>
      </c>
      <c r="U181" s="66">
        <v>-8</v>
      </c>
      <c r="V181" s="66">
        <v>-8</v>
      </c>
      <c r="W181" s="66">
        <v>-8</v>
      </c>
      <c r="X181" s="66">
        <v>-8</v>
      </c>
      <c r="Y181" s="66">
        <v>-8</v>
      </c>
      <c r="Z181" s="66">
        <v>-8</v>
      </c>
      <c r="AA181" s="66">
        <v>-8</v>
      </c>
      <c r="AB181" s="66">
        <v>-8</v>
      </c>
      <c r="AC181" s="66">
        <v>-8</v>
      </c>
      <c r="AD181" s="66">
        <v>-8</v>
      </c>
      <c r="AE181" s="66">
        <v>-8</v>
      </c>
      <c r="AF181" s="66">
        <v>-8</v>
      </c>
      <c r="AG181" s="66">
        <v>-8</v>
      </c>
      <c r="AH181" s="66">
        <v>-8</v>
      </c>
      <c r="AI181" s="66">
        <v>-8</v>
      </c>
      <c r="AJ181" s="66">
        <v>-8</v>
      </c>
      <c r="AK181" s="66">
        <v>-8</v>
      </c>
      <c r="AL181" s="66">
        <v>-8</v>
      </c>
      <c r="AM181" s="66">
        <v>-8</v>
      </c>
      <c r="AN181" s="66">
        <v>-8</v>
      </c>
      <c r="AO181" s="66">
        <v>-8</v>
      </c>
      <c r="AP181" s="66">
        <v>-8</v>
      </c>
      <c r="AQ181" s="66">
        <v>-8</v>
      </c>
      <c r="AR181" s="66">
        <v>-8</v>
      </c>
      <c r="AS181" s="66">
        <v>-8</v>
      </c>
      <c r="AT181" s="66">
        <v>-8</v>
      </c>
      <c r="AU181" s="66">
        <v>-8</v>
      </c>
      <c r="AV181" s="66">
        <v>-8</v>
      </c>
      <c r="AW181" s="66">
        <v>-8</v>
      </c>
      <c r="AX181" s="66">
        <v>-8</v>
      </c>
      <c r="AY181" s="66">
        <v>-8</v>
      </c>
      <c r="AZ181" s="66">
        <v>-8</v>
      </c>
      <c r="BA181" s="66">
        <v>-8</v>
      </c>
      <c r="BB181" s="66">
        <v>-8</v>
      </c>
      <c r="BC181" s="66">
        <v>-8</v>
      </c>
      <c r="BD181" s="66">
        <v>-8</v>
      </c>
      <c r="BE181" s="66">
        <v>-8</v>
      </c>
      <c r="BF181" s="66">
        <v>-5.8417269028999996</v>
      </c>
      <c r="BG181" s="66">
        <v>-2.743860291199999</v>
      </c>
      <c r="BH181" s="66">
        <v>-8.002749170000012E-2</v>
      </c>
      <c r="BI181" s="66">
        <v>9.6839320012000023</v>
      </c>
      <c r="BJ181" s="66">
        <v>9.8930683003000048</v>
      </c>
      <c r="BK181" s="66">
        <v>12.1504869388</v>
      </c>
      <c r="BL181" s="66">
        <v>11.569461042700006</v>
      </c>
      <c r="BM181" s="66">
        <v>4.330898353000002</v>
      </c>
      <c r="BN181" s="66">
        <v>17.247325806100001</v>
      </c>
      <c r="BO181" s="66">
        <v>8.4020949826000049</v>
      </c>
      <c r="BP181" s="66">
        <v>12.143131705600002</v>
      </c>
      <c r="BQ181" s="66">
        <v>4.0122966700000031</v>
      </c>
      <c r="BR181" s="66">
        <v>-3.4538279285</v>
      </c>
      <c r="BS181" s="66">
        <v>2.3887415212000001</v>
      </c>
      <c r="BT181" s="66">
        <v>3.5482039710999977</v>
      </c>
      <c r="BU181" s="66">
        <v>6.4192967346999996</v>
      </c>
      <c r="BV181" s="66">
        <v>11.246318629000001</v>
      </c>
      <c r="BW181" s="66">
        <v>8.7831786210999994</v>
      </c>
      <c r="BX181" s="66">
        <v>7.5030678307000009</v>
      </c>
      <c r="BY181" s="66">
        <v>15.781457850700001</v>
      </c>
      <c r="BZ181" s="66">
        <v>12.776582401599999</v>
      </c>
      <c r="CA181" s="66">
        <v>0.3335917957000003</v>
      </c>
      <c r="CB181" s="66">
        <v>-4.8089170654999993</v>
      </c>
      <c r="CC181" s="66">
        <v>1.7935305325000002</v>
      </c>
      <c r="CD181" s="66">
        <v>24.405693937900004</v>
      </c>
      <c r="CE181" s="66">
        <v>6.0058650808000014</v>
      </c>
      <c r="CF181" s="66">
        <v>3.7750528725999999</v>
      </c>
      <c r="CG181" s="66">
        <v>6.4898094039999989</v>
      </c>
      <c r="CH181" s="66">
        <v>6.6941047588000018</v>
      </c>
      <c r="CI181" s="66">
        <v>12.326374581700001</v>
      </c>
      <c r="CJ181" s="66">
        <v>9.1056080275000006</v>
      </c>
      <c r="CK181" s="66">
        <v>15.5748358405</v>
      </c>
      <c r="CL181" s="66">
        <v>26.703716465799999</v>
      </c>
      <c r="CM181" s="66">
        <v>22.036745947</v>
      </c>
      <c r="CN181" s="66">
        <v>26.265554716600001</v>
      </c>
      <c r="CO181" s="66">
        <v>22.200099672100002</v>
      </c>
      <c r="CP181" s="66">
        <v>14.971106290900003</v>
      </c>
      <c r="CQ181" s="66">
        <v>22.338235454799996</v>
      </c>
      <c r="CR181" s="66">
        <v>18.9440204932</v>
      </c>
      <c r="CS181" s="66">
        <v>14.971594138</v>
      </c>
      <c r="CT181" s="66">
        <v>16.449433110700003</v>
      </c>
      <c r="CU181" s="66">
        <v>19.536341926000006</v>
      </c>
      <c r="CV181" s="66">
        <v>14.044872281499998</v>
      </c>
      <c r="CW181" s="66">
        <v>24.222676222000004</v>
      </c>
      <c r="CX181" s="66">
        <v>22.579119342099997</v>
      </c>
      <c r="CY181" s="66">
        <v>25.453852195600007</v>
      </c>
      <c r="CZ181" s="66">
        <v>10.475332577500001</v>
      </c>
      <c r="DA181" s="66">
        <v>19.024327631199998</v>
      </c>
      <c r="DB181" s="66">
        <v>7.4178822217000011</v>
      </c>
      <c r="DC181" s="66">
        <v>20.046667519300001</v>
      </c>
      <c r="DD181" s="66">
        <v>25.289335142799999</v>
      </c>
      <c r="DE181" s="66">
        <v>31.4636781472</v>
      </c>
      <c r="DF181" s="66">
        <v>19.884852388900001</v>
      </c>
      <c r="DG181" s="66">
        <v>21.440821951</v>
      </c>
      <c r="DH181" s="66">
        <v>19.981783855</v>
      </c>
      <c r="DI181" s="66">
        <v>37.880931480700006</v>
      </c>
      <c r="DJ181" s="66">
        <v>40.0148872762</v>
      </c>
      <c r="DK181" s="66">
        <v>42.655828788700013</v>
      </c>
      <c r="DL181" s="66">
        <v>42.120510413200002</v>
      </c>
      <c r="DM181" s="66">
        <v>39.789689549500011</v>
      </c>
      <c r="DN181" s="66">
        <v>30.606117998800002</v>
      </c>
      <c r="DO181" s="66">
        <v>40.271007003699999</v>
      </c>
      <c r="DP181" s="79"/>
      <c r="DQ181" s="80"/>
      <c r="DR181" s="81"/>
      <c r="DS181" s="84">
        <f t="shared" si="20"/>
        <v>2018</v>
      </c>
      <c r="DT181" s="80"/>
      <c r="DU181" s="83">
        <f t="shared" si="26"/>
        <v>-96</v>
      </c>
      <c r="DV181" s="83">
        <f t="shared" si="26"/>
        <v>-96</v>
      </c>
      <c r="DW181" s="83">
        <f t="shared" si="26"/>
        <v>-96</v>
      </c>
      <c r="DX181" s="83">
        <f t="shared" si="26"/>
        <v>-96</v>
      </c>
      <c r="DY181" s="83">
        <f t="shared" si="26"/>
        <v>-24.938127445500001</v>
      </c>
      <c r="DZ181" s="83">
        <f t="shared" si="26"/>
        <v>86.637120108600016</v>
      </c>
      <c r="EA181" s="83">
        <f t="shared" si="26"/>
        <v>93.076213981500018</v>
      </c>
      <c r="EB181" s="83">
        <f t="shared" si="26"/>
        <v>229.09729208309997</v>
      </c>
      <c r="EC181" s="83">
        <f t="shared" si="26"/>
        <v>241.34341762079995</v>
      </c>
      <c r="ED181" s="83">
        <f t="shared" si="26"/>
        <v>293.32075636580004</v>
      </c>
    </row>
    <row r="182" spans="2:134" x14ac:dyDescent="0.3">
      <c r="B182" s="45">
        <f t="shared" si="21"/>
        <v>1000000178</v>
      </c>
      <c r="C182" s="46">
        <v>44440</v>
      </c>
      <c r="D182" s="66">
        <v>-8</v>
      </c>
      <c r="E182" s="66">
        <v>-8</v>
      </c>
      <c r="F182" s="66">
        <v>-8</v>
      </c>
      <c r="G182" s="66">
        <v>-8</v>
      </c>
      <c r="H182" s="66">
        <v>-8</v>
      </c>
      <c r="I182" s="66">
        <v>-8</v>
      </c>
      <c r="J182" s="66">
        <v>-8</v>
      </c>
      <c r="K182" s="66">
        <v>-8</v>
      </c>
      <c r="L182" s="66">
        <v>-8</v>
      </c>
      <c r="M182" s="66">
        <v>-8</v>
      </c>
      <c r="N182" s="66">
        <v>-8</v>
      </c>
      <c r="O182" s="66">
        <v>-8</v>
      </c>
      <c r="P182" s="66">
        <v>-8</v>
      </c>
      <c r="Q182" s="66">
        <v>-8</v>
      </c>
      <c r="R182" s="66">
        <v>-8</v>
      </c>
      <c r="S182" s="66">
        <v>-8</v>
      </c>
      <c r="T182" s="66">
        <v>-8</v>
      </c>
      <c r="U182" s="66">
        <v>-8</v>
      </c>
      <c r="V182" s="66">
        <v>-8</v>
      </c>
      <c r="W182" s="66">
        <v>-8</v>
      </c>
      <c r="X182" s="66">
        <v>-8</v>
      </c>
      <c r="Y182" s="66">
        <v>-8</v>
      </c>
      <c r="Z182" s="66">
        <v>-8</v>
      </c>
      <c r="AA182" s="66">
        <v>-8</v>
      </c>
      <c r="AB182" s="66">
        <v>-8</v>
      </c>
      <c r="AC182" s="66">
        <v>-8</v>
      </c>
      <c r="AD182" s="66">
        <v>-8</v>
      </c>
      <c r="AE182" s="66">
        <v>-8</v>
      </c>
      <c r="AF182" s="66">
        <v>-8</v>
      </c>
      <c r="AG182" s="66">
        <v>-8</v>
      </c>
      <c r="AH182" s="66">
        <v>-8</v>
      </c>
      <c r="AI182" s="66">
        <v>-8</v>
      </c>
      <c r="AJ182" s="66">
        <v>-8</v>
      </c>
      <c r="AK182" s="66">
        <v>-8</v>
      </c>
      <c r="AL182" s="66">
        <v>-8</v>
      </c>
      <c r="AM182" s="66">
        <v>-8</v>
      </c>
      <c r="AN182" s="66">
        <v>-8</v>
      </c>
      <c r="AO182" s="66">
        <v>-8</v>
      </c>
      <c r="AP182" s="66">
        <v>-8</v>
      </c>
      <c r="AQ182" s="66">
        <v>-8</v>
      </c>
      <c r="AR182" s="66">
        <v>-8</v>
      </c>
      <c r="AS182" s="66">
        <v>-8</v>
      </c>
      <c r="AT182" s="66">
        <v>-8</v>
      </c>
      <c r="AU182" s="66">
        <v>-8</v>
      </c>
      <c r="AV182" s="66">
        <v>-8</v>
      </c>
      <c r="AW182" s="66">
        <v>-8</v>
      </c>
      <c r="AX182" s="66">
        <v>-8</v>
      </c>
      <c r="AY182" s="66">
        <v>-8</v>
      </c>
      <c r="AZ182" s="66">
        <v>-8</v>
      </c>
      <c r="BA182" s="66">
        <v>-8</v>
      </c>
      <c r="BB182" s="66">
        <v>-8</v>
      </c>
      <c r="BC182" s="66">
        <v>-8</v>
      </c>
      <c r="BD182" s="66">
        <v>-8</v>
      </c>
      <c r="BE182" s="66">
        <v>-8</v>
      </c>
      <c r="BF182" s="66">
        <v>-8</v>
      </c>
      <c r="BG182" s="66">
        <v>-8</v>
      </c>
      <c r="BH182" s="66">
        <v>-8</v>
      </c>
      <c r="BI182" s="66">
        <v>-8</v>
      </c>
      <c r="BJ182" s="66">
        <v>-8</v>
      </c>
      <c r="BK182" s="66">
        <v>-8</v>
      </c>
      <c r="BL182" s="66">
        <v>-8</v>
      </c>
      <c r="BM182" s="66">
        <v>-8</v>
      </c>
      <c r="BN182" s="66">
        <v>-8</v>
      </c>
      <c r="BO182" s="66">
        <v>-8</v>
      </c>
      <c r="BP182" s="66">
        <v>-8</v>
      </c>
      <c r="BQ182" s="66">
        <v>-8</v>
      </c>
      <c r="BR182" s="66">
        <v>-8</v>
      </c>
      <c r="BS182" s="66">
        <v>-8</v>
      </c>
      <c r="BT182" s="66">
        <v>-8</v>
      </c>
      <c r="BU182" s="66">
        <v>-8</v>
      </c>
      <c r="BV182" s="66">
        <v>-8</v>
      </c>
      <c r="BW182" s="66">
        <v>-8</v>
      </c>
      <c r="BX182" s="66">
        <v>-8</v>
      </c>
      <c r="BY182" s="66">
        <v>-8</v>
      </c>
      <c r="BZ182" s="66">
        <v>-8</v>
      </c>
      <c r="CA182" s="66">
        <v>-8</v>
      </c>
      <c r="CB182" s="66">
        <v>-8</v>
      </c>
      <c r="CC182" s="66">
        <v>-8</v>
      </c>
      <c r="CD182" s="66">
        <v>-8</v>
      </c>
      <c r="CE182" s="66">
        <v>-8</v>
      </c>
      <c r="CF182" s="66">
        <v>-8</v>
      </c>
      <c r="CG182" s="66">
        <v>-8</v>
      </c>
      <c r="CH182" s="66">
        <v>-8</v>
      </c>
      <c r="CI182" s="66">
        <v>-8</v>
      </c>
      <c r="CJ182" s="66">
        <v>-8</v>
      </c>
      <c r="CK182" s="66">
        <v>-8</v>
      </c>
      <c r="CL182" s="66">
        <v>-8</v>
      </c>
      <c r="CM182" s="66">
        <v>-8</v>
      </c>
      <c r="CN182" s="66">
        <v>-8</v>
      </c>
      <c r="CO182" s="66">
        <v>-8</v>
      </c>
      <c r="CP182" s="66">
        <v>-8</v>
      </c>
      <c r="CQ182" s="66">
        <v>-8</v>
      </c>
      <c r="CR182" s="66">
        <v>-6.5463282220999996</v>
      </c>
      <c r="CS182" s="66">
        <v>-3.5091798109999983</v>
      </c>
      <c r="CT182" s="66">
        <v>-4.7670747950000001</v>
      </c>
      <c r="CU182" s="66">
        <v>1.8109804480000022</v>
      </c>
      <c r="CV182" s="66">
        <v>-1.4488138741999999</v>
      </c>
      <c r="CW182" s="66">
        <v>-0.80860837220000015</v>
      </c>
      <c r="CX182" s="66">
        <v>1.1482213993000023</v>
      </c>
      <c r="CY182" s="66">
        <v>6.5312764075000018</v>
      </c>
      <c r="CZ182" s="66">
        <v>4.8158558971000005</v>
      </c>
      <c r="DA182" s="66">
        <v>8.0613525465999984</v>
      </c>
      <c r="DB182" s="66">
        <v>15.0874390609</v>
      </c>
      <c r="DC182" s="66">
        <v>23.2941530839</v>
      </c>
      <c r="DD182" s="66">
        <v>27.281702699199997</v>
      </c>
      <c r="DE182" s="66">
        <v>17.266464423100008</v>
      </c>
      <c r="DF182" s="66">
        <v>19.187418669399996</v>
      </c>
      <c r="DG182" s="66">
        <v>20.015670465099998</v>
      </c>
      <c r="DH182" s="66">
        <v>30.678244316200001</v>
      </c>
      <c r="DI182" s="66">
        <v>29.159538767200004</v>
      </c>
      <c r="DJ182" s="66">
        <v>50.156402897800007</v>
      </c>
      <c r="DK182" s="66">
        <v>41.358605823099992</v>
      </c>
      <c r="DL182" s="66">
        <v>37.280053960300002</v>
      </c>
      <c r="DM182" s="66">
        <v>44.807647293400002</v>
      </c>
      <c r="DN182" s="66">
        <v>66.747895135300013</v>
      </c>
      <c r="DO182" s="66">
        <v>68.887780149399987</v>
      </c>
      <c r="DP182" s="79"/>
      <c r="DQ182" s="80"/>
      <c r="DR182" s="81"/>
      <c r="DS182" s="84">
        <f t="shared" si="20"/>
        <v>2021</v>
      </c>
      <c r="DT182" s="80"/>
      <c r="DU182" s="83">
        <f t="shared" si="26"/>
        <v>-96</v>
      </c>
      <c r="DV182" s="83">
        <f t="shared" si="26"/>
        <v>-96</v>
      </c>
      <c r="DW182" s="83">
        <f t="shared" si="26"/>
        <v>-96</v>
      </c>
      <c r="DX182" s="83">
        <f t="shared" si="26"/>
        <v>-96</v>
      </c>
      <c r="DY182" s="83">
        <f t="shared" si="26"/>
        <v>-96</v>
      </c>
      <c r="DZ182" s="83">
        <f t="shared" si="26"/>
        <v>-96</v>
      </c>
      <c r="EA182" s="83">
        <f t="shared" si="26"/>
        <v>-96</v>
      </c>
      <c r="EB182" s="83">
        <f t="shared" si="26"/>
        <v>-77.011602380099987</v>
      </c>
      <c r="EC182" s="83">
        <f t="shared" si="26"/>
        <v>140.43213240569997</v>
      </c>
      <c r="ED182" s="83">
        <f t="shared" si="26"/>
        <v>369.07616834270004</v>
      </c>
    </row>
    <row r="183" spans="2:134" x14ac:dyDescent="0.3">
      <c r="B183" s="45">
        <f t="shared" si="21"/>
        <v>1000000179</v>
      </c>
      <c r="C183" s="46">
        <v>42736</v>
      </c>
      <c r="D183" s="66">
        <v>-8</v>
      </c>
      <c r="E183" s="66">
        <v>-8</v>
      </c>
      <c r="F183" s="66">
        <v>-8</v>
      </c>
      <c r="G183" s="66">
        <v>-8</v>
      </c>
      <c r="H183" s="66">
        <v>-8</v>
      </c>
      <c r="I183" s="66">
        <v>-8</v>
      </c>
      <c r="J183" s="66">
        <v>-8</v>
      </c>
      <c r="K183" s="66">
        <v>-8</v>
      </c>
      <c r="L183" s="66">
        <v>-8</v>
      </c>
      <c r="M183" s="66">
        <v>-8</v>
      </c>
      <c r="N183" s="66">
        <v>-8</v>
      </c>
      <c r="O183" s="66">
        <v>-8</v>
      </c>
      <c r="P183" s="66">
        <v>-8</v>
      </c>
      <c r="Q183" s="66">
        <v>-8</v>
      </c>
      <c r="R183" s="66">
        <v>-8</v>
      </c>
      <c r="S183" s="66">
        <v>-8</v>
      </c>
      <c r="T183" s="66">
        <v>-8</v>
      </c>
      <c r="U183" s="66">
        <v>-8</v>
      </c>
      <c r="V183" s="66">
        <v>-8</v>
      </c>
      <c r="W183" s="66">
        <v>-8</v>
      </c>
      <c r="X183" s="66">
        <v>-8</v>
      </c>
      <c r="Y183" s="66">
        <v>-8</v>
      </c>
      <c r="Z183" s="66">
        <v>-8</v>
      </c>
      <c r="AA183" s="66">
        <v>-8</v>
      </c>
      <c r="AB183" s="66">
        <v>-8</v>
      </c>
      <c r="AC183" s="66">
        <v>-8</v>
      </c>
      <c r="AD183" s="66">
        <v>-8</v>
      </c>
      <c r="AE183" s="66">
        <v>-8</v>
      </c>
      <c r="AF183" s="66">
        <v>-8</v>
      </c>
      <c r="AG183" s="66">
        <v>-8</v>
      </c>
      <c r="AH183" s="66">
        <v>-8</v>
      </c>
      <c r="AI183" s="66">
        <v>-8</v>
      </c>
      <c r="AJ183" s="66">
        <v>-8</v>
      </c>
      <c r="AK183" s="66">
        <v>-8</v>
      </c>
      <c r="AL183" s="66">
        <v>-8</v>
      </c>
      <c r="AM183" s="66">
        <v>-8</v>
      </c>
      <c r="AN183" s="66">
        <v>3.2017199499999993</v>
      </c>
      <c r="AO183" s="66">
        <v>72.639737142100017</v>
      </c>
      <c r="AP183" s="66">
        <v>98.464223594199993</v>
      </c>
      <c r="AQ183" s="66">
        <v>66.196853072499991</v>
      </c>
      <c r="AR183" s="66">
        <v>29.384774020599998</v>
      </c>
      <c r="AS183" s="66">
        <v>30.191185276900001</v>
      </c>
      <c r="AT183" s="66">
        <v>21.963643935399997</v>
      </c>
      <c r="AU183" s="66">
        <v>19.612821340600004</v>
      </c>
      <c r="AV183" s="66">
        <v>17.952602605900001</v>
      </c>
      <c r="AW183" s="66">
        <v>31.323703556200002</v>
      </c>
      <c r="AX183" s="66">
        <v>24.689170629700001</v>
      </c>
      <c r="AY183" s="66">
        <v>29.916414779499995</v>
      </c>
      <c r="AZ183" s="66">
        <v>31.838795040399994</v>
      </c>
      <c r="BA183" s="66">
        <v>166.97844601239998</v>
      </c>
      <c r="BB183" s="66">
        <v>110.79020594950001</v>
      </c>
      <c r="BC183" s="66">
        <v>85.855815294700008</v>
      </c>
      <c r="BD183" s="66">
        <v>88.935856723899988</v>
      </c>
      <c r="BE183" s="66">
        <v>47.729175941800001</v>
      </c>
      <c r="BF183" s="66">
        <v>51.261188945799994</v>
      </c>
      <c r="BG183" s="66">
        <v>60.040898151100009</v>
      </c>
      <c r="BH183" s="66">
        <v>19.315722456699998</v>
      </c>
      <c r="BI183" s="66">
        <v>33.542807434000011</v>
      </c>
      <c r="BJ183" s="66">
        <v>34.821567263200002</v>
      </c>
      <c r="BK183" s="66">
        <v>20.940966307</v>
      </c>
      <c r="BL183" s="66">
        <v>13.100250189100002</v>
      </c>
      <c r="BM183" s="66">
        <v>42.360418606299994</v>
      </c>
      <c r="BN183" s="66">
        <v>52.786574247399997</v>
      </c>
      <c r="BO183" s="66">
        <v>54.653152305399999</v>
      </c>
      <c r="BP183" s="66">
        <v>40.884531021999997</v>
      </c>
      <c r="BQ183" s="66">
        <v>38.737741095099999</v>
      </c>
      <c r="BR183" s="66">
        <v>51.537235351</v>
      </c>
      <c r="BS183" s="66">
        <v>71.149664465200004</v>
      </c>
      <c r="BT183" s="66">
        <v>48.8867620567</v>
      </c>
      <c r="BU183" s="66">
        <v>55.628208551500009</v>
      </c>
      <c r="BV183" s="66">
        <v>61.348328379099996</v>
      </c>
      <c r="BW183" s="66">
        <v>35.892766914700005</v>
      </c>
      <c r="BX183" s="66">
        <v>57.930959443600017</v>
      </c>
      <c r="BY183" s="66">
        <v>52.820310750700017</v>
      </c>
      <c r="BZ183" s="66">
        <v>51.958359978400004</v>
      </c>
      <c r="CA183" s="66">
        <v>53.664286233700011</v>
      </c>
      <c r="CB183" s="66">
        <v>66.797280272500004</v>
      </c>
      <c r="CC183" s="66">
        <v>60.138354991</v>
      </c>
      <c r="CD183" s="66">
        <v>53.909147951200005</v>
      </c>
      <c r="CE183" s="66">
        <v>52.37505645520001</v>
      </c>
      <c r="CF183" s="66">
        <v>79.251341254899998</v>
      </c>
      <c r="CG183" s="66">
        <v>66.482243625999999</v>
      </c>
      <c r="CH183" s="66">
        <v>39.030261721599999</v>
      </c>
      <c r="CI183" s="66">
        <v>53.124352074099995</v>
      </c>
      <c r="CJ183" s="66">
        <v>48.729337550200007</v>
      </c>
      <c r="CK183" s="66">
        <v>126.6105620287</v>
      </c>
      <c r="CL183" s="66">
        <v>73.428585902800009</v>
      </c>
      <c r="CM183" s="66">
        <v>55.991654641000011</v>
      </c>
      <c r="CN183" s="66">
        <v>54.892460071300015</v>
      </c>
      <c r="CO183" s="66">
        <v>50.640234640900005</v>
      </c>
      <c r="CP183" s="66">
        <v>51.816433998999997</v>
      </c>
      <c r="CQ183" s="66">
        <v>41.704039096599999</v>
      </c>
      <c r="CR183" s="66">
        <v>44.558882799100004</v>
      </c>
      <c r="CS183" s="66">
        <v>45.248360858200002</v>
      </c>
      <c r="CT183" s="66">
        <v>40.769324052999998</v>
      </c>
      <c r="CU183" s="66">
        <v>33.603112840900003</v>
      </c>
      <c r="CV183" s="66">
        <v>35.354558983300009</v>
      </c>
      <c r="CW183" s="66">
        <v>53.580901906300006</v>
      </c>
      <c r="CX183" s="66">
        <v>34.520227862200002</v>
      </c>
      <c r="CY183" s="66">
        <v>28.163167355500001</v>
      </c>
      <c r="CZ183" s="66">
        <v>29.660745372400001</v>
      </c>
      <c r="DA183" s="66">
        <v>23.828720925400006</v>
      </c>
      <c r="DB183" s="66">
        <v>25.236947869599994</v>
      </c>
      <c r="DC183" s="66">
        <v>21.621963331900002</v>
      </c>
      <c r="DD183" s="66">
        <v>48.262542928900004</v>
      </c>
      <c r="DE183" s="66">
        <v>25.777069662700008</v>
      </c>
      <c r="DF183" s="66">
        <v>27.990244321900001</v>
      </c>
      <c r="DG183" s="66">
        <v>32.041063953400005</v>
      </c>
      <c r="DH183" s="66">
        <v>22.859819058100005</v>
      </c>
      <c r="DI183" s="66">
        <v>35.773094268399994</v>
      </c>
      <c r="DJ183" s="66">
        <v>26.071354044099998</v>
      </c>
      <c r="DK183" s="66">
        <v>22.859481317800004</v>
      </c>
      <c r="DL183" s="66">
        <v>25.498696602100004</v>
      </c>
      <c r="DM183" s="66">
        <v>32.44567683279999</v>
      </c>
      <c r="DN183" s="66">
        <v>27.251306072200002</v>
      </c>
      <c r="DO183" s="66">
        <v>31.328131706800008</v>
      </c>
      <c r="DP183" s="79"/>
      <c r="DQ183" s="80"/>
      <c r="DR183" s="81"/>
      <c r="DS183" s="84">
        <f t="shared" si="20"/>
        <v>2017</v>
      </c>
      <c r="DT183" s="80"/>
      <c r="DU183" s="83">
        <f t="shared" si="26"/>
        <v>-96</v>
      </c>
      <c r="DV183" s="83">
        <f t="shared" si="26"/>
        <v>-96</v>
      </c>
      <c r="DW183" s="83">
        <f t="shared" si="26"/>
        <v>-96</v>
      </c>
      <c r="DX183" s="83">
        <f t="shared" si="26"/>
        <v>445.5368499036</v>
      </c>
      <c r="DY183" s="83">
        <f t="shared" si="26"/>
        <v>752.0514455204999</v>
      </c>
      <c r="DZ183" s="83">
        <f t="shared" si="26"/>
        <v>566.96563318350002</v>
      </c>
      <c r="EA183" s="83">
        <f t="shared" si="26"/>
        <v>687.48195475290015</v>
      </c>
      <c r="EB183" s="83">
        <f t="shared" si="26"/>
        <v>667.99298848170019</v>
      </c>
      <c r="EC183" s="83">
        <f t="shared" si="26"/>
        <v>386.03815447350001</v>
      </c>
      <c r="ED183" s="83">
        <f t="shared" si="26"/>
        <v>224.08755990230003</v>
      </c>
    </row>
    <row r="184" spans="2:134" x14ac:dyDescent="0.3">
      <c r="B184" s="45">
        <f t="shared" si="21"/>
        <v>1000000180</v>
      </c>
      <c r="C184" s="46">
        <v>44228</v>
      </c>
      <c r="D184" s="66">
        <v>-8</v>
      </c>
      <c r="E184" s="66">
        <v>-8</v>
      </c>
      <c r="F184" s="66">
        <v>-8</v>
      </c>
      <c r="G184" s="66">
        <v>-8</v>
      </c>
      <c r="H184" s="66">
        <v>-8</v>
      </c>
      <c r="I184" s="66">
        <v>-8</v>
      </c>
      <c r="J184" s="66">
        <v>-8</v>
      </c>
      <c r="K184" s="66">
        <v>-8</v>
      </c>
      <c r="L184" s="66">
        <v>-8</v>
      </c>
      <c r="M184" s="66">
        <v>-8</v>
      </c>
      <c r="N184" s="66">
        <v>-8</v>
      </c>
      <c r="O184" s="66">
        <v>-8</v>
      </c>
      <c r="P184" s="66">
        <v>-8</v>
      </c>
      <c r="Q184" s="66">
        <v>-8</v>
      </c>
      <c r="R184" s="66">
        <v>-8</v>
      </c>
      <c r="S184" s="66">
        <v>-8</v>
      </c>
      <c r="T184" s="66">
        <v>-8</v>
      </c>
      <c r="U184" s="66">
        <v>-8</v>
      </c>
      <c r="V184" s="66">
        <v>-8</v>
      </c>
      <c r="W184" s="66">
        <v>-8</v>
      </c>
      <c r="X184" s="66">
        <v>-8</v>
      </c>
      <c r="Y184" s="66">
        <v>-8</v>
      </c>
      <c r="Z184" s="66">
        <v>-8</v>
      </c>
      <c r="AA184" s="66">
        <v>-8</v>
      </c>
      <c r="AB184" s="66">
        <v>-8</v>
      </c>
      <c r="AC184" s="66">
        <v>-8</v>
      </c>
      <c r="AD184" s="66">
        <v>-8</v>
      </c>
      <c r="AE184" s="66">
        <v>-8</v>
      </c>
      <c r="AF184" s="66">
        <v>-8</v>
      </c>
      <c r="AG184" s="66">
        <v>-8</v>
      </c>
      <c r="AH184" s="66">
        <v>-8</v>
      </c>
      <c r="AI184" s="66">
        <v>-8</v>
      </c>
      <c r="AJ184" s="66">
        <v>-8</v>
      </c>
      <c r="AK184" s="66">
        <v>-8</v>
      </c>
      <c r="AL184" s="66">
        <v>-8</v>
      </c>
      <c r="AM184" s="66">
        <v>-8</v>
      </c>
      <c r="AN184" s="66">
        <v>-8</v>
      </c>
      <c r="AO184" s="66">
        <v>-8</v>
      </c>
      <c r="AP184" s="66">
        <v>-8</v>
      </c>
      <c r="AQ184" s="66">
        <v>-8</v>
      </c>
      <c r="AR184" s="66">
        <v>-8</v>
      </c>
      <c r="AS184" s="66">
        <v>-8</v>
      </c>
      <c r="AT184" s="66">
        <v>-8</v>
      </c>
      <c r="AU184" s="66">
        <v>-8</v>
      </c>
      <c r="AV184" s="66">
        <v>-8</v>
      </c>
      <c r="AW184" s="66">
        <v>-8</v>
      </c>
      <c r="AX184" s="66">
        <v>-8</v>
      </c>
      <c r="AY184" s="66">
        <v>-8</v>
      </c>
      <c r="AZ184" s="66">
        <v>-8</v>
      </c>
      <c r="BA184" s="66">
        <v>-8</v>
      </c>
      <c r="BB184" s="66">
        <v>-8</v>
      </c>
      <c r="BC184" s="66">
        <v>-8</v>
      </c>
      <c r="BD184" s="66">
        <v>-8</v>
      </c>
      <c r="BE184" s="66">
        <v>-8</v>
      </c>
      <c r="BF184" s="66">
        <v>-8</v>
      </c>
      <c r="BG184" s="66">
        <v>-8</v>
      </c>
      <c r="BH184" s="66">
        <v>-8</v>
      </c>
      <c r="BI184" s="66">
        <v>-8</v>
      </c>
      <c r="BJ184" s="66">
        <v>-8</v>
      </c>
      <c r="BK184" s="66">
        <v>-8</v>
      </c>
      <c r="BL184" s="66">
        <v>-8</v>
      </c>
      <c r="BM184" s="66">
        <v>-8</v>
      </c>
      <c r="BN184" s="66">
        <v>-8</v>
      </c>
      <c r="BO184" s="66">
        <v>-8</v>
      </c>
      <c r="BP184" s="66">
        <v>-8</v>
      </c>
      <c r="BQ184" s="66">
        <v>-8</v>
      </c>
      <c r="BR184" s="66">
        <v>-8</v>
      </c>
      <c r="BS184" s="66">
        <v>-8</v>
      </c>
      <c r="BT184" s="66">
        <v>-8</v>
      </c>
      <c r="BU184" s="66">
        <v>-8</v>
      </c>
      <c r="BV184" s="66">
        <v>-8</v>
      </c>
      <c r="BW184" s="66">
        <v>-8</v>
      </c>
      <c r="BX184" s="66">
        <v>-8</v>
      </c>
      <c r="BY184" s="66">
        <v>-8</v>
      </c>
      <c r="BZ184" s="66">
        <v>-8</v>
      </c>
      <c r="CA184" s="66">
        <v>-8</v>
      </c>
      <c r="CB184" s="66">
        <v>-8</v>
      </c>
      <c r="CC184" s="66">
        <v>-8</v>
      </c>
      <c r="CD184" s="66">
        <v>-8</v>
      </c>
      <c r="CE184" s="66">
        <v>-8</v>
      </c>
      <c r="CF184" s="66">
        <v>-8</v>
      </c>
      <c r="CG184" s="66">
        <v>-8</v>
      </c>
      <c r="CH184" s="66">
        <v>-8</v>
      </c>
      <c r="CI184" s="66">
        <v>-8</v>
      </c>
      <c r="CJ184" s="66">
        <v>-8</v>
      </c>
      <c r="CK184" s="66">
        <v>8.8966218352000013</v>
      </c>
      <c r="CL184" s="66">
        <v>30.916764021399999</v>
      </c>
      <c r="CM184" s="66">
        <v>19.481065096899997</v>
      </c>
      <c r="CN184" s="66">
        <v>25.519523920600001</v>
      </c>
      <c r="CO184" s="66">
        <v>8.4837530818000033</v>
      </c>
      <c r="CP184" s="66">
        <v>11.782500118600002</v>
      </c>
      <c r="CQ184" s="66">
        <v>28.872872305899996</v>
      </c>
      <c r="CR184" s="66">
        <v>51.484510337500005</v>
      </c>
      <c r="CS184" s="66">
        <v>71.609291486800004</v>
      </c>
      <c r="CT184" s="66">
        <v>47.337659880700002</v>
      </c>
      <c r="CU184" s="66">
        <v>34.761411963100002</v>
      </c>
      <c r="CV184" s="66">
        <v>22.885562374300001</v>
      </c>
      <c r="CW184" s="66">
        <v>43.949336611</v>
      </c>
      <c r="CX184" s="66">
        <v>41.393355547299997</v>
      </c>
      <c r="CY184" s="66">
        <v>33.053909586400003</v>
      </c>
      <c r="CZ184" s="66">
        <v>87.412798077699989</v>
      </c>
      <c r="DA184" s="66">
        <v>26.271371355100008</v>
      </c>
      <c r="DB184" s="66">
        <v>32.350509121600012</v>
      </c>
      <c r="DC184" s="66">
        <v>34.348505683000006</v>
      </c>
      <c r="DD184" s="66">
        <v>23.172228835600002</v>
      </c>
      <c r="DE184" s="66">
        <v>29.993644728100001</v>
      </c>
      <c r="DF184" s="66">
        <v>29.567266362699996</v>
      </c>
      <c r="DG184" s="66">
        <v>18.704074773400002</v>
      </c>
      <c r="DH184" s="66">
        <v>-3.8093558842999995</v>
      </c>
      <c r="DI184" s="66">
        <v>13.369504261600003</v>
      </c>
      <c r="DJ184" s="66">
        <v>49.985881573</v>
      </c>
      <c r="DK184" s="66">
        <v>45.791822527600004</v>
      </c>
      <c r="DL184" s="66">
        <v>39.187273434400005</v>
      </c>
      <c r="DM184" s="66">
        <v>33.152792440900001</v>
      </c>
      <c r="DN184" s="66">
        <v>31.0602285955</v>
      </c>
      <c r="DO184" s="66">
        <v>29.124601409500002</v>
      </c>
      <c r="DP184" s="79"/>
      <c r="DQ184" s="80"/>
      <c r="DR184" s="81"/>
      <c r="DS184" s="84">
        <f t="shared" si="20"/>
        <v>2021</v>
      </c>
      <c r="DT184" s="80"/>
      <c r="DU184" s="83">
        <f t="shared" si="26"/>
        <v>-96</v>
      </c>
      <c r="DV184" s="83">
        <f t="shared" si="26"/>
        <v>-96</v>
      </c>
      <c r="DW184" s="83">
        <f t="shared" si="26"/>
        <v>-96</v>
      </c>
      <c r="DX184" s="83">
        <f t="shared" si="26"/>
        <v>-96</v>
      </c>
      <c r="DY184" s="83">
        <f t="shared" si="26"/>
        <v>-96</v>
      </c>
      <c r="DZ184" s="83">
        <f t="shared" si="26"/>
        <v>-96</v>
      </c>
      <c r="EA184" s="83">
        <f t="shared" si="26"/>
        <v>-96</v>
      </c>
      <c r="EB184" s="83">
        <f t="shared" si="26"/>
        <v>331.14597404850002</v>
      </c>
      <c r="EC184" s="83">
        <f t="shared" si="26"/>
        <v>423.10256305619993</v>
      </c>
      <c r="ED184" s="83">
        <f t="shared" si="26"/>
        <v>237.86274835820004</v>
      </c>
    </row>
    <row r="185" spans="2:134" x14ac:dyDescent="0.3">
      <c r="B185" s="45">
        <f t="shared" si="21"/>
        <v>1000000181</v>
      </c>
      <c r="C185" s="46">
        <v>44044</v>
      </c>
      <c r="D185" s="66">
        <v>-8</v>
      </c>
      <c r="E185" s="66">
        <v>-8</v>
      </c>
      <c r="F185" s="66">
        <v>-8</v>
      </c>
      <c r="G185" s="66">
        <v>-8</v>
      </c>
      <c r="H185" s="66">
        <v>-8</v>
      </c>
      <c r="I185" s="66">
        <v>-8</v>
      </c>
      <c r="J185" s="66">
        <v>-8</v>
      </c>
      <c r="K185" s="66">
        <v>-8</v>
      </c>
      <c r="L185" s="66">
        <v>-8</v>
      </c>
      <c r="M185" s="66">
        <v>-8</v>
      </c>
      <c r="N185" s="66">
        <v>-8</v>
      </c>
      <c r="O185" s="66">
        <v>-8</v>
      </c>
      <c r="P185" s="66">
        <v>-8</v>
      </c>
      <c r="Q185" s="66">
        <v>-8</v>
      </c>
      <c r="R185" s="66">
        <v>-8</v>
      </c>
      <c r="S185" s="66">
        <v>-8</v>
      </c>
      <c r="T185" s="66">
        <v>-8</v>
      </c>
      <c r="U185" s="66">
        <v>-8</v>
      </c>
      <c r="V185" s="66">
        <v>-8</v>
      </c>
      <c r="W185" s="66">
        <v>-8</v>
      </c>
      <c r="X185" s="66">
        <v>-8</v>
      </c>
      <c r="Y185" s="66">
        <v>-8</v>
      </c>
      <c r="Z185" s="66">
        <v>-8</v>
      </c>
      <c r="AA185" s="66">
        <v>-8</v>
      </c>
      <c r="AB185" s="66">
        <v>-8</v>
      </c>
      <c r="AC185" s="66">
        <v>-8</v>
      </c>
      <c r="AD185" s="66">
        <v>-8</v>
      </c>
      <c r="AE185" s="66">
        <v>-8</v>
      </c>
      <c r="AF185" s="66">
        <v>-8</v>
      </c>
      <c r="AG185" s="66">
        <v>-8</v>
      </c>
      <c r="AH185" s="66">
        <v>-8</v>
      </c>
      <c r="AI185" s="66">
        <v>-8</v>
      </c>
      <c r="AJ185" s="66">
        <v>-8</v>
      </c>
      <c r="AK185" s="66">
        <v>-8</v>
      </c>
      <c r="AL185" s="66">
        <v>-8</v>
      </c>
      <c r="AM185" s="66">
        <v>-8</v>
      </c>
      <c r="AN185" s="66">
        <v>-8</v>
      </c>
      <c r="AO185" s="66">
        <v>-8</v>
      </c>
      <c r="AP185" s="66">
        <v>-8</v>
      </c>
      <c r="AQ185" s="66">
        <v>-8</v>
      </c>
      <c r="AR185" s="66">
        <v>-8</v>
      </c>
      <c r="AS185" s="66">
        <v>-8</v>
      </c>
      <c r="AT185" s="66">
        <v>-8</v>
      </c>
      <c r="AU185" s="66">
        <v>-8</v>
      </c>
      <c r="AV185" s="66">
        <v>-8</v>
      </c>
      <c r="AW185" s="66">
        <v>-8</v>
      </c>
      <c r="AX185" s="66">
        <v>-8</v>
      </c>
      <c r="AY185" s="66">
        <v>-8</v>
      </c>
      <c r="AZ185" s="66">
        <v>-8</v>
      </c>
      <c r="BA185" s="66">
        <v>-8</v>
      </c>
      <c r="BB185" s="66">
        <v>-8</v>
      </c>
      <c r="BC185" s="66">
        <v>-8</v>
      </c>
      <c r="BD185" s="66">
        <v>-8</v>
      </c>
      <c r="BE185" s="66">
        <v>-8</v>
      </c>
      <c r="BF185" s="66">
        <v>-8</v>
      </c>
      <c r="BG185" s="66">
        <v>-8</v>
      </c>
      <c r="BH185" s="66">
        <v>-8</v>
      </c>
      <c r="BI185" s="66">
        <v>-8</v>
      </c>
      <c r="BJ185" s="66">
        <v>-8</v>
      </c>
      <c r="BK185" s="66">
        <v>-8</v>
      </c>
      <c r="BL185" s="66">
        <v>-8</v>
      </c>
      <c r="BM185" s="66">
        <v>-8</v>
      </c>
      <c r="BN185" s="66">
        <v>-8</v>
      </c>
      <c r="BO185" s="66">
        <v>-8</v>
      </c>
      <c r="BP185" s="66">
        <v>-8</v>
      </c>
      <c r="BQ185" s="66">
        <v>-8</v>
      </c>
      <c r="BR185" s="66">
        <v>-8</v>
      </c>
      <c r="BS185" s="66">
        <v>-8</v>
      </c>
      <c r="BT185" s="66">
        <v>-8</v>
      </c>
      <c r="BU185" s="66">
        <v>-8</v>
      </c>
      <c r="BV185" s="66">
        <v>-8</v>
      </c>
      <c r="BW185" s="66">
        <v>-8</v>
      </c>
      <c r="BX185" s="66">
        <v>-8</v>
      </c>
      <c r="BY185" s="66">
        <v>-8</v>
      </c>
      <c r="BZ185" s="66">
        <v>-8</v>
      </c>
      <c r="CA185" s="66">
        <v>-8</v>
      </c>
      <c r="CB185" s="66">
        <v>-8</v>
      </c>
      <c r="CC185" s="66">
        <v>-8</v>
      </c>
      <c r="CD185" s="66">
        <v>-8</v>
      </c>
      <c r="CE185" s="66">
        <v>-8</v>
      </c>
      <c r="CF185" s="66">
        <v>-1.2776921221999995</v>
      </c>
      <c r="CG185" s="66">
        <v>0.26311665310000087</v>
      </c>
      <c r="CH185" s="66">
        <v>-3.5425035206000004</v>
      </c>
      <c r="CI185" s="66">
        <v>-3.323422646</v>
      </c>
      <c r="CJ185" s="66">
        <v>0.58126801570000097</v>
      </c>
      <c r="CK185" s="66">
        <v>5.4411632992000012</v>
      </c>
      <c r="CL185" s="66">
        <v>16.7813942989</v>
      </c>
      <c r="CM185" s="66">
        <v>7.2974965681000015</v>
      </c>
      <c r="CN185" s="66">
        <v>-2.3872065343999989</v>
      </c>
      <c r="CO185" s="66">
        <v>-2.6903847437000001</v>
      </c>
      <c r="CP185" s="66">
        <v>-2.5122830255000004</v>
      </c>
      <c r="CQ185" s="66">
        <v>1.2298794985000008</v>
      </c>
      <c r="CR185" s="66">
        <v>-2.5832084884999995</v>
      </c>
      <c r="CS185" s="66">
        <v>-0.33010542049999803</v>
      </c>
      <c r="CT185" s="66">
        <v>-1.7887682495000004</v>
      </c>
      <c r="CU185" s="66">
        <v>-2.8794067316000005</v>
      </c>
      <c r="CV185" s="66">
        <v>2.4194383617999993</v>
      </c>
      <c r="CW185" s="66">
        <v>31.5208313113</v>
      </c>
      <c r="CX185" s="66">
        <v>26.018741610699998</v>
      </c>
      <c r="CY185" s="66">
        <v>13.0869282106</v>
      </c>
      <c r="CZ185" s="66">
        <v>9.0228241272999981</v>
      </c>
      <c r="DA185" s="66">
        <v>10.131700585599997</v>
      </c>
      <c r="DB185" s="66">
        <v>8.3989427398000025</v>
      </c>
      <c r="DC185" s="66">
        <v>12.406343979400003</v>
      </c>
      <c r="DD185" s="66">
        <v>7.0906118709999983</v>
      </c>
      <c r="DE185" s="66">
        <v>6.1329680137000011</v>
      </c>
      <c r="DF185" s="66">
        <v>6.9665486007999977</v>
      </c>
      <c r="DG185" s="66">
        <v>6.4683066049000022</v>
      </c>
      <c r="DH185" s="66">
        <v>31.703211073300004</v>
      </c>
      <c r="DI185" s="66">
        <v>43.825085707300005</v>
      </c>
      <c r="DJ185" s="66">
        <v>44.052685142799994</v>
      </c>
      <c r="DK185" s="66">
        <v>98.948505657699997</v>
      </c>
      <c r="DL185" s="66">
        <v>10.949069638300003</v>
      </c>
      <c r="DM185" s="66">
        <v>13.710171644200006</v>
      </c>
      <c r="DN185" s="66">
        <v>12.442181977900006</v>
      </c>
      <c r="DO185" s="66">
        <v>20.486517969999998</v>
      </c>
      <c r="DP185" s="79"/>
      <c r="DQ185" s="80"/>
      <c r="DR185" s="81"/>
      <c r="DS185" s="84">
        <f t="shared" si="20"/>
        <v>2020</v>
      </c>
      <c r="DT185" s="80"/>
      <c r="DU185" s="83">
        <f t="shared" ref="DU185:ED194" si="27">+SUMIF($D$3:$DO$3,DU$4,$D185:$DO185)</f>
        <v>-96</v>
      </c>
      <c r="DV185" s="83">
        <f t="shared" si="27"/>
        <v>-96</v>
      </c>
      <c r="DW185" s="83">
        <f t="shared" si="27"/>
        <v>-96</v>
      </c>
      <c r="DX185" s="83">
        <f t="shared" si="27"/>
        <v>-96</v>
      </c>
      <c r="DY185" s="83">
        <f t="shared" si="27"/>
        <v>-96</v>
      </c>
      <c r="DZ185" s="83">
        <f t="shared" si="27"/>
        <v>-96</v>
      </c>
      <c r="EA185" s="83">
        <f t="shared" si="27"/>
        <v>-71.880501635699986</v>
      </c>
      <c r="EB185" s="83">
        <f t="shared" si="27"/>
        <v>16.159838486700004</v>
      </c>
      <c r="EC185" s="83">
        <f t="shared" si="27"/>
        <v>139.66418601689998</v>
      </c>
      <c r="ED185" s="83">
        <f t="shared" si="27"/>
        <v>276.11742881150002</v>
      </c>
    </row>
    <row r="186" spans="2:134" x14ac:dyDescent="0.3">
      <c r="B186" s="45">
        <f t="shared" si="21"/>
        <v>1000000182</v>
      </c>
      <c r="C186" s="46">
        <v>42186</v>
      </c>
      <c r="D186" s="66">
        <v>-8</v>
      </c>
      <c r="E186" s="66">
        <v>-8</v>
      </c>
      <c r="F186" s="66">
        <v>-8</v>
      </c>
      <c r="G186" s="66">
        <v>-8</v>
      </c>
      <c r="H186" s="66">
        <v>-8</v>
      </c>
      <c r="I186" s="66">
        <v>-8</v>
      </c>
      <c r="J186" s="66">
        <v>-8</v>
      </c>
      <c r="K186" s="66">
        <v>-8</v>
      </c>
      <c r="L186" s="66">
        <v>-8</v>
      </c>
      <c r="M186" s="66">
        <v>-8</v>
      </c>
      <c r="N186" s="66">
        <v>-8</v>
      </c>
      <c r="O186" s="66">
        <v>-8</v>
      </c>
      <c r="P186" s="66">
        <v>-8</v>
      </c>
      <c r="Q186" s="66">
        <v>-8</v>
      </c>
      <c r="R186" s="66">
        <v>-8</v>
      </c>
      <c r="S186" s="66">
        <v>-8</v>
      </c>
      <c r="T186" s="66">
        <v>-8</v>
      </c>
      <c r="U186" s="66">
        <v>-8</v>
      </c>
      <c r="V186" s="66">
        <v>-1.3202473999999995</v>
      </c>
      <c r="W186" s="66">
        <v>8.8291863552999992</v>
      </c>
      <c r="X186" s="66">
        <v>14.303243610999999</v>
      </c>
      <c r="Y186" s="66">
        <v>7.8414836112999993</v>
      </c>
      <c r="Z186" s="66">
        <v>11.072870221599999</v>
      </c>
      <c r="AA186" s="66">
        <v>15.946200063700001</v>
      </c>
      <c r="AB186" s="66">
        <v>15.278525017300002</v>
      </c>
      <c r="AC186" s="66">
        <v>29.426466184300004</v>
      </c>
      <c r="AD186" s="66">
        <v>41.927060274700004</v>
      </c>
      <c r="AE186" s="66">
        <v>24.370043572899995</v>
      </c>
      <c r="AF186" s="66">
        <v>28.319578641100001</v>
      </c>
      <c r="AG186" s="66">
        <v>35.6200979125</v>
      </c>
      <c r="AH186" s="66">
        <v>32.824546395999995</v>
      </c>
      <c r="AI186" s="66">
        <v>32.003724886900002</v>
      </c>
      <c r="AJ186" s="66">
        <v>33.029930025100001</v>
      </c>
      <c r="AK186" s="66">
        <v>41.539296883600002</v>
      </c>
      <c r="AL186" s="66">
        <v>28.013548402599994</v>
      </c>
      <c r="AM186" s="66">
        <v>46.513648602100005</v>
      </c>
      <c r="AN186" s="66">
        <v>40.905320813800003</v>
      </c>
      <c r="AO186" s="66">
        <v>64.899329893299992</v>
      </c>
      <c r="AP186" s="66">
        <v>74.172440150200003</v>
      </c>
      <c r="AQ186" s="66">
        <v>67.474074306999995</v>
      </c>
      <c r="AR186" s="66">
        <v>54.637353564699993</v>
      </c>
      <c r="AS186" s="66">
        <v>49.533384624400007</v>
      </c>
      <c r="AT186" s="66">
        <v>58.725699896199998</v>
      </c>
      <c r="AU186" s="66">
        <v>65.251818186400016</v>
      </c>
      <c r="AV186" s="66">
        <v>59.076461961099994</v>
      </c>
      <c r="AW186" s="66">
        <v>56.269127060800017</v>
      </c>
      <c r="AX186" s="66">
        <v>57.965221320699996</v>
      </c>
      <c r="AY186" s="66">
        <v>67.547664165699999</v>
      </c>
      <c r="AZ186" s="66">
        <v>63.052791093099998</v>
      </c>
      <c r="BA186" s="66">
        <v>92.144314520500004</v>
      </c>
      <c r="BB186" s="66">
        <v>95.797050918400004</v>
      </c>
      <c r="BC186" s="66">
        <v>95.764477742799997</v>
      </c>
      <c r="BD186" s="66">
        <v>84.095137584100002</v>
      </c>
      <c r="BE186" s="66">
        <v>45.592255537</v>
      </c>
      <c r="BF186" s="66">
        <v>42.694931610099999</v>
      </c>
      <c r="BG186" s="66">
        <v>49.510981184499997</v>
      </c>
      <c r="BH186" s="66">
        <v>43.3802066788</v>
      </c>
      <c r="BI186" s="66">
        <v>61.604110366300006</v>
      </c>
      <c r="BJ186" s="66">
        <v>78.019452273999988</v>
      </c>
      <c r="BK186" s="66">
        <v>41.883829516300011</v>
      </c>
      <c r="BL186" s="66">
        <v>56.923067334999999</v>
      </c>
      <c r="BM186" s="66">
        <v>81.175034950300002</v>
      </c>
      <c r="BN186" s="66">
        <v>55.787359286200001</v>
      </c>
      <c r="BO186" s="66">
        <v>61.435390323099995</v>
      </c>
      <c r="BP186" s="66">
        <v>60.314280160600006</v>
      </c>
      <c r="BQ186" s="66">
        <v>48.136565797000003</v>
      </c>
      <c r="BR186" s="66">
        <v>57.392038504899986</v>
      </c>
      <c r="BS186" s="66">
        <v>62.117250462100017</v>
      </c>
      <c r="BT186" s="66">
        <v>38.305358457700009</v>
      </c>
      <c r="BU186" s="66">
        <v>48.170940254200005</v>
      </c>
      <c r="BV186" s="66">
        <v>48.299506728400004</v>
      </c>
      <c r="BW186" s="66">
        <v>55.043279878600025</v>
      </c>
      <c r="BX186" s="66">
        <v>48.165611462800008</v>
      </c>
      <c r="BY186" s="66">
        <v>59.228445096100003</v>
      </c>
      <c r="BZ186" s="66">
        <v>55.84064720020001</v>
      </c>
      <c r="CA186" s="66">
        <v>40.778367987700001</v>
      </c>
      <c r="CB186" s="66">
        <v>66.642144894699996</v>
      </c>
      <c r="CC186" s="66">
        <v>65.187422369200007</v>
      </c>
      <c r="CD186" s="66">
        <v>70.589015567200008</v>
      </c>
      <c r="CE186" s="66">
        <v>74.920159647700018</v>
      </c>
      <c r="CF186" s="66">
        <v>73.784076331899996</v>
      </c>
      <c r="CG186" s="66">
        <v>56.179700934699994</v>
      </c>
      <c r="CH186" s="66">
        <v>54.756463310500017</v>
      </c>
      <c r="CI186" s="66">
        <v>50.300430372400001</v>
      </c>
      <c r="CJ186" s="66">
        <v>48.368105536000009</v>
      </c>
      <c r="CK186" s="66">
        <v>59.088432978400007</v>
      </c>
      <c r="CL186" s="66">
        <v>65.157025742200005</v>
      </c>
      <c r="CM186" s="66">
        <v>60.221589211599991</v>
      </c>
      <c r="CN186" s="66">
        <v>53.6184286063</v>
      </c>
      <c r="CO186" s="66">
        <v>60.351769333900009</v>
      </c>
      <c r="CP186" s="66">
        <v>54.584290810900001</v>
      </c>
      <c r="CQ186" s="66">
        <v>60.361226062300005</v>
      </c>
      <c r="CR186" s="66">
        <v>39.260187812500014</v>
      </c>
      <c r="CS186" s="66">
        <v>34.183012936000011</v>
      </c>
      <c r="CT186" s="66">
        <v>22.334069991100002</v>
      </c>
      <c r="CU186" s="66">
        <v>35.142495601600011</v>
      </c>
      <c r="CV186" s="66">
        <v>33.821518234900012</v>
      </c>
      <c r="CW186" s="66">
        <v>62.977399952799999</v>
      </c>
      <c r="CX186" s="66">
        <v>75.105691652499999</v>
      </c>
      <c r="CY186" s="66">
        <v>37.474817533300012</v>
      </c>
      <c r="CZ186" s="66">
        <v>33.109186415499991</v>
      </c>
      <c r="DA186" s="66">
        <v>33.956088981099995</v>
      </c>
      <c r="DB186" s="66">
        <v>27.672918546700004</v>
      </c>
      <c r="DC186" s="66">
        <v>36.953721777100007</v>
      </c>
      <c r="DD186" s="66">
        <v>35.691811436199998</v>
      </c>
      <c r="DE186" s="66">
        <v>29.468158347999996</v>
      </c>
      <c r="DF186" s="66">
        <v>16.846915917100006</v>
      </c>
      <c r="DG186" s="66">
        <v>31.5518283655</v>
      </c>
      <c r="DH186" s="66">
        <v>22.826645455300007</v>
      </c>
      <c r="DI186" s="66">
        <v>35.692712077000003</v>
      </c>
      <c r="DJ186" s="66">
        <v>26.239286026599999</v>
      </c>
      <c r="DK186" s="66">
        <v>26.236621630900004</v>
      </c>
      <c r="DL186" s="66">
        <v>20.205367933599998</v>
      </c>
      <c r="DM186" s="66">
        <v>12.827130866499996</v>
      </c>
      <c r="DN186" s="66">
        <v>32.240255677</v>
      </c>
      <c r="DO186" s="66">
        <v>37.7941697503</v>
      </c>
      <c r="DP186" s="79"/>
      <c r="DQ186" s="80"/>
      <c r="DR186" s="81"/>
      <c r="DS186" s="84">
        <f t="shared" si="20"/>
        <v>2015</v>
      </c>
      <c r="DT186" s="80"/>
      <c r="DU186" s="83">
        <f t="shared" si="27"/>
        <v>-96</v>
      </c>
      <c r="DV186" s="83">
        <f t="shared" si="27"/>
        <v>8.6727364628999943</v>
      </c>
      <c r="DW186" s="83">
        <f t="shared" si="27"/>
        <v>388.86646679909995</v>
      </c>
      <c r="DX186" s="83">
        <f t="shared" si="27"/>
        <v>716.45789594430005</v>
      </c>
      <c r="DY186" s="83">
        <f t="shared" si="27"/>
        <v>793.53953902590001</v>
      </c>
      <c r="DZ186" s="83">
        <f t="shared" si="27"/>
        <v>673.10007213810013</v>
      </c>
      <c r="EA186" s="83">
        <f t="shared" si="27"/>
        <v>716.37248517510011</v>
      </c>
      <c r="EB186" s="83">
        <f t="shared" si="27"/>
        <v>592.67063462280009</v>
      </c>
      <c r="EC186" s="83">
        <f t="shared" si="27"/>
        <v>454.63005716069995</v>
      </c>
      <c r="ED186" s="83">
        <f t="shared" si="27"/>
        <v>214.06218941719999</v>
      </c>
    </row>
    <row r="187" spans="2:134" x14ac:dyDescent="0.3">
      <c r="B187" s="45">
        <f t="shared" si="21"/>
        <v>1000000183</v>
      </c>
      <c r="C187" s="46">
        <v>42948</v>
      </c>
      <c r="D187" s="66">
        <v>-8</v>
      </c>
      <c r="E187" s="66">
        <v>-8</v>
      </c>
      <c r="F187" s="66">
        <v>-8</v>
      </c>
      <c r="G187" s="66">
        <v>-8</v>
      </c>
      <c r="H187" s="66">
        <v>-8</v>
      </c>
      <c r="I187" s="66">
        <v>-8</v>
      </c>
      <c r="J187" s="66">
        <v>-8</v>
      </c>
      <c r="K187" s="66">
        <v>-8</v>
      </c>
      <c r="L187" s="66">
        <v>-8</v>
      </c>
      <c r="M187" s="66">
        <v>-8</v>
      </c>
      <c r="N187" s="66">
        <v>-8</v>
      </c>
      <c r="O187" s="66">
        <v>-8</v>
      </c>
      <c r="P187" s="66">
        <v>-8</v>
      </c>
      <c r="Q187" s="66">
        <v>-8</v>
      </c>
      <c r="R187" s="66">
        <v>-8</v>
      </c>
      <c r="S187" s="66">
        <v>-8</v>
      </c>
      <c r="T187" s="66">
        <v>-8</v>
      </c>
      <c r="U187" s="66">
        <v>-8</v>
      </c>
      <c r="V187" s="66">
        <v>-8</v>
      </c>
      <c r="W187" s="66">
        <v>-8</v>
      </c>
      <c r="X187" s="66">
        <v>-8</v>
      </c>
      <c r="Y187" s="66">
        <v>-8</v>
      </c>
      <c r="Z187" s="66">
        <v>-8</v>
      </c>
      <c r="AA187" s="66">
        <v>-8</v>
      </c>
      <c r="AB187" s="66">
        <v>-8</v>
      </c>
      <c r="AC187" s="66">
        <v>-8</v>
      </c>
      <c r="AD187" s="66">
        <v>-8</v>
      </c>
      <c r="AE187" s="66">
        <v>-8</v>
      </c>
      <c r="AF187" s="66">
        <v>-8</v>
      </c>
      <c r="AG187" s="66">
        <v>-8</v>
      </c>
      <c r="AH187" s="66">
        <v>-8</v>
      </c>
      <c r="AI187" s="66">
        <v>-8</v>
      </c>
      <c r="AJ187" s="66">
        <v>-8</v>
      </c>
      <c r="AK187" s="66">
        <v>-8</v>
      </c>
      <c r="AL187" s="66">
        <v>-8</v>
      </c>
      <c r="AM187" s="66">
        <v>-8</v>
      </c>
      <c r="AN187" s="66">
        <v>-8</v>
      </c>
      <c r="AO187" s="66">
        <v>-8</v>
      </c>
      <c r="AP187" s="66">
        <v>-8</v>
      </c>
      <c r="AQ187" s="66">
        <v>-8</v>
      </c>
      <c r="AR187" s="66">
        <v>-8</v>
      </c>
      <c r="AS187" s="66">
        <v>-8</v>
      </c>
      <c r="AT187" s="66">
        <v>-8</v>
      </c>
      <c r="AU187" s="66">
        <v>6.5024559019000012</v>
      </c>
      <c r="AV187" s="66">
        <v>2.4307338984999998</v>
      </c>
      <c r="AW187" s="66">
        <v>8.7754856476</v>
      </c>
      <c r="AX187" s="66">
        <v>9.8987723587000005</v>
      </c>
      <c r="AY187" s="66">
        <v>10.022197674999997</v>
      </c>
      <c r="AZ187" s="66">
        <v>9.3831179739999975</v>
      </c>
      <c r="BA187" s="66">
        <v>16.3309613188</v>
      </c>
      <c r="BB187" s="66">
        <v>20.054548126300002</v>
      </c>
      <c r="BC187" s="66">
        <v>17.437661228500005</v>
      </c>
      <c r="BD187" s="66">
        <v>8.1859787173000029</v>
      </c>
      <c r="BE187" s="66">
        <v>13.2518955838</v>
      </c>
      <c r="BF187" s="66">
        <v>16.552068635200008</v>
      </c>
      <c r="BG187" s="66">
        <v>17.041679490100005</v>
      </c>
      <c r="BH187" s="66">
        <v>11.565633319300002</v>
      </c>
      <c r="BI187" s="66">
        <v>13.474241281300003</v>
      </c>
      <c r="BJ187" s="66">
        <v>13.474991815300001</v>
      </c>
      <c r="BK187" s="66">
        <v>16.880877580600004</v>
      </c>
      <c r="BL187" s="66">
        <v>13.543177829200001</v>
      </c>
      <c r="BM187" s="66">
        <v>23.931431503299997</v>
      </c>
      <c r="BN187" s="66">
        <v>12.642687135999999</v>
      </c>
      <c r="BO187" s="66">
        <v>16.435961025400005</v>
      </c>
      <c r="BP187" s="66">
        <v>15.511228084000003</v>
      </c>
      <c r="BQ187" s="66">
        <v>15.348512312800001</v>
      </c>
      <c r="BR187" s="66">
        <v>14.678735771200003</v>
      </c>
      <c r="BS187" s="66">
        <v>18.531226793200002</v>
      </c>
      <c r="BT187" s="66">
        <v>14.666952387400002</v>
      </c>
      <c r="BU187" s="66">
        <v>14.172950908600004</v>
      </c>
      <c r="BV187" s="66">
        <v>9.0327687028000021</v>
      </c>
      <c r="BW187" s="66">
        <v>9.102755998300001</v>
      </c>
      <c r="BX187" s="66">
        <v>15.043645402000003</v>
      </c>
      <c r="BY187" s="66">
        <v>11.490317232399999</v>
      </c>
      <c r="BZ187" s="66">
        <v>25.694510922700005</v>
      </c>
      <c r="CA187" s="66">
        <v>21.349707123400005</v>
      </c>
      <c r="CB187" s="66">
        <v>13.492591837599999</v>
      </c>
      <c r="CC187" s="66">
        <v>12.777445515700002</v>
      </c>
      <c r="CD187" s="66">
        <v>6.9876761329000008</v>
      </c>
      <c r="CE187" s="66">
        <v>13.062010481800002</v>
      </c>
      <c r="CF187" s="66">
        <v>24.373571082699996</v>
      </c>
      <c r="CG187" s="66">
        <v>32.318273686299996</v>
      </c>
      <c r="CH187" s="66">
        <v>23.519575970799998</v>
      </c>
      <c r="CI187" s="66">
        <v>33.040137287499995</v>
      </c>
      <c r="CJ187" s="66">
        <v>28.633264326400003</v>
      </c>
      <c r="CK187" s="66">
        <v>46.786430184399997</v>
      </c>
      <c r="CL187" s="66">
        <v>51.788439080800003</v>
      </c>
      <c r="CM187" s="66">
        <v>43.728154241200002</v>
      </c>
      <c r="CN187" s="66">
        <v>31.661969230000011</v>
      </c>
      <c r="CO187" s="66">
        <v>23.808981881200001</v>
      </c>
      <c r="CP187" s="66">
        <v>16.692418493200002</v>
      </c>
      <c r="CQ187" s="66">
        <v>19.220854959099999</v>
      </c>
      <c r="CR187" s="66">
        <v>27.390304968999999</v>
      </c>
      <c r="CS187" s="66">
        <v>26.499533691099998</v>
      </c>
      <c r="CT187" s="66">
        <v>14.698699975600004</v>
      </c>
      <c r="CU187" s="66">
        <v>7.5380427151000013</v>
      </c>
      <c r="CV187" s="66">
        <v>20.585250717700003</v>
      </c>
      <c r="CW187" s="66">
        <v>11.865058858599998</v>
      </c>
      <c r="CX187" s="66">
        <v>16.3315992727</v>
      </c>
      <c r="CY187" s="66">
        <v>11.992199318200001</v>
      </c>
      <c r="CZ187" s="66">
        <v>4.2838398712000014</v>
      </c>
      <c r="DA187" s="66">
        <v>12.358159696600001</v>
      </c>
      <c r="DB187" s="66">
        <v>16.28352757</v>
      </c>
      <c r="DC187" s="66">
        <v>10.985808277599997</v>
      </c>
      <c r="DD187" s="66">
        <v>19.393440252400005</v>
      </c>
      <c r="DE187" s="66">
        <v>7.2247698235000009</v>
      </c>
      <c r="DF187" s="66">
        <v>8.0904732658</v>
      </c>
      <c r="DG187" s="66">
        <v>18.499666838500001</v>
      </c>
      <c r="DH187" s="66">
        <v>19.884026801500003</v>
      </c>
      <c r="DI187" s="66">
        <v>29.179765658499996</v>
      </c>
      <c r="DJ187" s="66">
        <v>32.7233368861</v>
      </c>
      <c r="DK187" s="66">
        <v>31.765242708399995</v>
      </c>
      <c r="DL187" s="66">
        <v>40.001452717599996</v>
      </c>
      <c r="DM187" s="66">
        <v>40.526526304000001</v>
      </c>
      <c r="DN187" s="66">
        <v>42.855283199199995</v>
      </c>
      <c r="DO187" s="66">
        <v>64.6070719537</v>
      </c>
      <c r="DP187" s="79"/>
      <c r="DQ187" s="80"/>
      <c r="DR187" s="81"/>
      <c r="DS187" s="84">
        <f t="shared" si="20"/>
        <v>2017</v>
      </c>
      <c r="DT187" s="80"/>
      <c r="DU187" s="83">
        <f t="shared" si="27"/>
        <v>-96</v>
      </c>
      <c r="DV187" s="83">
        <f t="shared" si="27"/>
        <v>-96</v>
      </c>
      <c r="DW187" s="83">
        <f t="shared" si="27"/>
        <v>-96</v>
      </c>
      <c r="DX187" s="83">
        <f t="shared" si="27"/>
        <v>-18.370354518300001</v>
      </c>
      <c r="DY187" s="83">
        <f t="shared" si="27"/>
        <v>173.63365507050005</v>
      </c>
      <c r="DZ187" s="83">
        <f t="shared" si="27"/>
        <v>177.59838845220006</v>
      </c>
      <c r="EA187" s="83">
        <f t="shared" si="27"/>
        <v>233.14946267579998</v>
      </c>
      <c r="EB187" s="83">
        <f t="shared" si="27"/>
        <v>338.44709374710004</v>
      </c>
      <c r="EC187" s="83">
        <f t="shared" si="27"/>
        <v>157.89379376280002</v>
      </c>
      <c r="ED187" s="83">
        <f t="shared" si="27"/>
        <v>301.54270622899998</v>
      </c>
    </row>
    <row r="188" spans="2:134" x14ac:dyDescent="0.3">
      <c r="B188" s="45">
        <f t="shared" si="21"/>
        <v>1000000184</v>
      </c>
      <c r="C188" s="46">
        <v>44378</v>
      </c>
      <c r="D188" s="66">
        <v>-8</v>
      </c>
      <c r="E188" s="66">
        <v>-8</v>
      </c>
      <c r="F188" s="66">
        <v>-8</v>
      </c>
      <c r="G188" s="66">
        <v>-8</v>
      </c>
      <c r="H188" s="66">
        <v>-8</v>
      </c>
      <c r="I188" s="66">
        <v>-8</v>
      </c>
      <c r="J188" s="66">
        <v>-8</v>
      </c>
      <c r="K188" s="66">
        <v>-8</v>
      </c>
      <c r="L188" s="66">
        <v>-8</v>
      </c>
      <c r="M188" s="66">
        <v>-8</v>
      </c>
      <c r="N188" s="66">
        <v>-8</v>
      </c>
      <c r="O188" s="66">
        <v>-8</v>
      </c>
      <c r="P188" s="66">
        <v>-8</v>
      </c>
      <c r="Q188" s="66">
        <v>-8</v>
      </c>
      <c r="R188" s="66">
        <v>-8</v>
      </c>
      <c r="S188" s="66">
        <v>-8</v>
      </c>
      <c r="T188" s="66">
        <v>-8</v>
      </c>
      <c r="U188" s="66">
        <v>-8</v>
      </c>
      <c r="V188" s="66">
        <v>-8</v>
      </c>
      <c r="W188" s="66">
        <v>-8</v>
      </c>
      <c r="X188" s="66">
        <v>-8</v>
      </c>
      <c r="Y188" s="66">
        <v>-8</v>
      </c>
      <c r="Z188" s="66">
        <v>-8</v>
      </c>
      <c r="AA188" s="66">
        <v>-8</v>
      </c>
      <c r="AB188" s="66">
        <v>-8</v>
      </c>
      <c r="AC188" s="66">
        <v>-8</v>
      </c>
      <c r="AD188" s="66">
        <v>-8</v>
      </c>
      <c r="AE188" s="66">
        <v>-8</v>
      </c>
      <c r="AF188" s="66">
        <v>-8</v>
      </c>
      <c r="AG188" s="66">
        <v>-8</v>
      </c>
      <c r="AH188" s="66">
        <v>-8</v>
      </c>
      <c r="AI188" s="66">
        <v>-8</v>
      </c>
      <c r="AJ188" s="66">
        <v>-8</v>
      </c>
      <c r="AK188" s="66">
        <v>-8</v>
      </c>
      <c r="AL188" s="66">
        <v>-8</v>
      </c>
      <c r="AM188" s="66">
        <v>-8</v>
      </c>
      <c r="AN188" s="66">
        <v>-8</v>
      </c>
      <c r="AO188" s="66">
        <v>-8</v>
      </c>
      <c r="AP188" s="66">
        <v>-8</v>
      </c>
      <c r="AQ188" s="66">
        <v>-8</v>
      </c>
      <c r="AR188" s="66">
        <v>-8</v>
      </c>
      <c r="AS188" s="66">
        <v>-8</v>
      </c>
      <c r="AT188" s="66">
        <v>-8</v>
      </c>
      <c r="AU188" s="66">
        <v>-8</v>
      </c>
      <c r="AV188" s="66">
        <v>-8</v>
      </c>
      <c r="AW188" s="66">
        <v>-8</v>
      </c>
      <c r="AX188" s="66">
        <v>-8</v>
      </c>
      <c r="AY188" s="66">
        <v>-8</v>
      </c>
      <c r="AZ188" s="66">
        <v>-8</v>
      </c>
      <c r="BA188" s="66">
        <v>-8</v>
      </c>
      <c r="BB188" s="66">
        <v>-8</v>
      </c>
      <c r="BC188" s="66">
        <v>-8</v>
      </c>
      <c r="BD188" s="66">
        <v>-8</v>
      </c>
      <c r="BE188" s="66">
        <v>-8</v>
      </c>
      <c r="BF188" s="66">
        <v>-8</v>
      </c>
      <c r="BG188" s="66">
        <v>-8</v>
      </c>
      <c r="BH188" s="66">
        <v>-8</v>
      </c>
      <c r="BI188" s="66">
        <v>-8</v>
      </c>
      <c r="BJ188" s="66">
        <v>-8</v>
      </c>
      <c r="BK188" s="66">
        <v>-8</v>
      </c>
      <c r="BL188" s="66">
        <v>-8</v>
      </c>
      <c r="BM188" s="66">
        <v>-8</v>
      </c>
      <c r="BN188" s="66">
        <v>-8</v>
      </c>
      <c r="BO188" s="66">
        <v>-8</v>
      </c>
      <c r="BP188" s="66">
        <v>-8</v>
      </c>
      <c r="BQ188" s="66">
        <v>-8</v>
      </c>
      <c r="BR188" s="66">
        <v>-8</v>
      </c>
      <c r="BS188" s="66">
        <v>-8</v>
      </c>
      <c r="BT188" s="66">
        <v>-8</v>
      </c>
      <c r="BU188" s="66">
        <v>-8</v>
      </c>
      <c r="BV188" s="66">
        <v>-8</v>
      </c>
      <c r="BW188" s="66">
        <v>-8</v>
      </c>
      <c r="BX188" s="66">
        <v>-8</v>
      </c>
      <c r="BY188" s="66">
        <v>-8</v>
      </c>
      <c r="BZ188" s="66">
        <v>-8</v>
      </c>
      <c r="CA188" s="66">
        <v>-8</v>
      </c>
      <c r="CB188" s="66">
        <v>-8</v>
      </c>
      <c r="CC188" s="66">
        <v>-8</v>
      </c>
      <c r="CD188" s="66">
        <v>-8</v>
      </c>
      <c r="CE188" s="66">
        <v>-8</v>
      </c>
      <c r="CF188" s="66">
        <v>-8</v>
      </c>
      <c r="CG188" s="66">
        <v>-8</v>
      </c>
      <c r="CH188" s="66">
        <v>-8</v>
      </c>
      <c r="CI188" s="66">
        <v>-8</v>
      </c>
      <c r="CJ188" s="66">
        <v>-8</v>
      </c>
      <c r="CK188" s="66">
        <v>-8</v>
      </c>
      <c r="CL188" s="66">
        <v>-8</v>
      </c>
      <c r="CM188" s="66">
        <v>-8</v>
      </c>
      <c r="CN188" s="66">
        <v>-8</v>
      </c>
      <c r="CO188" s="66">
        <v>-8</v>
      </c>
      <c r="CP188" s="66">
        <v>-8</v>
      </c>
      <c r="CQ188" s="66">
        <v>-4.5872093218999996</v>
      </c>
      <c r="CR188" s="66">
        <v>-0.6801544781000004</v>
      </c>
      <c r="CS188" s="66">
        <v>0.36042338619999903</v>
      </c>
      <c r="CT188" s="66">
        <v>-5.3619105167000001</v>
      </c>
      <c r="CU188" s="66">
        <v>-0.3270657577999998</v>
      </c>
      <c r="CV188" s="66">
        <v>2.7341747947000012</v>
      </c>
      <c r="CW188" s="66">
        <v>12.464810578000002</v>
      </c>
      <c r="CX188" s="66">
        <v>13.983891394</v>
      </c>
      <c r="CY188" s="66">
        <v>5.1425633473000012</v>
      </c>
      <c r="CZ188" s="66">
        <v>-2.6881331416999998</v>
      </c>
      <c r="DA188" s="66">
        <v>5.6582552587000023</v>
      </c>
      <c r="DB188" s="66">
        <v>2.1158473588</v>
      </c>
      <c r="DC188" s="66">
        <v>12.1356263656</v>
      </c>
      <c r="DD188" s="66">
        <v>7.3786668202000012</v>
      </c>
      <c r="DE188" s="66">
        <v>9.8034170140000043</v>
      </c>
      <c r="DF188" s="66">
        <v>13.861591878699997</v>
      </c>
      <c r="DG188" s="66">
        <v>19.899187588299995</v>
      </c>
      <c r="DH188" s="66">
        <v>22.245131712099997</v>
      </c>
      <c r="DI188" s="66">
        <v>31.070360804500005</v>
      </c>
      <c r="DJ188" s="66">
        <v>41.198141653900002</v>
      </c>
      <c r="DK188" s="66">
        <v>37.348014813999995</v>
      </c>
      <c r="DL188" s="66">
        <v>32.398843511200006</v>
      </c>
      <c r="DM188" s="66">
        <v>32.023538984499993</v>
      </c>
      <c r="DN188" s="66">
        <v>37.264517906500004</v>
      </c>
      <c r="DO188" s="66">
        <v>47.269436340100007</v>
      </c>
      <c r="DP188" s="79"/>
      <c r="DQ188" s="80"/>
      <c r="DR188" s="81"/>
      <c r="DS188" s="84">
        <f t="shared" si="20"/>
        <v>2021</v>
      </c>
      <c r="DT188" s="80"/>
      <c r="DU188" s="83">
        <f t="shared" si="27"/>
        <v>-96</v>
      </c>
      <c r="DV188" s="83">
        <f t="shared" si="27"/>
        <v>-96</v>
      </c>
      <c r="DW188" s="83">
        <f t="shared" si="27"/>
        <v>-96</v>
      </c>
      <c r="DX188" s="83">
        <f t="shared" si="27"/>
        <v>-96</v>
      </c>
      <c r="DY188" s="83">
        <f t="shared" si="27"/>
        <v>-96</v>
      </c>
      <c r="DZ188" s="83">
        <f t="shared" si="27"/>
        <v>-96</v>
      </c>
      <c r="EA188" s="83">
        <f t="shared" si="27"/>
        <v>-96</v>
      </c>
      <c r="EB188" s="83">
        <f t="shared" si="27"/>
        <v>-66.595916688300008</v>
      </c>
      <c r="EC188" s="83">
        <f t="shared" si="27"/>
        <v>102.48989925660001</v>
      </c>
      <c r="ED188" s="83">
        <f t="shared" si="27"/>
        <v>280.81798572679998</v>
      </c>
    </row>
    <row r="189" spans="2:134" x14ac:dyDescent="0.3">
      <c r="B189" s="45">
        <f t="shared" si="21"/>
        <v>1000000185</v>
      </c>
      <c r="C189" s="46">
        <v>39203</v>
      </c>
      <c r="D189" s="66">
        <v>80.805134268399996</v>
      </c>
      <c r="E189" s="66">
        <v>144.11023793289999</v>
      </c>
      <c r="F189" s="66">
        <v>114.89825379850001</v>
      </c>
      <c r="G189" s="66">
        <v>129.38205893049999</v>
      </c>
      <c r="H189" s="66">
        <v>63.607173032199995</v>
      </c>
      <c r="I189" s="66">
        <v>68.846988626500007</v>
      </c>
      <c r="J189" s="66">
        <v>74.8087428754</v>
      </c>
      <c r="K189" s="66">
        <v>92.796040719400011</v>
      </c>
      <c r="L189" s="66">
        <v>89.419388253400001</v>
      </c>
      <c r="M189" s="66">
        <v>94.12069570269999</v>
      </c>
      <c r="N189" s="66">
        <v>82.011580146699998</v>
      </c>
      <c r="O189" s="66">
        <v>79.227436746999999</v>
      </c>
      <c r="P189" s="66">
        <v>96.478160523399993</v>
      </c>
      <c r="Q189" s="66">
        <v>324.73596444820004</v>
      </c>
      <c r="R189" s="66">
        <v>165.40975489900001</v>
      </c>
      <c r="S189" s="66">
        <v>166.60989629169995</v>
      </c>
      <c r="T189" s="66">
        <v>97.590602018200016</v>
      </c>
      <c r="U189" s="66">
        <v>100.51588333659998</v>
      </c>
      <c r="V189" s="66">
        <v>100.2080518165</v>
      </c>
      <c r="W189" s="66">
        <v>110.2736133973</v>
      </c>
      <c r="X189" s="66">
        <v>88.174702667800005</v>
      </c>
      <c r="Y189" s="66">
        <v>94.857232243600009</v>
      </c>
      <c r="Z189" s="66">
        <v>89.335553605600012</v>
      </c>
      <c r="AA189" s="66">
        <v>94.026278525500004</v>
      </c>
      <c r="AB189" s="66">
        <v>93.331434148299991</v>
      </c>
      <c r="AC189" s="66">
        <v>150.78289798660001</v>
      </c>
      <c r="AD189" s="66">
        <v>138.89350125909996</v>
      </c>
      <c r="AE189" s="66">
        <v>133.72464865449999</v>
      </c>
      <c r="AF189" s="66">
        <v>87.030438531399994</v>
      </c>
      <c r="AG189" s="66">
        <v>76.171787672799994</v>
      </c>
      <c r="AH189" s="66">
        <v>82.524495082300007</v>
      </c>
      <c r="AI189" s="66">
        <v>98.294527856800016</v>
      </c>
      <c r="AJ189" s="66">
        <v>105.47323546</v>
      </c>
      <c r="AK189" s="66">
        <v>78.128692497700001</v>
      </c>
      <c r="AL189" s="66">
        <v>104.67729415300001</v>
      </c>
      <c r="AM189" s="66">
        <v>82.037360989599989</v>
      </c>
      <c r="AN189" s="66">
        <v>107.6446429021</v>
      </c>
      <c r="AO189" s="66">
        <v>130.71800945050001</v>
      </c>
      <c r="AP189" s="66">
        <v>129.01696166619999</v>
      </c>
      <c r="AQ189" s="66">
        <v>133.84739849019999</v>
      </c>
      <c r="AR189" s="66">
        <v>107.73414408160002</v>
      </c>
      <c r="AS189" s="66">
        <v>79.118346630099992</v>
      </c>
      <c r="AT189" s="66">
        <v>85.363389937299985</v>
      </c>
      <c r="AU189" s="66">
        <v>76.43368651210001</v>
      </c>
      <c r="AV189" s="66">
        <v>96.03583331050001</v>
      </c>
      <c r="AW189" s="66">
        <v>86.921460994599997</v>
      </c>
      <c r="AX189" s="66">
        <v>101.4763041697</v>
      </c>
      <c r="AY189" s="66">
        <v>89.193590099500014</v>
      </c>
      <c r="AZ189" s="66">
        <v>65.495178835900006</v>
      </c>
      <c r="BA189" s="66">
        <v>31.965897973300002</v>
      </c>
      <c r="BB189" s="66">
        <v>36.152564258799998</v>
      </c>
      <c r="BC189" s="66">
        <v>27.9986503027</v>
      </c>
      <c r="BD189" s="66">
        <v>19.401133225900001</v>
      </c>
      <c r="BE189" s="66">
        <v>15.606733535500002</v>
      </c>
      <c r="BF189" s="66">
        <v>18.981659773300002</v>
      </c>
      <c r="BG189" s="66">
        <v>6.6775930108000008</v>
      </c>
      <c r="BH189" s="66">
        <v>3.9396825055000004</v>
      </c>
      <c r="BI189" s="66">
        <v>12.518436232300001</v>
      </c>
      <c r="BJ189" s="66">
        <v>4.4446793073999995</v>
      </c>
      <c r="BK189" s="66">
        <v>6.6775554841000009</v>
      </c>
      <c r="BL189" s="66">
        <v>2.5450402267000012</v>
      </c>
      <c r="BM189" s="66">
        <v>51.265917309999999</v>
      </c>
      <c r="BN189" s="66">
        <v>24.560341468600001</v>
      </c>
      <c r="BO189" s="66">
        <v>43.959881613699999</v>
      </c>
      <c r="BP189" s="66">
        <v>33.754232861800013</v>
      </c>
      <c r="BQ189" s="66">
        <v>21.467015587600002</v>
      </c>
      <c r="BR189" s="66">
        <v>27.635654533599997</v>
      </c>
      <c r="BS189" s="66">
        <v>36.493794541899994</v>
      </c>
      <c r="BT189" s="66">
        <v>21.591754338400001</v>
      </c>
      <c r="BU189" s="66">
        <v>40.490763358900011</v>
      </c>
      <c r="BV189" s="66">
        <v>25.028036730700002</v>
      </c>
      <c r="BW189" s="66">
        <v>16.791976828300001</v>
      </c>
      <c r="BX189" s="66">
        <v>11.716002806200006</v>
      </c>
      <c r="BY189" s="66">
        <v>130.01190706330001</v>
      </c>
      <c r="BZ189" s="66">
        <v>14.564992343500002</v>
      </c>
      <c r="CA189" s="66">
        <v>16.289681948800002</v>
      </c>
      <c r="CB189" s="66">
        <v>12.694136241700001</v>
      </c>
      <c r="CC189" s="66">
        <v>-0.75712173979999964</v>
      </c>
      <c r="CD189" s="66">
        <v>5.6598313801</v>
      </c>
      <c r="CE189" s="66">
        <v>4.1655932394999997</v>
      </c>
      <c r="CF189" s="66">
        <v>21.053058559900002</v>
      </c>
      <c r="CG189" s="66">
        <v>23.272124910999999</v>
      </c>
      <c r="CH189" s="66">
        <v>37.314353364100008</v>
      </c>
      <c r="CI189" s="66">
        <v>30.522283350999999</v>
      </c>
      <c r="CJ189" s="66">
        <v>46.170954777699997</v>
      </c>
      <c r="CK189" s="66">
        <v>450.41768616580003</v>
      </c>
      <c r="CL189" s="66">
        <v>69.1551578869</v>
      </c>
      <c r="CM189" s="66">
        <v>36.911354132800014</v>
      </c>
      <c r="CN189" s="66">
        <v>37.232920425099998</v>
      </c>
      <c r="CO189" s="66">
        <v>33.777949736200007</v>
      </c>
      <c r="CP189" s="66">
        <v>40.656218579200001</v>
      </c>
      <c r="CQ189" s="66">
        <v>37.249544753200006</v>
      </c>
      <c r="CR189" s="66">
        <v>16.846990970499998</v>
      </c>
      <c r="CS189" s="66">
        <v>37.362237433300002</v>
      </c>
      <c r="CT189" s="66">
        <v>26.797157948799999</v>
      </c>
      <c r="CU189" s="66">
        <v>38.982978079600002</v>
      </c>
      <c r="CV189" s="66">
        <v>13.698388260400002</v>
      </c>
      <c r="CW189" s="66">
        <v>2.0189158927000008</v>
      </c>
      <c r="CX189" s="66">
        <v>11.086792627300003</v>
      </c>
      <c r="CY189" s="66">
        <v>15.465708196900003</v>
      </c>
      <c r="CZ189" s="66">
        <v>10.9237391158</v>
      </c>
      <c r="DA189" s="66">
        <v>13.560102370900001</v>
      </c>
      <c r="DB189" s="66">
        <v>7.2921677766999995</v>
      </c>
      <c r="DC189" s="66">
        <v>-1.0625140243999995</v>
      </c>
      <c r="DD189" s="66">
        <v>12.346601472999996</v>
      </c>
      <c r="DE189" s="66">
        <v>21.546159397899991</v>
      </c>
      <c r="DF189" s="66">
        <v>27.397885362400011</v>
      </c>
      <c r="DG189" s="66">
        <v>13.031801488300001</v>
      </c>
      <c r="DH189" s="66">
        <v>7.205406046300002</v>
      </c>
      <c r="DI189" s="66">
        <v>19.525309076200003</v>
      </c>
      <c r="DJ189" s="66">
        <v>21.3793907431</v>
      </c>
      <c r="DK189" s="66">
        <v>29.601453186400008</v>
      </c>
      <c r="DL189" s="66">
        <v>46.625290534600005</v>
      </c>
      <c r="DM189" s="66">
        <v>39.918143443600002</v>
      </c>
      <c r="DN189" s="66">
        <v>29.9812984438</v>
      </c>
      <c r="DO189" s="66">
        <v>23.954810637399998</v>
      </c>
      <c r="DP189" s="79"/>
      <c r="DQ189" s="80"/>
      <c r="DR189" s="81"/>
      <c r="DS189" s="84">
        <f t="shared" si="20"/>
        <v>2007</v>
      </c>
      <c r="DT189" s="80"/>
      <c r="DU189" s="83">
        <f t="shared" si="27"/>
        <v>1114.0337310335999</v>
      </c>
      <c r="DV189" s="83">
        <f t="shared" si="27"/>
        <v>1528.2156937734003</v>
      </c>
      <c r="DW189" s="83">
        <f t="shared" si="27"/>
        <v>1231.0703142921</v>
      </c>
      <c r="DX189" s="83">
        <f t="shared" si="27"/>
        <v>1223.5037682443999</v>
      </c>
      <c r="DY189" s="83">
        <f t="shared" si="27"/>
        <v>249.85976444550002</v>
      </c>
      <c r="DZ189" s="83">
        <f t="shared" si="27"/>
        <v>345.5844094002</v>
      </c>
      <c r="EA189" s="83">
        <f t="shared" si="27"/>
        <v>306.50684346930001</v>
      </c>
      <c r="EB189" s="83">
        <f t="shared" si="27"/>
        <v>871.56115088909996</v>
      </c>
      <c r="EC189" s="83">
        <f t="shared" si="27"/>
        <v>147.30574793790001</v>
      </c>
      <c r="ED189" s="83">
        <f t="shared" si="27"/>
        <v>218.1911021114</v>
      </c>
    </row>
    <row r="190" spans="2:134" x14ac:dyDescent="0.3">
      <c r="B190" s="45">
        <f t="shared" si="21"/>
        <v>1000000186</v>
      </c>
      <c r="C190" s="46">
        <v>41699</v>
      </c>
      <c r="D190" s="66">
        <v>-8</v>
      </c>
      <c r="E190" s="66">
        <v>-8</v>
      </c>
      <c r="F190" s="66">
        <v>-0.6372614599999995</v>
      </c>
      <c r="G190" s="66">
        <v>2.6614855768000005</v>
      </c>
      <c r="H190" s="66">
        <v>1.9884066856000011</v>
      </c>
      <c r="I190" s="66">
        <v>0.95495889429999892</v>
      </c>
      <c r="J190" s="66">
        <v>2.4871365286000007</v>
      </c>
      <c r="K190" s="66">
        <v>3.6191294340999995</v>
      </c>
      <c r="L190" s="66">
        <v>5.1952508341000012</v>
      </c>
      <c r="M190" s="66">
        <v>8.0313311865999992</v>
      </c>
      <c r="N190" s="66">
        <v>6.7181218468000008</v>
      </c>
      <c r="O190" s="66">
        <v>5.5090490995000003</v>
      </c>
      <c r="P190" s="66">
        <v>7.1786495092000013</v>
      </c>
      <c r="Q190" s="66">
        <v>40.680235667200009</v>
      </c>
      <c r="R190" s="66">
        <v>13.252908804700002</v>
      </c>
      <c r="S190" s="66">
        <v>7.7532583396000021</v>
      </c>
      <c r="T190" s="66">
        <v>6.0921764908</v>
      </c>
      <c r="U190" s="66">
        <v>7.6125332146000009</v>
      </c>
      <c r="V190" s="66">
        <v>5.9991853281999994</v>
      </c>
      <c r="W190" s="66">
        <v>3.7595543455000016</v>
      </c>
      <c r="X190" s="66">
        <v>3.4509722914000012</v>
      </c>
      <c r="Y190" s="66">
        <v>5.8952363691999992</v>
      </c>
      <c r="Z190" s="66">
        <v>7.7361461644000009</v>
      </c>
      <c r="AA190" s="66">
        <v>7.2440210206000035</v>
      </c>
      <c r="AB190" s="66">
        <v>12.2389373707</v>
      </c>
      <c r="AC190" s="66">
        <v>17.9077581994</v>
      </c>
      <c r="AD190" s="66">
        <v>19.4053362163</v>
      </c>
      <c r="AE190" s="66">
        <v>19.204530844600004</v>
      </c>
      <c r="AF190" s="66">
        <v>16.565765880700003</v>
      </c>
      <c r="AG190" s="66">
        <v>10.341174625000001</v>
      </c>
      <c r="AH190" s="66">
        <v>14.393795538100001</v>
      </c>
      <c r="AI190" s="66">
        <v>16.291595810499999</v>
      </c>
      <c r="AJ190" s="66">
        <v>14.485998640000002</v>
      </c>
      <c r="AK190" s="66">
        <v>26.002117282600004</v>
      </c>
      <c r="AL190" s="66">
        <v>9.2858112409000029</v>
      </c>
      <c r="AM190" s="66">
        <v>11.030052256899996</v>
      </c>
      <c r="AN190" s="66">
        <v>15.5616264421</v>
      </c>
      <c r="AO190" s="66">
        <v>22.462223671599997</v>
      </c>
      <c r="AP190" s="66">
        <v>20.202666011200002</v>
      </c>
      <c r="AQ190" s="66">
        <v>25.034191109500007</v>
      </c>
      <c r="AR190" s="66">
        <v>22.384731036100003</v>
      </c>
      <c r="AS190" s="66">
        <v>18.688388612800001</v>
      </c>
      <c r="AT190" s="66">
        <v>20.494023310000003</v>
      </c>
      <c r="AU190" s="66">
        <v>25.255260899200003</v>
      </c>
      <c r="AV190" s="66">
        <v>13.087753798000001</v>
      </c>
      <c r="AW190" s="66">
        <v>22.848936315099994</v>
      </c>
      <c r="AX190" s="66">
        <v>31.389187647699998</v>
      </c>
      <c r="AY190" s="66">
        <v>18.755974199499999</v>
      </c>
      <c r="AZ190" s="66">
        <v>28.691730925000002</v>
      </c>
      <c r="BA190" s="66">
        <v>40.254795469300014</v>
      </c>
      <c r="BB190" s="66">
        <v>30.064795351299999</v>
      </c>
      <c r="BC190" s="66">
        <v>50.310675161500008</v>
      </c>
      <c r="BD190" s="66">
        <v>42.901703727100006</v>
      </c>
      <c r="BE190" s="66">
        <v>35.661302229100002</v>
      </c>
      <c r="BF190" s="66">
        <v>28.021316429499997</v>
      </c>
      <c r="BG190" s="66">
        <v>39.716737644699997</v>
      </c>
      <c r="BH190" s="66">
        <v>25.067552345800003</v>
      </c>
      <c r="BI190" s="66">
        <v>35.20310122210001</v>
      </c>
      <c r="BJ190" s="66">
        <v>34.564922161900007</v>
      </c>
      <c r="BK190" s="66">
        <v>27.245526960399992</v>
      </c>
      <c r="BL190" s="66">
        <v>33.222929843199999</v>
      </c>
      <c r="BM190" s="66">
        <v>43.661394241899998</v>
      </c>
      <c r="BN190" s="66">
        <v>29.609221213300003</v>
      </c>
      <c r="BO190" s="66">
        <v>56.094140058699992</v>
      </c>
      <c r="BP190" s="66">
        <v>39.141190646799998</v>
      </c>
      <c r="BQ190" s="66">
        <v>28.533818571399998</v>
      </c>
      <c r="BR190" s="66">
        <v>32.166365604700005</v>
      </c>
      <c r="BS190" s="66">
        <v>36.788341610200007</v>
      </c>
      <c r="BT190" s="66">
        <v>35.980054018900006</v>
      </c>
      <c r="BU190" s="66">
        <v>49.7900672524</v>
      </c>
      <c r="BV190" s="66">
        <v>47.194007673100003</v>
      </c>
      <c r="BW190" s="66">
        <v>31.292293708300001</v>
      </c>
      <c r="BX190" s="66">
        <v>38.254096985499999</v>
      </c>
      <c r="BY190" s="66">
        <v>49.559803421200009</v>
      </c>
      <c r="BZ190" s="66">
        <v>60.717504552099996</v>
      </c>
      <c r="CA190" s="66">
        <v>51.763971672400011</v>
      </c>
      <c r="CB190" s="66">
        <v>48.820414851100004</v>
      </c>
      <c r="CC190" s="66">
        <v>47.086306044100006</v>
      </c>
      <c r="CD190" s="66">
        <v>39.729384142599997</v>
      </c>
      <c r="CE190" s="66">
        <v>21.959328364899996</v>
      </c>
      <c r="CF190" s="66">
        <v>22.471642873299999</v>
      </c>
      <c r="CG190" s="66">
        <v>35.565834304300004</v>
      </c>
      <c r="CH190" s="66">
        <v>43.141086546399997</v>
      </c>
      <c r="CI190" s="66">
        <v>46.568812851100006</v>
      </c>
      <c r="CJ190" s="66">
        <v>41.194313930500002</v>
      </c>
      <c r="CK190" s="66">
        <v>51.182945776300002</v>
      </c>
      <c r="CL190" s="66">
        <v>62.448160902699996</v>
      </c>
      <c r="CM190" s="66">
        <v>83.997643217500013</v>
      </c>
      <c r="CN190" s="66">
        <v>49.945465317100009</v>
      </c>
      <c r="CO190" s="66">
        <v>51.254434139800011</v>
      </c>
      <c r="CP190" s="66">
        <v>47.4649879738</v>
      </c>
      <c r="CQ190" s="66">
        <v>37.306059963400003</v>
      </c>
      <c r="CR190" s="66">
        <v>28.409117347299997</v>
      </c>
      <c r="CS190" s="66">
        <v>39.687879612400003</v>
      </c>
      <c r="CT190" s="66">
        <v>26.828680376800001</v>
      </c>
      <c r="CU190" s="66">
        <v>28.544175940599999</v>
      </c>
      <c r="CV190" s="66">
        <v>17.438374235800005</v>
      </c>
      <c r="CW190" s="66">
        <v>24.342011127999996</v>
      </c>
      <c r="CX190" s="66">
        <v>25.552622470000003</v>
      </c>
      <c r="CY190" s="66">
        <v>29.805260694100006</v>
      </c>
      <c r="CZ190" s="66">
        <v>27.930276655300005</v>
      </c>
      <c r="DA190" s="66">
        <v>29.305855370500012</v>
      </c>
      <c r="DB190" s="66">
        <v>28.315600810900001</v>
      </c>
      <c r="DC190" s="66">
        <v>28.431183046899996</v>
      </c>
      <c r="DD190" s="66">
        <v>20.520517160199997</v>
      </c>
      <c r="DE190" s="66">
        <v>31.39763115520001</v>
      </c>
      <c r="DF190" s="66">
        <v>28.860601074999998</v>
      </c>
      <c r="DG190" s="66">
        <v>15.900755230000001</v>
      </c>
      <c r="DH190" s="66">
        <v>30.130241916100005</v>
      </c>
      <c r="DI190" s="66">
        <v>22.09648845340001</v>
      </c>
      <c r="DJ190" s="66">
        <v>15.511790984500003</v>
      </c>
      <c r="DK190" s="66">
        <v>21.372110563299998</v>
      </c>
      <c r="DL190" s="66">
        <v>11.460445979200003</v>
      </c>
      <c r="DM190" s="66">
        <v>29.160064140999999</v>
      </c>
      <c r="DN190" s="66">
        <v>35.395613193099997</v>
      </c>
      <c r="DO190" s="66">
        <v>34.745800855900001</v>
      </c>
      <c r="DP190" s="79"/>
      <c r="DQ190" s="80"/>
      <c r="DR190" s="81"/>
      <c r="DS190" s="84">
        <f t="shared" si="20"/>
        <v>2014</v>
      </c>
      <c r="DT190" s="80"/>
      <c r="DU190" s="83">
        <f t="shared" si="27"/>
        <v>20.527608626400003</v>
      </c>
      <c r="DV190" s="83">
        <f t="shared" si="27"/>
        <v>116.65487754540004</v>
      </c>
      <c r="DW190" s="83">
        <f t="shared" si="27"/>
        <v>187.15287390570003</v>
      </c>
      <c r="DX190" s="83">
        <f t="shared" si="27"/>
        <v>256.16496305279998</v>
      </c>
      <c r="DY190" s="83">
        <f t="shared" si="27"/>
        <v>417.70415962770005</v>
      </c>
      <c r="DZ190" s="83">
        <f t="shared" si="27"/>
        <v>463.47382444289997</v>
      </c>
      <c r="EA190" s="83">
        <f t="shared" si="27"/>
        <v>505.638186609</v>
      </c>
      <c r="EB190" s="83">
        <f t="shared" si="27"/>
        <v>548.26386449820006</v>
      </c>
      <c r="EC190" s="83">
        <f t="shared" si="27"/>
        <v>307.80068903190005</v>
      </c>
      <c r="ED190" s="83">
        <f t="shared" si="27"/>
        <v>199.87255608650003</v>
      </c>
    </row>
    <row r="191" spans="2:134" x14ac:dyDescent="0.3">
      <c r="B191" s="45">
        <f t="shared" si="21"/>
        <v>1000000187</v>
      </c>
      <c r="C191" s="46">
        <v>44562</v>
      </c>
      <c r="D191" s="66">
        <v>-8</v>
      </c>
      <c r="E191" s="66">
        <v>-8</v>
      </c>
      <c r="F191" s="66">
        <v>-8</v>
      </c>
      <c r="G191" s="66">
        <v>-8</v>
      </c>
      <c r="H191" s="66">
        <v>-8</v>
      </c>
      <c r="I191" s="66">
        <v>-8</v>
      </c>
      <c r="J191" s="66">
        <v>-8</v>
      </c>
      <c r="K191" s="66">
        <v>-8</v>
      </c>
      <c r="L191" s="66">
        <v>-8</v>
      </c>
      <c r="M191" s="66">
        <v>-8</v>
      </c>
      <c r="N191" s="66">
        <v>-8</v>
      </c>
      <c r="O191" s="66">
        <v>-8</v>
      </c>
      <c r="P191" s="66">
        <v>-8</v>
      </c>
      <c r="Q191" s="66">
        <v>-8</v>
      </c>
      <c r="R191" s="66">
        <v>-8</v>
      </c>
      <c r="S191" s="66">
        <v>-8</v>
      </c>
      <c r="T191" s="66">
        <v>-8</v>
      </c>
      <c r="U191" s="66">
        <v>-8</v>
      </c>
      <c r="V191" s="66">
        <v>-8</v>
      </c>
      <c r="W191" s="66">
        <v>-8</v>
      </c>
      <c r="X191" s="66">
        <v>-8</v>
      </c>
      <c r="Y191" s="66">
        <v>-8</v>
      </c>
      <c r="Z191" s="66">
        <v>-8</v>
      </c>
      <c r="AA191" s="66">
        <v>-8</v>
      </c>
      <c r="AB191" s="66">
        <v>-8</v>
      </c>
      <c r="AC191" s="66">
        <v>-8</v>
      </c>
      <c r="AD191" s="66">
        <v>-8</v>
      </c>
      <c r="AE191" s="66">
        <v>-8</v>
      </c>
      <c r="AF191" s="66">
        <v>-8</v>
      </c>
      <c r="AG191" s="66">
        <v>-8</v>
      </c>
      <c r="AH191" s="66">
        <v>-8</v>
      </c>
      <c r="AI191" s="66">
        <v>-8</v>
      </c>
      <c r="AJ191" s="66">
        <v>-8</v>
      </c>
      <c r="AK191" s="66">
        <v>-8</v>
      </c>
      <c r="AL191" s="66">
        <v>-8</v>
      </c>
      <c r="AM191" s="66">
        <v>-8</v>
      </c>
      <c r="AN191" s="66">
        <v>-8</v>
      </c>
      <c r="AO191" s="66">
        <v>-8</v>
      </c>
      <c r="AP191" s="66">
        <v>-8</v>
      </c>
      <c r="AQ191" s="66">
        <v>-8</v>
      </c>
      <c r="AR191" s="66">
        <v>-8</v>
      </c>
      <c r="AS191" s="66">
        <v>-8</v>
      </c>
      <c r="AT191" s="66">
        <v>-8</v>
      </c>
      <c r="AU191" s="66">
        <v>-8</v>
      </c>
      <c r="AV191" s="66">
        <v>-8</v>
      </c>
      <c r="AW191" s="66">
        <v>-8</v>
      </c>
      <c r="AX191" s="66">
        <v>-8</v>
      </c>
      <c r="AY191" s="66">
        <v>-8</v>
      </c>
      <c r="AZ191" s="66">
        <v>-8</v>
      </c>
      <c r="BA191" s="66">
        <v>-8</v>
      </c>
      <c r="BB191" s="66">
        <v>-8</v>
      </c>
      <c r="BC191" s="66">
        <v>-8</v>
      </c>
      <c r="BD191" s="66">
        <v>-8</v>
      </c>
      <c r="BE191" s="66">
        <v>-8</v>
      </c>
      <c r="BF191" s="66">
        <v>-8</v>
      </c>
      <c r="BG191" s="66">
        <v>-8</v>
      </c>
      <c r="BH191" s="66">
        <v>-8</v>
      </c>
      <c r="BI191" s="66">
        <v>-8</v>
      </c>
      <c r="BJ191" s="66">
        <v>-8</v>
      </c>
      <c r="BK191" s="66">
        <v>-8</v>
      </c>
      <c r="BL191" s="66">
        <v>-8</v>
      </c>
      <c r="BM191" s="66">
        <v>-8</v>
      </c>
      <c r="BN191" s="66">
        <v>-8</v>
      </c>
      <c r="BO191" s="66">
        <v>-8</v>
      </c>
      <c r="BP191" s="66">
        <v>-8</v>
      </c>
      <c r="BQ191" s="66">
        <v>-8</v>
      </c>
      <c r="BR191" s="66">
        <v>-8</v>
      </c>
      <c r="BS191" s="66">
        <v>-8</v>
      </c>
      <c r="BT191" s="66">
        <v>-8</v>
      </c>
      <c r="BU191" s="66">
        <v>-8</v>
      </c>
      <c r="BV191" s="66">
        <v>-8</v>
      </c>
      <c r="BW191" s="66">
        <v>-8</v>
      </c>
      <c r="BX191" s="66">
        <v>-8</v>
      </c>
      <c r="BY191" s="66">
        <v>-8</v>
      </c>
      <c r="BZ191" s="66">
        <v>-8</v>
      </c>
      <c r="CA191" s="66">
        <v>-8</v>
      </c>
      <c r="CB191" s="66">
        <v>-8</v>
      </c>
      <c r="CC191" s="66">
        <v>-8</v>
      </c>
      <c r="CD191" s="66">
        <v>-8</v>
      </c>
      <c r="CE191" s="66">
        <v>-8</v>
      </c>
      <c r="CF191" s="66">
        <v>-8</v>
      </c>
      <c r="CG191" s="66">
        <v>-8</v>
      </c>
      <c r="CH191" s="66">
        <v>-8</v>
      </c>
      <c r="CI191" s="66">
        <v>-8</v>
      </c>
      <c r="CJ191" s="66">
        <v>-8</v>
      </c>
      <c r="CK191" s="66">
        <v>-8</v>
      </c>
      <c r="CL191" s="66">
        <v>-8</v>
      </c>
      <c r="CM191" s="66">
        <v>-8</v>
      </c>
      <c r="CN191" s="66">
        <v>-8</v>
      </c>
      <c r="CO191" s="66">
        <v>-8</v>
      </c>
      <c r="CP191" s="66">
        <v>-8</v>
      </c>
      <c r="CQ191" s="66">
        <v>-8</v>
      </c>
      <c r="CR191" s="66">
        <v>-8</v>
      </c>
      <c r="CS191" s="66">
        <v>-8</v>
      </c>
      <c r="CT191" s="66">
        <v>-8</v>
      </c>
      <c r="CU191" s="66">
        <v>-8</v>
      </c>
      <c r="CV191" s="66">
        <v>-8</v>
      </c>
      <c r="CW191" s="66">
        <v>-1.7434735226000004</v>
      </c>
      <c r="CX191" s="66">
        <v>5.6355140785</v>
      </c>
      <c r="CY191" s="66">
        <v>10.403356366899999</v>
      </c>
      <c r="CZ191" s="66">
        <v>-4.7583686006000008</v>
      </c>
      <c r="DA191" s="66">
        <v>0.403203824200002</v>
      </c>
      <c r="DB191" s="66">
        <v>-2.5836963356</v>
      </c>
      <c r="DC191" s="66">
        <v>-3.2882226014000011</v>
      </c>
      <c r="DD191" s="66">
        <v>4.9056572902000006</v>
      </c>
      <c r="DE191" s="66">
        <v>2.1143087641000005</v>
      </c>
      <c r="DF191" s="66">
        <v>2.7601807978000004</v>
      </c>
      <c r="DG191" s="66">
        <v>2.8135062385000023</v>
      </c>
      <c r="DH191" s="66">
        <v>12.419515851100002</v>
      </c>
      <c r="DI191" s="66">
        <v>15.596376166300001</v>
      </c>
      <c r="DJ191" s="66">
        <v>37.216671364</v>
      </c>
      <c r="DK191" s="66">
        <v>39.660410068000004</v>
      </c>
      <c r="DL191" s="66">
        <v>48.548684016399996</v>
      </c>
      <c r="DM191" s="66">
        <v>58.379478561999989</v>
      </c>
      <c r="DN191" s="66">
        <v>52.246752667900012</v>
      </c>
      <c r="DO191" s="66">
        <v>71.549173713399995</v>
      </c>
      <c r="DP191" s="79"/>
      <c r="DQ191" s="80"/>
      <c r="DR191" s="81"/>
      <c r="DS191" s="84">
        <f t="shared" si="20"/>
        <v>2022</v>
      </c>
      <c r="DT191" s="80"/>
      <c r="DU191" s="83">
        <f t="shared" si="27"/>
        <v>-96</v>
      </c>
      <c r="DV191" s="83">
        <f t="shared" si="27"/>
        <v>-96</v>
      </c>
      <c r="DW191" s="83">
        <f t="shared" si="27"/>
        <v>-96</v>
      </c>
      <c r="DX191" s="83">
        <f t="shared" si="27"/>
        <v>-96</v>
      </c>
      <c r="DY191" s="83">
        <f t="shared" si="27"/>
        <v>-96</v>
      </c>
      <c r="DZ191" s="83">
        <f t="shared" si="27"/>
        <v>-96</v>
      </c>
      <c r="EA191" s="83">
        <f t="shared" si="27"/>
        <v>-96</v>
      </c>
      <c r="EB191" s="83">
        <f t="shared" si="27"/>
        <v>-96</v>
      </c>
      <c r="EC191" s="83">
        <f t="shared" si="27"/>
        <v>8.6619663000000031</v>
      </c>
      <c r="ED191" s="83">
        <f t="shared" si="27"/>
        <v>335.61706240909996</v>
      </c>
    </row>
    <row r="192" spans="2:134" x14ac:dyDescent="0.3">
      <c r="B192" s="45">
        <f t="shared" si="21"/>
        <v>1000000188</v>
      </c>
      <c r="C192" s="46">
        <v>41609</v>
      </c>
      <c r="D192" s="66">
        <v>-7.3348767692000001</v>
      </c>
      <c r="E192" s="66">
        <v>-1.7636628872000006</v>
      </c>
      <c r="F192" s="66">
        <v>-3.2889731353999991</v>
      </c>
      <c r="G192" s="66">
        <v>7.4201338237000023</v>
      </c>
      <c r="H192" s="66">
        <v>14.143942769499997</v>
      </c>
      <c r="I192" s="66">
        <v>11.341148599900002</v>
      </c>
      <c r="J192" s="66">
        <v>19.438284658900002</v>
      </c>
      <c r="K192" s="66">
        <v>20.498901781000004</v>
      </c>
      <c r="L192" s="66">
        <v>16.690316998000004</v>
      </c>
      <c r="M192" s="66">
        <v>21.6286055578</v>
      </c>
      <c r="N192" s="66">
        <v>18.739424924800002</v>
      </c>
      <c r="O192" s="66">
        <v>13.0809614653</v>
      </c>
      <c r="P192" s="66">
        <v>24.923637451299996</v>
      </c>
      <c r="Q192" s="66">
        <v>79.604505028600002</v>
      </c>
      <c r="R192" s="66">
        <v>42.535593241900003</v>
      </c>
      <c r="S192" s="66">
        <v>29.965649809899993</v>
      </c>
      <c r="T192" s="66">
        <v>17.041529383299999</v>
      </c>
      <c r="U192" s="66">
        <v>18.588605117500002</v>
      </c>
      <c r="V192" s="66">
        <v>29.211288086500005</v>
      </c>
      <c r="W192" s="66">
        <v>27.883555913800009</v>
      </c>
      <c r="X192" s="66">
        <v>23.790218531199997</v>
      </c>
      <c r="Y192" s="66">
        <v>20.712541284100002</v>
      </c>
      <c r="Z192" s="66">
        <v>20.2004894626</v>
      </c>
      <c r="AA192" s="66">
        <v>20.555679678100002</v>
      </c>
      <c r="AB192" s="66">
        <v>29.568279583600003</v>
      </c>
      <c r="AC192" s="66">
        <v>40.397997356500007</v>
      </c>
      <c r="AD192" s="66">
        <v>31.294695417099994</v>
      </c>
      <c r="AE192" s="66">
        <v>47.125784132500002</v>
      </c>
      <c r="AF192" s="66">
        <v>24.546756803200005</v>
      </c>
      <c r="AG192" s="66">
        <v>26.1866360665</v>
      </c>
      <c r="AH192" s="66">
        <v>37.8015625102</v>
      </c>
      <c r="AI192" s="66">
        <v>38.1232413826</v>
      </c>
      <c r="AJ192" s="66">
        <v>42.433370511100001</v>
      </c>
      <c r="AK192" s="66">
        <v>38.5441783765</v>
      </c>
      <c r="AL192" s="66">
        <v>33.348982028499996</v>
      </c>
      <c r="AM192" s="66">
        <v>28.961735531499997</v>
      </c>
      <c r="AN192" s="66">
        <v>44.299986095800001</v>
      </c>
      <c r="AO192" s="66">
        <v>39.081072873399997</v>
      </c>
      <c r="AP192" s="66">
        <v>39.068764115799993</v>
      </c>
      <c r="AQ192" s="66">
        <v>51.654431235099999</v>
      </c>
      <c r="AR192" s="66">
        <v>28.742429496700005</v>
      </c>
      <c r="AS192" s="66">
        <v>43.276295246500005</v>
      </c>
      <c r="AT192" s="66">
        <v>43.891395386200003</v>
      </c>
      <c r="AU192" s="66">
        <v>41.470360335700001</v>
      </c>
      <c r="AV192" s="66">
        <v>33.463738677100011</v>
      </c>
      <c r="AW192" s="66">
        <v>49.564719418900005</v>
      </c>
      <c r="AX192" s="66">
        <v>26.360910061300004</v>
      </c>
      <c r="AY192" s="66">
        <v>29.655266474199998</v>
      </c>
      <c r="AZ192" s="66">
        <v>42.659543932000005</v>
      </c>
      <c r="BA192" s="66">
        <v>48.834787577200004</v>
      </c>
      <c r="BB192" s="66">
        <v>29.247914145699994</v>
      </c>
      <c r="BC192" s="66">
        <v>40.057592660799997</v>
      </c>
      <c r="BD192" s="66">
        <v>47.049755038299999</v>
      </c>
      <c r="BE192" s="66">
        <v>38.530180917400003</v>
      </c>
      <c r="BF192" s="66">
        <v>45.281046613900003</v>
      </c>
      <c r="BG192" s="66">
        <v>47.690973761200006</v>
      </c>
      <c r="BH192" s="66">
        <v>39.115860124300006</v>
      </c>
      <c r="BI192" s="66">
        <v>46.030830079899999</v>
      </c>
      <c r="BJ192" s="66">
        <v>23.9039244322</v>
      </c>
      <c r="BK192" s="66">
        <v>48.3382718095</v>
      </c>
      <c r="BL192" s="66">
        <v>34.773908354200003</v>
      </c>
      <c r="BM192" s="66">
        <v>103.33368818620002</v>
      </c>
      <c r="BN192" s="66">
        <v>71.887702074100005</v>
      </c>
      <c r="BO192" s="66">
        <v>65.181455623899978</v>
      </c>
      <c r="BP192" s="66">
        <v>25.297515963400002</v>
      </c>
      <c r="BQ192" s="66">
        <v>30.847377153099998</v>
      </c>
      <c r="BR192" s="66">
        <v>32.962457018500004</v>
      </c>
      <c r="BS192" s="66">
        <v>38.299204078899997</v>
      </c>
      <c r="BT192" s="66">
        <v>37.459919433400003</v>
      </c>
      <c r="BU192" s="66">
        <v>32.035585055200002</v>
      </c>
      <c r="BV192" s="66">
        <v>22.0372337941</v>
      </c>
      <c r="BW192" s="66">
        <v>2.7020894662000003</v>
      </c>
      <c r="BX192" s="66">
        <v>44.865063144400011</v>
      </c>
      <c r="BY192" s="66">
        <v>75.194367244600002</v>
      </c>
      <c r="BZ192" s="66">
        <v>55.569441739300011</v>
      </c>
      <c r="CA192" s="66">
        <v>22.807619418400005</v>
      </c>
      <c r="CB192" s="66">
        <v>-4.1648838400999999</v>
      </c>
      <c r="CC192" s="66">
        <v>10.389621594699999</v>
      </c>
      <c r="CD192" s="66">
        <v>12.804089472699999</v>
      </c>
      <c r="CE192" s="66">
        <v>15.5796017314</v>
      </c>
      <c r="CF192" s="66">
        <v>19.212636611800001</v>
      </c>
      <c r="CG192" s="66">
        <v>13.208139451600001</v>
      </c>
      <c r="CH192" s="66">
        <v>15.4006368991</v>
      </c>
      <c r="CI192" s="66">
        <v>0.85337411740000135</v>
      </c>
      <c r="CJ192" s="66">
        <v>4.0037781091000006</v>
      </c>
      <c r="CK192" s="66">
        <v>18.434220273699999</v>
      </c>
      <c r="CL192" s="66">
        <v>14.106866389900002</v>
      </c>
      <c r="CM192" s="66">
        <v>5.2910564992000015</v>
      </c>
      <c r="CN192" s="66">
        <v>8.8354908409000004</v>
      </c>
      <c r="CO192" s="66">
        <v>15.493102687900002</v>
      </c>
      <c r="CP192" s="66">
        <v>8.9538125260000001</v>
      </c>
      <c r="CQ192" s="66">
        <v>7.1391338941000004</v>
      </c>
      <c r="CR192" s="66">
        <v>21.233186719900001</v>
      </c>
      <c r="CS192" s="66">
        <v>6.3502100800000001</v>
      </c>
      <c r="CT192" s="66">
        <v>0.6583103308000009</v>
      </c>
      <c r="CU192" s="66">
        <v>-3.7469865089000001</v>
      </c>
      <c r="CV192" s="66">
        <v>3.0513129364000005</v>
      </c>
      <c r="CW192" s="66">
        <v>1.8027996274000007</v>
      </c>
      <c r="CX192" s="66">
        <v>10.465538108800001</v>
      </c>
      <c r="CY192" s="66">
        <v>6.5933080426000004</v>
      </c>
      <c r="CZ192" s="66">
        <v>6.3423669997000012</v>
      </c>
      <c r="DA192" s="66">
        <v>1.8600278449000012</v>
      </c>
      <c r="DB192" s="66">
        <v>1.6872173914000008</v>
      </c>
      <c r="DC192" s="66">
        <v>10.992412976800004</v>
      </c>
      <c r="DD192" s="66">
        <v>10.786053653499998</v>
      </c>
      <c r="DE192" s="66">
        <v>13.178493358600001</v>
      </c>
      <c r="DF192" s="66">
        <v>23.088356661100004</v>
      </c>
      <c r="DG192" s="66">
        <v>24.231982843600008</v>
      </c>
      <c r="DH192" s="66">
        <v>9.5086823122000013</v>
      </c>
      <c r="DI192" s="66">
        <v>28.395907948900003</v>
      </c>
      <c r="DJ192" s="66">
        <v>23.118828341499995</v>
      </c>
      <c r="DK192" s="66">
        <v>35.720519361700006</v>
      </c>
      <c r="DL192" s="66">
        <v>27.361184249800004</v>
      </c>
      <c r="DM192" s="66">
        <v>28.791664527099996</v>
      </c>
      <c r="DN192" s="66">
        <v>24.048514807300002</v>
      </c>
      <c r="DO192" s="66">
        <v>32.380943275300005</v>
      </c>
      <c r="DP192" s="79"/>
      <c r="DQ192" s="80"/>
      <c r="DR192" s="81"/>
      <c r="DS192" s="84">
        <f t="shared" si="20"/>
        <v>2013</v>
      </c>
      <c r="DT192" s="80"/>
      <c r="DU192" s="83">
        <f t="shared" si="27"/>
        <v>130.5942077871</v>
      </c>
      <c r="DV192" s="83">
        <f t="shared" si="27"/>
        <v>355.0132929888</v>
      </c>
      <c r="DW192" s="83">
        <f t="shared" si="27"/>
        <v>418.3332196998</v>
      </c>
      <c r="DX192" s="83">
        <f t="shared" si="27"/>
        <v>470.52936941669998</v>
      </c>
      <c r="DY192" s="83">
        <f t="shared" si="27"/>
        <v>496.74068109240005</v>
      </c>
      <c r="DZ192" s="83">
        <f t="shared" si="27"/>
        <v>496.81813620119999</v>
      </c>
      <c r="EA192" s="83">
        <f t="shared" si="27"/>
        <v>281.7197075853</v>
      </c>
      <c r="EB192" s="83">
        <f t="shared" si="27"/>
        <v>106.75218184260002</v>
      </c>
      <c r="EC192" s="83">
        <f t="shared" si="27"/>
        <v>114.07987044480002</v>
      </c>
      <c r="ED192" s="83">
        <f t="shared" si="27"/>
        <v>209.32624482380001</v>
      </c>
    </row>
    <row r="193" spans="2:134" x14ac:dyDescent="0.3">
      <c r="B193" s="45">
        <f t="shared" si="21"/>
        <v>1000000189</v>
      </c>
      <c r="C193" s="46">
        <v>42401</v>
      </c>
      <c r="D193" s="66">
        <v>-8</v>
      </c>
      <c r="E193" s="66">
        <v>-8</v>
      </c>
      <c r="F193" s="66">
        <v>-8</v>
      </c>
      <c r="G193" s="66">
        <v>-8</v>
      </c>
      <c r="H193" s="66">
        <v>-8</v>
      </c>
      <c r="I193" s="66">
        <v>-8</v>
      </c>
      <c r="J193" s="66">
        <v>-8</v>
      </c>
      <c r="K193" s="66">
        <v>-8</v>
      </c>
      <c r="L193" s="66">
        <v>-8</v>
      </c>
      <c r="M193" s="66">
        <v>-8</v>
      </c>
      <c r="N193" s="66">
        <v>-8</v>
      </c>
      <c r="O193" s="66">
        <v>-8</v>
      </c>
      <c r="P193" s="66">
        <v>-8</v>
      </c>
      <c r="Q193" s="66">
        <v>-8</v>
      </c>
      <c r="R193" s="66">
        <v>-8</v>
      </c>
      <c r="S193" s="66">
        <v>-8</v>
      </c>
      <c r="T193" s="66">
        <v>-8</v>
      </c>
      <c r="U193" s="66">
        <v>-8</v>
      </c>
      <c r="V193" s="66">
        <v>-8</v>
      </c>
      <c r="W193" s="66">
        <v>-8</v>
      </c>
      <c r="X193" s="66">
        <v>-8</v>
      </c>
      <c r="Y193" s="66">
        <v>-8</v>
      </c>
      <c r="Z193" s="66">
        <v>-8</v>
      </c>
      <c r="AA193" s="66">
        <v>-8</v>
      </c>
      <c r="AB193" s="66">
        <v>-8</v>
      </c>
      <c r="AC193" s="66">
        <v>-8</v>
      </c>
      <c r="AD193" s="66">
        <v>-3.4894032400999997</v>
      </c>
      <c r="AE193" s="66">
        <v>-0.55046220289999948</v>
      </c>
      <c r="AF193" s="66">
        <v>1.4612691306999999</v>
      </c>
      <c r="AG193" s="66">
        <v>-3.3394840735999995</v>
      </c>
      <c r="AH193" s="66">
        <v>-1.9957655266999996</v>
      </c>
      <c r="AI193" s="66">
        <v>-4.2978034115000003</v>
      </c>
      <c r="AJ193" s="66">
        <v>1.3755956746000013</v>
      </c>
      <c r="AK193" s="66">
        <v>6.8615113675000003</v>
      </c>
      <c r="AL193" s="66">
        <v>3.9933456865000014</v>
      </c>
      <c r="AM193" s="66">
        <v>2.3576318869000019</v>
      </c>
      <c r="AN193" s="66">
        <v>4.2990006580000006</v>
      </c>
      <c r="AO193" s="66">
        <v>14.0740680541</v>
      </c>
      <c r="AP193" s="66">
        <v>30.302864736100005</v>
      </c>
      <c r="AQ193" s="66">
        <v>29.664047721999992</v>
      </c>
      <c r="AR193" s="66">
        <v>16.094130315099999</v>
      </c>
      <c r="AS193" s="66">
        <v>13.023207874000001</v>
      </c>
      <c r="AT193" s="66">
        <v>11.753266819300002</v>
      </c>
      <c r="AU193" s="66">
        <v>17.5448374837</v>
      </c>
      <c r="AV193" s="66">
        <v>7.7385103465000018</v>
      </c>
      <c r="AW193" s="66">
        <v>24.3230226178</v>
      </c>
      <c r="AX193" s="66">
        <v>18.071824931799998</v>
      </c>
      <c r="AY193" s="66">
        <v>4.5642769002999994</v>
      </c>
      <c r="AZ193" s="66">
        <v>17.367936619899996</v>
      </c>
      <c r="BA193" s="66">
        <v>19.512662578299999</v>
      </c>
      <c r="BB193" s="66">
        <v>25.451412960099994</v>
      </c>
      <c r="BC193" s="66">
        <v>27.737239310500001</v>
      </c>
      <c r="BD193" s="66">
        <v>17.1449529685</v>
      </c>
      <c r="BE193" s="66">
        <v>9.9073284462999958</v>
      </c>
      <c r="BF193" s="66">
        <v>15.089540556100001</v>
      </c>
      <c r="BG193" s="66">
        <v>4.8567600000999995</v>
      </c>
      <c r="BH193" s="66">
        <v>7.6937409933999987</v>
      </c>
      <c r="BI193" s="66">
        <v>4.6255204747000001</v>
      </c>
      <c r="BJ193" s="66">
        <v>3.409843028200001</v>
      </c>
      <c r="BK193" s="66">
        <v>0.18633702490000204</v>
      </c>
      <c r="BL193" s="66">
        <v>12.6497046289</v>
      </c>
      <c r="BM193" s="66">
        <v>30.358892099199998</v>
      </c>
      <c r="BN193" s="66">
        <v>36.926027072500005</v>
      </c>
      <c r="BO193" s="66">
        <v>38.135775300399999</v>
      </c>
      <c r="BP193" s="66">
        <v>35.88270975910001</v>
      </c>
      <c r="BQ193" s="66">
        <v>21.2334869335</v>
      </c>
      <c r="BR193" s="66">
        <v>29.883578916999994</v>
      </c>
      <c r="BS193" s="66">
        <v>27.527540110900006</v>
      </c>
      <c r="BT193" s="66">
        <v>24.861193022500004</v>
      </c>
      <c r="BU193" s="66">
        <v>31.295933798199989</v>
      </c>
      <c r="BV193" s="66">
        <v>17.407602341799997</v>
      </c>
      <c r="BW193" s="66">
        <v>5.0071670137000019</v>
      </c>
      <c r="BX193" s="66">
        <v>12.005483770000001</v>
      </c>
      <c r="BY193" s="66">
        <v>23.948468625099999</v>
      </c>
      <c r="BZ193" s="66">
        <v>26.233056594400011</v>
      </c>
      <c r="CA193" s="66">
        <v>13.14629545</v>
      </c>
      <c r="CB193" s="66">
        <v>19.752645824800002</v>
      </c>
      <c r="CC193" s="66">
        <v>23.8769802616</v>
      </c>
      <c r="CD193" s="66">
        <v>26.833183580800004</v>
      </c>
      <c r="CE193" s="66">
        <v>29.285103105399998</v>
      </c>
      <c r="CF193" s="66">
        <v>16.4147209132</v>
      </c>
      <c r="CG193" s="66">
        <v>21.993515188600004</v>
      </c>
      <c r="CH193" s="66">
        <v>17.972641863700002</v>
      </c>
      <c r="CI193" s="66">
        <v>9.5115718681000025</v>
      </c>
      <c r="CJ193" s="66">
        <v>20.6417659279</v>
      </c>
      <c r="CK193" s="66">
        <v>35.009163236500001</v>
      </c>
      <c r="CL193" s="66">
        <v>31.439623532500001</v>
      </c>
      <c r="CM193" s="66">
        <v>54.944847344499991</v>
      </c>
      <c r="CN193" s="66">
        <v>19.277745436300005</v>
      </c>
      <c r="CO193" s="66">
        <v>26.164457786800007</v>
      </c>
      <c r="CP193" s="66">
        <v>37.117300662400005</v>
      </c>
      <c r="CQ193" s="66">
        <v>38.093782923100001</v>
      </c>
      <c r="CR193" s="66">
        <v>29.019301489300005</v>
      </c>
      <c r="CS193" s="66">
        <v>19.0745008291</v>
      </c>
      <c r="CT193" s="66">
        <v>-0.20731805809999848</v>
      </c>
      <c r="CU193" s="66">
        <v>3.031799052400002</v>
      </c>
      <c r="CV193" s="66">
        <v>16.100810067699999</v>
      </c>
      <c r="CW193" s="66">
        <v>17.978871295899999</v>
      </c>
      <c r="CX193" s="66">
        <v>20.354311405900003</v>
      </c>
      <c r="CY193" s="66">
        <v>25.053930153700009</v>
      </c>
      <c r="CZ193" s="66">
        <v>5.7652063536999982</v>
      </c>
      <c r="DA193" s="66">
        <v>5.0225529607000023</v>
      </c>
      <c r="DB193" s="66">
        <v>13.061560161400003</v>
      </c>
      <c r="DC193" s="66">
        <v>19.650798361000003</v>
      </c>
      <c r="DD193" s="66">
        <v>1.072379938600001</v>
      </c>
      <c r="DE193" s="66">
        <v>6.4293914169999997</v>
      </c>
      <c r="DF193" s="66">
        <v>7.058826756100002</v>
      </c>
      <c r="DG193" s="66">
        <v>20.074024483600002</v>
      </c>
      <c r="DH193" s="66">
        <v>27.566380245399998</v>
      </c>
      <c r="DI193" s="66">
        <v>59.150652246999996</v>
      </c>
      <c r="DJ193" s="66">
        <v>43.932299489200005</v>
      </c>
      <c r="DK193" s="66">
        <v>34.397553079900007</v>
      </c>
      <c r="DL193" s="66">
        <v>7.2287101269999994</v>
      </c>
      <c r="DM193" s="66">
        <v>15.809527822300005</v>
      </c>
      <c r="DN193" s="66">
        <v>17.644095605200004</v>
      </c>
      <c r="DO193" s="66">
        <v>26.954582455300006</v>
      </c>
      <c r="DP193" s="79"/>
      <c r="DQ193" s="80"/>
      <c r="DR193" s="81"/>
      <c r="DS193" s="84">
        <f t="shared" si="20"/>
        <v>2016</v>
      </c>
      <c r="DT193" s="80"/>
      <c r="DU193" s="83">
        <f t="shared" si="27"/>
        <v>-96</v>
      </c>
      <c r="DV193" s="83">
        <f t="shared" si="27"/>
        <v>-96</v>
      </c>
      <c r="DW193" s="83">
        <f t="shared" si="27"/>
        <v>-13.623564708599991</v>
      </c>
      <c r="DX193" s="83">
        <f t="shared" si="27"/>
        <v>191.45305845869999</v>
      </c>
      <c r="DY193" s="83">
        <f t="shared" si="27"/>
        <v>152.98327496100001</v>
      </c>
      <c r="DZ193" s="83">
        <f t="shared" si="27"/>
        <v>311.16961099769998</v>
      </c>
      <c r="EA193" s="83">
        <f t="shared" si="27"/>
        <v>240.97366704570001</v>
      </c>
      <c r="EB193" s="83">
        <f t="shared" si="27"/>
        <v>313.60697016270001</v>
      </c>
      <c r="EC193" s="83">
        <f t="shared" si="27"/>
        <v>157.62266335530001</v>
      </c>
      <c r="ED193" s="83">
        <f t="shared" si="27"/>
        <v>232.6838010713</v>
      </c>
    </row>
    <row r="194" spans="2:134" x14ac:dyDescent="0.3">
      <c r="B194" s="45">
        <f t="shared" si="21"/>
        <v>1000000190</v>
      </c>
      <c r="C194" s="46">
        <v>43739</v>
      </c>
      <c r="D194" s="66">
        <v>-8</v>
      </c>
      <c r="E194" s="66">
        <v>-8</v>
      </c>
      <c r="F194" s="66">
        <v>-8</v>
      </c>
      <c r="G194" s="66">
        <v>-8</v>
      </c>
      <c r="H194" s="66">
        <v>-8</v>
      </c>
      <c r="I194" s="66">
        <v>-8</v>
      </c>
      <c r="J194" s="66">
        <v>-8</v>
      </c>
      <c r="K194" s="66">
        <v>-8</v>
      </c>
      <c r="L194" s="66">
        <v>-8</v>
      </c>
      <c r="M194" s="66">
        <v>-8</v>
      </c>
      <c r="N194" s="66">
        <v>-8</v>
      </c>
      <c r="O194" s="66">
        <v>-8</v>
      </c>
      <c r="P194" s="66">
        <v>-8</v>
      </c>
      <c r="Q194" s="66">
        <v>-8</v>
      </c>
      <c r="R194" s="66">
        <v>-8</v>
      </c>
      <c r="S194" s="66">
        <v>-8</v>
      </c>
      <c r="T194" s="66">
        <v>-8</v>
      </c>
      <c r="U194" s="66">
        <v>-8</v>
      </c>
      <c r="V194" s="66">
        <v>-8</v>
      </c>
      <c r="W194" s="66">
        <v>-8</v>
      </c>
      <c r="X194" s="66">
        <v>-8</v>
      </c>
      <c r="Y194" s="66">
        <v>-8</v>
      </c>
      <c r="Z194" s="66">
        <v>-8</v>
      </c>
      <c r="AA194" s="66">
        <v>-8</v>
      </c>
      <c r="AB194" s="66">
        <v>-8</v>
      </c>
      <c r="AC194" s="66">
        <v>-8</v>
      </c>
      <c r="AD194" s="66">
        <v>-8</v>
      </c>
      <c r="AE194" s="66">
        <v>-8</v>
      </c>
      <c r="AF194" s="66">
        <v>-8</v>
      </c>
      <c r="AG194" s="66">
        <v>-8</v>
      </c>
      <c r="AH194" s="66">
        <v>-8</v>
      </c>
      <c r="AI194" s="66">
        <v>-8</v>
      </c>
      <c r="AJ194" s="66">
        <v>-8</v>
      </c>
      <c r="AK194" s="66">
        <v>-8</v>
      </c>
      <c r="AL194" s="66">
        <v>-8</v>
      </c>
      <c r="AM194" s="66">
        <v>-8</v>
      </c>
      <c r="AN194" s="66">
        <v>-8</v>
      </c>
      <c r="AO194" s="66">
        <v>-8</v>
      </c>
      <c r="AP194" s="66">
        <v>-8</v>
      </c>
      <c r="AQ194" s="66">
        <v>-8</v>
      </c>
      <c r="AR194" s="66">
        <v>-8</v>
      </c>
      <c r="AS194" s="66">
        <v>-8</v>
      </c>
      <c r="AT194" s="66">
        <v>-8</v>
      </c>
      <c r="AU194" s="66">
        <v>-8</v>
      </c>
      <c r="AV194" s="66">
        <v>-8</v>
      </c>
      <c r="AW194" s="66">
        <v>-8</v>
      </c>
      <c r="AX194" s="66">
        <v>-8</v>
      </c>
      <c r="AY194" s="66">
        <v>-8</v>
      </c>
      <c r="AZ194" s="66">
        <v>-8</v>
      </c>
      <c r="BA194" s="66">
        <v>-8</v>
      </c>
      <c r="BB194" s="66">
        <v>-8</v>
      </c>
      <c r="BC194" s="66">
        <v>-8</v>
      </c>
      <c r="BD194" s="66">
        <v>-8</v>
      </c>
      <c r="BE194" s="66">
        <v>-8</v>
      </c>
      <c r="BF194" s="66">
        <v>-8</v>
      </c>
      <c r="BG194" s="66">
        <v>-8</v>
      </c>
      <c r="BH194" s="66">
        <v>-8</v>
      </c>
      <c r="BI194" s="66">
        <v>-8</v>
      </c>
      <c r="BJ194" s="66">
        <v>-8</v>
      </c>
      <c r="BK194" s="66">
        <v>-8</v>
      </c>
      <c r="BL194" s="66">
        <v>-8</v>
      </c>
      <c r="BM194" s="66">
        <v>-8</v>
      </c>
      <c r="BN194" s="66">
        <v>-8</v>
      </c>
      <c r="BO194" s="66">
        <v>-8</v>
      </c>
      <c r="BP194" s="66">
        <v>-8</v>
      </c>
      <c r="BQ194" s="66">
        <v>-8</v>
      </c>
      <c r="BR194" s="66">
        <v>-8</v>
      </c>
      <c r="BS194" s="66">
        <v>-8</v>
      </c>
      <c r="BT194" s="66">
        <v>-8</v>
      </c>
      <c r="BU194" s="66">
        <v>-6.4492841758999999</v>
      </c>
      <c r="BV194" s="66">
        <v>-1.5626323552999999</v>
      </c>
      <c r="BW194" s="66">
        <v>3.7616933674000013</v>
      </c>
      <c r="BX194" s="66">
        <v>-1.7300389639999985</v>
      </c>
      <c r="BY194" s="66">
        <v>13.689231745599997</v>
      </c>
      <c r="BZ194" s="66">
        <v>-3.8195631467000002</v>
      </c>
      <c r="CA194" s="66">
        <v>-7.7381762141000001</v>
      </c>
      <c r="CB194" s="66">
        <v>0.68427880720000189</v>
      </c>
      <c r="CC194" s="66">
        <v>0.73644092019999974</v>
      </c>
      <c r="CD194" s="66">
        <v>1.0896046939000001</v>
      </c>
      <c r="CE194" s="66">
        <v>2.1020000064999991</v>
      </c>
      <c r="CF194" s="66">
        <v>1.9576347915999985</v>
      </c>
      <c r="CG194" s="66">
        <v>-0.38380612819999804</v>
      </c>
      <c r="CH194" s="66">
        <v>-1.8837858539000001</v>
      </c>
      <c r="CI194" s="66">
        <v>-5.7104960330000001</v>
      </c>
      <c r="CJ194" s="66">
        <v>-6.5266267045999999</v>
      </c>
      <c r="CK194" s="66">
        <v>-0.97109898319999832</v>
      </c>
      <c r="CL194" s="66">
        <v>2.5129548982000003</v>
      </c>
      <c r="CM194" s="66">
        <v>-2.1964207916000005</v>
      </c>
      <c r="CN194" s="66">
        <v>-2.1270714499999999</v>
      </c>
      <c r="CO194" s="66">
        <v>-2.9314937912000012</v>
      </c>
      <c r="CP194" s="66">
        <v>-2.5624937500999998</v>
      </c>
      <c r="CQ194" s="66">
        <v>-3.201460871000001</v>
      </c>
      <c r="CR194" s="66">
        <v>-1.6717975256000006</v>
      </c>
      <c r="CS194" s="66">
        <v>-0.67816556299999942</v>
      </c>
      <c r="CT194" s="66">
        <v>4.7196749650000012</v>
      </c>
      <c r="CU194" s="66">
        <v>4.6379418123999994</v>
      </c>
      <c r="CV194" s="66">
        <v>-3.4345016780000002</v>
      </c>
      <c r="CW194" s="66">
        <v>-3.7468364021000005</v>
      </c>
      <c r="CX194" s="66">
        <v>-5.3665263007999995</v>
      </c>
      <c r="CY194" s="66">
        <v>-7.0223168849000004</v>
      </c>
      <c r="CZ194" s="66">
        <v>-3.6470904334999998</v>
      </c>
      <c r="DA194" s="66">
        <v>-6.0923677321999996</v>
      </c>
      <c r="DB194" s="66">
        <v>-4.9786128028999999</v>
      </c>
      <c r="DC194" s="66">
        <v>4.7945407314999997</v>
      </c>
      <c r="DD194" s="66">
        <v>6.4856064136000011</v>
      </c>
      <c r="DE194" s="66">
        <v>10.323424495900003</v>
      </c>
      <c r="DF194" s="66">
        <v>9.1068088818999975</v>
      </c>
      <c r="DG194" s="66">
        <v>16.156837430800003</v>
      </c>
      <c r="DH194" s="66">
        <v>17.028169878100002</v>
      </c>
      <c r="DI194" s="66">
        <v>29.483056447900005</v>
      </c>
      <c r="DJ194" s="66">
        <v>40.494703662400006</v>
      </c>
      <c r="DK194" s="66">
        <v>31.164027447700001</v>
      </c>
      <c r="DL194" s="66">
        <v>27.322419168700002</v>
      </c>
      <c r="DM194" s="66">
        <v>31.903378491099993</v>
      </c>
      <c r="DN194" s="66">
        <v>34.863296953599999</v>
      </c>
      <c r="DO194" s="66">
        <v>25.295527048299995</v>
      </c>
      <c r="DP194" s="79"/>
      <c r="DQ194" s="80"/>
      <c r="DR194" s="81"/>
      <c r="DS194" s="84">
        <f t="shared" si="20"/>
        <v>2019</v>
      </c>
      <c r="DT194" s="80"/>
      <c r="DU194" s="83">
        <f t="shared" si="27"/>
        <v>-96</v>
      </c>
      <c r="DV194" s="83">
        <f t="shared" si="27"/>
        <v>-96</v>
      </c>
      <c r="DW194" s="83">
        <f t="shared" si="27"/>
        <v>-96</v>
      </c>
      <c r="DX194" s="83">
        <f t="shared" si="27"/>
        <v>-96</v>
      </c>
      <c r="DY194" s="83">
        <f t="shared" si="27"/>
        <v>-96</v>
      </c>
      <c r="DZ194" s="83">
        <f t="shared" si="27"/>
        <v>-76.250223163800001</v>
      </c>
      <c r="EA194" s="83">
        <f t="shared" si="27"/>
        <v>-1.0066753749000004</v>
      </c>
      <c r="EB194" s="83">
        <f t="shared" si="27"/>
        <v>-10.996057754700001</v>
      </c>
      <c r="EC194" s="83">
        <f t="shared" si="27"/>
        <v>12.578965719300001</v>
      </c>
      <c r="ED194" s="83">
        <f t="shared" si="27"/>
        <v>237.55457909780003</v>
      </c>
    </row>
    <row r="195" spans="2:134" x14ac:dyDescent="0.3">
      <c r="B195" s="45">
        <f t="shared" si="21"/>
        <v>1000000191</v>
      </c>
      <c r="C195" s="46">
        <v>42675</v>
      </c>
      <c r="D195" s="66">
        <v>-8</v>
      </c>
      <c r="E195" s="66">
        <v>-8</v>
      </c>
      <c r="F195" s="66">
        <v>-8</v>
      </c>
      <c r="G195" s="66">
        <v>-8</v>
      </c>
      <c r="H195" s="66">
        <v>-8</v>
      </c>
      <c r="I195" s="66">
        <v>-8</v>
      </c>
      <c r="J195" s="66">
        <v>-8</v>
      </c>
      <c r="K195" s="66">
        <v>-8</v>
      </c>
      <c r="L195" s="66">
        <v>-8</v>
      </c>
      <c r="M195" s="66">
        <v>-8</v>
      </c>
      <c r="N195" s="66">
        <v>-8</v>
      </c>
      <c r="O195" s="66">
        <v>-8</v>
      </c>
      <c r="P195" s="66">
        <v>-8</v>
      </c>
      <c r="Q195" s="66">
        <v>-8</v>
      </c>
      <c r="R195" s="66">
        <v>-8</v>
      </c>
      <c r="S195" s="66">
        <v>-8</v>
      </c>
      <c r="T195" s="66">
        <v>-8</v>
      </c>
      <c r="U195" s="66">
        <v>-8</v>
      </c>
      <c r="V195" s="66">
        <v>-8</v>
      </c>
      <c r="W195" s="66">
        <v>-8</v>
      </c>
      <c r="X195" s="66">
        <v>-8</v>
      </c>
      <c r="Y195" s="66">
        <v>-8</v>
      </c>
      <c r="Z195" s="66">
        <v>-8</v>
      </c>
      <c r="AA195" s="66">
        <v>-8</v>
      </c>
      <c r="AB195" s="66">
        <v>-8</v>
      </c>
      <c r="AC195" s="66">
        <v>-8</v>
      </c>
      <c r="AD195" s="66">
        <v>-8</v>
      </c>
      <c r="AE195" s="66">
        <v>-8</v>
      </c>
      <c r="AF195" s="66">
        <v>-8</v>
      </c>
      <c r="AG195" s="66">
        <v>-8</v>
      </c>
      <c r="AH195" s="66">
        <v>-8</v>
      </c>
      <c r="AI195" s="66">
        <v>-8</v>
      </c>
      <c r="AJ195" s="66">
        <v>-8</v>
      </c>
      <c r="AK195" s="66">
        <v>-8</v>
      </c>
      <c r="AL195" s="66">
        <v>-2.4760697599999997</v>
      </c>
      <c r="AM195" s="66">
        <v>-2.9826802099999998</v>
      </c>
      <c r="AN195" s="66">
        <v>0.34969075000000061</v>
      </c>
      <c r="AO195" s="66">
        <v>10.309276929999999</v>
      </c>
      <c r="AP195" s="66">
        <v>9.0671431600000005</v>
      </c>
      <c r="AQ195" s="66">
        <v>2.8564743099999994</v>
      </c>
      <c r="AR195" s="66">
        <v>5.4980537764000008</v>
      </c>
      <c r="AS195" s="66">
        <v>5.3226539806000002</v>
      </c>
      <c r="AT195" s="66">
        <v>6.2651745778000016</v>
      </c>
      <c r="AU195" s="66">
        <v>10.297718706400001</v>
      </c>
      <c r="AV195" s="66">
        <v>5.5769348998000012</v>
      </c>
      <c r="AW195" s="66">
        <v>9.6621665151999991</v>
      </c>
      <c r="AX195" s="66">
        <v>14.057481252700001</v>
      </c>
      <c r="AY195" s="66">
        <v>18.8589099376</v>
      </c>
      <c r="AZ195" s="66">
        <v>17.534292480999998</v>
      </c>
      <c r="BA195" s="66">
        <v>25.910814821500004</v>
      </c>
      <c r="BB195" s="66">
        <v>19.7566611817</v>
      </c>
      <c r="BC195" s="66">
        <v>10.711900894300001</v>
      </c>
      <c r="BD195" s="66">
        <v>11.918421826000003</v>
      </c>
      <c r="BE195" s="66">
        <v>16.242886153899995</v>
      </c>
      <c r="BF195" s="66">
        <v>11.470915928500002</v>
      </c>
      <c r="BG195" s="66">
        <v>15.832794376300001</v>
      </c>
      <c r="BH195" s="66">
        <v>14.431247184700002</v>
      </c>
      <c r="BI195" s="66">
        <v>10.861932640900001</v>
      </c>
      <c r="BJ195" s="66">
        <v>22.6205863456</v>
      </c>
      <c r="BK195" s="66">
        <v>22.644640960300002</v>
      </c>
      <c r="BL195" s="66">
        <v>24.8989448827</v>
      </c>
      <c r="BM195" s="66">
        <v>29.946323559399993</v>
      </c>
      <c r="BN195" s="66">
        <v>27.692169743800001</v>
      </c>
      <c r="BO195" s="66">
        <v>21.102030903400003</v>
      </c>
      <c r="BP195" s="66">
        <v>25.130259461500003</v>
      </c>
      <c r="BQ195" s="66">
        <v>26.255647667799998</v>
      </c>
      <c r="BR195" s="66">
        <v>18.114605369800003</v>
      </c>
      <c r="BS195" s="66">
        <v>36.093497233000001</v>
      </c>
      <c r="BT195" s="66">
        <v>30.732845664700008</v>
      </c>
      <c r="BU195" s="66">
        <v>21.929344531599998</v>
      </c>
      <c r="BV195" s="66">
        <v>21.318710069199998</v>
      </c>
      <c r="BW195" s="66">
        <v>17.199817003900002</v>
      </c>
      <c r="BX195" s="66">
        <v>11.549797051899997</v>
      </c>
      <c r="BY195" s="66">
        <v>26.670355229499997</v>
      </c>
      <c r="BZ195" s="66">
        <v>22.483576363900006</v>
      </c>
      <c r="CA195" s="66">
        <v>29.125502050300007</v>
      </c>
      <c r="CB195" s="66">
        <v>24.868172988700003</v>
      </c>
      <c r="CC195" s="66">
        <v>35.830247432499995</v>
      </c>
      <c r="CD195" s="66">
        <v>25.854111977800002</v>
      </c>
      <c r="CE195" s="66">
        <v>22.814149064199992</v>
      </c>
      <c r="CF195" s="66">
        <v>13.680262864300005</v>
      </c>
      <c r="CG195" s="66">
        <v>16.661984339500005</v>
      </c>
      <c r="CH195" s="66">
        <v>12.9614389258</v>
      </c>
      <c r="CI195" s="66">
        <v>11.326550713600003</v>
      </c>
      <c r="CJ195" s="66">
        <v>19.947221764300004</v>
      </c>
      <c r="CK195" s="66">
        <v>18.613447792900001</v>
      </c>
      <c r="CL195" s="66">
        <v>28.832681210200001</v>
      </c>
      <c r="CM195" s="66">
        <v>26.105353234299997</v>
      </c>
      <c r="CN195" s="66">
        <v>19.240744110100003</v>
      </c>
      <c r="CO195" s="66">
        <v>14.171862634300002</v>
      </c>
      <c r="CP195" s="66">
        <v>13.211892121600002</v>
      </c>
      <c r="CQ195" s="66">
        <v>19.020312274299997</v>
      </c>
      <c r="CR195" s="66">
        <v>27.693670811800004</v>
      </c>
      <c r="CS195" s="66">
        <v>27.316227263199998</v>
      </c>
      <c r="CT195" s="66">
        <v>20.510985378399997</v>
      </c>
      <c r="CU195" s="66">
        <v>22.473556735000003</v>
      </c>
      <c r="CV195" s="66">
        <v>30.230700892000002</v>
      </c>
      <c r="CW195" s="66">
        <v>27.652466495200002</v>
      </c>
      <c r="CX195" s="66">
        <v>41.177014121799999</v>
      </c>
      <c r="CY195" s="66">
        <v>43.592720380900005</v>
      </c>
      <c r="CZ195" s="66">
        <v>37.3740958705</v>
      </c>
      <c r="DA195" s="66">
        <v>42.7094169163</v>
      </c>
      <c r="DB195" s="66">
        <v>26.652304886800003</v>
      </c>
      <c r="DC195" s="66">
        <v>31.687825126299998</v>
      </c>
      <c r="DD195" s="66">
        <v>31.807873039600011</v>
      </c>
      <c r="DE195" s="66">
        <v>24.584583716800005</v>
      </c>
      <c r="DF195" s="66">
        <v>18.112729034800001</v>
      </c>
      <c r="DG195" s="66">
        <v>17.727479932600009</v>
      </c>
      <c r="DH195" s="66">
        <v>20.908505711500002</v>
      </c>
      <c r="DI195" s="66">
        <v>20.624316012399998</v>
      </c>
      <c r="DJ195" s="66">
        <v>17.337802679800003</v>
      </c>
      <c r="DK195" s="66">
        <v>26.058032065600003</v>
      </c>
      <c r="DL195" s="66">
        <v>17.177488617400002</v>
      </c>
      <c r="DM195" s="66">
        <v>24.852149087800008</v>
      </c>
      <c r="DN195" s="66">
        <v>26.325597436599999</v>
      </c>
      <c r="DO195" s="66">
        <v>25.141892738500005</v>
      </c>
      <c r="DP195" s="79"/>
      <c r="DQ195" s="80"/>
      <c r="DR195" s="81"/>
      <c r="DS195" s="84">
        <f t="shared" si="20"/>
        <v>2016</v>
      </c>
      <c r="DT195" s="80"/>
      <c r="DU195" s="83">
        <f t="shared" ref="DU195:ED204" si="28">+SUMIF($D$3:$DO$3,DU$4,$D195:$DO195)</f>
        <v>-96</v>
      </c>
      <c r="DV195" s="83">
        <f t="shared" si="28"/>
        <v>-96</v>
      </c>
      <c r="DW195" s="83">
        <f t="shared" si="28"/>
        <v>-85.45874997</v>
      </c>
      <c r="DX195" s="83">
        <f t="shared" si="28"/>
        <v>98.121678796500021</v>
      </c>
      <c r="DY195" s="83">
        <f t="shared" si="28"/>
        <v>199.93709479469999</v>
      </c>
      <c r="DZ195" s="83">
        <f t="shared" si="28"/>
        <v>300.41419609079998</v>
      </c>
      <c r="EA195" s="83">
        <f t="shared" si="28"/>
        <v>253.82614900199999</v>
      </c>
      <c r="EB195" s="83">
        <f t="shared" si="28"/>
        <v>257.13795533040002</v>
      </c>
      <c r="EC195" s="83">
        <f t="shared" si="28"/>
        <v>373.30921041360006</v>
      </c>
      <c r="ED195" s="83">
        <f t="shared" si="28"/>
        <v>178.42578434960001</v>
      </c>
    </row>
    <row r="196" spans="2:134" x14ac:dyDescent="0.3">
      <c r="B196" s="45">
        <f t="shared" si="21"/>
        <v>1000000192</v>
      </c>
      <c r="C196" s="46">
        <v>41821</v>
      </c>
      <c r="D196" s="66">
        <v>-8</v>
      </c>
      <c r="E196" s="66">
        <v>-8</v>
      </c>
      <c r="F196" s="66">
        <v>-8</v>
      </c>
      <c r="G196" s="66">
        <v>-8</v>
      </c>
      <c r="H196" s="66">
        <v>-8</v>
      </c>
      <c r="I196" s="66">
        <v>-8</v>
      </c>
      <c r="J196" s="66">
        <v>-8</v>
      </c>
      <c r="K196" s="66">
        <v>1.663125250000002</v>
      </c>
      <c r="L196" s="66">
        <v>4.5543323248000007</v>
      </c>
      <c r="M196" s="66">
        <v>7.0631047999000032</v>
      </c>
      <c r="N196" s="66">
        <v>6.3789930589000008</v>
      </c>
      <c r="O196" s="66">
        <v>-0.85979479100000056</v>
      </c>
      <c r="P196" s="66">
        <v>7.3116441339999998</v>
      </c>
      <c r="Q196" s="66">
        <v>18.451294922200002</v>
      </c>
      <c r="R196" s="66">
        <v>7.2124610659000012</v>
      </c>
      <c r="S196" s="66">
        <v>4.1849194900000004</v>
      </c>
      <c r="T196" s="66">
        <v>4.3785197353000012</v>
      </c>
      <c r="U196" s="66">
        <v>9.4545312840999998</v>
      </c>
      <c r="V196" s="66">
        <v>6.2550798955000015</v>
      </c>
      <c r="W196" s="66">
        <v>9.5543898327999983</v>
      </c>
      <c r="X196" s="66">
        <v>14.279939530300002</v>
      </c>
      <c r="Y196" s="66">
        <v>14.7779938927</v>
      </c>
      <c r="Z196" s="66">
        <v>4.7882737726000002</v>
      </c>
      <c r="AA196" s="66">
        <v>15.851482672899998</v>
      </c>
      <c r="AB196" s="66">
        <v>13.7809094737</v>
      </c>
      <c r="AC196" s="66">
        <v>22.189667249500001</v>
      </c>
      <c r="AD196" s="66">
        <v>15.313387321599997</v>
      </c>
      <c r="AE196" s="66">
        <v>14.079546952300003</v>
      </c>
      <c r="AF196" s="66">
        <v>10.023623689600001</v>
      </c>
      <c r="AG196" s="66">
        <v>14.650027845700002</v>
      </c>
      <c r="AH196" s="66">
        <v>11.832973530100002</v>
      </c>
      <c r="AI196" s="66">
        <v>18.233114688400001</v>
      </c>
      <c r="AJ196" s="66">
        <v>15.196904444800001</v>
      </c>
      <c r="AK196" s="66">
        <v>12.770202862599998</v>
      </c>
      <c r="AL196" s="66">
        <v>18.608306634999998</v>
      </c>
      <c r="AM196" s="66">
        <v>19.875358133800002</v>
      </c>
      <c r="AN196" s="66">
        <v>19.614434988700005</v>
      </c>
      <c r="AO196" s="66">
        <v>21.152129047900001</v>
      </c>
      <c r="AP196" s="66">
        <v>17.811427160499999</v>
      </c>
      <c r="AQ196" s="66">
        <v>18.797103462699997</v>
      </c>
      <c r="AR196" s="66">
        <v>16.382710638100008</v>
      </c>
      <c r="AS196" s="66">
        <v>18.739912771899998</v>
      </c>
      <c r="AT196" s="66">
        <v>19.988088340600004</v>
      </c>
      <c r="AU196" s="66">
        <v>27.152911064799994</v>
      </c>
      <c r="AV196" s="66">
        <v>22.734367300000006</v>
      </c>
      <c r="AW196" s="66">
        <v>21.887126994100004</v>
      </c>
      <c r="AX196" s="66">
        <v>19.903353052000003</v>
      </c>
      <c r="AY196" s="66">
        <v>26.737377915700002</v>
      </c>
      <c r="AZ196" s="66">
        <v>25.860791730399995</v>
      </c>
      <c r="BA196" s="66">
        <v>38.703629324799991</v>
      </c>
      <c r="BB196" s="66">
        <v>33.589303015300004</v>
      </c>
      <c r="BC196" s="66">
        <v>40.029222475600008</v>
      </c>
      <c r="BD196" s="66">
        <v>23.558115891699998</v>
      </c>
      <c r="BE196" s="66">
        <v>24.175655266899994</v>
      </c>
      <c r="BF196" s="66">
        <v>27.420063642100004</v>
      </c>
      <c r="BG196" s="66">
        <v>29.323117652500002</v>
      </c>
      <c r="BH196" s="66">
        <v>23.401742132799999</v>
      </c>
      <c r="BI196" s="66">
        <v>24.410347248700006</v>
      </c>
      <c r="BJ196" s="66">
        <v>24.773230437700001</v>
      </c>
      <c r="BK196" s="66">
        <v>32.420308783599999</v>
      </c>
      <c r="BL196" s="66">
        <v>40.274534513500001</v>
      </c>
      <c r="BM196" s="66">
        <v>62.591362789900003</v>
      </c>
      <c r="BN196" s="66">
        <v>55.85160499660001</v>
      </c>
      <c r="BO196" s="66">
        <v>49.430786626600003</v>
      </c>
      <c r="BP196" s="66">
        <v>54.52878882160001</v>
      </c>
      <c r="BQ196" s="66">
        <v>24.308462258199995</v>
      </c>
      <c r="BR196" s="66">
        <v>39.853034619100001</v>
      </c>
      <c r="BS196" s="66">
        <v>29.563251005800005</v>
      </c>
      <c r="BT196" s="66">
        <v>27.924685177000001</v>
      </c>
      <c r="BU196" s="66">
        <v>24.242865586599997</v>
      </c>
      <c r="BV196" s="66">
        <v>30.614936773300002</v>
      </c>
      <c r="BW196" s="66">
        <v>26.523438199000005</v>
      </c>
      <c r="BX196" s="66">
        <v>58.370697314199987</v>
      </c>
      <c r="BY196" s="66">
        <v>58.646030712100014</v>
      </c>
      <c r="BZ196" s="66">
        <v>53.77562795259999</v>
      </c>
      <c r="CA196" s="66">
        <v>46.012817263900004</v>
      </c>
      <c r="CB196" s="66">
        <v>40.599027888400002</v>
      </c>
      <c r="CC196" s="66">
        <v>49.7610591133</v>
      </c>
      <c r="CD196" s="66">
        <v>54.898201656400012</v>
      </c>
      <c r="CE196" s="66">
        <v>28.739802627700001</v>
      </c>
      <c r="CF196" s="66">
        <v>24.332479346200003</v>
      </c>
      <c r="CG196" s="66">
        <v>39.452286989799994</v>
      </c>
      <c r="CH196" s="66">
        <v>30.926445909999998</v>
      </c>
      <c r="CI196" s="66">
        <v>55.036112278900013</v>
      </c>
      <c r="CJ196" s="66">
        <v>60.2396020276</v>
      </c>
      <c r="CK196" s="66">
        <v>88.145844635500012</v>
      </c>
      <c r="CL196" s="66">
        <v>88.022044052200002</v>
      </c>
      <c r="CM196" s="66">
        <v>90.411369041200018</v>
      </c>
      <c r="CN196" s="66">
        <v>61.699916031399994</v>
      </c>
      <c r="CO196" s="66">
        <v>57.824496195699993</v>
      </c>
      <c r="CP196" s="66">
        <v>52.543326177999994</v>
      </c>
      <c r="CQ196" s="66">
        <v>52.065348600100002</v>
      </c>
      <c r="CR196" s="66">
        <v>33.1166917555</v>
      </c>
      <c r="CS196" s="66">
        <v>18.068072261800001</v>
      </c>
      <c r="CT196" s="66">
        <v>22.713840195100005</v>
      </c>
      <c r="CU196" s="66">
        <v>38.960274426100007</v>
      </c>
      <c r="CV196" s="66">
        <v>47.112424627299994</v>
      </c>
      <c r="CW196" s="66">
        <v>26.817722580400002</v>
      </c>
      <c r="CX196" s="66">
        <v>44.336311941399998</v>
      </c>
      <c r="CY196" s="66">
        <v>42.425977751200008</v>
      </c>
      <c r="CZ196" s="66">
        <v>19.075776736900004</v>
      </c>
      <c r="DA196" s="66">
        <v>11.945891370400002</v>
      </c>
      <c r="DB196" s="66">
        <v>42.735610552899999</v>
      </c>
      <c r="DC196" s="66">
        <v>28.570894951</v>
      </c>
      <c r="DD196" s="66">
        <v>15.097646323300001</v>
      </c>
      <c r="DE196" s="66">
        <v>15.500232760900001</v>
      </c>
      <c r="DF196" s="66">
        <v>14.843703144400003</v>
      </c>
      <c r="DG196" s="66">
        <v>9.0182083432000013</v>
      </c>
      <c r="DH196" s="66">
        <v>20.902201225900001</v>
      </c>
      <c r="DI196" s="66">
        <v>30.738324562899997</v>
      </c>
      <c r="DJ196" s="66">
        <v>29.548090219000002</v>
      </c>
      <c r="DK196" s="66">
        <v>12.715076140300003</v>
      </c>
      <c r="DL196" s="66">
        <v>28.957907808100003</v>
      </c>
      <c r="DM196" s="66">
        <v>31.082106661600008</v>
      </c>
      <c r="DN196" s="66">
        <v>65.010634085500016</v>
      </c>
      <c r="DO196" s="66">
        <v>45.9055284286</v>
      </c>
      <c r="DP196" s="79"/>
      <c r="DQ196" s="80"/>
      <c r="DR196" s="81"/>
      <c r="DS196" s="84">
        <f t="shared" si="20"/>
        <v>2014</v>
      </c>
      <c r="DT196" s="80"/>
      <c r="DU196" s="83">
        <f t="shared" si="28"/>
        <v>-37.200239357399994</v>
      </c>
      <c r="DV196" s="83">
        <f t="shared" si="28"/>
        <v>116.50053022829999</v>
      </c>
      <c r="DW196" s="83">
        <f t="shared" si="28"/>
        <v>186.5540228271</v>
      </c>
      <c r="DX196" s="83">
        <f t="shared" si="28"/>
        <v>250.90094273700001</v>
      </c>
      <c r="DY196" s="83">
        <f t="shared" si="28"/>
        <v>347.66552760209998</v>
      </c>
      <c r="DZ196" s="83">
        <f t="shared" si="28"/>
        <v>465.70775136719999</v>
      </c>
      <c r="EA196" s="83">
        <f t="shared" si="28"/>
        <v>540.55058905349995</v>
      </c>
      <c r="EB196" s="83">
        <f t="shared" si="28"/>
        <v>663.81082540020009</v>
      </c>
      <c r="EC196" s="83">
        <f t="shared" si="28"/>
        <v>317.48040108330008</v>
      </c>
      <c r="ED196" s="83">
        <f t="shared" si="28"/>
        <v>264.85986913189998</v>
      </c>
    </row>
    <row r="197" spans="2:134" x14ac:dyDescent="0.3">
      <c r="B197" s="45">
        <f t="shared" si="21"/>
        <v>1000000193</v>
      </c>
      <c r="C197" s="46">
        <v>43252</v>
      </c>
      <c r="D197" s="66">
        <v>-8</v>
      </c>
      <c r="E197" s="66">
        <v>-8</v>
      </c>
      <c r="F197" s="66">
        <v>-8</v>
      </c>
      <c r="G197" s="66">
        <v>-8</v>
      </c>
      <c r="H197" s="66">
        <v>-8</v>
      </c>
      <c r="I197" s="66">
        <v>-8</v>
      </c>
      <c r="J197" s="66">
        <v>-8</v>
      </c>
      <c r="K197" s="66">
        <v>-8</v>
      </c>
      <c r="L197" s="66">
        <v>-8</v>
      </c>
      <c r="M197" s="66">
        <v>-8</v>
      </c>
      <c r="N197" s="66">
        <v>-8</v>
      </c>
      <c r="O197" s="66">
        <v>-8</v>
      </c>
      <c r="P197" s="66">
        <v>-8</v>
      </c>
      <c r="Q197" s="66">
        <v>-8</v>
      </c>
      <c r="R197" s="66">
        <v>-8</v>
      </c>
      <c r="S197" s="66">
        <v>-8</v>
      </c>
      <c r="T197" s="66">
        <v>-8</v>
      </c>
      <c r="U197" s="66">
        <v>-8</v>
      </c>
      <c r="V197" s="66">
        <v>-8</v>
      </c>
      <c r="W197" s="66">
        <v>-8</v>
      </c>
      <c r="X197" s="66">
        <v>-8</v>
      </c>
      <c r="Y197" s="66">
        <v>-8</v>
      </c>
      <c r="Z197" s="66">
        <v>-8</v>
      </c>
      <c r="AA197" s="66">
        <v>-8</v>
      </c>
      <c r="AB197" s="66">
        <v>-8</v>
      </c>
      <c r="AC197" s="66">
        <v>-8</v>
      </c>
      <c r="AD197" s="66">
        <v>-8</v>
      </c>
      <c r="AE197" s="66">
        <v>-8</v>
      </c>
      <c r="AF197" s="66">
        <v>-8</v>
      </c>
      <c r="AG197" s="66">
        <v>-8</v>
      </c>
      <c r="AH197" s="66">
        <v>-8</v>
      </c>
      <c r="AI197" s="66">
        <v>-8</v>
      </c>
      <c r="AJ197" s="66">
        <v>-8</v>
      </c>
      <c r="AK197" s="66">
        <v>-8</v>
      </c>
      <c r="AL197" s="66">
        <v>-8</v>
      </c>
      <c r="AM197" s="66">
        <v>-8</v>
      </c>
      <c r="AN197" s="66">
        <v>-8</v>
      </c>
      <c r="AO197" s="66">
        <v>-8</v>
      </c>
      <c r="AP197" s="66">
        <v>-8</v>
      </c>
      <c r="AQ197" s="66">
        <v>-8</v>
      </c>
      <c r="AR197" s="66">
        <v>-8</v>
      </c>
      <c r="AS197" s="66">
        <v>-8</v>
      </c>
      <c r="AT197" s="66">
        <v>-8</v>
      </c>
      <c r="AU197" s="66">
        <v>-8</v>
      </c>
      <c r="AV197" s="66">
        <v>-8</v>
      </c>
      <c r="AW197" s="66">
        <v>-8</v>
      </c>
      <c r="AX197" s="66">
        <v>-8</v>
      </c>
      <c r="AY197" s="66">
        <v>-8</v>
      </c>
      <c r="AZ197" s="66">
        <v>-8</v>
      </c>
      <c r="BA197" s="66">
        <v>-8</v>
      </c>
      <c r="BB197" s="66">
        <v>-8</v>
      </c>
      <c r="BC197" s="66">
        <v>-8</v>
      </c>
      <c r="BD197" s="66">
        <v>-8</v>
      </c>
      <c r="BE197" s="66">
        <v>-8</v>
      </c>
      <c r="BF197" s="66">
        <v>-2.9293172425999998</v>
      </c>
      <c r="BG197" s="66">
        <v>-0.73558141400000032</v>
      </c>
      <c r="BH197" s="66">
        <v>5.9763690946000025</v>
      </c>
      <c r="BI197" s="66">
        <v>0.71756499010000141</v>
      </c>
      <c r="BJ197" s="66">
        <v>2.9348675863000011</v>
      </c>
      <c r="BK197" s="66">
        <v>-1.6474051705999999</v>
      </c>
      <c r="BL197" s="66">
        <v>-0.87878330120000037</v>
      </c>
      <c r="BM197" s="66">
        <v>4.0229167261000001</v>
      </c>
      <c r="BN197" s="66">
        <v>7.977968219200001</v>
      </c>
      <c r="BO197" s="66">
        <v>16.4263917169</v>
      </c>
      <c r="BP197" s="66">
        <v>5.0137717128999988</v>
      </c>
      <c r="BQ197" s="66">
        <v>5.9118982239999998</v>
      </c>
      <c r="BR197" s="66">
        <v>8.6810684704000032</v>
      </c>
      <c r="BS197" s="66">
        <v>11.189728365400004</v>
      </c>
      <c r="BT197" s="66">
        <v>12.168387174700001</v>
      </c>
      <c r="BU197" s="66">
        <v>6.9652351662999976</v>
      </c>
      <c r="BV197" s="66">
        <v>19.320751034500002</v>
      </c>
      <c r="BW197" s="66">
        <v>11.692098298299999</v>
      </c>
      <c r="BX197" s="66">
        <v>16.797943573600001</v>
      </c>
      <c r="BY197" s="66">
        <v>17.837733377199999</v>
      </c>
      <c r="BZ197" s="66">
        <v>8.1349048786000004</v>
      </c>
      <c r="CA197" s="66">
        <v>5.4459291901000029</v>
      </c>
      <c r="CB197" s="66">
        <v>8.9815822840000017</v>
      </c>
      <c r="CC197" s="66">
        <v>13.5058762894</v>
      </c>
      <c r="CD197" s="66">
        <v>19.1087627062</v>
      </c>
      <c r="CE197" s="66">
        <v>24.080937876100002</v>
      </c>
      <c r="CF197" s="66">
        <v>17.764706419000003</v>
      </c>
      <c r="CG197" s="66">
        <v>21.927505723300005</v>
      </c>
      <c r="CH197" s="66">
        <v>18.5853027679</v>
      </c>
      <c r="CI197" s="66">
        <v>7.1688550405000022</v>
      </c>
      <c r="CJ197" s="66">
        <v>13.718577624999998</v>
      </c>
      <c r="CK197" s="66">
        <v>17.578949253999998</v>
      </c>
      <c r="CL197" s="66">
        <v>16.939606866100004</v>
      </c>
      <c r="CM197" s="66">
        <v>15.041431326700003</v>
      </c>
      <c r="CN197" s="66">
        <v>12.0228586321</v>
      </c>
      <c r="CO197" s="66">
        <v>9.1693283641000036</v>
      </c>
      <c r="CP197" s="66">
        <v>20.979581281300003</v>
      </c>
      <c r="CQ197" s="66">
        <v>28.223210075499999</v>
      </c>
      <c r="CR197" s="66">
        <v>17.393754989500007</v>
      </c>
      <c r="CS197" s="66">
        <v>10.1354157289</v>
      </c>
      <c r="CT197" s="66">
        <v>17.094817297300001</v>
      </c>
      <c r="CU197" s="66">
        <v>11.397438649899996</v>
      </c>
      <c r="CV197" s="66">
        <v>18.815566599099999</v>
      </c>
      <c r="CW197" s="66">
        <v>25.614691631800007</v>
      </c>
      <c r="CX197" s="66">
        <v>13.417050590500004</v>
      </c>
      <c r="CY197" s="66">
        <v>4.0073056189000003</v>
      </c>
      <c r="CZ197" s="66">
        <v>19.460688098800006</v>
      </c>
      <c r="DA197" s="66">
        <v>6.4537837719999995</v>
      </c>
      <c r="DB197" s="66">
        <v>17.955642268600002</v>
      </c>
      <c r="DC197" s="66">
        <v>9.7416855925000014</v>
      </c>
      <c r="DD197" s="66">
        <v>11.5020255628</v>
      </c>
      <c r="DE197" s="66">
        <v>12.087892403200001</v>
      </c>
      <c r="DF197" s="66">
        <v>10.659926414800005</v>
      </c>
      <c r="DG197" s="66">
        <v>9.0895090732000021</v>
      </c>
      <c r="DH197" s="66">
        <v>28.392342912400004</v>
      </c>
      <c r="DI197" s="66">
        <v>16.097807931700004</v>
      </c>
      <c r="DJ197" s="66">
        <v>25.8112189597</v>
      </c>
      <c r="DK197" s="66">
        <v>27.301291636599991</v>
      </c>
      <c r="DL197" s="66">
        <v>26.5738740838</v>
      </c>
      <c r="DM197" s="66">
        <v>35.188240648900006</v>
      </c>
      <c r="DN197" s="66">
        <v>34.563796360900007</v>
      </c>
      <c r="DO197" s="66">
        <v>48.252523300000007</v>
      </c>
      <c r="DP197" s="79"/>
      <c r="DQ197" s="80"/>
      <c r="DR197" s="81"/>
      <c r="DS197" s="84">
        <f t="shared" ref="DS197:DS220" si="29">+YEAR(C197)</f>
        <v>2018</v>
      </c>
      <c r="DT197" s="80"/>
      <c r="DU197" s="83">
        <f t="shared" si="28"/>
        <v>-96</v>
      </c>
      <c r="DV197" s="83">
        <f t="shared" si="28"/>
        <v>-96</v>
      </c>
      <c r="DW197" s="83">
        <f t="shared" si="28"/>
        <v>-96</v>
      </c>
      <c r="DX197" s="83">
        <f t="shared" si="28"/>
        <v>-96</v>
      </c>
      <c r="DY197" s="83">
        <f t="shared" si="28"/>
        <v>-43.683502156199999</v>
      </c>
      <c r="DZ197" s="83">
        <f t="shared" si="28"/>
        <v>108.49143180750001</v>
      </c>
      <c r="EA197" s="83">
        <f t="shared" si="28"/>
        <v>179.3400401259</v>
      </c>
      <c r="EB197" s="83">
        <f t="shared" si="28"/>
        <v>189.69497009039998</v>
      </c>
      <c r="EC197" s="83">
        <f t="shared" si="28"/>
        <v>158.80576762620001</v>
      </c>
      <c r="ED197" s="83">
        <f t="shared" si="28"/>
        <v>242.18109583400002</v>
      </c>
    </row>
    <row r="198" spans="2:134" x14ac:dyDescent="0.3">
      <c r="B198" s="45">
        <f t="shared" si="21"/>
        <v>1000000194</v>
      </c>
      <c r="C198" s="46">
        <v>43739</v>
      </c>
      <c r="D198" s="66">
        <v>-8</v>
      </c>
      <c r="E198" s="66">
        <v>-8</v>
      </c>
      <c r="F198" s="66">
        <v>-8</v>
      </c>
      <c r="G198" s="66">
        <v>-8</v>
      </c>
      <c r="H198" s="66">
        <v>-8</v>
      </c>
      <c r="I198" s="66">
        <v>-8</v>
      </c>
      <c r="J198" s="66">
        <v>-8</v>
      </c>
      <c r="K198" s="66">
        <v>-8</v>
      </c>
      <c r="L198" s="66">
        <v>-8</v>
      </c>
      <c r="M198" s="66">
        <v>-8</v>
      </c>
      <c r="N198" s="66">
        <v>-8</v>
      </c>
      <c r="O198" s="66">
        <v>-8</v>
      </c>
      <c r="P198" s="66">
        <v>-8</v>
      </c>
      <c r="Q198" s="66">
        <v>-8</v>
      </c>
      <c r="R198" s="66">
        <v>-8</v>
      </c>
      <c r="S198" s="66">
        <v>-8</v>
      </c>
      <c r="T198" s="66">
        <v>-8</v>
      </c>
      <c r="U198" s="66">
        <v>-8</v>
      </c>
      <c r="V198" s="66">
        <v>-8</v>
      </c>
      <c r="W198" s="66">
        <v>-8</v>
      </c>
      <c r="X198" s="66">
        <v>-8</v>
      </c>
      <c r="Y198" s="66">
        <v>-8</v>
      </c>
      <c r="Z198" s="66">
        <v>-8</v>
      </c>
      <c r="AA198" s="66">
        <v>-8</v>
      </c>
      <c r="AB198" s="66">
        <v>-8</v>
      </c>
      <c r="AC198" s="66">
        <v>-8</v>
      </c>
      <c r="AD198" s="66">
        <v>-8</v>
      </c>
      <c r="AE198" s="66">
        <v>-8</v>
      </c>
      <c r="AF198" s="66">
        <v>-8</v>
      </c>
      <c r="AG198" s="66">
        <v>-8</v>
      </c>
      <c r="AH198" s="66">
        <v>-8</v>
      </c>
      <c r="AI198" s="66">
        <v>-8</v>
      </c>
      <c r="AJ198" s="66">
        <v>-8</v>
      </c>
      <c r="AK198" s="66">
        <v>-8</v>
      </c>
      <c r="AL198" s="66">
        <v>-8</v>
      </c>
      <c r="AM198" s="66">
        <v>-8</v>
      </c>
      <c r="AN198" s="66">
        <v>-8</v>
      </c>
      <c r="AO198" s="66">
        <v>-8</v>
      </c>
      <c r="AP198" s="66">
        <v>-8</v>
      </c>
      <c r="AQ198" s="66">
        <v>-8</v>
      </c>
      <c r="AR198" s="66">
        <v>-8</v>
      </c>
      <c r="AS198" s="66">
        <v>-8</v>
      </c>
      <c r="AT198" s="66">
        <v>-8</v>
      </c>
      <c r="AU198" s="66">
        <v>-8</v>
      </c>
      <c r="AV198" s="66">
        <v>-8</v>
      </c>
      <c r="AW198" s="66">
        <v>-8</v>
      </c>
      <c r="AX198" s="66">
        <v>-8</v>
      </c>
      <c r="AY198" s="66">
        <v>-8</v>
      </c>
      <c r="AZ198" s="66">
        <v>-8</v>
      </c>
      <c r="BA198" s="66">
        <v>-8</v>
      </c>
      <c r="BB198" s="66">
        <v>-8</v>
      </c>
      <c r="BC198" s="66">
        <v>-8</v>
      </c>
      <c r="BD198" s="66">
        <v>-8</v>
      </c>
      <c r="BE198" s="66">
        <v>-8</v>
      </c>
      <c r="BF198" s="66">
        <v>-8</v>
      </c>
      <c r="BG198" s="66">
        <v>-8</v>
      </c>
      <c r="BH198" s="66">
        <v>-8</v>
      </c>
      <c r="BI198" s="66">
        <v>-8</v>
      </c>
      <c r="BJ198" s="66">
        <v>-8</v>
      </c>
      <c r="BK198" s="66">
        <v>-8</v>
      </c>
      <c r="BL198" s="66">
        <v>-8</v>
      </c>
      <c r="BM198" s="66">
        <v>-8</v>
      </c>
      <c r="BN198" s="66">
        <v>-8</v>
      </c>
      <c r="BO198" s="66">
        <v>-8</v>
      </c>
      <c r="BP198" s="66">
        <v>-8</v>
      </c>
      <c r="BQ198" s="66">
        <v>-8</v>
      </c>
      <c r="BR198" s="66">
        <v>-8</v>
      </c>
      <c r="BS198" s="66">
        <v>-8</v>
      </c>
      <c r="BT198" s="66">
        <v>-8</v>
      </c>
      <c r="BU198" s="66">
        <v>-6.7991456000000001</v>
      </c>
      <c r="BV198" s="66">
        <v>-6.1103805482000002</v>
      </c>
      <c r="BW198" s="66">
        <v>-5.3744444344999991</v>
      </c>
      <c r="BX198" s="66">
        <v>-5.1085677650000001</v>
      </c>
      <c r="BY198" s="66">
        <v>-3.4861384172000003</v>
      </c>
      <c r="BZ198" s="66">
        <v>-3.6148549982000002</v>
      </c>
      <c r="CA198" s="66">
        <v>-4.6608367072999997</v>
      </c>
      <c r="CB198" s="66">
        <v>-6.1230645727999997</v>
      </c>
      <c r="CC198" s="66">
        <v>-6.2109521042000004</v>
      </c>
      <c r="CD198" s="66">
        <v>-7.5964378681999998</v>
      </c>
      <c r="CE198" s="66">
        <v>-6.8576121986</v>
      </c>
      <c r="CF198" s="66">
        <v>0.18791314629999967</v>
      </c>
      <c r="CG198" s="66">
        <v>1.6293887467000019</v>
      </c>
      <c r="CH198" s="66">
        <v>2.9477017176999993</v>
      </c>
      <c r="CI198" s="66">
        <v>0.98591842180000278</v>
      </c>
      <c r="CJ198" s="66">
        <v>14.439202845100002</v>
      </c>
      <c r="CK198" s="66">
        <v>2.5561856566000003</v>
      </c>
      <c r="CL198" s="66">
        <v>10.577592835000001</v>
      </c>
      <c r="CM198" s="66">
        <v>7.0333461267999997</v>
      </c>
      <c r="CN198" s="66">
        <v>4.2991132381000039</v>
      </c>
      <c r="CO198" s="66">
        <v>2.9826015487000017</v>
      </c>
      <c r="CP198" s="66">
        <v>5.2203186697000028</v>
      </c>
      <c r="CQ198" s="66">
        <v>7.8972107607999984</v>
      </c>
      <c r="CR198" s="66">
        <v>4.5029957992000007</v>
      </c>
      <c r="CS198" s="66">
        <v>5.1640661463999979</v>
      </c>
      <c r="CT198" s="66">
        <v>4.1172213232000008</v>
      </c>
      <c r="CU198" s="66">
        <v>1.9259622568000001</v>
      </c>
      <c r="CV198" s="66">
        <v>5.6669239263999991</v>
      </c>
      <c r="CW198" s="66">
        <v>9.8316746190999993</v>
      </c>
      <c r="CX198" s="66">
        <v>9.2742530173000013</v>
      </c>
      <c r="CY198" s="66">
        <v>13.366427072200004</v>
      </c>
      <c r="CZ198" s="66">
        <v>4.4970290538999986</v>
      </c>
      <c r="DA198" s="66">
        <v>13.243752289899998</v>
      </c>
      <c r="DB198" s="66">
        <v>105.64642118050001</v>
      </c>
      <c r="DC198" s="66">
        <v>9.2848355467000054</v>
      </c>
      <c r="DD198" s="66">
        <v>14.268268726599999</v>
      </c>
      <c r="DE198" s="66">
        <v>20.1845030884</v>
      </c>
      <c r="DF198" s="66">
        <v>10.8865501561</v>
      </c>
      <c r="DG198" s="66">
        <v>9.942490964200001</v>
      </c>
      <c r="DH198" s="66">
        <v>18.308956149099998</v>
      </c>
      <c r="DI198" s="66">
        <v>28.5956250463</v>
      </c>
      <c r="DJ198" s="66">
        <v>26.945538520599996</v>
      </c>
      <c r="DK198" s="66">
        <v>23.049178786300008</v>
      </c>
      <c r="DL198" s="66">
        <v>17.148518005</v>
      </c>
      <c r="DM198" s="66">
        <v>31.908519649000006</v>
      </c>
      <c r="DN198" s="66">
        <v>23.622098915200002</v>
      </c>
      <c r="DO198" s="66">
        <v>26.949741511000006</v>
      </c>
      <c r="DP198" s="79"/>
      <c r="DQ198" s="80"/>
      <c r="DR198" s="81"/>
      <c r="DS198" s="84">
        <f t="shared" si="29"/>
        <v>2019</v>
      </c>
      <c r="DT198" s="80"/>
      <c r="DU198" s="83">
        <f t="shared" si="28"/>
        <v>-96</v>
      </c>
      <c r="DV198" s="83">
        <f t="shared" si="28"/>
        <v>-96</v>
      </c>
      <c r="DW198" s="83">
        <f t="shared" si="28"/>
        <v>-96</v>
      </c>
      <c r="DX198" s="83">
        <f t="shared" si="28"/>
        <v>-96</v>
      </c>
      <c r="DY198" s="83">
        <f t="shared" si="28"/>
        <v>-96</v>
      </c>
      <c r="DZ198" s="83">
        <f t="shared" si="28"/>
        <v>-90.283970582699993</v>
      </c>
      <c r="EA198" s="83">
        <f t="shared" si="28"/>
        <v>-37.907542599000003</v>
      </c>
      <c r="EB198" s="83">
        <f t="shared" si="28"/>
        <v>70.715817206400018</v>
      </c>
      <c r="EC198" s="83">
        <f t="shared" si="28"/>
        <v>226.09312964130001</v>
      </c>
      <c r="ED198" s="83">
        <f t="shared" si="28"/>
        <v>196.52817658250004</v>
      </c>
    </row>
    <row r="199" spans="2:134" x14ac:dyDescent="0.3">
      <c r="B199" s="45">
        <f t="shared" ref="B199:B220" si="30">B198+1</f>
        <v>1000000195</v>
      </c>
      <c r="C199" s="46">
        <v>42917</v>
      </c>
      <c r="D199" s="66">
        <v>-8</v>
      </c>
      <c r="E199" s="66">
        <v>-8</v>
      </c>
      <c r="F199" s="66">
        <v>-8</v>
      </c>
      <c r="G199" s="66">
        <v>-8</v>
      </c>
      <c r="H199" s="66">
        <v>-8</v>
      </c>
      <c r="I199" s="66">
        <v>-8</v>
      </c>
      <c r="J199" s="66">
        <v>-8</v>
      </c>
      <c r="K199" s="66">
        <v>-8</v>
      </c>
      <c r="L199" s="66">
        <v>-8</v>
      </c>
      <c r="M199" s="66">
        <v>-8</v>
      </c>
      <c r="N199" s="66">
        <v>-8</v>
      </c>
      <c r="O199" s="66">
        <v>-8</v>
      </c>
      <c r="P199" s="66">
        <v>-8</v>
      </c>
      <c r="Q199" s="66">
        <v>-8</v>
      </c>
      <c r="R199" s="66">
        <v>-8</v>
      </c>
      <c r="S199" s="66">
        <v>-8</v>
      </c>
      <c r="T199" s="66">
        <v>-8</v>
      </c>
      <c r="U199" s="66">
        <v>-8</v>
      </c>
      <c r="V199" s="66">
        <v>-8</v>
      </c>
      <c r="W199" s="66">
        <v>-8</v>
      </c>
      <c r="X199" s="66">
        <v>-8</v>
      </c>
      <c r="Y199" s="66">
        <v>-8</v>
      </c>
      <c r="Z199" s="66">
        <v>-8</v>
      </c>
      <c r="AA199" s="66">
        <v>-8</v>
      </c>
      <c r="AB199" s="66">
        <v>-8</v>
      </c>
      <c r="AC199" s="66">
        <v>-8</v>
      </c>
      <c r="AD199" s="66">
        <v>-8</v>
      </c>
      <c r="AE199" s="66">
        <v>-8</v>
      </c>
      <c r="AF199" s="66">
        <v>-8</v>
      </c>
      <c r="AG199" s="66">
        <v>-8</v>
      </c>
      <c r="AH199" s="66">
        <v>-8</v>
      </c>
      <c r="AI199" s="66">
        <v>-8</v>
      </c>
      <c r="AJ199" s="66">
        <v>-8</v>
      </c>
      <c r="AK199" s="66">
        <v>-8</v>
      </c>
      <c r="AL199" s="66">
        <v>-8</v>
      </c>
      <c r="AM199" s="66">
        <v>-8</v>
      </c>
      <c r="AN199" s="66">
        <v>-8</v>
      </c>
      <c r="AO199" s="66">
        <v>-8</v>
      </c>
      <c r="AP199" s="66">
        <v>-8</v>
      </c>
      <c r="AQ199" s="66">
        <v>-8</v>
      </c>
      <c r="AR199" s="66">
        <v>-8</v>
      </c>
      <c r="AS199" s="66">
        <v>-8</v>
      </c>
      <c r="AT199" s="66">
        <v>-5.8791785494999997</v>
      </c>
      <c r="AU199" s="66">
        <v>-2.8778681369000001</v>
      </c>
      <c r="AV199" s="66">
        <v>-4.1727644470999996</v>
      </c>
      <c r="AW199" s="66">
        <v>-2.1633222421999996</v>
      </c>
      <c r="AX199" s="66">
        <v>-6.0852376591999997</v>
      </c>
      <c r="AY199" s="66">
        <v>-3.8053780541000002</v>
      </c>
      <c r="AZ199" s="66">
        <v>-3.3916837133</v>
      </c>
      <c r="BA199" s="66">
        <v>1.1804568346000011</v>
      </c>
      <c r="BB199" s="66">
        <v>-2.7560939953999997</v>
      </c>
      <c r="BC199" s="66">
        <v>-3.1563537775999997</v>
      </c>
      <c r="BD199" s="66">
        <v>6.5913844600002491E-2</v>
      </c>
      <c r="BE199" s="66">
        <v>4.6793337625000007</v>
      </c>
      <c r="BF199" s="66">
        <v>3.7587662848000036</v>
      </c>
      <c r="BG199" s="66">
        <v>5.6194526508999996</v>
      </c>
      <c r="BH199" s="66">
        <v>4.932338773899998</v>
      </c>
      <c r="BI199" s="66">
        <v>1.6817009664999993</v>
      </c>
      <c r="BJ199" s="66">
        <v>1.9706940832000015</v>
      </c>
      <c r="BK199" s="66">
        <v>2.5526956735000006</v>
      </c>
      <c r="BL199" s="66">
        <v>5.9471357953000012</v>
      </c>
      <c r="BM199" s="66">
        <v>4.0503862705000007</v>
      </c>
      <c r="BN199" s="66">
        <v>9.1283492077000048</v>
      </c>
      <c r="BO199" s="66">
        <v>7.7653419370000023</v>
      </c>
      <c r="BP199" s="66">
        <v>10.363315377999999</v>
      </c>
      <c r="BQ199" s="66">
        <v>3.8234247889000006</v>
      </c>
      <c r="BR199" s="66">
        <v>3.0628336333000004</v>
      </c>
      <c r="BS199" s="66">
        <v>1.0424336319999998</v>
      </c>
      <c r="BT199" s="66">
        <v>5.0379013810000028</v>
      </c>
      <c r="BU199" s="66">
        <v>4.7180988436000035</v>
      </c>
      <c r="BV199" s="66">
        <v>3.5479788109000001</v>
      </c>
      <c r="BW199" s="66">
        <v>10.720381928499997</v>
      </c>
      <c r="BX199" s="66">
        <v>7.9148483098000018</v>
      </c>
      <c r="BY199" s="66">
        <v>6.5346913371999999</v>
      </c>
      <c r="BZ199" s="66">
        <v>10.917997530699999</v>
      </c>
      <c r="CA199" s="66">
        <v>6.4591125633999997</v>
      </c>
      <c r="CB199" s="66">
        <v>9.2828091049000037</v>
      </c>
      <c r="CC199" s="66">
        <v>8.7923351359000037</v>
      </c>
      <c r="CD199" s="66">
        <v>1.0743688537000011</v>
      </c>
      <c r="CE199" s="66">
        <v>2.8033740295000005</v>
      </c>
      <c r="CF199" s="66">
        <v>2.1540495394000008</v>
      </c>
      <c r="CG199" s="66">
        <v>7.8512030265999968</v>
      </c>
      <c r="CH199" s="66">
        <v>4.601503386700001</v>
      </c>
      <c r="CI199" s="66">
        <v>12.8505100006</v>
      </c>
      <c r="CJ199" s="66">
        <v>9.4705176583000004</v>
      </c>
      <c r="CK199" s="66">
        <v>5.5571208022</v>
      </c>
      <c r="CL199" s="66">
        <v>13.343911052200006</v>
      </c>
      <c r="CM199" s="66">
        <v>6.9673741882000009</v>
      </c>
      <c r="CN199" s="66">
        <v>3.2549328105999997</v>
      </c>
      <c r="CO199" s="66">
        <v>9.7891943947000009</v>
      </c>
      <c r="CP199" s="66">
        <v>9.0797521312000029</v>
      </c>
      <c r="CQ199" s="66">
        <v>8.9063037237999971</v>
      </c>
      <c r="CR199" s="66">
        <v>8.6350607361999998</v>
      </c>
      <c r="CS199" s="66">
        <v>10.322598908499998</v>
      </c>
      <c r="CT199" s="66">
        <v>11.732814767800004</v>
      </c>
      <c r="CU199" s="66">
        <v>16.456150390000001</v>
      </c>
      <c r="CV199" s="66">
        <v>15.986428686100002</v>
      </c>
      <c r="CW199" s="66">
        <v>13.249681508500004</v>
      </c>
      <c r="CX199" s="66">
        <v>16.367324691100002</v>
      </c>
      <c r="CY199" s="66">
        <v>18.144514149700001</v>
      </c>
      <c r="CZ199" s="66">
        <v>17.835256615000002</v>
      </c>
      <c r="DA199" s="66">
        <v>18.590931772899999</v>
      </c>
      <c r="DB199" s="66">
        <v>20.226870732699997</v>
      </c>
      <c r="DC199" s="66">
        <v>18.009267922900005</v>
      </c>
      <c r="DD199" s="66">
        <v>18.297923299300002</v>
      </c>
      <c r="DE199" s="66">
        <v>22.552663018600004</v>
      </c>
      <c r="DF199" s="66">
        <v>18.501805860400001</v>
      </c>
      <c r="DG199" s="66">
        <v>17.644358292099998</v>
      </c>
      <c r="DH199" s="66">
        <v>21.247484392600001</v>
      </c>
      <c r="DI199" s="66">
        <v>19.434194248600001</v>
      </c>
      <c r="DJ199" s="66">
        <v>15.311098192900005</v>
      </c>
      <c r="DK199" s="66">
        <v>22.806568670800001</v>
      </c>
      <c r="DL199" s="66">
        <v>14.696936220700003</v>
      </c>
      <c r="DM199" s="66">
        <v>21.845134616800003</v>
      </c>
      <c r="DN199" s="66">
        <v>28.707604719099997</v>
      </c>
      <c r="DO199" s="66">
        <v>26.380386418600004</v>
      </c>
      <c r="DP199" s="79"/>
      <c r="DQ199" s="80"/>
      <c r="DR199" s="81"/>
      <c r="DS199" s="84">
        <f t="shared" si="29"/>
        <v>2017</v>
      </c>
      <c r="DT199" s="80"/>
      <c r="DU199" s="83">
        <f t="shared" si="28"/>
        <v>-96</v>
      </c>
      <c r="DV199" s="83">
        <f t="shared" si="28"/>
        <v>-96</v>
      </c>
      <c r="DW199" s="83">
        <f t="shared" si="28"/>
        <v>-96</v>
      </c>
      <c r="DX199" s="83">
        <f t="shared" si="28"/>
        <v>-72.983749089</v>
      </c>
      <c r="DY199" s="83">
        <f t="shared" si="28"/>
        <v>17.137221388200008</v>
      </c>
      <c r="DZ199" s="83">
        <f t="shared" si="28"/>
        <v>69.207581606700018</v>
      </c>
      <c r="EA199" s="83">
        <f t="shared" si="28"/>
        <v>81.236802818399994</v>
      </c>
      <c r="EB199" s="83">
        <f t="shared" si="28"/>
        <v>113.51573156370003</v>
      </c>
      <c r="EC199" s="83">
        <f t="shared" si="28"/>
        <v>215.40702654930004</v>
      </c>
      <c r="ED199" s="83">
        <f t="shared" si="28"/>
        <v>170.42940748010002</v>
      </c>
    </row>
    <row r="200" spans="2:134" x14ac:dyDescent="0.3">
      <c r="B200" s="45">
        <f t="shared" si="30"/>
        <v>1000000196</v>
      </c>
      <c r="C200" s="46">
        <v>42370</v>
      </c>
      <c r="D200" s="66">
        <v>-8</v>
      </c>
      <c r="E200" s="66">
        <v>-8</v>
      </c>
      <c r="F200" s="66">
        <v>-8</v>
      </c>
      <c r="G200" s="66">
        <v>-8</v>
      </c>
      <c r="H200" s="66">
        <v>-8</v>
      </c>
      <c r="I200" s="66">
        <v>-8</v>
      </c>
      <c r="J200" s="66">
        <v>-8</v>
      </c>
      <c r="K200" s="66">
        <v>-8</v>
      </c>
      <c r="L200" s="66">
        <v>-8</v>
      </c>
      <c r="M200" s="66">
        <v>-8</v>
      </c>
      <c r="N200" s="66">
        <v>-8</v>
      </c>
      <c r="O200" s="66">
        <v>-8</v>
      </c>
      <c r="P200" s="66">
        <v>-8</v>
      </c>
      <c r="Q200" s="66">
        <v>-8</v>
      </c>
      <c r="R200" s="66">
        <v>-8</v>
      </c>
      <c r="S200" s="66">
        <v>-8</v>
      </c>
      <c r="T200" s="66">
        <v>-8</v>
      </c>
      <c r="U200" s="66">
        <v>-8</v>
      </c>
      <c r="V200" s="66">
        <v>-8</v>
      </c>
      <c r="W200" s="66">
        <v>-8</v>
      </c>
      <c r="X200" s="66">
        <v>-8</v>
      </c>
      <c r="Y200" s="66">
        <v>-8</v>
      </c>
      <c r="Z200" s="66">
        <v>-8</v>
      </c>
      <c r="AA200" s="66">
        <v>-8</v>
      </c>
      <c r="AB200" s="66">
        <v>-5.2042608499999998</v>
      </c>
      <c r="AC200" s="66">
        <v>-8</v>
      </c>
      <c r="AD200" s="66">
        <v>2.7385278919000005</v>
      </c>
      <c r="AE200" s="66">
        <v>5.965186138</v>
      </c>
      <c r="AF200" s="66">
        <v>4.4592771937000002</v>
      </c>
      <c r="AG200" s="66">
        <v>2.9448872152000032</v>
      </c>
      <c r="AH200" s="66">
        <v>6.7760630715999994</v>
      </c>
      <c r="AI200" s="66">
        <v>10.035031806400003</v>
      </c>
      <c r="AJ200" s="66">
        <v>14.671418064699999</v>
      </c>
      <c r="AK200" s="66">
        <v>16.807888149099998</v>
      </c>
      <c r="AL200" s="66">
        <v>8.9687481525999999</v>
      </c>
      <c r="AM200" s="66">
        <v>5.1795271467999999</v>
      </c>
      <c r="AN200" s="66">
        <v>11.594266191400003</v>
      </c>
      <c r="AO200" s="66">
        <v>16.918892127699998</v>
      </c>
      <c r="AP200" s="66">
        <v>20.084381852799996</v>
      </c>
      <c r="AQ200" s="66">
        <v>14.4900139969</v>
      </c>
      <c r="AR200" s="66">
        <v>16.6776705001</v>
      </c>
      <c r="AS200" s="66">
        <v>14.458228882000004</v>
      </c>
      <c r="AT200" s="66">
        <v>10.942352359000004</v>
      </c>
      <c r="AU200" s="66">
        <v>15.782058277899999</v>
      </c>
      <c r="AV200" s="66">
        <v>15.448183227999998</v>
      </c>
      <c r="AW200" s="66">
        <v>17.611822643199996</v>
      </c>
      <c r="AX200" s="66">
        <v>17.216891652400001</v>
      </c>
      <c r="AY200" s="66">
        <v>14.629388160700003</v>
      </c>
      <c r="AZ200" s="66">
        <v>21.767416821100003</v>
      </c>
      <c r="BA200" s="66">
        <v>25.122528961299999</v>
      </c>
      <c r="BB200" s="66">
        <v>26.202472333899998</v>
      </c>
      <c r="BC200" s="66">
        <v>24.757844490699995</v>
      </c>
      <c r="BD200" s="66">
        <v>37.841941239400001</v>
      </c>
      <c r="BE200" s="66">
        <v>29.956680928600001</v>
      </c>
      <c r="BF200" s="66">
        <v>27.193627534299999</v>
      </c>
      <c r="BG200" s="66">
        <v>27.506937952600005</v>
      </c>
      <c r="BH200" s="66">
        <v>19.368597577000003</v>
      </c>
      <c r="BI200" s="66">
        <v>16.326720801700002</v>
      </c>
      <c r="BJ200" s="66">
        <v>22.088345159499998</v>
      </c>
      <c r="BK200" s="66">
        <v>16.890859682800002</v>
      </c>
      <c r="BL200" s="66">
        <v>18.220956037600004</v>
      </c>
      <c r="BM200" s="66">
        <v>22.727012066799997</v>
      </c>
      <c r="BN200" s="66">
        <v>18.913173545799999</v>
      </c>
      <c r="BO200" s="66">
        <v>26.096571986500003</v>
      </c>
      <c r="BP200" s="66">
        <v>20.465803231600002</v>
      </c>
      <c r="BQ200" s="66">
        <v>26.589897984700002</v>
      </c>
      <c r="BR200" s="66">
        <v>22.396176679600003</v>
      </c>
      <c r="BS200" s="66">
        <v>20.530912056100004</v>
      </c>
      <c r="BT200" s="66">
        <v>19.623629030200004</v>
      </c>
      <c r="BU200" s="66">
        <v>14.269657214499997</v>
      </c>
      <c r="BV200" s="66">
        <v>25.922110358199994</v>
      </c>
      <c r="BW200" s="66">
        <v>21.391887134200001</v>
      </c>
      <c r="BX200" s="66">
        <v>24.187964024500005</v>
      </c>
      <c r="BY200" s="66">
        <v>25.955584174599998</v>
      </c>
      <c r="BZ200" s="66">
        <v>32.609143138000007</v>
      </c>
      <c r="CA200" s="66">
        <v>26.858664210099995</v>
      </c>
      <c r="CB200" s="66">
        <v>26.3332528834</v>
      </c>
      <c r="CC200" s="66">
        <v>19.618637979100004</v>
      </c>
      <c r="CD200" s="66">
        <v>15.150446390200003</v>
      </c>
      <c r="CE200" s="66">
        <v>6.8295386191000027</v>
      </c>
      <c r="CF200" s="66">
        <v>11.759008404400003</v>
      </c>
      <c r="CG200" s="66">
        <v>16.580814087400004</v>
      </c>
      <c r="CH200" s="66">
        <v>15.432196853800001</v>
      </c>
      <c r="CI200" s="66">
        <v>12.1486481305</v>
      </c>
      <c r="CJ200" s="66">
        <v>12.034867176100001</v>
      </c>
      <c r="CK200" s="66">
        <v>14.001078622600001</v>
      </c>
      <c r="CL200" s="66">
        <v>16.231027716700002</v>
      </c>
      <c r="CM200" s="66">
        <v>15.230941161700002</v>
      </c>
      <c r="CN200" s="66">
        <v>8.990250951700002</v>
      </c>
      <c r="CO200" s="66">
        <v>9.0173077024000001</v>
      </c>
      <c r="CP200" s="66">
        <v>10.971773291799998</v>
      </c>
      <c r="CQ200" s="66">
        <v>6.4763748454000005</v>
      </c>
      <c r="CR200" s="66">
        <v>4.2538560379000003</v>
      </c>
      <c r="CS200" s="66">
        <v>8.9742270507999997</v>
      </c>
      <c r="CT200" s="66">
        <v>6.8569706367999999</v>
      </c>
      <c r="CU200" s="66">
        <v>3.7953548173000016</v>
      </c>
      <c r="CV200" s="66">
        <v>5.103760739500002</v>
      </c>
      <c r="CW200" s="66">
        <v>3.0218169501999999</v>
      </c>
      <c r="CX200" s="66">
        <v>2.9283004138000024</v>
      </c>
      <c r="CY200" s="66">
        <v>6.8574960106000038</v>
      </c>
      <c r="CZ200" s="66">
        <v>8.1833893750000009</v>
      </c>
      <c r="DA200" s="66">
        <v>1.1114827599999995</v>
      </c>
      <c r="DB200" s="66">
        <v>1.1019134514999998</v>
      </c>
      <c r="DC200" s="66">
        <v>3.9816373561000002</v>
      </c>
      <c r="DD200" s="66">
        <v>8.8365415884999976</v>
      </c>
      <c r="DE200" s="66">
        <v>5.4312937771000005</v>
      </c>
      <c r="DF200" s="66">
        <v>9.8905915381000007</v>
      </c>
      <c r="DG200" s="66">
        <v>20.882837448700002</v>
      </c>
      <c r="DH200" s="66">
        <v>19.708739585800004</v>
      </c>
      <c r="DI200" s="66">
        <v>19.217102289100001</v>
      </c>
      <c r="DJ200" s="66">
        <v>31.374176967700002</v>
      </c>
      <c r="DK200" s="66">
        <v>25.658297657199995</v>
      </c>
      <c r="DL200" s="66">
        <v>23.522653160200001</v>
      </c>
      <c r="DM200" s="66">
        <v>20.337837184600001</v>
      </c>
      <c r="DN200" s="66">
        <v>19.716882879699998</v>
      </c>
      <c r="DO200" s="66">
        <v>22.753018069900008</v>
      </c>
      <c r="DP200" s="79"/>
      <c r="DQ200" s="80"/>
      <c r="DR200" s="81"/>
      <c r="DS200" s="84">
        <f t="shared" si="29"/>
        <v>2016</v>
      </c>
      <c r="DT200" s="80"/>
      <c r="DU200" s="83">
        <f t="shared" si="28"/>
        <v>-96</v>
      </c>
      <c r="DV200" s="83">
        <f t="shared" si="28"/>
        <v>-96</v>
      </c>
      <c r="DW200" s="83">
        <f t="shared" si="28"/>
        <v>65.342293979999994</v>
      </c>
      <c r="DX200" s="83">
        <f t="shared" si="28"/>
        <v>185.85414987209998</v>
      </c>
      <c r="DY200" s="83">
        <f t="shared" si="28"/>
        <v>295.02397348290003</v>
      </c>
      <c r="DZ200" s="83">
        <f t="shared" si="28"/>
        <v>257.14778732579998</v>
      </c>
      <c r="EA200" s="83">
        <f t="shared" si="28"/>
        <v>233.46389889509999</v>
      </c>
      <c r="EB200" s="83">
        <f t="shared" si="28"/>
        <v>116.83403001120001</v>
      </c>
      <c r="EC200" s="83">
        <f t="shared" si="28"/>
        <v>77.331061409100002</v>
      </c>
      <c r="ED200" s="83">
        <f t="shared" si="28"/>
        <v>182.28870779420001</v>
      </c>
    </row>
    <row r="201" spans="2:134" x14ac:dyDescent="0.3">
      <c r="B201" s="45">
        <f t="shared" si="30"/>
        <v>1000000197</v>
      </c>
      <c r="C201" s="46">
        <v>43313</v>
      </c>
      <c r="D201" s="66">
        <v>-8</v>
      </c>
      <c r="E201" s="66">
        <v>-8</v>
      </c>
      <c r="F201" s="66">
        <v>-8</v>
      </c>
      <c r="G201" s="66">
        <v>-8</v>
      </c>
      <c r="H201" s="66">
        <v>-8</v>
      </c>
      <c r="I201" s="66">
        <v>-8</v>
      </c>
      <c r="J201" s="66">
        <v>-8</v>
      </c>
      <c r="K201" s="66">
        <v>-8</v>
      </c>
      <c r="L201" s="66">
        <v>-8</v>
      </c>
      <c r="M201" s="66">
        <v>-8</v>
      </c>
      <c r="N201" s="66">
        <v>-8</v>
      </c>
      <c r="O201" s="66">
        <v>-8</v>
      </c>
      <c r="P201" s="66">
        <v>-8</v>
      </c>
      <c r="Q201" s="66">
        <v>-8</v>
      </c>
      <c r="R201" s="66">
        <v>-8</v>
      </c>
      <c r="S201" s="66">
        <v>-8</v>
      </c>
      <c r="T201" s="66">
        <v>-8</v>
      </c>
      <c r="U201" s="66">
        <v>-8</v>
      </c>
      <c r="V201" s="66">
        <v>-8</v>
      </c>
      <c r="W201" s="66">
        <v>-8</v>
      </c>
      <c r="X201" s="66">
        <v>-8</v>
      </c>
      <c r="Y201" s="66">
        <v>-8</v>
      </c>
      <c r="Z201" s="66">
        <v>-8</v>
      </c>
      <c r="AA201" s="66">
        <v>-8</v>
      </c>
      <c r="AB201" s="66">
        <v>-8</v>
      </c>
      <c r="AC201" s="66">
        <v>-8</v>
      </c>
      <c r="AD201" s="66">
        <v>-8</v>
      </c>
      <c r="AE201" s="66">
        <v>-8</v>
      </c>
      <c r="AF201" s="66">
        <v>-8</v>
      </c>
      <c r="AG201" s="66">
        <v>-8</v>
      </c>
      <c r="AH201" s="66">
        <v>-8</v>
      </c>
      <c r="AI201" s="66">
        <v>-8</v>
      </c>
      <c r="AJ201" s="66">
        <v>-8</v>
      </c>
      <c r="AK201" s="66">
        <v>-8</v>
      </c>
      <c r="AL201" s="66">
        <v>-8</v>
      </c>
      <c r="AM201" s="66">
        <v>-8</v>
      </c>
      <c r="AN201" s="66">
        <v>-8</v>
      </c>
      <c r="AO201" s="66">
        <v>-8</v>
      </c>
      <c r="AP201" s="66">
        <v>-8</v>
      </c>
      <c r="AQ201" s="66">
        <v>-8</v>
      </c>
      <c r="AR201" s="66">
        <v>-8</v>
      </c>
      <c r="AS201" s="66">
        <v>-8</v>
      </c>
      <c r="AT201" s="66">
        <v>-8</v>
      </c>
      <c r="AU201" s="66">
        <v>-8</v>
      </c>
      <c r="AV201" s="66">
        <v>-8</v>
      </c>
      <c r="AW201" s="66">
        <v>-8</v>
      </c>
      <c r="AX201" s="66">
        <v>-8</v>
      </c>
      <c r="AY201" s="66">
        <v>-8</v>
      </c>
      <c r="AZ201" s="66">
        <v>-8</v>
      </c>
      <c r="BA201" s="66">
        <v>-8</v>
      </c>
      <c r="BB201" s="66">
        <v>-8</v>
      </c>
      <c r="BC201" s="66">
        <v>-8</v>
      </c>
      <c r="BD201" s="66">
        <v>-8</v>
      </c>
      <c r="BE201" s="66">
        <v>-8</v>
      </c>
      <c r="BF201" s="66">
        <v>-8</v>
      </c>
      <c r="BG201" s="66">
        <v>-6.0538653379999996</v>
      </c>
      <c r="BH201" s="66">
        <v>-6.2350067188999994</v>
      </c>
      <c r="BI201" s="66">
        <v>-6.1760147464999999</v>
      </c>
      <c r="BJ201" s="66">
        <v>-4.8215260366999999</v>
      </c>
      <c r="BK201" s="66">
        <v>-3.0269617159999989</v>
      </c>
      <c r="BL201" s="66">
        <v>-1.0476534511999995</v>
      </c>
      <c r="BM201" s="66">
        <v>5.0875492050999984</v>
      </c>
      <c r="BN201" s="66">
        <v>5.0268685311999981</v>
      </c>
      <c r="BO201" s="66">
        <v>3.9776970525999999</v>
      </c>
      <c r="BP201" s="66">
        <v>2.1875233557999998</v>
      </c>
      <c r="BQ201" s="66">
        <v>-0.71467904209999933</v>
      </c>
      <c r="BR201" s="66">
        <v>3.8486802579999981</v>
      </c>
      <c r="BS201" s="66">
        <v>4.5851417455000014</v>
      </c>
      <c r="BT201" s="66">
        <v>-1.9175598838999992</v>
      </c>
      <c r="BU201" s="66">
        <v>5.1462784906000021</v>
      </c>
      <c r="BV201" s="66">
        <v>5.1738230884000025</v>
      </c>
      <c r="BW201" s="66">
        <v>4.5293395426000007</v>
      </c>
      <c r="BX201" s="66">
        <v>6.1365705769000023</v>
      </c>
      <c r="BY201" s="66">
        <v>19.304164233100003</v>
      </c>
      <c r="BZ201" s="66">
        <v>9.9826070065000003</v>
      </c>
      <c r="CA201" s="66">
        <v>7.6496095941999975</v>
      </c>
      <c r="CB201" s="66">
        <v>4.4859211507000012</v>
      </c>
      <c r="CC201" s="66">
        <v>5.7268915929999995</v>
      </c>
      <c r="CD201" s="66">
        <v>8.9850722671000014</v>
      </c>
      <c r="CE201" s="66">
        <v>5.3620945423000013</v>
      </c>
      <c r="CF201" s="66">
        <v>7.7899969789000014</v>
      </c>
      <c r="CG201" s="66">
        <v>8.0675444521000017</v>
      </c>
      <c r="CH201" s="66">
        <v>6.5049701907999982</v>
      </c>
      <c r="CI201" s="66">
        <v>6.2150013799000003</v>
      </c>
      <c r="CJ201" s="66">
        <v>7.5482499775000012</v>
      </c>
      <c r="CK201" s="66">
        <v>28.041993641200001</v>
      </c>
      <c r="CL201" s="66">
        <v>14.230329232899997</v>
      </c>
      <c r="CM201" s="66">
        <v>16.618040573800002</v>
      </c>
      <c r="CN201" s="66">
        <v>11.912605187500002</v>
      </c>
      <c r="CO201" s="66">
        <v>6.4377973978000007</v>
      </c>
      <c r="CP201" s="66">
        <v>7.5775583301999987</v>
      </c>
      <c r="CQ201" s="66">
        <v>8.3873469895000028</v>
      </c>
      <c r="CR201" s="66">
        <v>8.1224084874999996</v>
      </c>
      <c r="CS201" s="66">
        <v>7.462126201000002</v>
      </c>
      <c r="CT201" s="66">
        <v>7.710440374900001</v>
      </c>
      <c r="CU201" s="66">
        <v>5.951976739600001</v>
      </c>
      <c r="CV201" s="66">
        <v>21.683919913599997</v>
      </c>
      <c r="CW201" s="66">
        <v>36.107419638699994</v>
      </c>
      <c r="CX201" s="66">
        <v>20.847299663799998</v>
      </c>
      <c r="CY201" s="66">
        <v>17.031697387900003</v>
      </c>
      <c r="CZ201" s="66">
        <v>8.4011943418000001</v>
      </c>
      <c r="DA201" s="66">
        <v>11.245718201799999</v>
      </c>
      <c r="DB201" s="66">
        <v>8.4724950718000009</v>
      </c>
      <c r="DC201" s="66">
        <v>8.4193197379000004</v>
      </c>
      <c r="DD201" s="66">
        <v>11.8196515516</v>
      </c>
      <c r="DE201" s="66">
        <v>11.623236803799998</v>
      </c>
      <c r="DF201" s="66">
        <v>8.6817439509999978</v>
      </c>
      <c r="DG201" s="66">
        <v>9.1855774252000018</v>
      </c>
      <c r="DH201" s="66">
        <v>30.009405942099995</v>
      </c>
      <c r="DI201" s="66">
        <v>45.718345249000002</v>
      </c>
      <c r="DJ201" s="66">
        <v>29.610497121100003</v>
      </c>
      <c r="DK201" s="66">
        <v>19.325742085600002</v>
      </c>
      <c r="DL201" s="66">
        <v>10.758809269299999</v>
      </c>
      <c r="DM201" s="66">
        <v>6.4460907985000002</v>
      </c>
      <c r="DN201" s="66">
        <v>9.7712941588</v>
      </c>
      <c r="DO201" s="66">
        <v>12.202649051800002</v>
      </c>
      <c r="DP201" s="79"/>
      <c r="DQ201" s="80"/>
      <c r="DR201" s="81"/>
      <c r="DS201" s="84">
        <f t="shared" si="29"/>
        <v>2018</v>
      </c>
      <c r="DT201" s="80"/>
      <c r="DU201" s="83">
        <f t="shared" si="28"/>
        <v>-96</v>
      </c>
      <c r="DV201" s="83">
        <f t="shared" si="28"/>
        <v>-96</v>
      </c>
      <c r="DW201" s="83">
        <f t="shared" si="28"/>
        <v>-96</v>
      </c>
      <c r="DX201" s="83">
        <f t="shared" si="28"/>
        <v>-96</v>
      </c>
      <c r="DY201" s="83">
        <f t="shared" si="28"/>
        <v>-82.313374556100015</v>
      </c>
      <c r="DZ201" s="83">
        <f t="shared" si="28"/>
        <v>35.88300889260001</v>
      </c>
      <c r="EA201" s="83">
        <f t="shared" si="28"/>
        <v>96.210443965500005</v>
      </c>
      <c r="EB201" s="83">
        <f t="shared" si="28"/>
        <v>130.00087313340001</v>
      </c>
      <c r="EC201" s="83">
        <f t="shared" si="28"/>
        <v>173.5192736889</v>
      </c>
      <c r="ED201" s="83">
        <f t="shared" si="28"/>
        <v>163.84283367619997</v>
      </c>
    </row>
    <row r="202" spans="2:134" x14ac:dyDescent="0.3">
      <c r="B202" s="45">
        <f t="shared" si="30"/>
        <v>1000000198</v>
      </c>
      <c r="C202" s="46">
        <v>44136</v>
      </c>
      <c r="D202" s="66">
        <v>-8</v>
      </c>
      <c r="E202" s="66">
        <v>-8</v>
      </c>
      <c r="F202" s="66">
        <v>-8</v>
      </c>
      <c r="G202" s="66">
        <v>-8</v>
      </c>
      <c r="H202" s="66">
        <v>-8</v>
      </c>
      <c r="I202" s="66">
        <v>-8</v>
      </c>
      <c r="J202" s="66">
        <v>-8</v>
      </c>
      <c r="K202" s="66">
        <v>-8</v>
      </c>
      <c r="L202" s="66">
        <v>-8</v>
      </c>
      <c r="M202" s="66">
        <v>-8</v>
      </c>
      <c r="N202" s="66">
        <v>-8</v>
      </c>
      <c r="O202" s="66">
        <v>-8</v>
      </c>
      <c r="P202" s="66">
        <v>-8</v>
      </c>
      <c r="Q202" s="66">
        <v>-8</v>
      </c>
      <c r="R202" s="66">
        <v>-8</v>
      </c>
      <c r="S202" s="66">
        <v>-8</v>
      </c>
      <c r="T202" s="66">
        <v>-8</v>
      </c>
      <c r="U202" s="66">
        <v>-8</v>
      </c>
      <c r="V202" s="66">
        <v>-8</v>
      </c>
      <c r="W202" s="66">
        <v>-8</v>
      </c>
      <c r="X202" s="66">
        <v>-8</v>
      </c>
      <c r="Y202" s="66">
        <v>-8</v>
      </c>
      <c r="Z202" s="66">
        <v>-8</v>
      </c>
      <c r="AA202" s="66">
        <v>-8</v>
      </c>
      <c r="AB202" s="66">
        <v>-8</v>
      </c>
      <c r="AC202" s="66">
        <v>-8</v>
      </c>
      <c r="AD202" s="66">
        <v>-8</v>
      </c>
      <c r="AE202" s="66">
        <v>-8</v>
      </c>
      <c r="AF202" s="66">
        <v>-8</v>
      </c>
      <c r="AG202" s="66">
        <v>-8</v>
      </c>
      <c r="AH202" s="66">
        <v>-8</v>
      </c>
      <c r="AI202" s="66">
        <v>-8</v>
      </c>
      <c r="AJ202" s="66">
        <v>-8</v>
      </c>
      <c r="AK202" s="66">
        <v>-8</v>
      </c>
      <c r="AL202" s="66">
        <v>-8</v>
      </c>
      <c r="AM202" s="66">
        <v>-8</v>
      </c>
      <c r="AN202" s="66">
        <v>-8</v>
      </c>
      <c r="AO202" s="66">
        <v>-8</v>
      </c>
      <c r="AP202" s="66">
        <v>-8</v>
      </c>
      <c r="AQ202" s="66">
        <v>-8</v>
      </c>
      <c r="AR202" s="66">
        <v>-8</v>
      </c>
      <c r="AS202" s="66">
        <v>-8</v>
      </c>
      <c r="AT202" s="66">
        <v>-8</v>
      </c>
      <c r="AU202" s="66">
        <v>-8</v>
      </c>
      <c r="AV202" s="66">
        <v>-8</v>
      </c>
      <c r="AW202" s="66">
        <v>-8</v>
      </c>
      <c r="AX202" s="66">
        <v>-8</v>
      </c>
      <c r="AY202" s="66">
        <v>-8</v>
      </c>
      <c r="AZ202" s="66">
        <v>-8</v>
      </c>
      <c r="BA202" s="66">
        <v>-8</v>
      </c>
      <c r="BB202" s="66">
        <v>-8</v>
      </c>
      <c r="BC202" s="66">
        <v>-8</v>
      </c>
      <c r="BD202" s="66">
        <v>-8</v>
      </c>
      <c r="BE202" s="66">
        <v>-8</v>
      </c>
      <c r="BF202" s="66">
        <v>-8</v>
      </c>
      <c r="BG202" s="66">
        <v>-8</v>
      </c>
      <c r="BH202" s="66">
        <v>-8</v>
      </c>
      <c r="BI202" s="66">
        <v>-8</v>
      </c>
      <c r="BJ202" s="66">
        <v>-8</v>
      </c>
      <c r="BK202" s="66">
        <v>-8</v>
      </c>
      <c r="BL202" s="66">
        <v>-8</v>
      </c>
      <c r="BM202" s="66">
        <v>-8</v>
      </c>
      <c r="BN202" s="66">
        <v>-8</v>
      </c>
      <c r="BO202" s="66">
        <v>-8</v>
      </c>
      <c r="BP202" s="66">
        <v>-8</v>
      </c>
      <c r="BQ202" s="66">
        <v>-8</v>
      </c>
      <c r="BR202" s="66">
        <v>-8</v>
      </c>
      <c r="BS202" s="66">
        <v>-8</v>
      </c>
      <c r="BT202" s="66">
        <v>-8</v>
      </c>
      <c r="BU202" s="66">
        <v>-8</v>
      </c>
      <c r="BV202" s="66">
        <v>-8</v>
      </c>
      <c r="BW202" s="66">
        <v>-8</v>
      </c>
      <c r="BX202" s="66">
        <v>-8</v>
      </c>
      <c r="BY202" s="66">
        <v>-8</v>
      </c>
      <c r="BZ202" s="66">
        <v>-8</v>
      </c>
      <c r="CA202" s="66">
        <v>-8</v>
      </c>
      <c r="CB202" s="66">
        <v>-8</v>
      </c>
      <c r="CC202" s="66">
        <v>-8</v>
      </c>
      <c r="CD202" s="66">
        <v>-8</v>
      </c>
      <c r="CE202" s="66">
        <v>-8</v>
      </c>
      <c r="CF202" s="66">
        <v>-8</v>
      </c>
      <c r="CG202" s="66">
        <v>-8</v>
      </c>
      <c r="CH202" s="66">
        <v>-6.4730761037000004</v>
      </c>
      <c r="CI202" s="66">
        <v>2.2269639175000009</v>
      </c>
      <c r="CJ202" s="66">
        <v>3.1793915635000012</v>
      </c>
      <c r="CK202" s="66">
        <v>1.6844779422999991</v>
      </c>
      <c r="CL202" s="66">
        <v>12.595103280400004</v>
      </c>
      <c r="CM202" s="66">
        <v>6.0008365029999986</v>
      </c>
      <c r="CN202" s="66">
        <v>14.246315607100001</v>
      </c>
      <c r="CO202" s="66">
        <v>14.780808395199998</v>
      </c>
      <c r="CP202" s="66">
        <v>12.378686801500002</v>
      </c>
      <c r="CQ202" s="66">
        <v>17.187770933200007</v>
      </c>
      <c r="CR202" s="66">
        <v>11.669995072000003</v>
      </c>
      <c r="CS202" s="66">
        <v>11.680540074700005</v>
      </c>
      <c r="CT202" s="66">
        <v>10.212983417800004</v>
      </c>
      <c r="CU202" s="66">
        <v>8.0869082293000005</v>
      </c>
      <c r="CV202" s="66">
        <v>4.0279453038999993</v>
      </c>
      <c r="CW202" s="66">
        <v>10.555714768900003</v>
      </c>
      <c r="CX202" s="66">
        <v>9.0741606529000016</v>
      </c>
      <c r="CY202" s="66">
        <v>19.3278435808</v>
      </c>
      <c r="CZ202" s="66">
        <v>15.733461201400001</v>
      </c>
      <c r="DA202" s="66">
        <v>12.322546858300001</v>
      </c>
      <c r="DB202" s="66">
        <v>10.997066287599999</v>
      </c>
      <c r="DC202" s="66">
        <v>14.695209992500004</v>
      </c>
      <c r="DD202" s="66">
        <v>15.9539680906</v>
      </c>
      <c r="DE202" s="66">
        <v>2.9436488340999993</v>
      </c>
      <c r="DF202" s="66">
        <v>17.516092031500001</v>
      </c>
      <c r="DG202" s="66">
        <v>18.811476188799997</v>
      </c>
      <c r="DH202" s="66">
        <v>13.794606719200001</v>
      </c>
      <c r="DI202" s="66">
        <v>12.3182312878</v>
      </c>
      <c r="DJ202" s="66">
        <v>16.446768715000001</v>
      </c>
      <c r="DK202" s="66">
        <v>22.289188057900002</v>
      </c>
      <c r="DL202" s="66">
        <v>21.070245788500007</v>
      </c>
      <c r="DM202" s="66">
        <v>30.416758270600006</v>
      </c>
      <c r="DN202" s="66">
        <v>26.210578101099991</v>
      </c>
      <c r="DO202" s="66">
        <v>29.550079134100002</v>
      </c>
      <c r="DP202" s="79"/>
      <c r="DQ202" s="80"/>
      <c r="DR202" s="81"/>
      <c r="DS202" s="84">
        <f t="shared" si="29"/>
        <v>2020</v>
      </c>
      <c r="DT202" s="80"/>
      <c r="DU202" s="83">
        <f t="shared" si="28"/>
        <v>-96</v>
      </c>
      <c r="DV202" s="83">
        <f t="shared" si="28"/>
        <v>-96</v>
      </c>
      <c r="DW202" s="83">
        <f t="shared" si="28"/>
        <v>-96</v>
      </c>
      <c r="DX202" s="83">
        <f t="shared" si="28"/>
        <v>-96</v>
      </c>
      <c r="DY202" s="83">
        <f t="shared" si="28"/>
        <v>-96</v>
      </c>
      <c r="DZ202" s="83">
        <f t="shared" si="28"/>
        <v>-96</v>
      </c>
      <c r="EA202" s="83">
        <f t="shared" si="28"/>
        <v>-84.246112186199994</v>
      </c>
      <c r="EB202" s="83">
        <f t="shared" si="28"/>
        <v>123.70381782000004</v>
      </c>
      <c r="EC202" s="83">
        <f t="shared" si="28"/>
        <v>151.95913379129999</v>
      </c>
      <c r="ED202" s="83">
        <f t="shared" si="28"/>
        <v>172.09645607420001</v>
      </c>
    </row>
    <row r="203" spans="2:134" x14ac:dyDescent="0.3">
      <c r="B203" s="45">
        <f t="shared" si="30"/>
        <v>1000000199</v>
      </c>
      <c r="C203" s="46">
        <v>44409</v>
      </c>
      <c r="D203" s="66">
        <v>-8</v>
      </c>
      <c r="E203" s="66">
        <v>-8</v>
      </c>
      <c r="F203" s="66">
        <v>-8</v>
      </c>
      <c r="G203" s="66">
        <v>-8</v>
      </c>
      <c r="H203" s="66">
        <v>-8</v>
      </c>
      <c r="I203" s="66">
        <v>-8</v>
      </c>
      <c r="J203" s="66">
        <v>-8</v>
      </c>
      <c r="K203" s="66">
        <v>-8</v>
      </c>
      <c r="L203" s="66">
        <v>-8</v>
      </c>
      <c r="M203" s="66">
        <v>-8</v>
      </c>
      <c r="N203" s="66">
        <v>-8</v>
      </c>
      <c r="O203" s="66">
        <v>-8</v>
      </c>
      <c r="P203" s="66">
        <v>-8</v>
      </c>
      <c r="Q203" s="66">
        <v>-8</v>
      </c>
      <c r="R203" s="66">
        <v>-8</v>
      </c>
      <c r="S203" s="66">
        <v>-8</v>
      </c>
      <c r="T203" s="66">
        <v>-8</v>
      </c>
      <c r="U203" s="66">
        <v>-8</v>
      </c>
      <c r="V203" s="66">
        <v>-8</v>
      </c>
      <c r="W203" s="66">
        <v>-8</v>
      </c>
      <c r="X203" s="66">
        <v>-8</v>
      </c>
      <c r="Y203" s="66">
        <v>-8</v>
      </c>
      <c r="Z203" s="66">
        <v>-8</v>
      </c>
      <c r="AA203" s="66">
        <v>-8</v>
      </c>
      <c r="AB203" s="66">
        <v>-8</v>
      </c>
      <c r="AC203" s="66">
        <v>-8</v>
      </c>
      <c r="AD203" s="66">
        <v>-8</v>
      </c>
      <c r="AE203" s="66">
        <v>-8</v>
      </c>
      <c r="AF203" s="66">
        <v>-8</v>
      </c>
      <c r="AG203" s="66">
        <v>-8</v>
      </c>
      <c r="AH203" s="66">
        <v>-8</v>
      </c>
      <c r="AI203" s="66">
        <v>-8</v>
      </c>
      <c r="AJ203" s="66">
        <v>-8</v>
      </c>
      <c r="AK203" s="66">
        <v>-8</v>
      </c>
      <c r="AL203" s="66">
        <v>-8</v>
      </c>
      <c r="AM203" s="66">
        <v>-8</v>
      </c>
      <c r="AN203" s="66">
        <v>-8</v>
      </c>
      <c r="AO203" s="66">
        <v>-8</v>
      </c>
      <c r="AP203" s="66">
        <v>-8</v>
      </c>
      <c r="AQ203" s="66">
        <v>-8</v>
      </c>
      <c r="AR203" s="66">
        <v>-8</v>
      </c>
      <c r="AS203" s="66">
        <v>-8</v>
      </c>
      <c r="AT203" s="66">
        <v>-8</v>
      </c>
      <c r="AU203" s="66">
        <v>-8</v>
      </c>
      <c r="AV203" s="66">
        <v>-8</v>
      </c>
      <c r="AW203" s="66">
        <v>-8</v>
      </c>
      <c r="AX203" s="66">
        <v>-8</v>
      </c>
      <c r="AY203" s="66">
        <v>-8</v>
      </c>
      <c r="AZ203" s="66">
        <v>-8</v>
      </c>
      <c r="BA203" s="66">
        <v>-8</v>
      </c>
      <c r="BB203" s="66">
        <v>-8</v>
      </c>
      <c r="BC203" s="66">
        <v>-8</v>
      </c>
      <c r="BD203" s="66">
        <v>-8</v>
      </c>
      <c r="BE203" s="66">
        <v>-8</v>
      </c>
      <c r="BF203" s="66">
        <v>-8</v>
      </c>
      <c r="BG203" s="66">
        <v>-8</v>
      </c>
      <c r="BH203" s="66">
        <v>-8</v>
      </c>
      <c r="BI203" s="66">
        <v>-8</v>
      </c>
      <c r="BJ203" s="66">
        <v>-8</v>
      </c>
      <c r="BK203" s="66">
        <v>-8</v>
      </c>
      <c r="BL203" s="66">
        <v>-8</v>
      </c>
      <c r="BM203" s="66">
        <v>-8</v>
      </c>
      <c r="BN203" s="66">
        <v>-8</v>
      </c>
      <c r="BO203" s="66">
        <v>-8</v>
      </c>
      <c r="BP203" s="66">
        <v>-8</v>
      </c>
      <c r="BQ203" s="66">
        <v>-8</v>
      </c>
      <c r="BR203" s="66">
        <v>-8</v>
      </c>
      <c r="BS203" s="66">
        <v>-8</v>
      </c>
      <c r="BT203" s="66">
        <v>-8</v>
      </c>
      <c r="BU203" s="66">
        <v>-8</v>
      </c>
      <c r="BV203" s="66">
        <v>-8</v>
      </c>
      <c r="BW203" s="66">
        <v>-8</v>
      </c>
      <c r="BX203" s="66">
        <v>-8</v>
      </c>
      <c r="BY203" s="66">
        <v>-8</v>
      </c>
      <c r="BZ203" s="66">
        <v>-8</v>
      </c>
      <c r="CA203" s="66">
        <v>-8</v>
      </c>
      <c r="CB203" s="66">
        <v>-8</v>
      </c>
      <c r="CC203" s="66">
        <v>-8</v>
      </c>
      <c r="CD203" s="66">
        <v>-8</v>
      </c>
      <c r="CE203" s="66">
        <v>-8</v>
      </c>
      <c r="CF203" s="66">
        <v>-8</v>
      </c>
      <c r="CG203" s="66">
        <v>-8</v>
      </c>
      <c r="CH203" s="66">
        <v>-8</v>
      </c>
      <c r="CI203" s="66">
        <v>-8</v>
      </c>
      <c r="CJ203" s="66">
        <v>-8</v>
      </c>
      <c r="CK203" s="66">
        <v>-8</v>
      </c>
      <c r="CL203" s="66">
        <v>-8</v>
      </c>
      <c r="CM203" s="66">
        <v>-8</v>
      </c>
      <c r="CN203" s="66">
        <v>-8</v>
      </c>
      <c r="CO203" s="66">
        <v>-8</v>
      </c>
      <c r="CP203" s="66">
        <v>-8</v>
      </c>
      <c r="CQ203" s="66">
        <v>-1.6219620679999993</v>
      </c>
      <c r="CR203" s="66">
        <v>17.898038784100002</v>
      </c>
      <c r="CS203" s="66">
        <v>9.6253903492000035</v>
      </c>
      <c r="CT203" s="66">
        <v>17.9609335333</v>
      </c>
      <c r="CU203" s="66">
        <v>10.655685897700003</v>
      </c>
      <c r="CV203" s="66">
        <v>11.495045596599997</v>
      </c>
      <c r="CW203" s="66">
        <v>14.064198531999999</v>
      </c>
      <c r="CX203" s="66">
        <v>13.761320536300001</v>
      </c>
      <c r="CY203" s="66">
        <v>27.905321399799995</v>
      </c>
      <c r="CZ203" s="66">
        <v>28.332225139000002</v>
      </c>
      <c r="DA203" s="66">
        <v>24.498047146600001</v>
      </c>
      <c r="DB203" s="66">
        <v>25.276688644899998</v>
      </c>
      <c r="DC203" s="66">
        <v>24.029713930600003</v>
      </c>
      <c r="DD203" s="66">
        <v>37.2873341401</v>
      </c>
      <c r="DE203" s="66">
        <v>50.927501529399997</v>
      </c>
      <c r="DF203" s="66">
        <v>11.092684319200004</v>
      </c>
      <c r="DG203" s="66">
        <v>4.5818393959000012</v>
      </c>
      <c r="DH203" s="66">
        <v>10.668407449</v>
      </c>
      <c r="DI203" s="66">
        <v>11.014366096299998</v>
      </c>
      <c r="DJ203" s="66">
        <v>13.211029007500002</v>
      </c>
      <c r="DK203" s="66">
        <v>7.3045515877000007</v>
      </c>
      <c r="DL203" s="66">
        <v>6.6831844891000003</v>
      </c>
      <c r="DM203" s="66">
        <v>12.590074702599999</v>
      </c>
      <c r="DN203" s="66">
        <v>45.378991300899997</v>
      </c>
      <c r="DO203" s="66">
        <v>79.897175761900016</v>
      </c>
      <c r="DP203" s="79"/>
      <c r="DQ203" s="80"/>
      <c r="DR203" s="81"/>
      <c r="DS203" s="84">
        <f t="shared" si="29"/>
        <v>2021</v>
      </c>
      <c r="DT203" s="80"/>
      <c r="DU203" s="83">
        <f t="shared" si="28"/>
        <v>-96</v>
      </c>
      <c r="DV203" s="83">
        <f t="shared" si="28"/>
        <v>-96</v>
      </c>
      <c r="DW203" s="83">
        <f t="shared" si="28"/>
        <v>-96</v>
      </c>
      <c r="DX203" s="83">
        <f t="shared" si="28"/>
        <v>-96</v>
      </c>
      <c r="DY203" s="83">
        <f t="shared" si="28"/>
        <v>-96</v>
      </c>
      <c r="DZ203" s="83">
        <f t="shared" si="28"/>
        <v>-96</v>
      </c>
      <c r="EA203" s="83">
        <f t="shared" si="28"/>
        <v>-96</v>
      </c>
      <c r="EB203" s="83">
        <f t="shared" si="28"/>
        <v>-1.4819135036999924</v>
      </c>
      <c r="EC203" s="83">
        <f t="shared" si="28"/>
        <v>273.25192031039995</v>
      </c>
      <c r="ED203" s="83">
        <f t="shared" si="28"/>
        <v>186.74778039500001</v>
      </c>
    </row>
    <row r="204" spans="2:134" x14ac:dyDescent="0.3">
      <c r="B204" s="45">
        <f t="shared" si="30"/>
        <v>1000000200</v>
      </c>
      <c r="C204" s="46">
        <v>44105</v>
      </c>
      <c r="D204" s="66">
        <v>-8</v>
      </c>
      <c r="E204" s="66">
        <v>-8</v>
      </c>
      <c r="F204" s="66">
        <v>-8</v>
      </c>
      <c r="G204" s="66">
        <v>-8</v>
      </c>
      <c r="H204" s="66">
        <v>-8</v>
      </c>
      <c r="I204" s="66">
        <v>-8</v>
      </c>
      <c r="J204" s="66">
        <v>-8</v>
      </c>
      <c r="K204" s="66">
        <v>-8</v>
      </c>
      <c r="L204" s="66">
        <v>-8</v>
      </c>
      <c r="M204" s="66">
        <v>-8</v>
      </c>
      <c r="N204" s="66">
        <v>-8</v>
      </c>
      <c r="O204" s="66">
        <v>-8</v>
      </c>
      <c r="P204" s="66">
        <v>-8</v>
      </c>
      <c r="Q204" s="66">
        <v>-8</v>
      </c>
      <c r="R204" s="66">
        <v>-8</v>
      </c>
      <c r="S204" s="66">
        <v>-8</v>
      </c>
      <c r="T204" s="66">
        <v>-8</v>
      </c>
      <c r="U204" s="66">
        <v>-8</v>
      </c>
      <c r="V204" s="66">
        <v>-8</v>
      </c>
      <c r="W204" s="66">
        <v>-8</v>
      </c>
      <c r="X204" s="66">
        <v>-8</v>
      </c>
      <c r="Y204" s="66">
        <v>-8</v>
      </c>
      <c r="Z204" s="66">
        <v>-8</v>
      </c>
      <c r="AA204" s="66">
        <v>-8</v>
      </c>
      <c r="AB204" s="66">
        <v>-8</v>
      </c>
      <c r="AC204" s="66">
        <v>-8</v>
      </c>
      <c r="AD204" s="66">
        <v>-8</v>
      </c>
      <c r="AE204" s="66">
        <v>-8</v>
      </c>
      <c r="AF204" s="66">
        <v>-8</v>
      </c>
      <c r="AG204" s="66">
        <v>-8</v>
      </c>
      <c r="AH204" s="66">
        <v>-8</v>
      </c>
      <c r="AI204" s="66">
        <v>-8</v>
      </c>
      <c r="AJ204" s="66">
        <v>-8</v>
      </c>
      <c r="AK204" s="66">
        <v>-8</v>
      </c>
      <c r="AL204" s="66">
        <v>-8</v>
      </c>
      <c r="AM204" s="66">
        <v>-8</v>
      </c>
      <c r="AN204" s="66">
        <v>-8</v>
      </c>
      <c r="AO204" s="66">
        <v>-8</v>
      </c>
      <c r="AP204" s="66">
        <v>-8</v>
      </c>
      <c r="AQ204" s="66">
        <v>-8</v>
      </c>
      <c r="AR204" s="66">
        <v>-8</v>
      </c>
      <c r="AS204" s="66">
        <v>-8</v>
      </c>
      <c r="AT204" s="66">
        <v>-8</v>
      </c>
      <c r="AU204" s="66">
        <v>-8</v>
      </c>
      <c r="AV204" s="66">
        <v>-8</v>
      </c>
      <c r="AW204" s="66">
        <v>-8</v>
      </c>
      <c r="AX204" s="66">
        <v>-8</v>
      </c>
      <c r="AY204" s="66">
        <v>-8</v>
      </c>
      <c r="AZ204" s="66">
        <v>-8</v>
      </c>
      <c r="BA204" s="66">
        <v>-8</v>
      </c>
      <c r="BB204" s="66">
        <v>-8</v>
      </c>
      <c r="BC204" s="66">
        <v>-8</v>
      </c>
      <c r="BD204" s="66">
        <v>-8</v>
      </c>
      <c r="BE204" s="66">
        <v>-8</v>
      </c>
      <c r="BF204" s="66">
        <v>-8</v>
      </c>
      <c r="BG204" s="66">
        <v>-8</v>
      </c>
      <c r="BH204" s="66">
        <v>-8</v>
      </c>
      <c r="BI204" s="66">
        <v>-8</v>
      </c>
      <c r="BJ204" s="66">
        <v>-8</v>
      </c>
      <c r="BK204" s="66">
        <v>-8</v>
      </c>
      <c r="BL204" s="66">
        <v>-8</v>
      </c>
      <c r="BM204" s="66">
        <v>-8</v>
      </c>
      <c r="BN204" s="66">
        <v>-8</v>
      </c>
      <c r="BO204" s="66">
        <v>-8</v>
      </c>
      <c r="BP204" s="66">
        <v>-8</v>
      </c>
      <c r="BQ204" s="66">
        <v>-8</v>
      </c>
      <c r="BR204" s="66">
        <v>-8</v>
      </c>
      <c r="BS204" s="66">
        <v>-8</v>
      </c>
      <c r="BT204" s="66">
        <v>-8</v>
      </c>
      <c r="BU204" s="66">
        <v>-8</v>
      </c>
      <c r="BV204" s="66">
        <v>-8</v>
      </c>
      <c r="BW204" s="66">
        <v>-8</v>
      </c>
      <c r="BX204" s="66">
        <v>-8</v>
      </c>
      <c r="BY204" s="66">
        <v>-8</v>
      </c>
      <c r="BZ204" s="66">
        <v>-8</v>
      </c>
      <c r="CA204" s="66">
        <v>-8</v>
      </c>
      <c r="CB204" s="66">
        <v>-8</v>
      </c>
      <c r="CC204" s="66">
        <v>-8</v>
      </c>
      <c r="CD204" s="66">
        <v>-8</v>
      </c>
      <c r="CE204" s="66">
        <v>-8</v>
      </c>
      <c r="CF204" s="66">
        <v>-8</v>
      </c>
      <c r="CG204" s="66">
        <v>-8</v>
      </c>
      <c r="CH204" s="66">
        <v>7.1678042929000014</v>
      </c>
      <c r="CI204" s="66">
        <v>1.4718516601000005</v>
      </c>
      <c r="CJ204" s="66">
        <v>2.9317528702000004</v>
      </c>
      <c r="CK204" s="66">
        <v>5.4477679984000016</v>
      </c>
      <c r="CL204" s="66">
        <v>8.2418935003000016</v>
      </c>
      <c r="CM204" s="66">
        <v>2.4521241175000004</v>
      </c>
      <c r="CN204" s="66">
        <v>3.2806761268000013</v>
      </c>
      <c r="CO204" s="66">
        <v>2.3226945292000014</v>
      </c>
      <c r="CP204" s="66">
        <v>8.8511770015000018</v>
      </c>
      <c r="CQ204" s="66">
        <v>5.8938103545999994</v>
      </c>
      <c r="CR204" s="66">
        <v>3.6333895800999993</v>
      </c>
      <c r="CS204" s="66">
        <v>4.4996183962000007</v>
      </c>
      <c r="CT204" s="66">
        <v>5.1976150162000003</v>
      </c>
      <c r="CU204" s="66">
        <v>0.61237765000000088</v>
      </c>
      <c r="CV204" s="66">
        <v>5.1848559382000001</v>
      </c>
      <c r="CW204" s="66">
        <v>6.1329680137000011</v>
      </c>
      <c r="CX204" s="66">
        <v>6.038438256400001</v>
      </c>
      <c r="CY204" s="66">
        <v>4.0626199747000005</v>
      </c>
      <c r="CZ204" s="66">
        <v>6.3811320808000005</v>
      </c>
      <c r="DA204" s="66">
        <v>1.8077156251000002</v>
      </c>
      <c r="DB204" s="66">
        <v>41.862476824000005</v>
      </c>
      <c r="DC204" s="66">
        <v>61.094985627399993</v>
      </c>
      <c r="DD204" s="66">
        <v>50.921797471000005</v>
      </c>
      <c r="DE204" s="66">
        <v>3.4329594754000006</v>
      </c>
      <c r="DF204" s="66">
        <v>8.1183556038999996</v>
      </c>
      <c r="DG204" s="66">
        <v>4.4610034218999992</v>
      </c>
      <c r="DH204" s="66">
        <v>2.0974968025000003</v>
      </c>
      <c r="DI204" s="66">
        <v>17.0996582416</v>
      </c>
      <c r="DJ204" s="66">
        <v>20.524494990400004</v>
      </c>
      <c r="DK204" s="66">
        <v>22.781500835200003</v>
      </c>
      <c r="DL204" s="66">
        <v>20.804369119</v>
      </c>
      <c r="DM204" s="66">
        <v>14.7969073495</v>
      </c>
      <c r="DN204" s="66">
        <v>22.062789476799999</v>
      </c>
      <c r="DO204" s="66">
        <v>15.098546964099999</v>
      </c>
      <c r="DP204" s="79"/>
      <c r="DQ204" s="80"/>
      <c r="DR204" s="81"/>
      <c r="DS204" s="84">
        <f t="shared" si="29"/>
        <v>2020</v>
      </c>
      <c r="DT204" s="80"/>
      <c r="DU204" s="83">
        <f t="shared" si="28"/>
        <v>-96</v>
      </c>
      <c r="DV204" s="83">
        <f t="shared" si="28"/>
        <v>-96</v>
      </c>
      <c r="DW204" s="83">
        <f t="shared" si="28"/>
        <v>-96</v>
      </c>
      <c r="DX204" s="83">
        <f t="shared" si="28"/>
        <v>-96</v>
      </c>
      <c r="DY204" s="83">
        <f t="shared" si="28"/>
        <v>-96</v>
      </c>
      <c r="DZ204" s="83">
        <f t="shared" si="28"/>
        <v>-96</v>
      </c>
      <c r="EA204" s="83">
        <f t="shared" si="28"/>
        <v>-71.360344046999998</v>
      </c>
      <c r="EB204" s="83">
        <f t="shared" si="28"/>
        <v>53.364897141000014</v>
      </c>
      <c r="EC204" s="83">
        <f t="shared" si="28"/>
        <v>199.49930831250001</v>
      </c>
      <c r="ED204" s="83">
        <f t="shared" si="28"/>
        <v>135.26576377910001</v>
      </c>
    </row>
    <row r="205" spans="2:134" x14ac:dyDescent="0.3">
      <c r="B205" s="45">
        <f t="shared" si="30"/>
        <v>1000000201</v>
      </c>
      <c r="C205" s="46">
        <v>43191</v>
      </c>
      <c r="D205" s="66">
        <v>-8</v>
      </c>
      <c r="E205" s="66">
        <v>-8</v>
      </c>
      <c r="F205" s="66">
        <v>-8</v>
      </c>
      <c r="G205" s="66">
        <v>-8</v>
      </c>
      <c r="H205" s="66">
        <v>-8</v>
      </c>
      <c r="I205" s="66">
        <v>-8</v>
      </c>
      <c r="J205" s="66">
        <v>-8</v>
      </c>
      <c r="K205" s="66">
        <v>-8</v>
      </c>
      <c r="L205" s="66">
        <v>-8</v>
      </c>
      <c r="M205" s="66">
        <v>-8</v>
      </c>
      <c r="N205" s="66">
        <v>-8</v>
      </c>
      <c r="O205" s="66">
        <v>-8</v>
      </c>
      <c r="P205" s="66">
        <v>-8</v>
      </c>
      <c r="Q205" s="66">
        <v>-8</v>
      </c>
      <c r="R205" s="66">
        <v>-8</v>
      </c>
      <c r="S205" s="66">
        <v>-8</v>
      </c>
      <c r="T205" s="66">
        <v>-8</v>
      </c>
      <c r="U205" s="66">
        <v>-8</v>
      </c>
      <c r="V205" s="66">
        <v>-8</v>
      </c>
      <c r="W205" s="66">
        <v>-8</v>
      </c>
      <c r="X205" s="66">
        <v>-8</v>
      </c>
      <c r="Y205" s="66">
        <v>-8</v>
      </c>
      <c r="Z205" s="66">
        <v>-8</v>
      </c>
      <c r="AA205" s="66">
        <v>-8</v>
      </c>
      <c r="AB205" s="66">
        <v>-8</v>
      </c>
      <c r="AC205" s="66">
        <v>-8</v>
      </c>
      <c r="AD205" s="66">
        <v>-8</v>
      </c>
      <c r="AE205" s="66">
        <v>-8</v>
      </c>
      <c r="AF205" s="66">
        <v>-8</v>
      </c>
      <c r="AG205" s="66">
        <v>-8</v>
      </c>
      <c r="AH205" s="66">
        <v>-8</v>
      </c>
      <c r="AI205" s="66">
        <v>-8</v>
      </c>
      <c r="AJ205" s="66">
        <v>-8</v>
      </c>
      <c r="AK205" s="66">
        <v>-8</v>
      </c>
      <c r="AL205" s="66">
        <v>-8</v>
      </c>
      <c r="AM205" s="66">
        <v>-8</v>
      </c>
      <c r="AN205" s="66">
        <v>-8</v>
      </c>
      <c r="AO205" s="66">
        <v>-8</v>
      </c>
      <c r="AP205" s="66">
        <v>-8</v>
      </c>
      <c r="AQ205" s="66">
        <v>-8</v>
      </c>
      <c r="AR205" s="66">
        <v>-8</v>
      </c>
      <c r="AS205" s="66">
        <v>-8</v>
      </c>
      <c r="AT205" s="66">
        <v>-8</v>
      </c>
      <c r="AU205" s="66">
        <v>-8</v>
      </c>
      <c r="AV205" s="66">
        <v>-8</v>
      </c>
      <c r="AW205" s="66">
        <v>-8</v>
      </c>
      <c r="AX205" s="66">
        <v>-8</v>
      </c>
      <c r="AY205" s="66">
        <v>-8</v>
      </c>
      <c r="AZ205" s="66">
        <v>-8</v>
      </c>
      <c r="BA205" s="66">
        <v>-8</v>
      </c>
      <c r="BB205" s="66">
        <v>-8</v>
      </c>
      <c r="BC205" s="66">
        <v>-3.5880609344000005</v>
      </c>
      <c r="BD205" s="66">
        <v>-1.2670720661000008</v>
      </c>
      <c r="BE205" s="66">
        <v>1.1927280655000008</v>
      </c>
      <c r="BF205" s="66">
        <v>2.0846251443999986</v>
      </c>
      <c r="BG205" s="66">
        <v>5.1834299235999985</v>
      </c>
      <c r="BH205" s="66">
        <v>2.2806270985000019</v>
      </c>
      <c r="BI205" s="66">
        <v>-0.12997552939999846</v>
      </c>
      <c r="BJ205" s="66">
        <v>-1.917634937299999</v>
      </c>
      <c r="BK205" s="66">
        <v>2.5881959316999996</v>
      </c>
      <c r="BL205" s="66">
        <v>7.2905541286000002</v>
      </c>
      <c r="BM205" s="66">
        <v>44.106273270399996</v>
      </c>
      <c r="BN205" s="66">
        <v>31.000185875500001</v>
      </c>
      <c r="BO205" s="66">
        <v>15.399661204900003</v>
      </c>
      <c r="BP205" s="66">
        <v>12.6540577261</v>
      </c>
      <c r="BQ205" s="66">
        <v>12.032540520700003</v>
      </c>
      <c r="BR205" s="66">
        <v>18.531902273800004</v>
      </c>
      <c r="BS205" s="66">
        <v>6.5901933265000014</v>
      </c>
      <c r="BT205" s="66">
        <v>7.5006285951999967</v>
      </c>
      <c r="BU205" s="66">
        <v>7.2309617290000041</v>
      </c>
      <c r="BV205" s="66">
        <v>3.1649813107000018</v>
      </c>
      <c r="BW205" s="66">
        <v>3.3568178011000001</v>
      </c>
      <c r="BX205" s="66">
        <v>16.439526061900001</v>
      </c>
      <c r="BY205" s="66">
        <v>28.943460028600008</v>
      </c>
      <c r="BZ205" s="66">
        <v>26.721016274499995</v>
      </c>
      <c r="CA205" s="66">
        <v>-7.6497633088999999</v>
      </c>
      <c r="CB205" s="66">
        <v>1.1122708207000009</v>
      </c>
      <c r="CC205" s="66">
        <v>6.0825321289000005</v>
      </c>
      <c r="CD205" s="66">
        <v>10.934734438900001</v>
      </c>
      <c r="CE205" s="66">
        <v>2.9794868325999992</v>
      </c>
      <c r="CF205" s="66">
        <v>-2.0639140138999998</v>
      </c>
      <c r="CG205" s="66">
        <v>0.72916074040000112</v>
      </c>
      <c r="CH205" s="66">
        <v>-2.1836241869000004</v>
      </c>
      <c r="CI205" s="66">
        <v>2.5353958648000017</v>
      </c>
      <c r="CJ205" s="66">
        <v>4.5273131008000007</v>
      </c>
      <c r="CK205" s="66">
        <v>21.110136670599999</v>
      </c>
      <c r="CL205" s="66">
        <v>15.042894868000005</v>
      </c>
      <c r="CM205" s="66">
        <v>17.190472855600003</v>
      </c>
      <c r="CN205" s="66">
        <v>5.5758841522000004</v>
      </c>
      <c r="CO205" s="66">
        <v>6.1674925776999991</v>
      </c>
      <c r="CP205" s="66">
        <v>9.8224055242000041</v>
      </c>
      <c r="CQ205" s="66">
        <v>4.6516015312000007</v>
      </c>
      <c r="CR205" s="66">
        <v>8.3560121950000017</v>
      </c>
      <c r="CS205" s="66">
        <v>7.7661675244000037</v>
      </c>
      <c r="CT205" s="66">
        <v>12.595853814400002</v>
      </c>
      <c r="CU205" s="66">
        <v>9.5127727225000029</v>
      </c>
      <c r="CV205" s="66">
        <v>16.2667531351</v>
      </c>
      <c r="CW205" s="66">
        <v>20.179286877100001</v>
      </c>
      <c r="CX205" s="66">
        <v>13.137439148800002</v>
      </c>
      <c r="CY205" s="66">
        <v>8.3462552529999989</v>
      </c>
      <c r="CZ205" s="66">
        <v>9.3096406953999988</v>
      </c>
      <c r="DA205" s="66">
        <v>-4.3643757772999994</v>
      </c>
      <c r="DB205" s="66">
        <v>7.946098330000062E-2</v>
      </c>
      <c r="DC205" s="66">
        <v>5.6960821722999988</v>
      </c>
      <c r="DD205" s="66">
        <v>-2.6500810678999986</v>
      </c>
      <c r="DE205" s="66">
        <v>7.4387845935999994</v>
      </c>
      <c r="DF205" s="66">
        <v>7.2720909922000008</v>
      </c>
      <c r="DG205" s="66">
        <v>5.9609831476000004</v>
      </c>
      <c r="DH205" s="66">
        <v>15.241936484800004</v>
      </c>
      <c r="DI205" s="66">
        <v>25.742169831700004</v>
      </c>
      <c r="DJ205" s="66">
        <v>26.014726253800006</v>
      </c>
      <c r="DK205" s="66">
        <v>31.475386477599997</v>
      </c>
      <c r="DL205" s="66">
        <v>25.544404122700008</v>
      </c>
      <c r="DM205" s="66">
        <v>20.205930834099995</v>
      </c>
      <c r="DN205" s="66">
        <v>30.477814211500004</v>
      </c>
      <c r="DO205" s="66">
        <v>15.867544100500002</v>
      </c>
      <c r="DP205" s="79"/>
      <c r="DQ205" s="80"/>
      <c r="DR205" s="81"/>
      <c r="DS205" s="84">
        <f t="shared" si="29"/>
        <v>2018</v>
      </c>
      <c r="DT205" s="80"/>
      <c r="DU205" s="83">
        <f t="shared" ref="DU205:ED214" si="31">+SUMIF($D$3:$DO$3,DU$4,$D205:$DO205)</f>
        <v>-96</v>
      </c>
      <c r="DV205" s="83">
        <f t="shared" si="31"/>
        <v>-96</v>
      </c>
      <c r="DW205" s="83">
        <f t="shared" si="31"/>
        <v>-96</v>
      </c>
      <c r="DX205" s="83">
        <f t="shared" si="31"/>
        <v>-96</v>
      </c>
      <c r="DY205" s="83">
        <f t="shared" si="31"/>
        <v>-17.573137303500005</v>
      </c>
      <c r="DZ205" s="83">
        <f t="shared" si="31"/>
        <v>168.85875776250001</v>
      </c>
      <c r="EA205" s="83">
        <f t="shared" si="31"/>
        <v>84.580281681600013</v>
      </c>
      <c r="EB205" s="83">
        <f t="shared" si="31"/>
        <v>122.31900753660004</v>
      </c>
      <c r="EC205" s="83">
        <f t="shared" si="31"/>
        <v>86.672320153200005</v>
      </c>
      <c r="ED205" s="83">
        <f t="shared" si="31"/>
        <v>190.56991231670003</v>
      </c>
    </row>
    <row r="206" spans="2:134" x14ac:dyDescent="0.3">
      <c r="B206" s="45">
        <f t="shared" si="30"/>
        <v>1000000202</v>
      </c>
      <c r="C206" s="46">
        <v>43800</v>
      </c>
      <c r="D206" s="66">
        <v>-8</v>
      </c>
      <c r="E206" s="66">
        <v>-8</v>
      </c>
      <c r="F206" s="66">
        <v>-8</v>
      </c>
      <c r="G206" s="66">
        <v>-8</v>
      </c>
      <c r="H206" s="66">
        <v>-8</v>
      </c>
      <c r="I206" s="66">
        <v>-8</v>
      </c>
      <c r="J206" s="66">
        <v>-8</v>
      </c>
      <c r="K206" s="66">
        <v>-8</v>
      </c>
      <c r="L206" s="66">
        <v>-8</v>
      </c>
      <c r="M206" s="66">
        <v>-8</v>
      </c>
      <c r="N206" s="66">
        <v>-8</v>
      </c>
      <c r="O206" s="66">
        <v>-8</v>
      </c>
      <c r="P206" s="66">
        <v>-8</v>
      </c>
      <c r="Q206" s="66">
        <v>-8</v>
      </c>
      <c r="R206" s="66">
        <v>-8</v>
      </c>
      <c r="S206" s="66">
        <v>-8</v>
      </c>
      <c r="T206" s="66">
        <v>-8</v>
      </c>
      <c r="U206" s="66">
        <v>-8</v>
      </c>
      <c r="V206" s="66">
        <v>-8</v>
      </c>
      <c r="W206" s="66">
        <v>-8</v>
      </c>
      <c r="X206" s="66">
        <v>-8</v>
      </c>
      <c r="Y206" s="66">
        <v>-8</v>
      </c>
      <c r="Z206" s="66">
        <v>-8</v>
      </c>
      <c r="AA206" s="66">
        <v>-8</v>
      </c>
      <c r="AB206" s="66">
        <v>-8</v>
      </c>
      <c r="AC206" s="66">
        <v>-8</v>
      </c>
      <c r="AD206" s="66">
        <v>-8</v>
      </c>
      <c r="AE206" s="66">
        <v>-8</v>
      </c>
      <c r="AF206" s="66">
        <v>-8</v>
      </c>
      <c r="AG206" s="66">
        <v>-8</v>
      </c>
      <c r="AH206" s="66">
        <v>-8</v>
      </c>
      <c r="AI206" s="66">
        <v>-8</v>
      </c>
      <c r="AJ206" s="66">
        <v>-8</v>
      </c>
      <c r="AK206" s="66">
        <v>-8</v>
      </c>
      <c r="AL206" s="66">
        <v>-8</v>
      </c>
      <c r="AM206" s="66">
        <v>-8</v>
      </c>
      <c r="AN206" s="66">
        <v>-8</v>
      </c>
      <c r="AO206" s="66">
        <v>-8</v>
      </c>
      <c r="AP206" s="66">
        <v>-8</v>
      </c>
      <c r="AQ206" s="66">
        <v>-8</v>
      </c>
      <c r="AR206" s="66">
        <v>-8</v>
      </c>
      <c r="AS206" s="66">
        <v>-8</v>
      </c>
      <c r="AT206" s="66">
        <v>-8</v>
      </c>
      <c r="AU206" s="66">
        <v>-8</v>
      </c>
      <c r="AV206" s="66">
        <v>-8</v>
      </c>
      <c r="AW206" s="66">
        <v>-8</v>
      </c>
      <c r="AX206" s="66">
        <v>-8</v>
      </c>
      <c r="AY206" s="66">
        <v>-8</v>
      </c>
      <c r="AZ206" s="66">
        <v>-8</v>
      </c>
      <c r="BA206" s="66">
        <v>-8</v>
      </c>
      <c r="BB206" s="66">
        <v>-8</v>
      </c>
      <c r="BC206" s="66">
        <v>-8</v>
      </c>
      <c r="BD206" s="66">
        <v>-8</v>
      </c>
      <c r="BE206" s="66">
        <v>-8</v>
      </c>
      <c r="BF206" s="66">
        <v>-8</v>
      </c>
      <c r="BG206" s="66">
        <v>-8</v>
      </c>
      <c r="BH206" s="66">
        <v>-8</v>
      </c>
      <c r="BI206" s="66">
        <v>-8</v>
      </c>
      <c r="BJ206" s="66">
        <v>-8</v>
      </c>
      <c r="BK206" s="66">
        <v>-8</v>
      </c>
      <c r="BL206" s="66">
        <v>-8</v>
      </c>
      <c r="BM206" s="66">
        <v>-8</v>
      </c>
      <c r="BN206" s="66">
        <v>-8</v>
      </c>
      <c r="BO206" s="66">
        <v>-8</v>
      </c>
      <c r="BP206" s="66">
        <v>-8</v>
      </c>
      <c r="BQ206" s="66">
        <v>-8</v>
      </c>
      <c r="BR206" s="66">
        <v>-8</v>
      </c>
      <c r="BS206" s="66">
        <v>-8</v>
      </c>
      <c r="BT206" s="66">
        <v>-8</v>
      </c>
      <c r="BU206" s="66">
        <v>-8</v>
      </c>
      <c r="BV206" s="66">
        <v>-8</v>
      </c>
      <c r="BW206" s="66">
        <v>-2.1817478519</v>
      </c>
      <c r="BX206" s="66">
        <v>27.607171768300006</v>
      </c>
      <c r="BY206" s="66">
        <v>22.3609015816</v>
      </c>
      <c r="BZ206" s="66">
        <v>15.441916269099998</v>
      </c>
      <c r="CA206" s="66">
        <v>6.1073372776000028</v>
      </c>
      <c r="CB206" s="66">
        <v>-4.9597368727999989</v>
      </c>
      <c r="CC206" s="66">
        <v>3.4587403183000003</v>
      </c>
      <c r="CD206" s="66">
        <v>4.1112170511999988</v>
      </c>
      <c r="CE206" s="66">
        <v>3.4919889744999999</v>
      </c>
      <c r="CF206" s="66">
        <v>-1.6369352212999999</v>
      </c>
      <c r="CG206" s="66">
        <v>3.9391571317000018</v>
      </c>
      <c r="CH206" s="66">
        <v>-3.9894840442999993</v>
      </c>
      <c r="CI206" s="66">
        <v>-1.9005978155000003</v>
      </c>
      <c r="CJ206" s="66">
        <v>-0.74751490460000092</v>
      </c>
      <c r="CK206" s="66">
        <v>-1.1468740459999998</v>
      </c>
      <c r="CL206" s="66">
        <v>-1.6568994256999998</v>
      </c>
      <c r="CM206" s="66">
        <v>-5.6978120083999997</v>
      </c>
      <c r="CN206" s="66">
        <v>-3.6737343904999999</v>
      </c>
      <c r="CO206" s="66">
        <v>-3.0448244251999999</v>
      </c>
      <c r="CP206" s="66">
        <v>2.5452653868999988</v>
      </c>
      <c r="CQ206" s="66">
        <v>-1.5882255646999992</v>
      </c>
      <c r="CR206" s="66">
        <v>-5.6054212729999993</v>
      </c>
      <c r="CS206" s="66">
        <v>0.51443296300000085</v>
      </c>
      <c r="CT206" s="66">
        <v>-2.0240981852000006</v>
      </c>
      <c r="CU206" s="66">
        <v>-7.4107182298999996</v>
      </c>
      <c r="CV206" s="66">
        <v>-2.0030832332000008</v>
      </c>
      <c r="CW206" s="66">
        <v>5.0196634047999993</v>
      </c>
      <c r="CX206" s="66">
        <v>-3.0696671005999994</v>
      </c>
      <c r="CY206" s="66">
        <v>1.2667682446000015</v>
      </c>
      <c r="CZ206" s="66">
        <v>6.3009375229</v>
      </c>
      <c r="DA206" s="66">
        <v>13.945051259499998</v>
      </c>
      <c r="DB206" s="66">
        <v>13.198044769300001</v>
      </c>
      <c r="DC206" s="66">
        <v>6.3356497204000011</v>
      </c>
      <c r="DD206" s="66">
        <v>7.674790009899997</v>
      </c>
      <c r="DE206" s="66">
        <v>8.4625880229999986</v>
      </c>
      <c r="DF206" s="66">
        <v>7.5942201850000011</v>
      </c>
      <c r="DG206" s="66">
        <v>8.405209698700002</v>
      </c>
      <c r="DH206" s="66">
        <v>6.5678649400000015</v>
      </c>
      <c r="DI206" s="66">
        <v>17.212200814900001</v>
      </c>
      <c r="DJ206" s="66">
        <v>24.651718983099997</v>
      </c>
      <c r="DK206" s="66">
        <v>34.299495812800004</v>
      </c>
      <c r="DL206" s="66">
        <v>21.647669121400003</v>
      </c>
      <c r="DM206" s="66">
        <v>19.772985296200005</v>
      </c>
      <c r="DN206" s="66">
        <v>14.907461007700004</v>
      </c>
      <c r="DO206" s="66">
        <v>35.571876103000001</v>
      </c>
      <c r="DP206" s="79"/>
      <c r="DQ206" s="80"/>
      <c r="DR206" s="81"/>
      <c r="DS206" s="84">
        <f t="shared" si="29"/>
        <v>2019</v>
      </c>
      <c r="DT206" s="80"/>
      <c r="DU206" s="83">
        <f t="shared" si="31"/>
        <v>-96</v>
      </c>
      <c r="DV206" s="83">
        <f t="shared" si="31"/>
        <v>-96</v>
      </c>
      <c r="DW206" s="83">
        <f t="shared" si="31"/>
        <v>-96</v>
      </c>
      <c r="DX206" s="83">
        <f t="shared" si="31"/>
        <v>-96</v>
      </c>
      <c r="DY206" s="83">
        <f t="shared" si="31"/>
        <v>-96</v>
      </c>
      <c r="DZ206" s="83">
        <f t="shared" si="31"/>
        <v>-90.181747851899999</v>
      </c>
      <c r="EA206" s="83">
        <f t="shared" si="31"/>
        <v>74.031676418400025</v>
      </c>
      <c r="EB206" s="83">
        <f t="shared" si="31"/>
        <v>-29.5364241033</v>
      </c>
      <c r="EC206" s="83">
        <f t="shared" si="31"/>
        <v>73.130172504299992</v>
      </c>
      <c r="ED206" s="83">
        <f t="shared" si="31"/>
        <v>174.6312720791</v>
      </c>
    </row>
    <row r="207" spans="2:134" x14ac:dyDescent="0.3">
      <c r="B207" s="45">
        <f t="shared" si="30"/>
        <v>1000000203</v>
      </c>
      <c r="C207" s="46">
        <v>42186</v>
      </c>
      <c r="D207" s="66">
        <v>-8</v>
      </c>
      <c r="E207" s="66">
        <v>-8</v>
      </c>
      <c r="F207" s="66">
        <v>-8</v>
      </c>
      <c r="G207" s="66">
        <v>-8</v>
      </c>
      <c r="H207" s="66">
        <v>-8</v>
      </c>
      <c r="I207" s="66">
        <v>-8</v>
      </c>
      <c r="J207" s="66">
        <v>-8</v>
      </c>
      <c r="K207" s="66">
        <v>-8</v>
      </c>
      <c r="L207" s="66">
        <v>-8</v>
      </c>
      <c r="M207" s="66">
        <v>-8</v>
      </c>
      <c r="N207" s="66">
        <v>-8</v>
      </c>
      <c r="O207" s="66">
        <v>-8</v>
      </c>
      <c r="P207" s="66">
        <v>-8</v>
      </c>
      <c r="Q207" s="66">
        <v>-8</v>
      </c>
      <c r="R207" s="66">
        <v>-8</v>
      </c>
      <c r="S207" s="66">
        <v>-8</v>
      </c>
      <c r="T207" s="66">
        <v>-8</v>
      </c>
      <c r="U207" s="66">
        <v>-8</v>
      </c>
      <c r="V207" s="66">
        <v>-1.0913345300000001</v>
      </c>
      <c r="W207" s="66">
        <v>-0.99763036009999961</v>
      </c>
      <c r="X207" s="66">
        <v>0.37344515110000032</v>
      </c>
      <c r="Y207" s="66">
        <v>1.5422517493000001</v>
      </c>
      <c r="Z207" s="66">
        <v>3.1631425024000013</v>
      </c>
      <c r="AA207" s="66">
        <v>-2.1424198703000004</v>
      </c>
      <c r="AB207" s="66">
        <v>-1.1115614213000002</v>
      </c>
      <c r="AC207" s="66">
        <v>-0.85555427390000016</v>
      </c>
      <c r="AD207" s="66">
        <v>4.8685809106000022</v>
      </c>
      <c r="AE207" s="66">
        <v>-0.78260236909999925</v>
      </c>
      <c r="AF207" s="66">
        <v>-4.2452285048</v>
      </c>
      <c r="AG207" s="66">
        <v>0.2791030272999997</v>
      </c>
      <c r="AH207" s="66">
        <v>0.41862729790000053</v>
      </c>
      <c r="AI207" s="66">
        <v>0.5895238896999988</v>
      </c>
      <c r="AJ207" s="66">
        <v>-3.2483317192999994</v>
      </c>
      <c r="AK207" s="66">
        <v>3.5602500418000016</v>
      </c>
      <c r="AL207" s="66">
        <v>3.3132493024000009</v>
      </c>
      <c r="AM207" s="66">
        <v>2.3876907735999993</v>
      </c>
      <c r="AN207" s="66">
        <v>-6.5126863999998008E-3</v>
      </c>
      <c r="AO207" s="66">
        <v>8.7066616797999998</v>
      </c>
      <c r="AP207" s="66">
        <v>7.4192331828999993</v>
      </c>
      <c r="AQ207" s="66">
        <v>8.4114766576000015</v>
      </c>
      <c r="AR207" s="66">
        <v>4.8656913547000027</v>
      </c>
      <c r="AS207" s="66">
        <v>10.718317960000004</v>
      </c>
      <c r="AT207" s="66">
        <v>11.637046629399997</v>
      </c>
      <c r="AU207" s="66">
        <v>8.2078192567000023</v>
      </c>
      <c r="AV207" s="66">
        <v>13.645062819699998</v>
      </c>
      <c r="AW207" s="66">
        <v>10.8649347769</v>
      </c>
      <c r="AX207" s="66">
        <v>10.608214622200002</v>
      </c>
      <c r="AY207" s="66">
        <v>11.950694788</v>
      </c>
      <c r="AZ207" s="66">
        <v>17.919391476399998</v>
      </c>
      <c r="BA207" s="66">
        <v>20.936950950100002</v>
      </c>
      <c r="BB207" s="66">
        <v>25.709634182800002</v>
      </c>
      <c r="BC207" s="66">
        <v>14.1758029378</v>
      </c>
      <c r="BD207" s="66">
        <v>5.810388500500002</v>
      </c>
      <c r="BE207" s="66">
        <v>10.4442979966</v>
      </c>
      <c r="BF207" s="66">
        <v>12.918733541200002</v>
      </c>
      <c r="BG207" s="66">
        <v>13.812694588599999</v>
      </c>
      <c r="BH207" s="66">
        <v>20.053384798599996</v>
      </c>
      <c r="BI207" s="66">
        <v>12.706032205600003</v>
      </c>
      <c r="BJ207" s="66">
        <v>10.184613232600004</v>
      </c>
      <c r="BK207" s="66">
        <v>8.4095627959000012</v>
      </c>
      <c r="BL207" s="66">
        <v>11.818450697200003</v>
      </c>
      <c r="BM207" s="66">
        <v>18.9333629104</v>
      </c>
      <c r="BN207" s="66">
        <v>21.195547439800002</v>
      </c>
      <c r="BO207" s="66">
        <v>17.351424871900004</v>
      </c>
      <c r="BP207" s="66">
        <v>16.971917354799999</v>
      </c>
      <c r="BQ207" s="66">
        <v>15.354591638200006</v>
      </c>
      <c r="BR207" s="66">
        <v>19.436258217100004</v>
      </c>
      <c r="BS207" s="66">
        <v>21.976815807099999</v>
      </c>
      <c r="BT207" s="66">
        <v>12.851410641400001</v>
      </c>
      <c r="BU207" s="66">
        <v>8.794023837400001</v>
      </c>
      <c r="BV207" s="66">
        <v>15.958996668400001</v>
      </c>
      <c r="BW207" s="66">
        <v>21.878983700200006</v>
      </c>
      <c r="BX207" s="66">
        <v>21.376313553699998</v>
      </c>
      <c r="BY207" s="66">
        <v>35.636834820700003</v>
      </c>
      <c r="BZ207" s="66">
        <v>17.468170435600005</v>
      </c>
      <c r="CA207" s="66">
        <v>18.207146211999998</v>
      </c>
      <c r="CB207" s="66">
        <v>28.384011985000001</v>
      </c>
      <c r="CC207" s="66">
        <v>20.425762242699999</v>
      </c>
      <c r="CD207" s="66">
        <v>25.015878079899998</v>
      </c>
      <c r="CE207" s="66">
        <v>27.176965679500007</v>
      </c>
      <c r="CF207" s="66">
        <v>18.493775146600001</v>
      </c>
      <c r="CG207" s="66">
        <v>19.239280568800002</v>
      </c>
      <c r="CH207" s="66">
        <v>10.529070811900006</v>
      </c>
      <c r="CI207" s="66">
        <v>8.9633818345000016</v>
      </c>
      <c r="CJ207" s="66">
        <v>9.9915758877999998</v>
      </c>
      <c r="CK207" s="66">
        <v>28.013135608900001</v>
      </c>
      <c r="CL207" s="66">
        <v>26.218458708100002</v>
      </c>
      <c r="CM207" s="66">
        <v>34.804004767599999</v>
      </c>
      <c r="CN207" s="66">
        <v>15.938994937299999</v>
      </c>
      <c r="CO207" s="66">
        <v>13.622621853100007</v>
      </c>
      <c r="CP207" s="66">
        <v>15.387014706999999</v>
      </c>
      <c r="CQ207" s="66">
        <v>12.678825348099998</v>
      </c>
      <c r="CR207" s="66">
        <v>13.464109072300005</v>
      </c>
      <c r="CS207" s="66">
        <v>11.106156404500002</v>
      </c>
      <c r="CT207" s="66">
        <v>4.2577588147000007</v>
      </c>
      <c r="CU207" s="66">
        <v>14.179255394200005</v>
      </c>
      <c r="CV207" s="66">
        <v>19.439860780300005</v>
      </c>
      <c r="CW207" s="66">
        <v>6.8675906929000003</v>
      </c>
      <c r="CX207" s="66">
        <v>2.7316605058000007</v>
      </c>
      <c r="CY207" s="66">
        <v>0.89191403829999949</v>
      </c>
      <c r="CZ207" s="66">
        <v>5.2566820420000013</v>
      </c>
      <c r="DA207" s="66">
        <v>-0.40437075979999992</v>
      </c>
      <c r="DB207" s="66">
        <v>-1.6725105328999996</v>
      </c>
      <c r="DC207" s="66">
        <v>-1.6293548278999994</v>
      </c>
      <c r="DD207" s="66">
        <v>6.7106915602000008</v>
      </c>
      <c r="DE207" s="66">
        <v>8.3007728926000013</v>
      </c>
      <c r="DF207" s="66">
        <v>5.748394392099998</v>
      </c>
      <c r="DG207" s="66">
        <v>8.4353436388000027</v>
      </c>
      <c r="DH207" s="66">
        <v>8.5747178026000057</v>
      </c>
      <c r="DI207" s="66">
        <v>20.213173487200002</v>
      </c>
      <c r="DJ207" s="66">
        <v>19.628995348300005</v>
      </c>
      <c r="DK207" s="66">
        <v>11.989609975899999</v>
      </c>
      <c r="DL207" s="66">
        <v>26.615603774200004</v>
      </c>
      <c r="DM207" s="66">
        <v>23.806692752500002</v>
      </c>
      <c r="DN207" s="66">
        <v>17.898376524400003</v>
      </c>
      <c r="DO207" s="66">
        <v>54.904168401699998</v>
      </c>
      <c r="DP207" s="79"/>
      <c r="DQ207" s="80"/>
      <c r="DR207" s="81"/>
      <c r="DS207" s="84">
        <f t="shared" si="29"/>
        <v>2015</v>
      </c>
      <c r="DT207" s="80"/>
      <c r="DU207" s="83">
        <f t="shared" si="31"/>
        <v>-96</v>
      </c>
      <c r="DV207" s="83">
        <f t="shared" si="31"/>
        <v>-47.152545357599998</v>
      </c>
      <c r="DW207" s="83">
        <f t="shared" si="31"/>
        <v>5.1737469549000039</v>
      </c>
      <c r="DX207" s="83">
        <f t="shared" si="31"/>
        <v>107.02864104150001</v>
      </c>
      <c r="DY207" s="83">
        <f t="shared" si="31"/>
        <v>173.08148720670002</v>
      </c>
      <c r="DZ207" s="83">
        <f t="shared" si="31"/>
        <v>202.52178378390005</v>
      </c>
      <c r="EA207" s="83">
        <f t="shared" si="31"/>
        <v>250.91659137090002</v>
      </c>
      <c r="EB207" s="83">
        <f t="shared" si="31"/>
        <v>199.66191150359998</v>
      </c>
      <c r="EC207" s="83">
        <f t="shared" si="31"/>
        <v>60.676674422400012</v>
      </c>
      <c r="ED207" s="83">
        <f t="shared" si="31"/>
        <v>183.6313380668</v>
      </c>
    </row>
    <row r="208" spans="2:134" x14ac:dyDescent="0.3">
      <c r="B208" s="45">
        <f t="shared" si="30"/>
        <v>1000000204</v>
      </c>
      <c r="C208" s="46">
        <v>43952</v>
      </c>
      <c r="D208" s="66">
        <v>-8</v>
      </c>
      <c r="E208" s="66">
        <v>-8</v>
      </c>
      <c r="F208" s="66">
        <v>-8</v>
      </c>
      <c r="G208" s="66">
        <v>-8</v>
      </c>
      <c r="H208" s="66">
        <v>-8</v>
      </c>
      <c r="I208" s="66">
        <v>-8</v>
      </c>
      <c r="J208" s="66">
        <v>-8</v>
      </c>
      <c r="K208" s="66">
        <v>-8</v>
      </c>
      <c r="L208" s="66">
        <v>-8</v>
      </c>
      <c r="M208" s="66">
        <v>-8</v>
      </c>
      <c r="N208" s="66">
        <v>-8</v>
      </c>
      <c r="O208" s="66">
        <v>-8</v>
      </c>
      <c r="P208" s="66">
        <v>-8</v>
      </c>
      <c r="Q208" s="66">
        <v>-8</v>
      </c>
      <c r="R208" s="66">
        <v>-8</v>
      </c>
      <c r="S208" s="66">
        <v>-8</v>
      </c>
      <c r="T208" s="66">
        <v>-8</v>
      </c>
      <c r="U208" s="66">
        <v>-8</v>
      </c>
      <c r="V208" s="66">
        <v>-8</v>
      </c>
      <c r="W208" s="66">
        <v>-8</v>
      </c>
      <c r="X208" s="66">
        <v>-8</v>
      </c>
      <c r="Y208" s="66">
        <v>-8</v>
      </c>
      <c r="Z208" s="66">
        <v>-8</v>
      </c>
      <c r="AA208" s="66">
        <v>-8</v>
      </c>
      <c r="AB208" s="66">
        <v>-8</v>
      </c>
      <c r="AC208" s="66">
        <v>-8</v>
      </c>
      <c r="AD208" s="66">
        <v>-8</v>
      </c>
      <c r="AE208" s="66">
        <v>-8</v>
      </c>
      <c r="AF208" s="66">
        <v>-8</v>
      </c>
      <c r="AG208" s="66">
        <v>-8</v>
      </c>
      <c r="AH208" s="66">
        <v>-8</v>
      </c>
      <c r="AI208" s="66">
        <v>-8</v>
      </c>
      <c r="AJ208" s="66">
        <v>-8</v>
      </c>
      <c r="AK208" s="66">
        <v>-8</v>
      </c>
      <c r="AL208" s="66">
        <v>-8</v>
      </c>
      <c r="AM208" s="66">
        <v>-8</v>
      </c>
      <c r="AN208" s="66">
        <v>-8</v>
      </c>
      <c r="AO208" s="66">
        <v>-8</v>
      </c>
      <c r="AP208" s="66">
        <v>-8</v>
      </c>
      <c r="AQ208" s="66">
        <v>-8</v>
      </c>
      <c r="AR208" s="66">
        <v>-8</v>
      </c>
      <c r="AS208" s="66">
        <v>-8</v>
      </c>
      <c r="AT208" s="66">
        <v>-8</v>
      </c>
      <c r="AU208" s="66">
        <v>-8</v>
      </c>
      <c r="AV208" s="66">
        <v>-8</v>
      </c>
      <c r="AW208" s="66">
        <v>-8</v>
      </c>
      <c r="AX208" s="66">
        <v>-8</v>
      </c>
      <c r="AY208" s="66">
        <v>-8</v>
      </c>
      <c r="AZ208" s="66">
        <v>-8</v>
      </c>
      <c r="BA208" s="66">
        <v>-8</v>
      </c>
      <c r="BB208" s="66">
        <v>-8</v>
      </c>
      <c r="BC208" s="66">
        <v>-8</v>
      </c>
      <c r="BD208" s="66">
        <v>-8</v>
      </c>
      <c r="BE208" s="66">
        <v>-8</v>
      </c>
      <c r="BF208" s="66">
        <v>-8</v>
      </c>
      <c r="BG208" s="66">
        <v>-8</v>
      </c>
      <c r="BH208" s="66">
        <v>-8</v>
      </c>
      <c r="BI208" s="66">
        <v>-8</v>
      </c>
      <c r="BJ208" s="66">
        <v>-8</v>
      </c>
      <c r="BK208" s="66">
        <v>-8</v>
      </c>
      <c r="BL208" s="66">
        <v>-8</v>
      </c>
      <c r="BM208" s="66">
        <v>-8</v>
      </c>
      <c r="BN208" s="66">
        <v>-8</v>
      </c>
      <c r="BO208" s="66">
        <v>-8</v>
      </c>
      <c r="BP208" s="66">
        <v>-8</v>
      </c>
      <c r="BQ208" s="66">
        <v>-8</v>
      </c>
      <c r="BR208" s="66">
        <v>-8</v>
      </c>
      <c r="BS208" s="66">
        <v>-8</v>
      </c>
      <c r="BT208" s="66">
        <v>-8</v>
      </c>
      <c r="BU208" s="66">
        <v>-8</v>
      </c>
      <c r="BV208" s="66">
        <v>-8</v>
      </c>
      <c r="BW208" s="66">
        <v>-8</v>
      </c>
      <c r="BX208" s="66">
        <v>-8</v>
      </c>
      <c r="BY208" s="66">
        <v>-8</v>
      </c>
      <c r="BZ208" s="66">
        <v>-8</v>
      </c>
      <c r="CA208" s="66">
        <v>-8</v>
      </c>
      <c r="CB208" s="66">
        <v>-5.0477369843000002</v>
      </c>
      <c r="CC208" s="66">
        <v>-3.0923332274000002</v>
      </c>
      <c r="CD208" s="66">
        <v>-4.0518158930000006</v>
      </c>
      <c r="CE208" s="66">
        <v>-3.5956413278000001</v>
      </c>
      <c r="CF208" s="66">
        <v>-1.5629325689</v>
      </c>
      <c r="CG208" s="66">
        <v>-1.283959081099999</v>
      </c>
      <c r="CH208" s="66">
        <v>-2.3416115938999988</v>
      </c>
      <c r="CI208" s="66">
        <v>-0.90287544260000097</v>
      </c>
      <c r="CJ208" s="66">
        <v>-0.72946456190000042</v>
      </c>
      <c r="CK208" s="66">
        <v>-2.0669161498999999</v>
      </c>
      <c r="CL208" s="66">
        <v>5.1705207388000005</v>
      </c>
      <c r="CM208" s="66">
        <v>5.6303729206000028</v>
      </c>
      <c r="CN208" s="66">
        <v>4.2475890790000008</v>
      </c>
      <c r="CO208" s="66">
        <v>5.6518757196999996</v>
      </c>
      <c r="CP208" s="66">
        <v>6.6435938206000031</v>
      </c>
      <c r="CQ208" s="66">
        <v>5.651913246400003</v>
      </c>
      <c r="CR208" s="66">
        <v>4.9468991335000005</v>
      </c>
      <c r="CS208" s="66">
        <v>7.4792383762000032</v>
      </c>
      <c r="CT208" s="66">
        <v>9.3753499470999984</v>
      </c>
      <c r="CU208" s="66">
        <v>7.442612317</v>
      </c>
      <c r="CV208" s="66">
        <v>11.048928187000001</v>
      </c>
      <c r="CW208" s="66">
        <v>6.9066935143000006</v>
      </c>
      <c r="CX208" s="66">
        <v>15.698974164100001</v>
      </c>
      <c r="CY208" s="66">
        <v>13.807966224399998</v>
      </c>
      <c r="CZ208" s="66">
        <v>14.268043566400003</v>
      </c>
      <c r="DA208" s="66">
        <v>12.861017476599997</v>
      </c>
      <c r="DB208" s="66">
        <v>13.215982531900003</v>
      </c>
      <c r="DC208" s="66">
        <v>13.029024512500001</v>
      </c>
      <c r="DD208" s="66">
        <v>16.904069081199999</v>
      </c>
      <c r="DE208" s="66">
        <v>13.250694729399999</v>
      </c>
      <c r="DF208" s="66">
        <v>12.678712768000004</v>
      </c>
      <c r="DG208" s="66">
        <v>9.870664860399998</v>
      </c>
      <c r="DH208" s="66">
        <v>10.0612629697</v>
      </c>
      <c r="DI208" s="66">
        <v>14.974333587100002</v>
      </c>
      <c r="DJ208" s="66">
        <v>19.065944741499997</v>
      </c>
      <c r="DK208" s="66">
        <v>13.856788461100006</v>
      </c>
      <c r="DL208" s="66">
        <v>13.926362962900001</v>
      </c>
      <c r="DM208" s="66">
        <v>10.205590657900004</v>
      </c>
      <c r="DN208" s="66">
        <v>11.914744209400006</v>
      </c>
      <c r="DO208" s="66">
        <v>12.433851050500003</v>
      </c>
      <c r="DP208" s="79"/>
      <c r="DQ208" s="80"/>
      <c r="DR208" s="81"/>
      <c r="DS208" s="84">
        <f t="shared" si="29"/>
        <v>2020</v>
      </c>
      <c r="DT208" s="80"/>
      <c r="DU208" s="83">
        <f t="shared" si="31"/>
        <v>-96</v>
      </c>
      <c r="DV208" s="83">
        <f t="shared" si="31"/>
        <v>-96</v>
      </c>
      <c r="DW208" s="83">
        <f t="shared" si="31"/>
        <v>-96</v>
      </c>
      <c r="DX208" s="83">
        <f t="shared" si="31"/>
        <v>-96</v>
      </c>
      <c r="DY208" s="83">
        <f t="shared" si="31"/>
        <v>-96</v>
      </c>
      <c r="DZ208" s="83">
        <f t="shared" si="31"/>
        <v>-96</v>
      </c>
      <c r="EA208" s="83">
        <f t="shared" si="31"/>
        <v>-53.878906119000007</v>
      </c>
      <c r="EB208" s="83">
        <f t="shared" si="31"/>
        <v>59.443584587100005</v>
      </c>
      <c r="EC208" s="83">
        <f t="shared" si="31"/>
        <v>153.5407716162</v>
      </c>
      <c r="ED208" s="83">
        <f t="shared" si="31"/>
        <v>106.43887864010003</v>
      </c>
    </row>
    <row r="209" spans="2:134" x14ac:dyDescent="0.3">
      <c r="B209" s="45">
        <f t="shared" si="30"/>
        <v>1000000205</v>
      </c>
      <c r="C209" s="46">
        <v>44378</v>
      </c>
      <c r="D209" s="66">
        <v>-8</v>
      </c>
      <c r="E209" s="66">
        <v>-8</v>
      </c>
      <c r="F209" s="66">
        <v>-8</v>
      </c>
      <c r="G209" s="66">
        <v>-8</v>
      </c>
      <c r="H209" s="66">
        <v>-8</v>
      </c>
      <c r="I209" s="66">
        <v>-8</v>
      </c>
      <c r="J209" s="66">
        <v>-8</v>
      </c>
      <c r="K209" s="66">
        <v>-8</v>
      </c>
      <c r="L209" s="66">
        <v>-8</v>
      </c>
      <c r="M209" s="66">
        <v>-8</v>
      </c>
      <c r="N209" s="66">
        <v>-8</v>
      </c>
      <c r="O209" s="66">
        <v>-8</v>
      </c>
      <c r="P209" s="66">
        <v>-8</v>
      </c>
      <c r="Q209" s="66">
        <v>-8</v>
      </c>
      <c r="R209" s="66">
        <v>-8</v>
      </c>
      <c r="S209" s="66">
        <v>-8</v>
      </c>
      <c r="T209" s="66">
        <v>-8</v>
      </c>
      <c r="U209" s="66">
        <v>-8</v>
      </c>
      <c r="V209" s="66">
        <v>-8</v>
      </c>
      <c r="W209" s="66">
        <v>-8</v>
      </c>
      <c r="X209" s="66">
        <v>-8</v>
      </c>
      <c r="Y209" s="66">
        <v>-8</v>
      </c>
      <c r="Z209" s="66">
        <v>-8</v>
      </c>
      <c r="AA209" s="66">
        <v>-8</v>
      </c>
      <c r="AB209" s="66">
        <v>-8</v>
      </c>
      <c r="AC209" s="66">
        <v>-8</v>
      </c>
      <c r="AD209" s="66">
        <v>-8</v>
      </c>
      <c r="AE209" s="66">
        <v>-8</v>
      </c>
      <c r="AF209" s="66">
        <v>-8</v>
      </c>
      <c r="AG209" s="66">
        <v>-8</v>
      </c>
      <c r="AH209" s="66">
        <v>-8</v>
      </c>
      <c r="AI209" s="66">
        <v>-8</v>
      </c>
      <c r="AJ209" s="66">
        <v>-8</v>
      </c>
      <c r="AK209" s="66">
        <v>-8</v>
      </c>
      <c r="AL209" s="66">
        <v>-8</v>
      </c>
      <c r="AM209" s="66">
        <v>-8</v>
      </c>
      <c r="AN209" s="66">
        <v>-8</v>
      </c>
      <c r="AO209" s="66">
        <v>-8</v>
      </c>
      <c r="AP209" s="66">
        <v>-8</v>
      </c>
      <c r="AQ209" s="66">
        <v>-8</v>
      </c>
      <c r="AR209" s="66">
        <v>-8</v>
      </c>
      <c r="AS209" s="66">
        <v>-8</v>
      </c>
      <c r="AT209" s="66">
        <v>-8</v>
      </c>
      <c r="AU209" s="66">
        <v>-8</v>
      </c>
      <c r="AV209" s="66">
        <v>-8</v>
      </c>
      <c r="AW209" s="66">
        <v>-8</v>
      </c>
      <c r="AX209" s="66">
        <v>-8</v>
      </c>
      <c r="AY209" s="66">
        <v>-8</v>
      </c>
      <c r="AZ209" s="66">
        <v>-8</v>
      </c>
      <c r="BA209" s="66">
        <v>-8</v>
      </c>
      <c r="BB209" s="66">
        <v>-8</v>
      </c>
      <c r="BC209" s="66">
        <v>-8</v>
      </c>
      <c r="BD209" s="66">
        <v>-8</v>
      </c>
      <c r="BE209" s="66">
        <v>-8</v>
      </c>
      <c r="BF209" s="66">
        <v>-8</v>
      </c>
      <c r="BG209" s="66">
        <v>-8</v>
      </c>
      <c r="BH209" s="66">
        <v>-8</v>
      </c>
      <c r="BI209" s="66">
        <v>-8</v>
      </c>
      <c r="BJ209" s="66">
        <v>-8</v>
      </c>
      <c r="BK209" s="66">
        <v>-8</v>
      </c>
      <c r="BL209" s="66">
        <v>-8</v>
      </c>
      <c r="BM209" s="66">
        <v>-8</v>
      </c>
      <c r="BN209" s="66">
        <v>-8</v>
      </c>
      <c r="BO209" s="66">
        <v>-8</v>
      </c>
      <c r="BP209" s="66">
        <v>-8</v>
      </c>
      <c r="BQ209" s="66">
        <v>-8</v>
      </c>
      <c r="BR209" s="66">
        <v>-8</v>
      </c>
      <c r="BS209" s="66">
        <v>-8</v>
      </c>
      <c r="BT209" s="66">
        <v>-8</v>
      </c>
      <c r="BU209" s="66">
        <v>-8</v>
      </c>
      <c r="BV209" s="66">
        <v>-8</v>
      </c>
      <c r="BW209" s="66">
        <v>-8</v>
      </c>
      <c r="BX209" s="66">
        <v>-8</v>
      </c>
      <c r="BY209" s="66">
        <v>-8</v>
      </c>
      <c r="BZ209" s="66">
        <v>-8</v>
      </c>
      <c r="CA209" s="66">
        <v>-8</v>
      </c>
      <c r="CB209" s="66">
        <v>-8</v>
      </c>
      <c r="CC209" s="66">
        <v>-8</v>
      </c>
      <c r="CD209" s="66">
        <v>-8</v>
      </c>
      <c r="CE209" s="66">
        <v>-8</v>
      </c>
      <c r="CF209" s="66">
        <v>-8</v>
      </c>
      <c r="CG209" s="66">
        <v>-8</v>
      </c>
      <c r="CH209" s="66">
        <v>-8</v>
      </c>
      <c r="CI209" s="66">
        <v>-8</v>
      </c>
      <c r="CJ209" s="66">
        <v>-8</v>
      </c>
      <c r="CK209" s="66">
        <v>-8</v>
      </c>
      <c r="CL209" s="66">
        <v>-8</v>
      </c>
      <c r="CM209" s="66">
        <v>-8</v>
      </c>
      <c r="CN209" s="66">
        <v>-8</v>
      </c>
      <c r="CO209" s="66">
        <v>-8</v>
      </c>
      <c r="CP209" s="66">
        <v>-8</v>
      </c>
      <c r="CQ209" s="66">
        <v>-2.2514724604999987</v>
      </c>
      <c r="CR209" s="66">
        <v>-1.5278826310999998</v>
      </c>
      <c r="CS209" s="66">
        <v>2.0546037843999994</v>
      </c>
      <c r="CT209" s="66">
        <v>-1.1202300889999997</v>
      </c>
      <c r="CU209" s="66">
        <v>-2.4994113673999996</v>
      </c>
      <c r="CV209" s="66">
        <v>-0.19309543880000035</v>
      </c>
      <c r="CW209" s="66">
        <v>0.96764291890000287</v>
      </c>
      <c r="CX209" s="66">
        <v>11.559666573999998</v>
      </c>
      <c r="CY209" s="66">
        <v>12.664827888999998</v>
      </c>
      <c r="CZ209" s="66">
        <v>14.7122095876</v>
      </c>
      <c r="DA209" s="66">
        <v>12.592288777900002</v>
      </c>
      <c r="DB209" s="66">
        <v>5.9612833612000014</v>
      </c>
      <c r="DC209" s="66">
        <v>9.3624407623000003</v>
      </c>
      <c r="DD209" s="66">
        <v>3.6862271737000007</v>
      </c>
      <c r="DE209" s="66">
        <v>7.0123311747999981</v>
      </c>
      <c r="DF209" s="66">
        <v>8.4320037625000026</v>
      </c>
      <c r="DG209" s="66">
        <v>9.9909754606000014</v>
      </c>
      <c r="DH209" s="66">
        <v>4.8640401798999999</v>
      </c>
      <c r="DI209" s="66">
        <v>14.091855709899995</v>
      </c>
      <c r="DJ209" s="66">
        <v>18.812414356300003</v>
      </c>
      <c r="DK209" s="66">
        <v>21.625453315000005</v>
      </c>
      <c r="DL209" s="66">
        <v>16.357567749099999</v>
      </c>
      <c r="DM209" s="66">
        <v>27.685640098000007</v>
      </c>
      <c r="DN209" s="66">
        <v>21.216975185500004</v>
      </c>
      <c r="DO209" s="66">
        <v>37.837963409200007</v>
      </c>
      <c r="DP209" s="79"/>
      <c r="DQ209" s="80"/>
      <c r="DR209" s="81"/>
      <c r="DS209" s="84">
        <f t="shared" si="29"/>
        <v>2021</v>
      </c>
      <c r="DT209" s="80"/>
      <c r="DU209" s="83">
        <f t="shared" si="31"/>
        <v>-96</v>
      </c>
      <c r="DV209" s="83">
        <f t="shared" si="31"/>
        <v>-96</v>
      </c>
      <c r="DW209" s="83">
        <f t="shared" si="31"/>
        <v>-96</v>
      </c>
      <c r="DX209" s="83">
        <f t="shared" si="31"/>
        <v>-96</v>
      </c>
      <c r="DY209" s="83">
        <f t="shared" si="31"/>
        <v>-96</v>
      </c>
      <c r="DZ209" s="83">
        <f t="shared" si="31"/>
        <v>-96</v>
      </c>
      <c r="EA209" s="83">
        <f t="shared" si="31"/>
        <v>-96</v>
      </c>
      <c r="EB209" s="83">
        <f t="shared" si="31"/>
        <v>-61.344392763599998</v>
      </c>
      <c r="EC209" s="83">
        <f t="shared" si="31"/>
        <v>96.748802003700007</v>
      </c>
      <c r="ED209" s="83">
        <f t="shared" si="31"/>
        <v>162.49191000290003</v>
      </c>
    </row>
    <row r="210" spans="2:134" x14ac:dyDescent="0.3">
      <c r="B210" s="45">
        <f t="shared" si="30"/>
        <v>1000000206</v>
      </c>
      <c r="C210" s="46">
        <v>44075</v>
      </c>
      <c r="D210" s="66">
        <v>-8</v>
      </c>
      <c r="E210" s="66">
        <v>-8</v>
      </c>
      <c r="F210" s="66">
        <v>-8</v>
      </c>
      <c r="G210" s="66">
        <v>-8</v>
      </c>
      <c r="H210" s="66">
        <v>-8</v>
      </c>
      <c r="I210" s="66">
        <v>-8</v>
      </c>
      <c r="J210" s="66">
        <v>-8</v>
      </c>
      <c r="K210" s="66">
        <v>-8</v>
      </c>
      <c r="L210" s="66">
        <v>-8</v>
      </c>
      <c r="M210" s="66">
        <v>-8</v>
      </c>
      <c r="N210" s="66">
        <v>-8</v>
      </c>
      <c r="O210" s="66">
        <v>-8</v>
      </c>
      <c r="P210" s="66">
        <v>-8</v>
      </c>
      <c r="Q210" s="66">
        <v>-8</v>
      </c>
      <c r="R210" s="66">
        <v>-8</v>
      </c>
      <c r="S210" s="66">
        <v>-8</v>
      </c>
      <c r="T210" s="66">
        <v>-8</v>
      </c>
      <c r="U210" s="66">
        <v>-8</v>
      </c>
      <c r="V210" s="66">
        <v>-8</v>
      </c>
      <c r="W210" s="66">
        <v>-8</v>
      </c>
      <c r="X210" s="66">
        <v>-8</v>
      </c>
      <c r="Y210" s="66">
        <v>-8</v>
      </c>
      <c r="Z210" s="66">
        <v>-8</v>
      </c>
      <c r="AA210" s="66">
        <v>-8</v>
      </c>
      <c r="AB210" s="66">
        <v>-8</v>
      </c>
      <c r="AC210" s="66">
        <v>-8</v>
      </c>
      <c r="AD210" s="66">
        <v>-8</v>
      </c>
      <c r="AE210" s="66">
        <v>-8</v>
      </c>
      <c r="AF210" s="66">
        <v>-8</v>
      </c>
      <c r="AG210" s="66">
        <v>-8</v>
      </c>
      <c r="AH210" s="66">
        <v>-8</v>
      </c>
      <c r="AI210" s="66">
        <v>-8</v>
      </c>
      <c r="AJ210" s="66">
        <v>-8</v>
      </c>
      <c r="AK210" s="66">
        <v>-8</v>
      </c>
      <c r="AL210" s="66">
        <v>-8</v>
      </c>
      <c r="AM210" s="66">
        <v>-8</v>
      </c>
      <c r="AN210" s="66">
        <v>-8</v>
      </c>
      <c r="AO210" s="66">
        <v>-8</v>
      </c>
      <c r="AP210" s="66">
        <v>-8</v>
      </c>
      <c r="AQ210" s="66">
        <v>-8</v>
      </c>
      <c r="AR210" s="66">
        <v>-8</v>
      </c>
      <c r="AS210" s="66">
        <v>-8</v>
      </c>
      <c r="AT210" s="66">
        <v>-8</v>
      </c>
      <c r="AU210" s="66">
        <v>-8</v>
      </c>
      <c r="AV210" s="66">
        <v>-8</v>
      </c>
      <c r="AW210" s="66">
        <v>-8</v>
      </c>
      <c r="AX210" s="66">
        <v>-8</v>
      </c>
      <c r="AY210" s="66">
        <v>-8</v>
      </c>
      <c r="AZ210" s="66">
        <v>-8</v>
      </c>
      <c r="BA210" s="66">
        <v>-8</v>
      </c>
      <c r="BB210" s="66">
        <v>-8</v>
      </c>
      <c r="BC210" s="66">
        <v>-8</v>
      </c>
      <c r="BD210" s="66">
        <v>-8</v>
      </c>
      <c r="BE210" s="66">
        <v>-8</v>
      </c>
      <c r="BF210" s="66">
        <v>-8</v>
      </c>
      <c r="BG210" s="66">
        <v>-8</v>
      </c>
      <c r="BH210" s="66">
        <v>-8</v>
      </c>
      <c r="BI210" s="66">
        <v>-8</v>
      </c>
      <c r="BJ210" s="66">
        <v>-8</v>
      </c>
      <c r="BK210" s="66">
        <v>-8</v>
      </c>
      <c r="BL210" s="66">
        <v>-8</v>
      </c>
      <c r="BM210" s="66">
        <v>-8</v>
      </c>
      <c r="BN210" s="66">
        <v>-8</v>
      </c>
      <c r="BO210" s="66">
        <v>-8</v>
      </c>
      <c r="BP210" s="66">
        <v>-8</v>
      </c>
      <c r="BQ210" s="66">
        <v>-8</v>
      </c>
      <c r="BR210" s="66">
        <v>-8</v>
      </c>
      <c r="BS210" s="66">
        <v>-8</v>
      </c>
      <c r="BT210" s="66">
        <v>-8</v>
      </c>
      <c r="BU210" s="66">
        <v>-8</v>
      </c>
      <c r="BV210" s="66">
        <v>-8</v>
      </c>
      <c r="BW210" s="66">
        <v>-8</v>
      </c>
      <c r="BX210" s="66">
        <v>-8</v>
      </c>
      <c r="BY210" s="66">
        <v>-8</v>
      </c>
      <c r="BZ210" s="66">
        <v>-8</v>
      </c>
      <c r="CA210" s="66">
        <v>-8</v>
      </c>
      <c r="CB210" s="66">
        <v>-8</v>
      </c>
      <c r="CC210" s="66">
        <v>-8</v>
      </c>
      <c r="CD210" s="66">
        <v>-8</v>
      </c>
      <c r="CE210" s="66">
        <v>-8</v>
      </c>
      <c r="CF210" s="66">
        <v>-8</v>
      </c>
      <c r="CG210" s="66">
        <v>-4.1329486183999995</v>
      </c>
      <c r="CH210" s="66">
        <v>-7.3566047284999998</v>
      </c>
      <c r="CI210" s="66">
        <v>-1.9115556118999999</v>
      </c>
      <c r="CJ210" s="66">
        <v>0.16693572100000154</v>
      </c>
      <c r="CK210" s="66">
        <v>-2.6960137486999995</v>
      </c>
      <c r="CL210" s="66">
        <v>-9.1210448299998248E-2</v>
      </c>
      <c r="CM210" s="66">
        <v>8.8658124145000023</v>
      </c>
      <c r="CN210" s="66">
        <v>15.125378554600001</v>
      </c>
      <c r="CO210" s="66">
        <v>12.222425622699998</v>
      </c>
      <c r="CP210" s="66">
        <v>14.742193420899998</v>
      </c>
      <c r="CQ210" s="66">
        <v>-1.9005978154999994</v>
      </c>
      <c r="CR210" s="66">
        <v>1.5762134128000014</v>
      </c>
      <c r="CS210" s="66">
        <v>-1.2426421843999993</v>
      </c>
      <c r="CT210" s="66">
        <v>-2.3681804975</v>
      </c>
      <c r="CU210" s="66">
        <v>-2.8321606162999995</v>
      </c>
      <c r="CV210" s="66">
        <v>-4.7650108264999993</v>
      </c>
      <c r="CW210" s="66">
        <v>-5.0387305763000008</v>
      </c>
      <c r="CX210" s="66">
        <v>-7.5062236813999998</v>
      </c>
      <c r="CY210" s="66">
        <v>-2.6597254297999999</v>
      </c>
      <c r="CZ210" s="66">
        <v>4.2262739134000018</v>
      </c>
      <c r="DA210" s="66">
        <v>2.4961804633</v>
      </c>
      <c r="DB210" s="66">
        <v>5.0067166932999996</v>
      </c>
      <c r="DC210" s="66">
        <v>1.1523493363000004</v>
      </c>
      <c r="DD210" s="66">
        <v>5.0570024713000024</v>
      </c>
      <c r="DE210" s="66">
        <v>2.7769927593999988</v>
      </c>
      <c r="DF210" s="66">
        <v>0.9163439199999992</v>
      </c>
      <c r="DG210" s="66">
        <v>6.5736815784999987</v>
      </c>
      <c r="DH210" s="66">
        <v>6.9859123780000001</v>
      </c>
      <c r="DI210" s="66">
        <v>22.229257917999998</v>
      </c>
      <c r="DJ210" s="66">
        <v>12.340747307800005</v>
      </c>
      <c r="DK210" s="66">
        <v>17.518418686900002</v>
      </c>
      <c r="DL210" s="66">
        <v>18.149580254199996</v>
      </c>
      <c r="DM210" s="66">
        <v>16.053601479100003</v>
      </c>
      <c r="DN210" s="66">
        <v>9.640513609300001</v>
      </c>
      <c r="DO210" s="66">
        <v>14.619556165300001</v>
      </c>
      <c r="DP210" s="79"/>
      <c r="DQ210" s="80"/>
      <c r="DR210" s="81"/>
      <c r="DS210" s="84">
        <f t="shared" si="29"/>
        <v>2020</v>
      </c>
      <c r="DT210" s="80"/>
      <c r="DU210" s="83">
        <f t="shared" si="31"/>
        <v>-96</v>
      </c>
      <c r="DV210" s="83">
        <f t="shared" si="31"/>
        <v>-96</v>
      </c>
      <c r="DW210" s="83">
        <f t="shared" si="31"/>
        <v>-96</v>
      </c>
      <c r="DX210" s="83">
        <f t="shared" si="31"/>
        <v>-96</v>
      </c>
      <c r="DY210" s="83">
        <f t="shared" si="31"/>
        <v>-96</v>
      </c>
      <c r="DZ210" s="83">
        <f t="shared" si="31"/>
        <v>-96</v>
      </c>
      <c r="EA210" s="83">
        <f t="shared" si="31"/>
        <v>-85.401108958799995</v>
      </c>
      <c r="EB210" s="83">
        <f t="shared" si="31"/>
        <v>41.568153835800004</v>
      </c>
      <c r="EC210" s="83">
        <f t="shared" si="31"/>
        <v>8.2358506215000009</v>
      </c>
      <c r="ED210" s="83">
        <f t="shared" si="31"/>
        <v>117.53758779859999</v>
      </c>
    </row>
    <row r="211" spans="2:134" x14ac:dyDescent="0.3">
      <c r="B211" s="45">
        <f t="shared" si="30"/>
        <v>1000000207</v>
      </c>
      <c r="C211" s="46">
        <v>44531</v>
      </c>
      <c r="D211" s="66">
        <v>-8</v>
      </c>
      <c r="E211" s="66">
        <v>-8</v>
      </c>
      <c r="F211" s="66">
        <v>-8</v>
      </c>
      <c r="G211" s="66">
        <v>-8</v>
      </c>
      <c r="H211" s="66">
        <v>-8</v>
      </c>
      <c r="I211" s="66">
        <v>-8</v>
      </c>
      <c r="J211" s="66">
        <v>-8</v>
      </c>
      <c r="K211" s="66">
        <v>-8</v>
      </c>
      <c r="L211" s="66">
        <v>-8</v>
      </c>
      <c r="M211" s="66">
        <v>-8</v>
      </c>
      <c r="N211" s="66">
        <v>-8</v>
      </c>
      <c r="O211" s="66">
        <v>-8</v>
      </c>
      <c r="P211" s="66">
        <v>-8</v>
      </c>
      <c r="Q211" s="66">
        <v>-8</v>
      </c>
      <c r="R211" s="66">
        <v>-8</v>
      </c>
      <c r="S211" s="66">
        <v>-8</v>
      </c>
      <c r="T211" s="66">
        <v>-8</v>
      </c>
      <c r="U211" s="66">
        <v>-8</v>
      </c>
      <c r="V211" s="66">
        <v>-8</v>
      </c>
      <c r="W211" s="66">
        <v>-8</v>
      </c>
      <c r="X211" s="66">
        <v>-8</v>
      </c>
      <c r="Y211" s="66">
        <v>-8</v>
      </c>
      <c r="Z211" s="66">
        <v>-8</v>
      </c>
      <c r="AA211" s="66">
        <v>-8</v>
      </c>
      <c r="AB211" s="66">
        <v>-8</v>
      </c>
      <c r="AC211" s="66">
        <v>-8</v>
      </c>
      <c r="AD211" s="66">
        <v>-8</v>
      </c>
      <c r="AE211" s="66">
        <v>-8</v>
      </c>
      <c r="AF211" s="66">
        <v>-8</v>
      </c>
      <c r="AG211" s="66">
        <v>-8</v>
      </c>
      <c r="AH211" s="66">
        <v>-8</v>
      </c>
      <c r="AI211" s="66">
        <v>-8</v>
      </c>
      <c r="AJ211" s="66">
        <v>-8</v>
      </c>
      <c r="AK211" s="66">
        <v>-8</v>
      </c>
      <c r="AL211" s="66">
        <v>-8</v>
      </c>
      <c r="AM211" s="66">
        <v>-8</v>
      </c>
      <c r="AN211" s="66">
        <v>-8</v>
      </c>
      <c r="AO211" s="66">
        <v>-8</v>
      </c>
      <c r="AP211" s="66">
        <v>-8</v>
      </c>
      <c r="AQ211" s="66">
        <v>-8</v>
      </c>
      <c r="AR211" s="66">
        <v>-8</v>
      </c>
      <c r="AS211" s="66">
        <v>-8</v>
      </c>
      <c r="AT211" s="66">
        <v>-8</v>
      </c>
      <c r="AU211" s="66">
        <v>-8</v>
      </c>
      <c r="AV211" s="66">
        <v>-8</v>
      </c>
      <c r="AW211" s="66">
        <v>-8</v>
      </c>
      <c r="AX211" s="66">
        <v>-8</v>
      </c>
      <c r="AY211" s="66">
        <v>-8</v>
      </c>
      <c r="AZ211" s="66">
        <v>-8</v>
      </c>
      <c r="BA211" s="66">
        <v>-8</v>
      </c>
      <c r="BB211" s="66">
        <v>-8</v>
      </c>
      <c r="BC211" s="66">
        <v>-8</v>
      </c>
      <c r="BD211" s="66">
        <v>-8</v>
      </c>
      <c r="BE211" s="66">
        <v>-8</v>
      </c>
      <c r="BF211" s="66">
        <v>-8</v>
      </c>
      <c r="BG211" s="66">
        <v>-8</v>
      </c>
      <c r="BH211" s="66">
        <v>-8</v>
      </c>
      <c r="BI211" s="66">
        <v>-8</v>
      </c>
      <c r="BJ211" s="66">
        <v>-8</v>
      </c>
      <c r="BK211" s="66">
        <v>-8</v>
      </c>
      <c r="BL211" s="66">
        <v>-8</v>
      </c>
      <c r="BM211" s="66">
        <v>-8</v>
      </c>
      <c r="BN211" s="66">
        <v>-8</v>
      </c>
      <c r="BO211" s="66">
        <v>-8</v>
      </c>
      <c r="BP211" s="66">
        <v>-8</v>
      </c>
      <c r="BQ211" s="66">
        <v>-8</v>
      </c>
      <c r="BR211" s="66">
        <v>-8</v>
      </c>
      <c r="BS211" s="66">
        <v>-8</v>
      </c>
      <c r="BT211" s="66">
        <v>-8</v>
      </c>
      <c r="BU211" s="66">
        <v>-8</v>
      </c>
      <c r="BV211" s="66">
        <v>-8</v>
      </c>
      <c r="BW211" s="66">
        <v>-8</v>
      </c>
      <c r="BX211" s="66">
        <v>-8</v>
      </c>
      <c r="BY211" s="66">
        <v>-8</v>
      </c>
      <c r="BZ211" s="66">
        <v>-8</v>
      </c>
      <c r="CA211" s="66">
        <v>-8</v>
      </c>
      <c r="CB211" s="66">
        <v>-8</v>
      </c>
      <c r="CC211" s="66">
        <v>-8</v>
      </c>
      <c r="CD211" s="66">
        <v>-8</v>
      </c>
      <c r="CE211" s="66">
        <v>-8</v>
      </c>
      <c r="CF211" s="66">
        <v>-8</v>
      </c>
      <c r="CG211" s="66">
        <v>-8</v>
      </c>
      <c r="CH211" s="66">
        <v>-8</v>
      </c>
      <c r="CI211" s="66">
        <v>-8</v>
      </c>
      <c r="CJ211" s="66">
        <v>-8</v>
      </c>
      <c r="CK211" s="66">
        <v>-8</v>
      </c>
      <c r="CL211" s="66">
        <v>-8</v>
      </c>
      <c r="CM211" s="66">
        <v>-8</v>
      </c>
      <c r="CN211" s="66">
        <v>-8</v>
      </c>
      <c r="CO211" s="66">
        <v>-8</v>
      </c>
      <c r="CP211" s="66">
        <v>-8</v>
      </c>
      <c r="CQ211" s="66">
        <v>-8</v>
      </c>
      <c r="CR211" s="66">
        <v>-8</v>
      </c>
      <c r="CS211" s="66">
        <v>-8</v>
      </c>
      <c r="CT211" s="66">
        <v>-8</v>
      </c>
      <c r="CU211" s="66">
        <v>-5.2294037390000003</v>
      </c>
      <c r="CV211" s="66">
        <v>-8</v>
      </c>
      <c r="CW211" s="66">
        <v>0.66506513680000268</v>
      </c>
      <c r="CX211" s="66">
        <v>0.11064567100000033</v>
      </c>
      <c r="CY211" s="66">
        <v>7.8212191933000028</v>
      </c>
      <c r="CZ211" s="66">
        <v>7.4163061002999964</v>
      </c>
      <c r="DA211" s="66">
        <v>7.0937265871000026</v>
      </c>
      <c r="DB211" s="66">
        <v>7.8381437350000027</v>
      </c>
      <c r="DC211" s="66">
        <v>8.3183729148999959</v>
      </c>
      <c r="DD211" s="66">
        <v>5.4781646253999998</v>
      </c>
      <c r="DE211" s="66">
        <v>5.9470607418999997</v>
      </c>
      <c r="DF211" s="66">
        <v>6.3336983319999991</v>
      </c>
      <c r="DG211" s="66">
        <v>2.9716437523000003</v>
      </c>
      <c r="DH211" s="66">
        <v>6.5840389476999999</v>
      </c>
      <c r="DI211" s="66">
        <v>11.5515232801</v>
      </c>
      <c r="DJ211" s="66">
        <v>10.600371541900003</v>
      </c>
      <c r="DK211" s="66">
        <v>15.026645806900003</v>
      </c>
      <c r="DL211" s="66">
        <v>17.665710984400004</v>
      </c>
      <c r="DM211" s="66">
        <v>18.341304164499999</v>
      </c>
      <c r="DN211" s="66">
        <v>10.461522751900002</v>
      </c>
      <c r="DO211" s="66">
        <v>19.974165934900004</v>
      </c>
      <c r="DP211" s="79"/>
      <c r="DQ211" s="80"/>
      <c r="DR211" s="81"/>
      <c r="DS211" s="84">
        <f t="shared" si="29"/>
        <v>2021</v>
      </c>
      <c r="DT211" s="80"/>
      <c r="DU211" s="83">
        <f t="shared" si="31"/>
        <v>-96</v>
      </c>
      <c r="DV211" s="83">
        <f t="shared" si="31"/>
        <v>-96</v>
      </c>
      <c r="DW211" s="83">
        <f t="shared" si="31"/>
        <v>-96</v>
      </c>
      <c r="DX211" s="83">
        <f t="shared" si="31"/>
        <v>-96</v>
      </c>
      <c r="DY211" s="83">
        <f t="shared" si="31"/>
        <v>-96</v>
      </c>
      <c r="DZ211" s="83">
        <f t="shared" si="31"/>
        <v>-96</v>
      </c>
      <c r="EA211" s="83">
        <f t="shared" si="31"/>
        <v>-96</v>
      </c>
      <c r="EB211" s="83">
        <f t="shared" si="31"/>
        <v>-93.229403739000006</v>
      </c>
      <c r="EC211" s="83">
        <f t="shared" si="31"/>
        <v>51.994046789999999</v>
      </c>
      <c r="ED211" s="83">
        <f t="shared" si="31"/>
        <v>110.20528341230002</v>
      </c>
    </row>
    <row r="212" spans="2:134" x14ac:dyDescent="0.3">
      <c r="B212" s="45">
        <f t="shared" si="30"/>
        <v>1000000208</v>
      </c>
      <c r="C212" s="46">
        <v>44105</v>
      </c>
      <c r="D212" s="66">
        <v>-8</v>
      </c>
      <c r="E212" s="66">
        <v>-8</v>
      </c>
      <c r="F212" s="66">
        <v>-8</v>
      </c>
      <c r="G212" s="66">
        <v>-8</v>
      </c>
      <c r="H212" s="66">
        <v>-8</v>
      </c>
      <c r="I212" s="66">
        <v>-8</v>
      </c>
      <c r="J212" s="66">
        <v>-8</v>
      </c>
      <c r="K212" s="66">
        <v>-8</v>
      </c>
      <c r="L212" s="66">
        <v>-8</v>
      </c>
      <c r="M212" s="66">
        <v>-8</v>
      </c>
      <c r="N212" s="66">
        <v>-8</v>
      </c>
      <c r="O212" s="66">
        <v>-8</v>
      </c>
      <c r="P212" s="66">
        <v>-8</v>
      </c>
      <c r="Q212" s="66">
        <v>-8</v>
      </c>
      <c r="R212" s="66">
        <v>-8</v>
      </c>
      <c r="S212" s="66">
        <v>-8</v>
      </c>
      <c r="T212" s="66">
        <v>-8</v>
      </c>
      <c r="U212" s="66">
        <v>-8</v>
      </c>
      <c r="V212" s="66">
        <v>-8</v>
      </c>
      <c r="W212" s="66">
        <v>-8</v>
      </c>
      <c r="X212" s="66">
        <v>-8</v>
      </c>
      <c r="Y212" s="66">
        <v>-8</v>
      </c>
      <c r="Z212" s="66">
        <v>-8</v>
      </c>
      <c r="AA212" s="66">
        <v>-8</v>
      </c>
      <c r="AB212" s="66">
        <v>-8</v>
      </c>
      <c r="AC212" s="66">
        <v>-8</v>
      </c>
      <c r="AD212" s="66">
        <v>-8</v>
      </c>
      <c r="AE212" s="66">
        <v>-8</v>
      </c>
      <c r="AF212" s="66">
        <v>-8</v>
      </c>
      <c r="AG212" s="66">
        <v>-8</v>
      </c>
      <c r="AH212" s="66">
        <v>-8</v>
      </c>
      <c r="AI212" s="66">
        <v>-8</v>
      </c>
      <c r="AJ212" s="66">
        <v>-8</v>
      </c>
      <c r="AK212" s="66">
        <v>-8</v>
      </c>
      <c r="AL212" s="66">
        <v>-8</v>
      </c>
      <c r="AM212" s="66">
        <v>-8</v>
      </c>
      <c r="AN212" s="66">
        <v>-8</v>
      </c>
      <c r="AO212" s="66">
        <v>-8</v>
      </c>
      <c r="AP212" s="66">
        <v>-8</v>
      </c>
      <c r="AQ212" s="66">
        <v>-8</v>
      </c>
      <c r="AR212" s="66">
        <v>-8</v>
      </c>
      <c r="AS212" s="66">
        <v>-8</v>
      </c>
      <c r="AT212" s="66">
        <v>-8</v>
      </c>
      <c r="AU212" s="66">
        <v>-8</v>
      </c>
      <c r="AV212" s="66">
        <v>-8</v>
      </c>
      <c r="AW212" s="66">
        <v>-8</v>
      </c>
      <c r="AX212" s="66">
        <v>-8</v>
      </c>
      <c r="AY212" s="66">
        <v>-8</v>
      </c>
      <c r="AZ212" s="66">
        <v>-8</v>
      </c>
      <c r="BA212" s="66">
        <v>-8</v>
      </c>
      <c r="BB212" s="66">
        <v>-8</v>
      </c>
      <c r="BC212" s="66">
        <v>-8</v>
      </c>
      <c r="BD212" s="66">
        <v>-8</v>
      </c>
      <c r="BE212" s="66">
        <v>-8</v>
      </c>
      <c r="BF212" s="66">
        <v>-8</v>
      </c>
      <c r="BG212" s="66">
        <v>-8</v>
      </c>
      <c r="BH212" s="66">
        <v>-8</v>
      </c>
      <c r="BI212" s="66">
        <v>-8</v>
      </c>
      <c r="BJ212" s="66">
        <v>-8</v>
      </c>
      <c r="BK212" s="66">
        <v>-8</v>
      </c>
      <c r="BL212" s="66">
        <v>-8</v>
      </c>
      <c r="BM212" s="66">
        <v>-8</v>
      </c>
      <c r="BN212" s="66">
        <v>-8</v>
      </c>
      <c r="BO212" s="66">
        <v>-8</v>
      </c>
      <c r="BP212" s="66">
        <v>-8</v>
      </c>
      <c r="BQ212" s="66">
        <v>-8</v>
      </c>
      <c r="BR212" s="66">
        <v>-8</v>
      </c>
      <c r="BS212" s="66">
        <v>-8</v>
      </c>
      <c r="BT212" s="66">
        <v>-8</v>
      </c>
      <c r="BU212" s="66">
        <v>-8</v>
      </c>
      <c r="BV212" s="66">
        <v>-8</v>
      </c>
      <c r="BW212" s="66">
        <v>-8</v>
      </c>
      <c r="BX212" s="66">
        <v>-8</v>
      </c>
      <c r="BY212" s="66">
        <v>-8</v>
      </c>
      <c r="BZ212" s="66">
        <v>-8</v>
      </c>
      <c r="CA212" s="66">
        <v>-8</v>
      </c>
      <c r="CB212" s="66">
        <v>-8</v>
      </c>
      <c r="CC212" s="66">
        <v>-8</v>
      </c>
      <c r="CD212" s="66">
        <v>-8</v>
      </c>
      <c r="CE212" s="66">
        <v>-8</v>
      </c>
      <c r="CF212" s="66">
        <v>-8</v>
      </c>
      <c r="CG212" s="66">
        <v>-8</v>
      </c>
      <c r="CH212" s="66">
        <v>2.601180169900001</v>
      </c>
      <c r="CI212" s="66">
        <v>-1.1686020052999995</v>
      </c>
      <c r="CJ212" s="66">
        <v>-1.7462504984000002</v>
      </c>
      <c r="CK212" s="66">
        <v>4.0568783896000014</v>
      </c>
      <c r="CL212" s="66">
        <v>-0.65730071779999921</v>
      </c>
      <c r="CM212" s="66">
        <v>1.9469021554000019</v>
      </c>
      <c r="CN212" s="66">
        <v>1.6146407536000016</v>
      </c>
      <c r="CO212" s="66">
        <v>0.67624809339999992</v>
      </c>
      <c r="CP212" s="66">
        <v>1.856725495300001</v>
      </c>
      <c r="CQ212" s="66">
        <v>0.20213576560000135</v>
      </c>
      <c r="CR212" s="66">
        <v>2.0806473142000002</v>
      </c>
      <c r="CS212" s="66">
        <v>-0.55436497969999987</v>
      </c>
      <c r="CT212" s="66">
        <v>0.88846158190000146</v>
      </c>
      <c r="CU212" s="66">
        <v>0.57980447439999949</v>
      </c>
      <c r="CV212" s="66">
        <v>2.2254628495000013</v>
      </c>
      <c r="CW212" s="66">
        <v>3.2530940022999992</v>
      </c>
      <c r="CX212" s="66">
        <v>2.0268715531000012</v>
      </c>
      <c r="CY212" s="66">
        <v>-1.1708911339999997</v>
      </c>
      <c r="CZ212" s="66">
        <v>8.3438813499999043E-2</v>
      </c>
      <c r="DA212" s="66">
        <v>-0.6774900824000003</v>
      </c>
      <c r="DB212" s="66">
        <v>-2.0809136090000004</v>
      </c>
      <c r="DC212" s="66">
        <v>2.7352255423000003</v>
      </c>
      <c r="DD212" s="66">
        <v>0.41138464480000003</v>
      </c>
      <c r="DE212" s="66">
        <v>0.69587455749999982</v>
      </c>
      <c r="DF212" s="66">
        <v>0.49217962990000075</v>
      </c>
      <c r="DG212" s="66">
        <v>-0.73696990189999934</v>
      </c>
      <c r="DH212" s="66">
        <v>7.1805536499999434E-2</v>
      </c>
      <c r="DI212" s="66">
        <v>25.570672812700003</v>
      </c>
      <c r="DJ212" s="66">
        <v>13.73546464</v>
      </c>
      <c r="DK212" s="66">
        <v>16.164980724700001</v>
      </c>
      <c r="DL212" s="66">
        <v>23.2134331522</v>
      </c>
      <c r="DM212" s="66">
        <v>15.6485007526</v>
      </c>
      <c r="DN212" s="66">
        <v>9.0374970670000039</v>
      </c>
      <c r="DO212" s="66">
        <v>25.411522078000004</v>
      </c>
      <c r="DP212" s="79"/>
      <c r="DQ212" s="80"/>
      <c r="DR212" s="81"/>
      <c r="DS212" s="84">
        <f t="shared" si="29"/>
        <v>2020</v>
      </c>
      <c r="DT212" s="80"/>
      <c r="DU212" s="83">
        <f t="shared" si="31"/>
        <v>-96</v>
      </c>
      <c r="DV212" s="83">
        <f t="shared" si="31"/>
        <v>-96</v>
      </c>
      <c r="DW212" s="83">
        <f t="shared" si="31"/>
        <v>-96</v>
      </c>
      <c r="DX212" s="83">
        <f t="shared" si="31"/>
        <v>-96</v>
      </c>
      <c r="DY212" s="83">
        <f t="shared" si="31"/>
        <v>-96</v>
      </c>
      <c r="DZ212" s="83">
        <f t="shared" si="31"/>
        <v>-96</v>
      </c>
      <c r="EA212" s="83">
        <f t="shared" si="31"/>
        <v>-78.567421835399998</v>
      </c>
      <c r="EB212" s="83">
        <f t="shared" si="31"/>
        <v>10.944527827500009</v>
      </c>
      <c r="EC212" s="83">
        <f t="shared" si="31"/>
        <v>7.2572668656000019</v>
      </c>
      <c r="ED212" s="83">
        <f t="shared" si="31"/>
        <v>128.85387676370001</v>
      </c>
    </row>
    <row r="213" spans="2:134" x14ac:dyDescent="0.3">
      <c r="B213" s="45">
        <f t="shared" si="30"/>
        <v>1000000209</v>
      </c>
      <c r="C213" s="46">
        <v>43617</v>
      </c>
      <c r="D213" s="66">
        <v>-8</v>
      </c>
      <c r="E213" s="66">
        <v>-8</v>
      </c>
      <c r="F213" s="66">
        <v>-8</v>
      </c>
      <c r="G213" s="66">
        <v>-8</v>
      </c>
      <c r="H213" s="66">
        <v>-8</v>
      </c>
      <c r="I213" s="66">
        <v>-8</v>
      </c>
      <c r="J213" s="66">
        <v>-8</v>
      </c>
      <c r="K213" s="66">
        <v>-8</v>
      </c>
      <c r="L213" s="66">
        <v>-8</v>
      </c>
      <c r="M213" s="66">
        <v>-8</v>
      </c>
      <c r="N213" s="66">
        <v>-8</v>
      </c>
      <c r="O213" s="66">
        <v>-8</v>
      </c>
      <c r="P213" s="66">
        <v>-8</v>
      </c>
      <c r="Q213" s="66">
        <v>-8</v>
      </c>
      <c r="R213" s="66">
        <v>-8</v>
      </c>
      <c r="S213" s="66">
        <v>-8</v>
      </c>
      <c r="T213" s="66">
        <v>-8</v>
      </c>
      <c r="U213" s="66">
        <v>-8</v>
      </c>
      <c r="V213" s="66">
        <v>-8</v>
      </c>
      <c r="W213" s="66">
        <v>-8</v>
      </c>
      <c r="X213" s="66">
        <v>-8</v>
      </c>
      <c r="Y213" s="66">
        <v>-8</v>
      </c>
      <c r="Z213" s="66">
        <v>-8</v>
      </c>
      <c r="AA213" s="66">
        <v>-8</v>
      </c>
      <c r="AB213" s="66">
        <v>-8</v>
      </c>
      <c r="AC213" s="66">
        <v>-8</v>
      </c>
      <c r="AD213" s="66">
        <v>-8</v>
      </c>
      <c r="AE213" s="66">
        <v>-8</v>
      </c>
      <c r="AF213" s="66">
        <v>-8</v>
      </c>
      <c r="AG213" s="66">
        <v>-8</v>
      </c>
      <c r="AH213" s="66">
        <v>-8</v>
      </c>
      <c r="AI213" s="66">
        <v>-8</v>
      </c>
      <c r="AJ213" s="66">
        <v>-8</v>
      </c>
      <c r="AK213" s="66">
        <v>-8</v>
      </c>
      <c r="AL213" s="66">
        <v>-8</v>
      </c>
      <c r="AM213" s="66">
        <v>-8</v>
      </c>
      <c r="AN213" s="66">
        <v>-8</v>
      </c>
      <c r="AO213" s="66">
        <v>-8</v>
      </c>
      <c r="AP213" s="66">
        <v>-8</v>
      </c>
      <c r="AQ213" s="66">
        <v>-8</v>
      </c>
      <c r="AR213" s="66">
        <v>-8</v>
      </c>
      <c r="AS213" s="66">
        <v>-8</v>
      </c>
      <c r="AT213" s="66">
        <v>-8</v>
      </c>
      <c r="AU213" s="66">
        <v>-8</v>
      </c>
      <c r="AV213" s="66">
        <v>-8</v>
      </c>
      <c r="AW213" s="66">
        <v>-8</v>
      </c>
      <c r="AX213" s="66">
        <v>-8</v>
      </c>
      <c r="AY213" s="66">
        <v>-8</v>
      </c>
      <c r="AZ213" s="66">
        <v>-8</v>
      </c>
      <c r="BA213" s="66">
        <v>-8</v>
      </c>
      <c r="BB213" s="66">
        <v>-8</v>
      </c>
      <c r="BC213" s="66">
        <v>-8</v>
      </c>
      <c r="BD213" s="66">
        <v>-8</v>
      </c>
      <c r="BE213" s="66">
        <v>-8</v>
      </c>
      <c r="BF213" s="66">
        <v>-8</v>
      </c>
      <c r="BG213" s="66">
        <v>-8</v>
      </c>
      <c r="BH213" s="66">
        <v>-8</v>
      </c>
      <c r="BI213" s="66">
        <v>-8</v>
      </c>
      <c r="BJ213" s="66">
        <v>-8</v>
      </c>
      <c r="BK213" s="66">
        <v>-8</v>
      </c>
      <c r="BL213" s="66">
        <v>-8</v>
      </c>
      <c r="BM213" s="66">
        <v>-8</v>
      </c>
      <c r="BN213" s="66">
        <v>-8</v>
      </c>
      <c r="BO213" s="66">
        <v>-8</v>
      </c>
      <c r="BP213" s="66">
        <v>-8</v>
      </c>
      <c r="BQ213" s="66">
        <v>-7.9624733000000001</v>
      </c>
      <c r="BR213" s="66">
        <v>-7.5188701793000003</v>
      </c>
      <c r="BS213" s="66">
        <v>-1.5125717375000001</v>
      </c>
      <c r="BT213" s="66">
        <v>-4.003781716999999</v>
      </c>
      <c r="BU213" s="66">
        <v>-5.2666677521</v>
      </c>
      <c r="BV213" s="66">
        <v>-4.7286849808999998</v>
      </c>
      <c r="BW213" s="66">
        <v>-4.9065990656</v>
      </c>
      <c r="BX213" s="66">
        <v>-2.734065822499999</v>
      </c>
      <c r="BY213" s="66">
        <v>6.3887124742000001</v>
      </c>
      <c r="BZ213" s="66">
        <v>8.3478689011</v>
      </c>
      <c r="CA213" s="66">
        <v>11.929342095700001</v>
      </c>
      <c r="CB213" s="66">
        <v>0.31873122250000208</v>
      </c>
      <c r="CC213" s="66">
        <v>7.0406263066000001</v>
      </c>
      <c r="CD213" s="66">
        <v>10.081002013900001</v>
      </c>
      <c r="CE213" s="66">
        <v>11.987395900599999</v>
      </c>
      <c r="CF213" s="66">
        <v>8.0166582469000005</v>
      </c>
      <c r="CG213" s="66">
        <v>11.292026149599998</v>
      </c>
      <c r="CH213" s="66">
        <v>9.371184483400004</v>
      </c>
      <c r="CI213" s="66">
        <v>3.053114218000001</v>
      </c>
      <c r="CJ213" s="66">
        <v>3.4904503798000004</v>
      </c>
      <c r="CK213" s="66">
        <v>0.17774341060000154</v>
      </c>
      <c r="CL213" s="66">
        <v>8.6814812641000003</v>
      </c>
      <c r="CM213" s="66">
        <v>12.363263327799999</v>
      </c>
      <c r="CN213" s="66">
        <v>11.376198537699999</v>
      </c>
      <c r="CO213" s="66">
        <v>16.680485002600001</v>
      </c>
      <c r="CP213" s="66">
        <v>4.1328324304000006</v>
      </c>
      <c r="CQ213" s="66">
        <v>12.541440099400003</v>
      </c>
      <c r="CR213" s="66">
        <v>18.804571276000001</v>
      </c>
      <c r="CS213" s="66">
        <v>9.0762621481000032</v>
      </c>
      <c r="CT213" s="66">
        <v>11.164810636599999</v>
      </c>
      <c r="CU213" s="66">
        <v>11.434252342600001</v>
      </c>
      <c r="CV213" s="66">
        <v>6.8906696134000036</v>
      </c>
      <c r="CW213" s="66">
        <v>10.748677060300004</v>
      </c>
      <c r="CX213" s="66">
        <v>17.136321827499998</v>
      </c>
      <c r="CY213" s="66">
        <v>35.388970967200002</v>
      </c>
      <c r="CZ213" s="66">
        <v>4.3187021754999986</v>
      </c>
      <c r="DA213" s="66">
        <v>13.653656434000002</v>
      </c>
      <c r="DB213" s="66">
        <v>12.198258427900001</v>
      </c>
      <c r="DC213" s="66">
        <v>35.7744077029</v>
      </c>
      <c r="DD213" s="66">
        <v>-2.7383063395999994</v>
      </c>
      <c r="DE213" s="66">
        <v>9.0119038576000037</v>
      </c>
      <c r="DF213" s="66">
        <v>20.647432459600005</v>
      </c>
      <c r="DG213" s="66">
        <v>-3.8050403137999993</v>
      </c>
      <c r="DH213" s="66">
        <v>8.6333345079999972</v>
      </c>
      <c r="DI213" s="66">
        <v>13.765786213600002</v>
      </c>
      <c r="DJ213" s="66">
        <v>7.5204426928000014</v>
      </c>
      <c r="DK213" s="66">
        <v>11.758970877699998</v>
      </c>
      <c r="DL213" s="66">
        <v>-1.2481961359999998</v>
      </c>
      <c r="DM213" s="66">
        <v>6.2116615035999985</v>
      </c>
      <c r="DN213" s="66">
        <v>-6.1507592773999997</v>
      </c>
      <c r="DO213" s="66">
        <v>2.7236673187000005</v>
      </c>
      <c r="DP213" s="79"/>
      <c r="DQ213" s="80"/>
      <c r="DR213" s="81"/>
      <c r="DS213" s="84">
        <f t="shared" si="29"/>
        <v>2019</v>
      </c>
      <c r="DT213" s="80"/>
      <c r="DU213" s="83">
        <f t="shared" si="31"/>
        <v>-96</v>
      </c>
      <c r="DV213" s="83">
        <f t="shared" si="31"/>
        <v>-96</v>
      </c>
      <c r="DW213" s="83">
        <f t="shared" si="31"/>
        <v>-96</v>
      </c>
      <c r="DX213" s="83">
        <f t="shared" si="31"/>
        <v>-96</v>
      </c>
      <c r="DY213" s="83">
        <f t="shared" si="31"/>
        <v>-96</v>
      </c>
      <c r="DZ213" s="83">
        <f t="shared" si="31"/>
        <v>-75.89964873240001</v>
      </c>
      <c r="EA213" s="83">
        <f t="shared" si="31"/>
        <v>85.092596190000009</v>
      </c>
      <c r="EB213" s="83">
        <f t="shared" si="31"/>
        <v>119.92379085570001</v>
      </c>
      <c r="EC213" s="83">
        <f t="shared" si="31"/>
        <v>159.2256538725</v>
      </c>
      <c r="ED213" s="83">
        <f t="shared" si="31"/>
        <v>43.214907701000001</v>
      </c>
    </row>
    <row r="214" spans="2:134" x14ac:dyDescent="0.3">
      <c r="B214" s="45">
        <f t="shared" si="30"/>
        <v>1000000210</v>
      </c>
      <c r="C214" s="46">
        <v>44287</v>
      </c>
      <c r="D214" s="66">
        <v>-8</v>
      </c>
      <c r="E214" s="66">
        <v>-8</v>
      </c>
      <c r="F214" s="66">
        <v>-8</v>
      </c>
      <c r="G214" s="66">
        <v>-8</v>
      </c>
      <c r="H214" s="66">
        <v>-8</v>
      </c>
      <c r="I214" s="66">
        <v>-8</v>
      </c>
      <c r="J214" s="66">
        <v>-8</v>
      </c>
      <c r="K214" s="66">
        <v>-8</v>
      </c>
      <c r="L214" s="66">
        <v>-8</v>
      </c>
      <c r="M214" s="66">
        <v>-8</v>
      </c>
      <c r="N214" s="66">
        <v>-8</v>
      </c>
      <c r="O214" s="66">
        <v>-8</v>
      </c>
      <c r="P214" s="66">
        <v>-8</v>
      </c>
      <c r="Q214" s="66">
        <v>-8</v>
      </c>
      <c r="R214" s="66">
        <v>-8</v>
      </c>
      <c r="S214" s="66">
        <v>-8</v>
      </c>
      <c r="T214" s="66">
        <v>-8</v>
      </c>
      <c r="U214" s="66">
        <v>-8</v>
      </c>
      <c r="V214" s="66">
        <v>-8</v>
      </c>
      <c r="W214" s="66">
        <v>-8</v>
      </c>
      <c r="X214" s="66">
        <v>-8</v>
      </c>
      <c r="Y214" s="66">
        <v>-8</v>
      </c>
      <c r="Z214" s="66">
        <v>-8</v>
      </c>
      <c r="AA214" s="66">
        <v>-8</v>
      </c>
      <c r="AB214" s="66">
        <v>-8</v>
      </c>
      <c r="AC214" s="66">
        <v>-8</v>
      </c>
      <c r="AD214" s="66">
        <v>-8</v>
      </c>
      <c r="AE214" s="66">
        <v>-8</v>
      </c>
      <c r="AF214" s="66">
        <v>-8</v>
      </c>
      <c r="AG214" s="66">
        <v>-8</v>
      </c>
      <c r="AH214" s="66">
        <v>-8</v>
      </c>
      <c r="AI214" s="66">
        <v>-8</v>
      </c>
      <c r="AJ214" s="66">
        <v>-8</v>
      </c>
      <c r="AK214" s="66">
        <v>-8</v>
      </c>
      <c r="AL214" s="66">
        <v>-8</v>
      </c>
      <c r="AM214" s="66">
        <v>-8</v>
      </c>
      <c r="AN214" s="66">
        <v>-8</v>
      </c>
      <c r="AO214" s="66">
        <v>-8</v>
      </c>
      <c r="AP214" s="66">
        <v>-8</v>
      </c>
      <c r="AQ214" s="66">
        <v>-8</v>
      </c>
      <c r="AR214" s="66">
        <v>-8</v>
      </c>
      <c r="AS214" s="66">
        <v>-8</v>
      </c>
      <c r="AT214" s="66">
        <v>-8</v>
      </c>
      <c r="AU214" s="66">
        <v>-8</v>
      </c>
      <c r="AV214" s="66">
        <v>-8</v>
      </c>
      <c r="AW214" s="66">
        <v>-8</v>
      </c>
      <c r="AX214" s="66">
        <v>-8</v>
      </c>
      <c r="AY214" s="66">
        <v>-8</v>
      </c>
      <c r="AZ214" s="66">
        <v>-8</v>
      </c>
      <c r="BA214" s="66">
        <v>-8</v>
      </c>
      <c r="BB214" s="66">
        <v>-8</v>
      </c>
      <c r="BC214" s="66">
        <v>-8</v>
      </c>
      <c r="BD214" s="66">
        <v>-8</v>
      </c>
      <c r="BE214" s="66">
        <v>-8</v>
      </c>
      <c r="BF214" s="66">
        <v>-8</v>
      </c>
      <c r="BG214" s="66">
        <v>-8</v>
      </c>
      <c r="BH214" s="66">
        <v>-8</v>
      </c>
      <c r="BI214" s="66">
        <v>-8</v>
      </c>
      <c r="BJ214" s="66">
        <v>-8</v>
      </c>
      <c r="BK214" s="66">
        <v>-8</v>
      </c>
      <c r="BL214" s="66">
        <v>-8</v>
      </c>
      <c r="BM214" s="66">
        <v>-8</v>
      </c>
      <c r="BN214" s="66">
        <v>-8</v>
      </c>
      <c r="BO214" s="66">
        <v>-8</v>
      </c>
      <c r="BP214" s="66">
        <v>-8</v>
      </c>
      <c r="BQ214" s="66">
        <v>-8</v>
      </c>
      <c r="BR214" s="66">
        <v>-8</v>
      </c>
      <c r="BS214" s="66">
        <v>-8</v>
      </c>
      <c r="BT214" s="66">
        <v>-8</v>
      </c>
      <c r="BU214" s="66">
        <v>-8</v>
      </c>
      <c r="BV214" s="66">
        <v>-8</v>
      </c>
      <c r="BW214" s="66">
        <v>-8</v>
      </c>
      <c r="BX214" s="66">
        <v>-8</v>
      </c>
      <c r="BY214" s="66">
        <v>-8</v>
      </c>
      <c r="BZ214" s="66">
        <v>-8</v>
      </c>
      <c r="CA214" s="66">
        <v>-8</v>
      </c>
      <c r="CB214" s="66">
        <v>-8</v>
      </c>
      <c r="CC214" s="66">
        <v>-8</v>
      </c>
      <c r="CD214" s="66">
        <v>-8</v>
      </c>
      <c r="CE214" s="66">
        <v>-8</v>
      </c>
      <c r="CF214" s="66">
        <v>-8</v>
      </c>
      <c r="CG214" s="66">
        <v>-8</v>
      </c>
      <c r="CH214" s="66">
        <v>-8</v>
      </c>
      <c r="CI214" s="66">
        <v>-8</v>
      </c>
      <c r="CJ214" s="66">
        <v>-8</v>
      </c>
      <c r="CK214" s="66">
        <v>-8</v>
      </c>
      <c r="CL214" s="66">
        <v>-8</v>
      </c>
      <c r="CM214" s="66">
        <v>-8</v>
      </c>
      <c r="CN214" s="66">
        <v>-2.7250969412000003</v>
      </c>
      <c r="CO214" s="66">
        <v>-0.49792482289999906</v>
      </c>
      <c r="CP214" s="66">
        <v>-0.92073815179999929</v>
      </c>
      <c r="CQ214" s="66">
        <v>-1.2009500206999997</v>
      </c>
      <c r="CR214" s="66">
        <v>2.3727176202999996</v>
      </c>
      <c r="CS214" s="66">
        <v>-2.1471857611999994</v>
      </c>
      <c r="CT214" s="66">
        <v>0.54531743710000136</v>
      </c>
      <c r="CU214" s="66">
        <v>6.0301073289999998</v>
      </c>
      <c r="CV214" s="66">
        <v>3.320942275900002</v>
      </c>
      <c r="CW214" s="66">
        <v>4.394806323100001</v>
      </c>
      <c r="CX214" s="66">
        <v>3.2762104495000006</v>
      </c>
      <c r="CY214" s="66">
        <v>3.5849801370999987</v>
      </c>
      <c r="CZ214" s="66">
        <v>2.4828584848000013</v>
      </c>
      <c r="DA214" s="66">
        <v>4.4513965867000014</v>
      </c>
      <c r="DB214" s="66">
        <v>3.6107985067000019</v>
      </c>
      <c r="DC214" s="66">
        <v>4.0508365908999995</v>
      </c>
      <c r="DD214" s="66">
        <v>0.81044357259999877</v>
      </c>
      <c r="DE214" s="66">
        <v>4.5360943486000025</v>
      </c>
      <c r="DF214" s="66">
        <v>1.5089280396999989</v>
      </c>
      <c r="DG214" s="66">
        <v>2.8197731974</v>
      </c>
      <c r="DH214" s="66">
        <v>7.8599092210000006</v>
      </c>
      <c r="DI214" s="66">
        <v>2.9492403123999988</v>
      </c>
      <c r="DJ214" s="66">
        <v>1.1718632203000006</v>
      </c>
      <c r="DK214" s="66">
        <v>4.5779366191000008</v>
      </c>
      <c r="DL214" s="66">
        <v>5.2914317662000023</v>
      </c>
      <c r="DM214" s="66">
        <v>7.2477361638999991</v>
      </c>
      <c r="DN214" s="66">
        <v>8.2857622126000052</v>
      </c>
      <c r="DO214" s="66">
        <v>10.5515868319</v>
      </c>
      <c r="DP214" s="79"/>
      <c r="DQ214" s="80"/>
      <c r="DR214" s="81"/>
      <c r="DS214" s="84">
        <f t="shared" si="29"/>
        <v>2021</v>
      </c>
      <c r="DT214" s="80"/>
      <c r="DU214" s="83">
        <f t="shared" si="31"/>
        <v>-96</v>
      </c>
      <c r="DV214" s="83">
        <f t="shared" si="31"/>
        <v>-96</v>
      </c>
      <c r="DW214" s="83">
        <f t="shared" si="31"/>
        <v>-96</v>
      </c>
      <c r="DX214" s="83">
        <f t="shared" si="31"/>
        <v>-96</v>
      </c>
      <c r="DY214" s="83">
        <f t="shared" si="31"/>
        <v>-96</v>
      </c>
      <c r="DZ214" s="83">
        <f t="shared" si="31"/>
        <v>-96</v>
      </c>
      <c r="EA214" s="83">
        <f t="shared" si="31"/>
        <v>-96</v>
      </c>
      <c r="EB214" s="83">
        <f t="shared" si="31"/>
        <v>-30.543753311399993</v>
      </c>
      <c r="EC214" s="83">
        <f t="shared" si="31"/>
        <v>38.848068513000001</v>
      </c>
      <c r="ED214" s="83">
        <f t="shared" si="31"/>
        <v>47.935466347400009</v>
      </c>
    </row>
    <row r="215" spans="2:134" x14ac:dyDescent="0.3">
      <c r="B215" s="45">
        <f t="shared" si="30"/>
        <v>1000000211</v>
      </c>
      <c r="C215" s="46">
        <v>43800</v>
      </c>
      <c r="D215" s="66">
        <v>-8</v>
      </c>
      <c r="E215" s="66">
        <v>-8</v>
      </c>
      <c r="F215" s="66">
        <v>-8</v>
      </c>
      <c r="G215" s="66">
        <v>-8</v>
      </c>
      <c r="H215" s="66">
        <v>-8</v>
      </c>
      <c r="I215" s="66">
        <v>-8</v>
      </c>
      <c r="J215" s="66">
        <v>-8</v>
      </c>
      <c r="K215" s="66">
        <v>-8</v>
      </c>
      <c r="L215" s="66">
        <v>-8</v>
      </c>
      <c r="M215" s="66">
        <v>-8</v>
      </c>
      <c r="N215" s="66">
        <v>-8</v>
      </c>
      <c r="O215" s="66">
        <v>-8</v>
      </c>
      <c r="P215" s="66">
        <v>-8</v>
      </c>
      <c r="Q215" s="66">
        <v>-8</v>
      </c>
      <c r="R215" s="66">
        <v>-8</v>
      </c>
      <c r="S215" s="66">
        <v>-8</v>
      </c>
      <c r="T215" s="66">
        <v>-8</v>
      </c>
      <c r="U215" s="66">
        <v>-8</v>
      </c>
      <c r="V215" s="66">
        <v>-8</v>
      </c>
      <c r="W215" s="66">
        <v>-8</v>
      </c>
      <c r="X215" s="66">
        <v>-8</v>
      </c>
      <c r="Y215" s="66">
        <v>-8</v>
      </c>
      <c r="Z215" s="66">
        <v>-8</v>
      </c>
      <c r="AA215" s="66">
        <v>-8</v>
      </c>
      <c r="AB215" s="66">
        <v>-8</v>
      </c>
      <c r="AC215" s="66">
        <v>-8</v>
      </c>
      <c r="AD215" s="66">
        <v>-8</v>
      </c>
      <c r="AE215" s="66">
        <v>-8</v>
      </c>
      <c r="AF215" s="66">
        <v>-8</v>
      </c>
      <c r="AG215" s="66">
        <v>-8</v>
      </c>
      <c r="AH215" s="66">
        <v>-8</v>
      </c>
      <c r="AI215" s="66">
        <v>-8</v>
      </c>
      <c r="AJ215" s="66">
        <v>-8</v>
      </c>
      <c r="AK215" s="66">
        <v>-8</v>
      </c>
      <c r="AL215" s="66">
        <v>-8</v>
      </c>
      <c r="AM215" s="66">
        <v>-8</v>
      </c>
      <c r="AN215" s="66">
        <v>-8</v>
      </c>
      <c r="AO215" s="66">
        <v>-8</v>
      </c>
      <c r="AP215" s="66">
        <v>-8</v>
      </c>
      <c r="AQ215" s="66">
        <v>-8</v>
      </c>
      <c r="AR215" s="66">
        <v>-8</v>
      </c>
      <c r="AS215" s="66">
        <v>-8</v>
      </c>
      <c r="AT215" s="66">
        <v>-8</v>
      </c>
      <c r="AU215" s="66">
        <v>-8</v>
      </c>
      <c r="AV215" s="66">
        <v>-8</v>
      </c>
      <c r="AW215" s="66">
        <v>-8</v>
      </c>
      <c r="AX215" s="66">
        <v>-8</v>
      </c>
      <c r="AY215" s="66">
        <v>-8</v>
      </c>
      <c r="AZ215" s="66">
        <v>-8</v>
      </c>
      <c r="BA215" s="66">
        <v>-8</v>
      </c>
      <c r="BB215" s="66">
        <v>-8</v>
      </c>
      <c r="BC215" s="66">
        <v>-8</v>
      </c>
      <c r="BD215" s="66">
        <v>-8</v>
      </c>
      <c r="BE215" s="66">
        <v>-8</v>
      </c>
      <c r="BF215" s="66">
        <v>-8</v>
      </c>
      <c r="BG215" s="66">
        <v>-8</v>
      </c>
      <c r="BH215" s="66">
        <v>-8</v>
      </c>
      <c r="BI215" s="66">
        <v>-8</v>
      </c>
      <c r="BJ215" s="66">
        <v>-8</v>
      </c>
      <c r="BK215" s="66">
        <v>-8</v>
      </c>
      <c r="BL215" s="66">
        <v>-8</v>
      </c>
      <c r="BM215" s="66">
        <v>-8</v>
      </c>
      <c r="BN215" s="66">
        <v>-8</v>
      </c>
      <c r="BO215" s="66">
        <v>-8</v>
      </c>
      <c r="BP215" s="66">
        <v>-8</v>
      </c>
      <c r="BQ215" s="66">
        <v>-8</v>
      </c>
      <c r="BR215" s="66">
        <v>-8</v>
      </c>
      <c r="BS215" s="66">
        <v>-8</v>
      </c>
      <c r="BT215" s="66">
        <v>-8</v>
      </c>
      <c r="BU215" s="66">
        <v>-8</v>
      </c>
      <c r="BV215" s="66">
        <v>-8</v>
      </c>
      <c r="BW215" s="66">
        <v>-7.2682668767000003</v>
      </c>
      <c r="BX215" s="66">
        <v>8.4804882588999995</v>
      </c>
      <c r="BY215" s="66">
        <v>10.654597623400001</v>
      </c>
      <c r="BZ215" s="66">
        <v>8.4808635258999985</v>
      </c>
      <c r="CA215" s="66">
        <v>10.030716235900002</v>
      </c>
      <c r="CB215" s="66">
        <v>11.4846882274</v>
      </c>
      <c r="CC215" s="66">
        <v>17.171371765299998</v>
      </c>
      <c r="CD215" s="66">
        <v>12.611239761400004</v>
      </c>
      <c r="CE215" s="66">
        <v>13.5509458561</v>
      </c>
      <c r="CF215" s="66">
        <v>17.761103855799998</v>
      </c>
      <c r="CG215" s="66">
        <v>9.9176482888000024</v>
      </c>
      <c r="CH215" s="66">
        <v>8.2636589863000012</v>
      </c>
      <c r="CI215" s="66">
        <v>10.175194030900002</v>
      </c>
      <c r="CJ215" s="66">
        <v>8.4401470564000007</v>
      </c>
      <c r="CK215" s="66">
        <v>8.9145595978000003</v>
      </c>
      <c r="CL215" s="66">
        <v>12.899407290700001</v>
      </c>
      <c r="CM215" s="66">
        <v>15.069276138100001</v>
      </c>
      <c r="CN215" s="66">
        <v>7.3313831782000047</v>
      </c>
      <c r="CO215" s="66">
        <v>4.2949477744000006</v>
      </c>
      <c r="CP215" s="66">
        <v>0.63665742490000099</v>
      </c>
      <c r="CQ215" s="66">
        <v>5.9613959413000028</v>
      </c>
      <c r="CR215" s="66">
        <v>11.527806405700005</v>
      </c>
      <c r="CS215" s="66">
        <v>8.9789929417000032</v>
      </c>
      <c r="CT215" s="66">
        <v>13.014689313100003</v>
      </c>
      <c r="CU215" s="66">
        <v>7.5194669985999969</v>
      </c>
      <c r="CV215" s="66">
        <v>9.0236121880000013</v>
      </c>
      <c r="CW215" s="66">
        <v>9.2965814037999976</v>
      </c>
      <c r="CX215" s="66">
        <v>13.612302010600004</v>
      </c>
      <c r="CY215" s="66">
        <v>10.9494073786</v>
      </c>
      <c r="CZ215" s="66">
        <v>-0.9539492812999999</v>
      </c>
      <c r="DA215" s="66">
        <v>-4.9069743325999999</v>
      </c>
      <c r="DB215" s="66">
        <v>-1.240991009600001</v>
      </c>
      <c r="DC215" s="66">
        <v>0.71148566469999963</v>
      </c>
      <c r="DD215" s="66">
        <v>0.45547851730000133</v>
      </c>
      <c r="DE215" s="66">
        <v>-1.5775304551999998</v>
      </c>
      <c r="DF215" s="66">
        <v>-1.5893888923999997</v>
      </c>
      <c r="DG215" s="66">
        <v>-0.64649302819999832</v>
      </c>
      <c r="DH215" s="66">
        <v>-1.5851108485999994</v>
      </c>
      <c r="DI215" s="66">
        <v>0.79250580999999976</v>
      </c>
      <c r="DJ215" s="66">
        <v>2.651841214900001</v>
      </c>
      <c r="DK215" s="66">
        <v>8.5933310457999958</v>
      </c>
      <c r="DL215" s="66">
        <v>1.4534260504000009</v>
      </c>
      <c r="DM215" s="66">
        <v>4.4886605997999993</v>
      </c>
      <c r="DN215" s="66">
        <v>6.788972256400001</v>
      </c>
      <c r="DO215" s="66">
        <v>8.9082551121999991</v>
      </c>
      <c r="DP215" s="79"/>
      <c r="DQ215" s="80"/>
      <c r="DR215" s="81"/>
      <c r="DS215" s="84">
        <f t="shared" si="29"/>
        <v>2019</v>
      </c>
      <c r="DT215" s="80"/>
      <c r="DU215" s="83">
        <f t="shared" ref="DU215:ED220" si="32">+SUMIF($D$3:$DO$3,DU$4,$D215:$DO215)</f>
        <v>-96</v>
      </c>
      <c r="DV215" s="83">
        <f t="shared" si="32"/>
        <v>-96</v>
      </c>
      <c r="DW215" s="83">
        <f t="shared" si="32"/>
        <v>-96</v>
      </c>
      <c r="DX215" s="83">
        <f t="shared" si="32"/>
        <v>-96</v>
      </c>
      <c r="DY215" s="83">
        <f t="shared" si="32"/>
        <v>-96</v>
      </c>
      <c r="DZ215" s="83">
        <f t="shared" si="32"/>
        <v>-95.268266876699997</v>
      </c>
      <c r="EA215" s="83">
        <f t="shared" si="32"/>
        <v>138.58251641610002</v>
      </c>
      <c r="EB215" s="83">
        <f t="shared" si="32"/>
        <v>104.58873006090002</v>
      </c>
      <c r="EC215" s="83">
        <f t="shared" si="32"/>
        <v>33.133540163700005</v>
      </c>
      <c r="ED215" s="83">
        <f t="shared" si="32"/>
        <v>32.091881240899994</v>
      </c>
    </row>
    <row r="216" spans="2:134" x14ac:dyDescent="0.3">
      <c r="B216" s="45">
        <f t="shared" si="30"/>
        <v>1000000212</v>
      </c>
      <c r="C216" s="46">
        <v>43556</v>
      </c>
      <c r="D216" s="66">
        <v>-8</v>
      </c>
      <c r="E216" s="66">
        <v>-8</v>
      </c>
      <c r="F216" s="66">
        <v>-8</v>
      </c>
      <c r="G216" s="66">
        <v>-8</v>
      </c>
      <c r="H216" s="66">
        <v>-8</v>
      </c>
      <c r="I216" s="66">
        <v>-8</v>
      </c>
      <c r="J216" s="66">
        <v>-8</v>
      </c>
      <c r="K216" s="66">
        <v>-8</v>
      </c>
      <c r="L216" s="66">
        <v>-8</v>
      </c>
      <c r="M216" s="66">
        <v>-8</v>
      </c>
      <c r="N216" s="66">
        <v>-8</v>
      </c>
      <c r="O216" s="66">
        <v>-8</v>
      </c>
      <c r="P216" s="66">
        <v>-8</v>
      </c>
      <c r="Q216" s="66">
        <v>-8</v>
      </c>
      <c r="R216" s="66">
        <v>-8</v>
      </c>
      <c r="S216" s="66">
        <v>-8</v>
      </c>
      <c r="T216" s="66">
        <v>-8</v>
      </c>
      <c r="U216" s="66">
        <v>-8</v>
      </c>
      <c r="V216" s="66">
        <v>-8</v>
      </c>
      <c r="W216" s="66">
        <v>-8</v>
      </c>
      <c r="X216" s="66">
        <v>-8</v>
      </c>
      <c r="Y216" s="66">
        <v>-8</v>
      </c>
      <c r="Z216" s="66">
        <v>-8</v>
      </c>
      <c r="AA216" s="66">
        <v>-8</v>
      </c>
      <c r="AB216" s="66">
        <v>-8</v>
      </c>
      <c r="AC216" s="66">
        <v>-8</v>
      </c>
      <c r="AD216" s="66">
        <v>-8</v>
      </c>
      <c r="AE216" s="66">
        <v>-8</v>
      </c>
      <c r="AF216" s="66">
        <v>-8</v>
      </c>
      <c r="AG216" s="66">
        <v>-8</v>
      </c>
      <c r="AH216" s="66">
        <v>-8</v>
      </c>
      <c r="AI216" s="66">
        <v>-8</v>
      </c>
      <c r="AJ216" s="66">
        <v>-8</v>
      </c>
      <c r="AK216" s="66">
        <v>-8</v>
      </c>
      <c r="AL216" s="66">
        <v>-8</v>
      </c>
      <c r="AM216" s="66">
        <v>-8</v>
      </c>
      <c r="AN216" s="66">
        <v>-8</v>
      </c>
      <c r="AO216" s="66">
        <v>-8</v>
      </c>
      <c r="AP216" s="66">
        <v>-8</v>
      </c>
      <c r="AQ216" s="66">
        <v>-8</v>
      </c>
      <c r="AR216" s="66">
        <v>-8</v>
      </c>
      <c r="AS216" s="66">
        <v>-8</v>
      </c>
      <c r="AT216" s="66">
        <v>-8</v>
      </c>
      <c r="AU216" s="66">
        <v>-8</v>
      </c>
      <c r="AV216" s="66">
        <v>-8</v>
      </c>
      <c r="AW216" s="66">
        <v>-8</v>
      </c>
      <c r="AX216" s="66">
        <v>-8</v>
      </c>
      <c r="AY216" s="66">
        <v>-8</v>
      </c>
      <c r="AZ216" s="66">
        <v>-8</v>
      </c>
      <c r="BA216" s="66">
        <v>-8</v>
      </c>
      <c r="BB216" s="66">
        <v>-8</v>
      </c>
      <c r="BC216" s="66">
        <v>-8</v>
      </c>
      <c r="BD216" s="66">
        <v>-8</v>
      </c>
      <c r="BE216" s="66">
        <v>-8</v>
      </c>
      <c r="BF216" s="66">
        <v>-8</v>
      </c>
      <c r="BG216" s="66">
        <v>-8</v>
      </c>
      <c r="BH216" s="66">
        <v>-8</v>
      </c>
      <c r="BI216" s="66">
        <v>-8</v>
      </c>
      <c r="BJ216" s="66">
        <v>-8</v>
      </c>
      <c r="BK216" s="66">
        <v>-8</v>
      </c>
      <c r="BL216" s="66">
        <v>-8</v>
      </c>
      <c r="BM216" s="66">
        <v>-8</v>
      </c>
      <c r="BN216" s="66">
        <v>-8</v>
      </c>
      <c r="BO216" s="66">
        <v>-4.8462936587000005</v>
      </c>
      <c r="BP216" s="66">
        <v>-7.2794498333000002</v>
      </c>
      <c r="BQ216" s="66">
        <v>3.8948005723000012</v>
      </c>
      <c r="BR216" s="66">
        <v>8.176071668499997</v>
      </c>
      <c r="BS216" s="66">
        <v>3.8842180429000006</v>
      </c>
      <c r="BT216" s="66">
        <v>6.1189705546000024</v>
      </c>
      <c r="BU216" s="66">
        <v>8.628831304000002</v>
      </c>
      <c r="BV216" s="66">
        <v>8.8231070298999974</v>
      </c>
      <c r="BW216" s="66">
        <v>9.1991620906000016</v>
      </c>
      <c r="BX216" s="66">
        <v>9.0169324354000011</v>
      </c>
      <c r="BY216" s="66">
        <v>12.243665734900002</v>
      </c>
      <c r="BZ216" s="66">
        <v>11.887800038800002</v>
      </c>
      <c r="CA216" s="66">
        <v>-2.9442153424999997</v>
      </c>
      <c r="CB216" s="66">
        <v>-3.1503119788999996</v>
      </c>
      <c r="CC216" s="66">
        <v>5.8175561002000009</v>
      </c>
      <c r="CD216" s="66">
        <v>9.5496614686000001</v>
      </c>
      <c r="CE216" s="66">
        <v>10.389996861700002</v>
      </c>
      <c r="CF216" s="66">
        <v>11.762160647199998</v>
      </c>
      <c r="CG216" s="66">
        <v>6.415994385100003</v>
      </c>
      <c r="CH216" s="66">
        <v>5.7383372364999996</v>
      </c>
      <c r="CI216" s="66">
        <v>11.4316254736</v>
      </c>
      <c r="CJ216" s="66">
        <v>2.8508453050000018</v>
      </c>
      <c r="CK216" s="66">
        <v>9.500989338700002</v>
      </c>
      <c r="CL216" s="66">
        <v>19.126137568300003</v>
      </c>
      <c r="CM216" s="66">
        <v>11.915119476400005</v>
      </c>
      <c r="CN216" s="66">
        <v>10.608739995999997</v>
      </c>
      <c r="CO216" s="66">
        <v>4.7268425647000001</v>
      </c>
      <c r="CP216" s="66">
        <v>7.3981431775000015</v>
      </c>
      <c r="CQ216" s="66">
        <v>5.0040522975999995</v>
      </c>
      <c r="CR216" s="66">
        <v>-0.3672943802000006</v>
      </c>
      <c r="CS216" s="66">
        <v>-2.041885841</v>
      </c>
      <c r="CT216" s="66">
        <v>-6.2446510807999998</v>
      </c>
      <c r="CU216" s="66">
        <v>-4.0379685406999997</v>
      </c>
      <c r="CV216" s="66">
        <v>-3.2125312475000003</v>
      </c>
      <c r="CW216" s="66">
        <v>-4.502323926499999</v>
      </c>
      <c r="CX216" s="66">
        <v>-2.4506641840999999</v>
      </c>
      <c r="CY216" s="66">
        <v>-0.29513053610000028</v>
      </c>
      <c r="CZ216" s="66">
        <v>-4.2259022542999993</v>
      </c>
      <c r="DA216" s="66">
        <v>-3.6593991910999994</v>
      </c>
      <c r="DB216" s="66">
        <v>0.48110925339999966</v>
      </c>
      <c r="DC216" s="66">
        <v>-4.5521218573999995</v>
      </c>
      <c r="DD216" s="66">
        <v>5.9846624953000038</v>
      </c>
      <c r="DE216" s="66">
        <v>-3.5547372248000002</v>
      </c>
      <c r="DF216" s="66">
        <v>-5.9946106787</v>
      </c>
      <c r="DG216" s="66">
        <v>-4.3542060415999995</v>
      </c>
      <c r="DH216" s="66">
        <v>-2.1861106700000299E-2</v>
      </c>
      <c r="DI216" s="66">
        <v>-3.2439786221000002</v>
      </c>
      <c r="DJ216" s="66">
        <v>-2.9537471242999995</v>
      </c>
      <c r="DK216" s="66">
        <v>5.9012406412000011</v>
      </c>
      <c r="DL216" s="66">
        <v>6.748518473799999</v>
      </c>
      <c r="DM216" s="66">
        <v>10.667394228100001</v>
      </c>
      <c r="DN216" s="66">
        <v>10.709424132100004</v>
      </c>
      <c r="DO216" s="66">
        <v>9.526432441299999</v>
      </c>
      <c r="DP216" s="79"/>
      <c r="DQ216" s="80"/>
      <c r="DR216" s="81"/>
      <c r="DS216" s="84">
        <f t="shared" si="29"/>
        <v>2019</v>
      </c>
      <c r="DT216" s="80"/>
      <c r="DU216" s="83">
        <f t="shared" si="32"/>
        <v>-96</v>
      </c>
      <c r="DV216" s="83">
        <f t="shared" si="32"/>
        <v>-96</v>
      </c>
      <c r="DW216" s="83">
        <f t="shared" si="32"/>
        <v>-96</v>
      </c>
      <c r="DX216" s="83">
        <f t="shared" si="32"/>
        <v>-96</v>
      </c>
      <c r="DY216" s="83">
        <f t="shared" si="32"/>
        <v>-96</v>
      </c>
      <c r="DZ216" s="83">
        <f t="shared" si="32"/>
        <v>12.599417770800001</v>
      </c>
      <c r="EA216" s="83">
        <f t="shared" si="32"/>
        <v>88.159203060600021</v>
      </c>
      <c r="EB216" s="83">
        <f t="shared" si="32"/>
        <v>58.439069881500011</v>
      </c>
      <c r="EC216" s="83">
        <f t="shared" si="32"/>
        <v>-30.335855393399996</v>
      </c>
      <c r="ED216" s="83">
        <f t="shared" si="32"/>
        <v>37.333423063400005</v>
      </c>
    </row>
    <row r="217" spans="2:134" x14ac:dyDescent="0.3">
      <c r="B217" s="45">
        <f t="shared" si="30"/>
        <v>1000000213</v>
      </c>
      <c r="C217" s="46">
        <v>44774</v>
      </c>
      <c r="D217" s="66">
        <v>-8</v>
      </c>
      <c r="E217" s="66">
        <v>-8</v>
      </c>
      <c r="F217" s="66">
        <v>-8</v>
      </c>
      <c r="G217" s="66">
        <v>-8</v>
      </c>
      <c r="H217" s="66">
        <v>-8</v>
      </c>
      <c r="I217" s="66">
        <v>-8</v>
      </c>
      <c r="J217" s="66">
        <v>-8</v>
      </c>
      <c r="K217" s="66">
        <v>-8</v>
      </c>
      <c r="L217" s="66">
        <v>-8</v>
      </c>
      <c r="M217" s="66">
        <v>-8</v>
      </c>
      <c r="N217" s="66">
        <v>-8</v>
      </c>
      <c r="O217" s="66">
        <v>-8</v>
      </c>
      <c r="P217" s="66">
        <v>-8</v>
      </c>
      <c r="Q217" s="66">
        <v>-8</v>
      </c>
      <c r="R217" s="66">
        <v>-8</v>
      </c>
      <c r="S217" s="66">
        <v>-8</v>
      </c>
      <c r="T217" s="66">
        <v>-8</v>
      </c>
      <c r="U217" s="66">
        <v>-8</v>
      </c>
      <c r="V217" s="66">
        <v>-8</v>
      </c>
      <c r="W217" s="66">
        <v>-8</v>
      </c>
      <c r="X217" s="66">
        <v>-8</v>
      </c>
      <c r="Y217" s="66">
        <v>-8</v>
      </c>
      <c r="Z217" s="66">
        <v>-8</v>
      </c>
      <c r="AA217" s="66">
        <v>-8</v>
      </c>
      <c r="AB217" s="66">
        <v>-8</v>
      </c>
      <c r="AC217" s="66">
        <v>-8</v>
      </c>
      <c r="AD217" s="66">
        <v>-8</v>
      </c>
      <c r="AE217" s="66">
        <v>-8</v>
      </c>
      <c r="AF217" s="66">
        <v>-8</v>
      </c>
      <c r="AG217" s="66">
        <v>-8</v>
      </c>
      <c r="AH217" s="66">
        <v>-8</v>
      </c>
      <c r="AI217" s="66">
        <v>-8</v>
      </c>
      <c r="AJ217" s="66">
        <v>-8</v>
      </c>
      <c r="AK217" s="66">
        <v>-8</v>
      </c>
      <c r="AL217" s="66">
        <v>-8</v>
      </c>
      <c r="AM217" s="66">
        <v>-8</v>
      </c>
      <c r="AN217" s="66">
        <v>-8</v>
      </c>
      <c r="AO217" s="66">
        <v>-8</v>
      </c>
      <c r="AP217" s="66">
        <v>-8</v>
      </c>
      <c r="AQ217" s="66">
        <v>-8</v>
      </c>
      <c r="AR217" s="66">
        <v>-8</v>
      </c>
      <c r="AS217" s="66">
        <v>-8</v>
      </c>
      <c r="AT217" s="66">
        <v>-8</v>
      </c>
      <c r="AU217" s="66">
        <v>-8</v>
      </c>
      <c r="AV217" s="66">
        <v>-8</v>
      </c>
      <c r="AW217" s="66">
        <v>-8</v>
      </c>
      <c r="AX217" s="66">
        <v>-8</v>
      </c>
      <c r="AY217" s="66">
        <v>-8</v>
      </c>
      <c r="AZ217" s="66">
        <v>-8</v>
      </c>
      <c r="BA217" s="66">
        <v>-8</v>
      </c>
      <c r="BB217" s="66">
        <v>-8</v>
      </c>
      <c r="BC217" s="66">
        <v>-8</v>
      </c>
      <c r="BD217" s="66">
        <v>-8</v>
      </c>
      <c r="BE217" s="66">
        <v>-8</v>
      </c>
      <c r="BF217" s="66">
        <v>-8</v>
      </c>
      <c r="BG217" s="66">
        <v>-8</v>
      </c>
      <c r="BH217" s="66">
        <v>-8</v>
      </c>
      <c r="BI217" s="66">
        <v>-8</v>
      </c>
      <c r="BJ217" s="66">
        <v>-8</v>
      </c>
      <c r="BK217" s="66">
        <v>-8</v>
      </c>
      <c r="BL217" s="66">
        <v>-8</v>
      </c>
      <c r="BM217" s="66">
        <v>-8</v>
      </c>
      <c r="BN217" s="66">
        <v>-8</v>
      </c>
      <c r="BO217" s="66">
        <v>-8</v>
      </c>
      <c r="BP217" s="66">
        <v>-8</v>
      </c>
      <c r="BQ217" s="66">
        <v>-8</v>
      </c>
      <c r="BR217" s="66">
        <v>-8</v>
      </c>
      <c r="BS217" s="66">
        <v>-8</v>
      </c>
      <c r="BT217" s="66">
        <v>-8</v>
      </c>
      <c r="BU217" s="66">
        <v>-8</v>
      </c>
      <c r="BV217" s="66">
        <v>-8</v>
      </c>
      <c r="BW217" s="66">
        <v>-8</v>
      </c>
      <c r="BX217" s="66">
        <v>-8</v>
      </c>
      <c r="BY217" s="66">
        <v>-8</v>
      </c>
      <c r="BZ217" s="66">
        <v>-8</v>
      </c>
      <c r="CA217" s="66">
        <v>-8</v>
      </c>
      <c r="CB217" s="66">
        <v>-8</v>
      </c>
      <c r="CC217" s="66">
        <v>-8</v>
      </c>
      <c r="CD217" s="66">
        <v>-8</v>
      </c>
      <c r="CE217" s="66">
        <v>-8</v>
      </c>
      <c r="CF217" s="66">
        <v>-8</v>
      </c>
      <c r="CG217" s="66">
        <v>-8</v>
      </c>
      <c r="CH217" s="66">
        <v>-8</v>
      </c>
      <c r="CI217" s="66">
        <v>-8</v>
      </c>
      <c r="CJ217" s="66">
        <v>-8</v>
      </c>
      <c r="CK217" s="66">
        <v>-8</v>
      </c>
      <c r="CL217" s="66">
        <v>-8</v>
      </c>
      <c r="CM217" s="66">
        <v>-8</v>
      </c>
      <c r="CN217" s="66">
        <v>-8</v>
      </c>
      <c r="CO217" s="66">
        <v>-8</v>
      </c>
      <c r="CP217" s="66">
        <v>-8</v>
      </c>
      <c r="CQ217" s="66">
        <v>-8</v>
      </c>
      <c r="CR217" s="66">
        <v>-8</v>
      </c>
      <c r="CS217" s="66">
        <v>-8</v>
      </c>
      <c r="CT217" s="66">
        <v>-8</v>
      </c>
      <c r="CU217" s="66">
        <v>-8</v>
      </c>
      <c r="CV217" s="66">
        <v>-8</v>
      </c>
      <c r="CW217" s="66">
        <v>-8</v>
      </c>
      <c r="CX217" s="66">
        <v>-8</v>
      </c>
      <c r="CY217" s="66">
        <v>-8</v>
      </c>
      <c r="CZ217" s="66">
        <v>-8</v>
      </c>
      <c r="DA217" s="66">
        <v>-8</v>
      </c>
      <c r="DB217" s="66">
        <v>-8</v>
      </c>
      <c r="DC217" s="66">
        <v>-8</v>
      </c>
      <c r="DD217" s="66">
        <v>-8</v>
      </c>
      <c r="DE217" s="66">
        <v>-7.4062150258999999</v>
      </c>
      <c r="DF217" s="66">
        <v>-5.4949051415000003</v>
      </c>
      <c r="DG217" s="66">
        <v>-5.6048958991999998</v>
      </c>
      <c r="DH217" s="66">
        <v>-3.3635386883000002</v>
      </c>
      <c r="DI217" s="66">
        <v>3.7108822155999999</v>
      </c>
      <c r="DJ217" s="66">
        <v>-4.0425467980999992</v>
      </c>
      <c r="DK217" s="66">
        <v>-3.3447002849000009</v>
      </c>
      <c r="DL217" s="66">
        <v>6.5228704266999991</v>
      </c>
      <c r="DM217" s="66">
        <v>2.9808002670999993</v>
      </c>
      <c r="DN217" s="66">
        <v>4.1540725425999998</v>
      </c>
      <c r="DO217" s="66">
        <v>4.6229311323999998</v>
      </c>
      <c r="DP217" s="79"/>
      <c r="DQ217" s="80"/>
      <c r="DR217" s="81"/>
      <c r="DS217" s="84">
        <f t="shared" si="29"/>
        <v>2022</v>
      </c>
      <c r="DT217" s="80"/>
      <c r="DU217" s="83">
        <f t="shared" si="32"/>
        <v>-96</v>
      </c>
      <c r="DV217" s="83">
        <f t="shared" si="32"/>
        <v>-96</v>
      </c>
      <c r="DW217" s="83">
        <f t="shared" si="32"/>
        <v>-96</v>
      </c>
      <c r="DX217" s="83">
        <f t="shared" si="32"/>
        <v>-96</v>
      </c>
      <c r="DY217" s="83">
        <f t="shared" si="32"/>
        <v>-96</v>
      </c>
      <c r="DZ217" s="83">
        <f t="shared" si="32"/>
        <v>-96</v>
      </c>
      <c r="EA217" s="83">
        <f t="shared" si="32"/>
        <v>-96</v>
      </c>
      <c r="EB217" s="83">
        <f t="shared" si="32"/>
        <v>-96</v>
      </c>
      <c r="EC217" s="83">
        <f t="shared" si="32"/>
        <v>-90.506016066599997</v>
      </c>
      <c r="ED217" s="83">
        <f t="shared" si="32"/>
        <v>11.240770813099997</v>
      </c>
    </row>
    <row r="218" spans="2:134" x14ac:dyDescent="0.3">
      <c r="B218" s="45">
        <f t="shared" si="30"/>
        <v>1000000214</v>
      </c>
      <c r="C218" s="46">
        <v>44927</v>
      </c>
      <c r="D218" s="66">
        <v>-8</v>
      </c>
      <c r="E218" s="66">
        <v>-8</v>
      </c>
      <c r="F218" s="66">
        <v>-8</v>
      </c>
      <c r="G218" s="66">
        <v>-8</v>
      </c>
      <c r="H218" s="66">
        <v>-8</v>
      </c>
      <c r="I218" s="66">
        <v>-8</v>
      </c>
      <c r="J218" s="66">
        <v>-8</v>
      </c>
      <c r="K218" s="66">
        <v>-8</v>
      </c>
      <c r="L218" s="66">
        <v>-8</v>
      </c>
      <c r="M218" s="66">
        <v>-8</v>
      </c>
      <c r="N218" s="66">
        <v>-8</v>
      </c>
      <c r="O218" s="66">
        <v>-8</v>
      </c>
      <c r="P218" s="66">
        <v>-8</v>
      </c>
      <c r="Q218" s="66">
        <v>-8</v>
      </c>
      <c r="R218" s="66">
        <v>-8</v>
      </c>
      <c r="S218" s="66">
        <v>-8</v>
      </c>
      <c r="T218" s="66">
        <v>-8</v>
      </c>
      <c r="U218" s="66">
        <v>-8</v>
      </c>
      <c r="V218" s="66">
        <v>-8</v>
      </c>
      <c r="W218" s="66">
        <v>-8</v>
      </c>
      <c r="X218" s="66">
        <v>-8</v>
      </c>
      <c r="Y218" s="66">
        <v>-8</v>
      </c>
      <c r="Z218" s="66">
        <v>-8</v>
      </c>
      <c r="AA218" s="66">
        <v>-8</v>
      </c>
      <c r="AB218" s="66">
        <v>-8</v>
      </c>
      <c r="AC218" s="66">
        <v>-8</v>
      </c>
      <c r="AD218" s="66">
        <v>-8</v>
      </c>
      <c r="AE218" s="66">
        <v>-8</v>
      </c>
      <c r="AF218" s="66">
        <v>-8</v>
      </c>
      <c r="AG218" s="66">
        <v>-8</v>
      </c>
      <c r="AH218" s="66">
        <v>-8</v>
      </c>
      <c r="AI218" s="66">
        <v>-8</v>
      </c>
      <c r="AJ218" s="66">
        <v>-8</v>
      </c>
      <c r="AK218" s="66">
        <v>-8</v>
      </c>
      <c r="AL218" s="66">
        <v>-8</v>
      </c>
      <c r="AM218" s="66">
        <v>-8</v>
      </c>
      <c r="AN218" s="66">
        <v>-8</v>
      </c>
      <c r="AO218" s="66">
        <v>-8</v>
      </c>
      <c r="AP218" s="66">
        <v>-8</v>
      </c>
      <c r="AQ218" s="66">
        <v>-8</v>
      </c>
      <c r="AR218" s="66">
        <v>-8</v>
      </c>
      <c r="AS218" s="66">
        <v>-8</v>
      </c>
      <c r="AT218" s="66">
        <v>-8</v>
      </c>
      <c r="AU218" s="66">
        <v>-8</v>
      </c>
      <c r="AV218" s="66">
        <v>-8</v>
      </c>
      <c r="AW218" s="66">
        <v>-8</v>
      </c>
      <c r="AX218" s="66">
        <v>-8</v>
      </c>
      <c r="AY218" s="66">
        <v>-8</v>
      </c>
      <c r="AZ218" s="66">
        <v>-8</v>
      </c>
      <c r="BA218" s="66">
        <v>-8</v>
      </c>
      <c r="BB218" s="66">
        <v>-8</v>
      </c>
      <c r="BC218" s="66">
        <v>-8</v>
      </c>
      <c r="BD218" s="66">
        <v>-8</v>
      </c>
      <c r="BE218" s="66">
        <v>-8</v>
      </c>
      <c r="BF218" s="66">
        <v>-8</v>
      </c>
      <c r="BG218" s="66">
        <v>-8</v>
      </c>
      <c r="BH218" s="66">
        <v>-8</v>
      </c>
      <c r="BI218" s="66">
        <v>-8</v>
      </c>
      <c r="BJ218" s="66">
        <v>-8</v>
      </c>
      <c r="BK218" s="66">
        <v>-8</v>
      </c>
      <c r="BL218" s="66">
        <v>-8</v>
      </c>
      <c r="BM218" s="66">
        <v>-8</v>
      </c>
      <c r="BN218" s="66">
        <v>-8</v>
      </c>
      <c r="BO218" s="66">
        <v>-8</v>
      </c>
      <c r="BP218" s="66">
        <v>-8</v>
      </c>
      <c r="BQ218" s="66">
        <v>-8</v>
      </c>
      <c r="BR218" s="66">
        <v>-8</v>
      </c>
      <c r="BS218" s="66">
        <v>-8</v>
      </c>
      <c r="BT218" s="66">
        <v>-8</v>
      </c>
      <c r="BU218" s="66">
        <v>-8</v>
      </c>
      <c r="BV218" s="66">
        <v>-8</v>
      </c>
      <c r="BW218" s="66">
        <v>-8</v>
      </c>
      <c r="BX218" s="66">
        <v>-8</v>
      </c>
      <c r="BY218" s="66">
        <v>-8</v>
      </c>
      <c r="BZ218" s="66">
        <v>-8</v>
      </c>
      <c r="CA218" s="66">
        <v>-8</v>
      </c>
      <c r="CB218" s="66">
        <v>-8</v>
      </c>
      <c r="CC218" s="66">
        <v>-8</v>
      </c>
      <c r="CD218" s="66">
        <v>-8</v>
      </c>
      <c r="CE218" s="66">
        <v>-8</v>
      </c>
      <c r="CF218" s="66">
        <v>-8</v>
      </c>
      <c r="CG218" s="66">
        <v>-8</v>
      </c>
      <c r="CH218" s="66">
        <v>-8</v>
      </c>
      <c r="CI218" s="66">
        <v>-8</v>
      </c>
      <c r="CJ218" s="66">
        <v>-8</v>
      </c>
      <c r="CK218" s="66">
        <v>-8</v>
      </c>
      <c r="CL218" s="66">
        <v>-8</v>
      </c>
      <c r="CM218" s="66">
        <v>-8</v>
      </c>
      <c r="CN218" s="66">
        <v>-8</v>
      </c>
      <c r="CO218" s="66">
        <v>-8</v>
      </c>
      <c r="CP218" s="66">
        <v>-8</v>
      </c>
      <c r="CQ218" s="66">
        <v>-8</v>
      </c>
      <c r="CR218" s="66">
        <v>-8</v>
      </c>
      <c r="CS218" s="66">
        <v>-8</v>
      </c>
      <c r="CT218" s="66">
        <v>-8</v>
      </c>
      <c r="CU218" s="66">
        <v>-8</v>
      </c>
      <c r="CV218" s="66">
        <v>-8</v>
      </c>
      <c r="CW218" s="66">
        <v>-8</v>
      </c>
      <c r="CX218" s="66">
        <v>-8</v>
      </c>
      <c r="CY218" s="66">
        <v>-8</v>
      </c>
      <c r="CZ218" s="66">
        <v>-8</v>
      </c>
      <c r="DA218" s="66">
        <v>-8</v>
      </c>
      <c r="DB218" s="66">
        <v>-8</v>
      </c>
      <c r="DC218" s="66">
        <v>-8</v>
      </c>
      <c r="DD218" s="66">
        <v>-8</v>
      </c>
      <c r="DE218" s="66">
        <v>-8</v>
      </c>
      <c r="DF218" s="66">
        <v>-8</v>
      </c>
      <c r="DG218" s="66">
        <v>-8</v>
      </c>
      <c r="DH218" s="66">
        <v>-8</v>
      </c>
      <c r="DI218" s="66">
        <v>-8</v>
      </c>
      <c r="DJ218" s="66">
        <v>-4.4494488061999995</v>
      </c>
      <c r="DK218" s="66">
        <v>-6.5428382389999999</v>
      </c>
      <c r="DL218" s="66">
        <v>-6.8452659143000005</v>
      </c>
      <c r="DM218" s="66">
        <v>-4.8166475657000003</v>
      </c>
      <c r="DN218" s="66">
        <v>-4.7924053175000001</v>
      </c>
      <c r="DO218" s="66">
        <v>-6.2134663931</v>
      </c>
      <c r="DP218" s="79"/>
      <c r="DQ218" s="80"/>
      <c r="DR218" s="81"/>
      <c r="DS218" s="84">
        <f t="shared" si="29"/>
        <v>2023</v>
      </c>
      <c r="DT218" s="80"/>
      <c r="DU218" s="83">
        <f t="shared" si="32"/>
        <v>-96</v>
      </c>
      <c r="DV218" s="83">
        <f t="shared" si="32"/>
        <v>-96</v>
      </c>
      <c r="DW218" s="83">
        <f t="shared" si="32"/>
        <v>-96</v>
      </c>
      <c r="DX218" s="83">
        <f t="shared" si="32"/>
        <v>-96</v>
      </c>
      <c r="DY218" s="83">
        <f t="shared" si="32"/>
        <v>-96</v>
      </c>
      <c r="DZ218" s="83">
        <f t="shared" si="32"/>
        <v>-96</v>
      </c>
      <c r="EA218" s="83">
        <f t="shared" si="32"/>
        <v>-96</v>
      </c>
      <c r="EB218" s="83">
        <f t="shared" si="32"/>
        <v>-96</v>
      </c>
      <c r="EC218" s="83">
        <f t="shared" si="32"/>
        <v>-96</v>
      </c>
      <c r="ED218" s="83">
        <f t="shared" si="32"/>
        <v>-49.660072235800001</v>
      </c>
    </row>
    <row r="219" spans="2:134" x14ac:dyDescent="0.3">
      <c r="B219" s="45">
        <f t="shared" si="30"/>
        <v>1000000215</v>
      </c>
      <c r="C219" s="46">
        <v>45047</v>
      </c>
      <c r="D219" s="66">
        <v>-8</v>
      </c>
      <c r="E219" s="66">
        <v>-8</v>
      </c>
      <c r="F219" s="66">
        <v>-8</v>
      </c>
      <c r="G219" s="66">
        <v>-8</v>
      </c>
      <c r="H219" s="66">
        <v>-8</v>
      </c>
      <c r="I219" s="66">
        <v>-8</v>
      </c>
      <c r="J219" s="66">
        <v>-8</v>
      </c>
      <c r="K219" s="66">
        <v>-8</v>
      </c>
      <c r="L219" s="66">
        <v>-8</v>
      </c>
      <c r="M219" s="66">
        <v>-8</v>
      </c>
      <c r="N219" s="66">
        <v>-8</v>
      </c>
      <c r="O219" s="66">
        <v>-8</v>
      </c>
      <c r="P219" s="66">
        <v>-8</v>
      </c>
      <c r="Q219" s="66">
        <v>-8</v>
      </c>
      <c r="R219" s="66">
        <v>-8</v>
      </c>
      <c r="S219" s="66">
        <v>-8</v>
      </c>
      <c r="T219" s="66">
        <v>-8</v>
      </c>
      <c r="U219" s="66">
        <v>-8</v>
      </c>
      <c r="V219" s="66">
        <v>-8</v>
      </c>
      <c r="W219" s="66">
        <v>-8</v>
      </c>
      <c r="X219" s="66">
        <v>-8</v>
      </c>
      <c r="Y219" s="66">
        <v>-8</v>
      </c>
      <c r="Z219" s="66">
        <v>-8</v>
      </c>
      <c r="AA219" s="66">
        <v>-8</v>
      </c>
      <c r="AB219" s="66">
        <v>-8</v>
      </c>
      <c r="AC219" s="66">
        <v>-8</v>
      </c>
      <c r="AD219" s="66">
        <v>-8</v>
      </c>
      <c r="AE219" s="66">
        <v>-8</v>
      </c>
      <c r="AF219" s="66">
        <v>-8</v>
      </c>
      <c r="AG219" s="66">
        <v>-8</v>
      </c>
      <c r="AH219" s="66">
        <v>-8</v>
      </c>
      <c r="AI219" s="66">
        <v>-8</v>
      </c>
      <c r="AJ219" s="66">
        <v>-8</v>
      </c>
      <c r="AK219" s="66">
        <v>-8</v>
      </c>
      <c r="AL219" s="66">
        <v>-8</v>
      </c>
      <c r="AM219" s="66">
        <v>-8</v>
      </c>
      <c r="AN219" s="66">
        <v>-8</v>
      </c>
      <c r="AO219" s="66">
        <v>-8</v>
      </c>
      <c r="AP219" s="66">
        <v>-8</v>
      </c>
      <c r="AQ219" s="66">
        <v>-8</v>
      </c>
      <c r="AR219" s="66">
        <v>-8</v>
      </c>
      <c r="AS219" s="66">
        <v>-8</v>
      </c>
      <c r="AT219" s="66">
        <v>-8</v>
      </c>
      <c r="AU219" s="66">
        <v>-8</v>
      </c>
      <c r="AV219" s="66">
        <v>-8</v>
      </c>
      <c r="AW219" s="66">
        <v>-8</v>
      </c>
      <c r="AX219" s="66">
        <v>-8</v>
      </c>
      <c r="AY219" s="66">
        <v>-8</v>
      </c>
      <c r="AZ219" s="66">
        <v>-8</v>
      </c>
      <c r="BA219" s="66">
        <v>-8</v>
      </c>
      <c r="BB219" s="66">
        <v>-8</v>
      </c>
      <c r="BC219" s="66">
        <v>-8</v>
      </c>
      <c r="BD219" s="66">
        <v>-8</v>
      </c>
      <c r="BE219" s="66">
        <v>-8</v>
      </c>
      <c r="BF219" s="66">
        <v>-8</v>
      </c>
      <c r="BG219" s="66">
        <v>-8</v>
      </c>
      <c r="BH219" s="66">
        <v>-8</v>
      </c>
      <c r="BI219" s="66">
        <v>-8</v>
      </c>
      <c r="BJ219" s="66">
        <v>-8</v>
      </c>
      <c r="BK219" s="66">
        <v>-8</v>
      </c>
      <c r="BL219" s="66">
        <v>-8</v>
      </c>
      <c r="BM219" s="66">
        <v>-8</v>
      </c>
      <c r="BN219" s="66">
        <v>-8</v>
      </c>
      <c r="BO219" s="66">
        <v>-8</v>
      </c>
      <c r="BP219" s="66">
        <v>-8</v>
      </c>
      <c r="BQ219" s="66">
        <v>-8</v>
      </c>
      <c r="BR219" s="66">
        <v>-8</v>
      </c>
      <c r="BS219" s="66">
        <v>-8</v>
      </c>
      <c r="BT219" s="66">
        <v>-8</v>
      </c>
      <c r="BU219" s="66">
        <v>-8</v>
      </c>
      <c r="BV219" s="66">
        <v>-8</v>
      </c>
      <c r="BW219" s="66">
        <v>-8</v>
      </c>
      <c r="BX219" s="66">
        <v>-8</v>
      </c>
      <c r="BY219" s="66">
        <v>-8</v>
      </c>
      <c r="BZ219" s="66">
        <v>-8</v>
      </c>
      <c r="CA219" s="66">
        <v>-8</v>
      </c>
      <c r="CB219" s="66">
        <v>-8</v>
      </c>
      <c r="CC219" s="66">
        <v>-8</v>
      </c>
      <c r="CD219" s="66">
        <v>-8</v>
      </c>
      <c r="CE219" s="66">
        <v>-8</v>
      </c>
      <c r="CF219" s="66">
        <v>-8</v>
      </c>
      <c r="CG219" s="66">
        <v>-8</v>
      </c>
      <c r="CH219" s="66">
        <v>-8</v>
      </c>
      <c r="CI219" s="66">
        <v>-8</v>
      </c>
      <c r="CJ219" s="66">
        <v>-8</v>
      </c>
      <c r="CK219" s="66">
        <v>-8</v>
      </c>
      <c r="CL219" s="66">
        <v>-8</v>
      </c>
      <c r="CM219" s="66">
        <v>-8</v>
      </c>
      <c r="CN219" s="66">
        <v>-8</v>
      </c>
      <c r="CO219" s="66">
        <v>-8</v>
      </c>
      <c r="CP219" s="66">
        <v>-8</v>
      </c>
      <c r="CQ219" s="66">
        <v>-8</v>
      </c>
      <c r="CR219" s="66">
        <v>-8</v>
      </c>
      <c r="CS219" s="66">
        <v>-8</v>
      </c>
      <c r="CT219" s="66">
        <v>-8</v>
      </c>
      <c r="CU219" s="66">
        <v>-8</v>
      </c>
      <c r="CV219" s="66">
        <v>-8</v>
      </c>
      <c r="CW219" s="66">
        <v>-8</v>
      </c>
      <c r="CX219" s="66">
        <v>-8</v>
      </c>
      <c r="CY219" s="66">
        <v>-8</v>
      </c>
      <c r="CZ219" s="66">
        <v>-8</v>
      </c>
      <c r="DA219" s="66">
        <v>-8</v>
      </c>
      <c r="DB219" s="66">
        <v>-8</v>
      </c>
      <c r="DC219" s="66">
        <v>-8</v>
      </c>
      <c r="DD219" s="66">
        <v>-8</v>
      </c>
      <c r="DE219" s="66">
        <v>-8</v>
      </c>
      <c r="DF219" s="66">
        <v>-8</v>
      </c>
      <c r="DG219" s="66">
        <v>-8</v>
      </c>
      <c r="DH219" s="66">
        <v>-8</v>
      </c>
      <c r="DI219" s="66">
        <v>-8</v>
      </c>
      <c r="DJ219" s="66">
        <v>-8</v>
      </c>
      <c r="DK219" s="66">
        <v>-8</v>
      </c>
      <c r="DL219" s="66">
        <v>-8</v>
      </c>
      <c r="DM219" s="66">
        <v>-0.70056900289999913</v>
      </c>
      <c r="DN219" s="66">
        <v>1.0759449750999988</v>
      </c>
      <c r="DO219" s="66">
        <v>0.41213517880000161</v>
      </c>
      <c r="DP219" s="79"/>
      <c r="DQ219" s="80"/>
      <c r="DR219" s="81"/>
      <c r="DS219" s="84">
        <f t="shared" si="29"/>
        <v>2023</v>
      </c>
      <c r="DT219" s="80"/>
      <c r="DU219" s="83">
        <f t="shared" si="32"/>
        <v>-96</v>
      </c>
      <c r="DV219" s="83">
        <f t="shared" si="32"/>
        <v>-96</v>
      </c>
      <c r="DW219" s="83">
        <f t="shared" si="32"/>
        <v>-96</v>
      </c>
      <c r="DX219" s="83">
        <f t="shared" si="32"/>
        <v>-96</v>
      </c>
      <c r="DY219" s="83">
        <f t="shared" si="32"/>
        <v>-96</v>
      </c>
      <c r="DZ219" s="83">
        <f t="shared" si="32"/>
        <v>-96</v>
      </c>
      <c r="EA219" s="83">
        <f t="shared" si="32"/>
        <v>-96</v>
      </c>
      <c r="EB219" s="83">
        <f t="shared" si="32"/>
        <v>-96</v>
      </c>
      <c r="EC219" s="83">
        <f t="shared" si="32"/>
        <v>-96</v>
      </c>
      <c r="ED219" s="83">
        <f t="shared" si="32"/>
        <v>-39.212488848999996</v>
      </c>
    </row>
    <row r="220" spans="2:134" x14ac:dyDescent="0.3">
      <c r="B220" s="45">
        <f t="shared" si="30"/>
        <v>1000000216</v>
      </c>
      <c r="C220" s="46">
        <v>45139</v>
      </c>
      <c r="D220" s="66">
        <v>-8</v>
      </c>
      <c r="E220" s="66">
        <v>-8</v>
      </c>
      <c r="F220" s="66">
        <v>-8</v>
      </c>
      <c r="G220" s="66">
        <v>-8</v>
      </c>
      <c r="H220" s="66">
        <v>-8</v>
      </c>
      <c r="I220" s="66">
        <v>-8</v>
      </c>
      <c r="J220" s="66">
        <v>-8</v>
      </c>
      <c r="K220" s="66">
        <v>-8</v>
      </c>
      <c r="L220" s="66">
        <v>-8</v>
      </c>
      <c r="M220" s="66">
        <v>-8</v>
      </c>
      <c r="N220" s="66">
        <v>-8</v>
      </c>
      <c r="O220" s="66">
        <v>-8</v>
      </c>
      <c r="P220" s="66">
        <v>-8</v>
      </c>
      <c r="Q220" s="66">
        <v>-8</v>
      </c>
      <c r="R220" s="66">
        <v>-8</v>
      </c>
      <c r="S220" s="66">
        <v>-8</v>
      </c>
      <c r="T220" s="66">
        <v>-8</v>
      </c>
      <c r="U220" s="66">
        <v>-8</v>
      </c>
      <c r="V220" s="66">
        <v>-8</v>
      </c>
      <c r="W220" s="66">
        <v>-8</v>
      </c>
      <c r="X220" s="66">
        <v>-8</v>
      </c>
      <c r="Y220" s="66">
        <v>-8</v>
      </c>
      <c r="Z220" s="66">
        <v>-8</v>
      </c>
      <c r="AA220" s="66">
        <v>-8</v>
      </c>
      <c r="AB220" s="66">
        <v>-8</v>
      </c>
      <c r="AC220" s="66">
        <v>-8</v>
      </c>
      <c r="AD220" s="66">
        <v>-8</v>
      </c>
      <c r="AE220" s="66">
        <v>-8</v>
      </c>
      <c r="AF220" s="66">
        <v>-8</v>
      </c>
      <c r="AG220" s="66">
        <v>-8</v>
      </c>
      <c r="AH220" s="66">
        <v>-8</v>
      </c>
      <c r="AI220" s="66">
        <v>-8</v>
      </c>
      <c r="AJ220" s="66">
        <v>-8</v>
      </c>
      <c r="AK220" s="66">
        <v>-8</v>
      </c>
      <c r="AL220" s="66">
        <v>-8</v>
      </c>
      <c r="AM220" s="66">
        <v>-8</v>
      </c>
      <c r="AN220" s="66">
        <v>-8</v>
      </c>
      <c r="AO220" s="66">
        <v>-8</v>
      </c>
      <c r="AP220" s="66">
        <v>-8</v>
      </c>
      <c r="AQ220" s="66">
        <v>-8</v>
      </c>
      <c r="AR220" s="66">
        <v>-8</v>
      </c>
      <c r="AS220" s="66">
        <v>-8</v>
      </c>
      <c r="AT220" s="66">
        <v>-8</v>
      </c>
      <c r="AU220" s="66">
        <v>-8</v>
      </c>
      <c r="AV220" s="66">
        <v>-8</v>
      </c>
      <c r="AW220" s="66">
        <v>-8</v>
      </c>
      <c r="AX220" s="66">
        <v>-8</v>
      </c>
      <c r="AY220" s="66">
        <v>-8</v>
      </c>
      <c r="AZ220" s="66">
        <v>-8</v>
      </c>
      <c r="BA220" s="66">
        <v>-8</v>
      </c>
      <c r="BB220" s="66">
        <v>-8</v>
      </c>
      <c r="BC220" s="66">
        <v>-8</v>
      </c>
      <c r="BD220" s="66">
        <v>-8</v>
      </c>
      <c r="BE220" s="66">
        <v>-8</v>
      </c>
      <c r="BF220" s="66">
        <v>-8</v>
      </c>
      <c r="BG220" s="66">
        <v>-8</v>
      </c>
      <c r="BH220" s="66">
        <v>-8</v>
      </c>
      <c r="BI220" s="66">
        <v>-8</v>
      </c>
      <c r="BJ220" s="66">
        <v>-8</v>
      </c>
      <c r="BK220" s="66">
        <v>-8</v>
      </c>
      <c r="BL220" s="66">
        <v>-8</v>
      </c>
      <c r="BM220" s="66">
        <v>-8</v>
      </c>
      <c r="BN220" s="66">
        <v>-8</v>
      </c>
      <c r="BO220" s="66">
        <v>-8</v>
      </c>
      <c r="BP220" s="66">
        <v>-8</v>
      </c>
      <c r="BQ220" s="66">
        <v>-8</v>
      </c>
      <c r="BR220" s="66">
        <v>-8</v>
      </c>
      <c r="BS220" s="66">
        <v>-8</v>
      </c>
      <c r="BT220" s="66">
        <v>-8</v>
      </c>
      <c r="BU220" s="66">
        <v>-8</v>
      </c>
      <c r="BV220" s="66">
        <v>-8</v>
      </c>
      <c r="BW220" s="66">
        <v>-8</v>
      </c>
      <c r="BX220" s="66">
        <v>-8</v>
      </c>
      <c r="BY220" s="66">
        <v>-8</v>
      </c>
      <c r="BZ220" s="66">
        <v>-8</v>
      </c>
      <c r="CA220" s="66">
        <v>-8</v>
      </c>
      <c r="CB220" s="66">
        <v>-8</v>
      </c>
      <c r="CC220" s="66">
        <v>-8</v>
      </c>
      <c r="CD220" s="66">
        <v>-8</v>
      </c>
      <c r="CE220" s="66">
        <v>-8</v>
      </c>
      <c r="CF220" s="66">
        <v>-8</v>
      </c>
      <c r="CG220" s="66">
        <v>-8</v>
      </c>
      <c r="CH220" s="66">
        <v>-8</v>
      </c>
      <c r="CI220" s="66">
        <v>-8</v>
      </c>
      <c r="CJ220" s="66">
        <v>-8</v>
      </c>
      <c r="CK220" s="66">
        <v>-8</v>
      </c>
      <c r="CL220" s="66">
        <v>-8</v>
      </c>
      <c r="CM220" s="66">
        <v>-8</v>
      </c>
      <c r="CN220" s="66">
        <v>-8</v>
      </c>
      <c r="CO220" s="66">
        <v>-8</v>
      </c>
      <c r="CP220" s="66">
        <v>-8</v>
      </c>
      <c r="CQ220" s="66">
        <v>-8</v>
      </c>
      <c r="CR220" s="66">
        <v>-8</v>
      </c>
      <c r="CS220" s="66">
        <v>-8</v>
      </c>
      <c r="CT220" s="66">
        <v>-8</v>
      </c>
      <c r="CU220" s="66">
        <v>-8</v>
      </c>
      <c r="CV220" s="66">
        <v>-8</v>
      </c>
      <c r="CW220" s="66">
        <v>-8</v>
      </c>
      <c r="CX220" s="66">
        <v>-8</v>
      </c>
      <c r="CY220" s="66">
        <v>-8</v>
      </c>
      <c r="CZ220" s="66">
        <v>-8</v>
      </c>
      <c r="DA220" s="66">
        <v>-8</v>
      </c>
      <c r="DB220" s="66">
        <v>-8</v>
      </c>
      <c r="DC220" s="66">
        <v>-8</v>
      </c>
      <c r="DD220" s="66">
        <v>-8</v>
      </c>
      <c r="DE220" s="66">
        <v>-8</v>
      </c>
      <c r="DF220" s="66">
        <v>-8</v>
      </c>
      <c r="DG220" s="66">
        <v>-8</v>
      </c>
      <c r="DH220" s="66">
        <v>-8</v>
      </c>
      <c r="DI220" s="66">
        <v>-8</v>
      </c>
      <c r="DJ220" s="66">
        <v>-8</v>
      </c>
      <c r="DK220" s="66">
        <v>-8</v>
      </c>
      <c r="DL220" s="66">
        <v>-8</v>
      </c>
      <c r="DM220" s="66">
        <v>-8</v>
      </c>
      <c r="DN220" s="66">
        <v>-8</v>
      </c>
      <c r="DO220" s="66">
        <v>-8</v>
      </c>
      <c r="DP220" s="79"/>
      <c r="DQ220" s="80"/>
      <c r="DR220" s="81"/>
      <c r="DS220" s="84">
        <f t="shared" si="29"/>
        <v>2023</v>
      </c>
      <c r="DT220" s="80"/>
      <c r="DU220" s="83">
        <f t="shared" si="32"/>
        <v>-96</v>
      </c>
      <c r="DV220" s="83">
        <f t="shared" si="32"/>
        <v>-96</v>
      </c>
      <c r="DW220" s="83">
        <f t="shared" si="32"/>
        <v>-96</v>
      </c>
      <c r="DX220" s="83">
        <f t="shared" si="32"/>
        <v>-96</v>
      </c>
      <c r="DY220" s="83">
        <f t="shared" si="32"/>
        <v>-96</v>
      </c>
      <c r="DZ220" s="83">
        <f t="shared" si="32"/>
        <v>-96</v>
      </c>
      <c r="EA220" s="83">
        <f t="shared" si="32"/>
        <v>-96</v>
      </c>
      <c r="EB220" s="83">
        <f t="shared" si="32"/>
        <v>-96</v>
      </c>
      <c r="EC220" s="83">
        <f t="shared" si="32"/>
        <v>-96</v>
      </c>
      <c r="ED220" s="83">
        <f t="shared" si="32"/>
        <v>-64</v>
      </c>
    </row>
    <row r="221" spans="2:134" x14ac:dyDescent="0.3">
      <c r="B221" s="13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</row>
    <row r="222" spans="2:134" x14ac:dyDescent="0.3"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7"/>
    </row>
    <row r="223" spans="2:134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</row>
    <row r="257" spans="4:120" x14ac:dyDescent="0.3"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/>
      <c r="DP257" s="38"/>
    </row>
    <row r="258" spans="4:120" x14ac:dyDescent="0.3"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</row>
    <row r="259" spans="4:120" x14ac:dyDescent="0.3"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/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</row>
    <row r="260" spans="4:120" x14ac:dyDescent="0.3"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</row>
    <row r="261" spans="4:120" x14ac:dyDescent="0.3"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</row>
    <row r="262" spans="4:120" x14ac:dyDescent="0.3"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</row>
    <row r="263" spans="4:120" x14ac:dyDescent="0.3"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</row>
    <row r="264" spans="4:120" x14ac:dyDescent="0.3"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</row>
    <row r="265" spans="4:120" x14ac:dyDescent="0.3"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docMetadata/LabelInfo.xml><?xml version="1.0" encoding="utf-8"?>
<clbl:labelList xmlns:clbl="http://schemas.microsoft.com/office/2020/mipLabelMetadata">
  <clbl:label id="{5726fb42-8426-4577-9964-f13a62ad5eb9}" enabled="0" method="" siteId="{5726fb42-8426-4577-9964-f13a62ad5e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Monthly Cohorts</vt:lpstr>
      <vt:lpstr>Annual Cohorts</vt:lpstr>
      <vt:lpstr>Data Set</vt:lpstr>
      <vt:lpstr>'Data Set'!Print_Area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2023-12-28T18:13:11Z</dcterms:created>
  <dcterms:modified xsi:type="dcterms:W3CDTF">2026-08-17T20:25:54Z</dcterms:modified>
</cp:coreProperties>
</file>